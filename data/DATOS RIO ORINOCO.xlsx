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\\200.2.10.231\Publico\Profesor Jesús Lárez\"/>
    </mc:Choice>
  </mc:AlternateContent>
  <xr:revisionPtr revIDLastSave="0" documentId="13_ncr:1_{3DCB45D1-F4CF-445F-9422-503899CC3393}" xr6:coauthVersionLast="46" xr6:coauthVersionMax="46" xr10:uidLastSave="{00000000-0000-0000-0000-000000000000}"/>
  <bookViews>
    <workbookView xWindow="2730" yWindow="2730" windowWidth="21600" windowHeight="11385" activeTab="3" xr2:uid="{00000000-000D-0000-FFFF-FFFF00000000}"/>
  </bookViews>
  <sheets>
    <sheet name="Puerto Ayacucho" sheetId="1" r:id="rId1"/>
    <sheet name="Caicara" sheetId="2" r:id="rId2"/>
    <sheet name="Ciudad Bolivar" sheetId="3" r:id="rId3"/>
    <sheet name="Palua" sheetId="4" r:id="rId4"/>
    <sheet name="Entrenar" sheetId="5" r:id="rId5"/>
  </sheets>
  <calcPr calcId="181029"/>
</workbook>
</file>

<file path=xl/calcChain.xml><?xml version="1.0" encoding="utf-8"?>
<calcChain xmlns="http://schemas.openxmlformats.org/spreadsheetml/2006/main">
  <c r="BC367" i="4" l="1"/>
  <c r="BC366" i="4"/>
  <c r="BC365" i="4"/>
  <c r="BC364" i="4"/>
  <c r="BC363" i="4"/>
  <c r="BC362" i="4"/>
  <c r="BC361" i="4"/>
  <c r="BC360" i="4"/>
  <c r="BC359" i="4"/>
  <c r="BC358" i="4"/>
  <c r="BC357" i="4"/>
  <c r="BC356" i="4"/>
  <c r="BC355" i="4"/>
  <c r="BC354" i="4"/>
  <c r="BC353" i="4"/>
  <c r="BC352" i="4"/>
  <c r="BC351" i="4"/>
  <c r="BC350" i="4"/>
  <c r="BC349" i="4"/>
  <c r="BC348" i="4"/>
  <c r="BC347" i="4"/>
  <c r="BC346" i="4"/>
  <c r="BC345" i="4"/>
  <c r="BC344" i="4"/>
  <c r="BC343" i="4"/>
  <c r="BC342" i="4"/>
  <c r="BC341" i="4"/>
  <c r="BC340" i="4"/>
  <c r="BC339" i="4"/>
  <c r="BC338" i="4"/>
  <c r="BC337" i="4"/>
  <c r="BC336" i="4"/>
  <c r="BC335" i="4"/>
  <c r="BC334" i="4"/>
  <c r="BC333" i="4"/>
  <c r="BC332" i="4"/>
  <c r="BC331" i="4"/>
  <c r="BC330" i="4"/>
  <c r="BC329" i="4"/>
  <c r="BC328" i="4"/>
  <c r="BC327" i="4"/>
  <c r="BC326" i="4"/>
  <c r="BC325" i="4"/>
  <c r="BC324" i="4"/>
  <c r="BC323" i="4"/>
  <c r="BC322" i="4"/>
  <c r="BC321" i="4"/>
  <c r="BC320" i="4"/>
  <c r="BC319" i="4"/>
  <c r="BC318" i="4"/>
  <c r="BC317" i="4"/>
  <c r="BC316" i="4"/>
  <c r="BC315" i="4"/>
  <c r="BC314" i="4"/>
  <c r="BC313" i="4"/>
  <c r="BC312" i="4"/>
  <c r="BC311" i="4"/>
  <c r="BC310" i="4"/>
  <c r="BC309" i="4"/>
  <c r="BC308" i="4"/>
  <c r="BC307" i="4"/>
  <c r="BC306" i="4"/>
  <c r="BC305" i="4"/>
  <c r="BC304" i="4"/>
  <c r="BC303" i="4"/>
  <c r="BC302" i="4"/>
  <c r="BC301" i="4"/>
  <c r="BC300" i="4"/>
  <c r="BC299" i="4"/>
  <c r="BC298" i="4"/>
  <c r="BC297" i="4"/>
  <c r="BC296" i="4"/>
  <c r="BC295" i="4"/>
  <c r="BC294" i="4"/>
  <c r="BC293" i="4"/>
  <c r="BC292" i="4"/>
  <c r="BC291" i="4"/>
  <c r="BC290" i="4"/>
  <c r="BC289" i="4"/>
  <c r="BC288" i="4"/>
  <c r="BC287" i="4"/>
  <c r="BC286" i="4"/>
  <c r="BC285" i="4"/>
  <c r="BC284" i="4"/>
  <c r="BC283" i="4"/>
  <c r="BC282" i="4"/>
  <c r="BC281" i="4"/>
  <c r="BC280" i="4"/>
  <c r="BC279" i="4"/>
  <c r="BC278" i="4"/>
  <c r="BC277" i="4"/>
  <c r="BC276" i="4"/>
  <c r="BC275" i="4"/>
  <c r="BC274" i="4"/>
  <c r="BC273" i="4"/>
  <c r="BC272" i="4"/>
  <c r="BC271" i="4"/>
  <c r="BC270" i="4"/>
  <c r="BC269" i="4"/>
  <c r="BC268" i="4"/>
  <c r="BC267" i="4"/>
  <c r="BC266" i="4"/>
  <c r="BC265" i="4"/>
  <c r="BC264" i="4"/>
  <c r="BC263" i="4"/>
  <c r="BC262" i="4"/>
  <c r="BC261" i="4"/>
  <c r="BC260" i="4"/>
  <c r="BC259" i="4"/>
  <c r="BC258" i="4"/>
  <c r="BC257" i="4"/>
  <c r="BC256" i="4"/>
  <c r="BC255" i="4"/>
  <c r="BC254" i="4"/>
  <c r="BC253" i="4"/>
  <c r="BC252" i="4"/>
  <c r="BC251" i="4"/>
  <c r="BC250" i="4"/>
  <c r="BC249" i="4"/>
  <c r="BC248" i="4"/>
  <c r="BC247" i="4"/>
  <c r="BC246" i="4"/>
  <c r="BC245" i="4"/>
  <c r="BC244" i="4"/>
  <c r="BC243" i="4"/>
  <c r="BC242" i="4"/>
  <c r="BC241" i="4"/>
  <c r="BC240" i="4"/>
  <c r="BC239" i="4"/>
  <c r="BC238" i="4"/>
  <c r="BC237" i="4"/>
  <c r="BC236" i="4"/>
  <c r="BC235" i="4"/>
  <c r="BC234" i="4"/>
  <c r="BC233" i="4"/>
  <c r="BC232" i="4"/>
  <c r="BC231" i="4"/>
  <c r="BC230" i="4"/>
  <c r="BC229" i="4"/>
  <c r="BC228" i="4"/>
  <c r="BC227" i="4"/>
  <c r="BC226" i="4"/>
  <c r="BC225" i="4"/>
  <c r="BC224" i="4"/>
  <c r="BC223" i="4"/>
  <c r="BC222" i="4"/>
  <c r="BC221" i="4"/>
  <c r="BC220" i="4"/>
  <c r="BC219" i="4"/>
  <c r="BC218" i="4"/>
  <c r="BC217" i="4"/>
  <c r="BC216" i="4"/>
  <c r="BC215" i="4"/>
  <c r="BC214" i="4"/>
  <c r="BC213" i="4"/>
  <c r="BC212" i="4"/>
  <c r="BC211" i="4"/>
  <c r="BC210" i="4"/>
  <c r="BC209" i="4"/>
  <c r="BC208" i="4"/>
  <c r="BC207" i="4"/>
  <c r="BC206" i="4"/>
  <c r="BC205" i="4"/>
  <c r="BC204" i="4"/>
  <c r="BC203" i="4"/>
  <c r="BC202" i="4"/>
  <c r="BC201" i="4"/>
  <c r="BC200" i="4"/>
  <c r="BC199" i="4"/>
  <c r="BC198" i="4"/>
  <c r="BC197" i="4"/>
  <c r="BC196" i="4"/>
  <c r="BC195" i="4"/>
  <c r="BC194" i="4"/>
  <c r="BC193" i="4"/>
  <c r="BC192" i="4"/>
  <c r="BC191" i="4"/>
  <c r="BC190" i="4"/>
  <c r="BC189" i="4"/>
  <c r="BC188" i="4"/>
  <c r="BC187" i="4"/>
  <c r="BC186" i="4"/>
  <c r="BC185" i="4"/>
  <c r="BC184" i="4"/>
  <c r="BC183" i="4"/>
  <c r="BC182" i="4"/>
  <c r="BC181" i="4"/>
  <c r="BC180" i="4"/>
  <c r="BC179" i="4"/>
  <c r="BC178" i="4"/>
  <c r="BC177" i="4"/>
  <c r="BC176" i="4"/>
  <c r="BC175" i="4"/>
  <c r="BC174" i="4"/>
  <c r="BC173" i="4"/>
  <c r="BC172" i="4"/>
  <c r="BC171" i="4"/>
  <c r="BC170" i="4"/>
  <c r="BC169" i="4"/>
  <c r="BC168" i="4"/>
  <c r="BC167" i="4"/>
  <c r="BC166" i="4"/>
  <c r="BC165" i="4"/>
  <c r="BC164" i="4"/>
  <c r="BC163" i="4"/>
  <c r="BC162" i="4"/>
  <c r="BC161" i="4"/>
  <c r="BC160" i="4"/>
  <c r="BC159" i="4"/>
  <c r="BC158" i="4"/>
  <c r="BC157" i="4"/>
  <c r="BC156" i="4"/>
  <c r="BC155" i="4"/>
  <c r="BC154" i="4"/>
  <c r="BC153" i="4"/>
  <c r="BC152" i="4"/>
  <c r="BC151" i="4"/>
  <c r="BC150" i="4"/>
  <c r="BC149" i="4"/>
  <c r="BC148" i="4"/>
  <c r="BC147" i="4"/>
  <c r="BC146" i="4"/>
  <c r="BC145" i="4"/>
  <c r="BC144" i="4"/>
  <c r="BC143" i="4"/>
  <c r="BC142" i="4"/>
  <c r="BC141" i="4"/>
  <c r="BC140" i="4"/>
  <c r="BC139" i="4"/>
  <c r="BC138" i="4"/>
  <c r="BC137" i="4"/>
  <c r="BC136" i="4"/>
  <c r="BC135" i="4"/>
  <c r="BC134" i="4"/>
  <c r="BC133" i="4"/>
  <c r="BC132" i="4"/>
  <c r="BC131" i="4"/>
  <c r="BC130" i="4"/>
  <c r="BC129" i="4"/>
  <c r="BC128" i="4"/>
  <c r="BC127" i="4"/>
  <c r="BC126" i="4"/>
  <c r="BC125" i="4"/>
  <c r="BC124" i="4"/>
  <c r="BC123" i="4"/>
  <c r="BC122" i="4"/>
  <c r="BC121" i="4"/>
  <c r="BC120" i="4"/>
  <c r="BC119" i="4"/>
  <c r="BC118" i="4"/>
  <c r="BC117" i="4"/>
  <c r="BC116" i="4"/>
  <c r="BC115" i="4"/>
  <c r="BC114" i="4"/>
  <c r="BC113" i="4"/>
  <c r="BC112" i="4"/>
  <c r="BC111" i="4"/>
  <c r="BC110" i="4"/>
  <c r="BC109" i="4"/>
  <c r="BC108" i="4"/>
  <c r="BC107" i="4"/>
  <c r="BC106" i="4"/>
  <c r="BC105" i="4"/>
  <c r="BC104" i="4"/>
  <c r="BC103" i="4"/>
  <c r="BC102" i="4"/>
  <c r="BC101" i="4"/>
  <c r="BC100" i="4"/>
  <c r="BC99" i="4"/>
  <c r="BC98" i="4"/>
  <c r="BC97" i="4"/>
  <c r="BC96" i="4"/>
  <c r="BC95" i="4"/>
  <c r="BC94" i="4"/>
  <c r="BC9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3000000}">
      <text>
        <r>
          <rPr>
            <sz val="11"/>
            <color theme="1"/>
            <rFont val="Calibri"/>
            <scheme val="minor"/>
          </rPr>
          <t>[v.v]</t>
        </r>
      </text>
    </comment>
    <comment ref="BJ140" authorId="0" shapeId="0" xr:uid="{00000000-0006-0000-0000-000001000000}">
      <text>
        <r>
          <rPr>
            <sz val="11"/>
            <color theme="1"/>
            <rFont val="Calibri"/>
            <scheme val="minor"/>
          </rPr>
          <t>Papa:
Pedro Rivas 47,90</t>
        </r>
      </text>
    </comment>
    <comment ref="BJ182" authorId="0" shapeId="0" xr:uid="{00000000-0006-0000-0000-000002000000}">
      <text>
        <r>
          <rPr>
            <sz val="11"/>
            <color theme="1"/>
            <rFont val="Calibri"/>
            <scheme val="minor"/>
          </rPr>
          <t>papa:
51,18 SEGÚN CORPOELEC</t>
        </r>
      </text>
    </comment>
    <comment ref="BJ208" authorId="0" shapeId="0" xr:uid="{00000000-0006-0000-0000-000004000000}">
      <text>
        <r>
          <rPr>
            <sz val="11"/>
            <color theme="1"/>
            <rFont val="Calibri"/>
            <scheme val="minor"/>
          </rPr>
          <t xml:space="preserve">papa:
51,62 según Inameh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3000000}">
      <text>
        <r>
          <rPr>
            <sz val="11"/>
            <color theme="1"/>
            <rFont val="Calibri"/>
            <scheme val="minor"/>
          </rPr>
          <t>[v.v]</t>
        </r>
      </text>
    </comment>
    <comment ref="AI320" authorId="0" shapeId="0" xr:uid="{00000000-0006-0000-0100-000001000000}">
      <text>
        <r>
          <rPr>
            <sz val="11"/>
            <color theme="1"/>
            <rFont val="Calibri"/>
            <scheme val="minor"/>
          </rPr>
          <t>Juan Rojas:
tenía 26,63</t>
        </r>
      </text>
    </comment>
    <comment ref="AI343" authorId="0" shapeId="0" xr:uid="{00000000-0006-0000-0100-000002000000}">
      <text>
        <r>
          <rPr>
            <sz val="11"/>
            <color theme="1"/>
            <rFont val="Calibri"/>
            <scheme val="minor"/>
          </rPr>
          <t>Juan Rojas:
Tenía 27,76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12000000}">
      <text>
        <r>
          <rPr>
            <sz val="11"/>
            <color theme="1"/>
            <rFont val="Calibri"/>
            <scheme val="minor"/>
          </rPr>
          <t>[v.v]</t>
        </r>
      </text>
    </comment>
    <comment ref="BV21" authorId="0" shapeId="0" xr:uid="{00000000-0006-0000-0200-00000C000000}">
      <text>
        <r>
          <rPr>
            <sz val="11"/>
            <color theme="1"/>
            <rFont val="Calibri"/>
            <scheme val="minor"/>
          </rPr>
          <t>Juan Rojas:
tenía 5,04</t>
        </r>
      </text>
    </comment>
    <comment ref="CD28" authorId="0" shapeId="0" xr:uid="{00000000-0006-0000-0200-00000D000000}">
      <text>
        <r>
          <rPr>
            <sz val="11"/>
            <color theme="1"/>
            <rFont val="Calibri"/>
            <scheme val="minor"/>
          </rPr>
          <t>Juan Rojas:
tenía 3,42</t>
        </r>
      </text>
    </comment>
    <comment ref="CL93" authorId="0" shapeId="0" xr:uid="{00000000-0006-0000-0200-000011000000}">
      <text>
        <r>
          <rPr>
            <sz val="11"/>
            <color theme="1"/>
            <rFont val="Calibri"/>
            <scheme val="minor"/>
          </rPr>
          <t>Papa:
Caicara da pequeñas diferencias, para verificar</t>
        </r>
      </text>
    </comment>
    <comment ref="CB112" authorId="0" shapeId="0" xr:uid="{00000000-0006-0000-0200-000001000000}">
      <text>
        <r>
          <rPr>
            <sz val="11"/>
            <color theme="1"/>
            <rFont val="Calibri"/>
            <scheme val="minor"/>
          </rPr>
          <t>Juan Rojas:
Tenía 2,10</t>
        </r>
      </text>
    </comment>
    <comment ref="CL115" authorId="0" shapeId="0" xr:uid="{00000000-0006-0000-0200-00000A000000}">
      <text>
        <r>
          <rPr>
            <sz val="11"/>
            <color theme="1"/>
            <rFont val="Calibri"/>
            <scheme val="minor"/>
          </rPr>
          <t>Papa:
según Caicara 8,42</t>
        </r>
      </text>
    </comment>
    <comment ref="CL116" authorId="0" shapeId="0" xr:uid="{00000000-0006-0000-0200-000009000000}">
      <text>
        <r>
          <rPr>
            <sz val="11"/>
            <color theme="1"/>
            <rFont val="Calibri"/>
            <scheme val="minor"/>
          </rPr>
          <t>Papa:
Según Caicara 8,46</t>
        </r>
      </text>
    </comment>
    <comment ref="CL117" authorId="0" shapeId="0" xr:uid="{00000000-0006-0000-0200-000008000000}">
      <text>
        <r>
          <rPr>
            <sz val="11"/>
            <color theme="1"/>
            <rFont val="Calibri"/>
            <scheme val="minor"/>
          </rPr>
          <t>Papa:
Según Caicara 8,58</t>
        </r>
      </text>
    </comment>
    <comment ref="CL118" authorId="0" shapeId="0" xr:uid="{00000000-0006-0000-0200-000007000000}">
      <text>
        <r>
          <rPr>
            <sz val="11"/>
            <color theme="1"/>
            <rFont val="Calibri"/>
            <scheme val="minor"/>
          </rPr>
          <t>Papa:
Según Caicara 8,72</t>
        </r>
      </text>
    </comment>
    <comment ref="CL119" authorId="0" shapeId="0" xr:uid="{00000000-0006-0000-0200-000006000000}">
      <text>
        <r>
          <rPr>
            <sz val="11"/>
            <color theme="1"/>
            <rFont val="Calibri"/>
            <scheme val="minor"/>
          </rPr>
          <t>Papa:
Según Caicara 8,90</t>
        </r>
      </text>
    </comment>
    <comment ref="CL120" authorId="0" shapeId="0" xr:uid="{00000000-0006-0000-0200-000004000000}">
      <text>
        <r>
          <rPr>
            <sz val="11"/>
            <color theme="1"/>
            <rFont val="Calibri"/>
            <scheme val="minor"/>
          </rPr>
          <t>Papa:
Según Caicara 8,90</t>
        </r>
      </text>
    </comment>
    <comment ref="CL121" authorId="0" shapeId="0" xr:uid="{00000000-0006-0000-0200-000003000000}">
      <text>
        <r>
          <rPr>
            <sz val="11"/>
            <color theme="1"/>
            <rFont val="Calibri"/>
            <scheme val="minor"/>
          </rPr>
          <t>Papa:
Según Caicara 8,90</t>
        </r>
      </text>
    </comment>
    <comment ref="CL122" authorId="0" shapeId="0" xr:uid="{00000000-0006-0000-0200-000002000000}">
      <text>
        <r>
          <rPr>
            <sz val="11"/>
            <color theme="1"/>
            <rFont val="Calibri"/>
            <scheme val="minor"/>
          </rPr>
          <t>Papa:
Según Caicara 8,92</t>
        </r>
      </text>
    </comment>
    <comment ref="CL123" authorId="0" shapeId="0" xr:uid="{00000000-0006-0000-0200-000013000000}">
      <text>
        <r>
          <rPr>
            <sz val="11"/>
            <color theme="1"/>
            <rFont val="Calibri"/>
            <scheme val="minor"/>
          </rPr>
          <t>Papa:
Datos únicos TN Ferrer</t>
        </r>
      </text>
    </comment>
    <comment ref="CL143" authorId="0" shapeId="0" xr:uid="{00000000-0006-0000-0200-00000B000000}">
      <text>
        <r>
          <rPr>
            <sz val="11"/>
            <color theme="1"/>
            <rFont val="Calibri"/>
            <scheme val="minor"/>
          </rPr>
          <t>Papa:
Pedro Rivas</t>
        </r>
      </text>
    </comment>
    <comment ref="CL184" authorId="0" shapeId="0" xr:uid="{00000000-0006-0000-0200-000005000000}">
      <text>
        <r>
          <rPr>
            <sz val="11"/>
            <color theme="1"/>
            <rFont val="Calibri"/>
            <scheme val="minor"/>
          </rPr>
          <t>papa:
14,70 según corpoelec</t>
        </r>
      </text>
    </comment>
    <comment ref="CL190" authorId="0" shapeId="0" xr:uid="{00000000-0006-0000-0200-000010000000}">
      <text>
        <r>
          <rPr>
            <sz val="11"/>
            <color theme="1"/>
            <rFont val="Calibri"/>
            <scheme val="minor"/>
          </rPr>
          <t>papa:
15,08 según INAMED</t>
        </r>
      </text>
    </comment>
    <comment ref="CL191" authorId="0" shapeId="0" xr:uid="{00000000-0006-0000-0200-00000F000000}">
      <text>
        <r>
          <rPr>
            <sz val="11"/>
            <color theme="1"/>
            <rFont val="Calibri"/>
            <scheme val="minor"/>
          </rPr>
          <t>papa:
15,04 SEGÚN INAMED</t>
        </r>
      </text>
    </comment>
    <comment ref="CD283" authorId="0" shapeId="0" xr:uid="{00000000-0006-0000-0200-00000E000000}">
      <text>
        <r>
          <rPr>
            <sz val="11"/>
            <color theme="1"/>
            <rFont val="Calibri"/>
            <scheme val="minor"/>
          </rPr>
          <t>Juan Rojas:
tenía 13,38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A000000}">
      <text>
        <r>
          <rPr>
            <sz val="11"/>
            <color theme="1"/>
            <rFont val="Calibri"/>
            <scheme val="minor"/>
          </rPr>
          <t>[v.v]</t>
        </r>
      </text>
    </comment>
    <comment ref="AF79" authorId="0" shapeId="0" xr:uid="{00000000-0006-0000-0300-000001000000}">
      <text>
        <r>
          <rPr>
            <sz val="11"/>
            <color theme="1"/>
            <rFont val="Calibri"/>
            <scheme val="minor"/>
          </rPr>
          <t>Ing. Juan Carlos Rojas:
2,59 VALOR ORIGINAL</t>
        </r>
      </text>
    </comment>
    <comment ref="R200" authorId="0" shapeId="0" xr:uid="{00000000-0006-0000-0300-000006000000}">
      <text>
        <r>
          <rPr>
            <sz val="11"/>
            <color theme="1"/>
            <rFont val="Calibri"/>
            <scheme val="minor"/>
          </rPr>
          <t>Ing. Juan Carlos Rojas:
10,15 VALOR ORIGINAL</t>
        </r>
      </text>
    </comment>
    <comment ref="AL233" authorId="0" shapeId="0" xr:uid="{00000000-0006-0000-0300-000009000000}">
      <text>
        <r>
          <rPr>
            <sz val="11"/>
            <color theme="1"/>
            <rFont val="Calibri"/>
            <scheme val="minor"/>
          </rPr>
          <t>Ing. Juan Carlos Rojas:
11,79 VALOR ORIGINAL</t>
        </r>
      </text>
    </comment>
    <comment ref="K255" authorId="0" shapeId="0" xr:uid="{00000000-0006-0000-0300-000008000000}">
      <text>
        <r>
          <rPr>
            <sz val="11"/>
            <color theme="1"/>
            <rFont val="Calibri"/>
            <scheme val="minor"/>
          </rPr>
          <t>Ing. Juan Carlos Rojas:
11,93 VALOR ORIGINAL</t>
        </r>
      </text>
    </comment>
    <comment ref="T281" authorId="0" shapeId="0" xr:uid="{00000000-0006-0000-0300-000007000000}">
      <text>
        <r>
          <rPr>
            <sz val="11"/>
            <color theme="1"/>
            <rFont val="Calibri"/>
            <scheme val="minor"/>
          </rPr>
          <t>Ing. Juan Carlos Rojas:
8,72 VALOR ORIGINAL</t>
        </r>
      </text>
    </comment>
    <comment ref="AA291" authorId="0" shapeId="0" xr:uid="{00000000-0006-0000-0300-000005000000}">
      <text>
        <r>
          <rPr>
            <sz val="11"/>
            <color theme="1"/>
            <rFont val="Calibri"/>
            <scheme val="minor"/>
          </rPr>
          <t>Ing. Juan Carlos Rojas:
8,17 VALOR ORIGINAL</t>
        </r>
      </text>
    </comment>
    <comment ref="T301" authorId="0" shapeId="0" xr:uid="{00000000-0006-0000-0300-000004000000}">
      <text>
        <r>
          <rPr>
            <sz val="11"/>
            <color theme="1"/>
            <rFont val="Calibri"/>
            <scheme val="minor"/>
          </rPr>
          <t>Ing. Juan Carlos Rojas:
7,23 VALOR ORIGINAL</t>
        </r>
      </text>
    </comment>
    <comment ref="P321" authorId="0" shapeId="0" xr:uid="{00000000-0006-0000-0300-00000B000000}">
      <text>
        <r>
          <rPr>
            <sz val="11"/>
            <color theme="1"/>
            <rFont val="Calibri"/>
            <scheme val="minor"/>
          </rPr>
          <t>Ing. Juan Carlos Rojas:
6,58 VALOR ORIGINAL</t>
        </r>
      </text>
    </comment>
    <comment ref="W342" authorId="0" shapeId="0" xr:uid="{00000000-0006-0000-0300-000002000000}">
      <text>
        <r>
          <rPr>
            <sz val="11"/>
            <color theme="1"/>
            <rFont val="Calibri"/>
            <scheme val="minor"/>
          </rPr>
          <t>Ing. Juan Carlos Rojas:
4,33 VALOR ORIGINAL</t>
        </r>
      </text>
    </comment>
    <comment ref="AV350" authorId="0" shapeId="0" xr:uid="{00000000-0006-0000-0300-000003000000}">
      <text>
        <r>
          <rPr>
            <sz val="11"/>
            <color theme="1"/>
            <rFont val="Calibri"/>
            <scheme val="minor"/>
          </rPr>
          <t>Ing. Juan Carlos Rojas:
4,21 VALOR ORIGINAL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400-000004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R1" authorId="0" shapeId="0" xr:uid="{00000000-0006-0000-0400-000006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S1" authorId="0" shapeId="0" xr:uid="{00000000-0006-0000-0400-000007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T1" authorId="0" shapeId="0" xr:uid="{00000000-0006-0000-0400-000008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U1" authorId="0" shapeId="0" xr:uid="{00000000-0006-0000-0400-000009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V1" authorId="0" shapeId="0" xr:uid="{00000000-0006-0000-0400-00000A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W1" authorId="0" shapeId="0" xr:uid="{00000000-0006-0000-0400-00000B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X1" authorId="0" shapeId="0" xr:uid="{00000000-0006-0000-0400-00000C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Y1" authorId="0" shapeId="0" xr:uid="{00000000-0006-0000-0400-00000D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Z1" authorId="0" shapeId="0" xr:uid="{00000000-0006-0000-0400-00000E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A1" authorId="0" shapeId="0" xr:uid="{00000000-0006-0000-0400-00000F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B1" authorId="0" shapeId="0" xr:uid="{00000000-0006-0000-0400-000010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C1" authorId="0" shapeId="0" xr:uid="{00000000-0006-0000-0400-000011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D1" authorId="0" shapeId="0" xr:uid="{00000000-0006-0000-0400-000012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E1" authorId="0" shapeId="0" xr:uid="{00000000-0006-0000-0400-000013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F1" authorId="0" shapeId="0" xr:uid="{00000000-0006-0000-0400-000014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G1" authorId="0" shapeId="0" xr:uid="{00000000-0006-0000-0400-000015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H1" authorId="0" shapeId="0" xr:uid="{00000000-0006-0000-0400-000016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I1" authorId="0" shapeId="0" xr:uid="{00000000-0006-0000-0400-000017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J1" authorId="0" shapeId="0" xr:uid="{00000000-0006-0000-0400-000018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K1" authorId="0" shapeId="0" xr:uid="{00000000-0006-0000-0400-000019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L1" authorId="0" shapeId="0" xr:uid="{00000000-0006-0000-0400-00001A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M1" authorId="0" shapeId="0" xr:uid="{00000000-0006-0000-0400-00001C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AN1" authorId="0" shapeId="0" xr:uid="{00000000-0006-0000-0400-00001D000000}">
      <text>
        <r>
          <rPr>
            <sz val="11"/>
            <color theme="1"/>
            <rFont val="Calibri"/>
            <scheme val="minor"/>
          </rPr>
          <t>Forecasting for "Puerto Ayacucho+Caicara el mini mini+Ciudad Bolívar+Palúa" with options: {"trend":"MAGIC","growth":"LINEAR","seasonalityEffect":"LINEAR","seasonalityMode":"AUTO","holiday":"GLOBAL","cleaning":"MEDIUM","decomposition":true,"confidenceInterval":false}</t>
        </r>
      </text>
    </comment>
    <comment ref="D841" authorId="0" shapeId="0" xr:uid="{00000000-0006-0000-0400-000025000000}">
      <text>
        <r>
          <rPr>
            <sz val="11"/>
            <color theme="1"/>
            <rFont val="Calibri"/>
            <scheme val="minor"/>
          </rPr>
          <t>Juan Rojas:
Tenía 2,10</t>
        </r>
      </text>
    </comment>
    <comment ref="D1489" authorId="0" shapeId="0" xr:uid="{00000000-0006-0000-0400-000021000000}">
      <text>
        <r>
          <rPr>
            <sz val="11"/>
            <color theme="1"/>
            <rFont val="Calibri"/>
            <scheme val="minor"/>
          </rPr>
          <t>Juan Rojas:
tenía 3,42</t>
        </r>
      </text>
    </comment>
    <comment ref="D1743" authorId="0" shapeId="0" xr:uid="{00000000-0006-0000-0400-000030000000}">
      <text>
        <r>
          <rPr>
            <sz val="11"/>
            <color theme="1"/>
            <rFont val="Calibri"/>
            <scheme val="minor"/>
          </rPr>
          <t>Juan Rojas:
tenía 13,38</t>
        </r>
      </text>
    </comment>
    <comment ref="D4474" authorId="0" shapeId="0" xr:uid="{00000000-0006-0000-0400-00001E000000}">
      <text>
        <r>
          <rPr>
            <sz val="11"/>
            <color theme="1"/>
            <rFont val="Calibri"/>
            <scheme val="minor"/>
          </rPr>
          <t>Papa:
Caicara da pequeñas diferencias, para verificar</t>
        </r>
      </text>
    </comment>
    <comment ref="D4475" authorId="0" shapeId="0" xr:uid="{00000000-0006-0000-0400-000026000000}">
      <text>
        <r>
          <rPr>
            <sz val="11"/>
            <color theme="1"/>
            <rFont val="Calibri"/>
            <scheme val="minor"/>
          </rPr>
          <t>Papa:
Caicara da pequeñas diferencias, para verificar</t>
        </r>
      </text>
    </comment>
    <comment ref="D4496" authorId="0" shapeId="0" xr:uid="{00000000-0006-0000-0400-00002B000000}">
      <text>
        <r>
          <rPr>
            <sz val="11"/>
            <color theme="1"/>
            <rFont val="Calibri"/>
            <scheme val="minor"/>
          </rPr>
          <t>Papa:
según Caicara 8,42</t>
        </r>
      </text>
    </comment>
    <comment ref="D4497" authorId="0" shapeId="0" xr:uid="{00000000-0006-0000-0400-00002F000000}">
      <text>
        <r>
          <rPr>
            <sz val="11"/>
            <color theme="1"/>
            <rFont val="Calibri"/>
            <scheme val="minor"/>
          </rPr>
          <t>Papa:
Según Caicara 8,46</t>
        </r>
      </text>
    </comment>
    <comment ref="D4498" authorId="0" shapeId="0" xr:uid="{00000000-0006-0000-0400-000005000000}">
      <text>
        <r>
          <rPr>
            <sz val="11"/>
            <color theme="1"/>
            <rFont val="Calibri"/>
            <scheme val="minor"/>
          </rPr>
          <t>Papa:
Según Caicara 8,58</t>
        </r>
      </text>
    </comment>
    <comment ref="D4499" authorId="0" shapeId="0" xr:uid="{00000000-0006-0000-0400-000022000000}">
      <text>
        <r>
          <rPr>
            <sz val="11"/>
            <color theme="1"/>
            <rFont val="Calibri"/>
            <scheme val="minor"/>
          </rPr>
          <t>Papa:
Según Caicara 8,72</t>
        </r>
      </text>
    </comment>
    <comment ref="D4500" authorId="0" shapeId="0" xr:uid="{00000000-0006-0000-0400-000029000000}">
      <text>
        <r>
          <rPr>
            <sz val="11"/>
            <color theme="1"/>
            <rFont val="Calibri"/>
            <scheme val="minor"/>
          </rPr>
          <t>Papa:
Según Caicara 8,90</t>
        </r>
      </text>
    </comment>
    <comment ref="D4501" authorId="0" shapeId="0" xr:uid="{00000000-0006-0000-0400-00002E000000}">
      <text>
        <r>
          <rPr>
            <sz val="11"/>
            <color theme="1"/>
            <rFont val="Calibri"/>
            <scheme val="minor"/>
          </rPr>
          <t>Papa:
Según Caicara 8,90</t>
        </r>
      </text>
    </comment>
    <comment ref="D4502" authorId="0" shapeId="0" xr:uid="{00000000-0006-0000-0400-000003000000}">
      <text>
        <r>
          <rPr>
            <sz val="11"/>
            <color theme="1"/>
            <rFont val="Calibri"/>
            <scheme val="minor"/>
          </rPr>
          <t>Papa:
Según Caicara 8,90</t>
        </r>
      </text>
    </comment>
    <comment ref="D4503" authorId="0" shapeId="0" xr:uid="{00000000-0006-0000-0400-000020000000}">
      <text>
        <r>
          <rPr>
            <sz val="11"/>
            <color theme="1"/>
            <rFont val="Calibri"/>
            <scheme val="minor"/>
          </rPr>
          <t>Papa:
Según Caicara 8,92</t>
        </r>
      </text>
    </comment>
    <comment ref="D4504" authorId="0" shapeId="0" xr:uid="{00000000-0006-0000-0400-000028000000}">
      <text>
        <r>
          <rPr>
            <sz val="11"/>
            <color theme="1"/>
            <rFont val="Calibri"/>
            <scheme val="minor"/>
          </rPr>
          <t>Papa:
Datos únicos TN Ferrer</t>
        </r>
      </text>
    </comment>
    <comment ref="D4505" authorId="0" shapeId="0" xr:uid="{00000000-0006-0000-0400-00002C000000}">
      <text>
        <r>
          <rPr>
            <sz val="11"/>
            <color theme="1"/>
            <rFont val="Calibri"/>
            <scheme val="minor"/>
          </rPr>
          <t>Papa:
Datos únicos TN Ferrer</t>
        </r>
      </text>
    </comment>
    <comment ref="B4522" authorId="0" shapeId="0" xr:uid="{00000000-0006-0000-0400-000031000000}">
      <text>
        <r>
          <rPr>
            <sz val="11"/>
            <color theme="1"/>
            <rFont val="Calibri"/>
            <scheme val="minor"/>
          </rPr>
          <t>Papa:
Pedro Rivas 47,90</t>
        </r>
      </text>
    </comment>
    <comment ref="D4524" authorId="0" shapeId="0" xr:uid="{00000000-0006-0000-0400-000024000000}">
      <text>
        <r>
          <rPr>
            <sz val="11"/>
            <color theme="1"/>
            <rFont val="Calibri"/>
            <scheme val="minor"/>
          </rPr>
          <t>Papa:
Pedro Rivas</t>
        </r>
      </text>
    </comment>
    <comment ref="D4525" authorId="0" shapeId="0" xr:uid="{00000000-0006-0000-0400-00002A000000}">
      <text>
        <r>
          <rPr>
            <sz val="11"/>
            <color theme="1"/>
            <rFont val="Calibri"/>
            <scheme val="minor"/>
          </rPr>
          <t>Papa:
Pedro Rivas</t>
        </r>
      </text>
    </comment>
    <comment ref="B4564" authorId="0" shapeId="0" xr:uid="{00000000-0006-0000-0400-000002000000}">
      <text>
        <r>
          <rPr>
            <sz val="11"/>
            <color theme="1"/>
            <rFont val="Calibri"/>
            <scheme val="minor"/>
          </rPr>
          <t>papa:
51,18 SEGÚN CORPOELEC</t>
        </r>
      </text>
    </comment>
    <comment ref="D4565" authorId="0" shapeId="0" xr:uid="{00000000-0006-0000-0400-00001F000000}">
      <text>
        <r>
          <rPr>
            <sz val="11"/>
            <color theme="1"/>
            <rFont val="Calibri"/>
            <scheme val="minor"/>
          </rPr>
          <t>papa:
14,70 según corpoelec</t>
        </r>
      </text>
    </comment>
    <comment ref="D4566" authorId="0" shapeId="0" xr:uid="{00000000-0006-0000-0400-000027000000}">
      <text>
        <r>
          <rPr>
            <sz val="11"/>
            <color theme="1"/>
            <rFont val="Calibri"/>
            <scheme val="minor"/>
          </rPr>
          <t>papa:
14,70 según corpoelec</t>
        </r>
      </text>
    </comment>
    <comment ref="D4571" authorId="0" shapeId="0" xr:uid="{00000000-0006-0000-0400-00002D000000}">
      <text>
        <r>
          <rPr>
            <sz val="11"/>
            <color theme="1"/>
            <rFont val="Calibri"/>
            <scheme val="minor"/>
          </rPr>
          <t>papa:
15,08 según INAMED</t>
        </r>
      </text>
    </comment>
    <comment ref="D4572" authorId="0" shapeId="0" xr:uid="{00000000-0006-0000-0400-000001000000}">
      <text>
        <r>
          <rPr>
            <sz val="11"/>
            <color theme="1"/>
            <rFont val="Calibri"/>
            <scheme val="minor"/>
          </rPr>
          <t>papa:
15,04 SEGÚN INAMED</t>
        </r>
      </text>
    </comment>
    <comment ref="D4573" authorId="0" shapeId="0" xr:uid="{00000000-0006-0000-0400-00001B000000}">
      <text>
        <r>
          <rPr>
            <sz val="11"/>
            <color theme="1"/>
            <rFont val="Calibri"/>
            <scheme val="minor"/>
          </rPr>
          <t>papa:
15,04 SEGÚN INAMED</t>
        </r>
      </text>
    </comment>
    <comment ref="B4590" authorId="0" shapeId="0" xr:uid="{00000000-0006-0000-0400-000023000000}">
      <text>
        <r>
          <rPr>
            <sz val="11"/>
            <color theme="1"/>
            <rFont val="Calibri"/>
            <scheme val="minor"/>
          </rPr>
          <t xml:space="preserve">papa:
51,62 según Inameh
</t>
        </r>
      </text>
    </comment>
  </commentList>
</comments>
</file>

<file path=xl/sharedStrings.xml><?xml version="1.0" encoding="utf-8"?>
<sst xmlns="http://schemas.openxmlformats.org/spreadsheetml/2006/main" count="92" uniqueCount="46">
  <si>
    <t>DIAS</t>
  </si>
  <si>
    <t>mes</t>
  </si>
  <si>
    <t>día</t>
  </si>
  <si>
    <t>ENE</t>
  </si>
  <si>
    <t>FEB</t>
  </si>
  <si>
    <t>MAR</t>
  </si>
  <si>
    <t xml:space="preserve"> 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</si>
  <si>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</si>
  <si>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</si>
  <si>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</si>
  <si>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</si>
  <si>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</si>
  <si>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</si>
  <si>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</si>
  <si>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</si>
  <si>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</si>
  <si>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Fecha</t>
  </si>
  <si>
    <t>Puerto Ayacucho</t>
  </si>
  <si>
    <t>Ciudad Bolívar</t>
  </si>
  <si>
    <t>Palúa</t>
  </si>
  <si>
    <t>Pred:Puerto Ayacucho</t>
  </si>
  <si>
    <t>Pred:Ciudad Bolívar</t>
  </si>
  <si>
    <t>Pred:Palúa</t>
  </si>
  <si>
    <t>Caicara el mini mini</t>
  </si>
  <si>
    <t>Pred:Caicara el mini mini</t>
  </si>
  <si>
    <t>Pred:Puerto Ayacucho:trend</t>
  </si>
  <si>
    <t>Pred:Puerto Ayacucho:seasonality_weekly</t>
  </si>
  <si>
    <t>Pred:Puerto Ayacucho:seasonality_yearly</t>
  </si>
  <si>
    <t>Pred:Puerto Ayacucho:holiday</t>
  </si>
  <si>
    <t>Pred:Puerto Ayacucho:postprocess</t>
  </si>
  <si>
    <t>Pred:Caicara el mini mini:trend</t>
  </si>
  <si>
    <t>Pred:Caicara el mini mini:seasonality_weekly</t>
  </si>
  <si>
    <t>Pred:Caicara el mini mini:seasonality_yearly</t>
  </si>
  <si>
    <t>Pred:Caicara el mini mini:holiday</t>
  </si>
  <si>
    <t>Pred:Caicara el mini mini:postprocess</t>
  </si>
  <si>
    <t>Pred:Ciudad Bolívar:trend</t>
  </si>
  <si>
    <t>Pred:Ciudad Bolívar:seasonality_weekly</t>
  </si>
  <si>
    <t>Pred:Ciudad Bolívar:seasonality_yearly</t>
  </si>
  <si>
    <t>Pred:Ciudad Bolívar:holiday</t>
  </si>
  <si>
    <t>Pred:Ciudad Bolívar:postprocess</t>
  </si>
  <si>
    <t>Pred:Palúa:trend</t>
  </si>
  <si>
    <t>Pred:Palúa:seasonality_weekly</t>
  </si>
  <si>
    <t>Pred:Palúa:seasonality_yearly</t>
  </si>
  <si>
    <t>Pred:Palúa:holiday</t>
  </si>
  <si>
    <t>Pred:Palúa:postprocess</t>
  </si>
  <si>
    <t>MANDARINA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</si>
</sst>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"/>
    <numFmt numFmtId="165" formatCode="d/mm/yyyy"/>
    <numFmt numFmtId="166" formatCode="dd\-mm\-yyyy"/>
    <numFmt numFmtId="167" formatCode="dd/mm/yyyy"/>
  </numFmts>
  <fonts count="11" x14ac:knownFonts="1">
    <font>
      <sz val="11"/>
      <color theme="1"/>
      <name val="Calibri"/>
      <scheme val="minor"/>
    </font>
    <font>
      <sz val="12"/>
      <color theme="1"/>
      <name val="Arial Narrow"/>
    </font>
    <font>
      <sz val="11"/>
      <color theme="1"/>
      <name val="Calibri"/>
    </font>
    <font>
      <b/>
      <sz val="12"/>
      <color rgb="FFFF0000"/>
      <name val="Arial Narrow"/>
    </font>
    <font>
      <sz val="12"/>
      <color rgb="FFFF0000"/>
      <name val="Arial Narrow"/>
    </font>
    <font>
      <i/>
      <sz val="11"/>
      <color theme="1"/>
      <name val="Calibri"/>
    </font>
    <font>
      <b/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  <scheme val="minor"/>
    </font>
    <font>
      <sz val="11"/>
      <color theme="1"/>
      <name val="Calibri"/>
      <scheme val="minor"/>
    </font>
    <font>
      <sz val="12"/>
      <color rgb="FF000000"/>
      <name val="Arial Narrow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FCCFF"/>
        <bgColor rgb="FFFFCCFF"/>
      </patternFill>
    </fill>
    <fill>
      <patternFill patternType="solid">
        <fgColor rgb="FFFBE4D5"/>
        <bgColor rgb="FFFBE4D5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" fillId="4" borderId="1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/>
    <xf numFmtId="0" fontId="6" fillId="6" borderId="0" xfId="0" applyFont="1" applyFill="1"/>
    <xf numFmtId="0" fontId="9" fillId="9" borderId="0" xfId="0" applyFont="1" applyFill="1"/>
    <xf numFmtId="165" fontId="9" fillId="9" borderId="0" xfId="0" applyNumberFormat="1" applyFont="1" applyFill="1"/>
    <xf numFmtId="165" fontId="9" fillId="0" borderId="0" xfId="0" applyNumberFormat="1" applyFont="1"/>
    <xf numFmtId="166" fontId="9" fillId="9" borderId="0" xfId="0" applyNumberFormat="1" applyFont="1" applyFill="1"/>
    <xf numFmtId="166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167" fontId="9" fillId="0" borderId="0" xfId="0" applyNumberFormat="1" applyFont="1"/>
    <xf numFmtId="0" fontId="6" fillId="7" borderId="0" xfId="0" applyFont="1" applyFill="1" applyAlignment="1">
      <alignment horizontal="center"/>
    </xf>
    <xf numFmtId="0" fontId="7" fillId="2" borderId="0" xfId="0" applyFont="1" applyFill="1"/>
    <xf numFmtId="0" fontId="6" fillId="8" borderId="0" xfId="0" applyFont="1" applyFill="1"/>
    <xf numFmtId="0" fontId="8" fillId="0" borderId="0" xfId="0" applyFont="1"/>
    <xf numFmtId="164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0</xdr:row>
      <xdr:rowOff>0</xdr:rowOff>
    </xdr:from>
    <xdr:ext cx="5715000" cy="3533775"/>
    <xdr:pic>
      <xdr:nvPicPr>
        <xdr:cNvPr id="601377209" name="Chart2">
          <a:extLst>
            <a:ext uri="{FF2B5EF4-FFF2-40B4-BE49-F238E27FC236}">
              <a16:creationId xmlns:a16="http://schemas.microsoft.com/office/drawing/2014/main" id="{00000000-0008-0000-0400-0000B949D82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0</xdr:row>
      <xdr:rowOff>0</xdr:rowOff>
    </xdr:from>
    <xdr:ext cx="5715000" cy="3533775"/>
    <xdr:pic>
      <xdr:nvPicPr>
        <xdr:cNvPr id="928975098" name="Chart6">
          <a:extLst>
            <a:ext uri="{FF2B5EF4-FFF2-40B4-BE49-F238E27FC236}">
              <a16:creationId xmlns:a16="http://schemas.microsoft.com/office/drawing/2014/main" id="{00000000-0008-0000-0400-0000FA085F3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0</xdr:row>
      <xdr:rowOff>0</xdr:rowOff>
    </xdr:from>
    <xdr:ext cx="5715000" cy="3533775"/>
    <xdr:pic>
      <xdr:nvPicPr>
        <xdr:cNvPr id="724562036" name="Chart9">
          <a:extLst>
            <a:ext uri="{FF2B5EF4-FFF2-40B4-BE49-F238E27FC236}">
              <a16:creationId xmlns:a16="http://schemas.microsoft.com/office/drawing/2014/main" id="{00000000-0008-0000-0400-000074F02F2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00"/>
  <sheetViews>
    <sheetView workbookViewId="0">
      <pane ySplit="2" topLeftCell="A3" activePane="bottomLeft" state="frozen"/>
      <selection pane="bottomLeft" activeCell="A4" sqref="A4"/>
    </sheetView>
  </sheetViews>
  <sheetFormatPr baseColWidth="10" defaultColWidth="14.42578125" defaultRowHeight="15" customHeight="1" x14ac:dyDescent="0.25"/>
  <cols>
    <col min="1" max="66" width="10.7109375" customWidth="1"/>
  </cols>
  <sheetData>
    <row r="1" spans="1:66" ht="15.75" x14ac:dyDescent="0.25">
      <c r="A1" s="1" t="s">
        <v>0</v>
      </c>
      <c r="B1" s="1" t="s">
        <v>1</v>
      </c>
      <c r="C1" s="1" t="s">
        <v>2</v>
      </c>
      <c r="D1" s="1">
        <v>1963</v>
      </c>
      <c r="E1" s="1">
        <v>1964</v>
      </c>
      <c r="F1" s="1">
        <v>1965</v>
      </c>
      <c r="G1" s="1">
        <v>1966</v>
      </c>
      <c r="H1" s="1">
        <v>1967</v>
      </c>
      <c r="I1" s="1">
        <v>1968</v>
      </c>
      <c r="J1" s="1">
        <v>1969</v>
      </c>
      <c r="K1" s="1">
        <v>1970</v>
      </c>
      <c r="L1" s="1">
        <v>1971</v>
      </c>
      <c r="M1" s="1">
        <v>1972</v>
      </c>
      <c r="N1" s="1">
        <v>1973</v>
      </c>
      <c r="O1" s="1">
        <v>1974</v>
      </c>
      <c r="P1" s="1">
        <v>1975</v>
      </c>
      <c r="Q1" s="1">
        <v>1976</v>
      </c>
      <c r="R1" s="1">
        <v>1977</v>
      </c>
      <c r="S1" s="1">
        <v>1978</v>
      </c>
      <c r="T1" s="1">
        <v>1979</v>
      </c>
      <c r="U1" s="1">
        <v>1980</v>
      </c>
      <c r="V1" s="1">
        <v>1981</v>
      </c>
      <c r="W1" s="1">
        <v>1982</v>
      </c>
      <c r="X1" s="1">
        <v>1983</v>
      </c>
      <c r="Y1" s="1">
        <v>1984</v>
      </c>
      <c r="Z1" s="1">
        <v>1985</v>
      </c>
      <c r="AA1" s="1">
        <v>1986</v>
      </c>
      <c r="AB1" s="1">
        <v>1987</v>
      </c>
      <c r="AC1" s="1">
        <v>1988</v>
      </c>
      <c r="AD1" s="1">
        <v>1989</v>
      </c>
      <c r="AE1" s="1">
        <v>1990</v>
      </c>
      <c r="AF1" s="1">
        <v>1991</v>
      </c>
      <c r="AG1" s="1">
        <v>1992</v>
      </c>
      <c r="AH1" s="1">
        <v>1993</v>
      </c>
      <c r="AI1" s="1">
        <v>1994</v>
      </c>
      <c r="AJ1" s="1">
        <v>1995</v>
      </c>
      <c r="AK1" s="1">
        <v>1996</v>
      </c>
      <c r="AL1" s="1">
        <v>1997</v>
      </c>
      <c r="AM1" s="1">
        <v>1998</v>
      </c>
      <c r="AN1" s="1">
        <v>1999</v>
      </c>
      <c r="AO1" s="1">
        <v>2000</v>
      </c>
      <c r="AP1" s="1">
        <v>2001</v>
      </c>
      <c r="AQ1" s="1">
        <v>2002</v>
      </c>
      <c r="AR1" s="1">
        <v>2003</v>
      </c>
      <c r="AS1" s="1">
        <v>2004</v>
      </c>
      <c r="AT1" s="1">
        <v>2005</v>
      </c>
      <c r="AU1" s="1">
        <v>2006</v>
      </c>
      <c r="AV1" s="1">
        <v>2007</v>
      </c>
      <c r="AW1" s="1">
        <v>2008</v>
      </c>
      <c r="AX1" s="1">
        <v>2009</v>
      </c>
      <c r="AY1" s="1">
        <v>2010</v>
      </c>
      <c r="AZ1" s="1">
        <v>2011</v>
      </c>
      <c r="BA1" s="1">
        <v>2012</v>
      </c>
      <c r="BB1" s="1">
        <v>2013</v>
      </c>
      <c r="BC1" s="1">
        <v>2014</v>
      </c>
      <c r="BD1" s="1">
        <v>2015</v>
      </c>
      <c r="BE1" s="1">
        <v>2016</v>
      </c>
      <c r="BF1" s="1">
        <v>2017</v>
      </c>
      <c r="BG1" s="1">
        <v>2018</v>
      </c>
      <c r="BH1" s="1">
        <v>2019</v>
      </c>
      <c r="BI1" s="1">
        <v>2020</v>
      </c>
      <c r="BJ1" s="1">
        <v>2021</v>
      </c>
      <c r="BK1" s="1">
        <v>2022</v>
      </c>
      <c r="BL1" s="1">
        <v>2023</v>
      </c>
      <c r="BM1" s="1">
        <v>2024</v>
      </c>
      <c r="BN1" s="1">
        <v>2025</v>
      </c>
    </row>
    <row r="2" spans="1:66" ht="15.75" x14ac:dyDescent="0.25">
      <c r="A2" s="4">
        <v>1</v>
      </c>
      <c r="B2" s="5" t="s">
        <v>3</v>
      </c>
      <c r="C2" s="4">
        <v>1</v>
      </c>
      <c r="D2" s="6"/>
      <c r="E2" s="6">
        <v>42.94</v>
      </c>
      <c r="F2" s="6">
        <v>42.05</v>
      </c>
      <c r="G2" s="6">
        <v>42.6</v>
      </c>
      <c r="H2" s="6">
        <v>43.5</v>
      </c>
      <c r="I2" s="6">
        <v>42.46</v>
      </c>
      <c r="J2" s="6">
        <v>41.91</v>
      </c>
      <c r="K2" s="6">
        <v>43.71</v>
      </c>
      <c r="L2" s="6">
        <v>42.96</v>
      </c>
      <c r="M2" s="6">
        <v>44.06</v>
      </c>
      <c r="N2" s="6">
        <v>43.17</v>
      </c>
      <c r="O2" s="6">
        <v>43.34</v>
      </c>
      <c r="P2" s="6">
        <v>42.26</v>
      </c>
      <c r="Q2" s="6">
        <v>44.04</v>
      </c>
      <c r="R2" s="6">
        <v>42.26</v>
      </c>
      <c r="S2" s="6">
        <v>42.59</v>
      </c>
      <c r="T2" s="6">
        <v>43.38</v>
      </c>
      <c r="U2" s="6">
        <v>43.67</v>
      </c>
      <c r="V2" s="6">
        <v>42.54</v>
      </c>
      <c r="W2" s="6">
        <v>43.65</v>
      </c>
      <c r="X2" s="6">
        <v>42.74</v>
      </c>
      <c r="Y2" s="6">
        <v>44.18</v>
      </c>
      <c r="Z2" s="6">
        <v>43.32</v>
      </c>
      <c r="AA2" s="6">
        <v>42.32</v>
      </c>
      <c r="AB2" s="6">
        <v>44.15</v>
      </c>
      <c r="AC2" s="6">
        <v>43.36</v>
      </c>
      <c r="AD2" s="6">
        <v>42.97</v>
      </c>
      <c r="AE2" s="6">
        <v>41.84</v>
      </c>
      <c r="AF2" s="6">
        <v>44.08</v>
      </c>
      <c r="AG2" s="6">
        <v>42.08</v>
      </c>
      <c r="AH2" s="6">
        <v>42.62</v>
      </c>
      <c r="AI2" s="6">
        <v>43.02</v>
      </c>
      <c r="AJ2" s="6">
        <v>43.6</v>
      </c>
      <c r="AK2" s="6">
        <v>42.98</v>
      </c>
      <c r="AL2" s="6">
        <v>45.17</v>
      </c>
      <c r="AM2" s="6">
        <v>41.22</v>
      </c>
      <c r="AN2" s="6">
        <v>43.43</v>
      </c>
      <c r="AO2" s="7">
        <v>42.64</v>
      </c>
      <c r="AP2" s="7">
        <v>42.94</v>
      </c>
      <c r="AQ2" s="7">
        <v>44.89</v>
      </c>
      <c r="AR2" s="7">
        <v>43.12</v>
      </c>
      <c r="AS2" s="7">
        <v>43.73</v>
      </c>
      <c r="AT2" s="7">
        <v>43.42</v>
      </c>
      <c r="AU2" s="7">
        <v>43.44</v>
      </c>
      <c r="AV2" s="7"/>
      <c r="AW2" s="7"/>
      <c r="AX2" s="7">
        <v>43.65</v>
      </c>
      <c r="AY2" s="7">
        <v>41.82</v>
      </c>
      <c r="AZ2" s="7">
        <v>43.76</v>
      </c>
      <c r="BA2" s="7">
        <v>45.79</v>
      </c>
      <c r="BB2" s="7">
        <v>42.57</v>
      </c>
      <c r="BC2" s="7">
        <v>42.9</v>
      </c>
      <c r="BD2" s="7">
        <v>43.1</v>
      </c>
      <c r="BE2" s="7">
        <v>42.5</v>
      </c>
      <c r="BF2" s="7">
        <v>44.43</v>
      </c>
      <c r="BG2" s="7">
        <v>41.91</v>
      </c>
      <c r="BH2" s="7">
        <v>42.31</v>
      </c>
      <c r="BI2" s="7">
        <v>44.4</v>
      </c>
      <c r="BJ2" s="7">
        <v>44.54</v>
      </c>
      <c r="BK2" s="7">
        <v>43.25</v>
      </c>
      <c r="BL2" s="7">
        <v>42.43</v>
      </c>
      <c r="BM2" s="7">
        <v>42.45</v>
      </c>
      <c r="BN2" s="10">
        <v>43.44</v>
      </c>
    </row>
    <row r="3" spans="1:66" ht="15.75" x14ac:dyDescent="0.25">
      <c r="A3" s="4">
        <v>2</v>
      </c>
      <c r="B3" s="12"/>
      <c r="C3" s="4">
        <v>2</v>
      </c>
      <c r="D3" s="6"/>
      <c r="E3" s="6">
        <v>42.81</v>
      </c>
      <c r="F3" s="6">
        <v>41.97</v>
      </c>
      <c r="G3" s="6">
        <v>42.58</v>
      </c>
      <c r="H3" s="6">
        <v>43.54</v>
      </c>
      <c r="I3" s="6">
        <v>42.46</v>
      </c>
      <c r="J3" s="6">
        <v>41.81</v>
      </c>
      <c r="K3" s="6">
        <v>43.67</v>
      </c>
      <c r="L3" s="6">
        <v>42.95</v>
      </c>
      <c r="M3" s="6">
        <v>44.12</v>
      </c>
      <c r="N3" s="6">
        <v>43.04</v>
      </c>
      <c r="O3" s="6">
        <v>43.25</v>
      </c>
      <c r="P3" s="6">
        <v>42.11</v>
      </c>
      <c r="Q3" s="6">
        <v>43.94</v>
      </c>
      <c r="R3" s="6">
        <v>42.18</v>
      </c>
      <c r="S3" s="6">
        <v>42.46</v>
      </c>
      <c r="T3" s="6">
        <v>43.24</v>
      </c>
      <c r="U3" s="6">
        <v>43.61</v>
      </c>
      <c r="V3" s="6">
        <v>42.6</v>
      </c>
      <c r="W3" s="6">
        <v>43.62</v>
      </c>
      <c r="X3" s="6">
        <v>41.78</v>
      </c>
      <c r="Y3" s="6">
        <v>44.13</v>
      </c>
      <c r="Z3" s="6">
        <v>43.26</v>
      </c>
      <c r="AA3" s="6">
        <v>42.18</v>
      </c>
      <c r="AB3" s="6">
        <v>43.92</v>
      </c>
      <c r="AC3" s="6">
        <v>43.29</v>
      </c>
      <c r="AD3" s="6">
        <v>42.96</v>
      </c>
      <c r="AE3" s="6">
        <v>41.75</v>
      </c>
      <c r="AF3" s="6">
        <v>44</v>
      </c>
      <c r="AG3" s="6">
        <v>42.03</v>
      </c>
      <c r="AH3" s="6">
        <v>42.5</v>
      </c>
      <c r="AI3" s="6">
        <v>42.82</v>
      </c>
      <c r="AJ3" s="6">
        <v>43.55</v>
      </c>
      <c r="AK3" s="6">
        <v>43.01</v>
      </c>
      <c r="AL3" s="6">
        <v>45.12</v>
      </c>
      <c r="AM3" s="6">
        <v>41.27</v>
      </c>
      <c r="AN3" s="6">
        <v>43.61</v>
      </c>
      <c r="AO3" s="7">
        <v>42.53</v>
      </c>
      <c r="AP3" s="7">
        <v>42.84</v>
      </c>
      <c r="AQ3" s="7">
        <v>44.91</v>
      </c>
      <c r="AR3" s="7">
        <v>43.02</v>
      </c>
      <c r="AS3" s="7">
        <v>43.71</v>
      </c>
      <c r="AT3" s="7">
        <v>43.26</v>
      </c>
      <c r="AU3" s="7">
        <v>43.3</v>
      </c>
      <c r="AV3" s="7"/>
      <c r="AW3" s="7"/>
      <c r="AX3" s="7">
        <v>43.5</v>
      </c>
      <c r="AY3" s="7">
        <v>41.79</v>
      </c>
      <c r="AZ3" s="7">
        <v>43.79</v>
      </c>
      <c r="BA3" s="7">
        <v>45.72</v>
      </c>
      <c r="BB3" s="7">
        <v>42.52</v>
      </c>
      <c r="BC3" s="7">
        <v>42.75</v>
      </c>
      <c r="BD3" s="7">
        <v>43.03</v>
      </c>
      <c r="BE3" s="7">
        <v>42.48</v>
      </c>
      <c r="BF3" s="7">
        <v>44.43</v>
      </c>
      <c r="BG3" s="7">
        <v>41.91</v>
      </c>
      <c r="BH3" s="7">
        <v>42.26</v>
      </c>
      <c r="BI3" s="7">
        <v>44.3</v>
      </c>
      <c r="BJ3" s="7">
        <v>44.49</v>
      </c>
      <c r="BK3" s="7">
        <v>43.14</v>
      </c>
      <c r="BL3" s="7">
        <v>42.33</v>
      </c>
      <c r="BM3" s="7">
        <v>42.46</v>
      </c>
      <c r="BN3" s="10">
        <v>43.53</v>
      </c>
    </row>
    <row r="4" spans="1:66" ht="15.75" x14ac:dyDescent="0.25">
      <c r="A4" s="4">
        <v>3</v>
      </c>
      <c r="B4" s="14"/>
      <c r="C4" s="4">
        <v>3</v>
      </c>
      <c r="D4" s="6"/>
      <c r="E4" s="6">
        <v>42.7</v>
      </c>
      <c r="F4" s="6">
        <v>41.98</v>
      </c>
      <c r="G4" s="6">
        <v>42.58</v>
      </c>
      <c r="H4" s="6">
        <v>43.59</v>
      </c>
      <c r="I4" s="6">
        <v>42.31</v>
      </c>
      <c r="J4" s="6">
        <v>41.81</v>
      </c>
      <c r="K4" s="6">
        <v>43.62</v>
      </c>
      <c r="L4" s="6">
        <v>42.94</v>
      </c>
      <c r="M4" s="6">
        <v>44.19</v>
      </c>
      <c r="N4" s="6">
        <v>42.94</v>
      </c>
      <c r="O4" s="6">
        <v>43.14</v>
      </c>
      <c r="P4" s="6">
        <v>42.01</v>
      </c>
      <c r="Q4" s="6">
        <v>43.82</v>
      </c>
      <c r="R4" s="6">
        <v>42.16</v>
      </c>
      <c r="S4" s="6">
        <v>42.43</v>
      </c>
      <c r="T4" s="6">
        <v>42.97</v>
      </c>
      <c r="U4" s="6">
        <v>43.58</v>
      </c>
      <c r="V4" s="6">
        <v>42.64</v>
      </c>
      <c r="W4" s="6">
        <v>43.58</v>
      </c>
      <c r="X4" s="6">
        <v>42.74</v>
      </c>
      <c r="Y4" s="6">
        <v>44.07</v>
      </c>
      <c r="Z4" s="6">
        <v>43.18</v>
      </c>
      <c r="AA4" s="6">
        <v>42.06</v>
      </c>
      <c r="AB4" s="6">
        <v>43.75</v>
      </c>
      <c r="AC4" s="6">
        <v>43.18</v>
      </c>
      <c r="AD4" s="6">
        <v>43</v>
      </c>
      <c r="AE4" s="6">
        <v>41.67</v>
      </c>
      <c r="AF4" s="6">
        <v>43.95</v>
      </c>
      <c r="AG4" s="6">
        <v>41.97</v>
      </c>
      <c r="AH4" s="6">
        <v>42.48</v>
      </c>
      <c r="AI4" s="6">
        <v>42.7</v>
      </c>
      <c r="AJ4" s="6">
        <v>43.4</v>
      </c>
      <c r="AK4" s="6">
        <v>42.92</v>
      </c>
      <c r="AL4" s="6">
        <v>45.03</v>
      </c>
      <c r="AM4" s="6">
        <v>41.22</v>
      </c>
      <c r="AN4" s="6">
        <v>43.72</v>
      </c>
      <c r="AO4" s="7">
        <v>42.41</v>
      </c>
      <c r="AP4" s="7">
        <v>42.8</v>
      </c>
      <c r="AQ4" s="7">
        <v>44.89</v>
      </c>
      <c r="AR4" s="7">
        <v>42.92</v>
      </c>
      <c r="AS4" s="7">
        <v>43.64</v>
      </c>
      <c r="AT4" s="7">
        <v>43.12</v>
      </c>
      <c r="AU4" s="7">
        <v>43.2</v>
      </c>
      <c r="AV4" s="7"/>
      <c r="AW4" s="7"/>
      <c r="AX4" s="7">
        <v>43.33</v>
      </c>
      <c r="AY4" s="7">
        <v>41.74</v>
      </c>
      <c r="AZ4" s="7">
        <v>43.8</v>
      </c>
      <c r="BA4" s="7">
        <v>45.67</v>
      </c>
      <c r="BB4" s="7">
        <v>42.46</v>
      </c>
      <c r="BC4" s="7">
        <v>42.63</v>
      </c>
      <c r="BD4" s="7">
        <v>42.93</v>
      </c>
      <c r="BE4" s="7">
        <v>42.47</v>
      </c>
      <c r="BF4" s="7">
        <v>44.43</v>
      </c>
      <c r="BG4" s="7">
        <v>41.89</v>
      </c>
      <c r="BH4" s="7">
        <v>42.17</v>
      </c>
      <c r="BI4" s="7">
        <v>44.2</v>
      </c>
      <c r="BJ4" s="7">
        <v>44.44</v>
      </c>
      <c r="BK4" s="7">
        <v>43.02</v>
      </c>
      <c r="BL4" s="7">
        <v>42.25</v>
      </c>
      <c r="BM4" s="7">
        <v>42.48</v>
      </c>
      <c r="BN4" s="10">
        <v>43.58</v>
      </c>
    </row>
    <row r="5" spans="1:66" ht="15.75" x14ac:dyDescent="0.25">
      <c r="A5" s="4">
        <v>4</v>
      </c>
      <c r="B5" s="4"/>
      <c r="C5" s="4">
        <v>4</v>
      </c>
      <c r="D5" s="6"/>
      <c r="E5" s="6">
        <v>42.53</v>
      </c>
      <c r="F5" s="6">
        <v>42.04</v>
      </c>
      <c r="G5" s="6">
        <v>42.6</v>
      </c>
      <c r="H5" s="6">
        <v>43.63</v>
      </c>
      <c r="I5" s="6">
        <v>42.21</v>
      </c>
      <c r="J5" s="6">
        <v>41.78</v>
      </c>
      <c r="K5" s="6">
        <v>43.6</v>
      </c>
      <c r="L5" s="6">
        <v>42.95</v>
      </c>
      <c r="M5" s="6">
        <v>44.28</v>
      </c>
      <c r="N5" s="6">
        <v>42.82</v>
      </c>
      <c r="O5" s="6">
        <v>43.04</v>
      </c>
      <c r="P5" s="6">
        <v>41.96</v>
      </c>
      <c r="Q5" s="6">
        <v>43.66</v>
      </c>
      <c r="R5" s="6">
        <v>42.21</v>
      </c>
      <c r="S5" s="6">
        <v>42.33</v>
      </c>
      <c r="T5" s="6">
        <v>42.8</v>
      </c>
      <c r="U5" s="6">
        <v>43.54</v>
      </c>
      <c r="V5" s="6">
        <v>42.65</v>
      </c>
      <c r="W5" s="6">
        <v>43.51</v>
      </c>
      <c r="X5" s="6">
        <v>42.72</v>
      </c>
      <c r="Y5" s="6">
        <v>44.02</v>
      </c>
      <c r="Z5" s="6">
        <v>43.11</v>
      </c>
      <c r="AA5" s="6">
        <v>41.96</v>
      </c>
      <c r="AB5" s="6">
        <v>43.71</v>
      </c>
      <c r="AC5" s="6">
        <v>43.09</v>
      </c>
      <c r="AD5" s="6">
        <v>43.03</v>
      </c>
      <c r="AE5" s="6">
        <v>41.58</v>
      </c>
      <c r="AF5" s="6">
        <v>43.9</v>
      </c>
      <c r="AG5" s="6">
        <v>41.92</v>
      </c>
      <c r="AH5" s="6">
        <v>42.4</v>
      </c>
      <c r="AI5" s="6">
        <v>42.55</v>
      </c>
      <c r="AJ5" s="6">
        <v>43.24</v>
      </c>
      <c r="AK5" s="6">
        <v>42.81</v>
      </c>
      <c r="AL5" s="6">
        <v>44.95</v>
      </c>
      <c r="AM5" s="6">
        <v>41.18</v>
      </c>
      <c r="AN5" s="6">
        <v>43.94</v>
      </c>
      <c r="AO5" s="7">
        <v>42.31</v>
      </c>
      <c r="AP5" s="7">
        <v>42.74</v>
      </c>
      <c r="AQ5" s="7">
        <v>44.81</v>
      </c>
      <c r="AR5" s="7">
        <v>42.72</v>
      </c>
      <c r="AS5" s="7">
        <v>43.88</v>
      </c>
      <c r="AT5" s="7">
        <v>42.98</v>
      </c>
      <c r="AU5" s="7">
        <v>43.02</v>
      </c>
      <c r="AV5" s="7"/>
      <c r="AW5" s="7"/>
      <c r="AX5" s="7">
        <v>43.21</v>
      </c>
      <c r="AY5" s="7">
        <v>41.67</v>
      </c>
      <c r="AZ5" s="7">
        <v>43.76</v>
      </c>
      <c r="BA5" s="7">
        <v>45.57</v>
      </c>
      <c r="BB5" s="7">
        <v>42.37</v>
      </c>
      <c r="BC5" s="7">
        <v>42.5</v>
      </c>
      <c r="BD5" s="7">
        <v>42.81</v>
      </c>
      <c r="BE5" s="7">
        <v>42.46</v>
      </c>
      <c r="BF5" s="7">
        <v>44.45</v>
      </c>
      <c r="BG5" s="7">
        <v>41.95</v>
      </c>
      <c r="BH5" s="7">
        <v>42.08</v>
      </c>
      <c r="BI5" s="7">
        <v>44.1</v>
      </c>
      <c r="BJ5" s="7">
        <v>44.5</v>
      </c>
      <c r="BK5" s="7">
        <v>42.9</v>
      </c>
      <c r="BL5" s="7">
        <v>42.17</v>
      </c>
      <c r="BM5" s="7">
        <v>42.48</v>
      </c>
      <c r="BN5" s="10">
        <v>43.64</v>
      </c>
    </row>
    <row r="6" spans="1:66" ht="15.75" x14ac:dyDescent="0.25">
      <c r="A6" s="4">
        <v>5</v>
      </c>
      <c r="B6" s="4"/>
      <c r="C6" s="4">
        <v>5</v>
      </c>
      <c r="D6" s="6"/>
      <c r="E6" s="6">
        <v>42.39</v>
      </c>
      <c r="F6" s="6">
        <v>41.96</v>
      </c>
      <c r="G6" s="6">
        <v>42.6</v>
      </c>
      <c r="H6" s="6">
        <v>43.67</v>
      </c>
      <c r="I6" s="6">
        <v>42.08</v>
      </c>
      <c r="J6" s="6">
        <v>41.66</v>
      </c>
      <c r="K6" s="6">
        <v>43.57</v>
      </c>
      <c r="L6" s="6">
        <v>43</v>
      </c>
      <c r="M6" s="6">
        <v>44.34</v>
      </c>
      <c r="N6" s="6">
        <v>42.71</v>
      </c>
      <c r="O6" s="6">
        <v>42.94</v>
      </c>
      <c r="P6" s="6">
        <v>41.81</v>
      </c>
      <c r="Q6" s="6">
        <v>43.46</v>
      </c>
      <c r="R6" s="6">
        <v>42.22</v>
      </c>
      <c r="S6" s="6">
        <v>42.21</v>
      </c>
      <c r="T6" s="6">
        <v>42.6</v>
      </c>
      <c r="U6" s="6">
        <v>43.49</v>
      </c>
      <c r="V6" s="6">
        <v>42.65</v>
      </c>
      <c r="W6" s="6">
        <v>43.43</v>
      </c>
      <c r="X6" s="6">
        <v>42.74</v>
      </c>
      <c r="Y6" s="6">
        <v>43.94</v>
      </c>
      <c r="Z6" s="6">
        <v>43.02</v>
      </c>
      <c r="AA6" s="6">
        <v>41.86</v>
      </c>
      <c r="AB6" s="6">
        <v>43.48</v>
      </c>
      <c r="AC6" s="6">
        <v>43.02</v>
      </c>
      <c r="AD6" s="6">
        <v>43.12</v>
      </c>
      <c r="AE6" s="6">
        <v>41.52</v>
      </c>
      <c r="AF6" s="6">
        <v>43.85</v>
      </c>
      <c r="AG6" s="6">
        <v>41.83</v>
      </c>
      <c r="AH6" s="6">
        <v>42.33</v>
      </c>
      <c r="AI6" s="6">
        <v>42.42</v>
      </c>
      <c r="AJ6" s="6">
        <v>43.08</v>
      </c>
      <c r="AK6" s="6">
        <v>42.71</v>
      </c>
      <c r="AL6" s="6">
        <v>44.86</v>
      </c>
      <c r="AM6" s="6">
        <v>41.14</v>
      </c>
      <c r="AN6" s="6">
        <v>44.17</v>
      </c>
      <c r="AO6" s="7">
        <v>42.21</v>
      </c>
      <c r="AP6" s="7">
        <v>42.71</v>
      </c>
      <c r="AQ6" s="7">
        <v>44.69</v>
      </c>
      <c r="AR6" s="7">
        <v>42.5</v>
      </c>
      <c r="AS6" s="7">
        <v>43.51</v>
      </c>
      <c r="AT6" s="7">
        <v>42.84</v>
      </c>
      <c r="AU6" s="7">
        <v>42.86</v>
      </c>
      <c r="AV6" s="7"/>
      <c r="AW6" s="7"/>
      <c r="AX6" s="7">
        <v>43.12</v>
      </c>
      <c r="AY6" s="7">
        <v>41.59</v>
      </c>
      <c r="AZ6" s="7">
        <v>43.7</v>
      </c>
      <c r="BA6" s="7">
        <v>45.44</v>
      </c>
      <c r="BB6" s="7">
        <v>42.28</v>
      </c>
      <c r="BC6" s="7">
        <v>42.4</v>
      </c>
      <c r="BD6" s="7">
        <v>42.7</v>
      </c>
      <c r="BE6" s="7">
        <v>42.44</v>
      </c>
      <c r="BF6" s="7">
        <v>44.45</v>
      </c>
      <c r="BG6" s="7">
        <v>42.07</v>
      </c>
      <c r="BH6" s="7">
        <v>42</v>
      </c>
      <c r="BI6" s="7">
        <v>44</v>
      </c>
      <c r="BJ6" s="7">
        <v>44.46</v>
      </c>
      <c r="BK6" s="7">
        <v>42.79</v>
      </c>
      <c r="BL6" s="7">
        <v>42.13</v>
      </c>
      <c r="BM6" s="7">
        <v>42.46</v>
      </c>
      <c r="BN6" s="10">
        <v>43.7</v>
      </c>
    </row>
    <row r="7" spans="1:66" ht="15.75" x14ac:dyDescent="0.25">
      <c r="A7" s="4">
        <v>6</v>
      </c>
      <c r="B7" s="4"/>
      <c r="C7" s="4">
        <v>6</v>
      </c>
      <c r="D7" s="6"/>
      <c r="E7" s="6">
        <v>42.27</v>
      </c>
      <c r="F7" s="6">
        <v>41.93</v>
      </c>
      <c r="G7" s="6">
        <v>42.59</v>
      </c>
      <c r="H7" s="6">
        <v>43.71</v>
      </c>
      <c r="I7" s="6">
        <v>41.96</v>
      </c>
      <c r="J7" s="6">
        <v>41.7</v>
      </c>
      <c r="K7" s="6">
        <v>43.54</v>
      </c>
      <c r="L7" s="6">
        <v>43.01</v>
      </c>
      <c r="M7" s="6">
        <v>44.35</v>
      </c>
      <c r="N7" s="6">
        <v>42.61</v>
      </c>
      <c r="O7" s="6">
        <v>42.83</v>
      </c>
      <c r="P7" s="6">
        <v>41.75</v>
      </c>
      <c r="Q7" s="6">
        <v>43.4</v>
      </c>
      <c r="R7" s="6">
        <v>42.28</v>
      </c>
      <c r="S7" s="6">
        <v>42.06</v>
      </c>
      <c r="T7" s="6">
        <v>42.45</v>
      </c>
      <c r="U7" s="6">
        <v>43.45</v>
      </c>
      <c r="V7" s="6">
        <v>42.59</v>
      </c>
      <c r="W7" s="6">
        <v>43.31</v>
      </c>
      <c r="X7" s="6">
        <v>42.74</v>
      </c>
      <c r="Y7" s="6">
        <v>43.85</v>
      </c>
      <c r="Z7" s="6">
        <v>42.94</v>
      </c>
      <c r="AA7" s="6">
        <v>41.78</v>
      </c>
      <c r="AB7" s="6">
        <v>43.35</v>
      </c>
      <c r="AC7" s="6">
        <v>42.98</v>
      </c>
      <c r="AD7" s="6">
        <v>43.22</v>
      </c>
      <c r="AE7" s="6">
        <v>41.44</v>
      </c>
      <c r="AF7" s="6">
        <v>43.78</v>
      </c>
      <c r="AG7" s="6">
        <v>41.76</v>
      </c>
      <c r="AH7" s="6">
        <v>42.27</v>
      </c>
      <c r="AI7" s="6">
        <v>42.3</v>
      </c>
      <c r="AJ7" s="6">
        <v>42.95</v>
      </c>
      <c r="AK7" s="6">
        <v>42.65</v>
      </c>
      <c r="AL7" s="6">
        <v>44.76</v>
      </c>
      <c r="AM7" s="6">
        <v>41.1</v>
      </c>
      <c r="AN7" s="6">
        <v>44.24</v>
      </c>
      <c r="AO7" s="7">
        <v>42.09</v>
      </c>
      <c r="AP7" s="7">
        <v>42.69</v>
      </c>
      <c r="AQ7" s="7">
        <v>44.54</v>
      </c>
      <c r="AR7" s="7">
        <v>42.48</v>
      </c>
      <c r="AS7" s="7">
        <v>43.44</v>
      </c>
      <c r="AT7" s="7">
        <v>42.72</v>
      </c>
      <c r="AU7" s="7">
        <v>42.72</v>
      </c>
      <c r="AV7" s="7"/>
      <c r="AW7" s="7"/>
      <c r="AX7" s="7">
        <v>43.04</v>
      </c>
      <c r="AY7" s="7">
        <v>41.52</v>
      </c>
      <c r="AZ7" s="7">
        <v>43.59</v>
      </c>
      <c r="BA7" s="7">
        <v>45.3</v>
      </c>
      <c r="BB7" s="7">
        <v>42.19</v>
      </c>
      <c r="BC7" s="7">
        <v>42.33</v>
      </c>
      <c r="BD7" s="7">
        <v>42.56</v>
      </c>
      <c r="BE7" s="7">
        <v>42.42</v>
      </c>
      <c r="BF7" s="7">
        <v>44.45</v>
      </c>
      <c r="BG7" s="7">
        <v>42.15</v>
      </c>
      <c r="BH7" s="7">
        <v>41.9</v>
      </c>
      <c r="BI7" s="7">
        <v>43.9</v>
      </c>
      <c r="BJ7" s="7">
        <v>44.41</v>
      </c>
      <c r="BK7" s="7">
        <v>42.66</v>
      </c>
      <c r="BL7" s="7">
        <v>42.11</v>
      </c>
      <c r="BM7" s="7">
        <v>42.43</v>
      </c>
      <c r="BN7" s="10">
        <v>43.73</v>
      </c>
    </row>
    <row r="8" spans="1:66" ht="15.75" x14ac:dyDescent="0.25">
      <c r="A8" s="4">
        <v>7</v>
      </c>
      <c r="B8" s="4"/>
      <c r="C8" s="4">
        <v>7</v>
      </c>
      <c r="D8" s="6"/>
      <c r="E8" s="6">
        <v>42.13</v>
      </c>
      <c r="F8" s="6">
        <v>41.88</v>
      </c>
      <c r="G8" s="6">
        <v>42.59</v>
      </c>
      <c r="H8" s="6">
        <v>43.71</v>
      </c>
      <c r="I8" s="6">
        <v>41.81</v>
      </c>
      <c r="J8" s="6">
        <v>41.69</v>
      </c>
      <c r="K8" s="6">
        <v>43.49</v>
      </c>
      <c r="L8" s="6">
        <v>43.04</v>
      </c>
      <c r="M8" s="6">
        <v>44.35</v>
      </c>
      <c r="N8" s="6">
        <v>42.5</v>
      </c>
      <c r="O8" s="6">
        <v>42.75</v>
      </c>
      <c r="P8" s="6">
        <v>41.7</v>
      </c>
      <c r="Q8" s="6">
        <v>43.27</v>
      </c>
      <c r="R8" s="6">
        <v>42.32</v>
      </c>
      <c r="S8" s="6">
        <v>41.92</v>
      </c>
      <c r="T8" s="6">
        <v>42.28</v>
      </c>
      <c r="U8" s="6">
        <v>43.38</v>
      </c>
      <c r="V8" s="6">
        <v>42.5</v>
      </c>
      <c r="W8" s="6">
        <v>43.17</v>
      </c>
      <c r="X8" s="6">
        <v>42.72</v>
      </c>
      <c r="Y8" s="6">
        <v>43.79</v>
      </c>
      <c r="Z8" s="6">
        <v>42.86</v>
      </c>
      <c r="AA8" s="6">
        <v>41.7</v>
      </c>
      <c r="AB8" s="6">
        <v>43.21</v>
      </c>
      <c r="AC8" s="6">
        <v>42.94</v>
      </c>
      <c r="AD8" s="6">
        <v>43.28</v>
      </c>
      <c r="AE8" s="6">
        <v>41.39</v>
      </c>
      <c r="AF8" s="6">
        <v>43.72</v>
      </c>
      <c r="AG8" s="6">
        <v>41.71</v>
      </c>
      <c r="AH8" s="6">
        <v>42.24</v>
      </c>
      <c r="AI8" s="6">
        <v>42.19</v>
      </c>
      <c r="AJ8" s="6">
        <v>42.77</v>
      </c>
      <c r="AK8" s="6">
        <v>42.62</v>
      </c>
      <c r="AL8" s="6">
        <v>44.66</v>
      </c>
      <c r="AM8" s="6">
        <v>41.05</v>
      </c>
      <c r="AN8" s="6">
        <v>44.27</v>
      </c>
      <c r="AO8" s="7">
        <v>41.89</v>
      </c>
      <c r="AP8" s="7">
        <v>42.67</v>
      </c>
      <c r="AQ8" s="7">
        <v>44.39</v>
      </c>
      <c r="AR8" s="7">
        <v>42.36</v>
      </c>
      <c r="AS8" s="7">
        <v>43.35</v>
      </c>
      <c r="AT8" s="7">
        <v>42.6</v>
      </c>
      <c r="AU8" s="7">
        <v>42.58</v>
      </c>
      <c r="AV8" s="7"/>
      <c r="AW8" s="7"/>
      <c r="AX8" s="7">
        <v>43.02</v>
      </c>
      <c r="AY8" s="7">
        <v>41.43</v>
      </c>
      <c r="AZ8" s="7">
        <v>43.46</v>
      </c>
      <c r="BA8" s="7">
        <v>45.13</v>
      </c>
      <c r="BB8" s="7">
        <v>42.13</v>
      </c>
      <c r="BC8" s="7">
        <v>42.29</v>
      </c>
      <c r="BD8" s="7">
        <v>42.45</v>
      </c>
      <c r="BE8" s="7">
        <v>42.4</v>
      </c>
      <c r="BF8" s="7">
        <v>44.43</v>
      </c>
      <c r="BG8" s="7">
        <v>42.21</v>
      </c>
      <c r="BH8" s="7">
        <v>41.81</v>
      </c>
      <c r="BI8" s="7">
        <v>43.86</v>
      </c>
      <c r="BJ8" s="7">
        <v>44.46</v>
      </c>
      <c r="BK8" s="7">
        <v>42.54</v>
      </c>
      <c r="BL8" s="7">
        <v>42.1</v>
      </c>
      <c r="BM8" s="7">
        <v>42.39</v>
      </c>
      <c r="BN8" s="10">
        <v>43.75</v>
      </c>
    </row>
    <row r="9" spans="1:66" ht="15.75" x14ac:dyDescent="0.25">
      <c r="A9" s="4">
        <v>8</v>
      </c>
      <c r="B9" s="4"/>
      <c r="C9" s="4">
        <v>8</v>
      </c>
      <c r="D9" s="6"/>
      <c r="E9" s="6">
        <v>42.01</v>
      </c>
      <c r="F9" s="6">
        <v>41.8</v>
      </c>
      <c r="G9" s="6">
        <v>42.59</v>
      </c>
      <c r="H9" s="6">
        <v>43.66</v>
      </c>
      <c r="I9" s="6">
        <v>41.68</v>
      </c>
      <c r="J9" s="6">
        <v>41.66</v>
      </c>
      <c r="K9" s="6">
        <v>43.44</v>
      </c>
      <c r="L9" s="6">
        <v>43</v>
      </c>
      <c r="M9" s="6">
        <v>44.32</v>
      </c>
      <c r="N9" s="6">
        <v>42.4</v>
      </c>
      <c r="O9" s="6">
        <v>42.68</v>
      </c>
      <c r="P9" s="6">
        <v>41.66</v>
      </c>
      <c r="Q9" s="6">
        <v>43.16</v>
      </c>
      <c r="R9" s="6">
        <v>42.32</v>
      </c>
      <c r="S9" s="6">
        <v>41.82</v>
      </c>
      <c r="T9" s="6">
        <v>42.15</v>
      </c>
      <c r="U9" s="6">
        <v>43.3</v>
      </c>
      <c r="V9" s="6">
        <v>42.41</v>
      </c>
      <c r="W9" s="6">
        <v>43.01</v>
      </c>
      <c r="X9" s="6">
        <v>42.72</v>
      </c>
      <c r="Y9" s="6">
        <v>43.7</v>
      </c>
      <c r="Z9" s="6">
        <v>42.75</v>
      </c>
      <c r="AA9" s="6">
        <v>41.64</v>
      </c>
      <c r="AB9" s="6">
        <v>43.11</v>
      </c>
      <c r="AC9" s="6">
        <v>42.86</v>
      </c>
      <c r="AD9" s="6">
        <v>43.32</v>
      </c>
      <c r="AE9" s="6">
        <v>41.34</v>
      </c>
      <c r="AF9" s="6">
        <v>43.67</v>
      </c>
      <c r="AG9" s="6">
        <v>41.64</v>
      </c>
      <c r="AH9" s="6">
        <v>42.23</v>
      </c>
      <c r="AI9" s="6">
        <v>42.09</v>
      </c>
      <c r="AJ9" s="6">
        <v>42.62</v>
      </c>
      <c r="AK9" s="6">
        <v>42.57</v>
      </c>
      <c r="AL9" s="6">
        <v>44.52</v>
      </c>
      <c r="AM9" s="6">
        <v>41.01</v>
      </c>
      <c r="AN9" s="6">
        <v>44.22</v>
      </c>
      <c r="AO9" s="7">
        <v>41.81</v>
      </c>
      <c r="AP9" s="7">
        <v>42.63</v>
      </c>
      <c r="AQ9" s="7">
        <v>44.2</v>
      </c>
      <c r="AR9" s="7">
        <v>42.24</v>
      </c>
      <c r="AS9" s="7">
        <v>43.26</v>
      </c>
      <c r="AT9" s="7">
        <v>42.51</v>
      </c>
      <c r="AU9" s="7">
        <v>42.48</v>
      </c>
      <c r="AV9" s="7"/>
      <c r="AW9" s="7"/>
      <c r="AX9" s="7">
        <v>43.04</v>
      </c>
      <c r="AY9" s="7">
        <v>41.35</v>
      </c>
      <c r="AZ9" s="7">
        <v>43.33</v>
      </c>
      <c r="BA9" s="7">
        <v>44.97</v>
      </c>
      <c r="BB9" s="7">
        <v>42.06</v>
      </c>
      <c r="BC9" s="7">
        <v>42.28</v>
      </c>
      <c r="BD9" s="7">
        <v>42.34</v>
      </c>
      <c r="BE9" s="7">
        <v>42.35</v>
      </c>
      <c r="BF9" s="7">
        <v>44.42</v>
      </c>
      <c r="BG9" s="7">
        <v>42.24</v>
      </c>
      <c r="BH9" s="7">
        <v>41.72</v>
      </c>
      <c r="BI9" s="7">
        <v>43.58</v>
      </c>
      <c r="BJ9" s="7">
        <v>44.52</v>
      </c>
      <c r="BK9" s="7">
        <v>42.42</v>
      </c>
      <c r="BL9" s="7">
        <v>42.1</v>
      </c>
      <c r="BM9" s="7">
        <v>42.34</v>
      </c>
      <c r="BN9" s="10">
        <v>43.73</v>
      </c>
    </row>
    <row r="10" spans="1:66" ht="15.75" x14ac:dyDescent="0.25">
      <c r="A10" s="4">
        <v>9</v>
      </c>
      <c r="B10" s="4"/>
      <c r="C10" s="4">
        <v>9</v>
      </c>
      <c r="D10" s="6"/>
      <c r="E10" s="6">
        <v>41.9</v>
      </c>
      <c r="F10" s="6">
        <v>41.75</v>
      </c>
      <c r="G10" s="6">
        <v>42.58</v>
      </c>
      <c r="H10" s="6">
        <v>43.56</v>
      </c>
      <c r="I10" s="6">
        <v>41.56</v>
      </c>
      <c r="J10" s="6">
        <v>41.67</v>
      </c>
      <c r="K10" s="6">
        <v>43.38</v>
      </c>
      <c r="L10" s="6">
        <v>42.98</v>
      </c>
      <c r="M10" s="6">
        <v>44.31</v>
      </c>
      <c r="N10" s="6">
        <v>42.3</v>
      </c>
      <c r="O10" s="6">
        <v>42.64</v>
      </c>
      <c r="P10" s="6">
        <v>41.64</v>
      </c>
      <c r="Q10" s="6">
        <v>43.1</v>
      </c>
      <c r="R10" s="6">
        <v>42.32</v>
      </c>
      <c r="S10" s="6">
        <v>41.74</v>
      </c>
      <c r="T10" s="6">
        <v>42.03</v>
      </c>
      <c r="U10" s="6">
        <v>43.19</v>
      </c>
      <c r="V10" s="6">
        <v>42.31</v>
      </c>
      <c r="W10" s="6">
        <v>42.87</v>
      </c>
      <c r="X10" s="6">
        <v>42.68</v>
      </c>
      <c r="Y10" s="6">
        <v>43.61</v>
      </c>
      <c r="Z10" s="6">
        <v>42.62</v>
      </c>
      <c r="AA10" s="6">
        <v>41.58</v>
      </c>
      <c r="AB10" s="6">
        <v>43.01</v>
      </c>
      <c r="AC10" s="6">
        <v>42.76</v>
      </c>
      <c r="AD10" s="6">
        <v>43.34</v>
      </c>
      <c r="AE10" s="6">
        <v>41.3</v>
      </c>
      <c r="AF10" s="6">
        <v>43.59</v>
      </c>
      <c r="AG10" s="6">
        <v>41.61</v>
      </c>
      <c r="AH10" s="6">
        <v>42.23</v>
      </c>
      <c r="AI10" s="6">
        <v>42.06</v>
      </c>
      <c r="AJ10" s="6">
        <v>42.45</v>
      </c>
      <c r="AK10" s="6">
        <v>42.51</v>
      </c>
      <c r="AL10" s="6">
        <v>44.4</v>
      </c>
      <c r="AM10" s="6">
        <v>40.909999999999997</v>
      </c>
      <c r="AN10" s="6">
        <v>44.16</v>
      </c>
      <c r="AO10" s="7">
        <v>41.82</v>
      </c>
      <c r="AP10" s="7">
        <v>42.58</v>
      </c>
      <c r="AQ10" s="7">
        <v>43.83</v>
      </c>
      <c r="AR10" s="7">
        <v>42.12</v>
      </c>
      <c r="AS10" s="7">
        <v>43.19</v>
      </c>
      <c r="AT10" s="7">
        <v>42.42</v>
      </c>
      <c r="AU10" s="7">
        <v>42.42</v>
      </c>
      <c r="AV10" s="7"/>
      <c r="AW10" s="7"/>
      <c r="AX10" s="7">
        <v>43.08</v>
      </c>
      <c r="AY10" s="7">
        <v>41.23</v>
      </c>
      <c r="AZ10" s="7">
        <v>43.25</v>
      </c>
      <c r="BA10" s="7">
        <v>44.81</v>
      </c>
      <c r="BB10" s="7">
        <v>42.01</v>
      </c>
      <c r="BC10" s="7">
        <v>42.28</v>
      </c>
      <c r="BD10" s="7">
        <v>42.23</v>
      </c>
      <c r="BE10" s="7">
        <v>42.3</v>
      </c>
      <c r="BF10" s="7">
        <v>44.4</v>
      </c>
      <c r="BG10" s="7">
        <v>42.23</v>
      </c>
      <c r="BH10" s="7">
        <v>41.65</v>
      </c>
      <c r="BI10" s="7">
        <v>43.48</v>
      </c>
      <c r="BJ10" s="7">
        <v>44.6</v>
      </c>
      <c r="BK10" s="7">
        <v>42.3</v>
      </c>
      <c r="BL10" s="7">
        <v>42.14</v>
      </c>
      <c r="BM10" s="7">
        <v>42.27</v>
      </c>
      <c r="BN10" s="10">
        <v>43.7</v>
      </c>
    </row>
    <row r="11" spans="1:66" ht="15.75" x14ac:dyDescent="0.25">
      <c r="A11" s="4">
        <v>10</v>
      </c>
      <c r="B11" s="4"/>
      <c r="C11" s="4">
        <v>10</v>
      </c>
      <c r="D11" s="6"/>
      <c r="E11" s="6">
        <v>41.75</v>
      </c>
      <c r="F11" s="6">
        <v>41.67</v>
      </c>
      <c r="G11" s="6">
        <v>42.58</v>
      </c>
      <c r="H11" s="6">
        <v>43.46</v>
      </c>
      <c r="I11" s="6">
        <v>41.46</v>
      </c>
      <c r="J11" s="6">
        <v>41.69</v>
      </c>
      <c r="K11" s="6">
        <v>43.41</v>
      </c>
      <c r="L11" s="6">
        <v>42.91</v>
      </c>
      <c r="M11" s="6">
        <v>44.33</v>
      </c>
      <c r="N11" s="6">
        <v>42.2</v>
      </c>
      <c r="O11" s="6">
        <v>42.53</v>
      </c>
      <c r="P11" s="6">
        <v>41.65</v>
      </c>
      <c r="Q11" s="6">
        <v>43.04</v>
      </c>
      <c r="R11" s="6">
        <v>42.25</v>
      </c>
      <c r="S11" s="6">
        <v>41.64</v>
      </c>
      <c r="T11" s="6">
        <v>41.92</v>
      </c>
      <c r="U11" s="6">
        <v>43.08</v>
      </c>
      <c r="V11" s="6">
        <v>42.06</v>
      </c>
      <c r="W11" s="6">
        <v>42.72</v>
      </c>
      <c r="X11" s="6">
        <v>42.62</v>
      </c>
      <c r="Y11" s="6">
        <v>43.55</v>
      </c>
      <c r="Z11" s="6">
        <v>42.56</v>
      </c>
      <c r="AA11" s="6">
        <v>41.52</v>
      </c>
      <c r="AB11" s="6">
        <v>42.92</v>
      </c>
      <c r="AC11" s="6">
        <v>42.65</v>
      </c>
      <c r="AD11" s="6">
        <v>43.3</v>
      </c>
      <c r="AE11" s="6">
        <v>41.25</v>
      </c>
      <c r="AF11" s="6">
        <v>43.5</v>
      </c>
      <c r="AG11" s="6">
        <v>41.56</v>
      </c>
      <c r="AH11" s="6">
        <v>42.25</v>
      </c>
      <c r="AI11" s="6">
        <v>41.97</v>
      </c>
      <c r="AJ11" s="6">
        <v>42.32</v>
      </c>
      <c r="AK11" s="6">
        <v>42.41</v>
      </c>
      <c r="AL11" s="6">
        <v>44.24</v>
      </c>
      <c r="AM11" s="6">
        <v>40.81</v>
      </c>
      <c r="AN11" s="6">
        <v>44.06</v>
      </c>
      <c r="AO11" s="7">
        <v>41.76</v>
      </c>
      <c r="AP11" s="7">
        <v>42.54</v>
      </c>
      <c r="AQ11" s="7">
        <v>43.82</v>
      </c>
      <c r="AR11" s="7">
        <v>42.01</v>
      </c>
      <c r="AS11" s="7">
        <v>43.12</v>
      </c>
      <c r="AT11" s="7">
        <v>42.36</v>
      </c>
      <c r="AU11" s="7">
        <v>42.37</v>
      </c>
      <c r="AV11" s="7"/>
      <c r="AW11" s="7"/>
      <c r="AX11" s="7">
        <v>43.12</v>
      </c>
      <c r="AY11" s="7">
        <v>41.19</v>
      </c>
      <c r="AZ11" s="7">
        <v>43.26</v>
      </c>
      <c r="BA11" s="7">
        <v>44.68</v>
      </c>
      <c r="BB11" s="7">
        <v>41.96</v>
      </c>
      <c r="BC11" s="7">
        <v>42.24</v>
      </c>
      <c r="BD11" s="7">
        <v>42.13</v>
      </c>
      <c r="BE11" s="7">
        <v>42.2</v>
      </c>
      <c r="BF11" s="7">
        <v>44.4</v>
      </c>
      <c r="BG11" s="7">
        <v>42.22</v>
      </c>
      <c r="BH11" s="7">
        <v>41.58</v>
      </c>
      <c r="BI11" s="7">
        <v>43.34</v>
      </c>
      <c r="BJ11" s="7">
        <v>44.5</v>
      </c>
      <c r="BK11" s="7">
        <v>42.18</v>
      </c>
      <c r="BL11" s="7">
        <v>42.25</v>
      </c>
      <c r="BM11" s="7">
        <v>42.2</v>
      </c>
      <c r="BN11" s="10">
        <v>43.63</v>
      </c>
    </row>
    <row r="12" spans="1:66" ht="15.75" x14ac:dyDescent="0.25">
      <c r="A12" s="4">
        <v>11</v>
      </c>
      <c r="B12" s="4"/>
      <c r="C12" s="4">
        <v>11</v>
      </c>
      <c r="D12" s="6"/>
      <c r="E12" s="6">
        <v>41.62</v>
      </c>
      <c r="F12" s="6">
        <v>41.59</v>
      </c>
      <c r="G12" s="6">
        <v>42.66</v>
      </c>
      <c r="H12" s="6">
        <v>43.31</v>
      </c>
      <c r="I12" s="6">
        <v>41.41</v>
      </c>
      <c r="J12" s="6">
        <v>41.71</v>
      </c>
      <c r="K12" s="6">
        <v>43.37</v>
      </c>
      <c r="L12" s="6">
        <v>42.85</v>
      </c>
      <c r="M12" s="6">
        <v>44.35</v>
      </c>
      <c r="N12" s="6">
        <v>42.14</v>
      </c>
      <c r="O12" s="6">
        <v>42.46</v>
      </c>
      <c r="P12" s="6">
        <v>41.73</v>
      </c>
      <c r="Q12" s="6">
        <v>42.88</v>
      </c>
      <c r="R12" s="6">
        <v>42.18</v>
      </c>
      <c r="S12" s="6">
        <v>41.54</v>
      </c>
      <c r="T12" s="6">
        <v>41.81</v>
      </c>
      <c r="U12" s="6">
        <v>42.96</v>
      </c>
      <c r="V12" s="6">
        <v>41.96</v>
      </c>
      <c r="W12" s="6">
        <v>42.59</v>
      </c>
      <c r="X12" s="6">
        <v>42.6</v>
      </c>
      <c r="Y12" s="6">
        <v>43.49</v>
      </c>
      <c r="Z12" s="6">
        <v>42.46</v>
      </c>
      <c r="AA12" s="6">
        <v>41.48</v>
      </c>
      <c r="AB12" s="6">
        <v>42.85</v>
      </c>
      <c r="AC12" s="6">
        <v>42.62</v>
      </c>
      <c r="AD12" s="6">
        <v>43.28</v>
      </c>
      <c r="AE12" s="6">
        <v>41.19</v>
      </c>
      <c r="AF12" s="6">
        <v>43.4</v>
      </c>
      <c r="AG12" s="6">
        <v>41.5</v>
      </c>
      <c r="AH12" s="6">
        <v>42.26</v>
      </c>
      <c r="AI12" s="6">
        <v>41.91</v>
      </c>
      <c r="AJ12" s="6">
        <v>42.17</v>
      </c>
      <c r="AK12" s="6">
        <v>42.33</v>
      </c>
      <c r="AL12" s="6">
        <v>44.12</v>
      </c>
      <c r="AM12" s="6">
        <v>40.85</v>
      </c>
      <c r="AN12" s="6">
        <v>43.97</v>
      </c>
      <c r="AO12" s="7">
        <v>41.65</v>
      </c>
      <c r="AP12" s="7">
        <v>42.5</v>
      </c>
      <c r="AQ12" s="7">
        <v>43.62</v>
      </c>
      <c r="AR12" s="7">
        <v>41.9</v>
      </c>
      <c r="AS12" s="7">
        <v>43.08</v>
      </c>
      <c r="AT12" s="7">
        <v>42.34</v>
      </c>
      <c r="AU12" s="7">
        <v>42.36</v>
      </c>
      <c r="AV12" s="7"/>
      <c r="AW12" s="7"/>
      <c r="AX12" s="7">
        <v>43.18</v>
      </c>
      <c r="AY12" s="7">
        <v>41.12</v>
      </c>
      <c r="AZ12" s="7">
        <v>43.32</v>
      </c>
      <c r="BA12" s="7">
        <v>44.55</v>
      </c>
      <c r="BB12" s="7">
        <v>41.9</v>
      </c>
      <c r="BC12" s="7">
        <v>42.2</v>
      </c>
      <c r="BD12" s="7">
        <v>42.05</v>
      </c>
      <c r="BE12" s="7">
        <v>42.13</v>
      </c>
      <c r="BF12" s="7">
        <v>44.36</v>
      </c>
      <c r="BG12" s="7">
        <v>42.19</v>
      </c>
      <c r="BH12" s="7">
        <v>41.54</v>
      </c>
      <c r="BI12" s="7">
        <v>43.34</v>
      </c>
      <c r="BJ12" s="7">
        <v>44.43</v>
      </c>
      <c r="BK12" s="7">
        <v>42.06</v>
      </c>
      <c r="BL12" s="7">
        <v>42.37</v>
      </c>
      <c r="BM12" s="7">
        <v>42.1</v>
      </c>
      <c r="BN12" s="10">
        <v>43.57</v>
      </c>
    </row>
    <row r="13" spans="1:66" ht="15.75" x14ac:dyDescent="0.25">
      <c r="A13" s="4">
        <v>12</v>
      </c>
      <c r="B13" s="4"/>
      <c r="C13" s="4">
        <v>12</v>
      </c>
      <c r="D13" s="6"/>
      <c r="E13" s="6">
        <v>41.57</v>
      </c>
      <c r="F13" s="6">
        <v>41.54</v>
      </c>
      <c r="G13" s="6">
        <v>42.68</v>
      </c>
      <c r="H13" s="6">
        <v>43.21</v>
      </c>
      <c r="I13" s="6">
        <v>41.36</v>
      </c>
      <c r="J13" s="6">
        <v>41.75</v>
      </c>
      <c r="K13" s="6">
        <v>43.39</v>
      </c>
      <c r="L13" s="6">
        <v>42.78</v>
      </c>
      <c r="M13" s="6">
        <v>44.38</v>
      </c>
      <c r="N13" s="6">
        <v>42.04</v>
      </c>
      <c r="O13" s="6">
        <v>42.4</v>
      </c>
      <c r="P13" s="6">
        <v>41.77</v>
      </c>
      <c r="Q13" s="6">
        <v>42.71</v>
      </c>
      <c r="R13" s="6">
        <v>42.06</v>
      </c>
      <c r="S13" s="6">
        <v>41.45</v>
      </c>
      <c r="T13" s="6">
        <v>41.71</v>
      </c>
      <c r="U13" s="6">
        <v>42.81</v>
      </c>
      <c r="V13" s="6">
        <v>41.96</v>
      </c>
      <c r="W13" s="6">
        <v>42.48</v>
      </c>
      <c r="X13" s="6">
        <v>42.52</v>
      </c>
      <c r="Y13" s="6">
        <v>43.44</v>
      </c>
      <c r="Z13" s="6">
        <v>42.32</v>
      </c>
      <c r="AA13" s="6">
        <v>41.42</v>
      </c>
      <c r="AB13" s="6">
        <v>42.8</v>
      </c>
      <c r="AC13" s="6">
        <v>42.37</v>
      </c>
      <c r="AD13" s="6">
        <v>43.25</v>
      </c>
      <c r="AE13" s="6">
        <v>41.16</v>
      </c>
      <c r="AF13" s="6">
        <v>43.27</v>
      </c>
      <c r="AG13" s="6">
        <v>41.46</v>
      </c>
      <c r="AH13" s="6">
        <v>42.29</v>
      </c>
      <c r="AI13" s="6">
        <v>41.86</v>
      </c>
      <c r="AJ13" s="6">
        <v>42.04</v>
      </c>
      <c r="AK13" s="6">
        <v>42.26</v>
      </c>
      <c r="AL13" s="6">
        <v>43.96</v>
      </c>
      <c r="AM13" s="6">
        <v>40.82</v>
      </c>
      <c r="AN13" s="6">
        <v>43.84</v>
      </c>
      <c r="AO13" s="7">
        <v>41.56</v>
      </c>
      <c r="AP13" s="7">
        <v>42.47</v>
      </c>
      <c r="AQ13" s="7">
        <v>43.44</v>
      </c>
      <c r="AR13" s="7">
        <v>41.79</v>
      </c>
      <c r="AS13" s="7">
        <v>43.02</v>
      </c>
      <c r="AT13" s="7">
        <v>42.32</v>
      </c>
      <c r="AU13" s="7">
        <v>42.41</v>
      </c>
      <c r="AV13" s="7"/>
      <c r="AW13" s="7"/>
      <c r="AX13" s="7">
        <v>43.22</v>
      </c>
      <c r="AY13" s="7">
        <v>41.06</v>
      </c>
      <c r="AZ13" s="7">
        <v>43.37</v>
      </c>
      <c r="BA13" s="7">
        <v>44.44</v>
      </c>
      <c r="BB13" s="7">
        <v>41.87</v>
      </c>
      <c r="BC13" s="7">
        <v>42.16</v>
      </c>
      <c r="BD13" s="7">
        <v>41.98</v>
      </c>
      <c r="BE13" s="7">
        <v>42.04</v>
      </c>
      <c r="BF13" s="7">
        <v>44.3</v>
      </c>
      <c r="BG13" s="7">
        <v>42.13</v>
      </c>
      <c r="BH13" s="7">
        <v>41.5</v>
      </c>
      <c r="BI13" s="7">
        <v>43.23</v>
      </c>
      <c r="BJ13" s="7">
        <v>44.44</v>
      </c>
      <c r="BK13" s="7">
        <v>41.96</v>
      </c>
      <c r="BL13" s="7">
        <v>42.45</v>
      </c>
      <c r="BM13" s="7">
        <v>42.06</v>
      </c>
      <c r="BN13" s="10">
        <v>43.5</v>
      </c>
    </row>
    <row r="14" spans="1:66" ht="15.75" x14ac:dyDescent="0.25">
      <c r="A14" s="4">
        <v>13</v>
      </c>
      <c r="B14" s="4"/>
      <c r="C14" s="4">
        <v>13</v>
      </c>
      <c r="D14" s="6"/>
      <c r="E14" s="6">
        <v>41.5</v>
      </c>
      <c r="F14" s="6">
        <v>41.45</v>
      </c>
      <c r="G14" s="6">
        <v>42.71</v>
      </c>
      <c r="H14" s="6">
        <v>43.11</v>
      </c>
      <c r="I14" s="6">
        <v>41.26</v>
      </c>
      <c r="J14" s="6">
        <v>41.88</v>
      </c>
      <c r="K14" s="6">
        <v>43.41</v>
      </c>
      <c r="L14" s="6">
        <v>42.73</v>
      </c>
      <c r="M14" s="6">
        <v>44.38</v>
      </c>
      <c r="N14" s="6">
        <v>41.95</v>
      </c>
      <c r="O14" s="6">
        <v>42.33</v>
      </c>
      <c r="P14" s="6">
        <v>41.87</v>
      </c>
      <c r="Q14" s="6">
        <v>42.62</v>
      </c>
      <c r="R14" s="6">
        <v>41.94</v>
      </c>
      <c r="S14" s="6">
        <v>41.36</v>
      </c>
      <c r="T14" s="6">
        <v>41.61</v>
      </c>
      <c r="U14" s="6">
        <v>42.66</v>
      </c>
      <c r="V14" s="6">
        <v>41.89</v>
      </c>
      <c r="W14" s="6">
        <v>42.38</v>
      </c>
      <c r="X14" s="6">
        <v>42.52</v>
      </c>
      <c r="Y14" s="6">
        <v>43.37</v>
      </c>
      <c r="Z14" s="6">
        <v>42.21</v>
      </c>
      <c r="AA14" s="6">
        <v>41.37</v>
      </c>
      <c r="AB14" s="6">
        <v>42.76</v>
      </c>
      <c r="AC14" s="6">
        <v>42.24</v>
      </c>
      <c r="AD14" s="6">
        <v>43.2</v>
      </c>
      <c r="AE14" s="6">
        <v>41.12</v>
      </c>
      <c r="AF14" s="6">
        <v>43.14</v>
      </c>
      <c r="AG14" s="6">
        <v>41.43</v>
      </c>
      <c r="AH14" s="6">
        <v>42.3</v>
      </c>
      <c r="AI14" s="6">
        <v>41.81</v>
      </c>
      <c r="AJ14" s="6">
        <v>41.95</v>
      </c>
      <c r="AK14" s="6">
        <v>42.18</v>
      </c>
      <c r="AL14" s="6">
        <v>43.8</v>
      </c>
      <c r="AM14" s="6">
        <v>40.69</v>
      </c>
      <c r="AN14" s="6">
        <v>43.71</v>
      </c>
      <c r="AO14" s="7">
        <v>41.5</v>
      </c>
      <c r="AP14" s="7">
        <v>42.42</v>
      </c>
      <c r="AQ14" s="7">
        <v>43.21</v>
      </c>
      <c r="AR14" s="7">
        <v>41.7</v>
      </c>
      <c r="AS14" s="7">
        <v>42.97</v>
      </c>
      <c r="AT14" s="7">
        <v>42.32</v>
      </c>
      <c r="AU14" s="7">
        <v>42.44</v>
      </c>
      <c r="AV14" s="7"/>
      <c r="AW14" s="7"/>
      <c r="AX14" s="7">
        <v>43.28</v>
      </c>
      <c r="AY14" s="7">
        <v>41</v>
      </c>
      <c r="AZ14" s="7">
        <v>43.44</v>
      </c>
      <c r="BA14" s="7">
        <v>44.34</v>
      </c>
      <c r="BB14" s="7">
        <v>41.82</v>
      </c>
      <c r="BC14" s="7">
        <v>42.1</v>
      </c>
      <c r="BD14" s="7">
        <v>41.9</v>
      </c>
      <c r="BE14" s="7">
        <v>41.95</v>
      </c>
      <c r="BF14" s="7">
        <v>44.22</v>
      </c>
      <c r="BG14" s="7">
        <v>42.08</v>
      </c>
      <c r="BH14" s="7">
        <v>41.5</v>
      </c>
      <c r="BI14" s="7">
        <v>43.12</v>
      </c>
      <c r="BJ14" s="7">
        <v>44.36</v>
      </c>
      <c r="BK14" s="7">
        <v>41.84</v>
      </c>
      <c r="BL14" s="7">
        <v>42.5</v>
      </c>
      <c r="BM14" s="7">
        <v>42</v>
      </c>
      <c r="BN14" s="10">
        <v>43.44</v>
      </c>
    </row>
    <row r="15" spans="1:66" ht="15.75" x14ac:dyDescent="0.25">
      <c r="A15" s="4">
        <v>14</v>
      </c>
      <c r="B15" s="4"/>
      <c r="C15" s="4">
        <v>14</v>
      </c>
      <c r="D15" s="6"/>
      <c r="E15" s="6">
        <v>41.4</v>
      </c>
      <c r="F15" s="6">
        <v>41.37</v>
      </c>
      <c r="G15" s="6">
        <v>42.69</v>
      </c>
      <c r="H15" s="6">
        <v>42.96</v>
      </c>
      <c r="I15" s="6">
        <v>41.16</v>
      </c>
      <c r="J15" s="6">
        <v>41.86</v>
      </c>
      <c r="K15" s="6">
        <v>43.53</v>
      </c>
      <c r="L15" s="6">
        <v>42.65</v>
      </c>
      <c r="M15" s="6">
        <v>44.4</v>
      </c>
      <c r="N15" s="6">
        <v>41.91</v>
      </c>
      <c r="O15" s="6">
        <v>42.25</v>
      </c>
      <c r="P15" s="6">
        <v>41.91</v>
      </c>
      <c r="Q15" s="6">
        <v>42.59</v>
      </c>
      <c r="R15" s="6">
        <v>41.8</v>
      </c>
      <c r="S15" s="6">
        <v>41.3</v>
      </c>
      <c r="T15" s="6">
        <v>41.53</v>
      </c>
      <c r="U15" s="6">
        <v>42.54</v>
      </c>
      <c r="V15" s="6">
        <v>41.83</v>
      </c>
      <c r="W15" s="6">
        <v>42.28</v>
      </c>
      <c r="X15" s="6">
        <v>42.55</v>
      </c>
      <c r="Y15" s="6">
        <v>43.26</v>
      </c>
      <c r="Z15" s="6">
        <v>42.12</v>
      </c>
      <c r="AA15" s="6">
        <v>41.3</v>
      </c>
      <c r="AB15" s="6">
        <v>42.71</v>
      </c>
      <c r="AC15" s="6">
        <v>42.12</v>
      </c>
      <c r="AD15" s="6">
        <v>43.17</v>
      </c>
      <c r="AE15" s="6">
        <v>41.03</v>
      </c>
      <c r="AF15" s="6">
        <v>43.03</v>
      </c>
      <c r="AG15" s="6">
        <v>41.4</v>
      </c>
      <c r="AH15" s="6">
        <v>42.29</v>
      </c>
      <c r="AI15" s="6">
        <v>41.76</v>
      </c>
      <c r="AJ15" s="6">
        <v>41.81</v>
      </c>
      <c r="AK15" s="6">
        <v>42.09</v>
      </c>
      <c r="AL15" s="6">
        <v>43.64</v>
      </c>
      <c r="AM15" s="6">
        <v>40.65</v>
      </c>
      <c r="AN15" s="6">
        <v>43.59</v>
      </c>
      <c r="AO15" s="7">
        <v>41.44</v>
      </c>
      <c r="AP15" s="7">
        <v>42.48</v>
      </c>
      <c r="AQ15" s="7">
        <v>43.03</v>
      </c>
      <c r="AR15" s="7">
        <v>41.62</v>
      </c>
      <c r="AS15" s="7">
        <v>42.91</v>
      </c>
      <c r="AT15" s="7">
        <v>42.31</v>
      </c>
      <c r="AU15" s="7">
        <v>42.48</v>
      </c>
      <c r="AV15" s="7"/>
      <c r="AW15" s="7"/>
      <c r="AX15" s="7">
        <v>43.32</v>
      </c>
      <c r="AY15" s="7">
        <v>40.950000000000003</v>
      </c>
      <c r="AZ15" s="7">
        <v>43.5</v>
      </c>
      <c r="BA15" s="7">
        <v>44.21</v>
      </c>
      <c r="BB15" s="7">
        <v>41.84</v>
      </c>
      <c r="BC15" s="7">
        <v>42.02</v>
      </c>
      <c r="BD15" s="7">
        <v>41.85</v>
      </c>
      <c r="BE15" s="7">
        <v>41.85</v>
      </c>
      <c r="BF15" s="7">
        <v>44.15</v>
      </c>
      <c r="BG15" s="7">
        <v>42.04</v>
      </c>
      <c r="BH15" s="7">
        <v>41.45</v>
      </c>
      <c r="BI15" s="7">
        <v>43.02</v>
      </c>
      <c r="BJ15" s="7">
        <v>44.27</v>
      </c>
      <c r="BK15" s="7">
        <v>41.74</v>
      </c>
      <c r="BL15" s="7">
        <v>42.57</v>
      </c>
      <c r="BM15" s="7">
        <v>41.94</v>
      </c>
      <c r="BN15" s="10">
        <v>43.36</v>
      </c>
    </row>
    <row r="16" spans="1:66" ht="15.75" x14ac:dyDescent="0.25">
      <c r="A16" s="4">
        <v>15</v>
      </c>
      <c r="B16" s="4"/>
      <c r="C16" s="4">
        <v>15</v>
      </c>
      <c r="D16" s="6"/>
      <c r="E16" s="6">
        <v>41.32</v>
      </c>
      <c r="F16" s="6">
        <v>41.33</v>
      </c>
      <c r="G16" s="6">
        <v>42.56</v>
      </c>
      <c r="H16" s="6">
        <v>42.96</v>
      </c>
      <c r="I16" s="6">
        <v>41.16</v>
      </c>
      <c r="J16" s="6">
        <v>41.93</v>
      </c>
      <c r="K16" s="6">
        <v>43.66</v>
      </c>
      <c r="L16" s="6">
        <v>42.59</v>
      </c>
      <c r="M16" s="6">
        <v>44.43</v>
      </c>
      <c r="N16" s="6">
        <v>41.85</v>
      </c>
      <c r="O16" s="6">
        <v>42.18</v>
      </c>
      <c r="P16" s="6">
        <v>41.87</v>
      </c>
      <c r="Q16" s="6">
        <v>42.56</v>
      </c>
      <c r="R16" s="6">
        <v>41.64</v>
      </c>
      <c r="S16" s="6">
        <v>41.25</v>
      </c>
      <c r="T16" s="6">
        <v>41.46</v>
      </c>
      <c r="U16" s="6">
        <v>42.41</v>
      </c>
      <c r="V16" s="6">
        <v>41.79</v>
      </c>
      <c r="W16" s="6">
        <v>42.22</v>
      </c>
      <c r="X16" s="6">
        <v>42.55</v>
      </c>
      <c r="Y16" s="6">
        <v>43.11</v>
      </c>
      <c r="Z16" s="6">
        <v>42.02</v>
      </c>
      <c r="AA16" s="6">
        <v>41.26</v>
      </c>
      <c r="AB16" s="6">
        <v>42.68</v>
      </c>
      <c r="AC16" s="6">
        <v>42.02</v>
      </c>
      <c r="AD16" s="6">
        <v>43.12</v>
      </c>
      <c r="AE16" s="6">
        <v>41.03</v>
      </c>
      <c r="AF16" s="6">
        <v>42.9</v>
      </c>
      <c r="AG16" s="6">
        <v>41.38</v>
      </c>
      <c r="AH16" s="6">
        <v>42.26</v>
      </c>
      <c r="AI16" s="6">
        <v>41.69</v>
      </c>
      <c r="AJ16" s="6">
        <v>41.7</v>
      </c>
      <c r="AK16" s="6">
        <v>42.01</v>
      </c>
      <c r="AL16" s="6">
        <v>43.48</v>
      </c>
      <c r="AM16" s="6">
        <v>40.65</v>
      </c>
      <c r="AN16" s="6">
        <v>43.48</v>
      </c>
      <c r="AO16" s="7">
        <v>41.37</v>
      </c>
      <c r="AP16" s="7">
        <v>42.32</v>
      </c>
      <c r="AQ16" s="7">
        <v>42.86</v>
      </c>
      <c r="AR16" s="7">
        <v>41.54</v>
      </c>
      <c r="AS16" s="7">
        <v>42.88</v>
      </c>
      <c r="AT16" s="7">
        <v>42.32</v>
      </c>
      <c r="AU16" s="7">
        <v>42.51</v>
      </c>
      <c r="AV16" s="7"/>
      <c r="AW16" s="7"/>
      <c r="AX16" s="7">
        <v>43.4</v>
      </c>
      <c r="AY16" s="7">
        <v>40.89</v>
      </c>
      <c r="AZ16" s="7">
        <v>43.5</v>
      </c>
      <c r="BA16" s="7">
        <v>44.09</v>
      </c>
      <c r="BB16" s="7">
        <v>41.66</v>
      </c>
      <c r="BC16" s="7">
        <v>41.94</v>
      </c>
      <c r="BD16" s="7">
        <v>41.79</v>
      </c>
      <c r="BE16" s="7">
        <v>41.76</v>
      </c>
      <c r="BF16" s="7">
        <v>44.07</v>
      </c>
      <c r="BG16" s="7">
        <v>42</v>
      </c>
      <c r="BH16" s="7">
        <v>41.45</v>
      </c>
      <c r="BI16" s="7">
        <v>42.92</v>
      </c>
      <c r="BJ16" s="7">
        <v>44.17</v>
      </c>
      <c r="BK16" s="7">
        <v>41.64</v>
      </c>
      <c r="BL16" s="7">
        <v>42.63</v>
      </c>
      <c r="BM16" s="7">
        <v>41.89</v>
      </c>
      <c r="BN16" s="10">
        <v>43.24</v>
      </c>
    </row>
    <row r="17" spans="1:66" ht="15.75" x14ac:dyDescent="0.25">
      <c r="A17" s="4">
        <v>16</v>
      </c>
      <c r="B17" s="4"/>
      <c r="C17" s="4">
        <v>16</v>
      </c>
      <c r="D17" s="6"/>
      <c r="E17" s="6">
        <v>41.22</v>
      </c>
      <c r="F17" s="6">
        <v>41.28</v>
      </c>
      <c r="G17" s="6">
        <v>42.56</v>
      </c>
      <c r="H17" s="6">
        <v>42.96</v>
      </c>
      <c r="I17" s="6">
        <v>41.16</v>
      </c>
      <c r="J17" s="6">
        <v>41.98</v>
      </c>
      <c r="K17" s="6">
        <v>43.74</v>
      </c>
      <c r="L17" s="6">
        <v>42.53</v>
      </c>
      <c r="M17" s="6">
        <v>44.44</v>
      </c>
      <c r="N17" s="6">
        <v>41.78</v>
      </c>
      <c r="O17" s="6">
        <v>42.13</v>
      </c>
      <c r="P17" s="6">
        <v>41.87</v>
      </c>
      <c r="Q17" s="6">
        <v>42.44</v>
      </c>
      <c r="R17" s="6">
        <v>41.48</v>
      </c>
      <c r="S17" s="6">
        <v>41.17</v>
      </c>
      <c r="T17" s="6">
        <v>41.38</v>
      </c>
      <c r="U17" s="6">
        <v>42.29</v>
      </c>
      <c r="V17" s="6">
        <v>41.83</v>
      </c>
      <c r="W17" s="6">
        <v>42.18</v>
      </c>
      <c r="X17" s="6">
        <v>42.58</v>
      </c>
      <c r="Y17" s="6">
        <v>42.97</v>
      </c>
      <c r="Z17" s="6">
        <v>42</v>
      </c>
      <c r="AA17" s="6">
        <v>41.21</v>
      </c>
      <c r="AB17" s="6">
        <v>42.65</v>
      </c>
      <c r="AC17" s="6">
        <v>41.92</v>
      </c>
      <c r="AD17" s="6">
        <v>43.08</v>
      </c>
      <c r="AE17" s="6">
        <v>41.02</v>
      </c>
      <c r="AF17" s="6">
        <v>42.75</v>
      </c>
      <c r="AG17" s="6">
        <v>41.36</v>
      </c>
      <c r="AH17" s="6">
        <v>42.19</v>
      </c>
      <c r="AI17" s="6">
        <v>41.64</v>
      </c>
      <c r="AJ17" s="6">
        <v>41.61</v>
      </c>
      <c r="AK17" s="6">
        <v>41.96</v>
      </c>
      <c r="AL17" s="6">
        <v>43.35</v>
      </c>
      <c r="AM17" s="6">
        <v>40.64</v>
      </c>
      <c r="AN17" s="6">
        <v>43.43</v>
      </c>
      <c r="AO17" s="7">
        <v>41.33</v>
      </c>
      <c r="AP17" s="7">
        <v>42.26</v>
      </c>
      <c r="AQ17" s="7">
        <v>42.61</v>
      </c>
      <c r="AR17" s="7">
        <v>41.46</v>
      </c>
      <c r="AS17" s="7">
        <v>42.78</v>
      </c>
      <c r="AT17" s="7">
        <v>42.32</v>
      </c>
      <c r="AU17" s="7">
        <v>42.52</v>
      </c>
      <c r="AV17" s="7"/>
      <c r="AW17" s="7"/>
      <c r="AX17" s="7">
        <v>43.44</v>
      </c>
      <c r="AY17" s="7">
        <v>40.85</v>
      </c>
      <c r="AZ17" s="7">
        <v>43.49</v>
      </c>
      <c r="BA17" s="7">
        <v>43.98</v>
      </c>
      <c r="BB17" s="7">
        <v>41.58</v>
      </c>
      <c r="BC17" s="7">
        <v>41.86</v>
      </c>
      <c r="BD17" s="7">
        <v>41.74</v>
      </c>
      <c r="BE17" s="7">
        <v>41.67</v>
      </c>
      <c r="BF17" s="7">
        <v>43.99</v>
      </c>
      <c r="BG17" s="7">
        <v>41.98</v>
      </c>
      <c r="BH17" s="7">
        <v>41.42</v>
      </c>
      <c r="BI17" s="7">
        <v>42.8</v>
      </c>
      <c r="BJ17" s="7">
        <v>44.07</v>
      </c>
      <c r="BK17" s="7">
        <v>41.55</v>
      </c>
      <c r="BL17" s="7">
        <v>42.68</v>
      </c>
      <c r="BM17" s="7">
        <v>41.83</v>
      </c>
      <c r="BN17" s="10">
        <v>43.11</v>
      </c>
    </row>
    <row r="18" spans="1:66" ht="15.75" x14ac:dyDescent="0.25">
      <c r="A18" s="4">
        <v>17</v>
      </c>
      <c r="B18" s="4"/>
      <c r="C18" s="4">
        <v>17</v>
      </c>
      <c r="D18" s="6"/>
      <c r="E18" s="6">
        <v>41.13</v>
      </c>
      <c r="F18" s="6">
        <v>41.24</v>
      </c>
      <c r="G18" s="6">
        <v>42.58</v>
      </c>
      <c r="H18" s="6">
        <v>42.96</v>
      </c>
      <c r="I18" s="6">
        <v>41.11</v>
      </c>
      <c r="J18" s="6">
        <v>42.01</v>
      </c>
      <c r="K18" s="6">
        <v>43.84</v>
      </c>
      <c r="L18" s="6">
        <v>42.45</v>
      </c>
      <c r="M18" s="6">
        <v>44.45</v>
      </c>
      <c r="N18" s="6">
        <v>41.76</v>
      </c>
      <c r="O18" s="6">
        <v>42.04</v>
      </c>
      <c r="P18" s="6">
        <v>41.87</v>
      </c>
      <c r="Q18" s="6">
        <v>42.38</v>
      </c>
      <c r="R18" s="6">
        <v>41.39</v>
      </c>
      <c r="S18" s="6">
        <v>41.07</v>
      </c>
      <c r="T18" s="6">
        <v>41.3</v>
      </c>
      <c r="U18" s="6">
        <v>42.2</v>
      </c>
      <c r="V18" s="6">
        <v>41.69</v>
      </c>
      <c r="W18" s="6">
        <v>42.12</v>
      </c>
      <c r="X18" s="6">
        <v>42.62</v>
      </c>
      <c r="Y18" s="6">
        <v>42.91</v>
      </c>
      <c r="Z18" s="6">
        <v>41.97</v>
      </c>
      <c r="AA18" s="6">
        <v>41.18</v>
      </c>
      <c r="AB18" s="6">
        <v>42.58</v>
      </c>
      <c r="AC18" s="6">
        <v>41.83</v>
      </c>
      <c r="AD18" s="6">
        <v>43.04</v>
      </c>
      <c r="AE18" s="6">
        <v>41</v>
      </c>
      <c r="AF18" s="6">
        <v>42.61</v>
      </c>
      <c r="AG18" s="6">
        <v>41.34</v>
      </c>
      <c r="AH18" s="6">
        <v>42.12</v>
      </c>
      <c r="AI18" s="6">
        <v>41.62</v>
      </c>
      <c r="AJ18" s="6">
        <v>41.52</v>
      </c>
      <c r="AK18" s="6">
        <v>41.88</v>
      </c>
      <c r="AL18" s="6">
        <v>43.2</v>
      </c>
      <c r="AM18" s="6">
        <v>40.6</v>
      </c>
      <c r="AN18" s="6">
        <v>43.32</v>
      </c>
      <c r="AO18" s="7">
        <v>41.29</v>
      </c>
      <c r="AP18" s="7">
        <v>42.19</v>
      </c>
      <c r="AQ18" s="7">
        <v>42.52</v>
      </c>
      <c r="AR18" s="7">
        <v>41.39</v>
      </c>
      <c r="AS18" s="7">
        <v>42.69</v>
      </c>
      <c r="AT18" s="7">
        <v>42.3</v>
      </c>
      <c r="AU18" s="7">
        <v>42.52</v>
      </c>
      <c r="AV18" s="7"/>
      <c r="AW18" s="7"/>
      <c r="AX18" s="7">
        <v>43.44</v>
      </c>
      <c r="AY18" s="7">
        <v>40.79</v>
      </c>
      <c r="AZ18" s="7">
        <v>43.42</v>
      </c>
      <c r="BA18" s="7">
        <v>43.89</v>
      </c>
      <c r="BB18" s="7">
        <v>41.5</v>
      </c>
      <c r="BC18" s="7">
        <v>41.78</v>
      </c>
      <c r="BD18" s="7">
        <v>41.74</v>
      </c>
      <c r="BE18" s="7">
        <v>41.59</v>
      </c>
      <c r="BF18" s="7">
        <v>43.91</v>
      </c>
      <c r="BG18" s="7">
        <v>41.96</v>
      </c>
      <c r="BH18" s="7">
        <v>41.37</v>
      </c>
      <c r="BI18" s="7">
        <v>42.7</v>
      </c>
      <c r="BJ18" s="7">
        <v>43.97</v>
      </c>
      <c r="BK18" s="7">
        <v>41.49</v>
      </c>
      <c r="BL18" s="7">
        <v>42.73</v>
      </c>
      <c r="BM18" s="7">
        <v>41.78</v>
      </c>
      <c r="BN18" s="10">
        <v>42.96</v>
      </c>
    </row>
    <row r="19" spans="1:66" ht="15.75" x14ac:dyDescent="0.25">
      <c r="A19" s="4">
        <v>18</v>
      </c>
      <c r="B19" s="4"/>
      <c r="C19" s="4">
        <v>18</v>
      </c>
      <c r="D19" s="6"/>
      <c r="E19" s="6">
        <v>41.1</v>
      </c>
      <c r="F19" s="6">
        <v>41.22</v>
      </c>
      <c r="G19" s="6">
        <v>42.56</v>
      </c>
      <c r="H19" s="6">
        <v>42.96</v>
      </c>
      <c r="I19" s="6">
        <v>41.11</v>
      </c>
      <c r="J19" s="6">
        <v>42.06</v>
      </c>
      <c r="K19" s="6">
        <v>43.96</v>
      </c>
      <c r="L19" s="6">
        <v>42.39</v>
      </c>
      <c r="M19" s="6">
        <v>44.46</v>
      </c>
      <c r="N19" s="6">
        <v>41.75</v>
      </c>
      <c r="O19" s="6">
        <v>41.96</v>
      </c>
      <c r="P19" s="6">
        <v>41.87</v>
      </c>
      <c r="Q19" s="6">
        <v>42.37</v>
      </c>
      <c r="R19" s="6">
        <v>41.35</v>
      </c>
      <c r="S19" s="6">
        <v>40.93</v>
      </c>
      <c r="T19" s="6">
        <v>41.24</v>
      </c>
      <c r="U19" s="6">
        <v>42.1</v>
      </c>
      <c r="V19" s="6">
        <v>41.63</v>
      </c>
      <c r="W19" s="6">
        <v>42.07</v>
      </c>
      <c r="X19" s="6">
        <v>42.59</v>
      </c>
      <c r="Y19" s="6">
        <v>42.81</v>
      </c>
      <c r="Z19" s="6">
        <v>41.94</v>
      </c>
      <c r="AA19" s="6">
        <v>41.16</v>
      </c>
      <c r="AB19" s="6">
        <v>42.52</v>
      </c>
      <c r="AC19" s="6">
        <v>41.72</v>
      </c>
      <c r="AD19" s="6">
        <v>43.04</v>
      </c>
      <c r="AE19" s="6">
        <v>41</v>
      </c>
      <c r="AF19" s="6">
        <v>42.47</v>
      </c>
      <c r="AG19" s="6">
        <v>41.32</v>
      </c>
      <c r="AH19" s="6">
        <v>42.08</v>
      </c>
      <c r="AI19" s="6">
        <v>41.57</v>
      </c>
      <c r="AJ19" s="6">
        <v>41.44</v>
      </c>
      <c r="AK19" s="6">
        <v>41.8</v>
      </c>
      <c r="AL19" s="6">
        <v>43.04</v>
      </c>
      <c r="AM19" s="6">
        <v>40.6</v>
      </c>
      <c r="AN19" s="6">
        <v>43.24</v>
      </c>
      <c r="AO19" s="7">
        <v>41.25</v>
      </c>
      <c r="AP19" s="7">
        <v>42.1</v>
      </c>
      <c r="AQ19" s="7">
        <v>42.34</v>
      </c>
      <c r="AR19" s="7">
        <v>41.32</v>
      </c>
      <c r="AS19" s="7">
        <v>42.6</v>
      </c>
      <c r="AT19" s="7">
        <v>42.28</v>
      </c>
      <c r="AU19" s="7">
        <v>42.53</v>
      </c>
      <c r="AV19" s="7"/>
      <c r="AW19" s="7"/>
      <c r="AX19" s="7">
        <v>43.42</v>
      </c>
      <c r="AY19" s="7">
        <v>40.729999999999997</v>
      </c>
      <c r="AZ19" s="7">
        <v>43.32</v>
      </c>
      <c r="BA19" s="7">
        <v>43.77</v>
      </c>
      <c r="BB19" s="7">
        <v>41.41</v>
      </c>
      <c r="BC19" s="7">
        <v>41.71</v>
      </c>
      <c r="BD19" s="7">
        <v>41.71</v>
      </c>
      <c r="BE19" s="7">
        <v>41.5</v>
      </c>
      <c r="BF19" s="7">
        <v>43.8</v>
      </c>
      <c r="BG19" s="7">
        <v>41.98</v>
      </c>
      <c r="BH19" s="7">
        <v>41.35</v>
      </c>
      <c r="BI19" s="7">
        <v>42.6</v>
      </c>
      <c r="BJ19" s="7">
        <v>43.83</v>
      </c>
      <c r="BK19" s="7">
        <v>41.44</v>
      </c>
      <c r="BL19" s="7">
        <v>42.78</v>
      </c>
      <c r="BM19" s="7">
        <v>41.73</v>
      </c>
      <c r="BN19" s="10">
        <v>42.83</v>
      </c>
    </row>
    <row r="20" spans="1:66" ht="15.75" x14ac:dyDescent="0.25">
      <c r="A20" s="4">
        <v>19</v>
      </c>
      <c r="B20" s="4"/>
      <c r="C20" s="4">
        <v>19</v>
      </c>
      <c r="D20" s="6"/>
      <c r="E20" s="6">
        <v>41.03</v>
      </c>
      <c r="F20" s="6">
        <v>41.32</v>
      </c>
      <c r="G20" s="6">
        <v>42.51</v>
      </c>
      <c r="H20" s="6">
        <v>42.91</v>
      </c>
      <c r="I20" s="6">
        <v>41.11</v>
      </c>
      <c r="J20" s="6">
        <v>42.09</v>
      </c>
      <c r="K20" s="6">
        <v>44.04</v>
      </c>
      <c r="L20" s="6">
        <v>42.37</v>
      </c>
      <c r="M20" s="6">
        <v>44.45</v>
      </c>
      <c r="N20" s="6">
        <v>41.73</v>
      </c>
      <c r="O20" s="6">
        <v>41.88</v>
      </c>
      <c r="P20" s="6">
        <v>41.86</v>
      </c>
      <c r="Q20" s="6">
        <v>42.36</v>
      </c>
      <c r="R20" s="6">
        <v>41.21</v>
      </c>
      <c r="S20" s="6">
        <v>40.89</v>
      </c>
      <c r="T20" s="6">
        <v>41.17</v>
      </c>
      <c r="U20" s="6">
        <v>42.04</v>
      </c>
      <c r="V20" s="6">
        <v>41.57</v>
      </c>
      <c r="W20" s="6">
        <v>42.03</v>
      </c>
      <c r="X20" s="6">
        <v>42.57</v>
      </c>
      <c r="Y20" s="6">
        <v>42.78</v>
      </c>
      <c r="Z20" s="6">
        <v>41.81</v>
      </c>
      <c r="AA20" s="6">
        <v>41.12</v>
      </c>
      <c r="AB20" s="6">
        <v>42.57</v>
      </c>
      <c r="AC20" s="6">
        <v>41.65</v>
      </c>
      <c r="AD20" s="6">
        <v>43.08</v>
      </c>
      <c r="AE20" s="6">
        <v>41</v>
      </c>
      <c r="AF20" s="6">
        <v>42.32</v>
      </c>
      <c r="AG20" s="6">
        <v>41.26</v>
      </c>
      <c r="AH20" s="6">
        <v>42.03</v>
      </c>
      <c r="AI20" s="6">
        <v>41.51</v>
      </c>
      <c r="AJ20" s="6">
        <v>41.44</v>
      </c>
      <c r="AK20" s="6">
        <v>41.73</v>
      </c>
      <c r="AL20" s="6">
        <v>43.02</v>
      </c>
      <c r="AM20" s="6">
        <v>40.549999999999997</v>
      </c>
      <c r="AN20" s="6">
        <v>43.15</v>
      </c>
      <c r="AO20" s="7">
        <v>41.22</v>
      </c>
      <c r="AP20" s="7">
        <v>42.01</v>
      </c>
      <c r="AQ20" s="7">
        <v>42.2</v>
      </c>
      <c r="AR20" s="7">
        <v>41.27</v>
      </c>
      <c r="AS20" s="7">
        <v>42.47</v>
      </c>
      <c r="AT20" s="7">
        <v>42.24</v>
      </c>
      <c r="AU20" s="7">
        <v>42.53</v>
      </c>
      <c r="AV20" s="7"/>
      <c r="AW20" s="7"/>
      <c r="AX20" s="7">
        <v>43.42</v>
      </c>
      <c r="AY20" s="7">
        <v>40.67</v>
      </c>
      <c r="AZ20" s="7">
        <v>43.2</v>
      </c>
      <c r="BA20" s="7">
        <v>43.66</v>
      </c>
      <c r="BB20" s="7">
        <v>41.31</v>
      </c>
      <c r="BC20" s="7">
        <v>41.64</v>
      </c>
      <c r="BD20" s="7">
        <v>41.68</v>
      </c>
      <c r="BE20" s="7">
        <v>41.41</v>
      </c>
      <c r="BF20" s="7">
        <v>43.67</v>
      </c>
      <c r="BG20" s="7">
        <v>42.03</v>
      </c>
      <c r="BH20" s="7">
        <v>41.3</v>
      </c>
      <c r="BI20" s="7">
        <v>42.5</v>
      </c>
      <c r="BJ20" s="7">
        <v>43.72</v>
      </c>
      <c r="BK20" s="7">
        <v>41.42</v>
      </c>
      <c r="BL20" s="7">
        <v>42.82</v>
      </c>
      <c r="BM20" s="7">
        <v>41.69</v>
      </c>
      <c r="BN20" s="10">
        <v>42.71</v>
      </c>
    </row>
    <row r="21" spans="1:66" ht="15.75" customHeight="1" x14ac:dyDescent="0.25">
      <c r="A21" s="4">
        <v>20</v>
      </c>
      <c r="B21" s="4"/>
      <c r="C21" s="4">
        <v>20</v>
      </c>
      <c r="D21" s="6"/>
      <c r="E21" s="6">
        <v>40.96</v>
      </c>
      <c r="F21" s="6">
        <v>41.38</v>
      </c>
      <c r="G21" s="6">
        <v>42.46</v>
      </c>
      <c r="H21" s="6">
        <v>42.91</v>
      </c>
      <c r="I21" s="6">
        <v>41.06</v>
      </c>
      <c r="J21" s="6">
        <v>42.07</v>
      </c>
      <c r="K21" s="6">
        <v>44.08</v>
      </c>
      <c r="L21" s="6">
        <v>42.35</v>
      </c>
      <c r="M21" s="6">
        <v>44.41</v>
      </c>
      <c r="N21" s="6">
        <v>41.66</v>
      </c>
      <c r="O21" s="6">
        <v>41.8</v>
      </c>
      <c r="P21" s="6">
        <v>41.86</v>
      </c>
      <c r="Q21" s="6">
        <v>42.37</v>
      </c>
      <c r="R21" s="6">
        <v>41.15</v>
      </c>
      <c r="S21" s="6">
        <v>40.840000000000003</v>
      </c>
      <c r="T21" s="6">
        <v>41.1</v>
      </c>
      <c r="U21" s="6">
        <v>41.96</v>
      </c>
      <c r="V21" s="6">
        <v>41.5</v>
      </c>
      <c r="W21" s="6">
        <v>41.97</v>
      </c>
      <c r="X21" s="6">
        <v>42.52</v>
      </c>
      <c r="Y21" s="6">
        <v>42.76</v>
      </c>
      <c r="Z21" s="6">
        <v>41.76</v>
      </c>
      <c r="AA21" s="6">
        <v>41.09</v>
      </c>
      <c r="AB21" s="6">
        <v>42.59</v>
      </c>
      <c r="AC21" s="6">
        <v>41.56</v>
      </c>
      <c r="AD21" s="6">
        <v>43.1</v>
      </c>
      <c r="AE21" s="6">
        <v>41</v>
      </c>
      <c r="AF21" s="6">
        <v>42.17</v>
      </c>
      <c r="AG21" s="6">
        <v>41.22</v>
      </c>
      <c r="AH21" s="6">
        <v>41.98</v>
      </c>
      <c r="AI21" s="6">
        <v>41.52</v>
      </c>
      <c r="AJ21" s="6">
        <v>41.42</v>
      </c>
      <c r="AK21" s="6">
        <v>41.66</v>
      </c>
      <c r="AL21" s="6">
        <v>42.97</v>
      </c>
      <c r="AM21" s="6">
        <v>40.520000000000003</v>
      </c>
      <c r="AN21" s="6">
        <v>43.06</v>
      </c>
      <c r="AO21" s="7">
        <v>41.2</v>
      </c>
      <c r="AP21" s="7">
        <v>41.91</v>
      </c>
      <c r="AQ21" s="7">
        <v>42.03</v>
      </c>
      <c r="AR21" s="7">
        <v>41.11</v>
      </c>
      <c r="AS21" s="7">
        <v>42.33</v>
      </c>
      <c r="AT21" s="7">
        <v>42.22</v>
      </c>
      <c r="AU21" s="7">
        <v>42.52</v>
      </c>
      <c r="AV21" s="7"/>
      <c r="AW21" s="7"/>
      <c r="AX21" s="7">
        <v>43.37</v>
      </c>
      <c r="AY21" s="7">
        <v>40.630000000000003</v>
      </c>
      <c r="AZ21" s="7">
        <v>43.04</v>
      </c>
      <c r="BA21" s="7">
        <v>43.54</v>
      </c>
      <c r="BB21" s="7">
        <v>41.24</v>
      </c>
      <c r="BC21" s="7">
        <v>41.6</v>
      </c>
      <c r="BD21" s="7">
        <v>41.66</v>
      </c>
      <c r="BE21" s="7">
        <v>41.32</v>
      </c>
      <c r="BF21" s="7">
        <v>43.67</v>
      </c>
      <c r="BG21" s="7">
        <v>42.09</v>
      </c>
      <c r="BH21" s="7">
        <v>41.29</v>
      </c>
      <c r="BI21" s="7">
        <v>42.4</v>
      </c>
      <c r="BJ21" s="7">
        <v>43.61</v>
      </c>
      <c r="BK21" s="7">
        <v>41.4</v>
      </c>
      <c r="BL21" s="7">
        <v>42.84</v>
      </c>
      <c r="BM21" s="7">
        <v>41.64</v>
      </c>
      <c r="BN21" s="10">
        <v>42.57</v>
      </c>
    </row>
    <row r="22" spans="1:66" ht="15.75" customHeight="1" x14ac:dyDescent="0.25">
      <c r="A22" s="4">
        <v>21</v>
      </c>
      <c r="B22" s="4"/>
      <c r="C22" s="4">
        <v>21</v>
      </c>
      <c r="D22" s="6"/>
      <c r="E22" s="6">
        <v>40.89</v>
      </c>
      <c r="F22" s="6">
        <v>41.38</v>
      </c>
      <c r="G22" s="6">
        <v>42.42</v>
      </c>
      <c r="H22" s="6">
        <v>42.91</v>
      </c>
      <c r="I22" s="6">
        <v>41.06</v>
      </c>
      <c r="J22" s="6">
        <v>42.03</v>
      </c>
      <c r="K22" s="6">
        <v>44.07</v>
      </c>
      <c r="L22" s="6">
        <v>42.34</v>
      </c>
      <c r="M22" s="6">
        <v>44.34</v>
      </c>
      <c r="N22" s="6">
        <v>41.63</v>
      </c>
      <c r="O22" s="6">
        <v>41.73</v>
      </c>
      <c r="P22" s="6">
        <v>41.86</v>
      </c>
      <c r="Q22" s="6">
        <v>42.38</v>
      </c>
      <c r="R22" s="6">
        <v>41.08</v>
      </c>
      <c r="S22" s="6">
        <v>40.78</v>
      </c>
      <c r="T22" s="6">
        <v>41.03</v>
      </c>
      <c r="U22" s="6">
        <v>41.88</v>
      </c>
      <c r="V22" s="6">
        <v>41.43</v>
      </c>
      <c r="W22" s="6">
        <v>41.92</v>
      </c>
      <c r="X22" s="6">
        <v>42.42</v>
      </c>
      <c r="Y22" s="6">
        <v>42.8</v>
      </c>
      <c r="Z22" s="6">
        <v>41.65</v>
      </c>
      <c r="AA22" s="6">
        <v>41.05</v>
      </c>
      <c r="AB22" s="6">
        <v>42.59</v>
      </c>
      <c r="AC22" s="6">
        <v>41.5</v>
      </c>
      <c r="AD22" s="6">
        <v>43.14</v>
      </c>
      <c r="AE22" s="6">
        <v>41</v>
      </c>
      <c r="AF22" s="6">
        <v>42.03</v>
      </c>
      <c r="AG22" s="6">
        <v>41.14</v>
      </c>
      <c r="AH22" s="6">
        <v>41.93</v>
      </c>
      <c r="AI22" s="6">
        <v>41.46</v>
      </c>
      <c r="AJ22" s="6">
        <v>41.39</v>
      </c>
      <c r="AK22" s="6">
        <v>41.58</v>
      </c>
      <c r="AL22" s="6">
        <v>42.92</v>
      </c>
      <c r="AM22" s="6">
        <v>40.479999999999997</v>
      </c>
      <c r="AN22" s="6">
        <v>43.01</v>
      </c>
      <c r="AO22" s="7">
        <v>41.2</v>
      </c>
      <c r="AP22" s="7">
        <v>41.83</v>
      </c>
      <c r="AQ22" s="7">
        <v>41.91</v>
      </c>
      <c r="AR22" s="7">
        <v>41.15</v>
      </c>
      <c r="AS22" s="7">
        <v>42.19</v>
      </c>
      <c r="AT22" s="7">
        <v>42.2</v>
      </c>
      <c r="AU22" s="7">
        <v>42.56</v>
      </c>
      <c r="AV22" s="7"/>
      <c r="AW22" s="7"/>
      <c r="AX22" s="7">
        <v>43.3</v>
      </c>
      <c r="AY22" s="7">
        <v>40.58</v>
      </c>
      <c r="AZ22" s="7">
        <v>42.89</v>
      </c>
      <c r="BA22" s="7">
        <v>43.4</v>
      </c>
      <c r="BB22" s="7">
        <v>41.18</v>
      </c>
      <c r="BC22" s="7">
        <v>41.57</v>
      </c>
      <c r="BD22" s="7">
        <v>41.66</v>
      </c>
      <c r="BE22" s="7">
        <v>41.24</v>
      </c>
      <c r="BF22" s="7">
        <v>43.4</v>
      </c>
      <c r="BG22" s="7">
        <v>42.2</v>
      </c>
      <c r="BH22" s="7">
        <v>41.25</v>
      </c>
      <c r="BI22" s="7">
        <v>42.3</v>
      </c>
      <c r="BJ22" s="7">
        <v>43.45</v>
      </c>
      <c r="BK22" s="7">
        <v>41.4</v>
      </c>
      <c r="BL22" s="7">
        <v>42.82</v>
      </c>
      <c r="BM22" s="7">
        <v>41.58</v>
      </c>
      <c r="BN22" s="10">
        <v>42.45</v>
      </c>
    </row>
    <row r="23" spans="1:66" ht="15.75" customHeight="1" x14ac:dyDescent="0.25">
      <c r="A23" s="4">
        <v>22</v>
      </c>
      <c r="B23" s="4"/>
      <c r="C23" s="4">
        <v>22</v>
      </c>
      <c r="D23" s="6"/>
      <c r="E23" s="6">
        <v>40.840000000000003</v>
      </c>
      <c r="F23" s="6">
        <v>41.37</v>
      </c>
      <c r="G23" s="6">
        <v>42.42</v>
      </c>
      <c r="H23" s="6">
        <v>42.91</v>
      </c>
      <c r="I23" s="6">
        <v>41.06</v>
      </c>
      <c r="J23" s="6">
        <v>41.98</v>
      </c>
      <c r="K23" s="6">
        <v>44.06</v>
      </c>
      <c r="L23" s="6">
        <v>42.33</v>
      </c>
      <c r="M23" s="6">
        <v>44.26</v>
      </c>
      <c r="N23" s="6">
        <v>41.59</v>
      </c>
      <c r="O23" s="6">
        <v>41.65</v>
      </c>
      <c r="P23" s="6">
        <v>41.86</v>
      </c>
      <c r="Q23" s="6">
        <v>42.39</v>
      </c>
      <c r="R23" s="6">
        <v>40.98</v>
      </c>
      <c r="S23" s="6">
        <v>40.72</v>
      </c>
      <c r="T23" s="6">
        <v>40.96</v>
      </c>
      <c r="U23" s="6">
        <v>41.79</v>
      </c>
      <c r="V23" s="6">
        <v>41.35</v>
      </c>
      <c r="W23" s="6">
        <v>41.86</v>
      </c>
      <c r="X23" s="6">
        <v>42.32</v>
      </c>
      <c r="Y23" s="6">
        <v>42.92</v>
      </c>
      <c r="Z23" s="6">
        <v>41.56</v>
      </c>
      <c r="AA23" s="6">
        <v>41.03</v>
      </c>
      <c r="AB23" s="6">
        <v>42.61</v>
      </c>
      <c r="AC23" s="6">
        <v>41.41</v>
      </c>
      <c r="AD23" s="6">
        <v>43.19</v>
      </c>
      <c r="AE23" s="6">
        <v>41.07</v>
      </c>
      <c r="AF23" s="6">
        <v>41.89</v>
      </c>
      <c r="AG23" s="6">
        <v>41.08</v>
      </c>
      <c r="AH23" s="6">
        <v>41.88</v>
      </c>
      <c r="AI23" s="6">
        <v>41.42</v>
      </c>
      <c r="AJ23" s="6">
        <v>41.4</v>
      </c>
      <c r="AK23" s="6">
        <v>41.51</v>
      </c>
      <c r="AL23" s="6">
        <v>42.86</v>
      </c>
      <c r="AM23" s="6">
        <v>40.43</v>
      </c>
      <c r="AN23" s="6">
        <v>42.91</v>
      </c>
      <c r="AO23" s="7">
        <v>41.2</v>
      </c>
      <c r="AP23" s="7">
        <v>41.76</v>
      </c>
      <c r="AQ23" s="7">
        <v>41.79</v>
      </c>
      <c r="AR23" s="7">
        <v>41.09</v>
      </c>
      <c r="AS23" s="7">
        <v>42.07</v>
      </c>
      <c r="AT23" s="7">
        <v>42.15</v>
      </c>
      <c r="AU23" s="7">
        <v>42.58</v>
      </c>
      <c r="AV23" s="7"/>
      <c r="AW23" s="7"/>
      <c r="AX23" s="7">
        <v>43.2</v>
      </c>
      <c r="AY23" s="7">
        <v>40.549999999999997</v>
      </c>
      <c r="AZ23" s="7">
        <v>42.74</v>
      </c>
      <c r="BA23" s="7">
        <v>43.23</v>
      </c>
      <c r="BB23" s="7">
        <v>41.12</v>
      </c>
      <c r="BC23" s="7">
        <v>41.52</v>
      </c>
      <c r="BD23" s="7">
        <v>41.66</v>
      </c>
      <c r="BE23" s="7">
        <v>41.16</v>
      </c>
      <c r="BF23" s="7">
        <v>43.28</v>
      </c>
      <c r="BG23" s="7">
        <v>42.26</v>
      </c>
      <c r="BH23" s="7">
        <v>41.21</v>
      </c>
      <c r="BI23" s="7">
        <v>42.2</v>
      </c>
      <c r="BJ23" s="7">
        <v>43.34</v>
      </c>
      <c r="BK23" s="7">
        <v>41.35</v>
      </c>
      <c r="BL23" s="7">
        <v>42.86</v>
      </c>
      <c r="BM23" s="7">
        <v>41.5</v>
      </c>
      <c r="BN23" s="10">
        <v>42.33</v>
      </c>
    </row>
    <row r="24" spans="1:66" ht="15.75" customHeight="1" x14ac:dyDescent="0.25">
      <c r="A24" s="4">
        <v>23</v>
      </c>
      <c r="B24" s="4"/>
      <c r="C24" s="4">
        <v>23</v>
      </c>
      <c r="D24" s="6"/>
      <c r="E24" s="6">
        <v>40.83</v>
      </c>
      <c r="F24" s="6">
        <v>41.39</v>
      </c>
      <c r="G24" s="6">
        <v>42.39</v>
      </c>
      <c r="H24" s="6">
        <v>42.86</v>
      </c>
      <c r="I24" s="6">
        <v>41.06</v>
      </c>
      <c r="J24" s="6">
        <v>41.92</v>
      </c>
      <c r="K24" s="6">
        <v>44</v>
      </c>
      <c r="L24" s="6">
        <v>42.31</v>
      </c>
      <c r="M24" s="6">
        <v>44.2</v>
      </c>
      <c r="N24" s="6">
        <v>41.53</v>
      </c>
      <c r="O24" s="6">
        <v>41.57</v>
      </c>
      <c r="P24" s="6">
        <v>41.84</v>
      </c>
      <c r="Q24" s="6">
        <v>42.38</v>
      </c>
      <c r="R24" s="6">
        <v>40.880000000000003</v>
      </c>
      <c r="S24" s="6">
        <v>40.700000000000003</v>
      </c>
      <c r="T24" s="6">
        <v>40.909999999999997</v>
      </c>
      <c r="U24" s="6">
        <v>41.72</v>
      </c>
      <c r="V24" s="6">
        <v>41.27</v>
      </c>
      <c r="W24" s="6">
        <v>41.76</v>
      </c>
      <c r="X24" s="6">
        <v>42.22</v>
      </c>
      <c r="Y24" s="6">
        <v>42.97</v>
      </c>
      <c r="Z24" s="6">
        <v>41.44</v>
      </c>
      <c r="AA24" s="6">
        <v>41.02</v>
      </c>
      <c r="AB24" s="6">
        <v>42.63</v>
      </c>
      <c r="AC24" s="6">
        <v>41.33</v>
      </c>
      <c r="AD24" s="6">
        <v>43.24</v>
      </c>
      <c r="AE24" s="6">
        <v>41.13</v>
      </c>
      <c r="AF24" s="6">
        <v>41.77</v>
      </c>
      <c r="AG24" s="6">
        <v>41.04</v>
      </c>
      <c r="AH24" s="6">
        <v>41.86</v>
      </c>
      <c r="AI24" s="6">
        <v>41.35</v>
      </c>
      <c r="AJ24" s="6">
        <v>41.39</v>
      </c>
      <c r="AK24" s="6">
        <v>41.43</v>
      </c>
      <c r="AL24" s="6">
        <v>42.81</v>
      </c>
      <c r="AM24" s="6">
        <v>40.4</v>
      </c>
      <c r="AN24" s="6">
        <v>42.78</v>
      </c>
      <c r="AO24" s="7">
        <v>41.2</v>
      </c>
      <c r="AP24" s="7">
        <v>41.69</v>
      </c>
      <c r="AQ24" s="7">
        <v>41.69</v>
      </c>
      <c r="AR24" s="7">
        <v>41.04</v>
      </c>
      <c r="AS24" s="7">
        <v>41.95</v>
      </c>
      <c r="AT24" s="7">
        <v>42.13</v>
      </c>
      <c r="AU24" s="7">
        <v>42.6</v>
      </c>
      <c r="AV24" s="7"/>
      <c r="AW24" s="7"/>
      <c r="AX24" s="7">
        <v>43.06</v>
      </c>
      <c r="AY24" s="7">
        <v>40.520000000000003</v>
      </c>
      <c r="AZ24" s="7">
        <v>42.6</v>
      </c>
      <c r="BA24" s="7">
        <v>43.08</v>
      </c>
      <c r="BB24" s="7">
        <v>41.08</v>
      </c>
      <c r="BC24" s="7">
        <v>41.5</v>
      </c>
      <c r="BD24" s="7">
        <v>41.67</v>
      </c>
      <c r="BE24" s="7">
        <v>41.06</v>
      </c>
      <c r="BF24" s="7">
        <v>43.15</v>
      </c>
      <c r="BG24" s="7">
        <v>42.31</v>
      </c>
      <c r="BH24" s="7">
        <v>41.23</v>
      </c>
      <c r="BI24" s="7">
        <v>42.14</v>
      </c>
      <c r="BJ24" s="7">
        <v>43.22</v>
      </c>
      <c r="BK24" s="7">
        <v>41.33</v>
      </c>
      <c r="BL24" s="7">
        <v>42.86</v>
      </c>
      <c r="BM24" s="7">
        <v>41.42</v>
      </c>
      <c r="BN24" s="10">
        <v>42.21</v>
      </c>
    </row>
    <row r="25" spans="1:66" ht="15.75" customHeight="1" x14ac:dyDescent="0.25">
      <c r="A25" s="4">
        <v>24</v>
      </c>
      <c r="B25" s="4"/>
      <c r="C25" s="4">
        <v>24</v>
      </c>
      <c r="D25" s="6"/>
      <c r="E25" s="6">
        <v>40.799999999999997</v>
      </c>
      <c r="F25" s="6">
        <v>41.38</v>
      </c>
      <c r="G25" s="6">
        <v>42.36</v>
      </c>
      <c r="H25" s="6">
        <v>42.81</v>
      </c>
      <c r="I25" s="6">
        <v>41.06</v>
      </c>
      <c r="J25" s="6">
        <v>41.8</v>
      </c>
      <c r="K25" s="6">
        <v>43.96</v>
      </c>
      <c r="L25" s="6">
        <v>42.29</v>
      </c>
      <c r="M25" s="6">
        <v>44.13</v>
      </c>
      <c r="N25" s="6">
        <v>41.45</v>
      </c>
      <c r="O25" s="6">
        <v>41.51</v>
      </c>
      <c r="P25" s="6">
        <v>41.77</v>
      </c>
      <c r="Q25" s="6">
        <v>42.35</v>
      </c>
      <c r="R25" s="6">
        <v>40.880000000000003</v>
      </c>
      <c r="S25" s="6">
        <v>40.65</v>
      </c>
      <c r="T25" s="6">
        <v>40.85</v>
      </c>
      <c r="U25" s="6">
        <v>41.68</v>
      </c>
      <c r="V25" s="6">
        <v>41.2</v>
      </c>
      <c r="W25" s="6">
        <v>41.66</v>
      </c>
      <c r="X25" s="6">
        <v>42.11</v>
      </c>
      <c r="Y25" s="6">
        <v>43.1</v>
      </c>
      <c r="Z25" s="6">
        <v>41.33</v>
      </c>
      <c r="AA25" s="6">
        <v>41</v>
      </c>
      <c r="AB25" s="6">
        <v>42.63</v>
      </c>
      <c r="AC25" s="6">
        <v>41.32</v>
      </c>
      <c r="AD25" s="6">
        <v>43.27</v>
      </c>
      <c r="AE25" s="6">
        <v>41.16</v>
      </c>
      <c r="AF25" s="6">
        <v>41.67</v>
      </c>
      <c r="AG25" s="6">
        <v>40.99</v>
      </c>
      <c r="AH25" s="6">
        <v>41.83</v>
      </c>
      <c r="AI25" s="6">
        <v>41.2</v>
      </c>
      <c r="AJ25" s="6">
        <v>41.38</v>
      </c>
      <c r="AK25" s="6">
        <v>41.33</v>
      </c>
      <c r="AL25" s="6">
        <v>42.88</v>
      </c>
      <c r="AM25" s="6">
        <v>40.36</v>
      </c>
      <c r="AN25" s="6">
        <v>42.72</v>
      </c>
      <c r="AO25" s="7">
        <v>41.18</v>
      </c>
      <c r="AP25" s="7">
        <v>41.66</v>
      </c>
      <c r="AQ25" s="7">
        <v>41.62</v>
      </c>
      <c r="AR25" s="7">
        <v>40.97</v>
      </c>
      <c r="AS25" s="7">
        <v>41.92</v>
      </c>
      <c r="AT25" s="7">
        <v>42.08</v>
      </c>
      <c r="AU25" s="7">
        <v>42.6</v>
      </c>
      <c r="AV25" s="7"/>
      <c r="AW25" s="7"/>
      <c r="AX25" s="7">
        <v>43</v>
      </c>
      <c r="AY25" s="7">
        <v>40.49</v>
      </c>
      <c r="AZ25" s="7">
        <v>42.46</v>
      </c>
      <c r="BA25" s="7">
        <v>42.94</v>
      </c>
      <c r="BB25" s="7">
        <v>41.05</v>
      </c>
      <c r="BC25" s="7">
        <v>41.48</v>
      </c>
      <c r="BD25" s="7">
        <v>41.69</v>
      </c>
      <c r="BE25" s="7">
        <v>41</v>
      </c>
      <c r="BF25" s="7">
        <v>43.01</v>
      </c>
      <c r="BG25" s="7">
        <v>42.36</v>
      </c>
      <c r="BH25" s="7">
        <v>41.22</v>
      </c>
      <c r="BI25" s="7">
        <v>42.1</v>
      </c>
      <c r="BJ25" s="7">
        <v>43.16</v>
      </c>
      <c r="BK25" s="7">
        <v>41.31</v>
      </c>
      <c r="BL25" s="7">
        <v>42.86</v>
      </c>
      <c r="BM25" s="7">
        <v>41.35</v>
      </c>
      <c r="BN25" s="10">
        <v>42.08</v>
      </c>
    </row>
    <row r="26" spans="1:66" ht="15.75" customHeight="1" x14ac:dyDescent="0.25">
      <c r="A26" s="4">
        <v>25</v>
      </c>
      <c r="B26" s="4"/>
      <c r="C26" s="4">
        <v>25</v>
      </c>
      <c r="D26" s="6"/>
      <c r="E26" s="6">
        <v>40.75</v>
      </c>
      <c r="F26" s="6">
        <v>41.39</v>
      </c>
      <c r="G26" s="6">
        <v>42.36</v>
      </c>
      <c r="H26" s="6">
        <v>42.66</v>
      </c>
      <c r="I26" s="6">
        <v>41.01</v>
      </c>
      <c r="J26" s="6">
        <v>41.76</v>
      </c>
      <c r="K26" s="6">
        <v>43.88</v>
      </c>
      <c r="L26" s="6">
        <v>42.27</v>
      </c>
      <c r="M26" s="6">
        <v>44.05</v>
      </c>
      <c r="N26" s="6">
        <v>41.4</v>
      </c>
      <c r="O26" s="6">
        <v>41.41</v>
      </c>
      <c r="P26" s="6">
        <v>41.68</v>
      </c>
      <c r="Q26" s="6">
        <v>42.26</v>
      </c>
      <c r="R26" s="6">
        <v>40.880000000000003</v>
      </c>
      <c r="S26" s="6">
        <v>40.630000000000003</v>
      </c>
      <c r="T26" s="6">
        <v>40.79</v>
      </c>
      <c r="U26" s="6">
        <v>41.64</v>
      </c>
      <c r="V26" s="6">
        <v>41.17</v>
      </c>
      <c r="W26" s="6">
        <v>41.54</v>
      </c>
      <c r="X26" s="6">
        <v>41.99</v>
      </c>
      <c r="Y26" s="6">
        <v>43.18</v>
      </c>
      <c r="Z26" s="6">
        <v>41.28</v>
      </c>
      <c r="AA26" s="6">
        <v>40.98</v>
      </c>
      <c r="AB26" s="6">
        <v>42.61</v>
      </c>
      <c r="AC26" s="6">
        <v>41.32</v>
      </c>
      <c r="AD26" s="6">
        <v>43.28</v>
      </c>
      <c r="AE26" s="6">
        <v>41.21</v>
      </c>
      <c r="AF26" s="6">
        <v>41.59</v>
      </c>
      <c r="AG26" s="6">
        <v>40.950000000000003</v>
      </c>
      <c r="AH26" s="6">
        <v>41.78</v>
      </c>
      <c r="AI26" s="6">
        <v>41.1</v>
      </c>
      <c r="AJ26" s="6">
        <v>41.36</v>
      </c>
      <c r="AK26" s="6">
        <v>41.26</v>
      </c>
      <c r="AL26" s="6">
        <v>42.7</v>
      </c>
      <c r="AM26" s="6">
        <v>40.36</v>
      </c>
      <c r="AN26" s="6">
        <v>42.7</v>
      </c>
      <c r="AO26" s="7">
        <v>41.14</v>
      </c>
      <c r="AP26" s="7">
        <v>41.58</v>
      </c>
      <c r="AQ26" s="7">
        <v>41.59</v>
      </c>
      <c r="AR26" s="7">
        <v>40.92</v>
      </c>
      <c r="AS26" s="7">
        <v>41.85</v>
      </c>
      <c r="AT26" s="7">
        <v>42.01</v>
      </c>
      <c r="AU26" s="7">
        <v>42.63</v>
      </c>
      <c r="AV26" s="7"/>
      <c r="AW26" s="7"/>
      <c r="AX26" s="7">
        <v>42.88</v>
      </c>
      <c r="AY26" s="7">
        <v>40.479999999999997</v>
      </c>
      <c r="AZ26" s="7">
        <v>42.33</v>
      </c>
      <c r="BA26" s="7">
        <v>42.81</v>
      </c>
      <c r="BB26" s="7">
        <v>41.03</v>
      </c>
      <c r="BC26" s="7">
        <v>41.45</v>
      </c>
      <c r="BD26" s="7">
        <v>41.71</v>
      </c>
      <c r="BE26" s="7">
        <v>40.93</v>
      </c>
      <c r="BF26" s="7">
        <v>42.89</v>
      </c>
      <c r="BG26" s="7">
        <v>42.4</v>
      </c>
      <c r="BH26" s="7">
        <v>41.22</v>
      </c>
      <c r="BI26" s="7">
        <v>42.05</v>
      </c>
      <c r="BJ26" s="7">
        <v>43.03</v>
      </c>
      <c r="BK26" s="7">
        <v>41.3</v>
      </c>
      <c r="BL26" s="7">
        <v>42.85</v>
      </c>
      <c r="BM26" s="7">
        <v>41.27</v>
      </c>
      <c r="BN26" s="10">
        <v>41.98</v>
      </c>
    </row>
    <row r="27" spans="1:66" ht="15.75" customHeight="1" x14ac:dyDescent="0.25">
      <c r="A27" s="4">
        <v>26</v>
      </c>
      <c r="B27" s="4"/>
      <c r="C27" s="4">
        <v>26</v>
      </c>
      <c r="D27" s="6"/>
      <c r="E27" s="6">
        <v>40.68</v>
      </c>
      <c r="F27" s="6">
        <v>41.37</v>
      </c>
      <c r="G27" s="6">
        <v>42.36</v>
      </c>
      <c r="H27" s="6">
        <v>42.71</v>
      </c>
      <c r="I27" s="6">
        <v>40.96</v>
      </c>
      <c r="J27" s="6">
        <v>41.68</v>
      </c>
      <c r="K27" s="6">
        <v>43.76</v>
      </c>
      <c r="L27" s="6">
        <v>42.25</v>
      </c>
      <c r="M27" s="6">
        <v>44.01</v>
      </c>
      <c r="N27" s="6">
        <v>41.33</v>
      </c>
      <c r="O27" s="6">
        <v>41.31</v>
      </c>
      <c r="P27" s="6">
        <v>41.58</v>
      </c>
      <c r="Q27" s="6">
        <v>42.21</v>
      </c>
      <c r="R27" s="6">
        <v>40.880000000000003</v>
      </c>
      <c r="S27" s="6">
        <v>40.58</v>
      </c>
      <c r="T27" s="6">
        <v>40.74</v>
      </c>
      <c r="U27" s="6">
        <v>41.62</v>
      </c>
      <c r="V27" s="6">
        <v>41.05</v>
      </c>
      <c r="W27" s="6">
        <v>41.41</v>
      </c>
      <c r="X27" s="6">
        <v>41.92</v>
      </c>
      <c r="Y27" s="6">
        <v>43.24</v>
      </c>
      <c r="Z27" s="6">
        <v>41.21</v>
      </c>
      <c r="AA27" s="6">
        <v>40.94</v>
      </c>
      <c r="AB27" s="6">
        <v>42.52</v>
      </c>
      <c r="AC27" s="6">
        <v>41.32</v>
      </c>
      <c r="AD27" s="6">
        <v>43.24</v>
      </c>
      <c r="AE27" s="6">
        <v>41.2</v>
      </c>
      <c r="AF27" s="6">
        <v>41.53</v>
      </c>
      <c r="AG27" s="6">
        <v>40.89</v>
      </c>
      <c r="AH27" s="6">
        <v>41.76</v>
      </c>
      <c r="AI27" s="6">
        <v>41.15</v>
      </c>
      <c r="AJ27" s="6">
        <v>41.36</v>
      </c>
      <c r="AK27" s="6">
        <v>41.17</v>
      </c>
      <c r="AL27" s="6">
        <v>42.62</v>
      </c>
      <c r="AM27" s="6">
        <v>40.32</v>
      </c>
      <c r="AN27" s="6">
        <v>42.6</v>
      </c>
      <c r="AO27" s="7">
        <v>41.13</v>
      </c>
      <c r="AP27" s="7">
        <v>41.53</v>
      </c>
      <c r="AQ27" s="7">
        <v>41.59</v>
      </c>
      <c r="AR27" s="7">
        <v>40.86</v>
      </c>
      <c r="AS27" s="7">
        <v>41.75</v>
      </c>
      <c r="AT27" s="7">
        <v>41.96</v>
      </c>
      <c r="AU27" s="7">
        <v>42.69</v>
      </c>
      <c r="AV27" s="7"/>
      <c r="AW27" s="7"/>
      <c r="AX27" s="7">
        <v>42.84</v>
      </c>
      <c r="AY27" s="7">
        <v>40.46</v>
      </c>
      <c r="AZ27" s="7">
        <v>42.22</v>
      </c>
      <c r="BA27" s="7">
        <v>42.71</v>
      </c>
      <c r="BB27" s="7">
        <v>41.01</v>
      </c>
      <c r="BC27" s="7">
        <v>41.43</v>
      </c>
      <c r="BD27" s="7">
        <v>41.74</v>
      </c>
      <c r="BE27" s="7">
        <v>40.86</v>
      </c>
      <c r="BF27" s="7">
        <v>42.75</v>
      </c>
      <c r="BG27" s="7">
        <v>42.41</v>
      </c>
      <c r="BH27" s="7">
        <v>41.22</v>
      </c>
      <c r="BI27" s="7">
        <v>42</v>
      </c>
      <c r="BJ27" s="7">
        <v>42.95</v>
      </c>
      <c r="BK27" s="7">
        <v>41.29</v>
      </c>
      <c r="BL27" s="7">
        <v>42.82</v>
      </c>
      <c r="BM27" s="7">
        <v>41.2</v>
      </c>
      <c r="BN27" s="10">
        <v>41.91</v>
      </c>
    </row>
    <row r="28" spans="1:66" ht="15.75" customHeight="1" x14ac:dyDescent="0.25">
      <c r="A28" s="4">
        <v>27</v>
      </c>
      <c r="B28" s="4"/>
      <c r="C28" s="4">
        <v>27</v>
      </c>
      <c r="D28" s="6"/>
      <c r="E28" s="6">
        <v>40.64</v>
      </c>
      <c r="F28" s="6">
        <v>41.38</v>
      </c>
      <c r="G28" s="6">
        <v>42.32</v>
      </c>
      <c r="H28" s="6">
        <v>42.66</v>
      </c>
      <c r="I28" s="6">
        <v>40.909999999999997</v>
      </c>
      <c r="J28" s="6">
        <v>41.6</v>
      </c>
      <c r="K28" s="6">
        <v>43.65</v>
      </c>
      <c r="L28" s="6">
        <v>42.22</v>
      </c>
      <c r="M28" s="6">
        <v>43.96</v>
      </c>
      <c r="N28" s="6">
        <v>41.25</v>
      </c>
      <c r="O28" s="6">
        <v>41.26</v>
      </c>
      <c r="P28" s="6">
        <v>41.53</v>
      </c>
      <c r="Q28" s="6">
        <v>42.16</v>
      </c>
      <c r="R28" s="6">
        <v>40.799999999999997</v>
      </c>
      <c r="S28" s="6">
        <v>40.549999999999997</v>
      </c>
      <c r="T28" s="6">
        <v>40.71</v>
      </c>
      <c r="U28" s="6">
        <v>41.59</v>
      </c>
      <c r="V28" s="6">
        <v>40.97</v>
      </c>
      <c r="W28" s="6">
        <v>41.33</v>
      </c>
      <c r="X28" s="6">
        <v>41.8</v>
      </c>
      <c r="Y28" s="6">
        <v>43.25</v>
      </c>
      <c r="Z28" s="6">
        <v>41.12</v>
      </c>
      <c r="AA28" s="6">
        <v>40.93</v>
      </c>
      <c r="AB28" s="6">
        <v>42.45</v>
      </c>
      <c r="AC28" s="6">
        <v>41.32</v>
      </c>
      <c r="AD28" s="6">
        <v>43.19</v>
      </c>
      <c r="AE28" s="6">
        <v>41.18</v>
      </c>
      <c r="AF28" s="6">
        <v>41.47</v>
      </c>
      <c r="AG28" s="6">
        <v>40.840000000000003</v>
      </c>
      <c r="AH28" s="6">
        <v>41.71</v>
      </c>
      <c r="AI28" s="6">
        <v>41.08</v>
      </c>
      <c r="AJ28" s="6">
        <v>41.36</v>
      </c>
      <c r="AK28" s="6">
        <v>41.11</v>
      </c>
      <c r="AL28" s="6">
        <v>42.46</v>
      </c>
      <c r="AM28" s="6">
        <v>40.28</v>
      </c>
      <c r="AN28" s="6">
        <v>42.76</v>
      </c>
      <c r="AO28" s="7">
        <v>41.13</v>
      </c>
      <c r="AP28" s="7">
        <v>41.49</v>
      </c>
      <c r="AQ28" s="7">
        <v>41.59</v>
      </c>
      <c r="AR28" s="7">
        <v>40.799999999999997</v>
      </c>
      <c r="AS28" s="7">
        <v>41.65</v>
      </c>
      <c r="AT28" s="7">
        <v>41.88</v>
      </c>
      <c r="AU28" s="7">
        <v>42.79</v>
      </c>
      <c r="AV28" s="7"/>
      <c r="AW28" s="7"/>
      <c r="AX28" s="7">
        <v>42.73</v>
      </c>
      <c r="AY28" s="7">
        <v>40.450000000000003</v>
      </c>
      <c r="AZ28" s="7">
        <v>42.09</v>
      </c>
      <c r="BA28" s="7">
        <v>42.6</v>
      </c>
      <c r="BB28" s="7">
        <v>41</v>
      </c>
      <c r="BC28" s="7">
        <v>41.39</v>
      </c>
      <c r="BD28" s="7">
        <v>41.78</v>
      </c>
      <c r="BE28" s="7">
        <v>40.799999999999997</v>
      </c>
      <c r="BF28" s="7">
        <v>42.63</v>
      </c>
      <c r="BG28" s="7">
        <v>42.4</v>
      </c>
      <c r="BH28" s="7">
        <v>41.22</v>
      </c>
      <c r="BI28" s="7">
        <v>41.98</v>
      </c>
      <c r="BJ28" s="7">
        <v>42.9</v>
      </c>
      <c r="BK28" s="7">
        <v>41.27</v>
      </c>
      <c r="BL28" s="7">
        <v>42.77</v>
      </c>
      <c r="BM28" s="7">
        <v>41.14</v>
      </c>
      <c r="BN28" s="10">
        <v>41.84</v>
      </c>
    </row>
    <row r="29" spans="1:66" ht="15.75" customHeight="1" x14ac:dyDescent="0.25">
      <c r="A29" s="4">
        <v>28</v>
      </c>
      <c r="B29" s="4"/>
      <c r="C29" s="4">
        <v>28</v>
      </c>
      <c r="D29" s="6"/>
      <c r="E29" s="6">
        <v>40.58</v>
      </c>
      <c r="F29" s="6">
        <v>41.39</v>
      </c>
      <c r="G29" s="6">
        <v>42.26</v>
      </c>
      <c r="H29" s="6">
        <v>42.56</v>
      </c>
      <c r="I29" s="6">
        <v>40.86</v>
      </c>
      <c r="J29" s="6">
        <v>41.56</v>
      </c>
      <c r="K29" s="6">
        <v>43.52</v>
      </c>
      <c r="L29" s="6">
        <v>42.17</v>
      </c>
      <c r="M29" s="6">
        <v>43.91</v>
      </c>
      <c r="N29" s="6">
        <v>41.2</v>
      </c>
      <c r="O29" s="6">
        <v>41.18</v>
      </c>
      <c r="P29" s="6">
        <v>41.41</v>
      </c>
      <c r="Q29" s="6">
        <v>42.11</v>
      </c>
      <c r="R29" s="6">
        <v>40.74</v>
      </c>
      <c r="S29" s="6">
        <v>40.5</v>
      </c>
      <c r="T29" s="6">
        <v>40.69</v>
      </c>
      <c r="U29" s="6">
        <v>41.57</v>
      </c>
      <c r="V29" s="6">
        <v>40.909999999999997</v>
      </c>
      <c r="W29" s="6">
        <v>41.11</v>
      </c>
      <c r="X29" s="6">
        <v>41.72</v>
      </c>
      <c r="Y29" s="6">
        <v>43.2</v>
      </c>
      <c r="Z29" s="6">
        <v>41.05</v>
      </c>
      <c r="AA29" s="6">
        <v>40.94</v>
      </c>
      <c r="AB29" s="6">
        <v>42.33</v>
      </c>
      <c r="AC29" s="6">
        <v>41.31</v>
      </c>
      <c r="AD29" s="6">
        <v>43.13</v>
      </c>
      <c r="AE29" s="6">
        <v>41.21</v>
      </c>
      <c r="AF29" s="6">
        <v>41.42</v>
      </c>
      <c r="AG29" s="6">
        <v>40.76</v>
      </c>
      <c r="AH29" s="6">
        <v>41.55</v>
      </c>
      <c r="AI29" s="6">
        <v>41.02</v>
      </c>
      <c r="AJ29" s="6">
        <v>41.34</v>
      </c>
      <c r="AK29" s="6">
        <v>41.07</v>
      </c>
      <c r="AL29" s="6">
        <v>42.33</v>
      </c>
      <c r="AM29" s="6">
        <v>40.25</v>
      </c>
      <c r="AN29" s="6">
        <v>42.79</v>
      </c>
      <c r="AO29" s="7">
        <v>41.14</v>
      </c>
      <c r="AP29" s="7">
        <v>41.43</v>
      </c>
      <c r="AQ29" s="7">
        <v>41.59</v>
      </c>
      <c r="AR29" s="7">
        <v>40.76</v>
      </c>
      <c r="AS29" s="7">
        <v>41.57</v>
      </c>
      <c r="AT29" s="7">
        <v>41.8</v>
      </c>
      <c r="AU29" s="7">
        <v>42.87</v>
      </c>
      <c r="AV29" s="7"/>
      <c r="AW29" s="7"/>
      <c r="AX29" s="7">
        <v>42.67</v>
      </c>
      <c r="AY29" s="7">
        <v>40.450000000000003</v>
      </c>
      <c r="AZ29" s="7">
        <v>41.97</v>
      </c>
      <c r="BA29" s="7">
        <v>42.5</v>
      </c>
      <c r="BB29" s="7">
        <v>40.97</v>
      </c>
      <c r="BC29" s="7">
        <v>41.37</v>
      </c>
      <c r="BD29" s="7">
        <v>41.83</v>
      </c>
      <c r="BE29" s="7">
        <v>40.74</v>
      </c>
      <c r="BF29" s="7">
        <v>42.5</v>
      </c>
      <c r="BG29" s="7">
        <v>42.35</v>
      </c>
      <c r="BH29" s="7">
        <v>41.22</v>
      </c>
      <c r="BI29" s="7">
        <v>41.94</v>
      </c>
      <c r="BJ29" s="7">
        <v>42.81</v>
      </c>
      <c r="BK29" s="7">
        <v>41.26</v>
      </c>
      <c r="BL29" s="7">
        <v>42.71</v>
      </c>
      <c r="BM29" s="7">
        <v>41.07</v>
      </c>
      <c r="BN29" s="10">
        <v>41.76</v>
      </c>
    </row>
    <row r="30" spans="1:66" ht="15.75" customHeight="1" x14ac:dyDescent="0.25">
      <c r="A30" s="4">
        <v>29</v>
      </c>
      <c r="B30" s="4"/>
      <c r="C30" s="4">
        <v>29</v>
      </c>
      <c r="D30" s="6"/>
      <c r="E30" s="6">
        <v>40.5</v>
      </c>
      <c r="F30" s="6">
        <v>41.37</v>
      </c>
      <c r="G30" s="6">
        <v>42.21</v>
      </c>
      <c r="H30" s="6">
        <v>42.61</v>
      </c>
      <c r="I30" s="6">
        <v>40.81</v>
      </c>
      <c r="J30" s="6">
        <v>41.56</v>
      </c>
      <c r="K30" s="6">
        <v>43.37</v>
      </c>
      <c r="L30" s="6">
        <v>42.13</v>
      </c>
      <c r="M30" s="6">
        <v>43.84</v>
      </c>
      <c r="N30" s="6">
        <v>41.15</v>
      </c>
      <c r="O30" s="6">
        <v>41.14</v>
      </c>
      <c r="P30" s="6">
        <v>41.27</v>
      </c>
      <c r="Q30" s="6">
        <v>42.05</v>
      </c>
      <c r="R30" s="6">
        <v>40.68</v>
      </c>
      <c r="S30" s="6">
        <v>40.46</v>
      </c>
      <c r="T30" s="6">
        <v>40.659999999999997</v>
      </c>
      <c r="U30" s="6">
        <v>41.54</v>
      </c>
      <c r="V30" s="6">
        <v>40.86</v>
      </c>
      <c r="W30" s="6">
        <v>41.12</v>
      </c>
      <c r="X30" s="6">
        <v>41.64</v>
      </c>
      <c r="Y30" s="6">
        <v>43.15</v>
      </c>
      <c r="Z30" s="6">
        <v>41</v>
      </c>
      <c r="AA30" s="6">
        <v>40.96</v>
      </c>
      <c r="AB30" s="6">
        <v>42.24</v>
      </c>
      <c r="AC30" s="6">
        <v>41.31</v>
      </c>
      <c r="AD30" s="6">
        <v>43.03</v>
      </c>
      <c r="AE30" s="6">
        <v>41.26</v>
      </c>
      <c r="AF30" s="6">
        <v>41.36</v>
      </c>
      <c r="AG30" s="6">
        <v>40.71</v>
      </c>
      <c r="AH30" s="6">
        <v>41.55</v>
      </c>
      <c r="AI30" s="6">
        <v>40.96</v>
      </c>
      <c r="AJ30" s="6">
        <v>41.34</v>
      </c>
      <c r="AK30" s="6">
        <v>41.03</v>
      </c>
      <c r="AL30" s="6">
        <v>42.2</v>
      </c>
      <c r="AM30" s="6">
        <v>40.22</v>
      </c>
      <c r="AN30" s="6">
        <v>42.9</v>
      </c>
      <c r="AO30" s="7">
        <v>41.11</v>
      </c>
      <c r="AP30" s="7">
        <v>41.38</v>
      </c>
      <c r="AQ30" s="7">
        <v>41.63</v>
      </c>
      <c r="AR30" s="7">
        <v>40.72</v>
      </c>
      <c r="AS30" s="7">
        <v>41.48</v>
      </c>
      <c r="AT30" s="7">
        <v>41.72</v>
      </c>
      <c r="AU30" s="7">
        <v>42.91</v>
      </c>
      <c r="AV30" s="7"/>
      <c r="AW30" s="7"/>
      <c r="AX30" s="7">
        <v>42.61</v>
      </c>
      <c r="AY30" s="7">
        <v>40.44</v>
      </c>
      <c r="AZ30" s="7">
        <v>41.87</v>
      </c>
      <c r="BA30" s="7">
        <v>42.41</v>
      </c>
      <c r="BB30" s="7">
        <v>40.94</v>
      </c>
      <c r="BC30" s="7">
        <v>41.26</v>
      </c>
      <c r="BD30" s="7">
        <v>41.83</v>
      </c>
      <c r="BE30" s="7">
        <v>40.69</v>
      </c>
      <c r="BF30" s="7">
        <v>42.39</v>
      </c>
      <c r="BG30" s="7">
        <v>42.28</v>
      </c>
      <c r="BH30" s="7">
        <v>41.25</v>
      </c>
      <c r="BI30" s="7">
        <v>41.9</v>
      </c>
      <c r="BJ30" s="7">
        <v>42.74</v>
      </c>
      <c r="BK30" s="7">
        <v>41.26</v>
      </c>
      <c r="BL30" s="7">
        <v>42.64</v>
      </c>
      <c r="BM30" s="7">
        <v>41</v>
      </c>
      <c r="BN30" s="10">
        <v>41.76</v>
      </c>
    </row>
    <row r="31" spans="1:66" ht="15.75" customHeight="1" x14ac:dyDescent="0.25">
      <c r="A31" s="4">
        <v>30</v>
      </c>
      <c r="B31" s="4"/>
      <c r="C31" s="4">
        <v>30</v>
      </c>
      <c r="D31" s="6"/>
      <c r="E31" s="6">
        <v>40.46</v>
      </c>
      <c r="F31" s="6">
        <v>41.36</v>
      </c>
      <c r="G31" s="6">
        <v>42.16</v>
      </c>
      <c r="H31" s="6">
        <v>42.54</v>
      </c>
      <c r="I31" s="6">
        <v>40.75</v>
      </c>
      <c r="J31" s="6">
        <v>41.53</v>
      </c>
      <c r="K31" s="6">
        <v>43.33</v>
      </c>
      <c r="L31" s="6">
        <v>42.05</v>
      </c>
      <c r="M31" s="6">
        <v>43.76</v>
      </c>
      <c r="N31" s="6">
        <v>41.1</v>
      </c>
      <c r="O31" s="6">
        <v>41.1</v>
      </c>
      <c r="P31" s="6">
        <v>41.16</v>
      </c>
      <c r="Q31" s="6">
        <v>42.05</v>
      </c>
      <c r="R31" s="6">
        <v>40.65</v>
      </c>
      <c r="S31" s="6">
        <v>40.409999999999997</v>
      </c>
      <c r="T31" s="6">
        <v>40.64</v>
      </c>
      <c r="U31" s="6">
        <v>41.5</v>
      </c>
      <c r="V31" s="6">
        <v>40.799999999999997</v>
      </c>
      <c r="W31" s="6">
        <v>41.05</v>
      </c>
      <c r="X31" s="6">
        <v>41.52</v>
      </c>
      <c r="Y31" s="6">
        <v>43.09</v>
      </c>
      <c r="Z31" s="6">
        <v>40.96</v>
      </c>
      <c r="AA31" s="6">
        <v>40.98</v>
      </c>
      <c r="AB31" s="6">
        <v>42.14</v>
      </c>
      <c r="AC31" s="6">
        <v>41.31</v>
      </c>
      <c r="AD31" s="6">
        <v>42.96</v>
      </c>
      <c r="AE31" s="6">
        <v>41.3</v>
      </c>
      <c r="AF31" s="6">
        <v>41.29</v>
      </c>
      <c r="AG31" s="6">
        <v>40.630000000000003</v>
      </c>
      <c r="AH31" s="6">
        <v>41.47</v>
      </c>
      <c r="AI31" s="6">
        <v>40.93</v>
      </c>
      <c r="AJ31" s="6">
        <v>41.32</v>
      </c>
      <c r="AK31" s="6">
        <v>41</v>
      </c>
      <c r="AL31" s="6">
        <v>42.97</v>
      </c>
      <c r="AM31" s="6">
        <v>40.17</v>
      </c>
      <c r="AN31" s="6">
        <v>42.98</v>
      </c>
      <c r="AO31" s="7">
        <v>40.97</v>
      </c>
      <c r="AP31" s="7">
        <v>41.32</v>
      </c>
      <c r="AQ31" s="7">
        <v>41.65</v>
      </c>
      <c r="AR31" s="7">
        <v>40.68</v>
      </c>
      <c r="AS31" s="7">
        <v>41.38</v>
      </c>
      <c r="AT31" s="7">
        <v>41.66</v>
      </c>
      <c r="AU31" s="7">
        <v>43.06</v>
      </c>
      <c r="AV31" s="7"/>
      <c r="AW31" s="7"/>
      <c r="AX31" s="7">
        <v>42.51</v>
      </c>
      <c r="AY31" s="7">
        <v>40.4</v>
      </c>
      <c r="AZ31" s="7">
        <v>41.76</v>
      </c>
      <c r="BA31" s="7">
        <v>42.34</v>
      </c>
      <c r="BB31" s="7">
        <v>40.89</v>
      </c>
      <c r="BC31" s="7">
        <v>41.24</v>
      </c>
      <c r="BD31" s="7">
        <v>41.84</v>
      </c>
      <c r="BE31" s="7">
        <v>40.619999999999997</v>
      </c>
      <c r="BF31" s="7">
        <v>42.3</v>
      </c>
      <c r="BG31" s="7">
        <v>42.12</v>
      </c>
      <c r="BH31" s="7">
        <v>41.27</v>
      </c>
      <c r="BI31" s="7">
        <v>41.86</v>
      </c>
      <c r="BJ31" s="7">
        <v>42.72</v>
      </c>
      <c r="BK31" s="7">
        <v>41.29</v>
      </c>
      <c r="BL31" s="7">
        <v>42.55</v>
      </c>
      <c r="BM31" s="7">
        <v>40.93</v>
      </c>
      <c r="BN31" s="10">
        <v>41.75</v>
      </c>
    </row>
    <row r="32" spans="1:66" ht="15.75" customHeight="1" x14ac:dyDescent="0.25">
      <c r="A32" s="4">
        <v>31</v>
      </c>
      <c r="B32" s="4"/>
      <c r="C32" s="4">
        <v>31</v>
      </c>
      <c r="D32" s="6"/>
      <c r="E32" s="6">
        <v>40.43</v>
      </c>
      <c r="F32" s="6">
        <v>41.34</v>
      </c>
      <c r="G32" s="6">
        <v>42.16</v>
      </c>
      <c r="H32" s="6">
        <v>42.48</v>
      </c>
      <c r="I32" s="6">
        <v>40.75</v>
      </c>
      <c r="J32" s="6">
        <v>41.48</v>
      </c>
      <c r="K32" s="6">
        <v>43.08</v>
      </c>
      <c r="L32" s="6">
        <v>41.99</v>
      </c>
      <c r="M32" s="6">
        <v>43.71</v>
      </c>
      <c r="N32" s="6">
        <v>41.05</v>
      </c>
      <c r="O32" s="6">
        <v>41.06</v>
      </c>
      <c r="P32" s="6">
        <v>41.11</v>
      </c>
      <c r="Q32" s="6">
        <v>42.02</v>
      </c>
      <c r="R32" s="6">
        <v>40.590000000000003</v>
      </c>
      <c r="S32" s="6">
        <v>40.409999999999997</v>
      </c>
      <c r="T32" s="6">
        <v>40.619999999999997</v>
      </c>
      <c r="U32" s="6">
        <v>41.46</v>
      </c>
      <c r="V32" s="6">
        <v>40.75</v>
      </c>
      <c r="W32" s="6">
        <v>41.03</v>
      </c>
      <c r="X32" s="6">
        <v>41.44</v>
      </c>
      <c r="Y32" s="6">
        <v>43.01</v>
      </c>
      <c r="Z32" s="6">
        <v>40.92</v>
      </c>
      <c r="AA32" s="6">
        <v>41</v>
      </c>
      <c r="AB32" s="6">
        <v>42.03</v>
      </c>
      <c r="AC32" s="6">
        <v>41.31</v>
      </c>
      <c r="AD32" s="6">
        <v>42.86</v>
      </c>
      <c r="AE32" s="6">
        <v>41.34</v>
      </c>
      <c r="AF32" s="6">
        <v>41.22</v>
      </c>
      <c r="AG32" s="6">
        <v>40.58</v>
      </c>
      <c r="AH32" s="6">
        <v>41.4</v>
      </c>
      <c r="AI32" s="6">
        <v>40.840000000000003</v>
      </c>
      <c r="AJ32" s="6">
        <v>41.3</v>
      </c>
      <c r="AK32" s="6">
        <v>40.97</v>
      </c>
      <c r="AL32" s="6">
        <v>41.94</v>
      </c>
      <c r="AM32" s="6">
        <v>40.159999999999997</v>
      </c>
      <c r="AN32" s="6">
        <v>43.06</v>
      </c>
      <c r="AO32" s="7">
        <v>40.909999999999997</v>
      </c>
      <c r="AP32" s="7">
        <v>41.27</v>
      </c>
      <c r="AQ32" s="7">
        <v>41.66</v>
      </c>
      <c r="AR32" s="7">
        <v>40.64</v>
      </c>
      <c r="AS32" s="7">
        <v>41.29</v>
      </c>
      <c r="AT32" s="7">
        <v>41.58</v>
      </c>
      <c r="AU32" s="7">
        <v>43.15</v>
      </c>
      <c r="AV32" s="7"/>
      <c r="AW32" s="7"/>
      <c r="AX32" s="7">
        <v>42.44</v>
      </c>
      <c r="AY32" s="7">
        <v>40.369999999999997</v>
      </c>
      <c r="AZ32" s="7">
        <v>41.66</v>
      </c>
      <c r="BA32" s="7">
        <v>42.28</v>
      </c>
      <c r="BB32" s="7">
        <v>40.85</v>
      </c>
      <c r="BC32" s="7">
        <v>41.11</v>
      </c>
      <c r="BD32" s="7">
        <v>41.83</v>
      </c>
      <c r="BE32" s="7">
        <v>40.57</v>
      </c>
      <c r="BF32" s="7">
        <v>42.23</v>
      </c>
      <c r="BG32" s="7">
        <v>42.1</v>
      </c>
      <c r="BH32" s="7">
        <v>41.27</v>
      </c>
      <c r="BI32" s="7">
        <v>41.8</v>
      </c>
      <c r="BJ32" s="7">
        <v>42.68</v>
      </c>
      <c r="BK32" s="7">
        <v>41.3</v>
      </c>
      <c r="BL32" s="7">
        <v>42.45</v>
      </c>
      <c r="BM32" s="7">
        <v>40.85</v>
      </c>
      <c r="BN32" s="10">
        <v>41.8</v>
      </c>
    </row>
    <row r="33" spans="1:66" ht="15.75" customHeight="1" x14ac:dyDescent="0.25">
      <c r="A33" s="4">
        <v>32</v>
      </c>
      <c r="B33" s="5" t="s">
        <v>4</v>
      </c>
      <c r="C33" s="4">
        <v>1</v>
      </c>
      <c r="D33" s="6"/>
      <c r="E33" s="6">
        <v>40.409999999999997</v>
      </c>
      <c r="F33" s="6">
        <v>41.32</v>
      </c>
      <c r="G33" s="6">
        <v>42.18</v>
      </c>
      <c r="H33" s="6">
        <v>42.41</v>
      </c>
      <c r="I33" s="6">
        <v>40.75</v>
      </c>
      <c r="J33" s="6">
        <v>41.47</v>
      </c>
      <c r="K33" s="6">
        <v>42.82</v>
      </c>
      <c r="L33" s="6">
        <v>41.94</v>
      </c>
      <c r="M33" s="6">
        <v>43.62</v>
      </c>
      <c r="N33" s="6">
        <v>41.02</v>
      </c>
      <c r="O33" s="6">
        <v>41.04</v>
      </c>
      <c r="P33" s="6">
        <v>41.06</v>
      </c>
      <c r="Q33" s="6">
        <v>42.01</v>
      </c>
      <c r="R33" s="6">
        <v>40.54</v>
      </c>
      <c r="S33" s="6">
        <v>40.409999999999997</v>
      </c>
      <c r="T33" s="6">
        <v>40.590000000000003</v>
      </c>
      <c r="U33" s="6">
        <v>41.42</v>
      </c>
      <c r="V33" s="6">
        <v>40.700000000000003</v>
      </c>
      <c r="W33" s="6">
        <v>40.96</v>
      </c>
      <c r="X33" s="6">
        <v>41.33</v>
      </c>
      <c r="Y33" s="6">
        <v>42.92</v>
      </c>
      <c r="Z33" s="6">
        <v>40.85</v>
      </c>
      <c r="AA33" s="6">
        <v>41.02</v>
      </c>
      <c r="AB33" s="6">
        <v>42</v>
      </c>
      <c r="AC33" s="6">
        <v>41.31</v>
      </c>
      <c r="AD33" s="6">
        <v>42.75</v>
      </c>
      <c r="AE33" s="6">
        <v>41.37</v>
      </c>
      <c r="AF33" s="6">
        <v>41.15</v>
      </c>
      <c r="AG33" s="6">
        <v>40.520000000000003</v>
      </c>
      <c r="AH33" s="6">
        <v>41.31</v>
      </c>
      <c r="AI33" s="6">
        <v>40.840000000000003</v>
      </c>
      <c r="AJ33" s="6">
        <v>41.26</v>
      </c>
      <c r="AK33" s="6">
        <v>40.950000000000003</v>
      </c>
      <c r="AL33" s="6">
        <v>41.84</v>
      </c>
      <c r="AM33" s="6">
        <v>40.130000000000003</v>
      </c>
      <c r="AN33" s="6">
        <v>43.12</v>
      </c>
      <c r="AO33" s="7">
        <v>40.96</v>
      </c>
      <c r="AP33" s="7">
        <v>41.27</v>
      </c>
      <c r="AQ33" s="7">
        <v>41.64</v>
      </c>
      <c r="AR33" s="7">
        <v>40.6</v>
      </c>
      <c r="AS33" s="7">
        <v>41.14</v>
      </c>
      <c r="AT33" s="7">
        <v>41.52</v>
      </c>
      <c r="AU33" s="7">
        <v>43.27</v>
      </c>
      <c r="AV33" s="7"/>
      <c r="AW33" s="7"/>
      <c r="AX33" s="7">
        <v>42.4</v>
      </c>
      <c r="AY33" s="7">
        <v>40.33</v>
      </c>
      <c r="AZ33" s="7">
        <v>41.56</v>
      </c>
      <c r="BA33" s="7">
        <v>42.25</v>
      </c>
      <c r="BB33" s="7">
        <v>40.82</v>
      </c>
      <c r="BC33" s="7">
        <v>41.04</v>
      </c>
      <c r="BD33" s="7">
        <v>41.83</v>
      </c>
      <c r="BE33" s="7">
        <v>40.53</v>
      </c>
      <c r="BF33" s="7">
        <v>42.17</v>
      </c>
      <c r="BG33" s="7">
        <v>42.05</v>
      </c>
      <c r="BH33" s="7">
        <v>41.24</v>
      </c>
      <c r="BI33" s="7">
        <v>41.76</v>
      </c>
      <c r="BJ33" s="7">
        <v>42.59</v>
      </c>
      <c r="BK33" s="7">
        <v>41.27</v>
      </c>
      <c r="BL33" s="7">
        <v>42.31</v>
      </c>
      <c r="BM33" s="7">
        <v>40.79</v>
      </c>
      <c r="BN33" s="10">
        <v>41.86</v>
      </c>
    </row>
    <row r="34" spans="1:66" ht="15.75" customHeight="1" x14ac:dyDescent="0.25">
      <c r="A34" s="4">
        <v>33</v>
      </c>
      <c r="B34" s="4"/>
      <c r="C34" s="4">
        <v>2</v>
      </c>
      <c r="D34" s="6"/>
      <c r="E34" s="6">
        <v>40.39</v>
      </c>
      <c r="F34" s="6">
        <v>41.29</v>
      </c>
      <c r="G34" s="6">
        <v>42.21</v>
      </c>
      <c r="H34" s="6">
        <v>42.31</v>
      </c>
      <c r="I34" s="6">
        <v>40.81</v>
      </c>
      <c r="J34" s="6">
        <v>41.46</v>
      </c>
      <c r="K34" s="6">
        <v>42.67</v>
      </c>
      <c r="L34" s="6">
        <v>41.9</v>
      </c>
      <c r="M34" s="6">
        <v>43.53</v>
      </c>
      <c r="N34" s="6">
        <v>40.96</v>
      </c>
      <c r="O34" s="6">
        <v>41</v>
      </c>
      <c r="P34" s="6">
        <v>40.96</v>
      </c>
      <c r="Q34" s="6">
        <v>41.98</v>
      </c>
      <c r="R34" s="6">
        <v>40.49</v>
      </c>
      <c r="S34" s="6">
        <v>40.409999999999997</v>
      </c>
      <c r="T34" s="6">
        <v>40.58</v>
      </c>
      <c r="U34" s="6">
        <v>41.37</v>
      </c>
      <c r="V34" s="6">
        <v>40.65</v>
      </c>
      <c r="W34" s="6">
        <v>40.92</v>
      </c>
      <c r="X34" s="6">
        <v>41.25</v>
      </c>
      <c r="Y34" s="6">
        <v>42.88</v>
      </c>
      <c r="Z34" s="6">
        <v>40.81</v>
      </c>
      <c r="AA34" s="6">
        <v>41.02</v>
      </c>
      <c r="AB34" s="6">
        <v>41.95</v>
      </c>
      <c r="AC34" s="6">
        <v>41.18</v>
      </c>
      <c r="AD34" s="6">
        <v>42.64</v>
      </c>
      <c r="AE34" s="6">
        <v>41.42</v>
      </c>
      <c r="AF34" s="6">
        <v>41.06</v>
      </c>
      <c r="AG34" s="6">
        <v>40.46</v>
      </c>
      <c r="AH34" s="6">
        <v>41.27</v>
      </c>
      <c r="AI34" s="6">
        <v>40.82</v>
      </c>
      <c r="AJ34" s="6">
        <v>41.22</v>
      </c>
      <c r="AK34" s="6">
        <v>40.950000000000003</v>
      </c>
      <c r="AL34" s="6">
        <v>41.76</v>
      </c>
      <c r="AM34" s="6">
        <v>40.090000000000003</v>
      </c>
      <c r="AN34" s="6">
        <v>43.18</v>
      </c>
      <c r="AO34" s="7">
        <v>40.93</v>
      </c>
      <c r="AP34" s="7">
        <v>41.15</v>
      </c>
      <c r="AQ34" s="7">
        <v>41.61</v>
      </c>
      <c r="AR34" s="7">
        <v>40.58</v>
      </c>
      <c r="AS34" s="7">
        <v>41.07</v>
      </c>
      <c r="AT34" s="7">
        <v>41.46</v>
      </c>
      <c r="AU34" s="7">
        <v>43.39</v>
      </c>
      <c r="AV34" s="7"/>
      <c r="AW34" s="7"/>
      <c r="AX34" s="7">
        <v>42.42</v>
      </c>
      <c r="AY34" s="7">
        <v>40.31</v>
      </c>
      <c r="AZ34" s="7">
        <v>41.52</v>
      </c>
      <c r="BA34" s="7">
        <v>42.23</v>
      </c>
      <c r="BB34" s="7">
        <v>40.770000000000003</v>
      </c>
      <c r="BC34" s="7">
        <v>40.97</v>
      </c>
      <c r="BD34" s="7">
        <v>41.82</v>
      </c>
      <c r="BE34" s="7">
        <v>40.49</v>
      </c>
      <c r="BF34" s="7">
        <v>42.15</v>
      </c>
      <c r="BG34" s="7">
        <v>42.05</v>
      </c>
      <c r="BH34" s="7">
        <v>41.17</v>
      </c>
      <c r="BI34" s="7">
        <v>41.74</v>
      </c>
      <c r="BJ34" s="7">
        <v>42.53</v>
      </c>
      <c r="BK34" s="7">
        <v>41.22</v>
      </c>
      <c r="BL34" s="7">
        <v>42.19</v>
      </c>
      <c r="BM34" s="7">
        <v>40.72</v>
      </c>
      <c r="BN34" s="10">
        <v>41.91</v>
      </c>
    </row>
    <row r="35" spans="1:66" ht="15.75" customHeight="1" x14ac:dyDescent="0.25">
      <c r="A35" s="4">
        <v>34</v>
      </c>
      <c r="B35" s="4"/>
      <c r="C35" s="4">
        <v>3</v>
      </c>
      <c r="D35" s="6"/>
      <c r="E35" s="6">
        <v>40.31</v>
      </c>
      <c r="F35" s="6">
        <v>41.25</v>
      </c>
      <c r="G35" s="6">
        <v>42.26</v>
      </c>
      <c r="H35" s="6">
        <v>42.26</v>
      </c>
      <c r="I35" s="6">
        <v>40.909999999999997</v>
      </c>
      <c r="J35" s="6">
        <v>41.46</v>
      </c>
      <c r="K35" s="6">
        <v>42.5</v>
      </c>
      <c r="L35" s="6">
        <v>41.84</v>
      </c>
      <c r="M35" s="6">
        <v>43.44</v>
      </c>
      <c r="N35" s="6">
        <v>40.96</v>
      </c>
      <c r="O35" s="6">
        <v>41</v>
      </c>
      <c r="P35" s="6">
        <v>40.9</v>
      </c>
      <c r="Q35" s="6">
        <v>41.88</v>
      </c>
      <c r="R35" s="6">
        <v>40.46</v>
      </c>
      <c r="S35" s="6">
        <v>40.409999999999997</v>
      </c>
      <c r="T35" s="6">
        <v>40.57</v>
      </c>
      <c r="U35" s="6">
        <v>41.32</v>
      </c>
      <c r="V35" s="6">
        <v>40.619999999999997</v>
      </c>
      <c r="W35" s="6">
        <v>40.93</v>
      </c>
      <c r="X35" s="6">
        <v>41.17</v>
      </c>
      <c r="Y35" s="6">
        <v>42.83</v>
      </c>
      <c r="Z35" s="6">
        <v>40.75</v>
      </c>
      <c r="AA35" s="6">
        <v>41.02</v>
      </c>
      <c r="AB35" s="6">
        <v>41.89</v>
      </c>
      <c r="AC35" s="6">
        <v>41.12</v>
      </c>
      <c r="AD35" s="6">
        <v>42.53</v>
      </c>
      <c r="AE35" s="6">
        <v>41.51</v>
      </c>
      <c r="AF35" s="6">
        <v>41</v>
      </c>
      <c r="AG35" s="6">
        <v>40.46</v>
      </c>
      <c r="AH35" s="6">
        <v>41.22</v>
      </c>
      <c r="AI35" s="6">
        <v>40.76</v>
      </c>
      <c r="AJ35" s="6">
        <v>41.18</v>
      </c>
      <c r="AK35" s="6">
        <v>40.94</v>
      </c>
      <c r="AL35" s="6">
        <v>41.68</v>
      </c>
      <c r="AM35" s="6">
        <v>40.06</v>
      </c>
      <c r="AN35" s="6">
        <v>43.26</v>
      </c>
      <c r="AO35" s="7">
        <v>40.93</v>
      </c>
      <c r="AP35" s="7">
        <v>41.09</v>
      </c>
      <c r="AQ35" s="7">
        <v>41.46</v>
      </c>
      <c r="AR35" s="7">
        <v>40.56</v>
      </c>
      <c r="AS35" s="7">
        <v>41.01</v>
      </c>
      <c r="AT35" s="7">
        <v>41.38</v>
      </c>
      <c r="AU35" s="7">
        <v>43.52</v>
      </c>
      <c r="AV35" s="7"/>
      <c r="AW35" s="7"/>
      <c r="AX35" s="7">
        <v>42.54</v>
      </c>
      <c r="AY35" s="7">
        <v>40.229999999999997</v>
      </c>
      <c r="AZ35" s="7">
        <v>41.47</v>
      </c>
      <c r="BA35" s="7">
        <v>42.22</v>
      </c>
      <c r="BB35" s="7">
        <v>40.729999999999997</v>
      </c>
      <c r="BC35" s="7">
        <v>40.909999999999997</v>
      </c>
      <c r="BD35" s="7">
        <v>41.81</v>
      </c>
      <c r="BE35" s="7">
        <v>40.44</v>
      </c>
      <c r="BF35" s="7">
        <v>42.15</v>
      </c>
      <c r="BG35" s="7">
        <v>41.96</v>
      </c>
      <c r="BH35" s="7">
        <v>41.16</v>
      </c>
      <c r="BI35" s="7">
        <v>41.7</v>
      </c>
      <c r="BJ35" s="7">
        <v>42.39</v>
      </c>
      <c r="BK35" s="7">
        <v>41.15</v>
      </c>
      <c r="BL35" s="7">
        <v>42.04</v>
      </c>
      <c r="BM35" s="7">
        <v>40.67</v>
      </c>
      <c r="BN35" s="10">
        <v>41.92</v>
      </c>
    </row>
    <row r="36" spans="1:66" ht="15.75" customHeight="1" x14ac:dyDescent="0.25">
      <c r="A36" s="4">
        <v>35</v>
      </c>
      <c r="B36" s="4"/>
      <c r="C36" s="4">
        <v>4</v>
      </c>
      <c r="D36" s="6"/>
      <c r="E36" s="6">
        <v>40.25</v>
      </c>
      <c r="F36" s="6">
        <v>41.19</v>
      </c>
      <c r="G36" s="6">
        <v>42.26</v>
      </c>
      <c r="H36" s="6">
        <v>42.21</v>
      </c>
      <c r="I36" s="6">
        <v>41.01</v>
      </c>
      <c r="J36" s="6">
        <v>41.46</v>
      </c>
      <c r="K36" s="6">
        <v>42.34</v>
      </c>
      <c r="L36" s="6">
        <v>41.78</v>
      </c>
      <c r="M36" s="6">
        <v>43.3</v>
      </c>
      <c r="N36" s="6">
        <v>40.909999999999997</v>
      </c>
      <c r="O36" s="6">
        <v>41.02</v>
      </c>
      <c r="P36" s="6">
        <v>40.840000000000003</v>
      </c>
      <c r="Q36" s="6">
        <v>41.89</v>
      </c>
      <c r="R36" s="6">
        <v>40.46</v>
      </c>
      <c r="S36" s="6">
        <v>40.409999999999997</v>
      </c>
      <c r="T36" s="6">
        <v>40.57</v>
      </c>
      <c r="U36" s="6">
        <v>41.26</v>
      </c>
      <c r="V36" s="6">
        <v>40.590000000000003</v>
      </c>
      <c r="W36" s="6">
        <v>40.86</v>
      </c>
      <c r="X36" s="6">
        <v>41.09</v>
      </c>
      <c r="Y36" s="6">
        <v>42.83</v>
      </c>
      <c r="Z36" s="6">
        <v>40.69</v>
      </c>
      <c r="AA36" s="6">
        <v>41.01</v>
      </c>
      <c r="AB36" s="6">
        <v>41.84</v>
      </c>
      <c r="AC36" s="6">
        <v>41.06</v>
      </c>
      <c r="AD36" s="6">
        <v>42.41</v>
      </c>
      <c r="AE36" s="6">
        <v>41.58</v>
      </c>
      <c r="AF36" s="6">
        <v>40.94</v>
      </c>
      <c r="AG36" s="6">
        <v>40.380000000000003</v>
      </c>
      <c r="AH36" s="6">
        <v>41.2</v>
      </c>
      <c r="AI36" s="6">
        <v>40.74</v>
      </c>
      <c r="AJ36" s="6">
        <v>41.13</v>
      </c>
      <c r="AK36" s="6">
        <v>40.94</v>
      </c>
      <c r="AL36" s="6">
        <v>41.62</v>
      </c>
      <c r="AM36" s="6">
        <v>40.03</v>
      </c>
      <c r="AN36" s="6">
        <v>43.26</v>
      </c>
      <c r="AO36" s="7">
        <v>40.93</v>
      </c>
      <c r="AP36" s="7">
        <v>41.04</v>
      </c>
      <c r="AQ36" s="7">
        <v>41.51</v>
      </c>
      <c r="AR36" s="7">
        <v>40.520000000000003</v>
      </c>
      <c r="AS36" s="7">
        <v>40.94</v>
      </c>
      <c r="AT36" s="7">
        <v>41.32</v>
      </c>
      <c r="AU36" s="7">
        <v>43.63</v>
      </c>
      <c r="AV36" s="7"/>
      <c r="AW36" s="7"/>
      <c r="AX36" s="7">
        <v>42.66</v>
      </c>
      <c r="AY36" s="7">
        <v>40.26</v>
      </c>
      <c r="AZ36" s="7">
        <v>41.43</v>
      </c>
      <c r="BA36" s="7">
        <v>42.22</v>
      </c>
      <c r="BB36" s="7">
        <v>40.68</v>
      </c>
      <c r="BC36" s="7">
        <v>40.9</v>
      </c>
      <c r="BD36" s="7">
        <v>41.83</v>
      </c>
      <c r="BE36" s="7">
        <v>40.4</v>
      </c>
      <c r="BF36" s="7">
        <v>42.15</v>
      </c>
      <c r="BG36" s="7">
        <v>41.87</v>
      </c>
      <c r="BH36" s="7">
        <v>41.14</v>
      </c>
      <c r="BI36" s="7">
        <v>41.68</v>
      </c>
      <c r="BJ36" s="7">
        <v>42.37</v>
      </c>
      <c r="BK36" s="7">
        <v>41.1</v>
      </c>
      <c r="BL36" s="7">
        <v>41.91</v>
      </c>
      <c r="BM36" s="7">
        <v>40.69</v>
      </c>
      <c r="BN36" s="10">
        <v>41.92</v>
      </c>
    </row>
    <row r="37" spans="1:66" ht="15.75" customHeight="1" x14ac:dyDescent="0.25">
      <c r="A37" s="4">
        <v>36</v>
      </c>
      <c r="B37" s="4"/>
      <c r="C37" s="4">
        <v>5</v>
      </c>
      <c r="D37" s="6"/>
      <c r="E37" s="6">
        <v>40.229999999999997</v>
      </c>
      <c r="F37" s="6">
        <v>41.1</v>
      </c>
      <c r="G37" s="6">
        <v>42.16</v>
      </c>
      <c r="H37" s="6">
        <v>42.16</v>
      </c>
      <c r="I37" s="6">
        <v>41.09</v>
      </c>
      <c r="J37" s="6">
        <v>41.46</v>
      </c>
      <c r="K37" s="6">
        <v>42.21</v>
      </c>
      <c r="L37" s="6">
        <v>41.76</v>
      </c>
      <c r="M37" s="6">
        <v>43.18</v>
      </c>
      <c r="N37" s="6">
        <v>40.86</v>
      </c>
      <c r="O37" s="6">
        <v>41.04</v>
      </c>
      <c r="P37" s="6">
        <v>40.659999999999997</v>
      </c>
      <c r="Q37" s="6">
        <v>41.86</v>
      </c>
      <c r="R37" s="6">
        <v>40.39</v>
      </c>
      <c r="S37" s="6">
        <v>40.39</v>
      </c>
      <c r="T37" s="6">
        <v>40.57</v>
      </c>
      <c r="U37" s="6">
        <v>41.23</v>
      </c>
      <c r="V37" s="6">
        <v>40.56</v>
      </c>
      <c r="W37" s="6">
        <v>40.76</v>
      </c>
      <c r="X37" s="6">
        <v>41.02</v>
      </c>
      <c r="Y37" s="6">
        <v>42.83</v>
      </c>
      <c r="Z37" s="6">
        <v>40.619999999999997</v>
      </c>
      <c r="AA37" s="6">
        <v>40.99</v>
      </c>
      <c r="AB37" s="6">
        <v>41.82</v>
      </c>
      <c r="AC37" s="6">
        <v>41.01</v>
      </c>
      <c r="AD37" s="6">
        <v>42.27</v>
      </c>
      <c r="AE37" s="6">
        <v>41.67</v>
      </c>
      <c r="AF37" s="6">
        <v>40.869999999999997</v>
      </c>
      <c r="AG37" s="6">
        <v>40.35</v>
      </c>
      <c r="AH37" s="6">
        <v>41.22</v>
      </c>
      <c r="AI37" s="6">
        <v>40.71</v>
      </c>
      <c r="AJ37" s="6">
        <v>41.08</v>
      </c>
      <c r="AK37" s="6">
        <v>40.94</v>
      </c>
      <c r="AL37" s="6">
        <v>41.56</v>
      </c>
      <c r="AM37" s="6">
        <v>40</v>
      </c>
      <c r="AN37" s="6">
        <v>43.26</v>
      </c>
      <c r="AO37" s="7">
        <v>41.04</v>
      </c>
      <c r="AP37" s="7">
        <v>40.98</v>
      </c>
      <c r="AQ37" s="7">
        <v>41.51</v>
      </c>
      <c r="AR37" s="7">
        <v>40.5</v>
      </c>
      <c r="AS37" s="7">
        <v>40.880000000000003</v>
      </c>
      <c r="AT37" s="7">
        <v>41.26</v>
      </c>
      <c r="AU37" s="7">
        <v>43.7</v>
      </c>
      <c r="AV37" s="7"/>
      <c r="AW37" s="7"/>
      <c r="AX37" s="7">
        <v>42.78</v>
      </c>
      <c r="AY37" s="7">
        <v>40.22</v>
      </c>
      <c r="AZ37" s="7">
        <v>41.38</v>
      </c>
      <c r="BA37" s="7">
        <v>42.24</v>
      </c>
      <c r="BB37" s="7">
        <v>40.64</v>
      </c>
      <c r="BC37" s="7">
        <v>40.880000000000003</v>
      </c>
      <c r="BD37" s="7">
        <v>41.86</v>
      </c>
      <c r="BE37" s="7">
        <v>40.369999999999997</v>
      </c>
      <c r="BF37" s="7">
        <v>42.15</v>
      </c>
      <c r="BG37" s="7">
        <v>41.8</v>
      </c>
      <c r="BH37" s="7">
        <v>41.13</v>
      </c>
      <c r="BI37" s="7">
        <v>41.64</v>
      </c>
      <c r="BJ37" s="7">
        <v>42.2</v>
      </c>
      <c r="BK37" s="7">
        <v>41.04</v>
      </c>
      <c r="BL37" s="7">
        <v>41.78</v>
      </c>
      <c r="BM37" s="7">
        <v>40.68</v>
      </c>
      <c r="BN37" s="10">
        <v>41.89</v>
      </c>
    </row>
    <row r="38" spans="1:66" ht="15.75" customHeight="1" x14ac:dyDescent="0.25">
      <c r="A38" s="4">
        <v>37</v>
      </c>
      <c r="B38" s="4"/>
      <c r="C38" s="4">
        <v>6</v>
      </c>
      <c r="D38" s="6"/>
      <c r="E38" s="6">
        <v>40.18</v>
      </c>
      <c r="F38" s="6">
        <v>41.04</v>
      </c>
      <c r="G38" s="6">
        <v>42.11</v>
      </c>
      <c r="H38" s="6">
        <v>42.16</v>
      </c>
      <c r="I38" s="6">
        <v>41.16</v>
      </c>
      <c r="J38" s="6">
        <v>41.51</v>
      </c>
      <c r="K38" s="6">
        <v>42.08</v>
      </c>
      <c r="L38" s="6">
        <v>41.76</v>
      </c>
      <c r="M38" s="6">
        <v>43.11</v>
      </c>
      <c r="N38" s="6">
        <v>40.86</v>
      </c>
      <c r="O38" s="6">
        <v>41.06</v>
      </c>
      <c r="P38" s="6">
        <v>40.56</v>
      </c>
      <c r="Q38" s="6">
        <v>41.77</v>
      </c>
      <c r="R38" s="6">
        <v>40.36</v>
      </c>
      <c r="S38" s="6">
        <v>40.380000000000003</v>
      </c>
      <c r="T38" s="6">
        <v>40.49</v>
      </c>
      <c r="U38" s="6">
        <v>41.18</v>
      </c>
      <c r="V38" s="6">
        <v>40.54</v>
      </c>
      <c r="W38" s="6">
        <v>40.76</v>
      </c>
      <c r="X38" s="6">
        <v>40.96</v>
      </c>
      <c r="Y38" s="6">
        <v>42.85</v>
      </c>
      <c r="Z38" s="6">
        <v>40.590000000000003</v>
      </c>
      <c r="AA38" s="6">
        <v>40.950000000000003</v>
      </c>
      <c r="AB38" s="6">
        <v>41.77</v>
      </c>
      <c r="AC38" s="6">
        <v>40.96</v>
      </c>
      <c r="AD38" s="6">
        <v>42.14</v>
      </c>
      <c r="AE38" s="6">
        <v>41.82</v>
      </c>
      <c r="AF38" s="6">
        <v>40.799999999999997</v>
      </c>
      <c r="AG38" s="6">
        <v>40.31</v>
      </c>
      <c r="AH38" s="6">
        <v>41.22</v>
      </c>
      <c r="AI38" s="6">
        <v>40.69</v>
      </c>
      <c r="AJ38" s="6">
        <v>41.04</v>
      </c>
      <c r="AK38" s="6">
        <v>40.950000000000003</v>
      </c>
      <c r="AL38" s="6">
        <v>41.5</v>
      </c>
      <c r="AM38" s="6">
        <v>39.979999999999997</v>
      </c>
      <c r="AN38" s="6">
        <v>43.21</v>
      </c>
      <c r="AO38" s="7">
        <v>41.16</v>
      </c>
      <c r="AP38" s="7">
        <v>40.92</v>
      </c>
      <c r="AQ38" s="7">
        <v>41.49</v>
      </c>
      <c r="AR38" s="7">
        <v>40.479999999999997</v>
      </c>
      <c r="AS38" s="7">
        <v>40.83</v>
      </c>
      <c r="AT38" s="7">
        <v>41.26</v>
      </c>
      <c r="AU38" s="7">
        <v>43.76</v>
      </c>
      <c r="AV38" s="7"/>
      <c r="AW38" s="7"/>
      <c r="AX38" s="7">
        <v>42.88</v>
      </c>
      <c r="AY38" s="7">
        <v>40.200000000000003</v>
      </c>
      <c r="AZ38" s="7">
        <v>41.38</v>
      </c>
      <c r="BA38" s="7">
        <v>42.28</v>
      </c>
      <c r="BB38" s="7">
        <v>40.61</v>
      </c>
      <c r="BC38" s="7">
        <v>40.840000000000003</v>
      </c>
      <c r="BD38" s="7">
        <v>41.93</v>
      </c>
      <c r="BE38" s="7">
        <v>40.340000000000003</v>
      </c>
      <c r="BF38" s="7">
        <v>42.14</v>
      </c>
      <c r="BG38" s="7">
        <v>41.73</v>
      </c>
      <c r="BH38" s="7">
        <v>41.13</v>
      </c>
      <c r="BI38" s="7">
        <v>41.6</v>
      </c>
      <c r="BJ38" s="7">
        <v>42.16</v>
      </c>
      <c r="BK38" s="7">
        <v>40.98</v>
      </c>
      <c r="BL38" s="7">
        <v>41.67</v>
      </c>
      <c r="BM38" s="7">
        <v>40.71</v>
      </c>
      <c r="BN38" s="10">
        <v>41.84</v>
      </c>
    </row>
    <row r="39" spans="1:66" ht="15.75" customHeight="1" x14ac:dyDescent="0.25">
      <c r="A39" s="4">
        <v>38</v>
      </c>
      <c r="B39" s="4"/>
      <c r="C39" s="4">
        <v>7</v>
      </c>
      <c r="D39" s="6"/>
      <c r="E39" s="6">
        <v>40.14</v>
      </c>
      <c r="F39" s="6">
        <v>40.93</v>
      </c>
      <c r="G39" s="6">
        <v>42.06</v>
      </c>
      <c r="H39" s="6">
        <v>42.11</v>
      </c>
      <c r="I39" s="6">
        <v>41.21</v>
      </c>
      <c r="J39" s="6">
        <v>41.51</v>
      </c>
      <c r="K39" s="6">
        <v>41.96</v>
      </c>
      <c r="L39" s="6">
        <v>41.76</v>
      </c>
      <c r="M39" s="6">
        <v>43.04</v>
      </c>
      <c r="N39" s="6">
        <v>40.840000000000003</v>
      </c>
      <c r="O39" s="6">
        <v>41.08</v>
      </c>
      <c r="P39" s="6">
        <v>40.54</v>
      </c>
      <c r="Q39" s="6">
        <v>41.69</v>
      </c>
      <c r="R39" s="6">
        <v>40.33</v>
      </c>
      <c r="S39" s="6">
        <v>40.409999999999997</v>
      </c>
      <c r="T39" s="6">
        <v>40.44</v>
      </c>
      <c r="U39" s="6">
        <v>41.14</v>
      </c>
      <c r="V39" s="6">
        <v>40.520000000000003</v>
      </c>
      <c r="W39" s="6">
        <v>40.76</v>
      </c>
      <c r="X39" s="6">
        <v>40.880000000000003</v>
      </c>
      <c r="Y39" s="6">
        <v>43</v>
      </c>
      <c r="Z39" s="6">
        <v>40.549999999999997</v>
      </c>
      <c r="AA39" s="6">
        <v>40.85</v>
      </c>
      <c r="AB39" s="6">
        <v>41.73</v>
      </c>
      <c r="AC39" s="6">
        <v>40.9</v>
      </c>
      <c r="AD39" s="6">
        <v>41.97</v>
      </c>
      <c r="AE39" s="6">
        <v>41.98</v>
      </c>
      <c r="AF39" s="6">
        <v>40.729999999999997</v>
      </c>
      <c r="AG39" s="6">
        <v>40.28</v>
      </c>
      <c r="AH39" s="6">
        <v>41.28</v>
      </c>
      <c r="AI39" s="6">
        <v>40.69</v>
      </c>
      <c r="AJ39" s="6">
        <v>40.99</v>
      </c>
      <c r="AK39" s="6">
        <v>40.98</v>
      </c>
      <c r="AL39" s="6">
        <v>41.43</v>
      </c>
      <c r="AM39" s="6">
        <v>39.97</v>
      </c>
      <c r="AN39" s="6">
        <v>43.14</v>
      </c>
      <c r="AO39" s="7">
        <v>41.3</v>
      </c>
      <c r="AP39" s="7">
        <v>40.880000000000003</v>
      </c>
      <c r="AQ39" s="7">
        <v>41.49</v>
      </c>
      <c r="AR39" s="7">
        <v>40.46</v>
      </c>
      <c r="AS39" s="7">
        <v>40.770000000000003</v>
      </c>
      <c r="AT39" s="7">
        <v>41.27</v>
      </c>
      <c r="AU39" s="7">
        <v>43.79</v>
      </c>
      <c r="AV39" s="7"/>
      <c r="AW39" s="7"/>
      <c r="AX39" s="7">
        <v>42.99</v>
      </c>
      <c r="AY39" s="7">
        <v>40.18</v>
      </c>
      <c r="AZ39" s="7">
        <v>41.35</v>
      </c>
      <c r="BA39" s="7">
        <v>42.33</v>
      </c>
      <c r="BB39" s="7">
        <v>40.58</v>
      </c>
      <c r="BC39" s="7">
        <v>40.82</v>
      </c>
      <c r="BD39" s="7">
        <v>42.01</v>
      </c>
      <c r="BE39" s="7">
        <v>40.31</v>
      </c>
      <c r="BF39" s="7">
        <v>42.13</v>
      </c>
      <c r="BG39" s="7">
        <v>41.57</v>
      </c>
      <c r="BH39" s="7">
        <v>41.17</v>
      </c>
      <c r="BI39" s="7">
        <v>41.56</v>
      </c>
      <c r="BJ39" s="7">
        <v>42.09</v>
      </c>
      <c r="BK39" s="7">
        <v>40.94</v>
      </c>
      <c r="BL39" s="7">
        <v>41.57</v>
      </c>
      <c r="BM39" s="7">
        <v>40.74</v>
      </c>
      <c r="BN39" s="10">
        <v>41.74</v>
      </c>
    </row>
    <row r="40" spans="1:66" ht="15.75" customHeight="1" x14ac:dyDescent="0.25">
      <c r="A40" s="4">
        <v>39</v>
      </c>
      <c r="B40" s="4"/>
      <c r="C40" s="4">
        <v>8</v>
      </c>
      <c r="D40" s="6"/>
      <c r="E40" s="6">
        <v>40.090000000000003</v>
      </c>
      <c r="F40" s="6">
        <v>40.869999999999997</v>
      </c>
      <c r="G40" s="6">
        <v>42.01</v>
      </c>
      <c r="H40" s="6">
        <v>42.11</v>
      </c>
      <c r="I40" s="6">
        <v>41.21</v>
      </c>
      <c r="J40" s="6">
        <v>41.63</v>
      </c>
      <c r="K40" s="6">
        <v>41.87</v>
      </c>
      <c r="L40" s="6">
        <v>41.74</v>
      </c>
      <c r="M40" s="6">
        <v>42.95</v>
      </c>
      <c r="N40" s="6">
        <v>40.82</v>
      </c>
      <c r="O40" s="6">
        <v>41.1</v>
      </c>
      <c r="P40" s="6">
        <v>40.520000000000003</v>
      </c>
      <c r="Q40" s="6">
        <v>41.66</v>
      </c>
      <c r="R40" s="6">
        <v>40.32</v>
      </c>
      <c r="S40" s="6">
        <v>40.5</v>
      </c>
      <c r="T40" s="6">
        <v>40.39</v>
      </c>
      <c r="U40" s="6">
        <v>41.09</v>
      </c>
      <c r="V40" s="6">
        <v>40.5</v>
      </c>
      <c r="W40" s="6">
        <v>40.74</v>
      </c>
      <c r="X40" s="6">
        <v>40.840000000000003</v>
      </c>
      <c r="Y40" s="6">
        <v>43.02</v>
      </c>
      <c r="Z40" s="6">
        <v>40.5</v>
      </c>
      <c r="AA40" s="6">
        <v>40.75</v>
      </c>
      <c r="AB40" s="6">
        <v>41.64</v>
      </c>
      <c r="AC40" s="6">
        <v>40.9</v>
      </c>
      <c r="AD40" s="6">
        <v>41.97</v>
      </c>
      <c r="AE40" s="6">
        <v>42.05</v>
      </c>
      <c r="AF40" s="6">
        <v>40.67</v>
      </c>
      <c r="AG40" s="6">
        <v>40.24</v>
      </c>
      <c r="AH40" s="6">
        <v>41.32</v>
      </c>
      <c r="AI40" s="6">
        <v>40.69</v>
      </c>
      <c r="AJ40" s="6">
        <v>40.96</v>
      </c>
      <c r="AK40" s="6">
        <v>41.03</v>
      </c>
      <c r="AL40" s="6">
        <v>41.4</v>
      </c>
      <c r="AM40" s="6">
        <v>39.96</v>
      </c>
      <c r="AN40" s="6">
        <v>43.06</v>
      </c>
      <c r="AO40" s="7">
        <v>41.46</v>
      </c>
      <c r="AP40" s="7">
        <v>40.840000000000003</v>
      </c>
      <c r="AQ40" s="7">
        <v>41.5</v>
      </c>
      <c r="AR40" s="7">
        <v>40.44</v>
      </c>
      <c r="AS40" s="7">
        <v>40.729999999999997</v>
      </c>
      <c r="AT40" s="7">
        <v>41.3</v>
      </c>
      <c r="AU40" s="7">
        <v>43.79</v>
      </c>
      <c r="AV40" s="7"/>
      <c r="AW40" s="7"/>
      <c r="AX40" s="7">
        <v>43.04</v>
      </c>
      <c r="AY40" s="7">
        <v>40.159999999999997</v>
      </c>
      <c r="AZ40" s="7">
        <v>41.3</v>
      </c>
      <c r="BA40" s="7">
        <v>42.38</v>
      </c>
      <c r="BB40" s="7">
        <v>40.57</v>
      </c>
      <c r="BC40" s="7">
        <v>40.78</v>
      </c>
      <c r="BD40" s="7">
        <v>42.09</v>
      </c>
      <c r="BE40" s="7">
        <v>40.280999999999999</v>
      </c>
      <c r="BF40" s="7">
        <v>42.13</v>
      </c>
      <c r="BG40" s="7">
        <v>41.47</v>
      </c>
      <c r="BH40" s="7">
        <v>41.23</v>
      </c>
      <c r="BI40" s="7">
        <v>41.5</v>
      </c>
      <c r="BJ40" s="7">
        <v>42.08</v>
      </c>
      <c r="BK40" s="7">
        <v>40.9</v>
      </c>
      <c r="BL40" s="7">
        <v>41.5</v>
      </c>
      <c r="BM40" s="7">
        <v>40.799999999999997</v>
      </c>
      <c r="BN40" s="10">
        <v>41.67</v>
      </c>
    </row>
    <row r="41" spans="1:66" ht="15.75" customHeight="1" x14ac:dyDescent="0.25">
      <c r="A41" s="4">
        <v>40</v>
      </c>
      <c r="B41" s="4"/>
      <c r="C41" s="4">
        <v>9</v>
      </c>
      <c r="D41" s="6"/>
      <c r="E41" s="6">
        <v>40.049999999999997</v>
      </c>
      <c r="F41" s="6">
        <v>40.82</v>
      </c>
      <c r="G41" s="6">
        <v>41.86</v>
      </c>
      <c r="H41" s="6">
        <v>42.06</v>
      </c>
      <c r="I41" s="6">
        <v>41.26</v>
      </c>
      <c r="J41" s="6">
        <v>41.68</v>
      </c>
      <c r="K41" s="6">
        <v>41.79</v>
      </c>
      <c r="L41" s="6">
        <v>41.76</v>
      </c>
      <c r="M41" s="6">
        <v>42.91</v>
      </c>
      <c r="N41" s="6">
        <v>40.799999999999997</v>
      </c>
      <c r="O41" s="6">
        <v>41.08</v>
      </c>
      <c r="P41" s="6">
        <v>40.5</v>
      </c>
      <c r="Q41" s="6">
        <v>41.61</v>
      </c>
      <c r="R41" s="6">
        <v>40.299999999999997</v>
      </c>
      <c r="S41" s="6">
        <v>40.659999999999997</v>
      </c>
      <c r="T41" s="6">
        <v>40.35</v>
      </c>
      <c r="U41" s="6">
        <v>41.04</v>
      </c>
      <c r="V41" s="6">
        <v>40.5</v>
      </c>
      <c r="W41" s="6">
        <v>40.76</v>
      </c>
      <c r="X41" s="6">
        <v>40.799999999999997</v>
      </c>
      <c r="Y41" s="6">
        <v>42.94</v>
      </c>
      <c r="Z41" s="6">
        <v>40.44</v>
      </c>
      <c r="AA41" s="6">
        <v>40.67</v>
      </c>
      <c r="AB41" s="6">
        <v>41.58</v>
      </c>
      <c r="AC41" s="6">
        <v>40.9</v>
      </c>
      <c r="AD41" s="6">
        <v>41.9</v>
      </c>
      <c r="AE41" s="6">
        <v>42.32</v>
      </c>
      <c r="AF41" s="6">
        <v>40.64</v>
      </c>
      <c r="AG41" s="6">
        <v>40.24</v>
      </c>
      <c r="AH41" s="6">
        <v>41.36</v>
      </c>
      <c r="AI41" s="6">
        <v>40.69</v>
      </c>
      <c r="AJ41" s="6">
        <v>40.909999999999997</v>
      </c>
      <c r="AK41" s="6">
        <v>41.1</v>
      </c>
      <c r="AL41" s="6">
        <v>41.4</v>
      </c>
      <c r="AM41" s="6">
        <v>39.97</v>
      </c>
      <c r="AN41" s="6">
        <v>42.97</v>
      </c>
      <c r="AO41" s="7">
        <v>41.49</v>
      </c>
      <c r="AP41" s="7">
        <v>40.82</v>
      </c>
      <c r="AQ41" s="7">
        <v>41.5</v>
      </c>
      <c r="AR41" s="7">
        <v>40.43</v>
      </c>
      <c r="AS41" s="7">
        <v>40.68</v>
      </c>
      <c r="AT41" s="7">
        <v>41.35</v>
      </c>
      <c r="AU41" s="7">
        <v>43.78</v>
      </c>
      <c r="AV41" s="7"/>
      <c r="AW41" s="7"/>
      <c r="AX41" s="7">
        <v>43.07</v>
      </c>
      <c r="AY41" s="7">
        <v>40.14</v>
      </c>
      <c r="AZ41" s="7">
        <v>41.27</v>
      </c>
      <c r="BA41" s="7">
        <v>42.41</v>
      </c>
      <c r="BB41" s="7">
        <v>40.58</v>
      </c>
      <c r="BC41" s="7">
        <v>40.75</v>
      </c>
      <c r="BD41" s="7">
        <v>42.14</v>
      </c>
      <c r="BE41" s="7">
        <v>40.270000000000003</v>
      </c>
      <c r="BF41" s="7">
        <v>42.07</v>
      </c>
      <c r="BG41" s="7">
        <v>41.39</v>
      </c>
      <c r="BH41" s="7">
        <v>41.26</v>
      </c>
      <c r="BI41" s="7">
        <v>41.44</v>
      </c>
      <c r="BJ41" s="7">
        <v>42.08</v>
      </c>
      <c r="BK41" s="7">
        <v>40.85</v>
      </c>
      <c r="BL41" s="7">
        <v>41.45</v>
      </c>
      <c r="BM41" s="7">
        <v>40.869999999999997</v>
      </c>
      <c r="BN41" s="10">
        <v>41.59</v>
      </c>
    </row>
    <row r="42" spans="1:66" ht="15.75" customHeight="1" x14ac:dyDescent="0.25">
      <c r="A42" s="4">
        <v>41</v>
      </c>
      <c r="B42" s="4"/>
      <c r="C42" s="4">
        <v>10</v>
      </c>
      <c r="D42" s="6"/>
      <c r="E42" s="6">
        <v>40</v>
      </c>
      <c r="F42" s="6">
        <v>40.770000000000003</v>
      </c>
      <c r="G42" s="6">
        <v>41.76</v>
      </c>
      <c r="H42" s="6">
        <v>42.01</v>
      </c>
      <c r="I42" s="6">
        <v>41.26</v>
      </c>
      <c r="J42" s="6">
        <v>41.79</v>
      </c>
      <c r="K42" s="6">
        <v>41.78</v>
      </c>
      <c r="L42" s="6">
        <v>41.79</v>
      </c>
      <c r="M42" s="6">
        <v>42.87</v>
      </c>
      <c r="N42" s="6">
        <v>40.75</v>
      </c>
      <c r="O42" s="6">
        <v>41.05</v>
      </c>
      <c r="P42" s="6">
        <v>40.5</v>
      </c>
      <c r="Q42" s="6">
        <v>41.44</v>
      </c>
      <c r="R42" s="6">
        <v>40.25</v>
      </c>
      <c r="S42" s="6">
        <v>40.840000000000003</v>
      </c>
      <c r="T42" s="6">
        <v>40.29</v>
      </c>
      <c r="U42" s="6">
        <v>41.01</v>
      </c>
      <c r="V42" s="6">
        <v>40.5</v>
      </c>
      <c r="W42" s="6">
        <v>40.81</v>
      </c>
      <c r="X42" s="6">
        <v>40.76</v>
      </c>
      <c r="Y42" s="6">
        <v>42.9</v>
      </c>
      <c r="Z42" s="6">
        <v>40.44</v>
      </c>
      <c r="AA42" s="6">
        <v>40.659999999999997</v>
      </c>
      <c r="AB42" s="6">
        <v>41.49</v>
      </c>
      <c r="AC42" s="6">
        <v>41.01</v>
      </c>
      <c r="AD42" s="6">
        <v>41.88</v>
      </c>
      <c r="AE42" s="6">
        <v>42.47</v>
      </c>
      <c r="AF42" s="6">
        <v>40.6</v>
      </c>
      <c r="AG42" s="6">
        <v>40.25</v>
      </c>
      <c r="AH42" s="6">
        <v>41.39</v>
      </c>
      <c r="AI42" s="6">
        <v>40.72</v>
      </c>
      <c r="AJ42" s="6">
        <v>40.85</v>
      </c>
      <c r="AK42" s="6">
        <v>41.23</v>
      </c>
      <c r="AL42" s="6">
        <v>41.42</v>
      </c>
      <c r="AM42" s="6">
        <v>39.979999999999997</v>
      </c>
      <c r="AN42" s="6">
        <v>42.88</v>
      </c>
      <c r="AO42" s="7">
        <v>41.49</v>
      </c>
      <c r="AP42" s="7">
        <v>40.81</v>
      </c>
      <c r="AQ42" s="7">
        <v>41.48</v>
      </c>
      <c r="AR42" s="7">
        <v>40.409999999999997</v>
      </c>
      <c r="AS42" s="7">
        <v>40.630000000000003</v>
      </c>
      <c r="AT42" s="7">
        <v>41.42</v>
      </c>
      <c r="AU42" s="7">
        <v>43.74</v>
      </c>
      <c r="AV42" s="7"/>
      <c r="AW42" s="7"/>
      <c r="AX42" s="7">
        <v>43.05</v>
      </c>
      <c r="AY42" s="7">
        <v>40.14</v>
      </c>
      <c r="AZ42" s="7">
        <v>41.23</v>
      </c>
      <c r="BA42" s="7">
        <v>42.41</v>
      </c>
      <c r="BB42" s="7">
        <v>40.6</v>
      </c>
      <c r="BC42" s="7">
        <v>40.729999999999997</v>
      </c>
      <c r="BD42" s="7">
        <v>42.15</v>
      </c>
      <c r="BE42" s="7">
        <v>40.26</v>
      </c>
      <c r="BF42" s="7">
        <v>42.07</v>
      </c>
      <c r="BG42" s="7">
        <v>41.3</v>
      </c>
      <c r="BH42" s="7">
        <v>41.29</v>
      </c>
      <c r="BI42" s="7">
        <v>41.36</v>
      </c>
      <c r="BJ42" s="7">
        <v>42.07</v>
      </c>
      <c r="BK42" s="7">
        <v>40.82</v>
      </c>
      <c r="BL42" s="7">
        <v>41.42</v>
      </c>
      <c r="BM42" s="7">
        <v>40.92</v>
      </c>
      <c r="BN42" s="10">
        <v>41.53</v>
      </c>
    </row>
    <row r="43" spans="1:66" ht="15.75" customHeight="1" x14ac:dyDescent="0.25">
      <c r="A43" s="4">
        <v>42</v>
      </c>
      <c r="B43" s="4"/>
      <c r="C43" s="4">
        <v>11</v>
      </c>
      <c r="D43" s="6"/>
      <c r="E43" s="6">
        <v>39.979999999999997</v>
      </c>
      <c r="F43" s="6">
        <v>40.68</v>
      </c>
      <c r="G43" s="6">
        <v>41.56</v>
      </c>
      <c r="H43" s="6">
        <v>42.01</v>
      </c>
      <c r="I43" s="6">
        <v>41.31</v>
      </c>
      <c r="J43" s="6">
        <v>41.86</v>
      </c>
      <c r="K43" s="6">
        <v>41.82</v>
      </c>
      <c r="L43" s="6">
        <v>41.75</v>
      </c>
      <c r="M43" s="6">
        <v>42.87</v>
      </c>
      <c r="N43" s="6">
        <v>40.729999999999997</v>
      </c>
      <c r="O43" s="6">
        <v>41.01</v>
      </c>
      <c r="P43" s="6">
        <v>40.5</v>
      </c>
      <c r="Q43" s="6">
        <v>41.31</v>
      </c>
      <c r="R43" s="6">
        <v>40.229999999999997</v>
      </c>
      <c r="S43" s="6">
        <v>41.01</v>
      </c>
      <c r="T43" s="6">
        <v>40.26</v>
      </c>
      <c r="U43" s="6">
        <v>41</v>
      </c>
      <c r="V43" s="6">
        <v>40.5</v>
      </c>
      <c r="W43" s="6">
        <v>40.85</v>
      </c>
      <c r="X43" s="6">
        <v>40.72</v>
      </c>
      <c r="Y43" s="6">
        <v>42.82</v>
      </c>
      <c r="Z43" s="6">
        <v>40.44</v>
      </c>
      <c r="AA43" s="6">
        <v>40.56</v>
      </c>
      <c r="AB43" s="6">
        <v>41.45</v>
      </c>
      <c r="AC43" s="6">
        <v>41.09</v>
      </c>
      <c r="AD43" s="6">
        <v>41.78</v>
      </c>
      <c r="AE43" s="6">
        <v>42.62</v>
      </c>
      <c r="AF43" s="6">
        <v>40.57</v>
      </c>
      <c r="AG43" s="6">
        <v>40.229999999999997</v>
      </c>
      <c r="AH43" s="6">
        <v>41.39</v>
      </c>
      <c r="AI43" s="6">
        <v>40.75</v>
      </c>
      <c r="AJ43" s="6">
        <v>40.799999999999997</v>
      </c>
      <c r="AK43" s="6">
        <v>41.35</v>
      </c>
      <c r="AL43" s="6">
        <v>41.48</v>
      </c>
      <c r="AM43" s="6">
        <v>40</v>
      </c>
      <c r="AN43" s="6">
        <v>42.8</v>
      </c>
      <c r="AO43" s="7">
        <v>41.46</v>
      </c>
      <c r="AP43" s="7">
        <v>40.799999999999997</v>
      </c>
      <c r="AQ43" s="7">
        <v>41.46</v>
      </c>
      <c r="AR43" s="7">
        <v>40.4</v>
      </c>
      <c r="AS43" s="7">
        <v>40.590000000000003</v>
      </c>
      <c r="AT43" s="7">
        <v>41.52</v>
      </c>
      <c r="AU43" s="7">
        <v>43.63</v>
      </c>
      <c r="AV43" s="7"/>
      <c r="AW43" s="7"/>
      <c r="AX43" s="7">
        <v>43.01</v>
      </c>
      <c r="AY43" s="7">
        <v>40.14</v>
      </c>
      <c r="AZ43" s="7">
        <v>41.19</v>
      </c>
      <c r="BA43" s="7">
        <v>42.41</v>
      </c>
      <c r="BB43" s="7">
        <v>40.64</v>
      </c>
      <c r="BC43" s="7">
        <v>40.71</v>
      </c>
      <c r="BD43" s="7">
        <v>42.16</v>
      </c>
      <c r="BE43" s="7">
        <v>40.26</v>
      </c>
      <c r="BF43" s="7">
        <v>42.03</v>
      </c>
      <c r="BG43" s="7">
        <v>41.19</v>
      </c>
      <c r="BH43" s="7">
        <v>41.32</v>
      </c>
      <c r="BI43" s="7">
        <v>41.28</v>
      </c>
      <c r="BJ43" s="7">
        <v>42.09</v>
      </c>
      <c r="BK43" s="7">
        <v>40.82</v>
      </c>
      <c r="BL43" s="7">
        <v>41.45</v>
      </c>
      <c r="BM43" s="7">
        <v>40.97</v>
      </c>
      <c r="BN43" s="10">
        <v>41.47</v>
      </c>
    </row>
    <row r="44" spans="1:66" ht="15.75" customHeight="1" x14ac:dyDescent="0.25">
      <c r="A44" s="4">
        <v>43</v>
      </c>
      <c r="B44" s="4"/>
      <c r="C44" s="4">
        <v>12</v>
      </c>
      <c r="D44" s="6"/>
      <c r="E44" s="6">
        <v>39.950000000000003</v>
      </c>
      <c r="F44" s="6">
        <v>40.64</v>
      </c>
      <c r="G44" s="6">
        <v>41.48</v>
      </c>
      <c r="H44" s="6">
        <v>42.01</v>
      </c>
      <c r="I44" s="6">
        <v>41.31</v>
      </c>
      <c r="J44" s="6">
        <v>41.96</v>
      </c>
      <c r="K44" s="6">
        <v>41.92</v>
      </c>
      <c r="L44" s="6">
        <v>41.68</v>
      </c>
      <c r="M44" s="6">
        <v>42.94</v>
      </c>
      <c r="N44" s="6">
        <v>40.68</v>
      </c>
      <c r="O44" s="6">
        <v>40.96</v>
      </c>
      <c r="P44" s="6">
        <v>40.4</v>
      </c>
      <c r="Q44" s="6">
        <v>41.22</v>
      </c>
      <c r="R44" s="6">
        <v>40.21</v>
      </c>
      <c r="S44" s="6">
        <v>41.06</v>
      </c>
      <c r="T44" s="6">
        <v>40.22</v>
      </c>
      <c r="U44" s="6">
        <v>40.96</v>
      </c>
      <c r="V44" s="6">
        <v>40.49</v>
      </c>
      <c r="W44" s="6">
        <v>40.869999999999997</v>
      </c>
      <c r="X44" s="6">
        <v>40.659999999999997</v>
      </c>
      <c r="Y44" s="6">
        <v>42.74</v>
      </c>
      <c r="Z44" s="6">
        <v>40.42</v>
      </c>
      <c r="AA44" s="6">
        <v>40.51</v>
      </c>
      <c r="AB44" s="6">
        <v>41.36</v>
      </c>
      <c r="AC44" s="6">
        <v>41.15</v>
      </c>
      <c r="AD44" s="6">
        <v>41.72</v>
      </c>
      <c r="AE44" s="6">
        <v>42.75</v>
      </c>
      <c r="AF44" s="6">
        <v>40.549999999999997</v>
      </c>
      <c r="AG44" s="6">
        <v>40.200000000000003</v>
      </c>
      <c r="AH44" s="6">
        <v>41.38</v>
      </c>
      <c r="AI44" s="6">
        <v>40.799999999999997</v>
      </c>
      <c r="AJ44" s="6">
        <v>40.72</v>
      </c>
      <c r="AK44" s="6">
        <v>41.49</v>
      </c>
      <c r="AL44" s="6">
        <v>41.58</v>
      </c>
      <c r="AM44" s="6">
        <v>40.020000000000003</v>
      </c>
      <c r="AN44" s="6">
        <v>42.74</v>
      </c>
      <c r="AO44" s="7">
        <v>41.35</v>
      </c>
      <c r="AP44" s="7">
        <v>40.799999999999997</v>
      </c>
      <c r="AQ44" s="7">
        <v>41.42</v>
      </c>
      <c r="AR44" s="7">
        <v>40.369999999999997</v>
      </c>
      <c r="AS44" s="7">
        <v>40.54</v>
      </c>
      <c r="AT44" s="7">
        <v>41.66</v>
      </c>
      <c r="AU44" s="7">
        <v>43.64</v>
      </c>
      <c r="AV44" s="7"/>
      <c r="AW44" s="7"/>
      <c r="AX44" s="7">
        <v>42.94</v>
      </c>
      <c r="AY44" s="7">
        <v>40.14</v>
      </c>
      <c r="AZ44" s="7">
        <v>41.15</v>
      </c>
      <c r="BA44" s="7">
        <v>42.4</v>
      </c>
      <c r="BB44" s="7">
        <v>40.68</v>
      </c>
      <c r="BC44" s="7">
        <v>40.700000000000003</v>
      </c>
      <c r="BD44" s="7">
        <v>42.15</v>
      </c>
      <c r="BE44" s="7">
        <v>40.25</v>
      </c>
      <c r="BF44" s="7">
        <v>41.98</v>
      </c>
      <c r="BG44" s="7">
        <v>41.1</v>
      </c>
      <c r="BH44" s="7">
        <v>41.32</v>
      </c>
      <c r="BI44" s="7">
        <v>41.2</v>
      </c>
      <c r="BJ44" s="7">
        <v>42.1</v>
      </c>
      <c r="BK44" s="7">
        <v>40.82</v>
      </c>
      <c r="BL44" s="7">
        <v>41.43</v>
      </c>
      <c r="BM44" s="7">
        <v>41.02</v>
      </c>
      <c r="BN44" s="10">
        <v>41.43</v>
      </c>
    </row>
    <row r="45" spans="1:66" ht="15.75" customHeight="1" x14ac:dyDescent="0.25">
      <c r="A45" s="4">
        <v>44</v>
      </c>
      <c r="B45" s="4"/>
      <c r="C45" s="4">
        <v>13</v>
      </c>
      <c r="D45" s="6"/>
      <c r="E45" s="6">
        <v>39.93</v>
      </c>
      <c r="F45" s="6">
        <v>40.590000000000003</v>
      </c>
      <c r="G45" s="6">
        <v>41.41</v>
      </c>
      <c r="H45" s="6">
        <v>41.96</v>
      </c>
      <c r="I45" s="6">
        <v>41.36</v>
      </c>
      <c r="J45" s="6">
        <v>41.89</v>
      </c>
      <c r="K45" s="6">
        <v>42.03</v>
      </c>
      <c r="L45" s="6">
        <v>41.55</v>
      </c>
      <c r="M45" s="6">
        <v>42.96</v>
      </c>
      <c r="N45" s="6">
        <v>40.65</v>
      </c>
      <c r="O45" s="6">
        <v>40.9</v>
      </c>
      <c r="P45" s="6">
        <v>40.409999999999997</v>
      </c>
      <c r="Q45" s="6">
        <v>41.15</v>
      </c>
      <c r="R45" s="6">
        <v>40.200000000000003</v>
      </c>
      <c r="S45" s="6">
        <v>41.07</v>
      </c>
      <c r="T45" s="6">
        <v>40.17</v>
      </c>
      <c r="U45" s="6">
        <v>40.9</v>
      </c>
      <c r="V45" s="6">
        <v>40.479999999999997</v>
      </c>
      <c r="W45" s="6">
        <v>40.89</v>
      </c>
      <c r="X45" s="6">
        <v>40.630000000000003</v>
      </c>
      <c r="Y45" s="6">
        <v>42.64</v>
      </c>
      <c r="Z45" s="6">
        <v>40.4</v>
      </c>
      <c r="AA45" s="6">
        <v>40.46</v>
      </c>
      <c r="AB45" s="6">
        <v>41.34</v>
      </c>
      <c r="AC45" s="6">
        <v>41.19</v>
      </c>
      <c r="AD45" s="6">
        <v>41.66</v>
      </c>
      <c r="AE45" s="6">
        <v>42.87</v>
      </c>
      <c r="AF45" s="6">
        <v>40.57</v>
      </c>
      <c r="AG45" s="6">
        <v>40.19</v>
      </c>
      <c r="AH45" s="6">
        <v>41.34</v>
      </c>
      <c r="AI45" s="6">
        <v>40.83</v>
      </c>
      <c r="AJ45" s="6">
        <v>40.659999999999997</v>
      </c>
      <c r="AK45" s="6">
        <v>41.6</v>
      </c>
      <c r="AL45" s="6">
        <v>41.68</v>
      </c>
      <c r="AM45" s="6">
        <v>40.07</v>
      </c>
      <c r="AN45" s="6">
        <v>42.7</v>
      </c>
      <c r="AO45" s="7">
        <v>41.23</v>
      </c>
      <c r="AP45" s="7">
        <v>40.799999999999997</v>
      </c>
      <c r="AQ45" s="7">
        <v>41.37</v>
      </c>
      <c r="AR45" s="7">
        <v>40.35</v>
      </c>
      <c r="AS45" s="7">
        <v>40.54</v>
      </c>
      <c r="AT45" s="7">
        <v>41.83</v>
      </c>
      <c r="AU45" s="7">
        <v>43.58</v>
      </c>
      <c r="AV45" s="7"/>
      <c r="AW45" s="7"/>
      <c r="AX45" s="7">
        <v>42.84</v>
      </c>
      <c r="AY45" s="7">
        <v>40.14</v>
      </c>
      <c r="AZ45" s="7">
        <v>41.11</v>
      </c>
      <c r="BA45" s="7">
        <v>42.38</v>
      </c>
      <c r="BB45" s="7">
        <v>40.76</v>
      </c>
      <c r="BC45" s="7">
        <v>40.659999999999997</v>
      </c>
      <c r="BD45" s="7">
        <v>42.12</v>
      </c>
      <c r="BE45" s="7">
        <v>40.25</v>
      </c>
      <c r="BF45" s="7">
        <v>41.91</v>
      </c>
      <c r="BG45" s="7">
        <v>41.03</v>
      </c>
      <c r="BH45" s="7">
        <v>41.31</v>
      </c>
      <c r="BI45" s="7">
        <v>41.15</v>
      </c>
      <c r="BJ45" s="7">
        <v>42.09</v>
      </c>
      <c r="BK45" s="7">
        <v>40.82</v>
      </c>
      <c r="BL45" s="7">
        <v>41.43</v>
      </c>
      <c r="BM45" s="7">
        <v>41.06</v>
      </c>
      <c r="BN45" s="10">
        <v>41.38</v>
      </c>
    </row>
    <row r="46" spans="1:66" ht="15.75" customHeight="1" x14ac:dyDescent="0.25">
      <c r="A46" s="4">
        <v>45</v>
      </c>
      <c r="B46" s="4"/>
      <c r="C46" s="4">
        <v>14</v>
      </c>
      <c r="D46" s="6"/>
      <c r="E46" s="6">
        <v>39.93</v>
      </c>
      <c r="F46" s="6">
        <v>40.54</v>
      </c>
      <c r="G46" s="6">
        <v>41.36</v>
      </c>
      <c r="H46" s="6">
        <v>41.96</v>
      </c>
      <c r="I46" s="6">
        <v>41.26</v>
      </c>
      <c r="J46" s="6">
        <v>41.76</v>
      </c>
      <c r="K46" s="6">
        <v>42.12</v>
      </c>
      <c r="L46" s="6">
        <v>41.49</v>
      </c>
      <c r="M46" s="6">
        <v>43.01</v>
      </c>
      <c r="N46" s="6">
        <v>40.590000000000003</v>
      </c>
      <c r="O46" s="6">
        <v>40.869999999999997</v>
      </c>
      <c r="P46" s="6">
        <v>40.340000000000003</v>
      </c>
      <c r="Q46" s="6">
        <v>41.08</v>
      </c>
      <c r="R46" s="6">
        <v>40.18</v>
      </c>
      <c r="S46" s="6">
        <v>41.13</v>
      </c>
      <c r="T46" s="6">
        <v>40.130000000000003</v>
      </c>
      <c r="U46" s="6">
        <v>40.83</v>
      </c>
      <c r="V46" s="6">
        <v>40.46</v>
      </c>
      <c r="W46" s="6">
        <v>40.89</v>
      </c>
      <c r="X46" s="6">
        <v>40.56</v>
      </c>
      <c r="Y46" s="6">
        <v>42.55</v>
      </c>
      <c r="Z46" s="6">
        <v>40.36</v>
      </c>
      <c r="AA46" s="6">
        <v>40.44</v>
      </c>
      <c r="AB46" s="6">
        <v>41.35</v>
      </c>
      <c r="AC46" s="6">
        <v>41.32</v>
      </c>
      <c r="AD46" s="6">
        <v>41.64</v>
      </c>
      <c r="AE46" s="6">
        <v>42.98</v>
      </c>
      <c r="AF46" s="6">
        <v>40.58</v>
      </c>
      <c r="AG46" s="6">
        <v>40.15</v>
      </c>
      <c r="AH46" s="6">
        <v>41.3</v>
      </c>
      <c r="AI46" s="6">
        <v>40.86</v>
      </c>
      <c r="AJ46" s="6">
        <v>40.6</v>
      </c>
      <c r="AK46" s="6">
        <v>41.68</v>
      </c>
      <c r="AL46" s="6">
        <v>41.84</v>
      </c>
      <c r="AM46" s="6">
        <v>40.1</v>
      </c>
      <c r="AN46" s="6">
        <v>42.68</v>
      </c>
      <c r="AO46" s="7">
        <v>41.1</v>
      </c>
      <c r="AP46" s="7">
        <v>40.82</v>
      </c>
      <c r="AQ46" s="7">
        <v>41.31</v>
      </c>
      <c r="AR46" s="7">
        <v>40.340000000000003</v>
      </c>
      <c r="AS46" s="7">
        <v>40.5</v>
      </c>
      <c r="AT46" s="7">
        <v>41.96</v>
      </c>
      <c r="AU46" s="7">
        <v>43.51</v>
      </c>
      <c r="AV46" s="7"/>
      <c r="AW46" s="7"/>
      <c r="AX46" s="7">
        <v>42.72</v>
      </c>
      <c r="AY46" s="7">
        <v>40.14</v>
      </c>
      <c r="AZ46" s="7">
        <v>41.08</v>
      </c>
      <c r="BA46" s="7">
        <v>42.35</v>
      </c>
      <c r="BB46" s="7">
        <v>40.869999999999997</v>
      </c>
      <c r="BC46" s="7">
        <v>40.64</v>
      </c>
      <c r="BD46" s="7">
        <v>42.08</v>
      </c>
      <c r="BE46" s="7">
        <v>40.26</v>
      </c>
      <c r="BF46" s="7">
        <v>41.9</v>
      </c>
      <c r="BG46" s="7">
        <v>40.93</v>
      </c>
      <c r="BH46" s="7">
        <v>41.3</v>
      </c>
      <c r="BI46" s="7">
        <v>41.05</v>
      </c>
      <c r="BJ46" s="7">
        <v>42.08</v>
      </c>
      <c r="BK46" s="7">
        <v>40.82</v>
      </c>
      <c r="BL46" s="7">
        <v>41.41</v>
      </c>
      <c r="BM46" s="7">
        <v>41.09</v>
      </c>
      <c r="BN46" s="10">
        <v>41.36</v>
      </c>
    </row>
    <row r="47" spans="1:66" ht="15.75" customHeight="1" x14ac:dyDescent="0.25">
      <c r="A47" s="4">
        <v>46</v>
      </c>
      <c r="B47" s="4"/>
      <c r="C47" s="4">
        <v>15</v>
      </c>
      <c r="D47" s="6"/>
      <c r="E47" s="6">
        <v>39.93</v>
      </c>
      <c r="F47" s="6">
        <v>40.47</v>
      </c>
      <c r="G47" s="6">
        <v>41.34</v>
      </c>
      <c r="H47" s="6">
        <v>41.91</v>
      </c>
      <c r="I47" s="6">
        <v>41.16</v>
      </c>
      <c r="J47" s="6">
        <v>41.76</v>
      </c>
      <c r="K47" s="6">
        <v>42.22</v>
      </c>
      <c r="L47" s="6">
        <v>41.39</v>
      </c>
      <c r="M47" s="6">
        <v>43.01</v>
      </c>
      <c r="N47" s="6">
        <v>40.57</v>
      </c>
      <c r="O47" s="6">
        <v>40.869999999999997</v>
      </c>
      <c r="P47" s="6">
        <v>40.31</v>
      </c>
      <c r="Q47" s="6">
        <v>41.02</v>
      </c>
      <c r="R47" s="6">
        <v>40.229999999999997</v>
      </c>
      <c r="S47" s="6">
        <v>41.1</v>
      </c>
      <c r="T47" s="6">
        <v>40.17</v>
      </c>
      <c r="U47" s="6">
        <v>40.770000000000003</v>
      </c>
      <c r="V47" s="6">
        <v>40.43</v>
      </c>
      <c r="W47" s="6">
        <v>40.880000000000003</v>
      </c>
      <c r="X47" s="6">
        <v>40.51</v>
      </c>
      <c r="Y47" s="6">
        <v>42.46</v>
      </c>
      <c r="Z47" s="6">
        <v>40.36</v>
      </c>
      <c r="AA47" s="6">
        <v>40.479999999999997</v>
      </c>
      <c r="AB47" s="6">
        <v>41.36</v>
      </c>
      <c r="AC47" s="6">
        <v>41.34</v>
      </c>
      <c r="AD47" s="6">
        <v>41.58</v>
      </c>
      <c r="AE47" s="6">
        <v>43.02</v>
      </c>
      <c r="AF47" s="6">
        <v>40.590000000000003</v>
      </c>
      <c r="AG47" s="6">
        <v>40.15</v>
      </c>
      <c r="AH47" s="6">
        <v>41.25</v>
      </c>
      <c r="AI47" s="6">
        <v>40.92</v>
      </c>
      <c r="AJ47" s="6">
        <v>40.54</v>
      </c>
      <c r="AK47" s="6">
        <v>41.78</v>
      </c>
      <c r="AL47" s="6">
        <v>42</v>
      </c>
      <c r="AM47" s="6">
        <v>40.15</v>
      </c>
      <c r="AN47" s="6">
        <v>42.72</v>
      </c>
      <c r="AO47" s="7">
        <v>40.96</v>
      </c>
      <c r="AP47" s="7">
        <v>40.82</v>
      </c>
      <c r="AQ47" s="7">
        <v>41.24</v>
      </c>
      <c r="AR47" s="7">
        <v>40.33</v>
      </c>
      <c r="AS47" s="7">
        <v>40.46</v>
      </c>
      <c r="AT47" s="7">
        <v>42.04</v>
      </c>
      <c r="AU47" s="7">
        <v>43.42</v>
      </c>
      <c r="AV47" s="7"/>
      <c r="AW47" s="7"/>
      <c r="AX47" s="7">
        <v>42.6</v>
      </c>
      <c r="AY47" s="7">
        <v>40.130000000000003</v>
      </c>
      <c r="AZ47" s="7">
        <v>41.06</v>
      </c>
      <c r="BA47" s="7">
        <v>42.32</v>
      </c>
      <c r="BB47" s="7">
        <v>40.98</v>
      </c>
      <c r="BC47" s="7">
        <v>40.61</v>
      </c>
      <c r="BD47" s="7">
        <v>42.03</v>
      </c>
      <c r="BE47" s="7">
        <v>40.270000000000003</v>
      </c>
      <c r="BF47" s="7">
        <v>41.88</v>
      </c>
      <c r="BG47" s="7">
        <v>40.86</v>
      </c>
      <c r="BH47" s="7">
        <v>41.26</v>
      </c>
      <c r="BI47" s="7">
        <v>40.950000000000003</v>
      </c>
      <c r="BJ47" s="7">
        <v>42.1</v>
      </c>
      <c r="BK47" s="7">
        <v>40.82</v>
      </c>
      <c r="BL47" s="7">
        <v>41.41</v>
      </c>
      <c r="BM47" s="7">
        <v>41.09</v>
      </c>
      <c r="BN47" s="10">
        <v>41.32</v>
      </c>
    </row>
    <row r="48" spans="1:66" ht="15.75" customHeight="1" x14ac:dyDescent="0.25">
      <c r="A48" s="4">
        <v>47</v>
      </c>
      <c r="B48" s="4"/>
      <c r="C48" s="4">
        <v>16</v>
      </c>
      <c r="D48" s="6"/>
      <c r="E48" s="6">
        <v>39.909999999999997</v>
      </c>
      <c r="F48" s="6">
        <v>40.4</v>
      </c>
      <c r="G48" s="6">
        <v>41.21</v>
      </c>
      <c r="H48" s="6">
        <v>41.81</v>
      </c>
      <c r="I48" s="6">
        <v>41.01</v>
      </c>
      <c r="J48" s="6">
        <v>41.61</v>
      </c>
      <c r="K48" s="6">
        <v>42.29</v>
      </c>
      <c r="L48" s="6">
        <v>41.29</v>
      </c>
      <c r="M48" s="6">
        <v>43.01</v>
      </c>
      <c r="N48" s="6">
        <v>40.5</v>
      </c>
      <c r="O48" s="6">
        <v>40.9</v>
      </c>
      <c r="P48" s="6">
        <v>40.31</v>
      </c>
      <c r="Q48" s="6">
        <v>40.98</v>
      </c>
      <c r="R48" s="6">
        <v>40.24</v>
      </c>
      <c r="S48" s="6">
        <v>41.1</v>
      </c>
      <c r="T48" s="6">
        <v>40.08</v>
      </c>
      <c r="U48" s="6">
        <v>40.68</v>
      </c>
      <c r="V48" s="6">
        <v>40.409999999999997</v>
      </c>
      <c r="W48" s="6">
        <v>40.89</v>
      </c>
      <c r="X48" s="6">
        <v>40.46</v>
      </c>
      <c r="Y48" s="6">
        <v>42.38</v>
      </c>
      <c r="Z48" s="6">
        <v>40.340000000000003</v>
      </c>
      <c r="AA48" s="6">
        <v>40.51</v>
      </c>
      <c r="AB48" s="6">
        <v>41.39</v>
      </c>
      <c r="AC48" s="6">
        <v>41.37</v>
      </c>
      <c r="AD48" s="6">
        <v>41.51</v>
      </c>
      <c r="AE48" s="6">
        <v>43.01</v>
      </c>
      <c r="AF48" s="6">
        <v>40.590000000000003</v>
      </c>
      <c r="AG48" s="6">
        <v>40.15</v>
      </c>
      <c r="AH48" s="6">
        <v>41.19</v>
      </c>
      <c r="AI48" s="6">
        <v>40.75</v>
      </c>
      <c r="AJ48" s="6">
        <v>40.479999999999997</v>
      </c>
      <c r="AK48" s="6">
        <v>41.85</v>
      </c>
      <c r="AL48" s="6">
        <v>42.14</v>
      </c>
      <c r="AM48" s="6">
        <v>40.24</v>
      </c>
      <c r="AN48" s="6">
        <v>42.79</v>
      </c>
      <c r="AO48" s="7">
        <v>40.86</v>
      </c>
      <c r="AP48" s="7">
        <v>40.81</v>
      </c>
      <c r="AQ48" s="7">
        <v>41.16</v>
      </c>
      <c r="AR48" s="7">
        <v>40.32</v>
      </c>
      <c r="AS48" s="7">
        <v>40.43</v>
      </c>
      <c r="AT48" s="7">
        <v>42.08</v>
      </c>
      <c r="AU48" s="7">
        <v>43.33</v>
      </c>
      <c r="AV48" s="7"/>
      <c r="AW48" s="7"/>
      <c r="AX48" s="7">
        <v>42.49</v>
      </c>
      <c r="AY48" s="7">
        <v>40.11</v>
      </c>
      <c r="AZ48" s="7">
        <v>41.06</v>
      </c>
      <c r="BA48" s="7">
        <v>42.3</v>
      </c>
      <c r="BB48" s="7">
        <v>41.04</v>
      </c>
      <c r="BC48" s="7">
        <v>40.590000000000003</v>
      </c>
      <c r="BD48" s="7">
        <v>42</v>
      </c>
      <c r="BE48" s="7">
        <v>40.26</v>
      </c>
      <c r="BF48" s="7">
        <v>41.85</v>
      </c>
      <c r="BG48" s="7">
        <v>40.81</v>
      </c>
      <c r="BH48" s="7">
        <v>41.21</v>
      </c>
      <c r="BI48" s="7">
        <v>40.9</v>
      </c>
      <c r="BJ48" s="7">
        <v>42.08</v>
      </c>
      <c r="BK48" s="7">
        <v>40.81</v>
      </c>
      <c r="BL48" s="7">
        <v>41.39</v>
      </c>
      <c r="BM48" s="7">
        <v>41.08</v>
      </c>
      <c r="BN48" s="10">
        <v>41.27</v>
      </c>
    </row>
    <row r="49" spans="1:66" ht="15.75" customHeight="1" x14ac:dyDescent="0.25">
      <c r="A49" s="4">
        <v>48</v>
      </c>
      <c r="B49" s="4"/>
      <c r="C49" s="4">
        <v>17</v>
      </c>
      <c r="D49" s="6"/>
      <c r="E49" s="6">
        <v>39.909999999999997</v>
      </c>
      <c r="F49" s="6">
        <v>40.36</v>
      </c>
      <c r="G49" s="6">
        <v>41.11</v>
      </c>
      <c r="H49" s="6">
        <v>41.76</v>
      </c>
      <c r="I49" s="6">
        <v>40.86</v>
      </c>
      <c r="J49" s="6">
        <v>41.59</v>
      </c>
      <c r="K49" s="6">
        <v>42.36</v>
      </c>
      <c r="L49" s="6">
        <v>41.24</v>
      </c>
      <c r="M49" s="6">
        <v>42.97</v>
      </c>
      <c r="N49" s="6">
        <v>40.479999999999997</v>
      </c>
      <c r="O49" s="6">
        <v>40.909999999999997</v>
      </c>
      <c r="P49" s="6">
        <v>40.31</v>
      </c>
      <c r="Q49" s="6">
        <v>40.98</v>
      </c>
      <c r="R49" s="6">
        <v>40.25</v>
      </c>
      <c r="S49" s="6">
        <v>41.09</v>
      </c>
      <c r="T49" s="6">
        <v>40.049999999999997</v>
      </c>
      <c r="U49" s="6">
        <v>40.61</v>
      </c>
      <c r="V49" s="6">
        <v>40.39</v>
      </c>
      <c r="W49" s="6">
        <v>40.89</v>
      </c>
      <c r="X49" s="6">
        <v>40.42</v>
      </c>
      <c r="Y49" s="6">
        <v>42.34</v>
      </c>
      <c r="Z49" s="6">
        <v>40.340000000000003</v>
      </c>
      <c r="AA49" s="6">
        <v>40.51</v>
      </c>
      <c r="AB49" s="6">
        <v>41.45</v>
      </c>
      <c r="AC49" s="6">
        <v>41.37</v>
      </c>
      <c r="AD49" s="6">
        <v>41.44</v>
      </c>
      <c r="AE49" s="6">
        <v>42.97</v>
      </c>
      <c r="AF49" s="6">
        <v>40.58</v>
      </c>
      <c r="AG49" s="6">
        <v>40.14</v>
      </c>
      <c r="AH49" s="6">
        <v>41.14</v>
      </c>
      <c r="AI49" s="6">
        <v>40.69</v>
      </c>
      <c r="AJ49" s="6">
        <v>40.43</v>
      </c>
      <c r="AK49" s="6">
        <v>42.05</v>
      </c>
      <c r="AL49" s="6">
        <v>42.25</v>
      </c>
      <c r="AM49" s="6">
        <v>40.340000000000003</v>
      </c>
      <c r="AN49" s="6">
        <v>42.9</v>
      </c>
      <c r="AO49" s="7">
        <v>40.74</v>
      </c>
      <c r="AP49" s="7">
        <v>40.78</v>
      </c>
      <c r="AQ49" s="7">
        <v>41.07</v>
      </c>
      <c r="AR49" s="7">
        <v>40.32</v>
      </c>
      <c r="AS49" s="7">
        <v>40.39</v>
      </c>
      <c r="AT49" s="7">
        <v>42.1</v>
      </c>
      <c r="AU49" s="7">
        <v>43.23</v>
      </c>
      <c r="AV49" s="7"/>
      <c r="AW49" s="7"/>
      <c r="AX49" s="7">
        <v>42.41</v>
      </c>
      <c r="AY49" s="7">
        <v>40.08</v>
      </c>
      <c r="AZ49" s="7">
        <v>41.09</v>
      </c>
      <c r="BA49" s="7">
        <v>42.26</v>
      </c>
      <c r="BB49" s="7">
        <v>41.05</v>
      </c>
      <c r="BC49" s="7">
        <v>40.57</v>
      </c>
      <c r="BD49" s="7">
        <v>42</v>
      </c>
      <c r="BE49" s="7">
        <v>40.26</v>
      </c>
      <c r="BF49" s="7">
        <v>41.8</v>
      </c>
      <c r="BG49" s="7">
        <v>40.75</v>
      </c>
      <c r="BH49" s="7">
        <v>41.18</v>
      </c>
      <c r="BI49" s="7">
        <v>40.85</v>
      </c>
      <c r="BJ49" s="7">
        <v>42.05</v>
      </c>
      <c r="BK49" s="7">
        <v>40.82</v>
      </c>
      <c r="BL49" s="7">
        <v>41.37</v>
      </c>
      <c r="BM49" s="7">
        <v>41.06</v>
      </c>
      <c r="BN49" s="10">
        <v>41.23</v>
      </c>
    </row>
    <row r="50" spans="1:66" ht="15.75" customHeight="1" x14ac:dyDescent="0.25">
      <c r="A50" s="4">
        <v>49</v>
      </c>
      <c r="B50" s="4"/>
      <c r="C50" s="4">
        <v>18</v>
      </c>
      <c r="D50" s="6"/>
      <c r="E50" s="6">
        <v>39.909999999999997</v>
      </c>
      <c r="F50" s="6">
        <v>40.4</v>
      </c>
      <c r="G50" s="6">
        <v>41.01</v>
      </c>
      <c r="H50" s="6">
        <v>41.66</v>
      </c>
      <c r="I50" s="6">
        <v>40.71</v>
      </c>
      <c r="J50" s="6">
        <v>41.57</v>
      </c>
      <c r="K50" s="6">
        <v>42.38</v>
      </c>
      <c r="L50" s="6">
        <v>41.18</v>
      </c>
      <c r="M50" s="6">
        <v>42.94</v>
      </c>
      <c r="N50" s="6">
        <v>40.47</v>
      </c>
      <c r="O50" s="6">
        <v>40.909999999999997</v>
      </c>
      <c r="P50" s="6">
        <v>40.28</v>
      </c>
      <c r="Q50" s="6">
        <v>40.96</v>
      </c>
      <c r="R50" s="6">
        <v>40.28</v>
      </c>
      <c r="S50" s="6">
        <v>41.06</v>
      </c>
      <c r="T50" s="6">
        <v>40.01</v>
      </c>
      <c r="U50" s="6">
        <v>40.54</v>
      </c>
      <c r="V50" s="6">
        <v>40.369999999999997</v>
      </c>
      <c r="W50" s="6">
        <v>40.92</v>
      </c>
      <c r="X50" s="6">
        <v>40.36</v>
      </c>
      <c r="Y50" s="6">
        <v>42.28</v>
      </c>
      <c r="Z50" s="6">
        <v>40.340000000000003</v>
      </c>
      <c r="AA50" s="6">
        <v>40.47</v>
      </c>
      <c r="AB50" s="6">
        <v>41.53</v>
      </c>
      <c r="AC50" s="6">
        <v>41.35</v>
      </c>
      <c r="AD50" s="6">
        <v>41.32</v>
      </c>
      <c r="AE50" s="6">
        <v>42.9</v>
      </c>
      <c r="AF50" s="6">
        <v>40.56</v>
      </c>
      <c r="AG50" s="6">
        <v>40.119999999999997</v>
      </c>
      <c r="AH50" s="6">
        <v>41.08</v>
      </c>
      <c r="AI50" s="6">
        <v>40.700000000000003</v>
      </c>
      <c r="AJ50" s="6">
        <v>40.380000000000003</v>
      </c>
      <c r="AK50" s="6">
        <v>42.19</v>
      </c>
      <c r="AL50" s="6">
        <v>42.34</v>
      </c>
      <c r="AM50" s="6">
        <v>40.409999999999997</v>
      </c>
      <c r="AN50" s="6">
        <v>42.97</v>
      </c>
      <c r="AO50" s="7">
        <v>40.590000000000003</v>
      </c>
      <c r="AP50" s="7">
        <v>40.74</v>
      </c>
      <c r="AQ50" s="7">
        <v>40.98</v>
      </c>
      <c r="AR50" s="7">
        <v>40.299999999999997</v>
      </c>
      <c r="AS50" s="7">
        <v>40.33</v>
      </c>
      <c r="AT50" s="7">
        <v>42.1</v>
      </c>
      <c r="AU50" s="7">
        <v>43.11</v>
      </c>
      <c r="AV50" s="7"/>
      <c r="AW50" s="7"/>
      <c r="AX50" s="7">
        <v>42.33</v>
      </c>
      <c r="AY50" s="7">
        <v>40.049999999999997</v>
      </c>
      <c r="AZ50" s="7">
        <v>41.12</v>
      </c>
      <c r="BA50" s="7">
        <v>42.21</v>
      </c>
      <c r="BB50" s="7">
        <v>41.04</v>
      </c>
      <c r="BC50" s="7">
        <v>40.54</v>
      </c>
      <c r="BD50" s="7">
        <v>41.98</v>
      </c>
      <c r="BE50" s="7">
        <v>40.26</v>
      </c>
      <c r="BF50" s="7">
        <v>41.75</v>
      </c>
      <c r="BG50" s="7">
        <v>40.71</v>
      </c>
      <c r="BH50" s="7">
        <v>41.11</v>
      </c>
      <c r="BI50" s="7">
        <v>40.799999999999997</v>
      </c>
      <c r="BJ50" s="7">
        <v>42.07</v>
      </c>
      <c r="BK50" s="7">
        <v>40.81</v>
      </c>
      <c r="BL50" s="7">
        <v>41.36</v>
      </c>
      <c r="BM50" s="7">
        <v>41.03</v>
      </c>
      <c r="BN50" s="10">
        <v>41.21</v>
      </c>
    </row>
    <row r="51" spans="1:66" ht="15.75" customHeight="1" x14ac:dyDescent="0.25">
      <c r="A51" s="4">
        <v>50</v>
      </c>
      <c r="B51" s="4"/>
      <c r="C51" s="4">
        <v>19</v>
      </c>
      <c r="D51" s="6"/>
      <c r="E51" s="6">
        <v>39.880000000000003</v>
      </c>
      <c r="F51" s="6">
        <v>40.4</v>
      </c>
      <c r="G51" s="6">
        <v>40.96</v>
      </c>
      <c r="H51" s="6">
        <v>41.56</v>
      </c>
      <c r="I51" s="6">
        <v>40.56</v>
      </c>
      <c r="J51" s="6">
        <v>41.51</v>
      </c>
      <c r="K51" s="6">
        <v>42.35</v>
      </c>
      <c r="L51" s="6">
        <v>41.13</v>
      </c>
      <c r="M51" s="6">
        <v>42.93</v>
      </c>
      <c r="N51" s="6">
        <v>40.5</v>
      </c>
      <c r="O51" s="6">
        <v>40.909999999999997</v>
      </c>
      <c r="P51" s="6">
        <v>40.28</v>
      </c>
      <c r="Q51" s="6">
        <v>40.93</v>
      </c>
      <c r="R51" s="6">
        <v>40.31</v>
      </c>
      <c r="S51" s="6">
        <v>41.03</v>
      </c>
      <c r="T51" s="6">
        <v>40</v>
      </c>
      <c r="U51" s="6">
        <v>40.479999999999997</v>
      </c>
      <c r="V51" s="6">
        <v>40.340000000000003</v>
      </c>
      <c r="W51" s="6">
        <v>40.92</v>
      </c>
      <c r="X51" s="6">
        <v>40.32</v>
      </c>
      <c r="Y51" s="6">
        <v>42.25</v>
      </c>
      <c r="Z51" s="6">
        <v>40.32</v>
      </c>
      <c r="AA51" s="6">
        <v>40.46</v>
      </c>
      <c r="AB51" s="6">
        <v>41.63</v>
      </c>
      <c r="AC51" s="6">
        <v>41.3</v>
      </c>
      <c r="AD51" s="6">
        <v>41.26</v>
      </c>
      <c r="AE51" s="6">
        <v>42.8</v>
      </c>
      <c r="AF51" s="6">
        <v>40.53</v>
      </c>
      <c r="AG51" s="6">
        <v>40.19</v>
      </c>
      <c r="AH51" s="6">
        <v>41</v>
      </c>
      <c r="AI51" s="6">
        <v>40.54</v>
      </c>
      <c r="AJ51" s="6">
        <v>40.33</v>
      </c>
      <c r="AK51" s="6">
        <v>42.26</v>
      </c>
      <c r="AL51" s="6">
        <v>42.38</v>
      </c>
      <c r="AM51" s="6">
        <v>40.5</v>
      </c>
      <c r="AN51" s="6">
        <v>43.04</v>
      </c>
      <c r="AO51" s="7">
        <v>40.54</v>
      </c>
      <c r="AP51" s="7">
        <v>40.68</v>
      </c>
      <c r="AQ51" s="7">
        <v>40.9</v>
      </c>
      <c r="AR51" s="7">
        <v>40.299999999999997</v>
      </c>
      <c r="AS51" s="7">
        <v>40.299999999999997</v>
      </c>
      <c r="AT51" s="7">
        <v>42.1</v>
      </c>
      <c r="AU51" s="7">
        <v>42.99</v>
      </c>
      <c r="AV51" s="7"/>
      <c r="AW51" s="7"/>
      <c r="AX51" s="7">
        <v>42.28</v>
      </c>
      <c r="AY51" s="7">
        <v>40</v>
      </c>
      <c r="AZ51" s="7">
        <v>41.12</v>
      </c>
      <c r="BA51" s="7">
        <v>42.15</v>
      </c>
      <c r="BB51" s="7">
        <v>41.03</v>
      </c>
      <c r="BC51" s="7">
        <v>40.51</v>
      </c>
      <c r="BD51" s="7">
        <v>41.97</v>
      </c>
      <c r="BE51" s="7">
        <v>40.25</v>
      </c>
      <c r="BF51" s="7">
        <v>41.66</v>
      </c>
      <c r="BG51" s="7">
        <v>40.67</v>
      </c>
      <c r="BH51" s="7">
        <v>41.07</v>
      </c>
      <c r="BI51" s="7">
        <v>40.74</v>
      </c>
      <c r="BJ51" s="7">
        <v>42.07</v>
      </c>
      <c r="BK51" s="7">
        <v>40.81</v>
      </c>
      <c r="BL51" s="7">
        <v>41.38</v>
      </c>
      <c r="BM51" s="7">
        <v>41</v>
      </c>
      <c r="BN51" s="10">
        <v>41.19</v>
      </c>
    </row>
    <row r="52" spans="1:66" ht="15.75" customHeight="1" x14ac:dyDescent="0.25">
      <c r="A52" s="4">
        <v>51</v>
      </c>
      <c r="B52" s="4"/>
      <c r="C52" s="4">
        <v>20</v>
      </c>
      <c r="D52" s="6"/>
      <c r="E52" s="6">
        <v>39.840000000000003</v>
      </c>
      <c r="F52" s="6">
        <v>40.39</v>
      </c>
      <c r="G52" s="6">
        <v>40.86</v>
      </c>
      <c r="H52" s="6">
        <v>41.46</v>
      </c>
      <c r="I52" s="6">
        <v>40.5</v>
      </c>
      <c r="J52" s="6">
        <v>41.46</v>
      </c>
      <c r="K52" s="6">
        <v>42.29</v>
      </c>
      <c r="L52" s="6">
        <v>41.12</v>
      </c>
      <c r="M52" s="6">
        <v>42.77</v>
      </c>
      <c r="N52" s="6">
        <v>40.549999999999997</v>
      </c>
      <c r="O52" s="6">
        <v>40.9</v>
      </c>
      <c r="P52" s="6">
        <v>40.28</v>
      </c>
      <c r="Q52" s="6">
        <v>40.86</v>
      </c>
      <c r="R52" s="6">
        <v>40.340000000000003</v>
      </c>
      <c r="S52" s="6">
        <v>41</v>
      </c>
      <c r="T52" s="6">
        <v>40.020000000000003</v>
      </c>
      <c r="U52" s="6">
        <v>40.43</v>
      </c>
      <c r="V52" s="6">
        <v>40.369999999999997</v>
      </c>
      <c r="W52" s="6">
        <v>40.92</v>
      </c>
      <c r="X52" s="6">
        <v>40.28</v>
      </c>
      <c r="Y52" s="6">
        <v>42.25</v>
      </c>
      <c r="Z52" s="6">
        <v>40.29</v>
      </c>
      <c r="AA52" s="6">
        <v>40.46</v>
      </c>
      <c r="AB52" s="6">
        <v>41.71</v>
      </c>
      <c r="AC52" s="6">
        <v>41.25</v>
      </c>
      <c r="AD52" s="6">
        <v>41.2</v>
      </c>
      <c r="AE52" s="6">
        <v>42.73</v>
      </c>
      <c r="AF52" s="6">
        <v>40.51</v>
      </c>
      <c r="AG52" s="6">
        <v>40.1</v>
      </c>
      <c r="AH52" s="6">
        <v>40.96</v>
      </c>
      <c r="AI52" s="6">
        <v>40.479999999999997</v>
      </c>
      <c r="AJ52" s="6">
        <v>40.28</v>
      </c>
      <c r="AK52" s="6">
        <v>42.32</v>
      </c>
      <c r="AL52" s="6">
        <v>42.51</v>
      </c>
      <c r="AM52" s="6">
        <v>40.630000000000003</v>
      </c>
      <c r="AN52" s="6">
        <v>43.08</v>
      </c>
      <c r="AO52" s="7">
        <v>40.49</v>
      </c>
      <c r="AP52" s="7">
        <v>40.659999999999997</v>
      </c>
      <c r="AQ52" s="7">
        <v>40.840000000000003</v>
      </c>
      <c r="AR52" s="7">
        <v>40.28</v>
      </c>
      <c r="AS52" s="7">
        <v>40.24</v>
      </c>
      <c r="AT52" s="7">
        <v>42.08</v>
      </c>
      <c r="AU52" s="7">
        <v>42.83</v>
      </c>
      <c r="AV52" s="7"/>
      <c r="AW52" s="7"/>
      <c r="AX52" s="7">
        <v>42.21</v>
      </c>
      <c r="AY52" s="7">
        <v>39.97</v>
      </c>
      <c r="AZ52" s="7">
        <v>41.12</v>
      </c>
      <c r="BA52" s="7">
        <v>42.1</v>
      </c>
      <c r="BB52" s="7">
        <v>41.01</v>
      </c>
      <c r="BC52" s="7">
        <v>40.5</v>
      </c>
      <c r="BD52" s="7">
        <v>41.96</v>
      </c>
      <c r="BE52" s="7">
        <v>40.24</v>
      </c>
      <c r="BF52" s="7">
        <v>41.57</v>
      </c>
      <c r="BG52" s="7">
        <v>40.64</v>
      </c>
      <c r="BH52" s="7">
        <v>41.02</v>
      </c>
      <c r="BI52" s="7">
        <v>40.700000000000003</v>
      </c>
      <c r="BJ52" s="7">
        <v>42.03</v>
      </c>
      <c r="BK52" s="7">
        <v>40.799999999999997</v>
      </c>
      <c r="BL52" s="7">
        <v>41.41</v>
      </c>
      <c r="BM52" s="7">
        <v>40.98</v>
      </c>
      <c r="BN52" s="10">
        <v>41.19</v>
      </c>
    </row>
    <row r="53" spans="1:66" ht="15.75" customHeight="1" x14ac:dyDescent="0.25">
      <c r="A53" s="4">
        <v>52</v>
      </c>
      <c r="B53" s="4"/>
      <c r="C53" s="4">
        <v>21</v>
      </c>
      <c r="D53" s="6"/>
      <c r="E53" s="6">
        <v>39.83</v>
      </c>
      <c r="F53" s="6">
        <v>40.4</v>
      </c>
      <c r="G53" s="6">
        <v>40.659999999999997</v>
      </c>
      <c r="H53" s="6">
        <v>41.31</v>
      </c>
      <c r="I53" s="6">
        <v>40.5</v>
      </c>
      <c r="J53" s="6">
        <v>41.43</v>
      </c>
      <c r="K53" s="6">
        <v>42.25</v>
      </c>
      <c r="L53" s="6">
        <v>41.13</v>
      </c>
      <c r="M53" s="6">
        <v>42.7</v>
      </c>
      <c r="N53" s="6">
        <v>40.549999999999997</v>
      </c>
      <c r="O53" s="6">
        <v>40.89</v>
      </c>
      <c r="P53" s="6">
        <v>40.28</v>
      </c>
      <c r="Q53" s="6">
        <v>40.81</v>
      </c>
      <c r="R53" s="6">
        <v>40.340000000000003</v>
      </c>
      <c r="S53" s="6">
        <v>40.909999999999997</v>
      </c>
      <c r="T53" s="6">
        <v>39.97</v>
      </c>
      <c r="U53" s="6">
        <v>40.340000000000003</v>
      </c>
      <c r="V53" s="6">
        <v>40.369999999999997</v>
      </c>
      <c r="W53" s="6">
        <v>40.92</v>
      </c>
      <c r="X53" s="6">
        <v>40.24</v>
      </c>
      <c r="Y53" s="6">
        <v>42.28</v>
      </c>
      <c r="Z53" s="6">
        <v>40.270000000000003</v>
      </c>
      <c r="AA53" s="6">
        <v>40.46</v>
      </c>
      <c r="AB53" s="6">
        <v>41.81</v>
      </c>
      <c r="AC53" s="6">
        <v>41.18</v>
      </c>
      <c r="AD53" s="6">
        <v>41.17</v>
      </c>
      <c r="AE53" s="6">
        <v>42.61</v>
      </c>
      <c r="AF53" s="6">
        <v>40.47</v>
      </c>
      <c r="AG53" s="6">
        <v>40.1</v>
      </c>
      <c r="AH53" s="6">
        <v>40.909999999999997</v>
      </c>
      <c r="AI53" s="6">
        <v>40.44</v>
      </c>
      <c r="AJ53" s="6">
        <v>40.229999999999997</v>
      </c>
      <c r="AK53" s="6">
        <v>42.37</v>
      </c>
      <c r="AL53" s="6">
        <v>42.51</v>
      </c>
      <c r="AM53" s="6">
        <v>40.770000000000003</v>
      </c>
      <c r="AN53" s="6">
        <v>43.14</v>
      </c>
      <c r="AO53" s="7">
        <v>40.49</v>
      </c>
      <c r="AP53" s="7">
        <v>40.56</v>
      </c>
      <c r="AQ53" s="7">
        <v>40.770000000000003</v>
      </c>
      <c r="AR53" s="7">
        <v>40.25</v>
      </c>
      <c r="AS53" s="7">
        <v>40.24</v>
      </c>
      <c r="AT53" s="7">
        <v>42</v>
      </c>
      <c r="AU53" s="7">
        <v>42.66</v>
      </c>
      <c r="AV53" s="7"/>
      <c r="AW53" s="7"/>
      <c r="AX53" s="7">
        <v>42.18</v>
      </c>
      <c r="AY53" s="7">
        <v>39.94</v>
      </c>
      <c r="AZ53" s="7">
        <v>41.11</v>
      </c>
      <c r="BA53" s="7">
        <v>42.04</v>
      </c>
      <c r="BB53" s="7">
        <v>41.01</v>
      </c>
      <c r="BC53" s="7">
        <v>40.479999999999997</v>
      </c>
      <c r="BD53" s="7">
        <v>41.94</v>
      </c>
      <c r="BE53" s="7">
        <v>40.229999999999997</v>
      </c>
      <c r="BF53" s="7">
        <v>41.47</v>
      </c>
      <c r="BG53" s="7">
        <v>40.6</v>
      </c>
      <c r="BH53" s="7">
        <v>41</v>
      </c>
      <c r="BI53" s="7">
        <v>40.659999999999997</v>
      </c>
      <c r="BJ53" s="7">
        <v>42.03</v>
      </c>
      <c r="BK53" s="7">
        <v>40.799999999999997</v>
      </c>
      <c r="BL53" s="7">
        <v>41.4</v>
      </c>
      <c r="BM53" s="7">
        <v>40.97</v>
      </c>
      <c r="BN53" s="10">
        <v>41.19</v>
      </c>
    </row>
    <row r="54" spans="1:66" ht="15.75" customHeight="1" x14ac:dyDescent="0.25">
      <c r="A54" s="4">
        <v>53</v>
      </c>
      <c r="B54" s="4"/>
      <c r="C54" s="4">
        <v>22</v>
      </c>
      <c r="D54" s="6"/>
      <c r="E54" s="6">
        <v>39.799999999999997</v>
      </c>
      <c r="F54" s="6">
        <v>40.409999999999997</v>
      </c>
      <c r="G54" s="6">
        <v>40.61</v>
      </c>
      <c r="H54" s="6">
        <v>41.21</v>
      </c>
      <c r="I54" s="6">
        <v>40.46</v>
      </c>
      <c r="J54" s="6">
        <v>41.41</v>
      </c>
      <c r="K54" s="6">
        <v>42.18</v>
      </c>
      <c r="L54" s="6">
        <v>41.14</v>
      </c>
      <c r="M54" s="6">
        <v>42.64</v>
      </c>
      <c r="N54" s="6">
        <v>40.549999999999997</v>
      </c>
      <c r="O54" s="6">
        <v>40.869999999999997</v>
      </c>
      <c r="P54" s="6">
        <v>40.25</v>
      </c>
      <c r="Q54" s="6">
        <v>40.770000000000003</v>
      </c>
      <c r="R54" s="6">
        <v>40.340000000000003</v>
      </c>
      <c r="S54" s="6">
        <v>40.840000000000003</v>
      </c>
      <c r="T54" s="6">
        <v>39.93</v>
      </c>
      <c r="U54" s="6">
        <v>40.32</v>
      </c>
      <c r="V54" s="6">
        <v>40.39</v>
      </c>
      <c r="W54" s="6">
        <v>40.92</v>
      </c>
      <c r="X54" s="6">
        <v>40.22</v>
      </c>
      <c r="Y54" s="6">
        <v>42.21</v>
      </c>
      <c r="Z54" s="6">
        <v>40.24</v>
      </c>
      <c r="AA54" s="6">
        <v>40.46</v>
      </c>
      <c r="AB54" s="6">
        <v>41.88</v>
      </c>
      <c r="AC54" s="6">
        <v>41.08</v>
      </c>
      <c r="AD54" s="6">
        <v>41.15</v>
      </c>
      <c r="AE54" s="6">
        <v>42.48</v>
      </c>
      <c r="AF54" s="6">
        <v>40.44</v>
      </c>
      <c r="AG54" s="6">
        <v>40.049999999999997</v>
      </c>
      <c r="AH54" s="6">
        <v>40.880000000000003</v>
      </c>
      <c r="AI54" s="6">
        <v>40.409999999999997</v>
      </c>
      <c r="AJ54" s="6">
        <v>40.19</v>
      </c>
      <c r="AK54" s="6">
        <v>42.42</v>
      </c>
      <c r="AL54" s="6">
        <v>42.53</v>
      </c>
      <c r="AM54" s="6">
        <v>40.92</v>
      </c>
      <c r="AN54" s="6">
        <v>43.24</v>
      </c>
      <c r="AO54" s="7">
        <v>40.47</v>
      </c>
      <c r="AP54" s="7">
        <v>40.520000000000003</v>
      </c>
      <c r="AQ54" s="7">
        <v>40.700000000000003</v>
      </c>
      <c r="AR54" s="7">
        <v>40.21</v>
      </c>
      <c r="AS54" s="7">
        <v>40.22</v>
      </c>
      <c r="AT54" s="7">
        <v>41.91</v>
      </c>
      <c r="AU54" s="7">
        <v>42.5</v>
      </c>
      <c r="AV54" s="7"/>
      <c r="AW54" s="7"/>
      <c r="AX54" s="7">
        <v>42.14</v>
      </c>
      <c r="AY54" s="7">
        <v>39.93</v>
      </c>
      <c r="AZ54" s="7">
        <v>41.1</v>
      </c>
      <c r="BA54" s="7">
        <v>42</v>
      </c>
      <c r="BB54" s="7">
        <v>41.03</v>
      </c>
      <c r="BC54" s="7">
        <v>40.479999999999997</v>
      </c>
      <c r="BD54" s="7">
        <v>41.88</v>
      </c>
      <c r="BE54" s="7">
        <v>40.24</v>
      </c>
      <c r="BF54" s="7">
        <v>41.38</v>
      </c>
      <c r="BG54" s="7">
        <v>40.58</v>
      </c>
      <c r="BH54" s="7">
        <v>40.93</v>
      </c>
      <c r="BI54" s="7">
        <v>40.6</v>
      </c>
      <c r="BJ54" s="7">
        <v>42.05</v>
      </c>
      <c r="BK54" s="7">
        <v>40.79</v>
      </c>
      <c r="BL54" s="7">
        <v>41.41</v>
      </c>
      <c r="BM54" s="7">
        <v>40.96</v>
      </c>
      <c r="BN54" s="10">
        <v>41.22</v>
      </c>
    </row>
    <row r="55" spans="1:66" ht="15.75" customHeight="1" x14ac:dyDescent="0.25">
      <c r="A55" s="4">
        <v>54</v>
      </c>
      <c r="B55" s="4"/>
      <c r="C55" s="4">
        <v>23</v>
      </c>
      <c r="D55" s="6"/>
      <c r="E55" s="6">
        <v>39.83</v>
      </c>
      <c r="F55" s="6">
        <v>40.43</v>
      </c>
      <c r="G55" s="6">
        <v>40.5</v>
      </c>
      <c r="H55" s="6">
        <v>41.21</v>
      </c>
      <c r="I55" s="6">
        <v>40.409999999999997</v>
      </c>
      <c r="J55" s="6">
        <v>41.36</v>
      </c>
      <c r="K55" s="6">
        <v>42.13</v>
      </c>
      <c r="L55" s="6">
        <v>41.14</v>
      </c>
      <c r="M55" s="6">
        <v>42.56</v>
      </c>
      <c r="N55" s="6">
        <v>40.54</v>
      </c>
      <c r="O55" s="6">
        <v>40.86</v>
      </c>
      <c r="P55" s="6">
        <v>40.25</v>
      </c>
      <c r="Q55" s="6">
        <v>40.72</v>
      </c>
      <c r="R55" s="6">
        <v>40.36</v>
      </c>
      <c r="S55" s="6">
        <v>40.75</v>
      </c>
      <c r="T55" s="6">
        <v>39.89</v>
      </c>
      <c r="U55" s="6">
        <v>40.28</v>
      </c>
      <c r="V55" s="6">
        <v>40.47</v>
      </c>
      <c r="W55" s="6">
        <v>40.92</v>
      </c>
      <c r="X55" s="6">
        <v>40.200000000000003</v>
      </c>
      <c r="Y55" s="6">
        <v>42.32</v>
      </c>
      <c r="Z55" s="6">
        <v>40.21</v>
      </c>
      <c r="AA55" s="6">
        <v>40.46</v>
      </c>
      <c r="AB55" s="6">
        <v>41.92</v>
      </c>
      <c r="AC55" s="6">
        <v>40.99</v>
      </c>
      <c r="AD55" s="6">
        <v>41.1</v>
      </c>
      <c r="AE55" s="6">
        <v>42.34</v>
      </c>
      <c r="AF55" s="6">
        <v>40.42</v>
      </c>
      <c r="AG55" s="6">
        <v>40.04</v>
      </c>
      <c r="AH55" s="6">
        <v>40.81</v>
      </c>
      <c r="AI55" s="6">
        <v>40.39</v>
      </c>
      <c r="AJ55" s="6">
        <v>40.159999999999997</v>
      </c>
      <c r="AK55" s="6">
        <v>42.45</v>
      </c>
      <c r="AL55" s="6">
        <v>42.45</v>
      </c>
      <c r="AM55" s="6">
        <v>40.92</v>
      </c>
      <c r="AN55" s="6">
        <v>43.34</v>
      </c>
      <c r="AO55" s="7">
        <v>40.46</v>
      </c>
      <c r="AP55" s="7">
        <v>40.479999999999997</v>
      </c>
      <c r="AQ55" s="7">
        <v>40.64</v>
      </c>
      <c r="AR55" s="7">
        <v>40.17</v>
      </c>
      <c r="AS55" s="7">
        <v>40.19</v>
      </c>
      <c r="AT55" s="7">
        <v>41.8</v>
      </c>
      <c r="AU55" s="7">
        <v>42.36</v>
      </c>
      <c r="AV55" s="7"/>
      <c r="AW55" s="7"/>
      <c r="AX55" s="7">
        <v>42.16</v>
      </c>
      <c r="AY55" s="7">
        <v>39.93</v>
      </c>
      <c r="AZ55" s="7">
        <v>41.11</v>
      </c>
      <c r="BA55" s="7">
        <v>41.96</v>
      </c>
      <c r="BB55" s="7">
        <v>41.07</v>
      </c>
      <c r="BC55" s="7">
        <v>40.42</v>
      </c>
      <c r="BD55" s="7">
        <v>41.81</v>
      </c>
      <c r="BE55" s="7">
        <v>40.24</v>
      </c>
      <c r="BF55" s="7">
        <v>41.33</v>
      </c>
      <c r="BG55" s="7">
        <v>40.57</v>
      </c>
      <c r="BH55" s="7">
        <v>40.909999999999997</v>
      </c>
      <c r="BI55" s="7">
        <v>40.6</v>
      </c>
      <c r="BJ55" s="7">
        <v>42.02</v>
      </c>
      <c r="BK55" s="7">
        <v>40.700000000000003</v>
      </c>
      <c r="BL55" s="7">
        <v>41.39</v>
      </c>
      <c r="BM55" s="7">
        <v>40.950000000000003</v>
      </c>
      <c r="BN55" s="10">
        <v>41.26</v>
      </c>
    </row>
    <row r="56" spans="1:66" ht="15.75" customHeight="1" x14ac:dyDescent="0.25">
      <c r="A56" s="4">
        <v>55</v>
      </c>
      <c r="B56" s="4"/>
      <c r="C56" s="4">
        <v>24</v>
      </c>
      <c r="D56" s="6"/>
      <c r="E56" s="6">
        <v>39.86</v>
      </c>
      <c r="F56" s="6">
        <v>40.450000000000003</v>
      </c>
      <c r="G56" s="6">
        <v>40.46</v>
      </c>
      <c r="H56" s="6">
        <v>41.16</v>
      </c>
      <c r="I56" s="6">
        <v>40.409999999999997</v>
      </c>
      <c r="J56" s="6">
        <v>41.34</v>
      </c>
      <c r="K56" s="6">
        <v>42.07</v>
      </c>
      <c r="L56" s="6">
        <v>41.16</v>
      </c>
      <c r="M56" s="6">
        <v>42.46</v>
      </c>
      <c r="N56" s="6">
        <v>40.49</v>
      </c>
      <c r="O56" s="6">
        <v>40.86</v>
      </c>
      <c r="P56" s="6">
        <v>40.25</v>
      </c>
      <c r="Q56" s="6">
        <v>40.68</v>
      </c>
      <c r="R56" s="6">
        <v>40.36</v>
      </c>
      <c r="S56" s="6">
        <v>40.700000000000003</v>
      </c>
      <c r="T56" s="6">
        <v>39.86</v>
      </c>
      <c r="U56" s="6">
        <v>40.25</v>
      </c>
      <c r="V56" s="6">
        <v>40.56</v>
      </c>
      <c r="W56" s="6">
        <v>40.92</v>
      </c>
      <c r="X56" s="6">
        <v>40.17</v>
      </c>
      <c r="Y56" s="6">
        <v>42.36</v>
      </c>
      <c r="Z56" s="6">
        <v>40.18</v>
      </c>
      <c r="AA56" s="6">
        <v>40.47</v>
      </c>
      <c r="AB56" s="6">
        <v>41.94</v>
      </c>
      <c r="AC56" s="6">
        <v>40.880000000000003</v>
      </c>
      <c r="AD56" s="6">
        <v>41.08</v>
      </c>
      <c r="AE56" s="6">
        <v>42.21</v>
      </c>
      <c r="AF56" s="6">
        <v>40.39</v>
      </c>
      <c r="AG56" s="6">
        <v>40</v>
      </c>
      <c r="AH56" s="6">
        <v>40.72</v>
      </c>
      <c r="AI56" s="6">
        <v>40.36</v>
      </c>
      <c r="AJ56" s="6">
        <v>40.08</v>
      </c>
      <c r="AK56" s="6">
        <v>42.46</v>
      </c>
      <c r="AL56" s="6">
        <v>42.38</v>
      </c>
      <c r="AM56" s="6">
        <v>41.14</v>
      </c>
      <c r="AN56" s="6">
        <v>43.42</v>
      </c>
      <c r="AO56" s="7">
        <v>40.47</v>
      </c>
      <c r="AP56" s="7">
        <v>40.39</v>
      </c>
      <c r="AQ56" s="7">
        <v>40.58</v>
      </c>
      <c r="AR56" s="7">
        <v>40.119999999999997</v>
      </c>
      <c r="AS56" s="7">
        <v>40.18</v>
      </c>
      <c r="AT56" s="7">
        <v>41.7</v>
      </c>
      <c r="AU56" s="7">
        <v>42.23</v>
      </c>
      <c r="AV56" s="7"/>
      <c r="AW56" s="7"/>
      <c r="AX56" s="7">
        <v>42.16</v>
      </c>
      <c r="AY56" s="7">
        <v>39.93</v>
      </c>
      <c r="AZ56" s="7">
        <v>41.11</v>
      </c>
      <c r="BA56" s="7">
        <v>41.93</v>
      </c>
      <c r="BB56" s="7">
        <v>41.1</v>
      </c>
      <c r="BC56" s="7">
        <v>40.380000000000003</v>
      </c>
      <c r="BD56" s="7">
        <v>41.72</v>
      </c>
      <c r="BE56" s="7">
        <v>40.25</v>
      </c>
      <c r="BF56" s="7">
        <v>41.24</v>
      </c>
      <c r="BG56" s="7">
        <v>40.57</v>
      </c>
      <c r="BH56" s="7">
        <v>40.880000000000003</v>
      </c>
      <c r="BI56" s="7">
        <v>40.6</v>
      </c>
      <c r="BJ56" s="7">
        <v>42.33</v>
      </c>
      <c r="BK56" s="7">
        <v>40.770000000000003</v>
      </c>
      <c r="BL56" s="7">
        <v>41.38</v>
      </c>
      <c r="BM56" s="7">
        <v>40.94</v>
      </c>
      <c r="BN56" s="10">
        <v>41.32</v>
      </c>
    </row>
    <row r="57" spans="1:66" ht="15.75" customHeight="1" x14ac:dyDescent="0.25">
      <c r="A57" s="4">
        <v>56</v>
      </c>
      <c r="B57" s="4"/>
      <c r="C57" s="4">
        <v>25</v>
      </c>
      <c r="D57" s="6"/>
      <c r="E57" s="6">
        <v>39.89</v>
      </c>
      <c r="F57" s="6">
        <v>40.409999999999997</v>
      </c>
      <c r="G57" s="6">
        <v>40.61</v>
      </c>
      <c r="H57" s="6">
        <v>41.11</v>
      </c>
      <c r="I57" s="6">
        <v>40.36</v>
      </c>
      <c r="J57" s="6">
        <v>41.34</v>
      </c>
      <c r="K57" s="6">
        <v>42.05</v>
      </c>
      <c r="L57" s="6">
        <v>41.28</v>
      </c>
      <c r="M57" s="6">
        <v>42.37</v>
      </c>
      <c r="N57" s="6">
        <v>40.43</v>
      </c>
      <c r="O57" s="6">
        <v>40.840000000000003</v>
      </c>
      <c r="P57" s="6">
        <v>40.25</v>
      </c>
      <c r="Q57" s="6">
        <v>40.659999999999997</v>
      </c>
      <c r="R57" s="6">
        <v>40.36</v>
      </c>
      <c r="S57" s="6">
        <v>40.65</v>
      </c>
      <c r="T57" s="6">
        <v>39.840000000000003</v>
      </c>
      <c r="U57" s="6">
        <v>40.22</v>
      </c>
      <c r="V57" s="6">
        <v>40.630000000000003</v>
      </c>
      <c r="W57" s="6">
        <v>40.93</v>
      </c>
      <c r="X57" s="6">
        <v>40.19</v>
      </c>
      <c r="Y57" s="6">
        <v>42.42</v>
      </c>
      <c r="Z57" s="6">
        <v>40.15</v>
      </c>
      <c r="AA57" s="6">
        <v>40.44</v>
      </c>
      <c r="AB57" s="6">
        <v>41.9</v>
      </c>
      <c r="AC57" s="6">
        <v>40.82</v>
      </c>
      <c r="AD57" s="6">
        <v>41.05</v>
      </c>
      <c r="AE57" s="6">
        <v>42.07</v>
      </c>
      <c r="AF57" s="6">
        <v>40.39</v>
      </c>
      <c r="AG57" s="6">
        <v>40</v>
      </c>
      <c r="AH57" s="6">
        <v>40.68</v>
      </c>
      <c r="AI57" s="6">
        <v>40.35</v>
      </c>
      <c r="AJ57" s="6">
        <v>40.08</v>
      </c>
      <c r="AK57" s="6">
        <v>42.43</v>
      </c>
      <c r="AL57" s="6">
        <v>42.28</v>
      </c>
      <c r="AM57" s="6">
        <v>41.19</v>
      </c>
      <c r="AN57" s="6">
        <v>43.53</v>
      </c>
      <c r="AO57" s="7">
        <v>40.549999999999997</v>
      </c>
      <c r="AP57" s="7">
        <v>40.35</v>
      </c>
      <c r="AQ57" s="7">
        <v>40.53</v>
      </c>
      <c r="AR57" s="7">
        <v>40.090000000000003</v>
      </c>
      <c r="AS57" s="7">
        <v>40.18</v>
      </c>
      <c r="AT57" s="7">
        <v>41.62</v>
      </c>
      <c r="AU57" s="7">
        <v>42</v>
      </c>
      <c r="AV57" s="7"/>
      <c r="AW57" s="7"/>
      <c r="AX57" s="7">
        <v>42.16</v>
      </c>
      <c r="AY57" s="7">
        <v>39.950000000000003</v>
      </c>
      <c r="AZ57" s="7">
        <v>41.09</v>
      </c>
      <c r="BA57" s="7">
        <v>41.9</v>
      </c>
      <c r="BB57" s="7">
        <v>41.1</v>
      </c>
      <c r="BC57" s="7">
        <v>40.380000000000003</v>
      </c>
      <c r="BD57" s="7">
        <v>41.64</v>
      </c>
      <c r="BE57" s="7">
        <v>40.26</v>
      </c>
      <c r="BF57" s="7">
        <v>41.19</v>
      </c>
      <c r="BG57" s="7">
        <v>40.56</v>
      </c>
      <c r="BH57" s="7">
        <v>40.86</v>
      </c>
      <c r="BI57" s="7">
        <v>40.6</v>
      </c>
      <c r="BJ57" s="7">
        <v>42.38</v>
      </c>
      <c r="BK57" s="7">
        <v>40.770000000000003</v>
      </c>
      <c r="BL57" s="7">
        <v>41.36</v>
      </c>
      <c r="BM57" s="7">
        <v>40.909999999999997</v>
      </c>
      <c r="BN57" s="10"/>
    </row>
    <row r="58" spans="1:66" ht="15.75" customHeight="1" x14ac:dyDescent="0.25">
      <c r="A58" s="4">
        <v>57</v>
      </c>
      <c r="B58" s="4"/>
      <c r="C58" s="4">
        <v>26</v>
      </c>
      <c r="D58" s="6"/>
      <c r="E58" s="6">
        <v>39.93</v>
      </c>
      <c r="F58" s="6">
        <v>40.4</v>
      </c>
      <c r="G58" s="6">
        <v>40.61</v>
      </c>
      <c r="H58" s="6">
        <v>41.11</v>
      </c>
      <c r="I58" s="6">
        <v>40.36</v>
      </c>
      <c r="J58" s="6">
        <v>41.31</v>
      </c>
      <c r="K58" s="6">
        <v>41.96</v>
      </c>
      <c r="L58" s="6">
        <v>41.38</v>
      </c>
      <c r="M58" s="6">
        <v>42.32</v>
      </c>
      <c r="N58" s="6">
        <v>40.369999999999997</v>
      </c>
      <c r="O58" s="6">
        <v>40.799999999999997</v>
      </c>
      <c r="P58" s="6">
        <v>40.25</v>
      </c>
      <c r="Q58" s="6">
        <v>40.700000000000003</v>
      </c>
      <c r="R58" s="6">
        <v>40.39</v>
      </c>
      <c r="S58" s="6">
        <v>40.5</v>
      </c>
      <c r="T58" s="6">
        <v>39.81</v>
      </c>
      <c r="U58" s="6">
        <v>40.200000000000003</v>
      </c>
      <c r="V58" s="6">
        <v>40.72</v>
      </c>
      <c r="W58" s="6">
        <v>40.93</v>
      </c>
      <c r="X58" s="6">
        <v>40.22</v>
      </c>
      <c r="Y58" s="6">
        <v>42.5</v>
      </c>
      <c r="Z58" s="6">
        <v>40.119999999999997</v>
      </c>
      <c r="AA58" s="6">
        <v>40.44</v>
      </c>
      <c r="AB58" s="6">
        <v>41.9</v>
      </c>
      <c r="AC58" s="6">
        <v>40.72</v>
      </c>
      <c r="AD58" s="6">
        <v>41.02</v>
      </c>
      <c r="AE58" s="6">
        <v>41.82</v>
      </c>
      <c r="AF58" s="6">
        <v>40.409999999999997</v>
      </c>
      <c r="AG58" s="6">
        <v>40</v>
      </c>
      <c r="AH58" s="6">
        <v>40.630000000000003</v>
      </c>
      <c r="AI58" s="6">
        <v>40.340000000000003</v>
      </c>
      <c r="AJ58" s="6">
        <v>40.07</v>
      </c>
      <c r="AK58" s="6">
        <v>42.38</v>
      </c>
      <c r="AL58" s="6">
        <v>42.22</v>
      </c>
      <c r="AM58" s="6">
        <v>41.19</v>
      </c>
      <c r="AN58" s="6">
        <v>43.64</v>
      </c>
      <c r="AO58" s="7">
        <v>40.520000000000003</v>
      </c>
      <c r="AP58" s="7">
        <v>40.33</v>
      </c>
      <c r="AQ58" s="7">
        <v>40.49</v>
      </c>
      <c r="AR58" s="7">
        <v>40.049999999999997</v>
      </c>
      <c r="AS58" s="7">
        <v>40.18</v>
      </c>
      <c r="AT58" s="7">
        <v>41.54</v>
      </c>
      <c r="AU58" s="7">
        <v>41.97</v>
      </c>
      <c r="AV58" s="7"/>
      <c r="AW58" s="7"/>
      <c r="AX58" s="7">
        <v>42.14</v>
      </c>
      <c r="AY58" s="7">
        <v>39.96</v>
      </c>
      <c r="AZ58" s="7">
        <v>41.06</v>
      </c>
      <c r="BA58" s="7">
        <v>41.87</v>
      </c>
      <c r="BB58" s="7">
        <v>41.11</v>
      </c>
      <c r="BC58" s="7">
        <v>40.369999999999997</v>
      </c>
      <c r="BD58" s="7">
        <v>41.64</v>
      </c>
      <c r="BE58" s="7">
        <v>40.270000000000003</v>
      </c>
      <c r="BF58" s="7">
        <v>41.19</v>
      </c>
      <c r="BG58" s="7">
        <v>40.549999999999997</v>
      </c>
      <c r="BH58" s="7">
        <v>40.83</v>
      </c>
      <c r="BI58" s="7">
        <v>40.6</v>
      </c>
      <c r="BJ58" s="7">
        <v>42.39</v>
      </c>
      <c r="BK58" s="7">
        <v>40.78</v>
      </c>
      <c r="BL58" s="7">
        <v>41.31</v>
      </c>
      <c r="BM58" s="7">
        <v>40.9</v>
      </c>
      <c r="BN58" s="10"/>
    </row>
    <row r="59" spans="1:66" ht="15.75" customHeight="1" x14ac:dyDescent="0.25">
      <c r="A59" s="4">
        <v>58</v>
      </c>
      <c r="B59" s="4"/>
      <c r="C59" s="4">
        <v>27</v>
      </c>
      <c r="D59" s="6"/>
      <c r="E59" s="6">
        <v>39.93</v>
      </c>
      <c r="F59" s="6">
        <v>40.369999999999997</v>
      </c>
      <c r="G59" s="6">
        <v>40.57</v>
      </c>
      <c r="H59" s="6">
        <v>41.11</v>
      </c>
      <c r="I59" s="6">
        <v>40.36</v>
      </c>
      <c r="J59" s="6">
        <v>41.31</v>
      </c>
      <c r="K59" s="6">
        <v>41.96</v>
      </c>
      <c r="L59" s="6">
        <v>41.37</v>
      </c>
      <c r="M59" s="6">
        <v>42.14</v>
      </c>
      <c r="N59" s="6">
        <v>40.299999999999997</v>
      </c>
      <c r="O59" s="6">
        <v>40.75</v>
      </c>
      <c r="P59" s="6">
        <v>40.25</v>
      </c>
      <c r="Q59" s="6">
        <v>40.81</v>
      </c>
      <c r="R59" s="6">
        <v>40.409999999999997</v>
      </c>
      <c r="S59" s="6">
        <v>40.43</v>
      </c>
      <c r="T59" s="6">
        <v>39.79</v>
      </c>
      <c r="U59" s="6">
        <v>40.159999999999997</v>
      </c>
      <c r="V59" s="6">
        <v>40.840000000000003</v>
      </c>
      <c r="W59" s="6">
        <v>40.92</v>
      </c>
      <c r="X59" s="6">
        <v>40.28</v>
      </c>
      <c r="Y59" s="6">
        <v>42.57</v>
      </c>
      <c r="Z59" s="6">
        <v>40.07</v>
      </c>
      <c r="AA59" s="6">
        <v>40.44</v>
      </c>
      <c r="AB59" s="6">
        <v>41.91</v>
      </c>
      <c r="AC59" s="6">
        <v>40.659999999999997</v>
      </c>
      <c r="AD59" s="6">
        <v>41.04</v>
      </c>
      <c r="AE59" s="6">
        <v>41.69</v>
      </c>
      <c r="AF59" s="6">
        <v>40.42</v>
      </c>
      <c r="AG59" s="6">
        <v>40</v>
      </c>
      <c r="AH59" s="6">
        <v>40.549999999999997</v>
      </c>
      <c r="AI59" s="6">
        <v>40.36</v>
      </c>
      <c r="AJ59" s="6">
        <v>40.049999999999997</v>
      </c>
      <c r="AK59" s="6">
        <v>42.32</v>
      </c>
      <c r="AL59" s="6">
        <v>42.22</v>
      </c>
      <c r="AM59" s="6">
        <v>41.15</v>
      </c>
      <c r="AN59" s="6">
        <v>43.73</v>
      </c>
      <c r="AO59" s="7">
        <v>40.54</v>
      </c>
      <c r="AP59" s="7">
        <v>40.35</v>
      </c>
      <c r="AQ59" s="7">
        <v>40.44</v>
      </c>
      <c r="AR59" s="7">
        <v>40.03</v>
      </c>
      <c r="AS59" s="7">
        <v>40.19</v>
      </c>
      <c r="AT59" s="7">
        <v>41.5</v>
      </c>
      <c r="AU59" s="7">
        <v>41.88</v>
      </c>
      <c r="AV59" s="7"/>
      <c r="AW59" s="7"/>
      <c r="AX59" s="7">
        <v>42.09</v>
      </c>
      <c r="AY59" s="7">
        <v>39.97</v>
      </c>
      <c r="AZ59" s="7">
        <v>41.06</v>
      </c>
      <c r="BA59" s="7">
        <v>41.83</v>
      </c>
      <c r="BB59" s="7">
        <v>41.13</v>
      </c>
      <c r="BC59" s="7">
        <v>40.36</v>
      </c>
      <c r="BD59" s="7">
        <v>41.46</v>
      </c>
      <c r="BE59" s="7">
        <v>40.31</v>
      </c>
      <c r="BF59" s="7">
        <v>41.19</v>
      </c>
      <c r="BG59" s="7">
        <v>40.549999999999997</v>
      </c>
      <c r="BH59" s="7">
        <v>40.799999999999997</v>
      </c>
      <c r="BI59" s="7">
        <v>40.54</v>
      </c>
      <c r="BJ59" s="7">
        <v>42.35</v>
      </c>
      <c r="BK59" s="7">
        <v>40.81</v>
      </c>
      <c r="BL59" s="7">
        <v>41.26</v>
      </c>
      <c r="BM59" s="7">
        <v>40.840000000000003</v>
      </c>
      <c r="BN59" s="10"/>
    </row>
    <row r="60" spans="1:66" ht="15.75" customHeight="1" x14ac:dyDescent="0.25">
      <c r="A60" s="4">
        <v>59</v>
      </c>
      <c r="B60" s="4"/>
      <c r="C60" s="4">
        <v>28</v>
      </c>
      <c r="D60" s="6"/>
      <c r="E60" s="6">
        <v>39.950000000000003</v>
      </c>
      <c r="F60" s="6">
        <v>40.340000000000003</v>
      </c>
      <c r="G60" s="6">
        <v>40.53</v>
      </c>
      <c r="H60" s="6">
        <v>41.06</v>
      </c>
      <c r="I60" s="6">
        <v>40.31</v>
      </c>
      <c r="J60" s="6">
        <v>41.34</v>
      </c>
      <c r="K60" s="6">
        <v>41.96</v>
      </c>
      <c r="L60" s="6">
        <v>41.47</v>
      </c>
      <c r="M60" s="6">
        <v>42.03</v>
      </c>
      <c r="N60" s="6">
        <v>40.25</v>
      </c>
      <c r="O60" s="6">
        <v>40.72</v>
      </c>
      <c r="P60" s="6">
        <v>40.25</v>
      </c>
      <c r="Q60" s="6">
        <v>40.840000000000003</v>
      </c>
      <c r="R60" s="6">
        <v>40.409999999999997</v>
      </c>
      <c r="S60" s="6">
        <v>40.36</v>
      </c>
      <c r="T60" s="6">
        <v>39.78</v>
      </c>
      <c r="U60" s="6">
        <v>40.15</v>
      </c>
      <c r="V60" s="6">
        <v>41.08</v>
      </c>
      <c r="W60" s="6">
        <v>40.9</v>
      </c>
      <c r="X60" s="6">
        <v>40.28</v>
      </c>
      <c r="Y60" s="6">
        <v>42.66</v>
      </c>
      <c r="Z60" s="6">
        <v>40.04</v>
      </c>
      <c r="AA60" s="6">
        <v>40.44</v>
      </c>
      <c r="AB60" s="6">
        <v>41.96</v>
      </c>
      <c r="AC60" s="6">
        <v>40.61</v>
      </c>
      <c r="AD60" s="6">
        <v>41.06</v>
      </c>
      <c r="AE60" s="6">
        <v>41.65</v>
      </c>
      <c r="AF60" s="6">
        <v>40.450000000000003</v>
      </c>
      <c r="AG60" s="6">
        <v>40</v>
      </c>
      <c r="AH60" s="6">
        <v>40.5</v>
      </c>
      <c r="AI60" s="6">
        <v>40.4</v>
      </c>
      <c r="AJ60" s="6">
        <v>40.04</v>
      </c>
      <c r="AK60" s="6">
        <v>42.24</v>
      </c>
      <c r="AL60" s="6">
        <v>42.24</v>
      </c>
      <c r="AM60" s="6">
        <v>41.11</v>
      </c>
      <c r="AN60" s="6">
        <v>43.8</v>
      </c>
      <c r="AO60" s="7">
        <v>40.56</v>
      </c>
      <c r="AP60" s="7">
        <v>40.33</v>
      </c>
      <c r="AQ60" s="7">
        <v>40.409999999999997</v>
      </c>
      <c r="AR60" s="7">
        <v>40.03</v>
      </c>
      <c r="AS60" s="7">
        <v>40.229999999999997</v>
      </c>
      <c r="AT60" s="7">
        <v>41.46</v>
      </c>
      <c r="AU60" s="7">
        <v>41.82</v>
      </c>
      <c r="AV60" s="7"/>
      <c r="AW60" s="7"/>
      <c r="AX60" s="7">
        <v>41.99</v>
      </c>
      <c r="AY60" s="7">
        <v>40.01</v>
      </c>
      <c r="AZ60" s="7">
        <v>41.1</v>
      </c>
      <c r="BA60" s="7">
        <v>41.77</v>
      </c>
      <c r="BB60" s="7">
        <v>41.17</v>
      </c>
      <c r="BC60" s="7">
        <v>40.35</v>
      </c>
      <c r="BD60" s="7">
        <v>41.39</v>
      </c>
      <c r="BE60" s="7">
        <v>40.36</v>
      </c>
      <c r="BF60" s="7">
        <v>41.23</v>
      </c>
      <c r="BG60" s="7">
        <v>40.46</v>
      </c>
      <c r="BH60" s="7">
        <v>40.76</v>
      </c>
      <c r="BI60" s="7">
        <v>40.5</v>
      </c>
      <c r="BJ60" s="7">
        <v>42.34</v>
      </c>
      <c r="BK60" s="7">
        <v>40.83</v>
      </c>
      <c r="BL60" s="7">
        <v>41.2</v>
      </c>
      <c r="BM60" s="7">
        <v>40.75</v>
      </c>
      <c r="BN60" s="10"/>
    </row>
    <row r="61" spans="1:66" ht="15.75" customHeight="1" x14ac:dyDescent="0.25">
      <c r="A61" s="4"/>
      <c r="B61" s="4"/>
      <c r="C61" s="4">
        <v>29</v>
      </c>
      <c r="D61" s="6"/>
      <c r="E61" s="6">
        <v>40</v>
      </c>
      <c r="F61" s="1"/>
      <c r="G61" s="1"/>
      <c r="H61" s="1"/>
      <c r="I61" s="6">
        <v>40.31</v>
      </c>
      <c r="J61" s="1"/>
      <c r="K61" s="1"/>
      <c r="L61" s="1"/>
      <c r="M61" s="6">
        <v>41.96</v>
      </c>
      <c r="N61" s="1"/>
      <c r="O61" s="1"/>
      <c r="P61" s="1"/>
      <c r="Q61" s="6">
        <v>40.93</v>
      </c>
      <c r="R61" s="1"/>
      <c r="S61" s="1"/>
      <c r="T61" s="1"/>
      <c r="U61" s="6">
        <v>40.11</v>
      </c>
      <c r="V61" s="1"/>
      <c r="W61" s="1"/>
      <c r="X61" s="1"/>
      <c r="Y61" s="6">
        <v>42.69</v>
      </c>
      <c r="Z61" s="1"/>
      <c r="AA61" s="1"/>
      <c r="AB61" s="1"/>
      <c r="AC61" s="6">
        <v>40.549999999999997</v>
      </c>
      <c r="AD61" s="1"/>
      <c r="AE61" s="1"/>
      <c r="AF61" s="1"/>
      <c r="AG61" s="6">
        <v>39.950000000000003</v>
      </c>
      <c r="AH61" s="1"/>
      <c r="AI61" s="1"/>
      <c r="AJ61" s="1"/>
      <c r="AK61" s="6">
        <v>42.17</v>
      </c>
      <c r="AL61" s="1"/>
      <c r="AM61" s="1"/>
      <c r="AN61" s="1"/>
      <c r="AO61" s="7">
        <v>40.54</v>
      </c>
      <c r="AP61" s="1"/>
      <c r="AQ61" s="1"/>
      <c r="AR61" s="1"/>
      <c r="AS61" s="7">
        <v>40.26</v>
      </c>
      <c r="AT61" s="1"/>
      <c r="AU61" s="1"/>
      <c r="AV61" s="7"/>
      <c r="AW61" s="7"/>
      <c r="AX61" s="1"/>
      <c r="AY61" s="1"/>
      <c r="AZ61" s="1"/>
      <c r="BA61" s="7">
        <v>41.72</v>
      </c>
      <c r="BB61" s="1"/>
      <c r="BC61" s="1"/>
      <c r="BD61" s="1"/>
      <c r="BE61" s="7">
        <v>40.409999999999997</v>
      </c>
      <c r="BF61" s="1"/>
      <c r="BG61" s="1"/>
      <c r="BH61" s="1"/>
      <c r="BI61" s="7">
        <v>40.5</v>
      </c>
      <c r="BJ61" s="7"/>
      <c r="BK61" s="7"/>
      <c r="BL61" s="7"/>
      <c r="BM61" s="7">
        <v>40.700000000000003</v>
      </c>
      <c r="BN61" s="10"/>
    </row>
    <row r="62" spans="1:66" ht="15.75" customHeight="1" x14ac:dyDescent="0.25">
      <c r="A62" s="4">
        <v>60</v>
      </c>
      <c r="B62" s="5" t="s">
        <v>5</v>
      </c>
      <c r="C62" s="4">
        <v>1</v>
      </c>
      <c r="D62" s="6"/>
      <c r="E62" s="6">
        <v>40</v>
      </c>
      <c r="F62" s="6">
        <v>40.33</v>
      </c>
      <c r="G62" s="6">
        <v>40.479999999999997</v>
      </c>
      <c r="H62" s="6">
        <v>41.06</v>
      </c>
      <c r="I62" s="6">
        <v>40.25</v>
      </c>
      <c r="J62" s="6">
        <v>41.39</v>
      </c>
      <c r="K62" s="6">
        <v>41.97</v>
      </c>
      <c r="L62" s="6">
        <v>41.56</v>
      </c>
      <c r="M62" s="6">
        <v>41.9</v>
      </c>
      <c r="N62" s="6">
        <v>40.24</v>
      </c>
      <c r="O62" s="6">
        <v>40.700000000000003</v>
      </c>
      <c r="P62" s="6">
        <v>40.25</v>
      </c>
      <c r="Q62" s="6">
        <v>41.06</v>
      </c>
      <c r="R62" s="6">
        <v>40.409999999999997</v>
      </c>
      <c r="S62" s="6">
        <v>40.29</v>
      </c>
      <c r="T62" s="6">
        <v>39.770000000000003</v>
      </c>
      <c r="U62" s="6">
        <v>40.07</v>
      </c>
      <c r="V62" s="6">
        <v>41.22</v>
      </c>
      <c r="W62" s="6">
        <v>40.869999999999997</v>
      </c>
      <c r="X62" s="6">
        <v>40.31</v>
      </c>
      <c r="Y62" s="6">
        <v>42.73</v>
      </c>
      <c r="Z62" s="6">
        <v>39.979999999999997</v>
      </c>
      <c r="AA62" s="6">
        <v>40.590000000000003</v>
      </c>
      <c r="AB62" s="6">
        <v>42.01</v>
      </c>
      <c r="AC62" s="6">
        <v>40.520000000000003</v>
      </c>
      <c r="AD62" s="6">
        <v>41.21</v>
      </c>
      <c r="AE62" s="6">
        <v>41.51</v>
      </c>
      <c r="AF62" s="6">
        <v>40.450000000000003</v>
      </c>
      <c r="AG62" s="6">
        <v>39.950000000000003</v>
      </c>
      <c r="AH62" s="6">
        <v>40.47</v>
      </c>
      <c r="AI62" s="6">
        <v>40.42</v>
      </c>
      <c r="AJ62" s="6">
        <v>40.03</v>
      </c>
      <c r="AK62" s="6">
        <v>42.1</v>
      </c>
      <c r="AL62" s="6">
        <v>42.24</v>
      </c>
      <c r="AM62" s="6">
        <v>41.05</v>
      </c>
      <c r="AN62" s="6">
        <v>43.82</v>
      </c>
      <c r="AO62" s="7">
        <v>40.549999999999997</v>
      </c>
      <c r="AP62" s="7">
        <v>40.31</v>
      </c>
      <c r="AQ62" s="7">
        <v>40.39</v>
      </c>
      <c r="AR62" s="7">
        <v>40.020000000000003</v>
      </c>
      <c r="AS62" s="7">
        <v>40.299999999999997</v>
      </c>
      <c r="AT62" s="7">
        <v>41.42</v>
      </c>
      <c r="AU62" s="7">
        <v>41.76</v>
      </c>
      <c r="AV62" s="7"/>
      <c r="AW62" s="7"/>
      <c r="AX62" s="7">
        <v>41.91</v>
      </c>
      <c r="AY62" s="7">
        <v>40.03</v>
      </c>
      <c r="AZ62" s="7">
        <v>41.19</v>
      </c>
      <c r="BA62" s="7">
        <v>41.67</v>
      </c>
      <c r="BB62" s="7">
        <v>41.23</v>
      </c>
      <c r="BC62" s="7">
        <v>40.35</v>
      </c>
      <c r="BD62" s="7">
        <v>41.34</v>
      </c>
      <c r="BE62" s="7">
        <v>40.44</v>
      </c>
      <c r="BF62" s="7">
        <v>41.28</v>
      </c>
      <c r="BG62" s="7">
        <v>40.4</v>
      </c>
      <c r="BH62" s="7">
        <v>40.729999999999997</v>
      </c>
      <c r="BI62" s="7">
        <v>40.5</v>
      </c>
      <c r="BJ62" s="7">
        <v>42.2</v>
      </c>
      <c r="BK62" s="7">
        <v>41.05</v>
      </c>
      <c r="BL62" s="7">
        <v>41.17</v>
      </c>
      <c r="BM62" s="1">
        <v>40.700000000000003</v>
      </c>
      <c r="BN62" s="10"/>
    </row>
    <row r="63" spans="1:66" ht="15.75" customHeight="1" x14ac:dyDescent="0.25">
      <c r="A63" s="4">
        <v>61</v>
      </c>
      <c r="B63" s="4"/>
      <c r="C63" s="4">
        <v>2</v>
      </c>
      <c r="D63" s="6"/>
      <c r="E63" s="6">
        <v>39.979999999999997</v>
      </c>
      <c r="F63" s="6">
        <v>40.299999999999997</v>
      </c>
      <c r="G63" s="6">
        <v>40.479999999999997</v>
      </c>
      <c r="H63" s="6">
        <v>41.01</v>
      </c>
      <c r="I63" s="6">
        <v>40.25</v>
      </c>
      <c r="J63" s="6">
        <v>41.46</v>
      </c>
      <c r="K63" s="6">
        <v>42</v>
      </c>
      <c r="L63" s="6">
        <v>41.67</v>
      </c>
      <c r="M63" s="6">
        <v>41.84</v>
      </c>
      <c r="N63" s="6">
        <v>40.21</v>
      </c>
      <c r="O63" s="6">
        <v>40.700000000000003</v>
      </c>
      <c r="P63" s="6">
        <v>40.25</v>
      </c>
      <c r="Q63" s="6">
        <v>41.19</v>
      </c>
      <c r="R63" s="6">
        <v>40.409999999999997</v>
      </c>
      <c r="S63" s="6">
        <v>40.25</v>
      </c>
      <c r="T63" s="6">
        <v>39.76</v>
      </c>
      <c r="U63" s="6">
        <v>40.03</v>
      </c>
      <c r="V63" s="6">
        <v>41.22</v>
      </c>
      <c r="W63" s="6">
        <v>41.03</v>
      </c>
      <c r="X63" s="6">
        <v>40.46</v>
      </c>
      <c r="Y63" s="6">
        <v>42.7</v>
      </c>
      <c r="Z63" s="6">
        <v>39.979999999999997</v>
      </c>
      <c r="AA63" s="6">
        <v>40.6</v>
      </c>
      <c r="AB63" s="6">
        <v>42.05</v>
      </c>
      <c r="AC63" s="6">
        <v>40.450000000000003</v>
      </c>
      <c r="AD63" s="6">
        <v>41.37</v>
      </c>
      <c r="AE63" s="6">
        <v>41.38</v>
      </c>
      <c r="AF63" s="6">
        <v>40.520000000000003</v>
      </c>
      <c r="AG63" s="6">
        <v>39.950000000000003</v>
      </c>
      <c r="AH63" s="6">
        <v>40.47</v>
      </c>
      <c r="AI63" s="6">
        <v>40.42</v>
      </c>
      <c r="AJ63" s="6">
        <v>40.03</v>
      </c>
      <c r="AK63" s="6">
        <v>42.07</v>
      </c>
      <c r="AL63" s="6">
        <v>42.27</v>
      </c>
      <c r="AM63" s="6">
        <v>41.02</v>
      </c>
      <c r="AN63" s="6">
        <v>43.82</v>
      </c>
      <c r="AO63" s="7">
        <v>40.54</v>
      </c>
      <c r="AP63" s="7">
        <v>40.28</v>
      </c>
      <c r="AQ63" s="7">
        <v>40.369999999999997</v>
      </c>
      <c r="AR63" s="7">
        <v>40.020000000000003</v>
      </c>
      <c r="AS63" s="7">
        <v>40.4</v>
      </c>
      <c r="AT63" s="7">
        <v>41.36</v>
      </c>
      <c r="AU63" s="7">
        <v>41.7</v>
      </c>
      <c r="AV63" s="7"/>
      <c r="AW63" s="7"/>
      <c r="AX63" s="7">
        <v>41.83</v>
      </c>
      <c r="AY63" s="7">
        <v>40.07</v>
      </c>
      <c r="AZ63" s="7">
        <v>41.3</v>
      </c>
      <c r="BA63" s="7">
        <v>41.64</v>
      </c>
      <c r="BB63" s="7">
        <v>41.32</v>
      </c>
      <c r="BC63" s="7">
        <v>40.369999999999997</v>
      </c>
      <c r="BD63" s="7">
        <v>41.27</v>
      </c>
      <c r="BE63" s="7">
        <v>40.450000000000003</v>
      </c>
      <c r="BF63" s="7">
        <v>41.34</v>
      </c>
      <c r="BG63" s="7">
        <v>40.369999999999997</v>
      </c>
      <c r="BH63" s="7">
        <v>40.700000000000003</v>
      </c>
      <c r="BI63" s="7">
        <v>40.5</v>
      </c>
      <c r="BJ63" s="7">
        <v>42.18</v>
      </c>
      <c r="BK63" s="7">
        <v>41.2</v>
      </c>
      <c r="BL63" s="7">
        <v>41.12</v>
      </c>
      <c r="BM63" s="7">
        <v>40.67</v>
      </c>
      <c r="BN63" s="10"/>
    </row>
    <row r="64" spans="1:66" ht="15.75" customHeight="1" x14ac:dyDescent="0.25">
      <c r="A64" s="4">
        <v>62</v>
      </c>
      <c r="B64" s="4"/>
      <c r="C64" s="4">
        <v>3</v>
      </c>
      <c r="D64" s="6"/>
      <c r="E64" s="6">
        <v>40</v>
      </c>
      <c r="F64" s="6">
        <v>40.200000000000003</v>
      </c>
      <c r="G64" s="6">
        <v>40.43</v>
      </c>
      <c r="H64" s="6">
        <v>41.01</v>
      </c>
      <c r="I64" s="6">
        <v>40.21</v>
      </c>
      <c r="J64" s="6">
        <v>41.52</v>
      </c>
      <c r="K64" s="6">
        <v>41.96</v>
      </c>
      <c r="L64" s="6">
        <v>41.76</v>
      </c>
      <c r="M64" s="6">
        <v>41.75</v>
      </c>
      <c r="N64" s="6">
        <v>40.18</v>
      </c>
      <c r="O64" s="6">
        <v>40.71</v>
      </c>
      <c r="P64" s="6">
        <v>40.340000000000003</v>
      </c>
      <c r="Q64" s="6">
        <v>41.22</v>
      </c>
      <c r="R64" s="6">
        <v>40.450000000000003</v>
      </c>
      <c r="S64" s="6">
        <v>40.22</v>
      </c>
      <c r="T64" s="6">
        <v>39.76</v>
      </c>
      <c r="U64" s="6">
        <v>39.97</v>
      </c>
      <c r="V64" s="6">
        <v>41.35</v>
      </c>
      <c r="W64" s="6">
        <v>41.04</v>
      </c>
      <c r="X64" s="6">
        <v>40.49</v>
      </c>
      <c r="Y64" s="6">
        <v>42.68</v>
      </c>
      <c r="Z64" s="6">
        <v>39.979999999999997</v>
      </c>
      <c r="AA64" s="6">
        <v>40.81</v>
      </c>
      <c r="AB64" s="6">
        <v>42.02</v>
      </c>
      <c r="AC64" s="6">
        <v>40.39</v>
      </c>
      <c r="AD64" s="6">
        <v>41.53</v>
      </c>
      <c r="AE64" s="6">
        <v>41.24</v>
      </c>
      <c r="AF64" s="6">
        <v>40.54</v>
      </c>
      <c r="AG64" s="6">
        <v>40.01</v>
      </c>
      <c r="AH64" s="6">
        <v>40.47</v>
      </c>
      <c r="AI64" s="6">
        <v>40.43</v>
      </c>
      <c r="AJ64" s="6">
        <v>40.049999999999997</v>
      </c>
      <c r="AK64" s="6">
        <v>42.05</v>
      </c>
      <c r="AL64" s="6">
        <v>42.28</v>
      </c>
      <c r="AM64" s="6">
        <v>40.99</v>
      </c>
      <c r="AN64" s="6">
        <v>43.82</v>
      </c>
      <c r="AO64" s="7">
        <v>40.54</v>
      </c>
      <c r="AP64" s="7">
        <v>40.24</v>
      </c>
      <c r="AQ64" s="7">
        <v>40.36</v>
      </c>
      <c r="AR64" s="7">
        <v>40.01</v>
      </c>
      <c r="AS64" s="7">
        <v>40.479999999999997</v>
      </c>
      <c r="AT64" s="7">
        <v>41.3</v>
      </c>
      <c r="AU64" s="7">
        <v>41.65</v>
      </c>
      <c r="AV64" s="7"/>
      <c r="AW64" s="7"/>
      <c r="AX64" s="7">
        <v>41.77</v>
      </c>
      <c r="AY64" s="7">
        <v>40.08</v>
      </c>
      <c r="AZ64" s="7">
        <v>41.43</v>
      </c>
      <c r="BA64" s="7">
        <v>41.62</v>
      </c>
      <c r="BB64" s="7">
        <v>41.41</v>
      </c>
      <c r="BC64" s="7">
        <v>40.42</v>
      </c>
      <c r="BD64" s="7">
        <v>41.23</v>
      </c>
      <c r="BE64" s="7">
        <v>40.43</v>
      </c>
      <c r="BF64" s="7">
        <v>41.38</v>
      </c>
      <c r="BG64" s="7">
        <v>40.28</v>
      </c>
      <c r="BH64" s="7">
        <v>40.630000000000003</v>
      </c>
      <c r="BI64" s="7">
        <v>40.5</v>
      </c>
      <c r="BJ64" s="7">
        <v>42.09</v>
      </c>
      <c r="BK64" s="7">
        <v>41.39</v>
      </c>
      <c r="BL64" s="7">
        <v>41.09</v>
      </c>
      <c r="BM64" s="7">
        <v>40.57</v>
      </c>
      <c r="BN64" s="10"/>
    </row>
    <row r="65" spans="1:66" ht="15.75" customHeight="1" x14ac:dyDescent="0.25">
      <c r="A65" s="4">
        <v>63</v>
      </c>
      <c r="B65" s="4"/>
      <c r="C65" s="4">
        <v>4</v>
      </c>
      <c r="D65" s="6"/>
      <c r="E65" s="6">
        <v>39.99</v>
      </c>
      <c r="F65" s="6">
        <v>40.130000000000003</v>
      </c>
      <c r="G65" s="6">
        <v>40.409999999999997</v>
      </c>
      <c r="H65" s="6">
        <v>40.96</v>
      </c>
      <c r="I65" s="6">
        <v>40.21</v>
      </c>
      <c r="J65" s="6">
        <v>41.54</v>
      </c>
      <c r="K65" s="6">
        <v>41.87</v>
      </c>
      <c r="L65" s="6">
        <v>41.86</v>
      </c>
      <c r="M65" s="6">
        <v>41.78</v>
      </c>
      <c r="N65" s="6">
        <v>40.159999999999997</v>
      </c>
      <c r="O65" s="6">
        <v>40.72</v>
      </c>
      <c r="P65" s="6">
        <v>40.39</v>
      </c>
      <c r="Q65" s="6">
        <v>41.22</v>
      </c>
      <c r="R65" s="6">
        <v>40.46</v>
      </c>
      <c r="S65" s="6">
        <v>40.18</v>
      </c>
      <c r="T65" s="6">
        <v>39.75</v>
      </c>
      <c r="U65" s="6">
        <v>39.93</v>
      </c>
      <c r="V65" s="6">
        <v>41.46</v>
      </c>
      <c r="W65" s="6">
        <v>41.05</v>
      </c>
      <c r="X65" s="6">
        <v>40.520000000000003</v>
      </c>
      <c r="Y65" s="6">
        <v>42.64</v>
      </c>
      <c r="Z65" s="6">
        <v>39.979999999999997</v>
      </c>
      <c r="AA65" s="6">
        <v>40.950000000000003</v>
      </c>
      <c r="AB65" s="6">
        <v>41.91</v>
      </c>
      <c r="AC65" s="6">
        <v>40.340000000000003</v>
      </c>
      <c r="AD65" s="6">
        <v>41.63</v>
      </c>
      <c r="AE65" s="6">
        <v>41.11</v>
      </c>
      <c r="AF65" s="6">
        <v>40.58</v>
      </c>
      <c r="AG65" s="6">
        <v>40.1</v>
      </c>
      <c r="AH65" s="6">
        <v>40.49</v>
      </c>
      <c r="AI65" s="6">
        <v>40.44</v>
      </c>
      <c r="AJ65" s="6">
        <v>40.06</v>
      </c>
      <c r="AK65" s="6">
        <v>42.04</v>
      </c>
      <c r="AL65" s="6">
        <v>42.25</v>
      </c>
      <c r="AM65" s="6">
        <v>40.96</v>
      </c>
      <c r="AN65" s="6">
        <v>43.63</v>
      </c>
      <c r="AO65" s="7">
        <v>40.58</v>
      </c>
      <c r="AP65" s="7">
        <v>40.200000000000003</v>
      </c>
      <c r="AQ65" s="7">
        <v>40.340000000000003</v>
      </c>
      <c r="AR65" s="7">
        <v>40.04</v>
      </c>
      <c r="AS65" s="7">
        <v>40.53</v>
      </c>
      <c r="AT65" s="7">
        <v>41.25</v>
      </c>
      <c r="AU65" s="7">
        <v>41.62</v>
      </c>
      <c r="AV65" s="7"/>
      <c r="AW65" s="7"/>
      <c r="AX65" s="7">
        <v>41.74</v>
      </c>
      <c r="AY65" s="7">
        <v>40.1</v>
      </c>
      <c r="AZ65" s="7">
        <v>41.54</v>
      </c>
      <c r="BA65" s="7">
        <v>41.61</v>
      </c>
      <c r="BB65" s="7">
        <v>41.49</v>
      </c>
      <c r="BC65" s="7">
        <v>40.46</v>
      </c>
      <c r="BD65" s="7">
        <v>41.2</v>
      </c>
      <c r="BE65" s="7">
        <v>40.42</v>
      </c>
      <c r="BF65" s="7">
        <v>41.42</v>
      </c>
      <c r="BG65" s="7">
        <v>40.229999999999997</v>
      </c>
      <c r="BH65" s="7">
        <v>40.56</v>
      </c>
      <c r="BI65" s="7">
        <v>40.5</v>
      </c>
      <c r="BJ65" s="7">
        <v>41.92</v>
      </c>
      <c r="BK65" s="7">
        <v>41.33</v>
      </c>
      <c r="BL65" s="7">
        <v>41.09</v>
      </c>
      <c r="BM65" s="7">
        <v>40.51</v>
      </c>
      <c r="BN65" s="10"/>
    </row>
    <row r="66" spans="1:66" ht="15.75" customHeight="1" x14ac:dyDescent="0.25">
      <c r="A66" s="4">
        <v>64</v>
      </c>
      <c r="B66" s="4"/>
      <c r="C66" s="4">
        <v>5</v>
      </c>
      <c r="D66" s="6"/>
      <c r="E66" s="6">
        <v>39.97</v>
      </c>
      <c r="F66" s="6">
        <v>40.090000000000003</v>
      </c>
      <c r="G66" s="6">
        <v>40.39</v>
      </c>
      <c r="H66" s="6">
        <v>40.96</v>
      </c>
      <c r="I66" s="6">
        <v>40.21</v>
      </c>
      <c r="J66" s="6">
        <v>41.56</v>
      </c>
      <c r="K66" s="6">
        <v>41.76</v>
      </c>
      <c r="L66" s="6">
        <v>41.96</v>
      </c>
      <c r="M66" s="6">
        <v>41.78</v>
      </c>
      <c r="N66" s="6">
        <v>40.130000000000003</v>
      </c>
      <c r="O66" s="6">
        <v>40.74</v>
      </c>
      <c r="P66" s="6">
        <v>40.409999999999997</v>
      </c>
      <c r="Q66" s="6">
        <v>41.26</v>
      </c>
      <c r="R66" s="6">
        <v>40.47</v>
      </c>
      <c r="S66" s="6">
        <v>40.159999999999997</v>
      </c>
      <c r="T66" s="6">
        <v>39.75</v>
      </c>
      <c r="U66" s="6">
        <v>39.9</v>
      </c>
      <c r="V66" s="6">
        <v>41.59</v>
      </c>
      <c r="W66" s="6">
        <v>41.14</v>
      </c>
      <c r="X66" s="6">
        <v>40.56</v>
      </c>
      <c r="Y66" s="6">
        <v>42.6</v>
      </c>
      <c r="Z66" s="6">
        <v>39.979999999999997</v>
      </c>
      <c r="AA66" s="6">
        <v>41.04</v>
      </c>
      <c r="AB66" s="6">
        <v>41.96</v>
      </c>
      <c r="AC66" s="6">
        <v>40.299999999999997</v>
      </c>
      <c r="AD66" s="6">
        <v>41.76</v>
      </c>
      <c r="AE66" s="6">
        <v>41</v>
      </c>
      <c r="AF66" s="6">
        <v>40.6</v>
      </c>
      <c r="AG66" s="6">
        <v>40.200000000000003</v>
      </c>
      <c r="AH66" s="6">
        <v>40.51</v>
      </c>
      <c r="AI66" s="6">
        <v>40.44</v>
      </c>
      <c r="AJ66" s="6">
        <v>40.090000000000003</v>
      </c>
      <c r="AK66" s="6">
        <v>42.04</v>
      </c>
      <c r="AL66" s="6">
        <v>42.23</v>
      </c>
      <c r="AM66" s="6">
        <v>40.94</v>
      </c>
      <c r="AN66" s="6">
        <v>43.67</v>
      </c>
      <c r="AO66" s="7">
        <v>40.6</v>
      </c>
      <c r="AP66" s="7">
        <v>40.18</v>
      </c>
      <c r="AQ66" s="7">
        <v>40.340000000000003</v>
      </c>
      <c r="AR66" s="7">
        <v>40.06</v>
      </c>
      <c r="AS66" s="6">
        <v>40.56</v>
      </c>
      <c r="AT66" s="7">
        <v>41.2</v>
      </c>
      <c r="AU66" s="7">
        <v>41.57</v>
      </c>
      <c r="AV66" s="6"/>
      <c r="AW66" s="6"/>
      <c r="AX66" s="7">
        <v>41.7</v>
      </c>
      <c r="AY66" s="7">
        <v>40.1</v>
      </c>
      <c r="AZ66" s="7">
        <v>41.61</v>
      </c>
      <c r="BA66" s="6">
        <v>41.61</v>
      </c>
      <c r="BB66" s="7">
        <v>41.56</v>
      </c>
      <c r="BC66" s="7">
        <v>40.5</v>
      </c>
      <c r="BD66" s="7">
        <v>41.23</v>
      </c>
      <c r="BE66" s="6">
        <v>40.42</v>
      </c>
      <c r="BF66" s="7">
        <v>41.47</v>
      </c>
      <c r="BG66" s="7">
        <v>40.200000000000003</v>
      </c>
      <c r="BH66" s="7">
        <v>40.53</v>
      </c>
      <c r="BI66" s="6">
        <v>40.5</v>
      </c>
      <c r="BJ66" s="7">
        <v>41.82</v>
      </c>
      <c r="BK66" s="7">
        <v>41.66</v>
      </c>
      <c r="BL66" s="7">
        <v>41.11</v>
      </c>
      <c r="BM66" s="7">
        <v>40.47</v>
      </c>
      <c r="BN66" s="19"/>
    </row>
    <row r="67" spans="1:66" ht="15.75" customHeight="1" x14ac:dyDescent="0.25">
      <c r="A67" s="4">
        <v>65</v>
      </c>
      <c r="B67" s="4"/>
      <c r="C67" s="4">
        <v>6</v>
      </c>
      <c r="D67" s="6"/>
      <c r="E67" s="6">
        <v>39.93</v>
      </c>
      <c r="F67" s="6">
        <v>40.07</v>
      </c>
      <c r="G67" s="6">
        <v>40.39</v>
      </c>
      <c r="H67" s="6">
        <v>40.96</v>
      </c>
      <c r="I67" s="6">
        <v>40.159999999999997</v>
      </c>
      <c r="J67" s="6">
        <v>41.59</v>
      </c>
      <c r="K67" s="6">
        <v>41.62</v>
      </c>
      <c r="L67" s="6">
        <v>42.06</v>
      </c>
      <c r="M67" s="6">
        <v>41.78</v>
      </c>
      <c r="N67" s="6">
        <v>40.090000000000003</v>
      </c>
      <c r="O67" s="6">
        <v>40.770000000000003</v>
      </c>
      <c r="P67" s="6">
        <v>40.46</v>
      </c>
      <c r="Q67" s="6">
        <v>41.33</v>
      </c>
      <c r="R67" s="6">
        <v>40.47</v>
      </c>
      <c r="S67" s="6">
        <v>40.159999999999997</v>
      </c>
      <c r="T67" s="6">
        <v>39.75</v>
      </c>
      <c r="U67" s="6">
        <v>39.880000000000003</v>
      </c>
      <c r="V67" s="6">
        <v>41.74</v>
      </c>
      <c r="W67" s="6">
        <v>41.11</v>
      </c>
      <c r="X67" s="6">
        <v>40.56</v>
      </c>
      <c r="Y67" s="6">
        <v>42.56</v>
      </c>
      <c r="Z67" s="6">
        <v>39.979999999999997</v>
      </c>
      <c r="AA67" s="6">
        <v>41.12</v>
      </c>
      <c r="AB67" s="6">
        <v>41.93</v>
      </c>
      <c r="AC67" s="6">
        <v>40.26</v>
      </c>
      <c r="AD67" s="6">
        <v>41.75</v>
      </c>
      <c r="AE67" s="6">
        <v>40.89</v>
      </c>
      <c r="AF67" s="6">
        <v>40.619999999999997</v>
      </c>
      <c r="AG67" s="6">
        <v>40.28</v>
      </c>
      <c r="AH67" s="6">
        <v>40.549999999999997</v>
      </c>
      <c r="AI67" s="6">
        <v>40.42</v>
      </c>
      <c r="AJ67" s="6">
        <v>40.14</v>
      </c>
      <c r="AK67" s="6">
        <v>42.04</v>
      </c>
      <c r="AL67" s="6">
        <v>42.15</v>
      </c>
      <c r="AM67" s="6">
        <v>40.799999999999997</v>
      </c>
      <c r="AN67" s="6">
        <v>43.52</v>
      </c>
      <c r="AO67" s="7">
        <v>40.619999999999997</v>
      </c>
      <c r="AP67" s="6">
        <v>40.159999999999997</v>
      </c>
      <c r="AQ67" s="6">
        <v>40.369999999999997</v>
      </c>
      <c r="AR67" s="6">
        <v>40.07</v>
      </c>
      <c r="AS67" s="6">
        <v>40.590000000000003</v>
      </c>
      <c r="AT67" s="6">
        <v>41.16</v>
      </c>
      <c r="AU67" s="6">
        <v>41.52</v>
      </c>
      <c r="AV67" s="6"/>
      <c r="AW67" s="6"/>
      <c r="AX67" s="6">
        <v>41.67</v>
      </c>
      <c r="AY67" s="6">
        <v>40.11</v>
      </c>
      <c r="AZ67" s="6">
        <v>41.68</v>
      </c>
      <c r="BA67" s="6">
        <v>41.6</v>
      </c>
      <c r="BB67" s="6">
        <v>41.63</v>
      </c>
      <c r="BC67" s="6">
        <v>40.54</v>
      </c>
      <c r="BD67" s="6">
        <v>41.16</v>
      </c>
      <c r="BE67" s="6">
        <v>40.409999999999997</v>
      </c>
      <c r="BF67" s="6">
        <v>41.4</v>
      </c>
      <c r="BG67" s="6">
        <v>40.200000000000003</v>
      </c>
      <c r="BH67" s="6">
        <v>40.49</v>
      </c>
      <c r="BI67" s="6">
        <v>40.5</v>
      </c>
      <c r="BJ67" s="7">
        <v>41.71</v>
      </c>
      <c r="BK67" s="7">
        <v>41.75</v>
      </c>
      <c r="BL67" s="7">
        <v>41.13</v>
      </c>
      <c r="BM67" s="7">
        <v>40.44</v>
      </c>
      <c r="BN67" s="10"/>
    </row>
    <row r="68" spans="1:66" ht="15.75" customHeight="1" x14ac:dyDescent="0.25">
      <c r="A68" s="4">
        <v>66</v>
      </c>
      <c r="B68" s="4"/>
      <c r="C68" s="4">
        <v>7</v>
      </c>
      <c r="D68" s="6"/>
      <c r="E68" s="6">
        <v>39.880000000000003</v>
      </c>
      <c r="F68" s="6">
        <v>40.049999999999997</v>
      </c>
      <c r="G68" s="6">
        <v>40.36</v>
      </c>
      <c r="H68" s="6">
        <v>40.86</v>
      </c>
      <c r="I68" s="6">
        <v>40.159999999999997</v>
      </c>
      <c r="J68" s="6">
        <v>41.61</v>
      </c>
      <c r="K68" s="6">
        <v>41.47</v>
      </c>
      <c r="L68" s="6">
        <v>42.15</v>
      </c>
      <c r="M68" s="6">
        <v>41.85</v>
      </c>
      <c r="N68" s="6">
        <v>40.07</v>
      </c>
      <c r="O68" s="6">
        <v>40.83</v>
      </c>
      <c r="P68" s="6">
        <v>40.520000000000003</v>
      </c>
      <c r="Q68" s="6">
        <v>41.38</v>
      </c>
      <c r="R68" s="6">
        <v>40.47</v>
      </c>
      <c r="S68" s="6">
        <v>40.21</v>
      </c>
      <c r="T68" s="6">
        <v>39.75</v>
      </c>
      <c r="U68" s="6">
        <v>39.840000000000003</v>
      </c>
      <c r="V68" s="6">
        <v>41.88</v>
      </c>
      <c r="W68" s="6">
        <v>41.06</v>
      </c>
      <c r="X68" s="6">
        <v>40.58</v>
      </c>
      <c r="Y68" s="6">
        <v>42.53</v>
      </c>
      <c r="Z68" s="6">
        <v>39.979999999999997</v>
      </c>
      <c r="AA68" s="6">
        <v>41.2</v>
      </c>
      <c r="AB68" s="6">
        <v>41.85</v>
      </c>
      <c r="AC68" s="6">
        <v>40.22</v>
      </c>
      <c r="AD68" s="6">
        <v>41.88</v>
      </c>
      <c r="AE68" s="6">
        <v>40.82</v>
      </c>
      <c r="AF68" s="6">
        <v>40.619999999999997</v>
      </c>
      <c r="AG68" s="6">
        <v>40.340000000000003</v>
      </c>
      <c r="AH68" s="6">
        <v>40.6</v>
      </c>
      <c r="AI68" s="6">
        <v>40.39</v>
      </c>
      <c r="AJ68" s="6">
        <v>40.159999999999997</v>
      </c>
      <c r="AK68" s="6">
        <v>42.04</v>
      </c>
      <c r="AL68" s="6">
        <v>42.04</v>
      </c>
      <c r="AM68" s="6">
        <v>40.840000000000003</v>
      </c>
      <c r="AN68" s="6">
        <v>43.4</v>
      </c>
      <c r="AO68" s="7">
        <v>40.64</v>
      </c>
      <c r="AP68" s="6">
        <v>40.159999999999997</v>
      </c>
      <c r="AQ68" s="6">
        <v>40.4</v>
      </c>
      <c r="AR68" s="6">
        <v>40.090000000000003</v>
      </c>
      <c r="AS68" s="6">
        <v>40.6</v>
      </c>
      <c r="AT68" s="6">
        <v>41.15</v>
      </c>
      <c r="AU68" s="6">
        <v>41.46</v>
      </c>
      <c r="AV68" s="6"/>
      <c r="AW68" s="6"/>
      <c r="AX68" s="6">
        <v>41.64</v>
      </c>
      <c r="AY68" s="6">
        <v>40.130000000000003</v>
      </c>
      <c r="AZ68" s="6">
        <v>41.75</v>
      </c>
      <c r="BA68" s="6">
        <v>41.59</v>
      </c>
      <c r="BB68" s="6">
        <v>41.72</v>
      </c>
      <c r="BC68" s="6">
        <v>40.590000000000003</v>
      </c>
      <c r="BD68" s="6">
        <v>41.15</v>
      </c>
      <c r="BE68" s="6">
        <v>40.380000000000003</v>
      </c>
      <c r="BF68" s="6">
        <v>41.37</v>
      </c>
      <c r="BG68" s="6">
        <v>40.19</v>
      </c>
      <c r="BH68" s="6">
        <v>40.46</v>
      </c>
      <c r="BI68" s="6">
        <v>40.479999999999997</v>
      </c>
      <c r="BJ68" s="7">
        <v>41.62</v>
      </c>
      <c r="BK68" s="7">
        <v>41.8</v>
      </c>
      <c r="BL68" s="7">
        <v>41.17</v>
      </c>
      <c r="BM68" s="7">
        <v>40.43</v>
      </c>
      <c r="BN68" s="10"/>
    </row>
    <row r="69" spans="1:66" ht="15.75" customHeight="1" x14ac:dyDescent="0.25">
      <c r="A69" s="4">
        <v>67</v>
      </c>
      <c r="B69" s="4"/>
      <c r="C69" s="4">
        <v>8</v>
      </c>
      <c r="D69" s="6"/>
      <c r="E69" s="6">
        <v>39.840000000000003</v>
      </c>
      <c r="F69" s="6">
        <v>40.03</v>
      </c>
      <c r="G69" s="6">
        <v>40.380000000000003</v>
      </c>
      <c r="H69" s="6">
        <v>40.81</v>
      </c>
      <c r="I69" s="6">
        <v>40.159999999999997</v>
      </c>
      <c r="J69" s="6">
        <v>41.63</v>
      </c>
      <c r="K69" s="6">
        <v>41.35</v>
      </c>
      <c r="L69" s="6">
        <v>42.2</v>
      </c>
      <c r="M69" s="6">
        <v>41.88</v>
      </c>
      <c r="N69" s="6">
        <v>40.06</v>
      </c>
      <c r="O69" s="6">
        <v>40.86</v>
      </c>
      <c r="P69" s="6">
        <v>40.57</v>
      </c>
      <c r="Q69" s="6">
        <v>41.49</v>
      </c>
      <c r="R69" s="6">
        <v>40.47</v>
      </c>
      <c r="S69" s="6">
        <v>40.18</v>
      </c>
      <c r="T69" s="6">
        <v>39.81</v>
      </c>
      <c r="U69" s="6">
        <v>39.81</v>
      </c>
      <c r="V69" s="6">
        <v>41.98</v>
      </c>
      <c r="W69" s="6">
        <v>40.880000000000003</v>
      </c>
      <c r="X69" s="6">
        <v>40.619999999999997</v>
      </c>
      <c r="Y69" s="6">
        <v>42.52</v>
      </c>
      <c r="Z69" s="6">
        <v>39.979999999999997</v>
      </c>
      <c r="AA69" s="6">
        <v>41.23</v>
      </c>
      <c r="AB69" s="6">
        <v>41.82</v>
      </c>
      <c r="AC69" s="6">
        <v>40.159999999999997</v>
      </c>
      <c r="AD69" s="6">
        <v>41.88</v>
      </c>
      <c r="AE69" s="6">
        <v>40.76</v>
      </c>
      <c r="AF69" s="6">
        <v>40.590000000000003</v>
      </c>
      <c r="AG69" s="6">
        <v>40.42</v>
      </c>
      <c r="AH69" s="6">
        <v>40.65</v>
      </c>
      <c r="AI69" s="6">
        <v>40.36</v>
      </c>
      <c r="AJ69" s="6">
        <v>40.159999999999997</v>
      </c>
      <c r="AK69" s="6">
        <v>42.03</v>
      </c>
      <c r="AL69" s="6">
        <v>41.92</v>
      </c>
      <c r="AM69" s="6">
        <v>40.76</v>
      </c>
      <c r="AN69" s="6">
        <v>43.36</v>
      </c>
      <c r="AO69" s="7">
        <v>40.68</v>
      </c>
      <c r="AP69" s="6">
        <v>40.159999999999997</v>
      </c>
      <c r="AQ69" s="6">
        <v>40.409999999999997</v>
      </c>
      <c r="AR69" s="6">
        <v>40.11</v>
      </c>
      <c r="AS69" s="6">
        <v>40.590000000000003</v>
      </c>
      <c r="AT69" s="6">
        <v>41.14</v>
      </c>
      <c r="AU69" s="6">
        <v>41.42</v>
      </c>
      <c r="AV69" s="6"/>
      <c r="AW69" s="6"/>
      <c r="AX69" s="6">
        <v>41.62</v>
      </c>
      <c r="AY69" s="6">
        <v>40.19</v>
      </c>
      <c r="AZ69" s="6">
        <v>41.83</v>
      </c>
      <c r="BA69" s="6">
        <v>41.59</v>
      </c>
      <c r="BB69" s="6">
        <v>41.79</v>
      </c>
      <c r="BC69" s="6">
        <v>40.630000000000003</v>
      </c>
      <c r="BD69" s="6">
        <v>41.14</v>
      </c>
      <c r="BE69" s="6">
        <v>40.35</v>
      </c>
      <c r="BF69" s="6">
        <v>41.34</v>
      </c>
      <c r="BG69" s="6">
        <v>40.21</v>
      </c>
      <c r="BH69" s="6">
        <v>40.46</v>
      </c>
      <c r="BI69" s="6">
        <v>40.479999999999997</v>
      </c>
      <c r="BJ69" s="7">
        <v>41.55</v>
      </c>
      <c r="BK69" s="7">
        <v>41.85</v>
      </c>
      <c r="BL69" s="7">
        <v>41.2</v>
      </c>
      <c r="BM69" s="7">
        <v>40.42</v>
      </c>
      <c r="BN69" s="10"/>
    </row>
    <row r="70" spans="1:66" ht="15.75" customHeight="1" x14ac:dyDescent="0.25">
      <c r="A70" s="4">
        <v>68</v>
      </c>
      <c r="B70" s="4"/>
      <c r="C70" s="4">
        <v>9</v>
      </c>
      <c r="D70" s="6"/>
      <c r="E70" s="6">
        <v>39.81</v>
      </c>
      <c r="F70" s="6">
        <v>40.049999999999997</v>
      </c>
      <c r="G70" s="6">
        <v>40.39</v>
      </c>
      <c r="H70" s="6">
        <v>40.71</v>
      </c>
      <c r="I70" s="6">
        <v>40.21</v>
      </c>
      <c r="J70" s="6">
        <v>41.66</v>
      </c>
      <c r="K70" s="6">
        <v>41.25</v>
      </c>
      <c r="L70" s="6">
        <v>42.24</v>
      </c>
      <c r="M70" s="6">
        <v>41.86</v>
      </c>
      <c r="N70" s="6">
        <v>40.04</v>
      </c>
      <c r="O70" s="6">
        <v>40.880000000000003</v>
      </c>
      <c r="P70" s="6">
        <v>40.65</v>
      </c>
      <c r="Q70" s="6">
        <v>41.61</v>
      </c>
      <c r="R70" s="6">
        <v>40.450000000000003</v>
      </c>
      <c r="S70" s="6">
        <v>40.200000000000003</v>
      </c>
      <c r="T70" s="6">
        <v>39.83</v>
      </c>
      <c r="U70" s="6">
        <v>39.78</v>
      </c>
      <c r="V70" s="6">
        <v>42.12</v>
      </c>
      <c r="W70" s="6">
        <v>40.82</v>
      </c>
      <c r="X70" s="6">
        <v>40.630000000000003</v>
      </c>
      <c r="Y70" s="6">
        <v>42.51</v>
      </c>
      <c r="Z70" s="6">
        <v>40.01</v>
      </c>
      <c r="AA70" s="6">
        <v>41.23</v>
      </c>
      <c r="AB70" s="6">
        <v>41.77</v>
      </c>
      <c r="AC70" s="6">
        <v>40.119999999999997</v>
      </c>
      <c r="AD70" s="6">
        <v>41.86</v>
      </c>
      <c r="AE70" s="6">
        <v>40.72</v>
      </c>
      <c r="AF70" s="6">
        <v>40.590000000000003</v>
      </c>
      <c r="AG70" s="6">
        <v>40.5</v>
      </c>
      <c r="AH70" s="6">
        <v>40.67</v>
      </c>
      <c r="AI70" s="6">
        <v>40.340000000000003</v>
      </c>
      <c r="AJ70" s="6">
        <v>40.18</v>
      </c>
      <c r="AK70" s="6">
        <v>42</v>
      </c>
      <c r="AL70" s="6">
        <v>41.79</v>
      </c>
      <c r="AM70" s="6">
        <v>40.700000000000003</v>
      </c>
      <c r="AN70" s="6">
        <v>43.22</v>
      </c>
      <c r="AO70" s="7">
        <v>40.68</v>
      </c>
      <c r="AP70" s="6">
        <v>40.159999999999997</v>
      </c>
      <c r="AQ70" s="6">
        <v>40.409999999999997</v>
      </c>
      <c r="AR70" s="6">
        <v>40.119999999999997</v>
      </c>
      <c r="AS70" s="6">
        <v>40.57</v>
      </c>
      <c r="AT70" s="6">
        <v>41.15</v>
      </c>
      <c r="AU70" s="6">
        <v>41.39</v>
      </c>
      <c r="AV70" s="6"/>
      <c r="AW70" s="6"/>
      <c r="AX70" s="6">
        <v>41.62</v>
      </c>
      <c r="AY70" s="6">
        <v>40.24</v>
      </c>
      <c r="AZ70" s="6">
        <v>41.87</v>
      </c>
      <c r="BA70" s="6">
        <v>41.59</v>
      </c>
      <c r="BB70" s="6">
        <v>41.85</v>
      </c>
      <c r="BC70" s="6">
        <v>40.659999999999997</v>
      </c>
      <c r="BD70" s="6">
        <v>41.12</v>
      </c>
      <c r="BE70" s="6">
        <v>40.340000000000003</v>
      </c>
      <c r="BF70" s="6">
        <v>41.31</v>
      </c>
      <c r="BG70" s="6">
        <v>40.21</v>
      </c>
      <c r="BH70" s="6">
        <v>40.46</v>
      </c>
      <c r="BI70" s="6">
        <v>40.47</v>
      </c>
      <c r="BJ70" s="7">
        <v>41.46</v>
      </c>
      <c r="BK70" s="7">
        <v>41.85</v>
      </c>
      <c r="BL70" s="7">
        <v>41.23</v>
      </c>
      <c r="BM70" s="7">
        <v>40.4</v>
      </c>
      <c r="BN70" s="10"/>
    </row>
    <row r="71" spans="1:66" ht="15.75" customHeight="1" x14ac:dyDescent="0.25">
      <c r="A71" s="4">
        <v>69</v>
      </c>
      <c r="B71" s="4"/>
      <c r="C71" s="4">
        <v>10</v>
      </c>
      <c r="D71" s="6"/>
      <c r="E71" s="6">
        <v>39.770000000000003</v>
      </c>
      <c r="F71" s="6">
        <v>40.08</v>
      </c>
      <c r="G71" s="6">
        <v>40.380000000000003</v>
      </c>
      <c r="H71" s="6">
        <v>40.71</v>
      </c>
      <c r="I71" s="6">
        <v>40.21</v>
      </c>
      <c r="J71" s="6">
        <v>41.76</v>
      </c>
      <c r="K71" s="6">
        <v>41.17</v>
      </c>
      <c r="L71" s="6">
        <v>42.2</v>
      </c>
      <c r="M71" s="6">
        <v>41.84</v>
      </c>
      <c r="N71" s="6">
        <v>40.020000000000003</v>
      </c>
      <c r="O71" s="6">
        <v>40.880000000000003</v>
      </c>
      <c r="P71" s="6">
        <v>40.729999999999997</v>
      </c>
      <c r="Q71" s="6">
        <v>41.73</v>
      </c>
      <c r="R71" s="6">
        <v>40.450000000000003</v>
      </c>
      <c r="S71" s="6">
        <v>40.229999999999997</v>
      </c>
      <c r="T71" s="6">
        <v>39.89</v>
      </c>
      <c r="U71" s="6">
        <v>39.75</v>
      </c>
      <c r="V71" s="6">
        <v>42.26</v>
      </c>
      <c r="W71" s="6">
        <v>40.729999999999997</v>
      </c>
      <c r="X71" s="6">
        <v>40.6</v>
      </c>
      <c r="Y71" s="6">
        <v>42.5</v>
      </c>
      <c r="Z71" s="6">
        <v>40.01</v>
      </c>
      <c r="AA71" s="6">
        <v>41.22</v>
      </c>
      <c r="AB71" s="6">
        <v>41.71</v>
      </c>
      <c r="AC71" s="6">
        <v>40.08</v>
      </c>
      <c r="AD71" s="6">
        <v>41.82</v>
      </c>
      <c r="AE71" s="6">
        <v>40.729999999999997</v>
      </c>
      <c r="AF71" s="6">
        <v>40.6</v>
      </c>
      <c r="AG71" s="6">
        <v>40.520000000000003</v>
      </c>
      <c r="AH71" s="6">
        <v>40.71</v>
      </c>
      <c r="AI71" s="6">
        <v>40.32</v>
      </c>
      <c r="AJ71" s="6">
        <v>40.200000000000003</v>
      </c>
      <c r="AK71" s="6">
        <v>41.96</v>
      </c>
      <c r="AL71" s="6">
        <v>41.57</v>
      </c>
      <c r="AM71" s="6">
        <v>40.630000000000003</v>
      </c>
      <c r="AN71" s="6">
        <v>43.1</v>
      </c>
      <c r="AO71" s="7">
        <v>40.6</v>
      </c>
      <c r="AP71" s="6">
        <v>40.17</v>
      </c>
      <c r="AQ71" s="6">
        <v>40.409999999999997</v>
      </c>
      <c r="AR71" s="6">
        <v>40.11</v>
      </c>
      <c r="AS71" s="6">
        <v>40.54</v>
      </c>
      <c r="AT71" s="6">
        <v>41.14</v>
      </c>
      <c r="AU71" s="6">
        <v>41.4</v>
      </c>
      <c r="AV71" s="6"/>
      <c r="AW71" s="6"/>
      <c r="AX71" s="6">
        <v>41.62</v>
      </c>
      <c r="AY71" s="6">
        <v>40.29</v>
      </c>
      <c r="AZ71" s="6">
        <v>41.9</v>
      </c>
      <c r="BA71" s="6">
        <v>41.59</v>
      </c>
      <c r="BB71" s="6">
        <v>41.83</v>
      </c>
      <c r="BC71" s="6">
        <v>40.69</v>
      </c>
      <c r="BD71" s="6">
        <v>41.08</v>
      </c>
      <c r="BE71" s="6">
        <v>40.31</v>
      </c>
      <c r="BF71" s="6">
        <v>41.3</v>
      </c>
      <c r="BG71" s="6">
        <v>40.24</v>
      </c>
      <c r="BH71" s="6">
        <v>40.46</v>
      </c>
      <c r="BI71" s="6">
        <v>40.46</v>
      </c>
      <c r="BJ71" s="7">
        <v>41.34</v>
      </c>
      <c r="BK71" s="7">
        <v>41.87</v>
      </c>
      <c r="BL71" s="7">
        <v>41.25</v>
      </c>
      <c r="BM71" s="7">
        <v>40.380000000000003</v>
      </c>
      <c r="BN71" s="10"/>
    </row>
    <row r="72" spans="1:66" ht="15.75" customHeight="1" x14ac:dyDescent="0.25">
      <c r="A72" s="4">
        <v>70</v>
      </c>
      <c r="B72" s="4"/>
      <c r="C72" s="4">
        <v>11</v>
      </c>
      <c r="D72" s="6"/>
      <c r="E72" s="6">
        <v>39.72</v>
      </c>
      <c r="F72" s="6">
        <v>40.14</v>
      </c>
      <c r="G72" s="6">
        <v>40.36</v>
      </c>
      <c r="H72" s="6">
        <v>40.71</v>
      </c>
      <c r="I72" s="6">
        <v>40.25</v>
      </c>
      <c r="J72" s="6">
        <v>41.81</v>
      </c>
      <c r="K72" s="6">
        <v>41.15</v>
      </c>
      <c r="L72" s="6">
        <v>42.15</v>
      </c>
      <c r="M72" s="6">
        <v>41.8</v>
      </c>
      <c r="N72" s="6">
        <v>40</v>
      </c>
      <c r="O72" s="6">
        <v>40.869999999999997</v>
      </c>
      <c r="P72" s="6">
        <v>40.75</v>
      </c>
      <c r="Q72" s="6">
        <v>41.81</v>
      </c>
      <c r="R72" s="6">
        <v>40.43</v>
      </c>
      <c r="S72" s="6">
        <v>40.25</v>
      </c>
      <c r="T72" s="6">
        <v>39.97</v>
      </c>
      <c r="U72" s="6">
        <v>39.74</v>
      </c>
      <c r="V72" s="6">
        <v>42.37</v>
      </c>
      <c r="W72" s="6">
        <v>40.64</v>
      </c>
      <c r="X72" s="6">
        <v>40.54</v>
      </c>
      <c r="Y72" s="6">
        <v>42.48</v>
      </c>
      <c r="Z72" s="6">
        <v>39.99</v>
      </c>
      <c r="AA72" s="6">
        <v>41.22</v>
      </c>
      <c r="AB72" s="6">
        <v>41.65</v>
      </c>
      <c r="AC72" s="6">
        <v>40</v>
      </c>
      <c r="AD72" s="6">
        <v>41.78</v>
      </c>
      <c r="AE72" s="6">
        <v>40.729999999999997</v>
      </c>
      <c r="AF72" s="6">
        <v>40.619999999999997</v>
      </c>
      <c r="AG72" s="6">
        <v>40.53</v>
      </c>
      <c r="AH72" s="6">
        <v>40.79</v>
      </c>
      <c r="AI72" s="6">
        <v>40.299999999999997</v>
      </c>
      <c r="AJ72" s="6">
        <v>40.200000000000003</v>
      </c>
      <c r="AK72" s="6">
        <v>41.94</v>
      </c>
      <c r="AL72" s="6">
        <v>41.55</v>
      </c>
      <c r="AM72" s="6">
        <v>40.56</v>
      </c>
      <c r="AN72" s="6">
        <v>42.94</v>
      </c>
      <c r="AO72" s="7">
        <v>40.71</v>
      </c>
      <c r="AP72" s="6">
        <v>40.18</v>
      </c>
      <c r="AQ72" s="6">
        <v>40.42</v>
      </c>
      <c r="AR72" s="6">
        <v>40.1</v>
      </c>
      <c r="AS72" s="6">
        <v>40.520000000000003</v>
      </c>
      <c r="AT72" s="6">
        <v>41.22</v>
      </c>
      <c r="AU72" s="6">
        <v>41.44</v>
      </c>
      <c r="AV72" s="6"/>
      <c r="AW72" s="6"/>
      <c r="AX72" s="6">
        <v>41.64</v>
      </c>
      <c r="AY72" s="6">
        <v>40.33</v>
      </c>
      <c r="AZ72" s="6">
        <v>41.92</v>
      </c>
      <c r="BA72" s="6">
        <v>41.58</v>
      </c>
      <c r="BB72" s="6">
        <v>41.79</v>
      </c>
      <c r="BC72" s="6">
        <v>40.700000000000003</v>
      </c>
      <c r="BD72" s="6">
        <v>41.06</v>
      </c>
      <c r="BE72" s="6">
        <v>40.29</v>
      </c>
      <c r="BF72" s="6">
        <v>41.3</v>
      </c>
      <c r="BG72" s="6">
        <v>40.270000000000003</v>
      </c>
      <c r="BH72" s="6">
        <v>40.46</v>
      </c>
      <c r="BI72" s="6">
        <v>40.44</v>
      </c>
      <c r="BJ72" s="7">
        <v>41.22</v>
      </c>
      <c r="BK72" s="7">
        <v>41.89</v>
      </c>
      <c r="BL72" s="7">
        <v>41.27</v>
      </c>
      <c r="BM72" s="7">
        <v>40.36</v>
      </c>
      <c r="BN72" s="10"/>
    </row>
    <row r="73" spans="1:66" ht="15.75" customHeight="1" x14ac:dyDescent="0.25">
      <c r="A73" s="4">
        <v>71</v>
      </c>
      <c r="B73" s="4"/>
      <c r="C73" s="4">
        <v>12</v>
      </c>
      <c r="D73" s="6"/>
      <c r="E73" s="6">
        <v>39.659999999999997</v>
      </c>
      <c r="F73" s="6">
        <v>40.15</v>
      </c>
      <c r="G73" s="6">
        <v>40.36</v>
      </c>
      <c r="H73" s="6">
        <v>40.61</v>
      </c>
      <c r="I73" s="6">
        <v>40.25</v>
      </c>
      <c r="J73" s="6">
        <v>41.81</v>
      </c>
      <c r="K73" s="6">
        <v>41.07</v>
      </c>
      <c r="L73" s="6">
        <v>42.07</v>
      </c>
      <c r="M73" s="6">
        <v>41.77</v>
      </c>
      <c r="N73" s="6">
        <v>39.96</v>
      </c>
      <c r="O73" s="6">
        <v>40.840000000000003</v>
      </c>
      <c r="P73" s="6">
        <v>40.770000000000003</v>
      </c>
      <c r="Q73" s="6">
        <v>41.86</v>
      </c>
      <c r="R73" s="6">
        <v>40.409999999999997</v>
      </c>
      <c r="S73" s="6">
        <v>40.25</v>
      </c>
      <c r="T73" s="6">
        <v>40.049999999999997</v>
      </c>
      <c r="U73" s="6">
        <v>39.72</v>
      </c>
      <c r="V73" s="6">
        <v>42.4</v>
      </c>
      <c r="W73" s="6">
        <v>40.58</v>
      </c>
      <c r="X73" s="6">
        <v>40.479999999999997</v>
      </c>
      <c r="Y73" s="6">
        <v>42.46</v>
      </c>
      <c r="Z73" s="6">
        <v>39.99</v>
      </c>
      <c r="AA73" s="6">
        <v>41.18</v>
      </c>
      <c r="AB73" s="6">
        <v>41.55</v>
      </c>
      <c r="AC73" s="6">
        <v>39.950000000000003</v>
      </c>
      <c r="AD73" s="6">
        <v>41.74</v>
      </c>
      <c r="AE73" s="6">
        <v>40.79</v>
      </c>
      <c r="AF73" s="6">
        <v>40.68</v>
      </c>
      <c r="AG73" s="6">
        <v>40.57</v>
      </c>
      <c r="AH73" s="6">
        <v>40.85</v>
      </c>
      <c r="AI73" s="6">
        <v>40.28</v>
      </c>
      <c r="AJ73" s="6">
        <v>40.22</v>
      </c>
      <c r="AK73" s="6">
        <v>41.92</v>
      </c>
      <c r="AL73" s="6">
        <v>41.45</v>
      </c>
      <c r="AM73" s="6">
        <v>40.5</v>
      </c>
      <c r="AN73" s="6">
        <v>42.78</v>
      </c>
      <c r="AO73" s="7">
        <v>40.6</v>
      </c>
      <c r="AP73" s="6">
        <v>40.18</v>
      </c>
      <c r="AQ73" s="6">
        <v>40.409999999999997</v>
      </c>
      <c r="AR73" s="6">
        <v>40.11</v>
      </c>
      <c r="AS73" s="6">
        <v>40.520000000000003</v>
      </c>
      <c r="AT73" s="6">
        <v>41.26</v>
      </c>
      <c r="AU73" s="6">
        <v>41.51</v>
      </c>
      <c r="AV73" s="6"/>
      <c r="AW73" s="6"/>
      <c r="AX73" s="6">
        <v>41.68</v>
      </c>
      <c r="AY73" s="6">
        <v>40.409999999999997</v>
      </c>
      <c r="AZ73" s="6">
        <v>41.97</v>
      </c>
      <c r="BA73" s="6">
        <v>41.59</v>
      </c>
      <c r="BB73" s="6">
        <v>41.76</v>
      </c>
      <c r="BC73" s="6">
        <v>40.74</v>
      </c>
      <c r="BD73" s="6">
        <v>41.04</v>
      </c>
      <c r="BE73" s="6">
        <v>40.270000000000003</v>
      </c>
      <c r="BF73" s="6">
        <v>41.4</v>
      </c>
      <c r="BG73" s="6">
        <v>40.26</v>
      </c>
      <c r="BH73" s="6">
        <v>40.46</v>
      </c>
      <c r="BI73" s="6">
        <v>40.44</v>
      </c>
      <c r="BJ73" s="7">
        <v>41.23</v>
      </c>
      <c r="BK73" s="7">
        <v>41.89</v>
      </c>
      <c r="BL73" s="7">
        <v>41.28</v>
      </c>
      <c r="BM73" s="7">
        <v>40.35</v>
      </c>
      <c r="BN73" s="10"/>
    </row>
    <row r="74" spans="1:66" ht="15.75" customHeight="1" x14ac:dyDescent="0.25">
      <c r="A74" s="4">
        <v>72</v>
      </c>
      <c r="B74" s="4"/>
      <c r="C74" s="4">
        <v>13</v>
      </c>
      <c r="D74" s="6"/>
      <c r="E74" s="6">
        <v>39.659999999999997</v>
      </c>
      <c r="F74" s="6">
        <v>40.15</v>
      </c>
      <c r="G74" s="6">
        <v>40.36</v>
      </c>
      <c r="H74" s="6">
        <v>40.46</v>
      </c>
      <c r="I74" s="6">
        <v>40.25</v>
      </c>
      <c r="J74" s="6">
        <v>41.85</v>
      </c>
      <c r="K74" s="6">
        <v>41.07</v>
      </c>
      <c r="L74" s="6">
        <v>42.02</v>
      </c>
      <c r="M74" s="6">
        <v>41.76</v>
      </c>
      <c r="N74" s="6">
        <v>39.909999999999997</v>
      </c>
      <c r="O74" s="6">
        <v>40.81</v>
      </c>
      <c r="P74" s="6">
        <v>40.75</v>
      </c>
      <c r="Q74" s="6">
        <v>41.9</v>
      </c>
      <c r="R74" s="6">
        <v>40.39</v>
      </c>
      <c r="S74" s="6">
        <v>40.31</v>
      </c>
      <c r="T74" s="6">
        <v>40.11</v>
      </c>
      <c r="U74" s="6">
        <v>39.72</v>
      </c>
      <c r="V74" s="6">
        <v>42.46</v>
      </c>
      <c r="W74" s="6">
        <v>40.54</v>
      </c>
      <c r="X74" s="6">
        <v>40.44</v>
      </c>
      <c r="Y74" s="6">
        <v>42.41</v>
      </c>
      <c r="Z74" s="6">
        <v>40</v>
      </c>
      <c r="AA74" s="6">
        <v>41.18</v>
      </c>
      <c r="AB74" s="6">
        <v>41.46</v>
      </c>
      <c r="AC74" s="6">
        <v>39.92</v>
      </c>
      <c r="AD74" s="6">
        <v>41.72</v>
      </c>
      <c r="AE74" s="6">
        <v>40.840000000000003</v>
      </c>
      <c r="AF74" s="6">
        <v>40.840000000000003</v>
      </c>
      <c r="AG74" s="6">
        <v>40.6</v>
      </c>
      <c r="AH74" s="6">
        <v>40.950000000000003</v>
      </c>
      <c r="AI74" s="6">
        <v>40.26</v>
      </c>
      <c r="AJ74" s="6">
        <v>40.25</v>
      </c>
      <c r="AK74" s="6">
        <v>41.94</v>
      </c>
      <c r="AL74" s="6">
        <v>41.38</v>
      </c>
      <c r="AM74" s="6">
        <v>40.46</v>
      </c>
      <c r="AN74" s="6">
        <v>42.62</v>
      </c>
      <c r="AO74" s="7">
        <v>40.6</v>
      </c>
      <c r="AP74" s="6">
        <v>40.18</v>
      </c>
      <c r="AQ74" s="6">
        <v>40.49</v>
      </c>
      <c r="AR74" s="6">
        <v>40.1</v>
      </c>
      <c r="AS74" s="6">
        <v>40.56</v>
      </c>
      <c r="AT74" s="6">
        <v>41.31</v>
      </c>
      <c r="AU74" s="6">
        <v>41.56</v>
      </c>
      <c r="AV74" s="6"/>
      <c r="AW74" s="6"/>
      <c r="AX74" s="6">
        <v>41.68</v>
      </c>
      <c r="AY74" s="6">
        <v>40.450000000000003</v>
      </c>
      <c r="AZ74" s="6">
        <v>42.04</v>
      </c>
      <c r="BA74" s="6">
        <v>41.59</v>
      </c>
      <c r="BB74" s="6">
        <v>41.74</v>
      </c>
      <c r="BC74" s="6">
        <v>40.76</v>
      </c>
      <c r="BD74" s="6">
        <v>41.02</v>
      </c>
      <c r="BE74" s="6">
        <v>40.229999999999997</v>
      </c>
      <c r="BF74" s="6">
        <v>41.52</v>
      </c>
      <c r="BG74" s="6">
        <v>40.25</v>
      </c>
      <c r="BH74" s="6">
        <v>40.46</v>
      </c>
      <c r="BI74" s="6">
        <v>40.43</v>
      </c>
      <c r="BJ74" s="7">
        <v>41.31</v>
      </c>
      <c r="BK74" s="7">
        <v>41.89</v>
      </c>
      <c r="BL74" s="7">
        <v>41.29</v>
      </c>
      <c r="BM74" s="7">
        <v>40.32</v>
      </c>
      <c r="BN74" s="10"/>
    </row>
    <row r="75" spans="1:66" ht="15.75" customHeight="1" x14ac:dyDescent="0.25">
      <c r="A75" s="4">
        <v>73</v>
      </c>
      <c r="B75" s="4"/>
      <c r="C75" s="4">
        <v>14</v>
      </c>
      <c r="D75" s="6"/>
      <c r="E75" s="6">
        <v>39.68</v>
      </c>
      <c r="F75" s="6">
        <v>40.159999999999997</v>
      </c>
      <c r="G75" s="6">
        <v>40.32</v>
      </c>
      <c r="H75" s="6">
        <v>40.36</v>
      </c>
      <c r="I75" s="6">
        <v>40.28</v>
      </c>
      <c r="J75" s="6">
        <v>41.85</v>
      </c>
      <c r="K75" s="6">
        <v>41.08</v>
      </c>
      <c r="L75" s="6">
        <v>41.93</v>
      </c>
      <c r="M75" s="6">
        <v>41.76</v>
      </c>
      <c r="N75" s="6">
        <v>39.909999999999997</v>
      </c>
      <c r="O75" s="6">
        <v>40.74</v>
      </c>
      <c r="P75" s="6">
        <v>40.68</v>
      </c>
      <c r="Q75" s="6">
        <v>41.96</v>
      </c>
      <c r="R75" s="6">
        <v>40.340000000000003</v>
      </c>
      <c r="S75" s="6">
        <v>40.31</v>
      </c>
      <c r="T75" s="6">
        <v>40.090000000000003</v>
      </c>
      <c r="U75" s="6">
        <v>39.729999999999997</v>
      </c>
      <c r="V75" s="6">
        <v>42.46</v>
      </c>
      <c r="W75" s="6">
        <v>40.47</v>
      </c>
      <c r="X75" s="6">
        <v>40.43</v>
      </c>
      <c r="Y75" s="6">
        <v>42.35</v>
      </c>
      <c r="Z75" s="6">
        <v>39.99</v>
      </c>
      <c r="AA75" s="6">
        <v>41.12</v>
      </c>
      <c r="AB75" s="6">
        <v>41.33</v>
      </c>
      <c r="AC75" s="6">
        <v>39.9</v>
      </c>
      <c r="AD75" s="6">
        <v>41.71</v>
      </c>
      <c r="AE75" s="6">
        <v>40.89</v>
      </c>
      <c r="AF75" s="6">
        <v>41.02</v>
      </c>
      <c r="AG75" s="6">
        <v>40.65</v>
      </c>
      <c r="AH75" s="6">
        <v>41.04</v>
      </c>
      <c r="AI75" s="6">
        <v>40.24</v>
      </c>
      <c r="AJ75" s="6">
        <v>40.31</v>
      </c>
      <c r="AK75" s="6">
        <v>41.94</v>
      </c>
      <c r="AL75" s="6">
        <v>41.35</v>
      </c>
      <c r="AM75" s="6">
        <v>40.43</v>
      </c>
      <c r="AN75" s="6">
        <v>42.56</v>
      </c>
      <c r="AO75" s="7">
        <v>40.619999999999997</v>
      </c>
      <c r="AP75" s="6">
        <v>40.17</v>
      </c>
      <c r="AQ75" s="6">
        <v>40.44</v>
      </c>
      <c r="AR75" s="6">
        <v>40.1</v>
      </c>
      <c r="AS75" s="6">
        <v>40.6</v>
      </c>
      <c r="AT75" s="6">
        <v>41.34</v>
      </c>
      <c r="AU75" s="6">
        <v>41.61</v>
      </c>
      <c r="AV75" s="6"/>
      <c r="AW75" s="6"/>
      <c r="AX75" s="6">
        <v>41.7</v>
      </c>
      <c r="AY75" s="6">
        <v>40.53</v>
      </c>
      <c r="AZ75" s="6">
        <v>42.09</v>
      </c>
      <c r="BA75" s="6">
        <v>41.6</v>
      </c>
      <c r="BB75" s="6">
        <v>41.72</v>
      </c>
      <c r="BC75" s="6">
        <v>40.78</v>
      </c>
      <c r="BD75" s="6">
        <v>41</v>
      </c>
      <c r="BE75" s="6">
        <v>40.200000000000003</v>
      </c>
      <c r="BF75" s="6">
        <v>41.65</v>
      </c>
      <c r="BG75" s="6">
        <v>40.28</v>
      </c>
      <c r="BH75" s="6">
        <v>40.46</v>
      </c>
      <c r="BI75" s="6">
        <v>40.43</v>
      </c>
      <c r="BJ75" s="7">
        <v>41.41</v>
      </c>
      <c r="BK75" s="7">
        <v>41.9</v>
      </c>
      <c r="BL75" s="7">
        <v>41.38</v>
      </c>
      <c r="BM75" s="7">
        <v>40.33</v>
      </c>
      <c r="BN75" s="10"/>
    </row>
    <row r="76" spans="1:66" ht="15.75" customHeight="1" x14ac:dyDescent="0.25">
      <c r="A76" s="4">
        <v>74</v>
      </c>
      <c r="B76" s="4"/>
      <c r="C76" s="4">
        <v>15</v>
      </c>
      <c r="D76" s="6"/>
      <c r="E76" s="6">
        <v>39.71</v>
      </c>
      <c r="F76" s="6">
        <v>40.159999999999997</v>
      </c>
      <c r="G76" s="6">
        <v>40.299999999999997</v>
      </c>
      <c r="H76" s="6">
        <v>40.31</v>
      </c>
      <c r="I76" s="6">
        <v>40.28</v>
      </c>
      <c r="J76" s="6">
        <v>41.86</v>
      </c>
      <c r="K76" s="6">
        <v>41.14</v>
      </c>
      <c r="L76" s="6">
        <v>41.85</v>
      </c>
      <c r="M76" s="6">
        <v>41.75</v>
      </c>
      <c r="N76" s="6">
        <v>39.96</v>
      </c>
      <c r="O76" s="6">
        <v>40.659999999999997</v>
      </c>
      <c r="P76" s="6">
        <v>40.68</v>
      </c>
      <c r="Q76" s="6">
        <v>41.96</v>
      </c>
      <c r="R76" s="6">
        <v>40.340000000000003</v>
      </c>
      <c r="S76" s="6">
        <v>40.25</v>
      </c>
      <c r="T76" s="6">
        <v>40.1</v>
      </c>
      <c r="U76" s="6">
        <v>39.75</v>
      </c>
      <c r="V76" s="6">
        <v>42.44</v>
      </c>
      <c r="W76" s="6">
        <v>40.450000000000003</v>
      </c>
      <c r="X76" s="6">
        <v>40.43</v>
      </c>
      <c r="Y76" s="6">
        <v>42.25</v>
      </c>
      <c r="Z76" s="6">
        <v>39.97</v>
      </c>
      <c r="AA76" s="6">
        <v>41.11</v>
      </c>
      <c r="AB76" s="6">
        <v>41.29</v>
      </c>
      <c r="AC76" s="6">
        <v>39.880000000000003</v>
      </c>
      <c r="AD76" s="6">
        <v>41.69</v>
      </c>
      <c r="AE76" s="6">
        <v>40.909999999999997</v>
      </c>
      <c r="AF76" s="6">
        <v>41.19</v>
      </c>
      <c r="AG76" s="6">
        <v>40.700000000000003</v>
      </c>
      <c r="AH76" s="6">
        <v>41.14</v>
      </c>
      <c r="AI76" s="6">
        <v>40.22</v>
      </c>
      <c r="AJ76" s="6">
        <v>40.369999999999997</v>
      </c>
      <c r="AK76" s="6">
        <v>41.91</v>
      </c>
      <c r="AL76" s="6">
        <v>41.33</v>
      </c>
      <c r="AM76" s="6">
        <v>40.4</v>
      </c>
      <c r="AN76" s="6">
        <v>42.32</v>
      </c>
      <c r="AO76" s="7">
        <v>40.75</v>
      </c>
      <c r="AP76" s="6">
        <v>40.159999999999997</v>
      </c>
      <c r="AQ76" s="6">
        <v>40.299999999999997</v>
      </c>
      <c r="AR76" s="6">
        <v>40.11</v>
      </c>
      <c r="AS76" s="6">
        <v>40.64</v>
      </c>
      <c r="AT76" s="6">
        <v>41.27</v>
      </c>
      <c r="AU76" s="6">
        <v>41.63</v>
      </c>
      <c r="AV76" s="6"/>
      <c r="AW76" s="6"/>
      <c r="AX76" s="6">
        <v>41.7</v>
      </c>
      <c r="AY76" s="6">
        <v>40.57</v>
      </c>
      <c r="AZ76" s="6">
        <v>42.13</v>
      </c>
      <c r="BA76" s="6">
        <v>41.62</v>
      </c>
      <c r="BB76" s="6">
        <v>41.7</v>
      </c>
      <c r="BC76" s="6">
        <v>40.83</v>
      </c>
      <c r="BD76" s="6">
        <v>41.03</v>
      </c>
      <c r="BE76" s="6">
        <v>40.130000000000003</v>
      </c>
      <c r="BF76" s="6">
        <v>41.83</v>
      </c>
      <c r="BG76" s="6">
        <v>40.29</v>
      </c>
      <c r="BH76" s="6">
        <v>40.46</v>
      </c>
      <c r="BI76" s="6">
        <v>40.42</v>
      </c>
      <c r="BJ76" s="7">
        <v>41.51</v>
      </c>
      <c r="BK76" s="7">
        <v>41.93</v>
      </c>
      <c r="BL76" s="7">
        <v>41.5</v>
      </c>
      <c r="BM76" s="7">
        <v>40.33</v>
      </c>
      <c r="BN76" s="10"/>
    </row>
    <row r="77" spans="1:66" ht="15.75" customHeight="1" x14ac:dyDescent="0.25">
      <c r="A77" s="4">
        <v>75</v>
      </c>
      <c r="B77" s="4"/>
      <c r="C77" s="4">
        <v>16</v>
      </c>
      <c r="D77" s="6"/>
      <c r="E77" s="6">
        <v>39.72</v>
      </c>
      <c r="F77" s="6">
        <v>40.159999999999997</v>
      </c>
      <c r="G77" s="6">
        <v>40.25</v>
      </c>
      <c r="H77" s="6">
        <v>40.31</v>
      </c>
      <c r="I77" s="6">
        <v>40.31</v>
      </c>
      <c r="J77" s="6">
        <v>41.86</v>
      </c>
      <c r="K77" s="6">
        <v>41.16</v>
      </c>
      <c r="L77" s="6">
        <v>41.77</v>
      </c>
      <c r="M77" s="6">
        <v>41.74</v>
      </c>
      <c r="N77" s="6">
        <v>40</v>
      </c>
      <c r="O77" s="6">
        <v>40.61</v>
      </c>
      <c r="P77" s="6">
        <v>40.64</v>
      </c>
      <c r="Q77" s="6">
        <v>42</v>
      </c>
      <c r="R77" s="6">
        <v>40.33</v>
      </c>
      <c r="S77" s="6">
        <v>40.18</v>
      </c>
      <c r="T77" s="6">
        <v>40.15</v>
      </c>
      <c r="U77" s="6">
        <v>39.75</v>
      </c>
      <c r="V77" s="6">
        <v>42.39</v>
      </c>
      <c r="W77" s="6">
        <v>40.43</v>
      </c>
      <c r="X77" s="6">
        <v>40.44</v>
      </c>
      <c r="Y77" s="6">
        <v>42.16</v>
      </c>
      <c r="Z77" s="6">
        <v>39.950000000000003</v>
      </c>
      <c r="AA77" s="6">
        <v>41.1</v>
      </c>
      <c r="AB77" s="6">
        <v>41.2</v>
      </c>
      <c r="AC77" s="6">
        <v>39.86</v>
      </c>
      <c r="AD77" s="6">
        <v>41.68</v>
      </c>
      <c r="AE77" s="6">
        <v>40.950000000000003</v>
      </c>
      <c r="AF77" s="6">
        <v>41.39</v>
      </c>
      <c r="AG77" s="6">
        <v>40.76</v>
      </c>
      <c r="AH77" s="6">
        <v>41.29</v>
      </c>
      <c r="AI77" s="6">
        <v>40.21</v>
      </c>
      <c r="AJ77" s="6">
        <v>40.43</v>
      </c>
      <c r="AK77" s="6">
        <v>41.93</v>
      </c>
      <c r="AL77" s="6">
        <v>41.32</v>
      </c>
      <c r="AM77" s="6">
        <v>40.380000000000003</v>
      </c>
      <c r="AN77" s="6">
        <v>42.24</v>
      </c>
      <c r="AO77" s="7">
        <v>40.76</v>
      </c>
      <c r="AP77" s="6">
        <v>40.14</v>
      </c>
      <c r="AQ77" s="6">
        <v>40.36</v>
      </c>
      <c r="AR77" s="6">
        <v>40.11</v>
      </c>
      <c r="AS77" s="6">
        <v>40.68</v>
      </c>
      <c r="AT77" s="6">
        <v>41.36</v>
      </c>
      <c r="AU77" s="6">
        <v>41.61</v>
      </c>
      <c r="AV77" s="6"/>
      <c r="AW77" s="6"/>
      <c r="AX77" s="6">
        <v>41.71</v>
      </c>
      <c r="AY77" s="6">
        <v>40.6</v>
      </c>
      <c r="AZ77" s="6">
        <v>42.15</v>
      </c>
      <c r="BA77" s="6">
        <v>41.65</v>
      </c>
      <c r="BB77" s="6">
        <v>41.68</v>
      </c>
      <c r="BC77" s="6">
        <v>40.880000000000003</v>
      </c>
      <c r="BD77" s="6">
        <v>41.04</v>
      </c>
      <c r="BE77" s="6">
        <v>40.119999999999997</v>
      </c>
      <c r="BF77" s="6">
        <v>41.97</v>
      </c>
      <c r="BG77" s="6">
        <v>40.29</v>
      </c>
      <c r="BH77" s="6">
        <v>40.46</v>
      </c>
      <c r="BI77" s="6">
        <v>40.42</v>
      </c>
      <c r="BJ77" s="7">
        <v>41.59</v>
      </c>
      <c r="BK77" s="7">
        <v>42.05</v>
      </c>
      <c r="BL77" s="7">
        <v>41.64</v>
      </c>
      <c r="BM77" s="7">
        <v>40.32</v>
      </c>
      <c r="BN77" s="10"/>
    </row>
    <row r="78" spans="1:66" ht="15.75" customHeight="1" x14ac:dyDescent="0.25">
      <c r="A78" s="4">
        <v>76</v>
      </c>
      <c r="B78" s="4"/>
      <c r="C78" s="4">
        <v>17</v>
      </c>
      <c r="D78" s="6"/>
      <c r="E78" s="6">
        <v>39.729999999999997</v>
      </c>
      <c r="F78" s="6">
        <v>40.159999999999997</v>
      </c>
      <c r="G78" s="6">
        <v>40.25</v>
      </c>
      <c r="H78" s="6">
        <v>40.25</v>
      </c>
      <c r="I78" s="6">
        <v>40.31</v>
      </c>
      <c r="J78" s="6">
        <v>41.82</v>
      </c>
      <c r="K78" s="6">
        <v>41.18</v>
      </c>
      <c r="L78" s="6">
        <v>41.7</v>
      </c>
      <c r="M78" s="6">
        <v>41.74</v>
      </c>
      <c r="N78" s="6">
        <v>40.06</v>
      </c>
      <c r="O78" s="6">
        <v>40.549999999999997</v>
      </c>
      <c r="P78" s="6">
        <v>40.549999999999997</v>
      </c>
      <c r="Q78" s="6">
        <v>42</v>
      </c>
      <c r="R78" s="6">
        <v>40.32</v>
      </c>
      <c r="S78" s="6">
        <v>40.15</v>
      </c>
      <c r="T78" s="6">
        <v>40.159999999999997</v>
      </c>
      <c r="U78" s="6">
        <v>39.770000000000003</v>
      </c>
      <c r="V78" s="6">
        <v>42.36</v>
      </c>
      <c r="W78" s="6">
        <v>40.43</v>
      </c>
      <c r="X78" s="6">
        <v>40.46</v>
      </c>
      <c r="Y78" s="6">
        <v>42.06</v>
      </c>
      <c r="Z78" s="6">
        <v>39.92</v>
      </c>
      <c r="AA78" s="6">
        <v>41.12</v>
      </c>
      <c r="AB78" s="6">
        <v>41.18</v>
      </c>
      <c r="AC78" s="6">
        <v>39.840000000000003</v>
      </c>
      <c r="AD78" s="6">
        <v>41.72</v>
      </c>
      <c r="AE78" s="6">
        <v>41.01</v>
      </c>
      <c r="AF78" s="6">
        <v>41.54</v>
      </c>
      <c r="AG78" s="6">
        <v>40.86</v>
      </c>
      <c r="AH78" s="6">
        <v>41.5</v>
      </c>
      <c r="AI78" s="6">
        <v>40.21</v>
      </c>
      <c r="AJ78" s="6">
        <v>40.520000000000003</v>
      </c>
      <c r="AK78" s="6">
        <v>41.88</v>
      </c>
      <c r="AL78" s="6">
        <v>41.32</v>
      </c>
      <c r="AM78" s="6">
        <v>40.36</v>
      </c>
      <c r="AN78" s="6">
        <v>42.21</v>
      </c>
      <c r="AO78" s="7">
        <v>40.75</v>
      </c>
      <c r="AP78" s="6">
        <v>40.11</v>
      </c>
      <c r="AQ78" s="6">
        <v>40.299999999999997</v>
      </c>
      <c r="AR78" s="6">
        <v>40.11</v>
      </c>
      <c r="AS78" s="6">
        <v>40.72</v>
      </c>
      <c r="AT78" s="6">
        <v>41.33</v>
      </c>
      <c r="AU78" s="6">
        <v>41.59</v>
      </c>
      <c r="AV78" s="6"/>
      <c r="AW78" s="6"/>
      <c r="AX78" s="6">
        <v>41.72</v>
      </c>
      <c r="AY78" s="6">
        <v>40.61</v>
      </c>
      <c r="AZ78" s="6">
        <v>42.15</v>
      </c>
      <c r="BA78" s="6">
        <v>41.7</v>
      </c>
      <c r="BB78" s="6">
        <v>41.66</v>
      </c>
      <c r="BC78" s="6">
        <v>40.93</v>
      </c>
      <c r="BD78" s="6">
        <v>41.05</v>
      </c>
      <c r="BE78" s="6">
        <v>40.119999999999997</v>
      </c>
      <c r="BF78" s="6">
        <v>42.1</v>
      </c>
      <c r="BG78" s="6">
        <v>40.25</v>
      </c>
      <c r="BH78" s="6">
        <v>40.46</v>
      </c>
      <c r="BI78" s="6">
        <v>40.42</v>
      </c>
      <c r="BJ78" s="7">
        <v>41.64</v>
      </c>
      <c r="BK78" s="7">
        <v>42.17</v>
      </c>
      <c r="BL78" s="7">
        <v>41.71</v>
      </c>
      <c r="BM78" s="7">
        <v>40.31</v>
      </c>
      <c r="BN78" s="10"/>
    </row>
    <row r="79" spans="1:66" ht="15.75" customHeight="1" x14ac:dyDescent="0.25">
      <c r="A79" s="4">
        <v>77</v>
      </c>
      <c r="B79" s="4"/>
      <c r="C79" s="4">
        <v>18</v>
      </c>
      <c r="D79" s="6"/>
      <c r="E79" s="6">
        <v>39.75</v>
      </c>
      <c r="F79" s="6">
        <v>40.229999999999997</v>
      </c>
      <c r="G79" s="6">
        <v>40.24</v>
      </c>
      <c r="H79" s="6">
        <v>40.25</v>
      </c>
      <c r="I79" s="6">
        <v>40.340000000000003</v>
      </c>
      <c r="J79" s="6">
        <v>41.82</v>
      </c>
      <c r="K79" s="6">
        <v>41.15</v>
      </c>
      <c r="L79" s="6">
        <v>41.66</v>
      </c>
      <c r="M79" s="6">
        <v>41.75</v>
      </c>
      <c r="N79" s="6">
        <v>40.06</v>
      </c>
      <c r="O79" s="6">
        <v>40.49</v>
      </c>
      <c r="P79" s="6">
        <v>40.479999999999997</v>
      </c>
      <c r="Q79" s="6">
        <v>42.05</v>
      </c>
      <c r="R79" s="6">
        <v>40.340000000000003</v>
      </c>
      <c r="S79" s="6">
        <v>40.15</v>
      </c>
      <c r="T79" s="6">
        <v>40.17</v>
      </c>
      <c r="U79" s="6">
        <v>39.799999999999997</v>
      </c>
      <c r="V79" s="6">
        <v>42.31</v>
      </c>
      <c r="W79" s="6">
        <v>40.4</v>
      </c>
      <c r="X79" s="6">
        <v>40.479999999999997</v>
      </c>
      <c r="Y79" s="6">
        <v>41.92</v>
      </c>
      <c r="Z79" s="6">
        <v>39.869999999999997</v>
      </c>
      <c r="AA79" s="6">
        <v>41.13</v>
      </c>
      <c r="AB79" s="6">
        <v>41.12</v>
      </c>
      <c r="AC79" s="6">
        <v>39.82</v>
      </c>
      <c r="AD79" s="6">
        <v>41.71</v>
      </c>
      <c r="AE79" s="6">
        <v>41.08</v>
      </c>
      <c r="AF79" s="6">
        <v>41.64</v>
      </c>
      <c r="AG79" s="6">
        <v>40.909999999999997</v>
      </c>
      <c r="AH79" s="6">
        <v>41.7</v>
      </c>
      <c r="AI79" s="6">
        <v>40.229999999999997</v>
      </c>
      <c r="AJ79" s="6">
        <v>40.590000000000003</v>
      </c>
      <c r="AK79" s="6">
        <v>41.82</v>
      </c>
      <c r="AL79" s="6">
        <v>41.36</v>
      </c>
      <c r="AM79" s="6">
        <v>40.35</v>
      </c>
      <c r="AN79" s="6">
        <v>42.23</v>
      </c>
      <c r="AO79" s="7">
        <v>40.71</v>
      </c>
      <c r="AP79" s="6">
        <v>40.090000000000003</v>
      </c>
      <c r="AQ79" s="6">
        <v>40.32</v>
      </c>
      <c r="AR79" s="6">
        <v>40.130000000000003</v>
      </c>
      <c r="AS79" s="6">
        <v>40.770000000000003</v>
      </c>
      <c r="AT79" s="6">
        <v>41.28</v>
      </c>
      <c r="AU79" s="6">
        <v>41.58</v>
      </c>
      <c r="AV79" s="6"/>
      <c r="AW79" s="6"/>
      <c r="AX79" s="6">
        <v>41.72</v>
      </c>
      <c r="AY79" s="6">
        <v>40.61</v>
      </c>
      <c r="AZ79" s="6">
        <v>42.14</v>
      </c>
      <c r="BA79" s="6">
        <v>41.75</v>
      </c>
      <c r="BB79" s="6">
        <v>41.65</v>
      </c>
      <c r="BC79" s="6">
        <v>40.97</v>
      </c>
      <c r="BD79" s="6">
        <v>41.06</v>
      </c>
      <c r="BE79" s="6">
        <v>40.119999999999997</v>
      </c>
      <c r="BF79" s="6">
        <v>42.19</v>
      </c>
      <c r="BG79" s="6">
        <v>40.29</v>
      </c>
      <c r="BH79" s="6">
        <v>40.46</v>
      </c>
      <c r="BI79" s="6">
        <v>40.42</v>
      </c>
      <c r="BJ79" s="7">
        <v>41.73</v>
      </c>
      <c r="BK79" s="7">
        <v>42.27</v>
      </c>
      <c r="BL79" s="7">
        <v>41.83</v>
      </c>
      <c r="BM79" s="7">
        <v>40.29</v>
      </c>
      <c r="BN79" s="10"/>
    </row>
    <row r="80" spans="1:66" ht="15.75" customHeight="1" x14ac:dyDescent="0.25">
      <c r="A80" s="4">
        <v>78</v>
      </c>
      <c r="B80" s="4"/>
      <c r="C80" s="4">
        <v>19</v>
      </c>
      <c r="D80" s="6"/>
      <c r="E80" s="6">
        <v>39.78</v>
      </c>
      <c r="F80" s="6">
        <v>40.340000000000003</v>
      </c>
      <c r="G80" s="6">
        <v>40.24</v>
      </c>
      <c r="H80" s="6">
        <v>40.25</v>
      </c>
      <c r="I80" s="6">
        <v>40.409999999999997</v>
      </c>
      <c r="J80" s="6">
        <v>41.74</v>
      </c>
      <c r="K80" s="6">
        <v>41.06</v>
      </c>
      <c r="L80" s="6">
        <v>41.67</v>
      </c>
      <c r="M80" s="6">
        <v>41.78</v>
      </c>
      <c r="N80" s="6">
        <v>40.06</v>
      </c>
      <c r="O80" s="6">
        <v>40.43</v>
      </c>
      <c r="P80" s="6">
        <v>40.450000000000003</v>
      </c>
      <c r="Q80" s="6">
        <v>42.11</v>
      </c>
      <c r="R80" s="6">
        <v>40.43</v>
      </c>
      <c r="S80" s="6">
        <v>40.049999999999997</v>
      </c>
      <c r="T80" s="6">
        <v>40.17</v>
      </c>
      <c r="U80" s="6">
        <v>39.81</v>
      </c>
      <c r="V80" s="6">
        <v>42.25</v>
      </c>
      <c r="W80" s="6">
        <v>40.380000000000003</v>
      </c>
      <c r="X80" s="6">
        <v>40.479999999999997</v>
      </c>
      <c r="Y80" s="6">
        <v>41.82</v>
      </c>
      <c r="Z80" s="6">
        <v>39.82</v>
      </c>
      <c r="AA80" s="6">
        <v>41.15</v>
      </c>
      <c r="AB80" s="6">
        <v>41.15</v>
      </c>
      <c r="AC80" s="6">
        <v>39.82</v>
      </c>
      <c r="AD80" s="6">
        <v>41.71</v>
      </c>
      <c r="AE80" s="6">
        <v>41.16</v>
      </c>
      <c r="AF80" s="6">
        <v>41.69</v>
      </c>
      <c r="AG80" s="6">
        <v>40.92</v>
      </c>
      <c r="AH80" s="6">
        <v>41.86</v>
      </c>
      <c r="AI80" s="6">
        <v>40.28</v>
      </c>
      <c r="AJ80" s="6">
        <v>40.68</v>
      </c>
      <c r="AK80" s="6">
        <v>41.77</v>
      </c>
      <c r="AL80" s="6">
        <v>41.42</v>
      </c>
      <c r="AM80" s="6">
        <v>40.340000000000003</v>
      </c>
      <c r="AN80" s="6">
        <v>42.24</v>
      </c>
      <c r="AO80" s="7">
        <v>40.659999999999997</v>
      </c>
      <c r="AP80" s="6">
        <v>40.08</v>
      </c>
      <c r="AQ80" s="6">
        <v>40.340000000000003</v>
      </c>
      <c r="AR80" s="6">
        <v>40.159999999999997</v>
      </c>
      <c r="AS80" s="6">
        <v>40.799999999999997</v>
      </c>
      <c r="AT80" s="6">
        <v>41.24</v>
      </c>
      <c r="AU80" s="6">
        <v>41.56</v>
      </c>
      <c r="AV80" s="6"/>
      <c r="AW80" s="6"/>
      <c r="AX80" s="6">
        <v>41.71</v>
      </c>
      <c r="AY80" s="6">
        <v>40.6</v>
      </c>
      <c r="AZ80" s="6">
        <v>42.11</v>
      </c>
      <c r="BA80" s="6">
        <v>41.81</v>
      </c>
      <c r="BB80" s="6">
        <v>41.65</v>
      </c>
      <c r="BC80" s="6">
        <v>41.02</v>
      </c>
      <c r="BD80" s="6">
        <v>41.07</v>
      </c>
      <c r="BE80" s="6">
        <v>40.14</v>
      </c>
      <c r="BF80" s="6">
        <v>42.27</v>
      </c>
      <c r="BG80" s="6">
        <v>40.25</v>
      </c>
      <c r="BH80" s="6">
        <v>40.479999999999997</v>
      </c>
      <c r="BI80" s="6">
        <v>40.42</v>
      </c>
      <c r="BJ80" s="7">
        <v>41.76</v>
      </c>
      <c r="BK80" s="7">
        <v>42.33</v>
      </c>
      <c r="BL80" s="7">
        <v>41.85</v>
      </c>
      <c r="BM80" s="7">
        <v>40.31</v>
      </c>
      <c r="BN80" s="10"/>
    </row>
    <row r="81" spans="1:66" ht="15.75" customHeight="1" x14ac:dyDescent="0.25">
      <c r="A81" s="4">
        <v>79</v>
      </c>
      <c r="B81" s="4"/>
      <c r="C81" s="4">
        <v>20</v>
      </c>
      <c r="D81" s="6"/>
      <c r="E81" s="6">
        <v>39.79</v>
      </c>
      <c r="F81" s="6">
        <v>40.43</v>
      </c>
      <c r="G81" s="6">
        <v>40.22</v>
      </c>
      <c r="H81" s="6">
        <v>40.21</v>
      </c>
      <c r="I81" s="6">
        <v>40.46</v>
      </c>
      <c r="J81" s="6">
        <v>41.67</v>
      </c>
      <c r="K81" s="6">
        <v>40.98</v>
      </c>
      <c r="L81" s="6">
        <v>41.74</v>
      </c>
      <c r="M81" s="6">
        <v>41.84</v>
      </c>
      <c r="N81" s="6">
        <v>40.06</v>
      </c>
      <c r="O81" s="6">
        <v>40.380000000000003</v>
      </c>
      <c r="P81" s="6">
        <v>40.409999999999997</v>
      </c>
      <c r="Q81" s="6">
        <v>42.16</v>
      </c>
      <c r="R81" s="6">
        <v>40.49</v>
      </c>
      <c r="S81" s="6">
        <v>40.04</v>
      </c>
      <c r="T81" s="6">
        <v>40.15</v>
      </c>
      <c r="U81" s="6">
        <v>39.81</v>
      </c>
      <c r="V81" s="6">
        <v>42.21</v>
      </c>
      <c r="W81" s="6">
        <v>40.380000000000003</v>
      </c>
      <c r="X81" s="6">
        <v>40.479999999999997</v>
      </c>
      <c r="Y81" s="6">
        <v>41.72</v>
      </c>
      <c r="Z81" s="6">
        <v>39.799999999999997</v>
      </c>
      <c r="AA81" s="6">
        <v>41.2</v>
      </c>
      <c r="AB81" s="6">
        <v>41.18</v>
      </c>
      <c r="AC81" s="6">
        <v>39.82</v>
      </c>
      <c r="AD81" s="6">
        <v>41.75</v>
      </c>
      <c r="AE81" s="6">
        <v>41.23</v>
      </c>
      <c r="AF81" s="6">
        <v>41.62</v>
      </c>
      <c r="AG81" s="6">
        <v>40.950000000000003</v>
      </c>
      <c r="AH81" s="6">
        <v>41.96</v>
      </c>
      <c r="AI81" s="6">
        <v>40.369999999999997</v>
      </c>
      <c r="AJ81" s="6">
        <v>40.75</v>
      </c>
      <c r="AK81" s="6">
        <v>41.7</v>
      </c>
      <c r="AL81" s="6">
        <v>41.47</v>
      </c>
      <c r="AM81" s="6">
        <v>40.32</v>
      </c>
      <c r="AN81" s="6">
        <v>42.24</v>
      </c>
      <c r="AO81" s="7">
        <v>40.6</v>
      </c>
      <c r="AP81" s="6">
        <v>40.08</v>
      </c>
      <c r="AQ81" s="6">
        <v>40.369999999999997</v>
      </c>
      <c r="AR81" s="6">
        <v>40.18</v>
      </c>
      <c r="AS81" s="6">
        <v>40.799999999999997</v>
      </c>
      <c r="AT81" s="6">
        <v>41.24</v>
      </c>
      <c r="AU81" s="6">
        <v>41.54</v>
      </c>
      <c r="AV81" s="6"/>
      <c r="AW81" s="6"/>
      <c r="AX81" s="6">
        <v>41.73</v>
      </c>
      <c r="AY81" s="6">
        <v>40.6</v>
      </c>
      <c r="AZ81" s="6">
        <v>42</v>
      </c>
      <c r="BA81" s="6">
        <v>41.87</v>
      </c>
      <c r="BB81" s="6">
        <v>41.68</v>
      </c>
      <c r="BC81" s="6">
        <v>41.04</v>
      </c>
      <c r="BD81" s="6">
        <v>41.09</v>
      </c>
      <c r="BE81" s="6">
        <v>40.17</v>
      </c>
      <c r="BF81" s="6">
        <v>42.27</v>
      </c>
      <c r="BG81" s="6">
        <v>40.25</v>
      </c>
      <c r="BH81" s="6">
        <v>40.49</v>
      </c>
      <c r="BI81" s="6">
        <v>40.42</v>
      </c>
      <c r="BJ81" s="7">
        <v>41.84</v>
      </c>
      <c r="BK81" s="7">
        <v>42.44</v>
      </c>
      <c r="BL81" s="7">
        <v>41.87</v>
      </c>
      <c r="BM81" s="7">
        <v>40.32</v>
      </c>
      <c r="BN81" s="10"/>
    </row>
    <row r="82" spans="1:66" ht="15.75" customHeight="1" x14ac:dyDescent="0.25">
      <c r="A82" s="4">
        <v>80</v>
      </c>
      <c r="B82" s="4"/>
      <c r="C82" s="4">
        <v>21</v>
      </c>
      <c r="D82" s="6"/>
      <c r="E82" s="6">
        <v>39.82</v>
      </c>
      <c r="F82" s="6">
        <v>40.549999999999997</v>
      </c>
      <c r="G82" s="6">
        <v>40.21</v>
      </c>
      <c r="H82" s="6">
        <v>40.159999999999997</v>
      </c>
      <c r="I82" s="6">
        <v>40.409999999999997</v>
      </c>
      <c r="J82" s="6">
        <v>41.64</v>
      </c>
      <c r="K82" s="6">
        <v>40.909999999999997</v>
      </c>
      <c r="L82" s="6">
        <v>41.87</v>
      </c>
      <c r="M82" s="6">
        <v>41.86</v>
      </c>
      <c r="N82" s="6">
        <v>40.07</v>
      </c>
      <c r="O82" s="6">
        <v>40.340000000000003</v>
      </c>
      <c r="P82" s="6">
        <v>40.4</v>
      </c>
      <c r="Q82" s="6">
        <v>42.26</v>
      </c>
      <c r="R82" s="6">
        <v>40.57</v>
      </c>
      <c r="S82" s="6">
        <v>40</v>
      </c>
      <c r="T82" s="6">
        <v>40.130000000000003</v>
      </c>
      <c r="U82" s="6">
        <v>39.81</v>
      </c>
      <c r="V82" s="6">
        <v>42.11</v>
      </c>
      <c r="W82" s="6">
        <v>40.409999999999997</v>
      </c>
      <c r="X82" s="6">
        <v>40.56</v>
      </c>
      <c r="Y82" s="6">
        <v>41.66</v>
      </c>
      <c r="Z82" s="6">
        <v>39.79</v>
      </c>
      <c r="AA82" s="6">
        <v>41.24</v>
      </c>
      <c r="AB82" s="6">
        <v>41.24</v>
      </c>
      <c r="AC82" s="6">
        <v>39.82</v>
      </c>
      <c r="AD82" s="6">
        <v>41.76</v>
      </c>
      <c r="AE82" s="6">
        <v>41.28</v>
      </c>
      <c r="AF82" s="6">
        <v>41.68</v>
      </c>
      <c r="AG82" s="6">
        <v>40.92</v>
      </c>
      <c r="AH82" s="6">
        <v>42</v>
      </c>
      <c r="AI82" s="6">
        <v>40.44</v>
      </c>
      <c r="AJ82" s="6">
        <v>40.78</v>
      </c>
      <c r="AK82" s="6">
        <v>41.61</v>
      </c>
      <c r="AL82" s="6">
        <v>41.48</v>
      </c>
      <c r="AM82" s="6">
        <v>40.33</v>
      </c>
      <c r="AN82" s="6">
        <v>42.22</v>
      </c>
      <c r="AO82" s="6">
        <v>40.54</v>
      </c>
      <c r="AP82" s="6">
        <v>40.130000000000003</v>
      </c>
      <c r="AQ82" s="6">
        <v>40.44</v>
      </c>
      <c r="AR82" s="6">
        <v>40.200000000000003</v>
      </c>
      <c r="AS82" s="6">
        <v>40.78</v>
      </c>
      <c r="AT82" s="6">
        <v>41.2</v>
      </c>
      <c r="AU82" s="6">
        <v>41.51</v>
      </c>
      <c r="AV82" s="6"/>
      <c r="AW82" s="6"/>
      <c r="AX82" s="6">
        <v>41.82</v>
      </c>
      <c r="AY82" s="6">
        <v>40.6</v>
      </c>
      <c r="AZ82" s="6">
        <v>42</v>
      </c>
      <c r="BA82" s="6">
        <v>41.93</v>
      </c>
      <c r="BB82" s="6">
        <v>41.72</v>
      </c>
      <c r="BC82" s="6">
        <v>41.05</v>
      </c>
      <c r="BD82" s="6">
        <v>41.22</v>
      </c>
      <c r="BE82" s="6">
        <v>40.18</v>
      </c>
      <c r="BF82" s="6">
        <v>42.23</v>
      </c>
      <c r="BG82" s="6">
        <v>40.299999999999997</v>
      </c>
      <c r="BH82" s="6">
        <v>40.53</v>
      </c>
      <c r="BI82" s="6">
        <v>40.42</v>
      </c>
      <c r="BJ82" s="7">
        <v>41.89</v>
      </c>
      <c r="BK82" s="7">
        <v>42.6</v>
      </c>
      <c r="BL82" s="7">
        <v>41.85</v>
      </c>
      <c r="BM82" s="7">
        <v>40.32</v>
      </c>
      <c r="BN82" s="10"/>
    </row>
    <row r="83" spans="1:66" ht="15.75" customHeight="1" x14ac:dyDescent="0.25">
      <c r="A83" s="4">
        <v>81</v>
      </c>
      <c r="B83" s="4"/>
      <c r="C83" s="4">
        <v>22</v>
      </c>
      <c r="D83" s="6"/>
      <c r="E83" s="6">
        <v>39.840000000000003</v>
      </c>
      <c r="F83" s="6">
        <v>40.61</v>
      </c>
      <c r="G83" s="6">
        <v>40.21</v>
      </c>
      <c r="H83" s="6">
        <v>40.06</v>
      </c>
      <c r="I83" s="6">
        <v>40.56</v>
      </c>
      <c r="J83" s="6">
        <v>41.61</v>
      </c>
      <c r="K83" s="6">
        <v>40.86</v>
      </c>
      <c r="L83" s="6">
        <v>42</v>
      </c>
      <c r="M83" s="6">
        <v>41.92</v>
      </c>
      <c r="N83" s="6">
        <v>40.130000000000003</v>
      </c>
      <c r="O83" s="6">
        <v>40.29</v>
      </c>
      <c r="P83" s="6">
        <v>40.450000000000003</v>
      </c>
      <c r="Q83" s="6">
        <v>42.35</v>
      </c>
      <c r="R83" s="6">
        <v>40.700000000000003</v>
      </c>
      <c r="S83" s="6">
        <v>39.96</v>
      </c>
      <c r="T83" s="6">
        <v>40.15</v>
      </c>
      <c r="U83" s="6">
        <v>39.82</v>
      </c>
      <c r="V83" s="6">
        <v>42.06</v>
      </c>
      <c r="W83" s="6">
        <v>40.42</v>
      </c>
      <c r="X83" s="6">
        <v>40.51</v>
      </c>
      <c r="Y83" s="6">
        <v>41.58</v>
      </c>
      <c r="Z83" s="6">
        <v>39.770000000000003</v>
      </c>
      <c r="AA83" s="6">
        <v>41.22</v>
      </c>
      <c r="AB83" s="6">
        <v>41.34</v>
      </c>
      <c r="AC83" s="6">
        <v>39.83</v>
      </c>
      <c r="AD83" s="6">
        <v>41.73</v>
      </c>
      <c r="AE83" s="6">
        <v>41.34</v>
      </c>
      <c r="AF83" s="6">
        <v>41.62</v>
      </c>
      <c r="AG83" s="6">
        <v>40.98</v>
      </c>
      <c r="AH83" s="6">
        <v>42.05</v>
      </c>
      <c r="AI83" s="6">
        <v>40.54</v>
      </c>
      <c r="AJ83" s="6">
        <v>40.81</v>
      </c>
      <c r="AK83" s="6">
        <v>41.5</v>
      </c>
      <c r="AL83" s="6">
        <v>41.5</v>
      </c>
      <c r="AM83" s="6">
        <v>40.33</v>
      </c>
      <c r="AN83" s="6">
        <v>42.17</v>
      </c>
      <c r="AO83" s="6">
        <v>40.46</v>
      </c>
      <c r="AP83" s="6">
        <v>40.15</v>
      </c>
      <c r="AQ83" s="6">
        <v>40.54</v>
      </c>
      <c r="AR83" s="6">
        <v>40.22</v>
      </c>
      <c r="AS83" s="6">
        <v>40.72</v>
      </c>
      <c r="AT83" s="6">
        <v>41.22</v>
      </c>
      <c r="AU83" s="6">
        <v>41.5</v>
      </c>
      <c r="AV83" s="6"/>
      <c r="AW83" s="6"/>
      <c r="AX83" s="6">
        <v>41.88</v>
      </c>
      <c r="AY83" s="6">
        <v>40.6</v>
      </c>
      <c r="AZ83" s="6">
        <v>41.95</v>
      </c>
      <c r="BA83" s="6">
        <v>41.96</v>
      </c>
      <c r="BB83" s="6">
        <v>41.74</v>
      </c>
      <c r="BC83" s="6">
        <v>41.01</v>
      </c>
      <c r="BD83" s="6">
        <v>41.22</v>
      </c>
      <c r="BE83" s="6">
        <v>40.22</v>
      </c>
      <c r="BF83" s="6">
        <v>42.19</v>
      </c>
      <c r="BG83" s="6">
        <v>40.53</v>
      </c>
      <c r="BH83" s="6">
        <v>40.61</v>
      </c>
      <c r="BI83" s="6">
        <v>40.42</v>
      </c>
      <c r="BJ83" s="7">
        <v>41.92</v>
      </c>
      <c r="BK83" s="7">
        <v>42.85</v>
      </c>
      <c r="BL83" s="7">
        <v>41.81</v>
      </c>
      <c r="BM83" s="7">
        <v>40.340000000000003</v>
      </c>
      <c r="BN83" s="10"/>
    </row>
    <row r="84" spans="1:66" ht="15.75" customHeight="1" x14ac:dyDescent="0.25">
      <c r="A84" s="4">
        <v>82</v>
      </c>
      <c r="B84" s="4"/>
      <c r="C84" s="4">
        <v>23</v>
      </c>
      <c r="D84" s="6"/>
      <c r="E84" s="6">
        <v>39.869999999999997</v>
      </c>
      <c r="F84" s="6">
        <v>40.619999999999997</v>
      </c>
      <c r="G84" s="6">
        <v>40.21</v>
      </c>
      <c r="H84" s="6">
        <v>39.96</v>
      </c>
      <c r="I84" s="6">
        <v>40.5</v>
      </c>
      <c r="J84" s="6">
        <v>41.64</v>
      </c>
      <c r="K84" s="6">
        <v>40.86</v>
      </c>
      <c r="L84" s="6">
        <v>42.15</v>
      </c>
      <c r="M84" s="6">
        <v>41.91</v>
      </c>
      <c r="N84" s="6">
        <v>40.159999999999997</v>
      </c>
      <c r="O84" s="6">
        <v>40.29</v>
      </c>
      <c r="P84" s="6">
        <v>40.5</v>
      </c>
      <c r="Q84" s="6">
        <v>42.46</v>
      </c>
      <c r="R84" s="6">
        <v>40.840000000000003</v>
      </c>
      <c r="S84" s="6">
        <v>39.93</v>
      </c>
      <c r="T84" s="6">
        <v>40.21</v>
      </c>
      <c r="U84" s="6">
        <v>39.82</v>
      </c>
      <c r="V84" s="6">
        <v>41.88</v>
      </c>
      <c r="W84" s="6">
        <v>40.46</v>
      </c>
      <c r="X84" s="6">
        <v>40.520000000000003</v>
      </c>
      <c r="Y84" s="6">
        <v>41.51</v>
      </c>
      <c r="Z84" s="6">
        <v>39.770000000000003</v>
      </c>
      <c r="AA84" s="6">
        <v>41.17</v>
      </c>
      <c r="AB84" s="6">
        <v>41.44</v>
      </c>
      <c r="AC84" s="6">
        <v>39.799999999999997</v>
      </c>
      <c r="AD84" s="6">
        <v>41.67</v>
      </c>
      <c r="AE84" s="6">
        <v>41.38</v>
      </c>
      <c r="AF84" s="6">
        <v>41.53</v>
      </c>
      <c r="AG84" s="6">
        <v>41</v>
      </c>
      <c r="AH84" s="6">
        <v>42.1</v>
      </c>
      <c r="AI84" s="6">
        <v>40.549999999999997</v>
      </c>
      <c r="AJ84" s="6">
        <v>40.79</v>
      </c>
      <c r="AK84" s="6">
        <v>41.39</v>
      </c>
      <c r="AL84" s="6">
        <v>41.48</v>
      </c>
      <c r="AM84" s="6">
        <v>40.33</v>
      </c>
      <c r="AN84" s="6">
        <v>42.08</v>
      </c>
      <c r="AO84" s="6">
        <v>40.42</v>
      </c>
      <c r="AP84" s="6">
        <v>40.19</v>
      </c>
      <c r="AQ84" s="6">
        <v>40.619999999999997</v>
      </c>
      <c r="AR84" s="6">
        <v>40.22</v>
      </c>
      <c r="AS84" s="6">
        <v>40.659999999999997</v>
      </c>
      <c r="AT84" s="6">
        <v>41.24</v>
      </c>
      <c r="AU84" s="6">
        <v>41.53</v>
      </c>
      <c r="AV84" s="6"/>
      <c r="AW84" s="6"/>
      <c r="AX84" s="6">
        <v>41.95</v>
      </c>
      <c r="AY84" s="6">
        <v>40.64</v>
      </c>
      <c r="AZ84" s="6">
        <v>41.9</v>
      </c>
      <c r="BA84" s="6">
        <v>41.98</v>
      </c>
      <c r="BB84" s="6">
        <v>41.8</v>
      </c>
      <c r="BC84" s="6">
        <v>40.98</v>
      </c>
      <c r="BD84" s="6">
        <v>41.37</v>
      </c>
      <c r="BE84" s="6">
        <v>40.340000000000003</v>
      </c>
      <c r="BF84" s="6">
        <v>42.11</v>
      </c>
      <c r="BG84" s="6">
        <v>40.159999999999997</v>
      </c>
      <c r="BH84" s="6">
        <v>40.630000000000003</v>
      </c>
      <c r="BI84" s="6">
        <v>40.46</v>
      </c>
      <c r="BJ84" s="7">
        <v>41.96</v>
      </c>
      <c r="BK84" s="7">
        <v>43.07</v>
      </c>
      <c r="BL84" s="7">
        <v>41.78</v>
      </c>
      <c r="BM84" s="7">
        <v>40.36</v>
      </c>
      <c r="BN84" s="10"/>
    </row>
    <row r="85" spans="1:66" ht="15.75" customHeight="1" x14ac:dyDescent="0.25">
      <c r="A85" s="4">
        <v>83</v>
      </c>
      <c r="B85" s="4"/>
      <c r="C85" s="4">
        <v>24</v>
      </c>
      <c r="D85" s="6"/>
      <c r="E85" s="6">
        <v>39.89</v>
      </c>
      <c r="F85" s="6">
        <v>40.64</v>
      </c>
      <c r="G85" s="6">
        <v>40.21</v>
      </c>
      <c r="H85" s="6">
        <v>39.86</v>
      </c>
      <c r="I85" s="6">
        <v>40.5</v>
      </c>
      <c r="J85" s="6">
        <v>41.64</v>
      </c>
      <c r="K85" s="6">
        <v>40.86</v>
      </c>
      <c r="L85" s="6">
        <v>42.3</v>
      </c>
      <c r="M85" s="6">
        <v>41.84</v>
      </c>
      <c r="N85" s="6">
        <v>40.21</v>
      </c>
      <c r="O85" s="6">
        <v>40.29</v>
      </c>
      <c r="P85" s="6">
        <v>40.61</v>
      </c>
      <c r="Q85" s="6">
        <v>42.58</v>
      </c>
      <c r="R85" s="6">
        <v>40.96</v>
      </c>
      <c r="S85" s="6">
        <v>39.909999999999997</v>
      </c>
      <c r="T85" s="6">
        <v>40.28</v>
      </c>
      <c r="U85" s="6">
        <v>39.82</v>
      </c>
      <c r="V85" s="6">
        <v>41.72</v>
      </c>
      <c r="W85" s="6">
        <v>40.54</v>
      </c>
      <c r="X85" s="6">
        <v>40.520000000000003</v>
      </c>
      <c r="Y85" s="6">
        <v>41.44</v>
      </c>
      <c r="Z85" s="6">
        <v>39.76</v>
      </c>
      <c r="AA85" s="6">
        <v>41.17</v>
      </c>
      <c r="AB85" s="6">
        <v>41.56</v>
      </c>
      <c r="AC85" s="6">
        <v>39.770000000000003</v>
      </c>
      <c r="AD85" s="6">
        <v>41.65</v>
      </c>
      <c r="AE85" s="6">
        <v>41.42</v>
      </c>
      <c r="AF85" s="6">
        <v>41.44</v>
      </c>
      <c r="AG85" s="6">
        <v>41</v>
      </c>
      <c r="AH85" s="6">
        <v>42.14</v>
      </c>
      <c r="AI85" s="6">
        <v>40.590000000000003</v>
      </c>
      <c r="AJ85" s="6">
        <v>40.76</v>
      </c>
      <c r="AK85" s="6">
        <v>41.34</v>
      </c>
      <c r="AL85" s="6">
        <v>41.45</v>
      </c>
      <c r="AM85" s="6">
        <v>40.340000000000003</v>
      </c>
      <c r="AN85" s="6">
        <v>41.98</v>
      </c>
      <c r="AO85" s="6">
        <v>40.340000000000003</v>
      </c>
      <c r="AP85" s="6">
        <v>40.24</v>
      </c>
      <c r="AQ85" s="6">
        <v>40.770000000000003</v>
      </c>
      <c r="AR85" s="6">
        <v>40.21</v>
      </c>
      <c r="AS85" s="6">
        <v>40.590000000000003</v>
      </c>
      <c r="AT85" s="6">
        <v>41.25</v>
      </c>
      <c r="AU85" s="6">
        <v>41.6</v>
      </c>
      <c r="AV85" s="6"/>
      <c r="AW85" s="6"/>
      <c r="AX85" s="6">
        <v>42.01</v>
      </c>
      <c r="AY85" s="6">
        <v>40.700000000000003</v>
      </c>
      <c r="AZ85" s="6">
        <v>41.88</v>
      </c>
      <c r="BA85" s="6">
        <v>42.01</v>
      </c>
      <c r="BB85" s="6">
        <v>41.81</v>
      </c>
      <c r="BC85" s="6">
        <v>40.9</v>
      </c>
      <c r="BD85" s="6">
        <v>41.52</v>
      </c>
      <c r="BE85" s="6">
        <v>40.355000000000004</v>
      </c>
      <c r="BF85" s="6">
        <v>42.09</v>
      </c>
      <c r="BG85" s="6">
        <v>40.155000000000001</v>
      </c>
      <c r="BH85" s="6">
        <v>40.65</v>
      </c>
      <c r="BI85" s="6">
        <v>40.450000000000003</v>
      </c>
      <c r="BJ85" s="7">
        <v>42.02</v>
      </c>
      <c r="BK85" s="7">
        <v>43.23</v>
      </c>
      <c r="BL85" s="7">
        <v>41.76</v>
      </c>
      <c r="BM85" s="7">
        <v>40.36</v>
      </c>
      <c r="BN85" s="10"/>
    </row>
    <row r="86" spans="1:66" ht="15.75" customHeight="1" x14ac:dyDescent="0.25">
      <c r="A86" s="4">
        <v>84</v>
      </c>
      <c r="B86" s="4"/>
      <c r="C86" s="4">
        <v>25</v>
      </c>
      <c r="D86" s="6"/>
      <c r="E86" s="6">
        <v>39.909999999999997</v>
      </c>
      <c r="F86" s="6">
        <v>40.630000000000003</v>
      </c>
      <c r="G86" s="6">
        <v>40.25</v>
      </c>
      <c r="H86" s="6">
        <v>39.75</v>
      </c>
      <c r="I86" s="6">
        <v>40.5</v>
      </c>
      <c r="J86" s="6">
        <v>41.66</v>
      </c>
      <c r="K86" s="6">
        <v>40.89</v>
      </c>
      <c r="L86" s="6">
        <v>42.44</v>
      </c>
      <c r="M86" s="6">
        <v>41.86</v>
      </c>
      <c r="N86" s="6">
        <v>40.28</v>
      </c>
      <c r="O86" s="6">
        <v>40.29</v>
      </c>
      <c r="P86" s="6">
        <v>40.71</v>
      </c>
      <c r="Q86" s="6">
        <v>42.71</v>
      </c>
      <c r="R86" s="6">
        <v>41.16</v>
      </c>
      <c r="S86" s="6">
        <v>39.9</v>
      </c>
      <c r="T86" s="6">
        <v>40.380000000000003</v>
      </c>
      <c r="U86" s="6">
        <v>39.840000000000003</v>
      </c>
      <c r="V86" s="6">
        <v>41.61</v>
      </c>
      <c r="W86" s="6">
        <v>40.619999999999997</v>
      </c>
      <c r="X86" s="6">
        <v>40.47</v>
      </c>
      <c r="Y86" s="6">
        <v>41.36</v>
      </c>
      <c r="Z86" s="6">
        <v>39.74</v>
      </c>
      <c r="AA86" s="6">
        <v>41.1</v>
      </c>
      <c r="AB86" s="6">
        <v>41.62</v>
      </c>
      <c r="AC86" s="6">
        <v>39.770000000000003</v>
      </c>
      <c r="AD86" s="6">
        <v>41.61</v>
      </c>
      <c r="AE86" s="6">
        <v>41.51</v>
      </c>
      <c r="AF86" s="6">
        <v>41.33</v>
      </c>
      <c r="AG86" s="6">
        <v>40.98</v>
      </c>
      <c r="AH86" s="6">
        <v>42.21</v>
      </c>
      <c r="AI86" s="6">
        <v>40.6</v>
      </c>
      <c r="AJ86" s="6">
        <v>40.729999999999997</v>
      </c>
      <c r="AK86" s="6">
        <v>41.25</v>
      </c>
      <c r="AL86" s="6">
        <v>41.39</v>
      </c>
      <c r="AM86" s="6">
        <v>40.35</v>
      </c>
      <c r="AN86" s="6">
        <v>41.91</v>
      </c>
      <c r="AO86" s="6">
        <v>40.36</v>
      </c>
      <c r="AP86" s="6">
        <v>40.299999999999997</v>
      </c>
      <c r="AQ86" s="6">
        <v>40.97</v>
      </c>
      <c r="AR86" s="6">
        <v>40.18</v>
      </c>
      <c r="AS86" s="6">
        <v>40.56</v>
      </c>
      <c r="AT86" s="6">
        <v>41.26</v>
      </c>
      <c r="AU86" s="6">
        <v>41.69</v>
      </c>
      <c r="AV86" s="6"/>
      <c r="AW86" s="6"/>
      <c r="AX86" s="6">
        <v>42.1</v>
      </c>
      <c r="AY86" s="6">
        <v>40.74</v>
      </c>
      <c r="AZ86" s="6">
        <v>41.87</v>
      </c>
      <c r="BA86" s="6">
        <v>42.1</v>
      </c>
      <c r="BB86" s="6">
        <v>41.86</v>
      </c>
      <c r="BC86" s="6">
        <v>40.840000000000003</v>
      </c>
      <c r="BD86" s="6">
        <v>41.6</v>
      </c>
      <c r="BE86" s="6">
        <v>40.369999999999997</v>
      </c>
      <c r="BF86" s="6">
        <v>42.1</v>
      </c>
      <c r="BG86" s="6">
        <v>40.15</v>
      </c>
      <c r="BH86" s="6">
        <v>40.72</v>
      </c>
      <c r="BI86" s="6">
        <v>40.44</v>
      </c>
      <c r="BJ86" s="7">
        <v>42.05</v>
      </c>
      <c r="BK86" s="7">
        <v>43.29</v>
      </c>
      <c r="BL86" s="7">
        <v>41.79</v>
      </c>
      <c r="BM86" s="7">
        <v>40.36</v>
      </c>
      <c r="BN86" s="10"/>
    </row>
    <row r="87" spans="1:66" ht="15.75" customHeight="1" x14ac:dyDescent="0.25">
      <c r="A87" s="4">
        <v>85</v>
      </c>
      <c r="B87" s="4"/>
      <c r="C87" s="4">
        <v>26</v>
      </c>
      <c r="D87" s="6"/>
      <c r="E87" s="6">
        <v>39.89</v>
      </c>
      <c r="F87" s="6">
        <v>40.57</v>
      </c>
      <c r="G87" s="6">
        <v>40.340000000000003</v>
      </c>
      <c r="H87" s="6">
        <v>39.74</v>
      </c>
      <c r="I87" s="6">
        <v>40.5</v>
      </c>
      <c r="J87" s="6">
        <v>41.64</v>
      </c>
      <c r="K87" s="6">
        <v>40.93</v>
      </c>
      <c r="L87" s="6">
        <v>42.56</v>
      </c>
      <c r="M87" s="6">
        <v>41.89</v>
      </c>
      <c r="N87" s="6">
        <v>40.36</v>
      </c>
      <c r="O87" s="6">
        <v>40.29</v>
      </c>
      <c r="P87" s="6">
        <v>40.81</v>
      </c>
      <c r="Q87" s="6">
        <v>42.76</v>
      </c>
      <c r="R87" s="6">
        <v>41.28</v>
      </c>
      <c r="S87" s="6">
        <v>39.89</v>
      </c>
      <c r="T87" s="6">
        <v>40.46</v>
      </c>
      <c r="U87" s="6">
        <v>39.840000000000003</v>
      </c>
      <c r="V87" s="6">
        <v>41.5</v>
      </c>
      <c r="W87" s="6">
        <v>40.71</v>
      </c>
      <c r="X87" s="6">
        <v>40.46</v>
      </c>
      <c r="Y87" s="6">
        <v>41.27</v>
      </c>
      <c r="Z87" s="6">
        <v>39.75</v>
      </c>
      <c r="AA87" s="6">
        <v>41.05</v>
      </c>
      <c r="AB87" s="6">
        <v>41.67</v>
      </c>
      <c r="AC87" s="6">
        <v>39.74</v>
      </c>
      <c r="AD87" s="6">
        <v>41.6</v>
      </c>
      <c r="AE87" s="6">
        <v>41.63</v>
      </c>
      <c r="AF87" s="6">
        <v>41.24</v>
      </c>
      <c r="AG87" s="6">
        <v>40.950000000000003</v>
      </c>
      <c r="AH87" s="6">
        <v>42.31</v>
      </c>
      <c r="AI87" s="6">
        <v>40.590000000000003</v>
      </c>
      <c r="AJ87" s="6">
        <v>40.72</v>
      </c>
      <c r="AK87" s="6">
        <v>41.19</v>
      </c>
      <c r="AL87" s="6">
        <v>41.32</v>
      </c>
      <c r="AM87" s="6">
        <v>40.36</v>
      </c>
      <c r="AN87" s="6">
        <v>41.84</v>
      </c>
      <c r="AO87" s="6">
        <v>40.380000000000003</v>
      </c>
      <c r="AP87" s="6">
        <v>40.36</v>
      </c>
      <c r="AQ87" s="6">
        <v>41.18</v>
      </c>
      <c r="AR87" s="6">
        <v>40.159999999999997</v>
      </c>
      <c r="AS87" s="6">
        <v>40.54</v>
      </c>
      <c r="AT87" s="6">
        <v>41.27</v>
      </c>
      <c r="AU87" s="6">
        <v>41.81</v>
      </c>
      <c r="AV87" s="6"/>
      <c r="AW87" s="6"/>
      <c r="AX87" s="6">
        <v>42.18</v>
      </c>
      <c r="AY87" s="6">
        <v>40.79</v>
      </c>
      <c r="AZ87" s="6">
        <v>41.88</v>
      </c>
      <c r="BA87" s="6">
        <v>42.21</v>
      </c>
      <c r="BB87" s="6">
        <v>41.94</v>
      </c>
      <c r="BC87" s="6">
        <v>40.78</v>
      </c>
      <c r="BD87" s="6">
        <v>41.64</v>
      </c>
      <c r="BE87" s="6">
        <v>40.380000000000003</v>
      </c>
      <c r="BF87" s="6">
        <v>42.17</v>
      </c>
      <c r="BG87" s="6">
        <v>40.15</v>
      </c>
      <c r="BH87" s="6">
        <v>40.869999999999997</v>
      </c>
      <c r="BI87" s="6">
        <v>40.409999999999997</v>
      </c>
      <c r="BJ87" s="7">
        <v>42.09</v>
      </c>
      <c r="BK87" s="7">
        <v>43.33</v>
      </c>
      <c r="BL87" s="7">
        <v>41.81</v>
      </c>
      <c r="BM87" s="7">
        <v>40.33</v>
      </c>
      <c r="BN87" s="10"/>
    </row>
    <row r="88" spans="1:66" ht="15.75" customHeight="1" x14ac:dyDescent="0.25">
      <c r="A88" s="4">
        <v>86</v>
      </c>
      <c r="B88" s="4"/>
      <c r="C88" s="4">
        <v>27</v>
      </c>
      <c r="D88" s="6"/>
      <c r="E88" s="6">
        <v>39.880000000000003</v>
      </c>
      <c r="F88" s="6">
        <v>40.53</v>
      </c>
      <c r="G88" s="6">
        <v>40.46</v>
      </c>
      <c r="H88" s="6">
        <v>39.71</v>
      </c>
      <c r="I88" s="6">
        <v>40.5</v>
      </c>
      <c r="J88" s="6">
        <v>41.61</v>
      </c>
      <c r="K88" s="6">
        <v>40.99</v>
      </c>
      <c r="L88" s="6">
        <v>42.6</v>
      </c>
      <c r="M88" s="6">
        <v>41.96</v>
      </c>
      <c r="N88" s="6">
        <v>40.409999999999997</v>
      </c>
      <c r="O88" s="6">
        <v>40.340000000000003</v>
      </c>
      <c r="P88" s="6">
        <v>40.880000000000003</v>
      </c>
      <c r="Q88" s="6">
        <v>42.77</v>
      </c>
      <c r="R88" s="6">
        <v>41.35</v>
      </c>
      <c r="S88" s="6">
        <v>39.93</v>
      </c>
      <c r="T88" s="6">
        <v>40.549999999999997</v>
      </c>
      <c r="U88" s="6">
        <v>39.840000000000003</v>
      </c>
      <c r="V88" s="6">
        <v>41.4</v>
      </c>
      <c r="W88" s="6">
        <v>40.799999999999997</v>
      </c>
      <c r="X88" s="6">
        <v>40.44</v>
      </c>
      <c r="Y88" s="6">
        <v>41.24</v>
      </c>
      <c r="Z88" s="6">
        <v>39.74</v>
      </c>
      <c r="AA88" s="6">
        <v>40.96</v>
      </c>
      <c r="AB88" s="6">
        <v>41.71</v>
      </c>
      <c r="AC88" s="6">
        <v>39.72</v>
      </c>
      <c r="AD88" s="6">
        <v>41.57</v>
      </c>
      <c r="AE88" s="6">
        <v>41.72</v>
      </c>
      <c r="AF88" s="6">
        <v>41.16</v>
      </c>
      <c r="AG88" s="6">
        <v>40.93</v>
      </c>
      <c r="AH88" s="6">
        <v>42.45</v>
      </c>
      <c r="AI88" s="6">
        <v>40.58</v>
      </c>
      <c r="AJ88" s="6">
        <v>40.71</v>
      </c>
      <c r="AK88" s="6">
        <v>41.18</v>
      </c>
      <c r="AL88" s="6">
        <v>41.28</v>
      </c>
      <c r="AM88" s="6">
        <v>40.36</v>
      </c>
      <c r="AN88" s="6">
        <v>41.79</v>
      </c>
      <c r="AO88" s="6">
        <v>40.46</v>
      </c>
      <c r="AP88" s="6">
        <v>40.4</v>
      </c>
      <c r="AQ88" s="6">
        <v>41.37</v>
      </c>
      <c r="AR88" s="6">
        <v>40.130000000000003</v>
      </c>
      <c r="AS88" s="6">
        <v>40.56</v>
      </c>
      <c r="AT88" s="6">
        <v>41.26</v>
      </c>
      <c r="AU88" s="6">
        <v>41.97</v>
      </c>
      <c r="AV88" s="6"/>
      <c r="AW88" s="6"/>
      <c r="AX88" s="6">
        <v>42.24</v>
      </c>
      <c r="AY88" s="6">
        <v>40.83</v>
      </c>
      <c r="AZ88" s="6">
        <v>41.89</v>
      </c>
      <c r="BA88" s="6">
        <v>42.36</v>
      </c>
      <c r="BB88" s="6">
        <v>42.03</v>
      </c>
      <c r="BC88" s="6">
        <v>40.78</v>
      </c>
      <c r="BD88" s="6">
        <v>41.66</v>
      </c>
      <c r="BE88" s="6">
        <v>40.340000000000003</v>
      </c>
      <c r="BF88" s="6">
        <v>42.26</v>
      </c>
      <c r="BG88" s="6">
        <v>40.17</v>
      </c>
      <c r="BH88" s="6">
        <v>40.83</v>
      </c>
      <c r="BI88" s="6">
        <v>40.4</v>
      </c>
      <c r="BJ88" s="7">
        <v>42.15</v>
      </c>
      <c r="BK88" s="7">
        <v>43.33</v>
      </c>
      <c r="BL88" s="7">
        <v>41.85</v>
      </c>
      <c r="BM88" s="7">
        <v>40.33</v>
      </c>
      <c r="BN88" s="10"/>
    </row>
    <row r="89" spans="1:66" ht="15.75" customHeight="1" x14ac:dyDescent="0.25">
      <c r="A89" s="4">
        <v>87</v>
      </c>
      <c r="B89" s="4"/>
      <c r="C89" s="4">
        <v>28</v>
      </c>
      <c r="D89" s="6"/>
      <c r="E89" s="6">
        <v>39.840000000000003</v>
      </c>
      <c r="F89" s="6">
        <v>40.47</v>
      </c>
      <c r="G89" s="6">
        <v>40.659999999999997</v>
      </c>
      <c r="H89" s="6">
        <v>39.71</v>
      </c>
      <c r="I89" s="6">
        <v>40.56</v>
      </c>
      <c r="J89" s="6">
        <v>41.56</v>
      </c>
      <c r="K89" s="6">
        <v>41.12</v>
      </c>
      <c r="L89" s="6">
        <v>42.61</v>
      </c>
      <c r="M89" s="6">
        <v>41.98</v>
      </c>
      <c r="N89" s="6">
        <v>40.5</v>
      </c>
      <c r="O89" s="6">
        <v>40.409999999999997</v>
      </c>
      <c r="P89" s="6">
        <v>40.97</v>
      </c>
      <c r="Q89" s="6">
        <v>42.81</v>
      </c>
      <c r="R89" s="6">
        <v>41.41</v>
      </c>
      <c r="S89" s="6">
        <v>40.03</v>
      </c>
      <c r="T89" s="6">
        <v>40.619999999999997</v>
      </c>
      <c r="U89" s="6">
        <v>39.869999999999997</v>
      </c>
      <c r="V89" s="6">
        <v>41.32</v>
      </c>
      <c r="W89" s="6">
        <v>40.869999999999997</v>
      </c>
      <c r="X89" s="6">
        <v>40.42</v>
      </c>
      <c r="Y89" s="6">
        <v>41.23</v>
      </c>
      <c r="Z89" s="6">
        <v>39.74</v>
      </c>
      <c r="AA89" s="6">
        <v>40.840000000000003</v>
      </c>
      <c r="AB89" s="6">
        <v>41.66</v>
      </c>
      <c r="AC89" s="6">
        <v>39.72</v>
      </c>
      <c r="AD89" s="6">
        <v>41.54</v>
      </c>
      <c r="AE89" s="6">
        <v>41.84</v>
      </c>
      <c r="AF89" s="6">
        <v>41.1</v>
      </c>
      <c r="AG89" s="6">
        <v>40.840000000000003</v>
      </c>
      <c r="AH89" s="6">
        <v>42.54</v>
      </c>
      <c r="AI89" s="6">
        <v>40.58</v>
      </c>
      <c r="AJ89" s="6">
        <v>40.72</v>
      </c>
      <c r="AK89" s="6">
        <v>41.22</v>
      </c>
      <c r="AL89" s="6">
        <v>41.14</v>
      </c>
      <c r="AM89" s="6">
        <v>40.36</v>
      </c>
      <c r="AN89" s="6">
        <v>41.77</v>
      </c>
      <c r="AO89" s="6">
        <v>40.6</v>
      </c>
      <c r="AP89" s="6">
        <v>40.44</v>
      </c>
      <c r="AQ89" s="6">
        <v>41.5</v>
      </c>
      <c r="AR89" s="6">
        <v>40.11</v>
      </c>
      <c r="AS89" s="6">
        <v>40.57</v>
      </c>
      <c r="AT89" s="6">
        <v>41.26</v>
      </c>
      <c r="AU89" s="6">
        <v>42.13</v>
      </c>
      <c r="AV89" s="6"/>
      <c r="AW89" s="6"/>
      <c r="AX89" s="6">
        <v>42.32</v>
      </c>
      <c r="AY89" s="6">
        <v>40.799999999999997</v>
      </c>
      <c r="AZ89" s="6">
        <v>41.92</v>
      </c>
      <c r="BA89" s="6">
        <v>42.53</v>
      </c>
      <c r="BB89" s="6">
        <v>42.12</v>
      </c>
      <c r="BC89" s="6">
        <v>40.83</v>
      </c>
      <c r="BD89" s="6">
        <v>41.64</v>
      </c>
      <c r="BE89" s="6">
        <v>40.29</v>
      </c>
      <c r="BF89" s="6">
        <v>42.4</v>
      </c>
      <c r="BG89" s="6">
        <v>40.17</v>
      </c>
      <c r="BH89" s="6">
        <v>40.93</v>
      </c>
      <c r="BI89" s="6">
        <v>40.380000000000003</v>
      </c>
      <c r="BJ89" s="7">
        <v>42.28</v>
      </c>
      <c r="BK89" s="7">
        <v>43.35</v>
      </c>
      <c r="BL89" s="7">
        <v>41.87</v>
      </c>
      <c r="BM89" s="7">
        <v>40.36</v>
      </c>
      <c r="BN89" s="10"/>
    </row>
    <row r="90" spans="1:66" ht="15.75" customHeight="1" x14ac:dyDescent="0.25">
      <c r="A90" s="4">
        <v>88</v>
      </c>
      <c r="B90" s="4"/>
      <c r="C90" s="4">
        <v>29</v>
      </c>
      <c r="D90" s="6"/>
      <c r="E90" s="6">
        <v>39.840000000000003</v>
      </c>
      <c r="F90" s="6">
        <v>40.43</v>
      </c>
      <c r="G90" s="6">
        <v>40.75</v>
      </c>
      <c r="H90" s="6">
        <v>39.659999999999997</v>
      </c>
      <c r="I90" s="6">
        <v>40.56</v>
      </c>
      <c r="J90" s="6">
        <v>41.54</v>
      </c>
      <c r="K90" s="6">
        <v>41.27</v>
      </c>
      <c r="L90" s="6">
        <v>42.63</v>
      </c>
      <c r="M90" s="6">
        <v>42.06</v>
      </c>
      <c r="N90" s="6">
        <v>40.58</v>
      </c>
      <c r="O90" s="6">
        <v>40.49</v>
      </c>
      <c r="P90" s="6">
        <v>41.04</v>
      </c>
      <c r="Q90" s="6">
        <v>42.76</v>
      </c>
      <c r="R90" s="6">
        <v>41.43</v>
      </c>
      <c r="S90" s="6">
        <v>40.090000000000003</v>
      </c>
      <c r="T90" s="6">
        <v>40.69</v>
      </c>
      <c r="U90" s="6">
        <v>39.89</v>
      </c>
      <c r="V90" s="6">
        <v>41.26</v>
      </c>
      <c r="W90" s="6">
        <v>40.92</v>
      </c>
      <c r="X90" s="6">
        <v>40.380000000000003</v>
      </c>
      <c r="Y90" s="6">
        <v>41.2</v>
      </c>
      <c r="Z90" s="6">
        <v>39.729999999999997</v>
      </c>
      <c r="AA90" s="6">
        <v>40.799999999999997</v>
      </c>
      <c r="AB90" s="6">
        <v>41.7</v>
      </c>
      <c r="AC90" s="6">
        <v>39.700000000000003</v>
      </c>
      <c r="AD90" s="6">
        <v>41.53</v>
      </c>
      <c r="AE90" s="6">
        <v>41.95</v>
      </c>
      <c r="AF90" s="6">
        <v>41.02</v>
      </c>
      <c r="AG90" s="6">
        <v>40.78</v>
      </c>
      <c r="AH90" s="6">
        <v>42.69</v>
      </c>
      <c r="AI90" s="6">
        <v>40.6</v>
      </c>
      <c r="AJ90" s="6">
        <v>40.74</v>
      </c>
      <c r="AK90" s="6">
        <v>41.27</v>
      </c>
      <c r="AL90" s="6">
        <v>41.07</v>
      </c>
      <c r="AM90" s="6">
        <v>40.36</v>
      </c>
      <c r="AN90" s="6">
        <v>41.79</v>
      </c>
      <c r="AO90" s="6">
        <v>40.74</v>
      </c>
      <c r="AP90" s="6">
        <v>40.49</v>
      </c>
      <c r="AQ90" s="6">
        <v>41.6</v>
      </c>
      <c r="AR90" s="6">
        <v>40.1</v>
      </c>
      <c r="AS90" s="6">
        <v>40.58</v>
      </c>
      <c r="AT90" s="6">
        <v>41.25</v>
      </c>
      <c r="AU90" s="6">
        <v>42.3</v>
      </c>
      <c r="AV90" s="6"/>
      <c r="AW90" s="6"/>
      <c r="AX90" s="6">
        <v>42.38</v>
      </c>
      <c r="AY90" s="6">
        <v>40.78</v>
      </c>
      <c r="AZ90" s="6">
        <v>41.98</v>
      </c>
      <c r="BA90" s="6">
        <v>42.65</v>
      </c>
      <c r="BB90" s="6">
        <v>42.22</v>
      </c>
      <c r="BC90" s="6">
        <v>40.89</v>
      </c>
      <c r="BD90" s="6">
        <v>41.59</v>
      </c>
      <c r="BE90" s="6">
        <v>40.26</v>
      </c>
      <c r="BF90" s="6">
        <v>42.55</v>
      </c>
      <c r="BG90" s="6">
        <v>40.17</v>
      </c>
      <c r="BH90" s="6">
        <v>40.97</v>
      </c>
      <c r="BI90" s="6">
        <v>40.380000000000003</v>
      </c>
      <c r="BJ90" s="7">
        <v>42.4</v>
      </c>
      <c r="BK90" s="7">
        <v>43.38</v>
      </c>
      <c r="BL90" s="7">
        <v>41.87</v>
      </c>
      <c r="BM90" s="7">
        <v>40.4</v>
      </c>
      <c r="BN90" s="10"/>
    </row>
    <row r="91" spans="1:66" ht="15.75" customHeight="1" x14ac:dyDescent="0.25">
      <c r="A91" s="4">
        <v>89</v>
      </c>
      <c r="B91" s="4"/>
      <c r="C91" s="4">
        <v>30</v>
      </c>
      <c r="D91" s="6"/>
      <c r="E91" s="6">
        <v>39.86</v>
      </c>
      <c r="F91" s="6">
        <v>40.340000000000003</v>
      </c>
      <c r="G91" s="6">
        <v>40.96</v>
      </c>
      <c r="H91" s="6">
        <v>39.659999999999997</v>
      </c>
      <c r="I91" s="6">
        <v>40.5</v>
      </c>
      <c r="J91" s="6">
        <v>41.51</v>
      </c>
      <c r="K91" s="6">
        <v>41.49</v>
      </c>
      <c r="L91" s="6">
        <v>42.65</v>
      </c>
      <c r="M91" s="6">
        <v>42.09</v>
      </c>
      <c r="N91" s="6">
        <v>40.61</v>
      </c>
      <c r="O91" s="6">
        <v>40.549999999999997</v>
      </c>
      <c r="P91" s="6">
        <v>41.09</v>
      </c>
      <c r="Q91" s="6">
        <v>42.75</v>
      </c>
      <c r="R91" s="6">
        <v>41.45</v>
      </c>
      <c r="S91" s="6">
        <v>40.21</v>
      </c>
      <c r="T91" s="6">
        <v>40.76</v>
      </c>
      <c r="U91" s="6">
        <v>39.93</v>
      </c>
      <c r="V91" s="6">
        <v>41.19</v>
      </c>
      <c r="W91" s="6">
        <v>40.93</v>
      </c>
      <c r="X91" s="6">
        <v>40.33</v>
      </c>
      <c r="Y91" s="6">
        <v>41.16</v>
      </c>
      <c r="Z91" s="6">
        <v>39.71</v>
      </c>
      <c r="AA91" s="6">
        <v>40.74</v>
      </c>
      <c r="AB91" s="6">
        <v>41.71</v>
      </c>
      <c r="AC91" s="6">
        <v>39.700000000000003</v>
      </c>
      <c r="AD91" s="6">
        <v>41.5</v>
      </c>
      <c r="AE91" s="6">
        <v>42.06</v>
      </c>
      <c r="AF91" s="6">
        <v>40.98</v>
      </c>
      <c r="AG91" s="6">
        <v>40.68</v>
      </c>
      <c r="AH91" s="6">
        <v>42.87</v>
      </c>
      <c r="AI91" s="6">
        <v>40.75</v>
      </c>
      <c r="AJ91" s="6">
        <v>40.76</v>
      </c>
      <c r="AK91" s="6">
        <v>41.31</v>
      </c>
      <c r="AL91" s="6">
        <v>41.02</v>
      </c>
      <c r="AM91" s="6">
        <v>40.35</v>
      </c>
      <c r="AN91" s="6">
        <v>41.84</v>
      </c>
      <c r="AO91" s="6">
        <v>40.840000000000003</v>
      </c>
      <c r="AP91" s="6">
        <v>40.56</v>
      </c>
      <c r="AQ91" s="6">
        <v>41.69</v>
      </c>
      <c r="AR91" s="6">
        <v>40.130000000000003</v>
      </c>
      <c r="AS91" s="6">
        <v>40.61</v>
      </c>
      <c r="AT91" s="6">
        <v>41.22</v>
      </c>
      <c r="AU91" s="6">
        <v>42.47</v>
      </c>
      <c r="AV91" s="6"/>
      <c r="AW91" s="6"/>
      <c r="AX91" s="6">
        <v>42.48</v>
      </c>
      <c r="AY91" s="6">
        <v>40.729999999999997</v>
      </c>
      <c r="AZ91" s="6">
        <v>42.05</v>
      </c>
      <c r="BA91" s="6">
        <v>42.78</v>
      </c>
      <c r="BB91" s="6">
        <v>42.34</v>
      </c>
      <c r="BC91" s="6">
        <v>40.98</v>
      </c>
      <c r="BD91" s="6">
        <v>41.55</v>
      </c>
      <c r="BE91" s="6">
        <v>40.22</v>
      </c>
      <c r="BF91" s="6">
        <v>42.68</v>
      </c>
      <c r="BG91" s="6">
        <v>40.159999999999997</v>
      </c>
      <c r="BH91" s="6">
        <v>41.03</v>
      </c>
      <c r="BI91" s="6">
        <v>40.340000000000003</v>
      </c>
      <c r="BJ91" s="7">
        <v>42.5</v>
      </c>
      <c r="BK91" s="7">
        <v>43.44</v>
      </c>
      <c r="BL91" s="7">
        <v>41.86</v>
      </c>
      <c r="BM91" s="7">
        <v>40.46</v>
      </c>
      <c r="BN91" s="10"/>
    </row>
    <row r="92" spans="1:66" ht="15.75" customHeight="1" x14ac:dyDescent="0.25">
      <c r="A92" s="4">
        <v>90</v>
      </c>
      <c r="B92" s="4"/>
      <c r="C92" s="4">
        <v>31</v>
      </c>
      <c r="D92" s="6"/>
      <c r="E92" s="6">
        <v>39.840000000000003</v>
      </c>
      <c r="F92" s="6">
        <v>40.36</v>
      </c>
      <c r="G92" s="6">
        <v>41.04</v>
      </c>
      <c r="H92" s="6">
        <v>39.659999999999997</v>
      </c>
      <c r="I92" s="6">
        <v>40.46</v>
      </c>
      <c r="J92" s="6">
        <v>41.49</v>
      </c>
      <c r="K92" s="6">
        <v>41.7</v>
      </c>
      <c r="L92" s="6">
        <v>42.64</v>
      </c>
      <c r="M92" s="6">
        <v>42.22</v>
      </c>
      <c r="N92" s="6">
        <v>40.64</v>
      </c>
      <c r="O92" s="6">
        <v>40.590000000000003</v>
      </c>
      <c r="P92" s="6">
        <v>41.14</v>
      </c>
      <c r="Q92" s="6">
        <v>42.7</v>
      </c>
      <c r="R92" s="6">
        <v>41.45</v>
      </c>
      <c r="S92" s="6">
        <v>40.340000000000003</v>
      </c>
      <c r="T92" s="6">
        <v>40.79</v>
      </c>
      <c r="U92" s="6">
        <v>39.950000000000003</v>
      </c>
      <c r="V92" s="6">
        <v>41.14</v>
      </c>
      <c r="W92" s="6">
        <v>40.94</v>
      </c>
      <c r="X92" s="6">
        <v>40.380000000000003</v>
      </c>
      <c r="Y92" s="6">
        <v>41.16</v>
      </c>
      <c r="Z92" s="6">
        <v>39.700000000000003</v>
      </c>
      <c r="AA92" s="6">
        <v>40.729999999999997</v>
      </c>
      <c r="AB92" s="6">
        <v>41.56</v>
      </c>
      <c r="AC92" s="6">
        <v>39.68</v>
      </c>
      <c r="AD92" s="6">
        <v>41.46</v>
      </c>
      <c r="AE92" s="6">
        <v>42.12</v>
      </c>
      <c r="AF92" s="6">
        <v>40.94</v>
      </c>
      <c r="AG92" s="6">
        <v>40.64</v>
      </c>
      <c r="AH92" s="6">
        <v>42.9</v>
      </c>
      <c r="AI92" s="6">
        <v>40.75</v>
      </c>
      <c r="AJ92" s="6">
        <v>40.700000000000003</v>
      </c>
      <c r="AK92" s="6">
        <v>41.38</v>
      </c>
      <c r="AL92" s="6">
        <v>40.97</v>
      </c>
      <c r="AM92" s="6">
        <v>40.35</v>
      </c>
      <c r="AN92" s="6">
        <v>41.9</v>
      </c>
      <c r="AO92" s="6">
        <v>40.9</v>
      </c>
      <c r="AP92" s="6">
        <v>40.619999999999997</v>
      </c>
      <c r="AQ92" s="6">
        <v>41.75</v>
      </c>
      <c r="AR92" s="6">
        <v>40.15</v>
      </c>
      <c r="AS92" s="6">
        <v>40.65</v>
      </c>
      <c r="AT92" s="6">
        <v>41.16</v>
      </c>
      <c r="AU92" s="6">
        <v>42.62</v>
      </c>
      <c r="AV92" s="6"/>
      <c r="AW92" s="6"/>
      <c r="AX92" s="6">
        <v>42.58</v>
      </c>
      <c r="AY92" s="6">
        <v>40.68</v>
      </c>
      <c r="AZ92" s="6">
        <v>42.1</v>
      </c>
      <c r="BA92" s="6">
        <v>42.89</v>
      </c>
      <c r="BB92" s="6">
        <v>42.39</v>
      </c>
      <c r="BC92" s="6">
        <v>41.08</v>
      </c>
      <c r="BD92" s="6">
        <v>41.51</v>
      </c>
      <c r="BE92" s="6">
        <v>40.200000000000003</v>
      </c>
      <c r="BF92" s="6">
        <v>42.82</v>
      </c>
      <c r="BG92" s="6">
        <v>40.159999999999997</v>
      </c>
      <c r="BH92" s="6">
        <v>41.09</v>
      </c>
      <c r="BI92" s="6">
        <v>40.299999999999997</v>
      </c>
      <c r="BJ92" s="7">
        <v>42.66</v>
      </c>
      <c r="BK92" s="7">
        <v>43.51</v>
      </c>
      <c r="BL92" s="7">
        <v>41.83</v>
      </c>
      <c r="BM92" s="7">
        <v>40.53</v>
      </c>
      <c r="BN92" s="10"/>
    </row>
    <row r="93" spans="1:66" ht="15.75" customHeight="1" x14ac:dyDescent="0.25">
      <c r="A93" s="4">
        <v>91</v>
      </c>
      <c r="B93" s="5" t="s">
        <v>7</v>
      </c>
      <c r="C93" s="4">
        <v>1</v>
      </c>
      <c r="D93" s="6"/>
      <c r="E93" s="6">
        <v>39.840000000000003</v>
      </c>
      <c r="F93" s="6">
        <v>40.340000000000003</v>
      </c>
      <c r="G93" s="6">
        <v>41.21</v>
      </c>
      <c r="H93" s="6">
        <v>39.61</v>
      </c>
      <c r="I93" s="6">
        <v>40.409999999999997</v>
      </c>
      <c r="J93" s="6">
        <v>41.46</v>
      </c>
      <c r="K93" s="6">
        <v>41.94</v>
      </c>
      <c r="L93" s="6">
        <v>42.64</v>
      </c>
      <c r="M93" s="6">
        <v>42.32</v>
      </c>
      <c r="N93" s="6">
        <v>40.64</v>
      </c>
      <c r="O93" s="6">
        <v>40.619999999999997</v>
      </c>
      <c r="P93" s="6">
        <v>41.2</v>
      </c>
      <c r="Q93" s="6">
        <v>42.67</v>
      </c>
      <c r="R93" s="6">
        <v>41.45</v>
      </c>
      <c r="S93" s="6">
        <v>40.450000000000003</v>
      </c>
      <c r="T93" s="6">
        <v>40.83</v>
      </c>
      <c r="U93" s="6">
        <v>40.07</v>
      </c>
      <c r="V93" s="6">
        <v>41.04</v>
      </c>
      <c r="W93" s="6">
        <v>41</v>
      </c>
      <c r="X93" s="6">
        <v>40.36</v>
      </c>
      <c r="Y93" s="6">
        <v>41.14</v>
      </c>
      <c r="Z93" s="6">
        <v>39.68</v>
      </c>
      <c r="AA93" s="6">
        <v>40.78</v>
      </c>
      <c r="AB93" s="6">
        <v>41.54</v>
      </c>
      <c r="AC93" s="6">
        <v>39.68</v>
      </c>
      <c r="AD93" s="6">
        <v>41.42</v>
      </c>
      <c r="AE93" s="6">
        <v>42.19</v>
      </c>
      <c r="AF93" s="6">
        <v>40.9</v>
      </c>
      <c r="AG93" s="6">
        <v>40.54</v>
      </c>
      <c r="AH93" s="6">
        <v>42.91</v>
      </c>
      <c r="AI93" s="6">
        <v>40.96</v>
      </c>
      <c r="AJ93" s="6">
        <v>40.630000000000003</v>
      </c>
      <c r="AK93" s="6">
        <v>41.39</v>
      </c>
      <c r="AL93" s="6">
        <v>40.92</v>
      </c>
      <c r="AM93" s="6">
        <v>40.35</v>
      </c>
      <c r="AN93" s="6">
        <v>41.92</v>
      </c>
      <c r="AO93" s="6">
        <v>40.96</v>
      </c>
      <c r="AP93" s="6">
        <v>40.619999999999997</v>
      </c>
      <c r="AQ93" s="6">
        <v>41.71</v>
      </c>
      <c r="AR93" s="6">
        <v>40.19</v>
      </c>
      <c r="AS93" s="6">
        <v>40.69</v>
      </c>
      <c r="AT93" s="6">
        <v>41.11</v>
      </c>
      <c r="AU93" s="6">
        <v>42.73</v>
      </c>
      <c r="AV93" s="6"/>
      <c r="AW93" s="6"/>
      <c r="AX93" s="6">
        <v>42.61</v>
      </c>
      <c r="AY93" s="6">
        <v>40.630000000000003</v>
      </c>
      <c r="AZ93" s="6">
        <v>42.12</v>
      </c>
      <c r="BA93" s="6">
        <v>43.04</v>
      </c>
      <c r="BB93" s="6">
        <v>42.41</v>
      </c>
      <c r="BC93" s="6">
        <v>41.14</v>
      </c>
      <c r="BD93" s="6">
        <v>41.49</v>
      </c>
      <c r="BE93" s="6">
        <v>40.21</v>
      </c>
      <c r="BF93" s="6">
        <v>42.92</v>
      </c>
      <c r="BG93" s="6">
        <v>40.21</v>
      </c>
      <c r="BH93" s="6">
        <v>41.14</v>
      </c>
      <c r="BI93" s="6">
        <v>40.28</v>
      </c>
      <c r="BJ93" s="7">
        <v>42.77</v>
      </c>
      <c r="BK93" s="7">
        <v>43.55</v>
      </c>
      <c r="BL93" s="7">
        <v>41.8</v>
      </c>
      <c r="BM93" s="7">
        <v>40.56</v>
      </c>
      <c r="BN93" s="10"/>
    </row>
    <row r="94" spans="1:66" ht="15.75" customHeight="1" x14ac:dyDescent="0.25">
      <c r="A94" s="4">
        <v>92</v>
      </c>
      <c r="B94" s="4"/>
      <c r="C94" s="4">
        <v>2</v>
      </c>
      <c r="D94" s="6"/>
      <c r="E94" s="6">
        <v>39.83</v>
      </c>
      <c r="F94" s="6">
        <v>40.43</v>
      </c>
      <c r="G94" s="6">
        <v>41.28</v>
      </c>
      <c r="H94" s="6">
        <v>39.659999999999997</v>
      </c>
      <c r="I94" s="6">
        <v>40.36</v>
      </c>
      <c r="J94" s="6">
        <v>41.45</v>
      </c>
      <c r="K94" s="6">
        <v>42.11</v>
      </c>
      <c r="L94" s="6">
        <v>42.62</v>
      </c>
      <c r="M94" s="6">
        <v>42.4</v>
      </c>
      <c r="N94" s="6">
        <v>40.619999999999997</v>
      </c>
      <c r="O94" s="6">
        <v>40.65</v>
      </c>
      <c r="P94" s="6">
        <v>41.24</v>
      </c>
      <c r="Q94" s="6">
        <v>42.67</v>
      </c>
      <c r="R94" s="6">
        <v>41.46</v>
      </c>
      <c r="S94" s="6">
        <v>40.68</v>
      </c>
      <c r="T94" s="6">
        <v>40.869999999999997</v>
      </c>
      <c r="U94" s="6">
        <v>40.18</v>
      </c>
      <c r="V94" s="6">
        <v>40.97</v>
      </c>
      <c r="W94" s="6">
        <v>41.04</v>
      </c>
      <c r="X94" s="6">
        <v>40.340000000000003</v>
      </c>
      <c r="Y94" s="6">
        <v>41.14</v>
      </c>
      <c r="Z94" s="6">
        <v>39.68</v>
      </c>
      <c r="AA94" s="6">
        <v>40.81</v>
      </c>
      <c r="AB94" s="6">
        <v>41.47</v>
      </c>
      <c r="AC94" s="6">
        <v>39.68</v>
      </c>
      <c r="AD94" s="6">
        <v>41.4</v>
      </c>
      <c r="AE94" s="6">
        <v>42.24</v>
      </c>
      <c r="AF94" s="6">
        <v>40.85</v>
      </c>
      <c r="AG94" s="6">
        <v>40.47</v>
      </c>
      <c r="AH94" s="6">
        <v>42.88</v>
      </c>
      <c r="AI94" s="6">
        <v>41.17</v>
      </c>
      <c r="AJ94" s="6">
        <v>40.630000000000003</v>
      </c>
      <c r="AK94" s="6">
        <v>41.4</v>
      </c>
      <c r="AL94" s="6">
        <v>40.840000000000003</v>
      </c>
      <c r="AM94" s="6">
        <v>40.36</v>
      </c>
      <c r="AN94" s="6">
        <v>41.93</v>
      </c>
      <c r="AO94" s="6">
        <v>41</v>
      </c>
      <c r="AP94" s="6">
        <v>40.659999999999997</v>
      </c>
      <c r="AQ94" s="6">
        <v>41.7</v>
      </c>
      <c r="AR94" s="6">
        <v>40.24</v>
      </c>
      <c r="AS94" s="6">
        <v>40.71</v>
      </c>
      <c r="AT94" s="6">
        <v>41.06</v>
      </c>
      <c r="AU94" s="6">
        <v>42.78</v>
      </c>
      <c r="AV94" s="6"/>
      <c r="AW94" s="6"/>
      <c r="AX94" s="6">
        <v>42.65</v>
      </c>
      <c r="AY94" s="6">
        <v>40.58</v>
      </c>
      <c r="AZ94" s="6">
        <v>42.09</v>
      </c>
      <c r="BA94" s="6">
        <v>43.16</v>
      </c>
      <c r="BB94" s="6">
        <v>42.39</v>
      </c>
      <c r="BC94" s="6">
        <v>41.2</v>
      </c>
      <c r="BD94" s="6">
        <v>41.48</v>
      </c>
      <c r="BE94" s="6">
        <v>40.22</v>
      </c>
      <c r="BF94" s="6">
        <v>42.96</v>
      </c>
      <c r="BG94" s="6">
        <v>40.26</v>
      </c>
      <c r="BH94" s="6">
        <v>41.15</v>
      </c>
      <c r="BI94" s="6">
        <v>40.26</v>
      </c>
      <c r="BJ94" s="7">
        <v>42.89</v>
      </c>
      <c r="BK94" s="7">
        <v>43.58</v>
      </c>
      <c r="BL94" s="7">
        <v>41.77</v>
      </c>
      <c r="BM94" s="7">
        <v>40.6</v>
      </c>
      <c r="BN94" s="10"/>
    </row>
    <row r="95" spans="1:66" ht="15.75" customHeight="1" x14ac:dyDescent="0.25">
      <c r="A95" s="4">
        <v>93</v>
      </c>
      <c r="B95" s="4"/>
      <c r="C95" s="4">
        <v>3</v>
      </c>
      <c r="D95" s="6"/>
      <c r="E95" s="6">
        <v>39.840000000000003</v>
      </c>
      <c r="F95" s="6">
        <v>40.46</v>
      </c>
      <c r="G95" s="6">
        <v>41.41</v>
      </c>
      <c r="H95" s="6">
        <v>39.56</v>
      </c>
      <c r="I95" s="6">
        <v>40.409999999999997</v>
      </c>
      <c r="J95" s="6">
        <v>41.43</v>
      </c>
      <c r="K95" s="6">
        <v>42.26</v>
      </c>
      <c r="L95" s="6">
        <v>42.61</v>
      </c>
      <c r="M95" s="6">
        <v>42.47</v>
      </c>
      <c r="N95" s="6">
        <v>40.590000000000003</v>
      </c>
      <c r="O95" s="6">
        <v>40.659999999999997</v>
      </c>
      <c r="P95" s="6">
        <v>41.28</v>
      </c>
      <c r="Q95" s="6">
        <v>42.66</v>
      </c>
      <c r="R95" s="6">
        <v>41.46</v>
      </c>
      <c r="S95" s="6">
        <v>40.840000000000003</v>
      </c>
      <c r="T95" s="6">
        <v>40.89</v>
      </c>
      <c r="U95" s="6">
        <v>40.4</v>
      </c>
      <c r="V95" s="6">
        <v>40.9</v>
      </c>
      <c r="W95" s="6">
        <v>41.11</v>
      </c>
      <c r="X95" s="6">
        <v>40.36</v>
      </c>
      <c r="Y95" s="6">
        <v>41.13</v>
      </c>
      <c r="Z95" s="6">
        <v>39.700000000000003</v>
      </c>
      <c r="AA95" s="6">
        <v>40.85</v>
      </c>
      <c r="AB95" s="6">
        <v>41.42</v>
      </c>
      <c r="AC95" s="6">
        <v>39.69</v>
      </c>
      <c r="AD95" s="6">
        <v>41.42</v>
      </c>
      <c r="AE95" s="6">
        <v>42.24</v>
      </c>
      <c r="AF95" s="6">
        <v>40.799999999999997</v>
      </c>
      <c r="AG95" s="6">
        <v>40.42</v>
      </c>
      <c r="AH95" s="6">
        <v>42.84</v>
      </c>
      <c r="AI95" s="6">
        <v>41.3</v>
      </c>
      <c r="AJ95" s="6">
        <v>40.5</v>
      </c>
      <c r="AK95" s="6">
        <v>41.39</v>
      </c>
      <c r="AL95" s="6">
        <v>40.799999999999997</v>
      </c>
      <c r="AM95" s="6">
        <v>40.46</v>
      </c>
      <c r="AN95" s="6">
        <v>41.97</v>
      </c>
      <c r="AO95" s="6">
        <v>41.03</v>
      </c>
      <c r="AP95" s="6">
        <v>40.65</v>
      </c>
      <c r="AQ95" s="6">
        <v>41.7</v>
      </c>
      <c r="AR95" s="6">
        <v>40.32</v>
      </c>
      <c r="AS95" s="6">
        <v>40.75</v>
      </c>
      <c r="AT95" s="6">
        <v>41.02</v>
      </c>
      <c r="AU95" s="6">
        <v>42.85</v>
      </c>
      <c r="AV95" s="6"/>
      <c r="AW95" s="6"/>
      <c r="AX95" s="6">
        <v>42.68</v>
      </c>
      <c r="AY95" s="6">
        <v>40.549999999999997</v>
      </c>
      <c r="AZ95" s="6">
        <v>42.08</v>
      </c>
      <c r="BA95" s="6">
        <v>43.28</v>
      </c>
      <c r="BB95" s="6">
        <v>42.37</v>
      </c>
      <c r="BC95" s="6">
        <v>41.24</v>
      </c>
      <c r="BD95" s="6">
        <v>41.48</v>
      </c>
      <c r="BE95" s="6">
        <v>40.29</v>
      </c>
      <c r="BF95" s="6">
        <v>42.95</v>
      </c>
      <c r="BG95" s="6">
        <v>40.28</v>
      </c>
      <c r="BH95" s="6">
        <v>41.22</v>
      </c>
      <c r="BI95" s="6">
        <v>40.26</v>
      </c>
      <c r="BJ95" s="7">
        <v>42.95</v>
      </c>
      <c r="BK95" s="7">
        <v>43.56</v>
      </c>
      <c r="BL95" s="7">
        <v>41.77</v>
      </c>
      <c r="BM95" s="7">
        <v>40.64</v>
      </c>
      <c r="BN95" s="10"/>
    </row>
    <row r="96" spans="1:66" ht="15.75" customHeight="1" x14ac:dyDescent="0.25">
      <c r="A96" s="4">
        <v>94</v>
      </c>
      <c r="B96" s="4"/>
      <c r="C96" s="4">
        <v>4</v>
      </c>
      <c r="D96" s="6"/>
      <c r="E96" s="6">
        <v>39.869999999999997</v>
      </c>
      <c r="F96" s="6">
        <v>40.479999999999997</v>
      </c>
      <c r="G96" s="6">
        <v>41.46</v>
      </c>
      <c r="H96" s="6">
        <v>39.46</v>
      </c>
      <c r="I96" s="6">
        <v>40.46</v>
      </c>
      <c r="J96" s="6">
        <v>41.41</v>
      </c>
      <c r="K96" s="6">
        <v>42.38</v>
      </c>
      <c r="L96" s="6">
        <v>42.59</v>
      </c>
      <c r="M96" s="6">
        <v>42.55</v>
      </c>
      <c r="N96" s="6">
        <v>40.56</v>
      </c>
      <c r="O96" s="6">
        <v>40.75</v>
      </c>
      <c r="P96" s="6">
        <v>41.34</v>
      </c>
      <c r="Q96" s="6">
        <v>42.68</v>
      </c>
      <c r="R96" s="6">
        <v>41.46</v>
      </c>
      <c r="S96" s="6">
        <v>41.02</v>
      </c>
      <c r="T96" s="6">
        <v>40.86</v>
      </c>
      <c r="U96" s="6">
        <v>40.479999999999997</v>
      </c>
      <c r="V96" s="6">
        <v>40.82</v>
      </c>
      <c r="W96" s="6">
        <v>41.24</v>
      </c>
      <c r="X96" s="6">
        <v>40.340000000000003</v>
      </c>
      <c r="Y96" s="6">
        <v>41.16</v>
      </c>
      <c r="Z96" s="6">
        <v>39.700000000000003</v>
      </c>
      <c r="AA96" s="6">
        <v>40.880000000000003</v>
      </c>
      <c r="AB96" s="6">
        <v>41.44</v>
      </c>
      <c r="AC96" s="6">
        <v>39.72</v>
      </c>
      <c r="AD96" s="6">
        <v>41.42</v>
      </c>
      <c r="AE96" s="6">
        <v>42.21</v>
      </c>
      <c r="AF96" s="6">
        <v>40.74</v>
      </c>
      <c r="AG96" s="6">
        <v>40.4</v>
      </c>
      <c r="AH96" s="6">
        <v>42.8</v>
      </c>
      <c r="AI96" s="6">
        <v>41.46</v>
      </c>
      <c r="AJ96" s="6">
        <v>40.51</v>
      </c>
      <c r="AK96" s="6">
        <v>41.38</v>
      </c>
      <c r="AL96" s="6">
        <v>40.74</v>
      </c>
      <c r="AM96" s="6">
        <v>40.549999999999997</v>
      </c>
      <c r="AN96" s="6">
        <v>42.04</v>
      </c>
      <c r="AO96" s="6">
        <v>41.03</v>
      </c>
      <c r="AP96" s="6">
        <v>40.619999999999997</v>
      </c>
      <c r="AQ96" s="6">
        <v>41.73</v>
      </c>
      <c r="AR96" s="6">
        <v>40.4</v>
      </c>
      <c r="AS96" s="6">
        <v>40.840000000000003</v>
      </c>
      <c r="AT96" s="6">
        <v>41.02</v>
      </c>
      <c r="AU96" s="6">
        <v>42.86</v>
      </c>
      <c r="AV96" s="6"/>
      <c r="AW96" s="6"/>
      <c r="AX96" s="6">
        <v>42.67</v>
      </c>
      <c r="AY96" s="6">
        <v>40.54</v>
      </c>
      <c r="AZ96" s="6">
        <v>42.06</v>
      </c>
      <c r="BA96" s="6">
        <v>43.43</v>
      </c>
      <c r="BB96" s="6">
        <v>42.35</v>
      </c>
      <c r="BC96" s="6">
        <v>41.28</v>
      </c>
      <c r="BD96" s="6">
        <v>41.47</v>
      </c>
      <c r="BE96" s="6">
        <v>40.36</v>
      </c>
      <c r="BF96" s="6">
        <v>42.95</v>
      </c>
      <c r="BG96" s="6">
        <v>40.299999999999997</v>
      </c>
      <c r="BH96" s="6">
        <v>41.25</v>
      </c>
      <c r="BI96" s="6">
        <v>40.26</v>
      </c>
      <c r="BJ96" s="7">
        <v>43.03</v>
      </c>
      <c r="BK96" s="7">
        <v>43.52</v>
      </c>
      <c r="BL96" s="7">
        <v>41.73</v>
      </c>
      <c r="BM96" s="7">
        <v>40.68</v>
      </c>
      <c r="BN96" s="10"/>
    </row>
    <row r="97" spans="1:66" ht="15.75" customHeight="1" x14ac:dyDescent="0.25">
      <c r="A97" s="4">
        <v>95</v>
      </c>
      <c r="B97" s="4"/>
      <c r="C97" s="4">
        <v>5</v>
      </c>
      <c r="D97" s="6"/>
      <c r="E97" s="6">
        <v>39.909999999999997</v>
      </c>
      <c r="F97" s="6">
        <v>40.49</v>
      </c>
      <c r="G97" s="6">
        <v>41.54</v>
      </c>
      <c r="H97" s="6">
        <v>39.36</v>
      </c>
      <c r="I97" s="6">
        <v>40.56</v>
      </c>
      <c r="J97" s="6">
        <v>41.39</v>
      </c>
      <c r="K97" s="6">
        <v>42.5</v>
      </c>
      <c r="L97" s="6">
        <v>42.58</v>
      </c>
      <c r="M97" s="6">
        <v>42.61</v>
      </c>
      <c r="N97" s="6">
        <v>40.54</v>
      </c>
      <c r="O97" s="6">
        <v>40.82</v>
      </c>
      <c r="P97" s="6">
        <v>41.4</v>
      </c>
      <c r="Q97" s="6">
        <v>42.74</v>
      </c>
      <c r="R97" s="6">
        <v>41.39</v>
      </c>
      <c r="S97" s="6">
        <v>41.21</v>
      </c>
      <c r="T97" s="6">
        <v>40.82</v>
      </c>
      <c r="U97" s="6">
        <v>40.61</v>
      </c>
      <c r="V97" s="6">
        <v>40.79</v>
      </c>
      <c r="W97" s="6">
        <v>41.36</v>
      </c>
      <c r="X97" s="6">
        <v>40.32</v>
      </c>
      <c r="Y97" s="6">
        <v>41.18</v>
      </c>
      <c r="Z97" s="6">
        <v>39.72</v>
      </c>
      <c r="AA97" s="6">
        <v>40.880000000000003</v>
      </c>
      <c r="AB97" s="6">
        <v>41.41</v>
      </c>
      <c r="AC97" s="6">
        <v>39.770000000000003</v>
      </c>
      <c r="AD97" s="6">
        <v>41.44</v>
      </c>
      <c r="AE97" s="6">
        <v>42.19</v>
      </c>
      <c r="AF97" s="6">
        <v>40.71</v>
      </c>
      <c r="AG97" s="6">
        <v>40.44</v>
      </c>
      <c r="AH97" s="6">
        <v>42.75</v>
      </c>
      <c r="AI97" s="6">
        <v>41.6</v>
      </c>
      <c r="AJ97" s="6">
        <v>40.43</v>
      </c>
      <c r="AK97" s="6">
        <v>41.4</v>
      </c>
      <c r="AL97" s="6">
        <v>40.67</v>
      </c>
      <c r="AM97" s="6">
        <v>40.630000000000003</v>
      </c>
      <c r="AN97" s="6">
        <v>42.33</v>
      </c>
      <c r="AO97" s="6">
        <v>40.98</v>
      </c>
      <c r="AP97" s="6">
        <v>40.619999999999997</v>
      </c>
      <c r="AQ97" s="6">
        <v>41.84</v>
      </c>
      <c r="AR97" s="6">
        <v>40.47</v>
      </c>
      <c r="AS97" s="6">
        <v>40.93</v>
      </c>
      <c r="AT97" s="6">
        <v>41.05</v>
      </c>
      <c r="AU97" s="6">
        <v>42.86</v>
      </c>
      <c r="AV97" s="6"/>
      <c r="AW97" s="6"/>
      <c r="AX97" s="6">
        <v>42.62</v>
      </c>
      <c r="AY97" s="6">
        <v>40.57</v>
      </c>
      <c r="AZ97" s="6">
        <v>42.05</v>
      </c>
      <c r="BA97" s="6">
        <v>43.59</v>
      </c>
      <c r="BB97" s="6">
        <v>42.3</v>
      </c>
      <c r="BC97" s="6">
        <v>41.29</v>
      </c>
      <c r="BD97" s="6">
        <v>41.49</v>
      </c>
      <c r="BE97" s="6">
        <v>40.46</v>
      </c>
      <c r="BF97" s="6">
        <v>42.94</v>
      </c>
      <c r="BG97" s="6">
        <v>40.53</v>
      </c>
      <c r="BH97" s="6">
        <v>41.26</v>
      </c>
      <c r="BI97" s="6">
        <v>40.380000000000003</v>
      </c>
      <c r="BJ97" s="7">
        <v>43.09</v>
      </c>
      <c r="BK97" s="7">
        <v>43.47</v>
      </c>
      <c r="BL97" s="7">
        <v>41.73</v>
      </c>
      <c r="BM97" s="7">
        <v>40.74</v>
      </c>
      <c r="BN97" s="10"/>
    </row>
    <row r="98" spans="1:66" ht="15.75" customHeight="1" x14ac:dyDescent="0.25">
      <c r="A98" s="4">
        <v>96</v>
      </c>
      <c r="B98" s="4"/>
      <c r="C98" s="4">
        <v>6</v>
      </c>
      <c r="D98" s="6"/>
      <c r="E98" s="6">
        <v>39.950000000000003</v>
      </c>
      <c r="F98" s="6">
        <v>40.47</v>
      </c>
      <c r="G98" s="6">
        <v>41.61</v>
      </c>
      <c r="H98" s="6">
        <v>39.409999999999997</v>
      </c>
      <c r="I98" s="6">
        <v>40.61</v>
      </c>
      <c r="J98" s="6">
        <v>41.36</v>
      </c>
      <c r="K98" s="6">
        <v>42.58</v>
      </c>
      <c r="L98" s="6">
        <v>42.54</v>
      </c>
      <c r="M98" s="6">
        <v>42.66</v>
      </c>
      <c r="N98" s="6">
        <v>40.54</v>
      </c>
      <c r="O98" s="6">
        <v>40.840000000000003</v>
      </c>
      <c r="P98" s="6">
        <v>41.46</v>
      </c>
      <c r="Q98" s="6">
        <v>42.86</v>
      </c>
      <c r="R98" s="6">
        <v>41.36</v>
      </c>
      <c r="S98" s="6">
        <v>41.35</v>
      </c>
      <c r="T98" s="6">
        <v>40.770000000000003</v>
      </c>
      <c r="U98" s="6">
        <v>40.700000000000003</v>
      </c>
      <c r="V98" s="6">
        <v>40.72</v>
      </c>
      <c r="W98" s="6">
        <v>41.63</v>
      </c>
      <c r="X98" s="6">
        <v>40.299999999999997</v>
      </c>
      <c r="Y98" s="6">
        <v>41.18</v>
      </c>
      <c r="Z98" s="6">
        <v>39.729999999999997</v>
      </c>
      <c r="AA98" s="6">
        <v>40.909999999999997</v>
      </c>
      <c r="AB98" s="6">
        <v>41.3</v>
      </c>
      <c r="AC98" s="6">
        <v>39.82</v>
      </c>
      <c r="AD98" s="6">
        <v>41.47</v>
      </c>
      <c r="AE98" s="6">
        <v>42.24</v>
      </c>
      <c r="AF98" s="6">
        <v>40.67</v>
      </c>
      <c r="AG98" s="6">
        <v>40.42</v>
      </c>
      <c r="AH98" s="6">
        <v>42.75</v>
      </c>
      <c r="AI98" s="6">
        <v>41.76</v>
      </c>
      <c r="AJ98" s="6">
        <v>40.380000000000003</v>
      </c>
      <c r="AK98" s="6">
        <v>41.46</v>
      </c>
      <c r="AL98" s="6">
        <v>40.61</v>
      </c>
      <c r="AM98" s="6">
        <v>40.72</v>
      </c>
      <c r="AN98" s="6">
        <v>42.53</v>
      </c>
      <c r="AO98" s="6">
        <v>40.950000000000003</v>
      </c>
      <c r="AP98" s="6">
        <v>40.64</v>
      </c>
      <c r="AQ98" s="6">
        <v>41.92</v>
      </c>
      <c r="AR98" s="6">
        <v>40.56</v>
      </c>
      <c r="AS98" s="6">
        <v>41.06</v>
      </c>
      <c r="AT98" s="6">
        <v>41.08</v>
      </c>
      <c r="AU98" s="6">
        <v>42.87</v>
      </c>
      <c r="AV98" s="6"/>
      <c r="AW98" s="6"/>
      <c r="AX98" s="6">
        <v>42.58</v>
      </c>
      <c r="AY98" s="6">
        <v>40.61</v>
      </c>
      <c r="AZ98" s="6">
        <v>42.03</v>
      </c>
      <c r="BA98" s="6">
        <v>43.75</v>
      </c>
      <c r="BB98" s="6">
        <v>42.27</v>
      </c>
      <c r="BC98" s="6">
        <v>41.3</v>
      </c>
      <c r="BD98" s="6">
        <v>41.51</v>
      </c>
      <c r="BE98" s="6">
        <v>40.590000000000003</v>
      </c>
      <c r="BF98" s="6">
        <v>42.92</v>
      </c>
      <c r="BG98" s="6">
        <v>40.630000000000003</v>
      </c>
      <c r="BH98" s="6">
        <v>41.26</v>
      </c>
      <c r="BI98" s="6">
        <v>40.44</v>
      </c>
      <c r="BJ98" s="7">
        <v>43.13</v>
      </c>
      <c r="BK98" s="7">
        <v>43.45</v>
      </c>
      <c r="BL98" s="7">
        <v>41.73</v>
      </c>
      <c r="BM98" s="7">
        <v>40.76</v>
      </c>
      <c r="BN98" s="10"/>
    </row>
    <row r="99" spans="1:66" ht="15.75" customHeight="1" x14ac:dyDescent="0.25">
      <c r="A99" s="4">
        <v>97</v>
      </c>
      <c r="B99" s="4"/>
      <c r="C99" s="4">
        <v>7</v>
      </c>
      <c r="D99" s="6"/>
      <c r="E99" s="6">
        <v>39.97</v>
      </c>
      <c r="F99" s="6">
        <v>40.43</v>
      </c>
      <c r="G99" s="6">
        <v>41.68</v>
      </c>
      <c r="H99" s="6">
        <v>39.46</v>
      </c>
      <c r="I99" s="6">
        <v>40.68</v>
      </c>
      <c r="J99" s="6">
        <v>41.35</v>
      </c>
      <c r="K99" s="6">
        <v>42.71</v>
      </c>
      <c r="L99" s="6">
        <v>42.48</v>
      </c>
      <c r="M99" s="6">
        <v>42.66</v>
      </c>
      <c r="N99" s="6">
        <v>40.53</v>
      </c>
      <c r="O99" s="6">
        <v>40.86</v>
      </c>
      <c r="P99" s="6">
        <v>41.5</v>
      </c>
      <c r="Q99" s="6">
        <v>42.99</v>
      </c>
      <c r="R99" s="6">
        <v>41.31</v>
      </c>
      <c r="S99" s="6">
        <v>41.47</v>
      </c>
      <c r="T99" s="6">
        <v>40.770000000000003</v>
      </c>
      <c r="U99" s="6">
        <v>40.75</v>
      </c>
      <c r="V99" s="6">
        <v>40.68</v>
      </c>
      <c r="W99" s="6">
        <v>42.02</v>
      </c>
      <c r="X99" s="6">
        <v>40.32</v>
      </c>
      <c r="Y99" s="6">
        <v>41.16</v>
      </c>
      <c r="Z99" s="6">
        <v>39.75</v>
      </c>
      <c r="AA99" s="6">
        <v>40.94</v>
      </c>
      <c r="AB99" s="6">
        <v>41.38</v>
      </c>
      <c r="AC99" s="6">
        <v>40.03</v>
      </c>
      <c r="AD99" s="6">
        <v>41.53</v>
      </c>
      <c r="AE99" s="6">
        <v>42.22</v>
      </c>
      <c r="AF99" s="6">
        <v>40.659999999999997</v>
      </c>
      <c r="AG99" s="6">
        <v>40.450000000000003</v>
      </c>
      <c r="AH99" s="6">
        <v>42.7</v>
      </c>
      <c r="AI99" s="6">
        <v>41.88</v>
      </c>
      <c r="AJ99" s="6">
        <v>40.33</v>
      </c>
      <c r="AK99" s="6">
        <v>41.56</v>
      </c>
      <c r="AL99" s="6">
        <v>40.630000000000003</v>
      </c>
      <c r="AM99" s="6">
        <v>40.86</v>
      </c>
      <c r="AN99" s="6">
        <v>42.7</v>
      </c>
      <c r="AO99" s="6">
        <v>40.92</v>
      </c>
      <c r="AP99" s="6">
        <v>40.619999999999997</v>
      </c>
      <c r="AQ99" s="6">
        <v>42.1</v>
      </c>
      <c r="AR99" s="6">
        <v>40.58</v>
      </c>
      <c r="AS99" s="6">
        <v>41.16</v>
      </c>
      <c r="AT99" s="6">
        <v>41.09</v>
      </c>
      <c r="AU99" s="6">
        <v>42.88</v>
      </c>
      <c r="AV99" s="6"/>
      <c r="AW99" s="6"/>
      <c r="AX99" s="6">
        <v>42.54</v>
      </c>
      <c r="AY99" s="6">
        <v>40.67</v>
      </c>
      <c r="AZ99" s="6">
        <v>42.04</v>
      </c>
      <c r="BA99" s="6">
        <v>43.89</v>
      </c>
      <c r="BB99" s="6">
        <v>42.23</v>
      </c>
      <c r="BC99" s="6">
        <v>41.29</v>
      </c>
      <c r="BD99" s="6">
        <v>41.56</v>
      </c>
      <c r="BE99" s="6">
        <v>40.729999999999997</v>
      </c>
      <c r="BF99" s="6">
        <v>42.89</v>
      </c>
      <c r="BG99" s="6">
        <v>40.78</v>
      </c>
      <c r="BH99" s="6">
        <v>41.26</v>
      </c>
      <c r="BI99" s="6">
        <v>40.5</v>
      </c>
      <c r="BJ99" s="7">
        <v>43.23</v>
      </c>
      <c r="BK99" s="7">
        <v>43.44</v>
      </c>
      <c r="BL99" s="7">
        <v>41.77</v>
      </c>
      <c r="BM99" s="7">
        <v>40.82</v>
      </c>
      <c r="BN99" s="10"/>
    </row>
    <row r="100" spans="1:66" ht="15.75" customHeight="1" x14ac:dyDescent="0.25">
      <c r="A100" s="4">
        <v>98</v>
      </c>
      <c r="B100" s="4"/>
      <c r="C100" s="4">
        <v>8</v>
      </c>
      <c r="D100" s="6"/>
      <c r="E100" s="6">
        <v>40.03</v>
      </c>
      <c r="F100" s="6">
        <v>40.4</v>
      </c>
      <c r="G100" s="6">
        <v>41.76</v>
      </c>
      <c r="H100" s="6">
        <v>39.56</v>
      </c>
      <c r="I100" s="6">
        <v>40.72</v>
      </c>
      <c r="J100" s="6">
        <v>41.36</v>
      </c>
      <c r="K100" s="6">
        <v>42.83</v>
      </c>
      <c r="L100" s="6">
        <v>42.39</v>
      </c>
      <c r="M100" s="6">
        <v>42.64</v>
      </c>
      <c r="N100" s="6">
        <v>40.53</v>
      </c>
      <c r="O100" s="6">
        <v>40.9</v>
      </c>
      <c r="P100" s="6">
        <v>41.55</v>
      </c>
      <c r="Q100" s="6">
        <v>43.11</v>
      </c>
      <c r="R100" s="6">
        <v>41.25</v>
      </c>
      <c r="S100" s="6">
        <v>41.57</v>
      </c>
      <c r="T100" s="6">
        <v>40.729999999999997</v>
      </c>
      <c r="U100" s="6">
        <v>40.79</v>
      </c>
      <c r="V100" s="6">
        <v>40.68</v>
      </c>
      <c r="W100" s="6">
        <v>42.25</v>
      </c>
      <c r="X100" s="6">
        <v>40.340000000000003</v>
      </c>
      <c r="Y100" s="6">
        <v>41.13</v>
      </c>
      <c r="Z100" s="6">
        <v>39.79</v>
      </c>
      <c r="AA100" s="6">
        <v>40.89</v>
      </c>
      <c r="AB100" s="6">
        <v>41.42</v>
      </c>
      <c r="AC100" s="6">
        <v>40.03</v>
      </c>
      <c r="AD100" s="6">
        <v>41.56</v>
      </c>
      <c r="AE100" s="6">
        <v>42.25</v>
      </c>
      <c r="AF100" s="6">
        <v>40.630000000000003</v>
      </c>
      <c r="AG100" s="6">
        <v>40.46</v>
      </c>
      <c r="AH100" s="6">
        <v>42.7</v>
      </c>
      <c r="AI100" s="6">
        <v>41.02</v>
      </c>
      <c r="AJ100" s="6">
        <v>40.299999999999997</v>
      </c>
      <c r="AK100" s="6">
        <v>41.6</v>
      </c>
      <c r="AL100" s="6">
        <v>40.58</v>
      </c>
      <c r="AM100" s="6">
        <v>41.05</v>
      </c>
      <c r="AN100" s="6">
        <v>42.86</v>
      </c>
      <c r="AO100" s="6">
        <v>40.92</v>
      </c>
      <c r="AP100" s="6">
        <v>40.770000000000003</v>
      </c>
      <c r="AQ100" s="6">
        <v>42.34</v>
      </c>
      <c r="AR100" s="6">
        <v>40.6</v>
      </c>
      <c r="AS100" s="6">
        <v>41.23</v>
      </c>
      <c r="AT100" s="6">
        <v>41.15</v>
      </c>
      <c r="AU100" s="6">
        <v>42.83</v>
      </c>
      <c r="AV100" s="6"/>
      <c r="AW100" s="6"/>
      <c r="AX100" s="6">
        <v>42.5</v>
      </c>
      <c r="AY100" s="6">
        <v>40.79</v>
      </c>
      <c r="AZ100" s="6">
        <v>42.06</v>
      </c>
      <c r="BA100" s="6">
        <v>44.06</v>
      </c>
      <c r="BB100" s="6">
        <v>42.21</v>
      </c>
      <c r="BC100" s="6">
        <v>41.29</v>
      </c>
      <c r="BD100" s="6">
        <v>41.6</v>
      </c>
      <c r="BE100" s="6">
        <v>40.869999999999997</v>
      </c>
      <c r="BF100" s="6">
        <v>42.84</v>
      </c>
      <c r="BG100" s="6">
        <v>40.93</v>
      </c>
      <c r="BH100" s="6">
        <v>41.27</v>
      </c>
      <c r="BI100" s="6">
        <v>40.6</v>
      </c>
      <c r="BJ100" s="7">
        <v>43.31</v>
      </c>
      <c r="BK100" s="7">
        <v>43.45</v>
      </c>
      <c r="BL100" s="7">
        <v>41.76</v>
      </c>
      <c r="BM100" s="7">
        <v>40.9</v>
      </c>
      <c r="BN100" s="10"/>
    </row>
    <row r="101" spans="1:66" ht="15.75" customHeight="1" x14ac:dyDescent="0.25">
      <c r="A101" s="4">
        <v>99</v>
      </c>
      <c r="B101" s="4"/>
      <c r="C101" s="4">
        <v>9</v>
      </c>
      <c r="D101" s="6"/>
      <c r="E101" s="6">
        <v>40.14</v>
      </c>
      <c r="F101" s="6">
        <v>40.43</v>
      </c>
      <c r="G101" s="6">
        <v>41.81</v>
      </c>
      <c r="H101" s="6">
        <v>39.659999999999997</v>
      </c>
      <c r="I101" s="6">
        <v>40.75</v>
      </c>
      <c r="J101" s="6">
        <v>41.38</v>
      </c>
      <c r="K101" s="6">
        <v>42.97</v>
      </c>
      <c r="L101" s="6">
        <v>42.32</v>
      </c>
      <c r="M101" s="6">
        <v>42.58</v>
      </c>
      <c r="N101" s="6">
        <v>40.53</v>
      </c>
      <c r="O101" s="6">
        <v>40.96</v>
      </c>
      <c r="P101" s="6">
        <v>41.59</v>
      </c>
      <c r="Q101" s="6">
        <v>43.3</v>
      </c>
      <c r="R101" s="6">
        <v>41.2</v>
      </c>
      <c r="S101" s="6">
        <v>41.76</v>
      </c>
      <c r="T101" s="6">
        <v>40.78</v>
      </c>
      <c r="U101" s="6">
        <v>40.78</v>
      </c>
      <c r="V101" s="6">
        <v>40.71</v>
      </c>
      <c r="W101" s="6">
        <v>42.39</v>
      </c>
      <c r="X101" s="6">
        <v>40.42</v>
      </c>
      <c r="Y101" s="6">
        <v>41.09</v>
      </c>
      <c r="Z101" s="6">
        <v>39.840000000000003</v>
      </c>
      <c r="AA101" s="6">
        <v>40.96</v>
      </c>
      <c r="AB101" s="6">
        <v>41.48</v>
      </c>
      <c r="AC101" s="6">
        <v>40.119999999999997</v>
      </c>
      <c r="AD101" s="6">
        <v>41.58</v>
      </c>
      <c r="AE101" s="6">
        <v>42.34</v>
      </c>
      <c r="AF101" s="6">
        <v>40.64</v>
      </c>
      <c r="AG101" s="6">
        <v>40.53</v>
      </c>
      <c r="AH101" s="6">
        <v>42.74</v>
      </c>
      <c r="AI101" s="6">
        <v>42.11</v>
      </c>
      <c r="AJ101" s="6">
        <v>40.270000000000003</v>
      </c>
      <c r="AK101" s="6">
        <v>41.66</v>
      </c>
      <c r="AL101" s="6">
        <v>40.56</v>
      </c>
      <c r="AM101" s="6">
        <v>41.24</v>
      </c>
      <c r="AN101" s="6">
        <v>43.03</v>
      </c>
      <c r="AO101" s="6">
        <v>40.98</v>
      </c>
      <c r="AP101" s="6">
        <v>40.86</v>
      </c>
      <c r="AQ101" s="6">
        <v>42.56</v>
      </c>
      <c r="AR101" s="6">
        <v>40.6</v>
      </c>
      <c r="AS101" s="6">
        <v>41.27</v>
      </c>
      <c r="AT101" s="6">
        <v>41.31</v>
      </c>
      <c r="AU101" s="6">
        <v>42.9</v>
      </c>
      <c r="AV101" s="6"/>
      <c r="AW101" s="6"/>
      <c r="AX101" s="6">
        <v>42.48</v>
      </c>
      <c r="AY101" s="6">
        <v>40.92</v>
      </c>
      <c r="AZ101" s="6">
        <v>42.08</v>
      </c>
      <c r="BA101" s="6">
        <v>44.25</v>
      </c>
      <c r="BB101" s="6">
        <v>42.18</v>
      </c>
      <c r="BC101" s="6">
        <v>41.36</v>
      </c>
      <c r="BD101" s="6">
        <v>41.64</v>
      </c>
      <c r="BE101" s="6">
        <v>41</v>
      </c>
      <c r="BF101" s="6">
        <v>42.78</v>
      </c>
      <c r="BG101" s="6">
        <v>41.05</v>
      </c>
      <c r="BH101" s="6">
        <v>41.22</v>
      </c>
      <c r="BI101" s="6">
        <v>40.72</v>
      </c>
      <c r="BJ101" s="7">
        <v>43.44</v>
      </c>
      <c r="BK101" s="7">
        <v>43.43</v>
      </c>
      <c r="BL101" s="7">
        <v>41.76</v>
      </c>
      <c r="BM101" s="7">
        <v>41.01</v>
      </c>
      <c r="BN101" s="10"/>
    </row>
    <row r="102" spans="1:66" ht="15.75" customHeight="1" x14ac:dyDescent="0.25">
      <c r="A102" s="4">
        <v>100</v>
      </c>
      <c r="B102" s="4"/>
      <c r="C102" s="4">
        <v>10</v>
      </c>
      <c r="D102" s="6"/>
      <c r="E102" s="6">
        <v>40.25</v>
      </c>
      <c r="F102" s="6">
        <v>40.450000000000003</v>
      </c>
      <c r="G102" s="6">
        <v>41.86</v>
      </c>
      <c r="H102" s="6">
        <v>39.75</v>
      </c>
      <c r="I102" s="6">
        <v>40.86</v>
      </c>
      <c r="J102" s="6">
        <v>41.41</v>
      </c>
      <c r="K102" s="6">
        <v>43.14</v>
      </c>
      <c r="L102" s="6">
        <v>42.27</v>
      </c>
      <c r="M102" s="6">
        <v>42.56</v>
      </c>
      <c r="N102" s="6">
        <v>40.53</v>
      </c>
      <c r="O102" s="6">
        <v>41.03</v>
      </c>
      <c r="P102" s="6">
        <v>41.63</v>
      </c>
      <c r="Q102" s="6">
        <v>43.46</v>
      </c>
      <c r="R102" s="6">
        <v>41.14</v>
      </c>
      <c r="S102" s="6">
        <v>41.91</v>
      </c>
      <c r="T102" s="6">
        <v>40.89</v>
      </c>
      <c r="U102" s="6">
        <v>40.78</v>
      </c>
      <c r="V102" s="6">
        <v>40.74</v>
      </c>
      <c r="W102" s="6">
        <v>42.73</v>
      </c>
      <c r="X102" s="6">
        <v>40.49</v>
      </c>
      <c r="Y102" s="6">
        <v>41.06</v>
      </c>
      <c r="Z102" s="6">
        <v>39.86</v>
      </c>
      <c r="AA102" s="6">
        <v>41.01</v>
      </c>
      <c r="AB102" s="6">
        <v>41.52</v>
      </c>
      <c r="AC102" s="6">
        <v>40.200000000000003</v>
      </c>
      <c r="AD102" s="6">
        <v>41.61</v>
      </c>
      <c r="AE102" s="6">
        <v>42.35</v>
      </c>
      <c r="AF102" s="6">
        <v>40.67</v>
      </c>
      <c r="AG102" s="6">
        <v>40.56</v>
      </c>
      <c r="AH102" s="6">
        <v>42.8</v>
      </c>
      <c r="AI102" s="6">
        <v>42.24</v>
      </c>
      <c r="AJ102" s="6">
        <v>40.229999999999997</v>
      </c>
      <c r="AK102" s="6">
        <v>41.7</v>
      </c>
      <c r="AL102" s="6">
        <v>40.630000000000003</v>
      </c>
      <c r="AM102" s="6">
        <v>41.42</v>
      </c>
      <c r="AN102" s="6">
        <v>43.23</v>
      </c>
      <c r="AO102" s="6">
        <v>41.1</v>
      </c>
      <c r="AP102" s="6">
        <v>40.9</v>
      </c>
      <c r="AQ102" s="6">
        <v>42.73</v>
      </c>
      <c r="AR102" s="6">
        <v>40.6</v>
      </c>
      <c r="AS102" s="6">
        <v>41.31</v>
      </c>
      <c r="AT102" s="6">
        <v>41.58</v>
      </c>
      <c r="AU102" s="6">
        <v>42.94</v>
      </c>
      <c r="AV102" s="6"/>
      <c r="AW102" s="6"/>
      <c r="AX102" s="6">
        <v>42.48</v>
      </c>
      <c r="AY102" s="6">
        <v>41.09</v>
      </c>
      <c r="AZ102" s="6">
        <v>42.09</v>
      </c>
      <c r="BA102" s="6">
        <v>44.42</v>
      </c>
      <c r="BB102" s="6">
        <v>42.15</v>
      </c>
      <c r="BC102" s="6">
        <v>41.44</v>
      </c>
      <c r="BD102" s="6">
        <v>41.64</v>
      </c>
      <c r="BE102" s="6">
        <v>41.16</v>
      </c>
      <c r="BF102" s="6">
        <v>42.69</v>
      </c>
      <c r="BG102" s="6">
        <v>41.15</v>
      </c>
      <c r="BH102" s="6">
        <v>41.16</v>
      </c>
      <c r="BI102" s="6">
        <v>40.78</v>
      </c>
      <c r="BJ102" s="7">
        <v>43.59</v>
      </c>
      <c r="BK102" s="7">
        <v>43.39</v>
      </c>
      <c r="BL102" s="7">
        <v>41.78</v>
      </c>
      <c r="BM102" s="7">
        <v>41.12</v>
      </c>
      <c r="BN102" s="10"/>
    </row>
    <row r="103" spans="1:66" ht="15.75" customHeight="1" x14ac:dyDescent="0.25">
      <c r="A103" s="4">
        <v>101</v>
      </c>
      <c r="B103" s="4"/>
      <c r="C103" s="4">
        <v>11</v>
      </c>
      <c r="D103" s="6"/>
      <c r="E103" s="6">
        <v>40.43</v>
      </c>
      <c r="F103" s="6">
        <v>40.5</v>
      </c>
      <c r="G103" s="6">
        <v>41.76</v>
      </c>
      <c r="H103" s="6">
        <v>39.909999999999997</v>
      </c>
      <c r="I103" s="6">
        <v>41.06</v>
      </c>
      <c r="J103" s="6">
        <v>41.43</v>
      </c>
      <c r="K103" s="6">
        <v>43.35</v>
      </c>
      <c r="L103" s="6">
        <v>42.2</v>
      </c>
      <c r="M103" s="6">
        <v>42.53</v>
      </c>
      <c r="N103" s="6">
        <v>40.58</v>
      </c>
      <c r="O103" s="6">
        <v>41.09</v>
      </c>
      <c r="P103" s="6">
        <v>41.64</v>
      </c>
      <c r="Q103" s="6">
        <v>43.76</v>
      </c>
      <c r="R103" s="6">
        <v>41.14</v>
      </c>
      <c r="S103" s="6">
        <v>42.16</v>
      </c>
      <c r="T103" s="6">
        <v>41.08</v>
      </c>
      <c r="U103" s="6">
        <v>40.74</v>
      </c>
      <c r="V103" s="6">
        <v>40.81</v>
      </c>
      <c r="W103" s="6">
        <v>42.94</v>
      </c>
      <c r="X103" s="6">
        <v>40.590000000000003</v>
      </c>
      <c r="Y103" s="6">
        <v>40.98</v>
      </c>
      <c r="Z103" s="6">
        <v>39.880000000000003</v>
      </c>
      <c r="AA103" s="6">
        <v>41.11</v>
      </c>
      <c r="AB103" s="6">
        <v>41.7</v>
      </c>
      <c r="AC103" s="6">
        <v>40.32</v>
      </c>
      <c r="AD103" s="6">
        <v>41.65</v>
      </c>
      <c r="AE103" s="6">
        <v>42.62</v>
      </c>
      <c r="AF103" s="6">
        <v>40.71</v>
      </c>
      <c r="AG103" s="6">
        <v>40.630000000000003</v>
      </c>
      <c r="AH103" s="6">
        <v>42.88</v>
      </c>
      <c r="AI103" s="6">
        <v>42.35</v>
      </c>
      <c r="AJ103" s="6">
        <v>40.24</v>
      </c>
      <c r="AK103" s="6">
        <v>41.74</v>
      </c>
      <c r="AL103" s="6">
        <v>40.729999999999997</v>
      </c>
      <c r="AM103" s="6">
        <v>41.6</v>
      </c>
      <c r="AN103" s="6">
        <v>43.44</v>
      </c>
      <c r="AO103" s="6">
        <v>41.26</v>
      </c>
      <c r="AP103" s="6">
        <v>40.99</v>
      </c>
      <c r="AQ103" s="6">
        <v>42.88</v>
      </c>
      <c r="AR103" s="6">
        <v>40.6</v>
      </c>
      <c r="AS103" s="6">
        <v>41.32</v>
      </c>
      <c r="AT103" s="6">
        <v>41.84</v>
      </c>
      <c r="AU103" s="6">
        <v>42.86</v>
      </c>
      <c r="AV103" s="6"/>
      <c r="AW103" s="6"/>
      <c r="AX103" s="6">
        <v>42.48</v>
      </c>
      <c r="AY103" s="6">
        <v>41.34</v>
      </c>
      <c r="AZ103" s="6">
        <v>42.13</v>
      </c>
      <c r="BA103" s="6">
        <v>44.59</v>
      </c>
      <c r="BB103" s="6">
        <v>42.09</v>
      </c>
      <c r="BC103" s="6">
        <v>41.51</v>
      </c>
      <c r="BD103" s="6">
        <v>41.64</v>
      </c>
      <c r="BE103" s="6">
        <v>41.3</v>
      </c>
      <c r="BF103" s="6">
        <v>42.59</v>
      </c>
      <c r="BG103" s="6">
        <v>41.26</v>
      </c>
      <c r="BH103" s="6">
        <v>41.13</v>
      </c>
      <c r="BI103" s="6">
        <v>40.880000000000003</v>
      </c>
      <c r="BJ103" s="7">
        <v>43.79</v>
      </c>
      <c r="BK103" s="7">
        <v>43.35</v>
      </c>
      <c r="BL103" s="7">
        <v>41.8</v>
      </c>
      <c r="BM103" s="7">
        <v>41.21</v>
      </c>
      <c r="BN103" s="10"/>
    </row>
    <row r="104" spans="1:66" ht="15.75" customHeight="1" x14ac:dyDescent="0.25">
      <c r="A104" s="4">
        <v>102</v>
      </c>
      <c r="B104" s="4"/>
      <c r="C104" s="4">
        <v>12</v>
      </c>
      <c r="D104" s="6"/>
      <c r="E104" s="6">
        <v>40.5</v>
      </c>
      <c r="F104" s="6">
        <v>40.56</v>
      </c>
      <c r="G104" s="6">
        <v>41.71</v>
      </c>
      <c r="H104" s="6">
        <v>40.06</v>
      </c>
      <c r="I104" s="6">
        <v>41.26</v>
      </c>
      <c r="J104" s="6">
        <v>41.56</v>
      </c>
      <c r="K104" s="6">
        <v>43.56</v>
      </c>
      <c r="L104" s="6">
        <v>42.07</v>
      </c>
      <c r="M104" s="6">
        <v>42.47</v>
      </c>
      <c r="N104" s="6">
        <v>40.68</v>
      </c>
      <c r="O104" s="6">
        <v>41.16</v>
      </c>
      <c r="P104" s="6">
        <v>41.61</v>
      </c>
      <c r="Q104" s="6">
        <v>43.86</v>
      </c>
      <c r="R104" s="6">
        <v>41.21</v>
      </c>
      <c r="S104" s="6">
        <v>42.41</v>
      </c>
      <c r="T104" s="6">
        <v>41.31</v>
      </c>
      <c r="U104" s="6">
        <v>40.68</v>
      </c>
      <c r="V104" s="6">
        <v>40.880000000000003</v>
      </c>
      <c r="W104" s="6">
        <v>43.14</v>
      </c>
      <c r="X104" s="6">
        <v>40.72</v>
      </c>
      <c r="Y104" s="6">
        <v>41.12</v>
      </c>
      <c r="Z104" s="6">
        <v>39.9</v>
      </c>
      <c r="AA104" s="6">
        <v>41.34</v>
      </c>
      <c r="AB104" s="6">
        <v>41.77</v>
      </c>
      <c r="AC104" s="6">
        <v>40.380000000000003</v>
      </c>
      <c r="AD104" s="6">
        <v>41.68</v>
      </c>
      <c r="AE104" s="6">
        <v>42.5</v>
      </c>
      <c r="AF104" s="6">
        <v>40.79</v>
      </c>
      <c r="AG104" s="6">
        <v>40.71</v>
      </c>
      <c r="AH104" s="6">
        <v>42.96</v>
      </c>
      <c r="AI104" s="6">
        <v>42.46</v>
      </c>
      <c r="AJ104" s="6">
        <v>40.229999999999997</v>
      </c>
      <c r="AK104" s="6">
        <v>41.8</v>
      </c>
      <c r="AL104" s="6">
        <v>40.82</v>
      </c>
      <c r="AM104" s="6">
        <v>41.77</v>
      </c>
      <c r="AN104" s="6">
        <v>43.62</v>
      </c>
      <c r="AO104" s="6">
        <v>41.42</v>
      </c>
      <c r="AP104" s="6">
        <v>41.06</v>
      </c>
      <c r="AQ104" s="6">
        <v>43</v>
      </c>
      <c r="AR104" s="6">
        <v>40.65</v>
      </c>
      <c r="AS104" s="6">
        <v>41.35</v>
      </c>
      <c r="AT104" s="6">
        <v>42.12</v>
      </c>
      <c r="AU104" s="6">
        <v>42.8</v>
      </c>
      <c r="AV104" s="6"/>
      <c r="AW104" s="6"/>
      <c r="AX104" s="6">
        <v>42.47</v>
      </c>
      <c r="AY104" s="6">
        <v>41.65</v>
      </c>
      <c r="AZ104" s="6">
        <v>42.19</v>
      </c>
      <c r="BA104" s="6">
        <v>44.72</v>
      </c>
      <c r="BB104" s="6">
        <v>42.02</v>
      </c>
      <c r="BC104" s="6">
        <v>41.61</v>
      </c>
      <c r="BD104" s="6">
        <v>41.64</v>
      </c>
      <c r="BE104" s="6">
        <v>41.45</v>
      </c>
      <c r="BF104" s="6">
        <v>42.49</v>
      </c>
      <c r="BG104" s="6">
        <v>41.39</v>
      </c>
      <c r="BH104" s="6">
        <v>41.08</v>
      </c>
      <c r="BI104" s="6">
        <v>41</v>
      </c>
      <c r="BJ104" s="7">
        <v>44</v>
      </c>
      <c r="BK104" s="7">
        <v>43.33</v>
      </c>
      <c r="BL104" s="7">
        <v>41.81</v>
      </c>
      <c r="BM104" s="7">
        <v>41.3</v>
      </c>
      <c r="BN104" s="10"/>
    </row>
    <row r="105" spans="1:66" ht="15.75" customHeight="1" x14ac:dyDescent="0.25">
      <c r="A105" s="4">
        <v>103</v>
      </c>
      <c r="B105" s="4"/>
      <c r="C105" s="4">
        <v>13</v>
      </c>
      <c r="D105" s="6"/>
      <c r="E105" s="6">
        <v>40.58</v>
      </c>
      <c r="F105" s="6">
        <v>40.590000000000003</v>
      </c>
      <c r="G105" s="6">
        <v>41.71</v>
      </c>
      <c r="H105" s="6">
        <v>40.119999999999997</v>
      </c>
      <c r="I105" s="6">
        <v>41.56</v>
      </c>
      <c r="J105" s="6">
        <v>41.66</v>
      </c>
      <c r="K105" s="6">
        <v>43.82</v>
      </c>
      <c r="L105" s="6">
        <v>41.98</v>
      </c>
      <c r="M105" s="6">
        <v>42.56</v>
      </c>
      <c r="N105" s="6">
        <v>40.72</v>
      </c>
      <c r="O105" s="6">
        <v>41.23</v>
      </c>
      <c r="P105" s="6">
        <v>41.6</v>
      </c>
      <c r="Q105" s="6">
        <v>43.91</v>
      </c>
      <c r="R105" s="6">
        <v>41.27</v>
      </c>
      <c r="S105" s="6">
        <v>42.6</v>
      </c>
      <c r="T105" s="6">
        <v>41.26</v>
      </c>
      <c r="U105" s="6">
        <v>40.64</v>
      </c>
      <c r="V105" s="6">
        <v>40.98</v>
      </c>
      <c r="W105" s="6">
        <v>43.31</v>
      </c>
      <c r="X105" s="6">
        <v>40.94</v>
      </c>
      <c r="Y105" s="6">
        <v>41.21</v>
      </c>
      <c r="Z105" s="6">
        <v>39.92</v>
      </c>
      <c r="AA105" s="6">
        <v>41.52</v>
      </c>
      <c r="AB105" s="6">
        <v>41.85</v>
      </c>
      <c r="AC105" s="6">
        <v>40.46</v>
      </c>
      <c r="AD105" s="6">
        <v>41.69</v>
      </c>
      <c r="AE105" s="6">
        <v>42.49</v>
      </c>
      <c r="AF105" s="6">
        <v>40.909999999999997</v>
      </c>
      <c r="AG105" s="6">
        <v>40.74</v>
      </c>
      <c r="AH105" s="6">
        <v>43.03</v>
      </c>
      <c r="AI105" s="6">
        <v>42.52</v>
      </c>
      <c r="AJ105" s="6">
        <v>40.229999999999997</v>
      </c>
      <c r="AK105" s="6">
        <v>41.86</v>
      </c>
      <c r="AL105" s="6">
        <v>40.94</v>
      </c>
      <c r="AM105" s="6">
        <v>41.94</v>
      </c>
      <c r="AN105" s="6">
        <v>43.85</v>
      </c>
      <c r="AO105" s="6">
        <v>41.64</v>
      </c>
      <c r="AP105" s="6">
        <v>41.1</v>
      </c>
      <c r="AQ105" s="6">
        <v>43.07</v>
      </c>
      <c r="AR105" s="6">
        <v>40.72</v>
      </c>
      <c r="AS105" s="6">
        <v>41.38</v>
      </c>
      <c r="AT105" s="6">
        <v>42.48</v>
      </c>
      <c r="AU105" s="6">
        <v>42.78</v>
      </c>
      <c r="AV105" s="6"/>
      <c r="AW105" s="6"/>
      <c r="AX105" s="6">
        <v>42.47</v>
      </c>
      <c r="AY105" s="6">
        <v>42.03</v>
      </c>
      <c r="AZ105" s="6">
        <v>42.24</v>
      </c>
      <c r="BA105" s="6">
        <v>45.02</v>
      </c>
      <c r="BB105" s="6">
        <v>41.95</v>
      </c>
      <c r="BC105" s="6">
        <v>41.58</v>
      </c>
      <c r="BD105" s="6">
        <v>41.66</v>
      </c>
      <c r="BE105" s="6">
        <v>41.6</v>
      </c>
      <c r="BF105" s="6">
        <v>42.42</v>
      </c>
      <c r="BG105" s="6">
        <v>41.54</v>
      </c>
      <c r="BH105" s="6">
        <v>41.05</v>
      </c>
      <c r="BI105" s="6">
        <v>41.1</v>
      </c>
      <c r="BJ105" s="7">
        <v>44.17</v>
      </c>
      <c r="BK105" s="7">
        <v>43.32</v>
      </c>
      <c r="BL105" s="7">
        <v>41.85</v>
      </c>
      <c r="BM105" s="7">
        <v>41.41</v>
      </c>
      <c r="BN105" s="10"/>
    </row>
    <row r="106" spans="1:66" ht="15.75" customHeight="1" x14ac:dyDescent="0.25">
      <c r="A106" s="4">
        <v>104</v>
      </c>
      <c r="B106" s="4"/>
      <c r="C106" s="4">
        <v>14</v>
      </c>
      <c r="D106" s="6"/>
      <c r="E106" s="6">
        <v>40.659999999999997</v>
      </c>
      <c r="F106" s="6">
        <v>40.65</v>
      </c>
      <c r="G106" s="6">
        <v>41.67</v>
      </c>
      <c r="H106" s="6">
        <v>40.21</v>
      </c>
      <c r="I106" s="6">
        <v>41.76</v>
      </c>
      <c r="J106" s="6">
        <v>41.86</v>
      </c>
      <c r="K106" s="6">
        <v>44.03</v>
      </c>
      <c r="L106" s="6">
        <v>41.9</v>
      </c>
      <c r="M106" s="6">
        <v>42.66</v>
      </c>
      <c r="N106" s="6">
        <v>40.78</v>
      </c>
      <c r="O106" s="6">
        <v>41.32</v>
      </c>
      <c r="P106" s="6">
        <v>41.53</v>
      </c>
      <c r="Q106" s="6">
        <v>43.94</v>
      </c>
      <c r="R106" s="6">
        <v>41.35</v>
      </c>
      <c r="S106" s="6">
        <v>42.8</v>
      </c>
      <c r="T106" s="6">
        <v>41.86</v>
      </c>
      <c r="U106" s="6">
        <v>40.619999999999997</v>
      </c>
      <c r="V106" s="6">
        <v>41.16</v>
      </c>
      <c r="W106" s="6">
        <v>43.43</v>
      </c>
      <c r="X106" s="6">
        <v>41.07</v>
      </c>
      <c r="Y106" s="6">
        <v>41.38</v>
      </c>
      <c r="Z106" s="6">
        <v>39.92</v>
      </c>
      <c r="AA106" s="6">
        <v>41.71</v>
      </c>
      <c r="AB106" s="6">
        <v>41.98</v>
      </c>
      <c r="AC106" s="6">
        <v>40.53</v>
      </c>
      <c r="AD106" s="6">
        <v>41.72</v>
      </c>
      <c r="AE106" s="6">
        <v>42.47</v>
      </c>
      <c r="AF106" s="6">
        <v>41.06</v>
      </c>
      <c r="AG106" s="6">
        <v>40.81</v>
      </c>
      <c r="AH106" s="6">
        <v>43.08</v>
      </c>
      <c r="AI106" s="6">
        <v>42.61</v>
      </c>
      <c r="AJ106" s="6">
        <v>40.25</v>
      </c>
      <c r="AK106" s="6">
        <v>41.9</v>
      </c>
      <c r="AL106" s="6">
        <v>41.11</v>
      </c>
      <c r="AM106" s="6">
        <v>42.08</v>
      </c>
      <c r="AN106" s="6">
        <v>44.07</v>
      </c>
      <c r="AO106" s="6">
        <v>41.92</v>
      </c>
      <c r="AP106" s="6">
        <v>41.15</v>
      </c>
      <c r="AQ106" s="6">
        <v>43.12</v>
      </c>
      <c r="AR106" s="6">
        <v>40.86</v>
      </c>
      <c r="AS106" s="6">
        <v>41.4</v>
      </c>
      <c r="AT106" s="6">
        <v>42.83</v>
      </c>
      <c r="AU106" s="6">
        <v>42.72</v>
      </c>
      <c r="AV106" s="6"/>
      <c r="AW106" s="6"/>
      <c r="AX106" s="6">
        <v>42.49</v>
      </c>
      <c r="AY106" s="6">
        <v>42.42</v>
      </c>
      <c r="AZ106" s="6">
        <v>42.4</v>
      </c>
      <c r="BA106" s="6">
        <v>45.25</v>
      </c>
      <c r="BB106" s="6">
        <v>41.89</v>
      </c>
      <c r="BC106" s="6">
        <v>41.61</v>
      </c>
      <c r="BD106" s="6">
        <v>41.69</v>
      </c>
      <c r="BE106" s="6">
        <v>41.73</v>
      </c>
      <c r="BF106" s="6">
        <v>42.4</v>
      </c>
      <c r="BG106" s="6">
        <v>41.69</v>
      </c>
      <c r="BH106" s="6">
        <v>41.03</v>
      </c>
      <c r="BI106" s="6">
        <v>41.2</v>
      </c>
      <c r="BJ106" s="7">
        <v>44.4</v>
      </c>
      <c r="BK106" s="7">
        <v>43.31</v>
      </c>
      <c r="BL106" s="7">
        <v>41.86</v>
      </c>
      <c r="BM106" s="7">
        <v>41.44</v>
      </c>
      <c r="BN106" s="10"/>
    </row>
    <row r="107" spans="1:66" ht="15.75" customHeight="1" x14ac:dyDescent="0.25">
      <c r="A107" s="4">
        <v>105</v>
      </c>
      <c r="B107" s="4"/>
      <c r="C107" s="4">
        <v>15</v>
      </c>
      <c r="D107" s="6"/>
      <c r="E107" s="6">
        <v>40.74</v>
      </c>
      <c r="F107" s="6">
        <v>40.72</v>
      </c>
      <c r="G107" s="6">
        <v>41.66</v>
      </c>
      <c r="H107" s="6">
        <v>40.340000000000003</v>
      </c>
      <c r="I107" s="6">
        <v>42.06</v>
      </c>
      <c r="J107" s="6">
        <v>42.06</v>
      </c>
      <c r="K107" s="6">
        <v>44.18</v>
      </c>
      <c r="L107" s="6">
        <v>41.97</v>
      </c>
      <c r="M107" s="6">
        <v>42.72</v>
      </c>
      <c r="N107" s="6">
        <v>40.840000000000003</v>
      </c>
      <c r="O107" s="6">
        <v>41.46</v>
      </c>
      <c r="P107" s="6">
        <v>41.48</v>
      </c>
      <c r="Q107" s="6">
        <v>43.94</v>
      </c>
      <c r="R107" s="6">
        <v>41.44</v>
      </c>
      <c r="S107" s="6">
        <v>42.99</v>
      </c>
      <c r="T107" s="6">
        <v>42.16</v>
      </c>
      <c r="U107" s="6">
        <v>40.619999999999997</v>
      </c>
      <c r="V107" s="6">
        <v>41.32</v>
      </c>
      <c r="W107" s="6">
        <v>43.54</v>
      </c>
      <c r="X107" s="6">
        <v>41.19</v>
      </c>
      <c r="Y107" s="6">
        <v>41.52</v>
      </c>
      <c r="Z107" s="6">
        <v>39.9</v>
      </c>
      <c r="AA107" s="6">
        <v>41.88</v>
      </c>
      <c r="AB107" s="6">
        <v>42.02</v>
      </c>
      <c r="AC107" s="6">
        <v>40.56</v>
      </c>
      <c r="AD107" s="6">
        <v>41.69</v>
      </c>
      <c r="AE107" s="6">
        <v>42.46</v>
      </c>
      <c r="AF107" s="6">
        <v>41.19</v>
      </c>
      <c r="AG107" s="6">
        <v>40.92</v>
      </c>
      <c r="AH107" s="6">
        <v>43.16</v>
      </c>
      <c r="AI107" s="6">
        <v>42.61</v>
      </c>
      <c r="AJ107" s="6">
        <v>40.29</v>
      </c>
      <c r="AK107" s="6">
        <v>41.92</v>
      </c>
      <c r="AL107" s="6">
        <v>41.35</v>
      </c>
      <c r="AM107" s="6">
        <v>42.25</v>
      </c>
      <c r="AN107" s="6">
        <v>44.32</v>
      </c>
      <c r="AO107" s="6">
        <v>42.42</v>
      </c>
      <c r="AP107" s="6">
        <v>41.15</v>
      </c>
      <c r="AQ107" s="6">
        <v>43.14</v>
      </c>
      <c r="AR107" s="6">
        <v>40.98</v>
      </c>
      <c r="AS107" s="6">
        <v>41.5</v>
      </c>
      <c r="AT107" s="6">
        <v>43.22</v>
      </c>
      <c r="AU107" s="6">
        <v>42.66</v>
      </c>
      <c r="AV107" s="6"/>
      <c r="AW107" s="6"/>
      <c r="AX107" s="6">
        <v>42.53</v>
      </c>
      <c r="AY107" s="6">
        <v>42.75</v>
      </c>
      <c r="AZ107" s="6">
        <v>42.58</v>
      </c>
      <c r="BA107" s="6">
        <v>45.48</v>
      </c>
      <c r="BB107" s="6">
        <v>41.86</v>
      </c>
      <c r="BC107" s="6">
        <v>41.57</v>
      </c>
      <c r="BD107" s="6">
        <v>41.76</v>
      </c>
      <c r="BE107" s="6">
        <v>41.89</v>
      </c>
      <c r="BF107" s="6">
        <v>42.44</v>
      </c>
      <c r="BG107" s="6">
        <v>41.83</v>
      </c>
      <c r="BH107" s="6">
        <v>41.05</v>
      </c>
      <c r="BI107" s="6">
        <v>41.3</v>
      </c>
      <c r="BJ107" s="7">
        <v>44.69</v>
      </c>
      <c r="BK107" s="7">
        <v>43.3</v>
      </c>
      <c r="BL107" s="7">
        <v>41.87</v>
      </c>
      <c r="BM107" s="7">
        <v>41.47</v>
      </c>
      <c r="BN107" s="10"/>
    </row>
    <row r="108" spans="1:66" ht="15.75" customHeight="1" x14ac:dyDescent="0.25">
      <c r="A108" s="4">
        <v>106</v>
      </c>
      <c r="B108" s="4"/>
      <c r="C108" s="4">
        <v>16</v>
      </c>
      <c r="D108" s="6"/>
      <c r="E108" s="6">
        <v>40.81</v>
      </c>
      <c r="F108" s="6">
        <v>40.75</v>
      </c>
      <c r="G108" s="6">
        <v>41.56</v>
      </c>
      <c r="H108" s="6">
        <v>40.46</v>
      </c>
      <c r="I108" s="6">
        <v>42.96</v>
      </c>
      <c r="J108" s="6">
        <v>42.28</v>
      </c>
      <c r="K108" s="6">
        <v>44.35</v>
      </c>
      <c r="L108" s="6">
        <v>42.02</v>
      </c>
      <c r="M108" s="6">
        <v>42.82</v>
      </c>
      <c r="N108" s="6">
        <v>40.89</v>
      </c>
      <c r="O108" s="6">
        <v>41.58</v>
      </c>
      <c r="P108" s="6">
        <v>41.46</v>
      </c>
      <c r="Q108" s="6">
        <v>43.94</v>
      </c>
      <c r="R108" s="6">
        <v>41.47</v>
      </c>
      <c r="S108" s="6">
        <v>43.17</v>
      </c>
      <c r="T108" s="6">
        <v>42.46</v>
      </c>
      <c r="U108" s="6">
        <v>40.630000000000003</v>
      </c>
      <c r="V108" s="6">
        <v>41.56</v>
      </c>
      <c r="W108" s="6">
        <v>43.63</v>
      </c>
      <c r="X108" s="6">
        <v>41.3</v>
      </c>
      <c r="Y108" s="6">
        <v>41.58</v>
      </c>
      <c r="Z108" s="6">
        <v>39.89</v>
      </c>
      <c r="AA108" s="6">
        <v>42</v>
      </c>
      <c r="AB108" s="6">
        <v>42.07</v>
      </c>
      <c r="AC108" s="6">
        <v>40.61</v>
      </c>
      <c r="AD108" s="6">
        <v>41.66</v>
      </c>
      <c r="AE108" s="6">
        <v>42.45</v>
      </c>
      <c r="AF108" s="6">
        <v>41.35</v>
      </c>
      <c r="AG108" s="6">
        <v>40.92</v>
      </c>
      <c r="AH108" s="6">
        <v>43.28</v>
      </c>
      <c r="AI108" s="6">
        <v>42.61</v>
      </c>
      <c r="AJ108" s="6">
        <v>40.299999999999997</v>
      </c>
      <c r="AK108" s="6">
        <v>41.92</v>
      </c>
      <c r="AL108" s="6">
        <v>41.64</v>
      </c>
      <c r="AM108" s="6">
        <v>42.45</v>
      </c>
      <c r="AN108" s="6">
        <v>44.58</v>
      </c>
      <c r="AO108" s="6">
        <v>42.44</v>
      </c>
      <c r="AP108" s="6">
        <v>41.2</v>
      </c>
      <c r="AQ108" s="6">
        <v>43.15</v>
      </c>
      <c r="AR108" s="6">
        <v>41.1</v>
      </c>
      <c r="AS108" s="6">
        <v>41.55</v>
      </c>
      <c r="AT108" s="6">
        <v>43.53</v>
      </c>
      <c r="AU108" s="6">
        <v>42.57</v>
      </c>
      <c r="AV108" s="6"/>
      <c r="AW108" s="6"/>
      <c r="AX108" s="6">
        <v>42.54</v>
      </c>
      <c r="AY108" s="6">
        <v>43</v>
      </c>
      <c r="AZ108" s="6">
        <v>42.7</v>
      </c>
      <c r="BA108" s="6">
        <v>45.65</v>
      </c>
      <c r="BB108" s="6">
        <v>41.87</v>
      </c>
      <c r="BC108" s="6">
        <v>41.55</v>
      </c>
      <c r="BD108" s="6">
        <v>41.85</v>
      </c>
      <c r="BE108" s="6">
        <v>41.98</v>
      </c>
      <c r="BF108" s="6">
        <v>42.5</v>
      </c>
      <c r="BG108" s="6">
        <v>41.96</v>
      </c>
      <c r="BH108" s="6">
        <v>41.08</v>
      </c>
      <c r="BI108" s="6">
        <v>41.4</v>
      </c>
      <c r="BJ108" s="7">
        <v>44.94</v>
      </c>
      <c r="BK108" s="7">
        <v>43.3</v>
      </c>
      <c r="BL108" s="7">
        <v>41.9</v>
      </c>
      <c r="BM108" s="7">
        <v>41.47</v>
      </c>
      <c r="BN108" s="10"/>
    </row>
    <row r="109" spans="1:66" ht="15.75" customHeight="1" x14ac:dyDescent="0.25">
      <c r="A109" s="4">
        <v>107</v>
      </c>
      <c r="B109" s="4"/>
      <c r="C109" s="4">
        <v>17</v>
      </c>
      <c r="D109" s="6"/>
      <c r="E109" s="6">
        <v>40.89</v>
      </c>
      <c r="F109" s="6">
        <v>40.82</v>
      </c>
      <c r="G109" s="6">
        <v>41.56</v>
      </c>
      <c r="H109" s="6">
        <v>40.56</v>
      </c>
      <c r="I109" s="6">
        <v>43.11</v>
      </c>
      <c r="J109" s="6">
        <v>42.56</v>
      </c>
      <c r="K109" s="6">
        <v>44.5</v>
      </c>
      <c r="L109" s="6">
        <v>42.09</v>
      </c>
      <c r="M109" s="6">
        <v>42.98</v>
      </c>
      <c r="N109" s="6">
        <v>40.93</v>
      </c>
      <c r="O109" s="6">
        <v>41.71</v>
      </c>
      <c r="P109" s="6">
        <v>41.42</v>
      </c>
      <c r="Q109" s="6">
        <v>43.94</v>
      </c>
      <c r="R109" s="6">
        <v>41.52</v>
      </c>
      <c r="S109" s="6">
        <v>43.32</v>
      </c>
      <c r="T109" s="6">
        <v>42.69</v>
      </c>
      <c r="U109" s="6">
        <v>40.659999999999997</v>
      </c>
      <c r="V109" s="6">
        <v>41.83</v>
      </c>
      <c r="W109" s="6">
        <v>43.64</v>
      </c>
      <c r="X109" s="6">
        <v>41.44</v>
      </c>
      <c r="Y109" s="6">
        <v>41.67</v>
      </c>
      <c r="Z109" s="6">
        <v>39.89</v>
      </c>
      <c r="AA109" s="6">
        <v>42.02</v>
      </c>
      <c r="AB109" s="6">
        <v>42.15</v>
      </c>
      <c r="AC109" s="6">
        <v>40.65</v>
      </c>
      <c r="AD109" s="6">
        <v>41.64</v>
      </c>
      <c r="AE109" s="6">
        <v>42.48</v>
      </c>
      <c r="AF109" s="6">
        <v>41.47</v>
      </c>
      <c r="AG109" s="6">
        <v>40.93</v>
      </c>
      <c r="AH109" s="6">
        <v>43.39</v>
      </c>
      <c r="AI109" s="6">
        <v>42.61</v>
      </c>
      <c r="AJ109" s="6">
        <v>40.369999999999997</v>
      </c>
      <c r="AK109" s="6">
        <v>41.89</v>
      </c>
      <c r="AL109" s="6">
        <v>41.85</v>
      </c>
      <c r="AM109" s="6">
        <v>42.64</v>
      </c>
      <c r="AN109" s="6">
        <v>44.86</v>
      </c>
      <c r="AO109" s="6">
        <v>42.66</v>
      </c>
      <c r="AP109" s="6">
        <v>41.32</v>
      </c>
      <c r="AQ109" s="6">
        <v>43.13</v>
      </c>
      <c r="AR109" s="6">
        <v>41.12</v>
      </c>
      <c r="AS109" s="6">
        <v>41.63</v>
      </c>
      <c r="AT109" s="6">
        <v>43.84</v>
      </c>
      <c r="AU109" s="6">
        <v>42.52</v>
      </c>
      <c r="AV109" s="6"/>
      <c r="AW109" s="6"/>
      <c r="AX109" s="6">
        <v>42.54</v>
      </c>
      <c r="AY109" s="6">
        <v>43.38</v>
      </c>
      <c r="AZ109" s="6">
        <v>42.82</v>
      </c>
      <c r="BA109" s="6">
        <v>45.82</v>
      </c>
      <c r="BB109" s="6">
        <v>41.92</v>
      </c>
      <c r="BC109" s="6">
        <v>41.52</v>
      </c>
      <c r="BD109" s="6">
        <v>41.94</v>
      </c>
      <c r="BE109" s="6">
        <v>42.1</v>
      </c>
      <c r="BF109" s="6">
        <v>42.56</v>
      </c>
      <c r="BG109" s="6">
        <v>42.05</v>
      </c>
      <c r="BH109" s="6">
        <v>41.14</v>
      </c>
      <c r="BI109" s="6">
        <v>41.44</v>
      </c>
      <c r="BJ109" s="7">
        <v>45.15</v>
      </c>
      <c r="BK109" s="7">
        <v>43.31</v>
      </c>
      <c r="BL109" s="7">
        <v>41.95</v>
      </c>
      <c r="BM109" s="7">
        <v>41.45</v>
      </c>
      <c r="BN109" s="10"/>
    </row>
    <row r="110" spans="1:66" ht="15.75" customHeight="1" x14ac:dyDescent="0.25">
      <c r="A110" s="4">
        <v>108</v>
      </c>
      <c r="B110" s="4"/>
      <c r="C110" s="4">
        <v>18</v>
      </c>
      <c r="D110" s="6"/>
      <c r="E110" s="6">
        <v>41.01</v>
      </c>
      <c r="F110" s="6">
        <v>40.840000000000003</v>
      </c>
      <c r="G110" s="6">
        <v>41.54</v>
      </c>
      <c r="H110" s="6">
        <v>40.659999999999997</v>
      </c>
      <c r="I110" s="6">
        <v>43.21</v>
      </c>
      <c r="J110" s="6">
        <v>42.74</v>
      </c>
      <c r="K110" s="6">
        <v>44.61</v>
      </c>
      <c r="L110" s="6">
        <v>42.16</v>
      </c>
      <c r="M110" s="6">
        <v>43.11</v>
      </c>
      <c r="N110" s="6">
        <v>40.96</v>
      </c>
      <c r="O110" s="6">
        <v>41.86</v>
      </c>
      <c r="P110" s="6">
        <v>41.34</v>
      </c>
      <c r="Q110" s="6">
        <v>43.94</v>
      </c>
      <c r="R110" s="6">
        <v>41.52</v>
      </c>
      <c r="S110" s="6">
        <v>43.48</v>
      </c>
      <c r="T110" s="6">
        <v>42.93</v>
      </c>
      <c r="U110" s="6">
        <v>40.659999999999997</v>
      </c>
      <c r="V110" s="6">
        <v>42.04</v>
      </c>
      <c r="W110" s="6">
        <v>43.66</v>
      </c>
      <c r="X110" s="6">
        <v>41.6</v>
      </c>
      <c r="Y110" s="6">
        <v>41.76</v>
      </c>
      <c r="Z110" s="6">
        <v>39.85</v>
      </c>
      <c r="AA110" s="6">
        <v>42.12</v>
      </c>
      <c r="AB110" s="6">
        <v>42.27</v>
      </c>
      <c r="AC110" s="6">
        <v>40.71</v>
      </c>
      <c r="AD110" s="6">
        <v>41.59</v>
      </c>
      <c r="AE110" s="6">
        <v>42.51</v>
      </c>
      <c r="AF110" s="6">
        <v>41.61</v>
      </c>
      <c r="AG110" s="6">
        <v>40.92</v>
      </c>
      <c r="AH110" s="6">
        <v>43.56</v>
      </c>
      <c r="AI110" s="6">
        <v>42.66</v>
      </c>
      <c r="AJ110" s="6">
        <v>40.450000000000003</v>
      </c>
      <c r="AK110" s="6">
        <v>41.85</v>
      </c>
      <c r="AL110" s="6">
        <v>41.98</v>
      </c>
      <c r="AM110" s="6">
        <v>42.8</v>
      </c>
      <c r="AN110" s="6">
        <v>45.07</v>
      </c>
      <c r="AO110" s="6">
        <v>42.69</v>
      </c>
      <c r="AP110" s="6">
        <v>41.43</v>
      </c>
      <c r="AQ110" s="6">
        <v>43.11</v>
      </c>
      <c r="AR110" s="6">
        <v>41.39</v>
      </c>
      <c r="AS110" s="6">
        <v>41.72</v>
      </c>
      <c r="AT110" s="6">
        <v>44.09</v>
      </c>
      <c r="AU110" s="6">
        <v>42.5</v>
      </c>
      <c r="AV110" s="6"/>
      <c r="AW110" s="6"/>
      <c r="AX110" s="6">
        <v>42.64</v>
      </c>
      <c r="AY110" s="6">
        <v>43.64</v>
      </c>
      <c r="AZ110" s="6">
        <v>42.93</v>
      </c>
      <c r="BA110" s="6">
        <v>45.97</v>
      </c>
      <c r="BB110" s="6">
        <v>42.06</v>
      </c>
      <c r="BC110" s="6">
        <v>41.53</v>
      </c>
      <c r="BD110" s="6">
        <v>42.06</v>
      </c>
      <c r="BE110" s="6">
        <v>42.22</v>
      </c>
      <c r="BF110" s="6">
        <v>42.67</v>
      </c>
      <c r="BG110" s="6">
        <v>42.15</v>
      </c>
      <c r="BH110" s="6">
        <v>41.19</v>
      </c>
      <c r="BI110" s="6">
        <v>41.47</v>
      </c>
      <c r="BJ110" s="7">
        <v>45.33</v>
      </c>
      <c r="BK110" s="7">
        <v>43.31</v>
      </c>
      <c r="BL110" s="7">
        <v>42</v>
      </c>
      <c r="BM110" s="7">
        <v>41.45</v>
      </c>
      <c r="BN110" s="10"/>
    </row>
    <row r="111" spans="1:66" ht="15.75" customHeight="1" x14ac:dyDescent="0.25">
      <c r="A111" s="4">
        <v>109</v>
      </c>
      <c r="B111" s="4"/>
      <c r="C111" s="4">
        <v>19</v>
      </c>
      <c r="D111" s="6"/>
      <c r="E111" s="6">
        <v>41.19</v>
      </c>
      <c r="F111" s="6">
        <v>40.880000000000003</v>
      </c>
      <c r="G111" s="6">
        <v>41.56</v>
      </c>
      <c r="H111" s="6">
        <v>40.75</v>
      </c>
      <c r="I111" s="6">
        <v>43.28</v>
      </c>
      <c r="J111" s="6">
        <v>42.84</v>
      </c>
      <c r="K111" s="6">
        <v>44.67</v>
      </c>
      <c r="L111" s="6">
        <v>42.27</v>
      </c>
      <c r="M111" s="6">
        <v>43.28</v>
      </c>
      <c r="N111" s="6">
        <v>40.96</v>
      </c>
      <c r="O111" s="6">
        <v>41.92</v>
      </c>
      <c r="P111" s="6">
        <v>41.29</v>
      </c>
      <c r="Q111" s="6">
        <v>44.01</v>
      </c>
      <c r="R111" s="6">
        <v>41.52</v>
      </c>
      <c r="S111" s="6">
        <v>43.65</v>
      </c>
      <c r="T111" s="6">
        <v>43.17</v>
      </c>
      <c r="U111" s="6">
        <v>40.659999999999997</v>
      </c>
      <c r="V111" s="6">
        <v>42.3</v>
      </c>
      <c r="W111" s="6">
        <v>43.65</v>
      </c>
      <c r="X111" s="6">
        <v>41.82</v>
      </c>
      <c r="Y111" s="6">
        <v>41.84</v>
      </c>
      <c r="Z111" s="6">
        <v>39.83</v>
      </c>
      <c r="AA111" s="6">
        <v>42.13</v>
      </c>
      <c r="AB111" s="6">
        <v>42.42</v>
      </c>
      <c r="AC111" s="6">
        <v>40.76</v>
      </c>
      <c r="AD111" s="6">
        <v>41.55</v>
      </c>
      <c r="AE111" s="6">
        <v>42.58</v>
      </c>
      <c r="AF111" s="6">
        <v>41.73</v>
      </c>
      <c r="AG111" s="6">
        <v>40.9</v>
      </c>
      <c r="AH111" s="6">
        <v>43.63</v>
      </c>
      <c r="AI111" s="6">
        <v>42.7</v>
      </c>
      <c r="AJ111" s="6">
        <v>40.56</v>
      </c>
      <c r="AK111" s="6">
        <v>41.82</v>
      </c>
      <c r="AL111" s="6">
        <v>42.06</v>
      </c>
      <c r="AM111" s="6">
        <v>42.94</v>
      </c>
      <c r="AN111" s="6">
        <v>45.18</v>
      </c>
      <c r="AO111" s="6">
        <v>42.92</v>
      </c>
      <c r="AP111" s="6">
        <v>41.53</v>
      </c>
      <c r="AQ111" s="6">
        <v>43.12</v>
      </c>
      <c r="AR111" s="6">
        <v>41.56</v>
      </c>
      <c r="AS111" s="6">
        <v>41.84</v>
      </c>
      <c r="AT111" s="6">
        <v>44.36</v>
      </c>
      <c r="AU111" s="6">
        <v>42.53</v>
      </c>
      <c r="AV111" s="6"/>
      <c r="AW111" s="6"/>
      <c r="AX111" s="6">
        <v>42.55</v>
      </c>
      <c r="AY111" s="6">
        <v>43.86</v>
      </c>
      <c r="AZ111" s="6">
        <v>43.1</v>
      </c>
      <c r="BA111" s="6">
        <v>46.12</v>
      </c>
      <c r="BB111" s="6">
        <v>42.31</v>
      </c>
      <c r="BC111" s="6">
        <v>41.64</v>
      </c>
      <c r="BD111" s="6">
        <v>42.21</v>
      </c>
      <c r="BE111" s="6">
        <v>42.31</v>
      </c>
      <c r="BF111" s="6">
        <v>42.77</v>
      </c>
      <c r="BG111" s="6">
        <v>42.25</v>
      </c>
      <c r="BH111" s="6">
        <v>41.3</v>
      </c>
      <c r="BI111" s="6">
        <v>41.48</v>
      </c>
      <c r="BJ111" s="6">
        <v>45.47</v>
      </c>
      <c r="BK111" s="6">
        <v>43.36</v>
      </c>
      <c r="BL111" s="6">
        <v>42.1</v>
      </c>
      <c r="BM111" s="7">
        <v>41.47</v>
      </c>
      <c r="BN111" s="10"/>
    </row>
    <row r="112" spans="1:66" ht="15.75" customHeight="1" x14ac:dyDescent="0.25">
      <c r="A112" s="4">
        <v>110</v>
      </c>
      <c r="B112" s="4"/>
      <c r="C112" s="4">
        <v>20</v>
      </c>
      <c r="D112" s="6"/>
      <c r="E112" s="6">
        <v>41.34</v>
      </c>
      <c r="F112" s="6">
        <v>40.97</v>
      </c>
      <c r="G112" s="6">
        <v>41.51</v>
      </c>
      <c r="H112" s="6">
        <v>40.81</v>
      </c>
      <c r="I112" s="6">
        <v>43.48</v>
      </c>
      <c r="J112" s="6">
        <v>42.93</v>
      </c>
      <c r="K112" s="6">
        <v>44.76</v>
      </c>
      <c r="L112" s="6">
        <v>42.39</v>
      </c>
      <c r="M112" s="6">
        <v>43.45</v>
      </c>
      <c r="N112" s="6">
        <v>40.96</v>
      </c>
      <c r="O112" s="6">
        <v>42.01</v>
      </c>
      <c r="P112" s="6">
        <v>41.21</v>
      </c>
      <c r="Q112" s="6">
        <v>44.01</v>
      </c>
      <c r="R112" s="6">
        <v>41.52</v>
      </c>
      <c r="S112" s="6">
        <v>43.81</v>
      </c>
      <c r="T112" s="6">
        <v>43.31</v>
      </c>
      <c r="U112" s="6">
        <v>40.700000000000003</v>
      </c>
      <c r="V112" s="6">
        <v>42.5</v>
      </c>
      <c r="W112" s="6">
        <v>43.64</v>
      </c>
      <c r="X112" s="6">
        <v>42.07</v>
      </c>
      <c r="Y112" s="6">
        <v>41.92</v>
      </c>
      <c r="Z112" s="6">
        <v>39.82</v>
      </c>
      <c r="AA112" s="6">
        <v>42.13</v>
      </c>
      <c r="AB112" s="6">
        <v>42.55</v>
      </c>
      <c r="AC112" s="6">
        <v>40.799999999999997</v>
      </c>
      <c r="AD112" s="6">
        <v>41.52</v>
      </c>
      <c r="AE112" s="6">
        <v>42.67</v>
      </c>
      <c r="AF112" s="6">
        <v>41.81</v>
      </c>
      <c r="AG112" s="6">
        <v>40.909999999999997</v>
      </c>
      <c r="AH112" s="6">
        <v>43.61</v>
      </c>
      <c r="AI112" s="6">
        <v>42.75</v>
      </c>
      <c r="AJ112" s="6">
        <v>40.700000000000003</v>
      </c>
      <c r="AK112" s="6">
        <v>41.78</v>
      </c>
      <c r="AL112" s="6">
        <v>42.16</v>
      </c>
      <c r="AM112" s="6">
        <v>43.05</v>
      </c>
      <c r="AN112" s="6">
        <v>45.27</v>
      </c>
      <c r="AO112" s="6">
        <v>43.05</v>
      </c>
      <c r="AP112" s="6">
        <v>41.6</v>
      </c>
      <c r="AQ112" s="6">
        <v>43.19</v>
      </c>
      <c r="AR112" s="6">
        <v>41.76</v>
      </c>
      <c r="AS112" s="6">
        <v>41.99</v>
      </c>
      <c r="AT112" s="6">
        <v>44.63</v>
      </c>
      <c r="AU112" s="6">
        <v>42.63</v>
      </c>
      <c r="AV112" s="6"/>
      <c r="AW112" s="6"/>
      <c r="AX112" s="6">
        <v>42.58</v>
      </c>
      <c r="AY112" s="6">
        <v>44.04</v>
      </c>
      <c r="AZ112" s="6">
        <v>43.21</v>
      </c>
      <c r="BA112" s="6">
        <v>46.28</v>
      </c>
      <c r="BB112" s="6">
        <v>42.55</v>
      </c>
      <c r="BC112" s="6">
        <v>41.76</v>
      </c>
      <c r="BD112" s="6">
        <v>42.34</v>
      </c>
      <c r="BE112" s="6">
        <v>42.46</v>
      </c>
      <c r="BF112" s="6">
        <v>42.84</v>
      </c>
      <c r="BG112" s="6">
        <v>42.36</v>
      </c>
      <c r="BH112" s="6">
        <v>41.4</v>
      </c>
      <c r="BI112" s="6">
        <v>41.46</v>
      </c>
      <c r="BJ112" s="6">
        <v>45.55</v>
      </c>
      <c r="BK112" s="6">
        <v>43.45</v>
      </c>
      <c r="BL112" s="6">
        <v>42.18</v>
      </c>
      <c r="BM112" s="7">
        <v>41.48</v>
      </c>
      <c r="BN112" s="10"/>
    </row>
    <row r="113" spans="1:66" ht="15.75" customHeight="1" x14ac:dyDescent="0.25">
      <c r="A113" s="4">
        <v>111</v>
      </c>
      <c r="B113" s="4"/>
      <c r="C113" s="4">
        <v>21</v>
      </c>
      <c r="D113" s="6"/>
      <c r="E113" s="6">
        <v>41.43</v>
      </c>
      <c r="F113" s="6">
        <v>41.03</v>
      </c>
      <c r="G113" s="6">
        <v>41.47</v>
      </c>
      <c r="H113" s="6">
        <v>40.96</v>
      </c>
      <c r="I113" s="6">
        <v>43.58</v>
      </c>
      <c r="J113" s="6">
        <v>43.31</v>
      </c>
      <c r="K113" s="6">
        <v>44.79</v>
      </c>
      <c r="L113" s="6">
        <v>42.53</v>
      </c>
      <c r="M113" s="6">
        <v>43.67</v>
      </c>
      <c r="N113" s="6">
        <v>40.98</v>
      </c>
      <c r="O113" s="6">
        <v>42.01</v>
      </c>
      <c r="P113" s="6">
        <v>41.09</v>
      </c>
      <c r="Q113" s="6">
        <v>44.01</v>
      </c>
      <c r="R113" s="6">
        <v>41.56</v>
      </c>
      <c r="S113" s="6">
        <v>43.96</v>
      </c>
      <c r="T113" s="6">
        <v>43.47</v>
      </c>
      <c r="U113" s="6">
        <v>40.770000000000003</v>
      </c>
      <c r="V113" s="6">
        <v>42.72</v>
      </c>
      <c r="W113" s="6">
        <v>43.59</v>
      </c>
      <c r="X113" s="6">
        <v>42.29</v>
      </c>
      <c r="Y113" s="6">
        <v>41.96</v>
      </c>
      <c r="Z113" s="6">
        <v>39.82</v>
      </c>
      <c r="AA113" s="6">
        <v>42.12</v>
      </c>
      <c r="AB113" s="6">
        <v>42.65</v>
      </c>
      <c r="AC113" s="6">
        <v>40.82</v>
      </c>
      <c r="AD113" s="6">
        <v>41.56</v>
      </c>
      <c r="AE113" s="6">
        <v>42.78</v>
      </c>
      <c r="AF113" s="6">
        <v>41.9</v>
      </c>
      <c r="AG113" s="6">
        <v>40.9</v>
      </c>
      <c r="AH113" s="6">
        <v>43.79</v>
      </c>
      <c r="AI113" s="6">
        <v>42.81</v>
      </c>
      <c r="AJ113" s="6">
        <v>40.909999999999997</v>
      </c>
      <c r="AK113" s="6">
        <v>41.77</v>
      </c>
      <c r="AL113" s="6">
        <v>42.32</v>
      </c>
      <c r="AM113" s="6">
        <v>43.14</v>
      </c>
      <c r="AN113" s="6">
        <v>45.4</v>
      </c>
      <c r="AO113" s="6">
        <v>43.16</v>
      </c>
      <c r="AP113" s="6">
        <v>41.66</v>
      </c>
      <c r="AQ113" s="6">
        <v>43.26</v>
      </c>
      <c r="AR113" s="6">
        <v>42</v>
      </c>
      <c r="AS113" s="6">
        <v>42.15</v>
      </c>
      <c r="AT113" s="6">
        <v>44.86</v>
      </c>
      <c r="AU113" s="6">
        <v>42.77</v>
      </c>
      <c r="AV113" s="6"/>
      <c r="AW113" s="6"/>
      <c r="AX113" s="6">
        <v>42.65</v>
      </c>
      <c r="AY113" s="6">
        <v>44.26</v>
      </c>
      <c r="AZ113" s="6">
        <v>43.3</v>
      </c>
      <c r="BA113" s="6">
        <v>46.38</v>
      </c>
      <c r="BB113" s="6">
        <v>42.79</v>
      </c>
      <c r="BC113" s="6">
        <v>41.88</v>
      </c>
      <c r="BD113" s="6">
        <v>42.5</v>
      </c>
      <c r="BE113" s="6">
        <v>42.6</v>
      </c>
      <c r="BF113" s="6">
        <v>42.92</v>
      </c>
      <c r="BG113" s="6">
        <v>42.49</v>
      </c>
      <c r="BH113" s="6">
        <v>41.53</v>
      </c>
      <c r="BI113" s="6">
        <v>41.46</v>
      </c>
      <c r="BJ113" s="6">
        <v>45.61</v>
      </c>
      <c r="BK113" s="6">
        <v>43.58</v>
      </c>
      <c r="BL113" s="6">
        <v>42.32</v>
      </c>
      <c r="BM113" s="7">
        <v>41.52</v>
      </c>
      <c r="BN113" s="10"/>
    </row>
    <row r="114" spans="1:66" ht="15.75" customHeight="1" x14ac:dyDescent="0.25">
      <c r="A114" s="4">
        <v>112</v>
      </c>
      <c r="B114" s="4"/>
      <c r="C114" s="4">
        <v>22</v>
      </c>
      <c r="D114" s="6"/>
      <c r="E114" s="6">
        <v>41.57</v>
      </c>
      <c r="F114" s="6">
        <v>41.12</v>
      </c>
      <c r="G114" s="6">
        <v>41.46</v>
      </c>
      <c r="H114" s="6">
        <v>41.06</v>
      </c>
      <c r="I114" s="6">
        <v>43.66</v>
      </c>
      <c r="J114" s="6">
        <v>43.47</v>
      </c>
      <c r="K114" s="6">
        <v>44.86</v>
      </c>
      <c r="L114" s="6">
        <v>42.73</v>
      </c>
      <c r="M114" s="6">
        <v>43.88</v>
      </c>
      <c r="N114" s="6">
        <v>40.99</v>
      </c>
      <c r="O114" s="6">
        <v>42</v>
      </c>
      <c r="P114" s="6">
        <v>41</v>
      </c>
      <c r="Q114" s="6">
        <v>44.06</v>
      </c>
      <c r="R114" s="6">
        <v>41.56</v>
      </c>
      <c r="S114" s="6">
        <v>44.11</v>
      </c>
      <c r="T114" s="6">
        <v>43.59</v>
      </c>
      <c r="U114" s="6">
        <v>40.840000000000003</v>
      </c>
      <c r="V114" s="6">
        <v>42.91</v>
      </c>
      <c r="W114" s="6">
        <v>43.57</v>
      </c>
      <c r="X114" s="6">
        <v>42.61</v>
      </c>
      <c r="Y114" s="6">
        <v>41.96</v>
      </c>
      <c r="Z114" s="6">
        <v>39.82</v>
      </c>
      <c r="AA114" s="6">
        <v>42.11</v>
      </c>
      <c r="AB114" s="6">
        <v>42.8</v>
      </c>
      <c r="AC114" s="6">
        <v>40.83</v>
      </c>
      <c r="AD114" s="6">
        <v>41.6</v>
      </c>
      <c r="AE114" s="6">
        <v>42.95</v>
      </c>
      <c r="AF114" s="6">
        <v>41.97</v>
      </c>
      <c r="AG114" s="6">
        <v>40.89</v>
      </c>
      <c r="AH114" s="6">
        <v>43.89</v>
      </c>
      <c r="AI114" s="6">
        <v>42.82</v>
      </c>
      <c r="AJ114" s="6">
        <v>41.09</v>
      </c>
      <c r="AK114" s="6">
        <v>41.77</v>
      </c>
      <c r="AL114" s="6">
        <v>42.46</v>
      </c>
      <c r="AM114" s="6">
        <v>43.29</v>
      </c>
      <c r="AN114" s="6">
        <v>45.48</v>
      </c>
      <c r="AO114" s="6">
        <v>43.25</v>
      </c>
      <c r="AP114" s="6">
        <v>41.7</v>
      </c>
      <c r="AQ114" s="6">
        <v>43.33</v>
      </c>
      <c r="AR114" s="6">
        <v>42.18</v>
      </c>
      <c r="AS114" s="6">
        <v>42.33</v>
      </c>
      <c r="AT114" s="6">
        <v>45.08</v>
      </c>
      <c r="AU114" s="6">
        <v>42.9</v>
      </c>
      <c r="AV114" s="6"/>
      <c r="AW114" s="6"/>
      <c r="AX114" s="6">
        <v>42.75</v>
      </c>
      <c r="AY114" s="6">
        <v>44.42</v>
      </c>
      <c r="AZ114" s="6">
        <v>43.42</v>
      </c>
      <c r="BA114" s="6">
        <v>46.54</v>
      </c>
      <c r="BB114" s="6">
        <v>42.93</v>
      </c>
      <c r="BC114" s="6">
        <v>42.1</v>
      </c>
      <c r="BD114" s="6">
        <v>42.69</v>
      </c>
      <c r="BE114" s="6">
        <v>42.7</v>
      </c>
      <c r="BF114" s="6">
        <v>43.03</v>
      </c>
      <c r="BG114" s="6">
        <v>42.63</v>
      </c>
      <c r="BH114" s="6">
        <v>41.69</v>
      </c>
      <c r="BI114" s="6">
        <v>41.42</v>
      </c>
      <c r="BJ114" s="6">
        <v>45.64</v>
      </c>
      <c r="BK114" s="6">
        <v>43.69</v>
      </c>
      <c r="BL114" s="6">
        <v>42.42</v>
      </c>
      <c r="BM114" s="7">
        <v>41.57</v>
      </c>
      <c r="BN114" s="10"/>
    </row>
    <row r="115" spans="1:66" ht="15.75" customHeight="1" x14ac:dyDescent="0.25">
      <c r="A115" s="4">
        <v>113</v>
      </c>
      <c r="B115" s="4"/>
      <c r="C115" s="4">
        <v>23</v>
      </c>
      <c r="D115" s="6"/>
      <c r="E115" s="6">
        <v>41.65</v>
      </c>
      <c r="F115" s="6">
        <v>41.2</v>
      </c>
      <c r="G115" s="6">
        <v>41.45</v>
      </c>
      <c r="H115" s="6">
        <v>41.21</v>
      </c>
      <c r="I115" s="6">
        <v>43.76</v>
      </c>
      <c r="J115" s="6">
        <v>43.81</v>
      </c>
      <c r="K115" s="6">
        <v>44.88</v>
      </c>
      <c r="L115" s="6">
        <v>42.83</v>
      </c>
      <c r="M115" s="6">
        <v>44.11</v>
      </c>
      <c r="N115" s="6">
        <v>41.02</v>
      </c>
      <c r="O115" s="6">
        <v>41.97</v>
      </c>
      <c r="P115" s="6">
        <v>41.02</v>
      </c>
      <c r="Q115" s="6">
        <v>44.14</v>
      </c>
      <c r="R115" s="6">
        <v>41.51</v>
      </c>
      <c r="S115" s="6">
        <v>44.22</v>
      </c>
      <c r="T115" s="6">
        <v>43.68</v>
      </c>
      <c r="U115" s="6">
        <v>40.909999999999997</v>
      </c>
      <c r="V115" s="6">
        <v>43.1</v>
      </c>
      <c r="W115" s="6">
        <v>43.55</v>
      </c>
      <c r="X115" s="6">
        <v>42.96</v>
      </c>
      <c r="Y115" s="6">
        <v>41.93</v>
      </c>
      <c r="Z115" s="6">
        <v>39.840000000000003</v>
      </c>
      <c r="AA115" s="6">
        <v>42.11</v>
      </c>
      <c r="AB115" s="6">
        <v>42.94</v>
      </c>
      <c r="AC115" s="6">
        <v>40.86</v>
      </c>
      <c r="AD115" s="6">
        <v>41.66</v>
      </c>
      <c r="AE115" s="6">
        <v>43.12</v>
      </c>
      <c r="AF115" s="6">
        <v>42.14</v>
      </c>
      <c r="AG115" s="6">
        <v>40.97</v>
      </c>
      <c r="AH115" s="6">
        <v>43.98</v>
      </c>
      <c r="AI115" s="6">
        <v>42.92</v>
      </c>
      <c r="AJ115" s="6">
        <v>41.22</v>
      </c>
      <c r="AK115" s="6">
        <v>41.79</v>
      </c>
      <c r="AL115" s="6">
        <v>42.7</v>
      </c>
      <c r="AM115" s="6">
        <v>43.43</v>
      </c>
      <c r="AN115" s="6">
        <v>45.58</v>
      </c>
      <c r="AO115" s="6">
        <v>43.36</v>
      </c>
      <c r="AP115" s="6">
        <v>41.73</v>
      </c>
      <c r="AQ115" s="6">
        <v>43.45</v>
      </c>
      <c r="AR115" s="6">
        <v>42.33</v>
      </c>
      <c r="AS115" s="6">
        <v>42.46</v>
      </c>
      <c r="AT115" s="6">
        <v>45.25</v>
      </c>
      <c r="AU115" s="6">
        <v>43.05</v>
      </c>
      <c r="AV115" s="6"/>
      <c r="AW115" s="6"/>
      <c r="AX115" s="6">
        <v>42.88</v>
      </c>
      <c r="AY115" s="6">
        <v>44.64</v>
      </c>
      <c r="AZ115" s="6">
        <v>43.58</v>
      </c>
      <c r="BA115" s="6">
        <v>46.63</v>
      </c>
      <c r="BB115" s="6">
        <v>43.14</v>
      </c>
      <c r="BC115" s="6">
        <v>42.25</v>
      </c>
      <c r="BD115" s="6">
        <v>42.89</v>
      </c>
      <c r="BE115" s="6">
        <v>42.79</v>
      </c>
      <c r="BF115" s="6">
        <v>43.15</v>
      </c>
      <c r="BG115" s="6">
        <v>42.81</v>
      </c>
      <c r="BH115" s="6">
        <v>41.88</v>
      </c>
      <c r="BI115" s="6">
        <v>41.38</v>
      </c>
      <c r="BJ115" s="6">
        <v>45.65</v>
      </c>
      <c r="BK115" s="6">
        <v>43.82</v>
      </c>
      <c r="BL115" s="6">
        <v>42.55</v>
      </c>
      <c r="BM115" s="7">
        <v>41.64</v>
      </c>
      <c r="BN115" s="10"/>
    </row>
    <row r="116" spans="1:66" ht="15.75" customHeight="1" x14ac:dyDescent="0.25">
      <c r="A116" s="4">
        <v>114</v>
      </c>
      <c r="B116" s="4"/>
      <c r="C116" s="4">
        <v>24</v>
      </c>
      <c r="D116" s="6"/>
      <c r="E116" s="6">
        <v>41.72</v>
      </c>
      <c r="F116" s="6">
        <v>41.24</v>
      </c>
      <c r="G116" s="6">
        <v>41.44</v>
      </c>
      <c r="H116" s="6">
        <v>41.36</v>
      </c>
      <c r="I116" s="6">
        <v>43.81</v>
      </c>
      <c r="J116" s="6">
        <v>44.11</v>
      </c>
      <c r="K116" s="6">
        <v>44.91</v>
      </c>
      <c r="L116" s="6">
        <v>42.94</v>
      </c>
      <c r="M116" s="6">
        <v>44.36</v>
      </c>
      <c r="N116" s="6">
        <v>41.07</v>
      </c>
      <c r="O116" s="6">
        <v>41.94</v>
      </c>
      <c r="P116" s="6">
        <v>41.1</v>
      </c>
      <c r="Q116" s="6">
        <v>44.29</v>
      </c>
      <c r="R116" s="6">
        <v>41.44</v>
      </c>
      <c r="S116" s="6">
        <v>44.37</v>
      </c>
      <c r="T116" s="6">
        <v>43.79</v>
      </c>
      <c r="U116" s="6">
        <v>41.07</v>
      </c>
      <c r="V116" s="6">
        <v>43.32</v>
      </c>
      <c r="W116" s="6">
        <v>43.57</v>
      </c>
      <c r="X116" s="6">
        <v>43.31</v>
      </c>
      <c r="Y116" s="6">
        <v>41.92</v>
      </c>
      <c r="Z116" s="6">
        <v>39.869999999999997</v>
      </c>
      <c r="AA116" s="6">
        <v>42.16</v>
      </c>
      <c r="AB116" s="6">
        <v>43.03</v>
      </c>
      <c r="AC116" s="6">
        <v>40.909999999999997</v>
      </c>
      <c r="AD116" s="6">
        <v>41.74</v>
      </c>
      <c r="AE116" s="6">
        <v>43.22</v>
      </c>
      <c r="AF116" s="6">
        <v>42.36</v>
      </c>
      <c r="AG116" s="6">
        <v>41.04</v>
      </c>
      <c r="AH116" s="6">
        <v>44.13</v>
      </c>
      <c r="AI116" s="6">
        <v>42.93</v>
      </c>
      <c r="AJ116" s="6">
        <v>41.32</v>
      </c>
      <c r="AK116" s="6">
        <v>41.82</v>
      </c>
      <c r="AL116" s="6">
        <v>42.9</v>
      </c>
      <c r="AM116" s="6">
        <v>43.57</v>
      </c>
      <c r="AN116" s="6">
        <v>45.64</v>
      </c>
      <c r="AO116" s="6">
        <v>43.48</v>
      </c>
      <c r="AP116" s="6">
        <v>41.76</v>
      </c>
      <c r="AQ116" s="6">
        <v>43.6</v>
      </c>
      <c r="AR116" s="6">
        <v>42.49</v>
      </c>
      <c r="AS116" s="6">
        <v>42.6</v>
      </c>
      <c r="AT116" s="6">
        <v>45.4</v>
      </c>
      <c r="AU116" s="6">
        <v>43.18</v>
      </c>
      <c r="AV116" s="6"/>
      <c r="AW116" s="6"/>
      <c r="AX116" s="6">
        <v>43.08</v>
      </c>
      <c r="AY116" s="6">
        <v>44.82</v>
      </c>
      <c r="AZ116" s="6">
        <v>43.77</v>
      </c>
      <c r="BA116" s="6">
        <v>46.73</v>
      </c>
      <c r="BB116" s="6">
        <v>43.39</v>
      </c>
      <c r="BC116" s="6">
        <v>42.45</v>
      </c>
      <c r="BD116" s="6">
        <v>43.14</v>
      </c>
      <c r="BE116" s="6">
        <v>42.92</v>
      </c>
      <c r="BF116" s="6">
        <v>43.28</v>
      </c>
      <c r="BG116" s="6">
        <v>42.99</v>
      </c>
      <c r="BH116" s="6">
        <v>42.01</v>
      </c>
      <c r="BI116" s="6">
        <v>41.42</v>
      </c>
      <c r="BJ116" s="6">
        <v>45.65</v>
      </c>
      <c r="BK116" s="6">
        <v>43.9</v>
      </c>
      <c r="BL116" s="6">
        <v>42.7</v>
      </c>
      <c r="BM116" s="7">
        <v>41.7</v>
      </c>
      <c r="BN116" s="10"/>
    </row>
    <row r="117" spans="1:66" ht="15.75" customHeight="1" x14ac:dyDescent="0.25">
      <c r="A117" s="4">
        <v>115</v>
      </c>
      <c r="B117" s="4"/>
      <c r="C117" s="4">
        <v>25</v>
      </c>
      <c r="D117" s="6"/>
      <c r="E117" s="6">
        <v>41.77</v>
      </c>
      <c r="F117" s="6">
        <v>41.26</v>
      </c>
      <c r="G117" s="6">
        <v>41.44</v>
      </c>
      <c r="H117" s="6">
        <v>41.46</v>
      </c>
      <c r="I117" s="6">
        <v>43.81</v>
      </c>
      <c r="J117" s="6">
        <v>44.38</v>
      </c>
      <c r="K117" s="6">
        <v>44.92</v>
      </c>
      <c r="L117" s="6">
        <v>43.01</v>
      </c>
      <c r="M117" s="6">
        <v>44.54</v>
      </c>
      <c r="N117" s="6">
        <v>41.12</v>
      </c>
      <c r="O117" s="6">
        <v>41.91</v>
      </c>
      <c r="P117" s="6">
        <v>41.14</v>
      </c>
      <c r="Q117" s="6">
        <v>44.38</v>
      </c>
      <c r="R117" s="6">
        <v>41.39</v>
      </c>
      <c r="S117" s="6">
        <v>44.52</v>
      </c>
      <c r="T117" s="6">
        <v>43.85</v>
      </c>
      <c r="U117" s="6">
        <v>41.33</v>
      </c>
      <c r="V117" s="6">
        <v>43.59</v>
      </c>
      <c r="W117" s="6">
        <v>43.6</v>
      </c>
      <c r="X117" s="6">
        <v>43.73</v>
      </c>
      <c r="Y117" s="6">
        <v>41.89</v>
      </c>
      <c r="Z117" s="6">
        <v>39.97</v>
      </c>
      <c r="AA117" s="6">
        <v>42.22</v>
      </c>
      <c r="AB117" s="6">
        <v>43.47</v>
      </c>
      <c r="AC117" s="6">
        <v>40.96</v>
      </c>
      <c r="AD117" s="6">
        <v>41.79</v>
      </c>
      <c r="AE117" s="6">
        <v>43.36</v>
      </c>
      <c r="AF117" s="6">
        <v>42.62</v>
      </c>
      <c r="AG117" s="6">
        <v>41.2</v>
      </c>
      <c r="AH117" s="6">
        <v>44.31</v>
      </c>
      <c r="AI117" s="6">
        <v>43.03</v>
      </c>
      <c r="AJ117" s="6">
        <v>41.44</v>
      </c>
      <c r="AK117" s="6">
        <v>41.88</v>
      </c>
      <c r="AL117" s="6">
        <v>43.12</v>
      </c>
      <c r="AM117" s="6">
        <v>43.72</v>
      </c>
      <c r="AN117" s="6">
        <v>45.7</v>
      </c>
      <c r="AO117" s="6">
        <v>43.44</v>
      </c>
      <c r="AP117" s="6">
        <v>41.74</v>
      </c>
      <c r="AQ117" s="6">
        <v>43.75</v>
      </c>
      <c r="AR117" s="6">
        <v>42.6</v>
      </c>
      <c r="AS117" s="6">
        <v>42.74</v>
      </c>
      <c r="AT117" s="6">
        <v>45.52</v>
      </c>
      <c r="AU117" s="6">
        <v>43.34</v>
      </c>
      <c r="AV117" s="6"/>
      <c r="AW117" s="6"/>
      <c r="AX117" s="6">
        <v>43.27</v>
      </c>
      <c r="AY117" s="6">
        <v>45.03</v>
      </c>
      <c r="AZ117" s="6">
        <v>43.92</v>
      </c>
      <c r="BA117" s="6">
        <v>46.8</v>
      </c>
      <c r="BB117" s="6">
        <v>43.64</v>
      </c>
      <c r="BC117" s="6">
        <v>42.68</v>
      </c>
      <c r="BD117" s="6">
        <v>43.37</v>
      </c>
      <c r="BE117" s="6">
        <v>43.04</v>
      </c>
      <c r="BF117" s="6">
        <v>43.43</v>
      </c>
      <c r="BG117" s="6">
        <v>43.15</v>
      </c>
      <c r="BH117" s="6">
        <v>42.15</v>
      </c>
      <c r="BI117" s="6">
        <v>41.52</v>
      </c>
      <c r="BJ117" s="6">
        <v>45.63</v>
      </c>
      <c r="BK117" s="6">
        <v>43.97</v>
      </c>
      <c r="BL117" s="6">
        <v>42.86</v>
      </c>
      <c r="BM117" s="7">
        <v>41.78</v>
      </c>
      <c r="BN117" s="10"/>
    </row>
    <row r="118" spans="1:66" ht="15.75" customHeight="1" x14ac:dyDescent="0.25">
      <c r="A118" s="4">
        <v>116</v>
      </c>
      <c r="B118" s="4"/>
      <c r="C118" s="4">
        <v>26</v>
      </c>
      <c r="D118" s="6"/>
      <c r="E118" s="6">
        <v>41.82</v>
      </c>
      <c r="F118" s="6">
        <v>41.3</v>
      </c>
      <c r="G118" s="6">
        <v>41.51</v>
      </c>
      <c r="H118" s="6">
        <v>41.61</v>
      </c>
      <c r="I118" s="6">
        <v>43.86</v>
      </c>
      <c r="J118" s="6">
        <v>44.63</v>
      </c>
      <c r="K118" s="6">
        <v>44.93</v>
      </c>
      <c r="L118" s="6">
        <v>43.08</v>
      </c>
      <c r="M118" s="6">
        <v>44.71</v>
      </c>
      <c r="N118" s="6">
        <v>41.19</v>
      </c>
      <c r="O118" s="6">
        <v>41.91</v>
      </c>
      <c r="P118" s="6">
        <v>41.19</v>
      </c>
      <c r="Q118" s="6">
        <v>44.54</v>
      </c>
      <c r="R118" s="6">
        <v>41.38</v>
      </c>
      <c r="S118" s="6">
        <v>44.71</v>
      </c>
      <c r="T118" s="6">
        <v>43.94</v>
      </c>
      <c r="U118" s="6">
        <v>41.65</v>
      </c>
      <c r="V118" s="6">
        <v>43.89</v>
      </c>
      <c r="W118" s="6">
        <v>43.93</v>
      </c>
      <c r="X118" s="6">
        <v>44.1</v>
      </c>
      <c r="Y118" s="6">
        <v>41.93</v>
      </c>
      <c r="Z118" s="6">
        <v>40.03</v>
      </c>
      <c r="AA118" s="6">
        <v>42.3</v>
      </c>
      <c r="AB118" s="6">
        <v>43.8</v>
      </c>
      <c r="AC118" s="6">
        <v>40.99</v>
      </c>
      <c r="AD118" s="6">
        <v>41.82</v>
      </c>
      <c r="AE118" s="6">
        <v>43.5</v>
      </c>
      <c r="AF118" s="6">
        <v>42.84</v>
      </c>
      <c r="AG118" s="6">
        <v>41.36</v>
      </c>
      <c r="AH118" s="6">
        <v>44.49</v>
      </c>
      <c r="AI118" s="6">
        <v>43.09</v>
      </c>
      <c r="AJ118" s="6">
        <v>41.54</v>
      </c>
      <c r="AK118" s="6">
        <v>41.96</v>
      </c>
      <c r="AL118" s="6">
        <v>43.3</v>
      </c>
      <c r="AM118" s="6">
        <v>43.92</v>
      </c>
      <c r="AN118" s="6">
        <v>45.78</v>
      </c>
      <c r="AO118" s="6">
        <v>43.51</v>
      </c>
      <c r="AP118" s="6">
        <v>41.74</v>
      </c>
      <c r="AQ118" s="6">
        <v>43.86</v>
      </c>
      <c r="AR118" s="6">
        <v>42.74</v>
      </c>
      <c r="AS118" s="6">
        <v>42.9</v>
      </c>
      <c r="AT118" s="6">
        <v>45.64</v>
      </c>
      <c r="AU118" s="6">
        <v>43.43</v>
      </c>
      <c r="AV118" s="6"/>
      <c r="AW118" s="6"/>
      <c r="AX118" s="6">
        <v>43.47</v>
      </c>
      <c r="AY118" s="6">
        <v>45.27</v>
      </c>
      <c r="AZ118" s="6">
        <v>44.12</v>
      </c>
      <c r="BA118" s="6">
        <v>46.85</v>
      </c>
      <c r="BB118" s="6">
        <v>43.88</v>
      </c>
      <c r="BC118" s="6">
        <v>42.74</v>
      </c>
      <c r="BD118" s="6">
        <v>43.6</v>
      </c>
      <c r="BE118" s="6">
        <v>43.25</v>
      </c>
      <c r="BF118" s="6">
        <v>43.58</v>
      </c>
      <c r="BG118" s="6">
        <v>43.36</v>
      </c>
      <c r="BH118" s="6">
        <v>42.25</v>
      </c>
      <c r="BI118" s="6">
        <v>41.6</v>
      </c>
      <c r="BJ118" s="6">
        <v>45.55</v>
      </c>
      <c r="BK118" s="6">
        <v>44.05</v>
      </c>
      <c r="BL118" s="6">
        <v>43.05</v>
      </c>
      <c r="BM118" s="7">
        <v>41.84</v>
      </c>
      <c r="BN118" s="10"/>
    </row>
    <row r="119" spans="1:66" ht="15.75" customHeight="1" x14ac:dyDescent="0.25">
      <c r="A119" s="4">
        <v>117</v>
      </c>
      <c r="B119" s="4"/>
      <c r="C119" s="4">
        <v>27</v>
      </c>
      <c r="D119" s="6"/>
      <c r="E119" s="6">
        <v>41.97</v>
      </c>
      <c r="F119" s="6">
        <v>41.34</v>
      </c>
      <c r="G119" s="6">
        <v>41.63</v>
      </c>
      <c r="H119" s="6">
        <v>41.71</v>
      </c>
      <c r="I119" s="6">
        <v>43.86</v>
      </c>
      <c r="J119" s="6">
        <v>44.77</v>
      </c>
      <c r="K119" s="6">
        <v>44.92</v>
      </c>
      <c r="L119" s="6">
        <v>43.13</v>
      </c>
      <c r="M119" s="6">
        <v>44.85</v>
      </c>
      <c r="N119" s="6">
        <v>41.29</v>
      </c>
      <c r="O119" s="6">
        <v>41.91</v>
      </c>
      <c r="P119" s="6">
        <v>41.28</v>
      </c>
      <c r="Q119" s="6">
        <v>44.68</v>
      </c>
      <c r="R119" s="6">
        <v>41.41</v>
      </c>
      <c r="S119" s="6">
        <v>44.79</v>
      </c>
      <c r="T119" s="6">
        <v>44.06</v>
      </c>
      <c r="U119" s="6">
        <v>41.99</v>
      </c>
      <c r="V119" s="6">
        <v>44.18</v>
      </c>
      <c r="W119" s="6">
        <v>44.04</v>
      </c>
      <c r="X119" s="6">
        <v>44.36</v>
      </c>
      <c r="Y119" s="6">
        <v>41.98</v>
      </c>
      <c r="Z119" s="6">
        <v>40.119999999999997</v>
      </c>
      <c r="AA119" s="6">
        <v>42.34</v>
      </c>
      <c r="AB119" s="6">
        <v>44.02</v>
      </c>
      <c r="AC119" s="6">
        <v>41.01</v>
      </c>
      <c r="AD119" s="6">
        <v>41.79</v>
      </c>
      <c r="AE119" s="6">
        <v>43.68</v>
      </c>
      <c r="AF119" s="6">
        <v>43.04</v>
      </c>
      <c r="AG119" s="6">
        <v>41.55</v>
      </c>
      <c r="AH119" s="6">
        <v>44.6</v>
      </c>
      <c r="AI119" s="6">
        <v>43.31</v>
      </c>
      <c r="AJ119" s="6">
        <v>41.67</v>
      </c>
      <c r="AK119" s="6">
        <v>42.08</v>
      </c>
      <c r="AL119" s="6">
        <v>43.6</v>
      </c>
      <c r="AM119" s="6">
        <v>44.16</v>
      </c>
      <c r="AN119" s="6">
        <v>45.91</v>
      </c>
      <c r="AO119" s="6">
        <v>43.51</v>
      </c>
      <c r="AP119" s="6">
        <v>41.76</v>
      </c>
      <c r="AQ119" s="6">
        <v>43.96</v>
      </c>
      <c r="AR119" s="6">
        <v>42.8</v>
      </c>
      <c r="AS119" s="6">
        <v>43.04</v>
      </c>
      <c r="AT119" s="6">
        <v>45.71</v>
      </c>
      <c r="AU119" s="6">
        <v>43.53</v>
      </c>
      <c r="AV119" s="6"/>
      <c r="AW119" s="6"/>
      <c r="AX119" s="6">
        <v>43.59</v>
      </c>
      <c r="AY119" s="6">
        <v>45.46</v>
      </c>
      <c r="AZ119" s="6">
        <v>44.29</v>
      </c>
      <c r="BA119" s="6">
        <v>46.9</v>
      </c>
      <c r="BB119" s="6">
        <v>44.01</v>
      </c>
      <c r="BC119" s="6">
        <v>42.81</v>
      </c>
      <c r="BD119" s="6">
        <v>43.74</v>
      </c>
      <c r="BE119" s="6">
        <v>43.49</v>
      </c>
      <c r="BF119" s="6">
        <v>43.7</v>
      </c>
      <c r="BG119" s="6">
        <v>43.54</v>
      </c>
      <c r="BH119" s="6">
        <v>42.33</v>
      </c>
      <c r="BI119" s="6">
        <v>41.64</v>
      </c>
      <c r="BJ119" s="6">
        <v>45.54</v>
      </c>
      <c r="BK119" s="6">
        <v>44.12</v>
      </c>
      <c r="BL119" s="6">
        <v>43.22</v>
      </c>
      <c r="BM119" s="7">
        <v>41.89</v>
      </c>
      <c r="BN119" s="10"/>
    </row>
    <row r="120" spans="1:66" ht="15.75" customHeight="1" x14ac:dyDescent="0.25">
      <c r="A120" s="4">
        <v>118</v>
      </c>
      <c r="B120" s="4"/>
      <c r="C120" s="4">
        <v>28</v>
      </c>
      <c r="D120" s="6"/>
      <c r="E120" s="6">
        <v>42.03</v>
      </c>
      <c r="F120" s="6">
        <v>41.34</v>
      </c>
      <c r="G120" s="6">
        <v>41.76</v>
      </c>
      <c r="H120" s="6">
        <v>41.86</v>
      </c>
      <c r="I120" s="6">
        <v>43.91</v>
      </c>
      <c r="J120" s="6">
        <v>44.96</v>
      </c>
      <c r="K120" s="6">
        <v>44.93</v>
      </c>
      <c r="L120" s="6">
        <v>43.24</v>
      </c>
      <c r="M120" s="6">
        <v>45</v>
      </c>
      <c r="N120" s="6">
        <v>41.38</v>
      </c>
      <c r="O120" s="6">
        <v>41.91</v>
      </c>
      <c r="P120" s="6">
        <v>41.32</v>
      </c>
      <c r="Q120" s="6">
        <v>44.87</v>
      </c>
      <c r="R120" s="6">
        <v>41.45</v>
      </c>
      <c r="S120" s="6">
        <v>44.88</v>
      </c>
      <c r="T120" s="6">
        <v>44.16</v>
      </c>
      <c r="U120" s="6">
        <v>42.31</v>
      </c>
      <c r="V120" s="6">
        <v>44.48</v>
      </c>
      <c r="W120" s="6">
        <v>44.2</v>
      </c>
      <c r="X120" s="6">
        <v>44.6</v>
      </c>
      <c r="Y120" s="6">
        <v>42.03</v>
      </c>
      <c r="Z120" s="6">
        <v>40.18</v>
      </c>
      <c r="AA120" s="6">
        <v>42.36</v>
      </c>
      <c r="AB120" s="6">
        <v>44.18</v>
      </c>
      <c r="AC120" s="6">
        <v>41.05</v>
      </c>
      <c r="AD120" s="6">
        <v>41.79</v>
      </c>
      <c r="AE120" s="6">
        <v>43.82</v>
      </c>
      <c r="AF120" s="6">
        <v>43.24</v>
      </c>
      <c r="AG120" s="6">
        <v>42.01</v>
      </c>
      <c r="AH120" s="6">
        <v>44.62</v>
      </c>
      <c r="AI120" s="6">
        <v>43.54</v>
      </c>
      <c r="AJ120" s="6">
        <v>41.84</v>
      </c>
      <c r="AK120" s="6">
        <v>42.24</v>
      </c>
      <c r="AL120" s="6">
        <v>43.76</v>
      </c>
      <c r="AM120" s="6">
        <v>44.45</v>
      </c>
      <c r="AN120" s="6">
        <v>46.02</v>
      </c>
      <c r="AO120" s="6">
        <v>43.6</v>
      </c>
      <c r="AP120" s="6">
        <v>41.69</v>
      </c>
      <c r="AQ120" s="6">
        <v>44.02</v>
      </c>
      <c r="AR120" s="6">
        <v>42.95</v>
      </c>
      <c r="AS120" s="6">
        <v>43.23</v>
      </c>
      <c r="AT120" s="6">
        <v>45.8</v>
      </c>
      <c r="AU120" s="6">
        <v>43.61</v>
      </c>
      <c r="AV120" s="6"/>
      <c r="AW120" s="6"/>
      <c r="AX120" s="6">
        <v>43.72</v>
      </c>
      <c r="AY120" s="6">
        <v>45.68</v>
      </c>
      <c r="AZ120" s="6">
        <v>44.43</v>
      </c>
      <c r="BA120" s="6">
        <v>46.99</v>
      </c>
      <c r="BB120" s="6">
        <v>44.13</v>
      </c>
      <c r="BC120" s="6">
        <v>42.87</v>
      </c>
      <c r="BD120" s="6">
        <v>43.85</v>
      </c>
      <c r="BE120" s="6">
        <v>43.66</v>
      </c>
      <c r="BF120" s="6">
        <v>43.81</v>
      </c>
      <c r="BG120" s="6">
        <v>43.84</v>
      </c>
      <c r="BH120" s="6">
        <v>42.46</v>
      </c>
      <c r="BI120" s="6">
        <v>41.68</v>
      </c>
      <c r="BJ120" s="6">
        <v>45.54</v>
      </c>
      <c r="BK120" s="6">
        <v>44.21</v>
      </c>
      <c r="BL120" s="6">
        <v>43.39</v>
      </c>
      <c r="BM120" s="7">
        <v>41.95</v>
      </c>
      <c r="BN120" s="10"/>
    </row>
    <row r="121" spans="1:66" ht="15.75" customHeight="1" x14ac:dyDescent="0.25">
      <c r="A121" s="4">
        <v>119</v>
      </c>
      <c r="B121" s="4"/>
      <c r="C121" s="4">
        <v>29</v>
      </c>
      <c r="D121" s="6"/>
      <c r="E121" s="6">
        <v>42.15</v>
      </c>
      <c r="F121" s="6">
        <v>41.35</v>
      </c>
      <c r="G121" s="6">
        <v>41.91</v>
      </c>
      <c r="H121" s="6">
        <v>41.96</v>
      </c>
      <c r="I121" s="6">
        <v>43.91</v>
      </c>
      <c r="J121" s="6">
        <v>45.21</v>
      </c>
      <c r="K121" s="6">
        <v>44.95</v>
      </c>
      <c r="L121" s="6">
        <v>43.32</v>
      </c>
      <c r="M121" s="6">
        <v>45.18</v>
      </c>
      <c r="N121" s="6">
        <v>41.49</v>
      </c>
      <c r="O121" s="6">
        <v>41.94</v>
      </c>
      <c r="P121" s="6">
        <v>41.5</v>
      </c>
      <c r="Q121" s="6">
        <v>45.11</v>
      </c>
      <c r="R121" s="6">
        <v>41.49</v>
      </c>
      <c r="S121" s="6">
        <v>44.91</v>
      </c>
      <c r="T121" s="6">
        <v>44.31</v>
      </c>
      <c r="U121" s="6">
        <v>42.56</v>
      </c>
      <c r="V121" s="6">
        <v>44.76</v>
      </c>
      <c r="W121" s="6">
        <v>44.42</v>
      </c>
      <c r="X121" s="6">
        <v>44.84</v>
      </c>
      <c r="Y121" s="6">
        <v>42.12</v>
      </c>
      <c r="Z121" s="6">
        <v>40.28</v>
      </c>
      <c r="AA121" s="6">
        <v>42.37</v>
      </c>
      <c r="AB121" s="6">
        <v>44.29</v>
      </c>
      <c r="AC121" s="6">
        <v>41.06</v>
      </c>
      <c r="AD121" s="6">
        <v>41.85</v>
      </c>
      <c r="AE121" s="6">
        <v>44.02</v>
      </c>
      <c r="AF121" s="6">
        <v>43.44</v>
      </c>
      <c r="AG121" s="6">
        <v>42.03</v>
      </c>
      <c r="AH121" s="6">
        <v>44.69</v>
      </c>
      <c r="AI121" s="6">
        <v>43.8</v>
      </c>
      <c r="AJ121" s="6">
        <v>42.03</v>
      </c>
      <c r="AK121" s="6">
        <v>42.42</v>
      </c>
      <c r="AL121" s="6">
        <v>43.91</v>
      </c>
      <c r="AM121" s="6">
        <v>44.49</v>
      </c>
      <c r="AN121" s="6">
        <v>46.14</v>
      </c>
      <c r="AO121" s="6">
        <v>43.62</v>
      </c>
      <c r="AP121" s="6">
        <v>41.83</v>
      </c>
      <c r="AQ121" s="6">
        <v>44.06</v>
      </c>
      <c r="AR121" s="6">
        <v>43.18</v>
      </c>
      <c r="AS121" s="6">
        <v>43.36</v>
      </c>
      <c r="AT121" s="6">
        <v>45.87</v>
      </c>
      <c r="AU121" s="6">
        <v>43.64</v>
      </c>
      <c r="AV121" s="6"/>
      <c r="AW121" s="6"/>
      <c r="AX121" s="6">
        <v>43.77</v>
      </c>
      <c r="AY121" s="6">
        <v>45.86</v>
      </c>
      <c r="AZ121" s="6">
        <v>44.61</v>
      </c>
      <c r="BA121" s="6">
        <v>47.06</v>
      </c>
      <c r="BB121" s="6">
        <v>44.23</v>
      </c>
      <c r="BC121" s="6">
        <v>42.95</v>
      </c>
      <c r="BD121" s="6">
        <v>43.94</v>
      </c>
      <c r="BE121" s="6">
        <v>43.83</v>
      </c>
      <c r="BF121" s="6">
        <v>43.93</v>
      </c>
      <c r="BG121" s="6">
        <v>43.9</v>
      </c>
      <c r="BH121" s="6">
        <v>42.66</v>
      </c>
      <c r="BI121" s="6">
        <v>41.7</v>
      </c>
      <c r="BJ121" s="6">
        <v>45.54</v>
      </c>
      <c r="BK121" s="6">
        <v>44.27</v>
      </c>
      <c r="BL121" s="6">
        <v>43.55</v>
      </c>
      <c r="BM121" s="7">
        <v>42.06</v>
      </c>
      <c r="BN121" s="10"/>
    </row>
    <row r="122" spans="1:66" ht="15.75" customHeight="1" x14ac:dyDescent="0.25">
      <c r="A122" s="4">
        <v>120</v>
      </c>
      <c r="B122" s="4"/>
      <c r="C122" s="4">
        <v>30</v>
      </c>
      <c r="D122" s="6"/>
      <c r="E122" s="6">
        <v>42.23</v>
      </c>
      <c r="F122" s="6">
        <v>41.35</v>
      </c>
      <c r="G122" s="6">
        <v>42.09</v>
      </c>
      <c r="H122" s="6">
        <v>42.11</v>
      </c>
      <c r="I122" s="6">
        <v>43.94</v>
      </c>
      <c r="J122" s="6">
        <v>45.31</v>
      </c>
      <c r="K122" s="6">
        <v>44.97</v>
      </c>
      <c r="L122" s="6">
        <v>43.41</v>
      </c>
      <c r="M122" s="6">
        <v>45.35</v>
      </c>
      <c r="N122" s="6">
        <v>41.59</v>
      </c>
      <c r="O122" s="6">
        <v>41.94</v>
      </c>
      <c r="P122" s="6">
        <v>41.62</v>
      </c>
      <c r="Q122" s="6">
        <v>45.36</v>
      </c>
      <c r="R122" s="6">
        <v>41.59</v>
      </c>
      <c r="S122" s="6">
        <v>44.93</v>
      </c>
      <c r="T122" s="6">
        <v>44.47</v>
      </c>
      <c r="U122" s="6">
        <v>42.76</v>
      </c>
      <c r="V122" s="6">
        <v>45.06</v>
      </c>
      <c r="W122" s="6">
        <v>44.64</v>
      </c>
      <c r="X122" s="6">
        <v>44.98</v>
      </c>
      <c r="Y122" s="6">
        <v>42.28</v>
      </c>
      <c r="Z122" s="6">
        <v>40.4</v>
      </c>
      <c r="AA122" s="6">
        <v>42.38</v>
      </c>
      <c r="AB122" s="6">
        <v>44.44</v>
      </c>
      <c r="AC122" s="6">
        <v>41.08</v>
      </c>
      <c r="AD122" s="6">
        <v>41.89</v>
      </c>
      <c r="AE122" s="6">
        <v>44.21</v>
      </c>
      <c r="AF122" s="6">
        <v>43.62</v>
      </c>
      <c r="AG122" s="6">
        <v>42.05</v>
      </c>
      <c r="AH122" s="6">
        <v>44.78</v>
      </c>
      <c r="AI122" s="6">
        <v>44.04</v>
      </c>
      <c r="AJ122" s="6">
        <v>42.26</v>
      </c>
      <c r="AK122" s="6">
        <v>42.55</v>
      </c>
      <c r="AL122" s="6">
        <v>43.96</v>
      </c>
      <c r="AM122" s="6">
        <v>44.57</v>
      </c>
      <c r="AN122" s="6">
        <v>46.28</v>
      </c>
      <c r="AO122" s="6">
        <v>43.83</v>
      </c>
      <c r="AP122" s="6">
        <v>41.87</v>
      </c>
      <c r="AQ122" s="6">
        <v>44.06</v>
      </c>
      <c r="AR122" s="6">
        <v>43.44</v>
      </c>
      <c r="AS122" s="6">
        <v>43.38</v>
      </c>
      <c r="AT122" s="6">
        <v>45.9</v>
      </c>
      <c r="AU122" s="6">
        <v>43.64</v>
      </c>
      <c r="AV122" s="6"/>
      <c r="AW122" s="6"/>
      <c r="AX122" s="6">
        <v>43.84</v>
      </c>
      <c r="AY122" s="6">
        <v>46.03</v>
      </c>
      <c r="AZ122" s="6">
        <v>44.76</v>
      </c>
      <c r="BA122" s="6">
        <v>47.15</v>
      </c>
      <c r="BB122" s="6">
        <v>44.36</v>
      </c>
      <c r="BC122" s="6">
        <v>43.09</v>
      </c>
      <c r="BD122" s="6">
        <v>44.03</v>
      </c>
      <c r="BE122" s="6">
        <v>44.01</v>
      </c>
      <c r="BF122" s="6">
        <v>44.02</v>
      </c>
      <c r="BG122" s="6">
        <v>44.14</v>
      </c>
      <c r="BH122" s="6">
        <v>42.71</v>
      </c>
      <c r="BI122" s="6">
        <v>41.72</v>
      </c>
      <c r="BJ122" s="6">
        <v>45.83</v>
      </c>
      <c r="BK122" s="6">
        <v>44.33</v>
      </c>
      <c r="BL122" s="6">
        <v>43.65</v>
      </c>
      <c r="BM122" s="7">
        <v>42.08</v>
      </c>
      <c r="BN122" s="10"/>
    </row>
    <row r="123" spans="1:66" ht="15.75" customHeight="1" x14ac:dyDescent="0.25">
      <c r="A123" s="4">
        <v>121</v>
      </c>
      <c r="B123" s="5" t="s">
        <v>8</v>
      </c>
      <c r="C123" s="4">
        <v>1</v>
      </c>
      <c r="D123" s="6"/>
      <c r="E123" s="6">
        <v>42.34</v>
      </c>
      <c r="F123" s="6">
        <v>41.35</v>
      </c>
      <c r="G123" s="6">
        <v>42.24</v>
      </c>
      <c r="H123" s="6">
        <v>42.26</v>
      </c>
      <c r="I123" s="6">
        <v>43.96</v>
      </c>
      <c r="J123" s="6">
        <v>45.33</v>
      </c>
      <c r="K123" s="6">
        <v>44.99</v>
      </c>
      <c r="L123" s="6">
        <v>43.5</v>
      </c>
      <c r="M123" s="6">
        <v>45.56</v>
      </c>
      <c r="N123" s="6">
        <v>41.64</v>
      </c>
      <c r="O123" s="6">
        <v>41.95</v>
      </c>
      <c r="P123" s="6">
        <v>41.7</v>
      </c>
      <c r="Q123" s="6">
        <v>45.56</v>
      </c>
      <c r="R123" s="6">
        <v>41.69</v>
      </c>
      <c r="S123" s="6">
        <v>44.96</v>
      </c>
      <c r="T123" s="6">
        <v>44.58</v>
      </c>
      <c r="U123" s="6">
        <v>42.93</v>
      </c>
      <c r="V123" s="6">
        <v>45.29</v>
      </c>
      <c r="W123" s="6">
        <v>44.93</v>
      </c>
      <c r="X123" s="6">
        <v>45.39</v>
      </c>
      <c r="Y123" s="6">
        <v>42.49</v>
      </c>
      <c r="Z123" s="6">
        <v>40.58</v>
      </c>
      <c r="AA123" s="6">
        <v>42.44</v>
      </c>
      <c r="AB123" s="6">
        <v>44.57</v>
      </c>
      <c r="AC123" s="6">
        <v>41.13</v>
      </c>
      <c r="AD123" s="6">
        <v>41.96</v>
      </c>
      <c r="AE123" s="6">
        <v>44.4</v>
      </c>
      <c r="AF123" s="6">
        <v>43.8</v>
      </c>
      <c r="AG123" s="6">
        <v>42.13</v>
      </c>
      <c r="AH123" s="6">
        <v>44.88</v>
      </c>
      <c r="AI123" s="6">
        <v>44.31</v>
      </c>
      <c r="AJ123" s="6">
        <v>42.49</v>
      </c>
      <c r="AK123" s="6">
        <v>42.78</v>
      </c>
      <c r="AL123" s="6">
        <v>44</v>
      </c>
      <c r="AM123" s="6">
        <v>44.72</v>
      </c>
      <c r="AN123" s="6">
        <v>46.38</v>
      </c>
      <c r="AO123" s="6">
        <v>43.86</v>
      </c>
      <c r="AP123" s="6">
        <v>41.93</v>
      </c>
      <c r="AQ123" s="6">
        <v>44.09</v>
      </c>
      <c r="AR123" s="6">
        <v>43.7</v>
      </c>
      <c r="AS123" s="6">
        <v>43.62</v>
      </c>
      <c r="AT123" s="6">
        <v>45.94</v>
      </c>
      <c r="AU123" s="6">
        <v>43.66</v>
      </c>
      <c r="AV123" s="6"/>
      <c r="AW123" s="6"/>
      <c r="AX123" s="6">
        <v>43.84</v>
      </c>
      <c r="AY123" s="6">
        <v>46.16</v>
      </c>
      <c r="AZ123" s="6">
        <v>44.88</v>
      </c>
      <c r="BA123" s="6">
        <v>47.28</v>
      </c>
      <c r="BB123" s="6">
        <v>44.47</v>
      </c>
      <c r="BC123" s="6">
        <v>43.31</v>
      </c>
      <c r="BD123" s="6">
        <v>44.1</v>
      </c>
      <c r="BE123" s="6">
        <v>44.25</v>
      </c>
      <c r="BF123" s="6">
        <v>44.14</v>
      </c>
      <c r="BG123" s="6">
        <v>44.43</v>
      </c>
      <c r="BH123" s="6">
        <v>42.85</v>
      </c>
      <c r="BI123" s="6">
        <v>41.7</v>
      </c>
      <c r="BJ123" s="6">
        <v>45.94</v>
      </c>
      <c r="BK123" s="6">
        <v>44.45</v>
      </c>
      <c r="BL123" s="6">
        <v>43.79</v>
      </c>
      <c r="BM123" s="7">
        <v>42.13</v>
      </c>
      <c r="BN123" s="10"/>
    </row>
    <row r="124" spans="1:66" ht="15.75" customHeight="1" x14ac:dyDescent="0.25">
      <c r="A124" s="4">
        <v>122</v>
      </c>
      <c r="B124" s="4"/>
      <c r="C124" s="4">
        <v>2</v>
      </c>
      <c r="D124" s="6"/>
      <c r="E124" s="6">
        <v>42.52</v>
      </c>
      <c r="F124" s="6">
        <v>41.36</v>
      </c>
      <c r="G124" s="6">
        <v>42.39</v>
      </c>
      <c r="H124" s="6">
        <v>42.46</v>
      </c>
      <c r="I124" s="6">
        <v>44.06</v>
      </c>
      <c r="J124" s="6">
        <v>45.37</v>
      </c>
      <c r="K124" s="6">
        <v>45.01</v>
      </c>
      <c r="L124" s="6">
        <v>43.65</v>
      </c>
      <c r="M124" s="6">
        <v>45.68</v>
      </c>
      <c r="N124" s="6">
        <v>41.69</v>
      </c>
      <c r="O124" s="6">
        <v>41.97</v>
      </c>
      <c r="P124" s="6">
        <v>41.92</v>
      </c>
      <c r="Q124" s="6">
        <v>45.76</v>
      </c>
      <c r="R124" s="6">
        <v>41.79</v>
      </c>
      <c r="S124" s="6">
        <v>45.02</v>
      </c>
      <c r="T124" s="6">
        <v>44.69</v>
      </c>
      <c r="U124" s="6">
        <v>43.01</v>
      </c>
      <c r="V124" s="6">
        <v>45.45</v>
      </c>
      <c r="W124" s="6">
        <v>45.31</v>
      </c>
      <c r="X124" s="6">
        <v>45.64</v>
      </c>
      <c r="Y124" s="6">
        <v>42.73</v>
      </c>
      <c r="Z124" s="6">
        <v>40.68</v>
      </c>
      <c r="AA124" s="6">
        <v>42.47</v>
      </c>
      <c r="AB124" s="6">
        <v>44.66</v>
      </c>
      <c r="AC124" s="6">
        <v>41.13</v>
      </c>
      <c r="AD124" s="6">
        <v>42.02</v>
      </c>
      <c r="AE124" s="6">
        <v>44.59</v>
      </c>
      <c r="AF124" s="6">
        <v>43.98</v>
      </c>
      <c r="AG124" s="6">
        <v>42.23</v>
      </c>
      <c r="AH124" s="6">
        <v>44.91</v>
      </c>
      <c r="AI124" s="6">
        <v>44.48</v>
      </c>
      <c r="AJ124" s="6">
        <v>42.74</v>
      </c>
      <c r="AK124" s="6">
        <v>42.85</v>
      </c>
      <c r="AL124" s="6">
        <v>43.99</v>
      </c>
      <c r="AM124" s="6">
        <v>44.92</v>
      </c>
      <c r="AN124" s="6">
        <v>46.5</v>
      </c>
      <c r="AO124" s="6">
        <v>44</v>
      </c>
      <c r="AP124" s="6">
        <v>42.02</v>
      </c>
      <c r="AQ124" s="6">
        <v>44.12</v>
      </c>
      <c r="AR124" s="6">
        <v>43.93</v>
      </c>
      <c r="AS124" s="6">
        <v>43.73</v>
      </c>
      <c r="AT124" s="6">
        <v>45.98</v>
      </c>
      <c r="AU124" s="6">
        <v>43.72</v>
      </c>
      <c r="AV124" s="6"/>
      <c r="AW124" s="6"/>
      <c r="AX124" s="6">
        <v>43.85</v>
      </c>
      <c r="AY124" s="6">
        <v>46.25</v>
      </c>
      <c r="AZ124" s="6">
        <v>45.01</v>
      </c>
      <c r="BA124" s="6">
        <v>47.34</v>
      </c>
      <c r="BB124" s="6">
        <v>44.59</v>
      </c>
      <c r="BC124" s="6">
        <v>43.51</v>
      </c>
      <c r="BD124" s="6">
        <v>44.16</v>
      </c>
      <c r="BE124" s="6">
        <v>44.49</v>
      </c>
      <c r="BF124" s="6">
        <v>44.26</v>
      </c>
      <c r="BG124" s="6">
        <v>44.75</v>
      </c>
      <c r="BH124" s="6">
        <v>43.01</v>
      </c>
      <c r="BI124" s="6">
        <v>41.7</v>
      </c>
      <c r="BJ124" s="6">
        <v>46.16</v>
      </c>
      <c r="BK124" s="6">
        <v>44.63</v>
      </c>
      <c r="BL124" s="6">
        <v>43.91</v>
      </c>
      <c r="BM124" s="7">
        <v>42.17</v>
      </c>
      <c r="BN124" s="10"/>
    </row>
    <row r="125" spans="1:66" ht="15.75" customHeight="1" x14ac:dyDescent="0.25">
      <c r="A125" s="4">
        <v>123</v>
      </c>
      <c r="B125" s="4"/>
      <c r="C125" s="4">
        <v>3</v>
      </c>
      <c r="D125" s="6"/>
      <c r="E125" s="6">
        <v>42.68</v>
      </c>
      <c r="F125" s="6">
        <v>41.51</v>
      </c>
      <c r="G125" s="6">
        <v>42.54</v>
      </c>
      <c r="H125" s="6">
        <v>42.66</v>
      </c>
      <c r="I125" s="6">
        <v>44.16</v>
      </c>
      <c r="J125" s="6">
        <v>45.31</v>
      </c>
      <c r="K125" s="6">
        <v>45.02</v>
      </c>
      <c r="L125" s="6">
        <v>43.84</v>
      </c>
      <c r="M125" s="6">
        <v>45.89</v>
      </c>
      <c r="N125" s="6">
        <v>41.74</v>
      </c>
      <c r="O125" s="6">
        <v>42.03</v>
      </c>
      <c r="P125" s="6">
        <v>42.11</v>
      </c>
      <c r="Q125" s="6">
        <v>45.97</v>
      </c>
      <c r="R125" s="6">
        <v>41.87</v>
      </c>
      <c r="S125" s="6">
        <v>45.12</v>
      </c>
      <c r="T125" s="6">
        <v>44.8</v>
      </c>
      <c r="U125" s="6">
        <v>43.11</v>
      </c>
      <c r="V125" s="6">
        <v>45.6</v>
      </c>
      <c r="W125" s="6">
        <v>45.49</v>
      </c>
      <c r="X125" s="6">
        <v>45.87</v>
      </c>
      <c r="Y125" s="6">
        <v>42.94</v>
      </c>
      <c r="Z125" s="6">
        <v>40.89</v>
      </c>
      <c r="AA125" s="6">
        <v>42.5</v>
      </c>
      <c r="AB125" s="6">
        <v>44.75</v>
      </c>
      <c r="AC125" s="6">
        <v>41.22</v>
      </c>
      <c r="AD125" s="6">
        <v>42.07</v>
      </c>
      <c r="AE125" s="6">
        <v>44.82</v>
      </c>
      <c r="AF125" s="6">
        <v>44.09</v>
      </c>
      <c r="AG125" s="6">
        <v>42.3</v>
      </c>
      <c r="AH125" s="6">
        <v>45.03</v>
      </c>
      <c r="AI125" s="6">
        <v>44.59</v>
      </c>
      <c r="AJ125" s="6">
        <v>43</v>
      </c>
      <c r="AK125" s="6">
        <v>42.91</v>
      </c>
      <c r="AL125" s="6">
        <v>43.98</v>
      </c>
      <c r="AM125" s="6">
        <v>45.02</v>
      </c>
      <c r="AN125" s="6">
        <v>46.56</v>
      </c>
      <c r="AO125" s="6">
        <v>44.19</v>
      </c>
      <c r="AP125" s="6">
        <v>42.14</v>
      </c>
      <c r="AQ125" s="6">
        <v>44.14</v>
      </c>
      <c r="AR125" s="6">
        <v>44.08</v>
      </c>
      <c r="AS125" s="6">
        <v>43.86</v>
      </c>
      <c r="AT125" s="6">
        <v>46.01</v>
      </c>
      <c r="AU125" s="6">
        <v>43.79</v>
      </c>
      <c r="AV125" s="6"/>
      <c r="AW125" s="6"/>
      <c r="AX125" s="6">
        <v>43.85</v>
      </c>
      <c r="AY125" s="6">
        <v>46.29</v>
      </c>
      <c r="AZ125" s="6">
        <v>45.16</v>
      </c>
      <c r="BA125" s="6">
        <v>47.42</v>
      </c>
      <c r="BB125" s="6">
        <v>44.69</v>
      </c>
      <c r="BC125" s="6">
        <v>43.71</v>
      </c>
      <c r="BD125" s="6">
        <v>44.22</v>
      </c>
      <c r="BE125" s="6">
        <v>44.71</v>
      </c>
      <c r="BF125" s="6">
        <v>44.45</v>
      </c>
      <c r="BG125" s="6">
        <v>45.07</v>
      </c>
      <c r="BH125" s="6">
        <v>43.13</v>
      </c>
      <c r="BI125" s="6">
        <v>41.68</v>
      </c>
      <c r="BJ125" s="6">
        <v>46.39</v>
      </c>
      <c r="BK125" s="6">
        <v>44.8</v>
      </c>
      <c r="BL125" s="6">
        <v>43.98</v>
      </c>
      <c r="BM125" s="7">
        <v>42.27</v>
      </c>
      <c r="BN125" s="10"/>
    </row>
    <row r="126" spans="1:66" ht="15.75" customHeight="1" x14ac:dyDescent="0.25">
      <c r="A126" s="4">
        <v>124</v>
      </c>
      <c r="B126" s="4"/>
      <c r="C126" s="4">
        <v>4</v>
      </c>
      <c r="D126" s="6"/>
      <c r="E126" s="6">
        <v>42.77</v>
      </c>
      <c r="F126" s="6">
        <v>41.63</v>
      </c>
      <c r="G126" s="6">
        <v>42.69</v>
      </c>
      <c r="H126" s="6">
        <v>42.86</v>
      </c>
      <c r="I126" s="6">
        <v>44.36</v>
      </c>
      <c r="J126" s="6">
        <v>45.21</v>
      </c>
      <c r="K126" s="6">
        <v>45.12</v>
      </c>
      <c r="L126" s="6">
        <v>44.08</v>
      </c>
      <c r="M126" s="6">
        <v>46.09</v>
      </c>
      <c r="N126" s="6">
        <v>41.74</v>
      </c>
      <c r="O126" s="6">
        <v>42.12</v>
      </c>
      <c r="P126" s="6">
        <v>42.46</v>
      </c>
      <c r="Q126" s="6">
        <v>46.17</v>
      </c>
      <c r="R126" s="6">
        <v>41.97</v>
      </c>
      <c r="S126" s="6">
        <v>45.23</v>
      </c>
      <c r="T126" s="6">
        <v>44.91</v>
      </c>
      <c r="U126" s="6">
        <v>43.18</v>
      </c>
      <c r="V126" s="6">
        <v>45.75</v>
      </c>
      <c r="W126" s="6">
        <v>45.68</v>
      </c>
      <c r="X126" s="6">
        <v>46.08</v>
      </c>
      <c r="Y126" s="6">
        <v>43.15</v>
      </c>
      <c r="Z126" s="6">
        <v>41.02</v>
      </c>
      <c r="AA126" s="6">
        <v>42.54</v>
      </c>
      <c r="AB126" s="6">
        <v>44.81</v>
      </c>
      <c r="AC126" s="6">
        <v>41.33</v>
      </c>
      <c r="AD126" s="6">
        <v>42.12</v>
      </c>
      <c r="AE126" s="6">
        <v>44.98</v>
      </c>
      <c r="AF126" s="6">
        <v>44.16</v>
      </c>
      <c r="AG126" s="6">
        <v>42.42</v>
      </c>
      <c r="AH126" s="6">
        <v>45.13</v>
      </c>
      <c r="AI126" s="6">
        <v>44.72</v>
      </c>
      <c r="AJ126" s="6">
        <v>43.24</v>
      </c>
      <c r="AK126" s="6">
        <v>43</v>
      </c>
      <c r="AL126" s="6">
        <v>43.96</v>
      </c>
      <c r="AM126" s="6">
        <v>45.29</v>
      </c>
      <c r="AN126" s="6">
        <v>46.68</v>
      </c>
      <c r="AO126" s="6">
        <v>44.33</v>
      </c>
      <c r="AP126" s="6">
        <v>42.33</v>
      </c>
      <c r="AQ126" s="6">
        <v>44.14</v>
      </c>
      <c r="AR126" s="6">
        <v>44.29</v>
      </c>
      <c r="AS126" s="6">
        <v>44.02</v>
      </c>
      <c r="AT126" s="6">
        <v>46.05</v>
      </c>
      <c r="AU126" s="6">
        <v>43.96</v>
      </c>
      <c r="AV126" s="6"/>
      <c r="AW126" s="6"/>
      <c r="AX126" s="6">
        <v>43.88</v>
      </c>
      <c r="AY126" s="6">
        <v>46.32</v>
      </c>
      <c r="AZ126" s="6">
        <v>45.24</v>
      </c>
      <c r="BA126" s="6">
        <v>47.49</v>
      </c>
      <c r="BB126" s="6">
        <v>44.78</v>
      </c>
      <c r="BC126" s="6">
        <v>43.83</v>
      </c>
      <c r="BD126" s="6">
        <v>44.24</v>
      </c>
      <c r="BE126" s="6">
        <v>44.87</v>
      </c>
      <c r="BF126" s="6">
        <v>44.6</v>
      </c>
      <c r="BG126" s="6">
        <v>45.36</v>
      </c>
      <c r="BH126" s="6">
        <v>43.24</v>
      </c>
      <c r="BI126" s="6">
        <v>41.68</v>
      </c>
      <c r="BJ126" s="6">
        <v>46.64</v>
      </c>
      <c r="BK126" s="6">
        <v>44.9</v>
      </c>
      <c r="BL126" s="6">
        <v>43.99</v>
      </c>
      <c r="BM126" s="7">
        <v>42.42</v>
      </c>
      <c r="BN126" s="10"/>
    </row>
    <row r="127" spans="1:66" ht="15.75" customHeight="1" x14ac:dyDescent="0.25">
      <c r="A127" s="4">
        <v>125</v>
      </c>
      <c r="B127" s="4"/>
      <c r="C127" s="4">
        <v>5</v>
      </c>
      <c r="D127" s="6"/>
      <c r="E127" s="6">
        <v>42.84</v>
      </c>
      <c r="F127" s="6">
        <v>41.76</v>
      </c>
      <c r="G127" s="6">
        <v>42.82</v>
      </c>
      <c r="H127" s="6">
        <v>43.06</v>
      </c>
      <c r="I127" s="6">
        <v>44.46</v>
      </c>
      <c r="J127" s="6">
        <v>45.14</v>
      </c>
      <c r="K127" s="6">
        <v>45.21</v>
      </c>
      <c r="L127" s="6">
        <v>44.25</v>
      </c>
      <c r="M127" s="6">
        <v>46.21</v>
      </c>
      <c r="N127" s="6">
        <v>41.76</v>
      </c>
      <c r="O127" s="6">
        <v>42.24</v>
      </c>
      <c r="P127" s="6">
        <v>42.76</v>
      </c>
      <c r="Q127" s="6">
        <v>46.37</v>
      </c>
      <c r="R127" s="6">
        <v>42.03</v>
      </c>
      <c r="S127" s="6">
        <v>45.38</v>
      </c>
      <c r="T127" s="6">
        <v>44.98</v>
      </c>
      <c r="U127" s="6">
        <v>43.26</v>
      </c>
      <c r="V127" s="6">
        <v>45.88</v>
      </c>
      <c r="W127" s="6">
        <v>45.88</v>
      </c>
      <c r="X127" s="6">
        <v>46.24</v>
      </c>
      <c r="Y127" s="6">
        <v>43.31</v>
      </c>
      <c r="Z127" s="6">
        <v>41.2</v>
      </c>
      <c r="AA127" s="6">
        <v>42.62</v>
      </c>
      <c r="AB127" s="6">
        <v>44.82</v>
      </c>
      <c r="AC127" s="6">
        <v>41.36</v>
      </c>
      <c r="AD127" s="6">
        <v>42.17</v>
      </c>
      <c r="AE127" s="6">
        <v>45.11</v>
      </c>
      <c r="AF127" s="6">
        <v>44.12</v>
      </c>
      <c r="AG127" s="6">
        <v>42.56</v>
      </c>
      <c r="AH127" s="6">
        <v>45.28</v>
      </c>
      <c r="AI127" s="6">
        <v>44.8</v>
      </c>
      <c r="AJ127" s="6">
        <v>43.47</v>
      </c>
      <c r="AK127" s="6">
        <v>43.06</v>
      </c>
      <c r="AL127" s="6">
        <v>43.92</v>
      </c>
      <c r="AM127" s="6">
        <v>45.44</v>
      </c>
      <c r="AN127" s="6">
        <v>46.78</v>
      </c>
      <c r="AO127" s="6">
        <v>44.46</v>
      </c>
      <c r="AP127" s="6">
        <v>42.54</v>
      </c>
      <c r="AQ127" s="6">
        <v>44.14</v>
      </c>
      <c r="AR127" s="6">
        <v>44.41</v>
      </c>
      <c r="AS127" s="6">
        <v>44.18</v>
      </c>
      <c r="AT127" s="6">
        <v>46.08</v>
      </c>
      <c r="AU127" s="6">
        <v>44.11</v>
      </c>
      <c r="AV127" s="6"/>
      <c r="AW127" s="6"/>
      <c r="AX127" s="6">
        <v>43.91</v>
      </c>
      <c r="AY127" s="6">
        <v>46.38</v>
      </c>
      <c r="AZ127" s="6">
        <v>45.44</v>
      </c>
      <c r="BA127" s="6">
        <v>47.64</v>
      </c>
      <c r="BB127" s="6">
        <v>44.86</v>
      </c>
      <c r="BC127" s="6">
        <v>44.09</v>
      </c>
      <c r="BD127" s="6">
        <v>44.2</v>
      </c>
      <c r="BE127" s="6">
        <v>45.16</v>
      </c>
      <c r="BF127" s="6">
        <v>44.79</v>
      </c>
      <c r="BG127" s="6">
        <v>45.64</v>
      </c>
      <c r="BH127" s="6">
        <v>43.3</v>
      </c>
      <c r="BI127" s="6">
        <v>41.72</v>
      </c>
      <c r="BJ127" s="6">
        <v>46.81</v>
      </c>
      <c r="BK127" s="6">
        <v>44.99</v>
      </c>
      <c r="BL127" s="6">
        <v>43.97</v>
      </c>
      <c r="BM127" s="7">
        <v>42.6</v>
      </c>
      <c r="BN127" s="23"/>
    </row>
    <row r="128" spans="1:66" ht="15.75" customHeight="1" x14ac:dyDescent="0.25">
      <c r="A128" s="4">
        <v>126</v>
      </c>
      <c r="B128" s="4"/>
      <c r="C128" s="4">
        <v>6</v>
      </c>
      <c r="D128" s="6"/>
      <c r="E128" s="6">
        <v>42.91</v>
      </c>
      <c r="F128" s="6">
        <v>41.96</v>
      </c>
      <c r="G128" s="6">
        <v>42.96</v>
      </c>
      <c r="H128" s="6">
        <v>43.26</v>
      </c>
      <c r="I128" s="6">
        <v>44.66</v>
      </c>
      <c r="J128" s="6">
        <v>45.06</v>
      </c>
      <c r="K128" s="6">
        <v>45.3</v>
      </c>
      <c r="L128" s="6">
        <v>44.4</v>
      </c>
      <c r="M128" s="6">
        <v>46.41</v>
      </c>
      <c r="N128" s="6">
        <v>41.84</v>
      </c>
      <c r="O128" s="6">
        <v>42.38</v>
      </c>
      <c r="P128" s="6">
        <v>43.01</v>
      </c>
      <c r="Q128" s="6">
        <v>46.56</v>
      </c>
      <c r="R128" s="6">
        <v>42.08</v>
      </c>
      <c r="S128" s="6">
        <v>45.46</v>
      </c>
      <c r="T128" s="6">
        <v>45.04</v>
      </c>
      <c r="U128" s="6">
        <v>43.36</v>
      </c>
      <c r="V128" s="6">
        <v>45.98</v>
      </c>
      <c r="W128" s="6">
        <v>46.04</v>
      </c>
      <c r="X128" s="6">
        <v>46.4</v>
      </c>
      <c r="Y128" s="6">
        <v>43.45</v>
      </c>
      <c r="Z128" s="6">
        <v>41.34</v>
      </c>
      <c r="AA128" s="6">
        <v>42.71</v>
      </c>
      <c r="AB128" s="6">
        <v>44.89</v>
      </c>
      <c r="AC128" s="6">
        <v>41.36</v>
      </c>
      <c r="AD128" s="6">
        <v>42.24</v>
      </c>
      <c r="AE128" s="6">
        <v>45.25</v>
      </c>
      <c r="AF128" s="6">
        <v>44.27</v>
      </c>
      <c r="AG128" s="6">
        <v>42.64</v>
      </c>
      <c r="AH128" s="6">
        <v>45.44</v>
      </c>
      <c r="AI128" s="6">
        <v>44.88</v>
      </c>
      <c r="AJ128" s="6">
        <v>43.65</v>
      </c>
      <c r="AK128" s="6">
        <v>43.18</v>
      </c>
      <c r="AL128" s="6">
        <v>43.9</v>
      </c>
      <c r="AM128" s="6">
        <v>45.56</v>
      </c>
      <c r="AN128" s="6">
        <v>46.84</v>
      </c>
      <c r="AO128" s="6">
        <v>44.53</v>
      </c>
      <c r="AP128" s="6">
        <v>42.74</v>
      </c>
      <c r="AQ128" s="6">
        <v>44.18</v>
      </c>
      <c r="AR128" s="6">
        <v>44.5</v>
      </c>
      <c r="AS128" s="6">
        <v>44.34</v>
      </c>
      <c r="AT128" s="6">
        <v>46.1</v>
      </c>
      <c r="AU128" s="6">
        <v>44.32</v>
      </c>
      <c r="AV128" s="6"/>
      <c r="AW128" s="6"/>
      <c r="AX128" s="6">
        <v>44.01</v>
      </c>
      <c r="AY128" s="6">
        <v>46.45</v>
      </c>
      <c r="AZ128" s="6">
        <v>45.63</v>
      </c>
      <c r="BA128" s="6">
        <v>47.74</v>
      </c>
      <c r="BB128" s="6">
        <v>44.94</v>
      </c>
      <c r="BC128" s="6">
        <v>44.13</v>
      </c>
      <c r="BD128" s="6">
        <v>44.18</v>
      </c>
      <c r="BE128" s="6">
        <v>45.49</v>
      </c>
      <c r="BF128" s="6">
        <v>44.95</v>
      </c>
      <c r="BG128" s="6">
        <v>45.88</v>
      </c>
      <c r="BH128" s="6">
        <v>43.24</v>
      </c>
      <c r="BI128" s="6">
        <v>41.77</v>
      </c>
      <c r="BJ128" s="6">
        <v>46.92</v>
      </c>
      <c r="BK128" s="6">
        <v>45.1</v>
      </c>
      <c r="BL128" s="6">
        <v>43.93</v>
      </c>
      <c r="BM128" s="7">
        <v>42.86</v>
      </c>
      <c r="BN128" s="10"/>
    </row>
    <row r="129" spans="1:66" ht="15.75" customHeight="1" x14ac:dyDescent="0.25">
      <c r="A129" s="4">
        <v>127</v>
      </c>
      <c r="B129" s="4"/>
      <c r="C129" s="4">
        <v>7</v>
      </c>
      <c r="D129" s="6"/>
      <c r="E129" s="6">
        <v>42.94</v>
      </c>
      <c r="F129" s="6">
        <v>42.14</v>
      </c>
      <c r="G129" s="6">
        <v>43.11</v>
      </c>
      <c r="H129" s="6">
        <v>43.46</v>
      </c>
      <c r="I129" s="6">
        <v>44.76</v>
      </c>
      <c r="J129" s="6">
        <v>44.96</v>
      </c>
      <c r="K129" s="6">
        <v>45.39</v>
      </c>
      <c r="L129" s="6">
        <v>44.51</v>
      </c>
      <c r="M129" s="6">
        <v>46.58</v>
      </c>
      <c r="N129" s="6">
        <v>41.88</v>
      </c>
      <c r="O129" s="6">
        <v>42.5</v>
      </c>
      <c r="P129" s="6">
        <v>43.16</v>
      </c>
      <c r="Q129" s="6">
        <v>46.71</v>
      </c>
      <c r="R129" s="6">
        <v>42.21</v>
      </c>
      <c r="S129" s="6">
        <v>45.57</v>
      </c>
      <c r="T129" s="6">
        <v>45.09</v>
      </c>
      <c r="U129" s="6">
        <v>43.56</v>
      </c>
      <c r="V129" s="6">
        <v>46.07</v>
      </c>
      <c r="W129" s="6">
        <v>46.23</v>
      </c>
      <c r="X129" s="6">
        <v>46.52</v>
      </c>
      <c r="Y129" s="6">
        <v>43.56</v>
      </c>
      <c r="Z129" s="6">
        <v>41.5</v>
      </c>
      <c r="AA129" s="6">
        <v>42.85</v>
      </c>
      <c r="AB129" s="6">
        <v>44.95</v>
      </c>
      <c r="AC129" s="6">
        <v>41.41</v>
      </c>
      <c r="AD129" s="6">
        <v>42.36</v>
      </c>
      <c r="AE129" s="6">
        <v>45.34</v>
      </c>
      <c r="AF129" s="6">
        <v>44.29</v>
      </c>
      <c r="AG129" s="6">
        <v>42.64</v>
      </c>
      <c r="AH129" s="6">
        <v>45.61</v>
      </c>
      <c r="AI129" s="6">
        <v>44.96</v>
      </c>
      <c r="AJ129" s="6">
        <v>43.77</v>
      </c>
      <c r="AK129" s="6">
        <v>43.3</v>
      </c>
      <c r="AL129" s="6">
        <v>43.91</v>
      </c>
      <c r="AM129" s="6">
        <v>45.65</v>
      </c>
      <c r="AN129" s="6">
        <v>46.95</v>
      </c>
      <c r="AO129" s="6">
        <v>44.58</v>
      </c>
      <c r="AP129" s="6">
        <v>42.93</v>
      </c>
      <c r="AQ129" s="6">
        <v>44.25</v>
      </c>
      <c r="AR129" s="6">
        <v>44.62</v>
      </c>
      <c r="AS129" s="6">
        <v>44.54</v>
      </c>
      <c r="AT129" s="6">
        <v>46.14</v>
      </c>
      <c r="AU129" s="6">
        <v>44.58</v>
      </c>
      <c r="AV129" s="6"/>
      <c r="AW129" s="6"/>
      <c r="AX129" s="6">
        <v>44.05</v>
      </c>
      <c r="AY129" s="6">
        <v>46.51</v>
      </c>
      <c r="AZ129" s="6">
        <v>45.8</v>
      </c>
      <c r="BA129" s="6">
        <v>47.86</v>
      </c>
      <c r="BB129" s="6">
        <v>45</v>
      </c>
      <c r="BC129" s="6">
        <v>44.21</v>
      </c>
      <c r="BD129" s="6">
        <v>44.12</v>
      </c>
      <c r="BE129" s="6">
        <v>45.64</v>
      </c>
      <c r="BF129" s="6">
        <v>45.16</v>
      </c>
      <c r="BG129" s="6">
        <v>46.1</v>
      </c>
      <c r="BH129" s="6">
        <v>43.48</v>
      </c>
      <c r="BI129" s="6">
        <v>41.89</v>
      </c>
      <c r="BJ129" s="6">
        <v>47.01</v>
      </c>
      <c r="BK129" s="6">
        <v>45.23</v>
      </c>
      <c r="BL129" s="6">
        <v>43.87</v>
      </c>
      <c r="BM129" s="7">
        <v>43.16</v>
      </c>
      <c r="BN129" s="23"/>
    </row>
    <row r="130" spans="1:66" ht="15.75" customHeight="1" x14ac:dyDescent="0.25">
      <c r="A130" s="4">
        <v>128</v>
      </c>
      <c r="B130" s="4"/>
      <c r="C130" s="4">
        <v>8</v>
      </c>
      <c r="D130" s="6"/>
      <c r="E130" s="6">
        <v>42.95</v>
      </c>
      <c r="F130" s="6">
        <v>42.31</v>
      </c>
      <c r="G130" s="6">
        <v>43.26</v>
      </c>
      <c r="H130" s="6">
        <v>43.66</v>
      </c>
      <c r="I130" s="6">
        <v>44.76</v>
      </c>
      <c r="J130" s="6">
        <v>44.95</v>
      </c>
      <c r="K130" s="6">
        <v>45.46</v>
      </c>
      <c r="L130" s="6">
        <v>44.57</v>
      </c>
      <c r="M130" s="6">
        <v>46.68</v>
      </c>
      <c r="N130" s="6">
        <v>41.88</v>
      </c>
      <c r="O130" s="6">
        <v>42.66</v>
      </c>
      <c r="P130" s="6">
        <v>43.36</v>
      </c>
      <c r="Q130" s="6">
        <v>46.85</v>
      </c>
      <c r="R130" s="6">
        <v>42.26</v>
      </c>
      <c r="S130" s="6">
        <v>45.72</v>
      </c>
      <c r="T130" s="6">
        <v>45.14</v>
      </c>
      <c r="U130" s="6">
        <v>43.81</v>
      </c>
      <c r="V130" s="6">
        <v>46.17</v>
      </c>
      <c r="W130" s="6">
        <v>46.4</v>
      </c>
      <c r="X130" s="6">
        <v>46.64</v>
      </c>
      <c r="Y130" s="6">
        <v>43.61</v>
      </c>
      <c r="Z130" s="6">
        <v>41.6</v>
      </c>
      <c r="AA130" s="6">
        <v>43</v>
      </c>
      <c r="AB130" s="6">
        <v>45.02</v>
      </c>
      <c r="AC130" s="6">
        <v>41.45</v>
      </c>
      <c r="AD130" s="6">
        <v>42.45</v>
      </c>
      <c r="AE130" s="6">
        <v>45.49</v>
      </c>
      <c r="AF130" s="6">
        <v>44.29</v>
      </c>
      <c r="AG130" s="6">
        <v>42.65</v>
      </c>
      <c r="AH130" s="6">
        <v>45.74</v>
      </c>
      <c r="AI130" s="6">
        <v>45.04</v>
      </c>
      <c r="AJ130" s="6">
        <v>43.87</v>
      </c>
      <c r="AK130" s="6">
        <v>43.68</v>
      </c>
      <c r="AL130" s="6">
        <v>43.96</v>
      </c>
      <c r="AM130" s="6">
        <v>45.79</v>
      </c>
      <c r="AN130" s="6">
        <v>46.92</v>
      </c>
      <c r="AO130" s="6">
        <v>44.64</v>
      </c>
      <c r="AP130" s="6">
        <v>43.13</v>
      </c>
      <c r="AQ130" s="6">
        <v>44.4</v>
      </c>
      <c r="AR130" s="6">
        <v>44.74</v>
      </c>
      <c r="AS130" s="6">
        <v>44.76</v>
      </c>
      <c r="AT130" s="6">
        <v>46.19</v>
      </c>
      <c r="AU130" s="6">
        <v>44.86</v>
      </c>
      <c r="AV130" s="6"/>
      <c r="AW130" s="6"/>
      <c r="AX130" s="6">
        <v>44.1</v>
      </c>
      <c r="AY130" s="6">
        <v>46.58</v>
      </c>
      <c r="AZ130" s="6">
        <v>46</v>
      </c>
      <c r="BA130" s="6">
        <v>48</v>
      </c>
      <c r="BB130" s="6">
        <v>45.13</v>
      </c>
      <c r="BC130" s="6">
        <v>44.31</v>
      </c>
      <c r="BD130" s="6">
        <v>44.07</v>
      </c>
      <c r="BE130" s="6">
        <v>45.85</v>
      </c>
      <c r="BF130" s="6">
        <v>45.38</v>
      </c>
      <c r="BG130" s="6">
        <v>46.35</v>
      </c>
      <c r="BH130" s="6">
        <v>43.59</v>
      </c>
      <c r="BI130" s="6">
        <v>42.06</v>
      </c>
      <c r="BJ130" s="6">
        <v>47.08</v>
      </c>
      <c r="BK130" s="6">
        <v>45.4</v>
      </c>
      <c r="BL130" s="6">
        <v>43.83</v>
      </c>
      <c r="BM130" s="7">
        <v>43.52</v>
      </c>
      <c r="BN130" s="10"/>
    </row>
    <row r="131" spans="1:66" ht="15.75" customHeight="1" x14ac:dyDescent="0.25">
      <c r="A131" s="4">
        <v>129</v>
      </c>
      <c r="B131" s="4"/>
      <c r="C131" s="4">
        <v>9</v>
      </c>
      <c r="D131" s="6"/>
      <c r="E131" s="6">
        <v>42.98</v>
      </c>
      <c r="F131" s="6">
        <v>42.44</v>
      </c>
      <c r="G131" s="6">
        <v>43.36</v>
      </c>
      <c r="H131" s="6">
        <v>43.86</v>
      </c>
      <c r="I131" s="6">
        <v>44.86</v>
      </c>
      <c r="J131" s="6">
        <v>45.21</v>
      </c>
      <c r="K131" s="6">
        <v>45.49</v>
      </c>
      <c r="L131" s="6">
        <v>44.65</v>
      </c>
      <c r="M131" s="6">
        <v>46.81</v>
      </c>
      <c r="N131" s="6">
        <v>41.92</v>
      </c>
      <c r="O131" s="6">
        <v>42.76</v>
      </c>
      <c r="P131" s="6">
        <v>43.49</v>
      </c>
      <c r="Q131" s="6">
        <v>46.96</v>
      </c>
      <c r="R131" s="6">
        <v>42.26</v>
      </c>
      <c r="S131" s="6">
        <v>45.9</v>
      </c>
      <c r="T131" s="6">
        <v>45.17</v>
      </c>
      <c r="U131" s="6">
        <v>44.18</v>
      </c>
      <c r="V131" s="6">
        <v>46.34</v>
      </c>
      <c r="W131" s="6">
        <v>46.56</v>
      </c>
      <c r="X131" s="6">
        <v>46.82</v>
      </c>
      <c r="Y131" s="6">
        <v>43.64</v>
      </c>
      <c r="Z131" s="6">
        <v>41.74</v>
      </c>
      <c r="AA131" s="6">
        <v>43.17</v>
      </c>
      <c r="AB131" s="6">
        <v>45.04</v>
      </c>
      <c r="AC131" s="6">
        <v>41.49</v>
      </c>
      <c r="AD131" s="6">
        <v>42.64</v>
      </c>
      <c r="AE131" s="6">
        <v>45.59</v>
      </c>
      <c r="AF131" s="6">
        <v>44.32</v>
      </c>
      <c r="AG131" s="6">
        <v>42.72</v>
      </c>
      <c r="AH131" s="6">
        <v>45.85</v>
      </c>
      <c r="AI131" s="6">
        <v>45.17</v>
      </c>
      <c r="AJ131" s="6">
        <v>43.93</v>
      </c>
      <c r="AK131" s="6">
        <v>44.07</v>
      </c>
      <c r="AL131" s="6">
        <v>44.04</v>
      </c>
      <c r="AM131" s="6">
        <v>45.92</v>
      </c>
      <c r="AN131" s="6">
        <v>46.95</v>
      </c>
      <c r="AO131" s="6">
        <v>44.68</v>
      </c>
      <c r="AP131" s="6">
        <v>43.28</v>
      </c>
      <c r="AQ131" s="6">
        <v>44.53</v>
      </c>
      <c r="AR131" s="6">
        <v>44.84</v>
      </c>
      <c r="AS131" s="6">
        <v>44.97</v>
      </c>
      <c r="AT131" s="6">
        <v>46.24</v>
      </c>
      <c r="AU131" s="6">
        <v>45.25</v>
      </c>
      <c r="AV131" s="6"/>
      <c r="AW131" s="6"/>
      <c r="AX131" s="6">
        <v>44.15</v>
      </c>
      <c r="AY131" s="6">
        <v>46.62</v>
      </c>
      <c r="AZ131" s="6">
        <v>46.26</v>
      </c>
      <c r="BA131" s="6">
        <v>48.14</v>
      </c>
      <c r="BB131" s="6">
        <v>45.23</v>
      </c>
      <c r="BC131" s="6">
        <v>44.39</v>
      </c>
      <c r="BD131" s="6">
        <v>44.01</v>
      </c>
      <c r="BE131" s="6">
        <v>46.03</v>
      </c>
      <c r="BF131" s="6">
        <v>45.62</v>
      </c>
      <c r="BG131" s="6">
        <v>46.64</v>
      </c>
      <c r="BH131" s="6">
        <v>43.69</v>
      </c>
      <c r="BI131" s="6">
        <v>42.28</v>
      </c>
      <c r="BJ131" s="6">
        <v>47.1</v>
      </c>
      <c r="BK131" s="6">
        <v>45.62</v>
      </c>
      <c r="BL131" s="6">
        <v>43.79</v>
      </c>
      <c r="BM131" s="7">
        <v>43.94</v>
      </c>
      <c r="BN131" s="10"/>
    </row>
    <row r="132" spans="1:66" ht="15.75" customHeight="1" x14ac:dyDescent="0.25">
      <c r="A132" s="4">
        <v>130</v>
      </c>
      <c r="B132" s="4"/>
      <c r="C132" s="4">
        <v>10</v>
      </c>
      <c r="D132" s="6"/>
      <c r="E132" s="6">
        <v>43.04</v>
      </c>
      <c r="F132" s="6">
        <v>42.56</v>
      </c>
      <c r="G132" s="6">
        <v>43.51</v>
      </c>
      <c r="H132" s="6">
        <v>43.96</v>
      </c>
      <c r="I132" s="6">
        <v>44.96</v>
      </c>
      <c r="J132" s="6">
        <v>45.42</v>
      </c>
      <c r="K132" s="6">
        <v>45.52</v>
      </c>
      <c r="L132" s="6">
        <v>44.69</v>
      </c>
      <c r="M132" s="6">
        <v>46.96</v>
      </c>
      <c r="N132" s="6">
        <v>42.13</v>
      </c>
      <c r="O132" s="6">
        <v>42.87</v>
      </c>
      <c r="P132" s="6">
        <v>43.66</v>
      </c>
      <c r="Q132" s="6">
        <v>47.11</v>
      </c>
      <c r="R132" s="6">
        <v>42.31</v>
      </c>
      <c r="S132" s="6">
        <v>45.97</v>
      </c>
      <c r="T132" s="6">
        <v>45.24</v>
      </c>
      <c r="U132" s="6">
        <v>44.51</v>
      </c>
      <c r="V132" s="6">
        <v>46.42</v>
      </c>
      <c r="W132" s="6">
        <v>46.84</v>
      </c>
      <c r="X132" s="6">
        <v>46.98</v>
      </c>
      <c r="Y132" s="6">
        <v>43.65</v>
      </c>
      <c r="Z132" s="6">
        <v>41.88</v>
      </c>
      <c r="AA132" s="6">
        <v>43.3</v>
      </c>
      <c r="AB132" s="6">
        <v>45.09</v>
      </c>
      <c r="AC132" s="6">
        <v>41.64</v>
      </c>
      <c r="AD132" s="6">
        <v>42.83</v>
      </c>
      <c r="AE132" s="6">
        <v>45.59</v>
      </c>
      <c r="AF132" s="6">
        <v>44.35</v>
      </c>
      <c r="AG132" s="6">
        <v>42.75</v>
      </c>
      <c r="AH132" s="6">
        <v>45.97</v>
      </c>
      <c r="AI132" s="6">
        <v>45.32</v>
      </c>
      <c r="AJ132" s="6">
        <v>44.02</v>
      </c>
      <c r="AK132" s="6">
        <v>44.29</v>
      </c>
      <c r="AL132" s="6">
        <v>44.14</v>
      </c>
      <c r="AM132" s="6">
        <v>46.1</v>
      </c>
      <c r="AN132" s="6">
        <v>47.06</v>
      </c>
      <c r="AO132" s="6">
        <v>44.77</v>
      </c>
      <c r="AP132" s="6">
        <v>43.52</v>
      </c>
      <c r="AQ132" s="6">
        <v>44.66</v>
      </c>
      <c r="AR132" s="6">
        <v>45.04</v>
      </c>
      <c r="AS132" s="6">
        <v>45.08</v>
      </c>
      <c r="AT132" s="6">
        <v>46.31</v>
      </c>
      <c r="AU132" s="6">
        <v>45.56</v>
      </c>
      <c r="AV132" s="6"/>
      <c r="AW132" s="6"/>
      <c r="AX132" s="6">
        <v>44.2</v>
      </c>
      <c r="AY132" s="6">
        <v>46.68</v>
      </c>
      <c r="AZ132" s="6">
        <v>46.66</v>
      </c>
      <c r="BA132" s="6">
        <v>48.32</v>
      </c>
      <c r="BB132" s="6">
        <v>45.35</v>
      </c>
      <c r="BC132" s="6">
        <v>44.55</v>
      </c>
      <c r="BD132" s="6">
        <v>43.96</v>
      </c>
      <c r="BE132" s="6">
        <v>46.19</v>
      </c>
      <c r="BF132" s="6">
        <v>45.86</v>
      </c>
      <c r="BG132" s="6">
        <v>46.84</v>
      </c>
      <c r="BH132" s="6">
        <v>43.79</v>
      </c>
      <c r="BI132" s="6">
        <v>42.29</v>
      </c>
      <c r="BJ132" s="6">
        <v>47.13</v>
      </c>
      <c r="BK132" s="6">
        <v>45.81</v>
      </c>
      <c r="BL132" s="6">
        <v>43.77</v>
      </c>
      <c r="BM132" s="7">
        <v>44.28</v>
      </c>
      <c r="BN132" s="10"/>
    </row>
    <row r="133" spans="1:66" ht="15.75" customHeight="1" x14ac:dyDescent="0.25">
      <c r="A133" s="4">
        <v>131</v>
      </c>
      <c r="B133" s="4"/>
      <c r="C133" s="4">
        <v>11</v>
      </c>
      <c r="D133" s="6"/>
      <c r="E133" s="6">
        <v>43.14</v>
      </c>
      <c r="F133" s="6">
        <v>42.59</v>
      </c>
      <c r="G133" s="6">
        <v>43.62</v>
      </c>
      <c r="H133" s="6">
        <v>44.26</v>
      </c>
      <c r="I133" s="6">
        <v>45.06</v>
      </c>
      <c r="J133" s="6">
        <v>45.63</v>
      </c>
      <c r="K133" s="6">
        <v>45.55</v>
      </c>
      <c r="L133" s="6">
        <v>44.86</v>
      </c>
      <c r="M133" s="6">
        <v>47.09</v>
      </c>
      <c r="N133" s="6">
        <v>42.36</v>
      </c>
      <c r="O133" s="6">
        <v>42.98</v>
      </c>
      <c r="P133" s="6">
        <v>43.76</v>
      </c>
      <c r="Q133" s="6">
        <v>47.24</v>
      </c>
      <c r="R133" s="6">
        <v>42.39</v>
      </c>
      <c r="S133" s="6">
        <v>46.02</v>
      </c>
      <c r="T133" s="6">
        <v>45.27</v>
      </c>
      <c r="U133" s="6">
        <v>44.85</v>
      </c>
      <c r="V133" s="6">
        <v>46.46</v>
      </c>
      <c r="W133" s="6">
        <v>46.96</v>
      </c>
      <c r="X133" s="6">
        <v>47.11</v>
      </c>
      <c r="Y133" s="6">
        <v>43.61</v>
      </c>
      <c r="Z133" s="6">
        <v>42.12</v>
      </c>
      <c r="AA133" s="6">
        <v>43.5</v>
      </c>
      <c r="AB133" s="6">
        <v>45.2</v>
      </c>
      <c r="AC133" s="6">
        <v>41.72</v>
      </c>
      <c r="AD133" s="6">
        <v>42.98</v>
      </c>
      <c r="AE133" s="6">
        <v>45.68</v>
      </c>
      <c r="AF133" s="6">
        <v>44.44</v>
      </c>
      <c r="AG133" s="6">
        <v>42.79</v>
      </c>
      <c r="AH133" s="6">
        <v>46.16</v>
      </c>
      <c r="AI133" s="6">
        <v>45.43</v>
      </c>
      <c r="AJ133" s="6">
        <v>44.16</v>
      </c>
      <c r="AK133" s="6">
        <v>44.59</v>
      </c>
      <c r="AL133" s="6">
        <v>44.32</v>
      </c>
      <c r="AM133" s="6">
        <v>46.24</v>
      </c>
      <c r="AN133" s="6">
        <v>47.14</v>
      </c>
      <c r="AO133" s="6">
        <v>44.8</v>
      </c>
      <c r="AP133" s="6">
        <v>43.79</v>
      </c>
      <c r="AQ133" s="6">
        <v>44.76</v>
      </c>
      <c r="AR133" s="6">
        <v>45.18</v>
      </c>
      <c r="AS133" s="6">
        <v>45.41</v>
      </c>
      <c r="AT133" s="6">
        <v>46.38</v>
      </c>
      <c r="AU133" s="6">
        <v>45.85</v>
      </c>
      <c r="AV133" s="6"/>
      <c r="AW133" s="6"/>
      <c r="AX133" s="6">
        <v>44.23</v>
      </c>
      <c r="AY133" s="6">
        <v>46.76</v>
      </c>
      <c r="AZ133" s="6">
        <v>47.05</v>
      </c>
      <c r="BA133" s="6">
        <v>48.45</v>
      </c>
      <c r="BB133" s="6">
        <v>45.43</v>
      </c>
      <c r="BC133" s="6">
        <v>44.7</v>
      </c>
      <c r="BD133" s="6">
        <v>43.92</v>
      </c>
      <c r="BE133" s="6">
        <v>46.32</v>
      </c>
      <c r="BF133" s="6">
        <v>45.98</v>
      </c>
      <c r="BG133" s="6">
        <v>47</v>
      </c>
      <c r="BH133" s="6">
        <v>43.9</v>
      </c>
      <c r="BI133" s="6">
        <v>42.29</v>
      </c>
      <c r="BJ133" s="6">
        <v>47.25</v>
      </c>
      <c r="BK133" s="6">
        <v>46.01</v>
      </c>
      <c r="BL133" s="6">
        <v>43.82</v>
      </c>
      <c r="BM133" s="7">
        <v>44.53</v>
      </c>
      <c r="BN133" s="10"/>
    </row>
    <row r="134" spans="1:66" ht="15.75" customHeight="1" x14ac:dyDescent="0.25">
      <c r="A134" s="4">
        <v>132</v>
      </c>
      <c r="B134" s="4"/>
      <c r="C134" s="4">
        <v>12</v>
      </c>
      <c r="D134" s="6"/>
      <c r="E134" s="6">
        <v>43.23</v>
      </c>
      <c r="F134" s="6">
        <v>42.84</v>
      </c>
      <c r="G134" s="6">
        <v>43.74</v>
      </c>
      <c r="H134" s="6">
        <v>44.41</v>
      </c>
      <c r="I134" s="6">
        <v>45.16</v>
      </c>
      <c r="J134" s="6">
        <v>45.76</v>
      </c>
      <c r="K134" s="6">
        <v>45.58</v>
      </c>
      <c r="L134" s="6">
        <v>45.03</v>
      </c>
      <c r="M134" s="6">
        <v>47.36</v>
      </c>
      <c r="N134" s="6">
        <v>42.56</v>
      </c>
      <c r="O134" s="6">
        <v>43.08</v>
      </c>
      <c r="P134" s="6">
        <v>43.9</v>
      </c>
      <c r="Q134" s="6">
        <v>47.36</v>
      </c>
      <c r="R134" s="6">
        <v>42.54</v>
      </c>
      <c r="S134" s="6">
        <v>46.05</v>
      </c>
      <c r="T134" s="6">
        <v>45.28</v>
      </c>
      <c r="U134" s="6">
        <v>45.08</v>
      </c>
      <c r="V134" s="6">
        <v>46.51</v>
      </c>
      <c r="W134" s="6">
        <v>47.08</v>
      </c>
      <c r="X134" s="6">
        <v>47.23</v>
      </c>
      <c r="Y134" s="6">
        <v>43.6</v>
      </c>
      <c r="Z134" s="6">
        <v>42.21</v>
      </c>
      <c r="AA134" s="6">
        <v>43.67</v>
      </c>
      <c r="AB134" s="6">
        <v>45.32</v>
      </c>
      <c r="AC134" s="6">
        <v>41.83</v>
      </c>
      <c r="AD134" s="6">
        <v>43.48</v>
      </c>
      <c r="AE134" s="6">
        <v>45.94</v>
      </c>
      <c r="AF134" s="6">
        <v>44.56</v>
      </c>
      <c r="AG134" s="6">
        <v>42.83</v>
      </c>
      <c r="AH134" s="6">
        <v>46.17</v>
      </c>
      <c r="AI134" s="6">
        <v>45.68</v>
      </c>
      <c r="AJ134" s="6">
        <v>44.25</v>
      </c>
      <c r="AK134" s="6">
        <v>44.84</v>
      </c>
      <c r="AL134" s="6">
        <v>44.6</v>
      </c>
      <c r="AM134" s="6">
        <v>46.42</v>
      </c>
      <c r="AN134" s="6">
        <v>47.24</v>
      </c>
      <c r="AO134" s="6">
        <v>44.88</v>
      </c>
      <c r="AP134" s="6">
        <v>44.1</v>
      </c>
      <c r="AQ134" s="6">
        <v>44.84</v>
      </c>
      <c r="AR134" s="6">
        <v>45.34</v>
      </c>
      <c r="AS134" s="6">
        <v>45.63</v>
      </c>
      <c r="AT134" s="6">
        <v>46.48</v>
      </c>
      <c r="AU134" s="6">
        <v>46.13</v>
      </c>
      <c r="AV134" s="6"/>
      <c r="AW134" s="6"/>
      <c r="AX134" s="6">
        <v>44.26</v>
      </c>
      <c r="AY134" s="6">
        <v>46.82</v>
      </c>
      <c r="AZ134" s="6">
        <v>47.27</v>
      </c>
      <c r="BA134" s="6">
        <v>48.6</v>
      </c>
      <c r="BB134" s="6">
        <v>45.54</v>
      </c>
      <c r="BC134" s="6">
        <v>44.87</v>
      </c>
      <c r="BD134" s="6">
        <v>43.9</v>
      </c>
      <c r="BE134" s="6">
        <v>46.43</v>
      </c>
      <c r="BF134" s="6">
        <v>46.28</v>
      </c>
      <c r="BG134" s="6">
        <v>47.12</v>
      </c>
      <c r="BH134" s="6">
        <v>44.08</v>
      </c>
      <c r="BI134" s="6">
        <v>42.3</v>
      </c>
      <c r="BJ134" s="6">
        <v>47.4</v>
      </c>
      <c r="BK134" s="6">
        <v>46.24</v>
      </c>
      <c r="BL134" s="6">
        <v>43.92</v>
      </c>
      <c r="BM134" s="7">
        <v>44.77</v>
      </c>
      <c r="BN134" s="10"/>
    </row>
    <row r="135" spans="1:66" ht="15.75" customHeight="1" x14ac:dyDescent="0.25">
      <c r="A135" s="4">
        <v>133</v>
      </c>
      <c r="B135" s="4"/>
      <c r="C135" s="4">
        <v>13</v>
      </c>
      <c r="D135" s="6"/>
      <c r="E135" s="6">
        <v>43.3</v>
      </c>
      <c r="F135" s="6">
        <v>42.96</v>
      </c>
      <c r="G135" s="6">
        <v>43.86</v>
      </c>
      <c r="H135" s="6">
        <v>44.56</v>
      </c>
      <c r="I135" s="6">
        <v>45.18</v>
      </c>
      <c r="J135" s="6">
        <v>45.86</v>
      </c>
      <c r="K135" s="6">
        <v>45.69</v>
      </c>
      <c r="L135" s="6">
        <v>45.27</v>
      </c>
      <c r="M135" s="6">
        <v>47.52</v>
      </c>
      <c r="N135" s="6">
        <v>42.8</v>
      </c>
      <c r="O135" s="6">
        <v>43.16</v>
      </c>
      <c r="P135" s="6">
        <v>44.03</v>
      </c>
      <c r="Q135" s="6">
        <v>47.5</v>
      </c>
      <c r="R135" s="6">
        <v>42.7</v>
      </c>
      <c r="S135" s="6">
        <v>46.04</v>
      </c>
      <c r="T135" s="6">
        <v>45.31</v>
      </c>
      <c r="U135" s="6">
        <v>45.25</v>
      </c>
      <c r="V135" s="6">
        <v>46.56</v>
      </c>
      <c r="W135" s="6">
        <v>47.16</v>
      </c>
      <c r="X135" s="6">
        <v>47.3</v>
      </c>
      <c r="Y135" s="6">
        <v>43.6</v>
      </c>
      <c r="Z135" s="6">
        <v>42.44</v>
      </c>
      <c r="AA135" s="6">
        <v>43.8</v>
      </c>
      <c r="AB135" s="6">
        <v>45.41</v>
      </c>
      <c r="AC135" s="6">
        <v>41.98</v>
      </c>
      <c r="AD135" s="6">
        <v>43.48</v>
      </c>
      <c r="AE135" s="6">
        <v>46.1</v>
      </c>
      <c r="AF135" s="6">
        <v>44.72</v>
      </c>
      <c r="AG135" s="6">
        <v>42.85</v>
      </c>
      <c r="AH135" s="6">
        <v>46.36</v>
      </c>
      <c r="AI135" s="6">
        <v>45.92</v>
      </c>
      <c r="AJ135" s="6">
        <v>44.32</v>
      </c>
      <c r="AK135" s="6">
        <v>45.06</v>
      </c>
      <c r="AL135" s="6">
        <v>44.8</v>
      </c>
      <c r="AM135" s="6">
        <v>46.56</v>
      </c>
      <c r="AN135" s="6">
        <v>47.37</v>
      </c>
      <c r="AO135" s="6">
        <v>45.07</v>
      </c>
      <c r="AP135" s="6">
        <v>44.17</v>
      </c>
      <c r="AQ135" s="6">
        <v>44.88</v>
      </c>
      <c r="AR135" s="6">
        <v>45.5</v>
      </c>
      <c r="AS135" s="6">
        <v>45.8</v>
      </c>
      <c r="AT135" s="6">
        <v>46.61</v>
      </c>
      <c r="AU135" s="6">
        <v>46.43</v>
      </c>
      <c r="AV135" s="6"/>
      <c r="AW135" s="6"/>
      <c r="AX135" s="6">
        <v>44.3</v>
      </c>
      <c r="AY135" s="6">
        <v>47.02</v>
      </c>
      <c r="AZ135" s="6">
        <v>47.48</v>
      </c>
      <c r="BA135" s="6">
        <v>48.66</v>
      </c>
      <c r="BB135" s="6">
        <v>45.62</v>
      </c>
      <c r="BC135" s="6">
        <v>45.04</v>
      </c>
      <c r="BD135" s="6">
        <v>43.85</v>
      </c>
      <c r="BE135" s="6">
        <v>46.6</v>
      </c>
      <c r="BF135" s="6">
        <v>46.49</v>
      </c>
      <c r="BG135" s="6">
        <v>47.21</v>
      </c>
      <c r="BH135" s="6">
        <v>44.34</v>
      </c>
      <c r="BI135" s="6">
        <v>42.53</v>
      </c>
      <c r="BJ135" s="6">
        <v>47.54</v>
      </c>
      <c r="BK135" s="6">
        <v>46.48</v>
      </c>
      <c r="BL135" s="6">
        <v>44.07</v>
      </c>
      <c r="BM135" s="7">
        <v>44.95</v>
      </c>
      <c r="BN135" s="10"/>
    </row>
    <row r="136" spans="1:66" ht="15.75" customHeight="1" x14ac:dyDescent="0.25">
      <c r="A136" s="4">
        <v>134</v>
      </c>
      <c r="B136" s="4"/>
      <c r="C136" s="4">
        <v>14</v>
      </c>
      <c r="D136" s="6"/>
      <c r="E136" s="6">
        <v>43.36</v>
      </c>
      <c r="F136" s="6">
        <v>43.25</v>
      </c>
      <c r="G136" s="6">
        <v>43.95</v>
      </c>
      <c r="H136" s="6">
        <v>44.71</v>
      </c>
      <c r="I136" s="6">
        <v>45.22</v>
      </c>
      <c r="J136" s="6">
        <v>45.96</v>
      </c>
      <c r="K136" s="6">
        <v>45.83</v>
      </c>
      <c r="L136" s="6">
        <v>45.5</v>
      </c>
      <c r="M136" s="6">
        <v>47.66</v>
      </c>
      <c r="N136" s="6">
        <v>43.06</v>
      </c>
      <c r="O136" s="6">
        <v>43.25</v>
      </c>
      <c r="P136" s="6">
        <v>44.08</v>
      </c>
      <c r="Q136" s="6">
        <v>47.56</v>
      </c>
      <c r="R136" s="6">
        <v>42.84</v>
      </c>
      <c r="S136" s="6">
        <v>46.06</v>
      </c>
      <c r="T136" s="6">
        <v>45.3</v>
      </c>
      <c r="U136" s="6">
        <v>45.45</v>
      </c>
      <c r="V136" s="6">
        <v>46.59</v>
      </c>
      <c r="W136" s="6">
        <v>47.25</v>
      </c>
      <c r="X136" s="6">
        <v>47.49</v>
      </c>
      <c r="Y136" s="6">
        <v>43.6</v>
      </c>
      <c r="Z136" s="6">
        <v>42.65</v>
      </c>
      <c r="AA136" s="6">
        <v>43.98</v>
      </c>
      <c r="AB136" s="6">
        <v>45.51</v>
      </c>
      <c r="AC136" s="6">
        <v>42.18</v>
      </c>
      <c r="AD136" s="6">
        <v>44.29</v>
      </c>
      <c r="AE136" s="6">
        <v>46.22</v>
      </c>
      <c r="AF136" s="6">
        <v>44.9</v>
      </c>
      <c r="AG136" s="6">
        <v>42.91</v>
      </c>
      <c r="AH136" s="6">
        <v>46.44</v>
      </c>
      <c r="AI136" s="6">
        <v>46.18</v>
      </c>
      <c r="AJ136" s="6">
        <v>44.4</v>
      </c>
      <c r="AK136" s="6">
        <v>45.4</v>
      </c>
      <c r="AL136" s="6">
        <v>45.15</v>
      </c>
      <c r="AM136" s="6">
        <v>46.62</v>
      </c>
      <c r="AN136" s="6">
        <v>47.48</v>
      </c>
      <c r="AO136" s="6">
        <v>45.36</v>
      </c>
      <c r="AP136" s="6">
        <v>44.46</v>
      </c>
      <c r="AQ136" s="6">
        <v>44.98</v>
      </c>
      <c r="AR136" s="6">
        <v>45.7</v>
      </c>
      <c r="AS136" s="6">
        <v>46.07</v>
      </c>
      <c r="AT136" s="6">
        <v>46.76</v>
      </c>
      <c r="AU136" s="6">
        <v>46.62</v>
      </c>
      <c r="AV136" s="6"/>
      <c r="AW136" s="6"/>
      <c r="AX136" s="6">
        <v>44.32</v>
      </c>
      <c r="AY136" s="6">
        <v>47.18</v>
      </c>
      <c r="AZ136" s="6">
        <v>47.68</v>
      </c>
      <c r="BA136" s="6">
        <v>48.76</v>
      </c>
      <c r="BB136" s="6">
        <v>45.69</v>
      </c>
      <c r="BC136" s="6">
        <v>45.21</v>
      </c>
      <c r="BD136" s="6">
        <v>43.85</v>
      </c>
      <c r="BE136" s="6">
        <v>46.62</v>
      </c>
      <c r="BF136" s="6">
        <v>46.55</v>
      </c>
      <c r="BG136" s="6">
        <v>47.33</v>
      </c>
      <c r="BH136" s="6">
        <v>44.59</v>
      </c>
      <c r="BI136" s="6">
        <v>42.75</v>
      </c>
      <c r="BJ136" s="6">
        <v>47.65</v>
      </c>
      <c r="BK136" s="6">
        <v>46.66</v>
      </c>
      <c r="BL136" s="6">
        <v>44.25</v>
      </c>
      <c r="BM136" s="7">
        <v>45.1</v>
      </c>
      <c r="BN136" s="10"/>
    </row>
    <row r="137" spans="1:66" ht="15.75" customHeight="1" x14ac:dyDescent="0.25">
      <c r="A137" s="4">
        <v>135</v>
      </c>
      <c r="B137" s="4"/>
      <c r="C137" s="4">
        <v>15</v>
      </c>
      <c r="D137" s="6"/>
      <c r="E137" s="6">
        <v>43.39</v>
      </c>
      <c r="F137" s="6">
        <v>43.45</v>
      </c>
      <c r="G137" s="6">
        <v>44.03</v>
      </c>
      <c r="H137" s="6">
        <v>44.86</v>
      </c>
      <c r="I137" s="6">
        <v>45.26</v>
      </c>
      <c r="J137" s="6">
        <v>46.13</v>
      </c>
      <c r="K137" s="6">
        <v>45.96</v>
      </c>
      <c r="L137" s="6">
        <v>45.72</v>
      </c>
      <c r="M137" s="6">
        <v>47.77</v>
      </c>
      <c r="N137" s="6">
        <v>43.31</v>
      </c>
      <c r="O137" s="6">
        <v>43.29</v>
      </c>
      <c r="P137" s="6">
        <v>44.09</v>
      </c>
      <c r="Q137" s="6">
        <v>47.68</v>
      </c>
      <c r="R137" s="6">
        <v>42.98</v>
      </c>
      <c r="S137" s="6">
        <v>46.15</v>
      </c>
      <c r="T137" s="6">
        <v>45.35</v>
      </c>
      <c r="U137" s="6">
        <v>45.79</v>
      </c>
      <c r="V137" s="6">
        <v>46.6</v>
      </c>
      <c r="W137" s="6">
        <v>47.33</v>
      </c>
      <c r="X137" s="6">
        <v>47.67</v>
      </c>
      <c r="Y137" s="6">
        <v>43.64</v>
      </c>
      <c r="Z137" s="6">
        <v>42.82</v>
      </c>
      <c r="AA137" s="6">
        <v>44.12</v>
      </c>
      <c r="AB137" s="6">
        <v>45.77</v>
      </c>
      <c r="AC137" s="6">
        <v>42.28</v>
      </c>
      <c r="AD137" s="6">
        <v>44.68</v>
      </c>
      <c r="AE137" s="6">
        <v>46.36</v>
      </c>
      <c r="AF137" s="6">
        <v>45.25</v>
      </c>
      <c r="AG137" s="6">
        <v>42.98</v>
      </c>
      <c r="AH137" s="6">
        <v>46.48</v>
      </c>
      <c r="AI137" s="6">
        <v>46.39</v>
      </c>
      <c r="AJ137" s="6">
        <v>44.48</v>
      </c>
      <c r="AK137" s="6">
        <v>45.74</v>
      </c>
      <c r="AL137" s="6">
        <v>45.34</v>
      </c>
      <c r="AM137" s="6">
        <v>46.67</v>
      </c>
      <c r="AN137" s="6">
        <v>47.62</v>
      </c>
      <c r="AO137" s="6">
        <v>45.52</v>
      </c>
      <c r="AP137" s="6">
        <v>44.66</v>
      </c>
      <c r="AQ137" s="6">
        <v>45.12</v>
      </c>
      <c r="AR137" s="6">
        <v>45.9</v>
      </c>
      <c r="AS137" s="6">
        <v>46.23</v>
      </c>
      <c r="AT137" s="6">
        <v>46.94</v>
      </c>
      <c r="AU137" s="6">
        <v>46.79</v>
      </c>
      <c r="AV137" s="6"/>
      <c r="AW137" s="6"/>
      <c r="AX137" s="6">
        <v>44.32</v>
      </c>
      <c r="AY137" s="6">
        <v>47.36</v>
      </c>
      <c r="AZ137" s="6">
        <v>47.84</v>
      </c>
      <c r="BA137" s="6">
        <v>48.84</v>
      </c>
      <c r="BB137" s="6">
        <v>45.75</v>
      </c>
      <c r="BC137" s="6">
        <v>45.32</v>
      </c>
      <c r="BD137" s="6">
        <v>43.9</v>
      </c>
      <c r="BE137" s="6">
        <v>46.69</v>
      </c>
      <c r="BF137" s="6">
        <v>46.79</v>
      </c>
      <c r="BG137" s="6">
        <v>47.47</v>
      </c>
      <c r="BH137" s="6">
        <v>44.85</v>
      </c>
      <c r="BI137" s="6">
        <v>42.93</v>
      </c>
      <c r="BJ137" s="6">
        <v>47.75</v>
      </c>
      <c r="BK137" s="6">
        <v>46.82</v>
      </c>
      <c r="BL137" s="6">
        <v>44.47</v>
      </c>
      <c r="BM137" s="7">
        <v>45.24</v>
      </c>
      <c r="BN137" s="10"/>
    </row>
    <row r="138" spans="1:66" ht="15.75" customHeight="1" x14ac:dyDescent="0.25">
      <c r="A138" s="4">
        <v>136</v>
      </c>
      <c r="B138" s="4"/>
      <c r="C138" s="4">
        <v>16</v>
      </c>
      <c r="D138" s="6"/>
      <c r="E138" s="6">
        <v>43.44</v>
      </c>
      <c r="F138" s="6">
        <v>43.72</v>
      </c>
      <c r="G138" s="6">
        <v>44.12</v>
      </c>
      <c r="H138" s="6">
        <v>45.11</v>
      </c>
      <c r="I138" s="6">
        <v>45.21</v>
      </c>
      <c r="J138" s="6">
        <v>46.25</v>
      </c>
      <c r="K138" s="6">
        <v>46.14</v>
      </c>
      <c r="L138" s="6">
        <v>45.92</v>
      </c>
      <c r="M138" s="6">
        <v>47.86</v>
      </c>
      <c r="N138" s="6">
        <v>43.58</v>
      </c>
      <c r="O138" s="6">
        <v>43.39</v>
      </c>
      <c r="P138" s="6">
        <v>44.07</v>
      </c>
      <c r="Q138" s="6">
        <v>47.81</v>
      </c>
      <c r="R138" s="6">
        <v>43.12</v>
      </c>
      <c r="S138" s="6">
        <v>46.2</v>
      </c>
      <c r="T138" s="6">
        <v>45.41</v>
      </c>
      <c r="U138" s="6">
        <v>45.89</v>
      </c>
      <c r="V138" s="6">
        <v>46.6</v>
      </c>
      <c r="W138" s="6">
        <v>47.4</v>
      </c>
      <c r="X138" s="6">
        <v>47.87</v>
      </c>
      <c r="Y138" s="6">
        <v>43.77</v>
      </c>
      <c r="Z138" s="6">
        <v>42.99</v>
      </c>
      <c r="AA138" s="6">
        <v>44.24</v>
      </c>
      <c r="AB138" s="6">
        <v>46.02</v>
      </c>
      <c r="AC138" s="6">
        <v>42.46</v>
      </c>
      <c r="AD138" s="6">
        <v>45.07</v>
      </c>
      <c r="AE138" s="6">
        <v>46.46</v>
      </c>
      <c r="AF138" s="6">
        <v>45.52</v>
      </c>
      <c r="AG138" s="6">
        <v>43.03</v>
      </c>
      <c r="AH138" s="6">
        <v>46.52</v>
      </c>
      <c r="AI138" s="6">
        <v>46.4</v>
      </c>
      <c r="AJ138" s="6">
        <v>44.6</v>
      </c>
      <c r="AK138" s="6">
        <v>45.97</v>
      </c>
      <c r="AL138" s="6">
        <v>45.53</v>
      </c>
      <c r="AM138" s="6">
        <v>46.66</v>
      </c>
      <c r="AN138" s="6">
        <v>47.76</v>
      </c>
      <c r="AO138" s="6">
        <v>45.65</v>
      </c>
      <c r="AP138" s="6">
        <v>44.86</v>
      </c>
      <c r="AQ138" s="6">
        <v>45.26</v>
      </c>
      <c r="AR138" s="6">
        <v>46.2</v>
      </c>
      <c r="AS138" s="6">
        <v>46.38</v>
      </c>
      <c r="AT138" s="6">
        <v>47.15</v>
      </c>
      <c r="AU138" s="6">
        <v>46.97</v>
      </c>
      <c r="AV138" s="6"/>
      <c r="AW138" s="6"/>
      <c r="AX138" s="6">
        <v>44.34</v>
      </c>
      <c r="AY138" s="6">
        <v>47.52</v>
      </c>
      <c r="AZ138" s="6">
        <v>47.97</v>
      </c>
      <c r="BA138" s="6">
        <v>48.9</v>
      </c>
      <c r="BB138" s="6">
        <v>45.8</v>
      </c>
      <c r="BC138" s="6">
        <v>45.43</v>
      </c>
      <c r="BD138" s="6">
        <v>43.9</v>
      </c>
      <c r="BE138" s="6">
        <v>46.71</v>
      </c>
      <c r="BF138" s="6">
        <v>46.98</v>
      </c>
      <c r="BG138" s="6">
        <v>47.59</v>
      </c>
      <c r="BH138" s="6">
        <v>45.05</v>
      </c>
      <c r="BI138" s="6">
        <v>43.09</v>
      </c>
      <c r="BJ138" s="6">
        <v>47.82</v>
      </c>
      <c r="BK138" s="6">
        <v>46.94</v>
      </c>
      <c r="BL138" s="6">
        <v>44.71</v>
      </c>
      <c r="BM138" s="7">
        <v>45.42</v>
      </c>
      <c r="BN138" s="10"/>
    </row>
    <row r="139" spans="1:66" ht="15.75" customHeight="1" x14ac:dyDescent="0.25">
      <c r="A139" s="4">
        <v>137</v>
      </c>
      <c r="B139" s="4"/>
      <c r="C139" s="4">
        <v>17</v>
      </c>
      <c r="D139" s="6"/>
      <c r="E139" s="6">
        <v>43.45</v>
      </c>
      <c r="F139" s="6">
        <v>43.86</v>
      </c>
      <c r="G139" s="6">
        <v>44.2</v>
      </c>
      <c r="H139" s="6">
        <v>45.26</v>
      </c>
      <c r="I139" s="6">
        <v>45.16</v>
      </c>
      <c r="J139" s="6">
        <v>46.41</v>
      </c>
      <c r="K139" s="6">
        <v>46.34</v>
      </c>
      <c r="L139" s="6">
        <v>46.06</v>
      </c>
      <c r="M139" s="6">
        <v>47.97</v>
      </c>
      <c r="N139" s="6">
        <v>43.83</v>
      </c>
      <c r="O139" s="6">
        <v>43.49</v>
      </c>
      <c r="P139" s="6">
        <v>44.07</v>
      </c>
      <c r="Q139" s="6">
        <v>47.94</v>
      </c>
      <c r="R139" s="6">
        <v>43.26</v>
      </c>
      <c r="S139" s="6">
        <v>46.26</v>
      </c>
      <c r="T139" s="6">
        <v>45.48</v>
      </c>
      <c r="U139" s="6">
        <v>46</v>
      </c>
      <c r="V139" s="6">
        <v>46.61</v>
      </c>
      <c r="W139" s="6">
        <v>47.53</v>
      </c>
      <c r="X139" s="6">
        <v>48.07</v>
      </c>
      <c r="Y139" s="6">
        <v>43.79</v>
      </c>
      <c r="Z139" s="6">
        <v>43.15</v>
      </c>
      <c r="AA139" s="6">
        <v>44.34</v>
      </c>
      <c r="AB139" s="6">
        <v>46.47</v>
      </c>
      <c r="AC139" s="6">
        <v>42.68</v>
      </c>
      <c r="AD139" s="6">
        <v>45.4</v>
      </c>
      <c r="AE139" s="6">
        <v>46.58</v>
      </c>
      <c r="AF139" s="6">
        <v>45.77</v>
      </c>
      <c r="AG139" s="6">
        <v>43.26</v>
      </c>
      <c r="AH139" s="6">
        <v>46.65</v>
      </c>
      <c r="AI139" s="6">
        <v>46.78</v>
      </c>
      <c r="AJ139" s="6">
        <v>44.66</v>
      </c>
      <c r="AK139" s="6">
        <v>46.18</v>
      </c>
      <c r="AL139" s="6">
        <v>45.68</v>
      </c>
      <c r="AM139" s="6">
        <v>46.82</v>
      </c>
      <c r="AN139" s="6">
        <v>47.82</v>
      </c>
      <c r="AO139" s="6">
        <v>45.86</v>
      </c>
      <c r="AP139" s="6">
        <v>45.06</v>
      </c>
      <c r="AQ139" s="6">
        <v>45.4</v>
      </c>
      <c r="AR139" s="6">
        <v>46.49</v>
      </c>
      <c r="AS139" s="6">
        <v>46.54</v>
      </c>
      <c r="AT139" s="6">
        <v>47.37</v>
      </c>
      <c r="AU139" s="6">
        <v>47.11</v>
      </c>
      <c r="AV139" s="6"/>
      <c r="AW139" s="6"/>
      <c r="AX139" s="6">
        <v>44.35</v>
      </c>
      <c r="AY139" s="6">
        <v>47.72</v>
      </c>
      <c r="AZ139" s="6">
        <v>48.12</v>
      </c>
      <c r="BA139" s="6">
        <v>48.98</v>
      </c>
      <c r="BB139" s="6">
        <v>45.87</v>
      </c>
      <c r="BC139" s="6">
        <v>45.51</v>
      </c>
      <c r="BD139" s="6">
        <v>43.93</v>
      </c>
      <c r="BE139" s="6">
        <v>46.8</v>
      </c>
      <c r="BF139" s="6">
        <v>47.14</v>
      </c>
      <c r="BG139" s="6">
        <v>47.71</v>
      </c>
      <c r="BH139" s="6">
        <v>45.38</v>
      </c>
      <c r="BI139" s="6">
        <v>43.23</v>
      </c>
      <c r="BJ139" s="6">
        <v>47.98</v>
      </c>
      <c r="BK139" s="6">
        <v>47.12</v>
      </c>
      <c r="BL139" s="6">
        <v>44.97</v>
      </c>
      <c r="BM139" s="7">
        <v>45.7</v>
      </c>
      <c r="BN139" s="10"/>
    </row>
    <row r="140" spans="1:66" ht="15.75" customHeight="1" x14ac:dyDescent="0.25">
      <c r="A140" s="4">
        <v>138</v>
      </c>
      <c r="B140" s="4"/>
      <c r="C140" s="4">
        <v>18</v>
      </c>
      <c r="D140" s="6"/>
      <c r="E140" s="6">
        <v>43.45</v>
      </c>
      <c r="F140" s="6">
        <v>44.04</v>
      </c>
      <c r="G140" s="6">
        <v>44.29</v>
      </c>
      <c r="H140" s="6">
        <v>45.54</v>
      </c>
      <c r="I140" s="6">
        <v>45.24</v>
      </c>
      <c r="J140" s="6">
        <v>46.53</v>
      </c>
      <c r="K140" s="6">
        <v>46.49</v>
      </c>
      <c r="L140" s="6">
        <v>46.2</v>
      </c>
      <c r="M140" s="6">
        <v>48.06</v>
      </c>
      <c r="N140" s="6">
        <v>44.23</v>
      </c>
      <c r="O140" s="6">
        <v>43.56</v>
      </c>
      <c r="P140" s="6">
        <v>44.1</v>
      </c>
      <c r="Q140" s="6">
        <v>48.06</v>
      </c>
      <c r="R140" s="6">
        <v>43.4</v>
      </c>
      <c r="S140" s="6">
        <v>46.34</v>
      </c>
      <c r="T140" s="6">
        <v>45.54</v>
      </c>
      <c r="U140" s="6">
        <v>46.14</v>
      </c>
      <c r="V140" s="6">
        <v>46.69</v>
      </c>
      <c r="W140" s="6">
        <v>47.58</v>
      </c>
      <c r="X140" s="6">
        <v>48.18</v>
      </c>
      <c r="Y140" s="6">
        <v>43.85</v>
      </c>
      <c r="Z140" s="6">
        <v>43.3</v>
      </c>
      <c r="AA140" s="6">
        <v>44.42</v>
      </c>
      <c r="AB140" s="6">
        <v>46.85</v>
      </c>
      <c r="AC140" s="6">
        <v>42.81</v>
      </c>
      <c r="AD140" s="6">
        <v>45.58</v>
      </c>
      <c r="AE140" s="6">
        <v>46.72</v>
      </c>
      <c r="AF140" s="6">
        <v>45.96</v>
      </c>
      <c r="AG140" s="6">
        <v>43.35</v>
      </c>
      <c r="AH140" s="6">
        <v>46.83</v>
      </c>
      <c r="AI140" s="6">
        <v>46.97</v>
      </c>
      <c r="AJ140" s="6">
        <v>44.73</v>
      </c>
      <c r="AK140" s="6">
        <v>46.32</v>
      </c>
      <c r="AL140" s="6">
        <v>45.8</v>
      </c>
      <c r="AM140" s="6">
        <v>47.08</v>
      </c>
      <c r="AN140" s="6">
        <v>47.88</v>
      </c>
      <c r="AO140" s="6">
        <v>46.01</v>
      </c>
      <c r="AP140" s="6">
        <v>45.13</v>
      </c>
      <c r="AQ140" s="6">
        <v>45.62</v>
      </c>
      <c r="AR140" s="6">
        <v>46.74</v>
      </c>
      <c r="AS140" s="6">
        <v>46.6</v>
      </c>
      <c r="AT140" s="6">
        <v>47.6</v>
      </c>
      <c r="AU140" s="6">
        <v>47.27</v>
      </c>
      <c r="AV140" s="6"/>
      <c r="AW140" s="6"/>
      <c r="AX140" s="6">
        <v>44.36</v>
      </c>
      <c r="AY140" s="6">
        <v>47.86</v>
      </c>
      <c r="AZ140" s="6">
        <v>48.2</v>
      </c>
      <c r="BA140" s="6">
        <v>49.04</v>
      </c>
      <c r="BB140" s="6">
        <v>45.94</v>
      </c>
      <c r="BC140" s="6">
        <v>45.59</v>
      </c>
      <c r="BD140" s="6">
        <v>44.04</v>
      </c>
      <c r="BE140" s="6">
        <v>46.91</v>
      </c>
      <c r="BF140" s="6">
        <v>47.23</v>
      </c>
      <c r="BG140" s="6">
        <v>47.82</v>
      </c>
      <c r="BH140" s="6">
        <v>45.52</v>
      </c>
      <c r="BI140" s="6">
        <v>43.27</v>
      </c>
      <c r="BJ140" s="9">
        <v>48.12</v>
      </c>
      <c r="BK140" s="9">
        <v>47.3</v>
      </c>
      <c r="BL140" s="9">
        <v>45.23</v>
      </c>
      <c r="BM140" s="7">
        <v>46.04</v>
      </c>
      <c r="BN140" s="10"/>
    </row>
    <row r="141" spans="1:66" ht="15.75" customHeight="1" x14ac:dyDescent="0.25">
      <c r="A141" s="4">
        <v>139</v>
      </c>
      <c r="B141" s="4"/>
      <c r="C141" s="4">
        <v>19</v>
      </c>
      <c r="D141" s="6"/>
      <c r="E141" s="6">
        <v>43.42</v>
      </c>
      <c r="F141" s="6">
        <v>44.21</v>
      </c>
      <c r="G141" s="6">
        <v>44.37</v>
      </c>
      <c r="H141" s="6">
        <v>45.76</v>
      </c>
      <c r="I141" s="6">
        <v>45.24</v>
      </c>
      <c r="J141" s="6">
        <v>46.58</v>
      </c>
      <c r="K141" s="6">
        <v>46.63</v>
      </c>
      <c r="L141" s="6">
        <v>46.34</v>
      </c>
      <c r="M141" s="6">
        <v>48.16</v>
      </c>
      <c r="N141" s="6">
        <v>44.61</v>
      </c>
      <c r="O141" s="6">
        <v>43.66</v>
      </c>
      <c r="P141" s="6">
        <v>44.23</v>
      </c>
      <c r="Q141" s="6">
        <v>48.21</v>
      </c>
      <c r="R141" s="6">
        <v>43.55</v>
      </c>
      <c r="S141" s="6">
        <v>46.5</v>
      </c>
      <c r="T141" s="6">
        <v>45.55</v>
      </c>
      <c r="U141" s="6">
        <v>46.25</v>
      </c>
      <c r="V141" s="6">
        <v>46.82</v>
      </c>
      <c r="W141" s="6">
        <v>47.74</v>
      </c>
      <c r="X141" s="6">
        <v>48.26</v>
      </c>
      <c r="Y141" s="6">
        <v>43.91</v>
      </c>
      <c r="Z141" s="6">
        <v>43.42</v>
      </c>
      <c r="AA141" s="6">
        <v>44.5</v>
      </c>
      <c r="AB141" s="6">
        <v>47.1</v>
      </c>
      <c r="AC141" s="6">
        <v>42.91</v>
      </c>
      <c r="AD141" s="6">
        <v>45.77</v>
      </c>
      <c r="AE141" s="6">
        <v>46.8</v>
      </c>
      <c r="AF141" s="6">
        <v>46.06</v>
      </c>
      <c r="AG141" s="6">
        <v>43.54</v>
      </c>
      <c r="AH141" s="6">
        <v>47</v>
      </c>
      <c r="AI141" s="6">
        <v>47.09</v>
      </c>
      <c r="AJ141" s="6">
        <v>44.83</v>
      </c>
      <c r="AK141" s="6">
        <v>46.47</v>
      </c>
      <c r="AL141" s="6">
        <v>45.88</v>
      </c>
      <c r="AM141" s="6">
        <v>47.26</v>
      </c>
      <c r="AN141" s="6">
        <v>47.9</v>
      </c>
      <c r="AO141" s="6">
        <v>46.17</v>
      </c>
      <c r="AP141" s="6">
        <v>45.25</v>
      </c>
      <c r="AQ141" s="6">
        <v>45.89</v>
      </c>
      <c r="AR141" s="6">
        <v>47</v>
      </c>
      <c r="AS141" s="6">
        <v>46.82</v>
      </c>
      <c r="AT141" s="6">
        <v>47.74</v>
      </c>
      <c r="AU141" s="6">
        <v>47.36</v>
      </c>
      <c r="AV141" s="6"/>
      <c r="AW141" s="6"/>
      <c r="AX141" s="6">
        <v>44.38</v>
      </c>
      <c r="AY141" s="6">
        <v>47.96</v>
      </c>
      <c r="AZ141" s="6">
        <v>48.33</v>
      </c>
      <c r="BA141" s="6">
        <v>49.16</v>
      </c>
      <c r="BB141" s="6">
        <v>46.01</v>
      </c>
      <c r="BC141" s="6">
        <v>45.6</v>
      </c>
      <c r="BD141" s="6">
        <v>44.1</v>
      </c>
      <c r="BE141" s="6">
        <v>47.02</v>
      </c>
      <c r="BF141" s="6">
        <v>47.31</v>
      </c>
      <c r="BG141" s="6">
        <v>47.91</v>
      </c>
      <c r="BH141" s="6">
        <v>45.52</v>
      </c>
      <c r="BI141" s="6">
        <v>43.54</v>
      </c>
      <c r="BJ141" s="6">
        <v>48.23</v>
      </c>
      <c r="BK141" s="6">
        <v>47.54</v>
      </c>
      <c r="BL141" s="6">
        <v>45.47</v>
      </c>
      <c r="BM141" s="7">
        <v>46.26</v>
      </c>
      <c r="BN141" s="10"/>
    </row>
    <row r="142" spans="1:66" ht="15.75" customHeight="1" x14ac:dyDescent="0.25">
      <c r="A142" s="4">
        <v>140</v>
      </c>
      <c r="B142" s="4"/>
      <c r="C142" s="4">
        <v>20</v>
      </c>
      <c r="D142" s="6"/>
      <c r="E142" s="6">
        <v>43.36</v>
      </c>
      <c r="F142" s="6">
        <v>44.41</v>
      </c>
      <c r="G142" s="6">
        <v>44.56</v>
      </c>
      <c r="H142" s="6">
        <v>46.11</v>
      </c>
      <c r="I142" s="6">
        <v>45.26</v>
      </c>
      <c r="J142" s="6">
        <v>46.66</v>
      </c>
      <c r="K142" s="6">
        <v>46.73</v>
      </c>
      <c r="L142" s="6">
        <v>46.46</v>
      </c>
      <c r="M142" s="6">
        <v>48.27</v>
      </c>
      <c r="N142" s="6">
        <v>44.91</v>
      </c>
      <c r="O142" s="6">
        <v>43.76</v>
      </c>
      <c r="P142" s="6">
        <v>44.38</v>
      </c>
      <c r="Q142" s="6">
        <v>48.36</v>
      </c>
      <c r="R142" s="6">
        <v>43.76</v>
      </c>
      <c r="S142" s="6">
        <v>46.64</v>
      </c>
      <c r="T142" s="6">
        <v>45.54</v>
      </c>
      <c r="U142" s="6">
        <v>46.32</v>
      </c>
      <c r="V142" s="6">
        <v>46.87</v>
      </c>
      <c r="W142" s="6">
        <v>47.81</v>
      </c>
      <c r="X142" s="6">
        <v>48.23</v>
      </c>
      <c r="Y142" s="6">
        <v>43.98</v>
      </c>
      <c r="Z142" s="6">
        <v>43.55</v>
      </c>
      <c r="AA142" s="6">
        <v>44.55</v>
      </c>
      <c r="AB142" s="6">
        <v>47.28</v>
      </c>
      <c r="AC142" s="6">
        <v>43.03</v>
      </c>
      <c r="AD142" s="6">
        <v>45.9</v>
      </c>
      <c r="AE142" s="6">
        <v>46.98</v>
      </c>
      <c r="AF142" s="6">
        <v>46.17</v>
      </c>
      <c r="AG142" s="6">
        <v>43.72</v>
      </c>
      <c r="AH142" s="6">
        <v>47.24</v>
      </c>
      <c r="AI142" s="6">
        <v>47.2</v>
      </c>
      <c r="AJ142" s="6">
        <v>44.94</v>
      </c>
      <c r="AK142" s="6">
        <v>46.59</v>
      </c>
      <c r="AL142" s="6">
        <v>45.96</v>
      </c>
      <c r="AM142" s="6">
        <v>47.38</v>
      </c>
      <c r="AN142" s="6">
        <v>48</v>
      </c>
      <c r="AO142" s="6">
        <v>46.36</v>
      </c>
      <c r="AP142" s="6">
        <v>45.36</v>
      </c>
      <c r="AQ142" s="6">
        <v>46.14</v>
      </c>
      <c r="AR142" s="6">
        <v>47.26</v>
      </c>
      <c r="AS142" s="6">
        <v>47.05</v>
      </c>
      <c r="AT142" s="6">
        <v>47.9</v>
      </c>
      <c r="AU142" s="6">
        <v>47.49</v>
      </c>
      <c r="AV142" s="6"/>
      <c r="AW142" s="6"/>
      <c r="AX142" s="6">
        <v>44.34</v>
      </c>
      <c r="AY142" s="6">
        <v>48.1</v>
      </c>
      <c r="AZ142" s="6">
        <v>48.4</v>
      </c>
      <c r="BA142" s="6">
        <v>49.28</v>
      </c>
      <c r="BB142" s="6">
        <v>46.15</v>
      </c>
      <c r="BC142" s="6">
        <v>45.6</v>
      </c>
      <c r="BD142" s="6">
        <v>44.12</v>
      </c>
      <c r="BE142" s="6">
        <v>47.17</v>
      </c>
      <c r="BF142" s="6">
        <v>47.39</v>
      </c>
      <c r="BG142" s="6">
        <v>48</v>
      </c>
      <c r="BH142" s="6">
        <v>45.72</v>
      </c>
      <c r="BI142" s="6">
        <v>43.76</v>
      </c>
      <c r="BJ142" s="6">
        <v>48.34</v>
      </c>
      <c r="BK142" s="6">
        <v>47.77</v>
      </c>
      <c r="BL142" s="6">
        <v>45.63</v>
      </c>
      <c r="BM142" s="7">
        <v>46.43</v>
      </c>
      <c r="BN142" s="10"/>
    </row>
    <row r="143" spans="1:66" ht="15.75" customHeight="1" x14ac:dyDescent="0.25">
      <c r="A143" s="4">
        <v>141</v>
      </c>
      <c r="B143" s="4"/>
      <c r="C143" s="4">
        <v>21</v>
      </c>
      <c r="D143" s="6"/>
      <c r="E143" s="6">
        <v>43.31</v>
      </c>
      <c r="F143" s="6">
        <v>44.61</v>
      </c>
      <c r="G143" s="6">
        <v>44.66</v>
      </c>
      <c r="H143" s="6">
        <v>46.26</v>
      </c>
      <c r="I143" s="6">
        <v>45.31</v>
      </c>
      <c r="J143" s="6">
        <v>46.71</v>
      </c>
      <c r="K143" s="6">
        <v>46.8</v>
      </c>
      <c r="L143" s="6">
        <v>46.54</v>
      </c>
      <c r="M143" s="6">
        <v>48.38</v>
      </c>
      <c r="N143" s="6">
        <v>45.17</v>
      </c>
      <c r="O143" s="6">
        <v>43.85</v>
      </c>
      <c r="P143" s="6">
        <v>44.51</v>
      </c>
      <c r="Q143" s="6">
        <v>48.57</v>
      </c>
      <c r="R143" s="6">
        <v>43.96</v>
      </c>
      <c r="S143" s="6">
        <v>46.79</v>
      </c>
      <c r="T143" s="6">
        <v>45.74</v>
      </c>
      <c r="U143" s="6">
        <v>46.42</v>
      </c>
      <c r="V143" s="6">
        <v>46.93</v>
      </c>
      <c r="W143" s="6">
        <v>47.95</v>
      </c>
      <c r="X143" s="6">
        <v>48.24</v>
      </c>
      <c r="Y143" s="6">
        <v>44.03</v>
      </c>
      <c r="Z143" s="6">
        <v>43.62</v>
      </c>
      <c r="AA143" s="6">
        <v>44.58</v>
      </c>
      <c r="AB143" s="6">
        <v>47.44</v>
      </c>
      <c r="AC143" s="6">
        <v>43.12</v>
      </c>
      <c r="AD143" s="6">
        <v>46.02</v>
      </c>
      <c r="AE143" s="6">
        <v>47.09</v>
      </c>
      <c r="AF143" s="6">
        <v>46.26</v>
      </c>
      <c r="AG143" s="6">
        <v>43.85</v>
      </c>
      <c r="AH143" s="6">
        <v>47.39</v>
      </c>
      <c r="AI143" s="6">
        <v>47.29</v>
      </c>
      <c r="AJ143" s="6">
        <v>45.06</v>
      </c>
      <c r="AK143" s="6">
        <v>46.6</v>
      </c>
      <c r="AL143" s="6">
        <v>46.03</v>
      </c>
      <c r="AM143" s="6">
        <v>47.44</v>
      </c>
      <c r="AN143" s="6">
        <v>48.06</v>
      </c>
      <c r="AO143" s="6">
        <v>46.56</v>
      </c>
      <c r="AP143" s="6">
        <v>45.51</v>
      </c>
      <c r="AQ143" s="6">
        <v>46.4</v>
      </c>
      <c r="AR143" s="6">
        <v>47.52</v>
      </c>
      <c r="AS143" s="6">
        <v>47.25</v>
      </c>
      <c r="AT143" s="6">
        <v>47.98</v>
      </c>
      <c r="AU143" s="6">
        <v>47.55</v>
      </c>
      <c r="AV143" s="6"/>
      <c r="AW143" s="6"/>
      <c r="AX143" s="6">
        <v>44.34</v>
      </c>
      <c r="AY143" s="6">
        <v>48.22</v>
      </c>
      <c r="AZ143" s="6">
        <v>48.48</v>
      </c>
      <c r="BA143" s="6">
        <v>49.26</v>
      </c>
      <c r="BB143" s="6">
        <v>46.33</v>
      </c>
      <c r="BC143" s="6">
        <v>45.59</v>
      </c>
      <c r="BD143" s="6">
        <v>44.39</v>
      </c>
      <c r="BE143" s="6">
        <v>47.28</v>
      </c>
      <c r="BF143" s="6">
        <v>47.41</v>
      </c>
      <c r="BG143" s="6">
        <v>48.03</v>
      </c>
      <c r="BH143" s="6">
        <v>45.91</v>
      </c>
      <c r="BI143" s="6">
        <v>43.95</v>
      </c>
      <c r="BJ143" s="6">
        <v>48.44</v>
      </c>
      <c r="BK143" s="6">
        <v>47.98</v>
      </c>
      <c r="BL143" s="6">
        <v>45.73</v>
      </c>
      <c r="BM143" s="7">
        <v>46.56</v>
      </c>
      <c r="BN143" s="10"/>
    </row>
    <row r="144" spans="1:66" ht="15.75" customHeight="1" x14ac:dyDescent="0.25">
      <c r="A144" s="4">
        <v>142</v>
      </c>
      <c r="B144" s="4"/>
      <c r="C144" s="4">
        <v>22</v>
      </c>
      <c r="D144" s="6"/>
      <c r="E144" s="6">
        <v>43.28</v>
      </c>
      <c r="F144" s="6">
        <v>44.81</v>
      </c>
      <c r="G144" s="6">
        <v>44.81</v>
      </c>
      <c r="H144" s="6">
        <v>46.41</v>
      </c>
      <c r="I144" s="6">
        <v>45.46</v>
      </c>
      <c r="J144" s="6">
        <v>46.76</v>
      </c>
      <c r="K144" s="6">
        <v>46.91</v>
      </c>
      <c r="L144" s="6">
        <v>46.66</v>
      </c>
      <c r="M144" s="6">
        <v>48.53</v>
      </c>
      <c r="N144" s="6">
        <v>45.4</v>
      </c>
      <c r="O144" s="6">
        <v>43.89</v>
      </c>
      <c r="P144" s="6">
        <v>44.64</v>
      </c>
      <c r="Q144" s="6">
        <v>48.66</v>
      </c>
      <c r="R144" s="6">
        <v>44.14</v>
      </c>
      <c r="S144" s="6">
        <v>46.89</v>
      </c>
      <c r="T144" s="6">
        <v>45.84</v>
      </c>
      <c r="U144" s="6">
        <v>46.48</v>
      </c>
      <c r="V144" s="6">
        <v>47</v>
      </c>
      <c r="W144" s="6">
        <v>47.98</v>
      </c>
      <c r="X144" s="6">
        <v>48.22</v>
      </c>
      <c r="Y144" s="6">
        <v>44.12</v>
      </c>
      <c r="Z144" s="6">
        <v>43.7</v>
      </c>
      <c r="AA144" s="6">
        <v>44.59</v>
      </c>
      <c r="AB144" s="6">
        <v>47.46</v>
      </c>
      <c r="AC144" s="6">
        <v>43.22</v>
      </c>
      <c r="AD144" s="6">
        <v>46.19</v>
      </c>
      <c r="AE144" s="6">
        <v>47.27</v>
      </c>
      <c r="AF144" s="6">
        <v>46.33</v>
      </c>
      <c r="AG144" s="6">
        <v>43.97</v>
      </c>
      <c r="AH144" s="6">
        <v>47.45</v>
      </c>
      <c r="AI144" s="6">
        <v>47.35</v>
      </c>
      <c r="AJ144" s="6">
        <v>45.12</v>
      </c>
      <c r="AK144" s="6">
        <v>46.74</v>
      </c>
      <c r="AL144" s="6">
        <v>46.06</v>
      </c>
      <c r="AM144" s="6">
        <v>47.47</v>
      </c>
      <c r="AN144" s="6">
        <v>48.12</v>
      </c>
      <c r="AO144" s="6">
        <v>46.86</v>
      </c>
      <c r="AP144" s="6">
        <v>45.67</v>
      </c>
      <c r="AQ144" s="6">
        <v>46.6</v>
      </c>
      <c r="AR144" s="6">
        <v>47.7</v>
      </c>
      <c r="AS144" s="6">
        <v>47.29</v>
      </c>
      <c r="AT144" s="6">
        <v>48.02</v>
      </c>
      <c r="AU144" s="6">
        <v>47.6</v>
      </c>
      <c r="AV144" s="6"/>
      <c r="AW144" s="6"/>
      <c r="AX144" s="6">
        <v>44.35</v>
      </c>
      <c r="AY144" s="6">
        <v>48.33</v>
      </c>
      <c r="AZ144" s="6">
        <v>48.5</v>
      </c>
      <c r="BA144" s="6">
        <v>49.27</v>
      </c>
      <c r="BB144" s="6">
        <v>46.53</v>
      </c>
      <c r="BC144" s="6">
        <v>45.59</v>
      </c>
      <c r="BD144" s="6">
        <v>44.61</v>
      </c>
      <c r="BE144" s="6">
        <v>47.38</v>
      </c>
      <c r="BF144" s="6">
        <v>47.48</v>
      </c>
      <c r="BG144" s="6">
        <v>48.14</v>
      </c>
      <c r="BH144" s="6">
        <v>46.12</v>
      </c>
      <c r="BI144" s="6">
        <v>44.1</v>
      </c>
      <c r="BJ144" s="6">
        <v>48.52</v>
      </c>
      <c r="BK144" s="6">
        <v>48.12</v>
      </c>
      <c r="BL144" s="6">
        <v>45.87</v>
      </c>
      <c r="BM144" s="7">
        <v>46.68</v>
      </c>
      <c r="BN144" s="10"/>
    </row>
    <row r="145" spans="1:66" ht="15.75" customHeight="1" x14ac:dyDescent="0.25">
      <c r="A145" s="4">
        <v>143</v>
      </c>
      <c r="B145" s="4"/>
      <c r="C145" s="4">
        <v>23</v>
      </c>
      <c r="D145" s="6"/>
      <c r="E145" s="6">
        <v>43.32</v>
      </c>
      <c r="F145" s="6">
        <v>44.96</v>
      </c>
      <c r="G145" s="6">
        <v>44.94</v>
      </c>
      <c r="H145" s="6">
        <v>46.46</v>
      </c>
      <c r="I145" s="6">
        <v>45.41</v>
      </c>
      <c r="J145" s="6">
        <v>46.8</v>
      </c>
      <c r="K145" s="6">
        <v>46.98</v>
      </c>
      <c r="L145" s="6">
        <v>46.82</v>
      </c>
      <c r="M145" s="6">
        <v>48.69</v>
      </c>
      <c r="N145" s="6">
        <v>45.61</v>
      </c>
      <c r="O145" s="6">
        <v>43.94</v>
      </c>
      <c r="P145" s="6">
        <v>44.78</v>
      </c>
      <c r="Q145" s="6">
        <v>48.76</v>
      </c>
      <c r="R145" s="6">
        <v>44.35</v>
      </c>
      <c r="S145" s="6">
        <v>46.98</v>
      </c>
      <c r="T145" s="6">
        <v>45.94</v>
      </c>
      <c r="U145" s="6">
        <v>46.51</v>
      </c>
      <c r="V145" s="6">
        <v>47.11</v>
      </c>
      <c r="W145" s="6">
        <v>48.04</v>
      </c>
      <c r="X145" s="6">
        <v>48.22</v>
      </c>
      <c r="Y145" s="6">
        <v>44.21</v>
      </c>
      <c r="Z145" s="6">
        <v>43.77</v>
      </c>
      <c r="AA145" s="6">
        <v>44.58</v>
      </c>
      <c r="AB145" s="6">
        <v>47.56</v>
      </c>
      <c r="AC145" s="6">
        <v>43.31</v>
      </c>
      <c r="AD145" s="6">
        <v>46.3</v>
      </c>
      <c r="AE145" s="6">
        <v>47.46</v>
      </c>
      <c r="AF145" s="6">
        <v>46.39</v>
      </c>
      <c r="AG145" s="6">
        <v>44.21</v>
      </c>
      <c r="AH145" s="6">
        <v>47.56</v>
      </c>
      <c r="AI145" s="6">
        <v>47.39</v>
      </c>
      <c r="AJ145" s="6">
        <v>45.19</v>
      </c>
      <c r="AK145" s="6">
        <v>46.85</v>
      </c>
      <c r="AL145" s="6">
        <v>46.2</v>
      </c>
      <c r="AM145" s="6">
        <v>47.48</v>
      </c>
      <c r="AN145" s="6">
        <v>48.18</v>
      </c>
      <c r="AO145" s="6">
        <v>47.12</v>
      </c>
      <c r="AP145" s="6">
        <v>45.9</v>
      </c>
      <c r="AQ145" s="6">
        <v>46.84</v>
      </c>
      <c r="AR145" s="6">
        <v>47.9</v>
      </c>
      <c r="AS145" s="6">
        <v>47.62</v>
      </c>
      <c r="AT145" s="6">
        <v>48.06</v>
      </c>
      <c r="AU145" s="6">
        <v>47.6</v>
      </c>
      <c r="AV145" s="6"/>
      <c r="AW145" s="6"/>
      <c r="AX145" s="6">
        <v>44.35</v>
      </c>
      <c r="AY145" s="6">
        <v>48.41</v>
      </c>
      <c r="AZ145" s="6">
        <v>48.58</v>
      </c>
      <c r="BA145" s="6">
        <v>49.29</v>
      </c>
      <c r="BB145" s="6">
        <v>46.68</v>
      </c>
      <c r="BC145" s="6">
        <v>45.62</v>
      </c>
      <c r="BD145" s="6">
        <v>44.8</v>
      </c>
      <c r="BE145" s="6">
        <v>47.48</v>
      </c>
      <c r="BF145" s="6">
        <v>47.52</v>
      </c>
      <c r="BG145" s="6">
        <v>48.22</v>
      </c>
      <c r="BH145" s="6">
        <v>46.29</v>
      </c>
      <c r="BI145" s="6">
        <v>44.17</v>
      </c>
      <c r="BJ145" s="6">
        <v>48.6</v>
      </c>
      <c r="BK145" s="6">
        <v>48.24</v>
      </c>
      <c r="BL145" s="6">
        <v>45.95</v>
      </c>
      <c r="BM145" s="7">
        <v>46.77</v>
      </c>
      <c r="BN145" s="10"/>
    </row>
    <row r="146" spans="1:66" ht="15.75" customHeight="1" x14ac:dyDescent="0.25">
      <c r="A146" s="4">
        <v>144</v>
      </c>
      <c r="B146" s="4"/>
      <c r="C146" s="4">
        <v>24</v>
      </c>
      <c r="D146" s="6"/>
      <c r="E146" s="6">
        <v>43.33</v>
      </c>
      <c r="F146" s="6">
        <v>45.14</v>
      </c>
      <c r="G146" s="6">
        <v>45.06</v>
      </c>
      <c r="H146" s="6">
        <v>46.46</v>
      </c>
      <c r="I146" s="6">
        <v>45.48</v>
      </c>
      <c r="J146" s="6">
        <v>46.86</v>
      </c>
      <c r="K146" s="6">
        <v>47.06</v>
      </c>
      <c r="L146" s="6">
        <v>46.94</v>
      </c>
      <c r="M146" s="6">
        <v>48.84</v>
      </c>
      <c r="N146" s="6">
        <v>45.75</v>
      </c>
      <c r="O146" s="6">
        <v>43.95</v>
      </c>
      <c r="P146" s="6">
        <v>44.86</v>
      </c>
      <c r="Q146" s="6">
        <v>48.88</v>
      </c>
      <c r="R146" s="6">
        <v>44.55</v>
      </c>
      <c r="S146" s="6">
        <v>47.09</v>
      </c>
      <c r="T146" s="6">
        <v>46.01</v>
      </c>
      <c r="U146" s="6">
        <v>46.54</v>
      </c>
      <c r="V146" s="6">
        <v>47.28</v>
      </c>
      <c r="W146" s="6">
        <v>48.06</v>
      </c>
      <c r="X146" s="6">
        <v>48.15</v>
      </c>
      <c r="Y146" s="6">
        <v>44.3</v>
      </c>
      <c r="Z146" s="6">
        <v>43.91</v>
      </c>
      <c r="AA146" s="6">
        <v>44.62</v>
      </c>
      <c r="AB146" s="6">
        <v>47.54</v>
      </c>
      <c r="AC146" s="6">
        <v>43.48</v>
      </c>
      <c r="AD146" s="6">
        <v>46.54</v>
      </c>
      <c r="AE146" s="6">
        <v>47.75</v>
      </c>
      <c r="AF146" s="6">
        <v>46.47</v>
      </c>
      <c r="AG146" s="6">
        <v>44.5</v>
      </c>
      <c r="AH146" s="6">
        <v>47.65</v>
      </c>
      <c r="AI146" s="6">
        <v>47.39</v>
      </c>
      <c r="AJ146" s="6">
        <v>45.27</v>
      </c>
      <c r="AK146" s="6">
        <v>46.96</v>
      </c>
      <c r="AL146" s="6">
        <v>46.3</v>
      </c>
      <c r="AM146" s="6">
        <v>47.53</v>
      </c>
      <c r="AN146" s="6">
        <v>48.2</v>
      </c>
      <c r="AO146" s="6">
        <v>47.33</v>
      </c>
      <c r="AP146" s="6">
        <v>46.06</v>
      </c>
      <c r="AQ146" s="6">
        <v>47.05</v>
      </c>
      <c r="AR146" s="6">
        <v>48.13</v>
      </c>
      <c r="AS146" s="6">
        <v>47.72</v>
      </c>
      <c r="AT146" s="6">
        <v>48.08</v>
      </c>
      <c r="AU146" s="6">
        <v>47.62</v>
      </c>
      <c r="AV146" s="6"/>
      <c r="AW146" s="6"/>
      <c r="AX146" s="6">
        <v>44.36</v>
      </c>
      <c r="AY146" s="6">
        <v>48.49</v>
      </c>
      <c r="AZ146" s="6">
        <v>48.72</v>
      </c>
      <c r="BA146" s="6">
        <v>49.3</v>
      </c>
      <c r="BB146" s="6">
        <v>46.88</v>
      </c>
      <c r="BC146" s="6">
        <v>45.69</v>
      </c>
      <c r="BD146" s="6">
        <v>45.03</v>
      </c>
      <c r="BE146" s="6">
        <v>47.55</v>
      </c>
      <c r="BF146" s="6">
        <v>47.56</v>
      </c>
      <c r="BG146" s="6">
        <v>48.28</v>
      </c>
      <c r="BH146" s="6">
        <v>46.53</v>
      </c>
      <c r="BI146" s="6">
        <v>44.27</v>
      </c>
      <c r="BJ146" s="6">
        <v>48.6</v>
      </c>
      <c r="BK146" s="6">
        <v>48.38</v>
      </c>
      <c r="BL146" s="6">
        <v>46</v>
      </c>
      <c r="BM146" s="7">
        <v>46.9</v>
      </c>
      <c r="BN146" s="10"/>
    </row>
    <row r="147" spans="1:66" ht="15.75" customHeight="1" x14ac:dyDescent="0.25">
      <c r="A147" s="4">
        <v>145</v>
      </c>
      <c r="B147" s="4"/>
      <c r="C147" s="4">
        <v>25</v>
      </c>
      <c r="D147" s="6"/>
      <c r="E147" s="6">
        <v>43.44</v>
      </c>
      <c r="F147" s="6">
        <v>45.32</v>
      </c>
      <c r="G147" s="6">
        <v>45.11</v>
      </c>
      <c r="H147" s="6">
        <v>46.44</v>
      </c>
      <c r="I147" s="6">
        <v>45.61</v>
      </c>
      <c r="J147" s="6">
        <v>46.91</v>
      </c>
      <c r="K147" s="6">
        <v>47.15</v>
      </c>
      <c r="L147" s="6">
        <v>47.07</v>
      </c>
      <c r="M147" s="6">
        <v>48.95</v>
      </c>
      <c r="N147" s="6">
        <v>45.85</v>
      </c>
      <c r="O147" s="6">
        <v>43.95</v>
      </c>
      <c r="P147" s="6">
        <v>45.01</v>
      </c>
      <c r="Q147" s="6">
        <v>48.95</v>
      </c>
      <c r="R147" s="6">
        <v>44.83</v>
      </c>
      <c r="S147" s="6">
        <v>47.22</v>
      </c>
      <c r="T147" s="6">
        <v>46.12</v>
      </c>
      <c r="U147" s="6">
        <v>46.56</v>
      </c>
      <c r="V147" s="6">
        <v>47.45</v>
      </c>
      <c r="W147" s="6">
        <v>48.1</v>
      </c>
      <c r="X147" s="6">
        <v>48.09</v>
      </c>
      <c r="Y147" s="6">
        <v>44.42</v>
      </c>
      <c r="Z147" s="6">
        <v>44</v>
      </c>
      <c r="AA147" s="6">
        <v>44.72</v>
      </c>
      <c r="AB147" s="6">
        <v>47.54</v>
      </c>
      <c r="AC147" s="6">
        <v>43.64</v>
      </c>
      <c r="AD147" s="6">
        <v>46.76</v>
      </c>
      <c r="AE147" s="6">
        <v>48.13</v>
      </c>
      <c r="AF147" s="6">
        <v>46.54</v>
      </c>
      <c r="AG147" s="6">
        <v>44.62</v>
      </c>
      <c r="AH147" s="6">
        <v>47.75</v>
      </c>
      <c r="AI147" s="6">
        <v>47.4</v>
      </c>
      <c r="AJ147" s="6">
        <v>45.44</v>
      </c>
      <c r="AK147" s="6">
        <v>47.02</v>
      </c>
      <c r="AL147" s="6">
        <v>46.42</v>
      </c>
      <c r="AM147" s="6">
        <v>47.64</v>
      </c>
      <c r="AN147" s="6">
        <v>48.22</v>
      </c>
      <c r="AO147" s="6">
        <v>47.56</v>
      </c>
      <c r="AP147" s="6">
        <v>46.18</v>
      </c>
      <c r="AQ147" s="6">
        <v>47.3</v>
      </c>
      <c r="AR147" s="6">
        <v>48.21</v>
      </c>
      <c r="AS147" s="6">
        <v>47.82</v>
      </c>
      <c r="AT147" s="6">
        <v>48.1</v>
      </c>
      <c r="AU147" s="6">
        <v>47.72</v>
      </c>
      <c r="AV147" s="6"/>
      <c r="AW147" s="6"/>
      <c r="AX147" s="6">
        <v>44.4</v>
      </c>
      <c r="AY147" s="6">
        <v>48.58</v>
      </c>
      <c r="AZ147" s="6">
        <v>48.77</v>
      </c>
      <c r="BA147" s="6">
        <v>49.28</v>
      </c>
      <c r="BB147" s="6">
        <v>47</v>
      </c>
      <c r="BC147" s="6">
        <v>45.7</v>
      </c>
      <c r="BD147" s="6">
        <v>45.25</v>
      </c>
      <c r="BE147" s="6">
        <v>47.66</v>
      </c>
      <c r="BF147" s="6">
        <v>47.59</v>
      </c>
      <c r="BG147" s="6">
        <v>48.37</v>
      </c>
      <c r="BH147" s="6">
        <v>46.66</v>
      </c>
      <c r="BI147" s="6">
        <v>44.37</v>
      </c>
      <c r="BJ147" s="6">
        <v>48.8</v>
      </c>
      <c r="BK147" s="6">
        <v>48.46</v>
      </c>
      <c r="BL147" s="6">
        <v>46.08</v>
      </c>
      <c r="BM147" s="7">
        <v>46.98</v>
      </c>
      <c r="BN147" s="10"/>
    </row>
    <row r="148" spans="1:66" ht="15.75" customHeight="1" x14ac:dyDescent="0.25">
      <c r="A148" s="4">
        <v>146</v>
      </c>
      <c r="B148" s="4"/>
      <c r="C148" s="4">
        <v>26</v>
      </c>
      <c r="D148" s="6"/>
      <c r="E148" s="6">
        <v>43.66</v>
      </c>
      <c r="F148" s="6">
        <v>45.39</v>
      </c>
      <c r="G148" s="6">
        <v>45.36</v>
      </c>
      <c r="H148" s="6">
        <v>46.46</v>
      </c>
      <c r="I148" s="6">
        <v>45.76</v>
      </c>
      <c r="J148" s="6">
        <v>46.96</v>
      </c>
      <c r="K148" s="6">
        <v>47.2</v>
      </c>
      <c r="L148" s="6">
        <v>47.14</v>
      </c>
      <c r="M148" s="6">
        <v>49.06</v>
      </c>
      <c r="N148" s="6">
        <v>45.95</v>
      </c>
      <c r="O148" s="6">
        <v>43.95</v>
      </c>
      <c r="P148" s="6">
        <v>45.26</v>
      </c>
      <c r="Q148" s="6">
        <v>48.98</v>
      </c>
      <c r="R148" s="6">
        <v>45.08</v>
      </c>
      <c r="S148" s="6">
        <v>47.31</v>
      </c>
      <c r="T148" s="6">
        <v>46.15</v>
      </c>
      <c r="U148" s="6">
        <v>46.58</v>
      </c>
      <c r="V148" s="6">
        <v>47.73</v>
      </c>
      <c r="W148" s="6">
        <v>48.13</v>
      </c>
      <c r="X148" s="6">
        <v>47.91</v>
      </c>
      <c r="Y148" s="6">
        <v>44.54</v>
      </c>
      <c r="Z148" s="6">
        <v>44.11</v>
      </c>
      <c r="AA148" s="6">
        <v>44.86</v>
      </c>
      <c r="AB148" s="6">
        <v>47.57</v>
      </c>
      <c r="AC148" s="6">
        <v>43.82</v>
      </c>
      <c r="AD148" s="6">
        <v>46.95</v>
      </c>
      <c r="AE148" s="6">
        <v>48.33</v>
      </c>
      <c r="AF148" s="6">
        <v>46.62</v>
      </c>
      <c r="AG148" s="6">
        <v>44.68</v>
      </c>
      <c r="AH148" s="6">
        <v>47.87</v>
      </c>
      <c r="AI148" s="6">
        <v>47.5</v>
      </c>
      <c r="AJ148" s="6">
        <v>45.62</v>
      </c>
      <c r="AK148" s="6">
        <v>47.11</v>
      </c>
      <c r="AL148" s="6">
        <v>46.6</v>
      </c>
      <c r="AM148" s="6">
        <v>47.76</v>
      </c>
      <c r="AN148" s="6">
        <v>48.19</v>
      </c>
      <c r="AO148" s="7">
        <v>47.66</v>
      </c>
      <c r="AP148" s="6">
        <v>46.3</v>
      </c>
      <c r="AQ148" s="6">
        <v>47.47</v>
      </c>
      <c r="AR148" s="6">
        <v>48.33</v>
      </c>
      <c r="AS148" s="7">
        <v>47.92</v>
      </c>
      <c r="AT148" s="6">
        <v>48.1</v>
      </c>
      <c r="AU148" s="6">
        <v>47.79</v>
      </c>
      <c r="AV148" s="7"/>
      <c r="AW148" s="7"/>
      <c r="AX148" s="6">
        <v>44.46</v>
      </c>
      <c r="AY148" s="6">
        <v>48.66</v>
      </c>
      <c r="AZ148" s="6">
        <v>48.81</v>
      </c>
      <c r="BA148" s="7">
        <v>49.26</v>
      </c>
      <c r="BB148" s="6">
        <v>47.17</v>
      </c>
      <c r="BC148" s="6">
        <v>45.74</v>
      </c>
      <c r="BD148" s="6">
        <v>45.46</v>
      </c>
      <c r="BE148" s="7">
        <v>47.7</v>
      </c>
      <c r="BF148" s="6">
        <v>47.62</v>
      </c>
      <c r="BG148" s="6">
        <v>48.44</v>
      </c>
      <c r="BH148" s="6">
        <v>46.75</v>
      </c>
      <c r="BI148" s="7">
        <v>44.48</v>
      </c>
      <c r="BJ148" s="7">
        <v>48.95</v>
      </c>
      <c r="BK148" s="7">
        <v>48.56</v>
      </c>
      <c r="BL148" s="7">
        <v>46.2</v>
      </c>
      <c r="BM148" s="7">
        <v>47.06</v>
      </c>
      <c r="BN148" s="10"/>
    </row>
    <row r="149" spans="1:66" ht="15.75" customHeight="1" x14ac:dyDescent="0.25">
      <c r="A149" s="4">
        <v>147</v>
      </c>
      <c r="B149" s="4"/>
      <c r="C149" s="4">
        <v>27</v>
      </c>
      <c r="D149" s="6"/>
      <c r="E149" s="6">
        <v>43.93</v>
      </c>
      <c r="F149" s="6">
        <v>45.57</v>
      </c>
      <c r="G149" s="6">
        <v>45.46</v>
      </c>
      <c r="H149" s="6">
        <v>46.46</v>
      </c>
      <c r="I149" s="6">
        <v>45.86</v>
      </c>
      <c r="J149" s="6">
        <v>47.04</v>
      </c>
      <c r="K149" s="6">
        <v>47.28</v>
      </c>
      <c r="L149" s="6">
        <v>47.25</v>
      </c>
      <c r="M149" s="6">
        <v>49.17</v>
      </c>
      <c r="N149" s="6">
        <v>46.02</v>
      </c>
      <c r="O149" s="6">
        <v>43.95</v>
      </c>
      <c r="P149" s="6">
        <v>45.48</v>
      </c>
      <c r="Q149" s="6">
        <v>49</v>
      </c>
      <c r="R149" s="6">
        <v>45.34</v>
      </c>
      <c r="S149" s="6">
        <v>47.41</v>
      </c>
      <c r="T149" s="6">
        <v>46.29</v>
      </c>
      <c r="U149" s="6">
        <v>46.66</v>
      </c>
      <c r="V149" s="6">
        <v>47.93</v>
      </c>
      <c r="W149" s="6">
        <v>48.18</v>
      </c>
      <c r="X149" s="6">
        <v>47.91</v>
      </c>
      <c r="Y149" s="6">
        <v>44.68</v>
      </c>
      <c r="Z149" s="6">
        <v>44.24</v>
      </c>
      <c r="AA149" s="6">
        <v>45.01</v>
      </c>
      <c r="AB149" s="6">
        <v>47.54</v>
      </c>
      <c r="AC149" s="6">
        <v>44.02</v>
      </c>
      <c r="AD149" s="6">
        <v>47.08</v>
      </c>
      <c r="AE149" s="6">
        <v>48.51</v>
      </c>
      <c r="AF149" s="6">
        <v>46.77</v>
      </c>
      <c r="AG149" s="6">
        <v>44.72</v>
      </c>
      <c r="AH149" s="6">
        <v>47.98</v>
      </c>
      <c r="AI149" s="6">
        <v>47.55</v>
      </c>
      <c r="AJ149" s="6">
        <v>45.75</v>
      </c>
      <c r="AK149" s="6">
        <v>47.16</v>
      </c>
      <c r="AL149" s="6">
        <v>46.88</v>
      </c>
      <c r="AM149" s="6">
        <v>47.85</v>
      </c>
      <c r="AN149" s="6">
        <v>48.17</v>
      </c>
      <c r="AO149" s="7">
        <v>47.96</v>
      </c>
      <c r="AP149" s="7">
        <v>46.34</v>
      </c>
      <c r="AQ149" s="7">
        <v>47.64</v>
      </c>
      <c r="AR149" s="7">
        <v>48.44</v>
      </c>
      <c r="AS149" s="7">
        <v>48</v>
      </c>
      <c r="AT149" s="7">
        <v>48.1</v>
      </c>
      <c r="AU149" s="7">
        <v>47.86</v>
      </c>
      <c r="AV149" s="7"/>
      <c r="AW149" s="7"/>
      <c r="AX149" s="7">
        <v>44.54</v>
      </c>
      <c r="AY149" s="7">
        <v>48.88</v>
      </c>
      <c r="AZ149" s="7">
        <v>48.86</v>
      </c>
      <c r="BA149" s="7">
        <v>49.19</v>
      </c>
      <c r="BB149" s="7">
        <v>47.3</v>
      </c>
      <c r="BC149" s="7">
        <v>45.77</v>
      </c>
      <c r="BD149" s="7">
        <v>45.49</v>
      </c>
      <c r="BE149" s="7">
        <v>47.79</v>
      </c>
      <c r="BF149" s="7">
        <v>47.73</v>
      </c>
      <c r="BG149" s="7">
        <v>48.51</v>
      </c>
      <c r="BH149" s="7">
        <v>46.81</v>
      </c>
      <c r="BI149" s="7">
        <v>44.58</v>
      </c>
      <c r="BJ149" s="7">
        <v>49.12</v>
      </c>
      <c r="BK149" s="7">
        <v>48.65</v>
      </c>
      <c r="BL149" s="7">
        <v>46.32</v>
      </c>
      <c r="BM149" s="7">
        <v>47.16</v>
      </c>
      <c r="BN149" s="10"/>
    </row>
    <row r="150" spans="1:66" ht="15.75" customHeight="1" x14ac:dyDescent="0.25">
      <c r="A150" s="4">
        <v>148</v>
      </c>
      <c r="B150" s="4"/>
      <c r="C150" s="4">
        <v>28</v>
      </c>
      <c r="D150" s="6"/>
      <c r="E150" s="6">
        <v>44.15</v>
      </c>
      <c r="F150" s="6">
        <v>45.71</v>
      </c>
      <c r="G150" s="6">
        <v>45.56</v>
      </c>
      <c r="H150" s="6">
        <v>46.56</v>
      </c>
      <c r="I150" s="6">
        <v>45.96</v>
      </c>
      <c r="J150" s="6">
        <v>47.15</v>
      </c>
      <c r="K150" s="6">
        <v>47.33</v>
      </c>
      <c r="L150" s="6">
        <v>47.37</v>
      </c>
      <c r="M150" s="6">
        <v>49.26</v>
      </c>
      <c r="N150" s="6">
        <v>46.07</v>
      </c>
      <c r="O150" s="6">
        <v>43.95</v>
      </c>
      <c r="P150" s="6">
        <v>45.71</v>
      </c>
      <c r="Q150" s="6">
        <v>49.08</v>
      </c>
      <c r="R150" s="6">
        <v>45.56</v>
      </c>
      <c r="S150" s="6">
        <v>47.47</v>
      </c>
      <c r="T150" s="6">
        <v>46.43</v>
      </c>
      <c r="U150" s="6">
        <v>46.71</v>
      </c>
      <c r="V150" s="6">
        <v>48.07</v>
      </c>
      <c r="W150" s="6">
        <v>48.21</v>
      </c>
      <c r="X150" s="6">
        <v>47.85</v>
      </c>
      <c r="Y150" s="6">
        <v>44.9</v>
      </c>
      <c r="Z150" s="6">
        <v>44.37</v>
      </c>
      <c r="AA150" s="6">
        <v>45.36</v>
      </c>
      <c r="AB150" s="6">
        <v>47.54</v>
      </c>
      <c r="AC150" s="6">
        <v>44.29</v>
      </c>
      <c r="AD150" s="6">
        <v>47.21</v>
      </c>
      <c r="AE150" s="6">
        <v>48.68</v>
      </c>
      <c r="AF150" s="6">
        <v>46.7</v>
      </c>
      <c r="AG150" s="6">
        <v>44.72</v>
      </c>
      <c r="AH150" s="6">
        <v>48.13</v>
      </c>
      <c r="AI150" s="6">
        <v>47.69</v>
      </c>
      <c r="AJ150" s="6">
        <v>45.98</v>
      </c>
      <c r="AK150" s="6">
        <v>47.2</v>
      </c>
      <c r="AL150" s="6">
        <v>47.06</v>
      </c>
      <c r="AM150" s="6">
        <v>47.88</v>
      </c>
      <c r="AN150" s="6">
        <v>48.16</v>
      </c>
      <c r="AO150" s="7">
        <v>48.16</v>
      </c>
      <c r="AP150" s="7">
        <v>46.38</v>
      </c>
      <c r="AQ150" s="7">
        <v>47.78</v>
      </c>
      <c r="AR150" s="7">
        <v>48.5</v>
      </c>
      <c r="AS150" s="7">
        <v>48.14</v>
      </c>
      <c r="AT150" s="7">
        <v>48.06</v>
      </c>
      <c r="AU150" s="7">
        <v>47.91</v>
      </c>
      <c r="AV150" s="7"/>
      <c r="AW150" s="7"/>
      <c r="AX150" s="7">
        <v>44.58</v>
      </c>
      <c r="AY150" s="7">
        <v>48.99</v>
      </c>
      <c r="AZ150" s="7">
        <v>48.94</v>
      </c>
      <c r="BA150" s="7">
        <v>49.14</v>
      </c>
      <c r="BB150" s="7">
        <v>47.46</v>
      </c>
      <c r="BC150" s="7">
        <v>45.8</v>
      </c>
      <c r="BD150" s="7">
        <v>45.63</v>
      </c>
      <c r="BE150" s="7">
        <v>47.87</v>
      </c>
      <c r="BF150" s="7">
        <v>47.75</v>
      </c>
      <c r="BG150" s="7">
        <v>48.6</v>
      </c>
      <c r="BH150" s="7">
        <v>46.88</v>
      </c>
      <c r="BI150" s="7">
        <v>44.74</v>
      </c>
      <c r="BJ150" s="7">
        <v>49.29</v>
      </c>
      <c r="BK150" s="7">
        <v>48.7</v>
      </c>
      <c r="BL150" s="7">
        <v>46.58</v>
      </c>
      <c r="BM150" s="7">
        <v>47.26</v>
      </c>
      <c r="BN150" s="10"/>
    </row>
    <row r="151" spans="1:66" ht="15.75" customHeight="1" x14ac:dyDescent="0.25">
      <c r="A151" s="4">
        <v>149</v>
      </c>
      <c r="B151" s="4"/>
      <c r="C151" s="4">
        <v>29</v>
      </c>
      <c r="D151" s="6"/>
      <c r="E151" s="6">
        <v>44.42</v>
      </c>
      <c r="F151" s="6">
        <v>45.82</v>
      </c>
      <c r="G151" s="6">
        <v>45.74</v>
      </c>
      <c r="H151" s="6">
        <v>46.66</v>
      </c>
      <c r="I151" s="6">
        <v>46.11</v>
      </c>
      <c r="J151" s="6">
        <v>47.24</v>
      </c>
      <c r="K151" s="6">
        <v>47.38</v>
      </c>
      <c r="L151" s="6">
        <v>47.45</v>
      </c>
      <c r="M151" s="6">
        <v>49.36</v>
      </c>
      <c r="N151" s="6">
        <v>46.1</v>
      </c>
      <c r="O151" s="6">
        <v>43.98</v>
      </c>
      <c r="P151" s="6">
        <v>45.93</v>
      </c>
      <c r="Q151" s="6">
        <v>49.14</v>
      </c>
      <c r="R151" s="6">
        <v>45.77</v>
      </c>
      <c r="S151" s="6">
        <v>47.57</v>
      </c>
      <c r="T151" s="6">
        <v>46.57</v>
      </c>
      <c r="U151" s="6">
        <v>46.68</v>
      </c>
      <c r="V151" s="6">
        <v>48.3</v>
      </c>
      <c r="W151" s="6">
        <v>48.29</v>
      </c>
      <c r="X151" s="6">
        <v>47.84</v>
      </c>
      <c r="Y151" s="6">
        <v>45.17</v>
      </c>
      <c r="Z151" s="6">
        <v>44.62</v>
      </c>
      <c r="AA151" s="6">
        <v>45.58</v>
      </c>
      <c r="AB151" s="6">
        <v>47.51</v>
      </c>
      <c r="AC151" s="6">
        <v>44.46</v>
      </c>
      <c r="AD151" s="6">
        <v>47.35</v>
      </c>
      <c r="AE151" s="6">
        <v>48.79</v>
      </c>
      <c r="AF151" s="6">
        <v>46.84</v>
      </c>
      <c r="AG151" s="6">
        <v>44.74</v>
      </c>
      <c r="AH151" s="6">
        <v>48.21</v>
      </c>
      <c r="AI151" s="6">
        <v>47.78</v>
      </c>
      <c r="AJ151" s="6">
        <v>46.1</v>
      </c>
      <c r="AK151" s="6">
        <v>47.27</v>
      </c>
      <c r="AL151" s="6">
        <v>47.16</v>
      </c>
      <c r="AM151" s="6">
        <v>48.07</v>
      </c>
      <c r="AN151" s="6">
        <v>48.14</v>
      </c>
      <c r="AO151" s="7">
        <v>48.35</v>
      </c>
      <c r="AP151" s="7">
        <v>46.39</v>
      </c>
      <c r="AQ151" s="7">
        <v>47.78</v>
      </c>
      <c r="AR151" s="7">
        <v>48.58</v>
      </c>
      <c r="AS151" s="7">
        <v>48.24</v>
      </c>
      <c r="AT151" s="7">
        <v>48</v>
      </c>
      <c r="AU151" s="7">
        <v>47.93</v>
      </c>
      <c r="AV151" s="7"/>
      <c r="AW151" s="7"/>
      <c r="AX151" s="7">
        <v>44.62</v>
      </c>
      <c r="AY151" s="7">
        <v>49.12</v>
      </c>
      <c r="AZ151" s="7">
        <v>48.94</v>
      </c>
      <c r="BA151" s="7">
        <v>49.1</v>
      </c>
      <c r="BB151" s="7">
        <v>47.64</v>
      </c>
      <c r="BC151" s="7">
        <v>46.08</v>
      </c>
      <c r="BD151" s="7">
        <v>45.78</v>
      </c>
      <c r="BE151" s="7">
        <v>47.98</v>
      </c>
      <c r="BF151" s="7">
        <v>47.75</v>
      </c>
      <c r="BG151" s="7">
        <v>48.68</v>
      </c>
      <c r="BH151" s="7">
        <v>46.92</v>
      </c>
      <c r="BI151" s="7">
        <v>44.91</v>
      </c>
      <c r="BJ151" s="7">
        <v>49.43</v>
      </c>
      <c r="BK151" s="7">
        <v>48.78</v>
      </c>
      <c r="BL151" s="7">
        <v>46.82</v>
      </c>
      <c r="BM151" s="7">
        <v>47.4</v>
      </c>
      <c r="BN151" s="10"/>
    </row>
    <row r="152" spans="1:66" ht="15.75" customHeight="1" x14ac:dyDescent="0.25">
      <c r="A152" s="4">
        <v>150</v>
      </c>
      <c r="B152" s="4"/>
      <c r="C152" s="4">
        <v>30</v>
      </c>
      <c r="D152" s="6"/>
      <c r="E152" s="6">
        <v>44.65</v>
      </c>
      <c r="F152" s="6">
        <v>45.99</v>
      </c>
      <c r="G152" s="6">
        <v>45.81</v>
      </c>
      <c r="H152" s="6">
        <v>46.81</v>
      </c>
      <c r="I152" s="6">
        <v>46.11</v>
      </c>
      <c r="J152" s="6">
        <v>47.33</v>
      </c>
      <c r="K152" s="6">
        <v>47.4</v>
      </c>
      <c r="L152" s="6">
        <v>47.53</v>
      </c>
      <c r="M152" s="6">
        <v>49.46</v>
      </c>
      <c r="N152" s="6">
        <v>46.13</v>
      </c>
      <c r="O152" s="6">
        <v>44.09</v>
      </c>
      <c r="P152" s="6">
        <v>46.21</v>
      </c>
      <c r="Q152" s="6">
        <v>49.19</v>
      </c>
      <c r="R152" s="6">
        <v>45.97</v>
      </c>
      <c r="S152" s="6">
        <v>47.65</v>
      </c>
      <c r="T152" s="6">
        <v>46.75</v>
      </c>
      <c r="U152" s="6">
        <v>46.64</v>
      </c>
      <c r="V152" s="6">
        <v>48.3</v>
      </c>
      <c r="W152" s="6">
        <v>48.32</v>
      </c>
      <c r="X152" s="6">
        <v>47.84</v>
      </c>
      <c r="Y152" s="6">
        <v>45.41</v>
      </c>
      <c r="Z152" s="6">
        <v>44.76</v>
      </c>
      <c r="AA152" s="6">
        <v>45.78</v>
      </c>
      <c r="AB152" s="6">
        <v>47.51</v>
      </c>
      <c r="AC152" s="6">
        <v>44.56</v>
      </c>
      <c r="AD152" s="6">
        <v>47.48</v>
      </c>
      <c r="AE152" s="6">
        <v>48.91</v>
      </c>
      <c r="AF152" s="6">
        <v>46.92</v>
      </c>
      <c r="AG152" s="6">
        <v>44.77</v>
      </c>
      <c r="AH152" s="6">
        <v>48.29</v>
      </c>
      <c r="AI152" s="6">
        <v>47.89</v>
      </c>
      <c r="AJ152" s="6">
        <v>46.39</v>
      </c>
      <c r="AK152" s="6">
        <v>47.27</v>
      </c>
      <c r="AL152" s="6">
        <v>47.34</v>
      </c>
      <c r="AM152" s="6">
        <v>48.12</v>
      </c>
      <c r="AN152" s="6">
        <v>48.18</v>
      </c>
      <c r="AO152" s="7">
        <v>48.42</v>
      </c>
      <c r="AP152" s="7">
        <v>46.38</v>
      </c>
      <c r="AQ152" s="7">
        <v>48.05</v>
      </c>
      <c r="AR152" s="7">
        <v>48.63</v>
      </c>
      <c r="AS152" s="7">
        <v>48.36</v>
      </c>
      <c r="AT152" s="7">
        <v>47.96</v>
      </c>
      <c r="AU152" s="7">
        <v>48</v>
      </c>
      <c r="AV152" s="7"/>
      <c r="AW152" s="7"/>
      <c r="AX152" s="7">
        <v>44.63</v>
      </c>
      <c r="AY152" s="7">
        <v>49.24</v>
      </c>
      <c r="AZ152" s="7">
        <v>48.96</v>
      </c>
      <c r="BA152" s="7">
        <v>49.08</v>
      </c>
      <c r="BB152" s="7">
        <v>47.75</v>
      </c>
      <c r="BC152" s="7">
        <v>46.11</v>
      </c>
      <c r="BD152" s="7">
        <v>45.88</v>
      </c>
      <c r="BE152" s="7">
        <v>48.1</v>
      </c>
      <c r="BF152" s="7">
        <v>47.73</v>
      </c>
      <c r="BG152" s="7">
        <v>48.68</v>
      </c>
      <c r="BH152" s="7">
        <v>47.02</v>
      </c>
      <c r="BI152" s="7">
        <v>45.1</v>
      </c>
      <c r="BJ152" s="7">
        <v>49.8</v>
      </c>
      <c r="BK152" s="7">
        <v>48.85</v>
      </c>
      <c r="BL152" s="7">
        <v>47.06</v>
      </c>
      <c r="BM152" s="7">
        <v>47.54</v>
      </c>
      <c r="BN152" s="10"/>
    </row>
    <row r="153" spans="1:66" ht="15.75" customHeight="1" x14ac:dyDescent="0.25">
      <c r="A153" s="4">
        <v>151</v>
      </c>
      <c r="B153" s="4"/>
      <c r="C153" s="4">
        <v>31</v>
      </c>
      <c r="D153" s="6"/>
      <c r="E153" s="6">
        <v>44.9</v>
      </c>
      <c r="F153" s="6">
        <v>46.27</v>
      </c>
      <c r="G153" s="6">
        <v>45.96</v>
      </c>
      <c r="H153" s="6">
        <v>46.96</v>
      </c>
      <c r="I153" s="6">
        <v>46.26</v>
      </c>
      <c r="J153" s="6">
        <v>47.38</v>
      </c>
      <c r="K153" s="6">
        <v>47.43</v>
      </c>
      <c r="L153" s="6">
        <v>47.77</v>
      </c>
      <c r="M153" s="6">
        <v>49.49</v>
      </c>
      <c r="N153" s="6">
        <v>46.13</v>
      </c>
      <c r="O153" s="6">
        <v>44.16</v>
      </c>
      <c r="P153" s="6">
        <v>46.36</v>
      </c>
      <c r="Q153" s="6">
        <v>49.24</v>
      </c>
      <c r="R153" s="6">
        <v>46.17</v>
      </c>
      <c r="S153" s="6">
        <v>47.71</v>
      </c>
      <c r="T153" s="6">
        <v>46.94</v>
      </c>
      <c r="U153" s="6">
        <v>46.65</v>
      </c>
      <c r="V153" s="6">
        <v>48.44</v>
      </c>
      <c r="W153" s="6">
        <v>48.49</v>
      </c>
      <c r="X153" s="6">
        <v>47.81</v>
      </c>
      <c r="Y153" s="6">
        <v>45.61</v>
      </c>
      <c r="Z153" s="6">
        <v>44.92</v>
      </c>
      <c r="AA153" s="6">
        <v>45.92</v>
      </c>
      <c r="AB153" s="6">
        <v>47.55</v>
      </c>
      <c r="AC153" s="6">
        <v>44.79</v>
      </c>
      <c r="AD153" s="6">
        <v>47.55</v>
      </c>
      <c r="AE153" s="6">
        <v>48.99</v>
      </c>
      <c r="AF153" s="6">
        <v>46.98</v>
      </c>
      <c r="AG153" s="6">
        <v>44.82</v>
      </c>
      <c r="AH153" s="6">
        <v>48.34</v>
      </c>
      <c r="AI153" s="6">
        <v>47.96</v>
      </c>
      <c r="AJ153" s="6">
        <v>46.59</v>
      </c>
      <c r="AK153" s="6">
        <v>47.33</v>
      </c>
      <c r="AL153" s="6">
        <v>47.5</v>
      </c>
      <c r="AM153" s="6">
        <v>48.19</v>
      </c>
      <c r="AN153" s="6">
        <v>48.17</v>
      </c>
      <c r="AO153" s="7">
        <v>48.55</v>
      </c>
      <c r="AP153" s="7">
        <v>46.37</v>
      </c>
      <c r="AQ153" s="7">
        <v>48.17</v>
      </c>
      <c r="AR153" s="7">
        <v>48.66</v>
      </c>
      <c r="AS153" s="7">
        <v>48.48</v>
      </c>
      <c r="AT153" s="7">
        <v>47.9</v>
      </c>
      <c r="AU153" s="7">
        <v>48</v>
      </c>
      <c r="AV153" s="7"/>
      <c r="AW153" s="7"/>
      <c r="AX153" s="7">
        <v>44.64</v>
      </c>
      <c r="AY153" s="7">
        <v>49.34</v>
      </c>
      <c r="AZ153" s="7">
        <v>49.02</v>
      </c>
      <c r="BA153" s="7">
        <v>49.09</v>
      </c>
      <c r="BB153" s="7">
        <v>47.85</v>
      </c>
      <c r="BC153" s="7">
        <v>46.12</v>
      </c>
      <c r="BD153" s="7">
        <v>46</v>
      </c>
      <c r="BE153" s="7">
        <v>48.24</v>
      </c>
      <c r="BF153" s="7">
        <v>47.75</v>
      </c>
      <c r="BG153" s="7">
        <v>48.74</v>
      </c>
      <c r="BH153" s="7">
        <v>47.07</v>
      </c>
      <c r="BI153" s="7">
        <v>45.22</v>
      </c>
      <c r="BJ153" s="7">
        <v>49.82</v>
      </c>
      <c r="BK153" s="7">
        <v>48.95</v>
      </c>
      <c r="BL153" s="7">
        <v>47.22</v>
      </c>
      <c r="BM153" s="7">
        <v>47.68</v>
      </c>
      <c r="BN153" s="10"/>
    </row>
    <row r="154" spans="1:66" ht="15.75" customHeight="1" x14ac:dyDescent="0.25">
      <c r="A154" s="4">
        <v>152</v>
      </c>
      <c r="B154" s="5" t="s">
        <v>9</v>
      </c>
      <c r="C154" s="4">
        <v>1</v>
      </c>
      <c r="D154" s="6"/>
      <c r="E154" s="6">
        <v>45.13</v>
      </c>
      <c r="F154" s="6">
        <v>46.43</v>
      </c>
      <c r="G154" s="6">
        <v>46.01</v>
      </c>
      <c r="H154" s="6">
        <v>47.06</v>
      </c>
      <c r="I154" s="6">
        <v>46.36</v>
      </c>
      <c r="J154" s="6">
        <v>47.46</v>
      </c>
      <c r="K154" s="6">
        <v>47.49</v>
      </c>
      <c r="L154" s="6">
        <v>48</v>
      </c>
      <c r="M154" s="6">
        <v>49.58</v>
      </c>
      <c r="N154" s="6">
        <v>46.1</v>
      </c>
      <c r="O154" s="6">
        <v>44.23</v>
      </c>
      <c r="P154" s="6">
        <v>46.56</v>
      </c>
      <c r="Q154" s="6">
        <v>49.34</v>
      </c>
      <c r="R154" s="6">
        <v>46.36</v>
      </c>
      <c r="S154" s="6">
        <v>47.77</v>
      </c>
      <c r="T154" s="6">
        <v>47.11</v>
      </c>
      <c r="U154" s="6">
        <v>46.73</v>
      </c>
      <c r="V154" s="6">
        <v>48.58</v>
      </c>
      <c r="W154" s="6">
        <v>48.75</v>
      </c>
      <c r="X154" s="6">
        <v>47.78</v>
      </c>
      <c r="Y154" s="6">
        <v>45.72</v>
      </c>
      <c r="Z154" s="6">
        <v>45.12</v>
      </c>
      <c r="AA154" s="6">
        <v>46.2</v>
      </c>
      <c r="AB154" s="6">
        <v>47.58</v>
      </c>
      <c r="AC154" s="6">
        <v>44.88</v>
      </c>
      <c r="AD154" s="6">
        <v>47.65</v>
      </c>
      <c r="AE154" s="6">
        <v>49.08</v>
      </c>
      <c r="AF154" s="6">
        <v>47.03</v>
      </c>
      <c r="AG154" s="6">
        <v>44.92</v>
      </c>
      <c r="AH154" s="6">
        <v>48.39</v>
      </c>
      <c r="AI154" s="6">
        <v>48.03</v>
      </c>
      <c r="AJ154" s="6">
        <v>46.74</v>
      </c>
      <c r="AK154" s="6">
        <v>47.42</v>
      </c>
      <c r="AL154" s="6">
        <v>47.73</v>
      </c>
      <c r="AM154" s="6">
        <v>48.24</v>
      </c>
      <c r="AN154" s="6">
        <v>48.17</v>
      </c>
      <c r="AO154" s="7">
        <v>48.74</v>
      </c>
      <c r="AP154" s="7">
        <v>46.43</v>
      </c>
      <c r="AQ154" s="7">
        <v>48.29</v>
      </c>
      <c r="AR154" s="7">
        <v>48.74</v>
      </c>
      <c r="AS154" s="7">
        <v>48.54</v>
      </c>
      <c r="AT154" s="7">
        <v>47.85</v>
      </c>
      <c r="AU154" s="7">
        <v>48.04</v>
      </c>
      <c r="AV154" s="7"/>
      <c r="AW154" s="7"/>
      <c r="AX154" s="7">
        <v>44.63</v>
      </c>
      <c r="AY154" s="7">
        <v>49.38</v>
      </c>
      <c r="AZ154" s="7">
        <v>49.07</v>
      </c>
      <c r="BA154" s="7">
        <v>49.09</v>
      </c>
      <c r="BB154" s="7">
        <v>47.95</v>
      </c>
      <c r="BC154" s="7">
        <v>46.14</v>
      </c>
      <c r="BD154" s="7">
        <v>46.12</v>
      </c>
      <c r="BE154" s="7">
        <v>48.39</v>
      </c>
      <c r="BF154" s="7">
        <v>47.75</v>
      </c>
      <c r="BG154" s="7">
        <v>48.83</v>
      </c>
      <c r="BH154" s="7">
        <v>47.11</v>
      </c>
      <c r="BI154" s="7">
        <v>45.37</v>
      </c>
      <c r="BJ154" s="7">
        <v>49.85</v>
      </c>
      <c r="BK154" s="7">
        <v>49.05</v>
      </c>
      <c r="BL154" s="7">
        <v>47.32</v>
      </c>
      <c r="BM154" s="7">
        <v>47.88</v>
      </c>
      <c r="BN154" s="10"/>
    </row>
    <row r="155" spans="1:66" ht="15.75" customHeight="1" x14ac:dyDescent="0.25">
      <c r="A155" s="4">
        <v>153</v>
      </c>
      <c r="B155" s="4"/>
      <c r="C155" s="4">
        <v>2</v>
      </c>
      <c r="D155" s="6"/>
      <c r="E155" s="6">
        <v>45.38</v>
      </c>
      <c r="F155" s="6">
        <v>46.54</v>
      </c>
      <c r="G155" s="6">
        <v>46.16</v>
      </c>
      <c r="H155" s="6">
        <v>47.26</v>
      </c>
      <c r="I155" s="6">
        <v>46.41</v>
      </c>
      <c r="J155" s="6">
        <v>47.57</v>
      </c>
      <c r="K155" s="6">
        <v>47.52</v>
      </c>
      <c r="L155" s="6">
        <v>48.2</v>
      </c>
      <c r="M155" s="6">
        <v>49.61</v>
      </c>
      <c r="N155" s="6">
        <v>46.06</v>
      </c>
      <c r="O155" s="6">
        <v>44.31</v>
      </c>
      <c r="P155" s="6">
        <v>46.72</v>
      </c>
      <c r="Q155" s="6">
        <v>49.44</v>
      </c>
      <c r="R155" s="6">
        <v>46.56</v>
      </c>
      <c r="S155" s="6">
        <v>47.86</v>
      </c>
      <c r="T155" s="6">
        <v>47.36</v>
      </c>
      <c r="U155" s="6">
        <v>46.85</v>
      </c>
      <c r="V155" s="6">
        <v>48.64</v>
      </c>
      <c r="W155" s="6">
        <v>48.89</v>
      </c>
      <c r="X155" s="6">
        <v>47.85</v>
      </c>
      <c r="Y155" s="6">
        <v>45.89</v>
      </c>
      <c r="Z155" s="6">
        <v>45.31</v>
      </c>
      <c r="AA155" s="6">
        <v>46.34</v>
      </c>
      <c r="AB155" s="6">
        <v>47.58</v>
      </c>
      <c r="AC155" s="6">
        <v>44.99</v>
      </c>
      <c r="AD155" s="6">
        <v>47.73</v>
      </c>
      <c r="AE155" s="6">
        <v>49.14</v>
      </c>
      <c r="AF155" s="6">
        <v>47.12</v>
      </c>
      <c r="AG155" s="6">
        <v>44.98</v>
      </c>
      <c r="AH155" s="6">
        <v>48.43</v>
      </c>
      <c r="AI155" s="6">
        <v>48.15</v>
      </c>
      <c r="AJ155" s="6">
        <v>46.97</v>
      </c>
      <c r="AK155" s="6">
        <v>47.54</v>
      </c>
      <c r="AL155" s="6">
        <v>47.86</v>
      </c>
      <c r="AM155" s="6">
        <v>48.31</v>
      </c>
      <c r="AN155" s="6">
        <v>48.16</v>
      </c>
      <c r="AO155" s="7">
        <v>48.84</v>
      </c>
      <c r="AP155" s="7">
        <v>46.53</v>
      </c>
      <c r="AQ155" s="7">
        <v>48.38</v>
      </c>
      <c r="AR155" s="7">
        <v>48.78</v>
      </c>
      <c r="AS155" s="7">
        <v>48.73</v>
      </c>
      <c r="AT155" s="7">
        <v>47.84</v>
      </c>
      <c r="AU155" s="7">
        <v>48.07</v>
      </c>
      <c r="AV155" s="7"/>
      <c r="AW155" s="7"/>
      <c r="AX155" s="7">
        <v>44.6</v>
      </c>
      <c r="AY155" s="7">
        <v>49.4</v>
      </c>
      <c r="AZ155" s="7">
        <v>49.14</v>
      </c>
      <c r="BA155" s="7">
        <v>49.03</v>
      </c>
      <c r="BB155" s="7">
        <v>48.06</v>
      </c>
      <c r="BC155" s="7">
        <v>46.2</v>
      </c>
      <c r="BD155" s="7">
        <v>46.26</v>
      </c>
      <c r="BE155" s="7">
        <v>48.6</v>
      </c>
      <c r="BF155" s="7">
        <v>47.76</v>
      </c>
      <c r="BG155" s="7">
        <v>48.92</v>
      </c>
      <c r="BH155" s="7">
        <v>47.22</v>
      </c>
      <c r="BI155" s="7">
        <v>45.5</v>
      </c>
      <c r="BJ155" s="7">
        <v>49.98</v>
      </c>
      <c r="BK155" s="7">
        <v>49.18</v>
      </c>
      <c r="BL155" s="7">
        <v>47.4</v>
      </c>
      <c r="BM155" s="7">
        <v>48.04</v>
      </c>
      <c r="BN155" s="10"/>
    </row>
    <row r="156" spans="1:66" ht="15.75" customHeight="1" x14ac:dyDescent="0.25">
      <c r="A156" s="4">
        <v>154</v>
      </c>
      <c r="B156" s="4"/>
      <c r="C156" s="4">
        <v>3</v>
      </c>
      <c r="D156" s="6"/>
      <c r="E156" s="6">
        <v>45.61</v>
      </c>
      <c r="F156" s="6">
        <v>46.61</v>
      </c>
      <c r="G156" s="6">
        <v>46.31</v>
      </c>
      <c r="H156" s="6">
        <v>47.36</v>
      </c>
      <c r="I156" s="6">
        <v>46.46</v>
      </c>
      <c r="J156" s="6">
        <v>47.76</v>
      </c>
      <c r="K156" s="6">
        <v>47.58</v>
      </c>
      <c r="L156" s="6">
        <v>48.37</v>
      </c>
      <c r="M156" s="6">
        <v>49.65</v>
      </c>
      <c r="N156" s="6">
        <v>45.99</v>
      </c>
      <c r="O156" s="6">
        <v>44.43</v>
      </c>
      <c r="P156" s="6">
        <v>46.81</v>
      </c>
      <c r="Q156" s="6">
        <v>49.52</v>
      </c>
      <c r="R156" s="6">
        <v>46.61</v>
      </c>
      <c r="S156" s="6">
        <v>47.98</v>
      </c>
      <c r="T156" s="6">
        <v>47.49</v>
      </c>
      <c r="U156" s="6">
        <v>46.99</v>
      </c>
      <c r="V156" s="6">
        <v>48.75</v>
      </c>
      <c r="W156" s="6">
        <v>49.01</v>
      </c>
      <c r="X156" s="6">
        <v>47.88</v>
      </c>
      <c r="Y156" s="6">
        <v>46.04</v>
      </c>
      <c r="Z156" s="6">
        <v>45.52</v>
      </c>
      <c r="AA156" s="6">
        <v>46.44</v>
      </c>
      <c r="AB156" s="6">
        <v>47.55</v>
      </c>
      <c r="AC156" s="6">
        <v>45.05</v>
      </c>
      <c r="AD156" s="6">
        <v>47.79</v>
      </c>
      <c r="AE156" s="6">
        <v>49.21</v>
      </c>
      <c r="AF156" s="6">
        <v>47.2</v>
      </c>
      <c r="AG156" s="6">
        <v>45.03</v>
      </c>
      <c r="AH156" s="6">
        <v>48.43</v>
      </c>
      <c r="AI156" s="6">
        <v>48.24</v>
      </c>
      <c r="AJ156" s="6">
        <v>47.14</v>
      </c>
      <c r="AK156" s="6">
        <v>47.69</v>
      </c>
      <c r="AL156" s="6">
        <v>47.97</v>
      </c>
      <c r="AM156" s="6">
        <v>48.4</v>
      </c>
      <c r="AN156" s="6">
        <v>48.11</v>
      </c>
      <c r="AO156" s="7">
        <v>48.85</v>
      </c>
      <c r="AP156" s="7">
        <v>46.56</v>
      </c>
      <c r="AQ156" s="7">
        <v>48.45</v>
      </c>
      <c r="AR156" s="7">
        <v>48.78</v>
      </c>
      <c r="AS156" s="7">
        <v>48.84</v>
      </c>
      <c r="AT156" s="7">
        <v>47.82</v>
      </c>
      <c r="AU156" s="7">
        <v>48.09</v>
      </c>
      <c r="AV156" s="7"/>
      <c r="AW156" s="7"/>
      <c r="AX156" s="7">
        <v>44.58</v>
      </c>
      <c r="AY156" s="7">
        <v>49.42</v>
      </c>
      <c r="AZ156" s="7">
        <v>49.21</v>
      </c>
      <c r="BA156" s="7">
        <v>49.02</v>
      </c>
      <c r="BB156" s="7">
        <v>48.15</v>
      </c>
      <c r="BC156" s="7">
        <v>46.29</v>
      </c>
      <c r="BD156" s="7">
        <v>46.54</v>
      </c>
      <c r="BE156" s="7">
        <v>48.71</v>
      </c>
      <c r="BF156" s="7">
        <v>47.78</v>
      </c>
      <c r="BG156" s="7">
        <v>49.02</v>
      </c>
      <c r="BH156" s="7">
        <v>47.22</v>
      </c>
      <c r="BI156" s="7">
        <v>45.32</v>
      </c>
      <c r="BJ156" s="7">
        <v>50.07</v>
      </c>
      <c r="BK156" s="7">
        <v>49.3</v>
      </c>
      <c r="BL156" s="7">
        <v>47.5</v>
      </c>
      <c r="BM156" s="7">
        <v>48.2</v>
      </c>
      <c r="BN156" s="10"/>
    </row>
    <row r="157" spans="1:66" ht="15.75" customHeight="1" x14ac:dyDescent="0.25">
      <c r="A157" s="4">
        <v>155</v>
      </c>
      <c r="B157" s="4"/>
      <c r="C157" s="4">
        <v>4</v>
      </c>
      <c r="D157" s="6"/>
      <c r="E157" s="6">
        <v>45.88</v>
      </c>
      <c r="F157" s="6">
        <v>46.66</v>
      </c>
      <c r="G157" s="6">
        <v>46.44</v>
      </c>
      <c r="H157" s="6">
        <v>47.46</v>
      </c>
      <c r="I157" s="6">
        <v>46.56</v>
      </c>
      <c r="J157" s="6">
        <v>47.87</v>
      </c>
      <c r="K157" s="6">
        <v>47.62</v>
      </c>
      <c r="L157" s="6">
        <v>48.48</v>
      </c>
      <c r="M157" s="6">
        <v>49.66</v>
      </c>
      <c r="N157" s="6">
        <v>45.96</v>
      </c>
      <c r="O157" s="6">
        <v>44.56</v>
      </c>
      <c r="P157" s="6">
        <v>46.88</v>
      </c>
      <c r="Q157" s="6">
        <v>49.71</v>
      </c>
      <c r="R157" s="6">
        <v>46.73</v>
      </c>
      <c r="S157" s="6">
        <v>48.07</v>
      </c>
      <c r="T157" s="6">
        <v>47.64</v>
      </c>
      <c r="U157" s="6">
        <v>47.08</v>
      </c>
      <c r="V157" s="6">
        <v>48.82</v>
      </c>
      <c r="W157" s="6">
        <v>49.1</v>
      </c>
      <c r="X157" s="6">
        <v>47.96</v>
      </c>
      <c r="Y157" s="6">
        <v>46.22</v>
      </c>
      <c r="Z157" s="6">
        <v>45.74</v>
      </c>
      <c r="AA157" s="6">
        <v>46.61</v>
      </c>
      <c r="AB157" s="6">
        <v>47.51</v>
      </c>
      <c r="AC157" s="6">
        <v>45.18</v>
      </c>
      <c r="AD157" s="6">
        <v>47.99</v>
      </c>
      <c r="AE157" s="6">
        <v>49.24</v>
      </c>
      <c r="AF157" s="6">
        <v>47.19</v>
      </c>
      <c r="AG157" s="6">
        <v>45.1</v>
      </c>
      <c r="AH157" s="6">
        <v>48.5</v>
      </c>
      <c r="AI157" s="6">
        <v>48.34</v>
      </c>
      <c r="AJ157" s="6">
        <v>47.37</v>
      </c>
      <c r="AK157" s="6">
        <v>47.84</v>
      </c>
      <c r="AL157" s="6">
        <v>48.02</v>
      </c>
      <c r="AM157" s="6">
        <v>48.46</v>
      </c>
      <c r="AN157" s="6">
        <v>48.12</v>
      </c>
      <c r="AO157" s="7">
        <v>49.04</v>
      </c>
      <c r="AP157" s="7">
        <v>46.59</v>
      </c>
      <c r="AQ157" s="7">
        <v>48.5</v>
      </c>
      <c r="AR157" s="7">
        <v>48.8</v>
      </c>
      <c r="AS157" s="7">
        <v>48.92</v>
      </c>
      <c r="AT157" s="7">
        <v>47.81</v>
      </c>
      <c r="AU157" s="7">
        <v>48.09</v>
      </c>
      <c r="AV157" s="7"/>
      <c r="AW157" s="7"/>
      <c r="AX157" s="7">
        <v>44.58</v>
      </c>
      <c r="AY157" s="7">
        <v>49.52</v>
      </c>
      <c r="AZ157" s="7">
        <v>49.34</v>
      </c>
      <c r="BA157" s="7">
        <v>49.04</v>
      </c>
      <c r="BB157" s="7">
        <v>48.24</v>
      </c>
      <c r="BC157" s="7">
        <v>46.39</v>
      </c>
      <c r="BD157" s="7">
        <v>46.6</v>
      </c>
      <c r="BE157" s="7">
        <v>48.81</v>
      </c>
      <c r="BF157" s="7">
        <v>47.78</v>
      </c>
      <c r="BG157" s="7">
        <v>49.12</v>
      </c>
      <c r="BH157" s="7">
        <v>47.43</v>
      </c>
      <c r="BI157" s="7">
        <v>45.72</v>
      </c>
      <c r="BJ157" s="7">
        <v>50.15</v>
      </c>
      <c r="BK157" s="7">
        <v>49.38</v>
      </c>
      <c r="BL157" s="7">
        <v>47.56</v>
      </c>
      <c r="BM157" s="7">
        <v>48.34</v>
      </c>
      <c r="BN157" s="10"/>
    </row>
    <row r="158" spans="1:66" ht="15.75" customHeight="1" x14ac:dyDescent="0.25">
      <c r="A158" s="4">
        <v>156</v>
      </c>
      <c r="B158" s="4"/>
      <c r="C158" s="4">
        <v>5</v>
      </c>
      <c r="D158" s="6"/>
      <c r="E158" s="6">
        <v>46.12</v>
      </c>
      <c r="F158" s="6">
        <v>46.76</v>
      </c>
      <c r="G158" s="6">
        <v>46.46</v>
      </c>
      <c r="H158" s="6">
        <v>47.71</v>
      </c>
      <c r="I158" s="6">
        <v>46.56</v>
      </c>
      <c r="J158" s="6">
        <v>47.96</v>
      </c>
      <c r="K158" s="6">
        <v>47.72</v>
      </c>
      <c r="L158" s="6">
        <v>48.64</v>
      </c>
      <c r="M158" s="6">
        <v>49.68</v>
      </c>
      <c r="N158" s="6">
        <v>45.9</v>
      </c>
      <c r="O158" s="6">
        <v>44.68</v>
      </c>
      <c r="P158" s="6">
        <v>46.96</v>
      </c>
      <c r="Q158" s="6">
        <v>49.76</v>
      </c>
      <c r="R158" s="6">
        <v>46.78</v>
      </c>
      <c r="S158" s="6">
        <v>48.16</v>
      </c>
      <c r="T158" s="6">
        <v>47.69</v>
      </c>
      <c r="U158" s="6">
        <v>47.15</v>
      </c>
      <c r="V158" s="6">
        <v>48.86</v>
      </c>
      <c r="W158" s="6">
        <v>49.22</v>
      </c>
      <c r="X158" s="6">
        <v>48.05</v>
      </c>
      <c r="Y158" s="6">
        <v>46.37</v>
      </c>
      <c r="Z158" s="6">
        <v>45.96</v>
      </c>
      <c r="AA158" s="6">
        <v>46.76</v>
      </c>
      <c r="AB158" s="6">
        <v>47.44</v>
      </c>
      <c r="AC158" s="6">
        <v>45.32</v>
      </c>
      <c r="AD158" s="6">
        <v>48.04</v>
      </c>
      <c r="AE158" s="6">
        <v>49.26</v>
      </c>
      <c r="AF158" s="6">
        <v>47.17</v>
      </c>
      <c r="AG158" s="6">
        <v>45.1</v>
      </c>
      <c r="AH158" s="6">
        <v>48.48</v>
      </c>
      <c r="AI158" s="6">
        <v>48.39</v>
      </c>
      <c r="AJ158" s="6">
        <v>47.53</v>
      </c>
      <c r="AK158" s="6">
        <v>48.02</v>
      </c>
      <c r="AL158" s="6">
        <v>48.14</v>
      </c>
      <c r="AM158" s="6">
        <v>48.53</v>
      </c>
      <c r="AN158" s="6">
        <v>48.14</v>
      </c>
      <c r="AO158" s="7">
        <v>49.08</v>
      </c>
      <c r="AP158" s="7">
        <v>46.65</v>
      </c>
      <c r="AQ158" s="7">
        <v>48.59</v>
      </c>
      <c r="AR158" s="7">
        <v>48.81</v>
      </c>
      <c r="AS158" s="7">
        <v>49</v>
      </c>
      <c r="AT158" s="7">
        <v>47.84</v>
      </c>
      <c r="AU158" s="7">
        <v>48.09</v>
      </c>
      <c r="AV158" s="7"/>
      <c r="AW158" s="7"/>
      <c r="AX158" s="7">
        <v>44.62</v>
      </c>
      <c r="AY158" s="7">
        <v>49.52</v>
      </c>
      <c r="AZ158" s="7">
        <v>49.47</v>
      </c>
      <c r="BA158" s="7">
        <v>48.85</v>
      </c>
      <c r="BB158" s="7">
        <v>48.31</v>
      </c>
      <c r="BC158" s="7">
        <v>46.48</v>
      </c>
      <c r="BD158" s="7">
        <v>46.64</v>
      </c>
      <c r="BE158" s="7">
        <v>48.89</v>
      </c>
      <c r="BF158" s="7">
        <v>47.78</v>
      </c>
      <c r="BG158" s="7">
        <v>49.34</v>
      </c>
      <c r="BH158" s="7">
        <v>47.52</v>
      </c>
      <c r="BI158" s="7">
        <v>45.77</v>
      </c>
      <c r="BJ158" s="7">
        <v>50.26</v>
      </c>
      <c r="BK158" s="7">
        <v>49.45</v>
      </c>
      <c r="BL158" s="7">
        <v>47.62</v>
      </c>
      <c r="BM158" s="7">
        <v>48.48</v>
      </c>
      <c r="BN158" s="10"/>
    </row>
    <row r="159" spans="1:66" ht="15.75" customHeight="1" x14ac:dyDescent="0.25">
      <c r="A159" s="4">
        <v>157</v>
      </c>
      <c r="B159" s="4"/>
      <c r="C159" s="4">
        <v>6</v>
      </c>
      <c r="D159" s="6"/>
      <c r="E159" s="6">
        <v>46.35</v>
      </c>
      <c r="F159" s="6">
        <v>46.96</v>
      </c>
      <c r="G159" s="6">
        <v>46.61</v>
      </c>
      <c r="H159" s="6">
        <v>47.96</v>
      </c>
      <c r="I159" s="6">
        <v>46.64</v>
      </c>
      <c r="J159" s="6">
        <v>48.06</v>
      </c>
      <c r="K159" s="6">
        <v>47.78</v>
      </c>
      <c r="L159" s="6">
        <v>48.77</v>
      </c>
      <c r="M159" s="6">
        <v>49.74</v>
      </c>
      <c r="N159" s="6">
        <v>45.85</v>
      </c>
      <c r="O159" s="6">
        <v>44.81</v>
      </c>
      <c r="P159" s="6">
        <v>46.98</v>
      </c>
      <c r="Q159" s="6">
        <v>49.84</v>
      </c>
      <c r="R159" s="6">
        <v>46.87</v>
      </c>
      <c r="S159" s="6">
        <v>48.27</v>
      </c>
      <c r="T159" s="6">
        <v>47.78</v>
      </c>
      <c r="U159" s="6">
        <v>47.24</v>
      </c>
      <c r="V159" s="6">
        <v>48.86</v>
      </c>
      <c r="W159" s="6">
        <v>49.26</v>
      </c>
      <c r="X159" s="6">
        <v>48.17</v>
      </c>
      <c r="Y159" s="6">
        <v>46.51</v>
      </c>
      <c r="Z159" s="6">
        <v>46.2</v>
      </c>
      <c r="AA159" s="6">
        <v>46.99</v>
      </c>
      <c r="AB159" s="6">
        <v>47.39</v>
      </c>
      <c r="AC159" s="6">
        <v>45.47</v>
      </c>
      <c r="AD159" s="6">
        <v>48.14</v>
      </c>
      <c r="AE159" s="6">
        <v>49.3</v>
      </c>
      <c r="AF159" s="6">
        <v>47.19</v>
      </c>
      <c r="AG159" s="6">
        <v>45.08</v>
      </c>
      <c r="AH159" s="6">
        <v>48.45</v>
      </c>
      <c r="AI159" s="6">
        <v>48.46</v>
      </c>
      <c r="AJ159" s="6">
        <v>47.68</v>
      </c>
      <c r="AK159" s="6">
        <v>48.22</v>
      </c>
      <c r="AL159" s="6">
        <v>48.21</v>
      </c>
      <c r="AM159" s="6">
        <v>48.64</v>
      </c>
      <c r="AN159" s="6">
        <v>48.2</v>
      </c>
      <c r="AO159" s="7">
        <v>49.16</v>
      </c>
      <c r="AP159" s="7">
        <v>46.78</v>
      </c>
      <c r="AQ159" s="7">
        <v>48.64</v>
      </c>
      <c r="AR159" s="7">
        <v>48.8</v>
      </c>
      <c r="AS159" s="7">
        <v>49.1</v>
      </c>
      <c r="AT159" s="7">
        <v>48</v>
      </c>
      <c r="AU159" s="7">
        <v>48.15</v>
      </c>
      <c r="AV159" s="7"/>
      <c r="AW159" s="7"/>
      <c r="AX159" s="7">
        <v>44.74</v>
      </c>
      <c r="AY159" s="7">
        <v>49.53</v>
      </c>
      <c r="AZ159" s="7">
        <v>49.62</v>
      </c>
      <c r="BA159" s="7">
        <v>48.75</v>
      </c>
      <c r="BB159" s="7">
        <v>48.39</v>
      </c>
      <c r="BC159" s="7">
        <v>46.53</v>
      </c>
      <c r="BD159" s="7">
        <v>46.69</v>
      </c>
      <c r="BE159" s="7">
        <v>48.92</v>
      </c>
      <c r="BF159" s="7">
        <v>47.82</v>
      </c>
      <c r="BG159" s="7">
        <v>49.55</v>
      </c>
      <c r="BH159" s="7">
        <v>47.63</v>
      </c>
      <c r="BI159" s="7">
        <v>45.86</v>
      </c>
      <c r="BJ159" s="7">
        <v>50.32</v>
      </c>
      <c r="BK159" s="7">
        <v>49.48</v>
      </c>
      <c r="BL159" s="7">
        <v>47.68</v>
      </c>
      <c r="BM159" s="7">
        <v>48.66</v>
      </c>
      <c r="BN159" s="10"/>
    </row>
    <row r="160" spans="1:66" ht="15.75" customHeight="1" x14ac:dyDescent="0.25">
      <c r="A160" s="4">
        <v>158</v>
      </c>
      <c r="B160" s="4"/>
      <c r="C160" s="4">
        <v>7</v>
      </c>
      <c r="D160" s="6"/>
      <c r="E160" s="6">
        <v>46.5</v>
      </c>
      <c r="F160" s="6">
        <v>47.13</v>
      </c>
      <c r="G160" s="6">
        <v>46.76</v>
      </c>
      <c r="H160" s="6">
        <v>48.11</v>
      </c>
      <c r="I160" s="6">
        <v>46.71</v>
      </c>
      <c r="J160" s="6">
        <v>48.06</v>
      </c>
      <c r="K160" s="6">
        <v>47.87</v>
      </c>
      <c r="L160" s="6">
        <v>48.88</v>
      </c>
      <c r="M160" s="6">
        <v>49.76</v>
      </c>
      <c r="N160" s="6">
        <v>45.81</v>
      </c>
      <c r="O160" s="6">
        <v>44.94</v>
      </c>
      <c r="P160" s="6">
        <v>47.06</v>
      </c>
      <c r="Q160" s="6">
        <v>49.91</v>
      </c>
      <c r="R160" s="6">
        <v>46.94</v>
      </c>
      <c r="S160" s="6">
        <v>48.36</v>
      </c>
      <c r="T160" s="6">
        <v>47.92</v>
      </c>
      <c r="U160" s="6">
        <v>47.36</v>
      </c>
      <c r="V160" s="6">
        <v>48.89</v>
      </c>
      <c r="W160" s="6">
        <v>49.86</v>
      </c>
      <c r="X160" s="6">
        <v>48.37</v>
      </c>
      <c r="Y160" s="6">
        <v>46.62</v>
      </c>
      <c r="Z160" s="6">
        <v>46.48</v>
      </c>
      <c r="AA160" s="6">
        <v>47.06</v>
      </c>
      <c r="AB160" s="6">
        <v>47.35</v>
      </c>
      <c r="AC160" s="6">
        <v>45.6</v>
      </c>
      <c r="AD160" s="6">
        <v>48.23</v>
      </c>
      <c r="AE160" s="6">
        <v>49.33</v>
      </c>
      <c r="AF160" s="6">
        <v>47.24</v>
      </c>
      <c r="AG160" s="6">
        <v>45.05</v>
      </c>
      <c r="AH160" s="6">
        <v>48.42</v>
      </c>
      <c r="AI160" s="6">
        <v>48.53</v>
      </c>
      <c r="AJ160" s="6">
        <v>47.8</v>
      </c>
      <c r="AK160" s="6">
        <v>48.39</v>
      </c>
      <c r="AL160" s="6">
        <v>48.26</v>
      </c>
      <c r="AM160" s="6">
        <v>48.78</v>
      </c>
      <c r="AN160" s="6">
        <v>48.29</v>
      </c>
      <c r="AO160" s="7">
        <v>49.22</v>
      </c>
      <c r="AP160" s="7">
        <v>46.9</v>
      </c>
      <c r="AQ160" s="7">
        <v>48.7</v>
      </c>
      <c r="AR160" s="7">
        <v>48.82</v>
      </c>
      <c r="AS160" s="7">
        <v>49.2</v>
      </c>
      <c r="AT160" s="7">
        <v>48.02</v>
      </c>
      <c r="AU160" s="7">
        <v>48.17</v>
      </c>
      <c r="AV160" s="7"/>
      <c r="AW160" s="7"/>
      <c r="AX160" s="7">
        <v>44.88</v>
      </c>
      <c r="AY160" s="7">
        <v>49.52</v>
      </c>
      <c r="AZ160" s="7">
        <v>49.73</v>
      </c>
      <c r="BA160" s="7">
        <v>48.68</v>
      </c>
      <c r="BB160" s="7">
        <v>48.45</v>
      </c>
      <c r="BC160" s="7">
        <v>46.58</v>
      </c>
      <c r="BD160" s="7">
        <v>46.73</v>
      </c>
      <c r="BE160" s="7">
        <v>48.99</v>
      </c>
      <c r="BF160" s="7">
        <v>47.88</v>
      </c>
      <c r="BG160" s="7">
        <v>49.63</v>
      </c>
      <c r="BH160" s="7">
        <v>47.69</v>
      </c>
      <c r="BI160" s="7">
        <v>45.94</v>
      </c>
      <c r="BJ160" s="7">
        <v>50.38</v>
      </c>
      <c r="BK160" s="7">
        <v>49.52</v>
      </c>
      <c r="BL160" s="7">
        <v>47.74</v>
      </c>
      <c r="BM160" s="7">
        <v>48.76</v>
      </c>
      <c r="BN160" s="10"/>
    </row>
    <row r="161" spans="1:66" ht="15.75" customHeight="1" x14ac:dyDescent="0.25">
      <c r="A161" s="4">
        <v>159</v>
      </c>
      <c r="B161" s="4"/>
      <c r="C161" s="4">
        <v>8</v>
      </c>
      <c r="D161" s="6"/>
      <c r="E161" s="6">
        <v>46.63</v>
      </c>
      <c r="F161" s="6">
        <v>47.24</v>
      </c>
      <c r="G161" s="6">
        <v>46.86</v>
      </c>
      <c r="H161" s="6">
        <v>48.26</v>
      </c>
      <c r="I161" s="6">
        <v>46.86</v>
      </c>
      <c r="J161" s="6">
        <v>48.11</v>
      </c>
      <c r="K161" s="6">
        <v>47.97</v>
      </c>
      <c r="L161" s="6">
        <v>49</v>
      </c>
      <c r="M161" s="6">
        <v>49.77</v>
      </c>
      <c r="N161" s="6">
        <v>45.79</v>
      </c>
      <c r="O161" s="6">
        <v>45.05</v>
      </c>
      <c r="P161" s="6">
        <v>47.14</v>
      </c>
      <c r="Q161" s="6">
        <v>49.95</v>
      </c>
      <c r="R161" s="6">
        <v>47.01</v>
      </c>
      <c r="S161" s="6">
        <v>48.43</v>
      </c>
      <c r="T161" s="6">
        <v>48.04</v>
      </c>
      <c r="U161" s="6">
        <v>47.54</v>
      </c>
      <c r="V161" s="6">
        <v>48.92</v>
      </c>
      <c r="W161" s="6">
        <v>49.39</v>
      </c>
      <c r="X161" s="6">
        <v>48.51</v>
      </c>
      <c r="Y161" s="6">
        <v>46.72</v>
      </c>
      <c r="Z161" s="6">
        <v>46.82</v>
      </c>
      <c r="AA161" s="6">
        <v>47.12</v>
      </c>
      <c r="AB161" s="6">
        <v>47.37</v>
      </c>
      <c r="AC161" s="6">
        <v>45.78</v>
      </c>
      <c r="AD161" s="6">
        <v>48.32</v>
      </c>
      <c r="AE161" s="6">
        <v>49.35</v>
      </c>
      <c r="AF161" s="6">
        <v>47.28</v>
      </c>
      <c r="AG161" s="6">
        <v>45.03</v>
      </c>
      <c r="AH161" s="6">
        <v>48.42</v>
      </c>
      <c r="AI161" s="6">
        <v>48.54</v>
      </c>
      <c r="AJ161" s="6">
        <v>47.88</v>
      </c>
      <c r="AK161" s="6">
        <v>48.48</v>
      </c>
      <c r="AL161" s="6">
        <v>48.3</v>
      </c>
      <c r="AM161" s="6">
        <v>49.06</v>
      </c>
      <c r="AN161" s="6">
        <v>48.32</v>
      </c>
      <c r="AO161" s="7">
        <v>49.26</v>
      </c>
      <c r="AP161" s="7">
        <v>47.04</v>
      </c>
      <c r="AQ161" s="7">
        <v>48.74</v>
      </c>
      <c r="AR161" s="7">
        <v>48.84</v>
      </c>
      <c r="AS161" s="7">
        <v>49.29</v>
      </c>
      <c r="AT161" s="7">
        <v>48.11</v>
      </c>
      <c r="AU161" s="7">
        <v>48.25</v>
      </c>
      <c r="AV161" s="7"/>
      <c r="AW161" s="7"/>
      <c r="AX161" s="7">
        <v>45.02</v>
      </c>
      <c r="AY161" s="7">
        <v>49.52</v>
      </c>
      <c r="AZ161" s="7">
        <v>49.82</v>
      </c>
      <c r="BA161" s="7">
        <v>48.72</v>
      </c>
      <c r="BB161" s="7">
        <v>48.53</v>
      </c>
      <c r="BC161" s="7">
        <v>46.69</v>
      </c>
      <c r="BD161" s="7">
        <v>46.84</v>
      </c>
      <c r="BE161" s="7">
        <v>49</v>
      </c>
      <c r="BF161" s="7">
        <v>47.97</v>
      </c>
      <c r="BG161" s="7">
        <v>49.78</v>
      </c>
      <c r="BH161" s="7">
        <v>47.78</v>
      </c>
      <c r="BI161" s="7">
        <v>45.98</v>
      </c>
      <c r="BJ161" s="7">
        <v>50.46</v>
      </c>
      <c r="BK161" s="7">
        <v>49.55</v>
      </c>
      <c r="BL161" s="7">
        <v>47.82</v>
      </c>
      <c r="BM161" s="7">
        <v>48.94</v>
      </c>
      <c r="BN161" s="10"/>
    </row>
    <row r="162" spans="1:66" ht="15.75" customHeight="1" x14ac:dyDescent="0.25">
      <c r="A162" s="4">
        <v>160</v>
      </c>
      <c r="B162" s="4"/>
      <c r="C162" s="4">
        <v>9</v>
      </c>
      <c r="D162" s="6"/>
      <c r="E162" s="6">
        <v>46.79</v>
      </c>
      <c r="F162" s="6">
        <v>47.28</v>
      </c>
      <c r="G162" s="6">
        <v>46.96</v>
      </c>
      <c r="H162" s="6">
        <v>48.41</v>
      </c>
      <c r="I162" s="6">
        <v>46.98</v>
      </c>
      <c r="J162" s="6">
        <v>48.17</v>
      </c>
      <c r="K162" s="6">
        <v>48.05</v>
      </c>
      <c r="L162" s="6">
        <v>49.06</v>
      </c>
      <c r="M162" s="6">
        <v>49.77</v>
      </c>
      <c r="N162" s="6">
        <v>45.79</v>
      </c>
      <c r="O162" s="6">
        <v>45.14</v>
      </c>
      <c r="P162" s="6">
        <v>47.24</v>
      </c>
      <c r="Q162" s="6">
        <v>49.98</v>
      </c>
      <c r="R162" s="6">
        <v>47.08</v>
      </c>
      <c r="S162" s="6">
        <v>48.48</v>
      </c>
      <c r="T162" s="6">
        <v>48.19</v>
      </c>
      <c r="U162" s="6">
        <v>47.67</v>
      </c>
      <c r="V162" s="6">
        <v>49.11</v>
      </c>
      <c r="W162" s="6">
        <v>49.52</v>
      </c>
      <c r="X162" s="6">
        <v>48.63</v>
      </c>
      <c r="Y162" s="6">
        <v>46.91</v>
      </c>
      <c r="Z162" s="6">
        <v>47</v>
      </c>
      <c r="AA162" s="6">
        <v>47.25</v>
      </c>
      <c r="AB162" s="6">
        <v>47.37</v>
      </c>
      <c r="AC162" s="6">
        <v>45.82</v>
      </c>
      <c r="AD162" s="6">
        <v>48.36</v>
      </c>
      <c r="AE162" s="6">
        <v>49.35</v>
      </c>
      <c r="AF162" s="6">
        <v>47.31</v>
      </c>
      <c r="AG162" s="6">
        <v>45.03</v>
      </c>
      <c r="AH162" s="6">
        <v>48.45</v>
      </c>
      <c r="AI162" s="6">
        <v>48.59</v>
      </c>
      <c r="AJ162" s="6">
        <v>47.99</v>
      </c>
      <c r="AK162" s="6">
        <v>48.61</v>
      </c>
      <c r="AL162" s="6">
        <v>48.43</v>
      </c>
      <c r="AM162" s="6">
        <v>49.43</v>
      </c>
      <c r="AN162" s="6">
        <v>48.35</v>
      </c>
      <c r="AO162" s="7">
        <v>49.36</v>
      </c>
      <c r="AP162" s="7">
        <v>47.17</v>
      </c>
      <c r="AQ162" s="7">
        <v>48.74</v>
      </c>
      <c r="AR162" s="7">
        <v>48.84</v>
      </c>
      <c r="AS162" s="7">
        <v>49.34</v>
      </c>
      <c r="AT162" s="7">
        <v>48.18</v>
      </c>
      <c r="AU162" s="7">
        <v>48.41</v>
      </c>
      <c r="AV162" s="7"/>
      <c r="AW162" s="7"/>
      <c r="AX162" s="7">
        <v>45.2</v>
      </c>
      <c r="AY162" s="7">
        <v>49.52</v>
      </c>
      <c r="AZ162" s="7">
        <v>49.88</v>
      </c>
      <c r="BA162" s="7">
        <v>48.78</v>
      </c>
      <c r="BB162" s="7">
        <v>48.59</v>
      </c>
      <c r="BC162" s="7">
        <v>46.83</v>
      </c>
      <c r="BD162" s="7">
        <v>46.86</v>
      </c>
      <c r="BE162" s="7">
        <v>49.04</v>
      </c>
      <c r="BF162" s="7">
        <v>48.12</v>
      </c>
      <c r="BG162" s="7">
        <v>49.95</v>
      </c>
      <c r="BH162" s="7">
        <v>47.87</v>
      </c>
      <c r="BI162" s="7">
        <v>46.02</v>
      </c>
      <c r="BJ162" s="7">
        <v>50.58</v>
      </c>
      <c r="BK162" s="7">
        <v>49.56</v>
      </c>
      <c r="BL162" s="7">
        <v>47.88</v>
      </c>
      <c r="BM162" s="7">
        <v>49.1</v>
      </c>
      <c r="BN162" s="10"/>
    </row>
    <row r="163" spans="1:66" ht="15.75" customHeight="1" x14ac:dyDescent="0.25">
      <c r="A163" s="4">
        <v>161</v>
      </c>
      <c r="B163" s="4"/>
      <c r="C163" s="4">
        <v>10</v>
      </c>
      <c r="D163" s="6"/>
      <c r="E163" s="6">
        <v>46.92</v>
      </c>
      <c r="F163" s="6">
        <v>47.28</v>
      </c>
      <c r="G163" s="6">
        <v>47.04</v>
      </c>
      <c r="H163" s="6">
        <v>48.46</v>
      </c>
      <c r="I163" s="6">
        <v>47.16</v>
      </c>
      <c r="J163" s="6">
        <v>48.28</v>
      </c>
      <c r="K163" s="6">
        <v>48.16</v>
      </c>
      <c r="L163" s="6">
        <v>49.16</v>
      </c>
      <c r="M163" s="6">
        <v>49.81</v>
      </c>
      <c r="N163" s="6">
        <v>45.86</v>
      </c>
      <c r="O163" s="6">
        <v>45.23</v>
      </c>
      <c r="P163" s="6">
        <v>47.28</v>
      </c>
      <c r="Q163" s="6">
        <v>50.04</v>
      </c>
      <c r="R163" s="6">
        <v>47.2</v>
      </c>
      <c r="S163" s="6">
        <v>48.54</v>
      </c>
      <c r="T163" s="6">
        <v>48.29</v>
      </c>
      <c r="U163" s="6">
        <v>47.85</v>
      </c>
      <c r="V163" s="6">
        <v>49.28</v>
      </c>
      <c r="W163" s="6">
        <v>49.7</v>
      </c>
      <c r="X163" s="6">
        <v>48.69</v>
      </c>
      <c r="Y163" s="6">
        <v>47.04</v>
      </c>
      <c r="Z163" s="6">
        <v>47.4</v>
      </c>
      <c r="AA163" s="6">
        <v>47.38</v>
      </c>
      <c r="AB163" s="6">
        <v>47.44</v>
      </c>
      <c r="AC163" s="6">
        <v>46</v>
      </c>
      <c r="AD163" s="6">
        <v>48.45</v>
      </c>
      <c r="AE163" s="6">
        <v>49.35</v>
      </c>
      <c r="AF163" s="6">
        <v>47.38</v>
      </c>
      <c r="AG163" s="6">
        <v>45.14</v>
      </c>
      <c r="AH163" s="6">
        <v>48.48</v>
      </c>
      <c r="AI163" s="6">
        <v>48.64</v>
      </c>
      <c r="AJ163" s="6">
        <v>48.07</v>
      </c>
      <c r="AK163" s="6">
        <v>48.73</v>
      </c>
      <c r="AL163" s="6">
        <v>48.52</v>
      </c>
      <c r="AM163" s="6">
        <v>49.7</v>
      </c>
      <c r="AN163" s="6">
        <v>48.4</v>
      </c>
      <c r="AO163" s="7">
        <v>49.5</v>
      </c>
      <c r="AP163" s="7">
        <v>47.24</v>
      </c>
      <c r="AQ163" s="7">
        <v>48.78</v>
      </c>
      <c r="AR163" s="7">
        <v>48.84</v>
      </c>
      <c r="AS163" s="7">
        <v>49.42</v>
      </c>
      <c r="AT163" s="7">
        <v>48.22</v>
      </c>
      <c r="AU163" s="7">
        <v>48.52</v>
      </c>
      <c r="AV163" s="7"/>
      <c r="AW163" s="7"/>
      <c r="AX163" s="7">
        <v>45.32</v>
      </c>
      <c r="AY163" s="7">
        <v>49.51</v>
      </c>
      <c r="AZ163" s="7">
        <v>49.92</v>
      </c>
      <c r="BA163" s="7">
        <v>48.85</v>
      </c>
      <c r="BB163" s="7">
        <v>48.63</v>
      </c>
      <c r="BC163" s="7">
        <v>46.97</v>
      </c>
      <c r="BD163" s="7">
        <v>46.9</v>
      </c>
      <c r="BE163" s="7">
        <v>49.06</v>
      </c>
      <c r="BF163" s="7">
        <v>48.29</v>
      </c>
      <c r="BG163" s="7">
        <v>50.3</v>
      </c>
      <c r="BH163" s="7">
        <v>47.96</v>
      </c>
      <c r="BI163" s="7">
        <v>46.07</v>
      </c>
      <c r="BJ163" s="7">
        <v>50.68</v>
      </c>
      <c r="BK163" s="7">
        <v>49.58</v>
      </c>
      <c r="BL163" s="7">
        <v>48.04</v>
      </c>
      <c r="BM163" s="7">
        <v>49.24</v>
      </c>
      <c r="BN163" s="10"/>
    </row>
    <row r="164" spans="1:66" ht="15.75" customHeight="1" x14ac:dyDescent="0.25">
      <c r="A164" s="4">
        <v>162</v>
      </c>
      <c r="B164" s="4"/>
      <c r="C164" s="4">
        <v>11</v>
      </c>
      <c r="D164" s="6"/>
      <c r="E164" s="6">
        <v>47.02</v>
      </c>
      <c r="F164" s="6">
        <v>47.3</v>
      </c>
      <c r="G164" s="6">
        <v>47.08</v>
      </c>
      <c r="H164" s="6">
        <v>48.71</v>
      </c>
      <c r="I164" s="6">
        <v>47.26</v>
      </c>
      <c r="J164" s="6">
        <v>48.26</v>
      </c>
      <c r="K164" s="6">
        <v>48.27</v>
      </c>
      <c r="L164" s="6">
        <v>49.24</v>
      </c>
      <c r="M164" s="6">
        <v>49.88</v>
      </c>
      <c r="N164" s="6">
        <v>45.93</v>
      </c>
      <c r="O164" s="6">
        <v>45.25</v>
      </c>
      <c r="P164" s="6">
        <v>47.31</v>
      </c>
      <c r="Q164" s="6">
        <v>50.11</v>
      </c>
      <c r="R164" s="6">
        <v>47.3</v>
      </c>
      <c r="S164" s="6">
        <v>48.56</v>
      </c>
      <c r="T164" s="6">
        <v>48.39</v>
      </c>
      <c r="U164" s="6">
        <v>48.06</v>
      </c>
      <c r="V164" s="6">
        <v>49.43</v>
      </c>
      <c r="W164" s="6">
        <v>49.75</v>
      </c>
      <c r="X164" s="6">
        <v>48.72</v>
      </c>
      <c r="Y164" s="6">
        <v>47.12</v>
      </c>
      <c r="Z164" s="6">
        <v>47.68</v>
      </c>
      <c r="AA164" s="6">
        <v>47.48</v>
      </c>
      <c r="AB164" s="6">
        <v>47.5</v>
      </c>
      <c r="AC164" s="6">
        <v>46.18</v>
      </c>
      <c r="AD164" s="6">
        <v>48.52</v>
      </c>
      <c r="AE164" s="6">
        <v>49.39</v>
      </c>
      <c r="AF164" s="6">
        <v>47.52</v>
      </c>
      <c r="AG164" s="6">
        <v>45.24</v>
      </c>
      <c r="AH164" s="6">
        <v>48.6</v>
      </c>
      <c r="AI164" s="6">
        <v>48.69</v>
      </c>
      <c r="AJ164" s="6">
        <v>48.14</v>
      </c>
      <c r="AK164" s="6">
        <v>48.87</v>
      </c>
      <c r="AL164" s="6">
        <v>48.62</v>
      </c>
      <c r="AM164" s="6">
        <v>49.82</v>
      </c>
      <c r="AN164" s="6">
        <v>48.44</v>
      </c>
      <c r="AO164" s="7">
        <v>49.58</v>
      </c>
      <c r="AP164" s="7">
        <v>47.38</v>
      </c>
      <c r="AQ164" s="7">
        <v>48.82</v>
      </c>
      <c r="AR164" s="7">
        <v>48.8</v>
      </c>
      <c r="AS164" s="7">
        <v>49.47</v>
      </c>
      <c r="AT164" s="7">
        <v>48.38</v>
      </c>
      <c r="AU164" s="7">
        <v>48.64</v>
      </c>
      <c r="AV164" s="7"/>
      <c r="AW164" s="7"/>
      <c r="AX164" s="7">
        <v>45.44</v>
      </c>
      <c r="AY164" s="7">
        <v>49.53</v>
      </c>
      <c r="AZ164" s="7">
        <v>49.96</v>
      </c>
      <c r="BA164" s="7">
        <v>48.9</v>
      </c>
      <c r="BB164" s="7">
        <v>48.7</v>
      </c>
      <c r="BC164" s="7">
        <v>47.08</v>
      </c>
      <c r="BD164" s="7">
        <v>47</v>
      </c>
      <c r="BE164" s="7">
        <v>49.08</v>
      </c>
      <c r="BF164" s="7">
        <v>48.44</v>
      </c>
      <c r="BG164" s="7">
        <v>50.46</v>
      </c>
      <c r="BH164" s="7">
        <v>48</v>
      </c>
      <c r="BI164" s="7">
        <v>46.09</v>
      </c>
      <c r="BJ164" s="7">
        <v>50.78</v>
      </c>
      <c r="BK164" s="7">
        <v>49.72</v>
      </c>
      <c r="BL164" s="7">
        <v>48.12</v>
      </c>
      <c r="BM164" s="7">
        <v>49.36</v>
      </c>
      <c r="BN164" s="10"/>
    </row>
    <row r="165" spans="1:66" ht="15.75" customHeight="1" x14ac:dyDescent="0.25">
      <c r="A165" s="4">
        <v>163</v>
      </c>
      <c r="B165" s="4"/>
      <c r="C165" s="4">
        <v>12</v>
      </c>
      <c r="D165" s="6"/>
      <c r="E165" s="6">
        <v>47.1</v>
      </c>
      <c r="F165" s="6">
        <v>47.32</v>
      </c>
      <c r="G165" s="6">
        <v>47.11</v>
      </c>
      <c r="H165" s="6">
        <v>48.78</v>
      </c>
      <c r="I165" s="6">
        <v>47.36</v>
      </c>
      <c r="J165" s="6">
        <v>48.25</v>
      </c>
      <c r="K165" s="6">
        <v>48.32</v>
      </c>
      <c r="L165" s="6">
        <v>49.31</v>
      </c>
      <c r="M165" s="6">
        <v>49.95</v>
      </c>
      <c r="N165" s="6">
        <v>45.98</v>
      </c>
      <c r="O165" s="6">
        <v>45.31</v>
      </c>
      <c r="P165" s="6">
        <v>47.35</v>
      </c>
      <c r="Q165" s="6">
        <v>50.26</v>
      </c>
      <c r="R165" s="6">
        <v>47.43</v>
      </c>
      <c r="S165" s="6">
        <v>48.68</v>
      </c>
      <c r="T165" s="6">
        <v>48.45</v>
      </c>
      <c r="U165" s="6">
        <v>48.43</v>
      </c>
      <c r="V165" s="6">
        <v>49.62</v>
      </c>
      <c r="W165" s="6">
        <v>49.85</v>
      </c>
      <c r="X165" s="6">
        <v>48.8</v>
      </c>
      <c r="Y165" s="6">
        <v>47.21</v>
      </c>
      <c r="Z165" s="6">
        <v>47.86</v>
      </c>
      <c r="AA165" s="6">
        <v>47.52</v>
      </c>
      <c r="AB165" s="6">
        <v>47.5</v>
      </c>
      <c r="AC165" s="6">
        <v>46.37</v>
      </c>
      <c r="AD165" s="6">
        <v>48.63</v>
      </c>
      <c r="AE165" s="6">
        <v>49.69</v>
      </c>
      <c r="AF165" s="6">
        <v>47.74</v>
      </c>
      <c r="AG165" s="6">
        <v>45.28</v>
      </c>
      <c r="AH165" s="6">
        <v>48.72</v>
      </c>
      <c r="AI165" s="6">
        <v>48.74</v>
      </c>
      <c r="AJ165" s="6">
        <v>48.18</v>
      </c>
      <c r="AK165" s="6">
        <v>48.97</v>
      </c>
      <c r="AL165" s="6">
        <v>48.63</v>
      </c>
      <c r="AM165" s="6">
        <v>49.89</v>
      </c>
      <c r="AN165" s="6">
        <v>48.52</v>
      </c>
      <c r="AO165" s="7">
        <v>49.6</v>
      </c>
      <c r="AP165" s="7">
        <v>47.47</v>
      </c>
      <c r="AQ165" s="7">
        <v>48.87</v>
      </c>
      <c r="AR165" s="7">
        <v>48.85</v>
      </c>
      <c r="AS165" s="7">
        <v>49.52</v>
      </c>
      <c r="AT165" s="7">
        <v>48.51</v>
      </c>
      <c r="AU165" s="7">
        <v>48.73</v>
      </c>
      <c r="AV165" s="7"/>
      <c r="AW165" s="7"/>
      <c r="AX165" s="7">
        <v>45.65</v>
      </c>
      <c r="AY165" s="7">
        <v>49.6</v>
      </c>
      <c r="AZ165" s="7">
        <v>50</v>
      </c>
      <c r="BA165" s="7">
        <v>48.92</v>
      </c>
      <c r="BB165" s="7">
        <v>48.79</v>
      </c>
      <c r="BC165" s="7">
        <v>47.23</v>
      </c>
      <c r="BD165" s="7">
        <v>47.11</v>
      </c>
      <c r="BE165" s="7">
        <v>49.11</v>
      </c>
      <c r="BF165" s="7">
        <v>48.52</v>
      </c>
      <c r="BG165" s="7">
        <v>50.63</v>
      </c>
      <c r="BH165" s="7">
        <v>48.08</v>
      </c>
      <c r="BI165" s="7">
        <v>46.09</v>
      </c>
      <c r="BJ165" s="7">
        <v>50.85</v>
      </c>
      <c r="BK165" s="7">
        <v>49.81</v>
      </c>
      <c r="BL165" s="7">
        <v>48.2</v>
      </c>
      <c r="BM165" s="7">
        <v>49.46</v>
      </c>
      <c r="BN165" s="10"/>
    </row>
    <row r="166" spans="1:66" ht="15.75" customHeight="1" x14ac:dyDescent="0.25">
      <c r="A166" s="4">
        <v>164</v>
      </c>
      <c r="B166" s="4"/>
      <c r="C166" s="4">
        <v>13</v>
      </c>
      <c r="D166" s="6"/>
      <c r="E166" s="6">
        <v>47.17</v>
      </c>
      <c r="F166" s="6">
        <v>47.36</v>
      </c>
      <c r="G166" s="6">
        <v>47.16</v>
      </c>
      <c r="H166" s="6">
        <v>48.86</v>
      </c>
      <c r="I166" s="6">
        <v>47.41</v>
      </c>
      <c r="J166" s="6">
        <v>48.24</v>
      </c>
      <c r="K166" s="6">
        <v>48.32</v>
      </c>
      <c r="L166" s="6">
        <v>49.34</v>
      </c>
      <c r="M166" s="6">
        <v>49.96</v>
      </c>
      <c r="N166" s="6">
        <v>46.04</v>
      </c>
      <c r="O166" s="6">
        <v>45.46</v>
      </c>
      <c r="P166" s="6">
        <v>47.39</v>
      </c>
      <c r="Q166" s="6">
        <v>50.38</v>
      </c>
      <c r="R166" s="6">
        <v>47.58</v>
      </c>
      <c r="S166" s="6">
        <v>48.77</v>
      </c>
      <c r="T166" s="6">
        <v>48.51</v>
      </c>
      <c r="U166" s="6">
        <v>48.77</v>
      </c>
      <c r="V166" s="6">
        <v>49.72</v>
      </c>
      <c r="W166" s="6">
        <v>49.91</v>
      </c>
      <c r="X166" s="6">
        <v>48.82</v>
      </c>
      <c r="Y166" s="6">
        <v>47.29</v>
      </c>
      <c r="Z166" s="6">
        <v>48</v>
      </c>
      <c r="AA166" s="6">
        <v>47.58</v>
      </c>
      <c r="AB166" s="6">
        <v>47.5</v>
      </c>
      <c r="AC166" s="6">
        <v>46.58</v>
      </c>
      <c r="AD166" s="6">
        <v>48.78</v>
      </c>
      <c r="AE166" s="6">
        <v>49.84</v>
      </c>
      <c r="AF166" s="6">
        <v>47.91</v>
      </c>
      <c r="AG166" s="6">
        <v>45.28</v>
      </c>
      <c r="AH166" s="6">
        <v>48.93</v>
      </c>
      <c r="AI166" s="6">
        <v>48.87</v>
      </c>
      <c r="AJ166" s="6">
        <v>48.23</v>
      </c>
      <c r="AK166" s="6">
        <v>49.03</v>
      </c>
      <c r="AL166" s="6">
        <v>48.72</v>
      </c>
      <c r="AM166" s="6">
        <v>49.97</v>
      </c>
      <c r="AN166" s="6">
        <v>48.61</v>
      </c>
      <c r="AO166" s="7">
        <v>49.62</v>
      </c>
      <c r="AP166" s="7">
        <v>47.56</v>
      </c>
      <c r="AQ166" s="7">
        <v>48.94</v>
      </c>
      <c r="AR166" s="7">
        <v>48.89</v>
      </c>
      <c r="AS166" s="7">
        <v>49.6</v>
      </c>
      <c r="AT166" s="7">
        <v>48.6</v>
      </c>
      <c r="AU166" s="7">
        <v>48.79</v>
      </c>
      <c r="AV166" s="7"/>
      <c r="AW166" s="7"/>
      <c r="AX166" s="7">
        <v>45.84</v>
      </c>
      <c r="AY166" s="7">
        <v>49.74</v>
      </c>
      <c r="AZ166" s="7">
        <v>50.03</v>
      </c>
      <c r="BA166" s="7">
        <v>48.92</v>
      </c>
      <c r="BB166" s="7">
        <v>48.89</v>
      </c>
      <c r="BC166" s="7">
        <v>47.34</v>
      </c>
      <c r="BD166" s="7">
        <v>47.21</v>
      </c>
      <c r="BE166" s="7">
        <v>49.18</v>
      </c>
      <c r="BF166" s="7">
        <v>48.62</v>
      </c>
      <c r="BG166" s="7">
        <v>50.72</v>
      </c>
      <c r="BH166" s="7">
        <v>48.2</v>
      </c>
      <c r="BI166" s="7">
        <v>46.13</v>
      </c>
      <c r="BJ166" s="7">
        <v>50.92</v>
      </c>
      <c r="BK166" s="7">
        <v>50</v>
      </c>
      <c r="BL166" s="7">
        <v>48.32</v>
      </c>
      <c r="BM166" s="7">
        <v>49.61</v>
      </c>
      <c r="BN166" s="10"/>
    </row>
    <row r="167" spans="1:66" ht="15.75" customHeight="1" x14ac:dyDescent="0.25">
      <c r="A167" s="4">
        <v>165</v>
      </c>
      <c r="B167" s="4"/>
      <c r="C167" s="4">
        <v>14</v>
      </c>
      <c r="D167" s="6"/>
      <c r="E167" s="6">
        <v>47.24</v>
      </c>
      <c r="F167" s="6">
        <v>47.41</v>
      </c>
      <c r="G167" s="6">
        <v>47.21</v>
      </c>
      <c r="H167" s="6">
        <v>48.96</v>
      </c>
      <c r="I167" s="6">
        <v>47.48</v>
      </c>
      <c r="J167" s="6">
        <v>48.23</v>
      </c>
      <c r="K167" s="6">
        <v>48.38</v>
      </c>
      <c r="L167" s="6">
        <v>49.42</v>
      </c>
      <c r="M167" s="6">
        <v>49.96</v>
      </c>
      <c r="N167" s="6">
        <v>46.07</v>
      </c>
      <c r="O167" s="6">
        <v>45.66</v>
      </c>
      <c r="P167" s="6">
        <v>47.43</v>
      </c>
      <c r="Q167" s="6">
        <v>50.46</v>
      </c>
      <c r="R167" s="6">
        <v>47.75</v>
      </c>
      <c r="S167" s="6">
        <v>48.8</v>
      </c>
      <c r="T167" s="6">
        <v>48.65</v>
      </c>
      <c r="U167" s="6">
        <v>49.05</v>
      </c>
      <c r="V167" s="6">
        <v>49.8</v>
      </c>
      <c r="W167" s="6">
        <v>49.98</v>
      </c>
      <c r="X167" s="6">
        <v>48.86</v>
      </c>
      <c r="Y167" s="6">
        <v>47.43</v>
      </c>
      <c r="Z167" s="6">
        <v>48.12</v>
      </c>
      <c r="AA167" s="6">
        <v>47.67</v>
      </c>
      <c r="AB167" s="6">
        <v>47.48</v>
      </c>
      <c r="AC167" s="6">
        <v>46.8</v>
      </c>
      <c r="AD167" s="6">
        <v>48.95</v>
      </c>
      <c r="AE167" s="6">
        <v>49.89</v>
      </c>
      <c r="AF167" s="6">
        <v>48.04</v>
      </c>
      <c r="AG167" s="6">
        <v>45.29</v>
      </c>
      <c r="AH167" s="6">
        <v>49</v>
      </c>
      <c r="AI167" s="6">
        <v>48.98</v>
      </c>
      <c r="AJ167" s="6">
        <v>48.26</v>
      </c>
      <c r="AK167" s="6">
        <v>49.1</v>
      </c>
      <c r="AL167" s="6">
        <v>48.74</v>
      </c>
      <c r="AM167" s="6">
        <v>50.15</v>
      </c>
      <c r="AN167" s="6">
        <v>48.74</v>
      </c>
      <c r="AO167" s="7">
        <v>49.66</v>
      </c>
      <c r="AP167" s="7">
        <v>47.59</v>
      </c>
      <c r="AQ167" s="7">
        <v>49</v>
      </c>
      <c r="AR167" s="7">
        <v>48.92</v>
      </c>
      <c r="AS167" s="7">
        <v>49.64</v>
      </c>
      <c r="AT167" s="7">
        <v>48.69</v>
      </c>
      <c r="AU167" s="7">
        <v>48.81</v>
      </c>
      <c r="AV167" s="7"/>
      <c r="AW167" s="7"/>
      <c r="AX167" s="7">
        <v>46.12</v>
      </c>
      <c r="AY167" s="7">
        <v>49.74</v>
      </c>
      <c r="AZ167" s="7">
        <v>50.07</v>
      </c>
      <c r="BA167" s="7">
        <v>49.02</v>
      </c>
      <c r="BB167" s="7">
        <v>48.99</v>
      </c>
      <c r="BC167" s="7">
        <v>47.48</v>
      </c>
      <c r="BD167" s="7">
        <v>47.31</v>
      </c>
      <c r="BE167" s="7">
        <v>49.21</v>
      </c>
      <c r="BF167" s="7">
        <v>48.74</v>
      </c>
      <c r="BG167" s="7">
        <v>50.79</v>
      </c>
      <c r="BH167" s="7">
        <v>48.4</v>
      </c>
      <c r="BI167" s="7">
        <v>46.2</v>
      </c>
      <c r="BJ167" s="7">
        <v>50.98</v>
      </c>
      <c r="BK167" s="7">
        <v>50.11</v>
      </c>
      <c r="BL167" s="7">
        <v>48.4</v>
      </c>
      <c r="BM167" s="7">
        <v>49.7</v>
      </c>
      <c r="BN167" s="10"/>
    </row>
    <row r="168" spans="1:66" ht="15.75" customHeight="1" x14ac:dyDescent="0.25">
      <c r="A168" s="4">
        <v>166</v>
      </c>
      <c r="B168" s="4"/>
      <c r="C168" s="4">
        <v>15</v>
      </c>
      <c r="D168" s="6"/>
      <c r="E168" s="6">
        <v>47.32</v>
      </c>
      <c r="F168" s="6">
        <v>47.46</v>
      </c>
      <c r="G168" s="6">
        <v>47.21</v>
      </c>
      <c r="H168" s="6">
        <v>49.08</v>
      </c>
      <c r="I168" s="6">
        <v>47.56</v>
      </c>
      <c r="J168" s="6">
        <v>48.24</v>
      </c>
      <c r="K168" s="6">
        <v>48.44</v>
      </c>
      <c r="L168" s="6">
        <v>49.46</v>
      </c>
      <c r="M168" s="6">
        <v>49.98</v>
      </c>
      <c r="N168" s="6">
        <v>46.11</v>
      </c>
      <c r="O168" s="6">
        <v>45.79</v>
      </c>
      <c r="P168" s="6">
        <v>47.54</v>
      </c>
      <c r="Q168" s="6">
        <v>50.55</v>
      </c>
      <c r="R168" s="6">
        <v>47.89</v>
      </c>
      <c r="S168" s="6">
        <v>48.83</v>
      </c>
      <c r="T168" s="6">
        <v>48.71</v>
      </c>
      <c r="U168" s="6">
        <v>49.4</v>
      </c>
      <c r="V168" s="6">
        <v>49.84</v>
      </c>
      <c r="W168" s="6">
        <v>50.05</v>
      </c>
      <c r="X168" s="6">
        <v>48.95</v>
      </c>
      <c r="Y168" s="6">
        <v>47.58</v>
      </c>
      <c r="Z168" s="6">
        <v>48.23</v>
      </c>
      <c r="AA168" s="6">
        <v>47.84</v>
      </c>
      <c r="AB168" s="6">
        <v>47.42</v>
      </c>
      <c r="AC168" s="6">
        <v>46.98</v>
      </c>
      <c r="AD168" s="6">
        <v>49.12</v>
      </c>
      <c r="AE168" s="6">
        <v>49.91</v>
      </c>
      <c r="AF168" s="6">
        <v>48.08</v>
      </c>
      <c r="AG168" s="6">
        <v>45.34</v>
      </c>
      <c r="AH168" s="6">
        <v>49.22</v>
      </c>
      <c r="AI168" s="6">
        <v>49.03</v>
      </c>
      <c r="AJ168" s="6">
        <v>48.4</v>
      </c>
      <c r="AK168" s="6">
        <v>49.21</v>
      </c>
      <c r="AL168" s="6">
        <v>48.78</v>
      </c>
      <c r="AM168" s="6">
        <v>50.32</v>
      </c>
      <c r="AN168" s="6">
        <v>48.78</v>
      </c>
      <c r="AO168" s="7">
        <v>49.7</v>
      </c>
      <c r="AP168" s="7">
        <v>47.74</v>
      </c>
      <c r="AQ168" s="7">
        <v>49.05</v>
      </c>
      <c r="AR168" s="7">
        <v>48.92</v>
      </c>
      <c r="AS168" s="7">
        <v>49.73</v>
      </c>
      <c r="AT168" s="7">
        <v>48.74</v>
      </c>
      <c r="AU168" s="7">
        <v>48.89</v>
      </c>
      <c r="AV168" s="7"/>
      <c r="AW168" s="7"/>
      <c r="AX168" s="7">
        <v>46.33</v>
      </c>
      <c r="AY168" s="7">
        <v>49.75</v>
      </c>
      <c r="AZ168" s="7">
        <v>50.1</v>
      </c>
      <c r="BA168" s="7">
        <v>49.08</v>
      </c>
      <c r="BB168" s="7">
        <v>49.04</v>
      </c>
      <c r="BC168" s="7">
        <v>47.69</v>
      </c>
      <c r="BD168" s="7">
        <v>47.43</v>
      </c>
      <c r="BE168" s="7">
        <v>49.5</v>
      </c>
      <c r="BF168" s="7">
        <v>48.82</v>
      </c>
      <c r="BG168" s="7">
        <v>50.91</v>
      </c>
      <c r="BH168" s="7">
        <v>48.6</v>
      </c>
      <c r="BI168" s="7">
        <v>46.28</v>
      </c>
      <c r="BJ168" s="7">
        <v>51.02</v>
      </c>
      <c r="BK168" s="7">
        <v>50.13</v>
      </c>
      <c r="BL168" s="7">
        <v>48.42</v>
      </c>
      <c r="BM168" s="7">
        <v>49.78</v>
      </c>
      <c r="BN168" s="10"/>
    </row>
    <row r="169" spans="1:66" ht="15.75" customHeight="1" x14ac:dyDescent="0.25">
      <c r="A169" s="4">
        <v>167</v>
      </c>
      <c r="B169" s="4"/>
      <c r="C169" s="4">
        <v>16</v>
      </c>
      <c r="D169" s="6"/>
      <c r="E169" s="6">
        <v>47.38</v>
      </c>
      <c r="F169" s="6">
        <v>47.48</v>
      </c>
      <c r="G169" s="6">
        <v>47.26</v>
      </c>
      <c r="H169" s="6">
        <v>49.21</v>
      </c>
      <c r="I169" s="6">
        <v>47.71</v>
      </c>
      <c r="J169" s="6">
        <v>48.25</v>
      </c>
      <c r="K169" s="6">
        <v>48.44</v>
      </c>
      <c r="L169" s="6">
        <v>49.48</v>
      </c>
      <c r="M169" s="6">
        <v>49.98</v>
      </c>
      <c r="N169" s="6">
        <v>46.18</v>
      </c>
      <c r="O169" s="6">
        <v>45.94</v>
      </c>
      <c r="P169" s="6">
        <v>47.67</v>
      </c>
      <c r="Q169" s="6">
        <v>50.58</v>
      </c>
      <c r="R169" s="6">
        <v>48.06</v>
      </c>
      <c r="S169" s="6">
        <v>48.92</v>
      </c>
      <c r="T169" s="6">
        <v>48.81</v>
      </c>
      <c r="U169" s="6">
        <v>49.58</v>
      </c>
      <c r="V169" s="6">
        <v>49.86</v>
      </c>
      <c r="W169" s="6">
        <v>50.14</v>
      </c>
      <c r="X169" s="6">
        <v>49.04</v>
      </c>
      <c r="Y169" s="6">
        <v>47.83</v>
      </c>
      <c r="Z169" s="6">
        <v>48.34</v>
      </c>
      <c r="AA169" s="6">
        <v>47.94</v>
      </c>
      <c r="AB169" s="6">
        <v>47.53</v>
      </c>
      <c r="AC169" s="6">
        <v>47.16</v>
      </c>
      <c r="AD169" s="6">
        <v>49.23</v>
      </c>
      <c r="AE169" s="6">
        <v>49.95</v>
      </c>
      <c r="AF169" s="6">
        <v>48.12</v>
      </c>
      <c r="AG169" s="6">
        <v>45.44</v>
      </c>
      <c r="AH169" s="6">
        <v>49.28</v>
      </c>
      <c r="AI169" s="6">
        <v>49.04</v>
      </c>
      <c r="AJ169" s="6">
        <v>48.5</v>
      </c>
      <c r="AK169" s="6">
        <v>49.33</v>
      </c>
      <c r="AL169" s="6">
        <v>48.8</v>
      </c>
      <c r="AM169" s="6">
        <v>50.73</v>
      </c>
      <c r="AN169" s="6">
        <v>48.82</v>
      </c>
      <c r="AO169" s="6">
        <v>49.74</v>
      </c>
      <c r="AP169" s="7">
        <v>47.78</v>
      </c>
      <c r="AQ169" s="7">
        <v>49.12</v>
      </c>
      <c r="AR169" s="7">
        <v>48.94</v>
      </c>
      <c r="AS169" s="6">
        <v>49.79</v>
      </c>
      <c r="AT169" s="7">
        <v>48.87</v>
      </c>
      <c r="AU169" s="7">
        <v>48.92</v>
      </c>
      <c r="AV169" s="6"/>
      <c r="AW169" s="6"/>
      <c r="AX169" s="7">
        <v>46.44</v>
      </c>
      <c r="AY169" s="7">
        <v>49.75</v>
      </c>
      <c r="AZ169" s="7">
        <v>50.14</v>
      </c>
      <c r="BA169" s="6">
        <v>49.15</v>
      </c>
      <c r="BB169" s="7">
        <v>49.15</v>
      </c>
      <c r="BC169" s="7">
        <v>47.9</v>
      </c>
      <c r="BD169" s="7">
        <v>47.6</v>
      </c>
      <c r="BE169" s="6">
        <v>49.77</v>
      </c>
      <c r="BF169" s="7">
        <v>48.96</v>
      </c>
      <c r="BG169" s="7">
        <v>50.98</v>
      </c>
      <c r="BH169" s="7">
        <v>48.74</v>
      </c>
      <c r="BI169" s="6">
        <v>46.28</v>
      </c>
      <c r="BJ169" s="6">
        <v>51.06</v>
      </c>
      <c r="BK169" s="6">
        <v>50.16</v>
      </c>
      <c r="BL169" s="6">
        <v>48.58</v>
      </c>
      <c r="BM169" s="7">
        <v>49.84</v>
      </c>
      <c r="BN169" s="10"/>
    </row>
    <row r="170" spans="1:66" ht="15.75" customHeight="1" x14ac:dyDescent="0.25">
      <c r="A170" s="4">
        <v>168</v>
      </c>
      <c r="B170" s="4"/>
      <c r="C170" s="4">
        <v>17</v>
      </c>
      <c r="D170" s="6"/>
      <c r="E170" s="6">
        <v>47.41</v>
      </c>
      <c r="F170" s="6">
        <v>47.49</v>
      </c>
      <c r="G170" s="6">
        <v>47.26</v>
      </c>
      <c r="H170" s="6">
        <v>49.31</v>
      </c>
      <c r="I170" s="6">
        <v>47.86</v>
      </c>
      <c r="J170" s="6">
        <v>48.24</v>
      </c>
      <c r="K170" s="6">
        <v>48.45</v>
      </c>
      <c r="L170" s="6">
        <v>49.55</v>
      </c>
      <c r="M170" s="6">
        <v>49.96</v>
      </c>
      <c r="N170" s="6">
        <v>46.27</v>
      </c>
      <c r="O170" s="6">
        <v>46.11</v>
      </c>
      <c r="P170" s="6">
        <v>47.77</v>
      </c>
      <c r="Q170" s="6">
        <v>50.66</v>
      </c>
      <c r="R170" s="6">
        <v>48.24</v>
      </c>
      <c r="S170" s="6">
        <v>49.03</v>
      </c>
      <c r="T170" s="6">
        <v>49.01</v>
      </c>
      <c r="U170" s="6">
        <v>49.61</v>
      </c>
      <c r="V170" s="6">
        <v>49.91</v>
      </c>
      <c r="W170" s="6">
        <v>50.2</v>
      </c>
      <c r="X170" s="6">
        <v>49.15</v>
      </c>
      <c r="Y170" s="6">
        <v>48.04</v>
      </c>
      <c r="Z170" s="6">
        <v>48.44</v>
      </c>
      <c r="AA170" s="6">
        <v>48</v>
      </c>
      <c r="AB170" s="6">
        <v>47.65</v>
      </c>
      <c r="AC170" s="6">
        <v>47.36</v>
      </c>
      <c r="AD170" s="6">
        <v>49.27</v>
      </c>
      <c r="AE170" s="6">
        <v>50.01</v>
      </c>
      <c r="AF170" s="6">
        <v>48.25</v>
      </c>
      <c r="AG170" s="6">
        <v>45.59</v>
      </c>
      <c r="AH170" s="6">
        <v>49.35</v>
      </c>
      <c r="AI170" s="6">
        <v>49.1</v>
      </c>
      <c r="AJ170" s="6">
        <v>48.58</v>
      </c>
      <c r="AK170" s="6">
        <v>49.45</v>
      </c>
      <c r="AL170" s="6">
        <v>48.76</v>
      </c>
      <c r="AM170" s="6">
        <v>51.03</v>
      </c>
      <c r="AN170" s="6">
        <v>48.85</v>
      </c>
      <c r="AO170" s="6">
        <v>49.74</v>
      </c>
      <c r="AP170" s="6">
        <v>47.77</v>
      </c>
      <c r="AQ170" s="6">
        <v>49.22</v>
      </c>
      <c r="AR170" s="6">
        <v>48.98</v>
      </c>
      <c r="AS170" s="6">
        <v>49.9</v>
      </c>
      <c r="AT170" s="6">
        <v>48.96</v>
      </c>
      <c r="AU170" s="6">
        <v>48.99</v>
      </c>
      <c r="AV170" s="6"/>
      <c r="AW170" s="6"/>
      <c r="AX170" s="6">
        <v>46.5</v>
      </c>
      <c r="AY170" s="6">
        <v>49.76</v>
      </c>
      <c r="AZ170" s="6">
        <v>50.2</v>
      </c>
      <c r="BA170" s="6">
        <v>49.28</v>
      </c>
      <c r="BB170" s="6">
        <v>49.19</v>
      </c>
      <c r="BC170" s="6">
        <v>48.15</v>
      </c>
      <c r="BD170" s="6">
        <v>47.74</v>
      </c>
      <c r="BE170" s="6">
        <v>49.92</v>
      </c>
      <c r="BF170" s="6">
        <v>49.02</v>
      </c>
      <c r="BG170" s="6">
        <v>51.06</v>
      </c>
      <c r="BH170" s="6">
        <v>48.88</v>
      </c>
      <c r="BI170" s="6">
        <v>46.4</v>
      </c>
      <c r="BJ170" s="6">
        <v>51.1</v>
      </c>
      <c r="BK170" s="6">
        <v>50.18</v>
      </c>
      <c r="BL170" s="6">
        <v>48.76</v>
      </c>
      <c r="BM170" s="7">
        <v>49.9</v>
      </c>
      <c r="BN170" s="10"/>
    </row>
    <row r="171" spans="1:66" ht="15.75" customHeight="1" x14ac:dyDescent="0.25">
      <c r="A171" s="4">
        <v>169</v>
      </c>
      <c r="B171" s="4"/>
      <c r="C171" s="4">
        <v>18</v>
      </c>
      <c r="D171" s="6"/>
      <c r="E171" s="6">
        <v>47.5</v>
      </c>
      <c r="F171" s="6">
        <v>47.56</v>
      </c>
      <c r="G171" s="6">
        <v>47.36</v>
      </c>
      <c r="H171" s="6">
        <v>49.46</v>
      </c>
      <c r="I171" s="6">
        <v>48.01</v>
      </c>
      <c r="J171" s="6">
        <v>48.22</v>
      </c>
      <c r="K171" s="6">
        <v>48.46</v>
      </c>
      <c r="L171" s="6">
        <v>49.64</v>
      </c>
      <c r="M171" s="6">
        <v>49.95</v>
      </c>
      <c r="N171" s="6">
        <v>46.38</v>
      </c>
      <c r="O171" s="6">
        <v>46.19</v>
      </c>
      <c r="P171" s="6">
        <v>47.84</v>
      </c>
      <c r="Q171" s="6">
        <v>50.68</v>
      </c>
      <c r="R171" s="6">
        <v>48.41</v>
      </c>
      <c r="S171" s="6">
        <v>49.17</v>
      </c>
      <c r="T171" s="6">
        <v>49.11</v>
      </c>
      <c r="U171" s="6">
        <v>49.74</v>
      </c>
      <c r="V171" s="6">
        <v>49.97</v>
      </c>
      <c r="W171" s="6">
        <v>50.33</v>
      </c>
      <c r="X171" s="6">
        <v>49.31</v>
      </c>
      <c r="Y171" s="6">
        <v>48.24</v>
      </c>
      <c r="Z171" s="6">
        <v>48.54</v>
      </c>
      <c r="AA171" s="6">
        <v>48.08</v>
      </c>
      <c r="AB171" s="6">
        <v>47.78</v>
      </c>
      <c r="AC171" s="6">
        <v>47.49</v>
      </c>
      <c r="AD171" s="6">
        <v>49.31</v>
      </c>
      <c r="AE171" s="6">
        <v>50.06</v>
      </c>
      <c r="AF171" s="6">
        <v>48.44</v>
      </c>
      <c r="AG171" s="6">
        <v>45.64</v>
      </c>
      <c r="AH171" s="6">
        <v>49.38</v>
      </c>
      <c r="AI171" s="6">
        <v>49.16</v>
      </c>
      <c r="AJ171" s="6">
        <v>48.62</v>
      </c>
      <c r="AK171" s="6">
        <v>49.6</v>
      </c>
      <c r="AL171" s="6">
        <v>48.73</v>
      </c>
      <c r="AM171" s="6">
        <v>51.12</v>
      </c>
      <c r="AN171" s="6">
        <v>48.87</v>
      </c>
      <c r="AO171" s="6">
        <v>49.77</v>
      </c>
      <c r="AP171" s="6">
        <v>47.77</v>
      </c>
      <c r="AQ171" s="6">
        <v>49.3</v>
      </c>
      <c r="AR171" s="6">
        <v>49</v>
      </c>
      <c r="AS171" s="6">
        <v>50.04</v>
      </c>
      <c r="AT171" s="6">
        <v>48.93</v>
      </c>
      <c r="AU171" s="6">
        <v>49.04</v>
      </c>
      <c r="AV171" s="6"/>
      <c r="AW171" s="6"/>
      <c r="AX171" s="6">
        <v>46.59</v>
      </c>
      <c r="AY171" s="6">
        <v>49.81</v>
      </c>
      <c r="AZ171" s="6">
        <v>50.23</v>
      </c>
      <c r="BA171" s="6">
        <v>49.36</v>
      </c>
      <c r="BB171" s="6">
        <v>49.39</v>
      </c>
      <c r="BC171" s="6">
        <v>48.34</v>
      </c>
      <c r="BD171" s="6">
        <v>47.84</v>
      </c>
      <c r="BE171" s="6">
        <v>50.02</v>
      </c>
      <c r="BF171" s="6">
        <v>49.19</v>
      </c>
      <c r="BG171" s="6">
        <v>51.2</v>
      </c>
      <c r="BH171" s="6">
        <v>49.02</v>
      </c>
      <c r="BI171" s="6">
        <v>46.78</v>
      </c>
      <c r="BJ171" s="6">
        <v>51.1</v>
      </c>
      <c r="BK171" s="6">
        <v>50.18</v>
      </c>
      <c r="BL171" s="6">
        <v>48.84</v>
      </c>
      <c r="BM171" s="7">
        <v>49.97</v>
      </c>
      <c r="BN171" s="10"/>
    </row>
    <row r="172" spans="1:66" ht="15.75" customHeight="1" x14ac:dyDescent="0.25">
      <c r="A172" s="4">
        <v>170</v>
      </c>
      <c r="B172" s="4"/>
      <c r="C172" s="4">
        <v>19</v>
      </c>
      <c r="D172" s="6"/>
      <c r="E172" s="6">
        <v>47.63</v>
      </c>
      <c r="F172" s="6">
        <v>47.61</v>
      </c>
      <c r="G172" s="6">
        <v>47.46</v>
      </c>
      <c r="H172" s="6">
        <v>49.51</v>
      </c>
      <c r="I172" s="6">
        <v>48.11</v>
      </c>
      <c r="J172" s="6">
        <v>48.16</v>
      </c>
      <c r="K172" s="6">
        <v>48.46</v>
      </c>
      <c r="L172" s="6">
        <v>49.72</v>
      </c>
      <c r="M172" s="6">
        <v>49.95</v>
      </c>
      <c r="N172" s="6">
        <v>46.48</v>
      </c>
      <c r="O172" s="6">
        <v>46.3</v>
      </c>
      <c r="P172" s="6">
        <v>47.88</v>
      </c>
      <c r="Q172" s="6">
        <v>50.69</v>
      </c>
      <c r="R172" s="6">
        <v>48.59</v>
      </c>
      <c r="S172" s="6">
        <v>49.26</v>
      </c>
      <c r="T172" s="6">
        <v>49.19</v>
      </c>
      <c r="U172" s="6">
        <v>49.85</v>
      </c>
      <c r="V172" s="6">
        <v>49.99</v>
      </c>
      <c r="W172" s="6">
        <v>50.44</v>
      </c>
      <c r="X172" s="6">
        <v>49.48</v>
      </c>
      <c r="Y172" s="6">
        <v>48.38</v>
      </c>
      <c r="Z172" s="6">
        <v>48.6</v>
      </c>
      <c r="AA172" s="6">
        <v>48.18</v>
      </c>
      <c r="AB172" s="6">
        <v>47.88</v>
      </c>
      <c r="AC172" s="6">
        <v>47.61</v>
      </c>
      <c r="AD172" s="6">
        <v>49.37</v>
      </c>
      <c r="AE172" s="6">
        <v>50.09</v>
      </c>
      <c r="AF172" s="6">
        <v>48.5</v>
      </c>
      <c r="AG172" s="6">
        <v>45.86</v>
      </c>
      <c r="AH172" s="6">
        <v>49.43</v>
      </c>
      <c r="AI172" s="6">
        <v>49.26</v>
      </c>
      <c r="AJ172" s="6">
        <v>48.72</v>
      </c>
      <c r="AK172" s="6">
        <v>49.81</v>
      </c>
      <c r="AL172" s="6">
        <v>48.65</v>
      </c>
      <c r="AM172" s="6">
        <v>51.15</v>
      </c>
      <c r="AN172" s="6">
        <v>48.9</v>
      </c>
      <c r="AO172" s="6">
        <v>49.82</v>
      </c>
      <c r="AP172" s="6">
        <v>47.81</v>
      </c>
      <c r="AQ172" s="6">
        <v>49.47</v>
      </c>
      <c r="AR172" s="6">
        <v>49.04</v>
      </c>
      <c r="AS172" s="6">
        <v>50.06</v>
      </c>
      <c r="AT172" s="6">
        <v>48.92</v>
      </c>
      <c r="AU172" s="6">
        <v>49.11</v>
      </c>
      <c r="AV172" s="6"/>
      <c r="AW172" s="6"/>
      <c r="AX172" s="6">
        <v>46.64</v>
      </c>
      <c r="AY172" s="6">
        <v>49.82</v>
      </c>
      <c r="AZ172" s="6">
        <v>50.32</v>
      </c>
      <c r="BA172" s="6">
        <v>49.38</v>
      </c>
      <c r="BB172" s="6">
        <v>49.47</v>
      </c>
      <c r="BC172" s="6">
        <v>48.51</v>
      </c>
      <c r="BD172" s="6">
        <v>47.94</v>
      </c>
      <c r="BE172" s="6">
        <v>50.04</v>
      </c>
      <c r="BF172" s="6">
        <v>49.3</v>
      </c>
      <c r="BG172" s="6">
        <v>51.58</v>
      </c>
      <c r="BH172" s="6">
        <v>49.1</v>
      </c>
      <c r="BI172" s="6">
        <v>47</v>
      </c>
      <c r="BJ172" s="6">
        <v>51.1</v>
      </c>
      <c r="BK172" s="6">
        <v>50.2</v>
      </c>
      <c r="BL172" s="6">
        <v>48.88</v>
      </c>
      <c r="BM172" s="7">
        <v>49.98</v>
      </c>
      <c r="BN172" s="10"/>
    </row>
    <row r="173" spans="1:66" ht="15.75" customHeight="1" x14ac:dyDescent="0.25">
      <c r="A173" s="4">
        <v>171</v>
      </c>
      <c r="B173" s="4"/>
      <c r="C173" s="4">
        <v>20</v>
      </c>
      <c r="D173" s="6"/>
      <c r="E173" s="6">
        <v>47.71</v>
      </c>
      <c r="F173" s="6">
        <v>47.63</v>
      </c>
      <c r="G173" s="6">
        <v>47.51</v>
      </c>
      <c r="H173" s="6">
        <v>49.56</v>
      </c>
      <c r="I173" s="6">
        <v>48.16</v>
      </c>
      <c r="J173" s="6">
        <v>48.18</v>
      </c>
      <c r="K173" s="6">
        <v>48.44</v>
      </c>
      <c r="L173" s="6">
        <v>49.82</v>
      </c>
      <c r="M173" s="6">
        <v>49.96</v>
      </c>
      <c r="N173" s="6">
        <v>46.58</v>
      </c>
      <c r="O173" s="6">
        <v>46.39</v>
      </c>
      <c r="P173" s="6">
        <v>47.97</v>
      </c>
      <c r="Q173" s="6">
        <v>50.71</v>
      </c>
      <c r="R173" s="6">
        <v>48.76</v>
      </c>
      <c r="S173" s="6">
        <v>49.36</v>
      </c>
      <c r="T173" s="6">
        <v>49.27</v>
      </c>
      <c r="U173" s="6">
        <v>49.96</v>
      </c>
      <c r="V173" s="6">
        <v>50.04</v>
      </c>
      <c r="W173" s="6">
        <v>50.49</v>
      </c>
      <c r="X173" s="6">
        <v>49.54</v>
      </c>
      <c r="Y173" s="6">
        <v>48.5</v>
      </c>
      <c r="Z173" s="6">
        <v>48.66</v>
      </c>
      <c r="AA173" s="6">
        <v>48.35</v>
      </c>
      <c r="AB173" s="6">
        <v>47.95</v>
      </c>
      <c r="AC173" s="6">
        <v>47.98</v>
      </c>
      <c r="AD173" s="6">
        <v>49.39</v>
      </c>
      <c r="AE173" s="6">
        <v>50.21</v>
      </c>
      <c r="AF173" s="6">
        <v>48.56</v>
      </c>
      <c r="AG173" s="6">
        <v>46.02</v>
      </c>
      <c r="AH173" s="6">
        <v>49.41</v>
      </c>
      <c r="AI173" s="6">
        <v>49.4</v>
      </c>
      <c r="AJ173" s="6">
        <v>48.82</v>
      </c>
      <c r="AK173" s="6">
        <v>49.88</v>
      </c>
      <c r="AL173" s="6">
        <v>48.65</v>
      </c>
      <c r="AM173" s="6">
        <v>51.15</v>
      </c>
      <c r="AN173" s="6">
        <v>48.94</v>
      </c>
      <c r="AO173" s="6">
        <v>49.9</v>
      </c>
      <c r="AP173" s="6">
        <v>47.85</v>
      </c>
      <c r="AQ173" s="6">
        <v>49.67</v>
      </c>
      <c r="AR173" s="6">
        <v>49.06</v>
      </c>
      <c r="AS173" s="6">
        <v>50.25</v>
      </c>
      <c r="AT173" s="6">
        <v>48.9</v>
      </c>
      <c r="AU173" s="6">
        <v>49.18</v>
      </c>
      <c r="AV173" s="6"/>
      <c r="AW173" s="6"/>
      <c r="AX173" s="6">
        <v>46.7</v>
      </c>
      <c r="AY173" s="6">
        <v>49.9</v>
      </c>
      <c r="AZ173" s="6">
        <v>50.44</v>
      </c>
      <c r="BA173" s="6">
        <v>49.41</v>
      </c>
      <c r="BB173" s="6">
        <v>49.57</v>
      </c>
      <c r="BC173" s="6">
        <v>48.69</v>
      </c>
      <c r="BD173" s="6">
        <v>48.09</v>
      </c>
      <c r="BE173" s="6">
        <v>50.04</v>
      </c>
      <c r="BF173" s="6">
        <v>49.4</v>
      </c>
      <c r="BG173" s="6">
        <v>51.77</v>
      </c>
      <c r="BH173" s="6">
        <v>49.26</v>
      </c>
      <c r="BI173" s="6">
        <v>47.84</v>
      </c>
      <c r="BJ173" s="6">
        <v>51.12</v>
      </c>
      <c r="BK173" s="6">
        <v>50.4</v>
      </c>
      <c r="BL173" s="6">
        <v>48.94</v>
      </c>
      <c r="BM173" s="7">
        <v>50.08</v>
      </c>
      <c r="BN173" s="10"/>
    </row>
    <row r="174" spans="1:66" ht="15.75" customHeight="1" x14ac:dyDescent="0.25">
      <c r="A174" s="4">
        <v>172</v>
      </c>
      <c r="B174" s="4"/>
      <c r="C174" s="4">
        <v>21</v>
      </c>
      <c r="D174" s="6"/>
      <c r="E174" s="6">
        <v>47.78</v>
      </c>
      <c r="F174" s="6">
        <v>47.7</v>
      </c>
      <c r="G174" s="6">
        <v>47.64</v>
      </c>
      <c r="H174" s="6">
        <v>49.71</v>
      </c>
      <c r="I174" s="6">
        <v>48.26</v>
      </c>
      <c r="J174" s="6">
        <v>48.16</v>
      </c>
      <c r="K174" s="6">
        <v>48.46</v>
      </c>
      <c r="L174" s="6">
        <v>49.96</v>
      </c>
      <c r="M174" s="6">
        <v>49.96</v>
      </c>
      <c r="N174" s="6">
        <v>46.68</v>
      </c>
      <c r="O174" s="6">
        <v>46.46</v>
      </c>
      <c r="P174" s="6">
        <v>48.06</v>
      </c>
      <c r="Q174" s="6">
        <v>50.76</v>
      </c>
      <c r="R174" s="6">
        <v>48.94</v>
      </c>
      <c r="S174" s="6">
        <v>49.45</v>
      </c>
      <c r="T174" s="6">
        <v>49.39</v>
      </c>
      <c r="U174" s="6">
        <v>50.04</v>
      </c>
      <c r="V174" s="6">
        <v>50.16</v>
      </c>
      <c r="W174" s="6">
        <v>50.44</v>
      </c>
      <c r="X174" s="6">
        <v>49.63</v>
      </c>
      <c r="Y174" s="6">
        <v>48.65</v>
      </c>
      <c r="Z174" s="6">
        <v>48.72</v>
      </c>
      <c r="AA174" s="6">
        <v>48.66</v>
      </c>
      <c r="AB174" s="6">
        <v>48</v>
      </c>
      <c r="AC174" s="6">
        <v>48.07</v>
      </c>
      <c r="AD174" s="6">
        <v>49.5</v>
      </c>
      <c r="AE174" s="6">
        <v>50.3</v>
      </c>
      <c r="AF174" s="6">
        <v>48.56</v>
      </c>
      <c r="AG174" s="6">
        <v>46.31</v>
      </c>
      <c r="AH174" s="6">
        <v>49.51</v>
      </c>
      <c r="AI174" s="6">
        <v>49.5</v>
      </c>
      <c r="AJ174" s="6">
        <v>49.05</v>
      </c>
      <c r="AK174" s="6">
        <v>49.94</v>
      </c>
      <c r="AL174" s="6">
        <v>48.58</v>
      </c>
      <c r="AM174" s="6">
        <v>51.14</v>
      </c>
      <c r="AN174" s="6">
        <v>48.98</v>
      </c>
      <c r="AO174" s="6">
        <v>49.93</v>
      </c>
      <c r="AP174" s="6">
        <v>48.01</v>
      </c>
      <c r="AQ174" s="6">
        <v>49.8</v>
      </c>
      <c r="AR174" s="6">
        <v>49.08</v>
      </c>
      <c r="AS174" s="6">
        <v>50.35</v>
      </c>
      <c r="AT174" s="6">
        <v>48.98</v>
      </c>
      <c r="AU174" s="6">
        <v>49.27</v>
      </c>
      <c r="AV174" s="6"/>
      <c r="AW174" s="6"/>
      <c r="AX174" s="6">
        <v>46.78</v>
      </c>
      <c r="AY174" s="6">
        <v>49.97</v>
      </c>
      <c r="AZ174" s="6">
        <v>50.48</v>
      </c>
      <c r="BA174" s="6">
        <v>49.44</v>
      </c>
      <c r="BB174" s="6">
        <v>49.61</v>
      </c>
      <c r="BC174" s="6">
        <v>48.94</v>
      </c>
      <c r="BD174" s="6">
        <v>48.34</v>
      </c>
      <c r="BE174" s="6">
        <v>50.13</v>
      </c>
      <c r="BF174" s="6">
        <v>49.49</v>
      </c>
      <c r="BG174" s="6">
        <v>51.91</v>
      </c>
      <c r="BH174" s="6">
        <v>49.4</v>
      </c>
      <c r="BI174" s="6">
        <v>47.91</v>
      </c>
      <c r="BJ174" s="6">
        <v>51.14</v>
      </c>
      <c r="BK174" s="6">
        <v>50.44</v>
      </c>
      <c r="BL174" s="6">
        <v>48.96</v>
      </c>
      <c r="BM174" s="7">
        <v>50.22</v>
      </c>
      <c r="BN174" s="10"/>
    </row>
    <row r="175" spans="1:66" ht="15.75" customHeight="1" x14ac:dyDescent="0.25">
      <c r="A175" s="4">
        <v>173</v>
      </c>
      <c r="B175" s="4"/>
      <c r="C175" s="4">
        <v>22</v>
      </c>
      <c r="D175" s="6"/>
      <c r="E175" s="6">
        <v>47.88</v>
      </c>
      <c r="F175" s="6">
        <v>47.76</v>
      </c>
      <c r="G175" s="6">
        <v>47.71</v>
      </c>
      <c r="H175" s="6">
        <v>49.87</v>
      </c>
      <c r="I175" s="6">
        <v>48.41</v>
      </c>
      <c r="J175" s="6">
        <v>48.26</v>
      </c>
      <c r="K175" s="6">
        <v>48.48</v>
      </c>
      <c r="L175" s="6">
        <v>50.05</v>
      </c>
      <c r="M175" s="6">
        <v>49.95</v>
      </c>
      <c r="N175" s="6">
        <v>46.78</v>
      </c>
      <c r="O175" s="6">
        <v>46.51</v>
      </c>
      <c r="P175" s="6">
        <v>48.16</v>
      </c>
      <c r="Q175" s="6">
        <v>50.78</v>
      </c>
      <c r="R175" s="6">
        <v>49.14</v>
      </c>
      <c r="S175" s="6">
        <v>49.58</v>
      </c>
      <c r="T175" s="6">
        <v>49.51</v>
      </c>
      <c r="U175" s="6">
        <v>50.11</v>
      </c>
      <c r="V175" s="6">
        <v>50.24</v>
      </c>
      <c r="W175" s="6">
        <v>50.42</v>
      </c>
      <c r="X175" s="6">
        <v>49.69</v>
      </c>
      <c r="Y175" s="6">
        <v>48.78</v>
      </c>
      <c r="Z175" s="6">
        <v>48.8</v>
      </c>
      <c r="AA175" s="6">
        <v>48.82</v>
      </c>
      <c r="AB175" s="6">
        <v>48.02</v>
      </c>
      <c r="AC175" s="6">
        <v>48.15</v>
      </c>
      <c r="AD175" s="6">
        <v>49.62</v>
      </c>
      <c r="AE175" s="6">
        <v>50.42</v>
      </c>
      <c r="AF175" s="6">
        <v>48.55</v>
      </c>
      <c r="AG175" s="6">
        <v>46.47</v>
      </c>
      <c r="AH175" s="6">
        <v>49.87</v>
      </c>
      <c r="AI175" s="6">
        <v>49.59</v>
      </c>
      <c r="AJ175" s="6">
        <v>49.28</v>
      </c>
      <c r="AK175" s="6">
        <v>50</v>
      </c>
      <c r="AL175" s="6">
        <v>48.56</v>
      </c>
      <c r="AM175" s="6">
        <v>51.15</v>
      </c>
      <c r="AN175" s="6">
        <v>49.06</v>
      </c>
      <c r="AO175" s="6">
        <v>49.96</v>
      </c>
      <c r="AP175" s="6">
        <v>48.1</v>
      </c>
      <c r="AQ175" s="6">
        <v>49.97</v>
      </c>
      <c r="AR175" s="6">
        <v>49.2</v>
      </c>
      <c r="AS175" s="6">
        <v>50.38</v>
      </c>
      <c r="AT175" s="6">
        <v>49.04</v>
      </c>
      <c r="AU175" s="6">
        <v>49.38</v>
      </c>
      <c r="AV175" s="6"/>
      <c r="AW175" s="6"/>
      <c r="AX175" s="6">
        <v>46.99</v>
      </c>
      <c r="AY175" s="6">
        <v>50.01</v>
      </c>
      <c r="AZ175" s="6">
        <v>50.49</v>
      </c>
      <c r="BA175" s="6">
        <v>49.46</v>
      </c>
      <c r="BB175" s="6">
        <v>49.63</v>
      </c>
      <c r="BC175" s="6">
        <v>49.12</v>
      </c>
      <c r="BD175" s="6">
        <v>48.52</v>
      </c>
      <c r="BE175" s="6">
        <v>50.26</v>
      </c>
      <c r="BF175" s="6">
        <v>49.55</v>
      </c>
      <c r="BG175" s="6">
        <v>52</v>
      </c>
      <c r="BH175" s="6">
        <v>49.59</v>
      </c>
      <c r="BI175" s="6">
        <v>48</v>
      </c>
      <c r="BJ175" s="6">
        <v>51.16</v>
      </c>
      <c r="BK175" s="6">
        <v>50.48</v>
      </c>
      <c r="BL175" s="6">
        <v>48.96</v>
      </c>
      <c r="BM175" s="7">
        <v>50.34</v>
      </c>
      <c r="BN175" s="10"/>
    </row>
    <row r="176" spans="1:66" ht="15.75" customHeight="1" x14ac:dyDescent="0.25">
      <c r="A176" s="4">
        <v>174</v>
      </c>
      <c r="B176" s="4"/>
      <c r="C176" s="4">
        <v>23</v>
      </c>
      <c r="D176" s="6"/>
      <c r="E176" s="6">
        <v>48</v>
      </c>
      <c r="F176" s="6">
        <v>47.88</v>
      </c>
      <c r="G176" s="6">
        <v>47.71</v>
      </c>
      <c r="H176" s="6">
        <v>50.03</v>
      </c>
      <c r="I176" s="6">
        <v>48.56</v>
      </c>
      <c r="J176" s="6">
        <v>48.37</v>
      </c>
      <c r="K176" s="6">
        <v>48.53</v>
      </c>
      <c r="L176" s="6">
        <v>50.3</v>
      </c>
      <c r="M176" s="6">
        <v>49.94</v>
      </c>
      <c r="N176" s="6">
        <v>46.88</v>
      </c>
      <c r="O176" s="6">
        <v>46.58</v>
      </c>
      <c r="P176" s="6">
        <v>48.28</v>
      </c>
      <c r="Q176" s="6">
        <v>50.94</v>
      </c>
      <c r="R176" s="6">
        <v>49.28</v>
      </c>
      <c r="S176" s="6">
        <v>49.74</v>
      </c>
      <c r="T176" s="6">
        <v>49.59</v>
      </c>
      <c r="U176" s="6">
        <v>50.15</v>
      </c>
      <c r="V176" s="6">
        <v>50.29</v>
      </c>
      <c r="W176" s="6">
        <v>50.43</v>
      </c>
      <c r="X176" s="6">
        <v>49.68</v>
      </c>
      <c r="Y176" s="6">
        <v>48.85</v>
      </c>
      <c r="Z176" s="6">
        <v>48.85</v>
      </c>
      <c r="AA176" s="6">
        <v>48.96</v>
      </c>
      <c r="AB176" s="6">
        <v>48.05</v>
      </c>
      <c r="AC176" s="6">
        <v>48.15</v>
      </c>
      <c r="AD176" s="6">
        <v>49.73</v>
      </c>
      <c r="AE176" s="6">
        <v>50.45</v>
      </c>
      <c r="AF176" s="6">
        <v>48.55</v>
      </c>
      <c r="AG176" s="6">
        <v>46.58</v>
      </c>
      <c r="AH176" s="6">
        <v>49.99</v>
      </c>
      <c r="AI176" s="6">
        <v>49.63</v>
      </c>
      <c r="AJ176" s="6">
        <v>49.46</v>
      </c>
      <c r="AK176" s="6">
        <v>50.08</v>
      </c>
      <c r="AL176" s="6">
        <v>48.51</v>
      </c>
      <c r="AM176" s="6">
        <v>51.24</v>
      </c>
      <c r="AN176" s="6">
        <v>49.08</v>
      </c>
      <c r="AO176" s="6">
        <v>50.08</v>
      </c>
      <c r="AP176" s="6">
        <v>48.18</v>
      </c>
      <c r="AQ176" s="6">
        <v>50.25</v>
      </c>
      <c r="AR176" s="6">
        <v>49.46</v>
      </c>
      <c r="AS176" s="6">
        <v>50.45</v>
      </c>
      <c r="AT176" s="6">
        <v>49.06</v>
      </c>
      <c r="AU176" s="6">
        <v>49.52</v>
      </c>
      <c r="AV176" s="6"/>
      <c r="AW176" s="6"/>
      <c r="AX176" s="6">
        <v>47.12</v>
      </c>
      <c r="AY176" s="6">
        <v>50.04</v>
      </c>
      <c r="AZ176" s="6">
        <v>50.57</v>
      </c>
      <c r="BA176" s="6">
        <v>49.5</v>
      </c>
      <c r="BB176" s="6">
        <v>49.66</v>
      </c>
      <c r="BC176" s="6">
        <v>49.25</v>
      </c>
      <c r="BD176" s="6">
        <v>48.72</v>
      </c>
      <c r="BE176" s="6">
        <v>50.34</v>
      </c>
      <c r="BF176" s="6">
        <v>49.69</v>
      </c>
      <c r="BG176" s="6">
        <v>52.13</v>
      </c>
      <c r="BH176" s="6">
        <v>49.65</v>
      </c>
      <c r="BI176" s="6">
        <v>48.1</v>
      </c>
      <c r="BJ176" s="6">
        <v>51.14</v>
      </c>
      <c r="BK176" s="6">
        <v>50.5</v>
      </c>
      <c r="BL176" s="6">
        <v>48.98</v>
      </c>
      <c r="BM176" s="7">
        <v>50.5</v>
      </c>
      <c r="BN176" s="10"/>
    </row>
    <row r="177" spans="1:66" ht="15.75" customHeight="1" x14ac:dyDescent="0.25">
      <c r="A177" s="4">
        <v>175</v>
      </c>
      <c r="B177" s="4"/>
      <c r="C177" s="4">
        <v>24</v>
      </c>
      <c r="D177" s="6"/>
      <c r="E177" s="6">
        <v>48.03</v>
      </c>
      <c r="F177" s="6">
        <v>48.03</v>
      </c>
      <c r="G177" s="6">
        <v>47.71</v>
      </c>
      <c r="H177" s="6">
        <v>50.2</v>
      </c>
      <c r="I177" s="6">
        <v>48.76</v>
      </c>
      <c r="J177" s="6">
        <v>48.46</v>
      </c>
      <c r="K177" s="6">
        <v>48.53</v>
      </c>
      <c r="L177" s="6">
        <v>50.48</v>
      </c>
      <c r="M177" s="6">
        <v>49.96</v>
      </c>
      <c r="N177" s="6">
        <v>46.99</v>
      </c>
      <c r="O177" s="6">
        <v>46.67</v>
      </c>
      <c r="P177" s="6">
        <v>48.44</v>
      </c>
      <c r="Q177" s="6">
        <v>51.07</v>
      </c>
      <c r="R177" s="6">
        <v>49.4</v>
      </c>
      <c r="S177" s="6">
        <v>49.95</v>
      </c>
      <c r="T177" s="6">
        <v>49.92</v>
      </c>
      <c r="U177" s="6">
        <v>50.23</v>
      </c>
      <c r="V177" s="6">
        <v>50.33</v>
      </c>
      <c r="W177" s="6">
        <v>50.42</v>
      </c>
      <c r="X177" s="6">
        <v>49.64</v>
      </c>
      <c r="Y177" s="6">
        <v>48.94</v>
      </c>
      <c r="Z177" s="6">
        <v>48.98</v>
      </c>
      <c r="AA177" s="6">
        <v>49.1</v>
      </c>
      <c r="AB177" s="6">
        <v>48.13</v>
      </c>
      <c r="AC177" s="6">
        <v>48.18</v>
      </c>
      <c r="AD177" s="6">
        <v>49.83</v>
      </c>
      <c r="AE177" s="6">
        <v>50.5</v>
      </c>
      <c r="AF177" s="6">
        <v>48.64</v>
      </c>
      <c r="AG177" s="6">
        <v>46.64</v>
      </c>
      <c r="AH177" s="6">
        <v>50.04</v>
      </c>
      <c r="AI177" s="6">
        <v>49.64</v>
      </c>
      <c r="AJ177" s="6">
        <v>49.64</v>
      </c>
      <c r="AK177" s="6">
        <v>50.29</v>
      </c>
      <c r="AL177" s="6">
        <v>48.45</v>
      </c>
      <c r="AM177" s="6">
        <v>51.38</v>
      </c>
      <c r="AN177" s="6">
        <v>49.15</v>
      </c>
      <c r="AO177" s="6">
        <v>50.18</v>
      </c>
      <c r="AP177" s="6">
        <v>48.25</v>
      </c>
      <c r="AQ177" s="6">
        <v>50.54</v>
      </c>
      <c r="AR177" s="6">
        <v>49.56</v>
      </c>
      <c r="AS177" s="6">
        <v>50.49</v>
      </c>
      <c r="AT177" s="6">
        <v>49.17</v>
      </c>
      <c r="AU177" s="6">
        <v>49.65</v>
      </c>
      <c r="AV177" s="6"/>
      <c r="AW177" s="6"/>
      <c r="AX177" s="6">
        <v>47.3</v>
      </c>
      <c r="AY177" s="6">
        <v>50.08</v>
      </c>
      <c r="AZ177" s="6">
        <v>50.65</v>
      </c>
      <c r="BA177" s="6">
        <v>49.5</v>
      </c>
      <c r="BB177" s="6">
        <v>49.74</v>
      </c>
      <c r="BC177" s="6">
        <v>49.36</v>
      </c>
      <c r="BD177" s="6">
        <v>48.84</v>
      </c>
      <c r="BE177" s="6">
        <v>50.4</v>
      </c>
      <c r="BF177" s="6">
        <v>49.86</v>
      </c>
      <c r="BG177" s="6">
        <v>52.23</v>
      </c>
      <c r="BH177" s="6">
        <v>49.76</v>
      </c>
      <c r="BI177" s="6">
        <v>48.15</v>
      </c>
      <c r="BJ177" s="6">
        <v>51.14</v>
      </c>
      <c r="BK177" s="6">
        <v>50.56</v>
      </c>
      <c r="BL177" s="6">
        <v>49</v>
      </c>
      <c r="BM177" s="7">
        <v>50.62</v>
      </c>
      <c r="BN177" s="10"/>
    </row>
    <row r="178" spans="1:66" ht="15.75" customHeight="1" x14ac:dyDescent="0.25">
      <c r="A178" s="4">
        <v>176</v>
      </c>
      <c r="B178" s="4"/>
      <c r="C178" s="4">
        <v>25</v>
      </c>
      <c r="D178" s="6"/>
      <c r="E178" s="6">
        <v>48.1</v>
      </c>
      <c r="F178" s="6">
        <v>48.18</v>
      </c>
      <c r="G178" s="6">
        <v>47.76</v>
      </c>
      <c r="H178" s="6">
        <v>50.36</v>
      </c>
      <c r="I178" s="6">
        <v>48.96</v>
      </c>
      <c r="J178" s="6">
        <v>48.57</v>
      </c>
      <c r="K178" s="6">
        <v>48.52</v>
      </c>
      <c r="L178" s="6">
        <v>50.66</v>
      </c>
      <c r="M178" s="6">
        <v>49.98</v>
      </c>
      <c r="N178" s="6">
        <v>47.09</v>
      </c>
      <c r="O178" s="6">
        <v>46.77</v>
      </c>
      <c r="P178" s="6">
        <v>48.65</v>
      </c>
      <c r="Q178" s="6">
        <v>51.18</v>
      </c>
      <c r="R178" s="6">
        <v>49.48</v>
      </c>
      <c r="S178" s="6">
        <v>50.2</v>
      </c>
      <c r="T178" s="6">
        <v>49.93</v>
      </c>
      <c r="U178" s="6">
        <v>50.26</v>
      </c>
      <c r="V178" s="6">
        <v>50.36</v>
      </c>
      <c r="W178" s="6">
        <v>50.4</v>
      </c>
      <c r="X178" s="6">
        <v>49.63</v>
      </c>
      <c r="Y178" s="6">
        <v>49</v>
      </c>
      <c r="Z178" s="6">
        <v>49.08</v>
      </c>
      <c r="AA178" s="6">
        <v>49.22</v>
      </c>
      <c r="AB178" s="6">
        <v>48.27</v>
      </c>
      <c r="AC178" s="6">
        <v>48.24</v>
      </c>
      <c r="AD178" s="6">
        <v>49.96</v>
      </c>
      <c r="AE178" s="6">
        <v>50.54</v>
      </c>
      <c r="AF178" s="6">
        <v>48.87</v>
      </c>
      <c r="AG178" s="6">
        <v>46.96</v>
      </c>
      <c r="AH178" s="6">
        <v>50.19</v>
      </c>
      <c r="AI178" s="6">
        <v>49.67</v>
      </c>
      <c r="AJ178" s="6">
        <v>49.75</v>
      </c>
      <c r="AK178" s="6">
        <v>50.4</v>
      </c>
      <c r="AL178" s="6">
        <v>48.4</v>
      </c>
      <c r="AM178" s="6">
        <v>51.52</v>
      </c>
      <c r="AN178" s="6">
        <v>49.21</v>
      </c>
      <c r="AO178" s="6">
        <v>50.29</v>
      </c>
      <c r="AP178" s="6">
        <v>48.29</v>
      </c>
      <c r="AQ178" s="6">
        <v>50.71</v>
      </c>
      <c r="AR178" s="6">
        <v>49.64</v>
      </c>
      <c r="AS178" s="6">
        <v>50.52</v>
      </c>
      <c r="AT178" s="6">
        <v>49.27</v>
      </c>
      <c r="AU178" s="6">
        <v>49.8</v>
      </c>
      <c r="AV178" s="6"/>
      <c r="AW178" s="6"/>
      <c r="AX178" s="6">
        <v>47.5</v>
      </c>
      <c r="AY178" s="6">
        <v>50.18</v>
      </c>
      <c r="AZ178" s="6">
        <v>50.78</v>
      </c>
      <c r="BA178" s="6">
        <v>49.56</v>
      </c>
      <c r="BB178" s="6">
        <v>49.83</v>
      </c>
      <c r="BC178" s="6">
        <v>49.52</v>
      </c>
      <c r="BD178" s="6">
        <v>49.03</v>
      </c>
      <c r="BE178" s="6">
        <v>50.49</v>
      </c>
      <c r="BF178" s="6">
        <v>49.98</v>
      </c>
      <c r="BG178" s="6">
        <v>52.3</v>
      </c>
      <c r="BH178" s="6">
        <v>49.91</v>
      </c>
      <c r="BI178" s="6">
        <v>48.26</v>
      </c>
      <c r="BJ178" s="6">
        <v>51.15</v>
      </c>
      <c r="BK178" s="6">
        <v>50.68</v>
      </c>
      <c r="BL178" s="6">
        <v>49</v>
      </c>
      <c r="BM178" s="7">
        <v>50.74</v>
      </c>
      <c r="BN178" s="10"/>
    </row>
    <row r="179" spans="1:66" ht="15.75" customHeight="1" x14ac:dyDescent="0.25">
      <c r="A179" s="4">
        <v>177</v>
      </c>
      <c r="B179" s="4"/>
      <c r="C179" s="4">
        <v>26</v>
      </c>
      <c r="D179" s="6"/>
      <c r="E179" s="6">
        <v>48.14</v>
      </c>
      <c r="F179" s="6">
        <v>48.26</v>
      </c>
      <c r="G179" s="6">
        <v>47.81</v>
      </c>
      <c r="H179" s="6">
        <v>50.52</v>
      </c>
      <c r="I179" s="6">
        <v>49.06</v>
      </c>
      <c r="J179" s="6">
        <v>48.66</v>
      </c>
      <c r="K179" s="6">
        <v>48.55</v>
      </c>
      <c r="L179" s="6">
        <v>50.8</v>
      </c>
      <c r="M179" s="6">
        <v>50.01</v>
      </c>
      <c r="N179" s="6">
        <v>47.2</v>
      </c>
      <c r="O179" s="6">
        <v>46.86</v>
      </c>
      <c r="P179" s="6">
        <v>48.83</v>
      </c>
      <c r="Q179" s="6">
        <v>51.26</v>
      </c>
      <c r="R179" s="6">
        <v>49.64</v>
      </c>
      <c r="S179" s="6">
        <v>50.37</v>
      </c>
      <c r="T179" s="6">
        <v>49.96</v>
      </c>
      <c r="U179" s="6">
        <v>50.27</v>
      </c>
      <c r="V179" s="6">
        <v>50.37</v>
      </c>
      <c r="W179" s="6">
        <v>50.39</v>
      </c>
      <c r="X179" s="6">
        <v>49.63</v>
      </c>
      <c r="Y179" s="6">
        <v>49.05</v>
      </c>
      <c r="Z179" s="6">
        <v>49.21</v>
      </c>
      <c r="AA179" s="6">
        <v>49.36</v>
      </c>
      <c r="AB179" s="6">
        <v>48.38</v>
      </c>
      <c r="AC179" s="6">
        <v>48.35</v>
      </c>
      <c r="AD179" s="6">
        <v>49.98</v>
      </c>
      <c r="AE179" s="6">
        <v>50.54</v>
      </c>
      <c r="AF179" s="6">
        <v>49.04</v>
      </c>
      <c r="AG179" s="6">
        <v>47.25</v>
      </c>
      <c r="AH179" s="6">
        <v>50.43</v>
      </c>
      <c r="AI179" s="6">
        <v>49.7</v>
      </c>
      <c r="AJ179" s="6">
        <v>49.84</v>
      </c>
      <c r="AK179" s="6">
        <v>50.51</v>
      </c>
      <c r="AL179" s="6">
        <v>48.48</v>
      </c>
      <c r="AM179" s="6">
        <v>51.56</v>
      </c>
      <c r="AN179" s="6">
        <v>49.26</v>
      </c>
      <c r="AO179" s="6">
        <v>50.36</v>
      </c>
      <c r="AP179" s="6">
        <v>48.32</v>
      </c>
      <c r="AQ179" s="6">
        <v>50.83</v>
      </c>
      <c r="AR179" s="6">
        <v>49.68</v>
      </c>
      <c r="AS179" s="6">
        <v>50.54</v>
      </c>
      <c r="AT179" s="6">
        <v>49.38</v>
      </c>
      <c r="AU179" s="6">
        <v>49.9</v>
      </c>
      <c r="AV179" s="6"/>
      <c r="AW179" s="6"/>
      <c r="AX179" s="6">
        <v>47.72</v>
      </c>
      <c r="AY179" s="6">
        <v>50.22</v>
      </c>
      <c r="AZ179" s="6">
        <v>50.86</v>
      </c>
      <c r="BA179" s="6">
        <v>49.58</v>
      </c>
      <c r="BB179" s="6">
        <v>49.9</v>
      </c>
      <c r="BC179" s="6">
        <v>49.67</v>
      </c>
      <c r="BD179" s="6">
        <v>49.14</v>
      </c>
      <c r="BE179" s="6">
        <v>50.61</v>
      </c>
      <c r="BF179" s="6">
        <v>50.15</v>
      </c>
      <c r="BG179" s="6">
        <v>52.37</v>
      </c>
      <c r="BH179" s="6">
        <v>50.01</v>
      </c>
      <c r="BI179" s="6">
        <v>48.29</v>
      </c>
      <c r="BJ179" s="6">
        <v>51.14</v>
      </c>
      <c r="BK179" s="6">
        <v>50.76</v>
      </c>
      <c r="BL179" s="6">
        <v>49.03</v>
      </c>
      <c r="BM179" s="7">
        <v>50.78</v>
      </c>
      <c r="BN179" s="10"/>
    </row>
    <row r="180" spans="1:66" ht="15.75" customHeight="1" x14ac:dyDescent="0.25">
      <c r="A180" s="4">
        <v>178</v>
      </c>
      <c r="B180" s="4"/>
      <c r="C180" s="4">
        <v>27</v>
      </c>
      <c r="D180" s="6"/>
      <c r="E180" s="6">
        <v>48.18</v>
      </c>
      <c r="F180" s="6">
        <v>48.46</v>
      </c>
      <c r="G180" s="6">
        <v>47.91</v>
      </c>
      <c r="H180" s="6">
        <v>50.68</v>
      </c>
      <c r="I180" s="6">
        <v>49.16</v>
      </c>
      <c r="J180" s="6">
        <v>49.07</v>
      </c>
      <c r="K180" s="6">
        <v>48.58</v>
      </c>
      <c r="L180" s="6">
        <v>50.99</v>
      </c>
      <c r="M180" s="6">
        <v>50.06</v>
      </c>
      <c r="N180" s="6">
        <v>47.33</v>
      </c>
      <c r="O180" s="6">
        <v>46.91</v>
      </c>
      <c r="P180" s="6">
        <v>48.97</v>
      </c>
      <c r="Q180" s="6">
        <v>51.38</v>
      </c>
      <c r="R180" s="6">
        <v>49.75</v>
      </c>
      <c r="S180" s="6">
        <v>50.5</v>
      </c>
      <c r="T180" s="6">
        <v>50.01</v>
      </c>
      <c r="U180" s="6">
        <v>50.35</v>
      </c>
      <c r="V180" s="6">
        <v>50.4</v>
      </c>
      <c r="W180" s="6">
        <v>50.34</v>
      </c>
      <c r="X180" s="6">
        <v>49.61</v>
      </c>
      <c r="Y180" s="6">
        <v>49.12</v>
      </c>
      <c r="Z180" s="6">
        <v>49.3</v>
      </c>
      <c r="AA180" s="6">
        <v>49.54</v>
      </c>
      <c r="AB180" s="6">
        <v>48.49</v>
      </c>
      <c r="AC180" s="6">
        <v>48.44</v>
      </c>
      <c r="AD180" s="6">
        <v>50.02</v>
      </c>
      <c r="AE180" s="6">
        <v>50.57</v>
      </c>
      <c r="AF180" s="6">
        <v>49.15</v>
      </c>
      <c r="AG180" s="6">
        <v>47.47</v>
      </c>
      <c r="AH180" s="6">
        <v>50.55</v>
      </c>
      <c r="AI180" s="6">
        <v>49.77</v>
      </c>
      <c r="AJ180" s="6">
        <v>49.89</v>
      </c>
      <c r="AK180" s="6">
        <v>50.61</v>
      </c>
      <c r="AL180" s="6">
        <v>48.63</v>
      </c>
      <c r="AM180" s="6">
        <v>51.67</v>
      </c>
      <c r="AN180" s="6">
        <v>49.32</v>
      </c>
      <c r="AO180" s="6">
        <v>50.43</v>
      </c>
      <c r="AP180" s="6">
        <v>48.35</v>
      </c>
      <c r="AQ180" s="6">
        <v>50.85</v>
      </c>
      <c r="AR180" s="6">
        <v>49.72</v>
      </c>
      <c r="AS180" s="6">
        <v>50.57</v>
      </c>
      <c r="AT180" s="6">
        <v>49.48</v>
      </c>
      <c r="AU180" s="6">
        <v>49.98</v>
      </c>
      <c r="AV180" s="6"/>
      <c r="AW180" s="6"/>
      <c r="AX180" s="6">
        <v>47.82</v>
      </c>
      <c r="AY180" s="6">
        <v>50.24</v>
      </c>
      <c r="AZ180" s="6">
        <v>50.96</v>
      </c>
      <c r="BA180" s="6">
        <v>49.65</v>
      </c>
      <c r="BB180" s="6">
        <v>49.96</v>
      </c>
      <c r="BC180" s="6">
        <v>49.75</v>
      </c>
      <c r="BD180" s="6">
        <v>49.33</v>
      </c>
      <c r="BE180" s="6">
        <v>50.7</v>
      </c>
      <c r="BF180" s="6">
        <v>50.24</v>
      </c>
      <c r="BG180" s="6">
        <v>52.4</v>
      </c>
      <c r="BH180" s="6">
        <v>50.155000000000001</v>
      </c>
      <c r="BI180" s="6">
        <v>48.47</v>
      </c>
      <c r="BJ180" s="6">
        <v>51.16</v>
      </c>
      <c r="BK180" s="6">
        <v>50.83</v>
      </c>
      <c r="BL180" s="6">
        <v>49.08</v>
      </c>
      <c r="BM180" s="7">
        <v>50.79</v>
      </c>
      <c r="BN180" s="10"/>
    </row>
    <row r="181" spans="1:66" ht="15.75" customHeight="1" x14ac:dyDescent="0.25">
      <c r="A181" s="4">
        <v>179</v>
      </c>
      <c r="B181" s="4"/>
      <c r="C181" s="4">
        <v>28</v>
      </c>
      <c r="D181" s="6">
        <v>51.45</v>
      </c>
      <c r="E181" s="6">
        <v>48.39</v>
      </c>
      <c r="F181" s="6">
        <v>48.58</v>
      </c>
      <c r="G181" s="6">
        <v>47.91</v>
      </c>
      <c r="H181" s="6">
        <v>50.87</v>
      </c>
      <c r="I181" s="6">
        <v>49.31</v>
      </c>
      <c r="J181" s="6">
        <v>49.27</v>
      </c>
      <c r="K181" s="6">
        <v>48.76</v>
      </c>
      <c r="L181" s="6">
        <v>51.13</v>
      </c>
      <c r="M181" s="6">
        <v>50.07</v>
      </c>
      <c r="N181" s="6">
        <v>47.41</v>
      </c>
      <c r="O181" s="6">
        <v>46.98</v>
      </c>
      <c r="P181" s="6">
        <v>49.01</v>
      </c>
      <c r="Q181" s="6">
        <v>51.46</v>
      </c>
      <c r="R181" s="6">
        <v>49.84</v>
      </c>
      <c r="S181" s="6">
        <v>50.62</v>
      </c>
      <c r="T181" s="6">
        <v>50.07</v>
      </c>
      <c r="U181" s="6">
        <v>50.41</v>
      </c>
      <c r="V181" s="6">
        <v>50.45</v>
      </c>
      <c r="W181" s="6">
        <v>50.31</v>
      </c>
      <c r="X181" s="6">
        <v>49.58</v>
      </c>
      <c r="Y181" s="6">
        <v>49.22</v>
      </c>
      <c r="Z181" s="6">
        <v>49.46</v>
      </c>
      <c r="AA181" s="6">
        <v>49.72</v>
      </c>
      <c r="AB181" s="6">
        <v>48.6</v>
      </c>
      <c r="AC181" s="6">
        <v>48.55</v>
      </c>
      <c r="AD181" s="6">
        <v>50.05</v>
      </c>
      <c r="AE181" s="6">
        <v>50.67</v>
      </c>
      <c r="AF181" s="6">
        <v>49.18</v>
      </c>
      <c r="AG181" s="6">
        <v>47.72</v>
      </c>
      <c r="AH181" s="6">
        <v>50.65</v>
      </c>
      <c r="AI181" s="6">
        <v>49.95</v>
      </c>
      <c r="AJ181" s="6">
        <v>49.94</v>
      </c>
      <c r="AK181" s="6">
        <v>50.66</v>
      </c>
      <c r="AL181" s="6">
        <v>48.74</v>
      </c>
      <c r="AM181" s="6">
        <v>51.78</v>
      </c>
      <c r="AN181" s="6">
        <v>49.44</v>
      </c>
      <c r="AO181" s="6">
        <v>50.46</v>
      </c>
      <c r="AP181" s="6">
        <v>48.39</v>
      </c>
      <c r="AQ181" s="6">
        <v>50.89</v>
      </c>
      <c r="AR181" s="6">
        <v>49.76</v>
      </c>
      <c r="AS181" s="6">
        <v>50.59</v>
      </c>
      <c r="AT181" s="6">
        <v>49.5</v>
      </c>
      <c r="AU181" s="6">
        <v>50.01</v>
      </c>
      <c r="AV181" s="6"/>
      <c r="AW181" s="6"/>
      <c r="AX181" s="6">
        <v>47.96</v>
      </c>
      <c r="AY181" s="6">
        <v>50.24</v>
      </c>
      <c r="AZ181" s="6">
        <v>51</v>
      </c>
      <c r="BA181" s="6">
        <v>49.71</v>
      </c>
      <c r="BB181" s="6">
        <v>50.01</v>
      </c>
      <c r="BC181" s="6">
        <v>49.84</v>
      </c>
      <c r="BD181" s="6">
        <v>49.44</v>
      </c>
      <c r="BE181" s="6">
        <v>50.79</v>
      </c>
      <c r="BF181" s="6">
        <v>50.29</v>
      </c>
      <c r="BG181" s="6">
        <v>52.43</v>
      </c>
      <c r="BH181" s="6">
        <v>50.155000000000001</v>
      </c>
      <c r="BI181" s="6">
        <v>48.6</v>
      </c>
      <c r="BJ181" s="6">
        <v>51.18</v>
      </c>
      <c r="BK181" s="6">
        <v>50.88</v>
      </c>
      <c r="BL181" s="6">
        <v>49.09</v>
      </c>
      <c r="BM181" s="7">
        <v>50.85</v>
      </c>
      <c r="BN181" s="10"/>
    </row>
    <row r="182" spans="1:66" ht="15.75" customHeight="1" x14ac:dyDescent="0.25">
      <c r="A182" s="4">
        <v>180</v>
      </c>
      <c r="B182" s="4"/>
      <c r="C182" s="4">
        <v>29</v>
      </c>
      <c r="D182" s="6">
        <v>51.41</v>
      </c>
      <c r="E182" s="6">
        <v>48.45</v>
      </c>
      <c r="F182" s="6">
        <v>48.61</v>
      </c>
      <c r="G182" s="6">
        <v>47.91</v>
      </c>
      <c r="H182" s="6">
        <v>51.03</v>
      </c>
      <c r="I182" s="6">
        <v>49.46</v>
      </c>
      <c r="J182" s="6">
        <v>49.39</v>
      </c>
      <c r="K182" s="6">
        <v>48.9</v>
      </c>
      <c r="L182" s="6">
        <v>51.28</v>
      </c>
      <c r="M182" s="6">
        <v>50.12</v>
      </c>
      <c r="N182" s="6">
        <v>47.46</v>
      </c>
      <c r="O182" s="6">
        <v>46.98</v>
      </c>
      <c r="P182" s="6">
        <v>49.08</v>
      </c>
      <c r="Q182" s="6">
        <v>51.67</v>
      </c>
      <c r="R182" s="6">
        <v>49.96</v>
      </c>
      <c r="S182" s="6">
        <v>50.66</v>
      </c>
      <c r="T182" s="6">
        <v>50.19</v>
      </c>
      <c r="U182" s="6">
        <v>50.48</v>
      </c>
      <c r="V182" s="6">
        <v>50.53</v>
      </c>
      <c r="W182" s="6">
        <v>50.26</v>
      </c>
      <c r="X182" s="6">
        <v>49.56</v>
      </c>
      <c r="Y182" s="6">
        <v>49.3</v>
      </c>
      <c r="Z182" s="6">
        <v>49.55</v>
      </c>
      <c r="AA182" s="6">
        <v>49.84</v>
      </c>
      <c r="AB182" s="6">
        <v>48.69</v>
      </c>
      <c r="AC182" s="6">
        <v>48.6</v>
      </c>
      <c r="AD182" s="6">
        <v>50.05</v>
      </c>
      <c r="AE182" s="6">
        <v>50.79</v>
      </c>
      <c r="AF182" s="6">
        <v>49.23</v>
      </c>
      <c r="AG182" s="6">
        <v>47.93</v>
      </c>
      <c r="AH182" s="6">
        <v>50.78</v>
      </c>
      <c r="AI182" s="6">
        <v>50</v>
      </c>
      <c r="AJ182" s="6">
        <v>50.01</v>
      </c>
      <c r="AK182" s="6">
        <v>50.69</v>
      </c>
      <c r="AL182" s="6">
        <v>48.84</v>
      </c>
      <c r="AM182" s="6">
        <v>51.89</v>
      </c>
      <c r="AN182" s="6">
        <v>49.5</v>
      </c>
      <c r="AO182" s="6">
        <v>50.49</v>
      </c>
      <c r="AP182" s="6">
        <v>48.44</v>
      </c>
      <c r="AQ182" s="6">
        <v>51.08</v>
      </c>
      <c r="AR182" s="6">
        <v>49.76</v>
      </c>
      <c r="AS182" s="6">
        <v>50.62</v>
      </c>
      <c r="AT182" s="6">
        <v>49.52</v>
      </c>
      <c r="AU182" s="6">
        <v>50.08</v>
      </c>
      <c r="AV182" s="6"/>
      <c r="AW182" s="6"/>
      <c r="AX182" s="6">
        <v>48.14</v>
      </c>
      <c r="AY182" s="6">
        <v>50.33</v>
      </c>
      <c r="AZ182" s="6">
        <v>50.98</v>
      </c>
      <c r="BA182" s="6">
        <v>49.75</v>
      </c>
      <c r="BB182" s="6">
        <v>50.01</v>
      </c>
      <c r="BC182" s="6">
        <v>49.98</v>
      </c>
      <c r="BD182" s="6">
        <v>49.54</v>
      </c>
      <c r="BE182" s="6">
        <v>50.84</v>
      </c>
      <c r="BF182" s="6">
        <v>50.29</v>
      </c>
      <c r="BG182" s="6">
        <v>52.54</v>
      </c>
      <c r="BH182" s="6">
        <v>50.155000000000001</v>
      </c>
      <c r="BI182" s="6">
        <v>48.78</v>
      </c>
      <c r="BJ182" s="6">
        <v>51.13</v>
      </c>
      <c r="BK182" s="6">
        <v>50.9</v>
      </c>
      <c r="BL182" s="6">
        <v>49.1</v>
      </c>
      <c r="BM182" s="7">
        <v>50.86</v>
      </c>
      <c r="BN182" s="10"/>
    </row>
    <row r="183" spans="1:66" ht="15.75" customHeight="1" x14ac:dyDescent="0.25">
      <c r="A183" s="4">
        <v>181</v>
      </c>
      <c r="B183" s="4"/>
      <c r="C183" s="4">
        <v>30</v>
      </c>
      <c r="D183" s="6">
        <v>51.41</v>
      </c>
      <c r="E183" s="6">
        <v>48.56</v>
      </c>
      <c r="F183" s="6">
        <v>48.66</v>
      </c>
      <c r="G183" s="6">
        <v>47.94</v>
      </c>
      <c r="H183" s="6">
        <v>51.18</v>
      </c>
      <c r="I183" s="6">
        <v>49.66</v>
      </c>
      <c r="J183" s="6">
        <v>49.51</v>
      </c>
      <c r="K183" s="6">
        <v>49.02</v>
      </c>
      <c r="L183" s="6">
        <v>51.41</v>
      </c>
      <c r="M183" s="6">
        <v>50.18</v>
      </c>
      <c r="N183" s="6">
        <v>47.47</v>
      </c>
      <c r="O183" s="6">
        <v>47.06</v>
      </c>
      <c r="P183" s="6">
        <v>49.25</v>
      </c>
      <c r="Q183" s="6">
        <v>51.86</v>
      </c>
      <c r="R183" s="6">
        <v>50.14</v>
      </c>
      <c r="S183" s="6">
        <v>50.79</v>
      </c>
      <c r="T183" s="6">
        <v>50.3</v>
      </c>
      <c r="U183" s="6">
        <v>50.53</v>
      </c>
      <c r="V183" s="6">
        <v>50.55</v>
      </c>
      <c r="W183" s="6">
        <v>50.23</v>
      </c>
      <c r="X183" s="6">
        <v>49.55</v>
      </c>
      <c r="Y183" s="6">
        <v>49.38</v>
      </c>
      <c r="Z183" s="6">
        <v>49.64</v>
      </c>
      <c r="AA183" s="6">
        <v>49.98</v>
      </c>
      <c r="AB183" s="6">
        <v>48.76</v>
      </c>
      <c r="AC183" s="6">
        <v>48.64</v>
      </c>
      <c r="AD183" s="6">
        <v>50.06</v>
      </c>
      <c r="AE183" s="6">
        <v>50.86</v>
      </c>
      <c r="AF183" s="6">
        <v>49.3</v>
      </c>
      <c r="AG183" s="6">
        <v>47.99</v>
      </c>
      <c r="AH183" s="6">
        <v>50.84</v>
      </c>
      <c r="AI183" s="6">
        <v>50.04</v>
      </c>
      <c r="AJ183" s="6">
        <v>50.08</v>
      </c>
      <c r="AK183" s="6">
        <v>50.76</v>
      </c>
      <c r="AL183" s="6">
        <v>48.84</v>
      </c>
      <c r="AM183" s="6">
        <v>51.92</v>
      </c>
      <c r="AN183" s="6">
        <v>49.52</v>
      </c>
      <c r="AO183" s="6">
        <v>50.58</v>
      </c>
      <c r="AP183" s="6">
        <v>48.52</v>
      </c>
      <c r="AQ183" s="6">
        <v>51.15</v>
      </c>
      <c r="AR183" s="6">
        <v>49.79</v>
      </c>
      <c r="AS183" s="6">
        <v>50.65</v>
      </c>
      <c r="AT183" s="6">
        <v>49.5</v>
      </c>
      <c r="AU183" s="6">
        <v>50.2</v>
      </c>
      <c r="AV183" s="6"/>
      <c r="AW183" s="6"/>
      <c r="AX183" s="6">
        <v>48.26</v>
      </c>
      <c r="AY183" s="6">
        <v>50.42</v>
      </c>
      <c r="AZ183" s="6">
        <v>50.99</v>
      </c>
      <c r="BA183" s="6">
        <v>49.78</v>
      </c>
      <c r="BB183" s="6">
        <v>50.01</v>
      </c>
      <c r="BC183" s="6">
        <v>50.02</v>
      </c>
      <c r="BD183" s="6">
        <v>49.6</v>
      </c>
      <c r="BE183" s="6">
        <v>50.91</v>
      </c>
      <c r="BF183" s="6">
        <v>50.49</v>
      </c>
      <c r="BG183" s="6">
        <v>52.6</v>
      </c>
      <c r="BH183" s="6">
        <v>50.155000000000001</v>
      </c>
      <c r="BI183" s="6">
        <v>48.9</v>
      </c>
      <c r="BJ183" s="6">
        <v>51.16</v>
      </c>
      <c r="BK183" s="6">
        <v>50.96</v>
      </c>
      <c r="BL183" s="6">
        <v>49.12</v>
      </c>
      <c r="BM183" s="7">
        <v>50.88</v>
      </c>
      <c r="BN183" s="10"/>
    </row>
    <row r="184" spans="1:66" ht="15.75" customHeight="1" x14ac:dyDescent="0.25">
      <c r="A184" s="4">
        <v>182</v>
      </c>
      <c r="B184" s="5" t="s">
        <v>10</v>
      </c>
      <c r="C184" s="4">
        <v>1</v>
      </c>
      <c r="D184" s="6">
        <v>51.41</v>
      </c>
      <c r="E184" s="6">
        <v>48.64</v>
      </c>
      <c r="F184" s="6">
        <v>48.76</v>
      </c>
      <c r="G184" s="6">
        <v>47.99</v>
      </c>
      <c r="H184" s="6">
        <v>51.34</v>
      </c>
      <c r="I184" s="6">
        <v>49.86</v>
      </c>
      <c r="J184" s="6">
        <v>49.53</v>
      </c>
      <c r="K184" s="6">
        <v>49.11</v>
      </c>
      <c r="L184" s="6">
        <v>51.54</v>
      </c>
      <c r="M184" s="6">
        <v>50.23</v>
      </c>
      <c r="N184" s="6">
        <v>47.52</v>
      </c>
      <c r="O184" s="6">
        <v>47.22</v>
      </c>
      <c r="P184" s="6">
        <v>49.35</v>
      </c>
      <c r="Q184" s="6">
        <v>51.97</v>
      </c>
      <c r="R184" s="6">
        <v>50.27</v>
      </c>
      <c r="S184" s="6">
        <v>50.9</v>
      </c>
      <c r="T184" s="6">
        <v>50.3</v>
      </c>
      <c r="U184" s="6">
        <v>50.55</v>
      </c>
      <c r="V184" s="6">
        <v>50.6</v>
      </c>
      <c r="W184" s="6">
        <v>50.23</v>
      </c>
      <c r="X184" s="6">
        <v>49.85</v>
      </c>
      <c r="Y184" s="6">
        <v>49.5</v>
      </c>
      <c r="Z184" s="6">
        <v>49.7</v>
      </c>
      <c r="AA184" s="6">
        <v>50.1</v>
      </c>
      <c r="AB184" s="6">
        <v>48.81</v>
      </c>
      <c r="AC184" s="6">
        <v>48.64</v>
      </c>
      <c r="AD184" s="6">
        <v>50.07</v>
      </c>
      <c r="AE184" s="6">
        <v>50.97</v>
      </c>
      <c r="AF184" s="6">
        <v>49.32</v>
      </c>
      <c r="AG184" s="6">
        <v>48.02</v>
      </c>
      <c r="AH184" s="6">
        <v>50.96</v>
      </c>
      <c r="AI184" s="6">
        <v>50.06</v>
      </c>
      <c r="AJ184" s="6">
        <v>50.24</v>
      </c>
      <c r="AK184" s="6">
        <v>50.84</v>
      </c>
      <c r="AL184" s="6">
        <v>48.82</v>
      </c>
      <c r="AM184" s="6">
        <v>51.98</v>
      </c>
      <c r="AN184" s="6">
        <v>49.53</v>
      </c>
      <c r="AO184" s="6">
        <v>50.61</v>
      </c>
      <c r="AP184" s="6">
        <v>48.6</v>
      </c>
      <c r="AQ184" s="6">
        <v>51.25</v>
      </c>
      <c r="AR184" s="6">
        <v>49.86</v>
      </c>
      <c r="AS184" s="6">
        <v>50.78</v>
      </c>
      <c r="AT184" s="6">
        <v>49.57</v>
      </c>
      <c r="AU184" s="6">
        <v>50.24</v>
      </c>
      <c r="AV184" s="6"/>
      <c r="AW184" s="6"/>
      <c r="AX184" s="6">
        <v>48.43</v>
      </c>
      <c r="AY184" s="6">
        <v>50.52</v>
      </c>
      <c r="AZ184" s="6">
        <v>51</v>
      </c>
      <c r="BA184" s="6">
        <v>49.76</v>
      </c>
      <c r="BB184" s="6">
        <v>50.01</v>
      </c>
      <c r="BC184" s="6">
        <v>50.06</v>
      </c>
      <c r="BD184" s="6">
        <v>49.65</v>
      </c>
      <c r="BE184" s="6">
        <v>51.07</v>
      </c>
      <c r="BF184" s="6">
        <v>50.54</v>
      </c>
      <c r="BG184" s="6">
        <v>52.62</v>
      </c>
      <c r="BH184" s="6">
        <v>50.3</v>
      </c>
      <c r="BI184" s="6">
        <v>49.05</v>
      </c>
      <c r="BJ184" s="6">
        <v>51.2</v>
      </c>
      <c r="BK184" s="6">
        <v>50.96</v>
      </c>
      <c r="BL184" s="6">
        <v>49.16</v>
      </c>
      <c r="BM184" s="7">
        <v>50.88</v>
      </c>
      <c r="BN184" s="10"/>
    </row>
    <row r="185" spans="1:66" ht="15.75" customHeight="1" x14ac:dyDescent="0.25">
      <c r="A185" s="4">
        <v>183</v>
      </c>
      <c r="B185" s="4"/>
      <c r="C185" s="4">
        <v>2</v>
      </c>
      <c r="D185" s="6">
        <v>51.45</v>
      </c>
      <c r="E185" s="6">
        <v>48.67</v>
      </c>
      <c r="F185" s="6">
        <v>48.74</v>
      </c>
      <c r="G185" s="6">
        <v>48.08</v>
      </c>
      <c r="H185" s="6">
        <v>51.44</v>
      </c>
      <c r="I185" s="6">
        <v>49.96</v>
      </c>
      <c r="J185" s="6">
        <v>49.56</v>
      </c>
      <c r="K185" s="6">
        <v>49.23</v>
      </c>
      <c r="L185" s="6">
        <v>51.6</v>
      </c>
      <c r="M185" s="6">
        <v>50.37</v>
      </c>
      <c r="N185" s="6">
        <v>47.58</v>
      </c>
      <c r="O185" s="6">
        <v>47.29</v>
      </c>
      <c r="P185" s="6">
        <v>49.43</v>
      </c>
      <c r="Q185" s="6">
        <v>52.06</v>
      </c>
      <c r="R185" s="6">
        <v>50.35</v>
      </c>
      <c r="S185" s="6">
        <v>50.93</v>
      </c>
      <c r="T185" s="6">
        <v>50.41</v>
      </c>
      <c r="U185" s="6">
        <v>50.56</v>
      </c>
      <c r="V185" s="6">
        <v>50.61</v>
      </c>
      <c r="W185" s="6">
        <v>50.3</v>
      </c>
      <c r="X185" s="6">
        <v>50</v>
      </c>
      <c r="Y185" s="6">
        <v>49.6</v>
      </c>
      <c r="Z185" s="6">
        <v>49.74</v>
      </c>
      <c r="AA185" s="6">
        <v>50.2</v>
      </c>
      <c r="AB185" s="6">
        <v>48.91</v>
      </c>
      <c r="AC185" s="6">
        <v>48.64</v>
      </c>
      <c r="AD185" s="6">
        <v>50.08</v>
      </c>
      <c r="AE185" s="6">
        <v>51</v>
      </c>
      <c r="AF185" s="6">
        <v>49.46</v>
      </c>
      <c r="AG185" s="6">
        <v>47.98</v>
      </c>
      <c r="AH185" s="6">
        <v>50.98</v>
      </c>
      <c r="AI185" s="6">
        <v>50.07</v>
      </c>
      <c r="AJ185" s="6">
        <v>50.37</v>
      </c>
      <c r="AK185" s="6">
        <v>50.88</v>
      </c>
      <c r="AL185" s="6">
        <v>48.82</v>
      </c>
      <c r="AM185" s="6">
        <v>51.95</v>
      </c>
      <c r="AN185" s="6">
        <v>49.58</v>
      </c>
      <c r="AO185" s="6">
        <v>50.61</v>
      </c>
      <c r="AP185" s="6">
        <v>48.64</v>
      </c>
      <c r="AQ185" s="6">
        <v>51.34</v>
      </c>
      <c r="AR185" s="6">
        <v>49.93</v>
      </c>
      <c r="AS185" s="6">
        <v>50.82</v>
      </c>
      <c r="AT185" s="6">
        <v>49.56</v>
      </c>
      <c r="AU185" s="6">
        <v>50.3</v>
      </c>
      <c r="AV185" s="6"/>
      <c r="AW185" s="6"/>
      <c r="AX185" s="6">
        <v>48.61</v>
      </c>
      <c r="AY185" s="6">
        <v>50.56</v>
      </c>
      <c r="AZ185" s="6">
        <v>51.01</v>
      </c>
      <c r="BA185" s="6">
        <v>49.76</v>
      </c>
      <c r="BB185" s="6">
        <v>50.07</v>
      </c>
      <c r="BC185" s="6">
        <v>50.11</v>
      </c>
      <c r="BD185" s="6">
        <v>49.7</v>
      </c>
      <c r="BE185" s="6">
        <v>51.15</v>
      </c>
      <c r="BF185" s="6">
        <v>50.61</v>
      </c>
      <c r="BG185" s="6">
        <v>52.64</v>
      </c>
      <c r="BH185" s="6">
        <v>50.6</v>
      </c>
      <c r="BI185" s="6">
        <v>49.14</v>
      </c>
      <c r="BJ185" s="6">
        <v>51.22</v>
      </c>
      <c r="BK185" s="6">
        <v>50.97</v>
      </c>
      <c r="BL185" s="6">
        <v>49.14</v>
      </c>
      <c r="BM185" s="7">
        <v>50.9</v>
      </c>
      <c r="BN185" s="10"/>
    </row>
    <row r="186" spans="1:66" ht="15.75" customHeight="1" x14ac:dyDescent="0.25">
      <c r="A186" s="4">
        <v>184</v>
      </c>
      <c r="B186" s="4"/>
      <c r="C186" s="4">
        <v>3</v>
      </c>
      <c r="D186" s="6">
        <v>51.45</v>
      </c>
      <c r="E186" s="6">
        <v>48.71</v>
      </c>
      <c r="F186" s="6">
        <v>48.76</v>
      </c>
      <c r="G186" s="6">
        <v>48.14</v>
      </c>
      <c r="H186" s="6">
        <v>51.41</v>
      </c>
      <c r="I186" s="6">
        <v>49.96</v>
      </c>
      <c r="J186" s="6">
        <v>49.61</v>
      </c>
      <c r="K186" s="6">
        <v>49.32</v>
      </c>
      <c r="L186" s="6">
        <v>51.67</v>
      </c>
      <c r="M186" s="6">
        <v>50.5</v>
      </c>
      <c r="N186" s="6">
        <v>47.65</v>
      </c>
      <c r="O186" s="6">
        <v>47.37</v>
      </c>
      <c r="P186" s="6">
        <v>49.58</v>
      </c>
      <c r="Q186" s="6">
        <v>52.18</v>
      </c>
      <c r="R186" s="6">
        <v>50.43</v>
      </c>
      <c r="S186" s="6">
        <v>50.95</v>
      </c>
      <c r="T186" s="6">
        <v>50.46</v>
      </c>
      <c r="U186" s="6">
        <v>50.57</v>
      </c>
      <c r="V186" s="6">
        <v>50.62</v>
      </c>
      <c r="W186" s="6">
        <v>50.38</v>
      </c>
      <c r="X186" s="6">
        <v>50.04</v>
      </c>
      <c r="Y186" s="6">
        <v>49.71</v>
      </c>
      <c r="Z186" s="6">
        <v>49.76</v>
      </c>
      <c r="AA186" s="6">
        <v>50.36</v>
      </c>
      <c r="AB186" s="6">
        <v>48.95</v>
      </c>
      <c r="AC186" s="6">
        <v>48.7</v>
      </c>
      <c r="AD186" s="6">
        <v>50.1</v>
      </c>
      <c r="AE186" s="6">
        <v>51.11</v>
      </c>
      <c r="AF186" s="6">
        <v>49.58</v>
      </c>
      <c r="AG186" s="6">
        <v>48.04</v>
      </c>
      <c r="AH186" s="6">
        <v>50.97</v>
      </c>
      <c r="AI186" s="6">
        <v>50.09</v>
      </c>
      <c r="AJ186" s="6">
        <v>50.49</v>
      </c>
      <c r="AK186" s="6">
        <v>50.9</v>
      </c>
      <c r="AL186" s="6">
        <v>48.81</v>
      </c>
      <c r="AM186" s="6">
        <v>51.96</v>
      </c>
      <c r="AN186" s="6">
        <v>49.64</v>
      </c>
      <c r="AO186" s="6">
        <v>50.58</v>
      </c>
      <c r="AP186" s="6">
        <v>48.69</v>
      </c>
      <c r="AQ186" s="6">
        <v>51.45</v>
      </c>
      <c r="AR186" s="6">
        <v>49.97</v>
      </c>
      <c r="AS186" s="6">
        <v>50.88</v>
      </c>
      <c r="AT186" s="6">
        <v>49.54</v>
      </c>
      <c r="AU186" s="6">
        <v>50.32</v>
      </c>
      <c r="AV186" s="6"/>
      <c r="AW186" s="6"/>
      <c r="AX186" s="6">
        <v>48.7</v>
      </c>
      <c r="AY186" s="6">
        <v>50.59</v>
      </c>
      <c r="AZ186" s="6">
        <v>51.02</v>
      </c>
      <c r="BA186" s="6">
        <v>49.75</v>
      </c>
      <c r="BB186" s="6">
        <v>50.07</v>
      </c>
      <c r="BC186" s="6">
        <v>50.15</v>
      </c>
      <c r="BD186" s="6">
        <v>49.74</v>
      </c>
      <c r="BE186" s="6">
        <v>51.23</v>
      </c>
      <c r="BF186" s="6">
        <v>50.64</v>
      </c>
      <c r="BG186" s="6">
        <v>52.64</v>
      </c>
      <c r="BH186" s="6">
        <v>50.8</v>
      </c>
      <c r="BI186" s="6">
        <v>49.26</v>
      </c>
      <c r="BJ186" s="6">
        <v>51.22</v>
      </c>
      <c r="BK186" s="6">
        <v>51</v>
      </c>
      <c r="BL186" s="6">
        <v>49.14</v>
      </c>
      <c r="BM186" s="7">
        <v>50.92</v>
      </c>
      <c r="BN186" s="10"/>
    </row>
    <row r="187" spans="1:66" ht="15.75" customHeight="1" x14ac:dyDescent="0.25">
      <c r="A187" s="4">
        <v>185</v>
      </c>
      <c r="B187" s="4"/>
      <c r="C187" s="4">
        <v>4</v>
      </c>
      <c r="D187" s="6">
        <v>51.48</v>
      </c>
      <c r="E187" s="6">
        <v>48.77</v>
      </c>
      <c r="F187" s="6">
        <v>48.79</v>
      </c>
      <c r="G187" s="6">
        <v>48.21</v>
      </c>
      <c r="H187" s="6">
        <v>51.46</v>
      </c>
      <c r="I187" s="6">
        <v>50.01</v>
      </c>
      <c r="J187" s="6">
        <v>49.85</v>
      </c>
      <c r="K187" s="6">
        <v>49.43</v>
      </c>
      <c r="L187" s="6">
        <v>51.78</v>
      </c>
      <c r="M187" s="6">
        <v>50.62</v>
      </c>
      <c r="N187" s="6">
        <v>47.83</v>
      </c>
      <c r="O187" s="6">
        <v>47.46</v>
      </c>
      <c r="P187" s="6">
        <v>49.67</v>
      </c>
      <c r="Q187" s="6">
        <v>52.28</v>
      </c>
      <c r="R187" s="6">
        <v>50.5</v>
      </c>
      <c r="S187" s="6">
        <v>50.95</v>
      </c>
      <c r="T187" s="6">
        <v>50.48</v>
      </c>
      <c r="U187" s="6">
        <v>50.7</v>
      </c>
      <c r="V187" s="6">
        <v>50.66</v>
      </c>
      <c r="W187" s="6">
        <v>50.38</v>
      </c>
      <c r="X187" s="6">
        <v>50.01</v>
      </c>
      <c r="Y187" s="6">
        <v>49.81</v>
      </c>
      <c r="Z187" s="6">
        <v>49.8</v>
      </c>
      <c r="AA187" s="6">
        <v>50.54</v>
      </c>
      <c r="AB187" s="6">
        <v>49.01</v>
      </c>
      <c r="AC187" s="6">
        <v>48.73</v>
      </c>
      <c r="AD187" s="6">
        <v>50.15</v>
      </c>
      <c r="AE187" s="6">
        <v>51.14</v>
      </c>
      <c r="AF187" s="6">
        <v>49.75</v>
      </c>
      <c r="AG187" s="6">
        <v>48.04</v>
      </c>
      <c r="AH187" s="6">
        <v>50.99</v>
      </c>
      <c r="AI187" s="6">
        <v>50.14</v>
      </c>
      <c r="AJ187" s="6">
        <v>50.52</v>
      </c>
      <c r="AK187" s="6">
        <v>50.9</v>
      </c>
      <c r="AL187" s="6">
        <v>48.87</v>
      </c>
      <c r="AM187" s="6">
        <v>52.02</v>
      </c>
      <c r="AN187" s="6">
        <v>49.68</v>
      </c>
      <c r="AO187" s="6">
        <v>50.66</v>
      </c>
      <c r="AP187" s="6">
        <v>48.71</v>
      </c>
      <c r="AQ187" s="6">
        <v>51.53</v>
      </c>
      <c r="AR187" s="6">
        <v>49.98</v>
      </c>
      <c r="AS187" s="6">
        <v>50.98</v>
      </c>
      <c r="AT187" s="6">
        <v>49.47</v>
      </c>
      <c r="AU187" s="6">
        <v>50.39</v>
      </c>
      <c r="AV187" s="6"/>
      <c r="AW187" s="6"/>
      <c r="AX187" s="6">
        <v>48.87</v>
      </c>
      <c r="AY187" s="6">
        <v>50.65</v>
      </c>
      <c r="AZ187" s="6">
        <v>51.04</v>
      </c>
      <c r="BA187" s="6">
        <v>49.73</v>
      </c>
      <c r="BB187" s="6">
        <v>50.02</v>
      </c>
      <c r="BC187" s="6">
        <v>50.19</v>
      </c>
      <c r="BD187" s="6">
        <v>49.79</v>
      </c>
      <c r="BE187" s="6">
        <v>51.29</v>
      </c>
      <c r="BF187" s="6">
        <v>50.64</v>
      </c>
      <c r="BG187" s="6">
        <v>52.62</v>
      </c>
      <c r="BH187" s="6">
        <v>51</v>
      </c>
      <c r="BI187" s="6">
        <v>49.35</v>
      </c>
      <c r="BJ187" s="6">
        <v>51.2</v>
      </c>
      <c r="BK187" s="6">
        <v>51.04</v>
      </c>
      <c r="BL187" s="6">
        <v>49.22</v>
      </c>
      <c r="BM187" s="7">
        <v>50.96</v>
      </c>
      <c r="BN187" s="10"/>
    </row>
    <row r="188" spans="1:66" ht="15.75" customHeight="1" x14ac:dyDescent="0.25">
      <c r="A188" s="4">
        <v>186</v>
      </c>
      <c r="B188" s="4"/>
      <c r="C188" s="4">
        <v>5</v>
      </c>
      <c r="D188" s="6">
        <v>51.53</v>
      </c>
      <c r="E188" s="6">
        <v>48.86</v>
      </c>
      <c r="F188" s="6">
        <v>48.76</v>
      </c>
      <c r="G188" s="6">
        <v>48.24</v>
      </c>
      <c r="H188" s="6">
        <v>51.46</v>
      </c>
      <c r="I188" s="6">
        <v>50.11</v>
      </c>
      <c r="J188" s="6">
        <v>49.88</v>
      </c>
      <c r="K188" s="6">
        <v>49.47</v>
      </c>
      <c r="L188" s="6">
        <v>51.87</v>
      </c>
      <c r="M188" s="6">
        <v>50.68</v>
      </c>
      <c r="N188" s="6">
        <v>48.01</v>
      </c>
      <c r="O188" s="6">
        <v>47.46</v>
      </c>
      <c r="P188" s="6">
        <v>49.71</v>
      </c>
      <c r="Q188" s="6">
        <v>52.35</v>
      </c>
      <c r="R188" s="6">
        <v>50.56</v>
      </c>
      <c r="S188" s="6">
        <v>50.95</v>
      </c>
      <c r="T188" s="6">
        <v>50.49</v>
      </c>
      <c r="U188" s="6">
        <v>50.78</v>
      </c>
      <c r="V188" s="6">
        <v>50.71</v>
      </c>
      <c r="W188" s="6">
        <v>50.41</v>
      </c>
      <c r="X188" s="6">
        <v>50</v>
      </c>
      <c r="Y188" s="6">
        <v>49.86</v>
      </c>
      <c r="Z188" s="6">
        <v>49.83</v>
      </c>
      <c r="AA188" s="6">
        <v>50.76</v>
      </c>
      <c r="AB188" s="6">
        <v>49.17</v>
      </c>
      <c r="AC188" s="6">
        <v>48.8</v>
      </c>
      <c r="AD188" s="6">
        <v>50.18</v>
      </c>
      <c r="AE188" s="6">
        <v>51.23</v>
      </c>
      <c r="AF188" s="6">
        <v>49.81</v>
      </c>
      <c r="AG188" s="6">
        <v>48.01</v>
      </c>
      <c r="AH188" s="6">
        <v>50.99</v>
      </c>
      <c r="AI188" s="6">
        <v>50.18</v>
      </c>
      <c r="AJ188" s="6">
        <v>50.59</v>
      </c>
      <c r="AK188" s="6">
        <v>50.89</v>
      </c>
      <c r="AL188" s="6">
        <v>48.92</v>
      </c>
      <c r="AM188" s="6">
        <v>52.14</v>
      </c>
      <c r="AN188" s="6">
        <v>49.72</v>
      </c>
      <c r="AO188" s="6">
        <v>50.78</v>
      </c>
      <c r="AP188" s="6">
        <v>48.74</v>
      </c>
      <c r="AQ188" s="6">
        <v>51.58</v>
      </c>
      <c r="AR188" s="6">
        <v>50.03</v>
      </c>
      <c r="AS188" s="6">
        <v>51</v>
      </c>
      <c r="AT188" s="6">
        <v>49.38</v>
      </c>
      <c r="AU188" s="6">
        <v>50.47</v>
      </c>
      <c r="AV188" s="6"/>
      <c r="AW188" s="6"/>
      <c r="AX188" s="6">
        <v>49.06</v>
      </c>
      <c r="AY188" s="6">
        <v>50.73</v>
      </c>
      <c r="AZ188" s="6">
        <v>51.07</v>
      </c>
      <c r="BA188" s="6">
        <v>49.7</v>
      </c>
      <c r="BB188" s="6">
        <v>49.98</v>
      </c>
      <c r="BC188" s="6">
        <v>50.21</v>
      </c>
      <c r="BD188" s="6">
        <v>49.84</v>
      </c>
      <c r="BE188" s="7">
        <v>51.36</v>
      </c>
      <c r="BF188" s="6">
        <v>50.65</v>
      </c>
      <c r="BG188" s="6">
        <v>52.6</v>
      </c>
      <c r="BH188" s="6">
        <v>51.1</v>
      </c>
      <c r="BI188" s="6">
        <v>49.45</v>
      </c>
      <c r="BJ188" s="6">
        <v>51.19</v>
      </c>
      <c r="BK188" s="6">
        <v>51.12</v>
      </c>
      <c r="BL188" s="6">
        <v>49.38</v>
      </c>
      <c r="BM188" s="7">
        <v>51.02</v>
      </c>
      <c r="BN188" s="10"/>
    </row>
    <row r="189" spans="1:66" ht="15.75" customHeight="1" x14ac:dyDescent="0.25">
      <c r="A189" s="4">
        <v>187</v>
      </c>
      <c r="B189" s="4"/>
      <c r="C189" s="4">
        <v>6</v>
      </c>
      <c r="D189" s="6">
        <v>51.59</v>
      </c>
      <c r="E189" s="6">
        <v>49.04</v>
      </c>
      <c r="F189" s="6">
        <v>48.68</v>
      </c>
      <c r="G189" s="6">
        <v>48.24</v>
      </c>
      <c r="H189" s="6">
        <v>51.56</v>
      </c>
      <c r="I189" s="6">
        <v>50.11</v>
      </c>
      <c r="J189" s="6">
        <v>49.93</v>
      </c>
      <c r="K189" s="6">
        <v>49.51</v>
      </c>
      <c r="L189" s="6">
        <v>51.87</v>
      </c>
      <c r="M189" s="6">
        <v>50.74</v>
      </c>
      <c r="N189" s="6">
        <v>48.14</v>
      </c>
      <c r="O189" s="6">
        <v>47.47</v>
      </c>
      <c r="P189" s="6">
        <v>49.85</v>
      </c>
      <c r="Q189" s="6">
        <v>52.36</v>
      </c>
      <c r="R189" s="6">
        <v>50.59</v>
      </c>
      <c r="S189" s="6">
        <v>50.95</v>
      </c>
      <c r="T189" s="6">
        <v>50.54</v>
      </c>
      <c r="U189" s="6">
        <v>50.86</v>
      </c>
      <c r="V189" s="6">
        <v>50.8</v>
      </c>
      <c r="W189" s="6">
        <v>50.47</v>
      </c>
      <c r="X189" s="6">
        <v>49.98</v>
      </c>
      <c r="Y189" s="6">
        <v>49.92</v>
      </c>
      <c r="Z189" s="6">
        <v>49.81</v>
      </c>
      <c r="AA189" s="6">
        <v>50.94</v>
      </c>
      <c r="AB189" s="6">
        <v>49.44</v>
      </c>
      <c r="AC189" s="6">
        <v>48.97</v>
      </c>
      <c r="AD189" s="6">
        <v>50.26</v>
      </c>
      <c r="AE189" s="6">
        <v>51.26</v>
      </c>
      <c r="AF189" s="6">
        <v>49.86</v>
      </c>
      <c r="AG189" s="6">
        <v>48</v>
      </c>
      <c r="AH189" s="6">
        <v>50.98</v>
      </c>
      <c r="AI189" s="6">
        <v>50.19</v>
      </c>
      <c r="AJ189" s="6">
        <v>50.68</v>
      </c>
      <c r="AK189" s="6">
        <v>50.89</v>
      </c>
      <c r="AL189" s="6">
        <v>49.03</v>
      </c>
      <c r="AM189" s="6">
        <v>52.36</v>
      </c>
      <c r="AN189" s="6">
        <v>49.74</v>
      </c>
      <c r="AO189" s="6">
        <v>50.91</v>
      </c>
      <c r="AP189" s="6">
        <v>48.84</v>
      </c>
      <c r="AQ189" s="6">
        <v>51.65</v>
      </c>
      <c r="AR189" s="6">
        <v>50.06</v>
      </c>
      <c r="AS189" s="6">
        <v>51.05</v>
      </c>
      <c r="AT189" s="6">
        <v>49.36</v>
      </c>
      <c r="AU189" s="6">
        <v>50.58</v>
      </c>
      <c r="AV189" s="6"/>
      <c r="AW189" s="6"/>
      <c r="AX189" s="6">
        <v>49.27</v>
      </c>
      <c r="AY189" s="6">
        <v>50.79</v>
      </c>
      <c r="AZ189" s="6">
        <v>51.15</v>
      </c>
      <c r="BA189" s="6">
        <v>49.66</v>
      </c>
      <c r="BB189" s="7">
        <v>49.9</v>
      </c>
      <c r="BC189" s="7">
        <v>50.23</v>
      </c>
      <c r="BD189" s="7">
        <v>49.92</v>
      </c>
      <c r="BE189" s="7">
        <v>51.46</v>
      </c>
      <c r="BF189" s="7">
        <v>50.68</v>
      </c>
      <c r="BG189" s="7">
        <v>52.57</v>
      </c>
      <c r="BH189" s="6">
        <v>51.3</v>
      </c>
      <c r="BI189" s="7">
        <v>49.57</v>
      </c>
      <c r="BJ189" s="7">
        <v>51.16</v>
      </c>
      <c r="BK189" s="7">
        <v>51.2</v>
      </c>
      <c r="BL189" s="7">
        <v>49.45</v>
      </c>
      <c r="BM189" s="7">
        <v>51.08</v>
      </c>
      <c r="BN189" s="10"/>
    </row>
    <row r="190" spans="1:66" ht="15.75" customHeight="1" x14ac:dyDescent="0.25">
      <c r="A190" s="4">
        <v>188</v>
      </c>
      <c r="B190" s="4"/>
      <c r="C190" s="4">
        <v>7</v>
      </c>
      <c r="D190" s="6">
        <v>51.63</v>
      </c>
      <c r="E190" s="6">
        <v>49.18</v>
      </c>
      <c r="F190" s="6">
        <v>48.71</v>
      </c>
      <c r="G190" s="6">
        <v>48.31</v>
      </c>
      <c r="H190" s="6">
        <v>51.66</v>
      </c>
      <c r="I190" s="6">
        <v>50.26</v>
      </c>
      <c r="J190" s="6">
        <v>49.98</v>
      </c>
      <c r="K190" s="6">
        <v>49.57</v>
      </c>
      <c r="L190" s="6">
        <v>51.86</v>
      </c>
      <c r="M190" s="6">
        <v>50.77</v>
      </c>
      <c r="N190" s="6">
        <v>48.29</v>
      </c>
      <c r="O190" s="6">
        <v>47.61</v>
      </c>
      <c r="P190" s="6">
        <v>49.86</v>
      </c>
      <c r="Q190" s="6">
        <v>52.44</v>
      </c>
      <c r="R190" s="6">
        <v>50.65</v>
      </c>
      <c r="S190" s="6">
        <v>50.97</v>
      </c>
      <c r="T190" s="6">
        <v>50.55</v>
      </c>
      <c r="U190" s="6">
        <v>50.93</v>
      </c>
      <c r="V190" s="6">
        <v>50.88</v>
      </c>
      <c r="W190" s="6">
        <v>50.47</v>
      </c>
      <c r="X190" s="6">
        <v>49.95</v>
      </c>
      <c r="Y190" s="6">
        <v>49.95</v>
      </c>
      <c r="Z190" s="6">
        <v>49.9</v>
      </c>
      <c r="AA190" s="6">
        <v>51.09</v>
      </c>
      <c r="AB190" s="6">
        <v>49.54</v>
      </c>
      <c r="AC190" s="6">
        <v>49.05</v>
      </c>
      <c r="AD190" s="6">
        <v>50.38</v>
      </c>
      <c r="AE190" s="6">
        <v>51.27</v>
      </c>
      <c r="AF190" s="6">
        <v>49.88</v>
      </c>
      <c r="AG190" s="6">
        <v>48.04</v>
      </c>
      <c r="AH190" s="6">
        <v>50.96</v>
      </c>
      <c r="AI190" s="6">
        <v>50.21</v>
      </c>
      <c r="AJ190" s="6">
        <v>50.7</v>
      </c>
      <c r="AK190" s="6">
        <v>50.86</v>
      </c>
      <c r="AL190" s="6">
        <v>49.12</v>
      </c>
      <c r="AM190" s="6">
        <v>52.36</v>
      </c>
      <c r="AN190" s="6">
        <v>49.74</v>
      </c>
      <c r="AO190" s="6">
        <v>50.96</v>
      </c>
      <c r="AP190" s="6">
        <v>48.94</v>
      </c>
      <c r="AQ190" s="6">
        <v>51.74</v>
      </c>
      <c r="AR190" s="6">
        <v>50.1</v>
      </c>
      <c r="AS190" s="6">
        <v>51.16</v>
      </c>
      <c r="AT190" s="6">
        <v>49.33</v>
      </c>
      <c r="AU190" s="6">
        <v>50.6</v>
      </c>
      <c r="AV190" s="6"/>
      <c r="AW190" s="6"/>
      <c r="AX190" s="6">
        <v>49.42</v>
      </c>
      <c r="AY190" s="6">
        <v>50.83</v>
      </c>
      <c r="AZ190" s="6">
        <v>51.24</v>
      </c>
      <c r="BA190" s="6">
        <v>49.62</v>
      </c>
      <c r="BB190" s="7">
        <v>49.86</v>
      </c>
      <c r="BC190" s="7">
        <v>50.26</v>
      </c>
      <c r="BD190" s="7">
        <v>49.99</v>
      </c>
      <c r="BE190" s="7">
        <v>51.58</v>
      </c>
      <c r="BF190" s="7">
        <v>50.71</v>
      </c>
      <c r="BG190" s="7">
        <v>52.55</v>
      </c>
      <c r="BH190" s="6">
        <v>51.3</v>
      </c>
      <c r="BI190" s="7">
        <v>49.69</v>
      </c>
      <c r="BJ190" s="7">
        <v>51.18</v>
      </c>
      <c r="BK190" s="7">
        <v>51.25</v>
      </c>
      <c r="BL190" s="7">
        <v>49.46</v>
      </c>
      <c r="BM190" s="7">
        <v>51.22</v>
      </c>
      <c r="BN190" s="10"/>
    </row>
    <row r="191" spans="1:66" ht="15.75" customHeight="1" x14ac:dyDescent="0.25">
      <c r="A191" s="4">
        <v>189</v>
      </c>
      <c r="B191" s="4"/>
      <c r="C191" s="4">
        <v>8</v>
      </c>
      <c r="D191" s="6">
        <v>51.63</v>
      </c>
      <c r="E191" s="6">
        <v>49.25</v>
      </c>
      <c r="F191" s="6">
        <v>48.71</v>
      </c>
      <c r="G191" s="6">
        <v>48.31</v>
      </c>
      <c r="H191" s="6">
        <v>51.71</v>
      </c>
      <c r="I191" s="6">
        <v>50.36</v>
      </c>
      <c r="J191" s="6">
        <v>50.06</v>
      </c>
      <c r="K191" s="6">
        <v>49.7</v>
      </c>
      <c r="L191" s="6">
        <v>51.9</v>
      </c>
      <c r="M191" s="6">
        <v>50.77</v>
      </c>
      <c r="N191" s="6">
        <v>48.39</v>
      </c>
      <c r="O191" s="6">
        <v>47.81</v>
      </c>
      <c r="P191" s="6">
        <v>49.93</v>
      </c>
      <c r="Q191" s="6">
        <v>52.47</v>
      </c>
      <c r="R191" s="6">
        <v>50.74</v>
      </c>
      <c r="S191" s="6">
        <v>50.97</v>
      </c>
      <c r="T191" s="6">
        <v>50.56</v>
      </c>
      <c r="U191" s="6">
        <v>51</v>
      </c>
      <c r="V191" s="6">
        <v>50.89</v>
      </c>
      <c r="W191" s="6">
        <v>50.51</v>
      </c>
      <c r="X191" s="6">
        <v>49.93</v>
      </c>
      <c r="Y191" s="6">
        <v>49.95</v>
      </c>
      <c r="Z191" s="6">
        <v>49.94</v>
      </c>
      <c r="AA191" s="6">
        <v>51.21</v>
      </c>
      <c r="AB191" s="6">
        <v>49.66</v>
      </c>
      <c r="AC191" s="6">
        <v>49.12</v>
      </c>
      <c r="AD191" s="6">
        <v>50.46</v>
      </c>
      <c r="AE191" s="6">
        <v>51.27</v>
      </c>
      <c r="AF191" s="6">
        <v>49.96</v>
      </c>
      <c r="AG191" s="6">
        <v>48.14</v>
      </c>
      <c r="AH191" s="6">
        <v>50.9</v>
      </c>
      <c r="AI191" s="6">
        <v>50.23</v>
      </c>
      <c r="AJ191" s="6">
        <v>50.71</v>
      </c>
      <c r="AK191" s="6">
        <v>50.81</v>
      </c>
      <c r="AL191" s="6">
        <v>49.24</v>
      </c>
      <c r="AM191" s="6">
        <v>52.36</v>
      </c>
      <c r="AN191" s="6">
        <v>49.82</v>
      </c>
      <c r="AO191" s="6">
        <v>50.98</v>
      </c>
      <c r="AP191" s="6">
        <v>49.06</v>
      </c>
      <c r="AQ191" s="6">
        <v>51.75</v>
      </c>
      <c r="AR191" s="6">
        <v>50.12</v>
      </c>
      <c r="AS191" s="6">
        <v>51.24</v>
      </c>
      <c r="AT191" s="6">
        <v>49.32</v>
      </c>
      <c r="AU191" s="6">
        <v>50.8</v>
      </c>
      <c r="AV191" s="6"/>
      <c r="AW191" s="6"/>
      <c r="AX191" s="6">
        <v>49.53</v>
      </c>
      <c r="AY191" s="6">
        <v>50.87</v>
      </c>
      <c r="AZ191" s="6">
        <v>51.36</v>
      </c>
      <c r="BA191" s="6">
        <v>49.6</v>
      </c>
      <c r="BB191" s="7">
        <v>49.84</v>
      </c>
      <c r="BC191" s="7">
        <v>50.35</v>
      </c>
      <c r="BD191" s="7">
        <v>50.14</v>
      </c>
      <c r="BE191" s="6">
        <v>51.65</v>
      </c>
      <c r="BF191" s="7">
        <v>50.74</v>
      </c>
      <c r="BG191" s="7">
        <v>52.55</v>
      </c>
      <c r="BH191" s="6">
        <v>51.4</v>
      </c>
      <c r="BI191" s="6">
        <v>49.77</v>
      </c>
      <c r="BJ191" s="6">
        <v>51.22</v>
      </c>
      <c r="BK191" s="6">
        <v>51.36</v>
      </c>
      <c r="BL191" s="6">
        <v>49.52</v>
      </c>
      <c r="BM191" s="7">
        <v>51.28</v>
      </c>
      <c r="BN191" s="10"/>
    </row>
    <row r="192" spans="1:66" ht="15.75" customHeight="1" x14ac:dyDescent="0.25">
      <c r="A192" s="4">
        <v>190</v>
      </c>
      <c r="B192" s="4"/>
      <c r="C192" s="4">
        <v>9</v>
      </c>
      <c r="D192" s="6">
        <v>51.67</v>
      </c>
      <c r="E192" s="6">
        <v>49.34</v>
      </c>
      <c r="F192" s="6">
        <v>48.76</v>
      </c>
      <c r="G192" s="6">
        <v>48.39</v>
      </c>
      <c r="H192" s="6">
        <v>51.81</v>
      </c>
      <c r="I192" s="6">
        <v>50.46</v>
      </c>
      <c r="J192" s="6">
        <v>50.05</v>
      </c>
      <c r="K192" s="6">
        <v>49.76</v>
      </c>
      <c r="L192" s="6">
        <v>51.97</v>
      </c>
      <c r="M192" s="6">
        <v>50.76</v>
      </c>
      <c r="N192" s="6">
        <v>48.48</v>
      </c>
      <c r="O192" s="6">
        <v>48.01</v>
      </c>
      <c r="P192" s="6">
        <v>49.96</v>
      </c>
      <c r="Q192" s="6">
        <v>52.51</v>
      </c>
      <c r="R192" s="6">
        <v>50.8</v>
      </c>
      <c r="S192" s="6">
        <v>50.97</v>
      </c>
      <c r="T192" s="6">
        <v>50.54</v>
      </c>
      <c r="U192" s="6">
        <v>51.02</v>
      </c>
      <c r="V192" s="6">
        <v>50.93</v>
      </c>
      <c r="W192" s="6">
        <v>50.58</v>
      </c>
      <c r="X192" s="6">
        <v>49.91</v>
      </c>
      <c r="Y192" s="6">
        <v>50.02</v>
      </c>
      <c r="Z192" s="6">
        <v>50</v>
      </c>
      <c r="AA192" s="6">
        <v>51.38</v>
      </c>
      <c r="AB192" s="6">
        <v>49.78</v>
      </c>
      <c r="AC192" s="6">
        <v>49.26</v>
      </c>
      <c r="AD192" s="6">
        <v>50.57</v>
      </c>
      <c r="AE192" s="6">
        <v>51.26</v>
      </c>
      <c r="AF192" s="6">
        <v>50.05</v>
      </c>
      <c r="AG192" s="6">
        <v>48.16</v>
      </c>
      <c r="AH192" s="6">
        <v>50.88</v>
      </c>
      <c r="AI192" s="6">
        <v>50.27</v>
      </c>
      <c r="AJ192" s="6">
        <v>50.72</v>
      </c>
      <c r="AK192" s="6">
        <v>50.8</v>
      </c>
      <c r="AL192" s="6">
        <v>49.4</v>
      </c>
      <c r="AM192" s="6">
        <v>52.34</v>
      </c>
      <c r="AN192" s="6">
        <v>49.89</v>
      </c>
      <c r="AO192" s="6">
        <v>50.99</v>
      </c>
      <c r="AP192" s="6">
        <v>49.09</v>
      </c>
      <c r="AQ192" s="6">
        <v>51.76</v>
      </c>
      <c r="AR192" s="6">
        <v>50.18</v>
      </c>
      <c r="AS192" s="6">
        <v>51.26</v>
      </c>
      <c r="AT192" s="6">
        <v>49.44</v>
      </c>
      <c r="AU192" s="6">
        <v>50.89</v>
      </c>
      <c r="AV192" s="6"/>
      <c r="AW192" s="6"/>
      <c r="AX192" s="6">
        <v>49.61</v>
      </c>
      <c r="AY192" s="6">
        <v>50.93</v>
      </c>
      <c r="AZ192" s="6">
        <v>51.42</v>
      </c>
      <c r="BA192" s="6">
        <v>49.56</v>
      </c>
      <c r="BB192" s="6">
        <v>49.86</v>
      </c>
      <c r="BC192" s="6">
        <v>50.5</v>
      </c>
      <c r="BD192" s="6">
        <v>50.31</v>
      </c>
      <c r="BE192" s="6">
        <v>51.69</v>
      </c>
      <c r="BF192" s="6">
        <v>50.78</v>
      </c>
      <c r="BG192" s="6">
        <v>52.59</v>
      </c>
      <c r="BH192" s="6">
        <v>51.54</v>
      </c>
      <c r="BI192" s="6">
        <v>49.81</v>
      </c>
      <c r="BJ192" s="6">
        <v>51.26</v>
      </c>
      <c r="BK192" s="6">
        <v>51.42</v>
      </c>
      <c r="BL192" s="6">
        <v>49.54</v>
      </c>
      <c r="BM192" s="7">
        <v>51.36</v>
      </c>
      <c r="BN192" s="10"/>
    </row>
    <row r="193" spans="1:66" ht="15.75" customHeight="1" x14ac:dyDescent="0.25">
      <c r="A193" s="4">
        <v>191</v>
      </c>
      <c r="B193" s="4"/>
      <c r="C193" s="4">
        <v>10</v>
      </c>
      <c r="D193" s="6">
        <v>51.69</v>
      </c>
      <c r="E193" s="6">
        <v>49.38</v>
      </c>
      <c r="F193" s="6">
        <v>48.78</v>
      </c>
      <c r="G193" s="6">
        <v>48.47</v>
      </c>
      <c r="H193" s="6">
        <v>51.84</v>
      </c>
      <c r="I193" s="6">
        <v>50.58</v>
      </c>
      <c r="J193" s="6">
        <v>50.06</v>
      </c>
      <c r="K193" s="6">
        <v>49.82</v>
      </c>
      <c r="L193" s="6">
        <v>52.04</v>
      </c>
      <c r="M193" s="6">
        <v>50.76</v>
      </c>
      <c r="N193" s="6">
        <v>48.58</v>
      </c>
      <c r="O193" s="6">
        <v>48.13</v>
      </c>
      <c r="P193" s="6">
        <v>50.02</v>
      </c>
      <c r="Q193" s="6">
        <v>52.57</v>
      </c>
      <c r="R193" s="6">
        <v>50.91</v>
      </c>
      <c r="S193" s="6">
        <v>50.97</v>
      </c>
      <c r="T193" s="6">
        <v>50.54</v>
      </c>
      <c r="U193" s="6">
        <v>51.03</v>
      </c>
      <c r="V193" s="6">
        <v>51.01</v>
      </c>
      <c r="W193" s="6">
        <v>50.61</v>
      </c>
      <c r="X193" s="6">
        <v>49.92</v>
      </c>
      <c r="Y193" s="6">
        <v>50.02</v>
      </c>
      <c r="Z193" s="6">
        <v>50</v>
      </c>
      <c r="AA193" s="6">
        <v>51.49</v>
      </c>
      <c r="AB193" s="6">
        <v>49.88</v>
      </c>
      <c r="AC193" s="6">
        <v>49.38</v>
      </c>
      <c r="AD193" s="6">
        <v>50.63</v>
      </c>
      <c r="AE193" s="6">
        <v>51.25</v>
      </c>
      <c r="AF193" s="6">
        <v>50.1</v>
      </c>
      <c r="AG193" s="6">
        <v>48.22</v>
      </c>
      <c r="AH193" s="6">
        <v>50.88</v>
      </c>
      <c r="AI193" s="6">
        <v>50.37</v>
      </c>
      <c r="AJ193" s="6">
        <v>50.78</v>
      </c>
      <c r="AK193" s="6">
        <v>50.79</v>
      </c>
      <c r="AL193" s="6">
        <v>49.55</v>
      </c>
      <c r="AM193" s="6">
        <v>52.42</v>
      </c>
      <c r="AN193" s="6">
        <v>49.94</v>
      </c>
      <c r="AO193" s="6">
        <v>50.96</v>
      </c>
      <c r="AP193" s="6">
        <v>49.14</v>
      </c>
      <c r="AQ193" s="6">
        <v>51.66</v>
      </c>
      <c r="AR193" s="6">
        <v>50.2</v>
      </c>
      <c r="AS193" s="6">
        <v>51.19</v>
      </c>
      <c r="AT193" s="6">
        <v>49.46</v>
      </c>
      <c r="AU193" s="6">
        <v>50.96</v>
      </c>
      <c r="AV193" s="6"/>
      <c r="AW193" s="6"/>
      <c r="AX193" s="6">
        <v>49.67</v>
      </c>
      <c r="AY193" s="6">
        <v>50.9</v>
      </c>
      <c r="AZ193" s="6">
        <v>51.45</v>
      </c>
      <c r="BA193" s="6">
        <v>49.54</v>
      </c>
      <c r="BB193" s="6">
        <v>49.86</v>
      </c>
      <c r="BC193" s="6">
        <v>50.72</v>
      </c>
      <c r="BD193" s="6">
        <v>50.43</v>
      </c>
      <c r="BE193" s="6">
        <v>51.73</v>
      </c>
      <c r="BF193" s="6">
        <v>50.8</v>
      </c>
      <c r="BG193" s="6">
        <v>52.62</v>
      </c>
      <c r="BH193" s="6">
        <v>51.64</v>
      </c>
      <c r="BI193" s="6">
        <v>49.87</v>
      </c>
      <c r="BJ193" s="6">
        <v>51.36</v>
      </c>
      <c r="BK193" s="6">
        <v>51.52</v>
      </c>
      <c r="BL193" s="6">
        <v>49.58</v>
      </c>
      <c r="BM193" s="7">
        <v>51.44</v>
      </c>
      <c r="BN193" s="10"/>
    </row>
    <row r="194" spans="1:66" ht="15.75" customHeight="1" x14ac:dyDescent="0.25">
      <c r="A194" s="4">
        <v>192</v>
      </c>
      <c r="B194" s="4"/>
      <c r="C194" s="4">
        <v>11</v>
      </c>
      <c r="D194" s="6">
        <v>51.7</v>
      </c>
      <c r="E194" s="6">
        <v>49.45</v>
      </c>
      <c r="F194" s="6">
        <v>48.81</v>
      </c>
      <c r="G194" s="6">
        <v>48.56</v>
      </c>
      <c r="H194" s="6">
        <v>51.86</v>
      </c>
      <c r="I194" s="6">
        <v>50.66</v>
      </c>
      <c r="J194" s="6">
        <v>50.16</v>
      </c>
      <c r="K194" s="6">
        <v>49.93</v>
      </c>
      <c r="L194" s="6">
        <v>52.12</v>
      </c>
      <c r="M194" s="6">
        <v>50.78</v>
      </c>
      <c r="N194" s="6">
        <v>48.69</v>
      </c>
      <c r="O194" s="6">
        <v>48.4</v>
      </c>
      <c r="P194" s="6">
        <v>50.06</v>
      </c>
      <c r="Q194" s="6">
        <v>52.76</v>
      </c>
      <c r="R194" s="6">
        <v>51.07</v>
      </c>
      <c r="S194" s="6">
        <v>51.02</v>
      </c>
      <c r="T194" s="6">
        <v>50.54</v>
      </c>
      <c r="U194" s="6">
        <v>51.06</v>
      </c>
      <c r="V194" s="6">
        <v>51.1</v>
      </c>
      <c r="W194" s="6">
        <v>50.71</v>
      </c>
      <c r="X194" s="6">
        <v>49.93</v>
      </c>
      <c r="Y194" s="6">
        <v>50.05</v>
      </c>
      <c r="Z194" s="6">
        <v>50</v>
      </c>
      <c r="AA194" s="6">
        <v>51.58</v>
      </c>
      <c r="AB194" s="6">
        <v>49.97</v>
      </c>
      <c r="AC194" s="6">
        <v>49.45</v>
      </c>
      <c r="AD194" s="6">
        <v>50.66</v>
      </c>
      <c r="AE194" s="6">
        <v>51.29</v>
      </c>
      <c r="AF194" s="6">
        <v>50.12</v>
      </c>
      <c r="AG194" s="6">
        <v>48.31</v>
      </c>
      <c r="AH194" s="6">
        <v>50.92</v>
      </c>
      <c r="AI194" s="6">
        <v>50.43</v>
      </c>
      <c r="AJ194" s="6">
        <v>50.81</v>
      </c>
      <c r="AK194" s="6">
        <v>50.77</v>
      </c>
      <c r="AL194" s="6">
        <v>49.6</v>
      </c>
      <c r="AM194" s="6">
        <v>52.56</v>
      </c>
      <c r="AN194" s="6">
        <v>50</v>
      </c>
      <c r="AO194" s="6">
        <v>50.91</v>
      </c>
      <c r="AP194" s="6">
        <v>49.14</v>
      </c>
      <c r="AQ194" s="6">
        <v>51.68</v>
      </c>
      <c r="AR194" s="6">
        <v>50.31</v>
      </c>
      <c r="AS194" s="6">
        <v>51.15</v>
      </c>
      <c r="AT194" s="6">
        <v>49.44</v>
      </c>
      <c r="AU194" s="6">
        <v>50.96</v>
      </c>
      <c r="AV194" s="6"/>
      <c r="AW194" s="6"/>
      <c r="AX194" s="6">
        <v>49.72</v>
      </c>
      <c r="AY194" s="6">
        <v>50.88</v>
      </c>
      <c r="AZ194" s="6">
        <v>51.5</v>
      </c>
      <c r="BA194" s="6">
        <v>49.54</v>
      </c>
      <c r="BB194" s="6">
        <v>49.84</v>
      </c>
      <c r="BC194" s="6">
        <v>51.08</v>
      </c>
      <c r="BD194" s="6">
        <v>50.51</v>
      </c>
      <c r="BE194" s="6">
        <v>51.74</v>
      </c>
      <c r="BF194" s="6">
        <v>50.9</v>
      </c>
      <c r="BG194" s="6">
        <v>52.69</v>
      </c>
      <c r="BH194" s="6">
        <v>51.75</v>
      </c>
      <c r="BI194" s="6">
        <v>49.94</v>
      </c>
      <c r="BJ194" s="6">
        <v>51.36</v>
      </c>
      <c r="BK194" s="6">
        <v>51.58</v>
      </c>
      <c r="BL194" s="6">
        <v>49.68</v>
      </c>
      <c r="BM194" s="7">
        <v>51.48</v>
      </c>
      <c r="BN194" s="10"/>
    </row>
    <row r="195" spans="1:66" ht="15.75" customHeight="1" x14ac:dyDescent="0.25">
      <c r="A195" s="4">
        <v>193</v>
      </c>
      <c r="B195" s="4"/>
      <c r="C195" s="4">
        <v>12</v>
      </c>
      <c r="D195" s="6">
        <v>51.74</v>
      </c>
      <c r="E195" s="6">
        <v>49.65</v>
      </c>
      <c r="F195" s="6">
        <v>48.86</v>
      </c>
      <c r="G195" s="6">
        <v>48.64</v>
      </c>
      <c r="H195" s="6">
        <v>51.91</v>
      </c>
      <c r="I195" s="6">
        <v>50.59</v>
      </c>
      <c r="J195" s="6">
        <v>50.21</v>
      </c>
      <c r="K195" s="6">
        <v>50</v>
      </c>
      <c r="L195" s="6">
        <v>52.29</v>
      </c>
      <c r="M195" s="6">
        <v>50.88</v>
      </c>
      <c r="N195" s="6">
        <v>48.78</v>
      </c>
      <c r="O195" s="6">
        <v>48.67</v>
      </c>
      <c r="P195" s="6">
        <v>50.16</v>
      </c>
      <c r="Q195" s="6">
        <v>52.86</v>
      </c>
      <c r="R195" s="6">
        <v>51.15</v>
      </c>
      <c r="S195" s="6">
        <v>51.03</v>
      </c>
      <c r="T195" s="6">
        <v>50.51</v>
      </c>
      <c r="U195" s="6">
        <v>51.08</v>
      </c>
      <c r="V195" s="6">
        <v>51.23</v>
      </c>
      <c r="W195" s="6">
        <v>50.71</v>
      </c>
      <c r="X195" s="6">
        <v>49.96</v>
      </c>
      <c r="Y195" s="6">
        <v>50.06</v>
      </c>
      <c r="Z195" s="6">
        <v>50.05</v>
      </c>
      <c r="AA195" s="6">
        <v>51.66</v>
      </c>
      <c r="AB195" s="6">
        <v>50.04</v>
      </c>
      <c r="AC195" s="6">
        <v>49.6</v>
      </c>
      <c r="AD195" s="6">
        <v>50.66</v>
      </c>
      <c r="AE195" s="6">
        <v>51.3</v>
      </c>
      <c r="AF195" s="6">
        <v>50.14</v>
      </c>
      <c r="AG195" s="6">
        <v>48.47</v>
      </c>
      <c r="AH195" s="6">
        <v>50.98</v>
      </c>
      <c r="AI195" s="6">
        <v>50.54</v>
      </c>
      <c r="AJ195" s="6">
        <v>50.84</v>
      </c>
      <c r="AK195" s="6">
        <v>50.81</v>
      </c>
      <c r="AL195" s="6">
        <v>49.8</v>
      </c>
      <c r="AM195" s="6">
        <v>52.6</v>
      </c>
      <c r="AN195" s="6">
        <v>50.04</v>
      </c>
      <c r="AO195" s="6">
        <v>50.86</v>
      </c>
      <c r="AP195" s="6">
        <v>49.19</v>
      </c>
      <c r="AQ195" s="6">
        <v>51.84</v>
      </c>
      <c r="AR195" s="6">
        <v>50.52</v>
      </c>
      <c r="AS195" s="6">
        <v>51.11</v>
      </c>
      <c r="AT195" s="6">
        <v>49.38</v>
      </c>
      <c r="AU195" s="6">
        <v>51.02</v>
      </c>
      <c r="AV195" s="6"/>
      <c r="AW195" s="6"/>
      <c r="AX195" s="6">
        <v>49.85</v>
      </c>
      <c r="AY195" s="6">
        <v>50.88</v>
      </c>
      <c r="AZ195" s="6">
        <v>51.57</v>
      </c>
      <c r="BA195" s="6">
        <v>49.7</v>
      </c>
      <c r="BB195" s="6">
        <v>49.78</v>
      </c>
      <c r="BC195" s="6">
        <v>51.42</v>
      </c>
      <c r="BD195" s="6">
        <v>50.55</v>
      </c>
      <c r="BE195" s="6">
        <v>51.77</v>
      </c>
      <c r="BF195" s="6">
        <v>51</v>
      </c>
      <c r="BG195" s="6">
        <v>52.76</v>
      </c>
      <c r="BH195" s="6">
        <v>51.87</v>
      </c>
      <c r="BI195" s="6">
        <v>50</v>
      </c>
      <c r="BJ195" s="6">
        <v>51.36</v>
      </c>
      <c r="BK195" s="6">
        <v>51.63</v>
      </c>
      <c r="BL195" s="6">
        <v>49.76</v>
      </c>
      <c r="BM195" s="7">
        <v>51.52</v>
      </c>
      <c r="BN195" s="10"/>
    </row>
    <row r="196" spans="1:66" ht="15.75" customHeight="1" x14ac:dyDescent="0.25">
      <c r="A196" s="4">
        <v>194</v>
      </c>
      <c r="B196" s="4"/>
      <c r="C196" s="4">
        <v>13</v>
      </c>
      <c r="D196" s="6">
        <v>51.76</v>
      </c>
      <c r="E196" s="6">
        <v>49.88</v>
      </c>
      <c r="F196" s="6">
        <v>48.86</v>
      </c>
      <c r="G196" s="6">
        <v>48.73</v>
      </c>
      <c r="H196" s="6">
        <v>51.94</v>
      </c>
      <c r="I196" s="6">
        <v>50.65</v>
      </c>
      <c r="J196" s="6">
        <v>50.26</v>
      </c>
      <c r="K196" s="6">
        <v>50.13</v>
      </c>
      <c r="L196" s="6">
        <v>52.47</v>
      </c>
      <c r="M196" s="6">
        <v>50.97</v>
      </c>
      <c r="N196" s="6">
        <v>48.9</v>
      </c>
      <c r="O196" s="6">
        <v>48.74</v>
      </c>
      <c r="P196" s="6">
        <v>50.24</v>
      </c>
      <c r="Q196" s="6">
        <v>52.96</v>
      </c>
      <c r="R196" s="6">
        <v>51.17</v>
      </c>
      <c r="S196" s="6">
        <v>51.11</v>
      </c>
      <c r="T196" s="6">
        <v>50.47</v>
      </c>
      <c r="U196" s="6">
        <v>51.09</v>
      </c>
      <c r="V196" s="6">
        <v>51.27</v>
      </c>
      <c r="W196" s="6">
        <v>50.79</v>
      </c>
      <c r="X196" s="6">
        <v>49.9</v>
      </c>
      <c r="Y196" s="6">
        <v>50.07</v>
      </c>
      <c r="Z196" s="6">
        <v>50.1</v>
      </c>
      <c r="AA196" s="6">
        <v>51.67</v>
      </c>
      <c r="AB196" s="6">
        <v>50.11</v>
      </c>
      <c r="AC196" s="6">
        <v>49.85</v>
      </c>
      <c r="AD196" s="6">
        <v>50.68</v>
      </c>
      <c r="AE196" s="6">
        <v>51.37</v>
      </c>
      <c r="AF196" s="6">
        <v>50.15</v>
      </c>
      <c r="AG196" s="6">
        <v>48.64</v>
      </c>
      <c r="AH196" s="6">
        <v>51.06</v>
      </c>
      <c r="AI196" s="6">
        <v>50.64</v>
      </c>
      <c r="AJ196" s="6">
        <v>50.85</v>
      </c>
      <c r="AK196" s="6">
        <v>50.84</v>
      </c>
      <c r="AL196" s="6">
        <v>49.86</v>
      </c>
      <c r="AM196" s="6">
        <v>52.59</v>
      </c>
      <c r="AN196" s="6">
        <v>50.08</v>
      </c>
      <c r="AO196" s="6">
        <v>50.87</v>
      </c>
      <c r="AP196" s="6">
        <v>49.21</v>
      </c>
      <c r="AQ196" s="6">
        <v>51.91</v>
      </c>
      <c r="AR196" s="6">
        <v>50.9</v>
      </c>
      <c r="AS196" s="6">
        <v>51.07</v>
      </c>
      <c r="AT196" s="6">
        <v>49.32</v>
      </c>
      <c r="AU196" s="6">
        <v>51.02</v>
      </c>
      <c r="AV196" s="6"/>
      <c r="AW196" s="6"/>
      <c r="AX196" s="6">
        <v>49.92</v>
      </c>
      <c r="AY196" s="6">
        <v>50.89</v>
      </c>
      <c r="AZ196" s="6">
        <v>51.62</v>
      </c>
      <c r="BA196" s="6">
        <v>49.8</v>
      </c>
      <c r="BB196" s="6">
        <v>49.74</v>
      </c>
      <c r="BC196" s="6">
        <v>51.64</v>
      </c>
      <c r="BD196" s="6">
        <v>50.62</v>
      </c>
      <c r="BE196" s="6">
        <v>51.77</v>
      </c>
      <c r="BF196" s="6">
        <v>51.19</v>
      </c>
      <c r="BG196" s="6">
        <v>52.79</v>
      </c>
      <c r="BH196" s="6">
        <v>51.92</v>
      </c>
      <c r="BI196" s="6">
        <v>50.06</v>
      </c>
      <c r="BJ196" s="6">
        <v>51.36</v>
      </c>
      <c r="BK196" s="6">
        <v>51.69</v>
      </c>
      <c r="BL196" s="6">
        <v>49.86</v>
      </c>
      <c r="BM196" s="7">
        <v>51.62</v>
      </c>
      <c r="BN196" s="10"/>
    </row>
    <row r="197" spans="1:66" ht="15.75" customHeight="1" x14ac:dyDescent="0.25">
      <c r="A197" s="4">
        <v>195</v>
      </c>
      <c r="B197" s="4"/>
      <c r="C197" s="4">
        <v>14</v>
      </c>
      <c r="D197" s="6">
        <v>51.75</v>
      </c>
      <c r="E197" s="6">
        <v>49.89</v>
      </c>
      <c r="F197" s="6">
        <v>48.88</v>
      </c>
      <c r="G197" s="6">
        <v>48.81</v>
      </c>
      <c r="H197" s="6">
        <v>51.96</v>
      </c>
      <c r="I197" s="6">
        <v>50.68</v>
      </c>
      <c r="J197" s="6">
        <v>50.21</v>
      </c>
      <c r="K197" s="6">
        <v>50.25</v>
      </c>
      <c r="L197" s="6">
        <v>52.59</v>
      </c>
      <c r="M197" s="6">
        <v>51.05</v>
      </c>
      <c r="N197" s="6">
        <v>49.06</v>
      </c>
      <c r="O197" s="6">
        <v>48.84</v>
      </c>
      <c r="P197" s="6">
        <v>50.25</v>
      </c>
      <c r="Q197" s="6">
        <v>53.05</v>
      </c>
      <c r="R197" s="6">
        <v>51.24</v>
      </c>
      <c r="S197" s="6">
        <v>51.17</v>
      </c>
      <c r="T197" s="6">
        <v>50.51</v>
      </c>
      <c r="U197" s="6">
        <v>51.09</v>
      </c>
      <c r="V197" s="6">
        <v>51.32</v>
      </c>
      <c r="W197" s="6">
        <v>50.91</v>
      </c>
      <c r="X197" s="6">
        <v>50.02</v>
      </c>
      <c r="Y197" s="6">
        <v>50.09</v>
      </c>
      <c r="Z197" s="6">
        <v>50.15</v>
      </c>
      <c r="AA197" s="6">
        <v>51.7</v>
      </c>
      <c r="AB197" s="6">
        <v>50.2</v>
      </c>
      <c r="AC197" s="6">
        <v>50.18</v>
      </c>
      <c r="AD197" s="6">
        <v>50.7</v>
      </c>
      <c r="AE197" s="6">
        <v>51.5</v>
      </c>
      <c r="AF197" s="6">
        <v>50.17</v>
      </c>
      <c r="AG197" s="6">
        <v>48.8</v>
      </c>
      <c r="AH197" s="6">
        <v>51.15</v>
      </c>
      <c r="AI197" s="6">
        <v>50.71</v>
      </c>
      <c r="AJ197" s="6">
        <v>50.86</v>
      </c>
      <c r="AK197" s="6">
        <v>50.87</v>
      </c>
      <c r="AL197" s="6">
        <v>49.89</v>
      </c>
      <c r="AM197" s="6">
        <v>52.58</v>
      </c>
      <c r="AN197" s="6">
        <v>50.07</v>
      </c>
      <c r="AO197" s="6">
        <v>51</v>
      </c>
      <c r="AP197" s="6">
        <v>49.24</v>
      </c>
      <c r="AQ197" s="6">
        <v>51.94</v>
      </c>
      <c r="AR197" s="6">
        <v>51.28</v>
      </c>
      <c r="AS197" s="6">
        <v>51.06</v>
      </c>
      <c r="AT197" s="6">
        <v>49.24</v>
      </c>
      <c r="AU197" s="6">
        <v>51</v>
      </c>
      <c r="AV197" s="6"/>
      <c r="AW197" s="6"/>
      <c r="AX197" s="6">
        <v>50</v>
      </c>
      <c r="AY197" s="6">
        <v>50.89</v>
      </c>
      <c r="AZ197" s="6">
        <v>51.66</v>
      </c>
      <c r="BA197" s="6">
        <v>49.87</v>
      </c>
      <c r="BB197" s="6">
        <v>49.69</v>
      </c>
      <c r="BC197" s="6">
        <v>51.78</v>
      </c>
      <c r="BD197" s="6">
        <v>50.69</v>
      </c>
      <c r="BE197" s="6">
        <v>51.79</v>
      </c>
      <c r="BF197" s="6">
        <v>51.31</v>
      </c>
      <c r="BG197" s="6">
        <v>52.85</v>
      </c>
      <c r="BH197" s="6">
        <v>51.94</v>
      </c>
      <c r="BI197" s="6">
        <v>50.08</v>
      </c>
      <c r="BJ197" s="6">
        <v>51.36</v>
      </c>
      <c r="BK197" s="6">
        <v>51.72</v>
      </c>
      <c r="BL197" s="6">
        <v>49.96</v>
      </c>
      <c r="BM197" s="7">
        <v>51.66</v>
      </c>
      <c r="BN197" s="10"/>
    </row>
    <row r="198" spans="1:66" ht="15.75" customHeight="1" x14ac:dyDescent="0.25">
      <c r="A198" s="4">
        <v>196</v>
      </c>
      <c r="B198" s="4"/>
      <c r="C198" s="4">
        <v>15</v>
      </c>
      <c r="D198" s="6">
        <v>51.74</v>
      </c>
      <c r="E198" s="6">
        <v>49.99</v>
      </c>
      <c r="F198" s="6">
        <v>48.88</v>
      </c>
      <c r="G198" s="6">
        <v>48.86</v>
      </c>
      <c r="H198" s="6">
        <v>51.99</v>
      </c>
      <c r="I198" s="6">
        <v>50.81</v>
      </c>
      <c r="J198" s="6">
        <v>50.21</v>
      </c>
      <c r="K198" s="6">
        <v>50.31</v>
      </c>
      <c r="L198" s="6">
        <v>52.77</v>
      </c>
      <c r="M198" s="6">
        <v>51.08</v>
      </c>
      <c r="N198" s="6">
        <v>49.11</v>
      </c>
      <c r="O198" s="6">
        <v>48.89</v>
      </c>
      <c r="P198" s="6">
        <v>50.27</v>
      </c>
      <c r="Q198" s="6">
        <v>53.09</v>
      </c>
      <c r="R198" s="6">
        <v>51.32</v>
      </c>
      <c r="S198" s="6">
        <v>51.17</v>
      </c>
      <c r="T198" s="6">
        <v>50.51</v>
      </c>
      <c r="U198" s="6">
        <v>51.12</v>
      </c>
      <c r="V198" s="6">
        <v>51.37</v>
      </c>
      <c r="W198" s="6">
        <v>51</v>
      </c>
      <c r="X198" s="6">
        <v>50.06</v>
      </c>
      <c r="Y198" s="6">
        <v>50.13</v>
      </c>
      <c r="Z198" s="6">
        <v>50.17</v>
      </c>
      <c r="AA198" s="6">
        <v>51.71</v>
      </c>
      <c r="AB198" s="6">
        <v>50.27</v>
      </c>
      <c r="AC198" s="6">
        <v>50.42</v>
      </c>
      <c r="AD198" s="6">
        <v>50.7</v>
      </c>
      <c r="AE198" s="6">
        <v>51.55</v>
      </c>
      <c r="AF198" s="6">
        <v>50.17</v>
      </c>
      <c r="AG198" s="6">
        <v>48.94</v>
      </c>
      <c r="AH198" s="6">
        <v>51.16</v>
      </c>
      <c r="AI198" s="6">
        <v>50.78</v>
      </c>
      <c r="AJ198" s="6">
        <v>50.89</v>
      </c>
      <c r="AK198" s="6">
        <v>50.9</v>
      </c>
      <c r="AL198" s="6">
        <v>50.04</v>
      </c>
      <c r="AM198" s="6">
        <v>52.54</v>
      </c>
      <c r="AN198" s="6">
        <v>50.12</v>
      </c>
      <c r="AO198" s="6">
        <v>51.04</v>
      </c>
      <c r="AP198" s="6">
        <v>49.3</v>
      </c>
      <c r="AQ198" s="6">
        <v>51.96</v>
      </c>
      <c r="AR198" s="6">
        <v>51.4</v>
      </c>
      <c r="AS198" s="6">
        <v>51.04</v>
      </c>
      <c r="AT198" s="6">
        <v>49.21</v>
      </c>
      <c r="AU198" s="6">
        <v>51.08</v>
      </c>
      <c r="AV198" s="6"/>
      <c r="AW198" s="6"/>
      <c r="AX198" s="6">
        <v>50.15</v>
      </c>
      <c r="AY198" s="6">
        <v>50.88</v>
      </c>
      <c r="AZ198" s="6">
        <v>51.69</v>
      </c>
      <c r="BA198" s="6">
        <v>49.94</v>
      </c>
      <c r="BB198" s="6">
        <v>49.67</v>
      </c>
      <c r="BC198" s="6">
        <v>51.85</v>
      </c>
      <c r="BD198" s="6">
        <v>50.72</v>
      </c>
      <c r="BE198" s="6">
        <v>51.79</v>
      </c>
      <c r="BF198" s="6">
        <v>51.35</v>
      </c>
      <c r="BG198" s="6">
        <v>52.9</v>
      </c>
      <c r="BH198" s="6">
        <v>51.9</v>
      </c>
      <c r="BI198" s="6">
        <v>50.1</v>
      </c>
      <c r="BJ198" s="6">
        <v>51.36</v>
      </c>
      <c r="BK198" s="6">
        <v>51.75</v>
      </c>
      <c r="BL198" s="6">
        <v>50.1</v>
      </c>
      <c r="BM198" s="7">
        <v>51.68</v>
      </c>
      <c r="BN198" s="10"/>
    </row>
    <row r="199" spans="1:66" ht="15.75" customHeight="1" x14ac:dyDescent="0.25">
      <c r="A199" s="4">
        <v>197</v>
      </c>
      <c r="B199" s="4"/>
      <c r="C199" s="4">
        <v>16</v>
      </c>
      <c r="D199" s="6">
        <v>51.76</v>
      </c>
      <c r="E199" s="6">
        <v>50.06</v>
      </c>
      <c r="F199" s="6">
        <v>48.9</v>
      </c>
      <c r="G199" s="6">
        <v>48.91</v>
      </c>
      <c r="H199" s="6">
        <v>52.01</v>
      </c>
      <c r="I199" s="6">
        <v>50.75</v>
      </c>
      <c r="J199" s="6">
        <v>50.16</v>
      </c>
      <c r="K199" s="6">
        <v>50.46</v>
      </c>
      <c r="L199" s="6">
        <v>52.84</v>
      </c>
      <c r="M199" s="6">
        <v>51.11</v>
      </c>
      <c r="N199" s="6">
        <v>49.19</v>
      </c>
      <c r="O199" s="6">
        <v>48.96</v>
      </c>
      <c r="P199" s="6">
        <v>50.28</v>
      </c>
      <c r="Q199" s="6">
        <v>53.16</v>
      </c>
      <c r="R199" s="6">
        <v>51.39</v>
      </c>
      <c r="S199" s="6">
        <v>51.17</v>
      </c>
      <c r="T199" s="6">
        <v>50.51</v>
      </c>
      <c r="U199" s="6">
        <v>51.14</v>
      </c>
      <c r="V199" s="6">
        <v>51.41</v>
      </c>
      <c r="W199" s="6">
        <v>51.07</v>
      </c>
      <c r="X199" s="6">
        <v>50.02</v>
      </c>
      <c r="Y199" s="6">
        <v>50.15</v>
      </c>
      <c r="Z199" s="6">
        <v>50.26</v>
      </c>
      <c r="AA199" s="6">
        <v>51.74</v>
      </c>
      <c r="AB199" s="6">
        <v>50.3</v>
      </c>
      <c r="AC199" s="6">
        <v>50.54</v>
      </c>
      <c r="AD199" s="6">
        <v>50.68</v>
      </c>
      <c r="AE199" s="6">
        <v>51.6</v>
      </c>
      <c r="AF199" s="6">
        <v>50.21</v>
      </c>
      <c r="AG199" s="6">
        <v>49.02</v>
      </c>
      <c r="AH199" s="6">
        <v>51.22</v>
      </c>
      <c r="AI199" s="6">
        <v>50.92</v>
      </c>
      <c r="AJ199" s="6">
        <v>50.89</v>
      </c>
      <c r="AK199" s="6">
        <v>50.87</v>
      </c>
      <c r="AL199" s="6">
        <v>50.08</v>
      </c>
      <c r="AM199" s="6">
        <v>52.44</v>
      </c>
      <c r="AN199" s="6">
        <v>50.16</v>
      </c>
      <c r="AO199" s="6">
        <v>51.2</v>
      </c>
      <c r="AP199" s="6">
        <v>49.42</v>
      </c>
      <c r="AQ199" s="6">
        <v>52</v>
      </c>
      <c r="AR199" s="6">
        <v>51.41</v>
      </c>
      <c r="AS199" s="6">
        <v>51.11</v>
      </c>
      <c r="AT199" s="6">
        <v>49.16</v>
      </c>
      <c r="AU199" s="6">
        <v>51.12</v>
      </c>
      <c r="AV199" s="6"/>
      <c r="AW199" s="6"/>
      <c r="AX199" s="6">
        <v>50.28</v>
      </c>
      <c r="AY199" s="6">
        <v>50.89</v>
      </c>
      <c r="AZ199" s="6">
        <v>51.7</v>
      </c>
      <c r="BA199" s="6">
        <v>50.02</v>
      </c>
      <c r="BB199" s="6">
        <v>49.7</v>
      </c>
      <c r="BC199" s="6">
        <v>51.92</v>
      </c>
      <c r="BD199" s="6">
        <v>50.75</v>
      </c>
      <c r="BE199" s="6">
        <v>51.96</v>
      </c>
      <c r="BF199" s="6">
        <v>51.36</v>
      </c>
      <c r="BG199" s="6">
        <v>52.9</v>
      </c>
      <c r="BH199" s="6">
        <v>51.87</v>
      </c>
      <c r="BI199" s="6">
        <v>50.12</v>
      </c>
      <c r="BJ199" s="6">
        <v>51.36</v>
      </c>
      <c r="BK199" s="6">
        <v>51.74</v>
      </c>
      <c r="BL199" s="6">
        <v>50.22</v>
      </c>
      <c r="BM199" s="7">
        <v>51.66</v>
      </c>
      <c r="BN199" s="10"/>
    </row>
    <row r="200" spans="1:66" ht="15.75" customHeight="1" x14ac:dyDescent="0.25">
      <c r="A200" s="4">
        <v>198</v>
      </c>
      <c r="B200" s="4"/>
      <c r="C200" s="4">
        <v>17</v>
      </c>
      <c r="D200" s="6">
        <v>51.77</v>
      </c>
      <c r="E200" s="6">
        <v>50.09</v>
      </c>
      <c r="F200" s="6">
        <v>49.06</v>
      </c>
      <c r="G200" s="6">
        <v>48.98</v>
      </c>
      <c r="H200" s="6">
        <v>52.04</v>
      </c>
      <c r="I200" s="6">
        <v>50.69</v>
      </c>
      <c r="J200" s="6">
        <v>50.06</v>
      </c>
      <c r="K200" s="6">
        <v>50.55</v>
      </c>
      <c r="L200" s="6">
        <v>52.84</v>
      </c>
      <c r="M200" s="6">
        <v>51.16</v>
      </c>
      <c r="N200" s="6">
        <v>49.28</v>
      </c>
      <c r="O200" s="6">
        <v>48.98</v>
      </c>
      <c r="P200" s="6">
        <v>50.26</v>
      </c>
      <c r="Q200" s="6">
        <v>53.24</v>
      </c>
      <c r="R200" s="6">
        <v>51.47</v>
      </c>
      <c r="S200" s="6">
        <v>51.17</v>
      </c>
      <c r="T200" s="6">
        <v>50.53</v>
      </c>
      <c r="U200" s="6">
        <v>51.27</v>
      </c>
      <c r="V200" s="6">
        <v>51.44</v>
      </c>
      <c r="W200" s="6">
        <v>51.12</v>
      </c>
      <c r="X200" s="6">
        <v>50.06</v>
      </c>
      <c r="Y200" s="6">
        <v>50.2</v>
      </c>
      <c r="Z200" s="6">
        <v>50.36</v>
      </c>
      <c r="AA200" s="6">
        <v>51.83</v>
      </c>
      <c r="AB200" s="6">
        <v>50.34</v>
      </c>
      <c r="AC200" s="6">
        <v>50.6</v>
      </c>
      <c r="AD200" s="6">
        <v>50.71</v>
      </c>
      <c r="AE200" s="6">
        <v>51.67</v>
      </c>
      <c r="AF200" s="6">
        <v>50.32</v>
      </c>
      <c r="AG200" s="6">
        <v>49.13</v>
      </c>
      <c r="AH200" s="6">
        <v>51.3</v>
      </c>
      <c r="AI200" s="6">
        <v>51.1</v>
      </c>
      <c r="AJ200" s="6">
        <v>50.92</v>
      </c>
      <c r="AK200" s="6">
        <v>50.9</v>
      </c>
      <c r="AL200" s="6">
        <v>50.14</v>
      </c>
      <c r="AM200" s="6">
        <v>52.39</v>
      </c>
      <c r="AN200" s="6">
        <v>50.26</v>
      </c>
      <c r="AO200" s="6">
        <v>51.24</v>
      </c>
      <c r="AP200" s="6">
        <v>49.48</v>
      </c>
      <c r="AQ200" s="6">
        <v>52.11</v>
      </c>
      <c r="AR200" s="6">
        <v>51.37</v>
      </c>
      <c r="AS200" s="6">
        <v>51.18</v>
      </c>
      <c r="AT200" s="6">
        <v>49.1</v>
      </c>
      <c r="AU200" s="6">
        <v>51.22</v>
      </c>
      <c r="AV200" s="6"/>
      <c r="AW200" s="6"/>
      <c r="AX200" s="6">
        <v>50.44</v>
      </c>
      <c r="AY200" s="6">
        <v>50.9</v>
      </c>
      <c r="AZ200" s="6">
        <v>51.7</v>
      </c>
      <c r="BA200" s="6">
        <v>50.1</v>
      </c>
      <c r="BB200" s="6">
        <v>49.71</v>
      </c>
      <c r="BC200" s="6">
        <v>51.92</v>
      </c>
      <c r="BD200" s="6">
        <v>50.73</v>
      </c>
      <c r="BE200" s="6">
        <v>52.01</v>
      </c>
      <c r="BF200" s="6">
        <v>51.36</v>
      </c>
      <c r="BG200" s="6">
        <v>52.95</v>
      </c>
      <c r="BH200" s="6">
        <v>51.82</v>
      </c>
      <c r="BI200" s="6">
        <v>50.15</v>
      </c>
      <c r="BJ200" s="6">
        <v>51.34</v>
      </c>
      <c r="BK200" s="6">
        <v>51.75</v>
      </c>
      <c r="BL200" s="6">
        <v>50.34</v>
      </c>
      <c r="BM200" s="7">
        <v>51.68</v>
      </c>
      <c r="BN200" s="10"/>
    </row>
    <row r="201" spans="1:66" ht="15.75" customHeight="1" x14ac:dyDescent="0.25">
      <c r="A201" s="4">
        <v>199</v>
      </c>
      <c r="B201" s="4"/>
      <c r="C201" s="4">
        <v>18</v>
      </c>
      <c r="D201" s="6">
        <v>51.72</v>
      </c>
      <c r="E201" s="6">
        <v>50.16</v>
      </c>
      <c r="F201" s="6">
        <v>49.12</v>
      </c>
      <c r="G201" s="6">
        <v>49.21</v>
      </c>
      <c r="H201" s="6">
        <v>52.06</v>
      </c>
      <c r="I201" s="6">
        <v>50.74</v>
      </c>
      <c r="J201" s="6">
        <v>50.01</v>
      </c>
      <c r="K201" s="6">
        <v>50.65</v>
      </c>
      <c r="L201" s="6">
        <v>52.91</v>
      </c>
      <c r="M201" s="6">
        <v>51.19</v>
      </c>
      <c r="N201" s="6">
        <v>49.44</v>
      </c>
      <c r="O201" s="6">
        <v>49.05</v>
      </c>
      <c r="P201" s="6">
        <v>50.25</v>
      </c>
      <c r="Q201" s="6">
        <v>53.34</v>
      </c>
      <c r="R201" s="6">
        <v>51.49</v>
      </c>
      <c r="S201" s="6">
        <v>51.18</v>
      </c>
      <c r="T201" s="6">
        <v>50.53</v>
      </c>
      <c r="U201" s="6">
        <v>51.33</v>
      </c>
      <c r="V201" s="6">
        <v>51.52</v>
      </c>
      <c r="W201" s="6">
        <v>51.15</v>
      </c>
      <c r="X201" s="6">
        <v>50.08</v>
      </c>
      <c r="Y201" s="6">
        <v>50.24</v>
      </c>
      <c r="Z201" s="6">
        <v>50.44</v>
      </c>
      <c r="AA201" s="6">
        <v>51.98</v>
      </c>
      <c r="AB201" s="6">
        <v>50.37</v>
      </c>
      <c r="AC201" s="6">
        <v>50.64</v>
      </c>
      <c r="AD201" s="6">
        <v>50.72</v>
      </c>
      <c r="AE201" s="6">
        <v>51.69</v>
      </c>
      <c r="AF201" s="6">
        <v>50.48</v>
      </c>
      <c r="AG201" s="6">
        <v>49.3</v>
      </c>
      <c r="AH201" s="6">
        <v>51.3</v>
      </c>
      <c r="AI201" s="6">
        <v>51.29</v>
      </c>
      <c r="AJ201" s="6">
        <v>50.94</v>
      </c>
      <c r="AK201" s="6">
        <v>50.95</v>
      </c>
      <c r="AL201" s="6">
        <v>50.22</v>
      </c>
      <c r="AM201" s="6">
        <v>52.3</v>
      </c>
      <c r="AN201" s="6">
        <v>50.32</v>
      </c>
      <c r="AO201" s="6">
        <v>51.25</v>
      </c>
      <c r="AP201" s="6">
        <v>49.51</v>
      </c>
      <c r="AQ201" s="6">
        <v>52.18</v>
      </c>
      <c r="AR201" s="6">
        <v>51.28</v>
      </c>
      <c r="AS201" s="6">
        <v>51.19</v>
      </c>
      <c r="AT201" s="6">
        <v>49.06</v>
      </c>
      <c r="AU201" s="6">
        <v>51.33</v>
      </c>
      <c r="AV201" s="6"/>
      <c r="AW201" s="6"/>
      <c r="AX201" s="6">
        <v>50.53</v>
      </c>
      <c r="AY201" s="6">
        <v>50.97</v>
      </c>
      <c r="AZ201" s="6">
        <v>51.71</v>
      </c>
      <c r="BA201" s="6">
        <v>50.14</v>
      </c>
      <c r="BB201" s="6">
        <v>49.73</v>
      </c>
      <c r="BC201" s="6">
        <v>51.9</v>
      </c>
      <c r="BD201" s="6">
        <v>50.71</v>
      </c>
      <c r="BE201" s="6">
        <v>51.98</v>
      </c>
      <c r="BF201" s="6">
        <v>51.36</v>
      </c>
      <c r="BG201" s="6">
        <v>52.97</v>
      </c>
      <c r="BH201" s="6">
        <v>51.79</v>
      </c>
      <c r="BI201" s="6">
        <v>50.2</v>
      </c>
      <c r="BJ201" s="6">
        <v>51.38</v>
      </c>
      <c r="BK201" s="6">
        <v>51.86</v>
      </c>
      <c r="BL201" s="6">
        <v>50.44</v>
      </c>
      <c r="BM201" s="7">
        <v>51.72</v>
      </c>
      <c r="BN201" s="10"/>
    </row>
    <row r="202" spans="1:66" ht="15.75" customHeight="1" x14ac:dyDescent="0.25">
      <c r="A202" s="4">
        <v>200</v>
      </c>
      <c r="B202" s="4"/>
      <c r="C202" s="4">
        <v>19</v>
      </c>
      <c r="D202" s="6">
        <v>51.67</v>
      </c>
      <c r="E202" s="6">
        <v>50.21</v>
      </c>
      <c r="F202" s="6">
        <v>49.19</v>
      </c>
      <c r="G202" s="6">
        <v>49.36</v>
      </c>
      <c r="H202" s="6">
        <v>52.01</v>
      </c>
      <c r="I202" s="6">
        <v>50.76</v>
      </c>
      <c r="J202" s="6">
        <v>49.97</v>
      </c>
      <c r="K202" s="6">
        <v>50.74</v>
      </c>
      <c r="L202" s="6">
        <v>52.91</v>
      </c>
      <c r="M202" s="6">
        <v>51.21</v>
      </c>
      <c r="N202" s="6">
        <v>49.56</v>
      </c>
      <c r="O202" s="6">
        <v>49.06</v>
      </c>
      <c r="P202" s="6">
        <v>50.28</v>
      </c>
      <c r="Q202" s="6">
        <v>53.38</v>
      </c>
      <c r="R202" s="6">
        <v>51.56</v>
      </c>
      <c r="S202" s="6">
        <v>51.16</v>
      </c>
      <c r="T202" s="6">
        <v>50.54</v>
      </c>
      <c r="U202" s="6">
        <v>51.44</v>
      </c>
      <c r="V202" s="6">
        <v>51.57</v>
      </c>
      <c r="W202" s="6">
        <v>51.17</v>
      </c>
      <c r="X202" s="6">
        <v>50.1</v>
      </c>
      <c r="Y202" s="6">
        <v>50.24</v>
      </c>
      <c r="Z202" s="6">
        <v>50.45</v>
      </c>
      <c r="AA202" s="6">
        <v>52.04</v>
      </c>
      <c r="AB202" s="6">
        <v>50.46</v>
      </c>
      <c r="AC202" s="6">
        <v>50.66</v>
      </c>
      <c r="AD202" s="6">
        <v>50.74</v>
      </c>
      <c r="AE202" s="6">
        <v>51.7</v>
      </c>
      <c r="AF202" s="6">
        <v>50.56</v>
      </c>
      <c r="AG202" s="6">
        <v>49.3</v>
      </c>
      <c r="AH202" s="6">
        <v>51.2</v>
      </c>
      <c r="AI202" s="6">
        <v>51.36</v>
      </c>
      <c r="AJ202" s="6">
        <v>50.96</v>
      </c>
      <c r="AK202" s="6">
        <v>51</v>
      </c>
      <c r="AL202" s="6">
        <v>50.28</v>
      </c>
      <c r="AM202" s="6">
        <v>52.26</v>
      </c>
      <c r="AN202" s="6">
        <v>50.35</v>
      </c>
      <c r="AO202" s="6">
        <v>51.26</v>
      </c>
      <c r="AP202" s="6">
        <v>49.5</v>
      </c>
      <c r="AQ202" s="6">
        <v>52.21</v>
      </c>
      <c r="AR202" s="6">
        <v>51.26</v>
      </c>
      <c r="AS202" s="6">
        <v>51.19</v>
      </c>
      <c r="AT202" s="6">
        <v>49.06</v>
      </c>
      <c r="AU202" s="6">
        <v>51.46</v>
      </c>
      <c r="AV202" s="6"/>
      <c r="AW202" s="6"/>
      <c r="AX202" s="6">
        <v>50.64</v>
      </c>
      <c r="AY202" s="6">
        <v>51.06</v>
      </c>
      <c r="AZ202" s="6">
        <v>51.72</v>
      </c>
      <c r="BA202" s="6">
        <v>50.23</v>
      </c>
      <c r="BB202" s="6">
        <v>49.78</v>
      </c>
      <c r="BC202" s="6">
        <v>51.89</v>
      </c>
      <c r="BD202" s="6">
        <v>50.71</v>
      </c>
      <c r="BE202" s="6">
        <v>51.97</v>
      </c>
      <c r="BF202" s="6">
        <v>51.5</v>
      </c>
      <c r="BG202" s="6">
        <v>53</v>
      </c>
      <c r="BH202" s="6">
        <v>51.76</v>
      </c>
      <c r="BI202" s="6">
        <v>50.22</v>
      </c>
      <c r="BJ202" s="6">
        <v>51.4</v>
      </c>
      <c r="BK202" s="6">
        <v>51.9</v>
      </c>
      <c r="BL202" s="6">
        <v>50.52</v>
      </c>
      <c r="BM202" s="7">
        <v>51.74</v>
      </c>
      <c r="BN202" s="10"/>
    </row>
    <row r="203" spans="1:66" ht="15.75" customHeight="1" x14ac:dyDescent="0.25">
      <c r="A203" s="4">
        <v>201</v>
      </c>
      <c r="B203" s="4"/>
      <c r="C203" s="4">
        <v>20</v>
      </c>
      <c r="D203" s="6">
        <v>51.67</v>
      </c>
      <c r="E203" s="6">
        <v>50.27</v>
      </c>
      <c r="F203" s="6">
        <v>49.26</v>
      </c>
      <c r="G203" s="6">
        <v>49.56</v>
      </c>
      <c r="H203" s="6">
        <v>52.01</v>
      </c>
      <c r="I203" s="6">
        <v>50.76</v>
      </c>
      <c r="J203" s="6">
        <v>49.95</v>
      </c>
      <c r="K203" s="6">
        <v>50.8</v>
      </c>
      <c r="L203" s="6">
        <v>52.86</v>
      </c>
      <c r="M203" s="6">
        <v>51.21</v>
      </c>
      <c r="N203" s="6">
        <v>49.6</v>
      </c>
      <c r="O203" s="6">
        <v>49.06</v>
      </c>
      <c r="P203" s="6">
        <v>50.36</v>
      </c>
      <c r="Q203" s="6">
        <v>53.47</v>
      </c>
      <c r="R203" s="6">
        <v>51.63</v>
      </c>
      <c r="S203" s="6">
        <v>51.14</v>
      </c>
      <c r="T203" s="6">
        <v>50.57</v>
      </c>
      <c r="U203" s="6">
        <v>51.51</v>
      </c>
      <c r="V203" s="6">
        <v>51.62</v>
      </c>
      <c r="W203" s="6">
        <v>51.17</v>
      </c>
      <c r="X203" s="6">
        <v>50.1</v>
      </c>
      <c r="Y203" s="6">
        <v>50.33</v>
      </c>
      <c r="Z203" s="6">
        <v>50.47</v>
      </c>
      <c r="AA203" s="6">
        <v>52.15</v>
      </c>
      <c r="AB203" s="6">
        <v>50.52</v>
      </c>
      <c r="AC203" s="6">
        <v>50.68</v>
      </c>
      <c r="AD203" s="6">
        <v>50.76</v>
      </c>
      <c r="AE203" s="6">
        <v>51.71</v>
      </c>
      <c r="AF203" s="6">
        <v>50.58</v>
      </c>
      <c r="AG203" s="6">
        <v>49.47</v>
      </c>
      <c r="AH203" s="6">
        <v>51.2</v>
      </c>
      <c r="AI203" s="6">
        <v>51.38</v>
      </c>
      <c r="AJ203" s="6">
        <v>50.97</v>
      </c>
      <c r="AK203" s="6">
        <v>51</v>
      </c>
      <c r="AL203" s="6">
        <v>50.34</v>
      </c>
      <c r="AM203" s="6">
        <v>52.2</v>
      </c>
      <c r="AN203" s="6">
        <v>50.34</v>
      </c>
      <c r="AO203" s="6">
        <v>51.26</v>
      </c>
      <c r="AP203" s="6">
        <v>49.51</v>
      </c>
      <c r="AQ203" s="6">
        <v>52.21</v>
      </c>
      <c r="AR203" s="6">
        <v>51.26</v>
      </c>
      <c r="AS203" s="6">
        <v>51.17</v>
      </c>
      <c r="AT203" s="6">
        <v>49.29</v>
      </c>
      <c r="AU203" s="6">
        <v>51.56</v>
      </c>
      <c r="AV203" s="6"/>
      <c r="AW203" s="6"/>
      <c r="AX203" s="6">
        <v>50.69</v>
      </c>
      <c r="AY203" s="6">
        <v>51.07</v>
      </c>
      <c r="AZ203" s="6">
        <v>51.73</v>
      </c>
      <c r="BA203" s="6">
        <v>50.39</v>
      </c>
      <c r="BB203" s="6">
        <v>49.8</v>
      </c>
      <c r="BC203" s="6">
        <v>51.88</v>
      </c>
      <c r="BD203" s="6">
        <v>50.66</v>
      </c>
      <c r="BE203" s="6">
        <v>51.96</v>
      </c>
      <c r="BF203" s="6">
        <v>51.68</v>
      </c>
      <c r="BG203" s="6">
        <v>53.02</v>
      </c>
      <c r="BH203" s="6">
        <v>51.72</v>
      </c>
      <c r="BI203" s="6">
        <v>50.26</v>
      </c>
      <c r="BJ203" s="6">
        <v>51.38</v>
      </c>
      <c r="BK203" s="6">
        <v>51.94</v>
      </c>
      <c r="BL203" s="6">
        <v>50.58</v>
      </c>
      <c r="BM203" s="7">
        <v>51.72</v>
      </c>
      <c r="BN203" s="10"/>
    </row>
    <row r="204" spans="1:66" ht="15.75" customHeight="1" x14ac:dyDescent="0.25">
      <c r="A204" s="4">
        <v>202</v>
      </c>
      <c r="B204" s="4"/>
      <c r="C204" s="4">
        <v>21</v>
      </c>
      <c r="D204" s="6">
        <v>51.62</v>
      </c>
      <c r="E204" s="6">
        <v>50.27</v>
      </c>
      <c r="F204" s="6">
        <v>49.31</v>
      </c>
      <c r="G204" s="6">
        <v>49.75</v>
      </c>
      <c r="H204" s="6">
        <v>51.96</v>
      </c>
      <c r="I204" s="6">
        <v>50.78</v>
      </c>
      <c r="J204" s="6">
        <v>49.86</v>
      </c>
      <c r="K204" s="6">
        <v>50.89</v>
      </c>
      <c r="L204" s="6">
        <v>52.84</v>
      </c>
      <c r="M204" s="6">
        <v>51.21</v>
      </c>
      <c r="N204" s="6">
        <v>49.66</v>
      </c>
      <c r="O204" s="6">
        <v>49.08</v>
      </c>
      <c r="P204" s="6">
        <v>50.39</v>
      </c>
      <c r="Q204" s="6">
        <v>53.54</v>
      </c>
      <c r="R204" s="6">
        <v>51.6</v>
      </c>
      <c r="S204" s="6">
        <v>51.11</v>
      </c>
      <c r="T204" s="6">
        <v>50.56</v>
      </c>
      <c r="U204" s="6">
        <v>51.57</v>
      </c>
      <c r="V204" s="6">
        <v>51.62</v>
      </c>
      <c r="W204" s="6">
        <v>51.21</v>
      </c>
      <c r="X204" s="6">
        <v>50.1</v>
      </c>
      <c r="Y204" s="6">
        <v>50.33</v>
      </c>
      <c r="Z204" s="6">
        <v>50.5</v>
      </c>
      <c r="AA204" s="6">
        <v>52.29</v>
      </c>
      <c r="AB204" s="6">
        <v>50.57</v>
      </c>
      <c r="AC204" s="6">
        <v>50.72</v>
      </c>
      <c r="AD204" s="6">
        <v>50.78</v>
      </c>
      <c r="AE204" s="6">
        <v>51.69</v>
      </c>
      <c r="AF204" s="6">
        <v>50.64</v>
      </c>
      <c r="AG204" s="6">
        <v>49.54</v>
      </c>
      <c r="AH204" s="6">
        <v>51.12</v>
      </c>
      <c r="AI204" s="6">
        <v>51.4</v>
      </c>
      <c r="AJ204" s="6">
        <v>51.02</v>
      </c>
      <c r="AK204" s="6">
        <v>51.01</v>
      </c>
      <c r="AL204" s="6">
        <v>50.39</v>
      </c>
      <c r="AM204" s="6">
        <v>52.13</v>
      </c>
      <c r="AN204" s="6">
        <v>50.31</v>
      </c>
      <c r="AO204" s="6">
        <v>51.3</v>
      </c>
      <c r="AP204" s="6">
        <v>49.52</v>
      </c>
      <c r="AQ204" s="6">
        <v>52.22</v>
      </c>
      <c r="AR204" s="6">
        <v>51.26</v>
      </c>
      <c r="AS204" s="6">
        <v>51.27</v>
      </c>
      <c r="AT204" s="6">
        <v>49.31</v>
      </c>
      <c r="AU204" s="6">
        <v>51.62</v>
      </c>
      <c r="AV204" s="6"/>
      <c r="AW204" s="6"/>
      <c r="AX204" s="6">
        <v>50.71</v>
      </c>
      <c r="AY204" s="6">
        <v>51.04</v>
      </c>
      <c r="AZ204" s="6">
        <v>51.76</v>
      </c>
      <c r="BA204" s="6">
        <v>50.62</v>
      </c>
      <c r="BB204" s="6">
        <v>49.86</v>
      </c>
      <c r="BC204" s="6">
        <v>51.88</v>
      </c>
      <c r="BD204" s="6">
        <v>50.81</v>
      </c>
      <c r="BE204" s="6">
        <v>51.91</v>
      </c>
      <c r="BF204" s="6">
        <v>51.79</v>
      </c>
      <c r="BG204" s="6">
        <v>52.98</v>
      </c>
      <c r="BH204" s="6">
        <v>51.66</v>
      </c>
      <c r="BI204" s="6">
        <v>50.33</v>
      </c>
      <c r="BJ204" s="6">
        <v>51.42</v>
      </c>
      <c r="BK204" s="6">
        <v>51.98</v>
      </c>
      <c r="BL204" s="6">
        <v>50.54</v>
      </c>
      <c r="BM204" s="7">
        <v>51.72</v>
      </c>
      <c r="BN204" s="10"/>
    </row>
    <row r="205" spans="1:66" ht="15.75" customHeight="1" x14ac:dyDescent="0.25">
      <c r="A205" s="4">
        <v>203</v>
      </c>
      <c r="B205" s="4"/>
      <c r="C205" s="4">
        <v>22</v>
      </c>
      <c r="D205" s="6">
        <v>51.6</v>
      </c>
      <c r="E205" s="6">
        <v>50.27</v>
      </c>
      <c r="F205" s="6">
        <v>49.45</v>
      </c>
      <c r="G205" s="6">
        <v>49.74</v>
      </c>
      <c r="H205" s="6">
        <v>51.88</v>
      </c>
      <c r="I205" s="6">
        <v>50.88</v>
      </c>
      <c r="J205" s="6">
        <v>49.79</v>
      </c>
      <c r="K205" s="6">
        <v>50.94</v>
      </c>
      <c r="L205" s="6">
        <v>52.81</v>
      </c>
      <c r="M205" s="6">
        <v>51.24</v>
      </c>
      <c r="N205" s="6">
        <v>49.68</v>
      </c>
      <c r="O205" s="6">
        <v>49.11</v>
      </c>
      <c r="P205" s="6">
        <v>50.43</v>
      </c>
      <c r="Q205" s="6">
        <v>53.56</v>
      </c>
      <c r="R205" s="6">
        <v>51.6</v>
      </c>
      <c r="S205" s="6">
        <v>51.05</v>
      </c>
      <c r="T205" s="6">
        <v>50.53</v>
      </c>
      <c r="U205" s="6">
        <v>51.62</v>
      </c>
      <c r="V205" s="6">
        <v>51.62</v>
      </c>
      <c r="W205" s="6">
        <v>51.32</v>
      </c>
      <c r="X205" s="6">
        <v>50.18</v>
      </c>
      <c r="Y205" s="6">
        <v>50.39</v>
      </c>
      <c r="Z205" s="6">
        <v>50.5</v>
      </c>
      <c r="AA205" s="6">
        <v>52.38</v>
      </c>
      <c r="AB205" s="6">
        <v>50.62</v>
      </c>
      <c r="AC205" s="6">
        <v>50.76</v>
      </c>
      <c r="AD205" s="6">
        <v>50.8</v>
      </c>
      <c r="AE205" s="6">
        <v>51.66</v>
      </c>
      <c r="AF205" s="6">
        <v>50.83</v>
      </c>
      <c r="AG205" s="6">
        <v>49.63</v>
      </c>
      <c r="AH205" s="6">
        <v>51.05</v>
      </c>
      <c r="AI205" s="6">
        <v>51.43</v>
      </c>
      <c r="AJ205" s="6">
        <v>51.14</v>
      </c>
      <c r="AK205" s="6">
        <v>51.18</v>
      </c>
      <c r="AL205" s="6">
        <v>50.41</v>
      </c>
      <c r="AM205" s="6">
        <v>52.05</v>
      </c>
      <c r="AN205" s="6">
        <v>50.27</v>
      </c>
      <c r="AO205" s="6">
        <v>51.3</v>
      </c>
      <c r="AP205" s="6">
        <v>49.54</v>
      </c>
      <c r="AQ205" s="6">
        <v>52.22</v>
      </c>
      <c r="AR205" s="6">
        <v>51.39</v>
      </c>
      <c r="AS205" s="6">
        <v>51.34</v>
      </c>
      <c r="AT205" s="6">
        <v>49.57</v>
      </c>
      <c r="AU205" s="6">
        <v>51.64</v>
      </c>
      <c r="AV205" s="6"/>
      <c r="AW205" s="6"/>
      <c r="AX205" s="6">
        <v>50.67</v>
      </c>
      <c r="AY205" s="6">
        <v>51.02</v>
      </c>
      <c r="AZ205" s="6">
        <v>51.75</v>
      </c>
      <c r="BA205" s="6">
        <v>50.78</v>
      </c>
      <c r="BB205" s="6">
        <v>49.9</v>
      </c>
      <c r="BC205" s="6">
        <v>51.85</v>
      </c>
      <c r="BD205" s="6">
        <v>50.92</v>
      </c>
      <c r="BE205" s="6">
        <v>51.88</v>
      </c>
      <c r="BF205" s="6">
        <v>51.84</v>
      </c>
      <c r="BG205" s="6">
        <v>52.98</v>
      </c>
      <c r="BH205" s="6">
        <v>51.6</v>
      </c>
      <c r="BI205" s="6">
        <v>50.36</v>
      </c>
      <c r="BJ205" s="6">
        <v>51.48</v>
      </c>
      <c r="BK205" s="6">
        <v>51.98</v>
      </c>
      <c r="BL205" s="6">
        <v>50.58</v>
      </c>
      <c r="BM205" s="7">
        <v>51.69</v>
      </c>
      <c r="BN205" s="10"/>
    </row>
    <row r="206" spans="1:66" ht="15.75" customHeight="1" x14ac:dyDescent="0.25">
      <c r="A206" s="4">
        <v>204</v>
      </c>
      <c r="B206" s="4"/>
      <c r="C206" s="4">
        <v>23</v>
      </c>
      <c r="D206" s="6">
        <v>51.57</v>
      </c>
      <c r="E206" s="6">
        <v>50.28</v>
      </c>
      <c r="F206" s="6">
        <v>49.51</v>
      </c>
      <c r="G206" s="6">
        <v>49.76</v>
      </c>
      <c r="H206" s="6">
        <v>51.88</v>
      </c>
      <c r="I206" s="6">
        <v>50.9</v>
      </c>
      <c r="J206" s="6">
        <v>49.69</v>
      </c>
      <c r="K206" s="6">
        <v>50.93</v>
      </c>
      <c r="L206" s="6">
        <v>52.76</v>
      </c>
      <c r="M206" s="6">
        <v>51.25</v>
      </c>
      <c r="N206" s="6">
        <v>49.75</v>
      </c>
      <c r="O206" s="6">
        <v>49.11</v>
      </c>
      <c r="P206" s="6">
        <v>50.43</v>
      </c>
      <c r="Q206" s="6">
        <v>53.57</v>
      </c>
      <c r="R206" s="6">
        <v>51.6</v>
      </c>
      <c r="S206" s="6">
        <v>50.98</v>
      </c>
      <c r="T206" s="6">
        <v>50.53</v>
      </c>
      <c r="U206" s="6">
        <v>51.65</v>
      </c>
      <c r="V206" s="6">
        <v>51.6</v>
      </c>
      <c r="W206" s="6">
        <v>51.38</v>
      </c>
      <c r="X206" s="6">
        <v>50.29</v>
      </c>
      <c r="Y206" s="6">
        <v>50.36</v>
      </c>
      <c r="Z206" s="6">
        <v>50.51</v>
      </c>
      <c r="AA206" s="6">
        <v>52.49</v>
      </c>
      <c r="AB206" s="6">
        <v>50.72</v>
      </c>
      <c r="AC206" s="6">
        <v>50.8</v>
      </c>
      <c r="AD206" s="6">
        <v>50.83</v>
      </c>
      <c r="AE206" s="6">
        <v>51.64</v>
      </c>
      <c r="AF206" s="6">
        <v>50.92</v>
      </c>
      <c r="AG206" s="6">
        <v>49.78</v>
      </c>
      <c r="AH206" s="6">
        <v>51</v>
      </c>
      <c r="AI206" s="6">
        <v>51.24</v>
      </c>
      <c r="AJ206" s="6">
        <v>51.25</v>
      </c>
      <c r="AK206" s="6">
        <v>51.35</v>
      </c>
      <c r="AL206" s="6">
        <v>50.41</v>
      </c>
      <c r="AM206" s="6">
        <v>52.05</v>
      </c>
      <c r="AN206" s="6">
        <v>50.23</v>
      </c>
      <c r="AO206" s="6">
        <v>51.3</v>
      </c>
      <c r="AP206" s="6">
        <v>49.59</v>
      </c>
      <c r="AQ206" s="6">
        <v>52.19</v>
      </c>
      <c r="AR206" s="6">
        <v>51.43</v>
      </c>
      <c r="AS206" s="6">
        <v>51.3</v>
      </c>
      <c r="AT206" s="6">
        <v>49.66</v>
      </c>
      <c r="AU206" s="6">
        <v>51.68</v>
      </c>
      <c r="AV206" s="6"/>
      <c r="AW206" s="6"/>
      <c r="AX206" s="6">
        <v>50.62</v>
      </c>
      <c r="AY206" s="6">
        <v>51.02</v>
      </c>
      <c r="AZ206" s="6">
        <v>51.74</v>
      </c>
      <c r="BA206" s="6">
        <v>50.87</v>
      </c>
      <c r="BB206" s="6">
        <v>49.95</v>
      </c>
      <c r="BC206" s="6">
        <v>51.87</v>
      </c>
      <c r="BD206" s="6">
        <v>51</v>
      </c>
      <c r="BE206" s="6">
        <v>51.88</v>
      </c>
      <c r="BF206" s="6">
        <v>51.84</v>
      </c>
      <c r="BG206" s="6">
        <v>53</v>
      </c>
      <c r="BH206" s="6">
        <v>51.62</v>
      </c>
      <c r="BI206" s="6">
        <v>50.45</v>
      </c>
      <c r="BJ206" s="6">
        <v>51.52</v>
      </c>
      <c r="BK206" s="6">
        <v>51.98</v>
      </c>
      <c r="BL206" s="6">
        <v>50.56</v>
      </c>
      <c r="BM206" s="7">
        <v>51.68</v>
      </c>
      <c r="BN206" s="10"/>
    </row>
    <row r="207" spans="1:66" ht="15.75" customHeight="1" x14ac:dyDescent="0.25">
      <c r="A207" s="4">
        <v>205</v>
      </c>
      <c r="B207" s="4"/>
      <c r="C207" s="4">
        <v>24</v>
      </c>
      <c r="D207" s="6">
        <v>51.62</v>
      </c>
      <c r="E207" s="6">
        <v>50.28</v>
      </c>
      <c r="F207" s="6">
        <v>49.66</v>
      </c>
      <c r="G207" s="6">
        <v>49.79</v>
      </c>
      <c r="H207" s="6">
        <v>51.86</v>
      </c>
      <c r="I207" s="6">
        <v>50.93</v>
      </c>
      <c r="J207" s="6">
        <v>49.73</v>
      </c>
      <c r="K207" s="6">
        <v>50.93</v>
      </c>
      <c r="L207" s="6">
        <v>52.74</v>
      </c>
      <c r="M207" s="6">
        <v>51.28</v>
      </c>
      <c r="N207" s="6">
        <v>49.76</v>
      </c>
      <c r="O207" s="6">
        <v>49.14</v>
      </c>
      <c r="P207" s="6">
        <v>50.41</v>
      </c>
      <c r="Q207" s="6">
        <v>53.64</v>
      </c>
      <c r="R207" s="6">
        <v>51.56</v>
      </c>
      <c r="S207" s="6">
        <v>50.91</v>
      </c>
      <c r="T207" s="6">
        <v>50.53</v>
      </c>
      <c r="U207" s="6">
        <v>51.65</v>
      </c>
      <c r="V207" s="6">
        <v>51.56</v>
      </c>
      <c r="W207" s="6">
        <v>51.38</v>
      </c>
      <c r="X207" s="6">
        <v>50.4</v>
      </c>
      <c r="Y207" s="6">
        <v>50.35</v>
      </c>
      <c r="Z207" s="6">
        <v>50.51</v>
      </c>
      <c r="AA207" s="6">
        <v>52.56</v>
      </c>
      <c r="AB207" s="6">
        <v>50.74</v>
      </c>
      <c r="AC207" s="6">
        <v>50.97</v>
      </c>
      <c r="AD207" s="6">
        <v>50.9</v>
      </c>
      <c r="AE207" s="6">
        <v>51.61</v>
      </c>
      <c r="AF207" s="6">
        <v>50.98</v>
      </c>
      <c r="AG207" s="6">
        <v>49.88</v>
      </c>
      <c r="AH207" s="6">
        <v>50.99</v>
      </c>
      <c r="AI207" s="6">
        <v>51.23</v>
      </c>
      <c r="AJ207" s="6">
        <v>51.29</v>
      </c>
      <c r="AK207" s="6">
        <v>51.46</v>
      </c>
      <c r="AL207" s="6">
        <v>50.46</v>
      </c>
      <c r="AM207" s="6">
        <v>52.08</v>
      </c>
      <c r="AN207" s="6">
        <v>50.25</v>
      </c>
      <c r="AO207" s="6">
        <v>51.28</v>
      </c>
      <c r="AP207" s="6">
        <v>49.62</v>
      </c>
      <c r="AQ207" s="6">
        <v>52.16</v>
      </c>
      <c r="AR207" s="6">
        <v>51.45</v>
      </c>
      <c r="AS207" s="6">
        <v>51.26</v>
      </c>
      <c r="AT207" s="6">
        <v>49.7</v>
      </c>
      <c r="AU207" s="6">
        <v>51.67</v>
      </c>
      <c r="AV207" s="6"/>
      <c r="AW207" s="6"/>
      <c r="AX207" s="6">
        <v>50.6</v>
      </c>
      <c r="AY207" s="6">
        <v>51</v>
      </c>
      <c r="AZ207" s="6">
        <v>51.7</v>
      </c>
      <c r="BA207" s="6">
        <v>50.98</v>
      </c>
      <c r="BB207" s="6">
        <v>50.01</v>
      </c>
      <c r="BC207" s="6">
        <v>51.85</v>
      </c>
      <c r="BD207" s="6">
        <v>51.04</v>
      </c>
      <c r="BE207" s="6">
        <v>51.87</v>
      </c>
      <c r="BF207" s="6">
        <v>51.8</v>
      </c>
      <c r="BG207" s="6">
        <v>53.04</v>
      </c>
      <c r="BH207" s="6">
        <v>51.62</v>
      </c>
      <c r="BI207" s="6">
        <v>50.52</v>
      </c>
      <c r="BJ207" s="6">
        <v>51.62</v>
      </c>
      <c r="BK207" s="6">
        <v>52</v>
      </c>
      <c r="BL207" s="6">
        <v>50.6</v>
      </c>
      <c r="BM207" s="7">
        <v>51.62</v>
      </c>
      <c r="BN207" s="10"/>
    </row>
    <row r="208" spans="1:66" ht="15.75" customHeight="1" x14ac:dyDescent="0.25">
      <c r="A208" s="4">
        <v>206</v>
      </c>
      <c r="B208" s="4"/>
      <c r="C208" s="4">
        <v>25</v>
      </c>
      <c r="D208" s="6">
        <v>51.68</v>
      </c>
      <c r="E208" s="6">
        <v>50.28</v>
      </c>
      <c r="F208" s="6">
        <v>49.66</v>
      </c>
      <c r="G208" s="6">
        <v>49.89</v>
      </c>
      <c r="H208" s="6">
        <v>51.86</v>
      </c>
      <c r="I208" s="6">
        <v>50.96</v>
      </c>
      <c r="J208" s="6">
        <v>49.69</v>
      </c>
      <c r="K208" s="6">
        <v>50.93</v>
      </c>
      <c r="L208" s="6">
        <v>52.71</v>
      </c>
      <c r="M208" s="6">
        <v>51.4</v>
      </c>
      <c r="N208" s="6">
        <v>49.79</v>
      </c>
      <c r="O208" s="6">
        <v>49.15</v>
      </c>
      <c r="P208" s="6">
        <v>50.37</v>
      </c>
      <c r="Q208" s="6">
        <v>53.66</v>
      </c>
      <c r="R208" s="6">
        <v>51.55</v>
      </c>
      <c r="S208" s="6">
        <v>50.83</v>
      </c>
      <c r="T208" s="6">
        <v>50.53</v>
      </c>
      <c r="U208" s="6">
        <v>51.65</v>
      </c>
      <c r="V208" s="6">
        <v>51.53</v>
      </c>
      <c r="W208" s="6">
        <v>51.38</v>
      </c>
      <c r="X208" s="6">
        <v>50.4</v>
      </c>
      <c r="Y208" s="6">
        <v>50.32</v>
      </c>
      <c r="Z208" s="6">
        <v>50.55</v>
      </c>
      <c r="AA208" s="6">
        <v>52.63</v>
      </c>
      <c r="AB208" s="6">
        <v>50.73</v>
      </c>
      <c r="AC208" s="6">
        <v>51.08</v>
      </c>
      <c r="AD208" s="6">
        <v>50.98</v>
      </c>
      <c r="AE208" s="6">
        <v>51.6</v>
      </c>
      <c r="AF208" s="6">
        <v>51.03</v>
      </c>
      <c r="AG208" s="6">
        <v>50.06</v>
      </c>
      <c r="AH208" s="6">
        <v>50.98</v>
      </c>
      <c r="AI208" s="6">
        <v>51.18</v>
      </c>
      <c r="AJ208" s="6">
        <v>51.35</v>
      </c>
      <c r="AK208" s="6">
        <v>51.48</v>
      </c>
      <c r="AL208" s="6">
        <v>50.49</v>
      </c>
      <c r="AM208" s="6">
        <v>52.06</v>
      </c>
      <c r="AN208" s="6">
        <v>50.33</v>
      </c>
      <c r="AO208" s="6">
        <v>51.3</v>
      </c>
      <c r="AP208" s="6">
        <v>49.64</v>
      </c>
      <c r="AQ208" s="6">
        <v>52.22</v>
      </c>
      <c r="AR208" s="6">
        <v>51.52</v>
      </c>
      <c r="AS208" s="6">
        <v>51.18</v>
      </c>
      <c r="AT208" s="6">
        <v>49.8</v>
      </c>
      <c r="AU208" s="6">
        <v>51.7</v>
      </c>
      <c r="AV208" s="6"/>
      <c r="AW208" s="6"/>
      <c r="AX208" s="6">
        <v>50.53</v>
      </c>
      <c r="AY208" s="6">
        <v>51.03</v>
      </c>
      <c r="AZ208" s="6">
        <v>51.66</v>
      </c>
      <c r="BA208" s="6">
        <v>51.02</v>
      </c>
      <c r="BB208" s="6">
        <v>50.04</v>
      </c>
      <c r="BC208" s="6">
        <v>51.84</v>
      </c>
      <c r="BD208" s="6">
        <v>51.06</v>
      </c>
      <c r="BE208" s="6">
        <v>51.88</v>
      </c>
      <c r="BF208" s="6">
        <v>51.76</v>
      </c>
      <c r="BG208" s="6">
        <v>53.1</v>
      </c>
      <c r="BH208" s="6">
        <v>51.6</v>
      </c>
      <c r="BI208" s="6">
        <v>50.55</v>
      </c>
      <c r="BJ208" s="6">
        <v>51.62</v>
      </c>
      <c r="BK208" s="6">
        <v>51.98</v>
      </c>
      <c r="BL208" s="6">
        <v>50.62</v>
      </c>
      <c r="BM208" s="7">
        <v>51.7</v>
      </c>
      <c r="BN208" s="10"/>
    </row>
    <row r="209" spans="1:66" ht="15.75" customHeight="1" x14ac:dyDescent="0.25">
      <c r="A209" s="4">
        <v>207</v>
      </c>
      <c r="B209" s="4"/>
      <c r="C209" s="4">
        <v>26</v>
      </c>
      <c r="D209" s="6">
        <v>51.76</v>
      </c>
      <c r="E209" s="6">
        <v>50.24</v>
      </c>
      <c r="F209" s="6">
        <v>49.74</v>
      </c>
      <c r="G209" s="6">
        <v>49.91</v>
      </c>
      <c r="H209" s="6">
        <v>51.96</v>
      </c>
      <c r="I209" s="6">
        <v>51.01</v>
      </c>
      <c r="J209" s="6">
        <v>49.7</v>
      </c>
      <c r="K209" s="6">
        <v>50.89</v>
      </c>
      <c r="L209" s="6">
        <v>52.66</v>
      </c>
      <c r="M209" s="6">
        <v>51.45</v>
      </c>
      <c r="N209" s="6">
        <v>49.81</v>
      </c>
      <c r="O209" s="6">
        <v>49.22</v>
      </c>
      <c r="P209" s="6">
        <v>50.4</v>
      </c>
      <c r="Q209" s="6">
        <v>53.66</v>
      </c>
      <c r="R209" s="6">
        <v>51.55</v>
      </c>
      <c r="S209" s="6">
        <v>50.73</v>
      </c>
      <c r="T209" s="6">
        <v>50.53</v>
      </c>
      <c r="U209" s="6">
        <v>51.66</v>
      </c>
      <c r="V209" s="6">
        <v>51.49</v>
      </c>
      <c r="W209" s="6">
        <v>51.34</v>
      </c>
      <c r="X209" s="6">
        <v>50.37</v>
      </c>
      <c r="Y209" s="6">
        <v>50.32</v>
      </c>
      <c r="Z209" s="6">
        <v>50.55</v>
      </c>
      <c r="AA209" s="6">
        <v>52.62</v>
      </c>
      <c r="AB209" s="6">
        <v>50.7</v>
      </c>
      <c r="AC209" s="6">
        <v>51.2</v>
      </c>
      <c r="AD209" s="6">
        <v>51</v>
      </c>
      <c r="AE209" s="6">
        <v>51.61</v>
      </c>
      <c r="AF209" s="6">
        <v>51.03</v>
      </c>
      <c r="AG209" s="6">
        <v>50.24</v>
      </c>
      <c r="AH209" s="6">
        <v>50.98</v>
      </c>
      <c r="AI209" s="6">
        <v>51.19</v>
      </c>
      <c r="AJ209" s="6">
        <v>51.36</v>
      </c>
      <c r="AK209" s="6">
        <v>51.45</v>
      </c>
      <c r="AL209" s="6">
        <v>50.57</v>
      </c>
      <c r="AM209" s="6">
        <v>52.06</v>
      </c>
      <c r="AN209" s="6">
        <v>50.34</v>
      </c>
      <c r="AO209" s="6">
        <v>51.36</v>
      </c>
      <c r="AP209" s="6">
        <v>49.66</v>
      </c>
      <c r="AQ209" s="6">
        <v>52.24</v>
      </c>
      <c r="AR209" s="6">
        <v>51.59</v>
      </c>
      <c r="AS209" s="6">
        <v>51.16</v>
      </c>
      <c r="AT209" s="6">
        <v>49.83</v>
      </c>
      <c r="AU209" s="6">
        <v>51.77</v>
      </c>
      <c r="AV209" s="6"/>
      <c r="AW209" s="6"/>
      <c r="AX209" s="6">
        <v>50.49</v>
      </c>
      <c r="AY209" s="6">
        <v>51.06</v>
      </c>
      <c r="AZ209" s="6">
        <v>51.72</v>
      </c>
      <c r="BA209" s="6">
        <v>51.06</v>
      </c>
      <c r="BB209" s="6">
        <v>50.14</v>
      </c>
      <c r="BC209" s="6">
        <v>51.93</v>
      </c>
      <c r="BD209" s="6">
        <v>51.05</v>
      </c>
      <c r="BE209" s="6">
        <v>51.93</v>
      </c>
      <c r="BF209" s="6">
        <v>51.8</v>
      </c>
      <c r="BG209" s="6">
        <v>53.3</v>
      </c>
      <c r="BH209" s="6">
        <v>51.56</v>
      </c>
      <c r="BI209" s="6">
        <v>50.58</v>
      </c>
      <c r="BJ209" s="6">
        <v>51.68</v>
      </c>
      <c r="BK209" s="6">
        <v>51.98</v>
      </c>
      <c r="BL209" s="6">
        <v>50.64</v>
      </c>
      <c r="BM209" s="7">
        <v>51.7</v>
      </c>
      <c r="BN209" s="10"/>
    </row>
    <row r="210" spans="1:66" ht="15.75" customHeight="1" x14ac:dyDescent="0.25">
      <c r="A210" s="4">
        <v>208</v>
      </c>
      <c r="B210" s="4"/>
      <c r="C210" s="4">
        <v>27</v>
      </c>
      <c r="D210" s="6">
        <v>51.73</v>
      </c>
      <c r="E210" s="6">
        <v>50.21</v>
      </c>
      <c r="F210" s="6">
        <v>49.78</v>
      </c>
      <c r="G210" s="6">
        <v>49.96</v>
      </c>
      <c r="H210" s="6">
        <v>51.96</v>
      </c>
      <c r="I210" s="6">
        <v>51.01</v>
      </c>
      <c r="J210" s="6">
        <v>49.7</v>
      </c>
      <c r="K210" s="6">
        <v>50.79</v>
      </c>
      <c r="L210" s="6">
        <v>52.62</v>
      </c>
      <c r="M210" s="6">
        <v>51.49</v>
      </c>
      <c r="N210" s="6">
        <v>49.82</v>
      </c>
      <c r="O210" s="6">
        <v>49.26</v>
      </c>
      <c r="P210" s="6">
        <v>50.37</v>
      </c>
      <c r="Q210" s="6">
        <v>53.61</v>
      </c>
      <c r="R210" s="6">
        <v>51.54</v>
      </c>
      <c r="S210" s="6">
        <v>50.64</v>
      </c>
      <c r="T210" s="6">
        <v>50.56</v>
      </c>
      <c r="U210" s="6">
        <v>51.66</v>
      </c>
      <c r="V210" s="6">
        <v>51.46</v>
      </c>
      <c r="W210" s="6">
        <v>51.31</v>
      </c>
      <c r="X210" s="6">
        <v>50.36</v>
      </c>
      <c r="Y210" s="6">
        <v>50.39</v>
      </c>
      <c r="Z210" s="6">
        <v>50.55</v>
      </c>
      <c r="AA210" s="6">
        <v>52.62</v>
      </c>
      <c r="AB210" s="6">
        <v>50.68</v>
      </c>
      <c r="AC210" s="6">
        <v>51.34</v>
      </c>
      <c r="AD210" s="6">
        <v>51</v>
      </c>
      <c r="AE210" s="6">
        <v>51.7</v>
      </c>
      <c r="AF210" s="6">
        <v>51.02</v>
      </c>
      <c r="AG210" s="6">
        <v>50.39</v>
      </c>
      <c r="AH210" s="6">
        <v>50.98</v>
      </c>
      <c r="AI210" s="6">
        <v>51.19</v>
      </c>
      <c r="AJ210" s="6">
        <v>51.38</v>
      </c>
      <c r="AK210" s="6">
        <v>51.39</v>
      </c>
      <c r="AL210" s="6">
        <v>50.58</v>
      </c>
      <c r="AM210" s="6">
        <v>52.06</v>
      </c>
      <c r="AN210" s="6">
        <v>50.37</v>
      </c>
      <c r="AO210" s="6">
        <v>51.34</v>
      </c>
      <c r="AP210" s="6">
        <v>49.68</v>
      </c>
      <c r="AQ210" s="6">
        <v>52.25</v>
      </c>
      <c r="AR210" s="6">
        <v>51.66</v>
      </c>
      <c r="AS210" s="6">
        <v>51.22</v>
      </c>
      <c r="AT210" s="6">
        <v>49.83</v>
      </c>
      <c r="AU210" s="6">
        <v>51.82</v>
      </c>
      <c r="AV210" s="6"/>
      <c r="AW210" s="6"/>
      <c r="AX210" s="6">
        <v>50.42</v>
      </c>
      <c r="AY210" s="6">
        <v>51.06</v>
      </c>
      <c r="AZ210" s="6">
        <v>51.7</v>
      </c>
      <c r="BA210" s="6">
        <v>51.06</v>
      </c>
      <c r="BB210" s="6">
        <v>50.22</v>
      </c>
      <c r="BC210" s="6">
        <v>52.06</v>
      </c>
      <c r="BD210" s="6">
        <v>51.06</v>
      </c>
      <c r="BE210" s="6">
        <v>51.92</v>
      </c>
      <c r="BF210" s="6">
        <v>51.81</v>
      </c>
      <c r="BG210" s="6">
        <v>53.38</v>
      </c>
      <c r="BH210" s="6">
        <v>51.56</v>
      </c>
      <c r="BI210" s="6">
        <v>50.66</v>
      </c>
      <c r="BJ210" s="6">
        <v>51.74</v>
      </c>
      <c r="BK210" s="6">
        <v>52.02</v>
      </c>
      <c r="BL210" s="6">
        <v>50.66</v>
      </c>
      <c r="BM210" s="7">
        <v>51.76</v>
      </c>
      <c r="BN210" s="10"/>
    </row>
    <row r="211" spans="1:66" ht="15.75" customHeight="1" x14ac:dyDescent="0.25">
      <c r="A211" s="4">
        <v>209</v>
      </c>
      <c r="B211" s="4"/>
      <c r="C211" s="4">
        <v>28</v>
      </c>
      <c r="D211" s="6">
        <v>51.74</v>
      </c>
      <c r="E211" s="6">
        <v>50.22</v>
      </c>
      <c r="F211" s="6">
        <v>49.8</v>
      </c>
      <c r="G211" s="6">
        <v>50.06</v>
      </c>
      <c r="H211" s="6">
        <v>52.16</v>
      </c>
      <c r="I211" s="6">
        <v>51.08</v>
      </c>
      <c r="J211" s="6">
        <v>49.71</v>
      </c>
      <c r="K211" s="6">
        <v>50.73</v>
      </c>
      <c r="L211" s="6">
        <v>52.56</v>
      </c>
      <c r="M211" s="6">
        <v>51.58</v>
      </c>
      <c r="N211" s="6">
        <v>49.89</v>
      </c>
      <c r="O211" s="6">
        <v>49.31</v>
      </c>
      <c r="P211" s="6">
        <v>50.41</v>
      </c>
      <c r="Q211" s="6">
        <v>53.54</v>
      </c>
      <c r="R211" s="6">
        <v>51.54</v>
      </c>
      <c r="S211" s="6">
        <v>50.52</v>
      </c>
      <c r="T211" s="6">
        <v>50.56</v>
      </c>
      <c r="U211" s="6">
        <v>51.66</v>
      </c>
      <c r="V211" s="6">
        <v>51.5</v>
      </c>
      <c r="W211" s="6">
        <v>51.28</v>
      </c>
      <c r="X211" s="6">
        <v>50.34</v>
      </c>
      <c r="Y211" s="6">
        <v>50.46</v>
      </c>
      <c r="Z211" s="6">
        <v>50.55</v>
      </c>
      <c r="AA211" s="6">
        <v>52.61</v>
      </c>
      <c r="AB211" s="6">
        <v>50.67</v>
      </c>
      <c r="AC211" s="6">
        <v>51.49</v>
      </c>
      <c r="AD211" s="6">
        <v>51</v>
      </c>
      <c r="AE211" s="6">
        <v>51.62</v>
      </c>
      <c r="AF211" s="6">
        <v>51</v>
      </c>
      <c r="AG211" s="6">
        <v>50.52</v>
      </c>
      <c r="AH211" s="6">
        <v>50.9</v>
      </c>
      <c r="AI211" s="6">
        <v>51.21</v>
      </c>
      <c r="AJ211" s="6">
        <v>51.38</v>
      </c>
      <c r="AK211" s="6">
        <v>51.39</v>
      </c>
      <c r="AL211" s="6">
        <v>50.61</v>
      </c>
      <c r="AM211" s="6">
        <v>52.08</v>
      </c>
      <c r="AN211" s="6">
        <v>50.45</v>
      </c>
      <c r="AO211" s="6">
        <v>51.36</v>
      </c>
      <c r="AP211" s="6">
        <v>49.67</v>
      </c>
      <c r="AQ211" s="6">
        <v>52.23</v>
      </c>
      <c r="AR211" s="6">
        <v>51.72</v>
      </c>
      <c r="AS211" s="6">
        <v>51.18</v>
      </c>
      <c r="AT211" s="6">
        <v>49.86</v>
      </c>
      <c r="AU211" s="6">
        <v>51.89</v>
      </c>
      <c r="AV211" s="6"/>
      <c r="AW211" s="6"/>
      <c r="AX211" s="6">
        <v>50.4</v>
      </c>
      <c r="AY211" s="6">
        <v>51.06</v>
      </c>
      <c r="AZ211" s="6">
        <v>51.72</v>
      </c>
      <c r="BA211" s="6">
        <v>51.04</v>
      </c>
      <c r="BB211" s="6">
        <v>50.29</v>
      </c>
      <c r="BC211" s="6">
        <v>52.07</v>
      </c>
      <c r="BD211" s="6">
        <v>51.06</v>
      </c>
      <c r="BE211" s="6">
        <v>51.94</v>
      </c>
      <c r="BF211" s="6">
        <v>51.9</v>
      </c>
      <c r="BG211" s="6">
        <v>53.58</v>
      </c>
      <c r="BH211" s="6">
        <v>51.55</v>
      </c>
      <c r="BI211" s="6">
        <v>50.69</v>
      </c>
      <c r="BJ211" s="6">
        <v>51.81</v>
      </c>
      <c r="BK211" s="6">
        <v>52.08</v>
      </c>
      <c r="BL211" s="6">
        <v>50.64</v>
      </c>
      <c r="BM211" s="7">
        <v>51.78</v>
      </c>
      <c r="BN211" s="10"/>
    </row>
    <row r="212" spans="1:66" ht="15.75" customHeight="1" x14ac:dyDescent="0.25">
      <c r="A212" s="4">
        <v>210</v>
      </c>
      <c r="B212" s="4"/>
      <c r="C212" s="4">
        <v>29</v>
      </c>
      <c r="D212" s="6">
        <v>51.76</v>
      </c>
      <c r="E212" s="6">
        <v>50.23</v>
      </c>
      <c r="F212" s="6">
        <v>49.83</v>
      </c>
      <c r="G212" s="6">
        <v>50.11</v>
      </c>
      <c r="H212" s="6">
        <v>52.31</v>
      </c>
      <c r="I212" s="6">
        <v>51.12</v>
      </c>
      <c r="J212" s="6">
        <v>49.81</v>
      </c>
      <c r="K212" s="6">
        <v>50.63</v>
      </c>
      <c r="L212" s="6">
        <v>52.47</v>
      </c>
      <c r="M212" s="6">
        <v>51.68</v>
      </c>
      <c r="N212" s="6">
        <v>49.96</v>
      </c>
      <c r="O212" s="6">
        <v>49.37</v>
      </c>
      <c r="P212" s="6">
        <v>50.38</v>
      </c>
      <c r="Q212" s="6">
        <v>53.47</v>
      </c>
      <c r="R212" s="6">
        <v>51.54</v>
      </c>
      <c r="S212" s="6">
        <v>50.4</v>
      </c>
      <c r="T212" s="6">
        <v>50.57</v>
      </c>
      <c r="U212" s="6">
        <v>51.66</v>
      </c>
      <c r="V212" s="6">
        <v>51.53</v>
      </c>
      <c r="W212" s="6">
        <v>51.3</v>
      </c>
      <c r="X212" s="6">
        <v>50.34</v>
      </c>
      <c r="Y212" s="6">
        <v>50.53</v>
      </c>
      <c r="Z212" s="6">
        <v>50.55</v>
      </c>
      <c r="AA212" s="6">
        <v>52.56</v>
      </c>
      <c r="AB212" s="6">
        <v>50.65</v>
      </c>
      <c r="AC212" s="6">
        <v>51.52</v>
      </c>
      <c r="AD212" s="6">
        <v>51</v>
      </c>
      <c r="AE212" s="6">
        <v>51.59</v>
      </c>
      <c r="AF212" s="6">
        <v>50.99</v>
      </c>
      <c r="AG212" s="6">
        <v>50.68</v>
      </c>
      <c r="AH212" s="6">
        <v>50.86</v>
      </c>
      <c r="AI212" s="6">
        <v>51.18</v>
      </c>
      <c r="AJ212" s="6">
        <v>51.37</v>
      </c>
      <c r="AK212" s="6">
        <v>51.41</v>
      </c>
      <c r="AL212" s="6">
        <v>50.66</v>
      </c>
      <c r="AM212" s="6">
        <v>52.11</v>
      </c>
      <c r="AN212" s="6">
        <v>50.5</v>
      </c>
      <c r="AO212" s="6">
        <v>51.38</v>
      </c>
      <c r="AP212" s="6">
        <v>49.65</v>
      </c>
      <c r="AQ212" s="6">
        <v>52.2</v>
      </c>
      <c r="AR212" s="6">
        <v>51.76</v>
      </c>
      <c r="AS212" s="6">
        <v>51.18</v>
      </c>
      <c r="AT212" s="6">
        <v>49.99</v>
      </c>
      <c r="AU212" s="6">
        <v>52</v>
      </c>
      <c r="AV212" s="6"/>
      <c r="AW212" s="6"/>
      <c r="AX212" s="6">
        <v>50.4</v>
      </c>
      <c r="AY212" s="6">
        <v>51.04</v>
      </c>
      <c r="AZ212" s="6">
        <v>51.75</v>
      </c>
      <c r="BA212" s="6">
        <v>51</v>
      </c>
      <c r="BB212" s="6">
        <v>50.35</v>
      </c>
      <c r="BC212" s="6">
        <v>52.06</v>
      </c>
      <c r="BD212" s="6">
        <v>51.06</v>
      </c>
      <c r="BE212" s="6">
        <v>51.95</v>
      </c>
      <c r="BF212" s="6">
        <v>51.99</v>
      </c>
      <c r="BG212" s="6">
        <v>53.62</v>
      </c>
      <c r="BH212" s="6">
        <v>51.54</v>
      </c>
      <c r="BI212" s="6">
        <v>50.67</v>
      </c>
      <c r="BJ212" s="6">
        <v>51.84</v>
      </c>
      <c r="BK212" s="6">
        <v>52.1</v>
      </c>
      <c r="BL212" s="6">
        <v>50.64</v>
      </c>
      <c r="BM212" s="7">
        <v>51.78</v>
      </c>
      <c r="BN212" s="10"/>
    </row>
    <row r="213" spans="1:66" ht="15.75" customHeight="1" x14ac:dyDescent="0.25">
      <c r="A213" s="4">
        <v>211</v>
      </c>
      <c r="B213" s="4"/>
      <c r="C213" s="4">
        <v>30</v>
      </c>
      <c r="D213" s="6">
        <v>51.7</v>
      </c>
      <c r="E213" s="6">
        <v>50.25</v>
      </c>
      <c r="F213" s="6">
        <v>49.89</v>
      </c>
      <c r="G213" s="6">
        <v>50.18</v>
      </c>
      <c r="H213" s="6">
        <v>52.41</v>
      </c>
      <c r="I213" s="6">
        <v>51.12</v>
      </c>
      <c r="J213" s="6">
        <v>49.86</v>
      </c>
      <c r="K213" s="6">
        <v>50.57</v>
      </c>
      <c r="L213" s="6">
        <v>52.41</v>
      </c>
      <c r="M213" s="6">
        <v>51.74</v>
      </c>
      <c r="N213" s="6">
        <v>49.96</v>
      </c>
      <c r="O213" s="6">
        <v>49.43</v>
      </c>
      <c r="P213" s="6">
        <v>50.36</v>
      </c>
      <c r="Q213" s="6">
        <v>53.48</v>
      </c>
      <c r="R213" s="6">
        <v>51.54</v>
      </c>
      <c r="S213" s="6">
        <v>50.27</v>
      </c>
      <c r="T213" s="6">
        <v>50.61</v>
      </c>
      <c r="U213" s="6">
        <v>51.63</v>
      </c>
      <c r="V213" s="6">
        <v>51.53</v>
      </c>
      <c r="W213" s="6">
        <v>51.38</v>
      </c>
      <c r="X213" s="6">
        <v>50.34</v>
      </c>
      <c r="Y213" s="6">
        <v>50.65</v>
      </c>
      <c r="Z213" s="6">
        <v>50.58</v>
      </c>
      <c r="AA213" s="6">
        <v>52.52</v>
      </c>
      <c r="AB213" s="6">
        <v>50.72</v>
      </c>
      <c r="AC213" s="6">
        <v>51.52</v>
      </c>
      <c r="AD213" s="6">
        <v>50.95</v>
      </c>
      <c r="AE213" s="6">
        <v>51.55</v>
      </c>
      <c r="AF213" s="6">
        <v>51.03</v>
      </c>
      <c r="AG213" s="6">
        <v>50.92</v>
      </c>
      <c r="AH213" s="6">
        <v>50.82</v>
      </c>
      <c r="AI213" s="6">
        <v>51.21</v>
      </c>
      <c r="AJ213" s="6">
        <v>51.36</v>
      </c>
      <c r="AK213" s="6">
        <v>51.31</v>
      </c>
      <c r="AL213" s="6">
        <v>50.62</v>
      </c>
      <c r="AM213" s="6">
        <v>52.13</v>
      </c>
      <c r="AN213" s="6">
        <v>50.53</v>
      </c>
      <c r="AO213" s="6">
        <v>51.44</v>
      </c>
      <c r="AP213" s="6">
        <v>49.66</v>
      </c>
      <c r="AQ213" s="6">
        <v>52.17</v>
      </c>
      <c r="AR213" s="6">
        <v>51.76</v>
      </c>
      <c r="AS213" s="6">
        <v>51.19</v>
      </c>
      <c r="AT213" s="6">
        <v>50.02</v>
      </c>
      <c r="AU213" s="6">
        <v>52.06</v>
      </c>
      <c r="AV213" s="6"/>
      <c r="AW213" s="6"/>
      <c r="AX213" s="6">
        <v>50.41</v>
      </c>
      <c r="AY213" s="6">
        <v>51.03</v>
      </c>
      <c r="AZ213" s="6">
        <v>51.86</v>
      </c>
      <c r="BA213" s="6">
        <v>50.96</v>
      </c>
      <c r="BB213" s="6">
        <v>50.4</v>
      </c>
      <c r="BC213" s="6">
        <v>52.18</v>
      </c>
      <c r="BD213" s="6">
        <v>51.06</v>
      </c>
      <c r="BE213" s="6">
        <v>51.97</v>
      </c>
      <c r="BF213" s="6">
        <v>51.99</v>
      </c>
      <c r="BG213" s="6">
        <v>53.67</v>
      </c>
      <c r="BH213" s="6">
        <v>51.49</v>
      </c>
      <c r="BI213" s="6">
        <v>50.68</v>
      </c>
      <c r="BJ213" s="6">
        <v>51.88</v>
      </c>
      <c r="BK213" s="6">
        <v>52.1</v>
      </c>
      <c r="BL213" s="6">
        <v>50.62</v>
      </c>
      <c r="BM213" s="7">
        <v>51.72</v>
      </c>
      <c r="BN213" s="10"/>
    </row>
    <row r="214" spans="1:66" ht="15.75" customHeight="1" x14ac:dyDescent="0.25">
      <c r="A214" s="4">
        <v>212</v>
      </c>
      <c r="B214" s="4"/>
      <c r="C214" s="4">
        <v>31</v>
      </c>
      <c r="D214" s="6">
        <v>51.65</v>
      </c>
      <c r="E214" s="6">
        <v>50.19</v>
      </c>
      <c r="F214" s="6">
        <v>49.95</v>
      </c>
      <c r="G214" s="6">
        <v>50.24</v>
      </c>
      <c r="H214" s="6">
        <v>52.55</v>
      </c>
      <c r="I214" s="6">
        <v>51.21</v>
      </c>
      <c r="J214" s="6">
        <v>49.84</v>
      </c>
      <c r="K214" s="6">
        <v>50.47</v>
      </c>
      <c r="L214" s="6">
        <v>52.36</v>
      </c>
      <c r="M214" s="6">
        <v>51.75</v>
      </c>
      <c r="N214" s="6">
        <v>49.98</v>
      </c>
      <c r="O214" s="6">
        <v>49.63</v>
      </c>
      <c r="P214" s="6">
        <v>50.36</v>
      </c>
      <c r="Q214" s="6">
        <v>53.48</v>
      </c>
      <c r="R214" s="6">
        <v>51.54</v>
      </c>
      <c r="S214" s="6">
        <v>50.26</v>
      </c>
      <c r="T214" s="6">
        <v>50.69</v>
      </c>
      <c r="U214" s="6">
        <v>51.61</v>
      </c>
      <c r="V214" s="6">
        <v>51.52</v>
      </c>
      <c r="W214" s="6">
        <v>51.41</v>
      </c>
      <c r="X214" s="6">
        <v>50.34</v>
      </c>
      <c r="Y214" s="6">
        <v>50.68</v>
      </c>
      <c r="Z214" s="6">
        <v>50.65</v>
      </c>
      <c r="AA214" s="6">
        <v>52.44</v>
      </c>
      <c r="AB214" s="6">
        <v>50.74</v>
      </c>
      <c r="AC214" s="6">
        <v>51.55</v>
      </c>
      <c r="AD214" s="6">
        <v>50.87</v>
      </c>
      <c r="AE214" s="6">
        <v>51.57</v>
      </c>
      <c r="AF214" s="6">
        <v>51.08</v>
      </c>
      <c r="AG214" s="6">
        <v>51.12</v>
      </c>
      <c r="AH214" s="6">
        <v>50.92</v>
      </c>
      <c r="AI214" s="6">
        <v>51.26</v>
      </c>
      <c r="AJ214" s="6">
        <v>51.37</v>
      </c>
      <c r="AK214" s="6">
        <v>51.37</v>
      </c>
      <c r="AL214" s="6">
        <v>50.57</v>
      </c>
      <c r="AM214" s="6">
        <v>52.16</v>
      </c>
      <c r="AN214" s="6">
        <v>50.67</v>
      </c>
      <c r="AO214" s="6">
        <v>51.48</v>
      </c>
      <c r="AP214" s="6">
        <v>49.63</v>
      </c>
      <c r="AQ214" s="6">
        <v>52.16</v>
      </c>
      <c r="AR214" s="6">
        <v>51.87</v>
      </c>
      <c r="AS214" s="6">
        <v>51.18</v>
      </c>
      <c r="AT214" s="6">
        <v>50.09</v>
      </c>
      <c r="AU214" s="6">
        <v>52.08</v>
      </c>
      <c r="AV214" s="6"/>
      <c r="AW214" s="6"/>
      <c r="AX214" s="6">
        <v>50.44</v>
      </c>
      <c r="AY214" s="6">
        <v>51.02</v>
      </c>
      <c r="AZ214" s="6">
        <v>51.95</v>
      </c>
      <c r="BA214" s="6">
        <v>50.92</v>
      </c>
      <c r="BB214" s="6">
        <v>50.44</v>
      </c>
      <c r="BC214" s="6">
        <v>52.19</v>
      </c>
      <c r="BD214" s="6">
        <v>51.08</v>
      </c>
      <c r="BE214" s="6">
        <v>51.98</v>
      </c>
      <c r="BF214" s="6">
        <v>52.16</v>
      </c>
      <c r="BG214" s="6">
        <v>53.78</v>
      </c>
      <c r="BH214" s="6">
        <v>51.48</v>
      </c>
      <c r="BI214" s="6">
        <v>50.6</v>
      </c>
      <c r="BJ214" s="6">
        <v>51.94</v>
      </c>
      <c r="BK214" s="6">
        <v>52.1</v>
      </c>
      <c r="BL214" s="6">
        <v>50.68</v>
      </c>
      <c r="BM214" s="7">
        <v>51.68</v>
      </c>
      <c r="BN214" s="10"/>
    </row>
    <row r="215" spans="1:66" ht="15.75" customHeight="1" x14ac:dyDescent="0.25">
      <c r="A215" s="4">
        <v>213</v>
      </c>
      <c r="B215" s="5" t="s">
        <v>11</v>
      </c>
      <c r="C215" s="4">
        <v>1</v>
      </c>
      <c r="D215" s="6">
        <v>51.64</v>
      </c>
      <c r="E215" s="6">
        <v>50.15</v>
      </c>
      <c r="F215" s="6">
        <v>50.01</v>
      </c>
      <c r="G215" s="6">
        <v>50.31</v>
      </c>
      <c r="H215" s="6">
        <v>52.59</v>
      </c>
      <c r="I215" s="6">
        <v>51.51</v>
      </c>
      <c r="J215" s="6">
        <v>49.86</v>
      </c>
      <c r="K215" s="6">
        <v>50.39</v>
      </c>
      <c r="L215" s="6">
        <v>52.34</v>
      </c>
      <c r="M215" s="6">
        <v>51.7</v>
      </c>
      <c r="N215" s="6">
        <v>49.98</v>
      </c>
      <c r="O215" s="6">
        <v>49.77</v>
      </c>
      <c r="P215" s="6">
        <v>50.35</v>
      </c>
      <c r="Q215" s="6">
        <v>53.41</v>
      </c>
      <c r="R215" s="6">
        <v>51.53</v>
      </c>
      <c r="S215" s="6">
        <v>50.24</v>
      </c>
      <c r="T215" s="6">
        <v>50.71</v>
      </c>
      <c r="U215" s="6">
        <v>51.58</v>
      </c>
      <c r="V215" s="6">
        <v>51.52</v>
      </c>
      <c r="W215" s="6">
        <v>51.41</v>
      </c>
      <c r="X215" s="6">
        <v>50.38</v>
      </c>
      <c r="Y215" s="6">
        <v>50.72</v>
      </c>
      <c r="Z215" s="6">
        <v>50.76</v>
      </c>
      <c r="AA215" s="6">
        <v>52.38</v>
      </c>
      <c r="AB215" s="6">
        <v>50.88</v>
      </c>
      <c r="AC215" s="6">
        <v>51.55</v>
      </c>
      <c r="AD215" s="6">
        <v>50.82</v>
      </c>
      <c r="AE215" s="6">
        <v>51.58</v>
      </c>
      <c r="AF215" s="6">
        <v>51.2</v>
      </c>
      <c r="AG215" s="6">
        <v>51.24</v>
      </c>
      <c r="AH215" s="6">
        <v>50.98</v>
      </c>
      <c r="AI215" s="6">
        <v>51.23</v>
      </c>
      <c r="AJ215" s="6">
        <v>51.38</v>
      </c>
      <c r="AK215" s="6">
        <v>51.35</v>
      </c>
      <c r="AL215" s="6">
        <v>50.58</v>
      </c>
      <c r="AM215" s="6">
        <v>52.18</v>
      </c>
      <c r="AN215" s="6">
        <v>50.87</v>
      </c>
      <c r="AO215" s="6">
        <v>51.48</v>
      </c>
      <c r="AP215" s="6">
        <v>49.6</v>
      </c>
      <c r="AQ215" s="6">
        <v>52.2</v>
      </c>
      <c r="AR215" s="6">
        <v>52.03</v>
      </c>
      <c r="AS215" s="6">
        <v>51.18</v>
      </c>
      <c r="AT215" s="6">
        <v>50.12</v>
      </c>
      <c r="AU215" s="6">
        <v>52.1</v>
      </c>
      <c r="AV215" s="6"/>
      <c r="AW215" s="6"/>
      <c r="AX215" s="6">
        <v>50.53</v>
      </c>
      <c r="AY215" s="6">
        <v>51.03</v>
      </c>
      <c r="AZ215" s="6">
        <v>51.97</v>
      </c>
      <c r="BA215" s="6">
        <v>50.92</v>
      </c>
      <c r="BB215" s="6">
        <v>50.43</v>
      </c>
      <c r="BC215" s="6">
        <v>52.14</v>
      </c>
      <c r="BD215" s="6">
        <v>51.1</v>
      </c>
      <c r="BE215" s="6">
        <v>52.07</v>
      </c>
      <c r="BF215" s="6">
        <v>52.21</v>
      </c>
      <c r="BG215" s="6">
        <v>53.82</v>
      </c>
      <c r="BH215" s="6">
        <v>51.48</v>
      </c>
      <c r="BI215" s="6">
        <v>50.58</v>
      </c>
      <c r="BJ215" s="6">
        <v>51.98</v>
      </c>
      <c r="BK215" s="6">
        <v>52.1</v>
      </c>
      <c r="BL215" s="6">
        <v>50.78</v>
      </c>
      <c r="BM215" s="7">
        <v>51.58</v>
      </c>
      <c r="BN215" s="10"/>
    </row>
    <row r="216" spans="1:66" ht="15.75" customHeight="1" x14ac:dyDescent="0.25">
      <c r="A216" s="4">
        <v>214</v>
      </c>
      <c r="B216" s="4"/>
      <c r="C216" s="4">
        <v>2</v>
      </c>
      <c r="D216" s="6">
        <v>51.62</v>
      </c>
      <c r="E216" s="6">
        <v>50.13</v>
      </c>
      <c r="F216" s="6">
        <v>50.09</v>
      </c>
      <c r="G216" s="6">
        <v>50.41</v>
      </c>
      <c r="H216" s="6">
        <v>52.63</v>
      </c>
      <c r="I216" s="6">
        <v>51.59</v>
      </c>
      <c r="J216" s="6">
        <v>49.86</v>
      </c>
      <c r="K216" s="6">
        <v>50.32</v>
      </c>
      <c r="L216" s="6">
        <v>52.25</v>
      </c>
      <c r="M216" s="6">
        <v>51.66</v>
      </c>
      <c r="N216" s="6">
        <v>49.98</v>
      </c>
      <c r="O216" s="6">
        <v>49.9</v>
      </c>
      <c r="P216" s="6">
        <v>50.36</v>
      </c>
      <c r="Q216" s="6">
        <v>53.4</v>
      </c>
      <c r="R216" s="6">
        <v>51.51</v>
      </c>
      <c r="S216" s="6">
        <v>50.22</v>
      </c>
      <c r="T216" s="6">
        <v>50.71</v>
      </c>
      <c r="U216" s="6">
        <v>51.55</v>
      </c>
      <c r="V216" s="6">
        <v>51.49</v>
      </c>
      <c r="W216" s="6">
        <v>51.43</v>
      </c>
      <c r="X216" s="6">
        <v>50.4</v>
      </c>
      <c r="Y216" s="6">
        <v>50.79</v>
      </c>
      <c r="Z216" s="6">
        <v>50.85</v>
      </c>
      <c r="AA216" s="6">
        <v>52.34</v>
      </c>
      <c r="AB216" s="6">
        <v>51.05</v>
      </c>
      <c r="AC216" s="6">
        <v>51.53</v>
      </c>
      <c r="AD216" s="6">
        <v>50.79</v>
      </c>
      <c r="AE216" s="6">
        <v>51.49</v>
      </c>
      <c r="AF216" s="6">
        <v>51.34</v>
      </c>
      <c r="AG216" s="6">
        <v>51.21</v>
      </c>
      <c r="AH216" s="6">
        <v>51</v>
      </c>
      <c r="AI216" s="6">
        <v>51.25</v>
      </c>
      <c r="AJ216" s="6">
        <v>51.4</v>
      </c>
      <c r="AK216" s="6">
        <v>51.35</v>
      </c>
      <c r="AL216" s="6">
        <v>50.43</v>
      </c>
      <c r="AM216" s="6">
        <v>52.17</v>
      </c>
      <c r="AN216" s="6">
        <v>50.94</v>
      </c>
      <c r="AO216" s="6">
        <v>51.44</v>
      </c>
      <c r="AP216" s="6">
        <v>49.61</v>
      </c>
      <c r="AQ216" s="6">
        <v>52.2</v>
      </c>
      <c r="AR216" s="6">
        <v>52.03</v>
      </c>
      <c r="AS216" s="6">
        <v>51.16</v>
      </c>
      <c r="AT216" s="6">
        <v>50.12</v>
      </c>
      <c r="AU216" s="6">
        <v>52.1</v>
      </c>
      <c r="AV216" s="6"/>
      <c r="AW216" s="6"/>
      <c r="AX216" s="6">
        <v>50.59</v>
      </c>
      <c r="AY216" s="6">
        <v>51.01</v>
      </c>
      <c r="AZ216" s="6">
        <v>51.96</v>
      </c>
      <c r="BA216" s="6">
        <v>50.92</v>
      </c>
      <c r="BB216" s="6">
        <v>50.45</v>
      </c>
      <c r="BC216" s="6">
        <v>52.04</v>
      </c>
      <c r="BD216" s="6">
        <v>51.12</v>
      </c>
      <c r="BE216" s="6">
        <v>52.1</v>
      </c>
      <c r="BF216" s="6">
        <v>52.22</v>
      </c>
      <c r="BG216" s="6">
        <v>53.9</v>
      </c>
      <c r="BH216" s="6">
        <v>51.5</v>
      </c>
      <c r="BI216" s="6">
        <v>50.5</v>
      </c>
      <c r="BJ216" s="6">
        <v>52.04</v>
      </c>
      <c r="BK216" s="6">
        <v>52.15</v>
      </c>
      <c r="BL216" s="6">
        <v>50.9</v>
      </c>
      <c r="BM216" s="7">
        <v>51.5</v>
      </c>
      <c r="BN216" s="10"/>
    </row>
    <row r="217" spans="1:66" ht="15.75" customHeight="1" x14ac:dyDescent="0.25">
      <c r="A217" s="4">
        <v>215</v>
      </c>
      <c r="B217" s="4"/>
      <c r="C217" s="4">
        <v>3</v>
      </c>
      <c r="D217" s="6">
        <v>51.55</v>
      </c>
      <c r="E217" s="6">
        <v>50.11</v>
      </c>
      <c r="F217" s="6">
        <v>50.09</v>
      </c>
      <c r="G217" s="6">
        <v>50.41</v>
      </c>
      <c r="H217" s="6">
        <v>52.67</v>
      </c>
      <c r="I217" s="6">
        <v>51.64</v>
      </c>
      <c r="J217" s="6">
        <v>49.91</v>
      </c>
      <c r="K217" s="6">
        <v>50.26</v>
      </c>
      <c r="L217" s="6">
        <v>52.15</v>
      </c>
      <c r="M217" s="6">
        <v>51.62</v>
      </c>
      <c r="N217" s="6">
        <v>49.96</v>
      </c>
      <c r="O217" s="6">
        <v>49.98</v>
      </c>
      <c r="P217" s="6">
        <v>50.36</v>
      </c>
      <c r="Q217" s="6">
        <v>53.33</v>
      </c>
      <c r="R217" s="6">
        <v>51.47</v>
      </c>
      <c r="S217" s="6">
        <v>50.19</v>
      </c>
      <c r="T217" s="6">
        <v>50.71</v>
      </c>
      <c r="U217" s="6">
        <v>51.51</v>
      </c>
      <c r="V217" s="6">
        <v>51.5</v>
      </c>
      <c r="W217" s="6">
        <v>51.44</v>
      </c>
      <c r="X217" s="6">
        <v>50.62</v>
      </c>
      <c r="Y217" s="6">
        <v>50.78</v>
      </c>
      <c r="Z217" s="6">
        <v>50.88</v>
      </c>
      <c r="AA217" s="6">
        <v>52.29</v>
      </c>
      <c r="AB217" s="6">
        <v>51.28</v>
      </c>
      <c r="AC217" s="6">
        <v>51.48</v>
      </c>
      <c r="AD217" s="6">
        <v>50.76</v>
      </c>
      <c r="AE217" s="6">
        <v>51.41</v>
      </c>
      <c r="AF217" s="6">
        <v>51.39</v>
      </c>
      <c r="AG217" s="6">
        <v>51.2</v>
      </c>
      <c r="AH217" s="6">
        <v>51.01</v>
      </c>
      <c r="AI217" s="6">
        <v>51.26</v>
      </c>
      <c r="AJ217" s="6">
        <v>51.4</v>
      </c>
      <c r="AK217" s="6">
        <v>51.34</v>
      </c>
      <c r="AL217" s="6">
        <v>50.38</v>
      </c>
      <c r="AM217" s="6">
        <v>52.14</v>
      </c>
      <c r="AN217" s="6">
        <v>51.13</v>
      </c>
      <c r="AO217" s="6">
        <v>51.44</v>
      </c>
      <c r="AP217" s="6">
        <v>49.7</v>
      </c>
      <c r="AQ217" s="6">
        <v>52.19</v>
      </c>
      <c r="AR217" s="6">
        <v>52.02</v>
      </c>
      <c r="AS217" s="6">
        <v>51.12</v>
      </c>
      <c r="AT217" s="6">
        <v>50.1</v>
      </c>
      <c r="AU217" s="6">
        <v>52.1</v>
      </c>
      <c r="AV217" s="6"/>
      <c r="AW217" s="6"/>
      <c r="AX217" s="6">
        <v>50.61</v>
      </c>
      <c r="AY217" s="6">
        <v>51</v>
      </c>
      <c r="AZ217" s="6">
        <v>51.89</v>
      </c>
      <c r="BA217" s="6">
        <v>50.94</v>
      </c>
      <c r="BB217" s="6">
        <v>50.53</v>
      </c>
      <c r="BC217" s="6">
        <v>51.94</v>
      </c>
      <c r="BD217" s="6">
        <v>51.13</v>
      </c>
      <c r="BE217" s="6">
        <v>52.2</v>
      </c>
      <c r="BF217" s="6">
        <v>52.23</v>
      </c>
      <c r="BG217" s="6">
        <v>54.02</v>
      </c>
      <c r="BH217" s="6">
        <v>51.49</v>
      </c>
      <c r="BI217" s="6">
        <v>50.43</v>
      </c>
      <c r="BJ217" s="6">
        <v>52.08</v>
      </c>
      <c r="BK217" s="6">
        <v>52.2</v>
      </c>
      <c r="BL217" s="6">
        <v>50.94</v>
      </c>
      <c r="BM217" s="7">
        <v>51.46</v>
      </c>
      <c r="BN217" s="10"/>
    </row>
    <row r="218" spans="1:66" ht="15.75" customHeight="1" x14ac:dyDescent="0.25">
      <c r="A218" s="4">
        <v>216</v>
      </c>
      <c r="B218" s="4"/>
      <c r="C218" s="4">
        <v>4</v>
      </c>
      <c r="D218" s="6">
        <v>51.45</v>
      </c>
      <c r="E218" s="6">
        <v>50.12</v>
      </c>
      <c r="F218" s="6">
        <v>50.12</v>
      </c>
      <c r="G218" s="6">
        <v>50.51</v>
      </c>
      <c r="H218" s="6">
        <v>52.71</v>
      </c>
      <c r="I218" s="6">
        <v>51.68</v>
      </c>
      <c r="J218" s="6">
        <v>49.9</v>
      </c>
      <c r="K218" s="6">
        <v>50.2</v>
      </c>
      <c r="L218" s="6">
        <v>52.09</v>
      </c>
      <c r="M218" s="6">
        <v>51.54</v>
      </c>
      <c r="N218" s="6">
        <v>49.92</v>
      </c>
      <c r="O218" s="6">
        <v>50.06</v>
      </c>
      <c r="P218" s="6">
        <v>50.41</v>
      </c>
      <c r="Q218" s="6">
        <v>53.29</v>
      </c>
      <c r="R218" s="6">
        <v>51.47</v>
      </c>
      <c r="S218" s="6">
        <v>50.21</v>
      </c>
      <c r="T218" s="6">
        <v>50.66</v>
      </c>
      <c r="U218" s="6">
        <v>51.47</v>
      </c>
      <c r="V218" s="6">
        <v>51.47</v>
      </c>
      <c r="W218" s="6">
        <v>51.47</v>
      </c>
      <c r="X218" s="6">
        <v>50.81</v>
      </c>
      <c r="Y218" s="6">
        <v>50.78</v>
      </c>
      <c r="Z218" s="6">
        <v>50.94</v>
      </c>
      <c r="AA218" s="6">
        <v>52.24</v>
      </c>
      <c r="AB218" s="6">
        <v>51.42</v>
      </c>
      <c r="AC218" s="6">
        <v>51.52</v>
      </c>
      <c r="AD218" s="6">
        <v>50.74</v>
      </c>
      <c r="AE218" s="6">
        <v>51.32</v>
      </c>
      <c r="AF218" s="6">
        <v>51.44</v>
      </c>
      <c r="AG218" s="6">
        <v>51.15</v>
      </c>
      <c r="AH218" s="6">
        <v>50.98</v>
      </c>
      <c r="AI218" s="6">
        <v>51.4</v>
      </c>
      <c r="AJ218" s="6">
        <v>51.46</v>
      </c>
      <c r="AK218" s="6">
        <v>51.47</v>
      </c>
      <c r="AL218" s="6">
        <v>50.32</v>
      </c>
      <c r="AM218" s="6">
        <v>52.08</v>
      </c>
      <c r="AN218" s="6">
        <v>51.2</v>
      </c>
      <c r="AO218" s="6">
        <v>51.44</v>
      </c>
      <c r="AP218" s="6">
        <v>49.8</v>
      </c>
      <c r="AQ218" s="6">
        <v>52.14</v>
      </c>
      <c r="AR218" s="6">
        <v>52.06</v>
      </c>
      <c r="AS218" s="6">
        <v>51.05</v>
      </c>
      <c r="AT218" s="6">
        <v>50.14</v>
      </c>
      <c r="AU218" s="6">
        <v>52.12</v>
      </c>
      <c r="AV218" s="6"/>
      <c r="AW218" s="6"/>
      <c r="AX218" s="6">
        <v>50.62</v>
      </c>
      <c r="AY218" s="6">
        <v>51</v>
      </c>
      <c r="AZ218" s="6">
        <v>51.84</v>
      </c>
      <c r="BA218" s="6">
        <v>50.94</v>
      </c>
      <c r="BB218" s="6">
        <v>50.54</v>
      </c>
      <c r="BC218" s="6">
        <v>51.85</v>
      </c>
      <c r="BD218" s="6">
        <v>51.13</v>
      </c>
      <c r="BE218" s="6">
        <v>52.25</v>
      </c>
      <c r="BF218" s="6">
        <v>52.23</v>
      </c>
      <c r="BG218" s="6">
        <v>54.17</v>
      </c>
      <c r="BH218" s="6">
        <v>51.6</v>
      </c>
      <c r="BI218" s="6">
        <v>50.38</v>
      </c>
      <c r="BJ218" s="6">
        <v>52.14</v>
      </c>
      <c r="BK218" s="6">
        <v>52.18</v>
      </c>
      <c r="BL218" s="6">
        <v>50.96</v>
      </c>
      <c r="BM218" s="7">
        <v>51.38</v>
      </c>
      <c r="BN218" s="10"/>
    </row>
    <row r="219" spans="1:66" ht="15.75" customHeight="1" x14ac:dyDescent="0.25">
      <c r="A219" s="4">
        <v>217</v>
      </c>
      <c r="B219" s="4"/>
      <c r="C219" s="4">
        <v>5</v>
      </c>
      <c r="D219" s="6">
        <v>51.35</v>
      </c>
      <c r="E219" s="6">
        <v>50.14</v>
      </c>
      <c r="F219" s="6">
        <v>50.14</v>
      </c>
      <c r="G219" s="6">
        <v>50.44</v>
      </c>
      <c r="H219" s="6">
        <v>52.91</v>
      </c>
      <c r="I219" s="6">
        <v>51.64</v>
      </c>
      <c r="J219" s="6">
        <v>49.88</v>
      </c>
      <c r="K219" s="6">
        <v>50.17</v>
      </c>
      <c r="L219" s="6">
        <v>52.04</v>
      </c>
      <c r="M219" s="6">
        <v>51.46</v>
      </c>
      <c r="N219" s="6">
        <v>49.87</v>
      </c>
      <c r="O219" s="6">
        <v>50.08</v>
      </c>
      <c r="P219" s="6">
        <v>50.43</v>
      </c>
      <c r="Q219" s="6">
        <v>53.24</v>
      </c>
      <c r="R219" s="6">
        <v>51.46</v>
      </c>
      <c r="S219" s="6">
        <v>50.28</v>
      </c>
      <c r="T219" s="6">
        <v>50.64</v>
      </c>
      <c r="U219" s="6">
        <v>51.41</v>
      </c>
      <c r="V219" s="6">
        <v>51.36</v>
      </c>
      <c r="W219" s="6">
        <v>51.42</v>
      </c>
      <c r="X219" s="6">
        <v>50.93</v>
      </c>
      <c r="Y219" s="6">
        <v>50.74</v>
      </c>
      <c r="Z219" s="6">
        <v>50.9</v>
      </c>
      <c r="AA219" s="6">
        <v>52.25</v>
      </c>
      <c r="AB219" s="6">
        <v>51.46</v>
      </c>
      <c r="AC219" s="6">
        <v>51.48</v>
      </c>
      <c r="AD219" s="6">
        <v>50.72</v>
      </c>
      <c r="AE219" s="6">
        <v>51.24</v>
      </c>
      <c r="AF219" s="6">
        <v>51.5</v>
      </c>
      <c r="AG219" s="6">
        <v>51.14</v>
      </c>
      <c r="AH219" s="6">
        <v>50.94</v>
      </c>
      <c r="AI219" s="6">
        <v>51.46</v>
      </c>
      <c r="AJ219" s="6">
        <v>51.44</v>
      </c>
      <c r="AK219" s="6">
        <v>51.56</v>
      </c>
      <c r="AL219" s="6">
        <v>50.31</v>
      </c>
      <c r="AM219" s="6">
        <v>52</v>
      </c>
      <c r="AN219" s="6">
        <v>51.26</v>
      </c>
      <c r="AO219" s="6">
        <v>51.41</v>
      </c>
      <c r="AP219" s="6">
        <v>49.8</v>
      </c>
      <c r="AQ219" s="6">
        <v>52.11</v>
      </c>
      <c r="AR219" s="6">
        <v>52.06</v>
      </c>
      <c r="AS219" s="6">
        <v>51.02</v>
      </c>
      <c r="AT219" s="6">
        <v>50.18</v>
      </c>
      <c r="AU219" s="6">
        <v>52.12</v>
      </c>
      <c r="AV219" s="6"/>
      <c r="AW219" s="6"/>
      <c r="AX219" s="6">
        <v>50.63</v>
      </c>
      <c r="AY219" s="6">
        <v>51</v>
      </c>
      <c r="AZ219" s="6">
        <v>51.76</v>
      </c>
      <c r="BA219" s="6">
        <v>50.96</v>
      </c>
      <c r="BB219" s="6">
        <v>50.52</v>
      </c>
      <c r="BC219" s="6">
        <v>51.76</v>
      </c>
      <c r="BD219" s="6">
        <v>51.16</v>
      </c>
      <c r="BE219" s="6">
        <v>52.22</v>
      </c>
      <c r="BF219" s="6">
        <v>52.19</v>
      </c>
      <c r="BG219" s="6">
        <v>54.13</v>
      </c>
      <c r="BH219" s="6">
        <v>51.68</v>
      </c>
      <c r="BI219" s="6">
        <v>50.3</v>
      </c>
      <c r="BJ219" s="6">
        <v>52.16</v>
      </c>
      <c r="BK219" s="6">
        <v>52.14</v>
      </c>
      <c r="BL219" s="6">
        <v>50.99</v>
      </c>
      <c r="BM219" s="7">
        <v>51.32</v>
      </c>
      <c r="BN219" s="10"/>
    </row>
    <row r="220" spans="1:66" ht="15.75" customHeight="1" x14ac:dyDescent="0.25">
      <c r="A220" s="4">
        <v>218</v>
      </c>
      <c r="B220" s="4"/>
      <c r="C220" s="4">
        <v>6</v>
      </c>
      <c r="D220" s="6">
        <v>51.36</v>
      </c>
      <c r="E220" s="6">
        <v>50.12</v>
      </c>
      <c r="F220" s="6">
        <v>50.21</v>
      </c>
      <c r="G220" s="6">
        <v>50.44</v>
      </c>
      <c r="H220" s="6">
        <v>52.96</v>
      </c>
      <c r="I220" s="6">
        <v>51.56</v>
      </c>
      <c r="J220" s="6">
        <v>49.88</v>
      </c>
      <c r="K220" s="6">
        <v>50.11</v>
      </c>
      <c r="L220" s="6">
        <v>51.99</v>
      </c>
      <c r="M220" s="6">
        <v>51.37</v>
      </c>
      <c r="N220" s="6">
        <v>49.84</v>
      </c>
      <c r="O220" s="6">
        <v>50.16</v>
      </c>
      <c r="P220" s="6">
        <v>50.46</v>
      </c>
      <c r="Q220" s="6">
        <v>53.19</v>
      </c>
      <c r="R220" s="6">
        <v>51.54</v>
      </c>
      <c r="S220" s="6">
        <v>50.31</v>
      </c>
      <c r="T220" s="6">
        <v>50.62</v>
      </c>
      <c r="U220" s="6">
        <v>51.35</v>
      </c>
      <c r="V220" s="6">
        <v>51.34</v>
      </c>
      <c r="W220" s="6">
        <v>51.43</v>
      </c>
      <c r="X220" s="6">
        <v>51.02</v>
      </c>
      <c r="Y220" s="6">
        <v>50.7</v>
      </c>
      <c r="Z220" s="6">
        <v>50.9</v>
      </c>
      <c r="AA220" s="6">
        <v>52.24</v>
      </c>
      <c r="AB220" s="6">
        <v>51.44</v>
      </c>
      <c r="AC220" s="6">
        <v>51.42</v>
      </c>
      <c r="AD220" s="6">
        <v>50.65</v>
      </c>
      <c r="AE220" s="6">
        <v>51.13</v>
      </c>
      <c r="AF220" s="6">
        <v>51.51</v>
      </c>
      <c r="AG220" s="6">
        <v>51.13</v>
      </c>
      <c r="AH220" s="6">
        <v>50.92</v>
      </c>
      <c r="AI220" s="6">
        <v>51.44</v>
      </c>
      <c r="AJ220" s="6">
        <v>51.39</v>
      </c>
      <c r="AK220" s="6">
        <v>51.57</v>
      </c>
      <c r="AL220" s="6">
        <v>50.17</v>
      </c>
      <c r="AM220" s="6">
        <v>51.92</v>
      </c>
      <c r="AN220" s="6">
        <v>51.28</v>
      </c>
      <c r="AO220" s="6">
        <v>51.47</v>
      </c>
      <c r="AP220" s="6">
        <v>49.96</v>
      </c>
      <c r="AQ220" s="6">
        <v>52.05</v>
      </c>
      <c r="AR220" s="6">
        <v>52.04</v>
      </c>
      <c r="AS220" s="6">
        <v>50.98</v>
      </c>
      <c r="AT220" s="6">
        <v>50.18</v>
      </c>
      <c r="AU220" s="6">
        <v>52.08</v>
      </c>
      <c r="AV220" s="6"/>
      <c r="AW220" s="6"/>
      <c r="AX220" s="6">
        <v>50.64</v>
      </c>
      <c r="AY220" s="6">
        <v>51.05</v>
      </c>
      <c r="AZ220" s="6">
        <v>51.7</v>
      </c>
      <c r="BA220" s="6">
        <v>51.02</v>
      </c>
      <c r="BB220" s="6">
        <v>50.49</v>
      </c>
      <c r="BC220" s="6">
        <v>51.66</v>
      </c>
      <c r="BD220" s="6">
        <v>51.16</v>
      </c>
      <c r="BE220" s="6">
        <v>52.25</v>
      </c>
      <c r="BF220" s="6">
        <v>52.22</v>
      </c>
      <c r="BG220" s="6">
        <v>54.2</v>
      </c>
      <c r="BH220" s="6">
        <v>51.78</v>
      </c>
      <c r="BI220" s="6">
        <v>50.22</v>
      </c>
      <c r="BJ220" s="6">
        <v>52.17</v>
      </c>
      <c r="BK220" s="6">
        <v>52.1</v>
      </c>
      <c r="BL220" s="6">
        <v>50.96</v>
      </c>
      <c r="BM220" s="7">
        <v>51.32</v>
      </c>
      <c r="BN220" s="10"/>
    </row>
    <row r="221" spans="1:66" ht="15.75" customHeight="1" x14ac:dyDescent="0.25">
      <c r="A221" s="4">
        <v>219</v>
      </c>
      <c r="B221" s="4"/>
      <c r="C221" s="4">
        <v>7</v>
      </c>
      <c r="D221" s="6">
        <v>51.44</v>
      </c>
      <c r="E221" s="6">
        <v>50.09</v>
      </c>
      <c r="F221" s="6">
        <v>50.27</v>
      </c>
      <c r="G221" s="6">
        <v>50.41</v>
      </c>
      <c r="H221" s="6">
        <v>52.91</v>
      </c>
      <c r="I221" s="6">
        <v>51.48</v>
      </c>
      <c r="J221" s="6">
        <v>49.92</v>
      </c>
      <c r="K221" s="6">
        <v>50.07</v>
      </c>
      <c r="L221" s="6">
        <v>51.96</v>
      </c>
      <c r="M221" s="6">
        <v>51.29</v>
      </c>
      <c r="N221" s="6">
        <v>49.8</v>
      </c>
      <c r="O221" s="6">
        <v>50.21</v>
      </c>
      <c r="P221" s="6">
        <v>50.47</v>
      </c>
      <c r="Q221" s="6">
        <v>53.14</v>
      </c>
      <c r="R221" s="6">
        <v>51.54</v>
      </c>
      <c r="S221" s="6">
        <v>50.3</v>
      </c>
      <c r="T221" s="6">
        <v>50.57</v>
      </c>
      <c r="U221" s="6">
        <v>51.29</v>
      </c>
      <c r="V221" s="6">
        <v>51.13</v>
      </c>
      <c r="W221" s="6">
        <v>51.39</v>
      </c>
      <c r="X221" s="6">
        <v>51.1</v>
      </c>
      <c r="Y221" s="6">
        <v>50.69</v>
      </c>
      <c r="Z221" s="6">
        <v>50.94</v>
      </c>
      <c r="AA221" s="6">
        <v>52.26</v>
      </c>
      <c r="AB221" s="6">
        <v>51.5</v>
      </c>
      <c r="AC221" s="6">
        <v>51.32</v>
      </c>
      <c r="AD221" s="6">
        <v>50.56</v>
      </c>
      <c r="AE221" s="6">
        <v>51.06</v>
      </c>
      <c r="AF221" s="6">
        <v>51.54</v>
      </c>
      <c r="AG221" s="6">
        <v>51.14</v>
      </c>
      <c r="AH221" s="6">
        <v>50.86</v>
      </c>
      <c r="AI221" s="6">
        <v>51.45</v>
      </c>
      <c r="AJ221" s="6">
        <v>51.3</v>
      </c>
      <c r="AK221" s="6">
        <v>51.53</v>
      </c>
      <c r="AL221" s="6">
        <v>50.07</v>
      </c>
      <c r="AM221" s="6">
        <v>51.98</v>
      </c>
      <c r="AN221" s="6">
        <v>51.32</v>
      </c>
      <c r="AO221" s="6">
        <v>51.48</v>
      </c>
      <c r="AP221" s="6">
        <v>50.02</v>
      </c>
      <c r="AQ221" s="6">
        <v>51.98</v>
      </c>
      <c r="AR221" s="6">
        <v>52.01</v>
      </c>
      <c r="AS221" s="6">
        <v>51.06</v>
      </c>
      <c r="AT221" s="6">
        <v>50.26</v>
      </c>
      <c r="AU221" s="6">
        <v>51.98</v>
      </c>
      <c r="AV221" s="6"/>
      <c r="AW221" s="6"/>
      <c r="AX221" s="6">
        <v>50.64</v>
      </c>
      <c r="AY221" s="6">
        <v>51.08</v>
      </c>
      <c r="AZ221" s="6">
        <v>51.64</v>
      </c>
      <c r="BA221" s="6">
        <v>51.06</v>
      </c>
      <c r="BB221" s="6">
        <v>50.46</v>
      </c>
      <c r="BC221" s="6">
        <v>51.72</v>
      </c>
      <c r="BD221" s="6">
        <v>51.15</v>
      </c>
      <c r="BE221" s="6">
        <v>52.21</v>
      </c>
      <c r="BF221" s="6">
        <v>52.2</v>
      </c>
      <c r="BG221" s="6">
        <v>54.18</v>
      </c>
      <c r="BH221" s="6">
        <v>51.8</v>
      </c>
      <c r="BI221" s="6">
        <v>50.2</v>
      </c>
      <c r="BJ221" s="6">
        <v>52.22</v>
      </c>
      <c r="BK221" s="6">
        <v>52.06</v>
      </c>
      <c r="BL221" s="6">
        <v>51</v>
      </c>
      <c r="BM221" s="7">
        <v>51.28</v>
      </c>
      <c r="BN221" s="10"/>
    </row>
    <row r="222" spans="1:66" ht="15.75" customHeight="1" x14ac:dyDescent="0.25">
      <c r="A222" s="4">
        <v>220</v>
      </c>
      <c r="B222" s="4"/>
      <c r="C222" s="4">
        <v>8</v>
      </c>
      <c r="D222" s="6">
        <v>51.51</v>
      </c>
      <c r="E222" s="6">
        <v>50.06</v>
      </c>
      <c r="F222" s="6">
        <v>50.27</v>
      </c>
      <c r="G222" s="6">
        <v>50.41</v>
      </c>
      <c r="H222" s="6">
        <v>52.91</v>
      </c>
      <c r="I222" s="6">
        <v>51.44</v>
      </c>
      <c r="J222" s="6">
        <v>49.94</v>
      </c>
      <c r="K222" s="6">
        <v>50.08</v>
      </c>
      <c r="L222" s="6">
        <v>51.95</v>
      </c>
      <c r="M222" s="6">
        <v>51.24</v>
      </c>
      <c r="N222" s="6">
        <v>49.8</v>
      </c>
      <c r="O222" s="6">
        <v>50.26</v>
      </c>
      <c r="P222" s="6">
        <v>50.47</v>
      </c>
      <c r="Q222" s="6">
        <v>53.07</v>
      </c>
      <c r="R222" s="6">
        <v>51.55</v>
      </c>
      <c r="S222" s="6">
        <v>50.27</v>
      </c>
      <c r="T222" s="6">
        <v>50.6</v>
      </c>
      <c r="U222" s="6">
        <v>51.2</v>
      </c>
      <c r="V222" s="6">
        <v>51.01</v>
      </c>
      <c r="W222" s="6">
        <v>51.38</v>
      </c>
      <c r="X222" s="6">
        <v>51.15</v>
      </c>
      <c r="Y222" s="6">
        <v>50.73</v>
      </c>
      <c r="Z222" s="6">
        <v>50.89</v>
      </c>
      <c r="AA222" s="6">
        <v>52.28</v>
      </c>
      <c r="AB222" s="6">
        <v>51.51</v>
      </c>
      <c r="AC222" s="6">
        <v>51.24</v>
      </c>
      <c r="AD222" s="6">
        <v>50.49</v>
      </c>
      <c r="AE222" s="6">
        <v>50.98</v>
      </c>
      <c r="AF222" s="6">
        <v>51.59</v>
      </c>
      <c r="AG222" s="6">
        <v>51.12</v>
      </c>
      <c r="AH222" s="6">
        <v>50.84</v>
      </c>
      <c r="AI222" s="6">
        <v>51.39</v>
      </c>
      <c r="AJ222" s="6">
        <v>51.3</v>
      </c>
      <c r="AK222" s="6">
        <v>51.47</v>
      </c>
      <c r="AL222" s="6">
        <v>50.06</v>
      </c>
      <c r="AM222" s="6">
        <v>51.82</v>
      </c>
      <c r="AN222" s="6">
        <v>51.39</v>
      </c>
      <c r="AO222" s="6">
        <v>51.5</v>
      </c>
      <c r="AP222" s="6">
        <v>50.06</v>
      </c>
      <c r="AQ222" s="6">
        <v>51.98</v>
      </c>
      <c r="AR222" s="6">
        <v>51.99</v>
      </c>
      <c r="AS222" s="6">
        <v>51.04</v>
      </c>
      <c r="AT222" s="6">
        <v>50.28</v>
      </c>
      <c r="AU222" s="6">
        <v>51.96</v>
      </c>
      <c r="AV222" s="6"/>
      <c r="AW222" s="6"/>
      <c r="AX222" s="6">
        <v>50.62</v>
      </c>
      <c r="AY222" s="6">
        <v>51.11</v>
      </c>
      <c r="AZ222" s="6">
        <v>51.58</v>
      </c>
      <c r="BA222" s="6">
        <v>51.06</v>
      </c>
      <c r="BB222" s="6">
        <v>50.46</v>
      </c>
      <c r="BC222" s="6">
        <v>51.72</v>
      </c>
      <c r="BD222" s="6">
        <v>51.12</v>
      </c>
      <c r="BE222" s="6">
        <v>52.17</v>
      </c>
      <c r="BF222" s="6">
        <v>52.14</v>
      </c>
      <c r="BG222" s="6">
        <v>54.22</v>
      </c>
      <c r="BH222" s="6">
        <v>51.8</v>
      </c>
      <c r="BI222" s="6">
        <v>50.16</v>
      </c>
      <c r="BJ222" s="6">
        <v>52.22</v>
      </c>
      <c r="BK222" s="6">
        <v>52.04</v>
      </c>
      <c r="BL222" s="6">
        <v>51.03</v>
      </c>
      <c r="BM222" s="7">
        <v>51.24</v>
      </c>
      <c r="BN222" s="10"/>
    </row>
    <row r="223" spans="1:66" ht="15.75" customHeight="1" x14ac:dyDescent="0.25">
      <c r="A223" s="4">
        <v>221</v>
      </c>
      <c r="B223" s="4"/>
      <c r="C223" s="4">
        <v>9</v>
      </c>
      <c r="D223" s="6">
        <v>51.54</v>
      </c>
      <c r="E223" s="6">
        <v>50.05</v>
      </c>
      <c r="F223" s="6">
        <v>50.29</v>
      </c>
      <c r="G223" s="6">
        <v>50.46</v>
      </c>
      <c r="H223" s="6">
        <v>52.96</v>
      </c>
      <c r="I223" s="6">
        <v>51.41</v>
      </c>
      <c r="J223" s="6">
        <v>49.96</v>
      </c>
      <c r="K223" s="6">
        <v>50.14</v>
      </c>
      <c r="L223" s="6">
        <v>51.96</v>
      </c>
      <c r="M223" s="6">
        <v>51.18</v>
      </c>
      <c r="N223" s="6">
        <v>49.77</v>
      </c>
      <c r="O223" s="6">
        <v>50.27</v>
      </c>
      <c r="P223" s="6">
        <v>50.47</v>
      </c>
      <c r="Q223" s="6">
        <v>53.02</v>
      </c>
      <c r="R223" s="6">
        <v>51.54</v>
      </c>
      <c r="S223" s="6">
        <v>50.26</v>
      </c>
      <c r="T223" s="6">
        <v>50.62</v>
      </c>
      <c r="U223" s="6">
        <v>51.21</v>
      </c>
      <c r="V223" s="6">
        <v>50.96</v>
      </c>
      <c r="W223" s="6">
        <v>51.3</v>
      </c>
      <c r="X223" s="6">
        <v>51.15</v>
      </c>
      <c r="Y223" s="6">
        <v>50.77</v>
      </c>
      <c r="Z223" s="6">
        <v>50.87</v>
      </c>
      <c r="AA223" s="6">
        <v>52.25</v>
      </c>
      <c r="AB223" s="6">
        <v>51.46</v>
      </c>
      <c r="AC223" s="6">
        <v>51.27</v>
      </c>
      <c r="AD223" s="6">
        <v>50.41</v>
      </c>
      <c r="AE223" s="6">
        <v>50.92</v>
      </c>
      <c r="AF223" s="6">
        <v>51.66</v>
      </c>
      <c r="AG223" s="6">
        <v>51.12</v>
      </c>
      <c r="AH223" s="6">
        <v>50.78</v>
      </c>
      <c r="AI223" s="6">
        <v>51.32</v>
      </c>
      <c r="AJ223" s="6">
        <v>51.24</v>
      </c>
      <c r="AK223" s="6">
        <v>51.42</v>
      </c>
      <c r="AL223" s="6">
        <v>50.06</v>
      </c>
      <c r="AM223" s="6">
        <v>51.72</v>
      </c>
      <c r="AN223" s="6">
        <v>51.42</v>
      </c>
      <c r="AO223" s="6">
        <v>51.48</v>
      </c>
      <c r="AP223" s="6">
        <v>50.06</v>
      </c>
      <c r="AQ223" s="6">
        <v>51.96</v>
      </c>
      <c r="AR223" s="6">
        <v>51.91</v>
      </c>
      <c r="AS223" s="6">
        <v>51.06</v>
      </c>
      <c r="AT223" s="6">
        <v>50.28</v>
      </c>
      <c r="AU223" s="6">
        <v>51.88</v>
      </c>
      <c r="AV223" s="6"/>
      <c r="AW223" s="6"/>
      <c r="AX223" s="6">
        <v>50.64</v>
      </c>
      <c r="AY223" s="6">
        <v>51.12</v>
      </c>
      <c r="AZ223" s="6">
        <v>51.52</v>
      </c>
      <c r="BA223" s="6">
        <v>51.07</v>
      </c>
      <c r="BB223" s="6">
        <v>50.4</v>
      </c>
      <c r="BC223" s="6">
        <v>51.73</v>
      </c>
      <c r="BD223" s="6">
        <v>51.12</v>
      </c>
      <c r="BE223" s="6">
        <v>52.14</v>
      </c>
      <c r="BF223" s="6">
        <v>52.06</v>
      </c>
      <c r="BG223" s="6">
        <v>54.2</v>
      </c>
      <c r="BH223" s="6">
        <v>51.8</v>
      </c>
      <c r="BI223" s="6">
        <v>50.1</v>
      </c>
      <c r="BJ223" s="6">
        <v>52.18</v>
      </c>
      <c r="BK223" s="6">
        <v>52.02</v>
      </c>
      <c r="BL223" s="6">
        <v>50.98</v>
      </c>
      <c r="BM223" s="7">
        <v>51.18</v>
      </c>
      <c r="BN223" s="10"/>
    </row>
    <row r="224" spans="1:66" ht="15.75" customHeight="1" x14ac:dyDescent="0.25">
      <c r="A224" s="4">
        <v>222</v>
      </c>
      <c r="B224" s="4"/>
      <c r="C224" s="4">
        <v>10</v>
      </c>
      <c r="D224" s="6">
        <v>51.57</v>
      </c>
      <c r="E224" s="6">
        <v>50.01</v>
      </c>
      <c r="F224" s="6">
        <v>50.31</v>
      </c>
      <c r="G224" s="6">
        <v>50.56</v>
      </c>
      <c r="H224" s="6">
        <v>52.94</v>
      </c>
      <c r="I224" s="6">
        <v>51.39</v>
      </c>
      <c r="J224" s="6">
        <v>49.98</v>
      </c>
      <c r="K224" s="6">
        <v>50.17</v>
      </c>
      <c r="L224" s="6">
        <v>51.92</v>
      </c>
      <c r="M224" s="6">
        <v>51.08</v>
      </c>
      <c r="N224" s="6">
        <v>49.8</v>
      </c>
      <c r="O224" s="6">
        <v>50.28</v>
      </c>
      <c r="P224" s="6">
        <v>50.5</v>
      </c>
      <c r="Q224" s="6">
        <v>52.97</v>
      </c>
      <c r="R224" s="6">
        <v>51.55</v>
      </c>
      <c r="S224" s="6">
        <v>50.21</v>
      </c>
      <c r="T224" s="6">
        <v>50.62</v>
      </c>
      <c r="U224" s="6">
        <v>51.13</v>
      </c>
      <c r="V224" s="6">
        <v>50.91</v>
      </c>
      <c r="W224" s="6">
        <v>51.23</v>
      </c>
      <c r="X224" s="6">
        <v>51.14</v>
      </c>
      <c r="Y224" s="6">
        <v>50.79</v>
      </c>
      <c r="Z224" s="6">
        <v>50.87</v>
      </c>
      <c r="AA224" s="6">
        <v>52.24</v>
      </c>
      <c r="AB224" s="6">
        <v>51.4</v>
      </c>
      <c r="AC224" s="6">
        <v>51.27</v>
      </c>
      <c r="AD224" s="6">
        <v>50.36</v>
      </c>
      <c r="AE224" s="6">
        <v>50.88</v>
      </c>
      <c r="AF224" s="6">
        <v>51.75</v>
      </c>
      <c r="AG224" s="6">
        <v>51.13</v>
      </c>
      <c r="AH224" s="6">
        <v>50.78</v>
      </c>
      <c r="AI224" s="6">
        <v>51.26</v>
      </c>
      <c r="AJ224" s="6">
        <v>51.18</v>
      </c>
      <c r="AK224" s="6">
        <v>51.37</v>
      </c>
      <c r="AL224" s="6">
        <v>50.08</v>
      </c>
      <c r="AM224" s="6">
        <v>51.66</v>
      </c>
      <c r="AN224" s="6">
        <v>51.44</v>
      </c>
      <c r="AO224" s="6">
        <v>51.48</v>
      </c>
      <c r="AP224" s="6">
        <v>50.08</v>
      </c>
      <c r="AQ224" s="6">
        <v>51.9</v>
      </c>
      <c r="AR224" s="6">
        <v>51.86</v>
      </c>
      <c r="AS224" s="6">
        <v>51.06</v>
      </c>
      <c r="AT224" s="6">
        <v>50.31</v>
      </c>
      <c r="AU224" s="6">
        <v>51.79</v>
      </c>
      <c r="AV224" s="6"/>
      <c r="AW224" s="6"/>
      <c r="AX224" s="6">
        <v>50.66</v>
      </c>
      <c r="AY224" s="6">
        <v>51.12</v>
      </c>
      <c r="AZ224" s="6">
        <v>51.44</v>
      </c>
      <c r="BA224" s="6">
        <v>51.04</v>
      </c>
      <c r="BB224" s="6">
        <v>50.37</v>
      </c>
      <c r="BC224" s="6">
        <v>51.72</v>
      </c>
      <c r="BD224" s="6">
        <v>51.1</v>
      </c>
      <c r="BE224" s="6">
        <v>52.13</v>
      </c>
      <c r="BF224" s="6">
        <v>51.99</v>
      </c>
      <c r="BG224" s="6">
        <v>54.25</v>
      </c>
      <c r="BH224" s="6">
        <v>51.84</v>
      </c>
      <c r="BI224" s="6">
        <v>50.1</v>
      </c>
      <c r="BJ224" s="6">
        <v>52.08</v>
      </c>
      <c r="BK224" s="6">
        <v>52</v>
      </c>
      <c r="BL224" s="6">
        <v>50.94</v>
      </c>
      <c r="BM224" s="7">
        <v>51.12</v>
      </c>
      <c r="BN224" s="10"/>
    </row>
    <row r="225" spans="1:66" ht="15.75" customHeight="1" x14ac:dyDescent="0.25">
      <c r="A225" s="4">
        <v>223</v>
      </c>
      <c r="B225" s="4"/>
      <c r="C225" s="4">
        <v>11</v>
      </c>
      <c r="D225" s="6">
        <v>51.58</v>
      </c>
      <c r="E225" s="6">
        <v>50.03</v>
      </c>
      <c r="F225" s="6">
        <v>50.33</v>
      </c>
      <c r="G225" s="6">
        <v>50.61</v>
      </c>
      <c r="H225" s="6">
        <v>52.91</v>
      </c>
      <c r="I225" s="6">
        <v>51.35</v>
      </c>
      <c r="J225" s="6">
        <v>50.02</v>
      </c>
      <c r="K225" s="6">
        <v>50.3</v>
      </c>
      <c r="L225" s="6">
        <v>51.84</v>
      </c>
      <c r="M225" s="6">
        <v>50.99</v>
      </c>
      <c r="N225" s="6">
        <v>49.8</v>
      </c>
      <c r="O225" s="6">
        <v>50.31</v>
      </c>
      <c r="P225" s="6">
        <v>50.5</v>
      </c>
      <c r="Q225" s="6">
        <v>52.96</v>
      </c>
      <c r="R225" s="6">
        <v>51.51</v>
      </c>
      <c r="S225" s="6">
        <v>50.19</v>
      </c>
      <c r="T225" s="6">
        <v>50.6</v>
      </c>
      <c r="U225" s="6">
        <v>51.1</v>
      </c>
      <c r="V225" s="6">
        <v>50.91</v>
      </c>
      <c r="W225" s="6">
        <v>51.22</v>
      </c>
      <c r="X225" s="6">
        <v>51.12</v>
      </c>
      <c r="Y225" s="6">
        <v>50.82</v>
      </c>
      <c r="Z225" s="6">
        <v>50.96</v>
      </c>
      <c r="AA225" s="6">
        <v>52.34</v>
      </c>
      <c r="AB225" s="6">
        <v>51.41</v>
      </c>
      <c r="AC225" s="6">
        <v>51.24</v>
      </c>
      <c r="AD225" s="6">
        <v>50.39</v>
      </c>
      <c r="AE225" s="6">
        <v>50.92</v>
      </c>
      <c r="AF225" s="6">
        <v>51.78</v>
      </c>
      <c r="AG225" s="6">
        <v>51.09</v>
      </c>
      <c r="AH225" s="6">
        <v>50.76</v>
      </c>
      <c r="AI225" s="6">
        <v>51.23</v>
      </c>
      <c r="AJ225" s="6">
        <v>51.12</v>
      </c>
      <c r="AK225" s="6">
        <v>51.45</v>
      </c>
      <c r="AL225" s="6">
        <v>50.14</v>
      </c>
      <c r="AM225" s="6">
        <v>51.58</v>
      </c>
      <c r="AN225" s="6">
        <v>51.49</v>
      </c>
      <c r="AO225" s="6">
        <v>51.47</v>
      </c>
      <c r="AP225" s="6">
        <v>50.16</v>
      </c>
      <c r="AQ225" s="6">
        <v>51.88</v>
      </c>
      <c r="AR225" s="6">
        <v>51.82</v>
      </c>
      <c r="AS225" s="6">
        <v>51.11</v>
      </c>
      <c r="AT225" s="6">
        <v>50.35</v>
      </c>
      <c r="AU225" s="6">
        <v>51.72</v>
      </c>
      <c r="AV225" s="6"/>
      <c r="AW225" s="6"/>
      <c r="AX225" s="6">
        <v>50.7</v>
      </c>
      <c r="AY225" s="6">
        <v>51.11</v>
      </c>
      <c r="AZ225" s="6">
        <v>51.39</v>
      </c>
      <c r="BA225" s="6">
        <v>50.99</v>
      </c>
      <c r="BB225" s="6">
        <v>50.32</v>
      </c>
      <c r="BC225" s="6">
        <v>51.78</v>
      </c>
      <c r="BD225" s="6">
        <v>51.06</v>
      </c>
      <c r="BE225" s="6">
        <v>52.11</v>
      </c>
      <c r="BF225" s="6">
        <v>51.9</v>
      </c>
      <c r="BG225" s="6">
        <v>54.28</v>
      </c>
      <c r="BH225" s="6">
        <v>51.84</v>
      </c>
      <c r="BI225" s="6">
        <v>50</v>
      </c>
      <c r="BJ225" s="6">
        <v>52.06</v>
      </c>
      <c r="BK225" s="6">
        <v>51.97</v>
      </c>
      <c r="BL225" s="6">
        <v>50.88</v>
      </c>
      <c r="BM225" s="7">
        <v>51.02</v>
      </c>
      <c r="BN225" s="10"/>
    </row>
    <row r="226" spans="1:66" ht="15.75" customHeight="1" x14ac:dyDescent="0.25">
      <c r="A226" s="4">
        <v>224</v>
      </c>
      <c r="B226" s="4"/>
      <c r="C226" s="4">
        <v>12</v>
      </c>
      <c r="D226" s="6">
        <v>51.57</v>
      </c>
      <c r="E226" s="6">
        <v>50.13</v>
      </c>
      <c r="F226" s="6">
        <v>50.36</v>
      </c>
      <c r="G226" s="6">
        <v>50.71</v>
      </c>
      <c r="H226" s="6">
        <v>52.91</v>
      </c>
      <c r="I226" s="6">
        <v>51.27</v>
      </c>
      <c r="J226" s="6">
        <v>50.03</v>
      </c>
      <c r="K226" s="6">
        <v>50.41</v>
      </c>
      <c r="L226" s="6">
        <v>51.78</v>
      </c>
      <c r="M226" s="6">
        <v>50.92</v>
      </c>
      <c r="N226" s="6">
        <v>49.84</v>
      </c>
      <c r="O226" s="6">
        <v>50.36</v>
      </c>
      <c r="P226" s="6">
        <v>50.51</v>
      </c>
      <c r="Q226" s="6">
        <v>52.96</v>
      </c>
      <c r="R226" s="6">
        <v>51.46</v>
      </c>
      <c r="S226" s="6">
        <v>50.19</v>
      </c>
      <c r="T226" s="6">
        <v>50.56</v>
      </c>
      <c r="U226" s="6">
        <v>51.1</v>
      </c>
      <c r="V226" s="6">
        <v>50.97</v>
      </c>
      <c r="W226" s="6">
        <v>51.19</v>
      </c>
      <c r="X226" s="6">
        <v>51.1</v>
      </c>
      <c r="Y226" s="6">
        <v>50.84</v>
      </c>
      <c r="Z226" s="6">
        <v>50.99</v>
      </c>
      <c r="AA226" s="6">
        <v>52.36</v>
      </c>
      <c r="AB226" s="6">
        <v>51.42</v>
      </c>
      <c r="AC226" s="6">
        <v>51.2</v>
      </c>
      <c r="AD226" s="6">
        <v>50.36</v>
      </c>
      <c r="AE226" s="6">
        <v>51.04</v>
      </c>
      <c r="AF226" s="6">
        <v>51.8</v>
      </c>
      <c r="AG226" s="6">
        <v>51.1</v>
      </c>
      <c r="AH226" s="6">
        <v>50.69</v>
      </c>
      <c r="AI226" s="6">
        <v>51.19</v>
      </c>
      <c r="AJ226" s="6">
        <v>51.06</v>
      </c>
      <c r="AK226" s="6">
        <v>51.51</v>
      </c>
      <c r="AL226" s="6">
        <v>50.15</v>
      </c>
      <c r="AM226" s="6">
        <v>51.43</v>
      </c>
      <c r="AN226" s="6">
        <v>51.51</v>
      </c>
      <c r="AO226" s="6">
        <v>51.49</v>
      </c>
      <c r="AP226" s="6">
        <v>50.27</v>
      </c>
      <c r="AQ226" s="6">
        <v>51.85</v>
      </c>
      <c r="AR226" s="6">
        <v>51.78</v>
      </c>
      <c r="AS226" s="6">
        <v>51.18</v>
      </c>
      <c r="AT226" s="6">
        <v>50.36</v>
      </c>
      <c r="AU226" s="6">
        <v>51.62</v>
      </c>
      <c r="AV226" s="6"/>
      <c r="AW226" s="6"/>
      <c r="AX226" s="6">
        <v>50.68</v>
      </c>
      <c r="AY226" s="6">
        <v>51.13</v>
      </c>
      <c r="AZ226" s="6">
        <v>51.33</v>
      </c>
      <c r="BA226" s="6">
        <v>50.98</v>
      </c>
      <c r="BB226" s="6">
        <v>50.31</v>
      </c>
      <c r="BC226" s="6">
        <v>51.75</v>
      </c>
      <c r="BD226" s="6">
        <v>51.02</v>
      </c>
      <c r="BE226" s="6">
        <v>52.11</v>
      </c>
      <c r="BF226" s="6">
        <v>51.83</v>
      </c>
      <c r="BG226" s="6">
        <v>54.27</v>
      </c>
      <c r="BH226" s="6">
        <v>51.84</v>
      </c>
      <c r="BI226" s="6">
        <v>49.97</v>
      </c>
      <c r="BJ226" s="6">
        <v>52</v>
      </c>
      <c r="BK226" s="6">
        <v>51.94</v>
      </c>
      <c r="BL226" s="6">
        <v>50.8</v>
      </c>
      <c r="BM226" s="7">
        <v>50.94</v>
      </c>
      <c r="BN226" s="10"/>
    </row>
    <row r="227" spans="1:66" ht="15.75" customHeight="1" x14ac:dyDescent="0.25">
      <c r="A227" s="4">
        <v>225</v>
      </c>
      <c r="B227" s="4"/>
      <c r="C227" s="4">
        <v>13</v>
      </c>
      <c r="D227" s="6">
        <v>51.55</v>
      </c>
      <c r="E227" s="6">
        <v>50.17</v>
      </c>
      <c r="F227" s="6">
        <v>50.37</v>
      </c>
      <c r="G227" s="6">
        <v>50.66</v>
      </c>
      <c r="H227" s="6">
        <v>52.86</v>
      </c>
      <c r="I227" s="6">
        <v>51.18</v>
      </c>
      <c r="J227" s="6">
        <v>50.13</v>
      </c>
      <c r="K227" s="6">
        <v>50.5</v>
      </c>
      <c r="L227" s="6">
        <v>51.72</v>
      </c>
      <c r="M227" s="6">
        <v>50.85</v>
      </c>
      <c r="N227" s="6">
        <v>49.81</v>
      </c>
      <c r="O227" s="6">
        <v>50.48</v>
      </c>
      <c r="P227" s="6">
        <v>50.51</v>
      </c>
      <c r="Q227" s="6">
        <v>52.96</v>
      </c>
      <c r="R227" s="6">
        <v>51.41</v>
      </c>
      <c r="S227" s="6">
        <v>50.22</v>
      </c>
      <c r="T227" s="6">
        <v>50.47</v>
      </c>
      <c r="U227" s="6">
        <v>51.1</v>
      </c>
      <c r="V227" s="6">
        <v>50.95</v>
      </c>
      <c r="W227" s="6">
        <v>51.13</v>
      </c>
      <c r="X227" s="6">
        <v>51.1</v>
      </c>
      <c r="Y227" s="6">
        <v>50.88</v>
      </c>
      <c r="Z227" s="6">
        <v>51</v>
      </c>
      <c r="AA227" s="6">
        <v>52.38</v>
      </c>
      <c r="AB227" s="6">
        <v>51.38</v>
      </c>
      <c r="AC227" s="6">
        <v>51.09</v>
      </c>
      <c r="AD227" s="6">
        <v>50.33</v>
      </c>
      <c r="AE227" s="6">
        <v>51.12</v>
      </c>
      <c r="AF227" s="6">
        <v>51.83</v>
      </c>
      <c r="AG227" s="6">
        <v>51.09</v>
      </c>
      <c r="AH227" s="6">
        <v>50.62</v>
      </c>
      <c r="AI227" s="6">
        <v>51.19</v>
      </c>
      <c r="AJ227" s="6">
        <v>51.01</v>
      </c>
      <c r="AK227" s="6">
        <v>51.52</v>
      </c>
      <c r="AL227" s="6">
        <v>50.13</v>
      </c>
      <c r="AM227" s="6">
        <v>51.43</v>
      </c>
      <c r="AN227" s="6">
        <v>51.53</v>
      </c>
      <c r="AO227" s="6">
        <v>51.47</v>
      </c>
      <c r="AP227" s="6">
        <v>50.34</v>
      </c>
      <c r="AQ227" s="6">
        <v>51.8</v>
      </c>
      <c r="AR227" s="6">
        <v>51.8</v>
      </c>
      <c r="AS227" s="6">
        <v>51.11</v>
      </c>
      <c r="AT227" s="6">
        <v>50.36</v>
      </c>
      <c r="AU227" s="6">
        <v>51.58</v>
      </c>
      <c r="AV227" s="6"/>
      <c r="AW227" s="6"/>
      <c r="AX227" s="6">
        <v>50.73</v>
      </c>
      <c r="AY227" s="6">
        <v>51.17</v>
      </c>
      <c r="AZ227" s="6">
        <v>51.26</v>
      </c>
      <c r="BA227" s="6">
        <v>50.94</v>
      </c>
      <c r="BB227" s="6">
        <v>50.32</v>
      </c>
      <c r="BC227" s="6">
        <v>51.72</v>
      </c>
      <c r="BD227" s="6">
        <v>51</v>
      </c>
      <c r="BE227" s="6">
        <v>52.11</v>
      </c>
      <c r="BF227" s="6">
        <v>51.75</v>
      </c>
      <c r="BG227" s="6">
        <v>54.25</v>
      </c>
      <c r="BH227" s="6">
        <v>51.84</v>
      </c>
      <c r="BI227" s="6">
        <v>49.89</v>
      </c>
      <c r="BJ227" s="6">
        <v>51.94</v>
      </c>
      <c r="BK227" s="6">
        <v>51.9</v>
      </c>
      <c r="BL227" s="6">
        <v>50.8</v>
      </c>
      <c r="BM227" s="7">
        <v>50.88</v>
      </c>
      <c r="BN227" s="10"/>
    </row>
    <row r="228" spans="1:66" ht="15.75" customHeight="1" x14ac:dyDescent="0.25">
      <c r="A228" s="4">
        <v>226</v>
      </c>
      <c r="B228" s="4"/>
      <c r="C228" s="4">
        <v>14</v>
      </c>
      <c r="D228" s="6">
        <v>51.52</v>
      </c>
      <c r="E228" s="6">
        <v>50.27</v>
      </c>
      <c r="F228" s="6">
        <v>50.34</v>
      </c>
      <c r="G228" s="6">
        <v>50.66</v>
      </c>
      <c r="H228" s="6">
        <v>52.84</v>
      </c>
      <c r="I228" s="6">
        <v>51.1</v>
      </c>
      <c r="J228" s="6">
        <v>50.21</v>
      </c>
      <c r="K228" s="6">
        <v>50.57</v>
      </c>
      <c r="L228" s="6">
        <v>51.66</v>
      </c>
      <c r="M228" s="6">
        <v>50.8</v>
      </c>
      <c r="N228" s="6">
        <v>49.81</v>
      </c>
      <c r="O228" s="6">
        <v>50.58</v>
      </c>
      <c r="P228" s="6">
        <v>50.58</v>
      </c>
      <c r="Q228" s="6">
        <v>52.94</v>
      </c>
      <c r="R228" s="6">
        <v>51.39</v>
      </c>
      <c r="S228" s="6">
        <v>50.32</v>
      </c>
      <c r="T228" s="6">
        <v>50.41</v>
      </c>
      <c r="U228" s="6">
        <v>51.04</v>
      </c>
      <c r="V228" s="6">
        <v>50.96</v>
      </c>
      <c r="W228" s="6">
        <v>51.1</v>
      </c>
      <c r="X228" s="6">
        <v>51.09</v>
      </c>
      <c r="Y228" s="6">
        <v>50.92</v>
      </c>
      <c r="Z228" s="6">
        <v>51.01</v>
      </c>
      <c r="AA228" s="6">
        <v>52.31</v>
      </c>
      <c r="AB228" s="6">
        <v>51.34</v>
      </c>
      <c r="AC228" s="6">
        <v>51.07</v>
      </c>
      <c r="AD228" s="6">
        <v>50.3</v>
      </c>
      <c r="AE228" s="6">
        <v>51.1</v>
      </c>
      <c r="AF228" s="6">
        <v>51.87</v>
      </c>
      <c r="AG228" s="6">
        <v>51.1</v>
      </c>
      <c r="AH228" s="6">
        <v>50.88</v>
      </c>
      <c r="AI228" s="6">
        <v>51.27</v>
      </c>
      <c r="AJ228" s="6">
        <v>50.93</v>
      </c>
      <c r="AK228" s="6">
        <v>51.5</v>
      </c>
      <c r="AL228" s="6">
        <v>50.1</v>
      </c>
      <c r="AM228" s="6">
        <v>51.4</v>
      </c>
      <c r="AN228" s="6">
        <v>51.56</v>
      </c>
      <c r="AO228" s="6">
        <v>51.43</v>
      </c>
      <c r="AP228" s="6">
        <v>50.42</v>
      </c>
      <c r="AQ228" s="6">
        <v>51.74</v>
      </c>
      <c r="AR228" s="6">
        <v>51.84</v>
      </c>
      <c r="AS228" s="6">
        <v>51.11</v>
      </c>
      <c r="AT228" s="6">
        <v>50.32</v>
      </c>
      <c r="AU228" s="6">
        <v>51.52</v>
      </c>
      <c r="AV228" s="6"/>
      <c r="AW228" s="6"/>
      <c r="AX228" s="6">
        <v>50.74</v>
      </c>
      <c r="AY228" s="6">
        <v>51.2</v>
      </c>
      <c r="AZ228" s="6">
        <v>51.21</v>
      </c>
      <c r="BA228" s="6">
        <v>50.96</v>
      </c>
      <c r="BB228" s="6">
        <v>50.27</v>
      </c>
      <c r="BC228" s="6">
        <v>51.74</v>
      </c>
      <c r="BD228" s="6">
        <v>50.92</v>
      </c>
      <c r="BE228" s="6">
        <v>52.07</v>
      </c>
      <c r="BF228" s="6">
        <v>51.7</v>
      </c>
      <c r="BG228" s="6">
        <v>54.21</v>
      </c>
      <c r="BH228" s="6">
        <v>51.89</v>
      </c>
      <c r="BI228" s="6">
        <v>49.86</v>
      </c>
      <c r="BJ228" s="6">
        <v>51.94</v>
      </c>
      <c r="BK228" s="6">
        <v>51.91</v>
      </c>
      <c r="BL228" s="6">
        <v>50.7</v>
      </c>
      <c r="BM228" s="7">
        <v>50.8</v>
      </c>
      <c r="BN228" s="10"/>
    </row>
    <row r="229" spans="1:66" ht="15.75" customHeight="1" x14ac:dyDescent="0.25">
      <c r="A229" s="4">
        <v>227</v>
      </c>
      <c r="B229" s="4"/>
      <c r="C229" s="4">
        <v>15</v>
      </c>
      <c r="D229" s="6">
        <v>51.49</v>
      </c>
      <c r="E229" s="6">
        <v>50.31</v>
      </c>
      <c r="F229" s="6">
        <v>50.3</v>
      </c>
      <c r="G229" s="6">
        <v>50.66</v>
      </c>
      <c r="H229" s="6">
        <v>52.76</v>
      </c>
      <c r="I229" s="6">
        <v>51.07</v>
      </c>
      <c r="J229" s="6">
        <v>50.25</v>
      </c>
      <c r="K229" s="6">
        <v>50.65</v>
      </c>
      <c r="L229" s="6">
        <v>51.65</v>
      </c>
      <c r="M229" s="6">
        <v>50.76</v>
      </c>
      <c r="N229" s="6">
        <v>49.78</v>
      </c>
      <c r="O229" s="6">
        <v>50.66</v>
      </c>
      <c r="P229" s="6">
        <v>50.71</v>
      </c>
      <c r="Q229" s="6">
        <v>52.85</v>
      </c>
      <c r="R229" s="6">
        <v>51.36</v>
      </c>
      <c r="S229" s="6">
        <v>50.43</v>
      </c>
      <c r="T229" s="6">
        <v>50.36</v>
      </c>
      <c r="U229" s="6">
        <v>51.06</v>
      </c>
      <c r="V229" s="6">
        <v>50.93</v>
      </c>
      <c r="W229" s="6">
        <v>51.01</v>
      </c>
      <c r="X229" s="6">
        <v>51.06</v>
      </c>
      <c r="Y229" s="6">
        <v>50.92</v>
      </c>
      <c r="Z229" s="6">
        <v>51.08</v>
      </c>
      <c r="AA229" s="6">
        <v>52.35</v>
      </c>
      <c r="AB229" s="6">
        <v>51.29</v>
      </c>
      <c r="AC229" s="6">
        <v>50.98</v>
      </c>
      <c r="AD229" s="6">
        <v>50.27</v>
      </c>
      <c r="AE229" s="6">
        <v>51.08</v>
      </c>
      <c r="AF229" s="6">
        <v>51.88</v>
      </c>
      <c r="AG229" s="6">
        <v>51.08</v>
      </c>
      <c r="AH229" s="6">
        <v>50.86</v>
      </c>
      <c r="AI229" s="6">
        <v>51.28</v>
      </c>
      <c r="AJ229" s="6">
        <v>50.86</v>
      </c>
      <c r="AK229" s="6">
        <v>51.48</v>
      </c>
      <c r="AL229" s="6">
        <v>50.02</v>
      </c>
      <c r="AM229" s="6">
        <v>51.4</v>
      </c>
      <c r="AN229" s="6">
        <v>51.58</v>
      </c>
      <c r="AO229" s="6">
        <v>51.38</v>
      </c>
      <c r="AP229" s="6">
        <v>50.48</v>
      </c>
      <c r="AQ229" s="6">
        <v>51.78</v>
      </c>
      <c r="AR229" s="6">
        <v>51.85</v>
      </c>
      <c r="AS229" s="6">
        <v>51.08</v>
      </c>
      <c r="AT229" s="6">
        <v>50.34</v>
      </c>
      <c r="AU229" s="6">
        <v>51.45</v>
      </c>
      <c r="AV229" s="6"/>
      <c r="AW229" s="6"/>
      <c r="AX229" s="6">
        <v>50.75</v>
      </c>
      <c r="AY229" s="6">
        <v>51.25</v>
      </c>
      <c r="AZ229" s="6">
        <v>51.14</v>
      </c>
      <c r="BA229" s="6">
        <v>50.98</v>
      </c>
      <c r="BB229" s="6">
        <v>50.23</v>
      </c>
      <c r="BC229" s="6">
        <v>51.74</v>
      </c>
      <c r="BD229" s="6">
        <v>50.88</v>
      </c>
      <c r="BE229" s="6">
        <v>52.07</v>
      </c>
      <c r="BF229" s="6">
        <v>51.62</v>
      </c>
      <c r="BG229" s="6">
        <v>54.17</v>
      </c>
      <c r="BH229" s="6">
        <v>51.88</v>
      </c>
      <c r="BI229" s="6">
        <v>49.77</v>
      </c>
      <c r="BJ229" s="6">
        <v>51.86</v>
      </c>
      <c r="BK229" s="6">
        <v>51.91</v>
      </c>
      <c r="BL229" s="6">
        <v>50.68</v>
      </c>
      <c r="BM229" s="7">
        <v>50.72</v>
      </c>
      <c r="BN229" s="10"/>
    </row>
    <row r="230" spans="1:66" ht="15.75" customHeight="1" x14ac:dyDescent="0.25">
      <c r="A230" s="4">
        <v>228</v>
      </c>
      <c r="B230" s="4"/>
      <c r="C230" s="4">
        <v>16</v>
      </c>
      <c r="D230" s="6">
        <v>51.47</v>
      </c>
      <c r="E230" s="6">
        <v>50.33</v>
      </c>
      <c r="F230" s="6">
        <v>50.27</v>
      </c>
      <c r="G230" s="6">
        <v>50.66</v>
      </c>
      <c r="H230" s="6">
        <v>52.66</v>
      </c>
      <c r="I230" s="6">
        <v>51.04</v>
      </c>
      <c r="J230" s="6">
        <v>50.19</v>
      </c>
      <c r="K230" s="6">
        <v>50.82</v>
      </c>
      <c r="L230" s="6">
        <v>51.59</v>
      </c>
      <c r="M230" s="6">
        <v>50.76</v>
      </c>
      <c r="N230" s="6">
        <v>49.76</v>
      </c>
      <c r="O230" s="6">
        <v>50.83</v>
      </c>
      <c r="P230" s="6">
        <v>50.82</v>
      </c>
      <c r="Q230" s="6">
        <v>52.76</v>
      </c>
      <c r="R230" s="6">
        <v>51.35</v>
      </c>
      <c r="S230" s="6">
        <v>50.47</v>
      </c>
      <c r="T230" s="6">
        <v>50.28</v>
      </c>
      <c r="U230" s="6">
        <v>51.08</v>
      </c>
      <c r="V230" s="6">
        <v>50.86</v>
      </c>
      <c r="W230" s="6">
        <v>50.98</v>
      </c>
      <c r="X230" s="6">
        <v>51.01</v>
      </c>
      <c r="Y230" s="6">
        <v>50.9</v>
      </c>
      <c r="Z230" s="6">
        <v>51.21</v>
      </c>
      <c r="AA230" s="6">
        <v>52.2</v>
      </c>
      <c r="AB230" s="6">
        <v>51.27</v>
      </c>
      <c r="AC230" s="6">
        <v>50.92</v>
      </c>
      <c r="AD230" s="6">
        <v>50.27</v>
      </c>
      <c r="AE230" s="6">
        <v>51.04</v>
      </c>
      <c r="AF230" s="6">
        <v>51.89</v>
      </c>
      <c r="AG230" s="6">
        <v>51.07</v>
      </c>
      <c r="AH230" s="6">
        <v>50.69</v>
      </c>
      <c r="AI230" s="6">
        <v>51.28</v>
      </c>
      <c r="AJ230" s="6">
        <v>50.79</v>
      </c>
      <c r="AK230" s="6">
        <v>51.49</v>
      </c>
      <c r="AL230" s="6">
        <v>49.95</v>
      </c>
      <c r="AM230" s="6">
        <v>51.39</v>
      </c>
      <c r="AN230" s="6">
        <v>51.66</v>
      </c>
      <c r="AO230" s="6">
        <v>51.34</v>
      </c>
      <c r="AP230" s="6">
        <v>50.51</v>
      </c>
      <c r="AQ230" s="6">
        <v>51.85</v>
      </c>
      <c r="AR230" s="6">
        <v>51.82</v>
      </c>
      <c r="AS230" s="6">
        <v>51.07</v>
      </c>
      <c r="AT230" s="6">
        <v>50.33</v>
      </c>
      <c r="AU230" s="6">
        <v>51.34</v>
      </c>
      <c r="AV230" s="6"/>
      <c r="AW230" s="6"/>
      <c r="AX230" s="6">
        <v>50.76</v>
      </c>
      <c r="AY230" s="6">
        <v>51.32</v>
      </c>
      <c r="AZ230" s="6">
        <v>51.09</v>
      </c>
      <c r="BA230" s="6">
        <v>50.96</v>
      </c>
      <c r="BB230" s="6">
        <v>50.18</v>
      </c>
      <c r="BC230" s="6">
        <v>51.72</v>
      </c>
      <c r="BD230" s="6">
        <v>50.86</v>
      </c>
      <c r="BE230" s="6">
        <v>51.98</v>
      </c>
      <c r="BF230" s="6">
        <v>51.55</v>
      </c>
      <c r="BG230" s="6">
        <v>54.1</v>
      </c>
      <c r="BH230" s="6">
        <v>51.86</v>
      </c>
      <c r="BI230" s="6">
        <v>49.68</v>
      </c>
      <c r="BJ230" s="6">
        <v>51.77</v>
      </c>
      <c r="BK230" s="6">
        <v>51.9</v>
      </c>
      <c r="BL230" s="6">
        <v>50.68</v>
      </c>
      <c r="BM230" s="7">
        <v>50.64</v>
      </c>
      <c r="BN230" s="10"/>
    </row>
    <row r="231" spans="1:66" ht="15.75" customHeight="1" x14ac:dyDescent="0.25">
      <c r="A231" s="4">
        <v>229</v>
      </c>
      <c r="B231" s="4"/>
      <c r="C231" s="4">
        <v>17</v>
      </c>
      <c r="D231" s="6">
        <v>51.47</v>
      </c>
      <c r="E231" s="6">
        <v>50.37</v>
      </c>
      <c r="F231" s="6">
        <v>50.24</v>
      </c>
      <c r="G231" s="6">
        <v>50.62</v>
      </c>
      <c r="H231" s="6">
        <v>52.61</v>
      </c>
      <c r="I231" s="6">
        <v>51</v>
      </c>
      <c r="J231" s="6">
        <v>50.14</v>
      </c>
      <c r="K231" s="6">
        <v>50.82</v>
      </c>
      <c r="L231" s="6">
        <v>51.57</v>
      </c>
      <c r="M231" s="6">
        <v>50.79</v>
      </c>
      <c r="N231" s="6">
        <v>49.72</v>
      </c>
      <c r="O231" s="6">
        <v>50.86</v>
      </c>
      <c r="P231" s="6">
        <v>50.93</v>
      </c>
      <c r="Q231" s="6">
        <v>52.71</v>
      </c>
      <c r="R231" s="6">
        <v>51.35</v>
      </c>
      <c r="S231" s="6">
        <v>50.44</v>
      </c>
      <c r="T231" s="6">
        <v>50.22</v>
      </c>
      <c r="U231" s="6">
        <v>51.12</v>
      </c>
      <c r="V231" s="6">
        <v>50.81</v>
      </c>
      <c r="W231" s="6">
        <v>50.88</v>
      </c>
      <c r="X231" s="6">
        <v>50.98</v>
      </c>
      <c r="Y231" s="6">
        <v>50.9</v>
      </c>
      <c r="Z231" s="6">
        <v>51.22</v>
      </c>
      <c r="AA231" s="6">
        <v>52.14</v>
      </c>
      <c r="AB231" s="6">
        <v>51.28</v>
      </c>
      <c r="AC231" s="6">
        <v>50.86</v>
      </c>
      <c r="AD231" s="6">
        <v>50.29</v>
      </c>
      <c r="AE231" s="6">
        <v>50.98</v>
      </c>
      <c r="AF231" s="6">
        <v>51.9</v>
      </c>
      <c r="AG231" s="6">
        <v>51.05</v>
      </c>
      <c r="AH231" s="6">
        <v>50.65</v>
      </c>
      <c r="AI231" s="6">
        <v>51.29</v>
      </c>
      <c r="AJ231" s="6">
        <v>50.77</v>
      </c>
      <c r="AK231" s="6">
        <v>51.38</v>
      </c>
      <c r="AL231" s="6">
        <v>49.82</v>
      </c>
      <c r="AM231" s="6">
        <v>51.39</v>
      </c>
      <c r="AN231" s="6">
        <v>51.66</v>
      </c>
      <c r="AO231" s="6">
        <v>51.28</v>
      </c>
      <c r="AP231" s="6">
        <v>50.5</v>
      </c>
      <c r="AQ231" s="6">
        <v>51.86</v>
      </c>
      <c r="AR231" s="6">
        <v>51.82</v>
      </c>
      <c r="AS231" s="6">
        <v>51.06</v>
      </c>
      <c r="AT231" s="6">
        <v>50.31</v>
      </c>
      <c r="AU231" s="6">
        <v>51.26</v>
      </c>
      <c r="AV231" s="6"/>
      <c r="AW231" s="6"/>
      <c r="AX231" s="6">
        <v>50.75</v>
      </c>
      <c r="AY231" s="6">
        <v>51.36</v>
      </c>
      <c r="AZ231" s="6">
        <v>51.03</v>
      </c>
      <c r="BA231" s="6">
        <v>50.94</v>
      </c>
      <c r="BB231" s="6">
        <v>50.16</v>
      </c>
      <c r="BC231" s="6">
        <v>51.73</v>
      </c>
      <c r="BD231" s="6">
        <v>50.86</v>
      </c>
      <c r="BE231" s="6">
        <v>51.92</v>
      </c>
      <c r="BF231" s="6">
        <v>51.44</v>
      </c>
      <c r="BG231" s="6">
        <v>54.04</v>
      </c>
      <c r="BH231" s="6">
        <v>51.88</v>
      </c>
      <c r="BI231" s="6">
        <v>49.63</v>
      </c>
      <c r="BJ231" s="6">
        <v>51.7</v>
      </c>
      <c r="BK231" s="6">
        <v>51.9</v>
      </c>
      <c r="BL231" s="6">
        <v>50.7</v>
      </c>
      <c r="BM231" s="7">
        <v>50.6</v>
      </c>
      <c r="BN231" s="10"/>
    </row>
    <row r="232" spans="1:66" ht="15.75" customHeight="1" x14ac:dyDescent="0.25">
      <c r="A232" s="4">
        <v>230</v>
      </c>
      <c r="B232" s="4"/>
      <c r="C232" s="4">
        <v>18</v>
      </c>
      <c r="D232" s="6">
        <v>51.41</v>
      </c>
      <c r="E232" s="6">
        <v>50.36</v>
      </c>
      <c r="F232" s="6">
        <v>50.23</v>
      </c>
      <c r="G232" s="6">
        <v>50.56</v>
      </c>
      <c r="H232" s="6">
        <v>52.56</v>
      </c>
      <c r="I232" s="6">
        <v>50.96</v>
      </c>
      <c r="J232" s="6">
        <v>50.09</v>
      </c>
      <c r="K232" s="6">
        <v>50.88</v>
      </c>
      <c r="L232" s="6">
        <v>51.56</v>
      </c>
      <c r="M232" s="6">
        <v>50.85</v>
      </c>
      <c r="N232" s="6">
        <v>49.66</v>
      </c>
      <c r="O232" s="6">
        <v>50.86</v>
      </c>
      <c r="P232" s="6">
        <v>51</v>
      </c>
      <c r="Q232" s="6">
        <v>52.61</v>
      </c>
      <c r="R232" s="6">
        <v>51.35</v>
      </c>
      <c r="S232" s="6">
        <v>50.42</v>
      </c>
      <c r="T232" s="6">
        <v>50.2</v>
      </c>
      <c r="U232" s="6">
        <v>51.11</v>
      </c>
      <c r="V232" s="6">
        <v>50.76</v>
      </c>
      <c r="W232" s="6">
        <v>50.83</v>
      </c>
      <c r="X232" s="6">
        <v>50.96</v>
      </c>
      <c r="Y232" s="6">
        <v>50.9</v>
      </c>
      <c r="Z232" s="6">
        <v>51.2</v>
      </c>
      <c r="AA232" s="6">
        <v>52.14</v>
      </c>
      <c r="AB232" s="6">
        <v>51.37</v>
      </c>
      <c r="AC232" s="6">
        <v>50.78</v>
      </c>
      <c r="AD232" s="6">
        <v>50.31</v>
      </c>
      <c r="AE232" s="6">
        <v>50.86</v>
      </c>
      <c r="AF232" s="6">
        <v>51.94</v>
      </c>
      <c r="AG232" s="6">
        <v>51.04</v>
      </c>
      <c r="AH232" s="6">
        <v>50.6</v>
      </c>
      <c r="AI232" s="6">
        <v>51.36</v>
      </c>
      <c r="AJ232" s="6">
        <v>50.71</v>
      </c>
      <c r="AK232" s="6">
        <v>51.34</v>
      </c>
      <c r="AL232" s="6">
        <v>49.75</v>
      </c>
      <c r="AM232" s="6">
        <v>51.4</v>
      </c>
      <c r="AN232" s="6">
        <v>51.63</v>
      </c>
      <c r="AO232" s="6">
        <v>51.22</v>
      </c>
      <c r="AP232" s="6">
        <v>50.46</v>
      </c>
      <c r="AQ232" s="6">
        <v>51.84</v>
      </c>
      <c r="AR232" s="6">
        <v>51.8</v>
      </c>
      <c r="AS232" s="6">
        <v>51.06</v>
      </c>
      <c r="AT232" s="6">
        <v>50.28</v>
      </c>
      <c r="AU232" s="6">
        <v>51.17</v>
      </c>
      <c r="AV232" s="6"/>
      <c r="AW232" s="6"/>
      <c r="AX232" s="6">
        <v>50.73</v>
      </c>
      <c r="AY232" s="6">
        <v>51.41</v>
      </c>
      <c r="AZ232" s="6">
        <v>50.95</v>
      </c>
      <c r="BA232" s="6">
        <v>50.96</v>
      </c>
      <c r="BB232" s="6">
        <v>50.2</v>
      </c>
      <c r="BC232" s="6">
        <v>51.8</v>
      </c>
      <c r="BD232" s="6">
        <v>50.85</v>
      </c>
      <c r="BE232" s="6">
        <v>51.86</v>
      </c>
      <c r="BF232" s="6">
        <v>51.38</v>
      </c>
      <c r="BG232" s="6">
        <v>53.9</v>
      </c>
      <c r="BH232" s="6">
        <v>51.91</v>
      </c>
      <c r="BI232" s="6">
        <v>49.54</v>
      </c>
      <c r="BJ232" s="6">
        <v>51.6</v>
      </c>
      <c r="BK232" s="6">
        <v>51.84</v>
      </c>
      <c r="BL232" s="6">
        <v>50.6</v>
      </c>
      <c r="BM232" s="7">
        <v>50.52</v>
      </c>
      <c r="BN232" s="10"/>
    </row>
    <row r="233" spans="1:66" ht="15.75" customHeight="1" x14ac:dyDescent="0.25">
      <c r="A233" s="4">
        <v>231</v>
      </c>
      <c r="B233" s="4"/>
      <c r="C233" s="4">
        <v>19</v>
      </c>
      <c r="D233" s="6">
        <v>51.36</v>
      </c>
      <c r="E233" s="6">
        <v>50.34</v>
      </c>
      <c r="F233" s="6">
        <v>50.26</v>
      </c>
      <c r="G233" s="6">
        <v>50.52</v>
      </c>
      <c r="H233" s="6">
        <v>52.46</v>
      </c>
      <c r="I233" s="6">
        <v>50.86</v>
      </c>
      <c r="J233" s="6">
        <v>50.07</v>
      </c>
      <c r="K233" s="6">
        <v>50.82</v>
      </c>
      <c r="L233" s="6">
        <v>51.55</v>
      </c>
      <c r="M233" s="6">
        <v>50.83</v>
      </c>
      <c r="N233" s="6">
        <v>49.62</v>
      </c>
      <c r="O233" s="6">
        <v>50.87</v>
      </c>
      <c r="P233" s="6">
        <v>51.04</v>
      </c>
      <c r="Q233" s="6">
        <v>52.5</v>
      </c>
      <c r="R233" s="6">
        <v>51.25</v>
      </c>
      <c r="S233" s="6">
        <v>50.38</v>
      </c>
      <c r="T233" s="6">
        <v>50.18</v>
      </c>
      <c r="U233" s="6">
        <v>51.13</v>
      </c>
      <c r="V233" s="6">
        <v>50.77</v>
      </c>
      <c r="W233" s="6">
        <v>50.73</v>
      </c>
      <c r="X233" s="6">
        <v>50.92</v>
      </c>
      <c r="Y233" s="6">
        <v>50.85</v>
      </c>
      <c r="Z233" s="6">
        <v>51.2</v>
      </c>
      <c r="AA233" s="6">
        <v>52.1</v>
      </c>
      <c r="AB233" s="6">
        <v>51.35</v>
      </c>
      <c r="AC233" s="6">
        <v>50.73</v>
      </c>
      <c r="AD233" s="6">
        <v>50.32</v>
      </c>
      <c r="AE233" s="6">
        <v>50.85</v>
      </c>
      <c r="AF233" s="6">
        <v>51.98</v>
      </c>
      <c r="AG233" s="6">
        <v>51</v>
      </c>
      <c r="AH233" s="6">
        <v>50.67</v>
      </c>
      <c r="AI233" s="6">
        <v>51.35</v>
      </c>
      <c r="AJ233" s="6">
        <v>50.69</v>
      </c>
      <c r="AK233" s="6">
        <v>51.34</v>
      </c>
      <c r="AL233" s="6">
        <v>49.66</v>
      </c>
      <c r="AM233" s="6">
        <v>51.38</v>
      </c>
      <c r="AN233" s="6">
        <v>51.59</v>
      </c>
      <c r="AO233" s="6">
        <v>51.19</v>
      </c>
      <c r="AP233" s="6">
        <v>50.54</v>
      </c>
      <c r="AQ233" s="6">
        <v>51.78</v>
      </c>
      <c r="AR233" s="6">
        <v>51.76</v>
      </c>
      <c r="AS233" s="6">
        <v>51.07</v>
      </c>
      <c r="AT233" s="6">
        <v>50.31</v>
      </c>
      <c r="AU233" s="6">
        <v>51.14</v>
      </c>
      <c r="AV233" s="6"/>
      <c r="AW233" s="6"/>
      <c r="AX233" s="6">
        <v>50.71</v>
      </c>
      <c r="AY233" s="6">
        <v>51.54</v>
      </c>
      <c r="AZ233" s="6">
        <v>50.86</v>
      </c>
      <c r="BA233" s="6">
        <v>51.02</v>
      </c>
      <c r="BB233" s="6">
        <v>50.3</v>
      </c>
      <c r="BC233" s="6">
        <v>51.96</v>
      </c>
      <c r="BD233" s="6">
        <v>50.87</v>
      </c>
      <c r="BE233" s="6">
        <v>51.84</v>
      </c>
      <c r="BF233" s="6">
        <v>51.29</v>
      </c>
      <c r="BG233" s="6">
        <v>53.72</v>
      </c>
      <c r="BH233" s="6">
        <v>51.91</v>
      </c>
      <c r="BI233" s="6">
        <v>49.5</v>
      </c>
      <c r="BJ233" s="6">
        <v>51.54</v>
      </c>
      <c r="BK233" s="6">
        <v>51.84</v>
      </c>
      <c r="BL233" s="6">
        <v>50.58</v>
      </c>
      <c r="BM233" s="7">
        <v>50.44</v>
      </c>
      <c r="BN233" s="10"/>
    </row>
    <row r="234" spans="1:66" ht="15.75" customHeight="1" x14ac:dyDescent="0.25">
      <c r="A234" s="4">
        <v>232</v>
      </c>
      <c r="B234" s="4"/>
      <c r="C234" s="4">
        <v>20</v>
      </c>
      <c r="D234" s="6">
        <v>51.35</v>
      </c>
      <c r="E234" s="6">
        <v>50.36</v>
      </c>
      <c r="F234" s="6">
        <v>50.29</v>
      </c>
      <c r="G234" s="6">
        <v>50.46</v>
      </c>
      <c r="H234" s="6">
        <v>52.36</v>
      </c>
      <c r="I234" s="6">
        <v>50.74</v>
      </c>
      <c r="J234" s="6">
        <v>50.04</v>
      </c>
      <c r="K234" s="6">
        <v>50.78</v>
      </c>
      <c r="L234" s="6">
        <v>51.5</v>
      </c>
      <c r="M234" s="6">
        <v>50.77</v>
      </c>
      <c r="N234" s="6">
        <v>49.57</v>
      </c>
      <c r="O234" s="6">
        <v>50.88</v>
      </c>
      <c r="P234" s="6">
        <v>51.06</v>
      </c>
      <c r="Q234" s="6">
        <v>52.36</v>
      </c>
      <c r="R234" s="6">
        <v>51.24</v>
      </c>
      <c r="S234" s="6">
        <v>50.31</v>
      </c>
      <c r="T234" s="6">
        <v>50.1</v>
      </c>
      <c r="U234" s="6">
        <v>51.17</v>
      </c>
      <c r="V234" s="6">
        <v>50.74</v>
      </c>
      <c r="W234" s="6">
        <v>50.73</v>
      </c>
      <c r="X234" s="6">
        <v>50.94</v>
      </c>
      <c r="Y234" s="6">
        <v>50.84</v>
      </c>
      <c r="Z234" s="6">
        <v>51.18</v>
      </c>
      <c r="AA234" s="6">
        <v>52.08</v>
      </c>
      <c r="AB234" s="6">
        <v>51.39</v>
      </c>
      <c r="AC234" s="6">
        <v>50.67</v>
      </c>
      <c r="AD234" s="6">
        <v>50.32</v>
      </c>
      <c r="AE234" s="6">
        <v>50.84</v>
      </c>
      <c r="AF234" s="6">
        <v>52.03</v>
      </c>
      <c r="AG234" s="6">
        <v>50.98</v>
      </c>
      <c r="AH234" s="6">
        <v>50.66</v>
      </c>
      <c r="AI234" s="6">
        <v>51.33</v>
      </c>
      <c r="AJ234" s="6">
        <v>50.68</v>
      </c>
      <c r="AK234" s="6">
        <v>51.32</v>
      </c>
      <c r="AL234" s="6">
        <v>49.6</v>
      </c>
      <c r="AM234" s="6">
        <v>51.36</v>
      </c>
      <c r="AN234" s="6">
        <v>51.55</v>
      </c>
      <c r="AO234" s="6">
        <v>51.13</v>
      </c>
      <c r="AP234" s="6">
        <v>50.6</v>
      </c>
      <c r="AQ234" s="6">
        <v>51.74</v>
      </c>
      <c r="AR234" s="6">
        <v>51.71</v>
      </c>
      <c r="AS234" s="6">
        <v>51.1</v>
      </c>
      <c r="AT234" s="6">
        <v>50.29</v>
      </c>
      <c r="AU234" s="6">
        <v>51.08</v>
      </c>
      <c r="AV234" s="6"/>
      <c r="AW234" s="6"/>
      <c r="AX234" s="6">
        <v>50.66</v>
      </c>
      <c r="AY234" s="6">
        <v>51.54</v>
      </c>
      <c r="AZ234" s="6">
        <v>50.74</v>
      </c>
      <c r="BA234" s="6">
        <v>51.01</v>
      </c>
      <c r="BB234" s="6">
        <v>50.36</v>
      </c>
      <c r="BC234" s="6">
        <v>52.03</v>
      </c>
      <c r="BD234" s="6">
        <v>50.87</v>
      </c>
      <c r="BE234" s="6">
        <v>51.78</v>
      </c>
      <c r="BF234" s="6">
        <v>51.25</v>
      </c>
      <c r="BG234" s="6">
        <v>53.62</v>
      </c>
      <c r="BH234" s="6">
        <v>51.98</v>
      </c>
      <c r="BI234" s="6">
        <v>49.44</v>
      </c>
      <c r="BJ234" s="6">
        <v>51.46</v>
      </c>
      <c r="BK234" s="6">
        <v>51.79</v>
      </c>
      <c r="BL234" s="6">
        <v>50.52</v>
      </c>
      <c r="BM234" s="7">
        <v>50.36</v>
      </c>
      <c r="BN234" s="10"/>
    </row>
    <row r="235" spans="1:66" ht="15.75" customHeight="1" x14ac:dyDescent="0.25">
      <c r="A235" s="4">
        <v>233</v>
      </c>
      <c r="B235" s="4"/>
      <c r="C235" s="4">
        <v>21</v>
      </c>
      <c r="D235" s="6">
        <v>51.31</v>
      </c>
      <c r="E235" s="6">
        <v>50.34</v>
      </c>
      <c r="F235" s="6">
        <v>50.32</v>
      </c>
      <c r="G235" s="6">
        <v>50.38</v>
      </c>
      <c r="H235" s="6">
        <v>52.26</v>
      </c>
      <c r="I235" s="6">
        <v>50.61</v>
      </c>
      <c r="J235" s="6">
        <v>50.01</v>
      </c>
      <c r="K235" s="6">
        <v>50.71</v>
      </c>
      <c r="L235" s="6">
        <v>51.46</v>
      </c>
      <c r="M235" s="6">
        <v>50.76</v>
      </c>
      <c r="N235" s="6">
        <v>49.52</v>
      </c>
      <c r="O235" s="6">
        <v>50.88</v>
      </c>
      <c r="P235" s="6">
        <v>51.06</v>
      </c>
      <c r="Q235" s="6">
        <v>52.31</v>
      </c>
      <c r="R235" s="6">
        <v>51.26</v>
      </c>
      <c r="S235" s="6">
        <v>50.25</v>
      </c>
      <c r="T235" s="6">
        <v>50.01</v>
      </c>
      <c r="U235" s="6">
        <v>51.12</v>
      </c>
      <c r="V235" s="6">
        <v>50.75</v>
      </c>
      <c r="W235" s="6">
        <v>50.73</v>
      </c>
      <c r="X235" s="6">
        <v>50.94</v>
      </c>
      <c r="Y235" s="6">
        <v>50.82</v>
      </c>
      <c r="Z235" s="6">
        <v>51.18</v>
      </c>
      <c r="AA235" s="6">
        <v>52.02</v>
      </c>
      <c r="AB235" s="6">
        <v>51.41</v>
      </c>
      <c r="AC235" s="6">
        <v>50.6</v>
      </c>
      <c r="AD235" s="6">
        <v>50.28</v>
      </c>
      <c r="AE235" s="6">
        <v>50.66</v>
      </c>
      <c r="AF235" s="6">
        <v>52.1</v>
      </c>
      <c r="AG235" s="6">
        <v>50.95</v>
      </c>
      <c r="AH235" s="6">
        <v>50.6</v>
      </c>
      <c r="AI235" s="6">
        <v>51.46</v>
      </c>
      <c r="AJ235" s="6">
        <v>50.64</v>
      </c>
      <c r="AK235" s="6">
        <v>51.26</v>
      </c>
      <c r="AL235" s="6">
        <v>49.54</v>
      </c>
      <c r="AM235" s="6">
        <v>51.34</v>
      </c>
      <c r="AN235" s="6">
        <v>51.5</v>
      </c>
      <c r="AO235" s="6">
        <v>51.06</v>
      </c>
      <c r="AP235" s="6">
        <v>50.58</v>
      </c>
      <c r="AQ235" s="6">
        <v>51.68</v>
      </c>
      <c r="AR235" s="6">
        <v>51.64</v>
      </c>
      <c r="AS235" s="6">
        <v>51.21</v>
      </c>
      <c r="AT235" s="6">
        <v>50.29</v>
      </c>
      <c r="AU235" s="6">
        <v>51.02</v>
      </c>
      <c r="AV235" s="6"/>
      <c r="AW235" s="6"/>
      <c r="AX235" s="6">
        <v>50.64</v>
      </c>
      <c r="AY235" s="6">
        <v>51.51</v>
      </c>
      <c r="AZ235" s="6">
        <v>50.66</v>
      </c>
      <c r="BA235" s="6">
        <v>51.04</v>
      </c>
      <c r="BB235" s="6">
        <v>50.37</v>
      </c>
      <c r="BC235" s="6">
        <v>52.06</v>
      </c>
      <c r="BD235" s="6">
        <v>50.87</v>
      </c>
      <c r="BE235" s="6">
        <v>51.69</v>
      </c>
      <c r="BF235" s="6">
        <v>51.16</v>
      </c>
      <c r="BG235" s="6">
        <v>53.56</v>
      </c>
      <c r="BH235" s="6">
        <v>51.98</v>
      </c>
      <c r="BI235" s="6">
        <v>49.38</v>
      </c>
      <c r="BJ235" s="6">
        <v>51.38</v>
      </c>
      <c r="BK235" s="6">
        <v>51.8</v>
      </c>
      <c r="BL235" s="6">
        <v>50.44</v>
      </c>
      <c r="BM235" s="7">
        <v>50.28</v>
      </c>
      <c r="BN235" s="10"/>
    </row>
    <row r="236" spans="1:66" ht="15.75" customHeight="1" x14ac:dyDescent="0.25">
      <c r="A236" s="4">
        <v>234</v>
      </c>
      <c r="B236" s="4"/>
      <c r="C236" s="4">
        <v>22</v>
      </c>
      <c r="D236" s="6">
        <v>51.27</v>
      </c>
      <c r="E236" s="6">
        <v>50.35</v>
      </c>
      <c r="F236" s="6">
        <v>50.34</v>
      </c>
      <c r="G236" s="6">
        <v>50.31</v>
      </c>
      <c r="H236" s="6">
        <v>52.16</v>
      </c>
      <c r="I236" s="6">
        <v>50.51</v>
      </c>
      <c r="J236" s="6">
        <v>49.98</v>
      </c>
      <c r="K236" s="6">
        <v>50.62</v>
      </c>
      <c r="L236" s="6">
        <v>51.43</v>
      </c>
      <c r="M236" s="6">
        <v>50.74</v>
      </c>
      <c r="N236" s="6">
        <v>49.48</v>
      </c>
      <c r="O236" s="6">
        <v>50.87</v>
      </c>
      <c r="P236" s="6">
        <v>51.13</v>
      </c>
      <c r="Q236" s="6">
        <v>52.21</v>
      </c>
      <c r="R236" s="6">
        <v>51.19</v>
      </c>
      <c r="S236" s="6">
        <v>50.2</v>
      </c>
      <c r="T236" s="6">
        <v>49.96</v>
      </c>
      <c r="U236" s="6">
        <v>51.05</v>
      </c>
      <c r="V236" s="6">
        <v>50.69</v>
      </c>
      <c r="W236" s="6">
        <v>50.71</v>
      </c>
      <c r="X236" s="6">
        <v>50.96</v>
      </c>
      <c r="Y236" s="6">
        <v>50.79</v>
      </c>
      <c r="Z236" s="6">
        <v>51.18</v>
      </c>
      <c r="AA236" s="6">
        <v>52</v>
      </c>
      <c r="AB236" s="6">
        <v>51.43</v>
      </c>
      <c r="AC236" s="6">
        <v>50.6</v>
      </c>
      <c r="AD236" s="6">
        <v>50.26</v>
      </c>
      <c r="AE236" s="6">
        <v>50.7</v>
      </c>
      <c r="AF236" s="6">
        <v>52.14</v>
      </c>
      <c r="AG236" s="6">
        <v>50.99</v>
      </c>
      <c r="AH236" s="6">
        <v>50.58</v>
      </c>
      <c r="AI236" s="6">
        <v>51.5</v>
      </c>
      <c r="AJ236" s="6">
        <v>50.67</v>
      </c>
      <c r="AK236" s="6">
        <v>51.21</v>
      </c>
      <c r="AL236" s="6">
        <v>49.5</v>
      </c>
      <c r="AM236" s="6">
        <v>51.32</v>
      </c>
      <c r="AN236" s="6">
        <v>51.42</v>
      </c>
      <c r="AO236" s="6">
        <v>51.02</v>
      </c>
      <c r="AP236" s="6">
        <v>50.56</v>
      </c>
      <c r="AQ236" s="6">
        <v>51.62</v>
      </c>
      <c r="AR236" s="6">
        <v>51.59</v>
      </c>
      <c r="AS236" s="6">
        <v>51.26</v>
      </c>
      <c r="AT236" s="6">
        <v>50.26</v>
      </c>
      <c r="AU236" s="6">
        <v>50.99</v>
      </c>
      <c r="AV236" s="6"/>
      <c r="AW236" s="6"/>
      <c r="AX236" s="6">
        <v>50.58</v>
      </c>
      <c r="AY236" s="6">
        <v>51.47</v>
      </c>
      <c r="AZ236" s="6">
        <v>50.56</v>
      </c>
      <c r="BA236" s="6">
        <v>51.02</v>
      </c>
      <c r="BB236" s="6">
        <v>50.38</v>
      </c>
      <c r="BC236" s="6">
        <v>52.04</v>
      </c>
      <c r="BD236" s="6">
        <v>50.83</v>
      </c>
      <c r="BE236" s="6">
        <v>51.63</v>
      </c>
      <c r="BF236" s="6">
        <v>51.07</v>
      </c>
      <c r="BG236" s="6">
        <v>53.5</v>
      </c>
      <c r="BH236" s="6">
        <v>51.97</v>
      </c>
      <c r="BI236" s="6">
        <v>49.32</v>
      </c>
      <c r="BJ236" s="6">
        <v>51.3</v>
      </c>
      <c r="BK236" s="6">
        <v>51.79</v>
      </c>
      <c r="BL236" s="6">
        <v>50.36</v>
      </c>
      <c r="BM236" s="7">
        <v>50.16</v>
      </c>
      <c r="BN236" s="10"/>
    </row>
    <row r="237" spans="1:66" ht="15.75" customHeight="1" x14ac:dyDescent="0.25">
      <c r="A237" s="4">
        <v>235</v>
      </c>
      <c r="B237" s="4"/>
      <c r="C237" s="4">
        <v>23</v>
      </c>
      <c r="D237" s="6">
        <v>51.19</v>
      </c>
      <c r="E237" s="6">
        <v>50.36</v>
      </c>
      <c r="F237" s="6">
        <v>50.34</v>
      </c>
      <c r="G237" s="6">
        <v>50.25</v>
      </c>
      <c r="H237" s="6">
        <v>52.08</v>
      </c>
      <c r="I237" s="6">
        <v>50.42</v>
      </c>
      <c r="J237" s="6">
        <v>49.96</v>
      </c>
      <c r="K237" s="6">
        <v>50.52</v>
      </c>
      <c r="L237" s="6">
        <v>51.38</v>
      </c>
      <c r="M237" s="6">
        <v>50.72</v>
      </c>
      <c r="N237" s="6">
        <v>49.46</v>
      </c>
      <c r="O237" s="6">
        <v>50.84</v>
      </c>
      <c r="P237" s="6">
        <v>51.14</v>
      </c>
      <c r="Q237" s="6">
        <v>52.16</v>
      </c>
      <c r="R237" s="6">
        <v>51.11</v>
      </c>
      <c r="S237" s="6">
        <v>50.18</v>
      </c>
      <c r="T237" s="6">
        <v>49.88</v>
      </c>
      <c r="U237" s="6">
        <v>50.98</v>
      </c>
      <c r="V237" s="6">
        <v>50.64</v>
      </c>
      <c r="W237" s="6">
        <v>50.7</v>
      </c>
      <c r="X237" s="6">
        <v>50.96</v>
      </c>
      <c r="Y237" s="6">
        <v>50.75</v>
      </c>
      <c r="Z237" s="6">
        <v>51.18</v>
      </c>
      <c r="AA237" s="6">
        <v>51.92</v>
      </c>
      <c r="AB237" s="6">
        <v>51.49</v>
      </c>
      <c r="AC237" s="6">
        <v>50.74</v>
      </c>
      <c r="AD237" s="6">
        <v>50.14</v>
      </c>
      <c r="AE237" s="6">
        <v>50.67</v>
      </c>
      <c r="AF237" s="6">
        <v>52.19</v>
      </c>
      <c r="AG237" s="6">
        <v>50.9</v>
      </c>
      <c r="AH237" s="6">
        <v>50.55</v>
      </c>
      <c r="AI237" s="6">
        <v>51.53</v>
      </c>
      <c r="AJ237" s="6">
        <v>50.64</v>
      </c>
      <c r="AK237" s="6">
        <v>51.14</v>
      </c>
      <c r="AL237" s="6">
        <v>49.44</v>
      </c>
      <c r="AM237" s="6">
        <v>51.3</v>
      </c>
      <c r="AN237" s="6">
        <v>51.38</v>
      </c>
      <c r="AO237" s="6">
        <v>50.94</v>
      </c>
      <c r="AP237" s="6">
        <v>50.58</v>
      </c>
      <c r="AQ237" s="6">
        <v>51.62</v>
      </c>
      <c r="AR237" s="6">
        <v>51.5</v>
      </c>
      <c r="AS237" s="6">
        <v>51.24</v>
      </c>
      <c r="AT237" s="6">
        <v>50.24</v>
      </c>
      <c r="AU237" s="6">
        <v>50.99</v>
      </c>
      <c r="AV237" s="6"/>
      <c r="AW237" s="6"/>
      <c r="AX237" s="6">
        <v>50.5</v>
      </c>
      <c r="AY237" s="6">
        <v>51.41</v>
      </c>
      <c r="AZ237" s="6">
        <v>50.45</v>
      </c>
      <c r="BA237" s="6">
        <v>50.98</v>
      </c>
      <c r="BB237" s="6">
        <v>50.37</v>
      </c>
      <c r="BC237" s="6">
        <v>52.04</v>
      </c>
      <c r="BD237" s="6">
        <v>50.83</v>
      </c>
      <c r="BE237" s="6">
        <v>51.63</v>
      </c>
      <c r="BF237" s="6">
        <v>50.96</v>
      </c>
      <c r="BG237" s="6">
        <v>53.42</v>
      </c>
      <c r="BH237" s="6">
        <v>51.97</v>
      </c>
      <c r="BI237" s="6">
        <v>49.3</v>
      </c>
      <c r="BJ237" s="6">
        <v>51.26</v>
      </c>
      <c r="BK237" s="6">
        <v>51.75</v>
      </c>
      <c r="BL237" s="6">
        <v>50.26</v>
      </c>
      <c r="BM237" s="7">
        <v>50.04</v>
      </c>
      <c r="BN237" s="10"/>
    </row>
    <row r="238" spans="1:66" ht="15.75" customHeight="1" x14ac:dyDescent="0.25">
      <c r="A238" s="4">
        <v>236</v>
      </c>
      <c r="B238" s="4"/>
      <c r="C238" s="4">
        <v>24</v>
      </c>
      <c r="D238" s="6">
        <v>51.13</v>
      </c>
      <c r="E238" s="6">
        <v>50.38</v>
      </c>
      <c r="F238" s="6">
        <v>50.26</v>
      </c>
      <c r="G238" s="6">
        <v>50.19</v>
      </c>
      <c r="H238" s="6">
        <v>51.96</v>
      </c>
      <c r="I238" s="6">
        <v>50.52</v>
      </c>
      <c r="J238" s="6">
        <v>49.92</v>
      </c>
      <c r="K238" s="6">
        <v>50.43</v>
      </c>
      <c r="L238" s="6">
        <v>51.35</v>
      </c>
      <c r="M238" s="6">
        <v>50.68</v>
      </c>
      <c r="N238" s="6">
        <v>49.45</v>
      </c>
      <c r="O238" s="6">
        <v>50.78</v>
      </c>
      <c r="P238" s="6">
        <v>51.14</v>
      </c>
      <c r="Q238" s="6">
        <v>52.06</v>
      </c>
      <c r="R238" s="6">
        <v>51.04</v>
      </c>
      <c r="S238" s="6">
        <v>50.16</v>
      </c>
      <c r="T238" s="6">
        <v>49.86</v>
      </c>
      <c r="U238" s="6">
        <v>50.89</v>
      </c>
      <c r="V238" s="6">
        <v>50.59</v>
      </c>
      <c r="W238" s="6">
        <v>50.66</v>
      </c>
      <c r="X238" s="6">
        <v>50.98</v>
      </c>
      <c r="Y238" s="6">
        <v>50.74</v>
      </c>
      <c r="Z238" s="6">
        <v>51.2</v>
      </c>
      <c r="AA238" s="6">
        <v>51.88</v>
      </c>
      <c r="AB238" s="6">
        <v>51.46</v>
      </c>
      <c r="AC238" s="6">
        <v>50.74</v>
      </c>
      <c r="AD238" s="6">
        <v>50.1</v>
      </c>
      <c r="AE238" s="6">
        <v>50.64</v>
      </c>
      <c r="AF238" s="6">
        <v>52.28</v>
      </c>
      <c r="AG238" s="6">
        <v>50.86</v>
      </c>
      <c r="AH238" s="6">
        <v>50.49</v>
      </c>
      <c r="AI238" s="6">
        <v>51.64</v>
      </c>
      <c r="AJ238" s="6">
        <v>50.6</v>
      </c>
      <c r="AK238" s="6">
        <v>51.06</v>
      </c>
      <c r="AL238" s="6">
        <v>49.4</v>
      </c>
      <c r="AM238" s="6">
        <v>51.32</v>
      </c>
      <c r="AN238" s="6">
        <v>51.28</v>
      </c>
      <c r="AO238" s="6">
        <v>50.84</v>
      </c>
      <c r="AP238" s="6">
        <v>50.54</v>
      </c>
      <c r="AQ238" s="6">
        <v>51.58</v>
      </c>
      <c r="AR238" s="6">
        <v>51.44</v>
      </c>
      <c r="AS238" s="6">
        <v>51.2</v>
      </c>
      <c r="AT238" s="6">
        <v>50.17</v>
      </c>
      <c r="AU238" s="6">
        <v>50.99</v>
      </c>
      <c r="AV238" s="6"/>
      <c r="AW238" s="6"/>
      <c r="AX238" s="6">
        <v>50.4</v>
      </c>
      <c r="AY238" s="6">
        <v>51.35</v>
      </c>
      <c r="AZ238" s="6">
        <v>50.36</v>
      </c>
      <c r="BA238" s="6">
        <v>50.94</v>
      </c>
      <c r="BB238" s="6">
        <v>50.35</v>
      </c>
      <c r="BC238" s="6">
        <v>52.04</v>
      </c>
      <c r="BD238" s="6">
        <v>50.83</v>
      </c>
      <c r="BE238" s="6">
        <v>51.53</v>
      </c>
      <c r="BF238" s="6">
        <v>50.85</v>
      </c>
      <c r="BG238" s="6">
        <v>53.31</v>
      </c>
      <c r="BH238" s="6">
        <v>52.02</v>
      </c>
      <c r="BI238" s="6">
        <v>49.3</v>
      </c>
      <c r="BJ238" s="6">
        <v>51.19</v>
      </c>
      <c r="BK238" s="6">
        <v>51.67</v>
      </c>
      <c r="BL238" s="6">
        <v>50.22</v>
      </c>
      <c r="BM238" s="7">
        <v>49.9</v>
      </c>
      <c r="BN238" s="10"/>
    </row>
    <row r="239" spans="1:66" ht="15.75" customHeight="1" x14ac:dyDescent="0.25">
      <c r="A239" s="4">
        <v>237</v>
      </c>
      <c r="B239" s="4"/>
      <c r="C239" s="4">
        <v>25</v>
      </c>
      <c r="D239" s="6">
        <v>51.05</v>
      </c>
      <c r="E239" s="6">
        <v>50.36</v>
      </c>
      <c r="F239" s="6">
        <v>50.26</v>
      </c>
      <c r="G239" s="6">
        <v>50.12</v>
      </c>
      <c r="H239" s="6">
        <v>51.91</v>
      </c>
      <c r="I239" s="6">
        <v>50.53</v>
      </c>
      <c r="J239" s="6">
        <v>49.96</v>
      </c>
      <c r="K239" s="6">
        <v>50.32</v>
      </c>
      <c r="L239" s="6">
        <v>51.35</v>
      </c>
      <c r="M239" s="6">
        <v>50.67</v>
      </c>
      <c r="N239" s="6">
        <v>49.48</v>
      </c>
      <c r="O239" s="6">
        <v>50.74</v>
      </c>
      <c r="P239" s="6">
        <v>51.14</v>
      </c>
      <c r="Q239" s="6">
        <v>52</v>
      </c>
      <c r="R239" s="6">
        <v>50.95</v>
      </c>
      <c r="S239" s="6">
        <v>50.12</v>
      </c>
      <c r="T239" s="6">
        <v>49.86</v>
      </c>
      <c r="U239" s="6">
        <v>50.83</v>
      </c>
      <c r="V239" s="6">
        <v>50.56</v>
      </c>
      <c r="W239" s="6">
        <v>50.66</v>
      </c>
      <c r="X239" s="6">
        <v>50.96</v>
      </c>
      <c r="Y239" s="6">
        <v>50.68</v>
      </c>
      <c r="Z239" s="6">
        <v>51.26</v>
      </c>
      <c r="AA239" s="6">
        <v>51.79</v>
      </c>
      <c r="AB239" s="6">
        <v>51.42</v>
      </c>
      <c r="AC239" s="6">
        <v>50.63</v>
      </c>
      <c r="AD239" s="6">
        <v>50.06</v>
      </c>
      <c r="AE239" s="6">
        <v>50.64</v>
      </c>
      <c r="AF239" s="6">
        <v>52.37</v>
      </c>
      <c r="AG239" s="6">
        <v>50.88</v>
      </c>
      <c r="AH239" s="6">
        <v>50.41</v>
      </c>
      <c r="AI239" s="6">
        <v>51.68</v>
      </c>
      <c r="AJ239" s="6">
        <v>50.58</v>
      </c>
      <c r="AK239" s="6">
        <v>50.97</v>
      </c>
      <c r="AL239" s="6">
        <v>49.4</v>
      </c>
      <c r="AM239" s="6">
        <v>51.28</v>
      </c>
      <c r="AN239" s="6">
        <v>51.18</v>
      </c>
      <c r="AO239" s="6">
        <v>50.83</v>
      </c>
      <c r="AP239" s="6">
        <v>50.49</v>
      </c>
      <c r="AQ239" s="6">
        <v>51.57</v>
      </c>
      <c r="AR239" s="6">
        <v>51.35</v>
      </c>
      <c r="AS239" s="6">
        <v>51.12</v>
      </c>
      <c r="AT239" s="6">
        <v>50.13</v>
      </c>
      <c r="AU239" s="6">
        <v>50.99</v>
      </c>
      <c r="AV239" s="6"/>
      <c r="AW239" s="6"/>
      <c r="AX239" s="6">
        <v>50.32</v>
      </c>
      <c r="AY239" s="6">
        <v>51.27</v>
      </c>
      <c r="AZ239" s="6">
        <v>50.26</v>
      </c>
      <c r="BA239" s="6">
        <v>50.85</v>
      </c>
      <c r="BB239" s="6">
        <v>50.32</v>
      </c>
      <c r="BC239" s="6">
        <v>52</v>
      </c>
      <c r="BD239" s="6">
        <v>50.81</v>
      </c>
      <c r="BE239" s="6">
        <v>51.5</v>
      </c>
      <c r="BF239" s="6">
        <v>50.75</v>
      </c>
      <c r="BG239" s="6">
        <v>53.25</v>
      </c>
      <c r="BH239" s="6">
        <v>52.03</v>
      </c>
      <c r="BI239" s="6">
        <v>49.24</v>
      </c>
      <c r="BJ239" s="6">
        <v>51.16</v>
      </c>
      <c r="BK239" s="6">
        <v>51.62</v>
      </c>
      <c r="BL239" s="6">
        <v>50.12</v>
      </c>
      <c r="BM239" s="7">
        <v>49.78</v>
      </c>
      <c r="BN239" s="10"/>
    </row>
    <row r="240" spans="1:66" ht="15.75" customHeight="1" x14ac:dyDescent="0.25">
      <c r="A240" s="4">
        <v>238</v>
      </c>
      <c r="B240" s="4"/>
      <c r="C240" s="4">
        <v>26</v>
      </c>
      <c r="D240" s="6">
        <v>51</v>
      </c>
      <c r="E240" s="6">
        <v>50.35</v>
      </c>
      <c r="F240" s="6">
        <v>50.24</v>
      </c>
      <c r="G240" s="6">
        <v>50.09</v>
      </c>
      <c r="H240" s="6">
        <v>51.76</v>
      </c>
      <c r="I240" s="6">
        <v>50.55</v>
      </c>
      <c r="J240" s="6">
        <v>49.95</v>
      </c>
      <c r="K240" s="6">
        <v>50.2</v>
      </c>
      <c r="L240" s="6">
        <v>51.41</v>
      </c>
      <c r="M240" s="6">
        <v>50.66</v>
      </c>
      <c r="N240" s="6">
        <v>49.52</v>
      </c>
      <c r="O240" s="6">
        <v>50.64</v>
      </c>
      <c r="P240" s="6">
        <v>51.14</v>
      </c>
      <c r="Q240" s="6">
        <v>51.96</v>
      </c>
      <c r="R240" s="6">
        <v>50.91</v>
      </c>
      <c r="S240" s="6">
        <v>50.09</v>
      </c>
      <c r="T240" s="6">
        <v>49.84</v>
      </c>
      <c r="U240" s="6">
        <v>50.74</v>
      </c>
      <c r="V240" s="6">
        <v>50.5</v>
      </c>
      <c r="W240" s="6">
        <v>50.74</v>
      </c>
      <c r="X240" s="6">
        <v>50.95</v>
      </c>
      <c r="Y240" s="6">
        <v>50.68</v>
      </c>
      <c r="Z240" s="6">
        <v>51.3</v>
      </c>
      <c r="AA240" s="6">
        <v>51.7</v>
      </c>
      <c r="AB240" s="6">
        <v>51.39</v>
      </c>
      <c r="AC240" s="6">
        <v>50.63</v>
      </c>
      <c r="AD240" s="6">
        <v>50.14</v>
      </c>
      <c r="AE240" s="6">
        <v>50.64</v>
      </c>
      <c r="AF240" s="6">
        <v>52.4</v>
      </c>
      <c r="AG240" s="6">
        <v>50.82</v>
      </c>
      <c r="AH240" s="6">
        <v>50.36</v>
      </c>
      <c r="AI240" s="6">
        <v>51.68</v>
      </c>
      <c r="AJ240" s="6">
        <v>50.49</v>
      </c>
      <c r="AK240" s="6">
        <v>50.93</v>
      </c>
      <c r="AL240" s="6">
        <v>49.36</v>
      </c>
      <c r="AM240" s="6">
        <v>51.29</v>
      </c>
      <c r="AN240" s="6">
        <v>51.08</v>
      </c>
      <c r="AO240" s="6">
        <v>50.69</v>
      </c>
      <c r="AP240" s="6">
        <v>50.45</v>
      </c>
      <c r="AQ240" s="6">
        <v>51.55</v>
      </c>
      <c r="AR240" s="6">
        <v>51.31</v>
      </c>
      <c r="AS240" s="6">
        <v>51.06</v>
      </c>
      <c r="AT240" s="6">
        <v>50.08</v>
      </c>
      <c r="AU240" s="6">
        <v>50.43</v>
      </c>
      <c r="AV240" s="6"/>
      <c r="AW240" s="6"/>
      <c r="AX240" s="6">
        <v>50.21</v>
      </c>
      <c r="AY240" s="6">
        <v>51.2</v>
      </c>
      <c r="AZ240" s="6">
        <v>50.17</v>
      </c>
      <c r="BA240" s="6">
        <v>50.82</v>
      </c>
      <c r="BB240" s="6">
        <v>50.3</v>
      </c>
      <c r="BC240" s="6">
        <v>51.98</v>
      </c>
      <c r="BD240" s="6">
        <v>50.81</v>
      </c>
      <c r="BE240" s="6">
        <v>51.47</v>
      </c>
      <c r="BF240" s="6">
        <v>50.75</v>
      </c>
      <c r="BG240" s="6">
        <v>53.19</v>
      </c>
      <c r="BH240" s="6">
        <v>52</v>
      </c>
      <c r="BI240" s="6">
        <v>49.2</v>
      </c>
      <c r="BJ240" s="6">
        <v>51.1</v>
      </c>
      <c r="BK240" s="6">
        <v>51.56</v>
      </c>
      <c r="BL240" s="6">
        <v>50</v>
      </c>
      <c r="BM240" s="7">
        <v>49.64</v>
      </c>
      <c r="BN240" s="10"/>
    </row>
    <row r="241" spans="1:66" ht="15.75" customHeight="1" x14ac:dyDescent="0.25">
      <c r="A241" s="4">
        <v>239</v>
      </c>
      <c r="B241" s="4"/>
      <c r="C241" s="4">
        <v>27</v>
      </c>
      <c r="D241" s="6">
        <v>50.95</v>
      </c>
      <c r="E241" s="6">
        <v>50.39</v>
      </c>
      <c r="F241" s="6">
        <v>50.2</v>
      </c>
      <c r="G241" s="6">
        <v>50.06</v>
      </c>
      <c r="H241" s="6">
        <v>51.64</v>
      </c>
      <c r="I241" s="6">
        <v>50.61</v>
      </c>
      <c r="J241" s="6">
        <v>49.93</v>
      </c>
      <c r="K241" s="6">
        <v>50.16</v>
      </c>
      <c r="L241" s="6">
        <v>51.41</v>
      </c>
      <c r="M241" s="6">
        <v>50.6</v>
      </c>
      <c r="N241" s="6">
        <v>49.62</v>
      </c>
      <c r="O241" s="6">
        <v>50.52</v>
      </c>
      <c r="P241" s="6">
        <v>51.11</v>
      </c>
      <c r="Q241" s="6">
        <v>51.93</v>
      </c>
      <c r="R241" s="6">
        <v>50.84</v>
      </c>
      <c r="S241" s="6">
        <v>50.08</v>
      </c>
      <c r="T241" s="6">
        <v>49.8</v>
      </c>
      <c r="U241" s="6">
        <v>50.74</v>
      </c>
      <c r="V241" s="6">
        <v>50.45</v>
      </c>
      <c r="W241" s="6">
        <v>50.61</v>
      </c>
      <c r="X241" s="6">
        <v>50.9</v>
      </c>
      <c r="Y241" s="6">
        <v>50.72</v>
      </c>
      <c r="Z241" s="6">
        <v>51.28</v>
      </c>
      <c r="AA241" s="6">
        <v>51.6</v>
      </c>
      <c r="AB241" s="6">
        <v>51.35</v>
      </c>
      <c r="AC241" s="6">
        <v>50.58</v>
      </c>
      <c r="AD241" s="6">
        <v>50.1</v>
      </c>
      <c r="AE241" s="6">
        <v>50.64</v>
      </c>
      <c r="AF241" s="6">
        <v>52.38</v>
      </c>
      <c r="AG241" s="6">
        <v>50.74</v>
      </c>
      <c r="AH241" s="6">
        <v>50.31</v>
      </c>
      <c r="AI241" s="6">
        <v>51.64</v>
      </c>
      <c r="AJ241" s="6">
        <v>50.42</v>
      </c>
      <c r="AK241" s="6">
        <v>50.89</v>
      </c>
      <c r="AL241" s="6">
        <v>49.28</v>
      </c>
      <c r="AM241" s="6">
        <v>51.32</v>
      </c>
      <c r="AN241" s="6">
        <v>50.98</v>
      </c>
      <c r="AO241" s="6">
        <v>50.65</v>
      </c>
      <c r="AP241" s="6">
        <v>50.39</v>
      </c>
      <c r="AQ241" s="6">
        <v>51.5</v>
      </c>
      <c r="AR241" s="6">
        <v>51.31</v>
      </c>
      <c r="AS241" s="6">
        <v>51.03</v>
      </c>
      <c r="AT241" s="6">
        <v>50.04</v>
      </c>
      <c r="AU241" s="6">
        <v>50.65</v>
      </c>
      <c r="AV241" s="6"/>
      <c r="AW241" s="6"/>
      <c r="AX241" s="6">
        <v>50.11</v>
      </c>
      <c r="AY241" s="6">
        <v>51.14</v>
      </c>
      <c r="AZ241" s="6">
        <v>50.08</v>
      </c>
      <c r="BA241" s="6">
        <v>50.8</v>
      </c>
      <c r="BB241" s="6">
        <v>50.28</v>
      </c>
      <c r="BC241" s="6">
        <v>52.04</v>
      </c>
      <c r="BD241" s="6">
        <v>50.77</v>
      </c>
      <c r="BE241" s="6">
        <v>51.43</v>
      </c>
      <c r="BF241" s="6">
        <v>50.53</v>
      </c>
      <c r="BG241" s="6">
        <v>53.13</v>
      </c>
      <c r="BH241" s="6">
        <v>52</v>
      </c>
      <c r="BI241" s="6">
        <v>49.16</v>
      </c>
      <c r="BJ241" s="6">
        <v>51.04</v>
      </c>
      <c r="BK241" s="6">
        <v>51.52</v>
      </c>
      <c r="BL241" s="6">
        <v>49.9</v>
      </c>
      <c r="BM241" s="7">
        <v>49.54</v>
      </c>
      <c r="BN241" s="10"/>
    </row>
    <row r="242" spans="1:66" ht="15.75" customHeight="1" x14ac:dyDescent="0.25">
      <c r="A242" s="4">
        <v>240</v>
      </c>
      <c r="B242" s="4"/>
      <c r="C242" s="4">
        <v>28</v>
      </c>
      <c r="D242" s="6">
        <v>50.99</v>
      </c>
      <c r="E242" s="6">
        <v>50.37</v>
      </c>
      <c r="F242" s="6">
        <v>50.18</v>
      </c>
      <c r="G242" s="6">
        <v>50.05</v>
      </c>
      <c r="H242" s="6">
        <v>51.61</v>
      </c>
      <c r="I242" s="6">
        <v>50.64</v>
      </c>
      <c r="J242" s="6">
        <v>49.97</v>
      </c>
      <c r="K242" s="6">
        <v>50.1</v>
      </c>
      <c r="L242" s="6">
        <v>51.36</v>
      </c>
      <c r="M242" s="6">
        <v>50.54</v>
      </c>
      <c r="N242" s="6">
        <v>49.76</v>
      </c>
      <c r="O242" s="6">
        <v>50.45</v>
      </c>
      <c r="P242" s="6">
        <v>51.06</v>
      </c>
      <c r="Q242" s="6">
        <v>51.74</v>
      </c>
      <c r="R242" s="6">
        <v>50.76</v>
      </c>
      <c r="S242" s="6">
        <v>50.07</v>
      </c>
      <c r="T242" s="6">
        <v>49.77</v>
      </c>
      <c r="U242" s="6">
        <v>50.66</v>
      </c>
      <c r="V242" s="6">
        <v>50.38</v>
      </c>
      <c r="W242" s="6">
        <v>50.61</v>
      </c>
      <c r="X242" s="6">
        <v>50.82</v>
      </c>
      <c r="Y242" s="6">
        <v>50.77</v>
      </c>
      <c r="Z242" s="6">
        <v>51.26</v>
      </c>
      <c r="AA242" s="6">
        <v>51.5</v>
      </c>
      <c r="AB242" s="6">
        <v>51.3</v>
      </c>
      <c r="AC242" s="6">
        <v>50.57</v>
      </c>
      <c r="AD242" s="6">
        <v>49.97</v>
      </c>
      <c r="AE242" s="6">
        <v>50.67</v>
      </c>
      <c r="AF242" s="6">
        <v>52.33</v>
      </c>
      <c r="AG242" s="6">
        <v>50.67</v>
      </c>
      <c r="AH242" s="6">
        <v>50.32</v>
      </c>
      <c r="AI242" s="6">
        <v>51.63</v>
      </c>
      <c r="AJ242" s="6">
        <v>50.35</v>
      </c>
      <c r="AK242" s="6">
        <v>50.86</v>
      </c>
      <c r="AL242" s="6">
        <v>49.23</v>
      </c>
      <c r="AM242" s="6">
        <v>51.29</v>
      </c>
      <c r="AN242" s="6">
        <v>50.88</v>
      </c>
      <c r="AO242" s="6">
        <v>50.68</v>
      </c>
      <c r="AP242" s="6">
        <v>50.33</v>
      </c>
      <c r="AQ242" s="6">
        <v>51.47</v>
      </c>
      <c r="AR242" s="6">
        <v>51.3</v>
      </c>
      <c r="AS242" s="6">
        <v>50.96</v>
      </c>
      <c r="AT242" s="6">
        <v>49.98</v>
      </c>
      <c r="AU242" s="6">
        <v>50.87</v>
      </c>
      <c r="AV242" s="6"/>
      <c r="AW242" s="6"/>
      <c r="AX242" s="6">
        <v>50.03</v>
      </c>
      <c r="AY242" s="6">
        <v>51.07</v>
      </c>
      <c r="AZ242" s="6">
        <v>50.01</v>
      </c>
      <c r="BA242" s="6">
        <v>50.76</v>
      </c>
      <c r="BB242" s="6">
        <v>50.4</v>
      </c>
      <c r="BC242" s="6">
        <v>52.02</v>
      </c>
      <c r="BD242" s="6">
        <v>50.76</v>
      </c>
      <c r="BE242" s="6">
        <v>51.43</v>
      </c>
      <c r="BF242" s="6">
        <v>50.42</v>
      </c>
      <c r="BG242" s="6">
        <v>53</v>
      </c>
      <c r="BH242" s="6">
        <v>52</v>
      </c>
      <c r="BI242" s="6">
        <v>49.14</v>
      </c>
      <c r="BJ242" s="6">
        <v>51</v>
      </c>
      <c r="BK242" s="6">
        <v>51.44</v>
      </c>
      <c r="BL242" s="6">
        <v>49.78</v>
      </c>
      <c r="BM242" s="7">
        <v>49.48</v>
      </c>
      <c r="BN242" s="10"/>
    </row>
    <row r="243" spans="1:66" ht="15.75" customHeight="1" x14ac:dyDescent="0.25">
      <c r="A243" s="4">
        <v>241</v>
      </c>
      <c r="B243" s="4"/>
      <c r="C243" s="4">
        <v>29</v>
      </c>
      <c r="D243" s="6">
        <v>50.95</v>
      </c>
      <c r="E243" s="6">
        <v>50.38</v>
      </c>
      <c r="F243" s="6">
        <v>50.18</v>
      </c>
      <c r="G243" s="6">
        <v>49.91</v>
      </c>
      <c r="H243" s="6">
        <v>51.56</v>
      </c>
      <c r="I243" s="6">
        <v>50.64</v>
      </c>
      <c r="J243" s="6">
        <v>50</v>
      </c>
      <c r="K243" s="6">
        <v>50.08</v>
      </c>
      <c r="L243" s="6">
        <v>51.32</v>
      </c>
      <c r="M243" s="6">
        <v>50.47</v>
      </c>
      <c r="N243" s="6">
        <v>49.89</v>
      </c>
      <c r="O243" s="6">
        <v>50.34</v>
      </c>
      <c r="P243" s="6">
        <v>51.04</v>
      </c>
      <c r="Q243" s="6">
        <v>51.62</v>
      </c>
      <c r="R243" s="6">
        <v>50.68</v>
      </c>
      <c r="S243" s="6">
        <v>50.04</v>
      </c>
      <c r="T243" s="6">
        <v>49.76</v>
      </c>
      <c r="U243" s="6">
        <v>50.62</v>
      </c>
      <c r="V243" s="6">
        <v>50.35</v>
      </c>
      <c r="W243" s="6">
        <v>50.6</v>
      </c>
      <c r="X243" s="6">
        <v>50.82</v>
      </c>
      <c r="Y243" s="6">
        <v>50.77</v>
      </c>
      <c r="Z243" s="6">
        <v>51.21</v>
      </c>
      <c r="AA243" s="6">
        <v>51.41</v>
      </c>
      <c r="AB243" s="6">
        <v>51.28</v>
      </c>
      <c r="AC243" s="6">
        <v>50.54</v>
      </c>
      <c r="AD243" s="6">
        <v>49.96</v>
      </c>
      <c r="AE243" s="6">
        <v>50.61</v>
      </c>
      <c r="AF243" s="6">
        <v>52.18</v>
      </c>
      <c r="AG243" s="6">
        <v>50.68</v>
      </c>
      <c r="AH243" s="6">
        <v>50.22</v>
      </c>
      <c r="AI243" s="6">
        <v>51.61</v>
      </c>
      <c r="AJ243" s="6">
        <v>50.26</v>
      </c>
      <c r="AK243" s="6">
        <v>50.81</v>
      </c>
      <c r="AL243" s="6">
        <v>49.15</v>
      </c>
      <c r="AM243" s="6">
        <v>51.27</v>
      </c>
      <c r="AN243" s="6">
        <v>50.8</v>
      </c>
      <c r="AO243" s="6">
        <v>50.66</v>
      </c>
      <c r="AP243" s="6">
        <v>50.24</v>
      </c>
      <c r="AQ243" s="6">
        <v>51.42</v>
      </c>
      <c r="AR243" s="6">
        <v>51.3</v>
      </c>
      <c r="AS243" s="6">
        <v>50.91</v>
      </c>
      <c r="AT243" s="6">
        <v>49.96</v>
      </c>
      <c r="AU243" s="6">
        <v>50.78</v>
      </c>
      <c r="AV243" s="6"/>
      <c r="AW243" s="6"/>
      <c r="AX243" s="6">
        <v>49.97</v>
      </c>
      <c r="AY243" s="6">
        <v>50.98</v>
      </c>
      <c r="AZ243" s="6">
        <v>49.96</v>
      </c>
      <c r="BA243" s="6">
        <v>50.75</v>
      </c>
      <c r="BB243" s="6">
        <v>50.4</v>
      </c>
      <c r="BC243" s="6">
        <v>51.98</v>
      </c>
      <c r="BD243" s="6">
        <v>50.78</v>
      </c>
      <c r="BE243" s="6">
        <v>51.38</v>
      </c>
      <c r="BF243" s="6">
        <v>50.36</v>
      </c>
      <c r="BG243" s="6">
        <v>53</v>
      </c>
      <c r="BH243" s="6">
        <v>51.98</v>
      </c>
      <c r="BI243" s="6">
        <v>49.05</v>
      </c>
      <c r="BJ243" s="6">
        <v>51</v>
      </c>
      <c r="BK243" s="6">
        <v>51.4</v>
      </c>
      <c r="BL243" s="6">
        <v>49.68</v>
      </c>
      <c r="BM243" s="7">
        <v>49.38</v>
      </c>
      <c r="BN243" s="10"/>
    </row>
    <row r="244" spans="1:66" ht="15.75" customHeight="1" x14ac:dyDescent="0.25">
      <c r="A244" s="4">
        <v>242</v>
      </c>
      <c r="B244" s="4"/>
      <c r="C244" s="4">
        <v>30</v>
      </c>
      <c r="D244" s="6">
        <v>50.88</v>
      </c>
      <c r="E244" s="6">
        <v>50.37</v>
      </c>
      <c r="F244" s="6">
        <v>50.19</v>
      </c>
      <c r="G244" s="6">
        <v>49.76</v>
      </c>
      <c r="H244" s="6">
        <v>51.46</v>
      </c>
      <c r="I244" s="6">
        <v>50.67</v>
      </c>
      <c r="J244" s="6">
        <v>50.02</v>
      </c>
      <c r="K244" s="6">
        <v>50.07</v>
      </c>
      <c r="L244" s="6">
        <v>51.26</v>
      </c>
      <c r="M244" s="6">
        <v>50.38</v>
      </c>
      <c r="N244" s="6">
        <v>49.99</v>
      </c>
      <c r="O244" s="6">
        <v>50.19</v>
      </c>
      <c r="P244" s="6">
        <v>50.97</v>
      </c>
      <c r="Q244" s="6">
        <v>51.51</v>
      </c>
      <c r="R244" s="6">
        <v>50.57</v>
      </c>
      <c r="S244" s="6">
        <v>49.94</v>
      </c>
      <c r="T244" s="6">
        <v>49.72</v>
      </c>
      <c r="U244" s="6">
        <v>50.61</v>
      </c>
      <c r="V244" s="6">
        <v>50.3</v>
      </c>
      <c r="W244" s="6">
        <v>50.57</v>
      </c>
      <c r="X244" s="6">
        <v>50.8</v>
      </c>
      <c r="Y244" s="6">
        <v>50.77</v>
      </c>
      <c r="Z244" s="6">
        <v>51.22</v>
      </c>
      <c r="AA244" s="6">
        <v>51.32</v>
      </c>
      <c r="AB244" s="6">
        <v>51.25</v>
      </c>
      <c r="AC244" s="6">
        <v>50.49</v>
      </c>
      <c r="AD244" s="6">
        <v>49.91</v>
      </c>
      <c r="AE244" s="6">
        <v>50.57</v>
      </c>
      <c r="AF244" s="6">
        <v>52.16</v>
      </c>
      <c r="AG244" s="6">
        <v>50.5</v>
      </c>
      <c r="AH244" s="6">
        <v>50.18</v>
      </c>
      <c r="AI244" s="6">
        <v>51.54</v>
      </c>
      <c r="AJ244" s="6">
        <v>50.18</v>
      </c>
      <c r="AK244" s="6">
        <v>50.74</v>
      </c>
      <c r="AL244" s="6">
        <v>49.08</v>
      </c>
      <c r="AM244" s="6">
        <v>51.23</v>
      </c>
      <c r="AN244" s="6">
        <v>50.68</v>
      </c>
      <c r="AO244" s="6">
        <v>50.62</v>
      </c>
      <c r="AP244" s="6">
        <v>50.14</v>
      </c>
      <c r="AQ244" s="6">
        <v>51.38</v>
      </c>
      <c r="AR244" s="6">
        <v>51.29</v>
      </c>
      <c r="AS244" s="6">
        <v>50.83</v>
      </c>
      <c r="AT244" s="6">
        <v>49.9</v>
      </c>
      <c r="AU244" s="6">
        <v>50.7</v>
      </c>
      <c r="AV244" s="6"/>
      <c r="AW244" s="6"/>
      <c r="AX244" s="6">
        <v>49.9</v>
      </c>
      <c r="AY244" s="6">
        <v>50.89</v>
      </c>
      <c r="AZ244" s="6">
        <v>49.88</v>
      </c>
      <c r="BA244" s="6">
        <v>50.71</v>
      </c>
      <c r="BB244" s="6">
        <v>50.42</v>
      </c>
      <c r="BC244" s="6">
        <v>51.94</v>
      </c>
      <c r="BD244" s="6">
        <v>50.79</v>
      </c>
      <c r="BE244" s="6">
        <v>51.31</v>
      </c>
      <c r="BF244" s="6">
        <v>50.24</v>
      </c>
      <c r="BG244" s="6">
        <v>52.91</v>
      </c>
      <c r="BH244" s="6">
        <v>51.94</v>
      </c>
      <c r="BI244" s="6">
        <v>49.07</v>
      </c>
      <c r="BJ244" s="6">
        <v>51</v>
      </c>
      <c r="BK244" s="6">
        <v>51.28</v>
      </c>
      <c r="BL244" s="6">
        <v>49.58</v>
      </c>
      <c r="BM244" s="7">
        <v>49.32</v>
      </c>
      <c r="BN244" s="10"/>
    </row>
    <row r="245" spans="1:66" ht="15.75" customHeight="1" x14ac:dyDescent="0.25">
      <c r="A245" s="4">
        <v>243</v>
      </c>
      <c r="B245" s="4"/>
      <c r="C245" s="4">
        <v>31</v>
      </c>
      <c r="D245" s="6">
        <v>50.78</v>
      </c>
      <c r="E245" s="6">
        <v>50.34</v>
      </c>
      <c r="F245" s="6">
        <v>50.16</v>
      </c>
      <c r="G245" s="6">
        <v>49.66</v>
      </c>
      <c r="H245" s="6">
        <v>51.31</v>
      </c>
      <c r="I245" s="6">
        <v>50.69</v>
      </c>
      <c r="J245" s="6">
        <v>50.01</v>
      </c>
      <c r="K245" s="6">
        <v>50.07</v>
      </c>
      <c r="L245" s="6">
        <v>51.17</v>
      </c>
      <c r="M245" s="6">
        <v>50.28</v>
      </c>
      <c r="N245" s="6">
        <v>50.11</v>
      </c>
      <c r="O245" s="6">
        <v>50.12</v>
      </c>
      <c r="P245" s="6">
        <v>50.95</v>
      </c>
      <c r="Q245" s="6">
        <v>51.44</v>
      </c>
      <c r="R245" s="6">
        <v>50.48</v>
      </c>
      <c r="S245" s="6">
        <v>49.85</v>
      </c>
      <c r="T245" s="6">
        <v>49.75</v>
      </c>
      <c r="U245" s="6">
        <v>50.55</v>
      </c>
      <c r="V245" s="6">
        <v>50.28</v>
      </c>
      <c r="W245" s="6">
        <v>50.56</v>
      </c>
      <c r="X245" s="6">
        <v>50.75</v>
      </c>
      <c r="Y245" s="6">
        <v>50.74</v>
      </c>
      <c r="Z245" s="6">
        <v>51.18</v>
      </c>
      <c r="AA245" s="6">
        <v>51.24</v>
      </c>
      <c r="AB245" s="6">
        <v>51.22</v>
      </c>
      <c r="AC245" s="6">
        <v>50.47</v>
      </c>
      <c r="AD245" s="6">
        <v>49.93</v>
      </c>
      <c r="AE245" s="6">
        <v>50.53</v>
      </c>
      <c r="AF245" s="6">
        <v>52.1</v>
      </c>
      <c r="AG245" s="6">
        <v>50.42</v>
      </c>
      <c r="AH245" s="6">
        <v>50.14</v>
      </c>
      <c r="AI245" s="6">
        <v>51.47</v>
      </c>
      <c r="AJ245" s="6">
        <v>50.08</v>
      </c>
      <c r="AK245" s="6">
        <v>50.74</v>
      </c>
      <c r="AL245" s="6">
        <v>48.98</v>
      </c>
      <c r="AM245" s="6">
        <v>51.22</v>
      </c>
      <c r="AN245" s="6">
        <v>50.67</v>
      </c>
      <c r="AO245" s="6">
        <v>50.58</v>
      </c>
      <c r="AP245" s="6">
        <v>50.04</v>
      </c>
      <c r="AQ245" s="6">
        <v>51.34</v>
      </c>
      <c r="AR245" s="6">
        <v>51.29</v>
      </c>
      <c r="AS245" s="6">
        <v>50.73</v>
      </c>
      <c r="AT245" s="6">
        <v>49.8</v>
      </c>
      <c r="AU245" s="6">
        <v>50.6</v>
      </c>
      <c r="AV245" s="6"/>
      <c r="AW245" s="6"/>
      <c r="AX245" s="6">
        <v>49.85</v>
      </c>
      <c r="AY245" s="6">
        <v>50.81</v>
      </c>
      <c r="AZ245" s="6">
        <v>49.82</v>
      </c>
      <c r="BA245" s="6">
        <v>50.72</v>
      </c>
      <c r="BB245" s="6">
        <v>50.47</v>
      </c>
      <c r="BC245" s="6">
        <v>51.88</v>
      </c>
      <c r="BD245" s="6">
        <v>50.76</v>
      </c>
      <c r="BE245" s="6">
        <v>51.24</v>
      </c>
      <c r="BF245" s="6">
        <v>50.16</v>
      </c>
      <c r="BG245" s="6">
        <v>52.81</v>
      </c>
      <c r="BH245" s="6">
        <v>51.88</v>
      </c>
      <c r="BI245" s="6">
        <v>49.01</v>
      </c>
      <c r="BJ245" s="6">
        <v>50.96</v>
      </c>
      <c r="BK245" s="6">
        <v>51.16</v>
      </c>
      <c r="BL245" s="6">
        <v>49.46</v>
      </c>
      <c r="BM245" s="7">
        <v>49.29</v>
      </c>
      <c r="BN245" s="10"/>
    </row>
    <row r="246" spans="1:66" ht="15.75" customHeight="1" x14ac:dyDescent="0.25">
      <c r="A246" s="4">
        <v>244</v>
      </c>
      <c r="B246" s="5" t="s">
        <v>12</v>
      </c>
      <c r="C246" s="4">
        <v>1</v>
      </c>
      <c r="D246" s="6">
        <v>50.69</v>
      </c>
      <c r="E246" s="6">
        <v>50.31</v>
      </c>
      <c r="F246" s="6">
        <v>50.04</v>
      </c>
      <c r="G246" s="6">
        <v>49.58</v>
      </c>
      <c r="H246" s="6">
        <v>51.16</v>
      </c>
      <c r="I246" s="6">
        <v>50.68</v>
      </c>
      <c r="J246" s="6">
        <v>50.04</v>
      </c>
      <c r="K246" s="6">
        <v>50.15</v>
      </c>
      <c r="L246" s="6">
        <v>51.16</v>
      </c>
      <c r="M246" s="6">
        <v>50.17</v>
      </c>
      <c r="N246" s="6">
        <v>50.18</v>
      </c>
      <c r="O246" s="6">
        <v>50.06</v>
      </c>
      <c r="P246" s="6">
        <v>50.95</v>
      </c>
      <c r="Q246" s="6">
        <v>51.34</v>
      </c>
      <c r="R246" s="6">
        <v>50.39</v>
      </c>
      <c r="S246" s="6">
        <v>49.79</v>
      </c>
      <c r="T246" s="6">
        <v>49.73</v>
      </c>
      <c r="U246" s="6">
        <v>50.43</v>
      </c>
      <c r="V246" s="6">
        <v>50.33</v>
      </c>
      <c r="W246" s="6">
        <v>50.5</v>
      </c>
      <c r="X246" s="6">
        <v>50.72</v>
      </c>
      <c r="Y246" s="6">
        <v>50.67</v>
      </c>
      <c r="Z246" s="6">
        <v>51.12</v>
      </c>
      <c r="AA246" s="6">
        <v>51.13</v>
      </c>
      <c r="AB246" s="6">
        <v>51.24</v>
      </c>
      <c r="AC246" s="6">
        <v>50.42</v>
      </c>
      <c r="AD246" s="6">
        <v>49.84</v>
      </c>
      <c r="AE246" s="6">
        <v>50.42</v>
      </c>
      <c r="AF246" s="6">
        <v>52.07</v>
      </c>
      <c r="AG246" s="6">
        <v>50.37</v>
      </c>
      <c r="AH246" s="6">
        <v>50.08</v>
      </c>
      <c r="AI246" s="6">
        <v>51.38</v>
      </c>
      <c r="AJ246" s="6">
        <v>49.98</v>
      </c>
      <c r="AK246" s="6">
        <v>50.64</v>
      </c>
      <c r="AL246" s="6">
        <v>48.91</v>
      </c>
      <c r="AM246" s="6">
        <v>51.26</v>
      </c>
      <c r="AN246" s="6">
        <v>50.53</v>
      </c>
      <c r="AO246" s="6">
        <v>50.65</v>
      </c>
      <c r="AP246" s="6">
        <v>49.96</v>
      </c>
      <c r="AQ246" s="6">
        <v>51.29</v>
      </c>
      <c r="AR246" s="6">
        <v>51.28</v>
      </c>
      <c r="AS246" s="6">
        <v>50.71</v>
      </c>
      <c r="AT246" s="6">
        <v>49.73</v>
      </c>
      <c r="AU246" s="6">
        <v>50.5</v>
      </c>
      <c r="AV246" s="6"/>
      <c r="AW246" s="6"/>
      <c r="AX246" s="6">
        <v>49.76</v>
      </c>
      <c r="AY246" s="6">
        <v>50.75</v>
      </c>
      <c r="AZ246" s="6">
        <v>49.76</v>
      </c>
      <c r="BA246" s="6">
        <v>50.75</v>
      </c>
      <c r="BB246" s="6">
        <v>50.48</v>
      </c>
      <c r="BC246" s="6">
        <v>51.79</v>
      </c>
      <c r="BD246" s="6">
        <v>50.73</v>
      </c>
      <c r="BE246" s="6">
        <v>51.31</v>
      </c>
      <c r="BF246" s="6">
        <v>50.12</v>
      </c>
      <c r="BG246" s="6">
        <v>52.73</v>
      </c>
      <c r="BH246" s="6">
        <v>51.82</v>
      </c>
      <c r="BI246" s="6">
        <v>48.94</v>
      </c>
      <c r="BJ246" s="6">
        <v>50.92</v>
      </c>
      <c r="BK246" s="6">
        <v>51.06</v>
      </c>
      <c r="BL246" s="6">
        <v>49.34</v>
      </c>
      <c r="BM246" s="7">
        <v>49.22</v>
      </c>
      <c r="BN246" s="10"/>
    </row>
    <row r="247" spans="1:66" ht="15.75" customHeight="1" x14ac:dyDescent="0.25">
      <c r="A247" s="4">
        <v>245</v>
      </c>
      <c r="B247" s="4"/>
      <c r="C247" s="4">
        <v>2</v>
      </c>
      <c r="D247" s="6">
        <v>50.61</v>
      </c>
      <c r="E247" s="6">
        <v>50.27</v>
      </c>
      <c r="F247" s="6">
        <v>50.01</v>
      </c>
      <c r="G247" s="6">
        <v>49.6</v>
      </c>
      <c r="H247" s="6">
        <v>51.11</v>
      </c>
      <c r="I247" s="6">
        <v>50.71</v>
      </c>
      <c r="J247" s="6">
        <v>50.05</v>
      </c>
      <c r="K247" s="6">
        <v>50.15</v>
      </c>
      <c r="L247" s="6">
        <v>51.09</v>
      </c>
      <c r="M247" s="6">
        <v>50.08</v>
      </c>
      <c r="N247" s="6">
        <v>50.25</v>
      </c>
      <c r="O247" s="6">
        <v>50</v>
      </c>
      <c r="P247" s="6">
        <v>50.95</v>
      </c>
      <c r="Q247" s="6">
        <v>51.26</v>
      </c>
      <c r="R247" s="6">
        <v>50.28</v>
      </c>
      <c r="S247" s="6">
        <v>49.69</v>
      </c>
      <c r="T247" s="6">
        <v>49.69</v>
      </c>
      <c r="U247" s="6">
        <v>50.34</v>
      </c>
      <c r="V247" s="6">
        <v>50.44</v>
      </c>
      <c r="W247" s="6">
        <v>50.48</v>
      </c>
      <c r="X247" s="6">
        <v>50.67</v>
      </c>
      <c r="Y247" s="6">
        <v>50.67</v>
      </c>
      <c r="Z247" s="6">
        <v>51.08</v>
      </c>
      <c r="AA247" s="6">
        <v>51.02</v>
      </c>
      <c r="AB247" s="6">
        <v>51.3</v>
      </c>
      <c r="AC247" s="6">
        <v>50.35</v>
      </c>
      <c r="AD247" s="6">
        <v>49.68</v>
      </c>
      <c r="AE247" s="6">
        <v>50.35</v>
      </c>
      <c r="AF247" s="6">
        <v>52.03</v>
      </c>
      <c r="AG247" s="6">
        <v>50.23</v>
      </c>
      <c r="AH247" s="6">
        <v>50.08</v>
      </c>
      <c r="AI247" s="6">
        <v>51.32</v>
      </c>
      <c r="AJ247" s="6">
        <v>49.88</v>
      </c>
      <c r="AK247" s="6">
        <v>50.58</v>
      </c>
      <c r="AL247" s="6">
        <v>48.84</v>
      </c>
      <c r="AM247" s="6">
        <v>51.28</v>
      </c>
      <c r="AN247" s="6">
        <v>50.47</v>
      </c>
      <c r="AO247" s="6">
        <v>50.68</v>
      </c>
      <c r="AP247" s="6">
        <v>49.89</v>
      </c>
      <c r="AQ247" s="6">
        <v>51.36</v>
      </c>
      <c r="AR247" s="6">
        <v>51.26</v>
      </c>
      <c r="AS247" s="6">
        <v>50.65</v>
      </c>
      <c r="AT247" s="6">
        <v>49.78</v>
      </c>
      <c r="AU247" s="6">
        <v>50.39</v>
      </c>
      <c r="AV247" s="6"/>
      <c r="AW247" s="6"/>
      <c r="AX247" s="6">
        <v>49.68</v>
      </c>
      <c r="AY247" s="6">
        <v>50.7</v>
      </c>
      <c r="AZ247" s="6">
        <v>49.66</v>
      </c>
      <c r="BA247" s="6">
        <v>50.73</v>
      </c>
      <c r="BB247" s="6">
        <v>50.38</v>
      </c>
      <c r="BC247" s="6">
        <v>51.64</v>
      </c>
      <c r="BD247" s="6">
        <v>50.72</v>
      </c>
      <c r="BE247" s="6">
        <v>51.04</v>
      </c>
      <c r="BF247" s="6">
        <v>50.05</v>
      </c>
      <c r="BG247" s="6">
        <v>52.69</v>
      </c>
      <c r="BH247" s="6">
        <v>51.82</v>
      </c>
      <c r="BI247" s="6">
        <v>48.82</v>
      </c>
      <c r="BJ247" s="6">
        <v>50.88</v>
      </c>
      <c r="BK247" s="6">
        <v>50.95</v>
      </c>
      <c r="BL247" s="6">
        <v>49.18</v>
      </c>
      <c r="BM247" s="7">
        <v>49.18</v>
      </c>
      <c r="BN247" s="10"/>
    </row>
    <row r="248" spans="1:66" ht="15.75" customHeight="1" x14ac:dyDescent="0.25">
      <c r="A248" s="4">
        <v>246</v>
      </c>
      <c r="B248" s="4"/>
      <c r="C248" s="4">
        <v>3</v>
      </c>
      <c r="D248" s="6">
        <v>50.54</v>
      </c>
      <c r="E248" s="6">
        <v>50.24</v>
      </c>
      <c r="F248" s="6">
        <v>49.97</v>
      </c>
      <c r="G248" s="6">
        <v>49.61</v>
      </c>
      <c r="H248" s="6">
        <v>50.96</v>
      </c>
      <c r="I248" s="6">
        <v>50.69</v>
      </c>
      <c r="J248" s="6">
        <v>50.07</v>
      </c>
      <c r="K248" s="6">
        <v>50.15</v>
      </c>
      <c r="L248" s="6">
        <v>51.07</v>
      </c>
      <c r="M248" s="6">
        <v>50.03</v>
      </c>
      <c r="N248" s="6">
        <v>50.3</v>
      </c>
      <c r="O248" s="6">
        <v>49.95</v>
      </c>
      <c r="P248" s="6">
        <v>50.95</v>
      </c>
      <c r="Q248" s="6">
        <v>51.16</v>
      </c>
      <c r="R248" s="6">
        <v>50.16</v>
      </c>
      <c r="S248" s="6">
        <v>49.66</v>
      </c>
      <c r="T248" s="6">
        <v>49.64</v>
      </c>
      <c r="U248" s="6">
        <v>50.24</v>
      </c>
      <c r="V248" s="6">
        <v>50.43</v>
      </c>
      <c r="W248" s="6">
        <v>50.45</v>
      </c>
      <c r="X248" s="6">
        <v>50.6</v>
      </c>
      <c r="Y248" s="6">
        <v>50.64</v>
      </c>
      <c r="Z248" s="6">
        <v>51.06</v>
      </c>
      <c r="AA248" s="6">
        <v>50.92</v>
      </c>
      <c r="AB248" s="6">
        <v>51.3</v>
      </c>
      <c r="AC248" s="6">
        <v>50.24</v>
      </c>
      <c r="AD248" s="6">
        <v>49.67</v>
      </c>
      <c r="AE248" s="6">
        <v>50.26</v>
      </c>
      <c r="AF248" s="6">
        <v>51.95</v>
      </c>
      <c r="AG248" s="6">
        <v>50.21</v>
      </c>
      <c r="AH248" s="6">
        <v>50.03</v>
      </c>
      <c r="AI248" s="6">
        <v>51.28</v>
      </c>
      <c r="AJ248" s="6">
        <v>49.77</v>
      </c>
      <c r="AK248" s="6">
        <v>50.56</v>
      </c>
      <c r="AL248" s="6">
        <v>48.8</v>
      </c>
      <c r="AM248" s="6">
        <v>51.28</v>
      </c>
      <c r="AN248" s="6">
        <v>50.42</v>
      </c>
      <c r="AO248" s="6">
        <v>50.67</v>
      </c>
      <c r="AP248" s="6">
        <v>49.8</v>
      </c>
      <c r="AQ248" s="6">
        <v>51.37</v>
      </c>
      <c r="AR248" s="6">
        <v>51.22</v>
      </c>
      <c r="AS248" s="6">
        <v>50.59</v>
      </c>
      <c r="AT248" s="6">
        <v>49.75</v>
      </c>
      <c r="AU248" s="6">
        <v>50.27</v>
      </c>
      <c r="AV248" s="6"/>
      <c r="AW248" s="6"/>
      <c r="AX248" s="6">
        <v>49.62</v>
      </c>
      <c r="AY248" s="6">
        <v>50.68</v>
      </c>
      <c r="AZ248" s="6">
        <v>49.56</v>
      </c>
      <c r="BA248" s="6">
        <v>50.7</v>
      </c>
      <c r="BB248" s="6">
        <v>50.28</v>
      </c>
      <c r="BC248" s="6">
        <v>51.62</v>
      </c>
      <c r="BD248" s="6">
        <v>50.7</v>
      </c>
      <c r="BE248" s="6">
        <v>51.04</v>
      </c>
      <c r="BF248" s="6">
        <v>49.9</v>
      </c>
      <c r="BG248" s="6">
        <v>52.48</v>
      </c>
      <c r="BH248" s="6">
        <v>51.72</v>
      </c>
      <c r="BI248" s="6">
        <v>48.8</v>
      </c>
      <c r="BJ248" s="6">
        <v>50.82</v>
      </c>
      <c r="BK248" s="6">
        <v>50.95</v>
      </c>
      <c r="BL248" s="6">
        <v>49.02</v>
      </c>
      <c r="BM248" s="7">
        <v>49.02</v>
      </c>
      <c r="BN248" s="10"/>
    </row>
    <row r="249" spans="1:66" ht="15.75" customHeight="1" x14ac:dyDescent="0.25">
      <c r="A249" s="4">
        <v>247</v>
      </c>
      <c r="B249" s="4"/>
      <c r="C249" s="4">
        <v>4</v>
      </c>
      <c r="D249" s="6">
        <v>50.43</v>
      </c>
      <c r="E249" s="6">
        <v>50.2</v>
      </c>
      <c r="F249" s="6">
        <v>49.91</v>
      </c>
      <c r="G249" s="6">
        <v>49.58</v>
      </c>
      <c r="H249" s="6">
        <v>50.91</v>
      </c>
      <c r="I249" s="6">
        <v>50.69</v>
      </c>
      <c r="J249" s="6">
        <v>50.13</v>
      </c>
      <c r="K249" s="6">
        <v>50.28</v>
      </c>
      <c r="L249" s="6">
        <v>51.06</v>
      </c>
      <c r="M249" s="6">
        <v>49.97</v>
      </c>
      <c r="N249" s="6">
        <v>50.37</v>
      </c>
      <c r="O249" s="6">
        <v>49.86</v>
      </c>
      <c r="P249" s="6">
        <v>50.95</v>
      </c>
      <c r="Q249" s="6">
        <v>51.08</v>
      </c>
      <c r="R249" s="6">
        <v>50.08</v>
      </c>
      <c r="S249" s="6">
        <v>49.63</v>
      </c>
      <c r="T249" s="6">
        <v>49.59</v>
      </c>
      <c r="U249" s="6">
        <v>50.2</v>
      </c>
      <c r="V249" s="6">
        <v>50.37</v>
      </c>
      <c r="W249" s="6">
        <v>50.51</v>
      </c>
      <c r="X249" s="6">
        <v>50.56</v>
      </c>
      <c r="Y249" s="6">
        <v>50.58</v>
      </c>
      <c r="Z249" s="6">
        <v>51.05</v>
      </c>
      <c r="AA249" s="6">
        <v>50.83</v>
      </c>
      <c r="AB249" s="6">
        <v>51.28</v>
      </c>
      <c r="AC249" s="6">
        <v>50.2</v>
      </c>
      <c r="AD249" s="6">
        <v>49.56</v>
      </c>
      <c r="AE249" s="6">
        <v>50.12</v>
      </c>
      <c r="AF249" s="6">
        <v>51.9</v>
      </c>
      <c r="AG249" s="6">
        <v>50.08</v>
      </c>
      <c r="AH249" s="6">
        <v>50.05</v>
      </c>
      <c r="AI249" s="6">
        <v>51.27</v>
      </c>
      <c r="AJ249" s="6">
        <v>49.62</v>
      </c>
      <c r="AK249" s="6">
        <v>50.53</v>
      </c>
      <c r="AL249" s="6">
        <v>48.7</v>
      </c>
      <c r="AM249" s="6">
        <v>51.22</v>
      </c>
      <c r="AN249" s="6">
        <v>50.35</v>
      </c>
      <c r="AO249" s="6">
        <v>50.66</v>
      </c>
      <c r="AP249" s="6">
        <v>49.7</v>
      </c>
      <c r="AQ249" s="6">
        <v>51.38</v>
      </c>
      <c r="AR249" s="6">
        <v>51.16</v>
      </c>
      <c r="AS249" s="6">
        <v>50.54</v>
      </c>
      <c r="AT249" s="6">
        <v>49.7</v>
      </c>
      <c r="AU249" s="6">
        <v>50.13</v>
      </c>
      <c r="AV249" s="6"/>
      <c r="AW249" s="6"/>
      <c r="AX249" s="6">
        <v>49.54</v>
      </c>
      <c r="AY249" s="6">
        <v>50.57</v>
      </c>
      <c r="AZ249" s="6">
        <v>49.45</v>
      </c>
      <c r="BA249" s="6">
        <v>50.67</v>
      </c>
      <c r="BB249" s="6">
        <v>50.23</v>
      </c>
      <c r="BC249" s="6">
        <v>51.51</v>
      </c>
      <c r="BD249" s="6">
        <v>50.62</v>
      </c>
      <c r="BE249" s="6">
        <v>50.95</v>
      </c>
      <c r="BF249" s="6">
        <v>49.72</v>
      </c>
      <c r="BG249" s="6">
        <v>52.42</v>
      </c>
      <c r="BH249" s="6">
        <v>51.65</v>
      </c>
      <c r="BI249" s="6">
        <v>48.76</v>
      </c>
      <c r="BJ249" s="6">
        <v>50.82</v>
      </c>
      <c r="BK249" s="6">
        <v>50.94</v>
      </c>
      <c r="BL249" s="6">
        <v>48.87</v>
      </c>
      <c r="BM249" s="7">
        <v>48.91</v>
      </c>
      <c r="BN249" s="10"/>
    </row>
    <row r="250" spans="1:66" ht="15.75" customHeight="1" x14ac:dyDescent="0.25">
      <c r="A250" s="4">
        <v>248</v>
      </c>
      <c r="B250" s="4"/>
      <c r="C250" s="4">
        <v>5</v>
      </c>
      <c r="D250" s="6">
        <v>50.36</v>
      </c>
      <c r="E250" s="6">
        <v>50.17</v>
      </c>
      <c r="F250" s="6">
        <v>49.86</v>
      </c>
      <c r="G250" s="6">
        <v>49.56</v>
      </c>
      <c r="H250" s="6">
        <v>50.86</v>
      </c>
      <c r="I250" s="6">
        <v>50.76</v>
      </c>
      <c r="J250" s="6">
        <v>50.16</v>
      </c>
      <c r="K250" s="6">
        <v>50.33</v>
      </c>
      <c r="L250" s="6">
        <v>51.05</v>
      </c>
      <c r="M250" s="6">
        <v>49.96</v>
      </c>
      <c r="N250" s="6">
        <v>50.39</v>
      </c>
      <c r="O250" s="6">
        <v>49.78</v>
      </c>
      <c r="P250" s="6">
        <v>50.95</v>
      </c>
      <c r="Q250" s="6">
        <v>50.98</v>
      </c>
      <c r="R250" s="6">
        <v>49.96</v>
      </c>
      <c r="S250" s="6">
        <v>49.58</v>
      </c>
      <c r="T250" s="6">
        <v>49.53</v>
      </c>
      <c r="U250" s="6">
        <v>50.12</v>
      </c>
      <c r="V250" s="6">
        <v>50.33</v>
      </c>
      <c r="W250" s="6">
        <v>50.49</v>
      </c>
      <c r="X250" s="6">
        <v>50.48</v>
      </c>
      <c r="Y250" s="6">
        <v>50.53</v>
      </c>
      <c r="Z250" s="6">
        <v>51.04</v>
      </c>
      <c r="AA250" s="6">
        <v>50.72</v>
      </c>
      <c r="AB250" s="6">
        <v>51.28</v>
      </c>
      <c r="AC250" s="6">
        <v>50.12</v>
      </c>
      <c r="AD250" s="6">
        <v>49.5</v>
      </c>
      <c r="AE250" s="6">
        <v>49.94</v>
      </c>
      <c r="AF250" s="6">
        <v>51.9</v>
      </c>
      <c r="AG250" s="6">
        <v>50.01</v>
      </c>
      <c r="AH250" s="6">
        <v>50.05</v>
      </c>
      <c r="AI250" s="6">
        <v>51.23</v>
      </c>
      <c r="AJ250" s="6">
        <v>49.51</v>
      </c>
      <c r="AK250" s="6">
        <v>50.49</v>
      </c>
      <c r="AL250" s="6">
        <v>48.6</v>
      </c>
      <c r="AM250" s="6">
        <v>51.18</v>
      </c>
      <c r="AN250" s="6">
        <v>50.28</v>
      </c>
      <c r="AO250" s="6">
        <v>50.61</v>
      </c>
      <c r="AP250" s="6">
        <v>49.6</v>
      </c>
      <c r="AQ250" s="6">
        <v>51.26</v>
      </c>
      <c r="AR250" s="6">
        <v>51.12</v>
      </c>
      <c r="AS250" s="6">
        <v>50.46</v>
      </c>
      <c r="AT250" s="6">
        <v>49.69</v>
      </c>
      <c r="AU250" s="6">
        <v>50</v>
      </c>
      <c r="AV250" s="6"/>
      <c r="AW250" s="6"/>
      <c r="AX250" s="6">
        <v>49.5</v>
      </c>
      <c r="AY250" s="6">
        <v>50.5</v>
      </c>
      <c r="AZ250" s="6">
        <v>49.32</v>
      </c>
      <c r="BA250" s="6">
        <v>50.62</v>
      </c>
      <c r="BB250" s="6">
        <v>50.18</v>
      </c>
      <c r="BC250" s="6">
        <v>51.41</v>
      </c>
      <c r="BD250" s="6">
        <v>50.53</v>
      </c>
      <c r="BE250" s="6">
        <v>50.84</v>
      </c>
      <c r="BF250" s="6">
        <v>49.55</v>
      </c>
      <c r="BG250" s="6">
        <v>52.37</v>
      </c>
      <c r="BH250" s="6">
        <v>51.58</v>
      </c>
      <c r="BI250" s="6">
        <v>48.66</v>
      </c>
      <c r="BJ250" s="6">
        <v>50.72</v>
      </c>
      <c r="BK250" s="6">
        <v>50.86</v>
      </c>
      <c r="BL250" s="6">
        <v>48.72</v>
      </c>
      <c r="BM250" s="7">
        <v>48.8</v>
      </c>
      <c r="BN250" s="10"/>
    </row>
    <row r="251" spans="1:66" ht="15.75" customHeight="1" x14ac:dyDescent="0.25">
      <c r="A251" s="4">
        <v>249</v>
      </c>
      <c r="B251" s="4"/>
      <c r="C251" s="4">
        <v>6</v>
      </c>
      <c r="D251" s="6">
        <v>50.27</v>
      </c>
      <c r="E251" s="6">
        <v>50.14</v>
      </c>
      <c r="F251" s="6">
        <v>49.76</v>
      </c>
      <c r="G251" s="6">
        <v>49.56</v>
      </c>
      <c r="H251" s="6">
        <v>50.76</v>
      </c>
      <c r="I251" s="6">
        <v>50.77</v>
      </c>
      <c r="J251" s="6">
        <v>50.16</v>
      </c>
      <c r="K251" s="6">
        <v>50.4</v>
      </c>
      <c r="L251" s="6">
        <v>51.03</v>
      </c>
      <c r="M251" s="6">
        <v>49.95</v>
      </c>
      <c r="N251" s="6">
        <v>50.4</v>
      </c>
      <c r="O251" s="6">
        <v>49.77</v>
      </c>
      <c r="P251" s="6">
        <v>50.94</v>
      </c>
      <c r="Q251" s="6">
        <v>50.91</v>
      </c>
      <c r="R251" s="6">
        <v>49.91</v>
      </c>
      <c r="S251" s="6">
        <v>49.53</v>
      </c>
      <c r="T251" s="6">
        <v>49.52</v>
      </c>
      <c r="U251" s="6">
        <v>50.05</v>
      </c>
      <c r="V251" s="6">
        <v>50.26</v>
      </c>
      <c r="W251" s="6">
        <v>50.42</v>
      </c>
      <c r="X251" s="6">
        <v>50.44</v>
      </c>
      <c r="Y251" s="6">
        <v>50.45</v>
      </c>
      <c r="Z251" s="6">
        <v>51.08</v>
      </c>
      <c r="AA251" s="6">
        <v>50.61</v>
      </c>
      <c r="AB251" s="6">
        <v>51.28</v>
      </c>
      <c r="AC251" s="6">
        <v>50</v>
      </c>
      <c r="AD251" s="6">
        <v>49.44</v>
      </c>
      <c r="AE251" s="6">
        <v>49.98</v>
      </c>
      <c r="AF251" s="6">
        <v>51.87</v>
      </c>
      <c r="AG251" s="6">
        <v>49.95</v>
      </c>
      <c r="AH251" s="6">
        <v>50.08</v>
      </c>
      <c r="AI251" s="6">
        <v>51.21</v>
      </c>
      <c r="AJ251" s="6">
        <v>49.41</v>
      </c>
      <c r="AK251" s="6">
        <v>50.49</v>
      </c>
      <c r="AL251" s="6">
        <v>48.52</v>
      </c>
      <c r="AM251" s="6">
        <v>51.08</v>
      </c>
      <c r="AN251" s="6">
        <v>50.2</v>
      </c>
      <c r="AO251" s="6">
        <v>50.58</v>
      </c>
      <c r="AP251" s="6">
        <v>49.55</v>
      </c>
      <c r="AQ251" s="6">
        <v>51.27</v>
      </c>
      <c r="AR251" s="6">
        <v>51.09</v>
      </c>
      <c r="AS251" s="6">
        <v>50.37</v>
      </c>
      <c r="AT251" s="6">
        <v>49.58</v>
      </c>
      <c r="AU251" s="6">
        <v>49.88</v>
      </c>
      <c r="AV251" s="6"/>
      <c r="AW251" s="6"/>
      <c r="AX251" s="6">
        <v>49.44</v>
      </c>
      <c r="AY251" s="6">
        <v>50.41</v>
      </c>
      <c r="AZ251" s="6">
        <v>49.16</v>
      </c>
      <c r="BA251" s="6">
        <v>50.6</v>
      </c>
      <c r="BB251" s="6">
        <v>50.16</v>
      </c>
      <c r="BC251" s="6">
        <v>51.31</v>
      </c>
      <c r="BD251" s="6">
        <v>50.4</v>
      </c>
      <c r="BE251" s="6">
        <v>50.74</v>
      </c>
      <c r="BF251" s="6">
        <v>49.37</v>
      </c>
      <c r="BG251" s="6">
        <v>52.32</v>
      </c>
      <c r="BH251" s="6">
        <v>51.5</v>
      </c>
      <c r="BI251" s="6">
        <v>48.54</v>
      </c>
      <c r="BJ251" s="6">
        <v>50.7</v>
      </c>
      <c r="BK251" s="6">
        <v>50.82</v>
      </c>
      <c r="BL251" s="6">
        <v>48.56</v>
      </c>
      <c r="BM251" s="7">
        <v>48.65</v>
      </c>
      <c r="BN251" s="10"/>
    </row>
    <row r="252" spans="1:66" ht="15.75" customHeight="1" x14ac:dyDescent="0.25">
      <c r="A252" s="4">
        <v>250</v>
      </c>
      <c r="B252" s="4"/>
      <c r="C252" s="4">
        <v>7</v>
      </c>
      <c r="D252" s="6">
        <v>50.17</v>
      </c>
      <c r="E252" s="6">
        <v>50.12</v>
      </c>
      <c r="F252" s="6">
        <v>49.66</v>
      </c>
      <c r="G252" s="6">
        <v>49.51</v>
      </c>
      <c r="H252" s="6">
        <v>50.71</v>
      </c>
      <c r="I252" s="6">
        <v>50.76</v>
      </c>
      <c r="J252" s="6">
        <v>50.18</v>
      </c>
      <c r="K252" s="6">
        <v>50.41</v>
      </c>
      <c r="L252" s="6">
        <v>50.99</v>
      </c>
      <c r="M252" s="6">
        <v>49.94</v>
      </c>
      <c r="N252" s="6">
        <v>50.37</v>
      </c>
      <c r="O252" s="6">
        <v>49.76</v>
      </c>
      <c r="P252" s="6">
        <v>50.93</v>
      </c>
      <c r="Q252" s="6">
        <v>50.78</v>
      </c>
      <c r="R252" s="6">
        <v>49.85</v>
      </c>
      <c r="S252" s="6">
        <v>49.47</v>
      </c>
      <c r="T252" s="6">
        <v>49.49</v>
      </c>
      <c r="U252" s="6">
        <v>49.99</v>
      </c>
      <c r="V252" s="6">
        <v>50.19</v>
      </c>
      <c r="W252" s="6">
        <v>50.35</v>
      </c>
      <c r="X252" s="6">
        <v>50.4</v>
      </c>
      <c r="Y252" s="6">
        <v>50.41</v>
      </c>
      <c r="Z252" s="6">
        <v>51.18</v>
      </c>
      <c r="AA252" s="6">
        <v>50.5</v>
      </c>
      <c r="AB252" s="6">
        <v>51.28</v>
      </c>
      <c r="AC252" s="6">
        <v>49.92</v>
      </c>
      <c r="AD252" s="6">
        <v>49.36</v>
      </c>
      <c r="AE252" s="6">
        <v>49.92</v>
      </c>
      <c r="AF252" s="6">
        <v>51.84</v>
      </c>
      <c r="AG252" s="6">
        <v>49.89</v>
      </c>
      <c r="AH252" s="6">
        <v>50.08</v>
      </c>
      <c r="AI252" s="6">
        <v>51.14</v>
      </c>
      <c r="AJ252" s="6">
        <v>49.28</v>
      </c>
      <c r="AK252" s="6">
        <v>50.38</v>
      </c>
      <c r="AL252" s="6">
        <v>48.48</v>
      </c>
      <c r="AM252" s="6">
        <v>51.02</v>
      </c>
      <c r="AN252" s="6">
        <v>50.11</v>
      </c>
      <c r="AO252" s="6">
        <v>50.55</v>
      </c>
      <c r="AP252" s="6">
        <v>49.42</v>
      </c>
      <c r="AQ252" s="6">
        <v>51.15</v>
      </c>
      <c r="AR252" s="6">
        <v>50.98</v>
      </c>
      <c r="AS252" s="6">
        <v>50.28</v>
      </c>
      <c r="AT252" s="6">
        <v>49.57</v>
      </c>
      <c r="AU252" s="6">
        <v>49.76</v>
      </c>
      <c r="AV252" s="6"/>
      <c r="AW252" s="6"/>
      <c r="AX252" s="6">
        <v>49.38</v>
      </c>
      <c r="AY252" s="6">
        <v>50.33</v>
      </c>
      <c r="AZ252" s="6">
        <v>49.01</v>
      </c>
      <c r="BA252" s="6">
        <v>50.53</v>
      </c>
      <c r="BB252" s="6">
        <v>50.14</v>
      </c>
      <c r="BC252" s="6">
        <v>51.16</v>
      </c>
      <c r="BD252" s="6">
        <v>50.35</v>
      </c>
      <c r="BE252" s="6">
        <v>50.7</v>
      </c>
      <c r="BF252" s="6">
        <v>49.17</v>
      </c>
      <c r="BG252" s="6">
        <v>52.22</v>
      </c>
      <c r="BH252" s="6">
        <v>51.42</v>
      </c>
      <c r="BI252" s="6">
        <v>48.46</v>
      </c>
      <c r="BJ252" s="6">
        <v>50.68</v>
      </c>
      <c r="BK252" s="6">
        <v>50.82</v>
      </c>
      <c r="BL252" s="6">
        <v>48.38</v>
      </c>
      <c r="BM252" s="7">
        <v>48.53</v>
      </c>
      <c r="BN252" s="10"/>
    </row>
    <row r="253" spans="1:66" ht="15.75" customHeight="1" x14ac:dyDescent="0.25">
      <c r="A253" s="4">
        <v>251</v>
      </c>
      <c r="B253" s="4"/>
      <c r="C253" s="4">
        <v>8</v>
      </c>
      <c r="D253" s="6">
        <v>50.12</v>
      </c>
      <c r="E253" s="6">
        <v>50.11</v>
      </c>
      <c r="F253" s="6">
        <v>49.61</v>
      </c>
      <c r="G253" s="6">
        <v>49.51</v>
      </c>
      <c r="H253" s="6">
        <v>50.64</v>
      </c>
      <c r="I253" s="6">
        <v>50.8</v>
      </c>
      <c r="J253" s="6">
        <v>50.19</v>
      </c>
      <c r="K253" s="6">
        <v>50.45</v>
      </c>
      <c r="L253" s="6">
        <v>50.96</v>
      </c>
      <c r="M253" s="6">
        <v>49.94</v>
      </c>
      <c r="N253" s="6">
        <v>50.37</v>
      </c>
      <c r="O253" s="6">
        <v>49.74</v>
      </c>
      <c r="P253" s="6">
        <v>50.93</v>
      </c>
      <c r="Q253" s="6">
        <v>50.72</v>
      </c>
      <c r="R253" s="6">
        <v>49.8</v>
      </c>
      <c r="S253" s="6">
        <v>49.4</v>
      </c>
      <c r="T253" s="6">
        <v>49.44</v>
      </c>
      <c r="U253" s="6">
        <v>49.89</v>
      </c>
      <c r="V253" s="6">
        <v>50.14</v>
      </c>
      <c r="W253" s="6">
        <v>50.3</v>
      </c>
      <c r="X253" s="6">
        <v>50.33</v>
      </c>
      <c r="Y253" s="6">
        <v>50.41</v>
      </c>
      <c r="Z253" s="6">
        <v>51.18</v>
      </c>
      <c r="AA253" s="6">
        <v>50.41</v>
      </c>
      <c r="AB253" s="6">
        <v>51.24</v>
      </c>
      <c r="AC253" s="6">
        <v>49.82</v>
      </c>
      <c r="AD253" s="6">
        <v>49.27</v>
      </c>
      <c r="AE253" s="6">
        <v>49.8</v>
      </c>
      <c r="AF253" s="6">
        <v>51.68</v>
      </c>
      <c r="AG253" s="6">
        <v>49.84</v>
      </c>
      <c r="AH253" s="6">
        <v>50.07</v>
      </c>
      <c r="AI253" s="6">
        <v>51.07</v>
      </c>
      <c r="AJ253" s="6">
        <v>49.19</v>
      </c>
      <c r="AK253" s="6">
        <v>50.29</v>
      </c>
      <c r="AL253" s="6">
        <v>48.34</v>
      </c>
      <c r="AM253" s="6">
        <v>50.99</v>
      </c>
      <c r="AN253" s="6">
        <v>50</v>
      </c>
      <c r="AO253" s="6">
        <v>50.53</v>
      </c>
      <c r="AP253" s="6">
        <v>49.32</v>
      </c>
      <c r="AQ253" s="6">
        <v>51.07</v>
      </c>
      <c r="AR253" s="6">
        <v>50.92</v>
      </c>
      <c r="AS253" s="6">
        <v>50.2</v>
      </c>
      <c r="AT253" s="6">
        <v>49.52</v>
      </c>
      <c r="AU253" s="6">
        <v>49.63</v>
      </c>
      <c r="AV253" s="6"/>
      <c r="AW253" s="6"/>
      <c r="AX253" s="6">
        <v>49.33</v>
      </c>
      <c r="AY253" s="6">
        <v>50.27</v>
      </c>
      <c r="AZ253" s="6">
        <v>48.83</v>
      </c>
      <c r="BA253" s="6">
        <v>50.44</v>
      </c>
      <c r="BB253" s="6">
        <v>50.13</v>
      </c>
      <c r="BC253" s="6">
        <v>51</v>
      </c>
      <c r="BD253" s="6">
        <v>50.28</v>
      </c>
      <c r="BE253" s="6">
        <v>50.63</v>
      </c>
      <c r="BF253" s="6">
        <v>48.97</v>
      </c>
      <c r="BG253" s="6">
        <v>52.16</v>
      </c>
      <c r="BH253" s="6">
        <v>51.3</v>
      </c>
      <c r="BI253" s="6">
        <v>48.36</v>
      </c>
      <c r="BJ253" s="6">
        <v>50.6</v>
      </c>
      <c r="BK253" s="6">
        <v>50.76</v>
      </c>
      <c r="BL253" s="6">
        <v>48.2</v>
      </c>
      <c r="BM253" s="7">
        <v>48.37</v>
      </c>
      <c r="BN253" s="10"/>
    </row>
    <row r="254" spans="1:66" ht="15.75" customHeight="1" x14ac:dyDescent="0.25">
      <c r="A254" s="4">
        <v>252</v>
      </c>
      <c r="B254" s="4"/>
      <c r="C254" s="4">
        <v>9</v>
      </c>
      <c r="D254" s="6">
        <v>50.04</v>
      </c>
      <c r="E254" s="6">
        <v>50.12</v>
      </c>
      <c r="F254" s="6">
        <v>49.59</v>
      </c>
      <c r="G254" s="6">
        <v>49.46</v>
      </c>
      <c r="H254" s="6">
        <v>50.58</v>
      </c>
      <c r="I254" s="6">
        <v>50.8</v>
      </c>
      <c r="J254" s="6">
        <v>50.22</v>
      </c>
      <c r="K254" s="6">
        <v>50.44</v>
      </c>
      <c r="L254" s="6">
        <v>50.89</v>
      </c>
      <c r="M254" s="6">
        <v>49.95</v>
      </c>
      <c r="N254" s="6">
        <v>50.35</v>
      </c>
      <c r="O254" s="6">
        <v>49.69</v>
      </c>
      <c r="P254" s="6">
        <v>50.96</v>
      </c>
      <c r="Q254" s="6">
        <v>50.61</v>
      </c>
      <c r="R254" s="6">
        <v>49.68</v>
      </c>
      <c r="S254" s="6">
        <v>49.34</v>
      </c>
      <c r="T254" s="6">
        <v>49.36</v>
      </c>
      <c r="U254" s="6">
        <v>49.86</v>
      </c>
      <c r="V254" s="6">
        <v>50.08</v>
      </c>
      <c r="W254" s="6">
        <v>50.26</v>
      </c>
      <c r="X254" s="6">
        <v>50.38</v>
      </c>
      <c r="Y254" s="6">
        <v>50.27</v>
      </c>
      <c r="Z254" s="6">
        <v>51.15</v>
      </c>
      <c r="AA254" s="6">
        <v>50.31</v>
      </c>
      <c r="AB254" s="6">
        <v>51.2</v>
      </c>
      <c r="AC254" s="6">
        <v>49.71</v>
      </c>
      <c r="AD254" s="6">
        <v>49.18</v>
      </c>
      <c r="AE254" s="6">
        <v>49.66</v>
      </c>
      <c r="AF254" s="6">
        <v>51.6</v>
      </c>
      <c r="AG254" s="6">
        <v>49.76</v>
      </c>
      <c r="AH254" s="6">
        <v>50.04</v>
      </c>
      <c r="AI254" s="6">
        <v>51</v>
      </c>
      <c r="AJ254" s="6">
        <v>49</v>
      </c>
      <c r="AK254" s="6">
        <v>50.24</v>
      </c>
      <c r="AL254" s="6">
        <v>48.32</v>
      </c>
      <c r="AM254" s="6">
        <v>50.94</v>
      </c>
      <c r="AN254" s="6">
        <v>49.8</v>
      </c>
      <c r="AO254" s="6">
        <v>50.5</v>
      </c>
      <c r="AP254" s="6">
        <v>49.2</v>
      </c>
      <c r="AQ254" s="6">
        <v>50.97</v>
      </c>
      <c r="AR254" s="6">
        <v>50.84</v>
      </c>
      <c r="AS254" s="6">
        <v>50.12</v>
      </c>
      <c r="AT254" s="6">
        <v>49.5</v>
      </c>
      <c r="AU254" s="6">
        <v>49.52</v>
      </c>
      <c r="AV254" s="6"/>
      <c r="AW254" s="6"/>
      <c r="AX254" s="6">
        <v>49.22</v>
      </c>
      <c r="AY254" s="6">
        <v>50.19</v>
      </c>
      <c r="AZ254" s="6">
        <v>48.68</v>
      </c>
      <c r="BA254" s="6">
        <v>50.39</v>
      </c>
      <c r="BB254" s="6">
        <v>50.1</v>
      </c>
      <c r="BC254" s="6">
        <v>50.89</v>
      </c>
      <c r="BD254" s="6">
        <v>50.18</v>
      </c>
      <c r="BE254" s="6">
        <v>50.58</v>
      </c>
      <c r="BF254" s="6">
        <v>48.79</v>
      </c>
      <c r="BG254" s="6">
        <v>52.11</v>
      </c>
      <c r="BH254" s="6">
        <v>51.18</v>
      </c>
      <c r="BI254" s="6">
        <v>48.32</v>
      </c>
      <c r="BJ254" s="6">
        <v>50.64</v>
      </c>
      <c r="BK254" s="6">
        <v>50.7</v>
      </c>
      <c r="BL254" s="6">
        <v>48.02</v>
      </c>
      <c r="BM254" s="7">
        <v>48.25</v>
      </c>
      <c r="BN254" s="10"/>
    </row>
    <row r="255" spans="1:66" ht="15.75" customHeight="1" x14ac:dyDescent="0.25">
      <c r="A255" s="4">
        <v>253</v>
      </c>
      <c r="B255" s="4"/>
      <c r="C255" s="4">
        <v>10</v>
      </c>
      <c r="D255" s="6">
        <v>49.97</v>
      </c>
      <c r="E255" s="6">
        <v>50.1</v>
      </c>
      <c r="F255" s="6">
        <v>49.56</v>
      </c>
      <c r="G255" s="6">
        <v>49.46</v>
      </c>
      <c r="H255" s="6">
        <v>50.46</v>
      </c>
      <c r="I255" s="6">
        <v>50.76</v>
      </c>
      <c r="J255" s="6">
        <v>50.24</v>
      </c>
      <c r="K255" s="6">
        <v>50.45</v>
      </c>
      <c r="L255" s="6">
        <v>50.87</v>
      </c>
      <c r="M255" s="6">
        <v>49.96</v>
      </c>
      <c r="N255" s="6">
        <v>50.36</v>
      </c>
      <c r="O255" s="6">
        <v>49.68</v>
      </c>
      <c r="P255" s="6">
        <v>50.96</v>
      </c>
      <c r="Q255" s="6">
        <v>50.51</v>
      </c>
      <c r="R255" s="6">
        <v>49.66</v>
      </c>
      <c r="S255" s="6">
        <v>49.28</v>
      </c>
      <c r="T255" s="6">
        <v>49.28</v>
      </c>
      <c r="U255" s="6">
        <v>49.81</v>
      </c>
      <c r="V255" s="6">
        <v>50.04</v>
      </c>
      <c r="W255" s="6">
        <v>50.22</v>
      </c>
      <c r="X255" s="6">
        <v>50.38</v>
      </c>
      <c r="Y255" s="6">
        <v>50.22</v>
      </c>
      <c r="Z255" s="6">
        <v>51.13</v>
      </c>
      <c r="AA255" s="6">
        <v>50.29</v>
      </c>
      <c r="AB255" s="6">
        <v>51.15</v>
      </c>
      <c r="AC255" s="6">
        <v>49.62</v>
      </c>
      <c r="AD255" s="6">
        <v>49.09</v>
      </c>
      <c r="AE255" s="6">
        <v>49.54</v>
      </c>
      <c r="AF255" s="6">
        <v>51.75</v>
      </c>
      <c r="AG255" s="6">
        <v>49.75</v>
      </c>
      <c r="AH255" s="6">
        <v>50.02</v>
      </c>
      <c r="AI255" s="6">
        <v>51</v>
      </c>
      <c r="AJ255" s="6">
        <v>48.9</v>
      </c>
      <c r="AK255" s="6">
        <v>50.15</v>
      </c>
      <c r="AL255" s="6">
        <v>48.26</v>
      </c>
      <c r="AM255" s="6">
        <v>50.86</v>
      </c>
      <c r="AN255" s="6">
        <v>49.76</v>
      </c>
      <c r="AO255" s="6">
        <v>50.42</v>
      </c>
      <c r="AP255" s="6">
        <v>49.07</v>
      </c>
      <c r="AQ255" s="6">
        <v>50.91</v>
      </c>
      <c r="AR255" s="6">
        <v>50.73</v>
      </c>
      <c r="AS255" s="6">
        <v>50.05</v>
      </c>
      <c r="AT255" s="6">
        <v>49.44</v>
      </c>
      <c r="AU255" s="6">
        <v>49.39</v>
      </c>
      <c r="AV255" s="6"/>
      <c r="AW255" s="6"/>
      <c r="AX255" s="6">
        <v>49.14</v>
      </c>
      <c r="AY255" s="6">
        <v>50.1</v>
      </c>
      <c r="AZ255" s="6">
        <v>48.52</v>
      </c>
      <c r="BA255" s="6">
        <v>50.3</v>
      </c>
      <c r="BB255" s="6">
        <v>50.04</v>
      </c>
      <c r="BC255" s="6">
        <v>50.77</v>
      </c>
      <c r="BD255" s="6">
        <v>50.13</v>
      </c>
      <c r="BE255" s="6">
        <v>50.53</v>
      </c>
      <c r="BF255" s="6">
        <v>48.6</v>
      </c>
      <c r="BG255" s="6">
        <v>52.02</v>
      </c>
      <c r="BH255" s="6">
        <v>51.06</v>
      </c>
      <c r="BI255" s="6">
        <v>48.23</v>
      </c>
      <c r="BJ255" s="6">
        <v>50.58</v>
      </c>
      <c r="BK255" s="6">
        <v>50.64</v>
      </c>
      <c r="BL255" s="6">
        <v>47.84</v>
      </c>
      <c r="BM255" s="7">
        <v>48.16</v>
      </c>
      <c r="BN255" s="10"/>
    </row>
    <row r="256" spans="1:66" ht="15.75" customHeight="1" x14ac:dyDescent="0.25">
      <c r="A256" s="4">
        <v>254</v>
      </c>
      <c r="B256" s="4"/>
      <c r="C256" s="4">
        <v>11</v>
      </c>
      <c r="D256" s="6">
        <v>49.86</v>
      </c>
      <c r="E256" s="6">
        <v>50.09</v>
      </c>
      <c r="F256" s="6">
        <v>49.52</v>
      </c>
      <c r="G256" s="6">
        <v>49.46</v>
      </c>
      <c r="H256" s="6">
        <v>50.38</v>
      </c>
      <c r="I256" s="6">
        <v>50.74</v>
      </c>
      <c r="J256" s="6">
        <v>50.19</v>
      </c>
      <c r="K256" s="6">
        <v>50.45</v>
      </c>
      <c r="L256" s="6">
        <v>50.85</v>
      </c>
      <c r="M256" s="6">
        <v>49.96</v>
      </c>
      <c r="N256" s="6">
        <v>50.36</v>
      </c>
      <c r="O256" s="6">
        <v>49.7</v>
      </c>
      <c r="P256" s="6">
        <v>50.92</v>
      </c>
      <c r="Q256" s="6">
        <v>50.39</v>
      </c>
      <c r="R256" s="6">
        <v>49.64</v>
      </c>
      <c r="S256" s="6">
        <v>49.25</v>
      </c>
      <c r="T256" s="6">
        <v>49.21</v>
      </c>
      <c r="U256" s="6">
        <v>49.76</v>
      </c>
      <c r="V256" s="6">
        <v>49.98</v>
      </c>
      <c r="W256" s="6">
        <v>50.24</v>
      </c>
      <c r="X256" s="6">
        <v>50.3</v>
      </c>
      <c r="Y256" s="6">
        <v>50.19</v>
      </c>
      <c r="Z256" s="6">
        <v>51.13</v>
      </c>
      <c r="AA256" s="6">
        <v>50.22</v>
      </c>
      <c r="AB256" s="6">
        <v>51.07</v>
      </c>
      <c r="AC256" s="6">
        <v>49.55</v>
      </c>
      <c r="AD256" s="6">
        <v>48.98</v>
      </c>
      <c r="AE256" s="6">
        <v>49.4</v>
      </c>
      <c r="AF256" s="6">
        <v>51.69</v>
      </c>
      <c r="AG256" s="6">
        <v>49.71</v>
      </c>
      <c r="AH256" s="6">
        <v>50.06</v>
      </c>
      <c r="AI256" s="6">
        <v>50.9</v>
      </c>
      <c r="AJ256" s="6">
        <v>48.82</v>
      </c>
      <c r="AK256" s="6">
        <v>50.05</v>
      </c>
      <c r="AL256" s="6">
        <v>48.18</v>
      </c>
      <c r="AM256" s="6">
        <v>50.86</v>
      </c>
      <c r="AN256" s="6">
        <v>49.66</v>
      </c>
      <c r="AO256" s="6">
        <v>50.35</v>
      </c>
      <c r="AP256" s="6">
        <v>48.94</v>
      </c>
      <c r="AQ256" s="6">
        <v>50.84</v>
      </c>
      <c r="AR256" s="6">
        <v>50.67</v>
      </c>
      <c r="AS256" s="6">
        <v>50.02</v>
      </c>
      <c r="AT256" s="6">
        <v>49.4</v>
      </c>
      <c r="AU256" s="6">
        <v>49.27</v>
      </c>
      <c r="AV256" s="6"/>
      <c r="AW256" s="6"/>
      <c r="AX256" s="6">
        <v>49</v>
      </c>
      <c r="AY256" s="6">
        <v>50.04</v>
      </c>
      <c r="AZ256" s="6">
        <v>48.34</v>
      </c>
      <c r="BA256" s="6">
        <v>50.26</v>
      </c>
      <c r="BB256" s="6">
        <v>50.14</v>
      </c>
      <c r="BC256" s="6">
        <v>50.68</v>
      </c>
      <c r="BD256" s="6">
        <v>50.06</v>
      </c>
      <c r="BE256" s="6">
        <v>50.52</v>
      </c>
      <c r="BF256" s="6">
        <v>48.39</v>
      </c>
      <c r="BG256" s="6">
        <v>52</v>
      </c>
      <c r="BH256" s="6">
        <v>50.94</v>
      </c>
      <c r="BI256" s="6">
        <v>48.13</v>
      </c>
      <c r="BJ256" s="6">
        <v>50.56</v>
      </c>
      <c r="BK256" s="6">
        <v>50.56</v>
      </c>
      <c r="BL256" s="6">
        <v>47.7</v>
      </c>
      <c r="BM256" s="7">
        <v>48.08</v>
      </c>
      <c r="BN256" s="10"/>
    </row>
    <row r="257" spans="1:66" ht="15.75" customHeight="1" x14ac:dyDescent="0.25">
      <c r="A257" s="4">
        <v>255</v>
      </c>
      <c r="B257" s="4"/>
      <c r="C257" s="4">
        <v>12</v>
      </c>
      <c r="D257" s="6">
        <v>49.75</v>
      </c>
      <c r="E257" s="6">
        <v>50.08</v>
      </c>
      <c r="F257" s="6">
        <v>49.46</v>
      </c>
      <c r="G257" s="6">
        <v>49.41</v>
      </c>
      <c r="H257" s="6">
        <v>50.31</v>
      </c>
      <c r="I257" s="6">
        <v>50.82</v>
      </c>
      <c r="J257" s="6">
        <v>50.09</v>
      </c>
      <c r="K257" s="6">
        <v>50.45</v>
      </c>
      <c r="L257" s="6">
        <v>50.79</v>
      </c>
      <c r="M257" s="6">
        <v>49.96</v>
      </c>
      <c r="N257" s="6">
        <v>50.36</v>
      </c>
      <c r="O257" s="6">
        <v>49.68</v>
      </c>
      <c r="P257" s="6">
        <v>50.86</v>
      </c>
      <c r="Q257" s="6">
        <v>50.27</v>
      </c>
      <c r="R257" s="6">
        <v>49.57</v>
      </c>
      <c r="S257" s="6">
        <v>49.24</v>
      </c>
      <c r="T257" s="6">
        <v>49.16</v>
      </c>
      <c r="U257" s="6">
        <v>49.73</v>
      </c>
      <c r="V257" s="6">
        <v>49.95</v>
      </c>
      <c r="W257" s="6">
        <v>50.24</v>
      </c>
      <c r="X257" s="6">
        <v>50.24</v>
      </c>
      <c r="Y257" s="6">
        <v>50.14</v>
      </c>
      <c r="Z257" s="6">
        <v>51.11</v>
      </c>
      <c r="AA257" s="6">
        <v>50.2</v>
      </c>
      <c r="AB257" s="6">
        <v>51</v>
      </c>
      <c r="AC257" s="6">
        <v>49.42</v>
      </c>
      <c r="AD257" s="6">
        <v>48.88</v>
      </c>
      <c r="AE257" s="6">
        <v>49.29</v>
      </c>
      <c r="AF257" s="6">
        <v>51.63</v>
      </c>
      <c r="AG257" s="6">
        <v>49.64</v>
      </c>
      <c r="AH257" s="6">
        <v>50.12</v>
      </c>
      <c r="AI257" s="6">
        <v>50.9</v>
      </c>
      <c r="AJ257" s="6">
        <v>48.68</v>
      </c>
      <c r="AK257" s="6">
        <v>50.02</v>
      </c>
      <c r="AL257" s="6">
        <v>48.06</v>
      </c>
      <c r="AM257" s="6">
        <v>50.88</v>
      </c>
      <c r="AN257" s="6">
        <v>49.59</v>
      </c>
      <c r="AO257" s="6">
        <v>50.24</v>
      </c>
      <c r="AP257" s="6">
        <v>48.88</v>
      </c>
      <c r="AQ257" s="6">
        <v>50.76</v>
      </c>
      <c r="AR257" s="6">
        <v>50.6</v>
      </c>
      <c r="AS257" s="6">
        <v>49.98</v>
      </c>
      <c r="AT257" s="6">
        <v>49.33</v>
      </c>
      <c r="AU257" s="6">
        <v>49.16</v>
      </c>
      <c r="AV257" s="6"/>
      <c r="AW257" s="6"/>
      <c r="AX257" s="6">
        <v>48.8</v>
      </c>
      <c r="AY257" s="6">
        <v>49.95</v>
      </c>
      <c r="AZ257" s="6">
        <v>48.19</v>
      </c>
      <c r="BA257" s="6">
        <v>50.21</v>
      </c>
      <c r="BB257" s="6">
        <v>50.1</v>
      </c>
      <c r="BC257" s="6">
        <v>50.56</v>
      </c>
      <c r="BD257" s="6">
        <v>49.96</v>
      </c>
      <c r="BE257" s="6">
        <v>50.57</v>
      </c>
      <c r="BF257" s="6">
        <v>48.19</v>
      </c>
      <c r="BG257" s="6">
        <v>51.87</v>
      </c>
      <c r="BH257" s="6">
        <v>50.82</v>
      </c>
      <c r="BI257" s="6">
        <v>48.07</v>
      </c>
      <c r="BJ257" s="6">
        <v>50.54</v>
      </c>
      <c r="BK257" s="6">
        <v>50.48</v>
      </c>
      <c r="BL257" s="6">
        <v>47.5</v>
      </c>
      <c r="BM257" s="7">
        <v>47.96</v>
      </c>
      <c r="BN257" s="10"/>
    </row>
    <row r="258" spans="1:66" ht="15.75" customHeight="1" x14ac:dyDescent="0.25">
      <c r="A258" s="4">
        <v>256</v>
      </c>
      <c r="B258" s="4"/>
      <c r="C258" s="4">
        <v>13</v>
      </c>
      <c r="D258" s="6">
        <v>49.63</v>
      </c>
      <c r="E258" s="6">
        <v>50.07</v>
      </c>
      <c r="F258" s="6">
        <v>49.39</v>
      </c>
      <c r="G258" s="6">
        <v>49.41</v>
      </c>
      <c r="H258" s="6">
        <v>50.24</v>
      </c>
      <c r="I258" s="6">
        <v>50.82</v>
      </c>
      <c r="J258" s="6">
        <v>50.06</v>
      </c>
      <c r="K258" s="6">
        <v>50.44</v>
      </c>
      <c r="L258" s="6">
        <v>50.71</v>
      </c>
      <c r="M258" s="6">
        <v>49.97</v>
      </c>
      <c r="N258" s="6">
        <v>50.36</v>
      </c>
      <c r="O258" s="6">
        <v>49.66</v>
      </c>
      <c r="P258" s="6">
        <v>50.81</v>
      </c>
      <c r="Q258" s="6">
        <v>50.18</v>
      </c>
      <c r="R258" s="6">
        <v>49.5</v>
      </c>
      <c r="S258" s="6">
        <v>49.16</v>
      </c>
      <c r="T258" s="6">
        <v>49.13</v>
      </c>
      <c r="U258" s="6">
        <v>49.74</v>
      </c>
      <c r="V258" s="6">
        <v>49.91</v>
      </c>
      <c r="W258" s="6">
        <v>50.18</v>
      </c>
      <c r="X258" s="6">
        <v>50.16</v>
      </c>
      <c r="Y258" s="6">
        <v>50.13</v>
      </c>
      <c r="Z258" s="6">
        <v>51.11</v>
      </c>
      <c r="AA258" s="6">
        <v>50.2</v>
      </c>
      <c r="AB258" s="6">
        <v>50.95</v>
      </c>
      <c r="AC258" s="6">
        <v>49.32</v>
      </c>
      <c r="AD258" s="6">
        <v>48.79</v>
      </c>
      <c r="AE258" s="6">
        <v>49.2</v>
      </c>
      <c r="AF258" s="6">
        <v>51.55</v>
      </c>
      <c r="AG258" s="6">
        <v>49.56</v>
      </c>
      <c r="AH258" s="6">
        <v>50.08</v>
      </c>
      <c r="AI258" s="6">
        <v>50.8</v>
      </c>
      <c r="AJ258" s="6">
        <v>48.5</v>
      </c>
      <c r="AK258" s="6">
        <v>49.97</v>
      </c>
      <c r="AL258" s="6">
        <v>47.97</v>
      </c>
      <c r="AM258" s="6">
        <v>50.72</v>
      </c>
      <c r="AN258" s="6">
        <v>49.46</v>
      </c>
      <c r="AO258" s="6">
        <v>50.14</v>
      </c>
      <c r="AP258" s="6">
        <v>48.8</v>
      </c>
      <c r="AQ258" s="6">
        <v>50.67</v>
      </c>
      <c r="AR258" s="6">
        <v>50.52</v>
      </c>
      <c r="AS258" s="6">
        <v>49.94</v>
      </c>
      <c r="AT258" s="6">
        <v>49.3</v>
      </c>
      <c r="AU258" s="6">
        <v>49</v>
      </c>
      <c r="AV258" s="6"/>
      <c r="AW258" s="6"/>
      <c r="AX258" s="6">
        <v>48.84</v>
      </c>
      <c r="AY258" s="6">
        <v>49.87</v>
      </c>
      <c r="AZ258" s="6">
        <v>48.05</v>
      </c>
      <c r="BA258" s="6">
        <v>50.15</v>
      </c>
      <c r="BB258" s="6">
        <v>50.06</v>
      </c>
      <c r="BC258" s="6">
        <v>50.47</v>
      </c>
      <c r="BD258" s="6">
        <v>49.86</v>
      </c>
      <c r="BE258" s="6">
        <v>50.42</v>
      </c>
      <c r="BF258" s="6">
        <v>48.01</v>
      </c>
      <c r="BG258" s="6">
        <v>51.91</v>
      </c>
      <c r="BH258" s="6">
        <v>50.82</v>
      </c>
      <c r="BI258" s="6">
        <v>47.9</v>
      </c>
      <c r="BJ258" s="6">
        <v>50.5</v>
      </c>
      <c r="BK258" s="6">
        <v>50.38</v>
      </c>
      <c r="BL258" s="6">
        <v>47.28</v>
      </c>
      <c r="BM258" s="7">
        <v>47.83</v>
      </c>
      <c r="BN258" s="10"/>
    </row>
    <row r="259" spans="1:66" ht="15.75" customHeight="1" x14ac:dyDescent="0.25">
      <c r="A259" s="4">
        <v>257</v>
      </c>
      <c r="B259" s="4"/>
      <c r="C259" s="4">
        <v>14</v>
      </c>
      <c r="D259" s="6">
        <v>49.53</v>
      </c>
      <c r="E259" s="6">
        <v>50.06</v>
      </c>
      <c r="F259" s="6">
        <v>49.32</v>
      </c>
      <c r="G259" s="6">
        <v>49.44</v>
      </c>
      <c r="H259" s="6">
        <v>50.18</v>
      </c>
      <c r="I259" s="6">
        <v>50.83</v>
      </c>
      <c r="J259" s="6">
        <v>50.01</v>
      </c>
      <c r="K259" s="6">
        <v>50.42</v>
      </c>
      <c r="L259" s="6">
        <v>50.66</v>
      </c>
      <c r="M259" s="6">
        <v>49.96</v>
      </c>
      <c r="N259" s="6">
        <v>50.34</v>
      </c>
      <c r="O259" s="6">
        <v>49.62</v>
      </c>
      <c r="P259" s="6">
        <v>50.81</v>
      </c>
      <c r="Q259" s="6">
        <v>50.11</v>
      </c>
      <c r="R259" s="6">
        <v>49.43</v>
      </c>
      <c r="S259" s="6">
        <v>49.09</v>
      </c>
      <c r="T259" s="6">
        <v>49.04</v>
      </c>
      <c r="U259" s="6">
        <v>49.71</v>
      </c>
      <c r="V259" s="6">
        <v>49.84</v>
      </c>
      <c r="W259" s="6">
        <v>50.17</v>
      </c>
      <c r="X259" s="6">
        <v>50.12</v>
      </c>
      <c r="Y259" s="6">
        <v>50.08</v>
      </c>
      <c r="Z259" s="6">
        <v>51.08</v>
      </c>
      <c r="AA259" s="6">
        <v>50.13</v>
      </c>
      <c r="AB259" s="6">
        <v>50.86</v>
      </c>
      <c r="AC259" s="6">
        <v>49.16</v>
      </c>
      <c r="AD259" s="6">
        <v>48.69</v>
      </c>
      <c r="AE259" s="6">
        <v>49.06</v>
      </c>
      <c r="AF259" s="6">
        <v>51.5</v>
      </c>
      <c r="AG259" s="6">
        <v>49.48</v>
      </c>
      <c r="AH259" s="6">
        <v>50.06</v>
      </c>
      <c r="AI259" s="6">
        <v>50.7</v>
      </c>
      <c r="AJ259" s="6">
        <v>48.34</v>
      </c>
      <c r="AK259" s="6">
        <v>49.93</v>
      </c>
      <c r="AL259" s="6">
        <v>47.84</v>
      </c>
      <c r="AM259" s="6">
        <v>50.66</v>
      </c>
      <c r="AN259" s="6">
        <v>49.49</v>
      </c>
      <c r="AO259" s="6">
        <v>50.04</v>
      </c>
      <c r="AP259" s="6">
        <v>48.73</v>
      </c>
      <c r="AQ259" s="6">
        <v>50.57</v>
      </c>
      <c r="AR259" s="6">
        <v>50.44</v>
      </c>
      <c r="AS259" s="6">
        <v>49.94</v>
      </c>
      <c r="AT259" s="6">
        <v>49.32</v>
      </c>
      <c r="AU259" s="6">
        <v>49</v>
      </c>
      <c r="AV259" s="6"/>
      <c r="AW259" s="6"/>
      <c r="AX259" s="6">
        <v>48.74</v>
      </c>
      <c r="AY259" s="6">
        <v>49.75</v>
      </c>
      <c r="AZ259" s="6">
        <v>47.88</v>
      </c>
      <c r="BA259" s="6">
        <v>50.09</v>
      </c>
      <c r="BB259" s="6">
        <v>50.02</v>
      </c>
      <c r="BC259" s="6">
        <v>50.37</v>
      </c>
      <c r="BD259" s="6">
        <v>49.74</v>
      </c>
      <c r="BE259" s="6">
        <v>50.36</v>
      </c>
      <c r="BF259" s="6">
        <v>47.82</v>
      </c>
      <c r="BG259" s="6">
        <v>51.86</v>
      </c>
      <c r="BH259" s="6">
        <v>50.6</v>
      </c>
      <c r="BI259" s="6">
        <v>47.85</v>
      </c>
      <c r="BJ259" s="6">
        <v>50.46</v>
      </c>
      <c r="BK259" s="6">
        <v>50.28</v>
      </c>
      <c r="BL259" s="6">
        <v>47.05</v>
      </c>
      <c r="BM259" s="7">
        <v>47.67</v>
      </c>
      <c r="BN259" s="10"/>
    </row>
    <row r="260" spans="1:66" ht="15.75" customHeight="1" x14ac:dyDescent="0.25">
      <c r="A260" s="4">
        <v>258</v>
      </c>
      <c r="B260" s="4"/>
      <c r="C260" s="4">
        <v>15</v>
      </c>
      <c r="D260" s="6">
        <v>49.44</v>
      </c>
      <c r="E260" s="6">
        <v>50.05</v>
      </c>
      <c r="F260" s="6">
        <v>49.26</v>
      </c>
      <c r="G260" s="6">
        <v>49.44</v>
      </c>
      <c r="H260" s="6">
        <v>50.11</v>
      </c>
      <c r="I260" s="6">
        <v>50.84</v>
      </c>
      <c r="J260" s="6">
        <v>49.79</v>
      </c>
      <c r="K260" s="6">
        <v>50.41</v>
      </c>
      <c r="L260" s="6">
        <v>50.6</v>
      </c>
      <c r="M260" s="6">
        <v>49.96</v>
      </c>
      <c r="N260" s="6">
        <v>50.32</v>
      </c>
      <c r="O260" s="6">
        <v>49.58</v>
      </c>
      <c r="P260" s="6">
        <v>50.68</v>
      </c>
      <c r="Q260" s="6">
        <v>50.01</v>
      </c>
      <c r="R260" s="6">
        <v>49.31</v>
      </c>
      <c r="S260" s="6">
        <v>49</v>
      </c>
      <c r="T260" s="6">
        <v>48.98</v>
      </c>
      <c r="U260" s="6">
        <v>49.68</v>
      </c>
      <c r="V260" s="6">
        <v>49.78</v>
      </c>
      <c r="W260" s="6">
        <v>50.13</v>
      </c>
      <c r="X260" s="6">
        <v>50.04</v>
      </c>
      <c r="Y260" s="6">
        <v>50.07</v>
      </c>
      <c r="Z260" s="6">
        <v>51.05</v>
      </c>
      <c r="AA260" s="6">
        <v>50.02</v>
      </c>
      <c r="AB260" s="6">
        <v>50.81</v>
      </c>
      <c r="AC260" s="6">
        <v>49.04</v>
      </c>
      <c r="AD260" s="6">
        <v>48.6</v>
      </c>
      <c r="AE260" s="6">
        <v>49</v>
      </c>
      <c r="AF260" s="6">
        <v>51.44</v>
      </c>
      <c r="AG260" s="6">
        <v>49.41</v>
      </c>
      <c r="AH260" s="6">
        <v>50</v>
      </c>
      <c r="AI260" s="6">
        <v>50.7</v>
      </c>
      <c r="AJ260" s="6">
        <v>48.19</v>
      </c>
      <c r="AK260" s="6">
        <v>49.87</v>
      </c>
      <c r="AL260" s="6">
        <v>47.78</v>
      </c>
      <c r="AM260" s="6">
        <v>50.56</v>
      </c>
      <c r="AN260" s="6">
        <v>49.23</v>
      </c>
      <c r="AO260" s="6">
        <v>49.81</v>
      </c>
      <c r="AP260" s="6">
        <v>48.62</v>
      </c>
      <c r="AQ260" s="6">
        <v>50.45</v>
      </c>
      <c r="AR260" s="6">
        <v>50.42</v>
      </c>
      <c r="AS260" s="6">
        <v>50.02</v>
      </c>
      <c r="AT260" s="6">
        <v>49.14</v>
      </c>
      <c r="AU260" s="6">
        <v>48.9</v>
      </c>
      <c r="AV260" s="6"/>
      <c r="AW260" s="6"/>
      <c r="AX260" s="6">
        <v>48.63</v>
      </c>
      <c r="AY260" s="6">
        <v>49.62</v>
      </c>
      <c r="AZ260" s="6">
        <v>47.71</v>
      </c>
      <c r="BA260" s="6">
        <v>50.03</v>
      </c>
      <c r="BB260" s="6">
        <v>49.96</v>
      </c>
      <c r="BC260" s="6">
        <v>50.32</v>
      </c>
      <c r="BD260" s="6">
        <v>49.65</v>
      </c>
      <c r="BE260" s="6">
        <v>50.31</v>
      </c>
      <c r="BF260" s="6">
        <v>47.69</v>
      </c>
      <c r="BG260" s="6">
        <v>51.78</v>
      </c>
      <c r="BH260" s="6">
        <v>50.5</v>
      </c>
      <c r="BI260" s="6">
        <v>47.5</v>
      </c>
      <c r="BJ260" s="6">
        <v>50.42</v>
      </c>
      <c r="BK260" s="6">
        <v>50.2</v>
      </c>
      <c r="BL260" s="6">
        <v>46.82</v>
      </c>
      <c r="BM260" s="7">
        <v>47.53</v>
      </c>
      <c r="BN260" s="10"/>
    </row>
    <row r="261" spans="1:66" ht="15.75" customHeight="1" x14ac:dyDescent="0.25">
      <c r="A261" s="4">
        <v>259</v>
      </c>
      <c r="B261" s="4"/>
      <c r="C261" s="4">
        <v>16</v>
      </c>
      <c r="D261" s="6">
        <v>49.35</v>
      </c>
      <c r="E261" s="6">
        <v>50.09</v>
      </c>
      <c r="F261" s="6">
        <v>49.22</v>
      </c>
      <c r="G261" s="6">
        <v>49.46</v>
      </c>
      <c r="H261" s="6">
        <v>50.06</v>
      </c>
      <c r="I261" s="6">
        <v>50.84</v>
      </c>
      <c r="J261" s="6">
        <v>49.65</v>
      </c>
      <c r="K261" s="6">
        <v>50.37</v>
      </c>
      <c r="L261" s="6">
        <v>50.55</v>
      </c>
      <c r="M261" s="6">
        <v>49.96</v>
      </c>
      <c r="N261" s="6">
        <v>50.28</v>
      </c>
      <c r="O261" s="6">
        <v>49.55</v>
      </c>
      <c r="P261" s="6">
        <v>50.56</v>
      </c>
      <c r="Q261" s="6">
        <v>49.92</v>
      </c>
      <c r="R261" s="6">
        <v>49.22</v>
      </c>
      <c r="S261" s="6">
        <v>48.91</v>
      </c>
      <c r="T261" s="6">
        <v>48.96</v>
      </c>
      <c r="U261" s="6">
        <v>49.66</v>
      </c>
      <c r="V261" s="6">
        <v>49.74</v>
      </c>
      <c r="W261" s="6">
        <v>50.12</v>
      </c>
      <c r="X261" s="6">
        <v>49.97</v>
      </c>
      <c r="Y261" s="6">
        <v>50.02</v>
      </c>
      <c r="Z261" s="6">
        <v>51</v>
      </c>
      <c r="AA261" s="6">
        <v>49.98</v>
      </c>
      <c r="AB261" s="6">
        <v>50.72</v>
      </c>
      <c r="AC261" s="6">
        <v>48.91</v>
      </c>
      <c r="AD261" s="6">
        <v>48.51</v>
      </c>
      <c r="AE261" s="6">
        <v>48.98</v>
      </c>
      <c r="AF261" s="6">
        <v>51.44</v>
      </c>
      <c r="AG261" s="6">
        <v>49.33</v>
      </c>
      <c r="AH261" s="6">
        <v>49.97</v>
      </c>
      <c r="AI261" s="6">
        <v>50.6</v>
      </c>
      <c r="AJ261" s="6">
        <v>48.09</v>
      </c>
      <c r="AK261" s="6">
        <v>49.81</v>
      </c>
      <c r="AL261" s="6">
        <v>47.7</v>
      </c>
      <c r="AM261" s="6">
        <v>50.5</v>
      </c>
      <c r="AN261" s="6">
        <v>49.02</v>
      </c>
      <c r="AO261" s="6">
        <v>49.81</v>
      </c>
      <c r="AP261" s="6">
        <v>48.56</v>
      </c>
      <c r="AQ261" s="6">
        <v>50.37</v>
      </c>
      <c r="AR261" s="6">
        <v>50.36</v>
      </c>
      <c r="AS261" s="6">
        <v>50.02</v>
      </c>
      <c r="AT261" s="6">
        <v>49.05</v>
      </c>
      <c r="AU261" s="6">
        <v>48.84</v>
      </c>
      <c r="AV261" s="6"/>
      <c r="AW261" s="6"/>
      <c r="AX261" s="6">
        <v>48.52</v>
      </c>
      <c r="AY261" s="6">
        <v>49.45</v>
      </c>
      <c r="AZ261" s="6">
        <v>47.52</v>
      </c>
      <c r="BA261" s="6">
        <v>49.97</v>
      </c>
      <c r="BB261" s="6">
        <v>49.92</v>
      </c>
      <c r="BC261" s="6">
        <v>50.25</v>
      </c>
      <c r="BD261" s="6">
        <v>49.54</v>
      </c>
      <c r="BE261" s="6">
        <v>50.27</v>
      </c>
      <c r="BF261" s="6">
        <v>47.57</v>
      </c>
      <c r="BG261" s="6">
        <v>51.75</v>
      </c>
      <c r="BH261" s="6">
        <v>50.4</v>
      </c>
      <c r="BI261" s="6">
        <v>47.42</v>
      </c>
      <c r="BJ261" s="6">
        <v>50.32</v>
      </c>
      <c r="BK261" s="6">
        <v>50.14</v>
      </c>
      <c r="BL261" s="6">
        <v>46.6</v>
      </c>
      <c r="BM261" s="7">
        <v>47.4</v>
      </c>
      <c r="BN261" s="10"/>
    </row>
    <row r="262" spans="1:66" ht="15.75" customHeight="1" x14ac:dyDescent="0.25">
      <c r="A262" s="4">
        <v>260</v>
      </c>
      <c r="B262" s="4"/>
      <c r="C262" s="4">
        <v>17</v>
      </c>
      <c r="D262" s="6">
        <v>49.28</v>
      </c>
      <c r="E262" s="6">
        <v>50.07</v>
      </c>
      <c r="F262" s="6">
        <v>49.2</v>
      </c>
      <c r="G262" s="6">
        <v>49.41</v>
      </c>
      <c r="H262" s="6">
        <v>49.96</v>
      </c>
      <c r="I262" s="6">
        <v>50.87</v>
      </c>
      <c r="J262" s="6">
        <v>49.57</v>
      </c>
      <c r="K262" s="6">
        <v>50.34</v>
      </c>
      <c r="L262" s="6">
        <v>50.46</v>
      </c>
      <c r="M262" s="6">
        <v>49.95</v>
      </c>
      <c r="N262" s="6">
        <v>50.25</v>
      </c>
      <c r="O262" s="6">
        <v>49.5</v>
      </c>
      <c r="P262" s="6">
        <v>50.51</v>
      </c>
      <c r="Q262" s="6">
        <v>49.85</v>
      </c>
      <c r="R262" s="6">
        <v>49.16</v>
      </c>
      <c r="S262" s="6">
        <v>48.86</v>
      </c>
      <c r="T262" s="6">
        <v>48.85</v>
      </c>
      <c r="U262" s="6">
        <v>49.61</v>
      </c>
      <c r="V262" s="6">
        <v>49.7</v>
      </c>
      <c r="W262" s="6">
        <v>50.08</v>
      </c>
      <c r="X262" s="6">
        <v>49.88</v>
      </c>
      <c r="Y262" s="6">
        <v>49.98</v>
      </c>
      <c r="Z262" s="6">
        <v>51</v>
      </c>
      <c r="AA262" s="6">
        <v>49.9</v>
      </c>
      <c r="AB262" s="6">
        <v>50.62</v>
      </c>
      <c r="AC262" s="6">
        <v>48.81</v>
      </c>
      <c r="AD262" s="6">
        <v>48.92</v>
      </c>
      <c r="AE262" s="6">
        <v>48.93</v>
      </c>
      <c r="AF262" s="6">
        <v>51.26</v>
      </c>
      <c r="AG262" s="6">
        <v>49.26</v>
      </c>
      <c r="AH262" s="6">
        <v>49.94</v>
      </c>
      <c r="AI262" s="6">
        <v>50.5</v>
      </c>
      <c r="AJ262" s="6">
        <v>47.99</v>
      </c>
      <c r="AK262" s="6">
        <v>49.73</v>
      </c>
      <c r="AL262" s="6">
        <v>47.57</v>
      </c>
      <c r="AM262" s="6">
        <v>50.42</v>
      </c>
      <c r="AN262" s="6">
        <v>48.9</v>
      </c>
      <c r="AO262" s="6">
        <v>49.71</v>
      </c>
      <c r="AP262" s="6">
        <v>48.42</v>
      </c>
      <c r="AQ262" s="6">
        <v>50.32</v>
      </c>
      <c r="AR262" s="6">
        <v>50.29</v>
      </c>
      <c r="AS262" s="6">
        <v>50.02</v>
      </c>
      <c r="AT262" s="6">
        <v>48.95</v>
      </c>
      <c r="AU262" s="6">
        <v>48.67</v>
      </c>
      <c r="AV262" s="6"/>
      <c r="AW262" s="6"/>
      <c r="AX262" s="6">
        <v>48.43</v>
      </c>
      <c r="AY262" s="6">
        <v>49.31</v>
      </c>
      <c r="AZ262" s="6">
        <v>47.34</v>
      </c>
      <c r="BA262" s="6">
        <v>49.91</v>
      </c>
      <c r="BB262" s="6">
        <v>49.9</v>
      </c>
      <c r="BC262" s="6">
        <v>50.19</v>
      </c>
      <c r="BD262" s="6">
        <v>49.41</v>
      </c>
      <c r="BE262" s="6">
        <v>50.16</v>
      </c>
      <c r="BF262" s="6">
        <v>47.4</v>
      </c>
      <c r="BG262" s="6">
        <v>51.69</v>
      </c>
      <c r="BH262" s="6">
        <v>50.3</v>
      </c>
      <c r="BI262" s="6">
        <v>47.39</v>
      </c>
      <c r="BJ262" s="6">
        <v>50.28</v>
      </c>
      <c r="BK262" s="6">
        <v>50.06</v>
      </c>
      <c r="BL262" s="6">
        <v>46.44</v>
      </c>
      <c r="BM262" s="7">
        <v>47.29</v>
      </c>
      <c r="BN262" s="10"/>
    </row>
    <row r="263" spans="1:66" ht="15.75" customHeight="1" x14ac:dyDescent="0.25">
      <c r="A263" s="4">
        <v>261</v>
      </c>
      <c r="B263" s="4"/>
      <c r="C263" s="4">
        <v>18</v>
      </c>
      <c r="D263" s="6">
        <v>49.2</v>
      </c>
      <c r="E263" s="6">
        <v>50.06</v>
      </c>
      <c r="F263" s="6">
        <v>49.18</v>
      </c>
      <c r="G263" s="6">
        <v>49.41</v>
      </c>
      <c r="H263" s="6">
        <v>49.91</v>
      </c>
      <c r="I263" s="6">
        <v>50.91</v>
      </c>
      <c r="J263" s="6">
        <v>49.48</v>
      </c>
      <c r="K263" s="6">
        <v>50.31</v>
      </c>
      <c r="L263" s="6">
        <v>50.43</v>
      </c>
      <c r="M263" s="6">
        <v>49.94</v>
      </c>
      <c r="N263" s="6">
        <v>50.21</v>
      </c>
      <c r="O263" s="6">
        <v>49.44</v>
      </c>
      <c r="P263" s="6">
        <v>50.47</v>
      </c>
      <c r="Q263" s="6">
        <v>49.74</v>
      </c>
      <c r="R263" s="6">
        <v>49.1</v>
      </c>
      <c r="S263" s="6">
        <v>48.8</v>
      </c>
      <c r="T263" s="6">
        <v>48.84</v>
      </c>
      <c r="U263" s="6">
        <v>49.59</v>
      </c>
      <c r="V263" s="6">
        <v>49.64</v>
      </c>
      <c r="W263" s="6">
        <v>50.04</v>
      </c>
      <c r="X263" s="6">
        <v>49.8</v>
      </c>
      <c r="Y263" s="6">
        <v>49.94</v>
      </c>
      <c r="Z263" s="6">
        <v>50.9</v>
      </c>
      <c r="AA263" s="6">
        <v>49.84</v>
      </c>
      <c r="AB263" s="6">
        <v>50.54</v>
      </c>
      <c r="AC263" s="6">
        <v>48.74</v>
      </c>
      <c r="AD263" s="6">
        <v>48.33</v>
      </c>
      <c r="AE263" s="6">
        <v>48.88</v>
      </c>
      <c r="AF263" s="6">
        <v>51.26</v>
      </c>
      <c r="AG263" s="6">
        <v>49.18</v>
      </c>
      <c r="AH263" s="6">
        <v>49.9</v>
      </c>
      <c r="AI263" s="6">
        <v>50.5</v>
      </c>
      <c r="AJ263" s="6">
        <v>47.88</v>
      </c>
      <c r="AK263" s="6">
        <v>49.7</v>
      </c>
      <c r="AL263" s="6">
        <v>47.47</v>
      </c>
      <c r="AM263" s="6">
        <v>50.32</v>
      </c>
      <c r="AN263" s="6">
        <v>48.79</v>
      </c>
      <c r="AO263" s="6">
        <v>49.63</v>
      </c>
      <c r="AP263" s="6">
        <v>48.3</v>
      </c>
      <c r="AQ263" s="6">
        <v>50.3</v>
      </c>
      <c r="AR263" s="6">
        <v>50.26</v>
      </c>
      <c r="AS263" s="6">
        <v>49.95</v>
      </c>
      <c r="AT263" s="6">
        <v>48.83</v>
      </c>
      <c r="AU263" s="6">
        <v>48.76</v>
      </c>
      <c r="AV263" s="6"/>
      <c r="AW263" s="6"/>
      <c r="AX263" s="6">
        <v>48.35</v>
      </c>
      <c r="AY263" s="6">
        <v>49.17</v>
      </c>
      <c r="AZ263" s="6">
        <v>47.19</v>
      </c>
      <c r="BA263" s="6">
        <v>49.86</v>
      </c>
      <c r="BB263" s="6">
        <v>49.9</v>
      </c>
      <c r="BC263" s="6">
        <v>50.14</v>
      </c>
      <c r="BD263" s="6">
        <v>49.34</v>
      </c>
      <c r="BE263" s="6">
        <v>50.1</v>
      </c>
      <c r="BF263" s="6">
        <v>47.34</v>
      </c>
      <c r="BG263" s="6">
        <v>51.63</v>
      </c>
      <c r="BH263" s="6">
        <v>50.2</v>
      </c>
      <c r="BI263" s="6">
        <v>47.32</v>
      </c>
      <c r="BJ263" s="6">
        <v>50.24</v>
      </c>
      <c r="BK263" s="6">
        <v>49.96</v>
      </c>
      <c r="BL263" s="6">
        <v>46.29</v>
      </c>
      <c r="BM263" s="7">
        <v>47.17</v>
      </c>
      <c r="BN263" s="10"/>
    </row>
    <row r="264" spans="1:66" ht="15.75" customHeight="1" x14ac:dyDescent="0.25">
      <c r="A264" s="4">
        <v>262</v>
      </c>
      <c r="B264" s="4"/>
      <c r="C264" s="4">
        <v>19</v>
      </c>
      <c r="D264" s="6">
        <v>49.16</v>
      </c>
      <c r="E264" s="6">
        <v>50.05</v>
      </c>
      <c r="F264" s="6">
        <v>49.18</v>
      </c>
      <c r="G264" s="6">
        <v>49.41</v>
      </c>
      <c r="H264" s="6">
        <v>49.82</v>
      </c>
      <c r="I264" s="6">
        <v>50.86</v>
      </c>
      <c r="J264" s="6">
        <v>49.39</v>
      </c>
      <c r="K264" s="6">
        <v>50.28</v>
      </c>
      <c r="L264" s="6">
        <v>50.38</v>
      </c>
      <c r="M264" s="6">
        <v>49.91</v>
      </c>
      <c r="N264" s="6">
        <v>50.17</v>
      </c>
      <c r="O264" s="6">
        <v>49.39</v>
      </c>
      <c r="P264" s="6">
        <v>50.44</v>
      </c>
      <c r="Q264" s="6">
        <v>49.57</v>
      </c>
      <c r="R264" s="6">
        <v>49.03</v>
      </c>
      <c r="S264" s="6">
        <v>48.66</v>
      </c>
      <c r="T264" s="6">
        <v>48.76</v>
      </c>
      <c r="U264" s="6">
        <v>49.55</v>
      </c>
      <c r="V264" s="6">
        <v>49.61</v>
      </c>
      <c r="W264" s="6">
        <v>49.98</v>
      </c>
      <c r="X264" s="6">
        <v>49.72</v>
      </c>
      <c r="Y264" s="6">
        <v>49.91</v>
      </c>
      <c r="Z264" s="6">
        <v>50.86</v>
      </c>
      <c r="AA264" s="6">
        <v>49.8</v>
      </c>
      <c r="AB264" s="6">
        <v>50.42</v>
      </c>
      <c r="AC264" s="6">
        <v>48.72</v>
      </c>
      <c r="AD264" s="6">
        <v>48.27</v>
      </c>
      <c r="AE264" s="6">
        <v>48.84</v>
      </c>
      <c r="AF264" s="6">
        <v>51.2</v>
      </c>
      <c r="AG264" s="6">
        <v>49.05</v>
      </c>
      <c r="AH264" s="6">
        <v>49.82</v>
      </c>
      <c r="AI264" s="6">
        <v>50.4</v>
      </c>
      <c r="AJ264" s="6">
        <v>47.76</v>
      </c>
      <c r="AK264" s="6">
        <v>49.66</v>
      </c>
      <c r="AL264" s="6">
        <v>47.37</v>
      </c>
      <c r="AM264" s="6">
        <v>50.06</v>
      </c>
      <c r="AN264" s="6">
        <v>48.66</v>
      </c>
      <c r="AO264" s="6">
        <v>49.54</v>
      </c>
      <c r="AP264" s="6">
        <v>48.41</v>
      </c>
      <c r="AQ264" s="6">
        <v>50.22</v>
      </c>
      <c r="AR264" s="6">
        <v>50.19</v>
      </c>
      <c r="AS264" s="6">
        <v>49.95</v>
      </c>
      <c r="AT264" s="6">
        <v>48.72</v>
      </c>
      <c r="AU264" s="6">
        <v>48.73</v>
      </c>
      <c r="AV264" s="6"/>
      <c r="AW264" s="6"/>
      <c r="AX264" s="6">
        <v>48.29</v>
      </c>
      <c r="AY264" s="6">
        <v>49.06</v>
      </c>
      <c r="AZ264" s="6">
        <v>47.04</v>
      </c>
      <c r="BA264" s="6">
        <v>49.84</v>
      </c>
      <c r="BB264" s="6">
        <v>49.87</v>
      </c>
      <c r="BC264" s="6">
        <v>50.11</v>
      </c>
      <c r="BD264" s="6">
        <v>49.24</v>
      </c>
      <c r="BE264" s="6">
        <v>50.01</v>
      </c>
      <c r="BF264" s="6">
        <v>47.31</v>
      </c>
      <c r="BG264" s="6">
        <v>51.58</v>
      </c>
      <c r="BH264" s="6">
        <v>50.12</v>
      </c>
      <c r="BI264" s="6">
        <v>47.29</v>
      </c>
      <c r="BJ264" s="6">
        <v>50.18</v>
      </c>
      <c r="BK264" s="6">
        <v>49.88</v>
      </c>
      <c r="BL264" s="6">
        <v>46.14</v>
      </c>
      <c r="BM264" s="7">
        <v>47.06</v>
      </c>
      <c r="BN264" s="10"/>
    </row>
    <row r="265" spans="1:66" ht="15.75" customHeight="1" x14ac:dyDescent="0.25">
      <c r="A265" s="4">
        <v>263</v>
      </c>
      <c r="B265" s="4"/>
      <c r="C265" s="4">
        <v>20</v>
      </c>
      <c r="D265" s="6">
        <v>49.09</v>
      </c>
      <c r="E265" s="6">
        <v>50.03</v>
      </c>
      <c r="F265" s="6">
        <v>49.16</v>
      </c>
      <c r="G265" s="6">
        <v>49.36</v>
      </c>
      <c r="H265" s="6">
        <v>49.76</v>
      </c>
      <c r="I265" s="6">
        <v>50.81</v>
      </c>
      <c r="J265" s="6">
        <v>49.29</v>
      </c>
      <c r="K265" s="6">
        <v>50.28</v>
      </c>
      <c r="L265" s="6">
        <v>50.37</v>
      </c>
      <c r="M265" s="6">
        <v>49.87</v>
      </c>
      <c r="N265" s="6">
        <v>50.17</v>
      </c>
      <c r="O265" s="6">
        <v>49.35</v>
      </c>
      <c r="P265" s="6">
        <v>50.38</v>
      </c>
      <c r="Q265" s="6">
        <v>49.51</v>
      </c>
      <c r="R265" s="6">
        <v>48.97</v>
      </c>
      <c r="S265" s="6">
        <v>48.58</v>
      </c>
      <c r="T265" s="6">
        <v>48.76</v>
      </c>
      <c r="U265" s="6">
        <v>49.52</v>
      </c>
      <c r="V265" s="6">
        <v>49.59</v>
      </c>
      <c r="W265" s="6">
        <v>49.92</v>
      </c>
      <c r="X265" s="6">
        <v>49.63</v>
      </c>
      <c r="Y265" s="6">
        <v>49.85</v>
      </c>
      <c r="Z265" s="6">
        <v>50.83</v>
      </c>
      <c r="AA265" s="6">
        <v>49.74</v>
      </c>
      <c r="AB265" s="6">
        <v>50.31</v>
      </c>
      <c r="AC265" s="6">
        <v>48.7</v>
      </c>
      <c r="AD265" s="6">
        <v>48.18</v>
      </c>
      <c r="AE265" s="6">
        <v>48.77</v>
      </c>
      <c r="AF265" s="6">
        <v>51.07</v>
      </c>
      <c r="AG265" s="6">
        <v>48.95</v>
      </c>
      <c r="AH265" s="6">
        <v>49.78</v>
      </c>
      <c r="AI265" s="6">
        <v>50.3</v>
      </c>
      <c r="AJ265" s="6">
        <v>47.64</v>
      </c>
      <c r="AK265" s="6">
        <v>49.62</v>
      </c>
      <c r="AL265" s="6">
        <v>47.26</v>
      </c>
      <c r="AM265" s="6">
        <v>50.02</v>
      </c>
      <c r="AN265" s="6">
        <v>48.51</v>
      </c>
      <c r="AO265" s="6">
        <v>49.44</v>
      </c>
      <c r="AP265" s="6">
        <v>48.37</v>
      </c>
      <c r="AQ265" s="6">
        <v>50.16</v>
      </c>
      <c r="AR265" s="6">
        <v>50.12</v>
      </c>
      <c r="AS265" s="6">
        <v>49.86</v>
      </c>
      <c r="AT265" s="6">
        <v>48.6</v>
      </c>
      <c r="AU265" s="6">
        <v>48.71</v>
      </c>
      <c r="AV265" s="6"/>
      <c r="AW265" s="6"/>
      <c r="AX265" s="6">
        <v>48.18</v>
      </c>
      <c r="AY265" s="6">
        <v>49</v>
      </c>
      <c r="AZ265" s="6">
        <v>46.92</v>
      </c>
      <c r="BA265" s="6">
        <v>49.78</v>
      </c>
      <c r="BB265" s="6">
        <v>49.82</v>
      </c>
      <c r="BC265" s="6">
        <v>50.08</v>
      </c>
      <c r="BD265" s="6">
        <v>49.11</v>
      </c>
      <c r="BE265" s="6">
        <v>49.9</v>
      </c>
      <c r="BF265" s="6">
        <v>47.26</v>
      </c>
      <c r="BG265" s="6">
        <v>51.54</v>
      </c>
      <c r="BH265" s="6">
        <v>50</v>
      </c>
      <c r="BI265" s="6">
        <v>47.17</v>
      </c>
      <c r="BJ265" s="6">
        <v>50.14</v>
      </c>
      <c r="BK265" s="6">
        <v>49.8</v>
      </c>
      <c r="BL265" s="6">
        <v>46.02</v>
      </c>
      <c r="BM265" s="7">
        <v>46.91</v>
      </c>
      <c r="BN265" s="10"/>
    </row>
    <row r="266" spans="1:66" ht="15.75" customHeight="1" x14ac:dyDescent="0.25">
      <c r="A266" s="4">
        <v>264</v>
      </c>
      <c r="B266" s="4"/>
      <c r="C266" s="4">
        <v>21</v>
      </c>
      <c r="D266" s="6">
        <v>49.02</v>
      </c>
      <c r="E266" s="6">
        <v>50.01</v>
      </c>
      <c r="F266" s="6">
        <v>49.18</v>
      </c>
      <c r="G266" s="6">
        <v>49.36</v>
      </c>
      <c r="H266" s="6">
        <v>49.71</v>
      </c>
      <c r="I266" s="6">
        <v>50.76</v>
      </c>
      <c r="J266" s="6">
        <v>49.18</v>
      </c>
      <c r="K266" s="6">
        <v>50.13</v>
      </c>
      <c r="L266" s="6">
        <v>50.36</v>
      </c>
      <c r="M266" s="6">
        <v>49.79</v>
      </c>
      <c r="N266" s="6">
        <v>50.15</v>
      </c>
      <c r="O266" s="6">
        <v>49.35</v>
      </c>
      <c r="P266" s="6">
        <v>50.31</v>
      </c>
      <c r="Q266" s="6">
        <v>49.42</v>
      </c>
      <c r="R266" s="6">
        <v>48.9</v>
      </c>
      <c r="S266" s="6">
        <v>48.44</v>
      </c>
      <c r="T266" s="6">
        <v>48.72</v>
      </c>
      <c r="U266" s="6">
        <v>49.51</v>
      </c>
      <c r="V266" s="6">
        <v>49.61</v>
      </c>
      <c r="W266" s="6">
        <v>49.82</v>
      </c>
      <c r="X266" s="6">
        <v>49.57</v>
      </c>
      <c r="Y266" s="6">
        <v>49.79</v>
      </c>
      <c r="Z266" s="6">
        <v>50.75</v>
      </c>
      <c r="AA266" s="6">
        <v>49.72</v>
      </c>
      <c r="AB266" s="6">
        <v>50.18</v>
      </c>
      <c r="AC266" s="6">
        <v>48.68</v>
      </c>
      <c r="AD266" s="6">
        <v>48.19</v>
      </c>
      <c r="AE266" s="6">
        <v>48.69</v>
      </c>
      <c r="AF266" s="6">
        <v>50.98</v>
      </c>
      <c r="AG266" s="6">
        <v>48.86</v>
      </c>
      <c r="AH266" s="6">
        <v>49.7</v>
      </c>
      <c r="AI266" s="6">
        <v>50.2</v>
      </c>
      <c r="AJ266" s="6">
        <v>47.66</v>
      </c>
      <c r="AK266" s="6">
        <v>49.64</v>
      </c>
      <c r="AL266" s="6">
        <v>46.9</v>
      </c>
      <c r="AM266" s="6">
        <v>49.93</v>
      </c>
      <c r="AN266" s="6">
        <v>48.4</v>
      </c>
      <c r="AO266" s="6">
        <v>49.34</v>
      </c>
      <c r="AP266" s="6">
        <v>48.22</v>
      </c>
      <c r="AQ266" s="6">
        <v>50.09</v>
      </c>
      <c r="AR266" s="6">
        <v>50.04</v>
      </c>
      <c r="AS266" s="6">
        <v>49.82</v>
      </c>
      <c r="AT266" s="6">
        <v>48.41</v>
      </c>
      <c r="AU266" s="6">
        <v>48.67</v>
      </c>
      <c r="AV266" s="6"/>
      <c r="AW266" s="6"/>
      <c r="AX266" s="6">
        <v>48.12</v>
      </c>
      <c r="AY266" s="6">
        <v>48.87</v>
      </c>
      <c r="AZ266" s="6">
        <v>46.77</v>
      </c>
      <c r="BA266" s="6">
        <v>49.7</v>
      </c>
      <c r="BB266" s="6">
        <v>49.79</v>
      </c>
      <c r="BC266" s="6">
        <v>50.05</v>
      </c>
      <c r="BD266" s="6">
        <v>49</v>
      </c>
      <c r="BE266" s="6">
        <v>49.75</v>
      </c>
      <c r="BF266" s="6">
        <v>47.18</v>
      </c>
      <c r="BG266" s="6">
        <v>51.47</v>
      </c>
      <c r="BH266" s="6">
        <v>49.84</v>
      </c>
      <c r="BI266" s="6">
        <v>47.1</v>
      </c>
      <c r="BJ266" s="6">
        <v>50.08</v>
      </c>
      <c r="BK266" s="6">
        <v>49.68</v>
      </c>
      <c r="BL266" s="6">
        <v>45.9</v>
      </c>
      <c r="BM266" s="7">
        <v>46.79</v>
      </c>
      <c r="BN266" s="10"/>
    </row>
    <row r="267" spans="1:66" ht="15.75" customHeight="1" x14ac:dyDescent="0.25">
      <c r="A267" s="4">
        <v>265</v>
      </c>
      <c r="B267" s="4"/>
      <c r="C267" s="4">
        <v>22</v>
      </c>
      <c r="D267" s="6">
        <v>48.97</v>
      </c>
      <c r="E267" s="6">
        <v>50.03</v>
      </c>
      <c r="F267" s="6">
        <v>49.2</v>
      </c>
      <c r="G267" s="6">
        <v>49.36</v>
      </c>
      <c r="H267" s="6">
        <v>49.64</v>
      </c>
      <c r="I267" s="6">
        <v>50.76</v>
      </c>
      <c r="J267" s="6">
        <v>49.1</v>
      </c>
      <c r="K267" s="6">
        <v>50.05</v>
      </c>
      <c r="L267" s="6">
        <v>50.36</v>
      </c>
      <c r="M267" s="6">
        <v>49.7</v>
      </c>
      <c r="N267" s="6">
        <v>50.12</v>
      </c>
      <c r="O267" s="6">
        <v>49.35</v>
      </c>
      <c r="P267" s="6">
        <v>50.22</v>
      </c>
      <c r="Q267" s="6">
        <v>49.34</v>
      </c>
      <c r="R267" s="6">
        <v>48.83</v>
      </c>
      <c r="S267" s="6">
        <v>48.32</v>
      </c>
      <c r="T267" s="6">
        <v>48.61</v>
      </c>
      <c r="U267" s="6">
        <v>49.45</v>
      </c>
      <c r="V267" s="6">
        <v>49.64</v>
      </c>
      <c r="W267" s="6">
        <v>49.7</v>
      </c>
      <c r="X267" s="6">
        <v>49.49</v>
      </c>
      <c r="Y267" s="6">
        <v>49.73</v>
      </c>
      <c r="Z267" s="6">
        <v>50.67</v>
      </c>
      <c r="AA267" s="6">
        <v>49.74</v>
      </c>
      <c r="AB267" s="6">
        <v>50.12</v>
      </c>
      <c r="AC267" s="6">
        <v>48.65</v>
      </c>
      <c r="AD267" s="6">
        <v>48.19</v>
      </c>
      <c r="AE267" s="6">
        <v>48.54</v>
      </c>
      <c r="AF267" s="6">
        <v>50.91</v>
      </c>
      <c r="AG267" s="6">
        <v>48.75</v>
      </c>
      <c r="AH267" s="6">
        <v>49.62</v>
      </c>
      <c r="AI267" s="6">
        <v>50.2</v>
      </c>
      <c r="AJ267" s="6">
        <v>47.48</v>
      </c>
      <c r="AK267" s="6">
        <v>49.6</v>
      </c>
      <c r="AL267" s="6">
        <v>46.9</v>
      </c>
      <c r="AM267" s="6">
        <v>49.82</v>
      </c>
      <c r="AN267" s="6">
        <v>48.24</v>
      </c>
      <c r="AO267" s="6">
        <v>49.21</v>
      </c>
      <c r="AP267" s="6">
        <v>48.3</v>
      </c>
      <c r="AQ267" s="6">
        <v>50.01</v>
      </c>
      <c r="AR267" s="6">
        <v>49.92</v>
      </c>
      <c r="AS267" s="6">
        <v>49.74</v>
      </c>
      <c r="AT267" s="6">
        <v>48.23</v>
      </c>
      <c r="AU267" s="6">
        <v>48.6</v>
      </c>
      <c r="AV267" s="6"/>
      <c r="AW267" s="6"/>
      <c r="AX267" s="6">
        <v>48.04</v>
      </c>
      <c r="AY267" s="6">
        <v>48.73</v>
      </c>
      <c r="AZ267" s="6">
        <v>46.64</v>
      </c>
      <c r="BA267" s="6">
        <v>49.61</v>
      </c>
      <c r="BB267" s="6">
        <v>49.72</v>
      </c>
      <c r="BC267" s="6">
        <v>50.01</v>
      </c>
      <c r="BD267" s="6">
        <v>48.88</v>
      </c>
      <c r="BE267" s="6">
        <v>49.66</v>
      </c>
      <c r="BF267" s="6">
        <v>47.1</v>
      </c>
      <c r="BG267" s="6">
        <v>51.41</v>
      </c>
      <c r="BH267" s="6">
        <v>49.74</v>
      </c>
      <c r="BI267" s="6">
        <v>47.02</v>
      </c>
      <c r="BJ267" s="6">
        <v>50.02</v>
      </c>
      <c r="BK267" s="6">
        <v>49.56</v>
      </c>
      <c r="BL267" s="6">
        <v>45.8</v>
      </c>
      <c r="BM267" s="7">
        <v>46.6</v>
      </c>
      <c r="BN267" s="10"/>
    </row>
    <row r="268" spans="1:66" ht="15.75" customHeight="1" x14ac:dyDescent="0.25">
      <c r="A268" s="4">
        <v>266</v>
      </c>
      <c r="B268" s="4"/>
      <c r="C268" s="4">
        <v>23</v>
      </c>
      <c r="D268" s="6">
        <v>48.93</v>
      </c>
      <c r="E268" s="6">
        <v>50.08</v>
      </c>
      <c r="F268" s="6">
        <v>49.24</v>
      </c>
      <c r="G268" s="6">
        <v>49.41</v>
      </c>
      <c r="H268" s="6">
        <v>49.58</v>
      </c>
      <c r="I268" s="6">
        <v>50.71</v>
      </c>
      <c r="J268" s="6">
        <v>49.02</v>
      </c>
      <c r="K268" s="6">
        <v>49.99</v>
      </c>
      <c r="L268" s="6">
        <v>50.33</v>
      </c>
      <c r="M268" s="6">
        <v>49.64</v>
      </c>
      <c r="N268" s="6">
        <v>50.14</v>
      </c>
      <c r="O268" s="6">
        <v>49.26</v>
      </c>
      <c r="P268" s="6">
        <v>50.14</v>
      </c>
      <c r="Q268" s="6">
        <v>49.24</v>
      </c>
      <c r="R268" s="6">
        <v>48.76</v>
      </c>
      <c r="S268" s="6">
        <v>48.21</v>
      </c>
      <c r="T268" s="6">
        <v>48.5</v>
      </c>
      <c r="U268" s="6">
        <v>49.39</v>
      </c>
      <c r="V268" s="6">
        <v>49.63</v>
      </c>
      <c r="W268" s="6">
        <v>49.56</v>
      </c>
      <c r="X268" s="6">
        <v>49.41</v>
      </c>
      <c r="Y268" s="6">
        <v>49.68</v>
      </c>
      <c r="Z268" s="6">
        <v>50.59</v>
      </c>
      <c r="AA268" s="6">
        <v>49.66</v>
      </c>
      <c r="AB268" s="6">
        <v>50</v>
      </c>
      <c r="AC268" s="6">
        <v>48.64</v>
      </c>
      <c r="AD268" s="6">
        <v>48.16</v>
      </c>
      <c r="AE268" s="6">
        <v>48.45</v>
      </c>
      <c r="AF268" s="6">
        <v>50.85</v>
      </c>
      <c r="AG268" s="6">
        <v>48.68</v>
      </c>
      <c r="AH268" s="6">
        <v>49.52</v>
      </c>
      <c r="AI268" s="6">
        <v>50.1</v>
      </c>
      <c r="AJ268" s="6">
        <v>47.36</v>
      </c>
      <c r="AK268" s="6">
        <v>49.58</v>
      </c>
      <c r="AL268" s="6">
        <v>46.7</v>
      </c>
      <c r="AM268" s="6">
        <v>49.69</v>
      </c>
      <c r="AN268" s="6">
        <v>48.14</v>
      </c>
      <c r="AO268" s="6">
        <v>48.98</v>
      </c>
      <c r="AP268" s="6">
        <v>48.28</v>
      </c>
      <c r="AQ268" s="6">
        <v>49.98</v>
      </c>
      <c r="AR268" s="6">
        <v>49.79</v>
      </c>
      <c r="AS268" s="6">
        <v>49.64</v>
      </c>
      <c r="AT268" s="6">
        <v>48.21</v>
      </c>
      <c r="AU268" s="6">
        <v>48.56</v>
      </c>
      <c r="AV268" s="6"/>
      <c r="AW268" s="6"/>
      <c r="AX268" s="6">
        <v>47.98</v>
      </c>
      <c r="AY268" s="6">
        <v>48.55</v>
      </c>
      <c r="AZ268" s="6">
        <v>46.54</v>
      </c>
      <c r="BA268" s="6">
        <v>49.48</v>
      </c>
      <c r="BB268" s="6">
        <v>49.63</v>
      </c>
      <c r="BC268" s="6">
        <v>49.95</v>
      </c>
      <c r="BD268" s="6">
        <v>48.73</v>
      </c>
      <c r="BE268" s="6">
        <v>49.55</v>
      </c>
      <c r="BF268" s="6">
        <v>47.06</v>
      </c>
      <c r="BG268" s="6">
        <v>51.35</v>
      </c>
      <c r="BH268" s="6">
        <v>49.64</v>
      </c>
      <c r="BI268" s="6">
        <v>46.94</v>
      </c>
      <c r="BJ268" s="6">
        <v>49.98</v>
      </c>
      <c r="BK268" s="6">
        <v>49.46</v>
      </c>
      <c r="BL268" s="6">
        <v>45.7</v>
      </c>
      <c r="BM268" s="7">
        <v>46.42</v>
      </c>
      <c r="BN268" s="10"/>
    </row>
    <row r="269" spans="1:66" ht="15.75" customHeight="1" x14ac:dyDescent="0.25">
      <c r="A269" s="4">
        <v>267</v>
      </c>
      <c r="B269" s="4"/>
      <c r="C269" s="4">
        <v>24</v>
      </c>
      <c r="D269" s="6">
        <v>48.87</v>
      </c>
      <c r="E269" s="6">
        <v>50.09</v>
      </c>
      <c r="F269" s="6">
        <v>49.22</v>
      </c>
      <c r="G269" s="6">
        <v>49.41</v>
      </c>
      <c r="H269" s="6">
        <v>49.56</v>
      </c>
      <c r="I269" s="6">
        <v>50.71</v>
      </c>
      <c r="J269" s="6">
        <v>48.93</v>
      </c>
      <c r="K269" s="6">
        <v>49.98</v>
      </c>
      <c r="L269" s="6">
        <v>50.26</v>
      </c>
      <c r="M269" s="6">
        <v>49.53</v>
      </c>
      <c r="N269" s="6">
        <v>50.12</v>
      </c>
      <c r="O269" s="6">
        <v>49.22</v>
      </c>
      <c r="P269" s="6">
        <v>50.05</v>
      </c>
      <c r="Q269" s="6">
        <v>49.16</v>
      </c>
      <c r="R269" s="6">
        <v>48.71</v>
      </c>
      <c r="S269" s="6">
        <v>48.13</v>
      </c>
      <c r="T269" s="6">
        <v>48.38</v>
      </c>
      <c r="U269" s="6">
        <v>49.33</v>
      </c>
      <c r="V269" s="6">
        <v>49.61</v>
      </c>
      <c r="W269" s="6">
        <v>49.45</v>
      </c>
      <c r="X269" s="6">
        <v>49.34</v>
      </c>
      <c r="Y269" s="6">
        <v>49.68</v>
      </c>
      <c r="Z269" s="6">
        <v>50.47</v>
      </c>
      <c r="AA269" s="6">
        <v>49.55</v>
      </c>
      <c r="AB269" s="6">
        <v>49.97</v>
      </c>
      <c r="AC269" s="6">
        <v>48.66</v>
      </c>
      <c r="AD269" s="6">
        <v>48.04</v>
      </c>
      <c r="AE269" s="6">
        <v>48.25</v>
      </c>
      <c r="AF269" s="6">
        <v>50.85</v>
      </c>
      <c r="AG269" s="6">
        <v>48.51</v>
      </c>
      <c r="AH269" s="6">
        <v>49.42</v>
      </c>
      <c r="AI269" s="6">
        <v>50</v>
      </c>
      <c r="AJ269" s="6">
        <v>47.26</v>
      </c>
      <c r="AK269" s="6">
        <v>49.52</v>
      </c>
      <c r="AL269" s="6">
        <v>46.6</v>
      </c>
      <c r="AM269" s="6">
        <v>49.56</v>
      </c>
      <c r="AN269" s="6">
        <v>48.09</v>
      </c>
      <c r="AO269" s="6">
        <v>48.9</v>
      </c>
      <c r="AP269" s="6">
        <v>48.26</v>
      </c>
      <c r="AQ269" s="6">
        <v>49.9</v>
      </c>
      <c r="AR269" s="6">
        <v>49.71</v>
      </c>
      <c r="AS269" s="6">
        <v>49.55</v>
      </c>
      <c r="AT269" s="6">
        <v>48.08</v>
      </c>
      <c r="AU269" s="6">
        <v>48.97</v>
      </c>
      <c r="AV269" s="6"/>
      <c r="AW269" s="6"/>
      <c r="AX269" s="6">
        <v>47.89</v>
      </c>
      <c r="AY269" s="6">
        <v>48.39</v>
      </c>
      <c r="AZ269" s="6">
        <v>46.43</v>
      </c>
      <c r="BA269" s="6">
        <v>49.37</v>
      </c>
      <c r="BB269" s="6">
        <v>49.53</v>
      </c>
      <c r="BC269" s="6">
        <v>49.87</v>
      </c>
      <c r="BD269" s="6">
        <v>48.58</v>
      </c>
      <c r="BE269" s="6">
        <v>49.42</v>
      </c>
      <c r="BF269" s="6">
        <v>47.01</v>
      </c>
      <c r="BG269" s="6">
        <v>51.28</v>
      </c>
      <c r="BH269" s="6">
        <v>49.5</v>
      </c>
      <c r="BI269" s="6">
        <v>46.86</v>
      </c>
      <c r="BJ269" s="6">
        <v>49.98</v>
      </c>
      <c r="BK269" s="6">
        <v>49.36</v>
      </c>
      <c r="BL269" s="6">
        <v>45.6</v>
      </c>
      <c r="BM269" s="7">
        <v>46.29</v>
      </c>
      <c r="BN269" s="10"/>
    </row>
    <row r="270" spans="1:66" ht="15.75" customHeight="1" x14ac:dyDescent="0.25">
      <c r="A270" s="4">
        <v>268</v>
      </c>
      <c r="B270" s="4"/>
      <c r="C270" s="4">
        <v>25</v>
      </c>
      <c r="D270" s="6">
        <v>48.8</v>
      </c>
      <c r="E270" s="6">
        <v>50.06</v>
      </c>
      <c r="F270" s="6">
        <v>49.22</v>
      </c>
      <c r="G270" s="6">
        <v>49.36</v>
      </c>
      <c r="H270" s="6">
        <v>49.46</v>
      </c>
      <c r="I270" s="6">
        <v>50.71</v>
      </c>
      <c r="J270" s="6">
        <v>48.81</v>
      </c>
      <c r="K270" s="6">
        <v>49.96</v>
      </c>
      <c r="L270" s="6">
        <v>50.2</v>
      </c>
      <c r="M270" s="6">
        <v>49.48</v>
      </c>
      <c r="N270" s="6">
        <v>50.12</v>
      </c>
      <c r="O270" s="6">
        <v>49.22</v>
      </c>
      <c r="P270" s="6">
        <v>49.98</v>
      </c>
      <c r="Q270" s="6">
        <v>49.08</v>
      </c>
      <c r="R270" s="6">
        <v>48.57</v>
      </c>
      <c r="S270" s="6">
        <v>48.03</v>
      </c>
      <c r="T270" s="6">
        <v>48.25</v>
      </c>
      <c r="U270" s="6">
        <v>49.25</v>
      </c>
      <c r="V270" s="6">
        <v>49.56</v>
      </c>
      <c r="W270" s="6">
        <v>49.26</v>
      </c>
      <c r="X270" s="6">
        <v>49.28</v>
      </c>
      <c r="Y270" s="6">
        <v>49.63</v>
      </c>
      <c r="Z270" s="6">
        <v>50.38</v>
      </c>
      <c r="AA270" s="6">
        <v>49.34</v>
      </c>
      <c r="AB270" s="6">
        <v>49.89</v>
      </c>
      <c r="AC270" s="6">
        <v>48.61</v>
      </c>
      <c r="AD270" s="6">
        <v>47.95</v>
      </c>
      <c r="AE270" s="6">
        <v>48.1</v>
      </c>
      <c r="AF270" s="6">
        <v>50.67</v>
      </c>
      <c r="AG270" s="6">
        <v>48.36</v>
      </c>
      <c r="AH270" s="6">
        <v>49.3</v>
      </c>
      <c r="AI270" s="6">
        <v>50</v>
      </c>
      <c r="AJ270" s="6">
        <v>47.15</v>
      </c>
      <c r="AK270" s="6">
        <v>49.42</v>
      </c>
      <c r="AL270" s="6">
        <v>46.5</v>
      </c>
      <c r="AM270" s="6">
        <v>49.46</v>
      </c>
      <c r="AN270" s="6">
        <v>48.03</v>
      </c>
      <c r="AO270" s="6">
        <v>48.89</v>
      </c>
      <c r="AP270" s="6">
        <v>48.23</v>
      </c>
      <c r="AQ270" s="6">
        <v>49.81</v>
      </c>
      <c r="AR270" s="6">
        <v>49.66</v>
      </c>
      <c r="AS270" s="6">
        <v>49.51</v>
      </c>
      <c r="AT270" s="6">
        <v>47.94</v>
      </c>
      <c r="AU270" s="6">
        <v>48.39</v>
      </c>
      <c r="AV270" s="6"/>
      <c r="AW270" s="6"/>
      <c r="AX270" s="6">
        <v>47.8</v>
      </c>
      <c r="AY270" s="6">
        <v>48.23</v>
      </c>
      <c r="AZ270" s="6">
        <v>46.42</v>
      </c>
      <c r="BA270" s="6">
        <v>49.25</v>
      </c>
      <c r="BB270" s="6">
        <v>49.42</v>
      </c>
      <c r="BC270" s="6">
        <v>49.78</v>
      </c>
      <c r="BD270" s="6">
        <v>48.46</v>
      </c>
      <c r="BE270" s="6">
        <v>49.32</v>
      </c>
      <c r="BF270" s="6">
        <v>46.96</v>
      </c>
      <c r="BG270" s="6">
        <v>51.21</v>
      </c>
      <c r="BH270" s="6">
        <v>49.34</v>
      </c>
      <c r="BI270" s="6">
        <v>46.8</v>
      </c>
      <c r="BJ270" s="6">
        <v>49.9</v>
      </c>
      <c r="BK270" s="6">
        <v>49.2</v>
      </c>
      <c r="BL270" s="6">
        <v>45.5</v>
      </c>
      <c r="BM270" s="7">
        <v>46.12</v>
      </c>
      <c r="BN270" s="10"/>
    </row>
    <row r="271" spans="1:66" ht="15.75" customHeight="1" x14ac:dyDescent="0.25">
      <c r="A271" s="4">
        <v>269</v>
      </c>
      <c r="B271" s="4"/>
      <c r="C271" s="4">
        <v>26</v>
      </c>
      <c r="D271" s="6">
        <v>48.76</v>
      </c>
      <c r="E271" s="6">
        <v>50.04</v>
      </c>
      <c r="F271" s="6">
        <v>49.19</v>
      </c>
      <c r="G271" s="6">
        <v>49.36</v>
      </c>
      <c r="H271" s="6">
        <v>49.34</v>
      </c>
      <c r="I271" s="6">
        <v>50.59</v>
      </c>
      <c r="J271" s="6">
        <v>48.72</v>
      </c>
      <c r="K271" s="6">
        <v>49.93</v>
      </c>
      <c r="L271" s="6">
        <v>50.12</v>
      </c>
      <c r="M271" s="6">
        <v>49.46</v>
      </c>
      <c r="N271" s="6">
        <v>50.15</v>
      </c>
      <c r="O271" s="6">
        <v>49.19</v>
      </c>
      <c r="P271" s="6">
        <v>49.94</v>
      </c>
      <c r="Q271" s="6">
        <v>49.01</v>
      </c>
      <c r="R271" s="6">
        <v>48.46</v>
      </c>
      <c r="S271" s="6">
        <v>47.96</v>
      </c>
      <c r="T271" s="6">
        <v>48.12</v>
      </c>
      <c r="U271" s="6">
        <v>49.17</v>
      </c>
      <c r="V271" s="6">
        <v>49.58</v>
      </c>
      <c r="W271" s="6">
        <v>49.1</v>
      </c>
      <c r="X271" s="6">
        <v>49.1</v>
      </c>
      <c r="Y271" s="6">
        <v>49.58</v>
      </c>
      <c r="Z271" s="6">
        <v>50.28</v>
      </c>
      <c r="AA271" s="6">
        <v>49.24</v>
      </c>
      <c r="AB271" s="6">
        <v>49.82</v>
      </c>
      <c r="AC271" s="6">
        <v>48.55</v>
      </c>
      <c r="AD271" s="6">
        <v>47.91</v>
      </c>
      <c r="AE271" s="6">
        <v>47.93</v>
      </c>
      <c r="AF271" s="6">
        <v>50.64</v>
      </c>
      <c r="AG271" s="6">
        <v>48.16</v>
      </c>
      <c r="AH271" s="6">
        <v>49.21</v>
      </c>
      <c r="AI271" s="6">
        <v>49.9</v>
      </c>
      <c r="AJ271" s="6">
        <v>47.08</v>
      </c>
      <c r="AK271" s="6">
        <v>49.32</v>
      </c>
      <c r="AL271" s="6">
        <v>46.4</v>
      </c>
      <c r="AM271" s="6">
        <v>49.38</v>
      </c>
      <c r="AN271" s="6">
        <v>47.92</v>
      </c>
      <c r="AO271" s="6">
        <v>48.82</v>
      </c>
      <c r="AP271" s="6">
        <v>48.2</v>
      </c>
      <c r="AQ271" s="6">
        <v>49.77</v>
      </c>
      <c r="AR271" s="6">
        <v>49.57</v>
      </c>
      <c r="AS271" s="6">
        <v>49.47</v>
      </c>
      <c r="AT271" s="6">
        <v>47.75</v>
      </c>
      <c r="AU271" s="6">
        <v>48.3</v>
      </c>
      <c r="AV271" s="6"/>
      <c r="AW271" s="6"/>
      <c r="AX271" s="6">
        <v>47.67</v>
      </c>
      <c r="AY271" s="6">
        <v>48.09</v>
      </c>
      <c r="AZ271" s="6">
        <v>46.44</v>
      </c>
      <c r="BA271" s="6">
        <v>49.17</v>
      </c>
      <c r="BB271" s="6">
        <v>49.38</v>
      </c>
      <c r="BC271" s="6">
        <v>49.66</v>
      </c>
      <c r="BD271" s="6">
        <v>48.43</v>
      </c>
      <c r="BE271" s="6">
        <v>49.27</v>
      </c>
      <c r="BF271" s="6">
        <v>47</v>
      </c>
      <c r="BG271" s="6">
        <v>51.1</v>
      </c>
      <c r="BH271" s="6">
        <v>49.17</v>
      </c>
      <c r="BI271" s="6">
        <v>46.74</v>
      </c>
      <c r="BJ271" s="6">
        <v>49.86</v>
      </c>
      <c r="BK271" s="6">
        <v>49.05</v>
      </c>
      <c r="BL271" s="6">
        <v>45.48</v>
      </c>
      <c r="BM271" s="7">
        <v>46.04</v>
      </c>
      <c r="BN271" s="10"/>
    </row>
    <row r="272" spans="1:66" ht="15.75" customHeight="1" x14ac:dyDescent="0.25">
      <c r="A272" s="4">
        <v>270</v>
      </c>
      <c r="B272" s="4"/>
      <c r="C272" s="4">
        <v>27</v>
      </c>
      <c r="D272" s="6">
        <v>48.72</v>
      </c>
      <c r="E272" s="6">
        <v>50</v>
      </c>
      <c r="F272" s="6">
        <v>49.18</v>
      </c>
      <c r="G272" s="6">
        <v>49.34</v>
      </c>
      <c r="H272" s="6">
        <v>49.26</v>
      </c>
      <c r="I272" s="6">
        <v>50.54</v>
      </c>
      <c r="J272" s="6">
        <v>48.67</v>
      </c>
      <c r="K272" s="6">
        <v>49.85</v>
      </c>
      <c r="L272" s="6">
        <v>50.02</v>
      </c>
      <c r="M272" s="6">
        <v>49.38</v>
      </c>
      <c r="N272" s="6">
        <v>50.16</v>
      </c>
      <c r="O272" s="6">
        <v>49.18</v>
      </c>
      <c r="P272" s="6">
        <v>49.88</v>
      </c>
      <c r="Q272" s="6">
        <v>48.93</v>
      </c>
      <c r="R272" s="6">
        <v>48.4</v>
      </c>
      <c r="S272" s="6">
        <v>47.83</v>
      </c>
      <c r="T272" s="6">
        <v>47.99</v>
      </c>
      <c r="U272" s="6">
        <v>49.11</v>
      </c>
      <c r="V272" s="6">
        <v>49.53</v>
      </c>
      <c r="W272" s="6">
        <v>49</v>
      </c>
      <c r="X272" s="6">
        <v>49.04</v>
      </c>
      <c r="Y272" s="6">
        <v>49.51</v>
      </c>
      <c r="Z272" s="6">
        <v>50.14</v>
      </c>
      <c r="AA272" s="6">
        <v>49.13</v>
      </c>
      <c r="AB272" s="6">
        <v>49.76</v>
      </c>
      <c r="AC272" s="6">
        <v>48.52</v>
      </c>
      <c r="AD272" s="6">
        <v>47.77</v>
      </c>
      <c r="AE272" s="6">
        <v>47.84</v>
      </c>
      <c r="AF272" s="6">
        <v>50.54</v>
      </c>
      <c r="AG272" s="6">
        <v>48.01</v>
      </c>
      <c r="AH272" s="6">
        <v>49.1</v>
      </c>
      <c r="AI272" s="6">
        <v>49.9</v>
      </c>
      <c r="AJ272" s="6">
        <v>47.01</v>
      </c>
      <c r="AK272" s="6">
        <v>49.25</v>
      </c>
      <c r="AL272" s="6">
        <v>46.3</v>
      </c>
      <c r="AM272" s="6">
        <v>49.12</v>
      </c>
      <c r="AN272" s="6">
        <v>47.86</v>
      </c>
      <c r="AO272" s="6">
        <v>48.74</v>
      </c>
      <c r="AP272" s="6">
        <v>48.15</v>
      </c>
      <c r="AQ272" s="6">
        <v>49.69</v>
      </c>
      <c r="AR272" s="6">
        <v>49.51</v>
      </c>
      <c r="AS272" s="6">
        <v>49.39</v>
      </c>
      <c r="AT272" s="6">
        <v>47.55</v>
      </c>
      <c r="AU272" s="6">
        <v>48.2</v>
      </c>
      <c r="AV272" s="6"/>
      <c r="AW272" s="6"/>
      <c r="AX272" s="6">
        <v>47.56</v>
      </c>
      <c r="AY272" s="6">
        <v>47.95</v>
      </c>
      <c r="AZ272" s="6">
        <v>46.48</v>
      </c>
      <c r="BA272" s="6">
        <v>49.08</v>
      </c>
      <c r="BB272" s="6">
        <v>49.34</v>
      </c>
      <c r="BC272" s="6">
        <v>49.56</v>
      </c>
      <c r="BD272" s="6">
        <v>48.17</v>
      </c>
      <c r="BE272" s="6">
        <v>49.19</v>
      </c>
      <c r="BF272" s="6">
        <v>47.01</v>
      </c>
      <c r="BG272" s="6">
        <v>51.04</v>
      </c>
      <c r="BH272" s="6">
        <v>49.07</v>
      </c>
      <c r="BI272" s="6">
        <v>46.58</v>
      </c>
      <c r="BJ272" s="6">
        <v>49.86</v>
      </c>
      <c r="BK272" s="6">
        <v>48.9</v>
      </c>
      <c r="BL272" s="6">
        <v>45.4</v>
      </c>
      <c r="BM272" s="7">
        <v>45.84</v>
      </c>
      <c r="BN272" s="10"/>
    </row>
    <row r="273" spans="1:66" ht="15.75" customHeight="1" x14ac:dyDescent="0.25">
      <c r="A273" s="4">
        <v>271</v>
      </c>
      <c r="B273" s="4"/>
      <c r="C273" s="4">
        <v>28</v>
      </c>
      <c r="D273" s="6">
        <v>48.68</v>
      </c>
      <c r="E273" s="6">
        <v>49.96</v>
      </c>
      <c r="F273" s="6">
        <v>49.16</v>
      </c>
      <c r="G273" s="6">
        <v>49.31</v>
      </c>
      <c r="H273" s="6">
        <v>49.24</v>
      </c>
      <c r="I273" s="6">
        <v>50.47</v>
      </c>
      <c r="J273" s="6">
        <v>48.58</v>
      </c>
      <c r="K273" s="6">
        <v>49.79</v>
      </c>
      <c r="L273" s="6">
        <v>49.95</v>
      </c>
      <c r="M273" s="6">
        <v>49.3</v>
      </c>
      <c r="N273" s="6">
        <v>50.16</v>
      </c>
      <c r="O273" s="6">
        <v>49.16</v>
      </c>
      <c r="P273" s="6">
        <v>49.86</v>
      </c>
      <c r="Q273" s="6">
        <v>48.86</v>
      </c>
      <c r="R273" s="6">
        <v>48.31</v>
      </c>
      <c r="S273" s="6">
        <v>47.7</v>
      </c>
      <c r="T273" s="6">
        <v>47.85</v>
      </c>
      <c r="U273" s="6">
        <v>49.01</v>
      </c>
      <c r="V273" s="6">
        <v>49.44</v>
      </c>
      <c r="W273" s="6">
        <v>48.84</v>
      </c>
      <c r="X273" s="6">
        <v>49.04</v>
      </c>
      <c r="Y273" s="6">
        <v>49.46</v>
      </c>
      <c r="Z273" s="6">
        <v>50.02</v>
      </c>
      <c r="AA273" s="6">
        <v>49.06</v>
      </c>
      <c r="AB273" s="6">
        <v>49.66</v>
      </c>
      <c r="AC273" s="6">
        <v>48.44</v>
      </c>
      <c r="AD273" s="6">
        <v>47.68</v>
      </c>
      <c r="AE273" s="6">
        <v>47.75</v>
      </c>
      <c r="AF273" s="6">
        <v>50.45</v>
      </c>
      <c r="AG273" s="6">
        <v>47.92</v>
      </c>
      <c r="AH273" s="6">
        <v>48.94</v>
      </c>
      <c r="AI273" s="6">
        <v>49.7</v>
      </c>
      <c r="AJ273" s="6">
        <v>46.98</v>
      </c>
      <c r="AK273" s="6">
        <v>49.2</v>
      </c>
      <c r="AL273" s="6">
        <v>46.2</v>
      </c>
      <c r="AM273" s="6">
        <v>49</v>
      </c>
      <c r="AN273" s="6">
        <v>47.78</v>
      </c>
      <c r="AO273" s="6">
        <v>48.74</v>
      </c>
      <c r="AP273" s="6">
        <v>48.11</v>
      </c>
      <c r="AQ273" s="6">
        <v>49.58</v>
      </c>
      <c r="AR273" s="6">
        <v>49.46</v>
      </c>
      <c r="AS273" s="6">
        <v>49.36</v>
      </c>
      <c r="AT273" s="6">
        <v>47.44</v>
      </c>
      <c r="AU273" s="6">
        <v>48.01</v>
      </c>
      <c r="AV273" s="6"/>
      <c r="AW273" s="6"/>
      <c r="AX273" s="6">
        <v>47.42</v>
      </c>
      <c r="AY273" s="6">
        <v>47.83</v>
      </c>
      <c r="AZ273" s="6">
        <v>46.51</v>
      </c>
      <c r="BA273" s="6">
        <v>48.94</v>
      </c>
      <c r="BB273" s="6">
        <v>49.3</v>
      </c>
      <c r="BC273" s="6">
        <v>49.45</v>
      </c>
      <c r="BD273" s="6">
        <v>47.99</v>
      </c>
      <c r="BE273" s="6">
        <v>49.08</v>
      </c>
      <c r="BF273" s="6">
        <v>47.04</v>
      </c>
      <c r="BG273" s="6">
        <v>50.94</v>
      </c>
      <c r="BH273" s="6">
        <v>48.84</v>
      </c>
      <c r="BI273" s="6">
        <v>46.5</v>
      </c>
      <c r="BJ273" s="6">
        <v>49.74</v>
      </c>
      <c r="BK273" s="6">
        <v>48.72</v>
      </c>
      <c r="BL273" s="6">
        <v>45.35</v>
      </c>
      <c r="BM273" s="7">
        <v>45.73</v>
      </c>
      <c r="BN273" s="10"/>
    </row>
    <row r="274" spans="1:66" ht="15.75" customHeight="1" x14ac:dyDescent="0.25">
      <c r="A274" s="4">
        <v>272</v>
      </c>
      <c r="B274" s="4"/>
      <c r="C274" s="4">
        <v>29</v>
      </c>
      <c r="D274" s="6">
        <v>48.61</v>
      </c>
      <c r="E274" s="6">
        <v>49.91</v>
      </c>
      <c r="F274" s="6">
        <v>49.11</v>
      </c>
      <c r="G274" s="6">
        <v>49.26</v>
      </c>
      <c r="H274" s="6">
        <v>49.16</v>
      </c>
      <c r="I274" s="6">
        <v>50.43</v>
      </c>
      <c r="J274" s="6">
        <v>48.44</v>
      </c>
      <c r="K274" s="6">
        <v>49.75</v>
      </c>
      <c r="L274" s="6">
        <v>49.91</v>
      </c>
      <c r="M274" s="6">
        <v>49.23</v>
      </c>
      <c r="N274" s="6">
        <v>50.16</v>
      </c>
      <c r="O274" s="6">
        <v>49.16</v>
      </c>
      <c r="P274" s="6">
        <v>49.84</v>
      </c>
      <c r="Q274" s="6">
        <v>48.76</v>
      </c>
      <c r="R274" s="6">
        <v>48.25</v>
      </c>
      <c r="S274" s="6">
        <v>47.6</v>
      </c>
      <c r="T274" s="6">
        <v>47.69</v>
      </c>
      <c r="U274" s="6">
        <v>48.91</v>
      </c>
      <c r="V274" s="6">
        <v>49.4</v>
      </c>
      <c r="W274" s="6">
        <v>48.68</v>
      </c>
      <c r="X274" s="6">
        <v>49.01</v>
      </c>
      <c r="Y274" s="6">
        <v>49.38</v>
      </c>
      <c r="Z274" s="6">
        <v>49.92</v>
      </c>
      <c r="AA274" s="6">
        <v>49.48</v>
      </c>
      <c r="AB274" s="6">
        <v>49.64</v>
      </c>
      <c r="AC274" s="6">
        <v>48.42</v>
      </c>
      <c r="AD274" s="6">
        <v>47.61</v>
      </c>
      <c r="AE274" s="6">
        <v>47.68</v>
      </c>
      <c r="AF274" s="6">
        <v>50.26</v>
      </c>
      <c r="AG274" s="6">
        <v>47.88</v>
      </c>
      <c r="AH274" s="6">
        <v>48.68</v>
      </c>
      <c r="AI274" s="6">
        <v>49.6</v>
      </c>
      <c r="AJ274" s="6">
        <v>46.92</v>
      </c>
      <c r="AK274" s="6">
        <v>49.1</v>
      </c>
      <c r="AL274" s="6">
        <v>46.2</v>
      </c>
      <c r="AM274" s="6">
        <v>49</v>
      </c>
      <c r="AN274" s="6">
        <v>47.87</v>
      </c>
      <c r="AO274" s="6">
        <v>48.73</v>
      </c>
      <c r="AP274" s="6">
        <v>48.06</v>
      </c>
      <c r="AQ274" s="6">
        <v>49.44</v>
      </c>
      <c r="AR274" s="6">
        <v>49.38</v>
      </c>
      <c r="AS274" s="6">
        <v>49.25</v>
      </c>
      <c r="AT274" s="6">
        <v>47.37</v>
      </c>
      <c r="AU274" s="6">
        <v>48.02</v>
      </c>
      <c r="AV274" s="6"/>
      <c r="AW274" s="6"/>
      <c r="AX274" s="6">
        <v>47.3</v>
      </c>
      <c r="AY274" s="6">
        <v>47.73</v>
      </c>
      <c r="AZ274" s="6">
        <v>46.52</v>
      </c>
      <c r="BA274" s="6">
        <v>48.86</v>
      </c>
      <c r="BB274" s="6">
        <v>49.24</v>
      </c>
      <c r="BC274" s="6">
        <v>49.35</v>
      </c>
      <c r="BD274" s="6">
        <v>47.77</v>
      </c>
      <c r="BE274" s="6">
        <v>49</v>
      </c>
      <c r="BF274" s="6">
        <v>47.04</v>
      </c>
      <c r="BG274" s="6">
        <v>50.86</v>
      </c>
      <c r="BH274" s="6">
        <v>48.68</v>
      </c>
      <c r="BI274" s="6">
        <v>46.47</v>
      </c>
      <c r="BJ274" s="6">
        <v>49.7</v>
      </c>
      <c r="BK274" s="6">
        <v>48.5</v>
      </c>
      <c r="BL274" s="6">
        <v>45.28</v>
      </c>
      <c r="BM274" s="7">
        <v>45.6</v>
      </c>
      <c r="BN274" s="10"/>
    </row>
    <row r="275" spans="1:66" ht="15.75" customHeight="1" x14ac:dyDescent="0.25">
      <c r="A275" s="4">
        <v>273</v>
      </c>
      <c r="B275" s="4"/>
      <c r="C275" s="4">
        <v>30</v>
      </c>
      <c r="D275" s="6">
        <v>48.57</v>
      </c>
      <c r="E275" s="6">
        <v>49.84</v>
      </c>
      <c r="F275" s="6">
        <v>49.11</v>
      </c>
      <c r="G275" s="6">
        <v>49.21</v>
      </c>
      <c r="H275" s="6">
        <v>49.01</v>
      </c>
      <c r="I275" s="6">
        <v>50.33</v>
      </c>
      <c r="J275" s="6">
        <v>48.31</v>
      </c>
      <c r="K275" s="6">
        <v>49.69</v>
      </c>
      <c r="L275" s="6">
        <v>49.78</v>
      </c>
      <c r="M275" s="6">
        <v>49.14</v>
      </c>
      <c r="N275" s="6">
        <v>50.12</v>
      </c>
      <c r="O275" s="6">
        <v>49.16</v>
      </c>
      <c r="P275" s="6">
        <v>49.76</v>
      </c>
      <c r="Q275" s="6">
        <v>48.66</v>
      </c>
      <c r="R275" s="6">
        <v>48.17</v>
      </c>
      <c r="S275" s="6">
        <v>47.55</v>
      </c>
      <c r="T275" s="6">
        <v>47.56</v>
      </c>
      <c r="U275" s="6">
        <v>48.8</v>
      </c>
      <c r="V275" s="6">
        <v>49.34</v>
      </c>
      <c r="W275" s="6">
        <v>48.58</v>
      </c>
      <c r="X275" s="6">
        <v>48.97</v>
      </c>
      <c r="Y275" s="6">
        <v>49.38</v>
      </c>
      <c r="Z275" s="6">
        <v>49.78</v>
      </c>
      <c r="AA275" s="6">
        <v>49.98</v>
      </c>
      <c r="AB275" s="6">
        <v>49.56</v>
      </c>
      <c r="AC275" s="6">
        <v>48.37</v>
      </c>
      <c r="AD275" s="6">
        <v>47.52</v>
      </c>
      <c r="AE275" s="6">
        <v>47.57</v>
      </c>
      <c r="AF275" s="6">
        <v>50.24</v>
      </c>
      <c r="AG275" s="6">
        <v>47.8</v>
      </c>
      <c r="AH275" s="6">
        <v>48.65</v>
      </c>
      <c r="AI275" s="6">
        <v>49.5</v>
      </c>
      <c r="AJ275" s="6">
        <v>46.88</v>
      </c>
      <c r="AK275" s="6">
        <v>49.02</v>
      </c>
      <c r="AL275" s="6">
        <v>46.1</v>
      </c>
      <c r="AM275" s="6">
        <v>48.88</v>
      </c>
      <c r="AN275" s="6">
        <v>48.15</v>
      </c>
      <c r="AO275" s="6">
        <v>48.74</v>
      </c>
      <c r="AP275" s="6">
        <v>47.99</v>
      </c>
      <c r="AQ275" s="6">
        <v>49.3</v>
      </c>
      <c r="AR275" s="6">
        <v>49.34</v>
      </c>
      <c r="AS275" s="6">
        <v>49.14</v>
      </c>
      <c r="AT275" s="6">
        <v>47.31</v>
      </c>
      <c r="AU275" s="6">
        <v>47.91</v>
      </c>
      <c r="AV275" s="6"/>
      <c r="AW275" s="6"/>
      <c r="AX275" s="6">
        <v>47.18</v>
      </c>
      <c r="AY275" s="6">
        <v>47.63</v>
      </c>
      <c r="AZ275" s="6">
        <v>46.54</v>
      </c>
      <c r="BA275" s="6">
        <v>48.79</v>
      </c>
      <c r="BB275" s="6">
        <v>49.16</v>
      </c>
      <c r="BC275" s="6">
        <v>49.18</v>
      </c>
      <c r="BD275" s="6">
        <v>47.54</v>
      </c>
      <c r="BE275" s="6">
        <v>48.86</v>
      </c>
      <c r="BF275" s="6">
        <v>47.13</v>
      </c>
      <c r="BG275" s="6">
        <v>50.73</v>
      </c>
      <c r="BH275" s="6">
        <v>48.5</v>
      </c>
      <c r="BI275" s="6">
        <v>46.42</v>
      </c>
      <c r="BJ275" s="6">
        <v>49.7</v>
      </c>
      <c r="BK275" s="6">
        <v>48.29</v>
      </c>
      <c r="BL275" s="6">
        <v>45.26</v>
      </c>
      <c r="BM275" s="7">
        <v>45.5</v>
      </c>
      <c r="BN275" s="10"/>
    </row>
    <row r="276" spans="1:66" ht="15.75" customHeight="1" x14ac:dyDescent="0.25">
      <c r="A276" s="4">
        <v>274</v>
      </c>
      <c r="B276" s="5" t="s">
        <v>13</v>
      </c>
      <c r="C276" s="4">
        <v>1</v>
      </c>
      <c r="D276" s="6">
        <v>48.47</v>
      </c>
      <c r="E276" s="6">
        <v>49.76</v>
      </c>
      <c r="F276" s="6">
        <v>48.96</v>
      </c>
      <c r="G276" s="6">
        <v>49.11</v>
      </c>
      <c r="H276" s="6">
        <v>48.86</v>
      </c>
      <c r="I276" s="6">
        <v>50.24</v>
      </c>
      <c r="J276" s="6">
        <v>48.19</v>
      </c>
      <c r="K276" s="6">
        <v>49.66</v>
      </c>
      <c r="L276" s="6">
        <v>49.68</v>
      </c>
      <c r="M276" s="6">
        <v>49.04</v>
      </c>
      <c r="N276" s="6">
        <v>50.08</v>
      </c>
      <c r="O276" s="6">
        <v>49.16</v>
      </c>
      <c r="P276" s="6">
        <v>49.67</v>
      </c>
      <c r="Q276" s="6">
        <v>48.56</v>
      </c>
      <c r="R276" s="6">
        <v>48.08</v>
      </c>
      <c r="S276" s="6">
        <v>47.49</v>
      </c>
      <c r="T276" s="6">
        <v>47.44</v>
      </c>
      <c r="U276" s="6">
        <v>48.67</v>
      </c>
      <c r="V276" s="6">
        <v>49.26</v>
      </c>
      <c r="W276" s="6">
        <v>48.48</v>
      </c>
      <c r="X276" s="6">
        <v>48.9</v>
      </c>
      <c r="Y276" s="6">
        <v>49.34</v>
      </c>
      <c r="Z276" s="6">
        <v>49.68</v>
      </c>
      <c r="AA276" s="6">
        <v>48.88</v>
      </c>
      <c r="AB276" s="6">
        <v>49.49</v>
      </c>
      <c r="AC276" s="6">
        <v>48.28</v>
      </c>
      <c r="AD276" s="6">
        <v>47.49</v>
      </c>
      <c r="AE276" s="6">
        <v>47.46</v>
      </c>
      <c r="AF276" s="6">
        <v>50.11</v>
      </c>
      <c r="AG276" s="6">
        <v>47.68</v>
      </c>
      <c r="AH276" s="6">
        <v>48.51</v>
      </c>
      <c r="AI276" s="6">
        <v>49.48</v>
      </c>
      <c r="AJ276" s="6">
        <v>46.86</v>
      </c>
      <c r="AK276" s="6">
        <v>48.94</v>
      </c>
      <c r="AL276" s="6">
        <v>46.1</v>
      </c>
      <c r="AM276" s="6">
        <v>48.75</v>
      </c>
      <c r="AN276" s="6">
        <v>48.1</v>
      </c>
      <c r="AO276" s="6">
        <v>48.77</v>
      </c>
      <c r="AP276" s="6">
        <v>47.96</v>
      </c>
      <c r="AQ276" s="6">
        <v>49.14</v>
      </c>
      <c r="AR276" s="6">
        <v>49.28</v>
      </c>
      <c r="AS276" s="6">
        <v>49.02</v>
      </c>
      <c r="AT276" s="6">
        <v>47.18</v>
      </c>
      <c r="AU276" s="6">
        <v>47.83</v>
      </c>
      <c r="AV276" s="6"/>
      <c r="AW276" s="6"/>
      <c r="AX276" s="6">
        <v>47.01</v>
      </c>
      <c r="AY276" s="6">
        <v>47.5</v>
      </c>
      <c r="AZ276" s="6">
        <v>46.65</v>
      </c>
      <c r="BA276" s="6">
        <v>48.68</v>
      </c>
      <c r="BB276" s="6">
        <v>49.24</v>
      </c>
      <c r="BC276" s="6">
        <v>49.01</v>
      </c>
      <c r="BD276" s="6">
        <v>47.29</v>
      </c>
      <c r="BE276" s="6">
        <v>48.71</v>
      </c>
      <c r="BF276" s="6">
        <v>47.16</v>
      </c>
      <c r="BG276" s="6">
        <v>50.61</v>
      </c>
      <c r="BH276" s="6">
        <v>48.34</v>
      </c>
      <c r="BI276" s="6">
        <v>46.38</v>
      </c>
      <c r="BJ276" s="6">
        <v>49.64</v>
      </c>
      <c r="BK276" s="6">
        <v>48.1</v>
      </c>
      <c r="BL276" s="6">
        <v>45.27</v>
      </c>
      <c r="BM276" s="7">
        <v>45.44</v>
      </c>
      <c r="BN276" s="10"/>
    </row>
    <row r="277" spans="1:66" ht="15.75" customHeight="1" x14ac:dyDescent="0.25">
      <c r="A277" s="4">
        <v>275</v>
      </c>
      <c r="B277" s="4"/>
      <c r="C277" s="4">
        <v>2</v>
      </c>
      <c r="D277" s="6">
        <v>48.38</v>
      </c>
      <c r="E277" s="6">
        <v>49.62</v>
      </c>
      <c r="F277" s="6">
        <v>48.84</v>
      </c>
      <c r="G277" s="6">
        <v>49.01</v>
      </c>
      <c r="H277" s="6">
        <v>48.71</v>
      </c>
      <c r="I277" s="6">
        <v>50.24</v>
      </c>
      <c r="J277" s="6">
        <v>48.07</v>
      </c>
      <c r="K277" s="6">
        <v>49.63</v>
      </c>
      <c r="L277" s="6">
        <v>49.49</v>
      </c>
      <c r="M277" s="6">
        <v>48.97</v>
      </c>
      <c r="N277" s="6">
        <v>50.07</v>
      </c>
      <c r="O277" s="6">
        <v>49.16</v>
      </c>
      <c r="P277" s="6">
        <v>49.65</v>
      </c>
      <c r="Q277" s="6">
        <v>48.43</v>
      </c>
      <c r="R277" s="6">
        <v>48.08</v>
      </c>
      <c r="S277" s="6">
        <v>47.46</v>
      </c>
      <c r="T277" s="6">
        <v>47.29</v>
      </c>
      <c r="U277" s="6">
        <v>48.59</v>
      </c>
      <c r="V277" s="6">
        <v>49.19</v>
      </c>
      <c r="W277" s="6">
        <v>48.4</v>
      </c>
      <c r="X277" s="6">
        <v>48.9</v>
      </c>
      <c r="Y277" s="6">
        <v>49.25</v>
      </c>
      <c r="Z277" s="6">
        <v>49.64</v>
      </c>
      <c r="AA277" s="6">
        <v>48.84</v>
      </c>
      <c r="AB277" s="6">
        <v>49.43</v>
      </c>
      <c r="AC277" s="6">
        <v>48.19</v>
      </c>
      <c r="AD277" s="6">
        <v>47.45</v>
      </c>
      <c r="AE277" s="6">
        <v>47.39</v>
      </c>
      <c r="AF277" s="6">
        <v>49.99</v>
      </c>
      <c r="AG277" s="6">
        <v>47.56</v>
      </c>
      <c r="AH277" s="6">
        <v>48.36</v>
      </c>
      <c r="AI277" s="6">
        <v>49.4</v>
      </c>
      <c r="AJ277" s="6">
        <v>46.87</v>
      </c>
      <c r="AK277" s="6">
        <v>48.89</v>
      </c>
      <c r="AL277" s="6">
        <v>46</v>
      </c>
      <c r="AM277" s="6">
        <v>48.63</v>
      </c>
      <c r="AN277" s="6">
        <v>48.16</v>
      </c>
      <c r="AO277" s="6">
        <v>48.82</v>
      </c>
      <c r="AP277" s="6">
        <v>47.9</v>
      </c>
      <c r="AQ277" s="6">
        <v>49</v>
      </c>
      <c r="AR277" s="6">
        <v>49.35</v>
      </c>
      <c r="AS277" s="6">
        <v>48.99</v>
      </c>
      <c r="AT277" s="6">
        <v>47.01</v>
      </c>
      <c r="AU277" s="6">
        <v>47.74</v>
      </c>
      <c r="AV277" s="6"/>
      <c r="AW277" s="6"/>
      <c r="AX277" s="6">
        <v>46.9</v>
      </c>
      <c r="AY277" s="6">
        <v>47.4</v>
      </c>
      <c r="AZ277" s="6">
        <v>46.73</v>
      </c>
      <c r="BA277" s="6">
        <v>48.56</v>
      </c>
      <c r="BB277" s="6">
        <v>49.22</v>
      </c>
      <c r="BC277" s="6">
        <v>48.87</v>
      </c>
      <c r="BD277" s="6">
        <v>47.02</v>
      </c>
      <c r="BE277" s="6">
        <v>48.58</v>
      </c>
      <c r="BF277" s="6">
        <v>47.21</v>
      </c>
      <c r="BG277" s="6">
        <v>50.47</v>
      </c>
      <c r="BH277" s="6">
        <v>48.19</v>
      </c>
      <c r="BI277" s="6">
        <v>46.3</v>
      </c>
      <c r="BJ277" s="6">
        <v>49.56</v>
      </c>
      <c r="BK277" s="6">
        <v>47.98</v>
      </c>
      <c r="BL277" s="6">
        <v>45.24</v>
      </c>
      <c r="BM277" s="7">
        <v>45.39</v>
      </c>
      <c r="BN277" s="10"/>
    </row>
    <row r="278" spans="1:66" ht="15.75" customHeight="1" x14ac:dyDescent="0.25">
      <c r="A278" s="4">
        <v>276</v>
      </c>
      <c r="B278" s="4"/>
      <c r="C278" s="4">
        <v>3</v>
      </c>
      <c r="D278" s="6">
        <v>48.32</v>
      </c>
      <c r="E278" s="6">
        <v>49.57</v>
      </c>
      <c r="F278" s="6">
        <v>48.61</v>
      </c>
      <c r="G278" s="6">
        <v>48.96</v>
      </c>
      <c r="H278" s="6">
        <v>48.56</v>
      </c>
      <c r="I278" s="6">
        <v>50.2</v>
      </c>
      <c r="J278" s="6">
        <v>47.96</v>
      </c>
      <c r="K278" s="6">
        <v>49.57</v>
      </c>
      <c r="L278" s="6">
        <v>49.34</v>
      </c>
      <c r="M278" s="6">
        <v>48.91</v>
      </c>
      <c r="N278" s="6">
        <v>50.05</v>
      </c>
      <c r="O278" s="6">
        <v>49.15</v>
      </c>
      <c r="P278" s="6">
        <v>49.54</v>
      </c>
      <c r="Q278" s="6">
        <v>48.36</v>
      </c>
      <c r="R278" s="6">
        <v>48.14</v>
      </c>
      <c r="S278" s="6">
        <v>47.43</v>
      </c>
      <c r="T278" s="6">
        <v>47.13</v>
      </c>
      <c r="U278" s="6">
        <v>48.49</v>
      </c>
      <c r="V278" s="6">
        <v>49.15</v>
      </c>
      <c r="W278" s="6">
        <v>48.33</v>
      </c>
      <c r="X278" s="6">
        <v>48.83</v>
      </c>
      <c r="Y278" s="6">
        <v>49.18</v>
      </c>
      <c r="Z278" s="6">
        <v>49.54</v>
      </c>
      <c r="AA278" s="6">
        <v>48.75</v>
      </c>
      <c r="AB278" s="6">
        <v>49.39</v>
      </c>
      <c r="AC278" s="6">
        <v>48.15</v>
      </c>
      <c r="AD278" s="6">
        <v>47.45</v>
      </c>
      <c r="AE278" s="6">
        <v>47.26</v>
      </c>
      <c r="AF278" s="6">
        <v>49.86</v>
      </c>
      <c r="AG278" s="6">
        <v>47.42</v>
      </c>
      <c r="AH278" s="6">
        <v>48.28</v>
      </c>
      <c r="AI278" s="6">
        <v>49.3</v>
      </c>
      <c r="AJ278" s="6">
        <v>46.82</v>
      </c>
      <c r="AK278" s="6">
        <v>48.85</v>
      </c>
      <c r="AL278" s="6">
        <v>46</v>
      </c>
      <c r="AM278" s="6">
        <v>48.53</v>
      </c>
      <c r="AN278" s="6">
        <v>48.1</v>
      </c>
      <c r="AO278" s="6">
        <v>48.89</v>
      </c>
      <c r="AP278" s="6">
        <v>47.79</v>
      </c>
      <c r="AQ278" s="6">
        <v>48.84</v>
      </c>
      <c r="AR278" s="6">
        <v>49.31</v>
      </c>
      <c r="AS278" s="6">
        <v>48.91</v>
      </c>
      <c r="AT278" s="6">
        <v>46.92</v>
      </c>
      <c r="AU278" s="6">
        <v>47.65</v>
      </c>
      <c r="AV278" s="6"/>
      <c r="AW278" s="6"/>
      <c r="AX278" s="6">
        <v>46.82</v>
      </c>
      <c r="AY278" s="6">
        <v>47.29</v>
      </c>
      <c r="AZ278" s="6">
        <v>46.83</v>
      </c>
      <c r="BA278" s="6">
        <v>48.43</v>
      </c>
      <c r="BB278" s="6">
        <v>49.16</v>
      </c>
      <c r="BC278" s="6">
        <v>48.71</v>
      </c>
      <c r="BD278" s="6">
        <v>46.79</v>
      </c>
      <c r="BE278" s="6">
        <v>48.46</v>
      </c>
      <c r="BF278" s="6">
        <v>47.2</v>
      </c>
      <c r="BG278" s="6">
        <v>50.37</v>
      </c>
      <c r="BH278" s="6">
        <v>48.02</v>
      </c>
      <c r="BI278" s="6">
        <v>46.27</v>
      </c>
      <c r="BJ278" s="6">
        <v>49.44</v>
      </c>
      <c r="BK278" s="6">
        <v>47.86</v>
      </c>
      <c r="BL278" s="6">
        <v>45.18</v>
      </c>
      <c r="BM278" s="7">
        <v>45.24</v>
      </c>
      <c r="BN278" s="10"/>
    </row>
    <row r="279" spans="1:66" ht="15.75" customHeight="1" x14ac:dyDescent="0.25">
      <c r="A279" s="4">
        <v>277</v>
      </c>
      <c r="B279" s="4"/>
      <c r="C279" s="4">
        <v>4</v>
      </c>
      <c r="D279" s="6">
        <v>48.25</v>
      </c>
      <c r="E279" s="6">
        <v>49.5</v>
      </c>
      <c r="F279" s="6">
        <v>48.38</v>
      </c>
      <c r="G279" s="6">
        <v>48.86</v>
      </c>
      <c r="H279" s="6">
        <v>48.41</v>
      </c>
      <c r="I279" s="6">
        <v>50.15</v>
      </c>
      <c r="J279" s="6">
        <v>47.84</v>
      </c>
      <c r="K279" s="6">
        <v>49.57</v>
      </c>
      <c r="L279" s="6">
        <v>49.24</v>
      </c>
      <c r="M279" s="6">
        <v>48.81</v>
      </c>
      <c r="N279" s="6">
        <v>50.02</v>
      </c>
      <c r="O279" s="6">
        <v>49.1</v>
      </c>
      <c r="P279" s="6">
        <v>49.46</v>
      </c>
      <c r="Q279" s="6">
        <v>48.26</v>
      </c>
      <c r="R279" s="6">
        <v>48.14</v>
      </c>
      <c r="S279" s="6">
        <v>47.4</v>
      </c>
      <c r="T279" s="6">
        <v>46.99</v>
      </c>
      <c r="U279" s="6">
        <v>48.39</v>
      </c>
      <c r="V279" s="6">
        <v>49.07</v>
      </c>
      <c r="W279" s="6">
        <v>48.25</v>
      </c>
      <c r="X279" s="6">
        <v>48.76</v>
      </c>
      <c r="Y279" s="6">
        <v>49.04</v>
      </c>
      <c r="Z279" s="6">
        <v>49.44</v>
      </c>
      <c r="AA279" s="6">
        <v>48.6</v>
      </c>
      <c r="AB279" s="6">
        <v>49.35</v>
      </c>
      <c r="AC279" s="6">
        <v>48.12</v>
      </c>
      <c r="AD279" s="6">
        <v>47.3</v>
      </c>
      <c r="AE279" s="6">
        <v>47.23</v>
      </c>
      <c r="AF279" s="6">
        <v>49.71</v>
      </c>
      <c r="AG279" s="6">
        <v>47.3</v>
      </c>
      <c r="AH279" s="6">
        <v>48.18</v>
      </c>
      <c r="AI279" s="6">
        <v>49.2</v>
      </c>
      <c r="AJ279" s="6">
        <v>46.79</v>
      </c>
      <c r="AK279" s="6">
        <v>48.82</v>
      </c>
      <c r="AL279" s="6">
        <v>45.8</v>
      </c>
      <c r="AM279" s="6">
        <v>48.36</v>
      </c>
      <c r="AN279" s="6">
        <v>48.05</v>
      </c>
      <c r="AO279" s="6">
        <v>48.91</v>
      </c>
      <c r="AP279" s="6">
        <v>47.7</v>
      </c>
      <c r="AQ279" s="6">
        <v>48.69</v>
      </c>
      <c r="AR279" s="6">
        <v>49.25</v>
      </c>
      <c r="AS279" s="6">
        <v>48.81</v>
      </c>
      <c r="AT279" s="6">
        <v>46.81</v>
      </c>
      <c r="AU279" s="6">
        <v>47.58</v>
      </c>
      <c r="AV279" s="6"/>
      <c r="AW279" s="6"/>
      <c r="AX279" s="6">
        <v>46.7</v>
      </c>
      <c r="AY279" s="6">
        <v>47.18</v>
      </c>
      <c r="AZ279" s="6">
        <v>46.88</v>
      </c>
      <c r="BA279" s="6">
        <v>48.3</v>
      </c>
      <c r="BB279" s="6">
        <v>49.12</v>
      </c>
      <c r="BC279" s="6">
        <v>48.53</v>
      </c>
      <c r="BD279" s="6">
        <v>46.55</v>
      </c>
      <c r="BE279" s="6">
        <v>48.35</v>
      </c>
      <c r="BF279" s="6">
        <v>47.13</v>
      </c>
      <c r="BG279" s="6">
        <v>50.17</v>
      </c>
      <c r="BH279" s="6">
        <v>47.87</v>
      </c>
      <c r="BI279" s="6">
        <v>46.19</v>
      </c>
      <c r="BJ279" s="6">
        <v>49.34</v>
      </c>
      <c r="BK279" s="6">
        <v>47.72</v>
      </c>
      <c r="BL279" s="6">
        <v>45.09</v>
      </c>
      <c r="BM279" s="7">
        <v>45.16</v>
      </c>
      <c r="BN279" s="10"/>
    </row>
    <row r="280" spans="1:66" ht="15.75" customHeight="1" x14ac:dyDescent="0.25">
      <c r="A280" s="4">
        <v>278</v>
      </c>
      <c r="B280" s="4"/>
      <c r="C280" s="4">
        <v>5</v>
      </c>
      <c r="D280" s="6">
        <v>48.17</v>
      </c>
      <c r="E280" s="6">
        <v>49.43</v>
      </c>
      <c r="F280" s="6">
        <v>48.26</v>
      </c>
      <c r="G280" s="6">
        <v>48.81</v>
      </c>
      <c r="H280" s="6">
        <v>48.26</v>
      </c>
      <c r="I280" s="6">
        <v>50.04</v>
      </c>
      <c r="J280" s="6">
        <v>47.7</v>
      </c>
      <c r="K280" s="6">
        <v>49.51</v>
      </c>
      <c r="L280" s="6">
        <v>49.11</v>
      </c>
      <c r="M280" s="6">
        <v>48.72</v>
      </c>
      <c r="N280" s="6">
        <v>49.96</v>
      </c>
      <c r="O280" s="6">
        <v>49.06</v>
      </c>
      <c r="P280" s="6">
        <v>49.41</v>
      </c>
      <c r="Q280" s="6">
        <v>48.16</v>
      </c>
      <c r="R280" s="6">
        <v>48.14</v>
      </c>
      <c r="S280" s="6">
        <v>47.37</v>
      </c>
      <c r="T280" s="6">
        <v>46.88</v>
      </c>
      <c r="U280" s="6">
        <v>48.32</v>
      </c>
      <c r="V280" s="6">
        <v>48.95</v>
      </c>
      <c r="W280" s="6">
        <v>48.16</v>
      </c>
      <c r="X280" s="6">
        <v>48.7</v>
      </c>
      <c r="Y280" s="6">
        <v>48.94</v>
      </c>
      <c r="Z280" s="6">
        <v>49.35</v>
      </c>
      <c r="AA280" s="6">
        <v>48.75</v>
      </c>
      <c r="AB280" s="6">
        <v>49.3</v>
      </c>
      <c r="AC280" s="6">
        <v>48.08</v>
      </c>
      <c r="AD280" s="6">
        <v>47.3</v>
      </c>
      <c r="AE280" s="6">
        <v>47.18</v>
      </c>
      <c r="AF280" s="6">
        <v>49.38</v>
      </c>
      <c r="AG280" s="6">
        <v>47.18</v>
      </c>
      <c r="AH280" s="6">
        <v>48.09</v>
      </c>
      <c r="AI280" s="6">
        <v>49.12</v>
      </c>
      <c r="AJ280" s="6">
        <v>46.74</v>
      </c>
      <c r="AK280" s="6">
        <v>48.78</v>
      </c>
      <c r="AL280" s="6">
        <v>45.7</v>
      </c>
      <c r="AM280" s="6">
        <v>48.22</v>
      </c>
      <c r="AN280" s="6">
        <v>47.98</v>
      </c>
      <c r="AO280" s="6">
        <v>48.93</v>
      </c>
      <c r="AP280" s="6">
        <v>47.6</v>
      </c>
      <c r="AQ280" s="6">
        <v>48.53</v>
      </c>
      <c r="AR280" s="6">
        <v>49.14</v>
      </c>
      <c r="AS280" s="6">
        <v>48.78</v>
      </c>
      <c r="AT280" s="6">
        <v>46.67</v>
      </c>
      <c r="AU280" s="6">
        <v>47.49</v>
      </c>
      <c r="AV280" s="6"/>
      <c r="AW280" s="6"/>
      <c r="AX280" s="6">
        <v>46.62</v>
      </c>
      <c r="AY280" s="6">
        <v>47.09</v>
      </c>
      <c r="AZ280" s="6">
        <v>46.94</v>
      </c>
      <c r="BA280" s="6">
        <v>48.12</v>
      </c>
      <c r="BB280" s="6">
        <v>49.08</v>
      </c>
      <c r="BC280" s="6">
        <v>48.33</v>
      </c>
      <c r="BD280" s="6">
        <v>46.34</v>
      </c>
      <c r="BE280" s="6">
        <v>48.2</v>
      </c>
      <c r="BF280" s="6">
        <v>47.11</v>
      </c>
      <c r="BG280" s="6">
        <v>50.08</v>
      </c>
      <c r="BH280" s="6">
        <v>47.68</v>
      </c>
      <c r="BI280" s="6">
        <v>46.14</v>
      </c>
      <c r="BJ280" s="6">
        <v>49.34</v>
      </c>
      <c r="BK280" s="6">
        <v>47.6</v>
      </c>
      <c r="BL280" s="6">
        <v>44.99</v>
      </c>
      <c r="BM280" s="7">
        <v>45</v>
      </c>
      <c r="BN280" s="10"/>
    </row>
    <row r="281" spans="1:66" ht="15.75" customHeight="1" x14ac:dyDescent="0.25">
      <c r="A281" s="4">
        <v>279</v>
      </c>
      <c r="B281" s="4"/>
      <c r="C281" s="4">
        <v>6</v>
      </c>
      <c r="D281" s="6">
        <v>48.09</v>
      </c>
      <c r="E281" s="6">
        <v>49.26</v>
      </c>
      <c r="F281" s="6">
        <v>48.08</v>
      </c>
      <c r="G281" s="6">
        <v>48.76</v>
      </c>
      <c r="H281" s="6">
        <v>48.16</v>
      </c>
      <c r="I281" s="6">
        <v>50</v>
      </c>
      <c r="J281" s="6">
        <v>47.57</v>
      </c>
      <c r="K281" s="6">
        <v>49.47</v>
      </c>
      <c r="L281" s="6">
        <v>48.98</v>
      </c>
      <c r="M281" s="6">
        <v>48.59</v>
      </c>
      <c r="N281" s="6">
        <v>49.94</v>
      </c>
      <c r="O281" s="6">
        <v>49.06</v>
      </c>
      <c r="P281" s="6">
        <v>49.27</v>
      </c>
      <c r="Q281" s="6">
        <v>48.01</v>
      </c>
      <c r="R281" s="6">
        <v>48.16</v>
      </c>
      <c r="S281" s="6">
        <v>47.37</v>
      </c>
      <c r="T281" s="6">
        <v>46.79</v>
      </c>
      <c r="U281" s="6">
        <v>48.28</v>
      </c>
      <c r="V281" s="6">
        <v>48.84</v>
      </c>
      <c r="W281" s="6">
        <v>48.1</v>
      </c>
      <c r="X281" s="6">
        <v>48.64</v>
      </c>
      <c r="Y281" s="6">
        <v>48.85</v>
      </c>
      <c r="Z281" s="6">
        <v>49.22</v>
      </c>
      <c r="AA281" s="6">
        <v>48.75</v>
      </c>
      <c r="AB281" s="6">
        <v>49.23</v>
      </c>
      <c r="AC281" s="6">
        <v>48.08</v>
      </c>
      <c r="AD281" s="6">
        <v>47.27</v>
      </c>
      <c r="AE281" s="6">
        <v>47.13</v>
      </c>
      <c r="AF281" s="6">
        <v>49.3</v>
      </c>
      <c r="AG281" s="6">
        <v>47.07</v>
      </c>
      <c r="AH281" s="6">
        <v>47.95</v>
      </c>
      <c r="AI281" s="6">
        <v>49.02</v>
      </c>
      <c r="AJ281" s="6">
        <v>46.65</v>
      </c>
      <c r="AK281" s="6">
        <v>48.74</v>
      </c>
      <c r="AL281" s="6">
        <v>45.5</v>
      </c>
      <c r="AM281" s="6">
        <v>48.05</v>
      </c>
      <c r="AN281" s="6">
        <v>48.11</v>
      </c>
      <c r="AO281" s="6">
        <v>48.9</v>
      </c>
      <c r="AP281" s="6">
        <v>47.49</v>
      </c>
      <c r="AQ281" s="6">
        <v>48.32</v>
      </c>
      <c r="AR281" s="6">
        <v>49.03</v>
      </c>
      <c r="AS281" s="6">
        <v>48.68</v>
      </c>
      <c r="AT281" s="6">
        <v>46.46</v>
      </c>
      <c r="AU281" s="6">
        <v>47.44</v>
      </c>
      <c r="AV281" s="6"/>
      <c r="AW281" s="6"/>
      <c r="AX281" s="6">
        <v>46.54</v>
      </c>
      <c r="AY281" s="6">
        <v>46.95</v>
      </c>
      <c r="AZ281" s="6">
        <v>46.98</v>
      </c>
      <c r="BA281" s="6">
        <v>47.98</v>
      </c>
      <c r="BB281" s="6">
        <v>49</v>
      </c>
      <c r="BC281" s="6">
        <v>48.18</v>
      </c>
      <c r="BD281" s="6">
        <v>46.15</v>
      </c>
      <c r="BE281" s="6">
        <v>48.08</v>
      </c>
      <c r="BF281" s="6">
        <v>47.1</v>
      </c>
      <c r="BG281" s="6">
        <v>49.91</v>
      </c>
      <c r="BH281" s="6">
        <v>47.58</v>
      </c>
      <c r="BI281" s="6">
        <v>46.12</v>
      </c>
      <c r="BJ281" s="6">
        <v>49.2</v>
      </c>
      <c r="BK281" s="6">
        <v>47.48</v>
      </c>
      <c r="BL281" s="6">
        <v>44.89</v>
      </c>
      <c r="BM281" s="7">
        <v>44.97</v>
      </c>
      <c r="BN281" s="10"/>
    </row>
    <row r="282" spans="1:66" ht="15.75" customHeight="1" x14ac:dyDescent="0.25">
      <c r="A282" s="4">
        <v>280</v>
      </c>
      <c r="B282" s="4"/>
      <c r="C282" s="4">
        <v>7</v>
      </c>
      <c r="D282" s="6">
        <v>47.99</v>
      </c>
      <c r="E282" s="6">
        <v>49.12</v>
      </c>
      <c r="F282" s="6">
        <v>47.83</v>
      </c>
      <c r="G282" s="6">
        <v>48.71</v>
      </c>
      <c r="H282" s="6">
        <v>48.06</v>
      </c>
      <c r="I282" s="6">
        <v>50.09</v>
      </c>
      <c r="J282" s="6">
        <v>47.54</v>
      </c>
      <c r="K282" s="6">
        <v>49.42</v>
      </c>
      <c r="L282" s="6">
        <v>48.89</v>
      </c>
      <c r="M282" s="6">
        <v>48.41</v>
      </c>
      <c r="N282" s="6">
        <v>49.96</v>
      </c>
      <c r="O282" s="6">
        <v>49.01</v>
      </c>
      <c r="P282" s="6">
        <v>49.16</v>
      </c>
      <c r="Q282" s="6">
        <v>47.86</v>
      </c>
      <c r="R282" s="6">
        <v>48.18</v>
      </c>
      <c r="S282" s="6">
        <v>47.38</v>
      </c>
      <c r="T282" s="6">
        <v>46.74</v>
      </c>
      <c r="U282" s="6">
        <v>48.34</v>
      </c>
      <c r="V282" s="6">
        <v>48.78</v>
      </c>
      <c r="W282" s="6">
        <v>48.03</v>
      </c>
      <c r="X282" s="6">
        <v>48.56</v>
      </c>
      <c r="Y282" s="6">
        <v>48.76</v>
      </c>
      <c r="Z282" s="6">
        <v>49.09</v>
      </c>
      <c r="AA282" s="6">
        <v>48.75</v>
      </c>
      <c r="AB282" s="6">
        <v>49.15</v>
      </c>
      <c r="AC282" s="6">
        <v>47.96</v>
      </c>
      <c r="AD282" s="6">
        <v>47.29</v>
      </c>
      <c r="AE282" s="6">
        <v>47.07</v>
      </c>
      <c r="AF282" s="6">
        <v>49.11</v>
      </c>
      <c r="AG282" s="6">
        <v>46.96</v>
      </c>
      <c r="AH282" s="6">
        <v>47.84</v>
      </c>
      <c r="AI282" s="6">
        <v>48.9</v>
      </c>
      <c r="AJ282" s="6">
        <v>46.45</v>
      </c>
      <c r="AK282" s="6">
        <v>48.67</v>
      </c>
      <c r="AL282" s="6">
        <v>45.42</v>
      </c>
      <c r="AM282" s="6">
        <v>47.93</v>
      </c>
      <c r="AN282" s="6">
        <v>48.11</v>
      </c>
      <c r="AO282" s="6">
        <v>48.87</v>
      </c>
      <c r="AP282" s="6">
        <v>47.4</v>
      </c>
      <c r="AQ282" s="6">
        <v>48.18</v>
      </c>
      <c r="AR282" s="6">
        <v>48.92</v>
      </c>
      <c r="AS282" s="6">
        <v>48.67</v>
      </c>
      <c r="AT282" s="6">
        <v>46.34</v>
      </c>
      <c r="AU282" s="6">
        <v>47.36</v>
      </c>
      <c r="AV282" s="6"/>
      <c r="AW282" s="6"/>
      <c r="AX282" s="6">
        <v>46.51</v>
      </c>
      <c r="AY282" s="6">
        <v>46.83</v>
      </c>
      <c r="AZ282" s="6">
        <v>47.01</v>
      </c>
      <c r="BA282" s="6">
        <v>47.82</v>
      </c>
      <c r="BB282" s="6">
        <v>48.92</v>
      </c>
      <c r="BC282" s="6">
        <v>48.02</v>
      </c>
      <c r="BD282" s="6">
        <v>45.97</v>
      </c>
      <c r="BE282" s="6">
        <v>47.96</v>
      </c>
      <c r="BF282" s="6">
        <v>47.01</v>
      </c>
      <c r="BG282" s="6">
        <v>49.74</v>
      </c>
      <c r="BH282" s="6">
        <v>47.45</v>
      </c>
      <c r="BI282" s="6">
        <v>46.12</v>
      </c>
      <c r="BJ282" s="6">
        <v>49.16</v>
      </c>
      <c r="BK282" s="6">
        <v>47.38</v>
      </c>
      <c r="BL282" s="6">
        <v>44.79</v>
      </c>
      <c r="BM282" s="7">
        <v>44.91</v>
      </c>
      <c r="BN282" s="10"/>
    </row>
    <row r="283" spans="1:66" ht="15.75" customHeight="1" x14ac:dyDescent="0.25">
      <c r="A283" s="4">
        <v>281</v>
      </c>
      <c r="B283" s="4"/>
      <c r="C283" s="4">
        <v>8</v>
      </c>
      <c r="D283" s="6">
        <v>47.85</v>
      </c>
      <c r="E283" s="6">
        <v>49.03</v>
      </c>
      <c r="F283" s="6">
        <v>47.58</v>
      </c>
      <c r="G283" s="6">
        <v>48.56</v>
      </c>
      <c r="H283" s="6">
        <v>47.96</v>
      </c>
      <c r="I283" s="6">
        <v>50.09</v>
      </c>
      <c r="J283" s="6">
        <v>47.49</v>
      </c>
      <c r="K283" s="6">
        <v>49.36</v>
      </c>
      <c r="L283" s="6">
        <v>48.75</v>
      </c>
      <c r="M283" s="6">
        <v>48.28</v>
      </c>
      <c r="N283" s="6">
        <v>49.96</v>
      </c>
      <c r="O283" s="6">
        <v>48.96</v>
      </c>
      <c r="P283" s="6">
        <v>49.07</v>
      </c>
      <c r="Q283" s="6">
        <v>47.72</v>
      </c>
      <c r="R283" s="6">
        <v>48.17</v>
      </c>
      <c r="S283" s="6">
        <v>47.4</v>
      </c>
      <c r="T283" s="6">
        <v>46.73</v>
      </c>
      <c r="U283" s="6">
        <v>48.33</v>
      </c>
      <c r="V283" s="6">
        <v>48.71</v>
      </c>
      <c r="W283" s="6">
        <v>47.98</v>
      </c>
      <c r="X283" s="6">
        <v>48.48</v>
      </c>
      <c r="Y283" s="6">
        <v>48.76</v>
      </c>
      <c r="Z283" s="6">
        <v>48.99</v>
      </c>
      <c r="AA283" s="6">
        <v>48.74</v>
      </c>
      <c r="AB283" s="6">
        <v>49.08</v>
      </c>
      <c r="AC283" s="6">
        <v>47.88</v>
      </c>
      <c r="AD283" s="6">
        <v>47.34</v>
      </c>
      <c r="AE283" s="6">
        <v>46.98</v>
      </c>
      <c r="AF283" s="6">
        <v>49.01</v>
      </c>
      <c r="AG283" s="6">
        <v>46.86</v>
      </c>
      <c r="AH283" s="6">
        <v>47.8</v>
      </c>
      <c r="AI283" s="6">
        <v>48.84</v>
      </c>
      <c r="AJ283" s="6">
        <v>46.42</v>
      </c>
      <c r="AK283" s="6">
        <v>48.6</v>
      </c>
      <c r="AL283" s="6">
        <v>45.3</v>
      </c>
      <c r="AM283" s="6">
        <v>47.86</v>
      </c>
      <c r="AN283" s="6">
        <v>48.1</v>
      </c>
      <c r="AO283" s="6">
        <v>48.83</v>
      </c>
      <c r="AP283" s="6">
        <v>47.29</v>
      </c>
      <c r="AQ283" s="6">
        <v>47.92</v>
      </c>
      <c r="AR283" s="6">
        <v>48.83</v>
      </c>
      <c r="AS283" s="6">
        <v>48.64</v>
      </c>
      <c r="AT283" s="6">
        <v>46.15</v>
      </c>
      <c r="AU283" s="6">
        <v>47.29</v>
      </c>
      <c r="AV283" s="6"/>
      <c r="AW283" s="6"/>
      <c r="AX283" s="6">
        <v>46.47</v>
      </c>
      <c r="AY283" s="6">
        <v>46.65</v>
      </c>
      <c r="AZ283" s="6">
        <v>47.04</v>
      </c>
      <c r="BA283" s="6">
        <v>47.67</v>
      </c>
      <c r="BB283" s="6">
        <v>48.84</v>
      </c>
      <c r="BC283" s="6">
        <v>47.84</v>
      </c>
      <c r="BD283" s="6">
        <v>45.8</v>
      </c>
      <c r="BE283" s="6">
        <v>47.86</v>
      </c>
      <c r="BF283" s="6">
        <v>46.98</v>
      </c>
      <c r="BG283" s="6">
        <v>49.56</v>
      </c>
      <c r="BH283" s="6">
        <v>47.37</v>
      </c>
      <c r="BI283" s="6">
        <v>46.05</v>
      </c>
      <c r="BJ283" s="6">
        <v>49.1</v>
      </c>
      <c r="BK283" s="6">
        <v>47.3</v>
      </c>
      <c r="BL283" s="6">
        <v>44.68</v>
      </c>
      <c r="BM283" s="7">
        <v>44.85</v>
      </c>
      <c r="BN283" s="10"/>
    </row>
    <row r="284" spans="1:66" ht="15.75" customHeight="1" x14ac:dyDescent="0.25">
      <c r="A284" s="4">
        <v>282</v>
      </c>
      <c r="B284" s="4"/>
      <c r="C284" s="4">
        <v>9</v>
      </c>
      <c r="D284" s="6">
        <v>47.7</v>
      </c>
      <c r="E284" s="6">
        <v>48.92</v>
      </c>
      <c r="F284" s="6">
        <v>47.45</v>
      </c>
      <c r="G284" s="6">
        <v>48.51</v>
      </c>
      <c r="H284" s="6">
        <v>47.86</v>
      </c>
      <c r="I284" s="6">
        <v>50.06</v>
      </c>
      <c r="J284" s="6">
        <v>47.5</v>
      </c>
      <c r="K284" s="6">
        <v>49.3</v>
      </c>
      <c r="L284" s="6">
        <v>48.62</v>
      </c>
      <c r="M284" s="6">
        <v>48.13</v>
      </c>
      <c r="N284" s="6">
        <v>49.92</v>
      </c>
      <c r="O284" s="6">
        <v>48.96</v>
      </c>
      <c r="P284" s="6">
        <v>48.96</v>
      </c>
      <c r="Q284" s="6">
        <v>47.58</v>
      </c>
      <c r="R284" s="6">
        <v>48.17</v>
      </c>
      <c r="S284" s="6">
        <v>47.43</v>
      </c>
      <c r="T284" s="6">
        <v>46.68</v>
      </c>
      <c r="U284" s="6">
        <v>48.26</v>
      </c>
      <c r="V284" s="6">
        <v>48.59</v>
      </c>
      <c r="W284" s="6">
        <v>47.92</v>
      </c>
      <c r="X284" s="6">
        <v>48.41</v>
      </c>
      <c r="Y284" s="6">
        <v>48.64</v>
      </c>
      <c r="Z284" s="6">
        <v>48.88</v>
      </c>
      <c r="AA284" s="6">
        <v>48.73</v>
      </c>
      <c r="AB284" s="6">
        <v>49.11</v>
      </c>
      <c r="AC284" s="6">
        <v>47.84</v>
      </c>
      <c r="AD284" s="6">
        <v>47.39</v>
      </c>
      <c r="AE284" s="6">
        <v>46.9</v>
      </c>
      <c r="AF284" s="6">
        <v>48.93</v>
      </c>
      <c r="AG284" s="6">
        <v>46.86</v>
      </c>
      <c r="AH284" s="6">
        <v>47.87</v>
      </c>
      <c r="AI284" s="6">
        <v>48.74</v>
      </c>
      <c r="AJ284" s="6">
        <v>46.39</v>
      </c>
      <c r="AK284" s="6">
        <v>48.56</v>
      </c>
      <c r="AL284" s="6">
        <v>45.21</v>
      </c>
      <c r="AM284" s="6">
        <v>47.8</v>
      </c>
      <c r="AN284" s="6">
        <v>48.13</v>
      </c>
      <c r="AO284" s="6">
        <v>48.8</v>
      </c>
      <c r="AP284" s="6">
        <v>47.2</v>
      </c>
      <c r="AQ284" s="6">
        <v>47.7</v>
      </c>
      <c r="AR284" s="6">
        <v>48.74</v>
      </c>
      <c r="AS284" s="6">
        <v>48.61</v>
      </c>
      <c r="AT284" s="6">
        <v>46.04</v>
      </c>
      <c r="AU284" s="6">
        <v>47.23</v>
      </c>
      <c r="AV284" s="6"/>
      <c r="AW284" s="6"/>
      <c r="AX284" s="6">
        <v>46.44</v>
      </c>
      <c r="AY284" s="6">
        <v>46.52</v>
      </c>
      <c r="AZ284" s="6">
        <v>47.04</v>
      </c>
      <c r="BA284" s="6">
        <v>47.53</v>
      </c>
      <c r="BB284" s="6">
        <v>48.74</v>
      </c>
      <c r="BC284" s="6">
        <v>47.72</v>
      </c>
      <c r="BD284" s="6">
        <v>45.66</v>
      </c>
      <c r="BE284" s="6">
        <v>47.71</v>
      </c>
      <c r="BF284" s="6">
        <v>46.96</v>
      </c>
      <c r="BG284" s="6">
        <v>49.36</v>
      </c>
      <c r="BH284" s="6">
        <v>47.3</v>
      </c>
      <c r="BI284" s="6">
        <v>46.32</v>
      </c>
      <c r="BJ284" s="6">
        <v>49.04</v>
      </c>
      <c r="BK284" s="6">
        <v>47.2</v>
      </c>
      <c r="BL284" s="6">
        <v>44.58</v>
      </c>
      <c r="BM284" s="7">
        <v>44.78</v>
      </c>
      <c r="BN284" s="10"/>
    </row>
    <row r="285" spans="1:66" ht="15.75" customHeight="1" x14ac:dyDescent="0.25">
      <c r="A285" s="4">
        <v>283</v>
      </c>
      <c r="B285" s="4"/>
      <c r="C285" s="4">
        <v>10</v>
      </c>
      <c r="D285" s="6">
        <v>47.51</v>
      </c>
      <c r="E285" s="6">
        <v>48.84</v>
      </c>
      <c r="F285" s="6">
        <v>47.26</v>
      </c>
      <c r="G285" s="6">
        <v>48.41</v>
      </c>
      <c r="H285" s="6">
        <v>47.71</v>
      </c>
      <c r="I285" s="6">
        <v>50.03</v>
      </c>
      <c r="J285" s="6">
        <v>47.55</v>
      </c>
      <c r="K285" s="6">
        <v>49.22</v>
      </c>
      <c r="L285" s="6">
        <v>48.5</v>
      </c>
      <c r="M285" s="6">
        <v>47.98</v>
      </c>
      <c r="N285" s="6">
        <v>49.86</v>
      </c>
      <c r="O285" s="6">
        <v>48.96</v>
      </c>
      <c r="P285" s="6">
        <v>48.84</v>
      </c>
      <c r="Q285" s="6">
        <v>47.44</v>
      </c>
      <c r="R285" s="6">
        <v>48.13</v>
      </c>
      <c r="S285" s="6">
        <v>47.47</v>
      </c>
      <c r="T285" s="6">
        <v>46.69</v>
      </c>
      <c r="U285" s="6">
        <v>48.16</v>
      </c>
      <c r="V285" s="6">
        <v>48.47</v>
      </c>
      <c r="W285" s="6">
        <v>47.82</v>
      </c>
      <c r="X285" s="6">
        <v>48.36</v>
      </c>
      <c r="Y285" s="6">
        <v>48.56</v>
      </c>
      <c r="Z285" s="6">
        <v>48.76</v>
      </c>
      <c r="AA285" s="6">
        <v>48.72</v>
      </c>
      <c r="AB285" s="6">
        <v>49.06</v>
      </c>
      <c r="AC285" s="6">
        <v>47.83</v>
      </c>
      <c r="AD285" s="6">
        <v>47.46</v>
      </c>
      <c r="AE285" s="6">
        <v>46.8</v>
      </c>
      <c r="AF285" s="6">
        <v>48.75</v>
      </c>
      <c r="AG285" s="6">
        <v>46.86</v>
      </c>
      <c r="AH285" s="6">
        <v>47.92</v>
      </c>
      <c r="AI285" s="6">
        <v>48.63</v>
      </c>
      <c r="AJ285" s="6">
        <v>46.28</v>
      </c>
      <c r="AK285" s="6">
        <v>48.49</v>
      </c>
      <c r="AL285" s="6">
        <v>45.1</v>
      </c>
      <c r="AM285" s="6">
        <v>47.7</v>
      </c>
      <c r="AN285" s="6">
        <v>48.05</v>
      </c>
      <c r="AO285" s="6">
        <v>48.67</v>
      </c>
      <c r="AP285" s="6">
        <v>47.04</v>
      </c>
      <c r="AQ285" s="6">
        <v>47.48</v>
      </c>
      <c r="AR285" s="6">
        <v>48.65</v>
      </c>
      <c r="AS285" s="6">
        <v>48.51</v>
      </c>
      <c r="AT285" s="6">
        <v>45.95</v>
      </c>
      <c r="AU285" s="6">
        <v>47.19</v>
      </c>
      <c r="AV285" s="6"/>
      <c r="AW285" s="6"/>
      <c r="AX285" s="6">
        <v>46.45</v>
      </c>
      <c r="AY285" s="6">
        <v>46.37</v>
      </c>
      <c r="AZ285" s="6">
        <v>47.04</v>
      </c>
      <c r="BA285" s="6">
        <v>47.37</v>
      </c>
      <c r="BB285" s="6">
        <v>48.62</v>
      </c>
      <c r="BC285" s="6">
        <v>47.64</v>
      </c>
      <c r="BD285" s="6">
        <v>45.54</v>
      </c>
      <c r="BE285" s="6">
        <v>47.62</v>
      </c>
      <c r="BF285" s="6">
        <v>46.96</v>
      </c>
      <c r="BG285" s="6">
        <v>49.12</v>
      </c>
      <c r="BH285" s="6">
        <v>47.22</v>
      </c>
      <c r="BI285" s="6">
        <v>46.5</v>
      </c>
      <c r="BJ285" s="6">
        <v>48.92</v>
      </c>
      <c r="BK285" s="6">
        <v>47.1</v>
      </c>
      <c r="BL285" s="6">
        <v>44.44</v>
      </c>
      <c r="BM285" s="7">
        <v>44.68</v>
      </c>
      <c r="BN285" s="10"/>
    </row>
    <row r="286" spans="1:66" ht="15.75" customHeight="1" x14ac:dyDescent="0.25">
      <c r="A286" s="4">
        <v>284</v>
      </c>
      <c r="B286" s="4"/>
      <c r="C286" s="4">
        <v>11</v>
      </c>
      <c r="D286" s="6">
        <v>47.38</v>
      </c>
      <c r="E286" s="6">
        <v>48.71</v>
      </c>
      <c r="F286" s="6">
        <v>47.08</v>
      </c>
      <c r="G286" s="6">
        <v>48.26</v>
      </c>
      <c r="H286" s="6">
        <v>47.64</v>
      </c>
      <c r="I286" s="6">
        <v>49.97</v>
      </c>
      <c r="J286" s="6">
        <v>47.56</v>
      </c>
      <c r="K286" s="6">
        <v>49.1</v>
      </c>
      <c r="L286" s="6">
        <v>48.36</v>
      </c>
      <c r="M286" s="6">
        <v>47.82</v>
      </c>
      <c r="N286" s="6">
        <v>49.76</v>
      </c>
      <c r="O286" s="6">
        <v>48.97</v>
      </c>
      <c r="P286" s="6">
        <v>48.75</v>
      </c>
      <c r="Q286" s="6">
        <v>47.18</v>
      </c>
      <c r="R286" s="6">
        <v>48.07</v>
      </c>
      <c r="S286" s="6">
        <v>47.49</v>
      </c>
      <c r="T286" s="6">
        <v>46.74</v>
      </c>
      <c r="U286" s="6">
        <v>48.08</v>
      </c>
      <c r="V286" s="6">
        <v>48.37</v>
      </c>
      <c r="W286" s="6">
        <v>47.73</v>
      </c>
      <c r="X286" s="6">
        <v>48.28</v>
      </c>
      <c r="Y286" s="6">
        <v>48.44</v>
      </c>
      <c r="Z286" s="6">
        <v>48.64</v>
      </c>
      <c r="AA286" s="6">
        <v>48.66</v>
      </c>
      <c r="AB286" s="6">
        <v>49.04</v>
      </c>
      <c r="AC286" s="6">
        <v>47.81</v>
      </c>
      <c r="AD286" s="6">
        <v>47.51</v>
      </c>
      <c r="AE286" s="6">
        <v>46.72</v>
      </c>
      <c r="AF286" s="6">
        <v>48.65</v>
      </c>
      <c r="AG286" s="6">
        <v>46.86</v>
      </c>
      <c r="AH286" s="6">
        <v>47.97</v>
      </c>
      <c r="AI286" s="6">
        <v>48.54</v>
      </c>
      <c r="AJ286" s="6">
        <v>46.12</v>
      </c>
      <c r="AK286" s="6">
        <v>48.38</v>
      </c>
      <c r="AL286" s="6">
        <v>45.04</v>
      </c>
      <c r="AM286" s="6">
        <v>47.61</v>
      </c>
      <c r="AN286" s="6">
        <v>48.21</v>
      </c>
      <c r="AO286" s="6">
        <v>48.72</v>
      </c>
      <c r="AP286" s="6">
        <v>46.94</v>
      </c>
      <c r="AQ286" s="6">
        <v>47.24</v>
      </c>
      <c r="AR286" s="6">
        <v>48.55</v>
      </c>
      <c r="AS286" s="6">
        <v>48.5</v>
      </c>
      <c r="AT286" s="6">
        <v>45.71</v>
      </c>
      <c r="AU286" s="6">
        <v>47.14</v>
      </c>
      <c r="AV286" s="6"/>
      <c r="AW286" s="6"/>
      <c r="AX286" s="6">
        <v>46.44</v>
      </c>
      <c r="AY286" s="6">
        <v>46.29</v>
      </c>
      <c r="AZ286" s="6">
        <v>47.06</v>
      </c>
      <c r="BA286" s="6">
        <v>47.23</v>
      </c>
      <c r="BB286" s="6">
        <v>48.54</v>
      </c>
      <c r="BC286" s="6">
        <v>47.59</v>
      </c>
      <c r="BD286" s="6">
        <v>45.38</v>
      </c>
      <c r="BE286" s="6">
        <v>47.54</v>
      </c>
      <c r="BF286" s="6">
        <v>46.96</v>
      </c>
      <c r="BG286" s="6">
        <v>48.91</v>
      </c>
      <c r="BH286" s="6">
        <v>47.24</v>
      </c>
      <c r="BI286" s="6">
        <v>46.58</v>
      </c>
      <c r="BJ286" s="6">
        <v>48.92</v>
      </c>
      <c r="BK286" s="6">
        <v>47.06</v>
      </c>
      <c r="BL286" s="6">
        <v>44.31</v>
      </c>
      <c r="BM286" s="7">
        <v>44.59</v>
      </c>
      <c r="BN286" s="10"/>
    </row>
    <row r="287" spans="1:66" ht="15.75" customHeight="1" x14ac:dyDescent="0.25">
      <c r="A287" s="4">
        <v>285</v>
      </c>
      <c r="B287" s="4"/>
      <c r="C287" s="4">
        <v>12</v>
      </c>
      <c r="D287" s="6">
        <v>47.25</v>
      </c>
      <c r="E287" s="6">
        <v>48.57</v>
      </c>
      <c r="F287" s="6">
        <v>46.96</v>
      </c>
      <c r="G287" s="6">
        <v>48.24</v>
      </c>
      <c r="H287" s="6">
        <v>47.46</v>
      </c>
      <c r="I287" s="6">
        <v>49.87</v>
      </c>
      <c r="J287" s="6">
        <v>47.59</v>
      </c>
      <c r="K287" s="6">
        <v>48.99</v>
      </c>
      <c r="L287" s="6">
        <v>48.26</v>
      </c>
      <c r="M287" s="6">
        <v>47.64</v>
      </c>
      <c r="N287" s="6">
        <v>49.66</v>
      </c>
      <c r="O287" s="6">
        <v>49.01</v>
      </c>
      <c r="P287" s="6">
        <v>48.71</v>
      </c>
      <c r="Q287" s="6">
        <v>47.11</v>
      </c>
      <c r="R287" s="6">
        <v>47.94</v>
      </c>
      <c r="S287" s="6">
        <v>47.54</v>
      </c>
      <c r="T287" s="6">
        <v>46.75</v>
      </c>
      <c r="U287" s="6">
        <v>48.08</v>
      </c>
      <c r="V287" s="6">
        <v>48.26</v>
      </c>
      <c r="W287" s="6">
        <v>47.7</v>
      </c>
      <c r="X287" s="6">
        <v>48.2</v>
      </c>
      <c r="Y287" s="6">
        <v>48.38</v>
      </c>
      <c r="Z287" s="6">
        <v>48.51</v>
      </c>
      <c r="AA287" s="6">
        <v>48.67</v>
      </c>
      <c r="AB287" s="6">
        <v>48.99</v>
      </c>
      <c r="AC287" s="6">
        <v>47.81</v>
      </c>
      <c r="AD287" s="6">
        <v>47.65</v>
      </c>
      <c r="AE287" s="6">
        <v>46.63</v>
      </c>
      <c r="AF287" s="6">
        <v>48.55</v>
      </c>
      <c r="AG287" s="6">
        <v>46.86</v>
      </c>
      <c r="AH287" s="6">
        <v>48.02</v>
      </c>
      <c r="AI287" s="6">
        <v>48.44</v>
      </c>
      <c r="AJ287" s="6">
        <v>46</v>
      </c>
      <c r="AK287" s="6">
        <v>48.22</v>
      </c>
      <c r="AL287" s="6">
        <v>44.96</v>
      </c>
      <c r="AM287" s="6">
        <v>47.5</v>
      </c>
      <c r="AN287" s="6">
        <v>48.26</v>
      </c>
      <c r="AO287" s="6">
        <v>48.64</v>
      </c>
      <c r="AP287" s="6">
        <v>46.8</v>
      </c>
      <c r="AQ287" s="6">
        <v>47.03</v>
      </c>
      <c r="AR287" s="6">
        <v>48.47</v>
      </c>
      <c r="AS287" s="6">
        <v>48.42</v>
      </c>
      <c r="AT287" s="6">
        <v>45.59</v>
      </c>
      <c r="AU287" s="6">
        <v>47.09</v>
      </c>
      <c r="AV287" s="6"/>
      <c r="AW287" s="6"/>
      <c r="AX287" s="6">
        <v>46.4</v>
      </c>
      <c r="AY287" s="6">
        <v>46.23</v>
      </c>
      <c r="AZ287" s="6">
        <v>47.07</v>
      </c>
      <c r="BA287" s="6">
        <v>47.04</v>
      </c>
      <c r="BB287" s="6">
        <v>48.44</v>
      </c>
      <c r="BC287" s="6">
        <v>47.55</v>
      </c>
      <c r="BD287" s="6">
        <v>45.25</v>
      </c>
      <c r="BE287" s="6">
        <v>47.43</v>
      </c>
      <c r="BF287" s="6">
        <v>46.97</v>
      </c>
      <c r="BG287" s="6">
        <v>48.71</v>
      </c>
      <c r="BH287" s="6">
        <v>47.28</v>
      </c>
      <c r="BI287" s="6">
        <v>46.65</v>
      </c>
      <c r="BJ287" s="6">
        <v>48.82</v>
      </c>
      <c r="BK287" s="6">
        <v>46.96</v>
      </c>
      <c r="BL287" s="6">
        <v>44.18</v>
      </c>
      <c r="BM287" s="7">
        <v>44.48</v>
      </c>
      <c r="BN287" s="10"/>
    </row>
    <row r="288" spans="1:66" ht="15.75" customHeight="1" x14ac:dyDescent="0.25">
      <c r="A288" s="4">
        <v>286</v>
      </c>
      <c r="B288" s="4"/>
      <c r="C288" s="4">
        <v>13</v>
      </c>
      <c r="D288" s="6">
        <v>47.02</v>
      </c>
      <c r="E288" s="6">
        <v>48.37</v>
      </c>
      <c r="F288" s="6">
        <v>46.83</v>
      </c>
      <c r="G288" s="6">
        <v>48.16</v>
      </c>
      <c r="H288" s="6">
        <v>47.36</v>
      </c>
      <c r="I288" s="6">
        <v>49.76</v>
      </c>
      <c r="J288" s="6">
        <v>47.54</v>
      </c>
      <c r="K288" s="6">
        <v>48.94</v>
      </c>
      <c r="L288" s="6">
        <v>48.14</v>
      </c>
      <c r="M288" s="6">
        <v>47.47</v>
      </c>
      <c r="N288" s="6">
        <v>49.53</v>
      </c>
      <c r="O288" s="6">
        <v>49.01</v>
      </c>
      <c r="P288" s="6">
        <v>48.59</v>
      </c>
      <c r="Q288" s="6">
        <v>47.01</v>
      </c>
      <c r="R288" s="6">
        <v>47.82</v>
      </c>
      <c r="S288" s="6">
        <v>47.56</v>
      </c>
      <c r="T288" s="6">
        <v>46.75</v>
      </c>
      <c r="U288" s="6">
        <v>48.06</v>
      </c>
      <c r="V288" s="6">
        <v>48.14</v>
      </c>
      <c r="W288" s="6">
        <v>47.59</v>
      </c>
      <c r="X288" s="6">
        <v>48.13</v>
      </c>
      <c r="Y288" s="6">
        <v>48.29</v>
      </c>
      <c r="Z288" s="6">
        <v>48.38</v>
      </c>
      <c r="AA288" s="6">
        <v>48.68</v>
      </c>
      <c r="AB288" s="6">
        <v>48.9</v>
      </c>
      <c r="AC288" s="6">
        <v>47.81</v>
      </c>
      <c r="AD288" s="6">
        <v>47.75</v>
      </c>
      <c r="AE288" s="6">
        <v>46.53</v>
      </c>
      <c r="AF288" s="6">
        <v>48.34</v>
      </c>
      <c r="AG288" s="6">
        <v>46.96</v>
      </c>
      <c r="AH288" s="6">
        <v>48.05</v>
      </c>
      <c r="AI288" s="6">
        <v>48.38</v>
      </c>
      <c r="AJ288" s="6">
        <v>45.86</v>
      </c>
      <c r="AK288" s="6">
        <v>48.12</v>
      </c>
      <c r="AL288" s="6">
        <v>44.92</v>
      </c>
      <c r="AM288" s="6">
        <v>47.35</v>
      </c>
      <c r="AN288" s="6">
        <v>48.32</v>
      </c>
      <c r="AO288" s="6">
        <v>48.6</v>
      </c>
      <c r="AP288" s="6">
        <v>46.7</v>
      </c>
      <c r="AQ288" s="6">
        <v>46.82</v>
      </c>
      <c r="AR288" s="6">
        <v>48.44</v>
      </c>
      <c r="AS288" s="6">
        <v>48.36</v>
      </c>
      <c r="AT288" s="6">
        <v>45.49</v>
      </c>
      <c r="AU288" s="6">
        <v>47.02</v>
      </c>
      <c r="AV288" s="6"/>
      <c r="AW288" s="6"/>
      <c r="AX288" s="6">
        <v>46.34</v>
      </c>
      <c r="AY288" s="6">
        <v>46.15</v>
      </c>
      <c r="AZ288" s="6">
        <v>47.08</v>
      </c>
      <c r="BA288" s="6">
        <v>46.91</v>
      </c>
      <c r="BB288" s="6">
        <v>48.32</v>
      </c>
      <c r="BC288" s="6">
        <v>47.5</v>
      </c>
      <c r="BD288" s="6">
        <v>45.18</v>
      </c>
      <c r="BE288" s="6">
        <v>47.4</v>
      </c>
      <c r="BF288" s="6">
        <v>46.96</v>
      </c>
      <c r="BG288" s="6">
        <v>48.66</v>
      </c>
      <c r="BH288" s="6">
        <v>47.26</v>
      </c>
      <c r="BI288" s="6">
        <v>46.69</v>
      </c>
      <c r="BJ288" s="6">
        <v>48.68</v>
      </c>
      <c r="BK288" s="6">
        <v>46.92</v>
      </c>
      <c r="BL288" s="6">
        <v>44.03</v>
      </c>
      <c r="BM288" s="7">
        <v>44.4</v>
      </c>
      <c r="BN288" s="10"/>
    </row>
    <row r="289" spans="1:66" ht="15.75" customHeight="1" x14ac:dyDescent="0.25">
      <c r="A289" s="4">
        <v>287</v>
      </c>
      <c r="B289" s="4"/>
      <c r="C289" s="4">
        <v>14</v>
      </c>
      <c r="D289" s="6">
        <v>46.82</v>
      </c>
      <c r="E289" s="6">
        <v>48.22</v>
      </c>
      <c r="F289" s="6">
        <v>46.74</v>
      </c>
      <c r="G289" s="6">
        <v>48.06</v>
      </c>
      <c r="H289" s="6">
        <v>47.26</v>
      </c>
      <c r="I289" s="6">
        <v>49.68</v>
      </c>
      <c r="J289" s="6">
        <v>47.58</v>
      </c>
      <c r="K289" s="6">
        <v>48.89</v>
      </c>
      <c r="L289" s="6">
        <v>48.08</v>
      </c>
      <c r="M289" s="6">
        <v>47.31</v>
      </c>
      <c r="N289" s="6">
        <v>49.44</v>
      </c>
      <c r="O289" s="6">
        <v>49.01</v>
      </c>
      <c r="P289" s="6">
        <v>48.42</v>
      </c>
      <c r="Q289" s="6">
        <v>46.91</v>
      </c>
      <c r="R289" s="6">
        <v>47.7</v>
      </c>
      <c r="S289" s="6">
        <v>47.59</v>
      </c>
      <c r="T289" s="6">
        <v>46.72</v>
      </c>
      <c r="U289" s="6">
        <v>48</v>
      </c>
      <c r="V289" s="6">
        <v>48.01</v>
      </c>
      <c r="W289" s="6">
        <v>47.36</v>
      </c>
      <c r="X289" s="6">
        <v>48.01</v>
      </c>
      <c r="Y289" s="6">
        <v>48.25</v>
      </c>
      <c r="Z289" s="6">
        <v>48.25</v>
      </c>
      <c r="AA289" s="6">
        <v>48.66</v>
      </c>
      <c r="AB289" s="6">
        <v>48.81</v>
      </c>
      <c r="AC289" s="6">
        <v>47.72</v>
      </c>
      <c r="AD289" s="6">
        <v>47.79</v>
      </c>
      <c r="AE289" s="6">
        <v>46.43</v>
      </c>
      <c r="AF289" s="6">
        <v>48.14</v>
      </c>
      <c r="AG289" s="6">
        <v>46.61</v>
      </c>
      <c r="AH289" s="6">
        <v>48.1</v>
      </c>
      <c r="AI289" s="6">
        <v>48.3</v>
      </c>
      <c r="AJ289" s="6">
        <v>45.76</v>
      </c>
      <c r="AK289" s="6">
        <v>47.96</v>
      </c>
      <c r="AL289" s="6">
        <v>44.85</v>
      </c>
      <c r="AM289" s="6">
        <v>47.22</v>
      </c>
      <c r="AN289" s="6">
        <v>48.35</v>
      </c>
      <c r="AO289" s="6">
        <v>48.54</v>
      </c>
      <c r="AP289" s="6">
        <v>46.62</v>
      </c>
      <c r="AQ289" s="6">
        <v>46.61</v>
      </c>
      <c r="AR289" s="6">
        <v>48.41</v>
      </c>
      <c r="AS289" s="6">
        <v>48.25</v>
      </c>
      <c r="AT289" s="6">
        <v>45.4</v>
      </c>
      <c r="AU289" s="6">
        <v>46.91</v>
      </c>
      <c r="AV289" s="6"/>
      <c r="AW289" s="6"/>
      <c r="AX289" s="6">
        <v>46.29</v>
      </c>
      <c r="AY289" s="6">
        <v>46.06</v>
      </c>
      <c r="AZ289" s="6">
        <v>47.1</v>
      </c>
      <c r="BA289" s="6">
        <v>46.8</v>
      </c>
      <c r="BB289" s="6">
        <v>48.22</v>
      </c>
      <c r="BC289" s="6">
        <v>47.47</v>
      </c>
      <c r="BD289" s="6">
        <v>45.15</v>
      </c>
      <c r="BE289" s="6">
        <v>47.37</v>
      </c>
      <c r="BF289" s="6">
        <v>46.95</v>
      </c>
      <c r="BG289" s="6">
        <v>48.2</v>
      </c>
      <c r="BH289" s="6">
        <v>47.24</v>
      </c>
      <c r="BI289" s="6">
        <v>46.73</v>
      </c>
      <c r="BJ289" s="6">
        <v>48.52</v>
      </c>
      <c r="BK289" s="6">
        <v>46.88</v>
      </c>
      <c r="BL289" s="6">
        <v>43.9</v>
      </c>
      <c r="BM289" s="7">
        <v>44.36</v>
      </c>
      <c r="BN289" s="10"/>
    </row>
    <row r="290" spans="1:66" ht="15.75" customHeight="1" x14ac:dyDescent="0.25">
      <c r="A290" s="4">
        <v>288</v>
      </c>
      <c r="B290" s="4"/>
      <c r="C290" s="4">
        <v>15</v>
      </c>
      <c r="D290" s="6">
        <v>46.59</v>
      </c>
      <c r="E290" s="6">
        <v>48.06</v>
      </c>
      <c r="F290" s="6">
        <v>46.61</v>
      </c>
      <c r="G290" s="6">
        <v>47.86</v>
      </c>
      <c r="H290" s="6">
        <v>47.14</v>
      </c>
      <c r="I290" s="6">
        <v>49.58</v>
      </c>
      <c r="J290" s="6">
        <v>47.6</v>
      </c>
      <c r="K290" s="6">
        <v>48.79</v>
      </c>
      <c r="L290" s="6">
        <v>47.98</v>
      </c>
      <c r="M290" s="6">
        <v>47.17</v>
      </c>
      <c r="N290" s="6">
        <v>49.34</v>
      </c>
      <c r="O290" s="6">
        <v>49.04</v>
      </c>
      <c r="P290" s="6">
        <v>48.26</v>
      </c>
      <c r="Q290" s="6">
        <v>46.78</v>
      </c>
      <c r="R290" s="6">
        <v>47.61</v>
      </c>
      <c r="S290" s="6">
        <v>47.59</v>
      </c>
      <c r="T290" s="6">
        <v>46.73</v>
      </c>
      <c r="U290" s="6">
        <v>47.97</v>
      </c>
      <c r="V290" s="6">
        <v>47.91</v>
      </c>
      <c r="W290" s="6">
        <v>47.29</v>
      </c>
      <c r="X290" s="6">
        <v>47.98</v>
      </c>
      <c r="Y290" s="6">
        <v>48.18</v>
      </c>
      <c r="Z290" s="6">
        <v>48.2</v>
      </c>
      <c r="AA290" s="6">
        <v>48.69</v>
      </c>
      <c r="AB290" s="6">
        <v>48.72</v>
      </c>
      <c r="AC290" s="6">
        <v>47.66</v>
      </c>
      <c r="AD290" s="6">
        <v>47.77</v>
      </c>
      <c r="AE290" s="6">
        <v>46.33</v>
      </c>
      <c r="AF290" s="6">
        <v>47.94</v>
      </c>
      <c r="AG290" s="6">
        <v>46.56</v>
      </c>
      <c r="AH290" s="6">
        <v>48.15</v>
      </c>
      <c r="AI290" s="6">
        <v>48.2</v>
      </c>
      <c r="AJ290" s="6">
        <v>45.66</v>
      </c>
      <c r="AK290" s="6">
        <v>47.91</v>
      </c>
      <c r="AL290" s="6">
        <v>44.75</v>
      </c>
      <c r="AM290" s="6">
        <v>47.02</v>
      </c>
      <c r="AN290" s="6">
        <v>48.45</v>
      </c>
      <c r="AO290" s="6">
        <v>48.5</v>
      </c>
      <c r="AP290" s="6">
        <v>46.57</v>
      </c>
      <c r="AQ290" s="6">
        <v>46.39</v>
      </c>
      <c r="AR290" s="6">
        <v>48.34</v>
      </c>
      <c r="AS290" s="6">
        <v>48.2</v>
      </c>
      <c r="AT290" s="6">
        <v>45.37</v>
      </c>
      <c r="AU290" s="6">
        <v>46.85</v>
      </c>
      <c r="AV290" s="6"/>
      <c r="AW290" s="6"/>
      <c r="AX290" s="6">
        <v>46.28</v>
      </c>
      <c r="AY290" s="6">
        <v>46.01</v>
      </c>
      <c r="AZ290" s="6">
        <v>47.07</v>
      </c>
      <c r="BA290" s="6">
        <v>46.7</v>
      </c>
      <c r="BB290" s="6">
        <v>48.08</v>
      </c>
      <c r="BC290" s="6">
        <v>47.44</v>
      </c>
      <c r="BD290" s="6">
        <v>45.24</v>
      </c>
      <c r="BE290" s="6">
        <v>47.32</v>
      </c>
      <c r="BF290" s="6">
        <v>46.94</v>
      </c>
      <c r="BG290" s="6">
        <v>47.91</v>
      </c>
      <c r="BH290" s="6">
        <v>47.28</v>
      </c>
      <c r="BI290" s="6">
        <v>46.76</v>
      </c>
      <c r="BJ290" s="6">
        <v>48.32</v>
      </c>
      <c r="BK290" s="6">
        <v>46.87</v>
      </c>
      <c r="BL290" s="6">
        <v>43.78</v>
      </c>
      <c r="BM290" s="7">
        <v>44.34</v>
      </c>
      <c r="BN290" s="10"/>
    </row>
    <row r="291" spans="1:66" ht="15.75" customHeight="1" x14ac:dyDescent="0.25">
      <c r="A291" s="4">
        <v>289</v>
      </c>
      <c r="B291" s="4"/>
      <c r="C291" s="4">
        <v>16</v>
      </c>
      <c r="D291" s="6">
        <v>46.31</v>
      </c>
      <c r="E291" s="6">
        <v>47.88</v>
      </c>
      <c r="F291" s="6">
        <v>46.54</v>
      </c>
      <c r="G291" s="6">
        <v>47.69</v>
      </c>
      <c r="H291" s="6">
        <v>47.16</v>
      </c>
      <c r="I291" s="6">
        <v>49.49</v>
      </c>
      <c r="J291" s="6">
        <v>47.58</v>
      </c>
      <c r="K291" s="6">
        <v>48.7</v>
      </c>
      <c r="L291" s="6">
        <v>47.94</v>
      </c>
      <c r="M291" s="6">
        <v>47.04</v>
      </c>
      <c r="N291" s="6">
        <v>49.2</v>
      </c>
      <c r="O291" s="6">
        <v>49.06</v>
      </c>
      <c r="P291" s="6">
        <v>48.12</v>
      </c>
      <c r="Q291" s="6">
        <v>46.71</v>
      </c>
      <c r="R291" s="6">
        <v>47.55</v>
      </c>
      <c r="S291" s="6">
        <v>47.58</v>
      </c>
      <c r="T291" s="6">
        <v>46.75</v>
      </c>
      <c r="U291" s="6">
        <v>47.97</v>
      </c>
      <c r="V291" s="6">
        <v>47.79</v>
      </c>
      <c r="W291" s="6">
        <v>47.18</v>
      </c>
      <c r="X291" s="6">
        <v>47.88</v>
      </c>
      <c r="Y291" s="6">
        <v>48.13</v>
      </c>
      <c r="Z291" s="6">
        <v>48.14</v>
      </c>
      <c r="AA291" s="6">
        <v>48.7</v>
      </c>
      <c r="AB291" s="6">
        <v>48.76</v>
      </c>
      <c r="AC291" s="6">
        <v>47.62</v>
      </c>
      <c r="AD291" s="6">
        <v>47.72</v>
      </c>
      <c r="AE291" s="6">
        <v>46.22</v>
      </c>
      <c r="AF291" s="6">
        <v>47.74</v>
      </c>
      <c r="AG291" s="6">
        <v>46.56</v>
      </c>
      <c r="AH291" s="6">
        <v>48.17</v>
      </c>
      <c r="AI291" s="6">
        <v>48.15</v>
      </c>
      <c r="AJ291" s="6">
        <v>45.61</v>
      </c>
      <c r="AK291" s="6">
        <v>47.84</v>
      </c>
      <c r="AL291" s="6">
        <v>44.74</v>
      </c>
      <c r="AM291" s="6">
        <v>46.92</v>
      </c>
      <c r="AN291" s="6">
        <v>48.5</v>
      </c>
      <c r="AO291" s="6">
        <v>48.42</v>
      </c>
      <c r="AP291" s="6">
        <v>46.45</v>
      </c>
      <c r="AQ291" s="6">
        <v>46.26</v>
      </c>
      <c r="AR291" s="6">
        <v>48.32</v>
      </c>
      <c r="AS291" s="6">
        <v>48.11</v>
      </c>
      <c r="AT291" s="6">
        <v>45.32</v>
      </c>
      <c r="AU291" s="6">
        <v>46.8</v>
      </c>
      <c r="AV291" s="6"/>
      <c r="AW291" s="6"/>
      <c r="AX291" s="6">
        <v>46.27</v>
      </c>
      <c r="AY291" s="6">
        <v>45.99</v>
      </c>
      <c r="AZ291" s="6">
        <v>47.04</v>
      </c>
      <c r="BA291" s="6">
        <v>46.63</v>
      </c>
      <c r="BB291" s="6">
        <v>47.94</v>
      </c>
      <c r="BC291" s="6">
        <v>47.44</v>
      </c>
      <c r="BD291" s="6">
        <v>45.39</v>
      </c>
      <c r="BE291" s="6">
        <v>47.29</v>
      </c>
      <c r="BF291" s="6">
        <v>46.93</v>
      </c>
      <c r="BG291" s="6">
        <v>47.62</v>
      </c>
      <c r="BH291" s="6">
        <v>47.28</v>
      </c>
      <c r="BI291" s="6">
        <v>46.79</v>
      </c>
      <c r="BJ291" s="6">
        <v>48.14</v>
      </c>
      <c r="BK291" s="6">
        <v>46.84</v>
      </c>
      <c r="BL291" s="6">
        <v>43.7</v>
      </c>
      <c r="BM291" s="7">
        <v>44.35</v>
      </c>
      <c r="BN291" s="10"/>
    </row>
    <row r="292" spans="1:66" ht="15.75" customHeight="1" x14ac:dyDescent="0.25">
      <c r="A292" s="4">
        <v>290</v>
      </c>
      <c r="B292" s="4"/>
      <c r="C292" s="4">
        <v>17</v>
      </c>
      <c r="D292" s="6">
        <v>46.1</v>
      </c>
      <c r="E292" s="6">
        <v>47.8</v>
      </c>
      <c r="F292" s="6">
        <v>46.48</v>
      </c>
      <c r="G292" s="6">
        <v>47.51</v>
      </c>
      <c r="H292" s="6">
        <v>47.06</v>
      </c>
      <c r="I292" s="6">
        <v>49.37</v>
      </c>
      <c r="J292" s="6">
        <v>47.58</v>
      </c>
      <c r="K292" s="6">
        <v>48.63</v>
      </c>
      <c r="L292" s="6">
        <v>47.85</v>
      </c>
      <c r="M292" s="6">
        <v>46.9</v>
      </c>
      <c r="N292" s="6">
        <v>49.06</v>
      </c>
      <c r="O292" s="6">
        <v>49.06</v>
      </c>
      <c r="P292" s="6">
        <v>47.95</v>
      </c>
      <c r="Q292" s="6">
        <v>46.65</v>
      </c>
      <c r="R292" s="6">
        <v>47.47</v>
      </c>
      <c r="S292" s="6">
        <v>47.54</v>
      </c>
      <c r="T292" s="6">
        <v>46.72</v>
      </c>
      <c r="U292" s="6">
        <v>47.96</v>
      </c>
      <c r="V292" s="6">
        <v>47.72</v>
      </c>
      <c r="W292" s="6">
        <v>47.05</v>
      </c>
      <c r="X292" s="6">
        <v>47.8</v>
      </c>
      <c r="Y292" s="6">
        <v>48.08</v>
      </c>
      <c r="Z292" s="6">
        <v>47.9</v>
      </c>
      <c r="AA292" s="6">
        <v>48.61</v>
      </c>
      <c r="AB292" s="6">
        <v>48.69</v>
      </c>
      <c r="AC292" s="6">
        <v>47.57</v>
      </c>
      <c r="AD292" s="6">
        <v>47.64</v>
      </c>
      <c r="AE292" s="6">
        <v>46.11</v>
      </c>
      <c r="AF292" s="6">
        <v>47.55</v>
      </c>
      <c r="AG292" s="6">
        <v>46.49</v>
      </c>
      <c r="AH292" s="6">
        <v>48.15</v>
      </c>
      <c r="AI292" s="6">
        <v>48.1</v>
      </c>
      <c r="AJ292" s="6">
        <v>45.61</v>
      </c>
      <c r="AK292" s="6">
        <v>47.73</v>
      </c>
      <c r="AL292" s="6">
        <v>44.85</v>
      </c>
      <c r="AM292" s="6">
        <v>46.78</v>
      </c>
      <c r="AN292" s="6">
        <v>48.55</v>
      </c>
      <c r="AO292" s="6">
        <v>48.35</v>
      </c>
      <c r="AP292" s="6">
        <v>46.37</v>
      </c>
      <c r="AQ292" s="6">
        <v>46.09</v>
      </c>
      <c r="AR292" s="6">
        <v>48.3</v>
      </c>
      <c r="AS292" s="6">
        <v>48.06</v>
      </c>
      <c r="AT292" s="6">
        <v>45.29</v>
      </c>
      <c r="AU292" s="6">
        <v>46.8</v>
      </c>
      <c r="AV292" s="6"/>
      <c r="AW292" s="6"/>
      <c r="AX292" s="6">
        <v>46.27</v>
      </c>
      <c r="AY292" s="6">
        <v>45.94</v>
      </c>
      <c r="AZ292" s="6">
        <v>47</v>
      </c>
      <c r="BA292" s="6">
        <v>46.56</v>
      </c>
      <c r="BB292" s="6">
        <v>47.82</v>
      </c>
      <c r="BC292" s="6">
        <v>47.48</v>
      </c>
      <c r="BD292" s="6">
        <v>45.48</v>
      </c>
      <c r="BE292" s="6">
        <v>47.28</v>
      </c>
      <c r="BF292" s="6">
        <v>46.92</v>
      </c>
      <c r="BG292" s="6">
        <v>47.39</v>
      </c>
      <c r="BH292" s="6">
        <v>47.38</v>
      </c>
      <c r="BI292" s="6">
        <v>46.74</v>
      </c>
      <c r="BJ292" s="6">
        <v>47.95</v>
      </c>
      <c r="BK292" s="6">
        <v>46.84</v>
      </c>
      <c r="BL292" s="6">
        <v>43.64</v>
      </c>
      <c r="BM292" s="7">
        <v>44.33</v>
      </c>
      <c r="BN292" s="10"/>
    </row>
    <row r="293" spans="1:66" ht="15.75" customHeight="1" x14ac:dyDescent="0.25">
      <c r="A293" s="4">
        <v>291</v>
      </c>
      <c r="B293" s="4"/>
      <c r="C293" s="4">
        <v>18</v>
      </c>
      <c r="D293" s="6">
        <v>45.95</v>
      </c>
      <c r="E293" s="6">
        <v>47.72</v>
      </c>
      <c r="F293" s="6">
        <v>46.44</v>
      </c>
      <c r="G293" s="6">
        <v>47.31</v>
      </c>
      <c r="H293" s="6">
        <v>47.01</v>
      </c>
      <c r="I293" s="6">
        <v>49.27</v>
      </c>
      <c r="J293" s="6">
        <v>47.6</v>
      </c>
      <c r="K293" s="6">
        <v>48.51</v>
      </c>
      <c r="L293" s="6">
        <v>47.8</v>
      </c>
      <c r="M293" s="6">
        <v>46.73</v>
      </c>
      <c r="N293" s="6">
        <v>48.91</v>
      </c>
      <c r="O293" s="6">
        <v>49.06</v>
      </c>
      <c r="P293" s="6">
        <v>47.86</v>
      </c>
      <c r="Q293" s="6">
        <v>46.63</v>
      </c>
      <c r="R293" s="6">
        <v>47.41</v>
      </c>
      <c r="S293" s="6">
        <v>47.47</v>
      </c>
      <c r="T293" s="6">
        <v>46.71</v>
      </c>
      <c r="U293" s="6">
        <v>47.95</v>
      </c>
      <c r="V293" s="6">
        <v>47.61</v>
      </c>
      <c r="W293" s="6">
        <v>46.93</v>
      </c>
      <c r="X293" s="6">
        <v>47.72</v>
      </c>
      <c r="Y293" s="6">
        <v>48.1</v>
      </c>
      <c r="Z293" s="6">
        <v>47.9</v>
      </c>
      <c r="AA293" s="6">
        <v>48.67</v>
      </c>
      <c r="AB293" s="6">
        <v>48.61</v>
      </c>
      <c r="AC293" s="6">
        <v>47.48</v>
      </c>
      <c r="AD293" s="6">
        <v>47.64</v>
      </c>
      <c r="AE293" s="6">
        <v>46.03</v>
      </c>
      <c r="AF293" s="6">
        <v>47.38</v>
      </c>
      <c r="AG293" s="6">
        <v>46.44</v>
      </c>
      <c r="AH293" s="6">
        <v>48.12</v>
      </c>
      <c r="AI293" s="6">
        <v>48.04</v>
      </c>
      <c r="AJ293" s="6">
        <v>45.63</v>
      </c>
      <c r="AK293" s="6">
        <v>47.64</v>
      </c>
      <c r="AL293" s="6">
        <v>44.84</v>
      </c>
      <c r="AM293" s="6">
        <v>46.69</v>
      </c>
      <c r="AN293" s="6">
        <v>48.57</v>
      </c>
      <c r="AO293" s="6">
        <v>48.32</v>
      </c>
      <c r="AP293" s="6">
        <v>46.35</v>
      </c>
      <c r="AQ293" s="6">
        <v>45.91</v>
      </c>
      <c r="AR293" s="6">
        <v>48.28</v>
      </c>
      <c r="AS293" s="6">
        <v>47.98</v>
      </c>
      <c r="AT293" s="6">
        <v>45.27</v>
      </c>
      <c r="AU293" s="6">
        <v>46.74</v>
      </c>
      <c r="AV293" s="6"/>
      <c r="AW293" s="6"/>
      <c r="AX293" s="6">
        <v>46.28</v>
      </c>
      <c r="AY293" s="6">
        <v>45.88</v>
      </c>
      <c r="AZ293" s="6">
        <v>46.96</v>
      </c>
      <c r="BA293" s="6">
        <v>46.49</v>
      </c>
      <c r="BB293" s="6">
        <v>47.74</v>
      </c>
      <c r="BC293" s="6">
        <v>47.51</v>
      </c>
      <c r="BD293" s="6">
        <v>45.46</v>
      </c>
      <c r="BE293" s="6">
        <v>47.27</v>
      </c>
      <c r="BF293" s="6">
        <v>46.91</v>
      </c>
      <c r="BG293" s="6">
        <v>47.15</v>
      </c>
      <c r="BH293" s="6">
        <v>47.38</v>
      </c>
      <c r="BI293" s="6">
        <v>46.76</v>
      </c>
      <c r="BJ293" s="6">
        <v>47.78</v>
      </c>
      <c r="BK293" s="6">
        <v>46.84</v>
      </c>
      <c r="BL293" s="6">
        <v>43.59</v>
      </c>
      <c r="BM293" s="7">
        <v>44.26</v>
      </c>
      <c r="BN293" s="10"/>
    </row>
    <row r="294" spans="1:66" ht="15.75" customHeight="1" x14ac:dyDescent="0.25">
      <c r="A294" s="4">
        <v>292</v>
      </c>
      <c r="B294" s="4"/>
      <c r="C294" s="4">
        <v>19</v>
      </c>
      <c r="D294" s="6">
        <v>45.71</v>
      </c>
      <c r="E294" s="6">
        <v>47.67</v>
      </c>
      <c r="F294" s="6">
        <v>46.4</v>
      </c>
      <c r="G294" s="6">
        <v>47.11</v>
      </c>
      <c r="H294" s="6">
        <v>46.96</v>
      </c>
      <c r="I294" s="6">
        <v>49.16</v>
      </c>
      <c r="J294" s="6">
        <v>47.6</v>
      </c>
      <c r="K294" s="6">
        <v>48.38</v>
      </c>
      <c r="L294" s="6">
        <v>47.76</v>
      </c>
      <c r="M294" s="6">
        <v>46.58</v>
      </c>
      <c r="N294" s="6">
        <v>48.79</v>
      </c>
      <c r="O294" s="6">
        <v>49.08</v>
      </c>
      <c r="P294" s="6">
        <v>47.66</v>
      </c>
      <c r="Q294" s="6">
        <v>46.61</v>
      </c>
      <c r="R294" s="6">
        <v>47.39</v>
      </c>
      <c r="S294" s="6">
        <v>47.39</v>
      </c>
      <c r="T294" s="6">
        <v>46.69</v>
      </c>
      <c r="U294" s="6">
        <v>47.9</v>
      </c>
      <c r="V294" s="6">
        <v>47.49</v>
      </c>
      <c r="W294" s="6">
        <v>46.9</v>
      </c>
      <c r="X294" s="6">
        <v>47.62</v>
      </c>
      <c r="Y294" s="6">
        <v>48.06</v>
      </c>
      <c r="Z294" s="6">
        <v>47.75</v>
      </c>
      <c r="AA294" s="6">
        <v>48.75</v>
      </c>
      <c r="AB294" s="6">
        <v>48.52</v>
      </c>
      <c r="AC294" s="6">
        <v>47.41</v>
      </c>
      <c r="AD294" s="6">
        <v>47.62</v>
      </c>
      <c r="AE294" s="6">
        <v>45.92</v>
      </c>
      <c r="AF294" s="6">
        <v>47.22</v>
      </c>
      <c r="AG294" s="6">
        <v>46.37</v>
      </c>
      <c r="AH294" s="6">
        <v>48.06</v>
      </c>
      <c r="AI294" s="6">
        <v>48.02</v>
      </c>
      <c r="AJ294" s="6">
        <v>45.59</v>
      </c>
      <c r="AK294" s="6">
        <v>47.55</v>
      </c>
      <c r="AL294" s="6">
        <v>44.82</v>
      </c>
      <c r="AM294" s="6">
        <v>46.58</v>
      </c>
      <c r="AN294" s="6">
        <v>48.54</v>
      </c>
      <c r="AO294" s="6">
        <v>48.22</v>
      </c>
      <c r="AP294" s="6">
        <v>46.3</v>
      </c>
      <c r="AQ294" s="6">
        <v>45.72</v>
      </c>
      <c r="AR294" s="6">
        <v>48.25</v>
      </c>
      <c r="AS294" s="6">
        <v>47.85</v>
      </c>
      <c r="AT294" s="6">
        <v>45.32</v>
      </c>
      <c r="AU294" s="6">
        <v>46.79</v>
      </c>
      <c r="AV294" s="6"/>
      <c r="AW294" s="6"/>
      <c r="AX294" s="6">
        <v>46.27</v>
      </c>
      <c r="AY294" s="6">
        <v>45.85</v>
      </c>
      <c r="AZ294" s="6">
        <v>46.94</v>
      </c>
      <c r="BA294" s="6">
        <v>46.44</v>
      </c>
      <c r="BB294" s="6">
        <v>47.64</v>
      </c>
      <c r="BC294" s="6">
        <v>47.57</v>
      </c>
      <c r="BD294" s="6">
        <v>45.62</v>
      </c>
      <c r="BE294" s="6">
        <v>47.24</v>
      </c>
      <c r="BF294" s="6">
        <v>46.9</v>
      </c>
      <c r="BG294" s="6">
        <v>46.98</v>
      </c>
      <c r="BH294" s="6">
        <v>47.38</v>
      </c>
      <c r="BI294" s="6">
        <v>46.7</v>
      </c>
      <c r="BJ294" s="6">
        <v>47.6</v>
      </c>
      <c r="BK294" s="6">
        <v>46.85</v>
      </c>
      <c r="BL294" s="6">
        <v>43.59</v>
      </c>
      <c r="BM294" s="7">
        <v>44.15</v>
      </c>
      <c r="BN294" s="10"/>
    </row>
    <row r="295" spans="1:66" ht="15.75" customHeight="1" x14ac:dyDescent="0.25">
      <c r="A295" s="4">
        <v>293</v>
      </c>
      <c r="B295" s="4"/>
      <c r="C295" s="4">
        <v>20</v>
      </c>
      <c r="D295" s="6">
        <v>45.57</v>
      </c>
      <c r="E295" s="6">
        <v>47.6</v>
      </c>
      <c r="F295" s="6">
        <v>46.38</v>
      </c>
      <c r="G295" s="6">
        <v>47.06</v>
      </c>
      <c r="H295" s="6">
        <v>46.91</v>
      </c>
      <c r="I295" s="6">
        <v>49.03</v>
      </c>
      <c r="J295" s="6">
        <v>47.6</v>
      </c>
      <c r="K295" s="6">
        <v>48.24</v>
      </c>
      <c r="L295" s="6">
        <v>47.7</v>
      </c>
      <c r="M295" s="6">
        <v>46.44</v>
      </c>
      <c r="N295" s="6">
        <v>48.63</v>
      </c>
      <c r="O295" s="6">
        <v>49.08</v>
      </c>
      <c r="P295" s="6">
        <v>47.53</v>
      </c>
      <c r="Q295" s="6">
        <v>46.46</v>
      </c>
      <c r="R295" s="6">
        <v>47.38</v>
      </c>
      <c r="S295" s="6">
        <v>47.35</v>
      </c>
      <c r="T295" s="6">
        <v>46.72</v>
      </c>
      <c r="U295" s="6">
        <v>47.86</v>
      </c>
      <c r="V295" s="6">
        <v>47.32</v>
      </c>
      <c r="W295" s="6">
        <v>46.77</v>
      </c>
      <c r="X295" s="6">
        <v>47.52</v>
      </c>
      <c r="Y295" s="6">
        <v>48.02</v>
      </c>
      <c r="Z295" s="6">
        <v>47.6</v>
      </c>
      <c r="AA295" s="6">
        <v>48.8</v>
      </c>
      <c r="AB295" s="6">
        <v>48.4</v>
      </c>
      <c r="AC295" s="6">
        <v>47.32</v>
      </c>
      <c r="AD295" s="6">
        <v>47.62</v>
      </c>
      <c r="AE295" s="6">
        <v>45.84</v>
      </c>
      <c r="AF295" s="6">
        <v>47.12</v>
      </c>
      <c r="AG295" s="6">
        <v>46.25</v>
      </c>
      <c r="AH295" s="6">
        <v>47.98</v>
      </c>
      <c r="AI295" s="6">
        <v>47.98</v>
      </c>
      <c r="AJ295" s="6">
        <v>45.53</v>
      </c>
      <c r="AK295" s="6">
        <v>47.51</v>
      </c>
      <c r="AL295" s="6">
        <v>44.78</v>
      </c>
      <c r="AM295" s="6">
        <v>46.46</v>
      </c>
      <c r="AN295" s="6">
        <v>48.58</v>
      </c>
      <c r="AO295" s="6">
        <v>48.14</v>
      </c>
      <c r="AP295" s="6">
        <v>46.28</v>
      </c>
      <c r="AQ295" s="6">
        <v>45.61</v>
      </c>
      <c r="AR295" s="6">
        <v>48.22</v>
      </c>
      <c r="AS295" s="6">
        <v>47.7</v>
      </c>
      <c r="AT295" s="6">
        <v>45.32</v>
      </c>
      <c r="AU295" s="6">
        <v>46.65</v>
      </c>
      <c r="AV295" s="6"/>
      <c r="AW295" s="6"/>
      <c r="AX295" s="6">
        <v>46.2</v>
      </c>
      <c r="AY295" s="6">
        <v>45.78</v>
      </c>
      <c r="AZ295" s="6">
        <v>46.96</v>
      </c>
      <c r="BA295" s="6">
        <v>46.44</v>
      </c>
      <c r="BB295" s="6">
        <v>47.52</v>
      </c>
      <c r="BC295" s="6">
        <v>47.6</v>
      </c>
      <c r="BD295" s="6">
        <v>45.64</v>
      </c>
      <c r="BE295" s="6">
        <v>47.22</v>
      </c>
      <c r="BF295" s="6">
        <v>46.9</v>
      </c>
      <c r="BG295" s="6">
        <v>46.87</v>
      </c>
      <c r="BH295" s="6">
        <v>47.46</v>
      </c>
      <c r="BI295" s="6">
        <v>46.66</v>
      </c>
      <c r="BJ295" s="6">
        <v>47.44</v>
      </c>
      <c r="BK295" s="6">
        <v>46.86</v>
      </c>
      <c r="BL295" s="6">
        <v>43.59</v>
      </c>
      <c r="BM295" s="7">
        <v>44.1</v>
      </c>
      <c r="BN295" s="10"/>
    </row>
    <row r="296" spans="1:66" ht="15.75" customHeight="1" x14ac:dyDescent="0.25">
      <c r="A296" s="4">
        <v>294</v>
      </c>
      <c r="B296" s="4"/>
      <c r="C296" s="4">
        <v>21</v>
      </c>
      <c r="D296" s="6">
        <v>45.45</v>
      </c>
      <c r="E296" s="6">
        <v>47.48</v>
      </c>
      <c r="F296" s="6">
        <v>46.34</v>
      </c>
      <c r="G296" s="6">
        <v>46.96</v>
      </c>
      <c r="H296" s="6">
        <v>46.81</v>
      </c>
      <c r="I296" s="6">
        <v>48.89</v>
      </c>
      <c r="J296" s="6">
        <v>47.6</v>
      </c>
      <c r="K296" s="6">
        <v>48.13</v>
      </c>
      <c r="L296" s="6">
        <v>47.67</v>
      </c>
      <c r="M296" s="6">
        <v>46.3</v>
      </c>
      <c r="N296" s="6">
        <v>48.52</v>
      </c>
      <c r="O296" s="6">
        <v>48.99</v>
      </c>
      <c r="P296" s="6">
        <v>47.39</v>
      </c>
      <c r="Q296" s="6">
        <v>46.39</v>
      </c>
      <c r="R296" s="6">
        <v>47.32</v>
      </c>
      <c r="S296" s="6">
        <v>47.27</v>
      </c>
      <c r="T296" s="6">
        <v>46.75</v>
      </c>
      <c r="U296" s="6">
        <v>47.77</v>
      </c>
      <c r="V296" s="6">
        <v>47.17</v>
      </c>
      <c r="W296" s="6">
        <v>46.71</v>
      </c>
      <c r="X296" s="6">
        <v>47.42</v>
      </c>
      <c r="Y296" s="6">
        <v>47.98</v>
      </c>
      <c r="Z296" s="6">
        <v>47.42</v>
      </c>
      <c r="AA296" s="6">
        <v>48.86</v>
      </c>
      <c r="AB296" s="6">
        <v>48.25</v>
      </c>
      <c r="AC296" s="6">
        <v>47.32</v>
      </c>
      <c r="AD296" s="6">
        <v>47.63</v>
      </c>
      <c r="AE296" s="6">
        <v>45.69</v>
      </c>
      <c r="AF296" s="6">
        <v>46.97</v>
      </c>
      <c r="AG296" s="6">
        <v>46.26</v>
      </c>
      <c r="AH296" s="6">
        <v>47.93</v>
      </c>
      <c r="AI296" s="6">
        <v>47.94</v>
      </c>
      <c r="AJ296" s="6">
        <v>45.43</v>
      </c>
      <c r="AK296" s="6">
        <v>47.4</v>
      </c>
      <c r="AL296" s="6">
        <v>44.77</v>
      </c>
      <c r="AM296" s="6">
        <v>46.37</v>
      </c>
      <c r="AN296" s="6">
        <v>48.58</v>
      </c>
      <c r="AO296" s="6">
        <v>48.03</v>
      </c>
      <c r="AP296" s="6">
        <v>46.26</v>
      </c>
      <c r="AQ296" s="6">
        <v>45.5</v>
      </c>
      <c r="AR296" s="6">
        <v>48.2</v>
      </c>
      <c r="AS296" s="6">
        <v>47.58</v>
      </c>
      <c r="AT296" s="6">
        <v>45.31</v>
      </c>
      <c r="AU296" s="6">
        <v>46.64</v>
      </c>
      <c r="AV296" s="6"/>
      <c r="AW296" s="6"/>
      <c r="AX296" s="6">
        <v>46.18</v>
      </c>
      <c r="AY296" s="6">
        <v>45.82</v>
      </c>
      <c r="AZ296" s="6">
        <v>46.95</v>
      </c>
      <c r="BA296" s="6">
        <v>46.47</v>
      </c>
      <c r="BB296" s="6">
        <v>47.38</v>
      </c>
      <c r="BC296" s="6">
        <v>47.66</v>
      </c>
      <c r="BD296" s="6">
        <v>45.59</v>
      </c>
      <c r="BE296" s="6">
        <v>47.19</v>
      </c>
      <c r="BF296" s="6">
        <v>46.89</v>
      </c>
      <c r="BG296" s="6">
        <v>46.75</v>
      </c>
      <c r="BH296" s="6">
        <v>47.51</v>
      </c>
      <c r="BI296" s="6">
        <v>46.55</v>
      </c>
      <c r="BJ296" s="6">
        <v>47.34</v>
      </c>
      <c r="BK296" s="6">
        <v>46.86</v>
      </c>
      <c r="BL296" s="6">
        <v>43.64</v>
      </c>
      <c r="BM296" s="7">
        <v>44.05</v>
      </c>
      <c r="BN296" s="10"/>
    </row>
    <row r="297" spans="1:66" ht="15.75" customHeight="1" x14ac:dyDescent="0.25">
      <c r="A297" s="4">
        <v>295</v>
      </c>
      <c r="B297" s="4"/>
      <c r="C297" s="4">
        <v>22</v>
      </c>
      <c r="D297" s="6">
        <v>45.31</v>
      </c>
      <c r="E297" s="6">
        <v>47.35</v>
      </c>
      <c r="F297" s="6">
        <v>46.34</v>
      </c>
      <c r="G297" s="6">
        <v>46.86</v>
      </c>
      <c r="H297" s="6">
        <v>46.76</v>
      </c>
      <c r="I297" s="6">
        <v>48.63</v>
      </c>
      <c r="J297" s="6">
        <v>47.55</v>
      </c>
      <c r="K297" s="6">
        <v>47.99</v>
      </c>
      <c r="L297" s="6">
        <v>47.65</v>
      </c>
      <c r="M297" s="6">
        <v>46.15</v>
      </c>
      <c r="N297" s="6">
        <v>48.46</v>
      </c>
      <c r="O297" s="6">
        <v>48.92</v>
      </c>
      <c r="P297" s="6">
        <v>47.26</v>
      </c>
      <c r="Q297" s="6">
        <v>46.31</v>
      </c>
      <c r="R297" s="6">
        <v>47.32</v>
      </c>
      <c r="S297" s="6">
        <v>47.21</v>
      </c>
      <c r="T297" s="6">
        <v>46.84</v>
      </c>
      <c r="U297" s="6">
        <v>47.73</v>
      </c>
      <c r="V297" s="6">
        <v>47.07</v>
      </c>
      <c r="W297" s="6">
        <v>46.68</v>
      </c>
      <c r="X297" s="6">
        <v>47.32</v>
      </c>
      <c r="Y297" s="6">
        <v>47.8</v>
      </c>
      <c r="Z297" s="6">
        <v>47.28</v>
      </c>
      <c r="AA297" s="6">
        <v>48.88</v>
      </c>
      <c r="AB297" s="6">
        <v>48.13</v>
      </c>
      <c r="AC297" s="6">
        <v>47.24</v>
      </c>
      <c r="AD297" s="6">
        <v>47.56</v>
      </c>
      <c r="AE297" s="6">
        <v>45.57</v>
      </c>
      <c r="AF297" s="6">
        <v>46.84</v>
      </c>
      <c r="AG297" s="6">
        <v>46.08</v>
      </c>
      <c r="AH297" s="6">
        <v>47.84</v>
      </c>
      <c r="AI297" s="6">
        <v>47.9</v>
      </c>
      <c r="AJ297" s="6">
        <v>45.34</v>
      </c>
      <c r="AK297" s="6">
        <v>47.48</v>
      </c>
      <c r="AL297" s="6">
        <v>44.76</v>
      </c>
      <c r="AM297" s="6">
        <v>46.28</v>
      </c>
      <c r="AN297" s="6">
        <v>48.55</v>
      </c>
      <c r="AO297" s="6">
        <v>47.95</v>
      </c>
      <c r="AP297" s="6">
        <v>46.2</v>
      </c>
      <c r="AQ297" s="6">
        <v>45.4</v>
      </c>
      <c r="AR297" s="6">
        <v>48.2</v>
      </c>
      <c r="AS297" s="6">
        <v>47.47</v>
      </c>
      <c r="AT297" s="6">
        <v>45.25</v>
      </c>
      <c r="AU297" s="6">
        <v>46.68</v>
      </c>
      <c r="AV297" s="6"/>
      <c r="AW297" s="6"/>
      <c r="AX297" s="6">
        <v>46.14</v>
      </c>
      <c r="AY297" s="6">
        <v>45.84</v>
      </c>
      <c r="AZ297" s="6">
        <v>46.91</v>
      </c>
      <c r="BA297" s="6">
        <v>46.5</v>
      </c>
      <c r="BB297" s="6">
        <v>47.22</v>
      </c>
      <c r="BC297" s="6">
        <v>47.66</v>
      </c>
      <c r="BD297" s="6">
        <v>45.52</v>
      </c>
      <c r="BE297" s="6">
        <v>47.15</v>
      </c>
      <c r="BF297" s="6">
        <v>46.82</v>
      </c>
      <c r="BG297" s="6">
        <v>46.66</v>
      </c>
      <c r="BH297" s="6">
        <v>47.52</v>
      </c>
      <c r="BI297" s="6">
        <v>46.49</v>
      </c>
      <c r="BJ297" s="6">
        <v>47.28</v>
      </c>
      <c r="BK297" s="6">
        <v>46.86</v>
      </c>
      <c r="BL297" s="6">
        <v>43.64</v>
      </c>
      <c r="BM297" s="7">
        <v>43.95</v>
      </c>
      <c r="BN297" s="10"/>
    </row>
    <row r="298" spans="1:66" ht="15.75" customHeight="1" x14ac:dyDescent="0.25">
      <c r="A298" s="4">
        <v>296</v>
      </c>
      <c r="B298" s="4"/>
      <c r="C298" s="4">
        <v>23</v>
      </c>
      <c r="D298" s="6">
        <v>45.19</v>
      </c>
      <c r="E298" s="6">
        <v>47.23</v>
      </c>
      <c r="F298" s="6">
        <v>46.32</v>
      </c>
      <c r="G298" s="6">
        <v>46.76</v>
      </c>
      <c r="H298" s="6">
        <v>46.63</v>
      </c>
      <c r="I298" s="6">
        <v>48.37</v>
      </c>
      <c r="J298" s="6">
        <v>47.53</v>
      </c>
      <c r="K298" s="6">
        <v>47.87</v>
      </c>
      <c r="L298" s="6">
        <v>47.57</v>
      </c>
      <c r="M298" s="6">
        <v>46</v>
      </c>
      <c r="N298" s="6">
        <v>48.28</v>
      </c>
      <c r="O298" s="6">
        <v>48.83</v>
      </c>
      <c r="P298" s="6">
        <v>47.14</v>
      </c>
      <c r="Q298" s="6">
        <v>46.22</v>
      </c>
      <c r="R298" s="6">
        <v>47.32</v>
      </c>
      <c r="S298" s="6">
        <v>47.16</v>
      </c>
      <c r="T298" s="6">
        <v>46.92</v>
      </c>
      <c r="U298" s="6">
        <v>47.64</v>
      </c>
      <c r="V298" s="6">
        <v>46.98</v>
      </c>
      <c r="W298" s="6">
        <v>46.6</v>
      </c>
      <c r="X298" s="6">
        <v>47.22</v>
      </c>
      <c r="Y298" s="6">
        <v>47.8</v>
      </c>
      <c r="Z298" s="6">
        <v>47.16</v>
      </c>
      <c r="AA298" s="6">
        <v>48.9</v>
      </c>
      <c r="AB298" s="6">
        <v>48.08</v>
      </c>
      <c r="AC298" s="6">
        <v>47.22</v>
      </c>
      <c r="AD298" s="6">
        <v>47.55</v>
      </c>
      <c r="AE298" s="6">
        <v>45.46</v>
      </c>
      <c r="AF298" s="6">
        <v>46.73</v>
      </c>
      <c r="AG298" s="6">
        <v>46</v>
      </c>
      <c r="AH298" s="6">
        <v>47.77</v>
      </c>
      <c r="AI298" s="6">
        <v>47.9</v>
      </c>
      <c r="AJ298" s="6">
        <v>45.24</v>
      </c>
      <c r="AK298" s="6">
        <v>47.45</v>
      </c>
      <c r="AL298" s="6">
        <v>44.73</v>
      </c>
      <c r="AM298" s="6">
        <v>46.17</v>
      </c>
      <c r="AN298" s="6">
        <v>48.53</v>
      </c>
      <c r="AO298" s="6">
        <v>47.85</v>
      </c>
      <c r="AP298" s="6">
        <v>46.11</v>
      </c>
      <c r="AQ298" s="6">
        <v>45.4</v>
      </c>
      <c r="AR298" s="6">
        <v>48.18</v>
      </c>
      <c r="AS298" s="6">
        <v>47.35</v>
      </c>
      <c r="AT298" s="6">
        <v>45.2</v>
      </c>
      <c r="AU298" s="6">
        <v>46.74</v>
      </c>
      <c r="AV298" s="6"/>
      <c r="AW298" s="6"/>
      <c r="AX298" s="6">
        <v>46.09</v>
      </c>
      <c r="AY298" s="6">
        <v>45.8</v>
      </c>
      <c r="AZ298" s="6">
        <v>46.9</v>
      </c>
      <c r="BA298" s="6">
        <v>46.55</v>
      </c>
      <c r="BB298" s="6">
        <v>47.15</v>
      </c>
      <c r="BC298" s="6">
        <v>47.68</v>
      </c>
      <c r="BD298" s="6">
        <v>45.4</v>
      </c>
      <c r="BE298" s="6">
        <v>47.1</v>
      </c>
      <c r="BF298" s="6">
        <v>46.8</v>
      </c>
      <c r="BG298" s="6">
        <v>46.61</v>
      </c>
      <c r="BH298" s="6">
        <v>47.54</v>
      </c>
      <c r="BI298" s="6">
        <v>46.49</v>
      </c>
      <c r="BJ298" s="6">
        <v>47.24</v>
      </c>
      <c r="BK298" s="6">
        <v>46.86</v>
      </c>
      <c r="BL298" s="6">
        <v>43.65</v>
      </c>
      <c r="BM298" s="7">
        <v>43.85</v>
      </c>
      <c r="BN298" s="10"/>
    </row>
    <row r="299" spans="1:66" ht="15.75" customHeight="1" x14ac:dyDescent="0.25">
      <c r="A299" s="4">
        <v>297</v>
      </c>
      <c r="B299" s="4"/>
      <c r="C299" s="4">
        <v>24</v>
      </c>
      <c r="D299" s="6">
        <v>45.07</v>
      </c>
      <c r="E299" s="6">
        <v>47.16</v>
      </c>
      <c r="F299" s="6">
        <v>46.29</v>
      </c>
      <c r="G299" s="6">
        <v>46.66</v>
      </c>
      <c r="H299" s="6">
        <v>46.56</v>
      </c>
      <c r="I299" s="6">
        <v>48.26</v>
      </c>
      <c r="J299" s="6">
        <v>47.51</v>
      </c>
      <c r="K299" s="6">
        <v>47.74</v>
      </c>
      <c r="L299" s="6">
        <v>47.57</v>
      </c>
      <c r="M299" s="6">
        <v>45.86</v>
      </c>
      <c r="N299" s="6">
        <v>48.18</v>
      </c>
      <c r="O299" s="6">
        <v>48.74</v>
      </c>
      <c r="P299" s="6">
        <v>47.04</v>
      </c>
      <c r="Q299" s="6">
        <v>46.13</v>
      </c>
      <c r="R299" s="6">
        <v>47.31</v>
      </c>
      <c r="S299" s="6">
        <v>47.13</v>
      </c>
      <c r="T299" s="6">
        <v>47</v>
      </c>
      <c r="U299" s="6">
        <v>47.57</v>
      </c>
      <c r="V299" s="6">
        <v>46.88</v>
      </c>
      <c r="W299" s="6">
        <v>46.56</v>
      </c>
      <c r="X299" s="6">
        <v>47.1</v>
      </c>
      <c r="Y299" s="6">
        <v>47.72</v>
      </c>
      <c r="Z299" s="6">
        <v>47.14</v>
      </c>
      <c r="AA299" s="6">
        <v>48.94</v>
      </c>
      <c r="AB299" s="6">
        <v>48.01</v>
      </c>
      <c r="AC299" s="6">
        <v>47.2</v>
      </c>
      <c r="AD299" s="6">
        <v>47.52</v>
      </c>
      <c r="AE299" s="6">
        <v>45.35</v>
      </c>
      <c r="AF299" s="6">
        <v>46.62</v>
      </c>
      <c r="AG299" s="6">
        <v>45.94</v>
      </c>
      <c r="AH299" s="6">
        <v>47.73</v>
      </c>
      <c r="AI299" s="6">
        <v>47.89</v>
      </c>
      <c r="AJ299" s="6">
        <v>45.16</v>
      </c>
      <c r="AK299" s="6">
        <v>47.41</v>
      </c>
      <c r="AL299" s="6">
        <v>44.65</v>
      </c>
      <c r="AM299" s="6">
        <v>46.07</v>
      </c>
      <c r="AN299" s="6">
        <v>48.46</v>
      </c>
      <c r="AO299" s="6">
        <v>47.76</v>
      </c>
      <c r="AP299" s="6">
        <v>46.04</v>
      </c>
      <c r="AQ299" s="6">
        <v>45.42</v>
      </c>
      <c r="AR299" s="6">
        <v>48.13</v>
      </c>
      <c r="AS299" s="6">
        <v>47.24</v>
      </c>
      <c r="AT299" s="6">
        <v>45.15</v>
      </c>
      <c r="AU299" s="6">
        <v>46.74</v>
      </c>
      <c r="AV299" s="6"/>
      <c r="AW299" s="6"/>
      <c r="AX299" s="6">
        <v>46.03</v>
      </c>
      <c r="AY299" s="6">
        <v>45.7</v>
      </c>
      <c r="AZ299" s="6">
        <v>46.87</v>
      </c>
      <c r="BA299" s="6">
        <v>46.6</v>
      </c>
      <c r="BB299" s="6">
        <v>47.08</v>
      </c>
      <c r="BC299" s="6">
        <v>47.72</v>
      </c>
      <c r="BD299" s="6">
        <v>45.26</v>
      </c>
      <c r="BE299" s="6">
        <v>47.05</v>
      </c>
      <c r="BF299" s="6">
        <v>46.74</v>
      </c>
      <c r="BG299" s="6">
        <v>46.54</v>
      </c>
      <c r="BH299" s="6">
        <v>47.6</v>
      </c>
      <c r="BI299" s="6">
        <v>46.34</v>
      </c>
      <c r="BJ299" s="6">
        <v>47.21</v>
      </c>
      <c r="BK299" s="6">
        <v>46.88</v>
      </c>
      <c r="BL299" s="6">
        <v>43.7</v>
      </c>
      <c r="BM299" s="7">
        <v>43.79</v>
      </c>
      <c r="BN299" s="10"/>
    </row>
    <row r="300" spans="1:66" ht="15.75" customHeight="1" x14ac:dyDescent="0.25">
      <c r="A300" s="4">
        <v>298</v>
      </c>
      <c r="B300" s="4"/>
      <c r="C300" s="4">
        <v>25</v>
      </c>
      <c r="D300" s="6">
        <v>44.99</v>
      </c>
      <c r="E300" s="6">
        <v>47.12</v>
      </c>
      <c r="F300" s="6">
        <v>46.22</v>
      </c>
      <c r="G300" s="6">
        <v>46.61</v>
      </c>
      <c r="H300" s="6">
        <v>46.46</v>
      </c>
      <c r="I300" s="6">
        <v>48.16</v>
      </c>
      <c r="J300" s="6">
        <v>47.49</v>
      </c>
      <c r="K300" s="6">
        <v>47.63</v>
      </c>
      <c r="L300" s="6">
        <v>47.56</v>
      </c>
      <c r="M300" s="6">
        <v>45.76</v>
      </c>
      <c r="N300" s="6">
        <v>48.08</v>
      </c>
      <c r="O300" s="6">
        <v>48.66</v>
      </c>
      <c r="P300" s="6">
        <v>46.95</v>
      </c>
      <c r="Q300" s="6">
        <v>46.06</v>
      </c>
      <c r="R300" s="6">
        <v>47.28</v>
      </c>
      <c r="S300" s="6">
        <v>47.13</v>
      </c>
      <c r="T300" s="6">
        <v>47.08</v>
      </c>
      <c r="U300" s="6">
        <v>47.51</v>
      </c>
      <c r="V300" s="6">
        <v>46.77</v>
      </c>
      <c r="W300" s="6">
        <v>46.52</v>
      </c>
      <c r="X300" s="6">
        <v>47.01</v>
      </c>
      <c r="Y300" s="6">
        <v>47.62</v>
      </c>
      <c r="Z300" s="6">
        <v>47.05</v>
      </c>
      <c r="AA300" s="6">
        <v>48.97</v>
      </c>
      <c r="AB300" s="6">
        <v>47.97</v>
      </c>
      <c r="AC300" s="6">
        <v>47.12</v>
      </c>
      <c r="AD300" s="6">
        <v>47.44</v>
      </c>
      <c r="AE300" s="6">
        <v>45.26</v>
      </c>
      <c r="AF300" s="6">
        <v>46.53</v>
      </c>
      <c r="AG300" s="6">
        <v>45.88</v>
      </c>
      <c r="AH300" s="6">
        <v>47.62</v>
      </c>
      <c r="AI300" s="6">
        <v>47.88</v>
      </c>
      <c r="AJ300" s="6">
        <v>45.06</v>
      </c>
      <c r="AK300" s="6">
        <v>47.37</v>
      </c>
      <c r="AL300" s="6">
        <v>44.61</v>
      </c>
      <c r="AM300" s="6">
        <v>45.98</v>
      </c>
      <c r="AN300" s="6">
        <v>48.42</v>
      </c>
      <c r="AO300" s="6">
        <v>47.68</v>
      </c>
      <c r="AP300" s="6">
        <v>46</v>
      </c>
      <c r="AQ300" s="6">
        <v>45.5</v>
      </c>
      <c r="AR300" s="6">
        <v>48.05</v>
      </c>
      <c r="AS300" s="6">
        <v>47.12</v>
      </c>
      <c r="AT300" s="6">
        <v>45.04</v>
      </c>
      <c r="AU300" s="6">
        <v>46.74</v>
      </c>
      <c r="AV300" s="6"/>
      <c r="AW300" s="6"/>
      <c r="AX300" s="6">
        <v>45.94</v>
      </c>
      <c r="AY300" s="6">
        <v>45.6</v>
      </c>
      <c r="AZ300" s="6">
        <v>46.86</v>
      </c>
      <c r="BA300" s="6">
        <v>46.6</v>
      </c>
      <c r="BB300" s="6">
        <v>46.99</v>
      </c>
      <c r="BC300" s="6">
        <v>47.75</v>
      </c>
      <c r="BD300" s="6">
        <v>45.21</v>
      </c>
      <c r="BE300" s="6">
        <v>47</v>
      </c>
      <c r="BF300" s="6">
        <v>46.69</v>
      </c>
      <c r="BG300" s="6">
        <v>46.48</v>
      </c>
      <c r="BH300" s="6">
        <v>47.64</v>
      </c>
      <c r="BI300" s="6">
        <v>46.2</v>
      </c>
      <c r="BJ300" s="6">
        <v>47.12</v>
      </c>
      <c r="BK300" s="6">
        <v>46.92</v>
      </c>
      <c r="BL300" s="6">
        <v>43.81</v>
      </c>
      <c r="BM300" s="7">
        <v>43.72</v>
      </c>
      <c r="BN300" s="10"/>
    </row>
    <row r="301" spans="1:66" ht="15.75" customHeight="1" x14ac:dyDescent="0.25">
      <c r="A301" s="4">
        <v>299</v>
      </c>
      <c r="B301" s="4"/>
      <c r="C301" s="4">
        <v>26</v>
      </c>
      <c r="D301" s="6">
        <v>44.96</v>
      </c>
      <c r="E301" s="6">
        <v>47.08</v>
      </c>
      <c r="F301" s="6">
        <v>46.09</v>
      </c>
      <c r="G301" s="6">
        <v>46.56</v>
      </c>
      <c r="H301" s="6">
        <v>46.36</v>
      </c>
      <c r="I301" s="6">
        <v>48.07</v>
      </c>
      <c r="J301" s="6">
        <v>47.44</v>
      </c>
      <c r="K301" s="6">
        <v>47.53</v>
      </c>
      <c r="L301" s="6">
        <v>47.58</v>
      </c>
      <c r="M301" s="6">
        <v>45.71</v>
      </c>
      <c r="N301" s="6">
        <v>48.01</v>
      </c>
      <c r="O301" s="6">
        <v>48.58</v>
      </c>
      <c r="P301" s="6">
        <v>46.78</v>
      </c>
      <c r="Q301" s="6">
        <v>46.01</v>
      </c>
      <c r="R301" s="6">
        <v>47.29</v>
      </c>
      <c r="S301" s="6">
        <v>47.13</v>
      </c>
      <c r="T301" s="6">
        <v>47.21</v>
      </c>
      <c r="U301" s="6">
        <v>47.54</v>
      </c>
      <c r="V301" s="6">
        <v>46.66</v>
      </c>
      <c r="W301" s="6">
        <v>46.48</v>
      </c>
      <c r="X301" s="6">
        <v>46.94</v>
      </c>
      <c r="Y301" s="6">
        <v>47.57</v>
      </c>
      <c r="Z301" s="6">
        <v>47.02</v>
      </c>
      <c r="AA301" s="6">
        <v>48.99</v>
      </c>
      <c r="AB301" s="6">
        <v>47.92</v>
      </c>
      <c r="AC301" s="6">
        <v>47.07</v>
      </c>
      <c r="AD301" s="6">
        <v>47.4</v>
      </c>
      <c r="AE301" s="6">
        <v>45.19</v>
      </c>
      <c r="AF301" s="6">
        <v>46.38</v>
      </c>
      <c r="AG301" s="6">
        <v>45.82</v>
      </c>
      <c r="AH301" s="6">
        <v>47.53</v>
      </c>
      <c r="AI301" s="6">
        <v>47.85</v>
      </c>
      <c r="AJ301" s="6">
        <v>44.98</v>
      </c>
      <c r="AK301" s="6">
        <v>47.33</v>
      </c>
      <c r="AL301" s="6">
        <v>44.64</v>
      </c>
      <c r="AM301" s="6">
        <v>45.86</v>
      </c>
      <c r="AN301" s="6">
        <v>48.38</v>
      </c>
      <c r="AO301" s="6">
        <v>47.59</v>
      </c>
      <c r="AP301" s="6">
        <v>45.98</v>
      </c>
      <c r="AQ301" s="6">
        <v>45.61</v>
      </c>
      <c r="AR301" s="6">
        <v>47.97</v>
      </c>
      <c r="AS301" s="6">
        <v>47.01</v>
      </c>
      <c r="AT301" s="6">
        <v>44.94</v>
      </c>
      <c r="AU301" s="6">
        <v>46.74</v>
      </c>
      <c r="AV301" s="6"/>
      <c r="AW301" s="6"/>
      <c r="AX301" s="6">
        <v>45.84</v>
      </c>
      <c r="AY301" s="6">
        <v>45.53</v>
      </c>
      <c r="AZ301" s="6">
        <v>46.84</v>
      </c>
      <c r="BA301" s="6">
        <v>46.57</v>
      </c>
      <c r="BB301" s="6">
        <v>46.9</v>
      </c>
      <c r="BC301" s="6">
        <v>47.75</v>
      </c>
      <c r="BD301" s="6">
        <v>45.14</v>
      </c>
      <c r="BE301" s="6">
        <v>46.93</v>
      </c>
      <c r="BF301" s="6">
        <v>46.64</v>
      </c>
      <c r="BG301" s="6">
        <v>46.46</v>
      </c>
      <c r="BH301" s="6">
        <v>47.68</v>
      </c>
      <c r="BI301" s="6">
        <v>46.15</v>
      </c>
      <c r="BJ301" s="6">
        <v>47.12</v>
      </c>
      <c r="BK301" s="6">
        <v>46.96</v>
      </c>
      <c r="BL301" s="6">
        <v>43.9</v>
      </c>
      <c r="BM301" s="7">
        <v>43.66</v>
      </c>
      <c r="BN301" s="10"/>
    </row>
    <row r="302" spans="1:66" ht="15.75" customHeight="1" x14ac:dyDescent="0.25">
      <c r="A302" s="4">
        <v>300</v>
      </c>
      <c r="B302" s="4"/>
      <c r="C302" s="4">
        <v>27</v>
      </c>
      <c r="D302" s="6">
        <v>44.95</v>
      </c>
      <c r="E302" s="6">
        <v>47.02</v>
      </c>
      <c r="F302" s="6">
        <v>45.96</v>
      </c>
      <c r="G302" s="6">
        <v>46.51</v>
      </c>
      <c r="H302" s="6">
        <v>46.26</v>
      </c>
      <c r="I302" s="6">
        <v>48.01</v>
      </c>
      <c r="J302" s="6">
        <v>47.44</v>
      </c>
      <c r="K302" s="6">
        <v>47.5</v>
      </c>
      <c r="L302" s="6">
        <v>47.55</v>
      </c>
      <c r="M302" s="6">
        <v>45.66</v>
      </c>
      <c r="N302" s="6">
        <v>47.93</v>
      </c>
      <c r="O302" s="6">
        <v>48.46</v>
      </c>
      <c r="P302" s="6">
        <v>46.66</v>
      </c>
      <c r="Q302" s="6">
        <v>46.01</v>
      </c>
      <c r="R302" s="6">
        <v>47.34</v>
      </c>
      <c r="S302" s="6">
        <v>47.11</v>
      </c>
      <c r="T302" s="6">
        <v>47.35</v>
      </c>
      <c r="U302" s="6">
        <v>47.58</v>
      </c>
      <c r="V302" s="6">
        <v>46.49</v>
      </c>
      <c r="W302" s="6">
        <v>46.46</v>
      </c>
      <c r="X302" s="6">
        <v>46.88</v>
      </c>
      <c r="Y302" s="6">
        <v>47.46</v>
      </c>
      <c r="Z302" s="6">
        <v>46.95</v>
      </c>
      <c r="AA302" s="6">
        <v>49.02</v>
      </c>
      <c r="AB302" s="6">
        <v>47.92</v>
      </c>
      <c r="AC302" s="6">
        <v>47.03</v>
      </c>
      <c r="AD302" s="6">
        <v>47.32</v>
      </c>
      <c r="AE302" s="6">
        <v>45.14</v>
      </c>
      <c r="AF302" s="6">
        <v>46.28</v>
      </c>
      <c r="AG302" s="6">
        <v>45.79</v>
      </c>
      <c r="AH302" s="6">
        <v>47.46</v>
      </c>
      <c r="AI302" s="6">
        <v>47.8</v>
      </c>
      <c r="AJ302" s="6">
        <v>44.94</v>
      </c>
      <c r="AK302" s="6">
        <v>47.18</v>
      </c>
      <c r="AL302" s="6">
        <v>44.6</v>
      </c>
      <c r="AM302" s="6">
        <v>45.76</v>
      </c>
      <c r="AN302" s="6">
        <v>48.3</v>
      </c>
      <c r="AO302" s="6">
        <v>47.5</v>
      </c>
      <c r="AP302" s="6">
        <v>45.82</v>
      </c>
      <c r="AQ302" s="6">
        <v>45.72</v>
      </c>
      <c r="AR302" s="6">
        <v>47.89</v>
      </c>
      <c r="AS302" s="6">
        <v>46.89</v>
      </c>
      <c r="AT302" s="6">
        <v>44.87</v>
      </c>
      <c r="AU302" s="6">
        <v>46.75</v>
      </c>
      <c r="AV302" s="6"/>
      <c r="AW302" s="6"/>
      <c r="AX302" s="6">
        <v>45.73</v>
      </c>
      <c r="AY302" s="6">
        <v>45.52</v>
      </c>
      <c r="AZ302" s="6">
        <v>46.82</v>
      </c>
      <c r="BA302" s="6">
        <v>46.54</v>
      </c>
      <c r="BB302" s="6">
        <v>46.82</v>
      </c>
      <c r="BC302" s="6">
        <v>47.8</v>
      </c>
      <c r="BD302" s="6">
        <v>45.1</v>
      </c>
      <c r="BE302" s="6">
        <v>46.86</v>
      </c>
      <c r="BF302" s="6">
        <v>46.62</v>
      </c>
      <c r="BG302" s="6">
        <v>46.42</v>
      </c>
      <c r="BH302" s="6">
        <v>47.68</v>
      </c>
      <c r="BI302" s="6">
        <v>46.11</v>
      </c>
      <c r="BJ302" s="6">
        <v>47.24</v>
      </c>
      <c r="BK302" s="6">
        <v>46.96</v>
      </c>
      <c r="BL302" s="6">
        <v>43.95</v>
      </c>
      <c r="BM302" s="7">
        <v>43.61</v>
      </c>
      <c r="BN302" s="10"/>
    </row>
    <row r="303" spans="1:66" ht="15.75" customHeight="1" x14ac:dyDescent="0.25">
      <c r="A303" s="4">
        <v>301</v>
      </c>
      <c r="B303" s="4"/>
      <c r="C303" s="4">
        <v>28</v>
      </c>
      <c r="D303" s="6">
        <v>44.93</v>
      </c>
      <c r="E303" s="6">
        <v>46.96</v>
      </c>
      <c r="F303" s="6">
        <v>45.76</v>
      </c>
      <c r="G303" s="6">
        <v>46.41</v>
      </c>
      <c r="H303" s="6">
        <v>46.16</v>
      </c>
      <c r="I303" s="6">
        <v>47.93</v>
      </c>
      <c r="J303" s="6">
        <v>47.38</v>
      </c>
      <c r="K303" s="6">
        <v>47.46</v>
      </c>
      <c r="L303" s="6">
        <v>47.48</v>
      </c>
      <c r="M303" s="6">
        <v>45.71</v>
      </c>
      <c r="N303" s="6">
        <v>47.84</v>
      </c>
      <c r="O303" s="6">
        <v>48.31</v>
      </c>
      <c r="P303" s="6">
        <v>46.57</v>
      </c>
      <c r="Q303" s="6">
        <v>45.98</v>
      </c>
      <c r="R303" s="6">
        <v>47.33</v>
      </c>
      <c r="S303" s="6">
        <v>47.07</v>
      </c>
      <c r="T303" s="6">
        <v>47.44</v>
      </c>
      <c r="U303" s="6">
        <v>47.54</v>
      </c>
      <c r="V303" s="6">
        <v>46.44</v>
      </c>
      <c r="W303" s="6">
        <v>46.42</v>
      </c>
      <c r="X303" s="6">
        <v>46.86</v>
      </c>
      <c r="Y303" s="6">
        <v>47.35</v>
      </c>
      <c r="Z303" s="6">
        <v>46.92</v>
      </c>
      <c r="AA303" s="6">
        <v>49.01</v>
      </c>
      <c r="AB303" s="6">
        <v>47.83</v>
      </c>
      <c r="AC303" s="6">
        <v>46.95</v>
      </c>
      <c r="AD303" s="6">
        <v>47.24</v>
      </c>
      <c r="AE303" s="6">
        <v>45.14</v>
      </c>
      <c r="AF303" s="6">
        <v>46.2</v>
      </c>
      <c r="AG303" s="6">
        <v>45.7</v>
      </c>
      <c r="AH303" s="6">
        <v>47.39</v>
      </c>
      <c r="AI303" s="6">
        <v>47.7</v>
      </c>
      <c r="AJ303" s="6">
        <v>44.93</v>
      </c>
      <c r="AK303" s="6">
        <v>47.28</v>
      </c>
      <c r="AL303" s="6">
        <v>44.57</v>
      </c>
      <c r="AM303" s="6">
        <v>45.68</v>
      </c>
      <c r="AN303" s="6">
        <v>48.23</v>
      </c>
      <c r="AO303" s="6">
        <v>47.44</v>
      </c>
      <c r="AP303" s="6">
        <v>45.76</v>
      </c>
      <c r="AQ303" s="6">
        <v>45.76</v>
      </c>
      <c r="AR303" s="6">
        <v>47.82</v>
      </c>
      <c r="AS303" s="6">
        <v>46.77</v>
      </c>
      <c r="AT303" s="6">
        <v>44.87</v>
      </c>
      <c r="AU303" s="6">
        <v>46.73</v>
      </c>
      <c r="AV303" s="6"/>
      <c r="AW303" s="6"/>
      <c r="AX303" s="6">
        <v>45.59</v>
      </c>
      <c r="AY303" s="6">
        <v>45.52</v>
      </c>
      <c r="AZ303" s="6">
        <v>46.78</v>
      </c>
      <c r="BA303" s="6">
        <v>46.45</v>
      </c>
      <c r="BB303" s="6">
        <v>46.75</v>
      </c>
      <c r="BC303" s="6">
        <v>47.85</v>
      </c>
      <c r="BD303" s="6">
        <v>45.1</v>
      </c>
      <c r="BE303" s="6">
        <v>46.81</v>
      </c>
      <c r="BF303" s="6">
        <v>46.61</v>
      </c>
      <c r="BG303" s="6">
        <v>46.38</v>
      </c>
      <c r="BH303" s="6">
        <v>47.66</v>
      </c>
      <c r="BI303" s="6">
        <v>46</v>
      </c>
      <c r="BJ303" s="6">
        <v>47.4</v>
      </c>
      <c r="BK303" s="6">
        <v>46.94</v>
      </c>
      <c r="BL303" s="6">
        <v>43.97</v>
      </c>
      <c r="BM303" s="7">
        <v>43.59</v>
      </c>
      <c r="BN303" s="10"/>
    </row>
    <row r="304" spans="1:66" ht="15.75" customHeight="1" x14ac:dyDescent="0.25">
      <c r="A304" s="4">
        <v>302</v>
      </c>
      <c r="B304" s="4"/>
      <c r="C304" s="4">
        <v>29</v>
      </c>
      <c r="D304" s="6">
        <v>44.94</v>
      </c>
      <c r="E304" s="6">
        <v>46.76</v>
      </c>
      <c r="F304" s="6">
        <v>45.51</v>
      </c>
      <c r="G304" s="6">
        <v>46.26</v>
      </c>
      <c r="H304" s="6">
        <v>46.06</v>
      </c>
      <c r="I304" s="6">
        <v>47.87</v>
      </c>
      <c r="J304" s="6">
        <v>47.36</v>
      </c>
      <c r="K304" s="6">
        <v>47.44</v>
      </c>
      <c r="L304" s="6">
        <v>47.43</v>
      </c>
      <c r="M304" s="6">
        <v>45.75</v>
      </c>
      <c r="N304" s="6">
        <v>47.72</v>
      </c>
      <c r="O304" s="6">
        <v>48.15</v>
      </c>
      <c r="P304" s="6">
        <v>46.54</v>
      </c>
      <c r="Q304" s="6">
        <v>46</v>
      </c>
      <c r="R304" s="6">
        <v>47.27</v>
      </c>
      <c r="S304" s="6">
        <v>46.99</v>
      </c>
      <c r="T304" s="6">
        <v>47.48</v>
      </c>
      <c r="U304" s="6">
        <v>47.51</v>
      </c>
      <c r="V304" s="6">
        <v>46.34</v>
      </c>
      <c r="W304" s="6">
        <v>46.54</v>
      </c>
      <c r="X304" s="6">
        <v>46.93</v>
      </c>
      <c r="Y304" s="6">
        <v>47.25</v>
      </c>
      <c r="Z304" s="6">
        <v>46.92</v>
      </c>
      <c r="AA304" s="6">
        <v>49.01</v>
      </c>
      <c r="AB304" s="6">
        <v>47.76</v>
      </c>
      <c r="AC304" s="6">
        <v>47</v>
      </c>
      <c r="AD304" s="6">
        <v>47.14</v>
      </c>
      <c r="AE304" s="6">
        <v>45.17</v>
      </c>
      <c r="AF304" s="6">
        <v>46.16</v>
      </c>
      <c r="AG304" s="6">
        <v>45.61</v>
      </c>
      <c r="AH304" s="6">
        <v>47.34</v>
      </c>
      <c r="AI304" s="6">
        <v>47.57</v>
      </c>
      <c r="AJ304" s="6">
        <v>44.91</v>
      </c>
      <c r="AK304" s="6">
        <v>47.24</v>
      </c>
      <c r="AL304" s="6">
        <v>44.59</v>
      </c>
      <c r="AM304" s="6">
        <v>45.54</v>
      </c>
      <c r="AN304" s="6">
        <v>48.11</v>
      </c>
      <c r="AO304" s="6">
        <v>47.36</v>
      </c>
      <c r="AP304" s="6">
        <v>45.58</v>
      </c>
      <c r="AQ304" s="6">
        <v>45.83</v>
      </c>
      <c r="AR304" s="6">
        <v>47.74</v>
      </c>
      <c r="AS304" s="6">
        <v>46.66</v>
      </c>
      <c r="AT304" s="6">
        <v>44.76</v>
      </c>
      <c r="AU304" s="6">
        <v>46.8</v>
      </c>
      <c r="AV304" s="6"/>
      <c r="AW304" s="6"/>
      <c r="AX304" s="6">
        <v>45.48</v>
      </c>
      <c r="AY304" s="6">
        <v>45.49</v>
      </c>
      <c r="AZ304" s="6">
        <v>46.86</v>
      </c>
      <c r="BA304" s="6">
        <v>46.35</v>
      </c>
      <c r="BB304" s="6">
        <v>46.7</v>
      </c>
      <c r="BC304" s="6">
        <v>47.89</v>
      </c>
      <c r="BD304" s="6">
        <v>45.08</v>
      </c>
      <c r="BE304" s="6">
        <v>46.8</v>
      </c>
      <c r="BF304" s="6">
        <v>46.6</v>
      </c>
      <c r="BG304" s="6">
        <v>46.37</v>
      </c>
      <c r="BH304" s="6">
        <v>47.64</v>
      </c>
      <c r="BI304" s="6">
        <v>45.9</v>
      </c>
      <c r="BJ304" s="6">
        <v>47.48</v>
      </c>
      <c r="BK304" s="6">
        <v>47.02</v>
      </c>
      <c r="BL304" s="6">
        <v>43.99</v>
      </c>
      <c r="BM304" s="7">
        <v>43.57</v>
      </c>
      <c r="BN304" s="10"/>
    </row>
    <row r="305" spans="1:66" ht="15.75" customHeight="1" x14ac:dyDescent="0.25">
      <c r="A305" s="4">
        <v>303</v>
      </c>
      <c r="B305" s="4"/>
      <c r="C305" s="4">
        <v>30</v>
      </c>
      <c r="D305" s="6">
        <v>44.93</v>
      </c>
      <c r="E305" s="6">
        <v>46.56</v>
      </c>
      <c r="F305" s="6">
        <v>45.44</v>
      </c>
      <c r="G305" s="6">
        <v>46.21</v>
      </c>
      <c r="H305" s="6">
        <v>45.96</v>
      </c>
      <c r="I305" s="6">
        <v>47.79</v>
      </c>
      <c r="J305" s="6">
        <v>47.25</v>
      </c>
      <c r="K305" s="6">
        <v>47.44</v>
      </c>
      <c r="L305" s="6">
        <v>47.35</v>
      </c>
      <c r="M305" s="6">
        <v>45.83</v>
      </c>
      <c r="N305" s="6">
        <v>47.55</v>
      </c>
      <c r="O305" s="6">
        <v>48</v>
      </c>
      <c r="P305" s="6">
        <v>46.51</v>
      </c>
      <c r="Q305" s="6">
        <v>46</v>
      </c>
      <c r="R305" s="6">
        <v>47.21</v>
      </c>
      <c r="S305" s="6">
        <v>46.94</v>
      </c>
      <c r="T305" s="6">
        <v>47.51</v>
      </c>
      <c r="U305" s="6">
        <v>47.42</v>
      </c>
      <c r="V305" s="6">
        <v>46.2</v>
      </c>
      <c r="W305" s="6">
        <v>46.58</v>
      </c>
      <c r="X305" s="6">
        <v>46.94</v>
      </c>
      <c r="Y305" s="6">
        <v>47.12</v>
      </c>
      <c r="Z305" s="6">
        <v>46.92</v>
      </c>
      <c r="AA305" s="6">
        <v>49</v>
      </c>
      <c r="AB305" s="6">
        <v>47.71</v>
      </c>
      <c r="AC305" s="6">
        <v>47</v>
      </c>
      <c r="AD305" s="6">
        <v>47.04</v>
      </c>
      <c r="AE305" s="6">
        <v>45.15</v>
      </c>
      <c r="AF305" s="6">
        <v>46.13</v>
      </c>
      <c r="AG305" s="6">
        <v>45.51</v>
      </c>
      <c r="AH305" s="6">
        <v>47.28</v>
      </c>
      <c r="AI305" s="6">
        <v>47.44</v>
      </c>
      <c r="AJ305" s="6">
        <v>44.9</v>
      </c>
      <c r="AK305" s="6">
        <v>47.23</v>
      </c>
      <c r="AL305" s="6">
        <v>44.71</v>
      </c>
      <c r="AM305" s="6">
        <v>45.47</v>
      </c>
      <c r="AN305" s="6">
        <v>48.02</v>
      </c>
      <c r="AO305" s="6">
        <v>47.26</v>
      </c>
      <c r="AP305" s="6">
        <v>45.48</v>
      </c>
      <c r="AQ305" s="6">
        <v>45.92</v>
      </c>
      <c r="AR305" s="6">
        <v>47.66</v>
      </c>
      <c r="AS305" s="6">
        <v>46.54</v>
      </c>
      <c r="AT305" s="6">
        <v>44.7</v>
      </c>
      <c r="AU305" s="6">
        <v>46.91</v>
      </c>
      <c r="AV305" s="6"/>
      <c r="AW305" s="6"/>
      <c r="AX305" s="6">
        <v>45.34</v>
      </c>
      <c r="AY305" s="6">
        <v>45.43</v>
      </c>
      <c r="AZ305" s="6">
        <v>46.87</v>
      </c>
      <c r="BA305" s="6">
        <v>46.24</v>
      </c>
      <c r="BB305" s="6">
        <v>46.64</v>
      </c>
      <c r="BC305" s="6">
        <v>47.93</v>
      </c>
      <c r="BD305" s="6">
        <v>45.08</v>
      </c>
      <c r="BE305" s="6">
        <v>46.75</v>
      </c>
      <c r="BF305" s="6">
        <v>46.65</v>
      </c>
      <c r="BG305" s="6">
        <v>46.35</v>
      </c>
      <c r="BH305" s="6">
        <v>47.62</v>
      </c>
      <c r="BI305" s="6">
        <v>45.82</v>
      </c>
      <c r="BJ305" s="6">
        <v>47.48</v>
      </c>
      <c r="BK305" s="6">
        <v>47.04</v>
      </c>
      <c r="BL305" s="6">
        <v>43.99</v>
      </c>
      <c r="BM305" s="7">
        <v>43.56</v>
      </c>
      <c r="BN305" s="10"/>
    </row>
    <row r="306" spans="1:66" ht="15.75" customHeight="1" x14ac:dyDescent="0.25">
      <c r="A306" s="4">
        <v>304</v>
      </c>
      <c r="B306" s="4"/>
      <c r="C306" s="4">
        <v>31</v>
      </c>
      <c r="D306" s="6">
        <v>44.94</v>
      </c>
      <c r="E306" s="6">
        <v>46.36</v>
      </c>
      <c r="F306" s="6">
        <v>45.33</v>
      </c>
      <c r="G306" s="6">
        <v>46.16</v>
      </c>
      <c r="H306" s="6">
        <v>45.96</v>
      </c>
      <c r="I306" s="6">
        <v>47.75</v>
      </c>
      <c r="J306" s="6">
        <v>47.22</v>
      </c>
      <c r="K306" s="6">
        <v>47.43</v>
      </c>
      <c r="L306" s="6">
        <v>47.31</v>
      </c>
      <c r="M306" s="6">
        <v>45.88</v>
      </c>
      <c r="N306" s="6">
        <v>47.42</v>
      </c>
      <c r="O306" s="6">
        <v>47.85</v>
      </c>
      <c r="P306" s="6">
        <v>46.49</v>
      </c>
      <c r="Q306" s="6">
        <v>45.97</v>
      </c>
      <c r="R306" s="6">
        <v>47.16</v>
      </c>
      <c r="S306" s="6">
        <v>46.86</v>
      </c>
      <c r="T306" s="6">
        <v>47.53</v>
      </c>
      <c r="U306" s="6">
        <v>47.34</v>
      </c>
      <c r="V306" s="6">
        <v>46.11</v>
      </c>
      <c r="W306" s="6">
        <v>46.57</v>
      </c>
      <c r="X306" s="6">
        <v>46.98</v>
      </c>
      <c r="Y306" s="6">
        <v>47.01</v>
      </c>
      <c r="Z306" s="6">
        <v>46.92</v>
      </c>
      <c r="AA306" s="6">
        <v>48.99</v>
      </c>
      <c r="AB306" s="6">
        <v>47.63</v>
      </c>
      <c r="AC306" s="6">
        <v>47.02</v>
      </c>
      <c r="AD306" s="6">
        <v>46.95</v>
      </c>
      <c r="AE306" s="6">
        <v>45.14</v>
      </c>
      <c r="AF306" s="6">
        <v>45.99</v>
      </c>
      <c r="AG306" s="6">
        <v>45.41</v>
      </c>
      <c r="AH306" s="6">
        <v>47.24</v>
      </c>
      <c r="AI306" s="6">
        <v>47.2</v>
      </c>
      <c r="AJ306" s="6">
        <v>44.8</v>
      </c>
      <c r="AK306" s="6">
        <v>47.17</v>
      </c>
      <c r="AL306" s="6">
        <v>44.61</v>
      </c>
      <c r="AM306" s="6">
        <v>45.39</v>
      </c>
      <c r="AN306" s="6">
        <v>47.93</v>
      </c>
      <c r="AO306" s="6">
        <v>47.16</v>
      </c>
      <c r="AP306" s="6">
        <v>45.41</v>
      </c>
      <c r="AQ306" s="6">
        <v>46</v>
      </c>
      <c r="AR306" s="6">
        <v>47.58</v>
      </c>
      <c r="AS306" s="6">
        <v>46.43</v>
      </c>
      <c r="AT306" s="6">
        <v>44.73</v>
      </c>
      <c r="AU306" s="6">
        <v>46.95</v>
      </c>
      <c r="AV306" s="6"/>
      <c r="AW306" s="6"/>
      <c r="AX306" s="6">
        <v>45.24</v>
      </c>
      <c r="AY306" s="6">
        <v>45.38</v>
      </c>
      <c r="AZ306" s="6">
        <v>46.83</v>
      </c>
      <c r="BA306" s="6">
        <v>46.08</v>
      </c>
      <c r="BB306" s="6">
        <v>46.62</v>
      </c>
      <c r="BC306" s="6">
        <v>47.93</v>
      </c>
      <c r="BD306" s="6">
        <v>45.08</v>
      </c>
      <c r="BE306" s="6">
        <v>46.69</v>
      </c>
      <c r="BF306" s="6">
        <v>46.62</v>
      </c>
      <c r="BG306" s="6">
        <v>46.32</v>
      </c>
      <c r="BH306" s="6">
        <v>47.6</v>
      </c>
      <c r="BI306" s="6">
        <v>45.81</v>
      </c>
      <c r="BJ306" s="6">
        <v>47.5</v>
      </c>
      <c r="BK306" s="6">
        <v>47.04</v>
      </c>
      <c r="BL306" s="6">
        <v>43.98</v>
      </c>
      <c r="BM306" s="7">
        <v>43.55</v>
      </c>
      <c r="BN306" s="10"/>
    </row>
    <row r="307" spans="1:66" ht="15.75" customHeight="1" x14ac:dyDescent="0.25">
      <c r="A307" s="4">
        <v>305</v>
      </c>
      <c r="B307" s="5" t="s">
        <v>14</v>
      </c>
      <c r="C307" s="4">
        <v>1</v>
      </c>
      <c r="D307" s="6">
        <v>44.94</v>
      </c>
      <c r="E307" s="6">
        <v>46.11</v>
      </c>
      <c r="F307" s="6">
        <v>45.22</v>
      </c>
      <c r="G307" s="6">
        <v>46.06</v>
      </c>
      <c r="H307" s="6">
        <v>45.86</v>
      </c>
      <c r="I307" s="6">
        <v>47.71</v>
      </c>
      <c r="J307" s="6">
        <v>47.12</v>
      </c>
      <c r="K307" s="6">
        <v>47.36</v>
      </c>
      <c r="L307" s="6">
        <v>47.27</v>
      </c>
      <c r="M307" s="6">
        <v>45.93</v>
      </c>
      <c r="N307" s="6">
        <v>47.26</v>
      </c>
      <c r="O307" s="6">
        <v>47.7</v>
      </c>
      <c r="P307" s="6">
        <v>46.47</v>
      </c>
      <c r="Q307" s="6">
        <v>45.94</v>
      </c>
      <c r="R307" s="6">
        <v>47.08</v>
      </c>
      <c r="S307" s="6">
        <v>46.82</v>
      </c>
      <c r="T307" s="6">
        <v>47.51</v>
      </c>
      <c r="U307" s="6">
        <v>47.28</v>
      </c>
      <c r="V307" s="6">
        <v>46.01</v>
      </c>
      <c r="W307" s="6">
        <v>46.56</v>
      </c>
      <c r="X307" s="6">
        <v>47</v>
      </c>
      <c r="Y307" s="6">
        <v>46.91</v>
      </c>
      <c r="Z307" s="6">
        <v>46.9</v>
      </c>
      <c r="AA307" s="6">
        <v>48.95</v>
      </c>
      <c r="AB307" s="6">
        <v>47.53</v>
      </c>
      <c r="AC307" s="6">
        <v>46.98</v>
      </c>
      <c r="AD307" s="6">
        <v>46.82</v>
      </c>
      <c r="AE307" s="6">
        <v>45.12</v>
      </c>
      <c r="AF307" s="6">
        <v>46.06</v>
      </c>
      <c r="AG307" s="6">
        <v>45.27</v>
      </c>
      <c r="AH307" s="6">
        <v>47.22</v>
      </c>
      <c r="AI307" s="6">
        <v>47.2</v>
      </c>
      <c r="AJ307" s="6">
        <v>44.89</v>
      </c>
      <c r="AK307" s="6">
        <v>47.09</v>
      </c>
      <c r="AL307" s="6">
        <v>44.55</v>
      </c>
      <c r="AM307" s="6">
        <v>45.32</v>
      </c>
      <c r="AN307" s="6">
        <v>47.87</v>
      </c>
      <c r="AO307" s="6">
        <v>47.08</v>
      </c>
      <c r="AP307" s="6">
        <v>45.3</v>
      </c>
      <c r="AQ307" s="6">
        <v>46.03</v>
      </c>
      <c r="AR307" s="6">
        <v>47.5</v>
      </c>
      <c r="AS307" s="6">
        <v>46.31</v>
      </c>
      <c r="AT307" s="6">
        <v>44.71</v>
      </c>
      <c r="AU307" s="6">
        <v>46.96</v>
      </c>
      <c r="AV307" s="6"/>
      <c r="AW307" s="6"/>
      <c r="AX307" s="6">
        <v>45.21</v>
      </c>
      <c r="AY307" s="6">
        <v>45.35</v>
      </c>
      <c r="AZ307" s="6">
        <v>46.82</v>
      </c>
      <c r="BA307" s="6">
        <v>45.97</v>
      </c>
      <c r="BB307" s="6">
        <v>46.53</v>
      </c>
      <c r="BC307" s="6">
        <v>47.92</v>
      </c>
      <c r="BD307" s="6">
        <v>45.07</v>
      </c>
      <c r="BE307" s="6">
        <v>46.6</v>
      </c>
      <c r="BF307" s="6">
        <v>46.6</v>
      </c>
      <c r="BG307" s="6">
        <v>46.28</v>
      </c>
      <c r="BH307" s="6">
        <v>47.5</v>
      </c>
      <c r="BI307" s="6">
        <v>45.78</v>
      </c>
      <c r="BJ307" s="6">
        <v>47.47</v>
      </c>
      <c r="BK307" s="6">
        <v>47.02</v>
      </c>
      <c r="BL307" s="6">
        <v>43.94</v>
      </c>
      <c r="BM307" s="7">
        <v>43.53</v>
      </c>
      <c r="BN307" s="10"/>
    </row>
    <row r="308" spans="1:66" ht="15.75" customHeight="1" x14ac:dyDescent="0.25">
      <c r="A308" s="4">
        <v>306</v>
      </c>
      <c r="B308" s="4"/>
      <c r="C308" s="4">
        <v>2</v>
      </c>
      <c r="D308" s="6">
        <v>45.03</v>
      </c>
      <c r="E308" s="6">
        <v>45.95</v>
      </c>
      <c r="F308" s="6">
        <v>45.22</v>
      </c>
      <c r="G308" s="6">
        <v>45.96</v>
      </c>
      <c r="H308" s="6">
        <v>45.86</v>
      </c>
      <c r="I308" s="6">
        <v>47.63</v>
      </c>
      <c r="J308" s="6">
        <v>47.08</v>
      </c>
      <c r="K308" s="6">
        <v>47.32</v>
      </c>
      <c r="L308" s="6">
        <v>47.26</v>
      </c>
      <c r="M308" s="6">
        <v>45.96</v>
      </c>
      <c r="N308" s="6">
        <v>47.1</v>
      </c>
      <c r="O308" s="6">
        <v>47.58</v>
      </c>
      <c r="P308" s="6">
        <v>46.49</v>
      </c>
      <c r="Q308" s="6">
        <v>45.9</v>
      </c>
      <c r="R308" s="6">
        <v>47.03</v>
      </c>
      <c r="S308" s="6">
        <v>46.78</v>
      </c>
      <c r="T308" s="6">
        <v>47.51</v>
      </c>
      <c r="U308" s="6">
        <v>47.24</v>
      </c>
      <c r="V308" s="6">
        <v>45.94</v>
      </c>
      <c r="W308" s="6">
        <v>46.53</v>
      </c>
      <c r="X308" s="6">
        <v>47</v>
      </c>
      <c r="Y308" s="6">
        <v>46.82</v>
      </c>
      <c r="Z308" s="6">
        <v>46.82</v>
      </c>
      <c r="AA308" s="6">
        <v>48.93</v>
      </c>
      <c r="AB308" s="6">
        <v>47.43</v>
      </c>
      <c r="AC308" s="6">
        <v>46.9</v>
      </c>
      <c r="AD308" s="6">
        <v>46.84</v>
      </c>
      <c r="AE308" s="6">
        <v>45.12</v>
      </c>
      <c r="AF308" s="6">
        <v>46.05</v>
      </c>
      <c r="AG308" s="6">
        <v>45.15</v>
      </c>
      <c r="AH308" s="6">
        <v>47.2</v>
      </c>
      <c r="AI308" s="6">
        <v>47.07</v>
      </c>
      <c r="AJ308" s="6">
        <v>44.91</v>
      </c>
      <c r="AK308" s="6">
        <v>47.01</v>
      </c>
      <c r="AL308" s="6">
        <v>44.47</v>
      </c>
      <c r="AM308" s="6">
        <v>45.3</v>
      </c>
      <c r="AN308" s="6">
        <v>47.78</v>
      </c>
      <c r="AO308" s="6">
        <v>46.98</v>
      </c>
      <c r="AP308" s="6">
        <v>45.22</v>
      </c>
      <c r="AQ308" s="6">
        <v>46.1</v>
      </c>
      <c r="AR308" s="6">
        <v>47.46</v>
      </c>
      <c r="AS308" s="6">
        <v>46.23</v>
      </c>
      <c r="AT308" s="6">
        <v>44.72</v>
      </c>
      <c r="AU308" s="6">
        <v>46.97</v>
      </c>
      <c r="AV308" s="6"/>
      <c r="AW308" s="6"/>
      <c r="AX308" s="6">
        <v>45.08</v>
      </c>
      <c r="AY308" s="6">
        <v>45.27</v>
      </c>
      <c r="AZ308" s="6">
        <v>46.78</v>
      </c>
      <c r="BA308" s="6">
        <v>45.96</v>
      </c>
      <c r="BB308" s="6">
        <v>46.46</v>
      </c>
      <c r="BC308" s="6">
        <v>47.96</v>
      </c>
      <c r="BD308" s="6">
        <v>45.07</v>
      </c>
      <c r="BE308" s="6">
        <v>46.58</v>
      </c>
      <c r="BF308" s="6">
        <v>46.54</v>
      </c>
      <c r="BG308" s="6">
        <v>46.23</v>
      </c>
      <c r="BH308" s="6">
        <v>47.5</v>
      </c>
      <c r="BI308" s="6">
        <v>45.8</v>
      </c>
      <c r="BJ308" s="6">
        <v>47.46</v>
      </c>
      <c r="BK308" s="6">
        <v>47</v>
      </c>
      <c r="BL308" s="6">
        <v>43.91</v>
      </c>
      <c r="BM308" s="7">
        <v>43.53</v>
      </c>
      <c r="BN308" s="10"/>
    </row>
    <row r="309" spans="1:66" ht="15.75" customHeight="1" x14ac:dyDescent="0.25">
      <c r="A309" s="4">
        <v>307</v>
      </c>
      <c r="B309" s="4"/>
      <c r="C309" s="4">
        <v>3</v>
      </c>
      <c r="D309" s="6">
        <v>45.1</v>
      </c>
      <c r="E309" s="6">
        <v>45.88</v>
      </c>
      <c r="F309" s="6">
        <v>45.18</v>
      </c>
      <c r="G309" s="6">
        <v>45.91</v>
      </c>
      <c r="H309" s="6">
        <v>45.81</v>
      </c>
      <c r="I309" s="6">
        <v>47.54</v>
      </c>
      <c r="J309" s="6">
        <v>47.08</v>
      </c>
      <c r="K309" s="6">
        <v>47.23</v>
      </c>
      <c r="L309" s="6">
        <v>47.26</v>
      </c>
      <c r="M309" s="6">
        <v>45.96</v>
      </c>
      <c r="N309" s="6">
        <v>46.91</v>
      </c>
      <c r="O309" s="6">
        <v>47.46</v>
      </c>
      <c r="P309" s="6">
        <v>46.5</v>
      </c>
      <c r="Q309" s="6">
        <v>45.86</v>
      </c>
      <c r="R309" s="6">
        <v>46.97</v>
      </c>
      <c r="S309" s="6">
        <v>46.72</v>
      </c>
      <c r="T309" s="6">
        <v>47.48</v>
      </c>
      <c r="U309" s="6">
        <v>47.21</v>
      </c>
      <c r="V309" s="6">
        <v>45.77</v>
      </c>
      <c r="W309" s="6">
        <v>46.55</v>
      </c>
      <c r="X309" s="6">
        <v>47.02</v>
      </c>
      <c r="Y309" s="6">
        <v>46.74</v>
      </c>
      <c r="Z309" s="6">
        <v>46.75</v>
      </c>
      <c r="AA309" s="6">
        <v>48.93</v>
      </c>
      <c r="AB309" s="6">
        <v>47.3</v>
      </c>
      <c r="AC309" s="6">
        <v>46.84</v>
      </c>
      <c r="AD309" s="6">
        <v>46.79</v>
      </c>
      <c r="AE309" s="6">
        <v>45.16</v>
      </c>
      <c r="AF309" s="6">
        <v>46.01</v>
      </c>
      <c r="AG309" s="6">
        <v>45.04</v>
      </c>
      <c r="AH309" s="6">
        <v>47.19</v>
      </c>
      <c r="AI309" s="6">
        <v>46.94</v>
      </c>
      <c r="AJ309" s="6">
        <v>44.95</v>
      </c>
      <c r="AK309" s="6">
        <v>46.92</v>
      </c>
      <c r="AL309" s="6">
        <v>44.49</v>
      </c>
      <c r="AM309" s="6">
        <v>45.3</v>
      </c>
      <c r="AN309" s="6">
        <v>47.68</v>
      </c>
      <c r="AO309" s="6">
        <v>46.9</v>
      </c>
      <c r="AP309" s="6">
        <v>45.2</v>
      </c>
      <c r="AQ309" s="6">
        <v>46.2</v>
      </c>
      <c r="AR309" s="6">
        <v>47.35</v>
      </c>
      <c r="AS309" s="6">
        <v>46.09</v>
      </c>
      <c r="AT309" s="6">
        <v>44.8</v>
      </c>
      <c r="AU309" s="6">
        <v>46.95</v>
      </c>
      <c r="AV309" s="6"/>
      <c r="AW309" s="6"/>
      <c r="AX309" s="6">
        <v>44.94</v>
      </c>
      <c r="AY309" s="6">
        <v>45.25</v>
      </c>
      <c r="AZ309" s="6">
        <v>46.74</v>
      </c>
      <c r="BA309" s="6">
        <v>45.77</v>
      </c>
      <c r="BB309" s="6">
        <v>46.4</v>
      </c>
      <c r="BC309" s="6">
        <v>47.94</v>
      </c>
      <c r="BD309" s="6">
        <v>45.1</v>
      </c>
      <c r="BE309" s="6">
        <v>46.58</v>
      </c>
      <c r="BF309" s="6">
        <v>46.5</v>
      </c>
      <c r="BG309" s="6">
        <v>46.2</v>
      </c>
      <c r="BH309" s="6">
        <v>47.3</v>
      </c>
      <c r="BI309" s="6">
        <v>45.85</v>
      </c>
      <c r="BJ309" s="6">
        <v>47.4</v>
      </c>
      <c r="BK309" s="6">
        <v>47.02</v>
      </c>
      <c r="BL309" s="6">
        <v>43.83</v>
      </c>
      <c r="BM309" s="7">
        <v>43.5</v>
      </c>
      <c r="BN309" s="10"/>
    </row>
    <row r="310" spans="1:66" ht="15.75" customHeight="1" x14ac:dyDescent="0.25">
      <c r="A310" s="4">
        <v>308</v>
      </c>
      <c r="B310" s="4"/>
      <c r="C310" s="4">
        <v>4</v>
      </c>
      <c r="D310" s="6">
        <v>45.14</v>
      </c>
      <c r="E310" s="6">
        <v>45.77</v>
      </c>
      <c r="F310" s="6">
        <v>45.31</v>
      </c>
      <c r="G310" s="6">
        <v>45.76</v>
      </c>
      <c r="H310" s="6">
        <v>45.76</v>
      </c>
      <c r="I310" s="6">
        <v>47.44</v>
      </c>
      <c r="J310" s="6">
        <v>46.97</v>
      </c>
      <c r="K310" s="6">
        <v>47.18</v>
      </c>
      <c r="L310" s="6">
        <v>47.26</v>
      </c>
      <c r="M310" s="6">
        <v>46.01</v>
      </c>
      <c r="N310" s="6">
        <v>46.72</v>
      </c>
      <c r="O310" s="6">
        <v>47.34</v>
      </c>
      <c r="P310" s="6">
        <v>46.47</v>
      </c>
      <c r="Q310" s="6">
        <v>45.61</v>
      </c>
      <c r="R310" s="6">
        <v>46.96</v>
      </c>
      <c r="S310" s="6">
        <v>46.63</v>
      </c>
      <c r="T310" s="6">
        <v>47.44</v>
      </c>
      <c r="U310" s="6">
        <v>47.18</v>
      </c>
      <c r="V310" s="6">
        <v>45.71</v>
      </c>
      <c r="W310" s="6">
        <v>46.55</v>
      </c>
      <c r="X310" s="6">
        <v>47.02</v>
      </c>
      <c r="Y310" s="6">
        <v>46.68</v>
      </c>
      <c r="Z310" s="6">
        <v>46.65</v>
      </c>
      <c r="AA310" s="6">
        <v>48.9</v>
      </c>
      <c r="AB310" s="6">
        <v>47.22</v>
      </c>
      <c r="AC310" s="6">
        <v>46.84</v>
      </c>
      <c r="AD310" s="6">
        <v>46.76</v>
      </c>
      <c r="AE310" s="6">
        <v>45.16</v>
      </c>
      <c r="AF310" s="6">
        <v>45.95</v>
      </c>
      <c r="AG310" s="6">
        <v>44.92</v>
      </c>
      <c r="AH310" s="6">
        <v>47.2</v>
      </c>
      <c r="AI310" s="6">
        <v>46.84</v>
      </c>
      <c r="AJ310" s="6">
        <v>45</v>
      </c>
      <c r="AK310" s="6">
        <v>46.48</v>
      </c>
      <c r="AL310" s="6">
        <v>44.29</v>
      </c>
      <c r="AM310" s="6">
        <v>45.32</v>
      </c>
      <c r="AN310" s="6">
        <v>47.6</v>
      </c>
      <c r="AO310" s="6">
        <v>46.84</v>
      </c>
      <c r="AP310" s="6">
        <v>45.18</v>
      </c>
      <c r="AQ310" s="6">
        <v>46.31</v>
      </c>
      <c r="AR310" s="6">
        <v>47.32</v>
      </c>
      <c r="AS310" s="6">
        <v>46.07</v>
      </c>
      <c r="AT310" s="6">
        <v>44.85</v>
      </c>
      <c r="AU310" s="6">
        <v>46.91</v>
      </c>
      <c r="AV310" s="6"/>
      <c r="AW310" s="6"/>
      <c r="AX310" s="6">
        <v>44.84</v>
      </c>
      <c r="AY310" s="6">
        <v>45.22</v>
      </c>
      <c r="AZ310" s="6">
        <v>46.65</v>
      </c>
      <c r="BA310" s="6">
        <v>45.69</v>
      </c>
      <c r="BB310" s="6">
        <v>46.28</v>
      </c>
      <c r="BC310" s="6">
        <v>47.93</v>
      </c>
      <c r="BD310" s="6">
        <v>45.09</v>
      </c>
      <c r="BE310" s="6">
        <v>46.52</v>
      </c>
      <c r="BF310" s="6">
        <v>46.47</v>
      </c>
      <c r="BG310" s="6">
        <v>46.16</v>
      </c>
      <c r="BH310" s="6">
        <v>47.25</v>
      </c>
      <c r="BI310" s="6">
        <v>45.9</v>
      </c>
      <c r="BJ310" s="6">
        <v>47.34</v>
      </c>
      <c r="BK310" s="6">
        <v>47.02</v>
      </c>
      <c r="BL310" s="6">
        <v>43.78</v>
      </c>
      <c r="BM310" s="7">
        <v>43.48</v>
      </c>
      <c r="BN310" s="10"/>
    </row>
    <row r="311" spans="1:66" ht="15.75" customHeight="1" x14ac:dyDescent="0.25">
      <c r="A311" s="4">
        <v>309</v>
      </c>
      <c r="B311" s="4"/>
      <c r="C311" s="4">
        <v>5</v>
      </c>
      <c r="D311" s="6">
        <v>45.17</v>
      </c>
      <c r="E311" s="6">
        <v>45.7</v>
      </c>
      <c r="F311" s="6">
        <v>45.36</v>
      </c>
      <c r="G311" s="6">
        <v>45.56</v>
      </c>
      <c r="H311" s="6">
        <v>45.68</v>
      </c>
      <c r="I311" s="6">
        <v>47.3</v>
      </c>
      <c r="J311" s="6">
        <v>46.89</v>
      </c>
      <c r="K311" s="6">
        <v>47.12</v>
      </c>
      <c r="L311" s="6">
        <v>47.17</v>
      </c>
      <c r="M311" s="6">
        <v>46.17</v>
      </c>
      <c r="N311" s="6">
        <v>46.51</v>
      </c>
      <c r="O311" s="6">
        <v>47.25</v>
      </c>
      <c r="P311" s="6">
        <v>46.47</v>
      </c>
      <c r="Q311" s="6">
        <v>45.46</v>
      </c>
      <c r="R311" s="6">
        <v>46.94</v>
      </c>
      <c r="S311" s="6">
        <v>46.55</v>
      </c>
      <c r="T311" s="6">
        <v>47.35</v>
      </c>
      <c r="U311" s="6">
        <v>47.13</v>
      </c>
      <c r="V311" s="6">
        <v>45.63</v>
      </c>
      <c r="W311" s="6">
        <v>46.52</v>
      </c>
      <c r="X311" s="6">
        <v>47.02</v>
      </c>
      <c r="Y311" s="6">
        <v>46.61</v>
      </c>
      <c r="Z311" s="6">
        <v>46.54</v>
      </c>
      <c r="AA311" s="6">
        <v>48.85</v>
      </c>
      <c r="AB311" s="6">
        <v>47.11</v>
      </c>
      <c r="AC311" s="6">
        <v>46.81</v>
      </c>
      <c r="AD311" s="6">
        <v>46.71</v>
      </c>
      <c r="AE311" s="6">
        <v>45.16</v>
      </c>
      <c r="AF311" s="6">
        <v>45.9</v>
      </c>
      <c r="AG311" s="6">
        <v>44.8</v>
      </c>
      <c r="AH311" s="6">
        <v>47.31</v>
      </c>
      <c r="AI311" s="6">
        <v>46.75</v>
      </c>
      <c r="AJ311" s="6">
        <v>45.02</v>
      </c>
      <c r="AK311" s="6">
        <v>46.73</v>
      </c>
      <c r="AL311" s="6">
        <v>44.2</v>
      </c>
      <c r="AM311" s="6">
        <v>45.38</v>
      </c>
      <c r="AN311" s="6">
        <v>47.58</v>
      </c>
      <c r="AO311" s="6">
        <v>46.76</v>
      </c>
      <c r="AP311" s="6">
        <v>45.17</v>
      </c>
      <c r="AQ311" s="6">
        <v>46.39</v>
      </c>
      <c r="AR311" s="6">
        <v>47.26</v>
      </c>
      <c r="AS311" s="6">
        <v>46</v>
      </c>
      <c r="AT311" s="6">
        <v>44.95</v>
      </c>
      <c r="AU311" s="6">
        <v>46.87</v>
      </c>
      <c r="AV311" s="6"/>
      <c r="AW311" s="6"/>
      <c r="AX311" s="6">
        <v>44.78</v>
      </c>
      <c r="AY311" s="6">
        <v>45.17</v>
      </c>
      <c r="AZ311" s="6">
        <v>46.55</v>
      </c>
      <c r="BA311" s="6">
        <v>45.6</v>
      </c>
      <c r="BB311" s="6">
        <v>46.21</v>
      </c>
      <c r="BC311" s="6">
        <v>47.91</v>
      </c>
      <c r="BD311" s="6">
        <v>45.08</v>
      </c>
      <c r="BE311" s="6">
        <v>46.5</v>
      </c>
      <c r="BF311" s="6">
        <v>46.38</v>
      </c>
      <c r="BG311" s="6">
        <v>46.11</v>
      </c>
      <c r="BH311" s="6">
        <v>47.16</v>
      </c>
      <c r="BI311" s="6">
        <v>45.94</v>
      </c>
      <c r="BJ311" s="6">
        <v>47.28</v>
      </c>
      <c r="BK311" s="6">
        <v>47.02</v>
      </c>
      <c r="BL311" s="6">
        <v>43.74</v>
      </c>
      <c r="BM311" s="7">
        <v>43.45</v>
      </c>
      <c r="BN311" s="10"/>
    </row>
    <row r="312" spans="1:66" ht="15.75" customHeight="1" x14ac:dyDescent="0.25">
      <c r="A312" s="4">
        <v>310</v>
      </c>
      <c r="B312" s="4"/>
      <c r="C312" s="4">
        <v>6</v>
      </c>
      <c r="D312" s="6">
        <v>45.2</v>
      </c>
      <c r="E312" s="6">
        <v>45.65</v>
      </c>
      <c r="F312" s="6">
        <v>45.46</v>
      </c>
      <c r="G312" s="6">
        <v>45.36</v>
      </c>
      <c r="H312" s="6">
        <v>45.61</v>
      </c>
      <c r="I312" s="6">
        <v>47.22</v>
      </c>
      <c r="J312" s="6">
        <v>46.82</v>
      </c>
      <c r="K312" s="6">
        <v>47.14</v>
      </c>
      <c r="L312" s="6">
        <v>47.14</v>
      </c>
      <c r="M312" s="6">
        <v>46.36</v>
      </c>
      <c r="N312" s="6">
        <v>46.36</v>
      </c>
      <c r="O312" s="6">
        <v>47.14</v>
      </c>
      <c r="P312" s="6">
        <v>46.47</v>
      </c>
      <c r="Q312" s="6">
        <v>45.36</v>
      </c>
      <c r="R312" s="6">
        <v>46.93</v>
      </c>
      <c r="S312" s="6">
        <v>46.39</v>
      </c>
      <c r="T312" s="6">
        <v>47.28</v>
      </c>
      <c r="U312" s="6">
        <v>47.05</v>
      </c>
      <c r="V312" s="6">
        <v>45.54</v>
      </c>
      <c r="W312" s="6">
        <v>46.49</v>
      </c>
      <c r="X312" s="6">
        <v>47.02</v>
      </c>
      <c r="Y312" s="6">
        <v>46.62</v>
      </c>
      <c r="Z312" s="6">
        <v>46.45</v>
      </c>
      <c r="AA312" s="6">
        <v>48.83</v>
      </c>
      <c r="AB312" s="6">
        <v>47.05</v>
      </c>
      <c r="AC312" s="6">
        <v>46.81</v>
      </c>
      <c r="AD312" s="6">
        <v>46.66</v>
      </c>
      <c r="AE312" s="6">
        <v>45.16</v>
      </c>
      <c r="AF312" s="6">
        <v>45.8</v>
      </c>
      <c r="AG312" s="6">
        <v>44.69</v>
      </c>
      <c r="AH312" s="6">
        <v>47.36</v>
      </c>
      <c r="AI312" s="6">
        <v>46.65</v>
      </c>
      <c r="AJ312" s="6">
        <v>45.03</v>
      </c>
      <c r="AK312" s="6">
        <v>46.61</v>
      </c>
      <c r="AL312" s="6">
        <v>44.1</v>
      </c>
      <c r="AM312" s="6">
        <v>45.43</v>
      </c>
      <c r="AN312" s="6">
        <v>47.36</v>
      </c>
      <c r="AO312" s="6">
        <v>46.7</v>
      </c>
      <c r="AP312" s="6">
        <v>45.16</v>
      </c>
      <c r="AQ312" s="6">
        <v>46.46</v>
      </c>
      <c r="AR312" s="6">
        <v>47.21</v>
      </c>
      <c r="AS312" s="6">
        <v>45.96</v>
      </c>
      <c r="AT312" s="6">
        <v>45.02</v>
      </c>
      <c r="AU312" s="6">
        <v>46.83</v>
      </c>
      <c r="AV312" s="6"/>
      <c r="AW312" s="6"/>
      <c r="AX312" s="6">
        <v>44.72</v>
      </c>
      <c r="AY312" s="6">
        <v>45.09</v>
      </c>
      <c r="AZ312" s="6">
        <v>46.48</v>
      </c>
      <c r="BA312" s="6">
        <v>45.55</v>
      </c>
      <c r="BB312" s="6">
        <v>46.22</v>
      </c>
      <c r="BC312" s="6">
        <v>47.83</v>
      </c>
      <c r="BD312" s="6">
        <v>45.06</v>
      </c>
      <c r="BE312" s="6">
        <v>46.44</v>
      </c>
      <c r="BF312" s="6">
        <v>46.4</v>
      </c>
      <c r="BG312" s="6">
        <v>46.05</v>
      </c>
      <c r="BH312" s="6">
        <v>47.05</v>
      </c>
      <c r="BI312" s="6">
        <v>45.92</v>
      </c>
      <c r="BJ312" s="6">
        <v>47.2</v>
      </c>
      <c r="BK312" s="6">
        <v>46.99</v>
      </c>
      <c r="BL312" s="6">
        <v>43.65</v>
      </c>
      <c r="BM312" s="7">
        <v>43.42</v>
      </c>
      <c r="BN312" s="10"/>
    </row>
    <row r="313" spans="1:66" ht="15.75" customHeight="1" x14ac:dyDescent="0.25">
      <c r="A313" s="4">
        <v>311</v>
      </c>
      <c r="B313" s="4"/>
      <c r="C313" s="4">
        <v>7</v>
      </c>
      <c r="D313" s="6">
        <v>45.2</v>
      </c>
      <c r="E313" s="6">
        <v>45.6</v>
      </c>
      <c r="F313" s="6">
        <v>45.56</v>
      </c>
      <c r="G313" s="6">
        <v>45.16</v>
      </c>
      <c r="H313" s="6">
        <v>45.56</v>
      </c>
      <c r="I313" s="6">
        <v>47.16</v>
      </c>
      <c r="J313" s="6">
        <v>46.78</v>
      </c>
      <c r="K313" s="6">
        <v>47.14</v>
      </c>
      <c r="L313" s="6">
        <v>47.05</v>
      </c>
      <c r="M313" s="6">
        <v>46.52</v>
      </c>
      <c r="N313" s="6">
        <v>46.28</v>
      </c>
      <c r="O313" s="6">
        <v>46.99</v>
      </c>
      <c r="P313" s="6">
        <v>46.47</v>
      </c>
      <c r="Q313" s="6">
        <v>45.21</v>
      </c>
      <c r="R313" s="6">
        <v>46.93</v>
      </c>
      <c r="S313" s="6">
        <v>46.26</v>
      </c>
      <c r="T313" s="6">
        <v>47.24</v>
      </c>
      <c r="U313" s="6">
        <v>47.03</v>
      </c>
      <c r="V313" s="6">
        <v>45.45</v>
      </c>
      <c r="W313" s="6">
        <v>46.44</v>
      </c>
      <c r="X313" s="6">
        <v>46.88</v>
      </c>
      <c r="Y313" s="6">
        <v>46.65</v>
      </c>
      <c r="Z313" s="6">
        <v>46.4</v>
      </c>
      <c r="AA313" s="6">
        <v>48.87</v>
      </c>
      <c r="AB313" s="6">
        <v>46.94</v>
      </c>
      <c r="AC313" s="6">
        <v>46.82</v>
      </c>
      <c r="AD313" s="6">
        <v>46.58</v>
      </c>
      <c r="AE313" s="6">
        <v>45.1</v>
      </c>
      <c r="AF313" s="6">
        <v>45.73</v>
      </c>
      <c r="AG313" s="6">
        <v>44.62</v>
      </c>
      <c r="AH313" s="6">
        <v>47.44</v>
      </c>
      <c r="AI313" s="6">
        <v>46.58</v>
      </c>
      <c r="AJ313" s="6">
        <v>45.06</v>
      </c>
      <c r="AK313" s="6">
        <v>46.52</v>
      </c>
      <c r="AL313" s="6">
        <v>44</v>
      </c>
      <c r="AM313" s="6">
        <v>45.46</v>
      </c>
      <c r="AN313" s="6">
        <v>47.22</v>
      </c>
      <c r="AO313" s="6">
        <v>46.64</v>
      </c>
      <c r="AP313" s="6">
        <v>45.17</v>
      </c>
      <c r="AQ313" s="6">
        <v>46.59</v>
      </c>
      <c r="AR313" s="6">
        <v>47.28</v>
      </c>
      <c r="AS313" s="6">
        <v>45.88</v>
      </c>
      <c r="AT313" s="6">
        <v>45</v>
      </c>
      <c r="AU313" s="6">
        <v>46.75</v>
      </c>
      <c r="AV313" s="6"/>
      <c r="AW313" s="6"/>
      <c r="AX313" s="6">
        <v>44.64</v>
      </c>
      <c r="AY313" s="6">
        <v>45.02</v>
      </c>
      <c r="AZ313" s="6">
        <v>46.38</v>
      </c>
      <c r="BA313" s="6">
        <v>45.48</v>
      </c>
      <c r="BB313" s="6">
        <v>46.21</v>
      </c>
      <c r="BC313" s="6">
        <v>47.73</v>
      </c>
      <c r="BD313" s="6">
        <v>45.02</v>
      </c>
      <c r="BE313" s="6">
        <v>46.41</v>
      </c>
      <c r="BF313" s="6">
        <v>46.42</v>
      </c>
      <c r="BG313" s="6">
        <v>45.97</v>
      </c>
      <c r="BH313" s="6">
        <v>46.96</v>
      </c>
      <c r="BI313" s="6">
        <v>46.18</v>
      </c>
      <c r="BJ313" s="6">
        <v>47.12</v>
      </c>
      <c r="BK313" s="6">
        <v>46.98</v>
      </c>
      <c r="BL313" s="6">
        <v>43.64</v>
      </c>
      <c r="BM313" s="7">
        <v>43.34</v>
      </c>
      <c r="BN313" s="10"/>
    </row>
    <row r="314" spans="1:66" ht="15.75" customHeight="1" x14ac:dyDescent="0.25">
      <c r="A314" s="4">
        <v>312</v>
      </c>
      <c r="B314" s="4"/>
      <c r="C314" s="4">
        <v>8</v>
      </c>
      <c r="D314" s="6">
        <v>45.19</v>
      </c>
      <c r="E314" s="6">
        <v>45.54</v>
      </c>
      <c r="F314" s="6">
        <v>45.64</v>
      </c>
      <c r="G314" s="6">
        <v>45.11</v>
      </c>
      <c r="H314" s="6">
        <v>45.48</v>
      </c>
      <c r="I314" s="6">
        <v>47.14</v>
      </c>
      <c r="J314" s="6">
        <v>46.67</v>
      </c>
      <c r="K314" s="6">
        <v>47</v>
      </c>
      <c r="L314" s="6">
        <v>47.04</v>
      </c>
      <c r="M314" s="6">
        <v>46.67</v>
      </c>
      <c r="N314" s="6">
        <v>46.18</v>
      </c>
      <c r="O314" s="6">
        <v>46.84</v>
      </c>
      <c r="P314" s="6">
        <v>46.44</v>
      </c>
      <c r="Q314" s="6">
        <v>45.06</v>
      </c>
      <c r="R314" s="6">
        <v>46.9</v>
      </c>
      <c r="S314" s="6">
        <v>46.18</v>
      </c>
      <c r="T314" s="6">
        <v>47.15</v>
      </c>
      <c r="U314" s="6">
        <v>46.98</v>
      </c>
      <c r="V314" s="6">
        <v>45.38</v>
      </c>
      <c r="W314" s="6">
        <v>46.32</v>
      </c>
      <c r="X314" s="6">
        <v>46.78</v>
      </c>
      <c r="Y314" s="6">
        <v>46.71</v>
      </c>
      <c r="Z314" s="6">
        <v>46.34</v>
      </c>
      <c r="AA314" s="6">
        <v>48.81</v>
      </c>
      <c r="AB314" s="6">
        <v>46.81</v>
      </c>
      <c r="AC314" s="6">
        <v>46.81</v>
      </c>
      <c r="AD314" s="6">
        <v>46.5</v>
      </c>
      <c r="AE314" s="6">
        <v>45.09</v>
      </c>
      <c r="AF314" s="6">
        <v>45.64</v>
      </c>
      <c r="AG314" s="6">
        <v>44.55</v>
      </c>
      <c r="AH314" s="6">
        <v>47.44</v>
      </c>
      <c r="AI314" s="6">
        <v>46.51</v>
      </c>
      <c r="AJ314" s="6">
        <v>45</v>
      </c>
      <c r="AK314" s="6">
        <v>46.42</v>
      </c>
      <c r="AL314" s="6">
        <v>43.96</v>
      </c>
      <c r="AM314" s="6">
        <v>45.5</v>
      </c>
      <c r="AN314" s="6">
        <v>47.11</v>
      </c>
      <c r="AO314" s="6">
        <v>46.6</v>
      </c>
      <c r="AP314" s="6">
        <v>45.18</v>
      </c>
      <c r="AQ314" s="6">
        <v>46.66</v>
      </c>
      <c r="AR314" s="6">
        <v>47.36</v>
      </c>
      <c r="AS314" s="6">
        <v>45.84</v>
      </c>
      <c r="AT314" s="6">
        <v>45.1</v>
      </c>
      <c r="AU314" s="6">
        <v>46.64</v>
      </c>
      <c r="AV314" s="6"/>
      <c r="AW314" s="6"/>
      <c r="AX314" s="6">
        <v>44.62</v>
      </c>
      <c r="AY314" s="6">
        <v>44.98</v>
      </c>
      <c r="AZ314" s="6">
        <v>46.28</v>
      </c>
      <c r="BA314" s="6">
        <v>45.44</v>
      </c>
      <c r="BB314" s="6">
        <v>46.12</v>
      </c>
      <c r="BC314" s="6">
        <v>47.67</v>
      </c>
      <c r="BD314" s="6">
        <v>45.06</v>
      </c>
      <c r="BE314" s="6">
        <v>46.32</v>
      </c>
      <c r="BF314" s="6">
        <v>46.42</v>
      </c>
      <c r="BG314" s="6">
        <v>45.84</v>
      </c>
      <c r="BH314" s="6">
        <v>46.9</v>
      </c>
      <c r="BI314" s="6">
        <v>46.3</v>
      </c>
      <c r="BJ314" s="6">
        <v>47.04</v>
      </c>
      <c r="BK314" s="6">
        <v>46.92</v>
      </c>
      <c r="BL314" s="6">
        <v>43.6</v>
      </c>
      <c r="BM314" s="7">
        <v>43.25</v>
      </c>
      <c r="BN314" s="10"/>
    </row>
    <row r="315" spans="1:66" ht="15.75" customHeight="1" x14ac:dyDescent="0.25">
      <c r="A315" s="4">
        <v>313</v>
      </c>
      <c r="B315" s="4"/>
      <c r="C315" s="4">
        <v>9</v>
      </c>
      <c r="D315" s="6">
        <v>45.15</v>
      </c>
      <c r="E315" s="6">
        <v>45.48</v>
      </c>
      <c r="F315" s="6">
        <v>45.69</v>
      </c>
      <c r="G315" s="6">
        <v>45.06</v>
      </c>
      <c r="H315" s="6">
        <v>45.44</v>
      </c>
      <c r="I315" s="6">
        <v>47.14</v>
      </c>
      <c r="J315" s="6">
        <v>46.5</v>
      </c>
      <c r="K315" s="6">
        <v>46.86</v>
      </c>
      <c r="L315" s="6">
        <v>47.05</v>
      </c>
      <c r="M315" s="6">
        <v>46.75</v>
      </c>
      <c r="N315" s="6">
        <v>46.18</v>
      </c>
      <c r="O315" s="6">
        <v>46.81</v>
      </c>
      <c r="P315" s="6">
        <v>46.38</v>
      </c>
      <c r="Q315" s="6">
        <v>44.98</v>
      </c>
      <c r="R315" s="6">
        <v>46.86</v>
      </c>
      <c r="S315" s="6">
        <v>46.09</v>
      </c>
      <c r="T315" s="6">
        <v>47.05</v>
      </c>
      <c r="U315" s="6">
        <v>46.98</v>
      </c>
      <c r="V315" s="6">
        <v>45.3</v>
      </c>
      <c r="W315" s="6">
        <v>46.24</v>
      </c>
      <c r="X315" s="6">
        <v>46.65</v>
      </c>
      <c r="Y315" s="6">
        <v>46.69</v>
      </c>
      <c r="Z315" s="6">
        <v>46.19</v>
      </c>
      <c r="AA315" s="6">
        <v>48.75</v>
      </c>
      <c r="AB315" s="6">
        <v>46.7</v>
      </c>
      <c r="AC315" s="6">
        <v>46.81</v>
      </c>
      <c r="AD315" s="6">
        <v>46.37</v>
      </c>
      <c r="AE315" s="6">
        <v>45.06</v>
      </c>
      <c r="AF315" s="6">
        <v>45.56</v>
      </c>
      <c r="AG315" s="6">
        <v>44.47</v>
      </c>
      <c r="AH315" s="6">
        <v>47.44</v>
      </c>
      <c r="AI315" s="6">
        <v>46.5</v>
      </c>
      <c r="AJ315" s="6">
        <v>45.17</v>
      </c>
      <c r="AK315" s="6">
        <v>46.34</v>
      </c>
      <c r="AL315" s="6">
        <v>43.92</v>
      </c>
      <c r="AM315" s="6">
        <v>45.55</v>
      </c>
      <c r="AN315" s="6">
        <v>47.01</v>
      </c>
      <c r="AO315" s="6">
        <v>46.54</v>
      </c>
      <c r="AP315" s="6">
        <v>45.21</v>
      </c>
      <c r="AQ315" s="6">
        <v>46.74</v>
      </c>
      <c r="AR315" s="6">
        <v>47.4</v>
      </c>
      <c r="AS315" s="6">
        <v>45.8</v>
      </c>
      <c r="AT315" s="6">
        <v>45.28</v>
      </c>
      <c r="AU315" s="6">
        <v>46.53</v>
      </c>
      <c r="AV315" s="6"/>
      <c r="AW315" s="6"/>
      <c r="AX315" s="6">
        <v>44.56</v>
      </c>
      <c r="AY315" s="6">
        <v>44.97</v>
      </c>
      <c r="AZ315" s="6">
        <v>46.22</v>
      </c>
      <c r="BA315" s="6">
        <v>45.42</v>
      </c>
      <c r="BB315" s="6">
        <v>46.06</v>
      </c>
      <c r="BC315" s="6">
        <v>47.51</v>
      </c>
      <c r="BD315" s="6">
        <v>45.11</v>
      </c>
      <c r="BE315" s="6">
        <v>46.24</v>
      </c>
      <c r="BF315" s="6">
        <v>46.4</v>
      </c>
      <c r="BG315" s="6">
        <v>45.78</v>
      </c>
      <c r="BH315" s="6">
        <v>46.82</v>
      </c>
      <c r="BI315" s="6">
        <v>46.38</v>
      </c>
      <c r="BJ315" s="6">
        <v>46.98</v>
      </c>
      <c r="BK315" s="6">
        <v>46.98</v>
      </c>
      <c r="BL315" s="6">
        <v>43.57</v>
      </c>
      <c r="BM315" s="7">
        <v>43.19</v>
      </c>
      <c r="BN315" s="10"/>
    </row>
    <row r="316" spans="1:66" ht="15.75" customHeight="1" x14ac:dyDescent="0.25">
      <c r="A316" s="4">
        <v>314</v>
      </c>
      <c r="B316" s="4"/>
      <c r="C316" s="4">
        <v>10</v>
      </c>
      <c r="D316" s="6">
        <v>45.08</v>
      </c>
      <c r="E316" s="6">
        <v>45.28</v>
      </c>
      <c r="F316" s="6">
        <v>45.71</v>
      </c>
      <c r="G316" s="6">
        <v>45.01</v>
      </c>
      <c r="H316" s="6">
        <v>45.44</v>
      </c>
      <c r="I316" s="6">
        <v>47.13</v>
      </c>
      <c r="J316" s="6">
        <v>46.35</v>
      </c>
      <c r="K316" s="6">
        <v>46.74</v>
      </c>
      <c r="L316" s="6">
        <v>47.07</v>
      </c>
      <c r="M316" s="6">
        <v>46.85</v>
      </c>
      <c r="N316" s="6">
        <v>46.24</v>
      </c>
      <c r="O316" s="6">
        <v>46.71</v>
      </c>
      <c r="P316" s="6">
        <v>46.28</v>
      </c>
      <c r="Q316" s="6">
        <v>44.95</v>
      </c>
      <c r="R316" s="6">
        <v>46.84</v>
      </c>
      <c r="S316" s="6">
        <v>46.02</v>
      </c>
      <c r="T316" s="6">
        <v>46.95</v>
      </c>
      <c r="U316" s="6">
        <v>46.94</v>
      </c>
      <c r="V316" s="6">
        <v>45.25</v>
      </c>
      <c r="W316" s="6">
        <v>46.14</v>
      </c>
      <c r="X316" s="6">
        <v>46.5</v>
      </c>
      <c r="Y316" s="6">
        <v>46.66</v>
      </c>
      <c r="Z316" s="6">
        <v>46.11</v>
      </c>
      <c r="AA316" s="6">
        <v>48.68</v>
      </c>
      <c r="AB316" s="6">
        <v>46.62</v>
      </c>
      <c r="AC316" s="6">
        <v>46.86</v>
      </c>
      <c r="AD316" s="6">
        <v>46.28</v>
      </c>
      <c r="AE316" s="6">
        <v>45.04</v>
      </c>
      <c r="AF316" s="6">
        <v>45.49</v>
      </c>
      <c r="AG316" s="6">
        <v>44.38</v>
      </c>
      <c r="AH316" s="6">
        <v>47.46</v>
      </c>
      <c r="AI316" s="6">
        <v>46.5</v>
      </c>
      <c r="AJ316" s="6">
        <v>45.39</v>
      </c>
      <c r="AK316" s="6">
        <v>46.34</v>
      </c>
      <c r="AL316" s="6">
        <v>43.86</v>
      </c>
      <c r="AM316" s="6">
        <v>45.56</v>
      </c>
      <c r="AN316" s="6">
        <v>46.88</v>
      </c>
      <c r="AO316" s="6">
        <v>46.44</v>
      </c>
      <c r="AP316" s="6">
        <v>45.26</v>
      </c>
      <c r="AQ316" s="6">
        <v>46.8</v>
      </c>
      <c r="AR316" s="6">
        <v>47.42</v>
      </c>
      <c r="AS316" s="6">
        <v>45.78</v>
      </c>
      <c r="AT316" s="6">
        <v>45.4</v>
      </c>
      <c r="AU316" s="6">
        <v>46.41</v>
      </c>
      <c r="AV316" s="6"/>
      <c r="AW316" s="6"/>
      <c r="AX316" s="6">
        <v>44.52</v>
      </c>
      <c r="AY316" s="6">
        <v>44.96</v>
      </c>
      <c r="AZ316" s="6">
        <v>46.26</v>
      </c>
      <c r="BA316" s="6">
        <v>45.42</v>
      </c>
      <c r="BB316" s="6">
        <v>46</v>
      </c>
      <c r="BC316" s="6">
        <v>47.37</v>
      </c>
      <c r="BD316" s="6">
        <v>45.15</v>
      </c>
      <c r="BE316" s="6">
        <v>46.18</v>
      </c>
      <c r="BF316" s="6">
        <v>46.49</v>
      </c>
      <c r="BG316" s="6">
        <v>45.75</v>
      </c>
      <c r="BH316" s="6">
        <v>46.74</v>
      </c>
      <c r="BI316" s="6">
        <v>46.47</v>
      </c>
      <c r="BJ316" s="6">
        <v>46.86</v>
      </c>
      <c r="BK316" s="6">
        <v>46.95</v>
      </c>
      <c r="BL316" s="6">
        <v>43.54</v>
      </c>
      <c r="BM316" s="7">
        <v>43.2</v>
      </c>
      <c r="BN316" s="10"/>
    </row>
    <row r="317" spans="1:66" ht="15.75" customHeight="1" x14ac:dyDescent="0.25">
      <c r="A317" s="4">
        <v>315</v>
      </c>
      <c r="B317" s="4"/>
      <c r="C317" s="4">
        <v>11</v>
      </c>
      <c r="D317" s="6">
        <v>45</v>
      </c>
      <c r="E317" s="6">
        <v>45.12</v>
      </c>
      <c r="F317" s="6">
        <v>45.76</v>
      </c>
      <c r="G317" s="6">
        <v>44.96</v>
      </c>
      <c r="H317" s="6">
        <v>45.26</v>
      </c>
      <c r="I317" s="6">
        <v>47.13</v>
      </c>
      <c r="J317" s="6">
        <v>46.2</v>
      </c>
      <c r="K317" s="6">
        <v>46.65</v>
      </c>
      <c r="L317" s="6">
        <v>47.04</v>
      </c>
      <c r="M317" s="6">
        <v>46.92</v>
      </c>
      <c r="N317" s="6">
        <v>46.3</v>
      </c>
      <c r="O317" s="6">
        <v>46.56</v>
      </c>
      <c r="P317" s="6">
        <v>46.21</v>
      </c>
      <c r="Q317" s="6">
        <v>44.94</v>
      </c>
      <c r="R317" s="6">
        <v>46.8</v>
      </c>
      <c r="S317" s="6">
        <v>45.95</v>
      </c>
      <c r="T317" s="6">
        <v>46.84</v>
      </c>
      <c r="U317" s="6">
        <v>46.94</v>
      </c>
      <c r="V317" s="6">
        <v>45.2</v>
      </c>
      <c r="W317" s="6">
        <v>46.06</v>
      </c>
      <c r="X317" s="6">
        <v>46.35</v>
      </c>
      <c r="Y317" s="6">
        <v>46.62</v>
      </c>
      <c r="Z317" s="6">
        <v>46.01</v>
      </c>
      <c r="AA317" s="6">
        <v>48.57</v>
      </c>
      <c r="AB317" s="6">
        <v>46.55</v>
      </c>
      <c r="AC317" s="6">
        <v>46.89</v>
      </c>
      <c r="AD317" s="6">
        <v>46.15</v>
      </c>
      <c r="AE317" s="6">
        <v>44.99</v>
      </c>
      <c r="AF317" s="6">
        <v>45.44</v>
      </c>
      <c r="AG317" s="6">
        <v>44.35</v>
      </c>
      <c r="AH317" s="6">
        <v>47.5</v>
      </c>
      <c r="AI317" s="6">
        <v>46.52</v>
      </c>
      <c r="AJ317" s="6">
        <v>45.45</v>
      </c>
      <c r="AK317" s="6">
        <v>46.44</v>
      </c>
      <c r="AL317" s="6">
        <v>43.84</v>
      </c>
      <c r="AM317" s="6">
        <v>45.58</v>
      </c>
      <c r="AN317" s="6">
        <v>46.74</v>
      </c>
      <c r="AO317" s="6">
        <v>46.34</v>
      </c>
      <c r="AP317" s="6">
        <v>45.3</v>
      </c>
      <c r="AQ317" s="6">
        <v>46.87</v>
      </c>
      <c r="AR317" s="6">
        <v>47.44</v>
      </c>
      <c r="AS317" s="6">
        <v>45.71</v>
      </c>
      <c r="AT317" s="6">
        <v>45.57</v>
      </c>
      <c r="AU317" s="6">
        <v>46.32</v>
      </c>
      <c r="AV317" s="6"/>
      <c r="AW317" s="6"/>
      <c r="AX317" s="6">
        <v>44.48</v>
      </c>
      <c r="AY317" s="6">
        <v>44.94</v>
      </c>
      <c r="AZ317" s="6">
        <v>46.28</v>
      </c>
      <c r="BA317" s="6">
        <v>45.38</v>
      </c>
      <c r="BB317" s="6">
        <v>45.96</v>
      </c>
      <c r="BC317" s="6">
        <v>47.21</v>
      </c>
      <c r="BD317" s="6">
        <v>45.15</v>
      </c>
      <c r="BE317" s="6">
        <v>46.12</v>
      </c>
      <c r="BF317" s="6">
        <v>46.56</v>
      </c>
      <c r="BG317" s="6">
        <v>45.71</v>
      </c>
      <c r="BH317" s="6">
        <v>46.67</v>
      </c>
      <c r="BI317" s="6">
        <v>46.5</v>
      </c>
      <c r="BJ317" s="6">
        <v>46.76</v>
      </c>
      <c r="BK317" s="6">
        <v>46.9</v>
      </c>
      <c r="BL317" s="6">
        <v>43.54</v>
      </c>
      <c r="BM317" s="7">
        <v>43.25</v>
      </c>
      <c r="BN317" s="10"/>
    </row>
    <row r="318" spans="1:66" ht="15.75" customHeight="1" x14ac:dyDescent="0.25">
      <c r="A318" s="4">
        <v>316</v>
      </c>
      <c r="B318" s="4"/>
      <c r="C318" s="4">
        <v>12</v>
      </c>
      <c r="D318" s="6">
        <v>44.9</v>
      </c>
      <c r="E318" s="6">
        <v>44.99</v>
      </c>
      <c r="F318" s="6">
        <v>45.79</v>
      </c>
      <c r="G318" s="6">
        <v>44.91</v>
      </c>
      <c r="H318" s="6">
        <v>45.21</v>
      </c>
      <c r="I318" s="6">
        <v>46.66</v>
      </c>
      <c r="J318" s="6">
        <v>46.05</v>
      </c>
      <c r="K318" s="6">
        <v>46.56</v>
      </c>
      <c r="L318" s="6">
        <v>46.95</v>
      </c>
      <c r="M318" s="6">
        <v>46.96</v>
      </c>
      <c r="N318" s="6">
        <v>46.38</v>
      </c>
      <c r="O318" s="6">
        <v>46.44</v>
      </c>
      <c r="P318" s="6">
        <v>46.13</v>
      </c>
      <c r="Q318" s="6">
        <v>44.94</v>
      </c>
      <c r="R318" s="6">
        <v>46.76</v>
      </c>
      <c r="S318" s="6">
        <v>45.85</v>
      </c>
      <c r="T318" s="6">
        <v>46.7</v>
      </c>
      <c r="U318" s="6">
        <v>46.9</v>
      </c>
      <c r="V318" s="6">
        <v>45.18</v>
      </c>
      <c r="W318" s="6">
        <v>45.97</v>
      </c>
      <c r="X318" s="6">
        <v>46.3</v>
      </c>
      <c r="Y318" s="6">
        <v>46.57</v>
      </c>
      <c r="Z318" s="6">
        <v>45.91</v>
      </c>
      <c r="AA318" s="6">
        <v>48.46</v>
      </c>
      <c r="AB318" s="6">
        <v>46.5</v>
      </c>
      <c r="AC318" s="6">
        <v>46.92</v>
      </c>
      <c r="AD318" s="6">
        <v>46.08</v>
      </c>
      <c r="AE318" s="6">
        <v>44.94</v>
      </c>
      <c r="AF318" s="6">
        <v>45.41</v>
      </c>
      <c r="AG318" s="6">
        <v>44.3</v>
      </c>
      <c r="AH318" s="6">
        <v>47.6</v>
      </c>
      <c r="AI318" s="6">
        <v>46.52</v>
      </c>
      <c r="AJ318" s="6">
        <v>45.49</v>
      </c>
      <c r="AK318" s="6">
        <v>46.46</v>
      </c>
      <c r="AL318" s="6">
        <v>43.84</v>
      </c>
      <c r="AM318" s="6">
        <v>45.5</v>
      </c>
      <c r="AN318" s="6">
        <v>46.63</v>
      </c>
      <c r="AO318" s="4">
        <v>46.34</v>
      </c>
      <c r="AP318" s="6">
        <v>45.32</v>
      </c>
      <c r="AQ318" s="6">
        <v>46.92</v>
      </c>
      <c r="AR318" s="6">
        <v>47.46</v>
      </c>
      <c r="AS318" s="6">
        <v>45.65</v>
      </c>
      <c r="AT318" s="6">
        <v>45.67</v>
      </c>
      <c r="AU318" s="6">
        <v>46.26</v>
      </c>
      <c r="AV318" s="6"/>
      <c r="AW318" s="6"/>
      <c r="AX318" s="6">
        <v>44.4</v>
      </c>
      <c r="AY318" s="6">
        <v>44.9</v>
      </c>
      <c r="AZ318" s="6">
        <v>46.25</v>
      </c>
      <c r="BA318" s="6">
        <v>45.31</v>
      </c>
      <c r="BB318" s="6">
        <v>45.94</v>
      </c>
      <c r="BC318" s="6">
        <v>47.08</v>
      </c>
      <c r="BD318" s="6">
        <v>45.23</v>
      </c>
      <c r="BE318" s="6">
        <v>46.09</v>
      </c>
      <c r="BF318" s="6">
        <v>46.48</v>
      </c>
      <c r="BG318" s="6">
        <v>45.66</v>
      </c>
      <c r="BH318" s="6">
        <v>46.59</v>
      </c>
      <c r="BI318" s="6">
        <v>46.53</v>
      </c>
      <c r="BJ318" s="6">
        <v>46.65</v>
      </c>
      <c r="BK318" s="6">
        <v>46.84</v>
      </c>
      <c r="BL318" s="6">
        <v>43.59</v>
      </c>
      <c r="BM318" s="7">
        <v>43.27</v>
      </c>
      <c r="BN318" s="10"/>
    </row>
    <row r="319" spans="1:66" ht="15.75" customHeight="1" x14ac:dyDescent="0.25">
      <c r="A319" s="4">
        <v>317</v>
      </c>
      <c r="B319" s="4"/>
      <c r="C319" s="4">
        <v>13</v>
      </c>
      <c r="D319" s="6">
        <v>44.87</v>
      </c>
      <c r="E319" s="6">
        <v>44.93</v>
      </c>
      <c r="F319" s="6">
        <v>45.82</v>
      </c>
      <c r="G319" s="6">
        <v>44.86</v>
      </c>
      <c r="H319" s="6">
        <v>45.21</v>
      </c>
      <c r="I319" s="6">
        <v>46.56</v>
      </c>
      <c r="J319" s="6">
        <v>45.93</v>
      </c>
      <c r="K319" s="6">
        <v>46.46</v>
      </c>
      <c r="L319" s="6">
        <v>46.84</v>
      </c>
      <c r="M319" s="6">
        <v>47.01</v>
      </c>
      <c r="N319" s="6">
        <v>46.49</v>
      </c>
      <c r="O319" s="6">
        <v>46.3</v>
      </c>
      <c r="P319" s="6">
        <v>46.06</v>
      </c>
      <c r="Q319" s="6">
        <v>44.85</v>
      </c>
      <c r="R319" s="6">
        <v>46.76</v>
      </c>
      <c r="S319" s="6">
        <v>45.74</v>
      </c>
      <c r="T319" s="6">
        <v>46.62</v>
      </c>
      <c r="U319" s="6">
        <v>46.88</v>
      </c>
      <c r="V319" s="6">
        <v>45.16</v>
      </c>
      <c r="W319" s="6">
        <v>45.89</v>
      </c>
      <c r="X319" s="6">
        <v>46.22</v>
      </c>
      <c r="Y319" s="6">
        <v>46.54</v>
      </c>
      <c r="Z319" s="6">
        <v>45.85</v>
      </c>
      <c r="AA319" s="6">
        <v>48.46</v>
      </c>
      <c r="AB319" s="6">
        <v>46.4</v>
      </c>
      <c r="AC319" s="6">
        <v>46.98</v>
      </c>
      <c r="AD319" s="6">
        <v>46</v>
      </c>
      <c r="AE319" s="6">
        <v>44.82</v>
      </c>
      <c r="AF319" s="6">
        <v>45.39</v>
      </c>
      <c r="AG319" s="6">
        <v>44.45</v>
      </c>
      <c r="AH319" s="6">
        <v>47.65</v>
      </c>
      <c r="AI319" s="6">
        <v>46.51</v>
      </c>
      <c r="AJ319" s="6">
        <v>45.54</v>
      </c>
      <c r="AK319" s="6">
        <v>46.46</v>
      </c>
      <c r="AL319" s="6">
        <v>43.83</v>
      </c>
      <c r="AM319" s="6">
        <v>45.6</v>
      </c>
      <c r="AN319" s="6">
        <v>46.48</v>
      </c>
      <c r="AO319" s="6">
        <v>46.14</v>
      </c>
      <c r="AP319" s="4">
        <v>45.31</v>
      </c>
      <c r="AQ319" s="6">
        <v>47</v>
      </c>
      <c r="AR319" s="6">
        <v>47.46</v>
      </c>
      <c r="AS319" s="6">
        <v>45.58</v>
      </c>
      <c r="AT319" s="6">
        <v>45.84</v>
      </c>
      <c r="AU319" s="6">
        <v>46.27</v>
      </c>
      <c r="AV319" s="6"/>
      <c r="AW319" s="6"/>
      <c r="AX319" s="6">
        <v>44.3</v>
      </c>
      <c r="AY319" s="6">
        <v>44.88</v>
      </c>
      <c r="AZ319" s="6">
        <v>46.28</v>
      </c>
      <c r="BA319" s="6">
        <v>45.22</v>
      </c>
      <c r="BB319" s="6">
        <v>45.87</v>
      </c>
      <c r="BC319" s="6">
        <v>46.95</v>
      </c>
      <c r="BD319" s="6">
        <v>45.33</v>
      </c>
      <c r="BE319" s="6">
        <v>46.07</v>
      </c>
      <c r="BF319" s="6">
        <v>46.48</v>
      </c>
      <c r="BG319" s="6">
        <v>45.62</v>
      </c>
      <c r="BH319" s="6">
        <v>46.5</v>
      </c>
      <c r="BI319" s="6">
        <v>46.5</v>
      </c>
      <c r="BJ319" s="6">
        <v>46.49</v>
      </c>
      <c r="BK319" s="6">
        <v>46.77</v>
      </c>
      <c r="BL319" s="6">
        <v>43.68</v>
      </c>
      <c r="BM319" s="7">
        <v>43.26</v>
      </c>
      <c r="BN319" s="10"/>
    </row>
    <row r="320" spans="1:66" ht="15.75" customHeight="1" x14ac:dyDescent="0.25">
      <c r="A320" s="4">
        <v>318</v>
      </c>
      <c r="B320" s="4"/>
      <c r="C320" s="4">
        <v>14</v>
      </c>
      <c r="D320" s="6">
        <v>44.85</v>
      </c>
      <c r="E320" s="6">
        <v>44.81</v>
      </c>
      <c r="F320" s="6">
        <v>45.88</v>
      </c>
      <c r="G320" s="6">
        <v>44.81</v>
      </c>
      <c r="H320" s="6">
        <v>45.15</v>
      </c>
      <c r="I320" s="6">
        <v>46.46</v>
      </c>
      <c r="J320" s="6">
        <v>45.82</v>
      </c>
      <c r="K320" s="6">
        <v>46.36</v>
      </c>
      <c r="L320" s="6">
        <v>46.74</v>
      </c>
      <c r="M320" s="6">
        <v>47</v>
      </c>
      <c r="N320" s="6">
        <v>46.59</v>
      </c>
      <c r="O320" s="6">
        <v>46.15</v>
      </c>
      <c r="P320" s="6">
        <v>46.03</v>
      </c>
      <c r="Q320" s="6">
        <v>44.76</v>
      </c>
      <c r="R320" s="6">
        <v>46.76</v>
      </c>
      <c r="S320" s="6">
        <v>45.6</v>
      </c>
      <c r="T320" s="6">
        <v>46.54</v>
      </c>
      <c r="U320" s="6">
        <v>46.84</v>
      </c>
      <c r="V320" s="6">
        <v>45.14</v>
      </c>
      <c r="W320" s="6">
        <v>45.77</v>
      </c>
      <c r="X320" s="6">
        <v>46.12</v>
      </c>
      <c r="Y320" s="6">
        <v>46.49</v>
      </c>
      <c r="Z320" s="6">
        <v>45.81</v>
      </c>
      <c r="AA320" s="6">
        <v>48.42</v>
      </c>
      <c r="AB320" s="6">
        <v>46.29</v>
      </c>
      <c r="AC320" s="6">
        <v>47.02</v>
      </c>
      <c r="AD320" s="6">
        <v>45.92</v>
      </c>
      <c r="AE320" s="6">
        <v>44.76</v>
      </c>
      <c r="AF320" s="6">
        <v>45.37</v>
      </c>
      <c r="AG320" s="6">
        <v>44.52</v>
      </c>
      <c r="AH320" s="6">
        <v>47.74</v>
      </c>
      <c r="AI320" s="6">
        <v>46.48</v>
      </c>
      <c r="AJ320" s="6">
        <v>45.62</v>
      </c>
      <c r="AK320" s="6">
        <v>46.4</v>
      </c>
      <c r="AL320" s="6">
        <v>43.8</v>
      </c>
      <c r="AM320" s="6">
        <v>45.62</v>
      </c>
      <c r="AN320" s="6">
        <v>46.3</v>
      </c>
      <c r="AO320" s="6">
        <v>46.04</v>
      </c>
      <c r="AP320" s="6">
        <v>45.31</v>
      </c>
      <c r="AQ320" s="6">
        <v>47.1</v>
      </c>
      <c r="AR320" s="6">
        <v>47.45</v>
      </c>
      <c r="AS320" s="6">
        <v>45.56</v>
      </c>
      <c r="AT320" s="6">
        <v>45.94</v>
      </c>
      <c r="AU320" s="6">
        <v>46.33</v>
      </c>
      <c r="AV320" s="6"/>
      <c r="AW320" s="6"/>
      <c r="AX320" s="6">
        <v>44.25</v>
      </c>
      <c r="AY320" s="6">
        <v>44.9</v>
      </c>
      <c r="AZ320" s="6">
        <v>46.37</v>
      </c>
      <c r="BA320" s="6">
        <v>45.1</v>
      </c>
      <c r="BB320" s="6">
        <v>45.82</v>
      </c>
      <c r="BC320" s="6">
        <v>46.84</v>
      </c>
      <c r="BD320" s="6">
        <v>45.35</v>
      </c>
      <c r="BE320" s="6">
        <v>46</v>
      </c>
      <c r="BF320" s="6">
        <v>46.46</v>
      </c>
      <c r="BG320" s="6">
        <v>45.58</v>
      </c>
      <c r="BH320" s="6">
        <v>46.5</v>
      </c>
      <c r="BI320" s="6">
        <v>46.48</v>
      </c>
      <c r="BJ320" s="6">
        <v>46.42</v>
      </c>
      <c r="BK320" s="6">
        <v>46.7</v>
      </c>
      <c r="BL320" s="6">
        <v>43.8</v>
      </c>
      <c r="BM320" s="7">
        <v>43.24</v>
      </c>
      <c r="BN320" s="10"/>
    </row>
    <row r="321" spans="1:66" ht="15.75" customHeight="1" x14ac:dyDescent="0.25">
      <c r="A321" s="4">
        <v>319</v>
      </c>
      <c r="B321" s="4"/>
      <c r="C321" s="4">
        <v>15</v>
      </c>
      <c r="D321" s="6">
        <v>44.8</v>
      </c>
      <c r="E321" s="6">
        <v>44.78</v>
      </c>
      <c r="F321" s="6">
        <v>45.95</v>
      </c>
      <c r="G321" s="6">
        <v>44.76</v>
      </c>
      <c r="H321" s="6">
        <v>45.06</v>
      </c>
      <c r="I321" s="6">
        <v>46.35</v>
      </c>
      <c r="J321" s="6">
        <v>45.75</v>
      </c>
      <c r="K321" s="6">
        <v>46.23</v>
      </c>
      <c r="L321" s="6">
        <v>46.64</v>
      </c>
      <c r="M321" s="6">
        <v>47.02</v>
      </c>
      <c r="N321" s="6">
        <v>46.71</v>
      </c>
      <c r="O321" s="6">
        <v>46</v>
      </c>
      <c r="P321" s="6">
        <v>45.98</v>
      </c>
      <c r="Q321" s="6">
        <v>44.76</v>
      </c>
      <c r="R321" s="6">
        <v>46.76</v>
      </c>
      <c r="S321" s="6">
        <v>45.55</v>
      </c>
      <c r="T321" s="6">
        <v>46.48</v>
      </c>
      <c r="U321" s="6">
        <v>46.86</v>
      </c>
      <c r="V321" s="6">
        <v>45.1</v>
      </c>
      <c r="W321" s="6">
        <v>45.65</v>
      </c>
      <c r="X321" s="6">
        <v>46.02</v>
      </c>
      <c r="Y321" s="6">
        <v>46.46</v>
      </c>
      <c r="Z321" s="6">
        <v>45.81</v>
      </c>
      <c r="AA321" s="6">
        <v>48.38</v>
      </c>
      <c r="AB321" s="6">
        <v>46.21</v>
      </c>
      <c r="AC321" s="6">
        <v>47.03</v>
      </c>
      <c r="AD321" s="6">
        <v>45.8</v>
      </c>
      <c r="AE321" s="6">
        <v>44.66</v>
      </c>
      <c r="AF321" s="6">
        <v>45.3</v>
      </c>
      <c r="AG321" s="6">
        <v>44.58</v>
      </c>
      <c r="AH321" s="6">
        <v>47.74</v>
      </c>
      <c r="AI321" s="6">
        <v>46.4</v>
      </c>
      <c r="AJ321" s="6">
        <v>45.63</v>
      </c>
      <c r="AK321" s="6">
        <v>46.31</v>
      </c>
      <c r="AL321" s="6">
        <v>43.82</v>
      </c>
      <c r="AM321" s="6">
        <v>45.6</v>
      </c>
      <c r="AN321" s="6">
        <v>46.13</v>
      </c>
      <c r="AO321" s="6">
        <v>45.94</v>
      </c>
      <c r="AP321" s="6">
        <v>45.34</v>
      </c>
      <c r="AQ321" s="6">
        <v>47.18</v>
      </c>
      <c r="AR321" s="6">
        <v>47.41</v>
      </c>
      <c r="AS321" s="6">
        <v>45.54</v>
      </c>
      <c r="AT321" s="6">
        <v>46.04</v>
      </c>
      <c r="AU321" s="6">
        <v>46.43</v>
      </c>
      <c r="AV321" s="6"/>
      <c r="AW321" s="6"/>
      <c r="AX321" s="6">
        <v>44.1</v>
      </c>
      <c r="AY321" s="6">
        <v>44.95</v>
      </c>
      <c r="AZ321" s="6">
        <v>46.46</v>
      </c>
      <c r="BA321" s="6">
        <v>45.03</v>
      </c>
      <c r="BB321" s="6">
        <v>45.76</v>
      </c>
      <c r="BC321" s="6">
        <v>46.74</v>
      </c>
      <c r="BD321" s="6">
        <v>45.34</v>
      </c>
      <c r="BE321" s="6">
        <v>45.93</v>
      </c>
      <c r="BF321" s="6">
        <v>46.36</v>
      </c>
      <c r="BG321" s="6">
        <v>45.61</v>
      </c>
      <c r="BH321" s="6">
        <v>46.44</v>
      </c>
      <c r="BI321" s="6">
        <v>46.45</v>
      </c>
      <c r="BJ321" s="6">
        <v>46.32</v>
      </c>
      <c r="BK321" s="6">
        <v>46.6</v>
      </c>
      <c r="BL321" s="6">
        <v>43.88</v>
      </c>
      <c r="BM321" s="7">
        <v>43.25</v>
      </c>
      <c r="BN321" s="10"/>
    </row>
    <row r="322" spans="1:66" ht="15.75" customHeight="1" x14ac:dyDescent="0.25">
      <c r="A322" s="4">
        <v>320</v>
      </c>
      <c r="B322" s="4"/>
      <c r="C322" s="4">
        <v>16</v>
      </c>
      <c r="D322" s="6">
        <v>44.77</v>
      </c>
      <c r="E322" s="6">
        <v>44.72</v>
      </c>
      <c r="F322" s="6">
        <v>46.06</v>
      </c>
      <c r="G322" s="6">
        <v>44.76</v>
      </c>
      <c r="H322" s="6">
        <v>44.96</v>
      </c>
      <c r="I322" s="6">
        <v>46.2</v>
      </c>
      <c r="J322" s="6">
        <v>45.67</v>
      </c>
      <c r="K322" s="6">
        <v>46.15</v>
      </c>
      <c r="L322" s="6">
        <v>46.56</v>
      </c>
      <c r="M322" s="6">
        <v>46.96</v>
      </c>
      <c r="N322" s="6">
        <v>46.81</v>
      </c>
      <c r="O322" s="6">
        <v>45.91</v>
      </c>
      <c r="P322" s="6">
        <v>45.96</v>
      </c>
      <c r="Q322" s="6">
        <v>44.73</v>
      </c>
      <c r="R322" s="6">
        <v>46.96</v>
      </c>
      <c r="S322" s="6">
        <v>45.52</v>
      </c>
      <c r="T322" s="6">
        <v>46.53</v>
      </c>
      <c r="U322" s="6">
        <v>46.8</v>
      </c>
      <c r="V322" s="6">
        <v>45.09</v>
      </c>
      <c r="W322" s="6">
        <v>45.51</v>
      </c>
      <c r="X322" s="6">
        <v>45.92</v>
      </c>
      <c r="Y322" s="6">
        <v>46.38</v>
      </c>
      <c r="Z322" s="6">
        <v>45.76</v>
      </c>
      <c r="AA322" s="6">
        <v>48.35</v>
      </c>
      <c r="AB322" s="6">
        <v>46.1</v>
      </c>
      <c r="AC322" s="6">
        <v>47.08</v>
      </c>
      <c r="AD322" s="6">
        <v>45.78</v>
      </c>
      <c r="AE322" s="6">
        <v>44.61</v>
      </c>
      <c r="AF322" s="6">
        <v>45.24</v>
      </c>
      <c r="AG322" s="6">
        <v>44.66</v>
      </c>
      <c r="AH322" s="6">
        <v>47.76</v>
      </c>
      <c r="AI322" s="6">
        <v>46.33</v>
      </c>
      <c r="AJ322" s="6">
        <v>45.86</v>
      </c>
      <c r="AK322" s="6">
        <v>46.28</v>
      </c>
      <c r="AL322" s="6">
        <v>43.82</v>
      </c>
      <c r="AM322" s="6">
        <v>45.5</v>
      </c>
      <c r="AN322" s="6">
        <v>45.93</v>
      </c>
      <c r="AO322" s="6">
        <v>45.81</v>
      </c>
      <c r="AP322" s="6">
        <v>45.37</v>
      </c>
      <c r="AQ322" s="6">
        <v>47.21</v>
      </c>
      <c r="AR322" s="6">
        <v>47.4</v>
      </c>
      <c r="AS322" s="6">
        <v>45.54</v>
      </c>
      <c r="AT322" s="6">
        <v>46.13</v>
      </c>
      <c r="AU322" s="6">
        <v>46.49</v>
      </c>
      <c r="AV322" s="6"/>
      <c r="AW322" s="6"/>
      <c r="AX322" s="6">
        <v>44.03</v>
      </c>
      <c r="AY322" s="6">
        <v>45.04</v>
      </c>
      <c r="AZ322" s="6">
        <v>46.48</v>
      </c>
      <c r="BA322" s="6">
        <v>44.98</v>
      </c>
      <c r="BB322" s="6">
        <v>45.69</v>
      </c>
      <c r="BC322" s="6">
        <v>46.71</v>
      </c>
      <c r="BD322" s="6">
        <v>45.34</v>
      </c>
      <c r="BE322" s="6">
        <v>45.87</v>
      </c>
      <c r="BF322" s="6">
        <v>46.2</v>
      </c>
      <c r="BG322" s="6">
        <v>45.63</v>
      </c>
      <c r="BH322" s="6">
        <v>46.38</v>
      </c>
      <c r="BI322" s="6">
        <v>46.41</v>
      </c>
      <c r="BJ322" s="6">
        <v>46.22</v>
      </c>
      <c r="BK322" s="6">
        <v>46.56</v>
      </c>
      <c r="BL322" s="6">
        <v>43.91</v>
      </c>
      <c r="BM322" s="7">
        <v>43.24</v>
      </c>
      <c r="BN322" s="10"/>
    </row>
    <row r="323" spans="1:66" ht="15.75" customHeight="1" x14ac:dyDescent="0.25">
      <c r="A323" s="4">
        <v>321</v>
      </c>
      <c r="B323" s="4"/>
      <c r="C323" s="4">
        <v>17</v>
      </c>
      <c r="D323" s="6">
        <v>44.78</v>
      </c>
      <c r="E323" s="6">
        <v>44.68</v>
      </c>
      <c r="F323" s="6">
        <v>46.06</v>
      </c>
      <c r="G323" s="6">
        <v>44.71</v>
      </c>
      <c r="H323" s="6">
        <v>44.86</v>
      </c>
      <c r="I323" s="6">
        <v>46.15</v>
      </c>
      <c r="J323" s="6">
        <v>45.59</v>
      </c>
      <c r="K323" s="6">
        <v>46.06</v>
      </c>
      <c r="L323" s="6">
        <v>46.53</v>
      </c>
      <c r="M323" s="6">
        <v>46.97</v>
      </c>
      <c r="N323" s="6">
        <v>46.81</v>
      </c>
      <c r="O323" s="6">
        <v>45.81</v>
      </c>
      <c r="P323" s="6">
        <v>45.92</v>
      </c>
      <c r="Q323" s="6">
        <v>44.68</v>
      </c>
      <c r="R323" s="6">
        <v>46.99</v>
      </c>
      <c r="S323" s="6">
        <v>45.48</v>
      </c>
      <c r="T323" s="6">
        <v>46.56</v>
      </c>
      <c r="U323" s="6">
        <v>46.74</v>
      </c>
      <c r="V323" s="6">
        <v>45.07</v>
      </c>
      <c r="W323" s="6">
        <v>45.28</v>
      </c>
      <c r="X323" s="6">
        <v>45.86</v>
      </c>
      <c r="Y323" s="6">
        <v>46.34</v>
      </c>
      <c r="Z323" s="6">
        <v>45.71</v>
      </c>
      <c r="AA323" s="6">
        <v>48.3</v>
      </c>
      <c r="AB323" s="6">
        <v>46</v>
      </c>
      <c r="AC323" s="6">
        <v>47.1</v>
      </c>
      <c r="AD323" s="6">
        <v>45.76</v>
      </c>
      <c r="AE323" s="6">
        <v>44.54</v>
      </c>
      <c r="AF323" s="6">
        <v>45.13</v>
      </c>
      <c r="AG323" s="6">
        <v>44.74</v>
      </c>
      <c r="AH323" s="6">
        <v>47.74</v>
      </c>
      <c r="AI323" s="6">
        <v>46.24</v>
      </c>
      <c r="AJ323" s="6">
        <v>45.98</v>
      </c>
      <c r="AK323" s="6">
        <v>46.24</v>
      </c>
      <c r="AL323" s="6">
        <v>43.83</v>
      </c>
      <c r="AM323" s="6">
        <v>45.55</v>
      </c>
      <c r="AN323" s="6">
        <v>45.84</v>
      </c>
      <c r="AO323" s="6">
        <v>45.76</v>
      </c>
      <c r="AP323" s="6">
        <v>45.48</v>
      </c>
      <c r="AQ323" s="6">
        <v>47.22</v>
      </c>
      <c r="AR323" s="6">
        <v>47.38</v>
      </c>
      <c r="AS323" s="6">
        <v>45.54</v>
      </c>
      <c r="AT323" s="6">
        <v>46.21</v>
      </c>
      <c r="AU323" s="6">
        <v>46.59</v>
      </c>
      <c r="AV323" s="6"/>
      <c r="AW323" s="6"/>
      <c r="AX323" s="6">
        <v>43.97</v>
      </c>
      <c r="AY323" s="6">
        <v>45.14</v>
      </c>
      <c r="AZ323" s="6">
        <v>46.48</v>
      </c>
      <c r="BA323" s="6">
        <v>44.88</v>
      </c>
      <c r="BB323" s="6">
        <v>45.69</v>
      </c>
      <c r="BC323" s="6">
        <v>46.69</v>
      </c>
      <c r="BD323" s="6">
        <v>45.34</v>
      </c>
      <c r="BE323" s="6">
        <v>45.81</v>
      </c>
      <c r="BF323" s="6">
        <v>46.06</v>
      </c>
      <c r="BG323" s="6">
        <v>45.6</v>
      </c>
      <c r="BH323" s="6">
        <v>46.34</v>
      </c>
      <c r="BI323" s="6">
        <v>46.4</v>
      </c>
      <c r="BJ323" s="6">
        <v>46.09</v>
      </c>
      <c r="BK323" s="6">
        <v>46.56</v>
      </c>
      <c r="BL323" s="6">
        <v>43.94</v>
      </c>
      <c r="BM323" s="7">
        <v>43.22</v>
      </c>
      <c r="BN323" s="10"/>
    </row>
    <row r="324" spans="1:66" ht="15.75" customHeight="1" x14ac:dyDescent="0.25">
      <c r="A324" s="4">
        <v>322</v>
      </c>
      <c r="B324" s="4"/>
      <c r="C324" s="4">
        <v>18</v>
      </c>
      <c r="D324" s="6">
        <v>44.78</v>
      </c>
      <c r="E324" s="6">
        <v>44.65</v>
      </c>
      <c r="F324" s="6">
        <v>46.05</v>
      </c>
      <c r="G324" s="6">
        <v>44.71</v>
      </c>
      <c r="H324" s="6">
        <v>44.76</v>
      </c>
      <c r="I324" s="6">
        <v>46.11</v>
      </c>
      <c r="J324" s="6">
        <v>45.56</v>
      </c>
      <c r="K324" s="6">
        <v>45.96</v>
      </c>
      <c r="L324" s="6">
        <v>46.46</v>
      </c>
      <c r="M324" s="6">
        <v>46.92</v>
      </c>
      <c r="N324" s="6">
        <v>46.81</v>
      </c>
      <c r="O324" s="6">
        <v>45.71</v>
      </c>
      <c r="P324" s="6">
        <v>45.86</v>
      </c>
      <c r="Q324" s="6">
        <v>44.62</v>
      </c>
      <c r="R324" s="6">
        <v>46.95</v>
      </c>
      <c r="S324" s="6">
        <v>45.48</v>
      </c>
      <c r="T324" s="6">
        <v>46.57</v>
      </c>
      <c r="U324" s="6">
        <v>46.61</v>
      </c>
      <c r="V324" s="6">
        <v>45.03</v>
      </c>
      <c r="W324" s="6">
        <v>45.26</v>
      </c>
      <c r="X324" s="6">
        <v>45.76</v>
      </c>
      <c r="Y324" s="6">
        <v>46.29</v>
      </c>
      <c r="Z324" s="6">
        <v>45.69</v>
      </c>
      <c r="AA324" s="6">
        <v>48.24</v>
      </c>
      <c r="AB324" s="6">
        <v>45.9</v>
      </c>
      <c r="AC324" s="6">
        <v>47.2</v>
      </c>
      <c r="AD324" s="6">
        <v>45.7</v>
      </c>
      <c r="AE324" s="6">
        <v>44.58</v>
      </c>
      <c r="AF324" s="6">
        <v>45.08</v>
      </c>
      <c r="AG324" s="6">
        <v>44.81</v>
      </c>
      <c r="AH324" s="6">
        <v>47.74</v>
      </c>
      <c r="AI324" s="6">
        <v>46.12</v>
      </c>
      <c r="AJ324" s="6">
        <v>46.09</v>
      </c>
      <c r="AK324" s="6">
        <v>46.18</v>
      </c>
      <c r="AL324" s="6">
        <v>43.82</v>
      </c>
      <c r="AM324" s="6">
        <v>45.52</v>
      </c>
      <c r="AN324" s="6">
        <v>45.52</v>
      </c>
      <c r="AO324" s="6">
        <v>45.63</v>
      </c>
      <c r="AP324" s="6">
        <v>45.37</v>
      </c>
      <c r="AQ324" s="6">
        <v>47.25</v>
      </c>
      <c r="AR324" s="6">
        <v>47.33</v>
      </c>
      <c r="AS324" s="6">
        <v>45.55</v>
      </c>
      <c r="AT324" s="6">
        <v>46.25</v>
      </c>
      <c r="AU324" s="6">
        <v>46.65</v>
      </c>
      <c r="AV324" s="6"/>
      <c r="AW324" s="6"/>
      <c r="AX324" s="6">
        <v>43.92</v>
      </c>
      <c r="AY324" s="6">
        <v>45.25</v>
      </c>
      <c r="AZ324" s="6">
        <v>46.47</v>
      </c>
      <c r="BA324" s="6">
        <v>44.83</v>
      </c>
      <c r="BB324" s="6">
        <v>45.63</v>
      </c>
      <c r="BC324" s="6">
        <v>46.6</v>
      </c>
      <c r="BD324" s="6">
        <v>45.29</v>
      </c>
      <c r="BE324" s="6">
        <v>45.78</v>
      </c>
      <c r="BF324" s="6">
        <v>45.92</v>
      </c>
      <c r="BG324" s="6">
        <v>45.57</v>
      </c>
      <c r="BH324" s="6">
        <v>46.3</v>
      </c>
      <c r="BI324" s="6">
        <v>46.43</v>
      </c>
      <c r="BJ324" s="6">
        <v>45.94</v>
      </c>
      <c r="BK324" s="6">
        <v>46.68</v>
      </c>
      <c r="BL324" s="6">
        <v>43.95</v>
      </c>
      <c r="BM324" s="7">
        <v>43.24</v>
      </c>
      <c r="BN324" s="10"/>
    </row>
    <row r="325" spans="1:66" ht="15.75" customHeight="1" x14ac:dyDescent="0.25">
      <c r="A325" s="4">
        <v>323</v>
      </c>
      <c r="B325" s="4"/>
      <c r="C325" s="4">
        <v>19</v>
      </c>
      <c r="D325" s="6">
        <v>44.78</v>
      </c>
      <c r="E325" s="6">
        <v>44.66</v>
      </c>
      <c r="F325" s="6">
        <v>46.02</v>
      </c>
      <c r="G325" s="6">
        <v>44.66</v>
      </c>
      <c r="H325" s="6">
        <v>44.71</v>
      </c>
      <c r="I325" s="6">
        <v>46.01</v>
      </c>
      <c r="J325" s="6">
        <v>45.54</v>
      </c>
      <c r="K325" s="6">
        <v>45.85</v>
      </c>
      <c r="L325" s="6">
        <v>46.4</v>
      </c>
      <c r="M325" s="6">
        <v>46.81</v>
      </c>
      <c r="N325" s="6">
        <v>46.84</v>
      </c>
      <c r="O325" s="6">
        <v>45.61</v>
      </c>
      <c r="P325" s="6">
        <v>45.8</v>
      </c>
      <c r="Q325" s="6">
        <v>44.55</v>
      </c>
      <c r="R325" s="6">
        <v>46.9</v>
      </c>
      <c r="S325" s="6">
        <v>45.47</v>
      </c>
      <c r="T325" s="6">
        <v>46.57</v>
      </c>
      <c r="U325" s="6">
        <v>46.54</v>
      </c>
      <c r="V325" s="6">
        <v>45.01</v>
      </c>
      <c r="W325" s="6">
        <v>45.22</v>
      </c>
      <c r="X325" s="6">
        <v>45.61</v>
      </c>
      <c r="Y325" s="6">
        <v>46.22</v>
      </c>
      <c r="Z325" s="6">
        <v>45.63</v>
      </c>
      <c r="AA325" s="6">
        <v>48.18</v>
      </c>
      <c r="AB325" s="6">
        <v>45.82</v>
      </c>
      <c r="AC325" s="6">
        <v>47.14</v>
      </c>
      <c r="AD325" s="6">
        <v>45.63</v>
      </c>
      <c r="AE325" s="6">
        <v>44.48</v>
      </c>
      <c r="AF325" s="6">
        <v>45.03</v>
      </c>
      <c r="AG325" s="6">
        <v>44.9</v>
      </c>
      <c r="AH325" s="6">
        <v>47.74</v>
      </c>
      <c r="AI325" s="6">
        <v>46</v>
      </c>
      <c r="AJ325" s="6">
        <v>46.15</v>
      </c>
      <c r="AK325" s="6">
        <v>46.1</v>
      </c>
      <c r="AL325" s="6">
        <v>43.87</v>
      </c>
      <c r="AM325" s="6">
        <v>45.5</v>
      </c>
      <c r="AN325" s="6">
        <v>45.42</v>
      </c>
      <c r="AO325" s="6">
        <v>45.56</v>
      </c>
      <c r="AP325" s="6">
        <v>45.42</v>
      </c>
      <c r="AQ325" s="6">
        <v>47.2</v>
      </c>
      <c r="AR325" s="6">
        <v>47.3</v>
      </c>
      <c r="AS325" s="6">
        <v>45.53</v>
      </c>
      <c r="AT325" s="6">
        <v>46.28</v>
      </c>
      <c r="AU325" s="6">
        <v>46.7</v>
      </c>
      <c r="AV325" s="6"/>
      <c r="AW325" s="6"/>
      <c r="AX325" s="6">
        <v>43.85</v>
      </c>
      <c r="AY325" s="6">
        <v>45.36</v>
      </c>
      <c r="AZ325" s="6">
        <v>46.46</v>
      </c>
      <c r="BA325" s="6">
        <v>44.82</v>
      </c>
      <c r="BB325" s="6">
        <v>45.59</v>
      </c>
      <c r="BC325" s="6">
        <v>46.69</v>
      </c>
      <c r="BD325" s="6">
        <v>45.23</v>
      </c>
      <c r="BE325" s="6">
        <v>45.72</v>
      </c>
      <c r="BF325" s="6">
        <v>45.81</v>
      </c>
      <c r="BG325" s="6">
        <v>45.5</v>
      </c>
      <c r="BH325" s="6">
        <v>46.28</v>
      </c>
      <c r="BI325" s="6">
        <v>46.41</v>
      </c>
      <c r="BJ325" s="6">
        <v>45.8</v>
      </c>
      <c r="BK325" s="6">
        <v>46.7</v>
      </c>
      <c r="BL325" s="6">
        <v>43.94</v>
      </c>
      <c r="BM325" s="7">
        <v>43.27</v>
      </c>
      <c r="BN325" s="10"/>
    </row>
    <row r="326" spans="1:66" ht="15.75" customHeight="1" x14ac:dyDescent="0.25">
      <c r="A326" s="4">
        <v>324</v>
      </c>
      <c r="B326" s="4"/>
      <c r="C326" s="4">
        <v>20</v>
      </c>
      <c r="D326" s="6">
        <v>44.72</v>
      </c>
      <c r="E326" s="6">
        <v>44.66</v>
      </c>
      <c r="F326" s="6">
        <v>45.98</v>
      </c>
      <c r="G326" s="6">
        <v>44.66</v>
      </c>
      <c r="H326" s="6">
        <v>44.66</v>
      </c>
      <c r="I326" s="6">
        <v>45.9</v>
      </c>
      <c r="J326" s="6">
        <v>45.53</v>
      </c>
      <c r="K326" s="6">
        <v>45.74</v>
      </c>
      <c r="L326" s="6">
        <v>46.36</v>
      </c>
      <c r="M326" s="6">
        <v>46.7</v>
      </c>
      <c r="N326" s="6">
        <v>46.84</v>
      </c>
      <c r="O326" s="6">
        <v>45.54</v>
      </c>
      <c r="P326" s="6">
        <v>45.76</v>
      </c>
      <c r="Q326" s="6">
        <v>44.47</v>
      </c>
      <c r="R326" s="6">
        <v>46.84</v>
      </c>
      <c r="S326" s="6">
        <v>45.47</v>
      </c>
      <c r="T326" s="6">
        <v>46.54</v>
      </c>
      <c r="U326" s="6">
        <v>46.48</v>
      </c>
      <c r="V326" s="6">
        <v>44.98</v>
      </c>
      <c r="W326" s="6">
        <v>45.08</v>
      </c>
      <c r="X326" s="6">
        <v>45.59</v>
      </c>
      <c r="Y326" s="6">
        <v>46.22</v>
      </c>
      <c r="Z326" s="6">
        <v>45.62</v>
      </c>
      <c r="AA326" s="6">
        <v>48.16</v>
      </c>
      <c r="AB326" s="6">
        <v>45.72</v>
      </c>
      <c r="AC326" s="6">
        <v>47.07</v>
      </c>
      <c r="AD326" s="6">
        <v>45.51</v>
      </c>
      <c r="AE326" s="6">
        <v>44.5</v>
      </c>
      <c r="AF326" s="6">
        <v>44.98</v>
      </c>
      <c r="AG326" s="6">
        <v>44.96</v>
      </c>
      <c r="AH326" s="6">
        <v>47.74</v>
      </c>
      <c r="AI326" s="6">
        <v>45.9</v>
      </c>
      <c r="AJ326" s="6">
        <v>46.18</v>
      </c>
      <c r="AK326" s="6">
        <v>46.02</v>
      </c>
      <c r="AL326" s="6">
        <v>43.91</v>
      </c>
      <c r="AM326" s="6">
        <v>45.46</v>
      </c>
      <c r="AN326" s="6">
        <v>45.24</v>
      </c>
      <c r="AO326" s="6">
        <v>45.44</v>
      </c>
      <c r="AP326" s="6">
        <v>45.44</v>
      </c>
      <c r="AQ326" s="6">
        <v>47.17</v>
      </c>
      <c r="AR326" s="6">
        <v>47.22</v>
      </c>
      <c r="AS326" s="6">
        <v>45.46</v>
      </c>
      <c r="AT326" s="6">
        <v>46.28</v>
      </c>
      <c r="AU326" s="6">
        <v>46.77</v>
      </c>
      <c r="AV326" s="6"/>
      <c r="AW326" s="6"/>
      <c r="AX326" s="6">
        <v>43.76</v>
      </c>
      <c r="AY326" s="6">
        <v>45.61</v>
      </c>
      <c r="AZ326" s="6">
        <v>46.43</v>
      </c>
      <c r="BA326" s="6">
        <v>44.84</v>
      </c>
      <c r="BB326" s="6">
        <v>45.54</v>
      </c>
      <c r="BC326" s="6">
        <v>46.68</v>
      </c>
      <c r="BD326" s="6">
        <v>45.2</v>
      </c>
      <c r="BE326" s="6">
        <v>45.66</v>
      </c>
      <c r="BF326" s="6">
        <v>45.71</v>
      </c>
      <c r="BG326" s="6">
        <v>45.42</v>
      </c>
      <c r="BH326" s="6">
        <v>46.24</v>
      </c>
      <c r="BI326" s="6">
        <v>46.39</v>
      </c>
      <c r="BJ326" s="6">
        <v>45.68</v>
      </c>
      <c r="BK326" s="6">
        <v>46.68</v>
      </c>
      <c r="BL326" s="6">
        <v>43.92</v>
      </c>
      <c r="BM326" s="7">
        <v>43.35</v>
      </c>
      <c r="BN326" s="10"/>
    </row>
    <row r="327" spans="1:66" ht="15.75" customHeight="1" x14ac:dyDescent="0.25">
      <c r="A327" s="4">
        <v>325</v>
      </c>
      <c r="B327" s="4"/>
      <c r="C327" s="4">
        <v>21</v>
      </c>
      <c r="D327" s="6">
        <v>44.67</v>
      </c>
      <c r="E327" s="6">
        <v>44.69</v>
      </c>
      <c r="F327" s="6">
        <v>46.03</v>
      </c>
      <c r="G327" s="6">
        <v>44.61</v>
      </c>
      <c r="H327" s="6">
        <v>44.56</v>
      </c>
      <c r="I327" s="6">
        <v>45.84</v>
      </c>
      <c r="J327" s="6">
        <v>45.51</v>
      </c>
      <c r="K327" s="6">
        <v>45.62</v>
      </c>
      <c r="L327" s="6">
        <v>46.36</v>
      </c>
      <c r="M327" s="6">
        <v>46.56</v>
      </c>
      <c r="N327" s="6">
        <v>46.86</v>
      </c>
      <c r="O327" s="6">
        <v>45.48</v>
      </c>
      <c r="P327" s="6">
        <v>45.73</v>
      </c>
      <c r="Q327" s="6">
        <v>44.41</v>
      </c>
      <c r="R327" s="6">
        <v>46.8</v>
      </c>
      <c r="S327" s="6">
        <v>45.47</v>
      </c>
      <c r="T327" s="6">
        <v>46.54</v>
      </c>
      <c r="U327" s="6">
        <v>46.42</v>
      </c>
      <c r="V327" s="6">
        <v>44.94</v>
      </c>
      <c r="W327" s="6">
        <v>45.06</v>
      </c>
      <c r="X327" s="6">
        <v>45.51</v>
      </c>
      <c r="Y327" s="6">
        <v>46.22</v>
      </c>
      <c r="Z327" s="6">
        <v>45.65</v>
      </c>
      <c r="AA327" s="6">
        <v>48.09</v>
      </c>
      <c r="AB327" s="6">
        <v>45.68</v>
      </c>
      <c r="AC327" s="6">
        <v>47.02</v>
      </c>
      <c r="AD327" s="6">
        <v>45.4</v>
      </c>
      <c r="AE327" s="6">
        <v>44.47</v>
      </c>
      <c r="AF327" s="6">
        <v>44.92</v>
      </c>
      <c r="AG327" s="6">
        <v>45.1</v>
      </c>
      <c r="AH327" s="6">
        <v>47.74</v>
      </c>
      <c r="AI327" s="6">
        <v>45.8</v>
      </c>
      <c r="AJ327" s="6">
        <v>46.26</v>
      </c>
      <c r="AK327" s="6">
        <v>45.96</v>
      </c>
      <c r="AL327" s="6">
        <v>43.94</v>
      </c>
      <c r="AM327" s="6">
        <v>45.46</v>
      </c>
      <c r="AN327" s="6">
        <v>45.13</v>
      </c>
      <c r="AO327" s="6">
        <v>45.36</v>
      </c>
      <c r="AP327" s="6">
        <v>45.15</v>
      </c>
      <c r="AQ327" s="6">
        <v>47.11</v>
      </c>
      <c r="AR327" s="6">
        <v>47.13</v>
      </c>
      <c r="AS327" s="6">
        <v>45.49</v>
      </c>
      <c r="AT327" s="6">
        <v>46.24</v>
      </c>
      <c r="AU327" s="6">
        <v>46.82</v>
      </c>
      <c r="AV327" s="6"/>
      <c r="AW327" s="6"/>
      <c r="AX327" s="6">
        <v>43.68</v>
      </c>
      <c r="AY327" s="6">
        <v>45.76</v>
      </c>
      <c r="AZ327" s="6">
        <v>46.44</v>
      </c>
      <c r="BA327" s="6">
        <v>44.86</v>
      </c>
      <c r="BB327" s="6">
        <v>45.5</v>
      </c>
      <c r="BC327" s="6">
        <v>46.68</v>
      </c>
      <c r="BD327" s="6">
        <v>45.2</v>
      </c>
      <c r="BE327" s="6">
        <v>45.61</v>
      </c>
      <c r="BF327" s="6">
        <v>45.62</v>
      </c>
      <c r="BG327" s="6">
        <v>45.35</v>
      </c>
      <c r="BH327" s="6">
        <v>46.18</v>
      </c>
      <c r="BI327" s="6">
        <v>46.37</v>
      </c>
      <c r="BJ327" s="6">
        <v>45.55</v>
      </c>
      <c r="BK327" s="6">
        <v>46.65</v>
      </c>
      <c r="BL327" s="6">
        <v>43.87</v>
      </c>
      <c r="BM327" s="7">
        <v>43.46</v>
      </c>
      <c r="BN327" s="10"/>
    </row>
    <row r="328" spans="1:66" ht="15.75" customHeight="1" x14ac:dyDescent="0.25">
      <c r="A328" s="4">
        <v>326</v>
      </c>
      <c r="B328" s="4"/>
      <c r="C328" s="4">
        <v>22</v>
      </c>
      <c r="D328" s="6">
        <v>44.63</v>
      </c>
      <c r="E328" s="6">
        <v>44.66</v>
      </c>
      <c r="F328" s="6">
        <v>46</v>
      </c>
      <c r="G328" s="6">
        <v>44.56</v>
      </c>
      <c r="H328" s="6">
        <v>44.41</v>
      </c>
      <c r="I328" s="6">
        <v>45.8</v>
      </c>
      <c r="J328" s="6">
        <v>45.57</v>
      </c>
      <c r="K328" s="6">
        <v>45.47</v>
      </c>
      <c r="L328" s="6">
        <v>46.36</v>
      </c>
      <c r="M328" s="6">
        <v>46.45</v>
      </c>
      <c r="N328" s="6">
        <v>46.88</v>
      </c>
      <c r="O328" s="6">
        <v>45.46</v>
      </c>
      <c r="P328" s="6">
        <v>45.67</v>
      </c>
      <c r="Q328" s="6">
        <v>44.36</v>
      </c>
      <c r="R328" s="6">
        <v>46.76</v>
      </c>
      <c r="S328" s="6">
        <v>45.57</v>
      </c>
      <c r="T328" s="6">
        <v>46.54</v>
      </c>
      <c r="U328" s="6">
        <v>46.38</v>
      </c>
      <c r="V328" s="6">
        <v>44.92</v>
      </c>
      <c r="W328" s="6">
        <v>45.01</v>
      </c>
      <c r="X328" s="6">
        <v>45.4</v>
      </c>
      <c r="Y328" s="6">
        <v>46.22</v>
      </c>
      <c r="Z328" s="6">
        <v>45.62</v>
      </c>
      <c r="AA328" s="6">
        <v>48.01</v>
      </c>
      <c r="AB328" s="6">
        <v>45.62</v>
      </c>
      <c r="AC328" s="6">
        <v>47.02</v>
      </c>
      <c r="AD328" s="6">
        <v>45.26</v>
      </c>
      <c r="AE328" s="6">
        <v>44.43</v>
      </c>
      <c r="AF328" s="6">
        <v>44.86</v>
      </c>
      <c r="AG328" s="6">
        <v>45.1</v>
      </c>
      <c r="AH328" s="6">
        <v>47.71</v>
      </c>
      <c r="AI328" s="6">
        <v>45.72</v>
      </c>
      <c r="AJ328" s="6">
        <v>46.29</v>
      </c>
      <c r="AK328" s="6">
        <v>45.9</v>
      </c>
      <c r="AL328" s="6">
        <v>43.98</v>
      </c>
      <c r="AM328" s="6">
        <v>45.52</v>
      </c>
      <c r="AN328" s="6">
        <v>45.02</v>
      </c>
      <c r="AO328" s="6">
        <v>45.28</v>
      </c>
      <c r="AP328" s="6">
        <v>45.08</v>
      </c>
      <c r="AQ328" s="6">
        <v>47.08</v>
      </c>
      <c r="AR328" s="6">
        <v>47.05</v>
      </c>
      <c r="AS328" s="6">
        <v>45.47</v>
      </c>
      <c r="AT328" s="6">
        <v>46.23</v>
      </c>
      <c r="AU328" s="6">
        <v>46.88</v>
      </c>
      <c r="AV328" s="6"/>
      <c r="AW328" s="6"/>
      <c r="AX328" s="6">
        <v>43.58</v>
      </c>
      <c r="AY328" s="6">
        <v>45.84</v>
      </c>
      <c r="AZ328" s="6">
        <v>46.44</v>
      </c>
      <c r="BA328" s="6">
        <v>44.88</v>
      </c>
      <c r="BB328" s="6">
        <v>45.5</v>
      </c>
      <c r="BC328" s="6">
        <v>46.66</v>
      </c>
      <c r="BD328" s="6">
        <v>45.1</v>
      </c>
      <c r="BE328" s="6">
        <v>45.55</v>
      </c>
      <c r="BF328" s="6">
        <v>45.53</v>
      </c>
      <c r="BG328" s="6">
        <v>45.26</v>
      </c>
      <c r="BH328" s="6">
        <v>46.12</v>
      </c>
      <c r="BI328" s="6">
        <v>46.26</v>
      </c>
      <c r="BJ328" s="6">
        <v>45.44</v>
      </c>
      <c r="BK328" s="6">
        <v>46.63</v>
      </c>
      <c r="BL328" s="6">
        <v>43.82</v>
      </c>
      <c r="BM328" s="7">
        <v>43.59</v>
      </c>
      <c r="BN328" s="10"/>
    </row>
    <row r="329" spans="1:66" ht="15.75" customHeight="1" x14ac:dyDescent="0.25">
      <c r="A329" s="4">
        <v>327</v>
      </c>
      <c r="B329" s="4"/>
      <c r="C329" s="4">
        <v>23</v>
      </c>
      <c r="D329" s="6">
        <v>44.57</v>
      </c>
      <c r="E329" s="6">
        <v>44.59</v>
      </c>
      <c r="F329" s="6">
        <v>45.99</v>
      </c>
      <c r="G329" s="6">
        <v>44.44</v>
      </c>
      <c r="H329" s="6">
        <v>44.31</v>
      </c>
      <c r="I329" s="6">
        <v>45.76</v>
      </c>
      <c r="J329" s="6">
        <v>45.61</v>
      </c>
      <c r="K329" s="6">
        <v>45.34</v>
      </c>
      <c r="L329" s="6">
        <v>46.36</v>
      </c>
      <c r="M329" s="6">
        <v>46.36</v>
      </c>
      <c r="N329" s="6">
        <v>46.89</v>
      </c>
      <c r="O329" s="6">
        <v>45.46</v>
      </c>
      <c r="P329" s="6">
        <v>45.66</v>
      </c>
      <c r="Q329" s="6">
        <v>44.31</v>
      </c>
      <c r="R329" s="6">
        <v>46.67</v>
      </c>
      <c r="S329" s="6">
        <v>45.65</v>
      </c>
      <c r="T329" s="6">
        <v>46.48</v>
      </c>
      <c r="U329" s="6">
        <v>46.33</v>
      </c>
      <c r="V329" s="6">
        <v>44.85</v>
      </c>
      <c r="W329" s="6">
        <v>44.96</v>
      </c>
      <c r="X329" s="6">
        <v>45.31</v>
      </c>
      <c r="Y329" s="6">
        <v>46.23</v>
      </c>
      <c r="Z329" s="6">
        <v>45.69</v>
      </c>
      <c r="AA329" s="6">
        <v>47.94</v>
      </c>
      <c r="AB329" s="6">
        <v>45.58</v>
      </c>
      <c r="AC329" s="6">
        <v>46.94</v>
      </c>
      <c r="AD329" s="6">
        <v>45.14</v>
      </c>
      <c r="AE329" s="6">
        <v>44.42</v>
      </c>
      <c r="AF329" s="6">
        <v>44.88</v>
      </c>
      <c r="AG329" s="6">
        <v>45.19</v>
      </c>
      <c r="AH329" s="6">
        <v>47.64</v>
      </c>
      <c r="AI329" s="6">
        <v>45.72</v>
      </c>
      <c r="AJ329" s="6">
        <v>46.32</v>
      </c>
      <c r="AK329" s="6">
        <v>45.8</v>
      </c>
      <c r="AL329" s="6">
        <v>43.98</v>
      </c>
      <c r="AM329" s="6">
        <v>45.56</v>
      </c>
      <c r="AN329" s="6">
        <v>44.9</v>
      </c>
      <c r="AO329" s="6">
        <v>45.18</v>
      </c>
      <c r="AP329" s="6">
        <v>44.99</v>
      </c>
      <c r="AQ329" s="6">
        <v>47.02</v>
      </c>
      <c r="AR329" s="6">
        <v>46.97</v>
      </c>
      <c r="AS329" s="6">
        <v>45.4</v>
      </c>
      <c r="AT329" s="6">
        <v>46.24</v>
      </c>
      <c r="AU329" s="6">
        <v>46.9</v>
      </c>
      <c r="AV329" s="6"/>
      <c r="AW329" s="6"/>
      <c r="AX329" s="6">
        <v>43.5</v>
      </c>
      <c r="AY329" s="6">
        <v>45.94</v>
      </c>
      <c r="AZ329" s="6">
        <v>46.52</v>
      </c>
      <c r="BA329" s="6">
        <v>44.86</v>
      </c>
      <c r="BB329" s="6">
        <v>45.47</v>
      </c>
      <c r="BC329" s="6">
        <v>46.65</v>
      </c>
      <c r="BD329" s="6">
        <v>45.04</v>
      </c>
      <c r="BE329" s="6">
        <v>45.51</v>
      </c>
      <c r="BF329" s="6">
        <v>45.46</v>
      </c>
      <c r="BG329" s="6">
        <v>45.23</v>
      </c>
      <c r="BH329" s="6">
        <v>46.1</v>
      </c>
      <c r="BI329" s="6">
        <v>46.15</v>
      </c>
      <c r="BJ329" s="6">
        <v>45.36</v>
      </c>
      <c r="BK329" s="6">
        <v>46.64</v>
      </c>
      <c r="BL329" s="6">
        <v>43.75</v>
      </c>
      <c r="BM329" s="7">
        <v>43.77</v>
      </c>
      <c r="BN329" s="10"/>
    </row>
    <row r="330" spans="1:66" ht="15.75" customHeight="1" x14ac:dyDescent="0.25">
      <c r="A330" s="4">
        <v>328</v>
      </c>
      <c r="B330" s="4"/>
      <c r="C330" s="4">
        <v>24</v>
      </c>
      <c r="D330" s="6">
        <v>44.5</v>
      </c>
      <c r="E330" s="6">
        <v>44.49</v>
      </c>
      <c r="F330" s="6">
        <v>45.98</v>
      </c>
      <c r="G330" s="6">
        <v>44.41</v>
      </c>
      <c r="H330" s="6">
        <v>44.26</v>
      </c>
      <c r="I330" s="6">
        <v>45.74</v>
      </c>
      <c r="J330" s="6">
        <v>45.56</v>
      </c>
      <c r="K330" s="6">
        <v>45.19</v>
      </c>
      <c r="L330" s="6">
        <v>46.36</v>
      </c>
      <c r="M330" s="6">
        <v>46.37</v>
      </c>
      <c r="N330" s="6">
        <v>46.92</v>
      </c>
      <c r="O330" s="6">
        <v>45.46</v>
      </c>
      <c r="P330" s="6">
        <v>45.63</v>
      </c>
      <c r="Q330" s="6">
        <v>44.31</v>
      </c>
      <c r="R330" s="6">
        <v>46.59</v>
      </c>
      <c r="S330" s="6">
        <v>45.67</v>
      </c>
      <c r="T330" s="6">
        <v>46.48</v>
      </c>
      <c r="U330" s="6">
        <v>46.31</v>
      </c>
      <c r="V330" s="6">
        <v>44.8</v>
      </c>
      <c r="W330" s="6">
        <v>44.9</v>
      </c>
      <c r="X330" s="6">
        <v>45.19</v>
      </c>
      <c r="Y330" s="6">
        <v>46.22</v>
      </c>
      <c r="Z330" s="6">
        <v>45.65</v>
      </c>
      <c r="AA330" s="6">
        <v>47.84</v>
      </c>
      <c r="AB330" s="6">
        <v>45.5</v>
      </c>
      <c r="AC330" s="6">
        <v>46.84</v>
      </c>
      <c r="AD330" s="6">
        <v>45.04</v>
      </c>
      <c r="AE330" s="6">
        <v>44.41</v>
      </c>
      <c r="AF330" s="6">
        <v>44.9</v>
      </c>
      <c r="AG330" s="6">
        <v>45.26</v>
      </c>
      <c r="AH330" s="6">
        <v>47.58</v>
      </c>
      <c r="AI330" s="6">
        <v>45.83</v>
      </c>
      <c r="AJ330" s="6">
        <v>46.32</v>
      </c>
      <c r="AK330" s="6">
        <v>45.8</v>
      </c>
      <c r="AL330" s="6">
        <v>43.96</v>
      </c>
      <c r="AM330" s="6">
        <v>45.64</v>
      </c>
      <c r="AN330" s="6">
        <v>44.79</v>
      </c>
      <c r="AO330" s="6">
        <v>45.06</v>
      </c>
      <c r="AP330" s="6">
        <v>44.91</v>
      </c>
      <c r="AQ330" s="6">
        <v>46.93</v>
      </c>
      <c r="AR330" s="6">
        <v>46.88</v>
      </c>
      <c r="AS330" s="6">
        <v>45.36</v>
      </c>
      <c r="AT330" s="6">
        <v>46.28</v>
      </c>
      <c r="AU330" s="6">
        <v>46.89</v>
      </c>
      <c r="AV330" s="6"/>
      <c r="AW330" s="6"/>
      <c r="AX330" s="6">
        <v>43.42</v>
      </c>
      <c r="AY330" s="6">
        <v>45.98</v>
      </c>
      <c r="AZ330" s="6">
        <v>46.55</v>
      </c>
      <c r="BA330" s="6">
        <v>44.83</v>
      </c>
      <c r="BB330" s="6">
        <v>45.47</v>
      </c>
      <c r="BC330" s="6">
        <v>46.62</v>
      </c>
      <c r="BD330" s="6">
        <v>44.96</v>
      </c>
      <c r="BE330" s="6">
        <v>45.49</v>
      </c>
      <c r="BF330" s="6">
        <v>45.35</v>
      </c>
      <c r="BG330" s="6">
        <v>45.25</v>
      </c>
      <c r="BH330" s="6">
        <v>46.05</v>
      </c>
      <c r="BI330" s="6">
        <v>46.02</v>
      </c>
      <c r="BJ330" s="6">
        <v>45.28</v>
      </c>
      <c r="BK330" s="6">
        <v>46.66</v>
      </c>
      <c r="BL330" s="6">
        <v>43.7</v>
      </c>
      <c r="BM330" s="7">
        <v>43.97</v>
      </c>
      <c r="BN330" s="10"/>
    </row>
    <row r="331" spans="1:66" ht="15.75" customHeight="1" x14ac:dyDescent="0.25">
      <c r="A331" s="4">
        <v>329</v>
      </c>
      <c r="B331" s="4"/>
      <c r="C331" s="4">
        <v>25</v>
      </c>
      <c r="D331" s="6">
        <v>44.46</v>
      </c>
      <c r="E331" s="6">
        <v>44.47</v>
      </c>
      <c r="F331" s="6">
        <v>46.06</v>
      </c>
      <c r="G331" s="6">
        <v>44.41</v>
      </c>
      <c r="H331" s="6">
        <v>44.16</v>
      </c>
      <c r="I331" s="6">
        <v>45.76</v>
      </c>
      <c r="J331" s="6">
        <v>45.58</v>
      </c>
      <c r="K331" s="6">
        <v>45.07</v>
      </c>
      <c r="L331" s="6">
        <v>46.33</v>
      </c>
      <c r="M331" s="6">
        <v>46.37</v>
      </c>
      <c r="N331" s="6">
        <v>46.9</v>
      </c>
      <c r="O331" s="6">
        <v>45.54</v>
      </c>
      <c r="P331" s="6">
        <v>45.61</v>
      </c>
      <c r="Q331" s="6">
        <v>44.28</v>
      </c>
      <c r="R331" s="6">
        <v>46.46</v>
      </c>
      <c r="S331" s="6">
        <v>45.62</v>
      </c>
      <c r="T331" s="6">
        <v>46.4</v>
      </c>
      <c r="U331" s="6">
        <v>46.27</v>
      </c>
      <c r="V331" s="6">
        <v>44.75</v>
      </c>
      <c r="W331" s="6">
        <v>44.9</v>
      </c>
      <c r="X331" s="6">
        <v>45.11</v>
      </c>
      <c r="Y331" s="6">
        <v>46.16</v>
      </c>
      <c r="Z331" s="6">
        <v>45.61</v>
      </c>
      <c r="AA331" s="6">
        <v>47.8</v>
      </c>
      <c r="AB331" s="6">
        <v>45.48</v>
      </c>
      <c r="AC331" s="6">
        <v>46.79</v>
      </c>
      <c r="AD331" s="6">
        <v>45</v>
      </c>
      <c r="AE331" s="6">
        <v>44.44</v>
      </c>
      <c r="AF331" s="6">
        <v>44.91</v>
      </c>
      <c r="AG331" s="6">
        <v>45.3</v>
      </c>
      <c r="AH331" s="6">
        <v>47.45</v>
      </c>
      <c r="AI331" s="6">
        <v>45.97</v>
      </c>
      <c r="AJ331" s="6">
        <v>46.28</v>
      </c>
      <c r="AK331" s="6">
        <v>45.7</v>
      </c>
      <c r="AL331" s="6">
        <v>43.94</v>
      </c>
      <c r="AM331" s="6">
        <v>45.68</v>
      </c>
      <c r="AN331" s="6">
        <v>44.68</v>
      </c>
      <c r="AO331" s="6">
        <v>45.04</v>
      </c>
      <c r="AP331" s="6">
        <v>44.83</v>
      </c>
      <c r="AQ331" s="6">
        <v>46.87</v>
      </c>
      <c r="AR331" s="6">
        <v>46.8</v>
      </c>
      <c r="AS331" s="6">
        <v>45.26</v>
      </c>
      <c r="AT331" s="6">
        <v>46.32</v>
      </c>
      <c r="AU331" s="6">
        <v>46.86</v>
      </c>
      <c r="AV331" s="6"/>
      <c r="AW331" s="6"/>
      <c r="AX331" s="6">
        <v>43.38</v>
      </c>
      <c r="AY331" s="6">
        <v>46.04</v>
      </c>
      <c r="AZ331" s="6">
        <v>46.6</v>
      </c>
      <c r="BA331" s="6">
        <v>44.78</v>
      </c>
      <c r="BB331" s="6">
        <v>45.48</v>
      </c>
      <c r="BC331" s="6">
        <v>46.6</v>
      </c>
      <c r="BD331" s="6">
        <v>44.88</v>
      </c>
      <c r="BE331" s="6">
        <v>45.43</v>
      </c>
      <c r="BF331" s="6">
        <v>45.17</v>
      </c>
      <c r="BG331" s="6">
        <v>45.29</v>
      </c>
      <c r="BH331" s="6">
        <v>46</v>
      </c>
      <c r="BI331" s="6">
        <v>45.9</v>
      </c>
      <c r="BJ331" s="6">
        <v>45.22</v>
      </c>
      <c r="BK331" s="6">
        <v>46.63</v>
      </c>
      <c r="BL331" s="6">
        <v>43.65</v>
      </c>
      <c r="BM331" s="7">
        <v>44.15</v>
      </c>
      <c r="BN331" s="10"/>
    </row>
    <row r="332" spans="1:66" ht="15.75" customHeight="1" x14ac:dyDescent="0.25">
      <c r="A332" s="4">
        <v>330</v>
      </c>
      <c r="B332" s="4"/>
      <c r="C332" s="4">
        <v>26</v>
      </c>
      <c r="D332" s="6">
        <v>44.43</v>
      </c>
      <c r="E332" s="6">
        <v>44.38</v>
      </c>
      <c r="F332" s="6">
        <v>46.06</v>
      </c>
      <c r="G332" s="6">
        <v>44.46</v>
      </c>
      <c r="H332" s="6">
        <v>44.08</v>
      </c>
      <c r="I332" s="6">
        <v>45.81</v>
      </c>
      <c r="J332" s="6">
        <v>45.6</v>
      </c>
      <c r="K332" s="6">
        <v>45.01</v>
      </c>
      <c r="L332" s="6">
        <v>46.31</v>
      </c>
      <c r="M332" s="6">
        <v>46.37</v>
      </c>
      <c r="N332" s="6">
        <v>46.86</v>
      </c>
      <c r="O332" s="6">
        <v>45.63</v>
      </c>
      <c r="P332" s="6">
        <v>45.61</v>
      </c>
      <c r="Q332" s="6">
        <v>44.24</v>
      </c>
      <c r="R332" s="6">
        <v>46.36</v>
      </c>
      <c r="S332" s="6">
        <v>45.54</v>
      </c>
      <c r="T332" s="6">
        <v>46.32</v>
      </c>
      <c r="U332" s="6">
        <v>46.23</v>
      </c>
      <c r="V332" s="6">
        <v>44.59</v>
      </c>
      <c r="W332" s="6">
        <v>44.88</v>
      </c>
      <c r="X332" s="6">
        <v>45.02</v>
      </c>
      <c r="Y332" s="6">
        <v>46.08</v>
      </c>
      <c r="Z332" s="6">
        <v>45.61</v>
      </c>
      <c r="AA332" s="6">
        <v>47.74</v>
      </c>
      <c r="AB332" s="6">
        <v>45.48</v>
      </c>
      <c r="AC332" s="6">
        <v>46.64</v>
      </c>
      <c r="AD332" s="6">
        <v>44.9</v>
      </c>
      <c r="AE332" s="6">
        <v>44.48</v>
      </c>
      <c r="AF332" s="6">
        <v>44.89</v>
      </c>
      <c r="AG332" s="6">
        <v>45.3</v>
      </c>
      <c r="AH332" s="6">
        <v>47.39</v>
      </c>
      <c r="AI332" s="6">
        <v>46.1</v>
      </c>
      <c r="AJ332" s="6">
        <v>46.23</v>
      </c>
      <c r="AK332" s="6">
        <v>45.62</v>
      </c>
      <c r="AL332" s="6">
        <v>43.9</v>
      </c>
      <c r="AM332" s="6">
        <v>45.74</v>
      </c>
      <c r="AN332" s="6">
        <v>44.63</v>
      </c>
      <c r="AO332" s="6">
        <v>45.03</v>
      </c>
      <c r="AP332" s="6">
        <v>44.76</v>
      </c>
      <c r="AQ332" s="6">
        <v>46.78</v>
      </c>
      <c r="AR332" s="6">
        <v>46.72</v>
      </c>
      <c r="AS332" s="6">
        <v>45.26</v>
      </c>
      <c r="AT332" s="6">
        <v>46.34</v>
      </c>
      <c r="AU332" s="6">
        <v>46.84</v>
      </c>
      <c r="AV332" s="6"/>
      <c r="AW332" s="6"/>
      <c r="AX332" s="6">
        <v>43.28</v>
      </c>
      <c r="AY332" s="6">
        <v>46.15</v>
      </c>
      <c r="AZ332" s="6">
        <v>46.62</v>
      </c>
      <c r="BA332" s="6">
        <v>44.68</v>
      </c>
      <c r="BB332" s="6">
        <v>45.41</v>
      </c>
      <c r="BC332" s="6">
        <v>46.52</v>
      </c>
      <c r="BD332" s="6">
        <v>44.82</v>
      </c>
      <c r="BE332" s="6">
        <v>45.43</v>
      </c>
      <c r="BF332" s="6">
        <v>45.17</v>
      </c>
      <c r="BG332" s="6">
        <v>45.33</v>
      </c>
      <c r="BH332" s="6">
        <v>45.9</v>
      </c>
      <c r="BI332" s="6">
        <v>45.87</v>
      </c>
      <c r="BJ332" s="6">
        <v>45.22</v>
      </c>
      <c r="BK332" s="6">
        <v>46.61</v>
      </c>
      <c r="BL332" s="6">
        <v>43.63</v>
      </c>
      <c r="BM332" s="7">
        <v>44.29</v>
      </c>
      <c r="BN332" s="10"/>
    </row>
    <row r="333" spans="1:66" ht="15.75" customHeight="1" x14ac:dyDescent="0.25">
      <c r="A333" s="4">
        <v>331</v>
      </c>
      <c r="B333" s="4"/>
      <c r="C333" s="4">
        <v>27</v>
      </c>
      <c r="D333" s="6">
        <v>44.41</v>
      </c>
      <c r="E333" s="6">
        <v>44.3</v>
      </c>
      <c r="F333" s="6">
        <v>46.08</v>
      </c>
      <c r="G333" s="6">
        <v>44.46</v>
      </c>
      <c r="H333" s="6">
        <v>43.96</v>
      </c>
      <c r="I333" s="6">
        <v>45.76</v>
      </c>
      <c r="J333" s="6">
        <v>45.58</v>
      </c>
      <c r="K333" s="6">
        <v>44.96</v>
      </c>
      <c r="L333" s="6">
        <v>46.28</v>
      </c>
      <c r="M333" s="6">
        <v>46.35</v>
      </c>
      <c r="N333" s="6">
        <v>46.83</v>
      </c>
      <c r="O333" s="6">
        <v>45.73</v>
      </c>
      <c r="P333" s="6">
        <v>45.61</v>
      </c>
      <c r="Q333" s="6">
        <v>44.16</v>
      </c>
      <c r="R333" s="6">
        <v>46.21</v>
      </c>
      <c r="S333" s="6">
        <v>45.54</v>
      </c>
      <c r="T333" s="6">
        <v>46.24</v>
      </c>
      <c r="U333" s="6">
        <v>46.18</v>
      </c>
      <c r="V333" s="6">
        <v>44.52</v>
      </c>
      <c r="W333" s="6">
        <v>44.86</v>
      </c>
      <c r="X333" s="6">
        <v>44.95</v>
      </c>
      <c r="Y333" s="6">
        <v>45.98</v>
      </c>
      <c r="Z333" s="6">
        <v>45.62</v>
      </c>
      <c r="AA333" s="6">
        <v>47.74</v>
      </c>
      <c r="AB333" s="6">
        <v>45.48</v>
      </c>
      <c r="AC333" s="6">
        <v>46.57</v>
      </c>
      <c r="AD333" s="6">
        <v>44.92</v>
      </c>
      <c r="AE333" s="6">
        <v>44.57</v>
      </c>
      <c r="AF333" s="6">
        <v>44.86</v>
      </c>
      <c r="AG333" s="6">
        <v>45.3</v>
      </c>
      <c r="AH333" s="6">
        <v>47.31</v>
      </c>
      <c r="AI333" s="6">
        <v>46.22</v>
      </c>
      <c r="AJ333" s="6">
        <v>46.17</v>
      </c>
      <c r="AK333" s="6">
        <v>45.59</v>
      </c>
      <c r="AL333" s="6">
        <v>43.8</v>
      </c>
      <c r="AM333" s="6">
        <v>45.75</v>
      </c>
      <c r="AN333" s="6">
        <v>44.56</v>
      </c>
      <c r="AO333" s="6">
        <v>45.02</v>
      </c>
      <c r="AP333" s="6">
        <v>44.63</v>
      </c>
      <c r="AQ333" s="6">
        <v>46.67</v>
      </c>
      <c r="AR333" s="6">
        <v>46.64</v>
      </c>
      <c r="AS333" s="6">
        <v>45.24</v>
      </c>
      <c r="AT333" s="6">
        <v>46.34</v>
      </c>
      <c r="AU333" s="6">
        <v>46.82</v>
      </c>
      <c r="AV333" s="6"/>
      <c r="AW333" s="6"/>
      <c r="AX333" s="6">
        <v>43.2</v>
      </c>
      <c r="AY333" s="6">
        <v>46.22</v>
      </c>
      <c r="AZ333" s="6">
        <v>46.66</v>
      </c>
      <c r="BA333" s="6">
        <v>44.56</v>
      </c>
      <c r="BB333" s="6">
        <v>45.39</v>
      </c>
      <c r="BC333" s="6">
        <v>46.44</v>
      </c>
      <c r="BD333" s="6">
        <v>44.75</v>
      </c>
      <c r="BE333" s="6">
        <v>45.45</v>
      </c>
      <c r="BF333" s="6">
        <v>45.11</v>
      </c>
      <c r="BG333" s="6">
        <v>45.34</v>
      </c>
      <c r="BH333" s="6">
        <v>45.88</v>
      </c>
      <c r="BI333" s="6">
        <v>45.89</v>
      </c>
      <c r="BJ333" s="6">
        <v>45.18</v>
      </c>
      <c r="BK333" s="6">
        <v>46.57</v>
      </c>
      <c r="BL333" s="6">
        <v>43.64</v>
      </c>
      <c r="BM333" s="7">
        <v>44.4</v>
      </c>
      <c r="BN333" s="10"/>
    </row>
    <row r="334" spans="1:66" ht="15.75" customHeight="1" x14ac:dyDescent="0.25">
      <c r="A334" s="4">
        <v>332</v>
      </c>
      <c r="B334" s="4"/>
      <c r="C334" s="4">
        <v>28</v>
      </c>
      <c r="D334" s="6">
        <v>44.45</v>
      </c>
      <c r="E334" s="6">
        <v>44.22</v>
      </c>
      <c r="F334" s="6">
        <v>46.08</v>
      </c>
      <c r="G334" s="6">
        <v>44.41</v>
      </c>
      <c r="H334" s="6">
        <v>43.91</v>
      </c>
      <c r="I334" s="6">
        <v>45.68</v>
      </c>
      <c r="J334" s="6">
        <v>45.56</v>
      </c>
      <c r="K334" s="6">
        <v>44.86</v>
      </c>
      <c r="L334" s="6">
        <v>46.26</v>
      </c>
      <c r="M334" s="6">
        <v>46.33</v>
      </c>
      <c r="N334" s="6">
        <v>46.7</v>
      </c>
      <c r="O334" s="6">
        <v>45.82</v>
      </c>
      <c r="P334" s="6">
        <v>45.6</v>
      </c>
      <c r="Q334" s="6">
        <v>44.11</v>
      </c>
      <c r="R334" s="6">
        <v>46.07</v>
      </c>
      <c r="S334" s="6">
        <v>45.52</v>
      </c>
      <c r="T334" s="6">
        <v>46.19</v>
      </c>
      <c r="U334" s="6">
        <v>46.12</v>
      </c>
      <c r="V334" s="6">
        <v>44.46</v>
      </c>
      <c r="W334" s="6">
        <v>44.84</v>
      </c>
      <c r="X334" s="6">
        <v>44.92</v>
      </c>
      <c r="Y334" s="6">
        <v>45.89</v>
      </c>
      <c r="Z334" s="6">
        <v>45.64</v>
      </c>
      <c r="AA334" s="6">
        <v>47.7</v>
      </c>
      <c r="AB334" s="6">
        <v>45.54</v>
      </c>
      <c r="AC334" s="6">
        <v>46.4</v>
      </c>
      <c r="AD334" s="6">
        <v>44.9</v>
      </c>
      <c r="AE334" s="6">
        <v>44.73</v>
      </c>
      <c r="AF334" s="6">
        <v>44.81</v>
      </c>
      <c r="AG334" s="6">
        <v>45.3</v>
      </c>
      <c r="AH334" s="6">
        <v>47.2</v>
      </c>
      <c r="AI334" s="6">
        <v>46.28</v>
      </c>
      <c r="AJ334" s="6">
        <v>46.09</v>
      </c>
      <c r="AK334" s="6">
        <v>45.59</v>
      </c>
      <c r="AL334" s="6">
        <v>43.7</v>
      </c>
      <c r="AM334" s="6">
        <v>45.67</v>
      </c>
      <c r="AN334" s="6">
        <v>44.54</v>
      </c>
      <c r="AO334" s="6">
        <v>45.04</v>
      </c>
      <c r="AP334" s="6">
        <v>44.51</v>
      </c>
      <c r="AQ334" s="6">
        <v>46.57</v>
      </c>
      <c r="AR334" s="6">
        <v>46.55</v>
      </c>
      <c r="AS334" s="6">
        <v>45.22</v>
      </c>
      <c r="AT334" s="6">
        <v>46.34</v>
      </c>
      <c r="AU334" s="6">
        <v>46.8</v>
      </c>
      <c r="AV334" s="6"/>
      <c r="AW334" s="6"/>
      <c r="AX334" s="6">
        <v>43.13</v>
      </c>
      <c r="AY334" s="6">
        <v>46.27</v>
      </c>
      <c r="AZ334" s="6">
        <v>46.68</v>
      </c>
      <c r="BA334" s="6">
        <v>44.48</v>
      </c>
      <c r="BB334" s="6">
        <v>45.38</v>
      </c>
      <c r="BC334" s="6">
        <v>46.32</v>
      </c>
      <c r="BD334" s="6">
        <v>44.68</v>
      </c>
      <c r="BE334" s="6">
        <v>45.51</v>
      </c>
      <c r="BF334" s="6">
        <v>45.08</v>
      </c>
      <c r="BG334" s="6">
        <v>45.31</v>
      </c>
      <c r="BH334" s="6">
        <v>45.84</v>
      </c>
      <c r="BI334" s="6">
        <v>45.66</v>
      </c>
      <c r="BJ334" s="6">
        <v>45.13</v>
      </c>
      <c r="BK334" s="6">
        <v>46.54</v>
      </c>
      <c r="BL334" s="6">
        <v>43.71</v>
      </c>
      <c r="BM334" s="7">
        <v>44.48</v>
      </c>
      <c r="BN334" s="10"/>
    </row>
    <row r="335" spans="1:66" ht="15.75" customHeight="1" x14ac:dyDescent="0.25">
      <c r="A335" s="4">
        <v>333</v>
      </c>
      <c r="B335" s="4"/>
      <c r="C335" s="4">
        <v>29</v>
      </c>
      <c r="D335" s="6">
        <v>44.46</v>
      </c>
      <c r="E335" s="6">
        <v>44.15</v>
      </c>
      <c r="F335" s="6">
        <v>46.03</v>
      </c>
      <c r="G335" s="6">
        <v>44.41</v>
      </c>
      <c r="H335" s="6">
        <v>43.86</v>
      </c>
      <c r="I335" s="6">
        <v>45.56</v>
      </c>
      <c r="J335" s="6">
        <v>45.53</v>
      </c>
      <c r="K335" s="6">
        <v>44.75</v>
      </c>
      <c r="L335" s="6">
        <v>46.23</v>
      </c>
      <c r="M335" s="6">
        <v>46.25</v>
      </c>
      <c r="N335" s="6">
        <v>46.58</v>
      </c>
      <c r="O335" s="6">
        <v>45.85</v>
      </c>
      <c r="P335" s="6">
        <v>45.57</v>
      </c>
      <c r="Q335" s="6">
        <v>44.06</v>
      </c>
      <c r="R335" s="6">
        <v>45.94</v>
      </c>
      <c r="S335" s="6">
        <v>45.5</v>
      </c>
      <c r="T335" s="6">
        <v>46.13</v>
      </c>
      <c r="U335" s="6">
        <v>46.04</v>
      </c>
      <c r="V335" s="6">
        <v>44.4</v>
      </c>
      <c r="W335" s="6">
        <v>44.81</v>
      </c>
      <c r="X335" s="6">
        <v>44.94</v>
      </c>
      <c r="Y335" s="6">
        <v>45.8</v>
      </c>
      <c r="Z335" s="6">
        <v>45.58</v>
      </c>
      <c r="AA335" s="6">
        <v>47.57</v>
      </c>
      <c r="AB335" s="6">
        <v>45.57</v>
      </c>
      <c r="AC335" s="6">
        <v>46.44</v>
      </c>
      <c r="AD335" s="6">
        <v>44.89</v>
      </c>
      <c r="AE335" s="6">
        <v>44.85</v>
      </c>
      <c r="AF335" s="6">
        <v>44.81</v>
      </c>
      <c r="AG335" s="6">
        <v>45.3</v>
      </c>
      <c r="AH335" s="6">
        <v>47.12</v>
      </c>
      <c r="AI335" s="6">
        <v>46.3</v>
      </c>
      <c r="AJ335" s="6">
        <v>46.02</v>
      </c>
      <c r="AK335" s="6">
        <v>45.6</v>
      </c>
      <c r="AL335" s="6">
        <v>43.7</v>
      </c>
      <c r="AM335" s="6">
        <v>45.77</v>
      </c>
      <c r="AN335" s="6">
        <v>44.42</v>
      </c>
      <c r="AO335" s="6">
        <v>44.98</v>
      </c>
      <c r="AP335" s="6">
        <v>44.4</v>
      </c>
      <c r="AQ335" s="6">
        <v>46.49</v>
      </c>
      <c r="AR335" s="6">
        <v>46.47</v>
      </c>
      <c r="AS335" s="6">
        <v>45.21</v>
      </c>
      <c r="AT335" s="6">
        <v>46.3</v>
      </c>
      <c r="AU335" s="6">
        <v>46.76</v>
      </c>
      <c r="AV335" s="6"/>
      <c r="AW335" s="6"/>
      <c r="AX335" s="6">
        <v>43.08</v>
      </c>
      <c r="AY335" s="6">
        <v>46.28</v>
      </c>
      <c r="AZ335" s="6">
        <v>46.69</v>
      </c>
      <c r="BA335" s="6">
        <v>44.4</v>
      </c>
      <c r="BB335" s="6">
        <v>45.34</v>
      </c>
      <c r="BC335" s="6">
        <v>46.18</v>
      </c>
      <c r="BD335" s="6">
        <v>44.65</v>
      </c>
      <c r="BE335" s="6">
        <v>45.52</v>
      </c>
      <c r="BF335" s="6">
        <v>45</v>
      </c>
      <c r="BG335" s="6">
        <v>45.3</v>
      </c>
      <c r="BH335" s="6">
        <v>45.78</v>
      </c>
      <c r="BI335" s="6">
        <v>45.67</v>
      </c>
      <c r="BJ335" s="6">
        <v>45.04</v>
      </c>
      <c r="BK335" s="6">
        <v>46.48</v>
      </c>
      <c r="BL335" s="6">
        <v>43.77</v>
      </c>
      <c r="BM335" s="7">
        <v>44.54</v>
      </c>
      <c r="BN335" s="10"/>
    </row>
    <row r="336" spans="1:66" ht="15.75" customHeight="1" x14ac:dyDescent="0.25">
      <c r="A336" s="4">
        <v>334</v>
      </c>
      <c r="B336" s="4"/>
      <c r="C336" s="4">
        <v>30</v>
      </c>
      <c r="D336" s="6">
        <v>44.47</v>
      </c>
      <c r="E336" s="6">
        <v>44.08</v>
      </c>
      <c r="F336" s="6">
        <v>46</v>
      </c>
      <c r="G336" s="6">
        <v>44.41</v>
      </c>
      <c r="H336" s="6">
        <v>43.81</v>
      </c>
      <c r="I336" s="6">
        <v>45.56</v>
      </c>
      <c r="J336" s="6">
        <v>45.43</v>
      </c>
      <c r="K336" s="6">
        <v>44.68</v>
      </c>
      <c r="L336" s="6">
        <v>46.22</v>
      </c>
      <c r="M336" s="6">
        <v>46.17</v>
      </c>
      <c r="N336" s="6">
        <v>46.45</v>
      </c>
      <c r="O336" s="6">
        <v>45.86</v>
      </c>
      <c r="P336" s="6">
        <v>45.56</v>
      </c>
      <c r="Q336" s="6">
        <v>44.06</v>
      </c>
      <c r="R336" s="6">
        <v>45.81</v>
      </c>
      <c r="S336" s="6">
        <v>45.41</v>
      </c>
      <c r="T336" s="6">
        <v>46.06</v>
      </c>
      <c r="U336" s="6">
        <v>45.96</v>
      </c>
      <c r="V336" s="6">
        <v>44.36</v>
      </c>
      <c r="W336" s="6">
        <v>44.73</v>
      </c>
      <c r="X336" s="6">
        <v>45.01</v>
      </c>
      <c r="Y336" s="6">
        <v>45.7</v>
      </c>
      <c r="Z336" s="6">
        <v>45.56</v>
      </c>
      <c r="AA336" s="6">
        <v>47.52</v>
      </c>
      <c r="AB336" s="6">
        <v>45.59</v>
      </c>
      <c r="AC336" s="6">
        <v>46.39</v>
      </c>
      <c r="AD336" s="6">
        <v>44.89</v>
      </c>
      <c r="AE336" s="6">
        <v>44.92</v>
      </c>
      <c r="AF336" s="6">
        <v>44.78</v>
      </c>
      <c r="AG336" s="6">
        <v>45.3</v>
      </c>
      <c r="AH336" s="6">
        <v>47.02</v>
      </c>
      <c r="AI336" s="6">
        <v>46.3</v>
      </c>
      <c r="AJ336" s="6">
        <v>45.92</v>
      </c>
      <c r="AK336" s="6">
        <v>45.61</v>
      </c>
      <c r="AL336" s="6">
        <v>43.6</v>
      </c>
      <c r="AM336" s="6">
        <v>45.75</v>
      </c>
      <c r="AN336" s="6">
        <v>44.39</v>
      </c>
      <c r="AO336" s="6">
        <v>44.89</v>
      </c>
      <c r="AP336" s="6">
        <v>44.31</v>
      </c>
      <c r="AQ336" s="6">
        <v>46.38</v>
      </c>
      <c r="AR336" s="6">
        <v>46.39</v>
      </c>
      <c r="AS336" s="6">
        <v>45.21</v>
      </c>
      <c r="AT336" s="6">
        <v>46.24</v>
      </c>
      <c r="AU336" s="6">
        <v>46.71</v>
      </c>
      <c r="AV336" s="6"/>
      <c r="AW336" s="6"/>
      <c r="AX336" s="6">
        <v>43.02</v>
      </c>
      <c r="AY336" s="6">
        <v>46.3</v>
      </c>
      <c r="AZ336" s="6">
        <v>46.79</v>
      </c>
      <c r="BA336" s="6">
        <v>44.31</v>
      </c>
      <c r="BB336" s="6">
        <v>45.32</v>
      </c>
      <c r="BC336" s="6">
        <v>46.05</v>
      </c>
      <c r="BD336" s="6">
        <v>44.61</v>
      </c>
      <c r="BE336" s="6">
        <v>45.49</v>
      </c>
      <c r="BF336" s="6">
        <v>44.95</v>
      </c>
      <c r="BG336" s="6">
        <v>45.29</v>
      </c>
      <c r="BH336" s="6">
        <v>45.7</v>
      </c>
      <c r="BI336" s="6">
        <v>45.76</v>
      </c>
      <c r="BJ336" s="6">
        <v>44.95</v>
      </c>
      <c r="BK336" s="6">
        <v>46.44</v>
      </c>
      <c r="BL336" s="6">
        <v>43.76</v>
      </c>
      <c r="BM336" s="7">
        <v>44.58</v>
      </c>
      <c r="BN336" s="10"/>
    </row>
    <row r="337" spans="1:66" ht="15.75" customHeight="1" x14ac:dyDescent="0.25">
      <c r="A337" s="4">
        <v>335</v>
      </c>
      <c r="B337" s="5" t="s">
        <v>15</v>
      </c>
      <c r="C337" s="4">
        <v>1</v>
      </c>
      <c r="D337" s="6">
        <v>44.47</v>
      </c>
      <c r="E337" s="6">
        <v>44.01</v>
      </c>
      <c r="F337" s="6">
        <v>45.96</v>
      </c>
      <c r="G337" s="6">
        <v>44.41</v>
      </c>
      <c r="H337" s="6">
        <v>43.71</v>
      </c>
      <c r="I337" s="6">
        <v>45.54</v>
      </c>
      <c r="J337" s="6">
        <v>45.29</v>
      </c>
      <c r="K337" s="6">
        <v>44.44</v>
      </c>
      <c r="L337" s="6">
        <v>46.21</v>
      </c>
      <c r="M337" s="6">
        <v>46.06</v>
      </c>
      <c r="N337" s="6">
        <v>46.32</v>
      </c>
      <c r="O337" s="6">
        <v>45.87</v>
      </c>
      <c r="P337" s="6">
        <v>45.46</v>
      </c>
      <c r="Q337" s="6">
        <v>44</v>
      </c>
      <c r="R337" s="6">
        <v>45.66</v>
      </c>
      <c r="S337" s="6">
        <v>45.4</v>
      </c>
      <c r="T337" s="6">
        <v>45.97</v>
      </c>
      <c r="U337" s="6">
        <v>45.85</v>
      </c>
      <c r="V337" s="6">
        <v>44.28</v>
      </c>
      <c r="W337" s="6">
        <v>44.73</v>
      </c>
      <c r="X337" s="6">
        <v>45.03</v>
      </c>
      <c r="Y337" s="6">
        <v>45.6</v>
      </c>
      <c r="Z337" s="6">
        <v>45.56</v>
      </c>
      <c r="AA337" s="6">
        <v>47.44</v>
      </c>
      <c r="AB337" s="6">
        <v>45.55</v>
      </c>
      <c r="AC337" s="6">
        <v>46.32</v>
      </c>
      <c r="AD337" s="6">
        <v>44.94</v>
      </c>
      <c r="AE337" s="6">
        <v>45.02</v>
      </c>
      <c r="AF337" s="6">
        <v>44.73</v>
      </c>
      <c r="AG337" s="6">
        <v>44.95</v>
      </c>
      <c r="AH337" s="6">
        <v>46.92</v>
      </c>
      <c r="AI337" s="6">
        <v>46.29</v>
      </c>
      <c r="AJ337" s="6">
        <v>45.77</v>
      </c>
      <c r="AK337" s="6">
        <v>45.58</v>
      </c>
      <c r="AL337" s="6">
        <v>43.65</v>
      </c>
      <c r="AM337" s="6">
        <v>45.61</v>
      </c>
      <c r="AN337" s="6">
        <v>44.34</v>
      </c>
      <c r="AO337" s="6">
        <v>44.79</v>
      </c>
      <c r="AP337" s="6">
        <v>44.42</v>
      </c>
      <c r="AQ337" s="6">
        <v>46.38</v>
      </c>
      <c r="AR337" s="6">
        <v>46.3</v>
      </c>
      <c r="AS337" s="6">
        <v>45.19</v>
      </c>
      <c r="AT337" s="6">
        <v>46.17</v>
      </c>
      <c r="AU337" s="6">
        <v>46.66</v>
      </c>
      <c r="AV337" s="6"/>
      <c r="AW337" s="6">
        <v>46.79</v>
      </c>
      <c r="AX337" s="6">
        <v>43</v>
      </c>
      <c r="AY337" s="6">
        <v>46.3</v>
      </c>
      <c r="AZ337" s="6">
        <v>46.75</v>
      </c>
      <c r="BA337" s="6">
        <v>44.21</v>
      </c>
      <c r="BB337" s="6">
        <v>45.28</v>
      </c>
      <c r="BC337" s="6">
        <v>45.91</v>
      </c>
      <c r="BD337" s="6">
        <v>44.56</v>
      </c>
      <c r="BE337" s="6">
        <v>45.54</v>
      </c>
      <c r="BF337" s="6">
        <v>44.91</v>
      </c>
      <c r="BG337" s="6">
        <v>45.25</v>
      </c>
      <c r="BH337" s="6">
        <v>45.64</v>
      </c>
      <c r="BI337" s="6">
        <v>45.8</v>
      </c>
      <c r="BJ337" s="6">
        <v>44.86</v>
      </c>
      <c r="BK337" s="6">
        <v>46.38</v>
      </c>
      <c r="BL337" s="6">
        <v>43.71</v>
      </c>
      <c r="BM337" s="7">
        <v>44.6</v>
      </c>
      <c r="BN337" s="10"/>
    </row>
    <row r="338" spans="1:66" ht="15.75" customHeight="1" x14ac:dyDescent="0.25">
      <c r="A338" s="4">
        <v>336</v>
      </c>
      <c r="B338" s="4"/>
      <c r="C338" s="4">
        <v>2</v>
      </c>
      <c r="D338" s="6">
        <v>44.49</v>
      </c>
      <c r="E338" s="6">
        <v>43.95</v>
      </c>
      <c r="F338" s="6">
        <v>45.91</v>
      </c>
      <c r="G338" s="6">
        <v>44.36</v>
      </c>
      <c r="H338" s="6">
        <v>43.66</v>
      </c>
      <c r="I338" s="6">
        <v>45.51</v>
      </c>
      <c r="J338" s="6">
        <v>45.12</v>
      </c>
      <c r="K338" s="6">
        <v>44.28</v>
      </c>
      <c r="L338" s="6">
        <v>46.21</v>
      </c>
      <c r="M338" s="6">
        <v>45.93</v>
      </c>
      <c r="N338" s="6">
        <v>46.18</v>
      </c>
      <c r="O338" s="6">
        <v>45.82</v>
      </c>
      <c r="P338" s="6">
        <v>45.41</v>
      </c>
      <c r="Q338" s="6">
        <v>43.96</v>
      </c>
      <c r="R338" s="6">
        <v>45.52</v>
      </c>
      <c r="S338" s="6">
        <v>45.34</v>
      </c>
      <c r="T338" s="6">
        <v>45.84</v>
      </c>
      <c r="U338" s="6">
        <v>45.76</v>
      </c>
      <c r="V338" s="6">
        <v>44.18</v>
      </c>
      <c r="W338" s="6">
        <v>44.76</v>
      </c>
      <c r="X338" s="6">
        <v>45.06</v>
      </c>
      <c r="Y338" s="6">
        <v>45.51</v>
      </c>
      <c r="Z338" s="6">
        <v>45.59</v>
      </c>
      <c r="AA338" s="6">
        <v>47.36</v>
      </c>
      <c r="AB338" s="6">
        <v>45.5</v>
      </c>
      <c r="AC338" s="6">
        <v>46.32</v>
      </c>
      <c r="AD338" s="6">
        <v>44.97</v>
      </c>
      <c r="AE338" s="6">
        <v>45.12</v>
      </c>
      <c r="AF338" s="6">
        <v>44.63</v>
      </c>
      <c r="AG338" s="6">
        <v>44.89</v>
      </c>
      <c r="AH338" s="6">
        <v>46.84</v>
      </c>
      <c r="AI338" s="6">
        <v>46.26</v>
      </c>
      <c r="AJ338" s="6">
        <v>45.63</v>
      </c>
      <c r="AK338" s="6">
        <v>45.56</v>
      </c>
      <c r="AL338" s="6">
        <v>43.65</v>
      </c>
      <c r="AM338" s="6">
        <v>45.64</v>
      </c>
      <c r="AN338" s="6">
        <v>44.29</v>
      </c>
      <c r="AO338" s="6">
        <v>44.8</v>
      </c>
      <c r="AP338" s="6">
        <v>44.11</v>
      </c>
      <c r="AQ338" s="6">
        <v>46.28</v>
      </c>
      <c r="AR338" s="6">
        <v>46.22</v>
      </c>
      <c r="AS338" s="6">
        <v>45.23</v>
      </c>
      <c r="AT338" s="6">
        <v>46.08</v>
      </c>
      <c r="AU338" s="6">
        <v>46.57</v>
      </c>
      <c r="AV338" s="6"/>
      <c r="AW338" s="6">
        <v>46.83</v>
      </c>
      <c r="AX338" s="6">
        <v>42.98</v>
      </c>
      <c r="AY338" s="6">
        <v>46.31</v>
      </c>
      <c r="AZ338" s="6">
        <v>46.72</v>
      </c>
      <c r="BA338" s="6">
        <v>44.15</v>
      </c>
      <c r="BB338" s="6">
        <v>45.27</v>
      </c>
      <c r="BC338" s="6">
        <v>45.78</v>
      </c>
      <c r="BD338" s="6">
        <v>44.53</v>
      </c>
      <c r="BE338" s="6">
        <v>45.55</v>
      </c>
      <c r="BF338" s="6">
        <v>44.9</v>
      </c>
      <c r="BG338" s="6">
        <v>45.2</v>
      </c>
      <c r="BH338" s="6">
        <v>45.54</v>
      </c>
      <c r="BI338" s="6">
        <v>45.95</v>
      </c>
      <c r="BJ338" s="6">
        <v>44.78</v>
      </c>
      <c r="BK338" s="6">
        <v>46.35</v>
      </c>
      <c r="BL338" s="6">
        <v>43.64</v>
      </c>
      <c r="BM338" s="7">
        <v>44.57</v>
      </c>
      <c r="BN338" s="10"/>
    </row>
    <row r="339" spans="1:66" ht="15.75" customHeight="1" x14ac:dyDescent="0.25">
      <c r="A339" s="4">
        <v>337</v>
      </c>
      <c r="B339" s="4"/>
      <c r="C339" s="4">
        <v>3</v>
      </c>
      <c r="D339" s="6">
        <v>44.47</v>
      </c>
      <c r="E339" s="6">
        <v>43.89</v>
      </c>
      <c r="F339" s="6">
        <v>45.81</v>
      </c>
      <c r="G339" s="6">
        <v>44.36</v>
      </c>
      <c r="H339" s="6">
        <v>43.56</v>
      </c>
      <c r="I339" s="6">
        <v>45.37</v>
      </c>
      <c r="J339" s="6">
        <v>44.97</v>
      </c>
      <c r="K339" s="6">
        <v>44.16</v>
      </c>
      <c r="L339" s="6">
        <v>46.2</v>
      </c>
      <c r="M339" s="6">
        <v>45.75</v>
      </c>
      <c r="N339" s="6">
        <v>46.04</v>
      </c>
      <c r="O339" s="6">
        <v>45.77</v>
      </c>
      <c r="P339" s="6">
        <v>45.35</v>
      </c>
      <c r="Q339" s="6">
        <v>43.96</v>
      </c>
      <c r="R339" s="6">
        <v>45.38</v>
      </c>
      <c r="S339" s="6">
        <v>45.3</v>
      </c>
      <c r="T339" s="6">
        <v>45.72</v>
      </c>
      <c r="U339" s="6">
        <v>45.65</v>
      </c>
      <c r="V339" s="6">
        <v>44.09</v>
      </c>
      <c r="W339" s="6">
        <v>44.78</v>
      </c>
      <c r="X339" s="6">
        <v>45.08</v>
      </c>
      <c r="Y339" s="6">
        <v>45.41</v>
      </c>
      <c r="Z339" s="6">
        <v>45.58</v>
      </c>
      <c r="AA339" s="6">
        <v>47.27</v>
      </c>
      <c r="AB339" s="6">
        <v>45.47</v>
      </c>
      <c r="AC339" s="6">
        <v>46.31</v>
      </c>
      <c r="AD339" s="6">
        <v>44.95</v>
      </c>
      <c r="AE339" s="6">
        <v>45.2</v>
      </c>
      <c r="AF339" s="6">
        <v>44.54</v>
      </c>
      <c r="AG339" s="6">
        <v>44.9</v>
      </c>
      <c r="AH339" s="6">
        <v>46.74</v>
      </c>
      <c r="AI339" s="6">
        <v>46.24</v>
      </c>
      <c r="AJ339" s="6">
        <v>45.48</v>
      </c>
      <c r="AK339" s="6">
        <v>45.54</v>
      </c>
      <c r="AL339" s="6">
        <v>43.66</v>
      </c>
      <c r="AM339" s="6">
        <v>45.6</v>
      </c>
      <c r="AN339" s="6">
        <v>44.21</v>
      </c>
      <c r="AO339" s="6">
        <v>44.62</v>
      </c>
      <c r="AP339" s="6">
        <v>44.04</v>
      </c>
      <c r="AQ339" s="6">
        <v>46.18</v>
      </c>
      <c r="AR339" s="6">
        <v>46.14</v>
      </c>
      <c r="AS339" s="6">
        <v>45.27</v>
      </c>
      <c r="AT339" s="6">
        <v>45.98</v>
      </c>
      <c r="AU339" s="6">
        <v>46.46</v>
      </c>
      <c r="AV339" s="6"/>
      <c r="AW339" s="6">
        <v>46.87</v>
      </c>
      <c r="AX339" s="6">
        <v>42.97</v>
      </c>
      <c r="AY339" s="6">
        <v>46.3</v>
      </c>
      <c r="AZ339" s="6">
        <v>46.68</v>
      </c>
      <c r="BA339" s="6">
        <v>44.09</v>
      </c>
      <c r="BB339" s="6">
        <v>45.23</v>
      </c>
      <c r="BC339" s="6">
        <v>45.64</v>
      </c>
      <c r="BD339" s="6">
        <v>44.51</v>
      </c>
      <c r="BE339" s="6">
        <v>45.55</v>
      </c>
      <c r="BF339" s="6">
        <v>44.86</v>
      </c>
      <c r="BG339" s="6">
        <v>45.14</v>
      </c>
      <c r="BH339" s="6">
        <v>45.45</v>
      </c>
      <c r="BI339" s="6">
        <v>46.1</v>
      </c>
      <c r="BJ339" s="6">
        <v>44.7</v>
      </c>
      <c r="BK339" s="6">
        <v>46.3</v>
      </c>
      <c r="BL339" s="6">
        <v>43.47</v>
      </c>
      <c r="BM339" s="7">
        <v>44.55</v>
      </c>
      <c r="BN339" s="10"/>
    </row>
    <row r="340" spans="1:66" ht="15.75" customHeight="1" x14ac:dyDescent="0.25">
      <c r="A340" s="4">
        <v>338</v>
      </c>
      <c r="B340" s="4"/>
      <c r="C340" s="4">
        <v>4</v>
      </c>
      <c r="D340" s="6">
        <v>44.43</v>
      </c>
      <c r="E340" s="6">
        <v>43.82</v>
      </c>
      <c r="F340" s="6">
        <v>45.74</v>
      </c>
      <c r="G340" s="6">
        <v>44.36</v>
      </c>
      <c r="H340" s="6">
        <v>43.51</v>
      </c>
      <c r="I340" s="6">
        <v>45.16</v>
      </c>
      <c r="J340" s="6">
        <v>44.85</v>
      </c>
      <c r="K340" s="6">
        <v>44.05</v>
      </c>
      <c r="L340" s="6">
        <v>46.16</v>
      </c>
      <c r="M340" s="6">
        <v>45.54</v>
      </c>
      <c r="N340" s="6">
        <v>45.92</v>
      </c>
      <c r="O340" s="6">
        <v>45.71</v>
      </c>
      <c r="P340" s="6">
        <v>45.32</v>
      </c>
      <c r="Q340" s="6">
        <v>43.86</v>
      </c>
      <c r="R340" s="6">
        <v>45.21</v>
      </c>
      <c r="S340" s="6">
        <v>45.26</v>
      </c>
      <c r="T340" s="6">
        <v>45.65</v>
      </c>
      <c r="U340" s="6">
        <v>45.52</v>
      </c>
      <c r="V340" s="6">
        <v>43.98</v>
      </c>
      <c r="W340" s="6">
        <v>44.8</v>
      </c>
      <c r="X340" s="6">
        <v>45.08</v>
      </c>
      <c r="Y340" s="6">
        <v>45.33</v>
      </c>
      <c r="Z340" s="6">
        <v>45.54</v>
      </c>
      <c r="AA340" s="6">
        <v>47.14</v>
      </c>
      <c r="AB340" s="6">
        <v>45.42</v>
      </c>
      <c r="AC340" s="6">
        <v>46.26</v>
      </c>
      <c r="AD340" s="6">
        <v>44.9</v>
      </c>
      <c r="AE340" s="6">
        <v>45.28</v>
      </c>
      <c r="AF340" s="6">
        <v>44.44</v>
      </c>
      <c r="AG340" s="6">
        <v>44.9</v>
      </c>
      <c r="AH340" s="6">
        <v>46.71</v>
      </c>
      <c r="AI340" s="6">
        <v>46.2</v>
      </c>
      <c r="AJ340" s="6">
        <v>45.21</v>
      </c>
      <c r="AK340" s="6">
        <v>45.54</v>
      </c>
      <c r="AL340" s="6">
        <v>43.66</v>
      </c>
      <c r="AM340" s="6">
        <v>45.51</v>
      </c>
      <c r="AN340" s="6">
        <v>44</v>
      </c>
      <c r="AO340" s="6">
        <v>44.56</v>
      </c>
      <c r="AP340" s="6">
        <v>43.94</v>
      </c>
      <c r="AQ340" s="6">
        <v>46.01</v>
      </c>
      <c r="AR340" s="6">
        <v>46.05</v>
      </c>
      <c r="AS340" s="6">
        <v>45.31</v>
      </c>
      <c r="AT340" s="6">
        <v>45.87</v>
      </c>
      <c r="AU340" s="6">
        <v>46.37</v>
      </c>
      <c r="AV340" s="6"/>
      <c r="AW340" s="6">
        <v>46.87</v>
      </c>
      <c r="AX340" s="6">
        <v>42.97</v>
      </c>
      <c r="AY340" s="6">
        <v>46.28</v>
      </c>
      <c r="AZ340" s="6">
        <v>46.64</v>
      </c>
      <c r="BA340" s="6">
        <v>44.05</v>
      </c>
      <c r="BB340" s="6">
        <v>45.19</v>
      </c>
      <c r="BC340" s="6">
        <v>45.5</v>
      </c>
      <c r="BD340" s="6">
        <v>44.47</v>
      </c>
      <c r="BE340" s="6">
        <v>45.53</v>
      </c>
      <c r="BF340" s="6">
        <v>44.78</v>
      </c>
      <c r="BG340" s="6">
        <v>45.07</v>
      </c>
      <c r="BH340" s="6">
        <v>45.35</v>
      </c>
      <c r="BI340" s="6">
        <v>46.24</v>
      </c>
      <c r="BJ340" s="6">
        <v>44.6</v>
      </c>
      <c r="BK340" s="6">
        <v>46.24</v>
      </c>
      <c r="BL340" s="6">
        <v>43.44</v>
      </c>
      <c r="BM340" s="7">
        <v>44.52</v>
      </c>
      <c r="BN340" s="10"/>
    </row>
    <row r="341" spans="1:66" ht="15.75" customHeight="1" x14ac:dyDescent="0.25">
      <c r="A341" s="4">
        <v>339</v>
      </c>
      <c r="B341" s="4"/>
      <c r="C341" s="4">
        <v>5</v>
      </c>
      <c r="D341" s="6">
        <v>44.39</v>
      </c>
      <c r="E341" s="6">
        <v>43.76</v>
      </c>
      <c r="F341" s="6">
        <v>45.61</v>
      </c>
      <c r="G341" s="6">
        <v>44.34</v>
      </c>
      <c r="H341" s="6">
        <v>43.46</v>
      </c>
      <c r="I341" s="6">
        <v>44.98</v>
      </c>
      <c r="J341" s="6">
        <v>44.75</v>
      </c>
      <c r="K341" s="6">
        <v>43.96</v>
      </c>
      <c r="L341" s="6">
        <v>46.12</v>
      </c>
      <c r="M341" s="6">
        <v>45.36</v>
      </c>
      <c r="N341" s="6">
        <v>45.82</v>
      </c>
      <c r="O341" s="6">
        <v>45.63</v>
      </c>
      <c r="P341" s="6">
        <v>45.28</v>
      </c>
      <c r="Q341" s="6">
        <v>43.86</v>
      </c>
      <c r="R341" s="6">
        <v>45.06</v>
      </c>
      <c r="S341" s="6">
        <v>45.26</v>
      </c>
      <c r="T341" s="6">
        <v>45.52</v>
      </c>
      <c r="U341" s="6">
        <v>45.37</v>
      </c>
      <c r="V341" s="6">
        <v>43.91</v>
      </c>
      <c r="W341" s="6">
        <v>44.82</v>
      </c>
      <c r="X341" s="6">
        <v>45.08</v>
      </c>
      <c r="Y341" s="6">
        <v>45.25</v>
      </c>
      <c r="Z341" s="6">
        <v>45.48</v>
      </c>
      <c r="AA341" s="6">
        <v>47.04</v>
      </c>
      <c r="AB341" s="6">
        <v>45.38</v>
      </c>
      <c r="AC341" s="6">
        <v>46.22</v>
      </c>
      <c r="AD341" s="6">
        <v>44.86</v>
      </c>
      <c r="AE341" s="6">
        <v>45.29</v>
      </c>
      <c r="AF341" s="6">
        <v>44.32</v>
      </c>
      <c r="AG341" s="6">
        <v>44.91</v>
      </c>
      <c r="AH341" s="6">
        <v>46.65</v>
      </c>
      <c r="AI341" s="6">
        <v>46.1</v>
      </c>
      <c r="AJ341" s="6">
        <v>45.16</v>
      </c>
      <c r="AK341" s="6">
        <v>45.5</v>
      </c>
      <c r="AL341" s="6">
        <v>43.75</v>
      </c>
      <c r="AM341" s="6">
        <v>45.48</v>
      </c>
      <c r="AN341" s="6">
        <v>44.01</v>
      </c>
      <c r="AO341" s="6">
        <v>44.33</v>
      </c>
      <c r="AP341" s="6">
        <v>43.99</v>
      </c>
      <c r="AQ341" s="6">
        <v>45.89</v>
      </c>
      <c r="AR341" s="6">
        <v>45.97</v>
      </c>
      <c r="AS341" s="6">
        <v>45.3</v>
      </c>
      <c r="AT341" s="6">
        <v>45.74</v>
      </c>
      <c r="AU341" s="6">
        <v>46.25</v>
      </c>
      <c r="AV341" s="6"/>
      <c r="AW341" s="6">
        <v>46.85</v>
      </c>
      <c r="AX341" s="6">
        <v>42.96</v>
      </c>
      <c r="AY341" s="6">
        <v>46.23</v>
      </c>
      <c r="AZ341" s="6">
        <v>46.63</v>
      </c>
      <c r="BA341" s="6">
        <v>43.99</v>
      </c>
      <c r="BB341" s="6">
        <v>45.14</v>
      </c>
      <c r="BC341" s="6">
        <v>45.32</v>
      </c>
      <c r="BD341" s="6">
        <v>44.43</v>
      </c>
      <c r="BE341" s="6">
        <v>45.5</v>
      </c>
      <c r="BF341" s="6">
        <v>44.7</v>
      </c>
      <c r="BG341" s="6">
        <v>45.01</v>
      </c>
      <c r="BH341" s="6">
        <v>45.25</v>
      </c>
      <c r="BI341" s="6">
        <v>46.35</v>
      </c>
      <c r="BJ341" s="6">
        <v>44.55</v>
      </c>
      <c r="BK341" s="6">
        <v>46.15</v>
      </c>
      <c r="BL341" s="6">
        <v>43.36</v>
      </c>
      <c r="BM341" s="7">
        <v>44.5</v>
      </c>
      <c r="BN341" s="10"/>
    </row>
    <row r="342" spans="1:66" ht="15.75" customHeight="1" x14ac:dyDescent="0.25">
      <c r="A342" s="4">
        <v>340</v>
      </c>
      <c r="B342" s="4"/>
      <c r="C342" s="4">
        <v>6</v>
      </c>
      <c r="D342" s="6">
        <v>44.42</v>
      </c>
      <c r="E342" s="6">
        <v>43.74</v>
      </c>
      <c r="F342" s="6">
        <v>45.46</v>
      </c>
      <c r="G342" s="6">
        <v>44.34</v>
      </c>
      <c r="H342" s="6">
        <v>43.38</v>
      </c>
      <c r="I342" s="6">
        <v>44.76</v>
      </c>
      <c r="J342" s="6">
        <v>44.67</v>
      </c>
      <c r="K342" s="6">
        <v>43.86</v>
      </c>
      <c r="L342" s="6">
        <v>46.08</v>
      </c>
      <c r="M342" s="6">
        <v>45.16</v>
      </c>
      <c r="N342" s="6">
        <v>45.73</v>
      </c>
      <c r="O342" s="6">
        <v>45.52</v>
      </c>
      <c r="P342" s="6">
        <v>45.26</v>
      </c>
      <c r="Q342" s="6">
        <v>43.83</v>
      </c>
      <c r="R342" s="6">
        <v>44.91</v>
      </c>
      <c r="S342" s="6">
        <v>45.3</v>
      </c>
      <c r="T342" s="6">
        <v>45.42</v>
      </c>
      <c r="U342" s="6">
        <v>45.24</v>
      </c>
      <c r="V342" s="6">
        <v>43.86</v>
      </c>
      <c r="W342" s="6">
        <v>44.83</v>
      </c>
      <c r="X342" s="6">
        <v>45.28</v>
      </c>
      <c r="Y342" s="6">
        <v>45.18</v>
      </c>
      <c r="Z342" s="6">
        <v>45.43</v>
      </c>
      <c r="AA342" s="6">
        <v>46.92</v>
      </c>
      <c r="AB342" s="6">
        <v>45.36</v>
      </c>
      <c r="AC342" s="6">
        <v>46.17</v>
      </c>
      <c r="AD342" s="6">
        <v>44.82</v>
      </c>
      <c r="AE342" s="6">
        <v>45.48</v>
      </c>
      <c r="AF342" s="6">
        <v>44.24</v>
      </c>
      <c r="AG342" s="6">
        <v>44.96</v>
      </c>
      <c r="AH342" s="6">
        <v>46.54</v>
      </c>
      <c r="AI342" s="6">
        <v>46</v>
      </c>
      <c r="AJ342" s="6">
        <v>45.04</v>
      </c>
      <c r="AK342" s="6">
        <v>45.5</v>
      </c>
      <c r="AL342" s="6">
        <v>43.63</v>
      </c>
      <c r="AM342" s="6">
        <v>45.49</v>
      </c>
      <c r="AN342" s="6">
        <v>43.92</v>
      </c>
      <c r="AO342" s="6">
        <v>44.28</v>
      </c>
      <c r="AP342" s="6">
        <v>43.84</v>
      </c>
      <c r="AQ342" s="6">
        <v>45.74</v>
      </c>
      <c r="AR342" s="6">
        <v>45.89</v>
      </c>
      <c r="AS342" s="6">
        <v>45.3</v>
      </c>
      <c r="AT342" s="6">
        <v>45.67</v>
      </c>
      <c r="AU342" s="6">
        <v>46.17</v>
      </c>
      <c r="AV342" s="6"/>
      <c r="AW342" s="6">
        <v>46.79</v>
      </c>
      <c r="AX342" s="6">
        <v>42.94</v>
      </c>
      <c r="AY342" s="6">
        <v>46.19</v>
      </c>
      <c r="AZ342" s="6">
        <v>46.63</v>
      </c>
      <c r="BA342" s="6">
        <v>43.92</v>
      </c>
      <c r="BB342" s="6">
        <v>45.1</v>
      </c>
      <c r="BC342" s="6">
        <v>45.2</v>
      </c>
      <c r="BD342" s="6">
        <v>44.38</v>
      </c>
      <c r="BE342" s="6">
        <v>45.46</v>
      </c>
      <c r="BF342" s="6">
        <v>44.6</v>
      </c>
      <c r="BG342" s="6">
        <v>44.92</v>
      </c>
      <c r="BH342" s="6">
        <v>45.16</v>
      </c>
      <c r="BI342" s="6">
        <v>46.42</v>
      </c>
      <c r="BJ342" s="6">
        <v>44.48</v>
      </c>
      <c r="BK342" s="6">
        <v>46.04</v>
      </c>
      <c r="BL342" s="6">
        <v>43.23</v>
      </c>
      <c r="BM342" s="7">
        <v>44.45</v>
      </c>
      <c r="BN342" s="10"/>
    </row>
    <row r="343" spans="1:66" ht="15.75" customHeight="1" x14ac:dyDescent="0.25">
      <c r="A343" s="4">
        <v>341</v>
      </c>
      <c r="B343" s="4"/>
      <c r="C343" s="4">
        <v>7</v>
      </c>
      <c r="D343" s="6">
        <v>44.44</v>
      </c>
      <c r="E343" s="6">
        <v>43.71</v>
      </c>
      <c r="F343" s="6">
        <v>45.35</v>
      </c>
      <c r="G343" s="6">
        <v>44.34</v>
      </c>
      <c r="H343" s="6">
        <v>43.36</v>
      </c>
      <c r="I343" s="6">
        <v>44.58</v>
      </c>
      <c r="J343" s="6">
        <v>44.58</v>
      </c>
      <c r="K343" s="6">
        <v>43.79</v>
      </c>
      <c r="L343" s="6">
        <v>46.03</v>
      </c>
      <c r="M343" s="6">
        <v>45.04</v>
      </c>
      <c r="N343" s="6">
        <v>45.51</v>
      </c>
      <c r="O343" s="6">
        <v>45.37</v>
      </c>
      <c r="P343" s="6">
        <v>45.26</v>
      </c>
      <c r="Q343" s="6">
        <v>43.81</v>
      </c>
      <c r="R343" s="6">
        <v>44.77</v>
      </c>
      <c r="S343" s="6">
        <v>45.33</v>
      </c>
      <c r="T343" s="6">
        <v>45.31</v>
      </c>
      <c r="U343" s="6">
        <v>45.09</v>
      </c>
      <c r="V343" s="6">
        <v>43.81</v>
      </c>
      <c r="W343" s="6">
        <v>44.85</v>
      </c>
      <c r="X343" s="6">
        <v>45.41</v>
      </c>
      <c r="Y343" s="6">
        <v>45.1</v>
      </c>
      <c r="Z343" s="6">
        <v>45.35</v>
      </c>
      <c r="AA343" s="6">
        <v>46.81</v>
      </c>
      <c r="AB343" s="6">
        <v>45.29</v>
      </c>
      <c r="AC343" s="6">
        <v>46.1</v>
      </c>
      <c r="AD343" s="6">
        <v>44.79</v>
      </c>
      <c r="AE343" s="6">
        <v>45.58</v>
      </c>
      <c r="AF343" s="6">
        <v>44.15</v>
      </c>
      <c r="AG343" s="6">
        <v>44.9</v>
      </c>
      <c r="AH343" s="6">
        <v>46.46</v>
      </c>
      <c r="AI343" s="6">
        <v>45.85</v>
      </c>
      <c r="AJ343" s="6">
        <v>44.88</v>
      </c>
      <c r="AK343" s="6">
        <v>45.47</v>
      </c>
      <c r="AL343" s="6">
        <v>43.71</v>
      </c>
      <c r="AM343" s="6">
        <v>45.49</v>
      </c>
      <c r="AN343" s="6">
        <v>43.83</v>
      </c>
      <c r="AO343" s="6">
        <v>44.26</v>
      </c>
      <c r="AP343" s="6">
        <v>43.76</v>
      </c>
      <c r="AQ343" s="6">
        <v>45.62</v>
      </c>
      <c r="AR343" s="6">
        <v>45.81</v>
      </c>
      <c r="AS343" s="6">
        <v>45.27</v>
      </c>
      <c r="AT343" s="6">
        <v>45.58</v>
      </c>
      <c r="AU343" s="6">
        <v>46.07</v>
      </c>
      <c r="AV343" s="6"/>
      <c r="AW343" s="6">
        <v>46.7</v>
      </c>
      <c r="AX343" s="6">
        <v>42.92</v>
      </c>
      <c r="AY343" s="6">
        <v>46.15</v>
      </c>
      <c r="AZ343" s="6">
        <v>46.64</v>
      </c>
      <c r="BA343" s="6">
        <v>43.84</v>
      </c>
      <c r="BB343" s="6">
        <v>45.04</v>
      </c>
      <c r="BC343" s="6">
        <v>45.08</v>
      </c>
      <c r="BD343" s="6">
        <v>44.32</v>
      </c>
      <c r="BE343" s="6">
        <v>45.42</v>
      </c>
      <c r="BF343" s="6">
        <v>44.51</v>
      </c>
      <c r="BG343" s="6">
        <v>44.83</v>
      </c>
      <c r="BH343" s="6">
        <v>45.08</v>
      </c>
      <c r="BI343" s="6">
        <v>46.5</v>
      </c>
      <c r="BJ343" s="6">
        <v>44.44</v>
      </c>
      <c r="BK343" s="6">
        <v>45.9</v>
      </c>
      <c r="BL343" s="6">
        <v>43.1</v>
      </c>
      <c r="BM343" s="7">
        <v>44.37</v>
      </c>
      <c r="BN343" s="10"/>
    </row>
    <row r="344" spans="1:66" ht="15.75" customHeight="1" x14ac:dyDescent="0.25">
      <c r="A344" s="4">
        <v>342</v>
      </c>
      <c r="B344" s="4"/>
      <c r="C344" s="4">
        <v>8</v>
      </c>
      <c r="D344" s="6">
        <v>44.46</v>
      </c>
      <c r="E344" s="6">
        <v>43.73</v>
      </c>
      <c r="F344" s="6">
        <v>45.25</v>
      </c>
      <c r="G344" s="6">
        <v>44.41</v>
      </c>
      <c r="H344" s="6">
        <v>43.31</v>
      </c>
      <c r="I344" s="6">
        <v>44.26</v>
      </c>
      <c r="J344" s="6">
        <v>44.56</v>
      </c>
      <c r="K344" s="6">
        <v>43.77</v>
      </c>
      <c r="L344" s="6">
        <v>45.96</v>
      </c>
      <c r="M344" s="6">
        <v>44.93</v>
      </c>
      <c r="N344" s="6">
        <v>45.39</v>
      </c>
      <c r="O344" s="6">
        <v>45.37</v>
      </c>
      <c r="P344" s="6">
        <v>45.27</v>
      </c>
      <c r="Q344" s="6">
        <v>43.8</v>
      </c>
      <c r="R344" s="6">
        <v>44.64</v>
      </c>
      <c r="S344" s="6">
        <v>45.37</v>
      </c>
      <c r="T344" s="6">
        <v>45.26</v>
      </c>
      <c r="U344" s="6">
        <v>44.96</v>
      </c>
      <c r="V344" s="6">
        <v>43.76</v>
      </c>
      <c r="W344" s="6">
        <v>44.84</v>
      </c>
      <c r="X344" s="6">
        <v>45.5</v>
      </c>
      <c r="Y344" s="6">
        <v>44.95</v>
      </c>
      <c r="Z344" s="6">
        <v>45.31</v>
      </c>
      <c r="AA344" s="6">
        <v>46.7</v>
      </c>
      <c r="AB344" s="6">
        <v>45.21</v>
      </c>
      <c r="AC344" s="6">
        <v>46.02</v>
      </c>
      <c r="AD344" s="6">
        <v>44.75</v>
      </c>
      <c r="AE344" s="6">
        <v>45.66</v>
      </c>
      <c r="AF344" s="6">
        <v>44.09</v>
      </c>
      <c r="AG344" s="6">
        <v>45.04</v>
      </c>
      <c r="AH344" s="6">
        <v>46.39</v>
      </c>
      <c r="AI344" s="6">
        <v>45.73</v>
      </c>
      <c r="AJ344" s="6">
        <v>44.74</v>
      </c>
      <c r="AK344" s="6">
        <v>45.46</v>
      </c>
      <c r="AL344" s="6">
        <v>43.57</v>
      </c>
      <c r="AM344" s="6">
        <v>45.5</v>
      </c>
      <c r="AN344" s="6">
        <v>43.74</v>
      </c>
      <c r="AO344" s="6">
        <v>44.28</v>
      </c>
      <c r="AP344" s="6">
        <v>43.69</v>
      </c>
      <c r="AQ344" s="6">
        <v>45.48</v>
      </c>
      <c r="AR344" s="6">
        <v>45.72</v>
      </c>
      <c r="AS344" s="6">
        <v>45.23</v>
      </c>
      <c r="AT344" s="6">
        <v>45.54</v>
      </c>
      <c r="AU344" s="6">
        <v>46</v>
      </c>
      <c r="AV344" s="6"/>
      <c r="AW344" s="6">
        <v>46.61</v>
      </c>
      <c r="AX344" s="6">
        <v>42.9</v>
      </c>
      <c r="AY344" s="6">
        <v>46.13</v>
      </c>
      <c r="AZ344" s="6">
        <v>46.64</v>
      </c>
      <c r="BA344" s="6">
        <v>43.74</v>
      </c>
      <c r="BB344" s="6">
        <v>45.01</v>
      </c>
      <c r="BC344" s="6">
        <v>44.83</v>
      </c>
      <c r="BD344" s="6">
        <v>44.25</v>
      </c>
      <c r="BE344" s="6">
        <v>45.37</v>
      </c>
      <c r="BF344" s="6">
        <v>44.38</v>
      </c>
      <c r="BG344" s="6">
        <v>44.68</v>
      </c>
      <c r="BH344" s="6">
        <v>44.99</v>
      </c>
      <c r="BI344" s="6">
        <v>46.5</v>
      </c>
      <c r="BJ344" s="6">
        <v>44.44</v>
      </c>
      <c r="BK344" s="6">
        <v>45.75</v>
      </c>
      <c r="BL344" s="6">
        <v>42.97</v>
      </c>
      <c r="BM344" s="7">
        <v>44.28</v>
      </c>
      <c r="BN344" s="10"/>
    </row>
    <row r="345" spans="1:66" ht="15.75" customHeight="1" x14ac:dyDescent="0.25">
      <c r="A345" s="4">
        <v>343</v>
      </c>
      <c r="B345" s="4"/>
      <c r="C345" s="4">
        <v>9</v>
      </c>
      <c r="D345" s="6">
        <v>44.6</v>
      </c>
      <c r="E345" s="6">
        <v>43.7</v>
      </c>
      <c r="F345" s="6">
        <v>45.06</v>
      </c>
      <c r="G345" s="6">
        <v>44.41</v>
      </c>
      <c r="H345" s="6">
        <v>43.22</v>
      </c>
      <c r="I345" s="6">
        <v>44.11</v>
      </c>
      <c r="J345" s="6">
        <v>44.57</v>
      </c>
      <c r="K345" s="6">
        <v>43.8</v>
      </c>
      <c r="L345" s="6">
        <v>45.87</v>
      </c>
      <c r="M345" s="6">
        <v>44.78</v>
      </c>
      <c r="N345" s="6">
        <v>45.23</v>
      </c>
      <c r="O345" s="6">
        <v>45.28</v>
      </c>
      <c r="P345" s="6">
        <v>45.29</v>
      </c>
      <c r="Q345" s="6">
        <v>43.77</v>
      </c>
      <c r="R345" s="6">
        <v>44.51</v>
      </c>
      <c r="S345" s="6">
        <v>45.42</v>
      </c>
      <c r="T345" s="6">
        <v>45.22</v>
      </c>
      <c r="U345" s="6">
        <v>44.84</v>
      </c>
      <c r="V345" s="6">
        <v>43.74</v>
      </c>
      <c r="W345" s="6">
        <v>44.84</v>
      </c>
      <c r="X345" s="6">
        <v>45.55</v>
      </c>
      <c r="Y345" s="6">
        <v>44.8</v>
      </c>
      <c r="Z345" s="6">
        <v>45.25</v>
      </c>
      <c r="AA345" s="6">
        <v>46.62</v>
      </c>
      <c r="AB345" s="6">
        <v>45.1</v>
      </c>
      <c r="AC345" s="6">
        <v>45.92</v>
      </c>
      <c r="AD345" s="6">
        <v>44.74</v>
      </c>
      <c r="AE345" s="6">
        <v>45.72</v>
      </c>
      <c r="AF345" s="6">
        <v>44.02</v>
      </c>
      <c r="AG345" s="6">
        <v>45.04</v>
      </c>
      <c r="AH345" s="6">
        <v>46.28</v>
      </c>
      <c r="AI345" s="6">
        <v>45.65</v>
      </c>
      <c r="AJ345" s="6">
        <v>44.58</v>
      </c>
      <c r="AK345" s="6">
        <v>45.44</v>
      </c>
      <c r="AL345" s="6">
        <v>43.52</v>
      </c>
      <c r="AM345" s="6">
        <v>45.41</v>
      </c>
      <c r="AN345" s="6">
        <v>43.62</v>
      </c>
      <c r="AO345" s="6">
        <v>44.22</v>
      </c>
      <c r="AP345" s="6">
        <v>43.64</v>
      </c>
      <c r="AQ345" s="6">
        <v>45.35</v>
      </c>
      <c r="AR345" s="6">
        <v>45.64</v>
      </c>
      <c r="AS345" s="6">
        <v>45.23</v>
      </c>
      <c r="AT345" s="6">
        <v>45.48</v>
      </c>
      <c r="AU345" s="6">
        <v>45.94</v>
      </c>
      <c r="AV345" s="6"/>
      <c r="AW345" s="6">
        <v>46.51</v>
      </c>
      <c r="AX345" s="6">
        <v>42.87</v>
      </c>
      <c r="AY345" s="6">
        <v>46.1</v>
      </c>
      <c r="AZ345" s="6">
        <v>46.62</v>
      </c>
      <c r="BA345" s="6">
        <v>43.66</v>
      </c>
      <c r="BB345" s="6">
        <v>44.97</v>
      </c>
      <c r="BC345" s="6">
        <v>44.65</v>
      </c>
      <c r="BD345" s="6">
        <v>44.17</v>
      </c>
      <c r="BE345" s="6">
        <v>45.33</v>
      </c>
      <c r="BF345" s="6">
        <v>44.28</v>
      </c>
      <c r="BG345" s="6">
        <v>44.57</v>
      </c>
      <c r="BH345" s="6">
        <v>44.92</v>
      </c>
      <c r="BI345" s="6">
        <v>46.56</v>
      </c>
      <c r="BJ345" s="6">
        <v>44.44</v>
      </c>
      <c r="BK345" s="6">
        <v>45.64</v>
      </c>
      <c r="BL345" s="6">
        <v>42.86</v>
      </c>
      <c r="BM345" s="7">
        <v>44.2</v>
      </c>
      <c r="BN345" s="10"/>
    </row>
    <row r="346" spans="1:66" ht="15.75" customHeight="1" x14ac:dyDescent="0.25">
      <c r="A346" s="4">
        <v>344</v>
      </c>
      <c r="B346" s="4"/>
      <c r="C346" s="4">
        <v>10</v>
      </c>
      <c r="D346" s="6">
        <v>44.58</v>
      </c>
      <c r="E346" s="6">
        <v>43.68</v>
      </c>
      <c r="F346" s="6">
        <v>44.96</v>
      </c>
      <c r="G346" s="6">
        <v>44.41</v>
      </c>
      <c r="H346" s="6">
        <v>43.16</v>
      </c>
      <c r="I346" s="6">
        <v>43.98</v>
      </c>
      <c r="J346" s="6">
        <v>44.59</v>
      </c>
      <c r="K346" s="6">
        <v>43.8</v>
      </c>
      <c r="L346" s="6">
        <v>45.77</v>
      </c>
      <c r="M346" s="6">
        <v>44.67</v>
      </c>
      <c r="N346" s="6">
        <v>45.09</v>
      </c>
      <c r="O346" s="6">
        <v>45.2</v>
      </c>
      <c r="P346" s="6">
        <v>45.35</v>
      </c>
      <c r="Q346" s="6">
        <v>43.76</v>
      </c>
      <c r="R346" s="6">
        <v>44.43</v>
      </c>
      <c r="S346" s="6">
        <v>45.47</v>
      </c>
      <c r="T346" s="6">
        <v>45.09</v>
      </c>
      <c r="U346" s="6">
        <v>44.73</v>
      </c>
      <c r="V346" s="6">
        <v>43.74</v>
      </c>
      <c r="W346" s="6">
        <v>44.83</v>
      </c>
      <c r="X346" s="6">
        <v>45.57</v>
      </c>
      <c r="Y346" s="6">
        <v>44.75</v>
      </c>
      <c r="Z346" s="6">
        <v>45.17</v>
      </c>
      <c r="AA346" s="6">
        <v>46.51</v>
      </c>
      <c r="AB346" s="6">
        <v>44.98</v>
      </c>
      <c r="AC346" s="6">
        <v>45.82</v>
      </c>
      <c r="AD346" s="6">
        <v>44.7</v>
      </c>
      <c r="AE346" s="6">
        <v>45.8</v>
      </c>
      <c r="AF346" s="6">
        <v>43.94</v>
      </c>
      <c r="AG346" s="6">
        <v>45.04</v>
      </c>
      <c r="AH346" s="6">
        <v>46.18</v>
      </c>
      <c r="AI346" s="6">
        <v>45.61</v>
      </c>
      <c r="AJ346" s="6">
        <v>44.44</v>
      </c>
      <c r="AK346" s="6">
        <v>45.42</v>
      </c>
      <c r="AL346" s="6">
        <v>43.5</v>
      </c>
      <c r="AM346" s="6">
        <v>45.32</v>
      </c>
      <c r="AN346" s="6">
        <v>43.52</v>
      </c>
      <c r="AO346" s="6">
        <v>44.28</v>
      </c>
      <c r="AP346" s="6">
        <v>43.6</v>
      </c>
      <c r="AQ346" s="6">
        <v>45.22</v>
      </c>
      <c r="AR346" s="6">
        <v>45.56</v>
      </c>
      <c r="AS346" s="6">
        <v>45.2</v>
      </c>
      <c r="AT346" s="6">
        <v>45.39</v>
      </c>
      <c r="AU346" s="6">
        <v>45.88</v>
      </c>
      <c r="AV346" s="6"/>
      <c r="AW346" s="6">
        <v>46.43</v>
      </c>
      <c r="AX346" s="6">
        <v>42.81</v>
      </c>
      <c r="AY346" s="6">
        <v>46.06</v>
      </c>
      <c r="AZ346" s="6">
        <v>46.6</v>
      </c>
      <c r="BA346" s="6">
        <v>43.57</v>
      </c>
      <c r="BB346" s="6">
        <v>44.94</v>
      </c>
      <c r="BC346" s="6">
        <v>44.5</v>
      </c>
      <c r="BD346" s="6">
        <v>44.1</v>
      </c>
      <c r="BE346" s="6">
        <v>45.27</v>
      </c>
      <c r="BF346" s="6">
        <v>44.2</v>
      </c>
      <c r="BG346" s="6">
        <v>44.44</v>
      </c>
      <c r="BH346" s="6">
        <v>44.84</v>
      </c>
      <c r="BI346" s="6">
        <v>46.54</v>
      </c>
      <c r="BJ346" s="6">
        <v>44.42</v>
      </c>
      <c r="BK346" s="6">
        <v>45.49</v>
      </c>
      <c r="BL346" s="6">
        <v>42.68</v>
      </c>
      <c r="BM346" s="7">
        <v>44.09</v>
      </c>
      <c r="BN346" s="10"/>
    </row>
    <row r="347" spans="1:66" ht="15.75" customHeight="1" x14ac:dyDescent="0.25">
      <c r="A347" s="4">
        <v>345</v>
      </c>
      <c r="B347" s="4"/>
      <c r="C347" s="4">
        <v>11</v>
      </c>
      <c r="D347" s="6">
        <v>44.61</v>
      </c>
      <c r="E347" s="6">
        <v>43.65</v>
      </c>
      <c r="F347" s="6">
        <v>44.78</v>
      </c>
      <c r="G347" s="6">
        <v>44.46</v>
      </c>
      <c r="H347" s="6">
        <v>43.06</v>
      </c>
      <c r="I347" s="6">
        <v>43.86</v>
      </c>
      <c r="J347" s="6">
        <v>44.58</v>
      </c>
      <c r="K347" s="6">
        <v>43.79</v>
      </c>
      <c r="L347" s="6">
        <v>45.65</v>
      </c>
      <c r="M347" s="6">
        <v>44.59</v>
      </c>
      <c r="N347" s="6">
        <v>45.02</v>
      </c>
      <c r="O347" s="6">
        <v>45.14</v>
      </c>
      <c r="P347" s="6">
        <v>45.34</v>
      </c>
      <c r="Q347" s="6">
        <v>43.75</v>
      </c>
      <c r="R347" s="6">
        <v>44.33</v>
      </c>
      <c r="S347" s="6">
        <v>45.5</v>
      </c>
      <c r="T347" s="6">
        <v>44.99</v>
      </c>
      <c r="U347" s="6">
        <v>44.61</v>
      </c>
      <c r="V347" s="6">
        <v>43.74</v>
      </c>
      <c r="W347" s="6">
        <v>44.76</v>
      </c>
      <c r="X347" s="6">
        <v>45.57</v>
      </c>
      <c r="Y347" s="6">
        <v>44.73</v>
      </c>
      <c r="Z347" s="6">
        <v>45.11</v>
      </c>
      <c r="AA347" s="6">
        <v>46.44</v>
      </c>
      <c r="AB347" s="6">
        <v>44.86</v>
      </c>
      <c r="AC347" s="6">
        <v>45.73</v>
      </c>
      <c r="AD347" s="6">
        <v>44.61</v>
      </c>
      <c r="AE347" s="6">
        <v>45.82</v>
      </c>
      <c r="AF347" s="6">
        <v>43.89</v>
      </c>
      <c r="AG347" s="6">
        <v>45.02</v>
      </c>
      <c r="AH347" s="6">
        <v>46.06</v>
      </c>
      <c r="AI347" s="6">
        <v>45.6</v>
      </c>
      <c r="AJ347" s="6">
        <v>44.28</v>
      </c>
      <c r="AK347" s="6">
        <v>45.43</v>
      </c>
      <c r="AL347" s="6">
        <v>43.45</v>
      </c>
      <c r="AM347" s="6">
        <v>45.22</v>
      </c>
      <c r="AN347" s="6">
        <v>43.46</v>
      </c>
      <c r="AO347" s="6">
        <v>44.2</v>
      </c>
      <c r="AP347" s="6">
        <v>43.58</v>
      </c>
      <c r="AQ347" s="6">
        <v>45.1</v>
      </c>
      <c r="AR347" s="6">
        <v>45.47</v>
      </c>
      <c r="AS347" s="6">
        <v>45.17</v>
      </c>
      <c r="AT347" s="6">
        <v>45.31</v>
      </c>
      <c r="AU347" s="6">
        <v>45.82</v>
      </c>
      <c r="AV347" s="6"/>
      <c r="AW347" s="6">
        <v>46.35</v>
      </c>
      <c r="AX347" s="6">
        <v>42.75</v>
      </c>
      <c r="AY347" s="6">
        <v>46</v>
      </c>
      <c r="AZ347" s="6">
        <v>46.6</v>
      </c>
      <c r="BA347" s="6">
        <v>43.52</v>
      </c>
      <c r="BB347" s="6">
        <v>44.86</v>
      </c>
      <c r="BC347" s="6">
        <v>44.34</v>
      </c>
      <c r="BD347" s="6">
        <v>44.03</v>
      </c>
      <c r="BE347" s="6">
        <v>45.165000000000006</v>
      </c>
      <c r="BF347" s="6">
        <v>44.12</v>
      </c>
      <c r="BG347" s="6">
        <v>44.14</v>
      </c>
      <c r="BH347" s="6">
        <v>44.78</v>
      </c>
      <c r="BI347" s="6">
        <v>46.5</v>
      </c>
      <c r="BJ347" s="6">
        <v>44.42</v>
      </c>
      <c r="BK347" s="6">
        <v>45.34</v>
      </c>
      <c r="BL347" s="6">
        <v>42.68</v>
      </c>
      <c r="BM347" s="7">
        <v>44</v>
      </c>
      <c r="BN347" s="10"/>
    </row>
    <row r="348" spans="1:66" ht="15.75" customHeight="1" x14ac:dyDescent="0.25">
      <c r="A348" s="4">
        <v>346</v>
      </c>
      <c r="B348" s="4"/>
      <c r="C348" s="4">
        <v>12</v>
      </c>
      <c r="D348" s="6">
        <v>44.66</v>
      </c>
      <c r="E348" s="6">
        <v>43.6</v>
      </c>
      <c r="F348" s="6">
        <v>44.56</v>
      </c>
      <c r="G348" s="6">
        <v>44.46</v>
      </c>
      <c r="H348" s="6">
        <v>43.01</v>
      </c>
      <c r="I348" s="6">
        <v>43.79</v>
      </c>
      <c r="J348" s="6">
        <v>44.55</v>
      </c>
      <c r="K348" s="6">
        <v>43.77</v>
      </c>
      <c r="L348" s="6">
        <v>45.54</v>
      </c>
      <c r="M348" s="6">
        <v>44.57</v>
      </c>
      <c r="N348" s="6">
        <v>44.92</v>
      </c>
      <c r="O348" s="6">
        <v>45.04</v>
      </c>
      <c r="P348" s="6">
        <v>45.47</v>
      </c>
      <c r="Q348" s="6">
        <v>43.73</v>
      </c>
      <c r="R348" s="6">
        <v>44.22</v>
      </c>
      <c r="S348" s="6">
        <v>45.51</v>
      </c>
      <c r="T348" s="6">
        <v>44.7</v>
      </c>
      <c r="U348" s="6">
        <v>44.5</v>
      </c>
      <c r="V348" s="6">
        <v>43.76</v>
      </c>
      <c r="W348" s="6">
        <v>44.73</v>
      </c>
      <c r="X348" s="6">
        <v>45.55</v>
      </c>
      <c r="Y348" s="6">
        <v>44.68</v>
      </c>
      <c r="Z348" s="6">
        <v>45.04</v>
      </c>
      <c r="AA348" s="6">
        <v>46.34</v>
      </c>
      <c r="AB348" s="6">
        <v>44.76</v>
      </c>
      <c r="AC348" s="6">
        <v>45.61</v>
      </c>
      <c r="AD348" s="6">
        <v>44.54</v>
      </c>
      <c r="AE348" s="6">
        <v>45.86</v>
      </c>
      <c r="AF348" s="6">
        <v>43.83</v>
      </c>
      <c r="AG348" s="6">
        <v>44.95</v>
      </c>
      <c r="AH348" s="6">
        <v>45.94</v>
      </c>
      <c r="AI348" s="6">
        <v>45.57</v>
      </c>
      <c r="AJ348" s="6">
        <v>44.12</v>
      </c>
      <c r="AK348" s="6">
        <v>45.43</v>
      </c>
      <c r="AL348" s="6">
        <v>43.4</v>
      </c>
      <c r="AM348" s="6">
        <v>45.1</v>
      </c>
      <c r="AN348" s="6">
        <v>43.38</v>
      </c>
      <c r="AO348" s="6">
        <v>44.22</v>
      </c>
      <c r="AP348" s="6">
        <v>43.58</v>
      </c>
      <c r="AQ348" s="6">
        <v>44.95</v>
      </c>
      <c r="AR348" s="6">
        <v>45.39</v>
      </c>
      <c r="AS348" s="6">
        <v>45.1</v>
      </c>
      <c r="AT348" s="6">
        <v>45.21</v>
      </c>
      <c r="AU348" s="6">
        <v>45.67</v>
      </c>
      <c r="AV348" s="6"/>
      <c r="AW348" s="6">
        <v>46.26</v>
      </c>
      <c r="AX348" s="6">
        <v>42.68</v>
      </c>
      <c r="AY348" s="6">
        <v>45.92</v>
      </c>
      <c r="AZ348" s="6">
        <v>46.64</v>
      </c>
      <c r="BA348" s="6">
        <v>43.42</v>
      </c>
      <c r="BB348" s="6">
        <v>44.78</v>
      </c>
      <c r="BC348" s="6">
        <v>44.2</v>
      </c>
      <c r="BD348" s="6">
        <v>43.95</v>
      </c>
      <c r="BE348" s="6">
        <v>45.06</v>
      </c>
      <c r="BF348" s="6">
        <v>44.03</v>
      </c>
      <c r="BG348" s="6">
        <v>43.95</v>
      </c>
      <c r="BH348" s="6">
        <v>44.7</v>
      </c>
      <c r="BI348" s="6">
        <v>46.44</v>
      </c>
      <c r="BJ348" s="6">
        <v>44.36</v>
      </c>
      <c r="BK348" s="6">
        <v>45.24</v>
      </c>
      <c r="BL348" s="6">
        <v>42.62</v>
      </c>
      <c r="BM348" s="7">
        <v>43.91</v>
      </c>
      <c r="BN348" s="10"/>
    </row>
    <row r="349" spans="1:66" ht="15.75" customHeight="1" x14ac:dyDescent="0.25">
      <c r="A349" s="4">
        <v>347</v>
      </c>
      <c r="B349" s="4"/>
      <c r="C349" s="4">
        <v>13</v>
      </c>
      <c r="D349" s="6">
        <v>44.66</v>
      </c>
      <c r="E349" s="6">
        <v>43.56</v>
      </c>
      <c r="F349" s="6">
        <v>44.42</v>
      </c>
      <c r="G349" s="6">
        <v>44.46</v>
      </c>
      <c r="H349" s="6">
        <v>43.01</v>
      </c>
      <c r="I349" s="6">
        <v>43.73</v>
      </c>
      <c r="J349" s="6">
        <v>44.49</v>
      </c>
      <c r="K349" s="6">
        <v>43.75</v>
      </c>
      <c r="L349" s="6">
        <v>45.43</v>
      </c>
      <c r="M349" s="6">
        <v>44.46</v>
      </c>
      <c r="N349" s="6">
        <v>44.83</v>
      </c>
      <c r="O349" s="6">
        <v>44.95</v>
      </c>
      <c r="P349" s="6">
        <v>45.48</v>
      </c>
      <c r="Q349" s="6">
        <v>43.71</v>
      </c>
      <c r="R349" s="6">
        <v>44.14</v>
      </c>
      <c r="S349" s="6">
        <v>45.44</v>
      </c>
      <c r="T349" s="6">
        <v>44.81</v>
      </c>
      <c r="U349" s="6">
        <v>44.37</v>
      </c>
      <c r="V349" s="6">
        <v>43.84</v>
      </c>
      <c r="W349" s="6">
        <v>44.66</v>
      </c>
      <c r="X349" s="6">
        <v>45.51</v>
      </c>
      <c r="Y349" s="6">
        <v>44.6</v>
      </c>
      <c r="Z349" s="6">
        <v>44.97</v>
      </c>
      <c r="AA349" s="6">
        <v>46.24</v>
      </c>
      <c r="AB349" s="6">
        <v>44.68</v>
      </c>
      <c r="AC349" s="6">
        <v>45.49</v>
      </c>
      <c r="AD349" s="6">
        <v>44.44</v>
      </c>
      <c r="AE349" s="6">
        <v>45.84</v>
      </c>
      <c r="AF349" s="6">
        <v>43.78</v>
      </c>
      <c r="AG349" s="6">
        <v>44.82</v>
      </c>
      <c r="AH349" s="6">
        <v>45.84</v>
      </c>
      <c r="AI349" s="6">
        <v>45.53</v>
      </c>
      <c r="AJ349" s="6">
        <v>43.96</v>
      </c>
      <c r="AK349" s="6">
        <v>45.45</v>
      </c>
      <c r="AL349" s="6">
        <v>43.34</v>
      </c>
      <c r="AM349" s="6">
        <v>44.98</v>
      </c>
      <c r="AN349" s="6">
        <v>43.34</v>
      </c>
      <c r="AO349" s="6">
        <v>44.26</v>
      </c>
      <c r="AP349" s="6">
        <v>43.59</v>
      </c>
      <c r="AQ349" s="6">
        <v>44.72</v>
      </c>
      <c r="AR349" s="6">
        <v>45.31</v>
      </c>
      <c r="AS349" s="6">
        <v>45.06</v>
      </c>
      <c r="AT349" s="6">
        <v>45.11</v>
      </c>
      <c r="AU349" s="6">
        <v>45.59</v>
      </c>
      <c r="AV349" s="6"/>
      <c r="AW349" s="6">
        <v>46.26</v>
      </c>
      <c r="AX349" s="6">
        <v>42.61</v>
      </c>
      <c r="AY349" s="6">
        <v>45.82</v>
      </c>
      <c r="AZ349" s="6">
        <v>46.66</v>
      </c>
      <c r="BA349" s="6">
        <v>43.37</v>
      </c>
      <c r="BB349" s="6">
        <v>44.72</v>
      </c>
      <c r="BC349" s="6">
        <v>44.13</v>
      </c>
      <c r="BD349" s="6">
        <v>43.88</v>
      </c>
      <c r="BE349" s="6">
        <v>45.15</v>
      </c>
      <c r="BF349" s="6">
        <v>43.93</v>
      </c>
      <c r="BG349" s="6">
        <v>43.8</v>
      </c>
      <c r="BH349" s="6">
        <v>44.6</v>
      </c>
      <c r="BI349" s="6">
        <v>46.34</v>
      </c>
      <c r="BJ349" s="6">
        <v>44.28</v>
      </c>
      <c r="BK349" s="6">
        <v>45.13</v>
      </c>
      <c r="BL349" s="6">
        <v>42.58</v>
      </c>
      <c r="BM349" s="7">
        <v>43.78</v>
      </c>
      <c r="BN349" s="10"/>
    </row>
    <row r="350" spans="1:66" ht="15.75" customHeight="1" x14ac:dyDescent="0.25">
      <c r="A350" s="4">
        <v>348</v>
      </c>
      <c r="B350" s="4"/>
      <c r="C350" s="4">
        <v>14</v>
      </c>
      <c r="D350" s="6">
        <v>44.61</v>
      </c>
      <c r="E350" s="6">
        <v>43.55</v>
      </c>
      <c r="F350" s="6">
        <v>44.24</v>
      </c>
      <c r="G350" s="6">
        <v>44.44</v>
      </c>
      <c r="H350" s="6">
        <v>42.96</v>
      </c>
      <c r="I350" s="6">
        <v>43.48</v>
      </c>
      <c r="J350" s="6">
        <v>44.43</v>
      </c>
      <c r="K350" s="6">
        <v>43.74</v>
      </c>
      <c r="L350" s="6">
        <v>45.34</v>
      </c>
      <c r="M350" s="6">
        <v>44.34</v>
      </c>
      <c r="N350" s="6">
        <v>44.78</v>
      </c>
      <c r="O350" s="6">
        <v>44.79</v>
      </c>
      <c r="P350" s="6">
        <v>45.52</v>
      </c>
      <c r="Q350" s="6">
        <v>43.69</v>
      </c>
      <c r="R350" s="6">
        <v>44.05</v>
      </c>
      <c r="S350" s="6">
        <v>45.4</v>
      </c>
      <c r="T350" s="6">
        <v>44.79</v>
      </c>
      <c r="U350" s="6">
        <v>44.24</v>
      </c>
      <c r="V350" s="6">
        <v>43.91</v>
      </c>
      <c r="W350" s="6">
        <v>44.56</v>
      </c>
      <c r="X350" s="6">
        <v>45.47</v>
      </c>
      <c r="Y350" s="6">
        <v>44.5</v>
      </c>
      <c r="Z350" s="6">
        <v>44.8</v>
      </c>
      <c r="AA350" s="6">
        <v>46.17</v>
      </c>
      <c r="AB350" s="6">
        <v>44.56</v>
      </c>
      <c r="AC350" s="6">
        <v>45.38</v>
      </c>
      <c r="AD350" s="6">
        <v>44.32</v>
      </c>
      <c r="AE350" s="6">
        <v>45.81</v>
      </c>
      <c r="AF350" s="6">
        <v>43.72</v>
      </c>
      <c r="AG350" s="6">
        <v>44.85</v>
      </c>
      <c r="AH350" s="6">
        <v>45.71</v>
      </c>
      <c r="AI350" s="6">
        <v>45.48</v>
      </c>
      <c r="AJ350" s="6">
        <v>43.79</v>
      </c>
      <c r="AK350" s="6">
        <v>45.48</v>
      </c>
      <c r="AL350" s="6">
        <v>43.24</v>
      </c>
      <c r="AM350" s="6">
        <v>44.82</v>
      </c>
      <c r="AN350" s="6">
        <v>43.32</v>
      </c>
      <c r="AO350" s="6">
        <v>44.28</v>
      </c>
      <c r="AP350" s="6">
        <v>43.62</v>
      </c>
      <c r="AQ350" s="6">
        <v>44.61</v>
      </c>
      <c r="AR350" s="6">
        <v>45.22</v>
      </c>
      <c r="AS350" s="6">
        <v>45</v>
      </c>
      <c r="AT350" s="6">
        <v>45</v>
      </c>
      <c r="AU350" s="6">
        <v>45.66</v>
      </c>
      <c r="AV350" s="6"/>
      <c r="AW350" s="6">
        <v>46.22</v>
      </c>
      <c r="AX350" s="6">
        <v>42.51</v>
      </c>
      <c r="AY350" s="6">
        <v>45.71</v>
      </c>
      <c r="AZ350" s="6">
        <v>46.65</v>
      </c>
      <c r="BA350" s="6">
        <v>43.28</v>
      </c>
      <c r="BB350" s="6">
        <v>44.65</v>
      </c>
      <c r="BC350" s="6">
        <v>44.08</v>
      </c>
      <c r="BD350" s="6">
        <v>43.79</v>
      </c>
      <c r="BE350" s="6">
        <v>44.99</v>
      </c>
      <c r="BF350" s="6">
        <v>43.81</v>
      </c>
      <c r="BG350" s="6">
        <v>43.62</v>
      </c>
      <c r="BH350" s="6">
        <v>44.51</v>
      </c>
      <c r="BI350" s="6">
        <v>46.28</v>
      </c>
      <c r="BJ350" s="6">
        <v>44.18</v>
      </c>
      <c r="BK350" s="6">
        <v>45</v>
      </c>
      <c r="BL350" s="6">
        <v>42.55</v>
      </c>
      <c r="BM350" s="7">
        <v>43.68</v>
      </c>
      <c r="BN350" s="10"/>
    </row>
    <row r="351" spans="1:66" ht="15.75" customHeight="1" x14ac:dyDescent="0.25">
      <c r="A351" s="4">
        <v>349</v>
      </c>
      <c r="B351" s="4"/>
      <c r="C351" s="4">
        <v>15</v>
      </c>
      <c r="D351" s="6">
        <v>44.58</v>
      </c>
      <c r="E351" s="6">
        <v>43.45</v>
      </c>
      <c r="F351" s="6">
        <v>44.16</v>
      </c>
      <c r="G351" s="6">
        <v>44.44</v>
      </c>
      <c r="H351" s="6">
        <v>42.96</v>
      </c>
      <c r="I351" s="6">
        <v>43.42</v>
      </c>
      <c r="J351" s="6">
        <v>44.39</v>
      </c>
      <c r="K351" s="6">
        <v>43.73</v>
      </c>
      <c r="L351" s="6">
        <v>45.22</v>
      </c>
      <c r="M351" s="6">
        <v>44.29</v>
      </c>
      <c r="N351" s="6">
        <v>44.64</v>
      </c>
      <c r="O351" s="6">
        <v>44.68</v>
      </c>
      <c r="P351" s="6">
        <v>45.48</v>
      </c>
      <c r="Q351" s="6">
        <v>43.64</v>
      </c>
      <c r="R351" s="6">
        <v>43.96</v>
      </c>
      <c r="S351" s="6">
        <v>45.37</v>
      </c>
      <c r="T351" s="6">
        <v>44.77</v>
      </c>
      <c r="U351" s="6">
        <v>44.08</v>
      </c>
      <c r="V351" s="6">
        <v>43.94</v>
      </c>
      <c r="W351" s="6">
        <v>44.44</v>
      </c>
      <c r="X351" s="6">
        <v>45.36</v>
      </c>
      <c r="Y351" s="6">
        <v>44.42</v>
      </c>
      <c r="Z351" s="6">
        <v>44.84</v>
      </c>
      <c r="AA351" s="6">
        <v>46.1</v>
      </c>
      <c r="AB351" s="6">
        <v>44.49</v>
      </c>
      <c r="AC351" s="6">
        <v>45.26</v>
      </c>
      <c r="AD351" s="6">
        <v>44.2</v>
      </c>
      <c r="AE351" s="6">
        <v>45.74</v>
      </c>
      <c r="AF351" s="6">
        <v>43.75</v>
      </c>
      <c r="AG351" s="6">
        <v>44.76</v>
      </c>
      <c r="AH351" s="6">
        <v>45.55</v>
      </c>
      <c r="AI351" s="6">
        <v>45.42</v>
      </c>
      <c r="AJ351" s="6">
        <v>43.63</v>
      </c>
      <c r="AK351" s="6">
        <v>45.49</v>
      </c>
      <c r="AL351" s="6">
        <v>43.12</v>
      </c>
      <c r="AM351" s="6">
        <v>44.68</v>
      </c>
      <c r="AN351" s="6">
        <v>43.28</v>
      </c>
      <c r="AO351" s="6">
        <v>44.3</v>
      </c>
      <c r="AP351" s="6">
        <v>43.64</v>
      </c>
      <c r="AQ351" s="6">
        <v>44.6</v>
      </c>
      <c r="AR351" s="6">
        <v>45.14</v>
      </c>
      <c r="AS351" s="6">
        <v>44.96</v>
      </c>
      <c r="AT351" s="6">
        <v>44.86</v>
      </c>
      <c r="AU351" s="6">
        <v>45.61</v>
      </c>
      <c r="AV351" s="6"/>
      <c r="AW351" s="6">
        <v>46.18</v>
      </c>
      <c r="AX351" s="6">
        <v>42.42</v>
      </c>
      <c r="AY351" s="6">
        <v>45.58</v>
      </c>
      <c r="AZ351" s="6">
        <v>46.63</v>
      </c>
      <c r="BA351" s="6">
        <v>43.15</v>
      </c>
      <c r="BB351" s="6">
        <v>44.57</v>
      </c>
      <c r="BC351" s="6">
        <v>44.07</v>
      </c>
      <c r="BD351" s="6">
        <v>43.69</v>
      </c>
      <c r="BE351" s="6">
        <v>44.94</v>
      </c>
      <c r="BF351" s="6">
        <v>43.66</v>
      </c>
      <c r="BG351" s="6">
        <v>43.51</v>
      </c>
      <c r="BH351" s="6">
        <v>44.42</v>
      </c>
      <c r="BI351" s="6">
        <v>46.2</v>
      </c>
      <c r="BJ351" s="6">
        <v>44.08</v>
      </c>
      <c r="BK351" s="6">
        <v>44.87</v>
      </c>
      <c r="BL351" s="6">
        <v>42.49</v>
      </c>
      <c r="BM351" s="7">
        <v>43.54</v>
      </c>
      <c r="BN351" s="10"/>
    </row>
    <row r="352" spans="1:66" ht="15.75" customHeight="1" x14ac:dyDescent="0.25">
      <c r="A352" s="4">
        <v>350</v>
      </c>
      <c r="B352" s="4"/>
      <c r="C352" s="4">
        <v>16</v>
      </c>
      <c r="D352" s="6">
        <v>44.44</v>
      </c>
      <c r="E352" s="6">
        <v>43.35</v>
      </c>
      <c r="F352" s="6">
        <v>44.09</v>
      </c>
      <c r="G352" s="6">
        <v>44.44</v>
      </c>
      <c r="H352" s="6">
        <v>42.96</v>
      </c>
      <c r="I352" s="6">
        <v>43.28</v>
      </c>
      <c r="J352" s="6">
        <v>44.36</v>
      </c>
      <c r="K352" s="6">
        <v>43.72</v>
      </c>
      <c r="L352" s="6">
        <v>45.13</v>
      </c>
      <c r="M352" s="6">
        <v>44.24</v>
      </c>
      <c r="N352" s="6">
        <v>44.53</v>
      </c>
      <c r="O352" s="6">
        <v>44.5</v>
      </c>
      <c r="P352" s="6">
        <v>45.42</v>
      </c>
      <c r="Q352" s="6">
        <v>43.55</v>
      </c>
      <c r="R352" s="6">
        <v>43.85</v>
      </c>
      <c r="S352" s="6">
        <v>45.33</v>
      </c>
      <c r="T352" s="6">
        <v>44.66</v>
      </c>
      <c r="U352" s="6">
        <v>43.94</v>
      </c>
      <c r="V352" s="6">
        <v>43.96</v>
      </c>
      <c r="W352" s="6">
        <v>44.34</v>
      </c>
      <c r="X352" s="6">
        <v>45.28</v>
      </c>
      <c r="Y352" s="6">
        <v>44.33</v>
      </c>
      <c r="Z352" s="6">
        <v>44.8</v>
      </c>
      <c r="AA352" s="6">
        <v>46.04</v>
      </c>
      <c r="AB352" s="6">
        <v>44.41</v>
      </c>
      <c r="AC352" s="6">
        <v>45.18</v>
      </c>
      <c r="AD352" s="6">
        <v>44.07</v>
      </c>
      <c r="AE352" s="6">
        <v>45.66</v>
      </c>
      <c r="AF352" s="6">
        <v>43.6</v>
      </c>
      <c r="AG352" s="6">
        <v>44.65</v>
      </c>
      <c r="AH352" s="6">
        <v>45.41</v>
      </c>
      <c r="AI352" s="6">
        <v>45.34</v>
      </c>
      <c r="AJ352" s="6">
        <v>43.49</v>
      </c>
      <c r="AK352" s="6">
        <v>45.54</v>
      </c>
      <c r="AL352" s="6">
        <v>42.99</v>
      </c>
      <c r="AM352" s="6">
        <v>44.54</v>
      </c>
      <c r="AN352" s="6">
        <v>43.24</v>
      </c>
      <c r="AO352" s="6">
        <v>44.31</v>
      </c>
      <c r="AP352" s="6">
        <v>43.69</v>
      </c>
      <c r="AQ352" s="6">
        <v>44.44</v>
      </c>
      <c r="AR352" s="6">
        <v>45.06</v>
      </c>
      <c r="AS352" s="6">
        <v>44.89</v>
      </c>
      <c r="AT352" s="6">
        <v>44.71</v>
      </c>
      <c r="AU352" s="6">
        <v>45.56</v>
      </c>
      <c r="AV352" s="6"/>
      <c r="AW352" s="6">
        <v>46.13</v>
      </c>
      <c r="AX352" s="6">
        <v>42.32</v>
      </c>
      <c r="AY352" s="6">
        <v>45.43</v>
      </c>
      <c r="AZ352" s="6">
        <v>46.58</v>
      </c>
      <c r="BA352" s="6">
        <v>43.04</v>
      </c>
      <c r="BB352" s="6">
        <v>44.52</v>
      </c>
      <c r="BC352" s="6">
        <v>44.06</v>
      </c>
      <c r="BD352" s="6">
        <v>43.59</v>
      </c>
      <c r="BE352" s="6">
        <v>44.8</v>
      </c>
      <c r="BF352" s="6">
        <v>43.55</v>
      </c>
      <c r="BG352" s="6">
        <v>43.37</v>
      </c>
      <c r="BH352" s="6">
        <v>44.4</v>
      </c>
      <c r="BI352" s="6">
        <v>46.1</v>
      </c>
      <c r="BJ352" s="6">
        <v>44</v>
      </c>
      <c r="BK352" s="6">
        <v>44.74</v>
      </c>
      <c r="BL352" s="6">
        <v>42.47</v>
      </c>
      <c r="BM352" s="7">
        <v>43.39</v>
      </c>
      <c r="BN352" s="10"/>
    </row>
    <row r="353" spans="1:66" ht="15.75" customHeight="1" x14ac:dyDescent="0.25">
      <c r="A353" s="4">
        <v>351</v>
      </c>
      <c r="B353" s="4"/>
      <c r="C353" s="4">
        <v>17</v>
      </c>
      <c r="D353" s="6">
        <v>44.41</v>
      </c>
      <c r="E353" s="6">
        <v>43.24</v>
      </c>
      <c r="F353" s="6">
        <v>43.99</v>
      </c>
      <c r="G353" s="6">
        <v>44.44</v>
      </c>
      <c r="H353" s="6">
        <v>42.96</v>
      </c>
      <c r="I353" s="6">
        <v>43.17</v>
      </c>
      <c r="J353" s="6">
        <v>44.33</v>
      </c>
      <c r="K353" s="6">
        <v>43.69</v>
      </c>
      <c r="L353" s="6">
        <v>45.03</v>
      </c>
      <c r="M353" s="6">
        <v>44.21</v>
      </c>
      <c r="N353" s="6">
        <v>44.44</v>
      </c>
      <c r="O353" s="6">
        <v>44.36</v>
      </c>
      <c r="P353" s="6">
        <v>45.4</v>
      </c>
      <c r="Q353" s="6">
        <v>43.55</v>
      </c>
      <c r="R353" s="6">
        <v>43.74</v>
      </c>
      <c r="S353" s="6">
        <v>45.29</v>
      </c>
      <c r="T353" s="6">
        <v>44.56</v>
      </c>
      <c r="U353" s="6">
        <v>43.85</v>
      </c>
      <c r="V353" s="6">
        <v>43.98</v>
      </c>
      <c r="W353" s="6">
        <v>44.24</v>
      </c>
      <c r="X353" s="6">
        <v>45.27</v>
      </c>
      <c r="Y353" s="6">
        <v>44.23</v>
      </c>
      <c r="Z353" s="6">
        <v>44.75</v>
      </c>
      <c r="AA353" s="6">
        <v>46</v>
      </c>
      <c r="AB353" s="6">
        <v>44.35</v>
      </c>
      <c r="AC353" s="6">
        <v>44.98</v>
      </c>
      <c r="AD353" s="6">
        <v>43.96</v>
      </c>
      <c r="AE353" s="6">
        <v>45.58</v>
      </c>
      <c r="AF353" s="6">
        <v>43.55</v>
      </c>
      <c r="AG353" s="6">
        <v>44.55</v>
      </c>
      <c r="AH353" s="6">
        <v>45.25</v>
      </c>
      <c r="AI353" s="6">
        <v>45.23</v>
      </c>
      <c r="AJ353" s="6">
        <v>43.38</v>
      </c>
      <c r="AK353" s="6">
        <v>45.6</v>
      </c>
      <c r="AL353" s="6">
        <v>42.91</v>
      </c>
      <c r="AM353" s="6">
        <v>44.38</v>
      </c>
      <c r="AN353" s="6">
        <v>43.24</v>
      </c>
      <c r="AO353" s="6">
        <v>44.3</v>
      </c>
      <c r="AP353" s="6">
        <v>43.78</v>
      </c>
      <c r="AQ353" s="6">
        <v>44.29</v>
      </c>
      <c r="AR353" s="6">
        <v>44.98</v>
      </c>
      <c r="AS353" s="6">
        <v>44.82</v>
      </c>
      <c r="AT353" s="6">
        <v>44.51</v>
      </c>
      <c r="AU353" s="6">
        <v>45.51</v>
      </c>
      <c r="AV353" s="6"/>
      <c r="AW353" s="6">
        <v>46.06</v>
      </c>
      <c r="AX353" s="6">
        <v>42.24</v>
      </c>
      <c r="AY353" s="6">
        <v>45.27</v>
      </c>
      <c r="AZ353" s="6">
        <v>46.54</v>
      </c>
      <c r="BA353" s="6">
        <v>42.9</v>
      </c>
      <c r="BB353" s="6">
        <v>44.46</v>
      </c>
      <c r="BC353" s="6">
        <v>44</v>
      </c>
      <c r="BD353" s="6">
        <v>43.5</v>
      </c>
      <c r="BE353" s="6">
        <v>44.88</v>
      </c>
      <c r="BF353" s="6">
        <v>43.42</v>
      </c>
      <c r="BG353" s="6">
        <v>43.25</v>
      </c>
      <c r="BH353" s="6">
        <v>44.34</v>
      </c>
      <c r="BI353" s="6">
        <v>45.98</v>
      </c>
      <c r="BJ353" s="6">
        <v>43.92</v>
      </c>
      <c r="BK353" s="6">
        <v>44.6</v>
      </c>
      <c r="BL353" s="6">
        <v>42.45</v>
      </c>
      <c r="BM353" s="7">
        <v>43.24</v>
      </c>
      <c r="BN353" s="10"/>
    </row>
    <row r="354" spans="1:66" ht="15.75" customHeight="1" x14ac:dyDescent="0.25">
      <c r="A354" s="4">
        <v>352</v>
      </c>
      <c r="B354" s="4"/>
      <c r="C354" s="4">
        <v>18</v>
      </c>
      <c r="D354" s="6">
        <v>44.27</v>
      </c>
      <c r="E354" s="6">
        <v>43.2</v>
      </c>
      <c r="F354" s="6">
        <v>43.88</v>
      </c>
      <c r="G354" s="6">
        <v>44.34</v>
      </c>
      <c r="H354" s="6">
        <v>42.91</v>
      </c>
      <c r="I354" s="6">
        <v>43.06</v>
      </c>
      <c r="J354" s="6">
        <v>44.27</v>
      </c>
      <c r="K354" s="6">
        <v>43.66</v>
      </c>
      <c r="L354" s="6">
        <v>44.92</v>
      </c>
      <c r="M354" s="6">
        <v>44.18</v>
      </c>
      <c r="N354" s="6">
        <v>44.32</v>
      </c>
      <c r="O354" s="6">
        <v>44.19</v>
      </c>
      <c r="P354" s="6">
        <v>45.25</v>
      </c>
      <c r="Q354" s="6">
        <v>43.43</v>
      </c>
      <c r="R354" s="6">
        <v>43.6</v>
      </c>
      <c r="S354" s="6">
        <v>45.24</v>
      </c>
      <c r="T354" s="6">
        <v>44.48</v>
      </c>
      <c r="U354" s="6">
        <v>43.63</v>
      </c>
      <c r="V354" s="6">
        <v>44.03</v>
      </c>
      <c r="W354" s="6">
        <v>44.13</v>
      </c>
      <c r="X354" s="6">
        <v>45.23</v>
      </c>
      <c r="Y354" s="6">
        <v>44.08</v>
      </c>
      <c r="Z354" s="6">
        <v>44.65</v>
      </c>
      <c r="AA354" s="6">
        <v>45.9</v>
      </c>
      <c r="AB354" s="6">
        <v>44.28</v>
      </c>
      <c r="AC354" s="6">
        <v>44.98</v>
      </c>
      <c r="AD354" s="6">
        <v>43.86</v>
      </c>
      <c r="AE354" s="6">
        <v>45.5</v>
      </c>
      <c r="AF354" s="6">
        <v>43.47</v>
      </c>
      <c r="AG354" s="6">
        <v>44.39</v>
      </c>
      <c r="AH354" s="6">
        <v>45</v>
      </c>
      <c r="AI354" s="6">
        <v>45.11</v>
      </c>
      <c r="AJ354" s="6">
        <v>43.28</v>
      </c>
      <c r="AK354" s="6">
        <v>45.62</v>
      </c>
      <c r="AL354" s="6">
        <v>42.75</v>
      </c>
      <c r="AM354" s="6">
        <v>44.22</v>
      </c>
      <c r="AN354" s="6">
        <v>43.24</v>
      </c>
      <c r="AO354" s="6">
        <v>44.26</v>
      </c>
      <c r="AP354" s="6">
        <v>43.84</v>
      </c>
      <c r="AQ354" s="6">
        <v>44.02</v>
      </c>
      <c r="AR354" s="6">
        <v>44.89</v>
      </c>
      <c r="AS354" s="6">
        <v>44.74</v>
      </c>
      <c r="AT354" s="6">
        <v>44.4</v>
      </c>
      <c r="AU354" s="6">
        <v>45.49</v>
      </c>
      <c r="AV354" s="6"/>
      <c r="AW354" s="6">
        <v>45.98</v>
      </c>
      <c r="AX354" s="6">
        <v>42.17</v>
      </c>
      <c r="AY354" s="6">
        <v>45.11</v>
      </c>
      <c r="AZ354" s="6">
        <v>46.48</v>
      </c>
      <c r="BA354" s="6">
        <v>42.76</v>
      </c>
      <c r="BB354" s="6">
        <v>44.43</v>
      </c>
      <c r="BC354" s="6">
        <v>43.94</v>
      </c>
      <c r="BD354" s="6">
        <v>43.42</v>
      </c>
      <c r="BE354" s="6">
        <v>44.88</v>
      </c>
      <c r="BF354" s="6">
        <v>43.31</v>
      </c>
      <c r="BG354" s="6">
        <v>43.14</v>
      </c>
      <c r="BH354" s="6">
        <v>44.27</v>
      </c>
      <c r="BI354" s="6">
        <v>45.84</v>
      </c>
      <c r="BJ354" s="6">
        <v>43.84</v>
      </c>
      <c r="BK354" s="6">
        <v>44.45</v>
      </c>
      <c r="BL354" s="6">
        <v>42.4</v>
      </c>
      <c r="BM354" s="7">
        <v>43.1</v>
      </c>
      <c r="BN354" s="10"/>
    </row>
    <row r="355" spans="1:66" ht="15.75" customHeight="1" x14ac:dyDescent="0.25">
      <c r="A355" s="4">
        <v>353</v>
      </c>
      <c r="B355" s="4"/>
      <c r="C355" s="4">
        <v>19</v>
      </c>
      <c r="D355" s="6">
        <v>44.16</v>
      </c>
      <c r="E355" s="6">
        <v>43.18</v>
      </c>
      <c r="F355" s="6">
        <v>43.82</v>
      </c>
      <c r="G355" s="6">
        <v>44.34</v>
      </c>
      <c r="H355" s="6">
        <v>42.91</v>
      </c>
      <c r="I355" s="6">
        <v>42.96</v>
      </c>
      <c r="J355" s="6">
        <v>44.25</v>
      </c>
      <c r="K355" s="6">
        <v>43.62</v>
      </c>
      <c r="L355" s="6">
        <v>44.82</v>
      </c>
      <c r="M355" s="6">
        <v>44.18</v>
      </c>
      <c r="N355" s="6">
        <v>44.24</v>
      </c>
      <c r="O355" s="6">
        <v>43.94</v>
      </c>
      <c r="P355" s="6">
        <v>45.14</v>
      </c>
      <c r="Q355" s="6">
        <v>43.31</v>
      </c>
      <c r="R355" s="6">
        <v>43.51</v>
      </c>
      <c r="S355" s="6">
        <v>45.19</v>
      </c>
      <c r="T355" s="6">
        <v>44.41</v>
      </c>
      <c r="U355" s="6">
        <v>43.51</v>
      </c>
      <c r="V355" s="6">
        <v>44.05</v>
      </c>
      <c r="W355" s="6">
        <v>44.04</v>
      </c>
      <c r="X355" s="6">
        <v>45.18</v>
      </c>
      <c r="Y355" s="6">
        <v>43.92</v>
      </c>
      <c r="Z355" s="6">
        <v>44.56</v>
      </c>
      <c r="AA355" s="6">
        <v>45.79</v>
      </c>
      <c r="AB355" s="6">
        <v>44.23</v>
      </c>
      <c r="AC355" s="6">
        <v>44.91</v>
      </c>
      <c r="AD355" s="6">
        <v>43.69</v>
      </c>
      <c r="AE355" s="6">
        <v>45.44</v>
      </c>
      <c r="AF355" s="6">
        <v>43.39</v>
      </c>
      <c r="AG355" s="6">
        <v>44.26</v>
      </c>
      <c r="AH355" s="6">
        <v>44.9</v>
      </c>
      <c r="AI355" s="6">
        <v>45.04</v>
      </c>
      <c r="AJ355" s="6">
        <v>43.19</v>
      </c>
      <c r="AK355" s="6">
        <v>45.66</v>
      </c>
      <c r="AL355" s="6">
        <v>42.62</v>
      </c>
      <c r="AM355" s="6">
        <v>44.02</v>
      </c>
      <c r="AN355" s="6">
        <v>43.23</v>
      </c>
      <c r="AO355" s="6">
        <v>44.21</v>
      </c>
      <c r="AP355" s="6">
        <v>43.92</v>
      </c>
      <c r="AQ355" s="6">
        <v>43.99</v>
      </c>
      <c r="AR355" s="6">
        <v>44.81</v>
      </c>
      <c r="AS355" s="6">
        <v>44.68</v>
      </c>
      <c r="AT355" s="6">
        <v>44.29</v>
      </c>
      <c r="AU355" s="6">
        <v>45.4</v>
      </c>
      <c r="AV355" s="6"/>
      <c r="AW355" s="6">
        <v>45.92</v>
      </c>
      <c r="AX355" s="6">
        <v>42.09</v>
      </c>
      <c r="AY355" s="6">
        <v>44.96</v>
      </c>
      <c r="AZ355" s="6">
        <v>46.42</v>
      </c>
      <c r="BA355" s="6">
        <v>42.65</v>
      </c>
      <c r="BB355" s="6">
        <v>44.4</v>
      </c>
      <c r="BC355" s="6">
        <v>43.89</v>
      </c>
      <c r="BD355" s="6">
        <v>43.35</v>
      </c>
      <c r="BE355" s="6">
        <v>44.86</v>
      </c>
      <c r="BF355" s="6">
        <v>43.2</v>
      </c>
      <c r="BG355" s="6">
        <v>43.05</v>
      </c>
      <c r="BH355" s="6">
        <v>44.22</v>
      </c>
      <c r="BI355" s="6">
        <v>45.72</v>
      </c>
      <c r="BJ355" s="6">
        <v>43.8</v>
      </c>
      <c r="BK355" s="6">
        <v>44.28</v>
      </c>
      <c r="BL355" s="6">
        <v>42.34</v>
      </c>
      <c r="BM355" s="7">
        <v>42.99</v>
      </c>
      <c r="BN355" s="10"/>
    </row>
    <row r="356" spans="1:66" ht="15.75" customHeight="1" x14ac:dyDescent="0.25">
      <c r="A356" s="4">
        <v>354</v>
      </c>
      <c r="B356" s="4"/>
      <c r="C356" s="4">
        <v>20</v>
      </c>
      <c r="D356" s="6">
        <v>44.06</v>
      </c>
      <c r="E356" s="6">
        <v>43.17</v>
      </c>
      <c r="F356" s="6">
        <v>43.74</v>
      </c>
      <c r="G356" s="6">
        <v>44.26</v>
      </c>
      <c r="H356" s="6">
        <v>42.76</v>
      </c>
      <c r="I356" s="6">
        <v>42.85</v>
      </c>
      <c r="J356" s="6">
        <v>44.25</v>
      </c>
      <c r="K356" s="6">
        <v>43.59</v>
      </c>
      <c r="L356" s="6">
        <v>44.73</v>
      </c>
      <c r="M356" s="6">
        <v>44.15</v>
      </c>
      <c r="N356" s="6">
        <v>44.16</v>
      </c>
      <c r="O356" s="6">
        <v>43.75</v>
      </c>
      <c r="P356" s="6">
        <v>45.06</v>
      </c>
      <c r="Q356" s="6">
        <v>43.19</v>
      </c>
      <c r="R356" s="6">
        <v>43.36</v>
      </c>
      <c r="S356" s="6">
        <v>45.12</v>
      </c>
      <c r="T356" s="6">
        <v>44.36</v>
      </c>
      <c r="U356" s="6">
        <v>43.35</v>
      </c>
      <c r="V356" s="6">
        <v>44.01</v>
      </c>
      <c r="W356" s="6">
        <v>43.9</v>
      </c>
      <c r="X356" s="6">
        <v>45.09</v>
      </c>
      <c r="Y356" s="6">
        <v>43.78</v>
      </c>
      <c r="Z356" s="6">
        <v>44.46</v>
      </c>
      <c r="AA356" s="6">
        <v>45.69</v>
      </c>
      <c r="AB356" s="6">
        <v>44.17</v>
      </c>
      <c r="AC356" s="6">
        <v>44.78</v>
      </c>
      <c r="AD356" s="6">
        <v>43.53</v>
      </c>
      <c r="AE356" s="6">
        <v>45.43</v>
      </c>
      <c r="AF356" s="6">
        <v>43.26</v>
      </c>
      <c r="AG356" s="6">
        <v>44.14</v>
      </c>
      <c r="AH356" s="6">
        <v>44.78</v>
      </c>
      <c r="AI356" s="6">
        <v>44.86</v>
      </c>
      <c r="AJ356" s="6">
        <v>43.15</v>
      </c>
      <c r="AK356" s="6">
        <v>45.69</v>
      </c>
      <c r="AL356" s="6">
        <v>42.47</v>
      </c>
      <c r="AM356" s="6">
        <v>43.89</v>
      </c>
      <c r="AN356" s="6">
        <v>43.22</v>
      </c>
      <c r="AO356" s="6">
        <v>44.13</v>
      </c>
      <c r="AP356" s="6">
        <v>44.09</v>
      </c>
      <c r="AQ356" s="6">
        <v>43.81</v>
      </c>
      <c r="AR356" s="6">
        <v>44.73</v>
      </c>
      <c r="AS356" s="6">
        <v>44.61</v>
      </c>
      <c r="AT356" s="6">
        <v>44.17</v>
      </c>
      <c r="AU356" s="6">
        <v>45.28</v>
      </c>
      <c r="AV356" s="6"/>
      <c r="AW356" s="6">
        <v>45.84</v>
      </c>
      <c r="AX356" s="6">
        <v>42.02</v>
      </c>
      <c r="AY356" s="6">
        <v>44.81</v>
      </c>
      <c r="AZ356" s="6">
        <v>46.34</v>
      </c>
      <c r="BA356" s="6">
        <v>42.55</v>
      </c>
      <c r="BB356" s="6">
        <v>44.36</v>
      </c>
      <c r="BC356" s="6">
        <v>43.8</v>
      </c>
      <c r="BD356" s="6">
        <v>43.29</v>
      </c>
      <c r="BE356" s="6">
        <v>44.88</v>
      </c>
      <c r="BF356" s="6">
        <v>43.1</v>
      </c>
      <c r="BG356" s="6">
        <v>42.96</v>
      </c>
      <c r="BH356" s="6">
        <v>44.22</v>
      </c>
      <c r="BI356" s="6">
        <v>45.64</v>
      </c>
      <c r="BJ356" s="6">
        <v>43.76</v>
      </c>
      <c r="BK356" s="6">
        <v>44.11</v>
      </c>
      <c r="BL356" s="6">
        <v>42.29</v>
      </c>
      <c r="BM356" s="7">
        <v>42.91</v>
      </c>
      <c r="BN356" s="10"/>
    </row>
    <row r="357" spans="1:66" ht="15.75" customHeight="1" x14ac:dyDescent="0.25">
      <c r="A357" s="4">
        <v>355</v>
      </c>
      <c r="B357" s="4"/>
      <c r="C357" s="4">
        <v>21</v>
      </c>
      <c r="D357" s="6">
        <v>43.91</v>
      </c>
      <c r="E357" s="6">
        <v>43.18</v>
      </c>
      <c r="F357" s="6">
        <v>43.63</v>
      </c>
      <c r="G357" s="6">
        <v>44.16</v>
      </c>
      <c r="H357" s="6">
        <v>42.76</v>
      </c>
      <c r="I357" s="6">
        <v>42.72</v>
      </c>
      <c r="J357" s="6">
        <v>44.26</v>
      </c>
      <c r="K357" s="6">
        <v>43.56</v>
      </c>
      <c r="L357" s="6">
        <v>44.64</v>
      </c>
      <c r="M357" s="6">
        <v>44.15</v>
      </c>
      <c r="N357" s="6">
        <v>44.06</v>
      </c>
      <c r="O357" s="6">
        <v>43.61</v>
      </c>
      <c r="P357" s="6">
        <v>44.9</v>
      </c>
      <c r="Q357" s="6">
        <v>43.11</v>
      </c>
      <c r="R357" s="6">
        <v>43.23</v>
      </c>
      <c r="S357" s="6">
        <v>45.06</v>
      </c>
      <c r="T357" s="6">
        <v>44.31</v>
      </c>
      <c r="U357" s="6">
        <v>43.21</v>
      </c>
      <c r="V357" s="6">
        <v>43.99</v>
      </c>
      <c r="W357" s="6">
        <v>43.76</v>
      </c>
      <c r="X357" s="6">
        <v>44.98</v>
      </c>
      <c r="Y357" s="6">
        <v>43.63</v>
      </c>
      <c r="Z357" s="6">
        <v>44.31</v>
      </c>
      <c r="AA357" s="6">
        <v>45.6</v>
      </c>
      <c r="AB357" s="6">
        <v>44.1</v>
      </c>
      <c r="AC357" s="6">
        <v>44.69</v>
      </c>
      <c r="AD357" s="6">
        <v>43.36</v>
      </c>
      <c r="AE357" s="6">
        <v>45.42</v>
      </c>
      <c r="AF357" s="6">
        <v>43.11</v>
      </c>
      <c r="AG357" s="6">
        <v>44.03</v>
      </c>
      <c r="AH357" s="6">
        <v>44.52</v>
      </c>
      <c r="AI357" s="6">
        <v>44.78</v>
      </c>
      <c r="AJ357" s="6">
        <v>43.1</v>
      </c>
      <c r="AK357" s="6">
        <v>45.6</v>
      </c>
      <c r="AL357" s="6">
        <v>42.32</v>
      </c>
      <c r="AM357" s="6">
        <v>43.72</v>
      </c>
      <c r="AN357" s="6">
        <v>43.21</v>
      </c>
      <c r="AO357" s="6">
        <v>44.04</v>
      </c>
      <c r="AP357" s="6">
        <v>44.09</v>
      </c>
      <c r="AQ357" s="6">
        <v>43.74</v>
      </c>
      <c r="AR357" s="6">
        <v>44.64</v>
      </c>
      <c r="AS357" s="6">
        <v>44.57</v>
      </c>
      <c r="AT357" s="6">
        <v>44.09</v>
      </c>
      <c r="AU357" s="6">
        <v>45.16</v>
      </c>
      <c r="AV357" s="6"/>
      <c r="AW357" s="6">
        <v>45.74</v>
      </c>
      <c r="AX357" s="6">
        <v>41.95</v>
      </c>
      <c r="AY357" s="6">
        <v>44.66</v>
      </c>
      <c r="AZ357" s="6">
        <v>46.3</v>
      </c>
      <c r="BA357" s="6">
        <v>42.5</v>
      </c>
      <c r="BB357" s="6">
        <v>44.31</v>
      </c>
      <c r="BC357" s="6">
        <v>43.71</v>
      </c>
      <c r="BD357" s="6">
        <v>43.21</v>
      </c>
      <c r="BE357" s="6">
        <v>44.88</v>
      </c>
      <c r="BF357" s="6">
        <v>43</v>
      </c>
      <c r="BG357" s="6">
        <v>42.88</v>
      </c>
      <c r="BH357" s="6">
        <v>44.14</v>
      </c>
      <c r="BI357" s="6">
        <v>45.58</v>
      </c>
      <c r="BJ357" s="6">
        <v>43.7</v>
      </c>
      <c r="BK357" s="6">
        <v>43.91</v>
      </c>
      <c r="BL357" s="6">
        <v>42.27</v>
      </c>
      <c r="BM357" s="7">
        <v>42.87</v>
      </c>
      <c r="BN357" s="10"/>
    </row>
    <row r="358" spans="1:66" ht="15.75" customHeight="1" x14ac:dyDescent="0.25">
      <c r="A358" s="4">
        <v>356</v>
      </c>
      <c r="B358" s="4"/>
      <c r="C358" s="4">
        <v>22</v>
      </c>
      <c r="D358" s="6">
        <v>43.8</v>
      </c>
      <c r="E358" s="6">
        <v>43.16</v>
      </c>
      <c r="F358" s="6">
        <v>43.51</v>
      </c>
      <c r="G358" s="6">
        <v>44.06</v>
      </c>
      <c r="H358" s="6">
        <v>42.76</v>
      </c>
      <c r="I358" s="6">
        <v>42.66</v>
      </c>
      <c r="J358" s="6">
        <v>44.22</v>
      </c>
      <c r="K358" s="6">
        <v>43.49</v>
      </c>
      <c r="L358" s="6">
        <v>44.55</v>
      </c>
      <c r="M358" s="6">
        <v>44.13</v>
      </c>
      <c r="N358" s="6">
        <v>43.96</v>
      </c>
      <c r="O358" s="6">
        <v>43.54</v>
      </c>
      <c r="P358" s="6">
        <v>44.86</v>
      </c>
      <c r="Q358" s="6">
        <v>43.03</v>
      </c>
      <c r="R358" s="6">
        <v>43.09</v>
      </c>
      <c r="S358" s="6">
        <v>44.98</v>
      </c>
      <c r="T358" s="6">
        <v>44.31</v>
      </c>
      <c r="U358" s="6">
        <v>43.08</v>
      </c>
      <c r="V358" s="6">
        <v>43.97</v>
      </c>
      <c r="W358" s="6">
        <v>43.65</v>
      </c>
      <c r="X358" s="6">
        <v>44.84</v>
      </c>
      <c r="Y358" s="6">
        <v>43.51</v>
      </c>
      <c r="Z358" s="6">
        <v>44.14</v>
      </c>
      <c r="AA358" s="6">
        <v>45.5</v>
      </c>
      <c r="AB358" s="6">
        <v>44.02</v>
      </c>
      <c r="AC358" s="6">
        <v>44.54</v>
      </c>
      <c r="AD358" s="6">
        <v>43.18</v>
      </c>
      <c r="AE358" s="6">
        <v>45.35</v>
      </c>
      <c r="AF358" s="6">
        <v>42.98</v>
      </c>
      <c r="AG358" s="6">
        <v>44.11</v>
      </c>
      <c r="AH358" s="6">
        <v>44.47</v>
      </c>
      <c r="AI358" s="6">
        <v>44.7</v>
      </c>
      <c r="AJ358" s="6">
        <v>43.03</v>
      </c>
      <c r="AK358" s="6">
        <v>45.7</v>
      </c>
      <c r="AL358" s="6">
        <v>42.25</v>
      </c>
      <c r="AM358" s="6">
        <v>43.58</v>
      </c>
      <c r="AN358" s="6">
        <v>43.19</v>
      </c>
      <c r="AO358" s="6">
        <v>43.95</v>
      </c>
      <c r="AP358" s="6">
        <v>44.21</v>
      </c>
      <c r="AQ358" s="6">
        <v>43.64</v>
      </c>
      <c r="AR358" s="6">
        <v>44.56</v>
      </c>
      <c r="AS358" s="6">
        <v>44.53</v>
      </c>
      <c r="AT358" s="6">
        <v>43.99</v>
      </c>
      <c r="AU358" s="6">
        <v>45.04</v>
      </c>
      <c r="AV358" s="6"/>
      <c r="AW358" s="6">
        <v>45.63</v>
      </c>
      <c r="AX358" s="6">
        <v>41.9</v>
      </c>
      <c r="AY358" s="6">
        <v>44.52</v>
      </c>
      <c r="AZ358" s="6">
        <v>46.21</v>
      </c>
      <c r="BA358" s="6">
        <v>42.45</v>
      </c>
      <c r="BB358" s="6">
        <v>44.27</v>
      </c>
      <c r="BC358" s="6">
        <v>43.63</v>
      </c>
      <c r="BD358" s="6">
        <v>43.14</v>
      </c>
      <c r="BE358" s="6">
        <v>44.9</v>
      </c>
      <c r="BF358" s="6">
        <v>42.9</v>
      </c>
      <c r="BG358" s="6">
        <v>42.8</v>
      </c>
      <c r="BH358" s="6">
        <v>44.3</v>
      </c>
      <c r="BI358" s="6">
        <v>45.49</v>
      </c>
      <c r="BJ358" s="6">
        <v>43.76</v>
      </c>
      <c r="BK358" s="6">
        <v>43.75</v>
      </c>
      <c r="BL358" s="6">
        <v>42.27</v>
      </c>
      <c r="BM358" s="7">
        <v>42.87</v>
      </c>
      <c r="BN358" s="10"/>
    </row>
    <row r="359" spans="1:66" ht="15.75" customHeight="1" x14ac:dyDescent="0.25">
      <c r="A359" s="4">
        <v>357</v>
      </c>
      <c r="B359" s="4"/>
      <c r="C359" s="4">
        <v>23</v>
      </c>
      <c r="D359" s="6">
        <v>43.73</v>
      </c>
      <c r="E359" s="6">
        <v>43.12</v>
      </c>
      <c r="F359" s="6">
        <v>43.38</v>
      </c>
      <c r="G359" s="6">
        <v>43.96</v>
      </c>
      <c r="H359" s="6">
        <v>42.72</v>
      </c>
      <c r="I359" s="6">
        <v>42.62</v>
      </c>
      <c r="J359" s="6">
        <v>44.18</v>
      </c>
      <c r="K359" s="6">
        <v>43.45</v>
      </c>
      <c r="L359" s="6">
        <v>44.46</v>
      </c>
      <c r="M359" s="6">
        <v>44.17</v>
      </c>
      <c r="N359" s="6">
        <v>43.84</v>
      </c>
      <c r="O359" s="6">
        <v>43.33</v>
      </c>
      <c r="P359" s="6">
        <v>44.65</v>
      </c>
      <c r="Q359" s="6">
        <v>42.99</v>
      </c>
      <c r="R359" s="6">
        <v>43.04</v>
      </c>
      <c r="S359" s="6">
        <v>44.9</v>
      </c>
      <c r="T359" s="6">
        <v>44.31</v>
      </c>
      <c r="U359" s="6">
        <v>42.98</v>
      </c>
      <c r="V359" s="6">
        <v>43.91</v>
      </c>
      <c r="W359" s="6">
        <v>43.54</v>
      </c>
      <c r="X359" s="6">
        <v>44.7</v>
      </c>
      <c r="Y359" s="6">
        <v>43.46</v>
      </c>
      <c r="Z359" s="6">
        <v>43.96</v>
      </c>
      <c r="AA359" s="6">
        <v>45.4</v>
      </c>
      <c r="AB359" s="6">
        <v>43.97</v>
      </c>
      <c r="AC359" s="6">
        <v>44.38</v>
      </c>
      <c r="AD359" s="6">
        <v>43.02</v>
      </c>
      <c r="AE359" s="6">
        <v>45.25</v>
      </c>
      <c r="AF359" s="6">
        <v>42.91</v>
      </c>
      <c r="AG359" s="6">
        <v>43.88</v>
      </c>
      <c r="AH359" s="6">
        <v>44.34</v>
      </c>
      <c r="AI359" s="6">
        <v>44.62</v>
      </c>
      <c r="AJ359" s="6">
        <v>42.97</v>
      </c>
      <c r="AK359" s="6">
        <v>45.7</v>
      </c>
      <c r="AL359" s="6">
        <v>42.06</v>
      </c>
      <c r="AM359" s="6">
        <v>43.44</v>
      </c>
      <c r="AN359" s="6">
        <v>43.18</v>
      </c>
      <c r="AO359" s="6">
        <v>43.84</v>
      </c>
      <c r="AP359" s="6">
        <v>44.32</v>
      </c>
      <c r="AQ359" s="6">
        <v>43.6</v>
      </c>
      <c r="AR359" s="6">
        <v>44.48</v>
      </c>
      <c r="AS359" s="6">
        <v>44.45</v>
      </c>
      <c r="AT359" s="6">
        <v>43.92</v>
      </c>
      <c r="AU359" s="6">
        <v>44.89</v>
      </c>
      <c r="AV359" s="6"/>
      <c r="AW359" s="6">
        <v>45.47</v>
      </c>
      <c r="AX359" s="6">
        <v>41.86</v>
      </c>
      <c r="AY359" s="6">
        <v>44.38</v>
      </c>
      <c r="AZ359" s="6">
        <v>46.13</v>
      </c>
      <c r="BA359" s="6">
        <v>42.43</v>
      </c>
      <c r="BB359" s="6">
        <v>44.21</v>
      </c>
      <c r="BC359" s="6">
        <v>43.56</v>
      </c>
      <c r="BD359" s="6">
        <v>43.05</v>
      </c>
      <c r="BE359" s="6">
        <v>44.89</v>
      </c>
      <c r="BF359" s="6">
        <v>42.78</v>
      </c>
      <c r="BG359" s="6">
        <v>42.72</v>
      </c>
      <c r="BH359" s="6">
        <v>44.38</v>
      </c>
      <c r="BI359" s="6">
        <v>45.22</v>
      </c>
      <c r="BJ359" s="6">
        <v>43.77</v>
      </c>
      <c r="BK359" s="6">
        <v>43.57</v>
      </c>
      <c r="BL359" s="6">
        <v>42.26</v>
      </c>
      <c r="BM359" s="7">
        <v>42.86</v>
      </c>
      <c r="BN359" s="10"/>
    </row>
    <row r="360" spans="1:66" ht="15.75" customHeight="1" x14ac:dyDescent="0.25">
      <c r="A360" s="4">
        <v>358</v>
      </c>
      <c r="B360" s="4"/>
      <c r="C360" s="4">
        <v>24</v>
      </c>
      <c r="D360" s="6">
        <v>43.68</v>
      </c>
      <c r="E360" s="6">
        <v>43.06</v>
      </c>
      <c r="F360" s="6">
        <v>43.22</v>
      </c>
      <c r="G360" s="6">
        <v>43.96</v>
      </c>
      <c r="H360" s="6">
        <v>42.64</v>
      </c>
      <c r="I360" s="6">
        <v>42.54</v>
      </c>
      <c r="J360" s="6">
        <v>44.14</v>
      </c>
      <c r="K360" s="6">
        <v>43.4</v>
      </c>
      <c r="L360" s="6">
        <v>44.38</v>
      </c>
      <c r="M360" s="6">
        <v>44.16</v>
      </c>
      <c r="N360" s="6">
        <v>43.78</v>
      </c>
      <c r="O360" s="6">
        <v>43.26</v>
      </c>
      <c r="P360" s="6">
        <v>44.56</v>
      </c>
      <c r="Q360" s="6">
        <v>42.94</v>
      </c>
      <c r="R360" s="6">
        <v>42.93</v>
      </c>
      <c r="S360" s="6">
        <v>44.77</v>
      </c>
      <c r="T360" s="6">
        <v>44.31</v>
      </c>
      <c r="U360" s="6">
        <v>42.87</v>
      </c>
      <c r="V360" s="6">
        <v>43.87</v>
      </c>
      <c r="W360" s="6">
        <v>43.44</v>
      </c>
      <c r="X360" s="6">
        <v>44.58</v>
      </c>
      <c r="Y360" s="6">
        <v>43.38</v>
      </c>
      <c r="Z360" s="6">
        <v>43.72</v>
      </c>
      <c r="AA360" s="6">
        <v>45.32</v>
      </c>
      <c r="AB360" s="6">
        <v>43.92</v>
      </c>
      <c r="AC360" s="6">
        <v>44.21</v>
      </c>
      <c r="AD360" s="6">
        <v>42.86</v>
      </c>
      <c r="AE360" s="6">
        <v>45.12</v>
      </c>
      <c r="AF360" s="6">
        <v>42.82</v>
      </c>
      <c r="AG360" s="6">
        <v>43.73</v>
      </c>
      <c r="AH360" s="6">
        <v>44.2</v>
      </c>
      <c r="AI360" s="6">
        <v>44.55</v>
      </c>
      <c r="AJ360" s="6">
        <v>42.91</v>
      </c>
      <c r="AK360" s="6">
        <v>45.67</v>
      </c>
      <c r="AL360" s="6">
        <v>41.94</v>
      </c>
      <c r="AM360" s="6">
        <v>43.23</v>
      </c>
      <c r="AN360" s="6">
        <v>43.16</v>
      </c>
      <c r="AO360" s="6">
        <v>43.73</v>
      </c>
      <c r="AP360" s="6">
        <v>44.37</v>
      </c>
      <c r="AQ360" s="6">
        <v>43.56</v>
      </c>
      <c r="AR360" s="6">
        <v>44.39</v>
      </c>
      <c r="AS360" s="6">
        <v>44.37</v>
      </c>
      <c r="AT360" s="6">
        <v>43.85</v>
      </c>
      <c r="AU360" s="6">
        <v>44.74</v>
      </c>
      <c r="AV360" s="6"/>
      <c r="AW360" s="6">
        <v>45.31</v>
      </c>
      <c r="AX360" s="6">
        <v>41.83</v>
      </c>
      <c r="AY360" s="6">
        <v>44.25</v>
      </c>
      <c r="AZ360" s="6">
        <v>46.07</v>
      </c>
      <c r="BA360" s="6">
        <v>42.43</v>
      </c>
      <c r="BB360" s="6">
        <v>44.13</v>
      </c>
      <c r="BC360" s="6">
        <v>43.46</v>
      </c>
      <c r="BD360" s="6">
        <v>42.95</v>
      </c>
      <c r="BE360" s="6">
        <v>44.85</v>
      </c>
      <c r="BF360" s="6">
        <v>42.65</v>
      </c>
      <c r="BG360" s="6">
        <v>42.68</v>
      </c>
      <c r="BH360" s="6">
        <v>44.4</v>
      </c>
      <c r="BI360" s="6">
        <v>45.06</v>
      </c>
      <c r="BJ360" s="6">
        <v>43.77</v>
      </c>
      <c r="BK360" s="6">
        <v>43.4</v>
      </c>
      <c r="BL360" s="6">
        <v>42.24</v>
      </c>
      <c r="BM360" s="7">
        <v>42.85</v>
      </c>
      <c r="BN360" s="10"/>
    </row>
    <row r="361" spans="1:66" ht="15.75" customHeight="1" x14ac:dyDescent="0.25">
      <c r="A361" s="4">
        <v>359</v>
      </c>
      <c r="B361" s="4"/>
      <c r="C361" s="4">
        <v>25</v>
      </c>
      <c r="D361" s="6">
        <v>43.59</v>
      </c>
      <c r="E361" s="6">
        <v>42.98</v>
      </c>
      <c r="F361" s="6">
        <v>43.13</v>
      </c>
      <c r="G361" s="6">
        <v>43.91</v>
      </c>
      <c r="H361" s="6">
        <v>42.61</v>
      </c>
      <c r="I361" s="6">
        <v>42.5</v>
      </c>
      <c r="J361" s="6">
        <v>44.12</v>
      </c>
      <c r="K361" s="6">
        <v>43.33</v>
      </c>
      <c r="L361" s="6">
        <v>44.3</v>
      </c>
      <c r="M361" s="6">
        <v>44.13</v>
      </c>
      <c r="N361" s="6">
        <v>43.7</v>
      </c>
      <c r="O361" s="6">
        <v>43.08</v>
      </c>
      <c r="P361" s="6">
        <v>44.47</v>
      </c>
      <c r="Q361" s="6">
        <v>42.86</v>
      </c>
      <c r="R361" s="6">
        <v>42.86</v>
      </c>
      <c r="S361" s="6">
        <v>44.63</v>
      </c>
      <c r="T361" s="6">
        <v>44.31</v>
      </c>
      <c r="U361" s="6">
        <v>42.77</v>
      </c>
      <c r="V361" s="6">
        <v>43.8</v>
      </c>
      <c r="W361" s="6">
        <v>43.31</v>
      </c>
      <c r="X361" s="6">
        <v>44.46</v>
      </c>
      <c r="Y361" s="6">
        <v>43.31</v>
      </c>
      <c r="Z361" s="6">
        <v>43.56</v>
      </c>
      <c r="AA361" s="6">
        <v>45.23</v>
      </c>
      <c r="AB361" s="6">
        <v>43.77</v>
      </c>
      <c r="AC361" s="6">
        <v>43.98</v>
      </c>
      <c r="AD361" s="6">
        <v>42.7</v>
      </c>
      <c r="AE361" s="6">
        <v>44.98</v>
      </c>
      <c r="AF361" s="6">
        <v>42.68</v>
      </c>
      <c r="AG361" s="6">
        <v>43.6</v>
      </c>
      <c r="AH361" s="6">
        <v>44.08</v>
      </c>
      <c r="AI361" s="6">
        <v>44.47</v>
      </c>
      <c r="AJ361" s="6">
        <v>42.87</v>
      </c>
      <c r="AK361" s="6">
        <v>45.6</v>
      </c>
      <c r="AL361" s="6">
        <v>41.84</v>
      </c>
      <c r="AM361" s="6">
        <v>43.26</v>
      </c>
      <c r="AN361" s="6">
        <v>43.14</v>
      </c>
      <c r="AO361" s="6">
        <v>43.63</v>
      </c>
      <c r="AP361" s="6">
        <v>44.54</v>
      </c>
      <c r="AQ361" s="6">
        <v>43.58</v>
      </c>
      <c r="AR361" s="6">
        <v>44.31</v>
      </c>
      <c r="AS361" s="6">
        <v>44.26</v>
      </c>
      <c r="AT361" s="6">
        <v>43.8</v>
      </c>
      <c r="AU361" s="6">
        <v>44.59</v>
      </c>
      <c r="AV361" s="6"/>
      <c r="AW361" s="6">
        <v>45.11</v>
      </c>
      <c r="AX361" s="6">
        <v>41.75</v>
      </c>
      <c r="AY361" s="6">
        <v>44.14</v>
      </c>
      <c r="AZ361" s="6">
        <v>46.03</v>
      </c>
      <c r="BA361" s="6">
        <v>42.42</v>
      </c>
      <c r="BB361" s="6">
        <v>44.01</v>
      </c>
      <c r="BC361" s="6">
        <v>43.4</v>
      </c>
      <c r="BD361" s="6">
        <v>42.85</v>
      </c>
      <c r="BE361" s="6">
        <v>44.8</v>
      </c>
      <c r="BF361" s="6">
        <v>42.53</v>
      </c>
      <c r="BG361" s="6">
        <v>42.62</v>
      </c>
      <c r="BH361" s="6">
        <v>44.47</v>
      </c>
      <c r="BI361" s="6">
        <v>44.95</v>
      </c>
      <c r="BJ361" s="6">
        <v>43.76</v>
      </c>
      <c r="BK361" s="6">
        <v>43.22</v>
      </c>
      <c r="BL361" s="6">
        <v>42.22</v>
      </c>
      <c r="BM361" s="7">
        <v>42.79</v>
      </c>
      <c r="BN361" s="10"/>
    </row>
    <row r="362" spans="1:66" ht="15.75" customHeight="1" x14ac:dyDescent="0.25">
      <c r="A362" s="4">
        <v>360</v>
      </c>
      <c r="B362" s="4"/>
      <c r="C362" s="4">
        <v>26</v>
      </c>
      <c r="D362" s="6">
        <v>43.48</v>
      </c>
      <c r="E362" s="6">
        <v>42.88</v>
      </c>
      <c r="F362" s="6">
        <v>43.06</v>
      </c>
      <c r="G362" s="6">
        <v>43.76</v>
      </c>
      <c r="H362" s="6">
        <v>42.61</v>
      </c>
      <c r="I362" s="6">
        <v>42.48</v>
      </c>
      <c r="J362" s="6">
        <v>44.1</v>
      </c>
      <c r="K362" s="6">
        <v>43.28</v>
      </c>
      <c r="L362" s="6">
        <v>44.23</v>
      </c>
      <c r="M362" s="6">
        <v>44.06</v>
      </c>
      <c r="N362" s="6">
        <v>43.63</v>
      </c>
      <c r="O362" s="6">
        <v>42.94</v>
      </c>
      <c r="P362" s="6">
        <v>44.44</v>
      </c>
      <c r="Q362" s="6">
        <v>42.81</v>
      </c>
      <c r="R362" s="6">
        <v>42.78</v>
      </c>
      <c r="S362" s="6">
        <v>44.4</v>
      </c>
      <c r="T362" s="6">
        <v>44.28</v>
      </c>
      <c r="U362" s="6">
        <v>42.68</v>
      </c>
      <c r="V362" s="6">
        <v>43.71</v>
      </c>
      <c r="W362" s="6">
        <v>43.16</v>
      </c>
      <c r="X362" s="6">
        <v>44.43</v>
      </c>
      <c r="Y362" s="6">
        <v>43.27</v>
      </c>
      <c r="Z362" s="6">
        <v>43.35</v>
      </c>
      <c r="AA362" s="6">
        <v>45.1</v>
      </c>
      <c r="AB362" s="6">
        <v>43.68</v>
      </c>
      <c r="AC362" s="6">
        <v>43.76</v>
      </c>
      <c r="AD362" s="6">
        <v>42.53</v>
      </c>
      <c r="AE362" s="6">
        <v>44.8</v>
      </c>
      <c r="AF362" s="6">
        <v>42.54</v>
      </c>
      <c r="AG362" s="6">
        <v>43.51</v>
      </c>
      <c r="AH362" s="6">
        <v>43.96</v>
      </c>
      <c r="AI362" s="6">
        <v>44.38</v>
      </c>
      <c r="AJ362" s="6">
        <v>42.84</v>
      </c>
      <c r="AK362" s="6">
        <v>45.55</v>
      </c>
      <c r="AL362" s="6">
        <v>41.66</v>
      </c>
      <c r="AM362" s="6">
        <v>43.23</v>
      </c>
      <c r="AN362" s="6">
        <v>43.1</v>
      </c>
      <c r="AO362" s="6">
        <v>43.54</v>
      </c>
      <c r="AP362" s="6">
        <v>44.58</v>
      </c>
      <c r="AQ362" s="6">
        <v>43.58</v>
      </c>
      <c r="AR362" s="6">
        <v>44.23</v>
      </c>
      <c r="AS362" s="6">
        <v>44.18</v>
      </c>
      <c r="AT362" s="6">
        <v>43.75</v>
      </c>
      <c r="AU362" s="6">
        <v>44.45</v>
      </c>
      <c r="AV362" s="6"/>
      <c r="AW362" s="6">
        <v>44.93</v>
      </c>
      <c r="AX362" s="6">
        <v>41.67</v>
      </c>
      <c r="AY362" s="6">
        <v>44.05</v>
      </c>
      <c r="AZ362" s="6">
        <v>45.96</v>
      </c>
      <c r="BA362" s="6">
        <v>42.45</v>
      </c>
      <c r="BB362" s="6">
        <v>43.89</v>
      </c>
      <c r="BC362" s="6">
        <v>43.35</v>
      </c>
      <c r="BD362" s="6">
        <v>42.81</v>
      </c>
      <c r="BE362" s="6">
        <v>44.76</v>
      </c>
      <c r="BF362" s="6">
        <v>42.43</v>
      </c>
      <c r="BG362" s="6">
        <v>42.58</v>
      </c>
      <c r="BH362" s="6">
        <v>44.58</v>
      </c>
      <c r="BI362" s="6">
        <v>44.87</v>
      </c>
      <c r="BJ362" s="6">
        <v>43.7</v>
      </c>
      <c r="BK362" s="6">
        <v>43.05</v>
      </c>
      <c r="BL362" s="6">
        <v>42.19</v>
      </c>
      <c r="BM362" s="7">
        <v>42.83</v>
      </c>
      <c r="BN362" s="10"/>
    </row>
    <row r="363" spans="1:66" ht="15.75" customHeight="1" x14ac:dyDescent="0.25">
      <c r="A363" s="4">
        <v>361</v>
      </c>
      <c r="B363" s="4"/>
      <c r="C363" s="4">
        <v>27</v>
      </c>
      <c r="D363" s="6">
        <v>43.41</v>
      </c>
      <c r="E363" s="6">
        <v>42.74</v>
      </c>
      <c r="F363" s="6">
        <v>42.96</v>
      </c>
      <c r="G363" s="6">
        <v>43.66</v>
      </c>
      <c r="H363" s="6">
        <v>42.56</v>
      </c>
      <c r="I363" s="6">
        <v>42.33</v>
      </c>
      <c r="J363" s="6">
        <v>44.07</v>
      </c>
      <c r="K363" s="6">
        <v>43.23</v>
      </c>
      <c r="L363" s="6">
        <v>44.18</v>
      </c>
      <c r="M363" s="6">
        <v>43.99</v>
      </c>
      <c r="N363" s="6">
        <v>43.65</v>
      </c>
      <c r="O363" s="6">
        <v>42.84</v>
      </c>
      <c r="P363" s="6">
        <v>44.37</v>
      </c>
      <c r="Q363" s="6">
        <v>42.75</v>
      </c>
      <c r="R363" s="6">
        <v>42.75</v>
      </c>
      <c r="S363" s="6">
        <v>44.28</v>
      </c>
      <c r="T363" s="6">
        <v>44.23</v>
      </c>
      <c r="U363" s="6">
        <v>42.64</v>
      </c>
      <c r="V363" s="6">
        <v>43.65</v>
      </c>
      <c r="W363" s="6">
        <v>43.18</v>
      </c>
      <c r="X363" s="6">
        <v>44.38</v>
      </c>
      <c r="Y363" s="6">
        <v>43.38</v>
      </c>
      <c r="Z363" s="6">
        <v>43.14</v>
      </c>
      <c r="AA363" s="6">
        <v>44.98</v>
      </c>
      <c r="AB363" s="6">
        <v>43.7</v>
      </c>
      <c r="AC363" s="6">
        <v>43.55</v>
      </c>
      <c r="AD363" s="6">
        <v>42.42</v>
      </c>
      <c r="AE363" s="6">
        <v>44.65</v>
      </c>
      <c r="AF363" s="6">
        <v>42.44</v>
      </c>
      <c r="AG363" s="6">
        <v>43.99</v>
      </c>
      <c r="AH363" s="6">
        <v>43.84</v>
      </c>
      <c r="AI363" s="6">
        <v>44.28</v>
      </c>
      <c r="AJ363" s="6">
        <v>42.88</v>
      </c>
      <c r="AK363" s="6">
        <v>45.5</v>
      </c>
      <c r="AL363" s="6">
        <v>41.67</v>
      </c>
      <c r="AM363" s="6">
        <v>43.22</v>
      </c>
      <c r="AN363" s="6">
        <v>43.08</v>
      </c>
      <c r="AO363" s="6">
        <v>43.44</v>
      </c>
      <c r="AP363" s="6">
        <v>44.63</v>
      </c>
      <c r="AQ363" s="6">
        <v>43.57</v>
      </c>
      <c r="AR363" s="6">
        <v>44.15</v>
      </c>
      <c r="AS363" s="6">
        <v>44.09</v>
      </c>
      <c r="AT363" s="6">
        <v>43.72</v>
      </c>
      <c r="AU363" s="6">
        <v>44.32</v>
      </c>
      <c r="AV363" s="6"/>
      <c r="AW363" s="6">
        <v>44.72</v>
      </c>
      <c r="AX363" s="6">
        <v>41.66</v>
      </c>
      <c r="AY363" s="6">
        <v>43.96</v>
      </c>
      <c r="AZ363" s="6">
        <v>45.92</v>
      </c>
      <c r="BA363" s="6">
        <v>42.48</v>
      </c>
      <c r="BB363" s="6">
        <v>43.74</v>
      </c>
      <c r="BC363" s="6">
        <v>43.31</v>
      </c>
      <c r="BD363" s="6">
        <v>42.75</v>
      </c>
      <c r="BE363" s="6">
        <v>44.67</v>
      </c>
      <c r="BF363" s="6">
        <v>42.3</v>
      </c>
      <c r="BG363" s="6">
        <v>42.54</v>
      </c>
      <c r="BH363" s="6">
        <v>44.58</v>
      </c>
      <c r="BI363" s="6">
        <v>44.79</v>
      </c>
      <c r="BJ363" s="6">
        <v>43.66</v>
      </c>
      <c r="BK363" s="6">
        <v>42.91</v>
      </c>
      <c r="BL363" s="6">
        <v>42.22</v>
      </c>
      <c r="BM363" s="7">
        <v>42.9</v>
      </c>
      <c r="BN363" s="10"/>
    </row>
    <row r="364" spans="1:66" ht="15.75" customHeight="1" x14ac:dyDescent="0.25">
      <c r="A364" s="4">
        <v>362</v>
      </c>
      <c r="B364" s="4"/>
      <c r="C364" s="4">
        <v>28</v>
      </c>
      <c r="D364" s="6">
        <v>43.35</v>
      </c>
      <c r="E364" s="6">
        <v>42.6</v>
      </c>
      <c r="F364" s="6">
        <v>42.82</v>
      </c>
      <c r="G364" s="6">
        <v>43.56</v>
      </c>
      <c r="H364" s="6">
        <v>42.56</v>
      </c>
      <c r="I364" s="6">
        <v>42.26</v>
      </c>
      <c r="J364" s="6">
        <v>43.99</v>
      </c>
      <c r="K364" s="6">
        <v>43.15</v>
      </c>
      <c r="L364" s="6">
        <v>44.14</v>
      </c>
      <c r="M364" s="6">
        <v>43.86</v>
      </c>
      <c r="N364" s="6">
        <v>43.61</v>
      </c>
      <c r="O364" s="6">
        <v>42.76</v>
      </c>
      <c r="P364" s="6">
        <v>44.31</v>
      </c>
      <c r="Q364" s="6">
        <v>42.61</v>
      </c>
      <c r="R364" s="6">
        <v>42.71</v>
      </c>
      <c r="S364" s="6">
        <v>44.14</v>
      </c>
      <c r="T364" s="6">
        <v>44.15</v>
      </c>
      <c r="U364" s="6">
        <v>42.56</v>
      </c>
      <c r="V364" s="6">
        <v>43.61</v>
      </c>
      <c r="W364" s="6">
        <v>43.11</v>
      </c>
      <c r="X364" s="6">
        <v>44.3</v>
      </c>
      <c r="Y364" s="6">
        <v>43.4</v>
      </c>
      <c r="Z364" s="6">
        <v>42.98</v>
      </c>
      <c r="AA364" s="6">
        <v>44.84</v>
      </c>
      <c r="AB364" s="6">
        <v>43.62</v>
      </c>
      <c r="AC364" s="6">
        <v>43.36</v>
      </c>
      <c r="AD364" s="6">
        <v>42.29</v>
      </c>
      <c r="AE364" s="6">
        <v>44.53</v>
      </c>
      <c r="AF364" s="6">
        <v>42.34</v>
      </c>
      <c r="AG364" s="6">
        <v>43.25</v>
      </c>
      <c r="AH364" s="6">
        <v>43.7</v>
      </c>
      <c r="AI364" s="6">
        <v>44.17</v>
      </c>
      <c r="AJ364" s="6">
        <v>42.94</v>
      </c>
      <c r="AK364" s="6">
        <v>45.42</v>
      </c>
      <c r="AL364" s="6">
        <v>41.59</v>
      </c>
      <c r="AM364" s="6">
        <v>43.21</v>
      </c>
      <c r="AN364" s="6">
        <v>43.01</v>
      </c>
      <c r="AO364" s="6">
        <v>43.33</v>
      </c>
      <c r="AP364" s="6">
        <v>44.68</v>
      </c>
      <c r="AQ364" s="6">
        <v>43.52</v>
      </c>
      <c r="AR364" s="6">
        <v>44.06</v>
      </c>
      <c r="AS364" s="6">
        <v>43.99</v>
      </c>
      <c r="AT364" s="6">
        <v>43.68</v>
      </c>
      <c r="AU364" s="6">
        <v>44.2</v>
      </c>
      <c r="AV364" s="6"/>
      <c r="AW364" s="6">
        <v>44.52</v>
      </c>
      <c r="AX364" s="6">
        <v>41.62</v>
      </c>
      <c r="AY364" s="6">
        <v>43.86</v>
      </c>
      <c r="AZ364" s="6">
        <v>45.88</v>
      </c>
      <c r="BA364" s="6">
        <v>42.51</v>
      </c>
      <c r="BB364" s="6">
        <v>43.57</v>
      </c>
      <c r="BC364" s="6">
        <v>43.25</v>
      </c>
      <c r="BD364" s="6">
        <v>42.68</v>
      </c>
      <c r="BE364" s="6">
        <v>44.6</v>
      </c>
      <c r="BF364" s="6">
        <v>42.2</v>
      </c>
      <c r="BG364" s="6">
        <v>42.51</v>
      </c>
      <c r="BH364" s="6">
        <v>44.58</v>
      </c>
      <c r="BI364" s="6">
        <v>44.76</v>
      </c>
      <c r="BJ364" s="6">
        <v>43.57</v>
      </c>
      <c r="BK364" s="6">
        <v>42.77</v>
      </c>
      <c r="BL364" s="6">
        <v>42.24</v>
      </c>
      <c r="BM364" s="7">
        <v>42.97</v>
      </c>
      <c r="BN364" s="10"/>
    </row>
    <row r="365" spans="1:66" ht="15.75" customHeight="1" x14ac:dyDescent="0.25">
      <c r="A365" s="4">
        <v>363</v>
      </c>
      <c r="B365" s="4"/>
      <c r="C365" s="4">
        <v>29</v>
      </c>
      <c r="D365" s="6">
        <v>43.27</v>
      </c>
      <c r="E365" s="6">
        <v>42.44</v>
      </c>
      <c r="F365" s="6">
        <v>42.73</v>
      </c>
      <c r="G365" s="6">
        <v>43.56</v>
      </c>
      <c r="H365" s="6">
        <v>42.54</v>
      </c>
      <c r="I365" s="6">
        <v>42.28</v>
      </c>
      <c r="J365" s="6">
        <v>43.89</v>
      </c>
      <c r="K365" s="6">
        <v>43.08</v>
      </c>
      <c r="L365" s="6">
        <v>44.09</v>
      </c>
      <c r="M365" s="6">
        <v>43.66</v>
      </c>
      <c r="N365" s="6">
        <v>43.57</v>
      </c>
      <c r="O365" s="6">
        <v>42.66</v>
      </c>
      <c r="P365" s="6">
        <v>44.18</v>
      </c>
      <c r="Q365" s="6">
        <v>42.56</v>
      </c>
      <c r="R365" s="6">
        <v>42.71</v>
      </c>
      <c r="S365" s="6">
        <v>43.94</v>
      </c>
      <c r="T365" s="6">
        <v>44.05</v>
      </c>
      <c r="U365" s="6">
        <v>42.51</v>
      </c>
      <c r="V365" s="6">
        <v>43.63</v>
      </c>
      <c r="W365" s="6">
        <v>43.06</v>
      </c>
      <c r="X365" s="6">
        <v>44.27</v>
      </c>
      <c r="Y365" s="6">
        <v>43.38</v>
      </c>
      <c r="Z365" s="6">
        <v>42.77</v>
      </c>
      <c r="AA365" s="6">
        <v>44.66</v>
      </c>
      <c r="AB365" s="6">
        <v>43.53</v>
      </c>
      <c r="AC365" s="6">
        <v>43.18</v>
      </c>
      <c r="AD365" s="6">
        <v>42.16</v>
      </c>
      <c r="AE365" s="6">
        <v>44.42</v>
      </c>
      <c r="AF365" s="6">
        <v>42.24</v>
      </c>
      <c r="AG365" s="6">
        <v>43.18</v>
      </c>
      <c r="AH365" s="6">
        <v>43.54</v>
      </c>
      <c r="AI365" s="6">
        <v>43.08</v>
      </c>
      <c r="AJ365" s="6">
        <v>43.01</v>
      </c>
      <c r="AK365" s="6">
        <v>45.36</v>
      </c>
      <c r="AL365" s="6">
        <v>41.51</v>
      </c>
      <c r="AM365" s="6">
        <v>43.24</v>
      </c>
      <c r="AN365" s="6">
        <v>42.93</v>
      </c>
      <c r="AO365" s="6">
        <v>43.21</v>
      </c>
      <c r="AP365" s="6">
        <v>44.74</v>
      </c>
      <c r="AQ365" s="6">
        <v>43.49</v>
      </c>
      <c r="AR365" s="6">
        <v>43.98</v>
      </c>
      <c r="AS365" s="6">
        <v>43.85</v>
      </c>
      <c r="AT365" s="6">
        <v>43.65</v>
      </c>
      <c r="AU365" s="6">
        <v>44.13</v>
      </c>
      <c r="AV365" s="6"/>
      <c r="AW365" s="6">
        <v>44.29</v>
      </c>
      <c r="AX365" s="6">
        <v>41.79</v>
      </c>
      <c r="AY365" s="6">
        <v>43.79</v>
      </c>
      <c r="AZ365" s="6">
        <v>45.85</v>
      </c>
      <c r="BA365" s="6">
        <v>42.46</v>
      </c>
      <c r="BB365" s="6">
        <v>43.39</v>
      </c>
      <c r="BC365" s="6">
        <v>43.21</v>
      </c>
      <c r="BD365" s="6">
        <v>42.63</v>
      </c>
      <c r="BE365" s="6">
        <v>44.51</v>
      </c>
      <c r="BF365" s="6">
        <v>42.1</v>
      </c>
      <c r="BG365" s="6">
        <v>42.48</v>
      </c>
      <c r="BH365" s="6">
        <v>44.52</v>
      </c>
      <c r="BI365" s="6">
        <v>44.68</v>
      </c>
      <c r="BJ365" s="6">
        <v>43.48</v>
      </c>
      <c r="BK365" s="6">
        <v>42.64</v>
      </c>
      <c r="BL365" s="6">
        <v>42.29</v>
      </c>
      <c r="BM365" s="7">
        <v>43.04</v>
      </c>
      <c r="BN365" s="10"/>
    </row>
    <row r="366" spans="1:66" ht="15.75" customHeight="1" x14ac:dyDescent="0.25">
      <c r="A366" s="4">
        <v>364</v>
      </c>
      <c r="B366" s="4"/>
      <c r="C366" s="4">
        <v>30</v>
      </c>
      <c r="D366" s="6">
        <v>43.16</v>
      </c>
      <c r="E366" s="6">
        <v>42.28</v>
      </c>
      <c r="F366" s="6">
        <v>42.64</v>
      </c>
      <c r="G366" s="6">
        <v>43.46</v>
      </c>
      <c r="H366" s="6">
        <v>42.54</v>
      </c>
      <c r="I366" s="6">
        <v>42.26</v>
      </c>
      <c r="J366" s="6">
        <v>43.81</v>
      </c>
      <c r="K366" s="6">
        <v>43.02</v>
      </c>
      <c r="L366" s="6">
        <v>44.06</v>
      </c>
      <c r="M366" s="6">
        <v>43.48</v>
      </c>
      <c r="N366" s="6">
        <v>43.44</v>
      </c>
      <c r="O366" s="6">
        <v>42.48</v>
      </c>
      <c r="P366" s="6">
        <v>44.15</v>
      </c>
      <c r="Q366" s="6">
        <v>42.46</v>
      </c>
      <c r="R366" s="6">
        <v>42.7</v>
      </c>
      <c r="S366" s="6">
        <v>43.72</v>
      </c>
      <c r="T366" s="6">
        <v>43.94</v>
      </c>
      <c r="U366" s="6">
        <v>42.51</v>
      </c>
      <c r="V366" s="6">
        <v>43.64</v>
      </c>
      <c r="W366" s="6">
        <v>42.97</v>
      </c>
      <c r="X366" s="6">
        <v>44.24</v>
      </c>
      <c r="Y366" s="6">
        <v>43.38</v>
      </c>
      <c r="Z366" s="6">
        <v>42.62</v>
      </c>
      <c r="AA366" s="6">
        <v>44.51</v>
      </c>
      <c r="AB366" s="6">
        <v>43.44</v>
      </c>
      <c r="AC366" s="6">
        <v>43.02</v>
      </c>
      <c r="AD366" s="6">
        <v>42.05</v>
      </c>
      <c r="AE366" s="6">
        <v>44.32</v>
      </c>
      <c r="AF366" s="6">
        <v>42.16</v>
      </c>
      <c r="AG366" s="6">
        <v>42.97</v>
      </c>
      <c r="AH366" s="6">
        <v>43.47</v>
      </c>
      <c r="AI366" s="6">
        <v>43.95</v>
      </c>
      <c r="AJ366" s="6">
        <v>43.07</v>
      </c>
      <c r="AK366" s="6">
        <v>45.3</v>
      </c>
      <c r="AL366" s="6">
        <v>41.44</v>
      </c>
      <c r="AM366" s="6">
        <v>43.28</v>
      </c>
      <c r="AN366" s="6">
        <v>42.8</v>
      </c>
      <c r="AO366" s="6">
        <v>43.12</v>
      </c>
      <c r="AP366" s="6">
        <v>44.79</v>
      </c>
      <c r="AQ366" s="6">
        <v>43.38</v>
      </c>
      <c r="AR366" s="6">
        <v>43.9</v>
      </c>
      <c r="AS366" s="6">
        <v>43.72</v>
      </c>
      <c r="AT366" s="6">
        <v>43.61</v>
      </c>
      <c r="AU366" s="6">
        <v>44.06</v>
      </c>
      <c r="AV366" s="6"/>
      <c r="AW366" s="6">
        <v>44.02</v>
      </c>
      <c r="AX366" s="6">
        <v>41.8</v>
      </c>
      <c r="AY366" s="6">
        <v>43.74</v>
      </c>
      <c r="AZ366" s="6">
        <v>45.83</v>
      </c>
      <c r="BA366" s="6">
        <v>42.59</v>
      </c>
      <c r="BB366" s="6">
        <v>43.22</v>
      </c>
      <c r="BC366" s="6">
        <v>43.17</v>
      </c>
      <c r="BD366" s="6">
        <v>42.58</v>
      </c>
      <c r="BE366" s="6">
        <v>44.43</v>
      </c>
      <c r="BF366" s="6">
        <v>42</v>
      </c>
      <c r="BG366" s="6">
        <v>42.43</v>
      </c>
      <c r="BH366" s="6">
        <v>44.48</v>
      </c>
      <c r="BI366" s="6">
        <v>44.66</v>
      </c>
      <c r="BJ366" s="6">
        <v>43.35</v>
      </c>
      <c r="BK366" s="6">
        <v>42.53</v>
      </c>
      <c r="BL366" s="6">
        <v>42.37</v>
      </c>
      <c r="BM366" s="7">
        <v>43.15</v>
      </c>
      <c r="BN366" s="10"/>
    </row>
    <row r="367" spans="1:66" ht="15.75" customHeight="1" x14ac:dyDescent="0.25">
      <c r="A367" s="4">
        <v>365</v>
      </c>
      <c r="B367" s="4"/>
      <c r="C367" s="4">
        <v>31</v>
      </c>
      <c r="D367" s="6">
        <v>43.05</v>
      </c>
      <c r="E367" s="4">
        <v>42.12</v>
      </c>
      <c r="F367" s="6">
        <v>42.6</v>
      </c>
      <c r="G367" s="6">
        <v>43.46</v>
      </c>
      <c r="H367" s="6">
        <v>42.51</v>
      </c>
      <c r="I367" s="6">
        <v>42.05</v>
      </c>
      <c r="J367" s="6">
        <v>43.75</v>
      </c>
      <c r="K367" s="6">
        <v>42.97</v>
      </c>
      <c r="L367" s="6">
        <v>44.05</v>
      </c>
      <c r="M367" s="6">
        <v>43.36</v>
      </c>
      <c r="N367" s="6">
        <v>43.4</v>
      </c>
      <c r="O367" s="6">
        <v>42.33</v>
      </c>
      <c r="P367" s="6">
        <v>44.07</v>
      </c>
      <c r="Q367" s="6">
        <v>42.36</v>
      </c>
      <c r="R367" s="6">
        <v>42.69</v>
      </c>
      <c r="S367" s="6">
        <v>43.52</v>
      </c>
      <c r="T367" s="6">
        <v>43.79</v>
      </c>
      <c r="U367" s="6">
        <v>42.51</v>
      </c>
      <c r="V367" s="6">
        <v>43.64</v>
      </c>
      <c r="W367" s="6">
        <v>42.9</v>
      </c>
      <c r="X367" s="6">
        <v>44.22</v>
      </c>
      <c r="Y367" s="6">
        <v>43.37</v>
      </c>
      <c r="Z367" s="6">
        <v>42.45</v>
      </c>
      <c r="AA367" s="6">
        <v>44.3</v>
      </c>
      <c r="AB367" s="6">
        <v>43.38</v>
      </c>
      <c r="AC367" s="6">
        <v>43</v>
      </c>
      <c r="AD367" s="6">
        <v>41.91</v>
      </c>
      <c r="AE367" s="6">
        <v>44.19</v>
      </c>
      <c r="AF367" s="6">
        <v>42.11</v>
      </c>
      <c r="AG367" s="6">
        <v>42.84</v>
      </c>
      <c r="AH367" s="6">
        <v>43.2</v>
      </c>
      <c r="AI367" s="6">
        <v>43.82</v>
      </c>
      <c r="AJ367" s="6">
        <v>43.08</v>
      </c>
      <c r="AK367" s="6">
        <v>45.2</v>
      </c>
      <c r="AL367" s="6">
        <v>41.37</v>
      </c>
      <c r="AM367" s="6">
        <v>43.32</v>
      </c>
      <c r="AN367" s="6">
        <v>42.74</v>
      </c>
      <c r="AO367" s="6">
        <v>43.01</v>
      </c>
      <c r="AP367" s="6">
        <v>44.84</v>
      </c>
      <c r="AQ367" s="6">
        <v>43.26</v>
      </c>
      <c r="AR367" s="6">
        <v>43.81</v>
      </c>
      <c r="AS367" s="6">
        <v>43.57</v>
      </c>
      <c r="AT367" s="6">
        <v>43.54</v>
      </c>
      <c r="AU367" s="6">
        <v>44</v>
      </c>
      <c r="AV367" s="6"/>
      <c r="AW367" s="6">
        <v>43.86</v>
      </c>
      <c r="AX367" s="6">
        <v>41.82</v>
      </c>
      <c r="AY367" s="6">
        <v>43.73</v>
      </c>
      <c r="AZ367" s="6">
        <v>45.81</v>
      </c>
      <c r="BA367" s="6">
        <v>42.59</v>
      </c>
      <c r="BB367" s="6">
        <v>43.07</v>
      </c>
      <c r="BC367" s="6">
        <v>43.14</v>
      </c>
      <c r="BD367" s="6">
        <v>42.53</v>
      </c>
      <c r="BE367" s="6">
        <v>44.43</v>
      </c>
      <c r="BF367" s="6">
        <v>41.95</v>
      </c>
      <c r="BG367" s="6">
        <v>42.38</v>
      </c>
      <c r="BH367" s="6">
        <v>44.4</v>
      </c>
      <c r="BI367" s="6">
        <v>44.6</v>
      </c>
      <c r="BJ367" s="6">
        <v>43.3</v>
      </c>
      <c r="BK367" s="6">
        <v>42.43</v>
      </c>
      <c r="BL367" s="6">
        <v>42.42</v>
      </c>
      <c r="BM367" s="7">
        <v>43.32</v>
      </c>
      <c r="BN367" s="10"/>
    </row>
    <row r="368" spans="1:6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decimal" allowBlank="1" showInputMessage="1" showErrorMessage="1" prompt="Ingrese año de Evaluación - Debe estar comprendido entre 1963-2021" sqref="B3" xr:uid="{00000000-0002-0000-0000-000000000000}">
      <formula1>D1</formula1>
      <formula2>BJ1</formula2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I1000"/>
  <sheetViews>
    <sheetView workbookViewId="0"/>
  </sheetViews>
  <sheetFormatPr baseColWidth="10" defaultColWidth="14.42578125" defaultRowHeight="15" customHeight="1" x14ac:dyDescent="0.25"/>
  <cols>
    <col min="1" max="61" width="10.7109375" customWidth="1"/>
  </cols>
  <sheetData>
    <row r="1" spans="1:61" ht="15.75" x14ac:dyDescent="0.25">
      <c r="A1" s="1" t="s">
        <v>0</v>
      </c>
      <c r="B1" s="1" t="s">
        <v>1</v>
      </c>
      <c r="C1" s="1" t="s">
        <v>2</v>
      </c>
      <c r="D1" s="1">
        <v>1968</v>
      </c>
      <c r="E1" s="1">
        <v>1969</v>
      </c>
      <c r="F1" s="1">
        <v>1970</v>
      </c>
      <c r="G1" s="1">
        <v>1971</v>
      </c>
      <c r="H1" s="1">
        <v>1972</v>
      </c>
      <c r="I1" s="1">
        <v>1973</v>
      </c>
      <c r="J1" s="3">
        <v>1974</v>
      </c>
      <c r="K1" s="3">
        <v>1975</v>
      </c>
      <c r="L1" s="3">
        <v>1976</v>
      </c>
      <c r="M1" s="3">
        <v>1977</v>
      </c>
      <c r="N1" s="3">
        <v>1978</v>
      </c>
      <c r="O1" s="3">
        <v>1979</v>
      </c>
      <c r="P1" s="3">
        <v>1980</v>
      </c>
      <c r="Q1" s="3">
        <v>1981</v>
      </c>
      <c r="R1" s="3">
        <v>1982</v>
      </c>
      <c r="S1" s="3">
        <v>1983</v>
      </c>
      <c r="T1" s="3">
        <v>1984</v>
      </c>
      <c r="U1" s="3">
        <v>1985</v>
      </c>
      <c r="V1" s="3">
        <v>1986</v>
      </c>
      <c r="W1" s="1">
        <v>1987</v>
      </c>
      <c r="X1" s="1">
        <v>1988</v>
      </c>
      <c r="Y1" s="1">
        <v>1989</v>
      </c>
      <c r="Z1" s="1">
        <v>1990</v>
      </c>
      <c r="AA1" s="1">
        <v>1991</v>
      </c>
      <c r="AB1" s="1">
        <v>1992</v>
      </c>
      <c r="AC1" s="1">
        <v>1993</v>
      </c>
      <c r="AD1" s="1">
        <v>1994</v>
      </c>
      <c r="AE1" s="1">
        <v>1995</v>
      </c>
      <c r="AF1" s="1">
        <v>1996</v>
      </c>
      <c r="AG1" s="1">
        <v>1997</v>
      </c>
      <c r="AH1" s="1">
        <v>1998</v>
      </c>
      <c r="AI1" s="1">
        <v>1999</v>
      </c>
      <c r="AJ1" s="1">
        <v>2000</v>
      </c>
      <c r="AK1" s="1">
        <v>2001</v>
      </c>
      <c r="AL1" s="1">
        <v>2002</v>
      </c>
      <c r="AM1" s="1">
        <v>2003</v>
      </c>
      <c r="AN1" s="1">
        <v>2004</v>
      </c>
      <c r="AO1" s="1">
        <v>2005</v>
      </c>
      <c r="AP1" s="1">
        <v>2006</v>
      </c>
      <c r="AQ1" s="1">
        <v>2007</v>
      </c>
      <c r="AR1" s="1">
        <v>2008</v>
      </c>
      <c r="AS1" s="1">
        <v>2009</v>
      </c>
      <c r="AT1" s="1">
        <v>2010</v>
      </c>
      <c r="AU1" s="1">
        <v>2011</v>
      </c>
      <c r="AV1" s="1">
        <v>2012</v>
      </c>
      <c r="AW1" s="1">
        <v>2013</v>
      </c>
      <c r="AX1" s="1">
        <v>2014</v>
      </c>
      <c r="AY1" s="1">
        <v>2015</v>
      </c>
      <c r="AZ1" s="1">
        <v>2016</v>
      </c>
      <c r="BA1" s="1">
        <v>2017</v>
      </c>
      <c r="BB1" s="1">
        <v>2018</v>
      </c>
      <c r="BC1" s="1">
        <v>2019</v>
      </c>
      <c r="BD1" s="1">
        <v>2020</v>
      </c>
      <c r="BE1" s="1">
        <v>2021</v>
      </c>
      <c r="BF1" s="1">
        <v>2022</v>
      </c>
      <c r="BG1" s="1">
        <v>2023</v>
      </c>
      <c r="BH1" s="1">
        <v>2024</v>
      </c>
      <c r="BI1" s="1">
        <v>2025</v>
      </c>
    </row>
    <row r="2" spans="1:61" ht="15.75" x14ac:dyDescent="0.25">
      <c r="A2" s="1">
        <v>1</v>
      </c>
      <c r="B2" s="1" t="s">
        <v>3</v>
      </c>
      <c r="C2" s="1">
        <v>1</v>
      </c>
      <c r="D2" s="6"/>
      <c r="E2" s="6">
        <v>22.15</v>
      </c>
      <c r="F2" s="6">
        <v>25.17</v>
      </c>
      <c r="G2" s="6"/>
      <c r="H2" s="6"/>
      <c r="I2" s="6"/>
      <c r="J2" s="9">
        <v>24.98</v>
      </c>
      <c r="K2" s="9">
        <v>23.78</v>
      </c>
      <c r="L2" s="9">
        <v>25.63</v>
      </c>
      <c r="M2" s="9">
        <v>23.8</v>
      </c>
      <c r="N2" s="9">
        <v>23.91</v>
      </c>
      <c r="O2" s="9">
        <v>25.15</v>
      </c>
      <c r="P2" s="9">
        <v>25.83</v>
      </c>
      <c r="Q2" s="9">
        <v>26.04</v>
      </c>
      <c r="R2" s="9">
        <v>26.89</v>
      </c>
      <c r="S2" s="9">
        <v>26.39</v>
      </c>
      <c r="T2" s="9">
        <v>27.33</v>
      </c>
      <c r="U2" s="9">
        <v>26.51</v>
      </c>
      <c r="V2" s="9">
        <v>25.17</v>
      </c>
      <c r="W2" s="6">
        <v>26.23</v>
      </c>
      <c r="X2" s="6">
        <v>25.13</v>
      </c>
      <c r="Y2" s="6">
        <v>24.98</v>
      </c>
      <c r="Z2" s="6">
        <v>23.8</v>
      </c>
      <c r="AA2" s="6">
        <v>25.73</v>
      </c>
      <c r="AB2" s="6">
        <v>24.03</v>
      </c>
      <c r="AC2" s="6">
        <v>24.55</v>
      </c>
      <c r="AD2" s="6">
        <v>25.02</v>
      </c>
      <c r="AE2" s="6">
        <v>25.7</v>
      </c>
      <c r="AF2" s="6">
        <v>24.56</v>
      </c>
      <c r="AG2" s="6">
        <v>26.94</v>
      </c>
      <c r="AH2" s="6">
        <v>23.33</v>
      </c>
      <c r="AI2" s="6">
        <v>24.92</v>
      </c>
      <c r="AJ2" s="7">
        <v>24.73</v>
      </c>
      <c r="AK2" s="7">
        <v>24.72</v>
      </c>
      <c r="AL2" s="7">
        <v>26.24</v>
      </c>
      <c r="AM2" s="7">
        <v>24.67</v>
      </c>
      <c r="AN2" s="7">
        <v>25.45</v>
      </c>
      <c r="AO2" s="7">
        <v>25.16</v>
      </c>
      <c r="AP2" s="7">
        <v>24.69</v>
      </c>
      <c r="AQ2" s="7">
        <v>25.24</v>
      </c>
      <c r="AR2" s="7">
        <v>25.35</v>
      </c>
      <c r="AS2" s="7">
        <v>25.34</v>
      </c>
      <c r="AT2" s="7">
        <v>22.7</v>
      </c>
      <c r="AU2" s="7">
        <v>25.44</v>
      </c>
      <c r="AV2" s="7">
        <v>27.4</v>
      </c>
      <c r="AW2" s="7">
        <v>24.18</v>
      </c>
      <c r="AX2" s="7">
        <v>24.8</v>
      </c>
      <c r="AY2" s="7">
        <v>24.7</v>
      </c>
      <c r="AZ2" s="7">
        <v>24.78</v>
      </c>
      <c r="BA2" s="7">
        <v>26.19</v>
      </c>
      <c r="BB2" s="7">
        <v>23.76</v>
      </c>
      <c r="BC2" s="7">
        <v>24.14</v>
      </c>
      <c r="BD2" s="7">
        <v>25.83</v>
      </c>
      <c r="BE2" s="7">
        <v>26.33</v>
      </c>
      <c r="BF2" s="7">
        <v>24.9</v>
      </c>
      <c r="BG2" s="7">
        <v>24.73</v>
      </c>
      <c r="BH2" s="10">
        <v>24.07</v>
      </c>
      <c r="BI2" s="10">
        <v>24.59</v>
      </c>
    </row>
    <row r="3" spans="1:61" ht="15.75" x14ac:dyDescent="0.25">
      <c r="A3" s="1">
        <v>2</v>
      </c>
      <c r="B3" s="13"/>
      <c r="C3" s="1">
        <v>2</v>
      </c>
      <c r="D3" s="6"/>
      <c r="E3" s="6">
        <v>22.25</v>
      </c>
      <c r="F3" s="6">
        <v>25.1</v>
      </c>
      <c r="G3" s="6"/>
      <c r="H3" s="6"/>
      <c r="I3" s="6"/>
      <c r="J3" s="9">
        <v>24.88</v>
      </c>
      <c r="K3" s="9">
        <v>23.68</v>
      </c>
      <c r="L3" s="9">
        <v>25.56</v>
      </c>
      <c r="M3" s="9">
        <v>23.7</v>
      </c>
      <c r="N3" s="9">
        <v>23.88</v>
      </c>
      <c r="O3" s="9">
        <v>24.95</v>
      </c>
      <c r="P3" s="9">
        <v>25.72</v>
      </c>
      <c r="Q3" s="9">
        <v>26.02</v>
      </c>
      <c r="R3" s="9">
        <v>26.88</v>
      </c>
      <c r="S3" s="9">
        <v>26.3</v>
      </c>
      <c r="T3" s="9">
        <v>27.3</v>
      </c>
      <c r="U3" s="9">
        <v>26.51</v>
      </c>
      <c r="V3" s="9">
        <v>25.02</v>
      </c>
      <c r="W3" s="6">
        <v>26.05</v>
      </c>
      <c r="X3" s="6">
        <v>25.06</v>
      </c>
      <c r="Y3" s="6">
        <v>24.88</v>
      </c>
      <c r="Z3" s="6">
        <v>23.7</v>
      </c>
      <c r="AA3" s="6">
        <v>25.62</v>
      </c>
      <c r="AB3" s="6">
        <v>23.97</v>
      </c>
      <c r="AC3" s="6">
        <v>24.45</v>
      </c>
      <c r="AD3" s="6">
        <v>24.87</v>
      </c>
      <c r="AE3" s="6">
        <v>25.47</v>
      </c>
      <c r="AF3" s="6">
        <v>24.63</v>
      </c>
      <c r="AG3" s="6">
        <v>26.84</v>
      </c>
      <c r="AH3" s="6">
        <v>23.26</v>
      </c>
      <c r="AI3" s="6">
        <v>24.91</v>
      </c>
      <c r="AJ3" s="7">
        <v>24.64</v>
      </c>
      <c r="AK3" s="7">
        <v>24.63</v>
      </c>
      <c r="AL3" s="7">
        <v>26.24</v>
      </c>
      <c r="AM3" s="7">
        <v>24.54</v>
      </c>
      <c r="AN3" s="7">
        <v>25.35</v>
      </c>
      <c r="AO3" s="7">
        <v>24.98</v>
      </c>
      <c r="AP3" s="7">
        <v>24.65</v>
      </c>
      <c r="AQ3" s="7">
        <v>25.16</v>
      </c>
      <c r="AR3" s="7">
        <v>25.36</v>
      </c>
      <c r="AS3" s="7">
        <v>25.17</v>
      </c>
      <c r="AT3" s="7">
        <v>22.7</v>
      </c>
      <c r="AU3" s="7">
        <v>25.41</v>
      </c>
      <c r="AV3" s="7">
        <v>27.32</v>
      </c>
      <c r="AW3" s="7">
        <v>24.41</v>
      </c>
      <c r="AX3" s="7">
        <v>24.65</v>
      </c>
      <c r="AY3" s="7">
        <v>24.65</v>
      </c>
      <c r="AZ3" s="7">
        <v>24.67</v>
      </c>
      <c r="BA3" s="7">
        <v>26.1</v>
      </c>
      <c r="BB3" s="7">
        <v>23.73</v>
      </c>
      <c r="BC3" s="7">
        <v>24.08</v>
      </c>
      <c r="BD3" s="7">
        <v>25.78</v>
      </c>
      <c r="BE3" s="7">
        <v>26.27</v>
      </c>
      <c r="BF3" s="7">
        <v>24.86</v>
      </c>
      <c r="BG3" s="7">
        <v>24.6</v>
      </c>
      <c r="BH3" s="10">
        <v>24.1</v>
      </c>
      <c r="BI3" s="10">
        <v>24.68</v>
      </c>
    </row>
    <row r="4" spans="1:61" ht="15.75" x14ac:dyDescent="0.25">
      <c r="A4" s="1">
        <v>3</v>
      </c>
      <c r="B4" s="15"/>
      <c r="C4" s="1">
        <v>3</v>
      </c>
      <c r="D4" s="6"/>
      <c r="E4" s="6">
        <v>22.15</v>
      </c>
      <c r="F4" s="6">
        <v>25.03</v>
      </c>
      <c r="G4" s="6"/>
      <c r="H4" s="6"/>
      <c r="I4" s="6"/>
      <c r="J4" s="9">
        <v>24.78</v>
      </c>
      <c r="K4" s="9">
        <v>23.58</v>
      </c>
      <c r="L4" s="9">
        <v>25.48</v>
      </c>
      <c r="M4" s="9">
        <v>23.59</v>
      </c>
      <c r="N4" s="9">
        <v>23.82</v>
      </c>
      <c r="O4" s="9">
        <v>24.75</v>
      </c>
      <c r="P4" s="9">
        <v>25.57</v>
      </c>
      <c r="Q4" s="9">
        <v>26</v>
      </c>
      <c r="R4" s="9">
        <v>26.86</v>
      </c>
      <c r="S4" s="9">
        <v>26.23</v>
      </c>
      <c r="T4" s="9">
        <v>27.28</v>
      </c>
      <c r="U4" s="9">
        <v>26.53</v>
      </c>
      <c r="V4" s="9">
        <v>24.96</v>
      </c>
      <c r="W4" s="6">
        <v>25.9</v>
      </c>
      <c r="X4" s="6">
        <v>24.97</v>
      </c>
      <c r="Y4" s="6">
        <v>24.8</v>
      </c>
      <c r="Z4" s="6">
        <v>23.62</v>
      </c>
      <c r="AA4" s="6">
        <v>25.5</v>
      </c>
      <c r="AB4" s="6">
        <v>23.9</v>
      </c>
      <c r="AC4" s="6">
        <v>24.31</v>
      </c>
      <c r="AD4" s="6">
        <v>24.66</v>
      </c>
      <c r="AE4" s="6">
        <v>25.37</v>
      </c>
      <c r="AF4" s="6">
        <v>24.65</v>
      </c>
      <c r="AG4" s="6">
        <v>26.74</v>
      </c>
      <c r="AH4" s="6">
        <v>23.2</v>
      </c>
      <c r="AI4" s="6">
        <v>24.94</v>
      </c>
      <c r="AJ4" s="7">
        <v>24.5</v>
      </c>
      <c r="AK4" s="7">
        <v>24.54</v>
      </c>
      <c r="AL4" s="7">
        <v>26.28</v>
      </c>
      <c r="AM4" s="7">
        <v>24.43</v>
      </c>
      <c r="AN4" s="7">
        <v>25.25</v>
      </c>
      <c r="AO4" s="7">
        <v>24.76</v>
      </c>
      <c r="AP4" s="7">
        <v>24.56</v>
      </c>
      <c r="AQ4" s="7">
        <v>25.08</v>
      </c>
      <c r="AR4" s="7">
        <v>25.35</v>
      </c>
      <c r="AS4" s="7">
        <v>24.98</v>
      </c>
      <c r="AT4" s="7">
        <v>22.7</v>
      </c>
      <c r="AU4" s="7">
        <v>25.39</v>
      </c>
      <c r="AV4" s="7">
        <v>27.24</v>
      </c>
      <c r="AW4" s="7">
        <v>24.46</v>
      </c>
      <c r="AX4" s="7">
        <v>24.5</v>
      </c>
      <c r="AY4" s="7">
        <v>24.65</v>
      </c>
      <c r="AZ4" s="7">
        <v>24.57</v>
      </c>
      <c r="BA4" s="7">
        <v>26.09</v>
      </c>
      <c r="BB4" s="7">
        <v>23.7</v>
      </c>
      <c r="BC4" s="7">
        <v>24.02</v>
      </c>
      <c r="BD4" s="7">
        <v>25.71</v>
      </c>
      <c r="BE4" s="7">
        <v>26.26</v>
      </c>
      <c r="BF4" s="7">
        <v>24.82</v>
      </c>
      <c r="BG4" s="7">
        <v>24.46</v>
      </c>
      <c r="BH4" s="10">
        <v>24.14</v>
      </c>
      <c r="BI4" s="10">
        <v>24.78</v>
      </c>
    </row>
    <row r="5" spans="1:61" ht="15.75" x14ac:dyDescent="0.25">
      <c r="A5" s="1">
        <v>4</v>
      </c>
      <c r="B5" s="1"/>
      <c r="C5" s="1">
        <v>4</v>
      </c>
      <c r="D5" s="6"/>
      <c r="E5" s="6">
        <v>22.05</v>
      </c>
      <c r="F5" s="6">
        <v>25.01</v>
      </c>
      <c r="G5" s="6"/>
      <c r="H5" s="6"/>
      <c r="I5" s="6"/>
      <c r="J5" s="9">
        <v>24.68</v>
      </c>
      <c r="K5" s="9">
        <v>23.48</v>
      </c>
      <c r="L5" s="9">
        <v>25.4</v>
      </c>
      <c r="M5" s="9">
        <v>23.49</v>
      </c>
      <c r="N5" s="9">
        <v>23.67</v>
      </c>
      <c r="O5" s="9">
        <v>24.56</v>
      </c>
      <c r="P5" s="9">
        <v>25.47</v>
      </c>
      <c r="Q5" s="9">
        <v>25.98</v>
      </c>
      <c r="R5" s="9">
        <v>26.85</v>
      </c>
      <c r="S5" s="9">
        <v>26.16</v>
      </c>
      <c r="T5" s="9">
        <v>27.25</v>
      </c>
      <c r="U5" s="9">
        <v>26.5</v>
      </c>
      <c r="V5" s="9">
        <v>24.77</v>
      </c>
      <c r="W5" s="6">
        <v>25.78</v>
      </c>
      <c r="X5" s="6">
        <v>24.89</v>
      </c>
      <c r="Y5" s="6">
        <v>24.75</v>
      </c>
      <c r="Z5" s="6">
        <v>23.53</v>
      </c>
      <c r="AA5" s="6">
        <v>25.4</v>
      </c>
      <c r="AB5" s="6">
        <v>23.85</v>
      </c>
      <c r="AC5" s="6">
        <v>24.19</v>
      </c>
      <c r="AD5" s="6">
        <v>24.52</v>
      </c>
      <c r="AE5" s="6">
        <v>25.19</v>
      </c>
      <c r="AF5" s="6">
        <v>24.64</v>
      </c>
      <c r="AG5" s="6">
        <v>26.64</v>
      </c>
      <c r="AH5" s="6">
        <v>23.16</v>
      </c>
      <c r="AI5" s="6">
        <v>25</v>
      </c>
      <c r="AJ5" s="7">
        <v>24.41</v>
      </c>
      <c r="AK5" s="7">
        <v>24.45</v>
      </c>
      <c r="AL5" s="7">
        <v>26.32</v>
      </c>
      <c r="AM5" s="7">
        <v>24.3</v>
      </c>
      <c r="AN5" s="7">
        <v>25.17</v>
      </c>
      <c r="AO5" s="7">
        <v>24.61</v>
      </c>
      <c r="AP5" s="7">
        <v>24.46</v>
      </c>
      <c r="AQ5" s="7">
        <v>24.9</v>
      </c>
      <c r="AR5" s="7">
        <v>25.34</v>
      </c>
      <c r="AS5" s="7">
        <v>24.74</v>
      </c>
      <c r="AT5" s="7">
        <v>22.7</v>
      </c>
      <c r="AU5" s="7">
        <v>25.4</v>
      </c>
      <c r="AV5" s="7">
        <v>27.16</v>
      </c>
      <c r="AW5" s="7">
        <v>24.42</v>
      </c>
      <c r="AX5" s="7">
        <v>24.36</v>
      </c>
      <c r="AY5" s="7">
        <v>24.55</v>
      </c>
      <c r="AZ5" s="7">
        <v>24.48</v>
      </c>
      <c r="BA5" s="7">
        <v>26.1</v>
      </c>
      <c r="BB5" s="7">
        <v>23.64</v>
      </c>
      <c r="BC5" s="7">
        <v>23.94</v>
      </c>
      <c r="BD5" s="7">
        <v>25.65</v>
      </c>
      <c r="BE5" s="7">
        <v>26.26</v>
      </c>
      <c r="BF5" s="7">
        <v>24.8</v>
      </c>
      <c r="BG5" s="7">
        <v>24.34</v>
      </c>
      <c r="BH5" s="10">
        <v>24.22</v>
      </c>
      <c r="BI5" s="10">
        <v>24.82</v>
      </c>
    </row>
    <row r="6" spans="1:61" ht="15.75" x14ac:dyDescent="0.25">
      <c r="A6" s="1">
        <v>5</v>
      </c>
      <c r="B6" s="1"/>
      <c r="C6" s="1">
        <v>5</v>
      </c>
      <c r="D6" s="6"/>
      <c r="E6" s="6">
        <v>22.05</v>
      </c>
      <c r="F6" s="6">
        <v>24.85</v>
      </c>
      <c r="G6" s="6"/>
      <c r="H6" s="6"/>
      <c r="I6" s="6"/>
      <c r="J6" s="9">
        <v>24.58</v>
      </c>
      <c r="K6" s="9">
        <v>23.38</v>
      </c>
      <c r="L6" s="9">
        <v>25.28</v>
      </c>
      <c r="M6" s="9">
        <v>23.42</v>
      </c>
      <c r="N6" s="9">
        <v>23.67</v>
      </c>
      <c r="O6" s="9">
        <v>24.38</v>
      </c>
      <c r="P6" s="9">
        <v>25.36</v>
      </c>
      <c r="Q6" s="9">
        <v>25.96</v>
      </c>
      <c r="R6" s="9">
        <v>26.84</v>
      </c>
      <c r="S6" s="9">
        <v>26.09</v>
      </c>
      <c r="T6" s="9">
        <v>27.24</v>
      </c>
      <c r="U6" s="9">
        <v>26.46</v>
      </c>
      <c r="V6" s="9">
        <v>24.67</v>
      </c>
      <c r="W6" s="6">
        <v>25.62</v>
      </c>
      <c r="X6" s="6">
        <v>24.8</v>
      </c>
      <c r="Y6" s="6">
        <v>24.74</v>
      </c>
      <c r="Z6" s="6">
        <v>23.54</v>
      </c>
      <c r="AA6" s="6">
        <v>25.32</v>
      </c>
      <c r="AB6" s="6">
        <v>23.8</v>
      </c>
      <c r="AC6" s="6">
        <v>24.1</v>
      </c>
      <c r="AD6" s="6">
        <v>24.39</v>
      </c>
      <c r="AE6" s="6">
        <v>25.15</v>
      </c>
      <c r="AF6" s="6">
        <v>24.56</v>
      </c>
      <c r="AG6" s="6">
        <v>26.53</v>
      </c>
      <c r="AH6" s="6">
        <v>23.11</v>
      </c>
      <c r="AI6" s="6">
        <v>25.08</v>
      </c>
      <c r="AJ6" s="7">
        <v>24.31</v>
      </c>
      <c r="AK6" s="7">
        <v>24.43</v>
      </c>
      <c r="AL6" s="7">
        <v>26.32</v>
      </c>
      <c r="AM6" s="7">
        <v>24.16</v>
      </c>
      <c r="AN6" s="7">
        <v>25.07</v>
      </c>
      <c r="AO6" s="7">
        <v>24.46</v>
      </c>
      <c r="AP6" s="7">
        <v>24.36</v>
      </c>
      <c r="AQ6" s="7">
        <v>24.84</v>
      </c>
      <c r="AR6" s="7">
        <v>25.17</v>
      </c>
      <c r="AS6" s="7">
        <v>24.6</v>
      </c>
      <c r="AT6" s="7">
        <v>22.7</v>
      </c>
      <c r="AU6" s="7">
        <v>25.38</v>
      </c>
      <c r="AV6" s="7">
        <v>27.05</v>
      </c>
      <c r="AW6" s="7">
        <v>24.36</v>
      </c>
      <c r="AX6" s="7">
        <v>24.21</v>
      </c>
      <c r="AY6" s="7">
        <v>24.4</v>
      </c>
      <c r="AZ6" s="7">
        <v>24.39</v>
      </c>
      <c r="BA6" s="7">
        <v>26.1</v>
      </c>
      <c r="BB6" s="7">
        <v>23.59</v>
      </c>
      <c r="BC6" s="7">
        <v>23.86</v>
      </c>
      <c r="BD6" s="7">
        <v>25.58</v>
      </c>
      <c r="BE6" s="7">
        <v>26.26</v>
      </c>
      <c r="BF6" s="7">
        <v>24.75</v>
      </c>
      <c r="BG6" s="7">
        <v>24.24</v>
      </c>
      <c r="BH6" s="10">
        <v>24.3</v>
      </c>
      <c r="BI6" s="10">
        <v>24.88</v>
      </c>
    </row>
    <row r="7" spans="1:61" ht="15.75" x14ac:dyDescent="0.25">
      <c r="A7" s="1">
        <v>6</v>
      </c>
      <c r="B7" s="1"/>
      <c r="C7" s="1">
        <v>6</v>
      </c>
      <c r="D7" s="6"/>
      <c r="E7" s="6">
        <v>22.07</v>
      </c>
      <c r="F7" s="6">
        <v>24.75</v>
      </c>
      <c r="G7" s="6"/>
      <c r="H7" s="6"/>
      <c r="I7" s="6"/>
      <c r="J7" s="9">
        <v>24.53</v>
      </c>
      <c r="K7" s="9">
        <v>23.18</v>
      </c>
      <c r="L7" s="9">
        <v>25.09</v>
      </c>
      <c r="M7" s="9">
        <v>23.37</v>
      </c>
      <c r="N7" s="9">
        <v>23.58</v>
      </c>
      <c r="O7" s="9">
        <v>24.21</v>
      </c>
      <c r="P7" s="9">
        <v>25.3</v>
      </c>
      <c r="Q7" s="9">
        <v>25.94</v>
      </c>
      <c r="R7" s="9">
        <v>26.8</v>
      </c>
      <c r="S7" s="9">
        <v>26.04</v>
      </c>
      <c r="T7" s="9">
        <v>27.21</v>
      </c>
      <c r="U7" s="9">
        <v>26.39</v>
      </c>
      <c r="V7" s="9">
        <v>24.56</v>
      </c>
      <c r="W7" s="6">
        <v>25.45</v>
      </c>
      <c r="X7" s="6">
        <v>24.72</v>
      </c>
      <c r="Y7" s="6">
        <v>24.77</v>
      </c>
      <c r="Z7" s="6">
        <v>23.36</v>
      </c>
      <c r="AA7" s="6">
        <v>25.25</v>
      </c>
      <c r="AB7" s="6">
        <v>23.78</v>
      </c>
      <c r="AC7" s="6">
        <v>23.98</v>
      </c>
      <c r="AD7" s="6">
        <v>24.23</v>
      </c>
      <c r="AE7" s="6">
        <v>24.94</v>
      </c>
      <c r="AF7" s="6">
        <v>24.47</v>
      </c>
      <c r="AG7" s="6">
        <v>26.41</v>
      </c>
      <c r="AH7" s="6">
        <v>23.06</v>
      </c>
      <c r="AI7" s="6">
        <v>25.16</v>
      </c>
      <c r="AJ7" s="7">
        <v>24.21</v>
      </c>
      <c r="AK7" s="7">
        <v>24.43</v>
      </c>
      <c r="AL7" s="7">
        <v>26.28</v>
      </c>
      <c r="AM7" s="7">
        <v>24</v>
      </c>
      <c r="AN7" s="7">
        <v>24.98</v>
      </c>
      <c r="AO7" s="7">
        <v>24.3</v>
      </c>
      <c r="AP7" s="7">
        <v>24.18</v>
      </c>
      <c r="AQ7" s="7">
        <v>24.73</v>
      </c>
      <c r="AR7" s="7">
        <v>25.14</v>
      </c>
      <c r="AS7" s="7">
        <v>24.46</v>
      </c>
      <c r="AT7" s="7">
        <v>22.65</v>
      </c>
      <c r="AU7" s="7">
        <v>25.38</v>
      </c>
      <c r="AV7" s="7">
        <v>26.98</v>
      </c>
      <c r="AW7" s="7">
        <v>24.26</v>
      </c>
      <c r="AX7" s="7">
        <v>24.1</v>
      </c>
      <c r="AY7" s="7">
        <v>24.35</v>
      </c>
      <c r="AZ7" s="7">
        <v>24.33</v>
      </c>
      <c r="BA7" s="7">
        <v>26.09</v>
      </c>
      <c r="BB7" s="7">
        <v>23.57</v>
      </c>
      <c r="BC7" s="7">
        <v>23.78</v>
      </c>
      <c r="BD7" s="7">
        <v>25.51</v>
      </c>
      <c r="BE7" s="7">
        <v>26.25</v>
      </c>
      <c r="BF7" s="7">
        <v>24.7</v>
      </c>
      <c r="BG7" s="7">
        <v>24.14</v>
      </c>
      <c r="BH7" s="10">
        <v>24.37</v>
      </c>
      <c r="BI7" s="10">
        <v>24.93</v>
      </c>
    </row>
    <row r="8" spans="1:61" ht="15.75" x14ac:dyDescent="0.25">
      <c r="A8" s="1">
        <v>7</v>
      </c>
      <c r="B8" s="1"/>
      <c r="C8" s="1">
        <v>7</v>
      </c>
      <c r="D8" s="6"/>
      <c r="E8" s="6">
        <v>22.03</v>
      </c>
      <c r="F8" s="6">
        <v>24.68</v>
      </c>
      <c r="G8" s="6"/>
      <c r="H8" s="6"/>
      <c r="I8" s="6"/>
      <c r="J8" s="9">
        <v>24.48</v>
      </c>
      <c r="K8" s="9">
        <v>23.08</v>
      </c>
      <c r="L8" s="9">
        <v>24.95</v>
      </c>
      <c r="M8" s="9">
        <v>23.33</v>
      </c>
      <c r="N8" s="9">
        <v>23.48</v>
      </c>
      <c r="O8" s="9">
        <v>24.05</v>
      </c>
      <c r="P8" s="9">
        <v>25.26</v>
      </c>
      <c r="Q8" s="9">
        <v>25.93</v>
      </c>
      <c r="R8" s="9">
        <v>26.74</v>
      </c>
      <c r="S8" s="9">
        <v>26</v>
      </c>
      <c r="T8" s="9">
        <v>27.16</v>
      </c>
      <c r="U8" s="9">
        <v>26.3</v>
      </c>
      <c r="V8" s="9">
        <v>24.44</v>
      </c>
      <c r="W8" s="6">
        <v>25.25</v>
      </c>
      <c r="X8" s="6">
        <v>24.65</v>
      </c>
      <c r="Y8" s="6">
        <v>24.79</v>
      </c>
      <c r="Z8" s="6">
        <v>23.28</v>
      </c>
      <c r="AA8" s="6">
        <v>25.2</v>
      </c>
      <c r="AB8" s="6">
        <v>23.71</v>
      </c>
      <c r="AC8" s="6">
        <v>23.95</v>
      </c>
      <c r="AD8" s="6">
        <v>24.11</v>
      </c>
      <c r="AE8" s="6">
        <v>24.77</v>
      </c>
      <c r="AF8" s="6">
        <v>24.37</v>
      </c>
      <c r="AG8" s="6">
        <v>26.29</v>
      </c>
      <c r="AH8" s="6">
        <v>23.02</v>
      </c>
      <c r="AI8" s="6">
        <v>25.27</v>
      </c>
      <c r="AJ8" s="7">
        <v>24.1</v>
      </c>
      <c r="AK8" s="7">
        <v>24.43</v>
      </c>
      <c r="AL8" s="7">
        <v>26.18</v>
      </c>
      <c r="AM8" s="7">
        <v>23.87</v>
      </c>
      <c r="AN8" s="7">
        <v>24.9</v>
      </c>
      <c r="AO8" s="7">
        <v>24.18</v>
      </c>
      <c r="AP8" s="7">
        <v>23.98</v>
      </c>
      <c r="AQ8" s="7">
        <v>24.65</v>
      </c>
      <c r="AR8" s="7">
        <v>25.07</v>
      </c>
      <c r="AS8" s="7">
        <v>24.36</v>
      </c>
      <c r="AT8" s="7">
        <v>22.58</v>
      </c>
      <c r="AU8" s="7">
        <v>25.38</v>
      </c>
      <c r="AV8" s="7">
        <v>26.86</v>
      </c>
      <c r="AW8" s="7">
        <v>24.17</v>
      </c>
      <c r="AX8" s="7">
        <v>23.98</v>
      </c>
      <c r="AY8" s="7">
        <v>24.2</v>
      </c>
      <c r="AZ8" s="7">
        <v>24.29</v>
      </c>
      <c r="BA8" s="7">
        <v>26.07</v>
      </c>
      <c r="BB8" s="7">
        <v>23.58</v>
      </c>
      <c r="BC8" s="7">
        <v>23.7</v>
      </c>
      <c r="BD8" s="7">
        <v>25.4</v>
      </c>
      <c r="BE8" s="7">
        <v>26.21</v>
      </c>
      <c r="BF8" s="7">
        <v>24.64</v>
      </c>
      <c r="BG8" s="7">
        <v>24.08</v>
      </c>
      <c r="BH8" s="10">
        <v>24.39</v>
      </c>
      <c r="BI8" s="10">
        <v>25.04</v>
      </c>
    </row>
    <row r="9" spans="1:61" ht="15.75" x14ac:dyDescent="0.25">
      <c r="A9" s="1">
        <v>8</v>
      </c>
      <c r="B9" s="1"/>
      <c r="C9" s="1">
        <v>8</v>
      </c>
      <c r="D9" s="6"/>
      <c r="E9" s="6">
        <v>21.86</v>
      </c>
      <c r="F9" s="6">
        <v>24.63</v>
      </c>
      <c r="G9" s="6"/>
      <c r="H9" s="6"/>
      <c r="I9" s="6"/>
      <c r="J9" s="9">
        <v>24.38</v>
      </c>
      <c r="K9" s="9">
        <v>23.03</v>
      </c>
      <c r="L9" s="9">
        <v>24.82</v>
      </c>
      <c r="M9" s="9">
        <v>23.33</v>
      </c>
      <c r="N9" s="9">
        <v>23.36</v>
      </c>
      <c r="O9" s="9">
        <v>23.89</v>
      </c>
      <c r="P9" s="9">
        <v>25.18</v>
      </c>
      <c r="Q9" s="9">
        <v>25.91</v>
      </c>
      <c r="R9" s="9">
        <v>26.63</v>
      </c>
      <c r="S9" s="9">
        <v>25.99</v>
      </c>
      <c r="T9" s="9">
        <v>27.07</v>
      </c>
      <c r="U9" s="9">
        <v>26.19</v>
      </c>
      <c r="V9" s="9">
        <v>24.37</v>
      </c>
      <c r="W9" s="6">
        <v>25.11</v>
      </c>
      <c r="X9" s="6">
        <v>24.58</v>
      </c>
      <c r="Y9" s="6">
        <v>24.8</v>
      </c>
      <c r="Z9" s="6">
        <v>23.22</v>
      </c>
      <c r="AA9" s="6">
        <v>25.15</v>
      </c>
      <c r="AB9" s="6">
        <v>23.63</v>
      </c>
      <c r="AC9" s="6">
        <v>23.87</v>
      </c>
      <c r="AD9" s="6">
        <v>24</v>
      </c>
      <c r="AE9" s="6">
        <v>24.71</v>
      </c>
      <c r="AF9" s="6">
        <v>24.28</v>
      </c>
      <c r="AG9" s="6">
        <v>26.17</v>
      </c>
      <c r="AH9" s="6">
        <v>22.98</v>
      </c>
      <c r="AI9" s="6">
        <v>25.34</v>
      </c>
      <c r="AJ9" s="7">
        <v>24</v>
      </c>
      <c r="AK9" s="7">
        <v>24.52</v>
      </c>
      <c r="AL9" s="7">
        <v>26.04</v>
      </c>
      <c r="AM9" s="7">
        <v>23.75</v>
      </c>
      <c r="AN9" s="7">
        <v>24.81</v>
      </c>
      <c r="AO9" s="7">
        <v>24.03</v>
      </c>
      <c r="AP9" s="7">
        <v>23.9</v>
      </c>
      <c r="AQ9" s="7">
        <v>24.53</v>
      </c>
      <c r="AR9" s="7">
        <v>24.9</v>
      </c>
      <c r="AS9" s="7">
        <v>24.24</v>
      </c>
      <c r="AT9" s="7">
        <v>22.5</v>
      </c>
      <c r="AU9" s="7">
        <v>25.19</v>
      </c>
      <c r="AV9" s="7">
        <v>26.7</v>
      </c>
      <c r="AW9" s="7">
        <v>23.96</v>
      </c>
      <c r="AX9" s="7">
        <v>23.88</v>
      </c>
      <c r="AY9" s="7">
        <v>24.18</v>
      </c>
      <c r="AZ9" s="7">
        <v>24.24</v>
      </c>
      <c r="BA9" s="7">
        <v>26.04</v>
      </c>
      <c r="BB9" s="7">
        <v>23.68</v>
      </c>
      <c r="BC9" s="7">
        <v>23.62</v>
      </c>
      <c r="BD9" s="7">
        <v>25.28</v>
      </c>
      <c r="BE9" s="7">
        <v>26.18</v>
      </c>
      <c r="BF9" s="7">
        <v>24.49</v>
      </c>
      <c r="BG9" s="7">
        <v>24.04</v>
      </c>
      <c r="BH9" s="10">
        <v>24.39</v>
      </c>
      <c r="BI9" s="10">
        <v>25.12</v>
      </c>
    </row>
    <row r="10" spans="1:61" ht="15.75" x14ac:dyDescent="0.25">
      <c r="A10" s="1">
        <v>9</v>
      </c>
      <c r="B10" s="1"/>
      <c r="C10" s="1">
        <v>9</v>
      </c>
      <c r="D10" s="6"/>
      <c r="E10" s="6">
        <v>21.79</v>
      </c>
      <c r="F10" s="6">
        <v>24.59</v>
      </c>
      <c r="G10" s="6"/>
      <c r="H10" s="6"/>
      <c r="I10" s="6"/>
      <c r="J10" s="9">
        <v>24.28</v>
      </c>
      <c r="K10" s="9">
        <v>22.98</v>
      </c>
      <c r="L10" s="9">
        <v>24.67</v>
      </c>
      <c r="M10" s="9">
        <v>23.33</v>
      </c>
      <c r="N10" s="9">
        <v>23.26</v>
      </c>
      <c r="O10" s="9">
        <v>23.73</v>
      </c>
      <c r="P10" s="9">
        <v>25.1</v>
      </c>
      <c r="Q10" s="9">
        <v>25.78</v>
      </c>
      <c r="R10" s="9">
        <v>26.51</v>
      </c>
      <c r="S10" s="9">
        <v>25.96</v>
      </c>
      <c r="T10" s="9">
        <v>26.98</v>
      </c>
      <c r="U10" s="9">
        <v>26.1</v>
      </c>
      <c r="V10" s="9">
        <v>24.3</v>
      </c>
      <c r="W10" s="6">
        <v>25.05</v>
      </c>
      <c r="X10" s="6">
        <v>24.52</v>
      </c>
      <c r="Y10" s="6">
        <v>24.93</v>
      </c>
      <c r="Z10" s="6">
        <v>23.18</v>
      </c>
      <c r="AA10" s="6">
        <v>25.1</v>
      </c>
      <c r="AB10" s="6">
        <v>23.55</v>
      </c>
      <c r="AC10" s="6">
        <v>23.82</v>
      </c>
      <c r="AD10" s="6">
        <v>23.9</v>
      </c>
      <c r="AE10" s="6">
        <v>24.49</v>
      </c>
      <c r="AF10" s="6">
        <v>24.2</v>
      </c>
      <c r="AG10" s="6">
        <v>26.05</v>
      </c>
      <c r="AH10" s="6">
        <v>22.95</v>
      </c>
      <c r="AI10" s="6">
        <v>25.38</v>
      </c>
      <c r="AJ10" s="7">
        <v>23.97</v>
      </c>
      <c r="AK10" s="7">
        <v>24.56</v>
      </c>
      <c r="AL10" s="7">
        <v>25.88</v>
      </c>
      <c r="AM10" s="7">
        <v>23.64</v>
      </c>
      <c r="AN10" s="7">
        <v>24.71</v>
      </c>
      <c r="AO10" s="7">
        <v>23.92</v>
      </c>
      <c r="AP10" s="7">
        <v>23.78</v>
      </c>
      <c r="AQ10" s="7">
        <v>24.47</v>
      </c>
      <c r="AR10" s="7">
        <v>24.88</v>
      </c>
      <c r="AS10" s="7">
        <v>24.17</v>
      </c>
      <c r="AT10" s="7">
        <v>22.39</v>
      </c>
      <c r="AU10" s="7">
        <v>25.06</v>
      </c>
      <c r="AV10" s="7">
        <v>26.55</v>
      </c>
      <c r="AW10" s="7">
        <v>23.74</v>
      </c>
      <c r="AX10" s="7">
        <v>23.68</v>
      </c>
      <c r="AY10" s="7">
        <v>23.98</v>
      </c>
      <c r="AZ10" s="7">
        <v>24.2</v>
      </c>
      <c r="BA10" s="7">
        <v>26.2</v>
      </c>
      <c r="BB10" s="7">
        <v>23.8</v>
      </c>
      <c r="BC10" s="7">
        <v>23.52</v>
      </c>
      <c r="BD10" s="7">
        <v>25.16</v>
      </c>
      <c r="BE10" s="7">
        <v>26.15</v>
      </c>
      <c r="BF10" s="7">
        <v>24.29</v>
      </c>
      <c r="BG10" s="7">
        <v>24.02</v>
      </c>
      <c r="BH10" s="10">
        <v>24.35</v>
      </c>
      <c r="BI10" s="10">
        <v>25.14</v>
      </c>
    </row>
    <row r="11" spans="1:61" ht="15.75" x14ac:dyDescent="0.25">
      <c r="A11" s="1">
        <v>10</v>
      </c>
      <c r="B11" s="1"/>
      <c r="C11" s="1">
        <v>10</v>
      </c>
      <c r="D11" s="6"/>
      <c r="E11" s="6">
        <v>21.71</v>
      </c>
      <c r="F11" s="6">
        <v>24.54</v>
      </c>
      <c r="G11" s="6"/>
      <c r="H11" s="6"/>
      <c r="I11" s="6"/>
      <c r="J11" s="9">
        <v>24.18</v>
      </c>
      <c r="K11" s="9">
        <v>22.93</v>
      </c>
      <c r="L11" s="9">
        <v>24.54</v>
      </c>
      <c r="M11" s="9">
        <v>23.31</v>
      </c>
      <c r="N11" s="9">
        <v>23.15</v>
      </c>
      <c r="O11" s="9">
        <v>23.59</v>
      </c>
      <c r="P11" s="9">
        <v>25.01</v>
      </c>
      <c r="Q11" s="9">
        <v>25.69</v>
      </c>
      <c r="R11" s="9">
        <v>26.4</v>
      </c>
      <c r="S11" s="9">
        <v>25.93</v>
      </c>
      <c r="T11" s="9">
        <v>26.87</v>
      </c>
      <c r="U11" s="9">
        <v>26.01</v>
      </c>
      <c r="V11" s="9">
        <v>24.26</v>
      </c>
      <c r="W11" s="6">
        <v>24.86</v>
      </c>
      <c r="X11" s="6">
        <v>24.45</v>
      </c>
      <c r="Y11" s="6">
        <v>24.98</v>
      </c>
      <c r="Z11" s="6">
        <v>23.13</v>
      </c>
      <c r="AA11" s="6">
        <v>25.05</v>
      </c>
      <c r="AB11" s="6">
        <v>23.48</v>
      </c>
      <c r="AC11" s="6">
        <v>23.78</v>
      </c>
      <c r="AD11" s="6">
        <v>23.8</v>
      </c>
      <c r="AE11" s="6">
        <v>24.35</v>
      </c>
      <c r="AF11" s="6">
        <v>24.13</v>
      </c>
      <c r="AG11" s="6">
        <v>25.94</v>
      </c>
      <c r="AH11" s="6">
        <v>22.92</v>
      </c>
      <c r="AI11" s="6">
        <v>25.41</v>
      </c>
      <c r="AJ11" s="7">
        <v>23.83</v>
      </c>
      <c r="AK11" s="7">
        <v>24.61</v>
      </c>
      <c r="AL11" s="7">
        <v>25.69</v>
      </c>
      <c r="AM11" s="7">
        <v>23.52</v>
      </c>
      <c r="AN11" s="7">
        <v>24.6</v>
      </c>
      <c r="AO11" s="7">
        <v>23.84</v>
      </c>
      <c r="AP11" s="7">
        <v>23.67</v>
      </c>
      <c r="AQ11" s="7">
        <v>24.37</v>
      </c>
      <c r="AR11" s="7">
        <v>24.7</v>
      </c>
      <c r="AS11" s="7">
        <v>24.08</v>
      </c>
      <c r="AT11" s="7">
        <v>22.28</v>
      </c>
      <c r="AU11" s="7">
        <v>24.9</v>
      </c>
      <c r="AV11" s="7">
        <v>26.39</v>
      </c>
      <c r="AW11" s="7">
        <v>23.61</v>
      </c>
      <c r="AX11" s="7">
        <v>23.64</v>
      </c>
      <c r="AY11" s="7">
        <v>23.9</v>
      </c>
      <c r="AZ11" s="7">
        <v>24.17</v>
      </c>
      <c r="BA11" s="7">
        <v>26.22</v>
      </c>
      <c r="BB11" s="7">
        <v>23.86</v>
      </c>
      <c r="BC11" s="7">
        <v>23.44</v>
      </c>
      <c r="BD11" s="7">
        <v>25.04</v>
      </c>
      <c r="BE11" s="7">
        <v>26.12</v>
      </c>
      <c r="BF11" s="7">
        <v>24</v>
      </c>
      <c r="BG11" s="7">
        <v>23.98</v>
      </c>
      <c r="BH11" s="10">
        <v>24.28</v>
      </c>
      <c r="BI11" s="10">
        <v>25.08</v>
      </c>
    </row>
    <row r="12" spans="1:61" ht="15.75" x14ac:dyDescent="0.25">
      <c r="A12" s="1">
        <v>11</v>
      </c>
      <c r="B12" s="1"/>
      <c r="C12" s="1">
        <v>11</v>
      </c>
      <c r="D12" s="6"/>
      <c r="E12" s="6">
        <v>21.63</v>
      </c>
      <c r="F12" s="6">
        <v>24.53</v>
      </c>
      <c r="G12" s="6"/>
      <c r="H12" s="6"/>
      <c r="I12" s="6"/>
      <c r="J12" s="9">
        <v>24.08</v>
      </c>
      <c r="K12" s="9">
        <v>22.88</v>
      </c>
      <c r="L12" s="9">
        <v>24.39</v>
      </c>
      <c r="M12" s="9">
        <v>23.28</v>
      </c>
      <c r="N12" s="9">
        <v>23.04</v>
      </c>
      <c r="O12" s="9">
        <v>23.45</v>
      </c>
      <c r="P12" s="9">
        <v>24.91</v>
      </c>
      <c r="Q12" s="9">
        <v>25.61</v>
      </c>
      <c r="R12" s="9">
        <v>26.28</v>
      </c>
      <c r="S12" s="9">
        <v>25.91</v>
      </c>
      <c r="T12" s="9">
        <v>26.78</v>
      </c>
      <c r="U12" s="9">
        <v>25.91</v>
      </c>
      <c r="V12" s="9">
        <v>24.19</v>
      </c>
      <c r="W12" s="6">
        <v>24.75</v>
      </c>
      <c r="X12" s="6">
        <v>24.38</v>
      </c>
      <c r="Y12" s="6">
        <v>24.99</v>
      </c>
      <c r="Z12" s="6">
        <v>23.06</v>
      </c>
      <c r="AA12" s="6">
        <v>24.98</v>
      </c>
      <c r="AB12" s="6">
        <v>23.42</v>
      </c>
      <c r="AC12" s="6">
        <v>23.78</v>
      </c>
      <c r="AD12" s="6">
        <v>23.72</v>
      </c>
      <c r="AE12" s="6">
        <v>24.21</v>
      </c>
      <c r="AF12" s="6">
        <v>24.06</v>
      </c>
      <c r="AG12" s="6">
        <v>25.81</v>
      </c>
      <c r="AH12" s="6">
        <v>22.88</v>
      </c>
      <c r="AI12" s="6">
        <v>25.39</v>
      </c>
      <c r="AJ12" s="7">
        <v>23.75</v>
      </c>
      <c r="AK12" s="7">
        <v>24.43</v>
      </c>
      <c r="AL12" s="7">
        <v>25.45</v>
      </c>
      <c r="AM12" s="7">
        <v>23.4</v>
      </c>
      <c r="AN12" s="7">
        <v>24.5</v>
      </c>
      <c r="AO12" s="7">
        <v>23.74</v>
      </c>
      <c r="AP12" s="7">
        <v>23.57</v>
      </c>
      <c r="AQ12" s="7">
        <v>24.28</v>
      </c>
      <c r="AR12" s="7">
        <v>24.62</v>
      </c>
      <c r="AS12" s="7">
        <v>24.02</v>
      </c>
      <c r="AT12" s="7">
        <v>22.2</v>
      </c>
      <c r="AU12" s="7">
        <v>24.8</v>
      </c>
      <c r="AV12" s="7">
        <v>26.25</v>
      </c>
      <c r="AW12" s="7">
        <v>23.74</v>
      </c>
      <c r="AX12" s="7">
        <v>23.58</v>
      </c>
      <c r="AY12" s="7">
        <v>23.8</v>
      </c>
      <c r="AZ12" s="7">
        <v>24.17</v>
      </c>
      <c r="BA12" s="7">
        <v>26.16</v>
      </c>
      <c r="BB12" s="7">
        <v>23.96</v>
      </c>
      <c r="BC12" s="7">
        <v>23.35</v>
      </c>
      <c r="BD12" s="7">
        <v>24.94</v>
      </c>
      <c r="BE12" s="7">
        <v>26.05</v>
      </c>
      <c r="BF12" s="7">
        <v>23.84</v>
      </c>
      <c r="BG12" s="7">
        <v>23.98</v>
      </c>
      <c r="BH12" s="10">
        <v>24.17</v>
      </c>
      <c r="BI12" s="10">
        <v>25.02</v>
      </c>
    </row>
    <row r="13" spans="1:61" ht="15.75" x14ac:dyDescent="0.25">
      <c r="A13" s="1">
        <v>12</v>
      </c>
      <c r="B13" s="1"/>
      <c r="C13" s="1">
        <v>12</v>
      </c>
      <c r="D13" s="6"/>
      <c r="E13" s="6">
        <v>21.57</v>
      </c>
      <c r="F13" s="6">
        <v>24.47</v>
      </c>
      <c r="G13" s="6"/>
      <c r="H13" s="6"/>
      <c r="I13" s="6"/>
      <c r="J13" s="9">
        <v>23.98</v>
      </c>
      <c r="K13" s="9">
        <v>22.83</v>
      </c>
      <c r="L13" s="9">
        <v>24.29</v>
      </c>
      <c r="M13" s="9">
        <v>23.2</v>
      </c>
      <c r="N13" s="9">
        <v>22.94</v>
      </c>
      <c r="O13" s="9">
        <v>23.34</v>
      </c>
      <c r="P13" s="9">
        <v>24.8</v>
      </c>
      <c r="Q13" s="9">
        <v>25.5</v>
      </c>
      <c r="R13" s="9">
        <v>26.13</v>
      </c>
      <c r="S13" s="9">
        <v>25.87</v>
      </c>
      <c r="T13" s="9">
        <v>26.69</v>
      </c>
      <c r="U13" s="9">
        <v>25.8</v>
      </c>
      <c r="V13" s="9">
        <v>24.13</v>
      </c>
      <c r="W13" s="6">
        <v>24.65</v>
      </c>
      <c r="X13" s="6">
        <v>24.28</v>
      </c>
      <c r="Y13" s="6">
        <v>24.98</v>
      </c>
      <c r="Z13" s="6">
        <v>22.98</v>
      </c>
      <c r="AA13" s="6">
        <v>24.9</v>
      </c>
      <c r="AB13" s="6">
        <v>23.35</v>
      </c>
      <c r="AC13" s="6">
        <v>23.76</v>
      </c>
      <c r="AD13" s="6">
        <v>23.64</v>
      </c>
      <c r="AE13" s="6">
        <v>24.09</v>
      </c>
      <c r="AF13" s="6">
        <v>23.99</v>
      </c>
      <c r="AG13" s="6">
        <v>25.68</v>
      </c>
      <c r="AH13" s="6">
        <v>22.83</v>
      </c>
      <c r="AI13" s="6">
        <v>25.34</v>
      </c>
      <c r="AJ13" s="7">
        <v>23.66</v>
      </c>
      <c r="AK13" s="7">
        <v>24.33</v>
      </c>
      <c r="AL13" s="7">
        <v>25.3</v>
      </c>
      <c r="AM13" s="7">
        <v>23.3</v>
      </c>
      <c r="AN13" s="7">
        <v>24.39</v>
      </c>
      <c r="AO13" s="7">
        <v>23.64</v>
      </c>
      <c r="AP13" s="7">
        <v>23.48</v>
      </c>
      <c r="AQ13" s="7">
        <v>24.15</v>
      </c>
      <c r="AR13" s="7">
        <v>24.35</v>
      </c>
      <c r="AS13" s="7">
        <v>23.96</v>
      </c>
      <c r="AT13" s="7">
        <v>22.1</v>
      </c>
      <c r="AU13" s="7">
        <v>24.75</v>
      </c>
      <c r="AV13" s="7">
        <v>26.09</v>
      </c>
      <c r="AW13" s="7">
        <v>23.6</v>
      </c>
      <c r="AX13" s="7">
        <v>23.53</v>
      </c>
      <c r="AY13" s="7">
        <v>23.72</v>
      </c>
      <c r="AZ13" s="7">
        <v>24.01</v>
      </c>
      <c r="BA13" s="7">
        <v>26.1</v>
      </c>
      <c r="BB13" s="7">
        <v>24.02</v>
      </c>
      <c r="BC13" s="7">
        <v>23.24</v>
      </c>
      <c r="BD13" s="7">
        <v>24.85</v>
      </c>
      <c r="BE13" s="7">
        <v>26.01</v>
      </c>
      <c r="BF13" s="7">
        <v>23.75</v>
      </c>
      <c r="BG13" s="7">
        <v>24.03</v>
      </c>
      <c r="BH13" s="10">
        <v>24.04</v>
      </c>
      <c r="BI13" s="10">
        <v>24.97</v>
      </c>
    </row>
    <row r="14" spans="1:61" ht="15.75" x14ac:dyDescent="0.25">
      <c r="A14" s="1">
        <v>13</v>
      </c>
      <c r="B14" s="1"/>
      <c r="C14" s="1">
        <v>13</v>
      </c>
      <c r="D14" s="6"/>
      <c r="E14" s="6">
        <v>21.55</v>
      </c>
      <c r="F14" s="6">
        <v>24.5</v>
      </c>
      <c r="G14" s="6"/>
      <c r="H14" s="6"/>
      <c r="I14" s="6"/>
      <c r="J14" s="9">
        <v>23.93</v>
      </c>
      <c r="K14" s="9">
        <v>22.78</v>
      </c>
      <c r="L14" s="9">
        <v>24.17</v>
      </c>
      <c r="M14" s="9">
        <v>23.13</v>
      </c>
      <c r="N14" s="9">
        <v>22.85</v>
      </c>
      <c r="O14" s="9">
        <v>23.24</v>
      </c>
      <c r="P14" s="9">
        <v>24.66</v>
      </c>
      <c r="Q14" s="9">
        <v>25.38</v>
      </c>
      <c r="R14" s="9">
        <v>26.02</v>
      </c>
      <c r="S14" s="9">
        <v>25.84</v>
      </c>
      <c r="T14" s="9">
        <v>26.62</v>
      </c>
      <c r="U14" s="9">
        <v>25.72</v>
      </c>
      <c r="V14" s="9">
        <v>24.08</v>
      </c>
      <c r="W14" s="6">
        <v>24.55</v>
      </c>
      <c r="X14" s="6">
        <v>24.19</v>
      </c>
      <c r="Y14" s="6">
        <v>24.96</v>
      </c>
      <c r="Z14" s="6">
        <v>22.97</v>
      </c>
      <c r="AA14" s="6">
        <v>24.81</v>
      </c>
      <c r="AB14" s="6">
        <v>23.29</v>
      </c>
      <c r="AC14" s="6">
        <v>23.74</v>
      </c>
      <c r="AD14" s="6">
        <v>23.58</v>
      </c>
      <c r="AE14" s="6">
        <v>23.98</v>
      </c>
      <c r="AF14" s="6">
        <v>23.92</v>
      </c>
      <c r="AG14" s="6">
        <v>25.57</v>
      </c>
      <c r="AH14" s="6">
        <v>22.79</v>
      </c>
      <c r="AI14" s="6">
        <v>25.28</v>
      </c>
      <c r="AJ14" s="7">
        <v>23.57</v>
      </c>
      <c r="AK14" s="7">
        <v>24.19</v>
      </c>
      <c r="AL14" s="7">
        <v>25.13</v>
      </c>
      <c r="AM14" s="7">
        <v>23.2</v>
      </c>
      <c r="AN14" s="7">
        <v>24.35</v>
      </c>
      <c r="AO14" s="7">
        <v>23.5</v>
      </c>
      <c r="AP14" s="7">
        <v>23.39</v>
      </c>
      <c r="AQ14" s="7">
        <v>23.99</v>
      </c>
      <c r="AR14" s="7">
        <v>24.3</v>
      </c>
      <c r="AS14" s="7">
        <v>24.1</v>
      </c>
      <c r="AT14" s="7">
        <v>22.02</v>
      </c>
      <c r="AU14" s="7">
        <v>24.69</v>
      </c>
      <c r="AV14" s="7">
        <v>25.98</v>
      </c>
      <c r="AW14" s="7">
        <v>23.47</v>
      </c>
      <c r="AX14" s="7">
        <v>23.48</v>
      </c>
      <c r="AY14" s="7">
        <v>23.65</v>
      </c>
      <c r="AZ14" s="7">
        <v>23.92</v>
      </c>
      <c r="BA14" s="7">
        <v>26.12</v>
      </c>
      <c r="BB14" s="7">
        <v>24</v>
      </c>
      <c r="BC14" s="7">
        <v>23.16</v>
      </c>
      <c r="BD14" s="7">
        <v>24.76</v>
      </c>
      <c r="BE14" s="7">
        <v>25.94</v>
      </c>
      <c r="BF14" s="7">
        <v>23.66</v>
      </c>
      <c r="BG14" s="7">
        <v>24.08</v>
      </c>
      <c r="BH14" s="10">
        <v>23.9</v>
      </c>
      <c r="BI14" s="10">
        <v>24.94</v>
      </c>
    </row>
    <row r="15" spans="1:61" ht="15.75" x14ac:dyDescent="0.25">
      <c r="A15" s="1">
        <v>14</v>
      </c>
      <c r="B15" s="1"/>
      <c r="C15" s="1">
        <v>14</v>
      </c>
      <c r="D15" s="6"/>
      <c r="E15" s="6">
        <v>21.51</v>
      </c>
      <c r="F15" s="6">
        <v>24.54</v>
      </c>
      <c r="G15" s="6"/>
      <c r="H15" s="6"/>
      <c r="I15" s="6"/>
      <c r="J15" s="9">
        <v>23.88</v>
      </c>
      <c r="K15" s="9">
        <v>22.78</v>
      </c>
      <c r="L15" s="9">
        <v>24.05</v>
      </c>
      <c r="M15" s="9">
        <v>23.04</v>
      </c>
      <c r="N15" s="9">
        <v>22.74</v>
      </c>
      <c r="O15" s="9">
        <v>23.14</v>
      </c>
      <c r="P15" s="9">
        <v>24.53</v>
      </c>
      <c r="Q15" s="9">
        <v>25.27</v>
      </c>
      <c r="R15" s="9">
        <v>25.88</v>
      </c>
      <c r="S15" s="9">
        <v>25.83</v>
      </c>
      <c r="T15" s="9">
        <v>26.55</v>
      </c>
      <c r="U15" s="9">
        <v>25.63</v>
      </c>
      <c r="V15" s="9">
        <v>24.02</v>
      </c>
      <c r="W15" s="6">
        <v>24.47</v>
      </c>
      <c r="X15" s="6">
        <v>24.07</v>
      </c>
      <c r="Y15" s="6">
        <v>24.9</v>
      </c>
      <c r="Z15" s="6">
        <v>22.93</v>
      </c>
      <c r="AA15" s="6">
        <v>24.72</v>
      </c>
      <c r="AB15" s="6">
        <v>23.25</v>
      </c>
      <c r="AC15" s="6">
        <v>23.73</v>
      </c>
      <c r="AD15" s="6">
        <v>23.52</v>
      </c>
      <c r="AE15" s="6">
        <v>23.89</v>
      </c>
      <c r="AF15" s="6">
        <v>23.85</v>
      </c>
      <c r="AG15" s="6">
        <v>25.43</v>
      </c>
      <c r="AH15" s="6">
        <v>22.74</v>
      </c>
      <c r="AI15" s="6">
        <v>25.19</v>
      </c>
      <c r="AJ15" s="7">
        <v>23.51</v>
      </c>
      <c r="AK15" s="7">
        <v>24.12</v>
      </c>
      <c r="AL15" s="7">
        <v>24.8</v>
      </c>
      <c r="AM15" s="7">
        <v>23.09</v>
      </c>
      <c r="AN15" s="7">
        <v>24.3</v>
      </c>
      <c r="AO15" s="7">
        <v>23.48</v>
      </c>
      <c r="AP15" s="7">
        <v>23.39</v>
      </c>
      <c r="AQ15" s="7">
        <v>23.9</v>
      </c>
      <c r="AR15" s="7">
        <v>24.25</v>
      </c>
      <c r="AS15" s="7">
        <v>24.16</v>
      </c>
      <c r="AT15" s="7">
        <v>21.93</v>
      </c>
      <c r="AU15" s="7">
        <v>24.67</v>
      </c>
      <c r="AV15" s="7">
        <v>25.85</v>
      </c>
      <c r="AW15" s="7">
        <v>23.35</v>
      </c>
      <c r="AX15" s="7">
        <v>23.38</v>
      </c>
      <c r="AY15" s="7">
        <v>23.57</v>
      </c>
      <c r="AZ15" s="7">
        <v>23.82</v>
      </c>
      <c r="BA15" s="7">
        <v>25.95</v>
      </c>
      <c r="BB15" s="7">
        <v>23.96</v>
      </c>
      <c r="BC15" s="7">
        <v>23.08</v>
      </c>
      <c r="BD15" s="7">
        <v>24.76</v>
      </c>
      <c r="BE15" s="7">
        <v>25.86</v>
      </c>
      <c r="BF15" s="7">
        <v>23.55</v>
      </c>
      <c r="BG15" s="7">
        <v>24.12</v>
      </c>
      <c r="BH15" s="10">
        <v>23.8</v>
      </c>
      <c r="BI15" s="10">
        <v>24.94</v>
      </c>
    </row>
    <row r="16" spans="1:61" ht="15.75" x14ac:dyDescent="0.25">
      <c r="A16" s="1">
        <v>15</v>
      </c>
      <c r="B16" s="1"/>
      <c r="C16" s="1">
        <v>15</v>
      </c>
      <c r="D16" s="6"/>
      <c r="E16" s="6">
        <v>21.47</v>
      </c>
      <c r="F16" s="6">
        <v>24.57</v>
      </c>
      <c r="G16" s="6"/>
      <c r="H16" s="6"/>
      <c r="I16" s="6"/>
      <c r="J16" s="9">
        <v>23.83</v>
      </c>
      <c r="K16" s="9">
        <v>22.83</v>
      </c>
      <c r="L16" s="9">
        <v>23.98</v>
      </c>
      <c r="M16" s="9">
        <v>22.95</v>
      </c>
      <c r="N16" s="9">
        <v>22.65</v>
      </c>
      <c r="O16" s="9">
        <v>23.05</v>
      </c>
      <c r="P16" s="9">
        <v>24.4</v>
      </c>
      <c r="Q16" s="9">
        <v>25.16</v>
      </c>
      <c r="R16" s="9">
        <v>25.8</v>
      </c>
      <c r="S16" s="9">
        <v>25.83</v>
      </c>
      <c r="T16" s="9">
        <v>26.48</v>
      </c>
      <c r="U16" s="9">
        <v>25.53</v>
      </c>
      <c r="V16" s="9">
        <v>23.95</v>
      </c>
      <c r="W16" s="6">
        <v>24.43</v>
      </c>
      <c r="X16" s="6">
        <v>23.97</v>
      </c>
      <c r="Y16" s="6">
        <v>24.83</v>
      </c>
      <c r="Z16" s="6">
        <v>22.89</v>
      </c>
      <c r="AA16" s="6">
        <v>24.63</v>
      </c>
      <c r="AB16" s="6">
        <v>23.23</v>
      </c>
      <c r="AC16" s="6">
        <v>23.68</v>
      </c>
      <c r="AD16" s="6">
        <v>23.48</v>
      </c>
      <c r="AE16" s="6">
        <v>23.77</v>
      </c>
      <c r="AF16" s="6">
        <v>23.77</v>
      </c>
      <c r="AG16" s="6">
        <v>25.3</v>
      </c>
      <c r="AH16" s="6">
        <v>22.71</v>
      </c>
      <c r="AI16" s="6">
        <v>25.08</v>
      </c>
      <c r="AJ16" s="7">
        <v>23.43</v>
      </c>
      <c r="AK16" s="7">
        <v>24.06</v>
      </c>
      <c r="AL16" s="7">
        <v>24.61</v>
      </c>
      <c r="AM16" s="7">
        <v>22.93</v>
      </c>
      <c r="AN16" s="7">
        <v>24.24</v>
      </c>
      <c r="AO16" s="7">
        <v>23.5</v>
      </c>
      <c r="AP16" s="7">
        <v>23.41</v>
      </c>
      <c r="AQ16" s="7">
        <v>23.78</v>
      </c>
      <c r="AR16" s="7">
        <v>24.18</v>
      </c>
      <c r="AS16" s="7">
        <v>24.19</v>
      </c>
      <c r="AT16" s="7">
        <v>21.86</v>
      </c>
      <c r="AU16" s="7">
        <v>24.7</v>
      </c>
      <c r="AV16" s="7">
        <v>25.72</v>
      </c>
      <c r="AW16" s="7">
        <v>23.28</v>
      </c>
      <c r="AX16" s="7">
        <v>23.32</v>
      </c>
      <c r="AY16" s="7">
        <v>23.45</v>
      </c>
      <c r="AZ16" s="7">
        <v>23.7</v>
      </c>
      <c r="BA16" s="7">
        <v>25.88</v>
      </c>
      <c r="BB16" s="7">
        <v>23.9</v>
      </c>
      <c r="BC16" s="7">
        <v>23.14</v>
      </c>
      <c r="BD16" s="7">
        <v>24.55</v>
      </c>
      <c r="BE16" s="7">
        <v>25.77</v>
      </c>
      <c r="BF16" s="7">
        <v>23.45</v>
      </c>
      <c r="BG16" s="7">
        <v>24.18</v>
      </c>
      <c r="BH16" s="10">
        <v>23.69</v>
      </c>
      <c r="BI16" s="10">
        <v>24.96</v>
      </c>
    </row>
    <row r="17" spans="1:61" ht="15.75" x14ac:dyDescent="0.25">
      <c r="A17" s="1">
        <v>16</v>
      </c>
      <c r="B17" s="1"/>
      <c r="C17" s="1">
        <v>16</v>
      </c>
      <c r="D17" s="6"/>
      <c r="E17" s="6">
        <v>21.46</v>
      </c>
      <c r="F17" s="6">
        <v>24.55</v>
      </c>
      <c r="G17" s="6"/>
      <c r="H17" s="6"/>
      <c r="I17" s="6"/>
      <c r="J17" s="9">
        <v>23.78</v>
      </c>
      <c r="K17" s="9">
        <v>22.83</v>
      </c>
      <c r="L17" s="9">
        <v>23.89</v>
      </c>
      <c r="M17" s="9">
        <v>22.85</v>
      </c>
      <c r="N17" s="9">
        <v>22.57</v>
      </c>
      <c r="O17" s="9">
        <v>22.99</v>
      </c>
      <c r="P17" s="9">
        <v>24.26</v>
      </c>
      <c r="Q17" s="9">
        <v>25.08</v>
      </c>
      <c r="R17" s="9">
        <v>25.7</v>
      </c>
      <c r="S17" s="9">
        <v>25.83</v>
      </c>
      <c r="T17" s="9">
        <v>26.4</v>
      </c>
      <c r="U17" s="9">
        <v>25.45</v>
      </c>
      <c r="V17" s="9">
        <v>23.88</v>
      </c>
      <c r="W17" s="6">
        <v>24.39</v>
      </c>
      <c r="X17" s="6">
        <v>23.88</v>
      </c>
      <c r="Y17" s="6">
        <v>24.8</v>
      </c>
      <c r="Z17" s="6">
        <v>22.86</v>
      </c>
      <c r="AA17" s="6">
        <v>24.51</v>
      </c>
      <c r="AB17" s="6">
        <v>23.22</v>
      </c>
      <c r="AC17" s="6">
        <v>23.73</v>
      </c>
      <c r="AD17" s="6">
        <v>23.42</v>
      </c>
      <c r="AE17" s="6">
        <v>23.68</v>
      </c>
      <c r="AF17" s="6">
        <v>23.69</v>
      </c>
      <c r="AG17" s="6">
        <v>25.17</v>
      </c>
      <c r="AH17" s="6">
        <v>22.69</v>
      </c>
      <c r="AI17" s="6">
        <v>24.98</v>
      </c>
      <c r="AJ17" s="7">
        <v>23.4</v>
      </c>
      <c r="AK17" s="7">
        <v>23.99</v>
      </c>
      <c r="AL17" s="7">
        <v>24.43</v>
      </c>
      <c r="AM17" s="7">
        <v>22.82</v>
      </c>
      <c r="AN17" s="7">
        <v>24.17</v>
      </c>
      <c r="AO17" s="7">
        <v>23.6</v>
      </c>
      <c r="AP17" s="7">
        <v>23.48</v>
      </c>
      <c r="AQ17" s="7">
        <v>23.66</v>
      </c>
      <c r="AR17" s="7">
        <v>24.1</v>
      </c>
      <c r="AS17" s="7">
        <v>24.24</v>
      </c>
      <c r="AT17" s="7">
        <v>21.79</v>
      </c>
      <c r="AU17" s="7">
        <v>24.75</v>
      </c>
      <c r="AV17" s="7">
        <v>25.59</v>
      </c>
      <c r="AW17" s="7">
        <v>23.2</v>
      </c>
      <c r="AX17" s="7">
        <v>23.44</v>
      </c>
      <c r="AY17" s="7">
        <v>23.38</v>
      </c>
      <c r="AZ17" s="7">
        <v>23.62</v>
      </c>
      <c r="BA17" s="7">
        <v>25.8</v>
      </c>
      <c r="BB17" s="7">
        <v>23.83</v>
      </c>
      <c r="BC17" s="7">
        <v>23.08</v>
      </c>
      <c r="BD17" s="7">
        <v>24.45</v>
      </c>
      <c r="BE17" s="7">
        <v>25.68</v>
      </c>
      <c r="BF17" s="7">
        <v>23.34</v>
      </c>
      <c r="BG17" s="7">
        <v>24.22</v>
      </c>
      <c r="BH17" s="10">
        <v>23.6</v>
      </c>
      <c r="BI17" s="10">
        <v>24.93</v>
      </c>
    </row>
    <row r="18" spans="1:61" ht="15.75" x14ac:dyDescent="0.25">
      <c r="A18" s="1">
        <v>17</v>
      </c>
      <c r="B18" s="1"/>
      <c r="C18" s="1">
        <v>17</v>
      </c>
      <c r="D18" s="6"/>
      <c r="E18" s="6">
        <v>21.45</v>
      </c>
      <c r="F18" s="6">
        <v>24.54</v>
      </c>
      <c r="G18" s="6"/>
      <c r="H18" s="6"/>
      <c r="I18" s="6"/>
      <c r="J18" s="9">
        <v>23.73</v>
      </c>
      <c r="K18" s="9">
        <v>22.88</v>
      </c>
      <c r="L18" s="9">
        <v>23.82</v>
      </c>
      <c r="M18" s="9">
        <v>22.73</v>
      </c>
      <c r="N18" s="9">
        <v>22.49</v>
      </c>
      <c r="O18" s="9">
        <v>22.85</v>
      </c>
      <c r="P18" s="9">
        <v>24.13</v>
      </c>
      <c r="Q18" s="9">
        <v>25.01</v>
      </c>
      <c r="R18" s="9">
        <v>25.61</v>
      </c>
      <c r="S18" s="9">
        <v>25.82</v>
      </c>
      <c r="T18" s="9">
        <v>26.32</v>
      </c>
      <c r="U18" s="9">
        <v>25.36</v>
      </c>
      <c r="V18" s="9">
        <v>23.81</v>
      </c>
      <c r="W18" s="6">
        <v>24.37</v>
      </c>
      <c r="X18" s="6">
        <v>23.79</v>
      </c>
      <c r="Y18" s="6">
        <v>24.75</v>
      </c>
      <c r="Z18" s="6">
        <v>22.82</v>
      </c>
      <c r="AA18" s="6">
        <v>24.41</v>
      </c>
      <c r="AB18" s="6">
        <v>23.2</v>
      </c>
      <c r="AC18" s="6">
        <v>23.72</v>
      </c>
      <c r="AD18" s="6">
        <v>23.38</v>
      </c>
      <c r="AE18" s="6">
        <v>23.58</v>
      </c>
      <c r="AF18" s="6">
        <v>23.63</v>
      </c>
      <c r="AG18" s="6">
        <v>25.06</v>
      </c>
      <c r="AH18" s="6">
        <v>22.66</v>
      </c>
      <c r="AI18" s="6">
        <v>24.87</v>
      </c>
      <c r="AJ18" s="7">
        <v>23.31</v>
      </c>
      <c r="AK18" s="7">
        <v>23.93</v>
      </c>
      <c r="AL18" s="7">
        <v>24.26</v>
      </c>
      <c r="AM18" s="7">
        <v>22.72</v>
      </c>
      <c r="AN18" s="7">
        <v>24.1</v>
      </c>
      <c r="AO18" s="7">
        <v>23.62</v>
      </c>
      <c r="AP18" s="7">
        <v>23.51</v>
      </c>
      <c r="AQ18" s="7">
        <v>23.58</v>
      </c>
      <c r="AR18" s="7">
        <v>24.06</v>
      </c>
      <c r="AS18" s="7">
        <v>24.26</v>
      </c>
      <c r="AT18" s="7">
        <v>21.74</v>
      </c>
      <c r="AU18" s="7">
        <v>24.78</v>
      </c>
      <c r="AV18" s="7">
        <v>25.48</v>
      </c>
      <c r="AW18" s="7">
        <v>23.12</v>
      </c>
      <c r="AX18" s="7">
        <v>23.4</v>
      </c>
      <c r="AY18" s="7">
        <v>23.35</v>
      </c>
      <c r="AZ18" s="7">
        <v>23.51</v>
      </c>
      <c r="BA18" s="7">
        <v>25.73</v>
      </c>
      <c r="BB18" s="7">
        <v>23.76</v>
      </c>
      <c r="BC18" s="7">
        <v>23.04</v>
      </c>
      <c r="BD18" s="7">
        <v>24.35</v>
      </c>
      <c r="BE18" s="7">
        <v>25.59</v>
      </c>
      <c r="BF18" s="7">
        <v>23.24</v>
      </c>
      <c r="BG18" s="7">
        <v>24.28</v>
      </c>
      <c r="BH18" s="10">
        <v>23.51</v>
      </c>
      <c r="BI18" s="10">
        <v>24.9</v>
      </c>
    </row>
    <row r="19" spans="1:61" ht="15.75" x14ac:dyDescent="0.25">
      <c r="A19" s="1">
        <v>18</v>
      </c>
      <c r="B19" s="1"/>
      <c r="C19" s="1">
        <v>18</v>
      </c>
      <c r="D19" s="6"/>
      <c r="E19" s="6">
        <v>21.45</v>
      </c>
      <c r="F19" s="6">
        <v>24.53</v>
      </c>
      <c r="G19" s="6"/>
      <c r="H19" s="6"/>
      <c r="I19" s="6"/>
      <c r="J19" s="9">
        <v>23.68</v>
      </c>
      <c r="K19" s="9">
        <v>22.88</v>
      </c>
      <c r="L19" s="9">
        <v>23.72</v>
      </c>
      <c r="M19" s="9">
        <v>22.63</v>
      </c>
      <c r="N19" s="9">
        <v>22.4</v>
      </c>
      <c r="O19" s="9">
        <v>22.75</v>
      </c>
      <c r="P19" s="9">
        <v>24.01</v>
      </c>
      <c r="Q19" s="9">
        <v>24.96</v>
      </c>
      <c r="R19" s="9">
        <v>25.54</v>
      </c>
      <c r="S19" s="9">
        <v>25.82</v>
      </c>
      <c r="T19" s="9">
        <v>26.25</v>
      </c>
      <c r="U19" s="9">
        <v>25.3</v>
      </c>
      <c r="V19" s="9">
        <v>23.79</v>
      </c>
      <c r="W19" s="6">
        <v>24.33</v>
      </c>
      <c r="X19" s="6">
        <v>23.7</v>
      </c>
      <c r="Y19" s="6">
        <v>24.7</v>
      </c>
      <c r="Z19" s="6">
        <v>22.78</v>
      </c>
      <c r="AA19" s="6">
        <v>24.29</v>
      </c>
      <c r="AB19" s="6">
        <v>23.18</v>
      </c>
      <c r="AC19" s="6">
        <v>23.7</v>
      </c>
      <c r="AD19" s="6">
        <v>23.36</v>
      </c>
      <c r="AE19" s="6">
        <v>23.5</v>
      </c>
      <c r="AF19" s="6">
        <v>23.55</v>
      </c>
      <c r="AG19" s="6">
        <v>24.92</v>
      </c>
      <c r="AH19" s="6">
        <v>22.63</v>
      </c>
      <c r="AI19" s="6">
        <v>24.78</v>
      </c>
      <c r="AJ19" s="7">
        <v>23.25</v>
      </c>
      <c r="AK19" s="7">
        <v>23.84</v>
      </c>
      <c r="AL19" s="7">
        <v>24.08</v>
      </c>
      <c r="AM19" s="7">
        <v>22.65</v>
      </c>
      <c r="AN19" s="7">
        <v>24.02</v>
      </c>
      <c r="AO19" s="7">
        <v>23.64</v>
      </c>
      <c r="AP19" s="7">
        <v>23.51</v>
      </c>
      <c r="AQ19" s="7">
        <v>23.46</v>
      </c>
      <c r="AR19" s="7">
        <v>23.97</v>
      </c>
      <c r="AS19" s="7">
        <v>24.3</v>
      </c>
      <c r="AT19" s="7">
        <v>21.66</v>
      </c>
      <c r="AU19" s="7">
        <v>24.79</v>
      </c>
      <c r="AV19" s="7">
        <v>25.31</v>
      </c>
      <c r="AW19" s="7">
        <v>23.04</v>
      </c>
      <c r="AX19" s="7">
        <v>23.32</v>
      </c>
      <c r="AY19" s="7">
        <v>23.2</v>
      </c>
      <c r="AZ19" s="7">
        <v>23.41</v>
      </c>
      <c r="BA19" s="7">
        <v>25.64</v>
      </c>
      <c r="BB19" s="7">
        <v>23.68</v>
      </c>
      <c r="BC19" s="7">
        <v>22.99</v>
      </c>
      <c r="BD19" s="7">
        <v>24.25</v>
      </c>
      <c r="BE19" s="7">
        <v>25.49</v>
      </c>
      <c r="BF19" s="7">
        <v>23.16</v>
      </c>
      <c r="BG19" s="7">
        <v>24.37</v>
      </c>
      <c r="BH19" s="10">
        <v>23.43</v>
      </c>
      <c r="BI19" s="10">
        <v>24.76</v>
      </c>
    </row>
    <row r="20" spans="1:61" ht="15.75" x14ac:dyDescent="0.25">
      <c r="A20" s="1">
        <v>19</v>
      </c>
      <c r="B20" s="1"/>
      <c r="C20" s="1">
        <v>19</v>
      </c>
      <c r="D20" s="6"/>
      <c r="E20" s="6">
        <v>21.45</v>
      </c>
      <c r="F20" s="6">
        <v>24.62</v>
      </c>
      <c r="G20" s="6"/>
      <c r="H20" s="6"/>
      <c r="I20" s="6"/>
      <c r="J20" s="9">
        <v>23.58</v>
      </c>
      <c r="K20" s="9">
        <v>22.93</v>
      </c>
      <c r="L20" s="9">
        <v>23.68</v>
      </c>
      <c r="M20" s="9">
        <v>22.51</v>
      </c>
      <c r="N20" s="9">
        <v>22.36</v>
      </c>
      <c r="O20" s="9">
        <v>22.67</v>
      </c>
      <c r="P20" s="9">
        <v>23.88</v>
      </c>
      <c r="Q20" s="9">
        <v>24.88</v>
      </c>
      <c r="R20" s="9">
        <v>25.49</v>
      </c>
      <c r="S20" s="9">
        <v>25.82</v>
      </c>
      <c r="T20" s="9">
        <v>26.18</v>
      </c>
      <c r="U20" s="9">
        <v>25.24</v>
      </c>
      <c r="V20" s="9">
        <v>23.74</v>
      </c>
      <c r="W20" s="6">
        <v>24.32</v>
      </c>
      <c r="X20" s="6">
        <v>23.62</v>
      </c>
      <c r="Y20" s="6">
        <v>24.64</v>
      </c>
      <c r="Z20" s="6">
        <v>22.75</v>
      </c>
      <c r="AA20" s="6">
        <v>24.18</v>
      </c>
      <c r="AB20" s="6">
        <v>23.14</v>
      </c>
      <c r="AC20" s="6">
        <v>23.64</v>
      </c>
      <c r="AD20" s="6">
        <v>23.3</v>
      </c>
      <c r="AE20" s="6">
        <v>23.42</v>
      </c>
      <c r="AF20" s="6">
        <v>23.48</v>
      </c>
      <c r="AG20" s="6">
        <v>24.82</v>
      </c>
      <c r="AH20" s="6">
        <v>22.62</v>
      </c>
      <c r="AI20" s="6">
        <v>24.7</v>
      </c>
      <c r="AJ20" s="7">
        <v>23.21</v>
      </c>
      <c r="AK20" s="7">
        <v>23.75</v>
      </c>
      <c r="AL20" s="7">
        <v>23.9</v>
      </c>
      <c r="AM20" s="7">
        <v>22.58</v>
      </c>
      <c r="AN20" s="7">
        <v>23.99</v>
      </c>
      <c r="AO20" s="7">
        <v>23.64</v>
      </c>
      <c r="AP20" s="7">
        <v>23.48</v>
      </c>
      <c r="AQ20" s="7">
        <v>23.35</v>
      </c>
      <c r="AR20" s="7">
        <v>23.88</v>
      </c>
      <c r="AS20" s="7">
        <v>24.33</v>
      </c>
      <c r="AT20" s="7">
        <v>21.6</v>
      </c>
      <c r="AU20" s="7">
        <v>24.73</v>
      </c>
      <c r="AV20" s="7">
        <v>25.19</v>
      </c>
      <c r="AW20" s="7">
        <v>22.95</v>
      </c>
      <c r="AX20" s="7">
        <v>23.24</v>
      </c>
      <c r="AY20" s="7">
        <v>23.12</v>
      </c>
      <c r="AZ20" s="7">
        <v>23.32</v>
      </c>
      <c r="BA20" s="7">
        <v>25.55</v>
      </c>
      <c r="BB20" s="7">
        <v>23.64</v>
      </c>
      <c r="BC20" s="7">
        <v>22.96</v>
      </c>
      <c r="BD20" s="7">
        <v>24.15</v>
      </c>
      <c r="BE20" s="7">
        <v>25.42</v>
      </c>
      <c r="BF20" s="7">
        <v>23.1</v>
      </c>
      <c r="BG20" s="7">
        <v>24.4</v>
      </c>
      <c r="BH20" s="10">
        <v>23.36</v>
      </c>
      <c r="BI20" s="10">
        <v>24.6</v>
      </c>
    </row>
    <row r="21" spans="1:61" ht="15.75" customHeight="1" x14ac:dyDescent="0.25">
      <c r="A21" s="1">
        <v>20</v>
      </c>
      <c r="B21" s="1"/>
      <c r="C21" s="1">
        <v>20</v>
      </c>
      <c r="D21" s="6"/>
      <c r="E21" s="6">
        <v>21.44</v>
      </c>
      <c r="F21" s="6">
        <v>24.8</v>
      </c>
      <c r="G21" s="6"/>
      <c r="H21" s="6"/>
      <c r="I21" s="6"/>
      <c r="J21" s="9">
        <v>23.48</v>
      </c>
      <c r="K21" s="9">
        <v>22.88</v>
      </c>
      <c r="L21" s="9">
        <v>23.62</v>
      </c>
      <c r="M21" s="9">
        <v>22.41</v>
      </c>
      <c r="N21" s="9">
        <v>22.26</v>
      </c>
      <c r="O21" s="9">
        <v>22.56</v>
      </c>
      <c r="P21" s="9">
        <v>23.8</v>
      </c>
      <c r="Q21" s="9">
        <v>24.8</v>
      </c>
      <c r="R21" s="9">
        <v>25.42</v>
      </c>
      <c r="S21" s="9">
        <v>25.82</v>
      </c>
      <c r="T21" s="9">
        <v>26.13</v>
      </c>
      <c r="U21" s="9">
        <v>25.19</v>
      </c>
      <c r="V21" s="9">
        <v>23.7</v>
      </c>
      <c r="W21" s="6">
        <v>24.31</v>
      </c>
      <c r="X21" s="6">
        <v>23.53</v>
      </c>
      <c r="Y21" s="6">
        <v>24.59</v>
      </c>
      <c r="Z21" s="6">
        <v>22.72</v>
      </c>
      <c r="AA21" s="6">
        <v>24.05</v>
      </c>
      <c r="AB21" s="6">
        <v>23.07</v>
      </c>
      <c r="AC21" s="6">
        <v>23.6</v>
      </c>
      <c r="AD21" s="6">
        <v>23.25</v>
      </c>
      <c r="AE21" s="6">
        <v>23.36</v>
      </c>
      <c r="AF21" s="6">
        <v>23.4</v>
      </c>
      <c r="AG21" s="6">
        <v>24.72</v>
      </c>
      <c r="AH21" s="6">
        <v>22.6</v>
      </c>
      <c r="AI21" s="6">
        <v>24.64</v>
      </c>
      <c r="AJ21" s="7">
        <v>23.17</v>
      </c>
      <c r="AK21" s="7">
        <v>23.64</v>
      </c>
      <c r="AL21" s="7">
        <v>23.75</v>
      </c>
      <c r="AM21" s="7">
        <v>22.58</v>
      </c>
      <c r="AN21" s="7">
        <v>23.84</v>
      </c>
      <c r="AO21" s="7">
        <v>23.6</v>
      </c>
      <c r="AP21" s="7">
        <v>23.46</v>
      </c>
      <c r="AQ21" s="7">
        <v>23.2</v>
      </c>
      <c r="AR21" s="7">
        <v>23.8</v>
      </c>
      <c r="AS21" s="7">
        <v>24.38</v>
      </c>
      <c r="AT21" s="7">
        <v>21.55</v>
      </c>
      <c r="AU21" s="7">
        <v>24.67</v>
      </c>
      <c r="AV21" s="7">
        <v>25.07</v>
      </c>
      <c r="AW21" s="7">
        <v>22.86</v>
      </c>
      <c r="AX21" s="7">
        <v>23.15</v>
      </c>
      <c r="AY21" s="7">
        <v>23.08</v>
      </c>
      <c r="AZ21" s="7">
        <v>23.21</v>
      </c>
      <c r="BA21" s="7">
        <v>25.47</v>
      </c>
      <c r="BB21" s="7">
        <v>23.64</v>
      </c>
      <c r="BC21" s="7">
        <v>22.9</v>
      </c>
      <c r="BD21" s="7">
        <v>24.05</v>
      </c>
      <c r="BE21" s="7">
        <v>25.35</v>
      </c>
      <c r="BF21" s="7">
        <v>22.99</v>
      </c>
      <c r="BG21" s="7">
        <v>24.48</v>
      </c>
      <c r="BH21" s="10">
        <v>23.28</v>
      </c>
      <c r="BI21" s="10">
        <v>24.42</v>
      </c>
    </row>
    <row r="22" spans="1:61" ht="15.75" customHeight="1" x14ac:dyDescent="0.25">
      <c r="A22" s="1">
        <v>21</v>
      </c>
      <c r="B22" s="1"/>
      <c r="C22" s="1">
        <v>21</v>
      </c>
      <c r="D22" s="6"/>
      <c r="E22" s="6">
        <v>21.45</v>
      </c>
      <c r="F22" s="6">
        <v>25.1</v>
      </c>
      <c r="G22" s="6"/>
      <c r="H22" s="6"/>
      <c r="I22" s="6"/>
      <c r="J22" s="9">
        <v>23.38</v>
      </c>
      <c r="K22" s="9">
        <v>22.88</v>
      </c>
      <c r="L22" s="9">
        <v>23.58</v>
      </c>
      <c r="M22" s="9">
        <v>22.35</v>
      </c>
      <c r="N22" s="9">
        <v>22.19</v>
      </c>
      <c r="O22" s="9">
        <v>22.46</v>
      </c>
      <c r="P22" s="9">
        <v>23.66</v>
      </c>
      <c r="Q22" s="9">
        <v>24.76</v>
      </c>
      <c r="R22" s="9">
        <v>25.32</v>
      </c>
      <c r="S22" s="9">
        <v>25.8</v>
      </c>
      <c r="T22" s="9">
        <v>26.1</v>
      </c>
      <c r="U22" s="9">
        <v>25.13</v>
      </c>
      <c r="V22" s="9">
        <v>23.66</v>
      </c>
      <c r="W22" s="6">
        <v>24.3</v>
      </c>
      <c r="X22" s="6">
        <v>23.46</v>
      </c>
      <c r="Y22" s="6">
        <v>24.57</v>
      </c>
      <c r="Z22" s="6">
        <v>22.69</v>
      </c>
      <c r="AA22" s="6">
        <v>23.96</v>
      </c>
      <c r="AB22" s="6">
        <v>23.02</v>
      </c>
      <c r="AC22" s="6">
        <v>23.52</v>
      </c>
      <c r="AD22" s="6">
        <v>23.21</v>
      </c>
      <c r="AE22" s="6">
        <v>23.3</v>
      </c>
      <c r="AF22" s="6">
        <v>23.34</v>
      </c>
      <c r="AG22" s="6">
        <v>24.65</v>
      </c>
      <c r="AH22" s="6">
        <v>22.59</v>
      </c>
      <c r="AI22" s="6">
        <v>24.57</v>
      </c>
      <c r="AJ22" s="7">
        <v>23.14</v>
      </c>
      <c r="AK22" s="7">
        <v>23.55</v>
      </c>
      <c r="AL22" s="7">
        <v>23.6</v>
      </c>
      <c r="AM22" s="7">
        <v>22.52</v>
      </c>
      <c r="AN22" s="7">
        <v>23.74</v>
      </c>
      <c r="AO22" s="7">
        <v>23.56</v>
      </c>
      <c r="AP22" s="7">
        <v>23.42</v>
      </c>
      <c r="AQ22" s="7">
        <v>23.14</v>
      </c>
      <c r="AR22" s="7">
        <v>23.75</v>
      </c>
      <c r="AS22" s="7">
        <v>24.3</v>
      </c>
      <c r="AT22" s="7">
        <v>21.5</v>
      </c>
      <c r="AU22" s="7">
        <v>24.56</v>
      </c>
      <c r="AV22" s="7">
        <v>24.95</v>
      </c>
      <c r="AW22" s="7">
        <v>22.78</v>
      </c>
      <c r="AX22" s="7">
        <v>23.07</v>
      </c>
      <c r="AY22" s="7">
        <v>23.02</v>
      </c>
      <c r="AZ22" s="7">
        <v>23.11</v>
      </c>
      <c r="BA22" s="7">
        <v>25.35</v>
      </c>
      <c r="BB22" s="7">
        <v>23.64</v>
      </c>
      <c r="BC22" s="7">
        <v>22.86</v>
      </c>
      <c r="BD22" s="7">
        <v>23.95</v>
      </c>
      <c r="BE22" s="7">
        <v>25.27</v>
      </c>
      <c r="BF22" s="7">
        <v>22.95</v>
      </c>
      <c r="BG22" s="7">
        <v>24.55</v>
      </c>
      <c r="BH22" s="10">
        <v>23.22</v>
      </c>
      <c r="BI22" s="10">
        <v>24.27</v>
      </c>
    </row>
    <row r="23" spans="1:61" ht="15.75" customHeight="1" x14ac:dyDescent="0.25">
      <c r="A23" s="1">
        <v>22</v>
      </c>
      <c r="B23" s="1"/>
      <c r="C23" s="1">
        <v>22</v>
      </c>
      <c r="D23" s="6"/>
      <c r="E23" s="6">
        <v>21.45</v>
      </c>
      <c r="F23" s="6">
        <v>25.13</v>
      </c>
      <c r="G23" s="6"/>
      <c r="H23" s="6"/>
      <c r="I23" s="6"/>
      <c r="J23" s="9">
        <v>23.28</v>
      </c>
      <c r="K23" s="9">
        <v>22.83</v>
      </c>
      <c r="L23" s="9">
        <v>23.56</v>
      </c>
      <c r="M23" s="9">
        <v>22.27</v>
      </c>
      <c r="N23" s="9">
        <v>22.16</v>
      </c>
      <c r="O23" s="9">
        <v>22.36</v>
      </c>
      <c r="P23" s="9">
        <v>23.59</v>
      </c>
      <c r="Q23" s="9">
        <v>24.65</v>
      </c>
      <c r="R23" s="9">
        <v>25.24</v>
      </c>
      <c r="S23" s="9">
        <v>25.77</v>
      </c>
      <c r="T23" s="9">
        <v>26.06</v>
      </c>
      <c r="U23" s="9">
        <v>25.09</v>
      </c>
      <c r="V23" s="9">
        <v>23.61</v>
      </c>
      <c r="W23" s="6">
        <v>24.25</v>
      </c>
      <c r="X23" s="6">
        <v>23.38</v>
      </c>
      <c r="Y23" s="6">
        <v>24.55</v>
      </c>
      <c r="Z23" s="6">
        <v>22.7</v>
      </c>
      <c r="AA23" s="6">
        <v>23.82</v>
      </c>
      <c r="AB23" s="6">
        <v>22.98</v>
      </c>
      <c r="AC23" s="6">
        <v>23.47</v>
      </c>
      <c r="AD23" s="6">
        <v>23.17</v>
      </c>
      <c r="AE23" s="6">
        <v>23.26</v>
      </c>
      <c r="AF23" s="6">
        <v>23.28</v>
      </c>
      <c r="AG23" s="6">
        <v>24.58</v>
      </c>
      <c r="AH23" s="6">
        <v>22.58</v>
      </c>
      <c r="AI23" s="6">
        <v>24.52</v>
      </c>
      <c r="AJ23" s="7">
        <v>23.05</v>
      </c>
      <c r="AK23" s="7">
        <v>23.51</v>
      </c>
      <c r="AL23" s="7">
        <v>23.47</v>
      </c>
      <c r="AM23" s="7">
        <v>22.45</v>
      </c>
      <c r="AN23" s="7">
        <v>23.62</v>
      </c>
      <c r="AO23" s="7">
        <v>23.51</v>
      </c>
      <c r="AP23" s="7">
        <v>23.4</v>
      </c>
      <c r="AQ23" s="7">
        <v>23.1</v>
      </c>
      <c r="AR23" s="7">
        <v>23.68</v>
      </c>
      <c r="AS23" s="7">
        <v>24.24</v>
      </c>
      <c r="AT23" s="7">
        <v>21.44</v>
      </c>
      <c r="AU23" s="7">
        <v>24.43</v>
      </c>
      <c r="AV23" s="7">
        <v>24.83</v>
      </c>
      <c r="AW23" s="7">
        <v>22.69</v>
      </c>
      <c r="AX23" s="7">
        <v>23.01</v>
      </c>
      <c r="AY23" s="7">
        <v>23.01</v>
      </c>
      <c r="AZ23" s="7">
        <v>23.01</v>
      </c>
      <c r="BA23" s="7">
        <v>25.22</v>
      </c>
      <c r="BB23" s="7">
        <v>23.64</v>
      </c>
      <c r="BC23" s="7">
        <v>22.78</v>
      </c>
      <c r="BD23" s="7">
        <v>23.85</v>
      </c>
      <c r="BE23" s="7">
        <v>25.17</v>
      </c>
      <c r="BF23" s="7">
        <v>22.9</v>
      </c>
      <c r="BG23" s="7">
        <v>24.64</v>
      </c>
      <c r="BH23" s="10">
        <v>23.16</v>
      </c>
      <c r="BI23" s="10">
        <v>24.12</v>
      </c>
    </row>
    <row r="24" spans="1:61" ht="15.75" customHeight="1" x14ac:dyDescent="0.25">
      <c r="A24" s="1">
        <v>23</v>
      </c>
      <c r="B24" s="1"/>
      <c r="C24" s="1">
        <v>23</v>
      </c>
      <c r="D24" s="6"/>
      <c r="E24" s="6">
        <v>21.45</v>
      </c>
      <c r="F24" s="6">
        <v>25.17</v>
      </c>
      <c r="G24" s="6"/>
      <c r="H24" s="6"/>
      <c r="I24" s="6"/>
      <c r="J24" s="9">
        <v>23.18</v>
      </c>
      <c r="K24" s="9">
        <v>22.78</v>
      </c>
      <c r="L24" s="9">
        <v>23.56</v>
      </c>
      <c r="M24" s="9">
        <v>22.19</v>
      </c>
      <c r="N24" s="9">
        <v>22.12</v>
      </c>
      <c r="O24" s="9">
        <v>22.31</v>
      </c>
      <c r="P24" s="9">
        <v>23.5</v>
      </c>
      <c r="Q24" s="9">
        <v>24.6</v>
      </c>
      <c r="R24" s="9">
        <v>25.17</v>
      </c>
      <c r="S24" s="9">
        <v>25.7</v>
      </c>
      <c r="T24" s="9">
        <v>26.05</v>
      </c>
      <c r="U24" s="9">
        <v>25.03</v>
      </c>
      <c r="V24" s="9">
        <v>23.6</v>
      </c>
      <c r="W24" s="6">
        <v>24.22</v>
      </c>
      <c r="X24" s="6">
        <v>23.32</v>
      </c>
      <c r="Y24" s="6">
        <v>24.56</v>
      </c>
      <c r="Z24" s="6">
        <v>22.7</v>
      </c>
      <c r="AA24" s="6">
        <v>23.7</v>
      </c>
      <c r="AB24" s="6">
        <v>22.92</v>
      </c>
      <c r="AC24" s="6">
        <v>23.41</v>
      </c>
      <c r="AD24" s="6">
        <v>23.14</v>
      </c>
      <c r="AE24" s="6">
        <v>23.22</v>
      </c>
      <c r="AF24" s="6">
        <v>23.22</v>
      </c>
      <c r="AG24" s="6">
        <v>24.54</v>
      </c>
      <c r="AH24" s="6">
        <v>22.55</v>
      </c>
      <c r="AI24" s="6">
        <v>24.46</v>
      </c>
      <c r="AJ24" s="7">
        <v>23</v>
      </c>
      <c r="AK24" s="7">
        <v>23.43</v>
      </c>
      <c r="AL24" s="7">
        <v>23.35</v>
      </c>
      <c r="AM24" s="7">
        <v>22.39</v>
      </c>
      <c r="AN24" s="7">
        <v>23.48</v>
      </c>
      <c r="AO24" s="7">
        <v>23.5</v>
      </c>
      <c r="AP24" s="7">
        <v>23.38</v>
      </c>
      <c r="AQ24" s="7">
        <v>23.05</v>
      </c>
      <c r="AR24" s="7">
        <v>23.63</v>
      </c>
      <c r="AS24" s="7">
        <v>24.17</v>
      </c>
      <c r="AT24" s="7">
        <v>21.38</v>
      </c>
      <c r="AU24" s="7">
        <v>24.26</v>
      </c>
      <c r="AV24" s="7">
        <v>24.69</v>
      </c>
      <c r="AW24" s="7">
        <v>22.6</v>
      </c>
      <c r="AX24" s="7">
        <v>22.99</v>
      </c>
      <c r="AY24" s="7">
        <v>23.01</v>
      </c>
      <c r="AZ24" s="7">
        <v>22.9</v>
      </c>
      <c r="BA24" s="7">
        <v>25.08</v>
      </c>
      <c r="BB24" s="7">
        <v>23.69</v>
      </c>
      <c r="BC24" s="7">
        <v>22.74</v>
      </c>
      <c r="BD24" s="7">
        <v>23.75</v>
      </c>
      <c r="BE24" s="7">
        <v>25.07</v>
      </c>
      <c r="BF24" s="7">
        <v>22.88</v>
      </c>
      <c r="BG24" s="7">
        <v>24.64</v>
      </c>
      <c r="BH24" s="10">
        <v>23.09</v>
      </c>
      <c r="BI24" s="10">
        <v>23.97</v>
      </c>
    </row>
    <row r="25" spans="1:61" ht="15.75" customHeight="1" x14ac:dyDescent="0.25">
      <c r="A25" s="1">
        <v>24</v>
      </c>
      <c r="B25" s="1"/>
      <c r="C25" s="1">
        <v>24</v>
      </c>
      <c r="D25" s="6"/>
      <c r="E25" s="6">
        <v>21.34</v>
      </c>
      <c r="F25" s="6">
        <v>25.11</v>
      </c>
      <c r="G25" s="6"/>
      <c r="H25" s="6"/>
      <c r="I25" s="6"/>
      <c r="J25" s="9">
        <v>23.08</v>
      </c>
      <c r="K25" s="9">
        <v>22.73</v>
      </c>
      <c r="L25" s="9">
        <v>23.56</v>
      </c>
      <c r="M25" s="9">
        <v>22.14</v>
      </c>
      <c r="N25" s="9">
        <v>22.06</v>
      </c>
      <c r="O25" s="9">
        <v>22.27</v>
      </c>
      <c r="P25" s="9">
        <v>23.41</v>
      </c>
      <c r="Q25" s="9">
        <v>24.49</v>
      </c>
      <c r="R25" s="9">
        <v>25.11</v>
      </c>
      <c r="S25" s="9">
        <v>25.62</v>
      </c>
      <c r="T25" s="9">
        <v>26.1</v>
      </c>
      <c r="U25" s="9">
        <v>24.94</v>
      </c>
      <c r="V25" s="9">
        <v>23.57</v>
      </c>
      <c r="W25" s="6">
        <v>24.22</v>
      </c>
      <c r="X25" s="6">
        <v>23.28</v>
      </c>
      <c r="Y25" s="6">
        <v>24.57</v>
      </c>
      <c r="Z25" s="6">
        <v>22.7</v>
      </c>
      <c r="AA25" s="6">
        <v>23.58</v>
      </c>
      <c r="AB25" s="6">
        <v>22.85</v>
      </c>
      <c r="AC25" s="6">
        <v>23.37</v>
      </c>
      <c r="AD25" s="6">
        <v>23.11</v>
      </c>
      <c r="AE25" s="6">
        <v>23.22</v>
      </c>
      <c r="AF25" s="6">
        <v>23.15</v>
      </c>
      <c r="AG25" s="6">
        <v>24.48</v>
      </c>
      <c r="AH25" s="6">
        <v>22.52</v>
      </c>
      <c r="AI25" s="6">
        <v>24.38</v>
      </c>
      <c r="AJ25" s="7">
        <v>23.03</v>
      </c>
      <c r="AK25" s="7">
        <v>23.34</v>
      </c>
      <c r="AL25" s="7">
        <v>23.23</v>
      </c>
      <c r="AM25" s="7">
        <v>22.35</v>
      </c>
      <c r="AN25" s="7">
        <v>23.36</v>
      </c>
      <c r="AO25" s="7">
        <v>23.49</v>
      </c>
      <c r="AP25" s="7">
        <v>23.38</v>
      </c>
      <c r="AQ25" s="7">
        <v>23</v>
      </c>
      <c r="AR25" s="7">
        <v>23.57</v>
      </c>
      <c r="AS25" s="7">
        <v>24.08</v>
      </c>
      <c r="AT25" s="7">
        <v>21.35</v>
      </c>
      <c r="AU25" s="7">
        <v>23.96</v>
      </c>
      <c r="AV25" s="7">
        <v>24.57</v>
      </c>
      <c r="AW25" s="7">
        <v>22.52</v>
      </c>
      <c r="AX25" s="7">
        <v>22.9</v>
      </c>
      <c r="AY25" s="7">
        <v>23.05</v>
      </c>
      <c r="AZ25" s="7">
        <v>22.79</v>
      </c>
      <c r="BA25" s="7">
        <v>24.96</v>
      </c>
      <c r="BB25" s="7">
        <v>23.74</v>
      </c>
      <c r="BC25" s="7">
        <v>22.69</v>
      </c>
      <c r="BD25" s="7">
        <v>23.64</v>
      </c>
      <c r="BE25" s="7">
        <v>24.99</v>
      </c>
      <c r="BF25" s="7">
        <v>22.85</v>
      </c>
      <c r="BG25" s="7">
        <v>24.6</v>
      </c>
      <c r="BH25" s="10">
        <v>23.02</v>
      </c>
      <c r="BI25" s="10">
        <v>23.85</v>
      </c>
    </row>
    <row r="26" spans="1:61" ht="15.75" customHeight="1" x14ac:dyDescent="0.25">
      <c r="A26" s="1">
        <v>25</v>
      </c>
      <c r="B26" s="1"/>
      <c r="C26" s="1">
        <v>25</v>
      </c>
      <c r="D26" s="6"/>
      <c r="E26" s="6">
        <v>21.62</v>
      </c>
      <c r="F26" s="6">
        <v>25.05</v>
      </c>
      <c r="G26" s="6"/>
      <c r="H26" s="6"/>
      <c r="I26" s="6"/>
      <c r="J26" s="9">
        <v>23.03</v>
      </c>
      <c r="K26" s="9">
        <v>22.73</v>
      </c>
      <c r="L26" s="9">
        <v>23.56</v>
      </c>
      <c r="M26" s="9">
        <v>22.11</v>
      </c>
      <c r="N26" s="9">
        <v>21.98</v>
      </c>
      <c r="O26" s="9">
        <v>22.22</v>
      </c>
      <c r="P26" s="9">
        <v>23.33</v>
      </c>
      <c r="Q26" s="9">
        <v>24.41</v>
      </c>
      <c r="R26" s="9">
        <v>25.03</v>
      </c>
      <c r="S26" s="9">
        <v>25.56</v>
      </c>
      <c r="T26" s="9">
        <v>26.15</v>
      </c>
      <c r="U26" s="9">
        <v>24.87</v>
      </c>
      <c r="V26" s="9">
        <v>23.54</v>
      </c>
      <c r="W26" s="6">
        <v>24.22</v>
      </c>
      <c r="X26" s="6">
        <v>23.2</v>
      </c>
      <c r="Y26" s="6">
        <v>24.57</v>
      </c>
      <c r="Z26" s="6">
        <v>22.72</v>
      </c>
      <c r="AA26" s="6">
        <v>23.48</v>
      </c>
      <c r="AB26" s="6">
        <v>22.78</v>
      </c>
      <c r="AC26" s="6">
        <v>23.31</v>
      </c>
      <c r="AD26" s="6">
        <v>23.06</v>
      </c>
      <c r="AE26" s="6">
        <v>23.2</v>
      </c>
      <c r="AF26" s="6">
        <v>23.1</v>
      </c>
      <c r="AG26" s="6">
        <v>24.42</v>
      </c>
      <c r="AH26" s="6">
        <v>22.48</v>
      </c>
      <c r="AI26" s="6">
        <v>24.3</v>
      </c>
      <c r="AJ26" s="7">
        <v>23.03</v>
      </c>
      <c r="AK26" s="7">
        <v>23.26</v>
      </c>
      <c r="AL26" s="7">
        <v>23.12</v>
      </c>
      <c r="AM26" s="7">
        <v>22.29</v>
      </c>
      <c r="AN26" s="7">
        <v>23.24</v>
      </c>
      <c r="AO26" s="7">
        <v>23.46</v>
      </c>
      <c r="AP26" s="7">
        <v>23.37</v>
      </c>
      <c r="AQ26" s="7">
        <v>22.99</v>
      </c>
      <c r="AR26" s="7">
        <v>23.5</v>
      </c>
      <c r="AS26" s="7">
        <v>23.99</v>
      </c>
      <c r="AT26" s="7">
        <v>21.31</v>
      </c>
      <c r="AU26" s="7">
        <v>23.8</v>
      </c>
      <c r="AV26" s="7">
        <v>24.42</v>
      </c>
      <c r="AW26" s="7">
        <v>22.48</v>
      </c>
      <c r="AX26" s="7">
        <v>22.85</v>
      </c>
      <c r="AY26" s="7">
        <v>23.05</v>
      </c>
      <c r="AZ26" s="7">
        <v>22.68</v>
      </c>
      <c r="BA26" s="7">
        <v>24.8</v>
      </c>
      <c r="BB26" s="7">
        <v>23.83</v>
      </c>
      <c r="BC26" s="7">
        <v>22.63</v>
      </c>
      <c r="BD26" s="7">
        <v>23.61</v>
      </c>
      <c r="BE26" s="7">
        <v>24.77</v>
      </c>
      <c r="BF26" s="7">
        <v>22.83</v>
      </c>
      <c r="BG26" s="7">
        <v>24.58</v>
      </c>
      <c r="BH26" s="10">
        <v>22.94</v>
      </c>
      <c r="BI26" s="10">
        <v>23.72</v>
      </c>
    </row>
    <row r="27" spans="1:61" ht="15.75" customHeight="1" x14ac:dyDescent="0.25">
      <c r="A27" s="1">
        <v>26</v>
      </c>
      <c r="B27" s="1"/>
      <c r="C27" s="1">
        <v>26</v>
      </c>
      <c r="D27" s="6"/>
      <c r="E27" s="6">
        <v>21.76</v>
      </c>
      <c r="F27" s="6">
        <v>24.96</v>
      </c>
      <c r="G27" s="6"/>
      <c r="H27" s="6"/>
      <c r="I27" s="6"/>
      <c r="J27" s="9">
        <v>22.98</v>
      </c>
      <c r="K27" s="9">
        <v>22.73</v>
      </c>
      <c r="L27" s="9">
        <v>23.58</v>
      </c>
      <c r="M27" s="9">
        <v>22.06</v>
      </c>
      <c r="N27" s="9">
        <v>21.94</v>
      </c>
      <c r="O27" s="9">
        <v>22.17</v>
      </c>
      <c r="P27" s="9">
        <v>23.27</v>
      </c>
      <c r="Q27" s="9">
        <v>24.36</v>
      </c>
      <c r="R27" s="9">
        <v>24.95</v>
      </c>
      <c r="S27" s="9">
        <v>25.46</v>
      </c>
      <c r="T27" s="9">
        <v>26.23</v>
      </c>
      <c r="U27" s="9">
        <v>24.78</v>
      </c>
      <c r="V27" s="9">
        <v>23.51</v>
      </c>
      <c r="W27" s="6">
        <v>24.22</v>
      </c>
      <c r="X27" s="6">
        <v>23.15</v>
      </c>
      <c r="Y27" s="6">
        <v>24.59</v>
      </c>
      <c r="Z27" s="6">
        <v>22.74</v>
      </c>
      <c r="AA27" s="6">
        <v>23.38</v>
      </c>
      <c r="AB27" s="6">
        <v>22.74</v>
      </c>
      <c r="AC27" s="6">
        <v>23.27</v>
      </c>
      <c r="AD27" s="6">
        <v>23.01</v>
      </c>
      <c r="AE27" s="6">
        <v>23.18</v>
      </c>
      <c r="AF27" s="6">
        <v>23.03</v>
      </c>
      <c r="AG27" s="6">
        <v>24.36</v>
      </c>
      <c r="AH27" s="6">
        <v>22.43</v>
      </c>
      <c r="AI27" s="6">
        <v>24.24</v>
      </c>
      <c r="AJ27" s="7">
        <v>22.99</v>
      </c>
      <c r="AK27" s="7">
        <v>23.19</v>
      </c>
      <c r="AL27" s="7">
        <v>23.03</v>
      </c>
      <c r="AM27" s="7">
        <v>22.24</v>
      </c>
      <c r="AN27" s="7">
        <v>23.13</v>
      </c>
      <c r="AO27" s="7">
        <v>23.47</v>
      </c>
      <c r="AP27" s="7">
        <v>23.39</v>
      </c>
      <c r="AQ27" s="7">
        <v>22.957999999999998</v>
      </c>
      <c r="AR27" s="7">
        <v>23.46</v>
      </c>
      <c r="AS27" s="7">
        <v>23.88</v>
      </c>
      <c r="AT27" s="7">
        <v>21.28</v>
      </c>
      <c r="AU27" s="7">
        <v>23.68</v>
      </c>
      <c r="AV27" s="7">
        <v>24.28</v>
      </c>
      <c r="AW27" s="7">
        <v>22.45</v>
      </c>
      <c r="AX27" s="7">
        <v>22.79</v>
      </c>
      <c r="AY27" s="7">
        <v>23.08</v>
      </c>
      <c r="AZ27" s="7">
        <v>22.59</v>
      </c>
      <c r="BA27" s="7">
        <v>24.68</v>
      </c>
      <c r="BB27" s="7">
        <v>23.89</v>
      </c>
      <c r="BC27" s="7">
        <v>22.57</v>
      </c>
      <c r="BD27" s="7">
        <v>23.58</v>
      </c>
      <c r="BE27" s="7">
        <v>24.68</v>
      </c>
      <c r="BF27" s="7">
        <v>22.8</v>
      </c>
      <c r="BG27" s="7">
        <v>24.56</v>
      </c>
      <c r="BH27" s="10">
        <v>22.86</v>
      </c>
      <c r="BI27" s="10">
        <v>23.62</v>
      </c>
    </row>
    <row r="28" spans="1:61" ht="15.75" customHeight="1" x14ac:dyDescent="0.25">
      <c r="A28" s="1">
        <v>27</v>
      </c>
      <c r="B28" s="1"/>
      <c r="C28" s="1">
        <v>27</v>
      </c>
      <c r="D28" s="6"/>
      <c r="E28" s="6">
        <v>21.32</v>
      </c>
      <c r="F28" s="6">
        <v>24.87</v>
      </c>
      <c r="G28" s="6"/>
      <c r="H28" s="6"/>
      <c r="I28" s="6"/>
      <c r="J28" s="9">
        <v>22.88</v>
      </c>
      <c r="K28" s="9">
        <v>22.68</v>
      </c>
      <c r="L28" s="9">
        <v>23.52</v>
      </c>
      <c r="M28" s="9">
        <v>22.02</v>
      </c>
      <c r="N28" s="9">
        <v>21.91</v>
      </c>
      <c r="O28" s="9">
        <v>22.14</v>
      </c>
      <c r="P28" s="9">
        <v>23.22</v>
      </c>
      <c r="Q28" s="9">
        <v>24.28</v>
      </c>
      <c r="R28" s="9">
        <v>24.85</v>
      </c>
      <c r="S28" s="9">
        <v>25.37</v>
      </c>
      <c r="T28" s="9">
        <v>26.3</v>
      </c>
      <c r="U28" s="9">
        <v>24.69</v>
      </c>
      <c r="V28" s="9">
        <v>23.48</v>
      </c>
      <c r="W28" s="6">
        <v>24.22</v>
      </c>
      <c r="X28" s="6">
        <v>23.13</v>
      </c>
      <c r="Y28" s="6">
        <v>24.59</v>
      </c>
      <c r="Z28" s="6">
        <v>22.8</v>
      </c>
      <c r="AA28" s="6">
        <v>23.3</v>
      </c>
      <c r="AB28" s="6">
        <v>22.68</v>
      </c>
      <c r="AC28" s="6">
        <v>23.26</v>
      </c>
      <c r="AD28" s="6">
        <v>22.98</v>
      </c>
      <c r="AE28" s="6">
        <v>23.16</v>
      </c>
      <c r="AF28" s="6">
        <v>22.97</v>
      </c>
      <c r="AG28" s="6">
        <v>24.29</v>
      </c>
      <c r="AH28" s="6">
        <v>22.39</v>
      </c>
      <c r="AI28" s="6">
        <v>24.2</v>
      </c>
      <c r="AJ28" s="7">
        <v>22.96</v>
      </c>
      <c r="AK28" s="7">
        <v>23.12</v>
      </c>
      <c r="AL28" s="7">
        <v>23</v>
      </c>
      <c r="AM28" s="7">
        <v>22.2</v>
      </c>
      <c r="AN28" s="7">
        <v>23.04</v>
      </c>
      <c r="AO28" s="7">
        <v>23.36</v>
      </c>
      <c r="AP28" s="7">
        <v>23.41</v>
      </c>
      <c r="AQ28" s="7">
        <v>22.91</v>
      </c>
      <c r="AR28" s="7">
        <v>23.38</v>
      </c>
      <c r="AS28" s="7">
        <v>23.79</v>
      </c>
      <c r="AT28" s="7">
        <v>21.24</v>
      </c>
      <c r="AU28" s="7">
        <v>23.57</v>
      </c>
      <c r="AV28" s="7">
        <v>24.12</v>
      </c>
      <c r="AW28" s="7">
        <v>22.4</v>
      </c>
      <c r="AX28" s="7">
        <v>22.72</v>
      </c>
      <c r="AY28" s="7">
        <v>23.06</v>
      </c>
      <c r="AZ28" s="7">
        <v>22.47</v>
      </c>
      <c r="BA28" s="7">
        <v>24.52</v>
      </c>
      <c r="BB28" s="7">
        <v>23.93</v>
      </c>
      <c r="BC28" s="7">
        <v>22.5</v>
      </c>
      <c r="BD28" s="7">
        <v>23.54</v>
      </c>
      <c r="BE28" s="7">
        <v>24.59</v>
      </c>
      <c r="BF28" s="7">
        <v>22.77</v>
      </c>
      <c r="BG28" s="7">
        <v>24.55</v>
      </c>
      <c r="BH28" s="10">
        <v>22.79</v>
      </c>
      <c r="BI28" s="10">
        <v>23.53</v>
      </c>
    </row>
    <row r="29" spans="1:61" ht="15.75" customHeight="1" x14ac:dyDescent="0.25">
      <c r="A29" s="1">
        <v>28</v>
      </c>
      <c r="B29" s="1"/>
      <c r="C29" s="1">
        <v>28</v>
      </c>
      <c r="D29" s="6"/>
      <c r="E29" s="6">
        <v>22.93</v>
      </c>
      <c r="F29" s="6">
        <v>24.79</v>
      </c>
      <c r="G29" s="6"/>
      <c r="H29" s="6"/>
      <c r="I29" s="6"/>
      <c r="J29" s="9">
        <v>22.78</v>
      </c>
      <c r="K29" s="9">
        <v>22.63</v>
      </c>
      <c r="L29" s="9">
        <v>23.44</v>
      </c>
      <c r="M29" s="9">
        <v>21.98</v>
      </c>
      <c r="N29" s="9">
        <v>21.86</v>
      </c>
      <c r="O29" s="9">
        <v>22.09</v>
      </c>
      <c r="P29" s="9">
        <v>23.15</v>
      </c>
      <c r="Q29" s="9">
        <v>24.2</v>
      </c>
      <c r="R29" s="9">
        <v>24.75</v>
      </c>
      <c r="S29" s="9">
        <v>25.27</v>
      </c>
      <c r="T29" s="9">
        <v>26.38</v>
      </c>
      <c r="U29" s="9">
        <v>24.61</v>
      </c>
      <c r="V29" s="9">
        <v>23.46</v>
      </c>
      <c r="W29" s="6">
        <v>24.19</v>
      </c>
      <c r="X29" s="6">
        <v>23.11</v>
      </c>
      <c r="Y29" s="6">
        <v>24.57</v>
      </c>
      <c r="Z29" s="6">
        <v>22.81</v>
      </c>
      <c r="AA29" s="6">
        <v>23.22</v>
      </c>
      <c r="AB29" s="6">
        <v>22.62</v>
      </c>
      <c r="AC29" s="6">
        <v>23.24</v>
      </c>
      <c r="AD29" s="6">
        <v>22.92</v>
      </c>
      <c r="AE29" s="6">
        <v>23.15</v>
      </c>
      <c r="AF29" s="6">
        <v>22.92</v>
      </c>
      <c r="AG29" s="6">
        <v>24.2</v>
      </c>
      <c r="AH29" s="6">
        <v>22.36</v>
      </c>
      <c r="AI29" s="6">
        <v>24.16</v>
      </c>
      <c r="AJ29" s="7">
        <v>22.96</v>
      </c>
      <c r="AK29" s="7">
        <v>23.08</v>
      </c>
      <c r="AL29" s="7">
        <v>22.94</v>
      </c>
      <c r="AM29" s="7">
        <v>22.15</v>
      </c>
      <c r="AN29" s="7">
        <v>22.94</v>
      </c>
      <c r="AO29" s="7">
        <v>23.28</v>
      </c>
      <c r="AP29" s="7">
        <v>23.5</v>
      </c>
      <c r="AQ29" s="7">
        <v>22.87</v>
      </c>
      <c r="AR29" s="7">
        <v>23.28</v>
      </c>
      <c r="AS29" s="7">
        <v>23.68</v>
      </c>
      <c r="AT29" s="7">
        <v>21.21</v>
      </c>
      <c r="AU29" s="7">
        <v>23.57</v>
      </c>
      <c r="AV29" s="7">
        <v>24.01</v>
      </c>
      <c r="AW29" s="7">
        <v>22.35</v>
      </c>
      <c r="AX29" s="7">
        <v>22.7</v>
      </c>
      <c r="AY29" s="7">
        <v>23.06</v>
      </c>
      <c r="AZ29" s="7">
        <v>22.4</v>
      </c>
      <c r="BA29" s="7">
        <v>24.42</v>
      </c>
      <c r="BB29" s="7">
        <v>24</v>
      </c>
      <c r="BC29" s="7">
        <v>22.44</v>
      </c>
      <c r="BD29" s="7">
        <v>23.54</v>
      </c>
      <c r="BE29" s="7">
        <v>24.42</v>
      </c>
      <c r="BF29" s="7">
        <v>22.74</v>
      </c>
      <c r="BG29" s="7">
        <v>24.5</v>
      </c>
      <c r="BH29" s="10">
        <v>22.73</v>
      </c>
      <c r="BI29" s="10">
        <v>23.46</v>
      </c>
    </row>
    <row r="30" spans="1:61" ht="15.75" customHeight="1" x14ac:dyDescent="0.25">
      <c r="A30" s="1">
        <v>29</v>
      </c>
      <c r="B30" s="1"/>
      <c r="C30" s="1">
        <v>29</v>
      </c>
      <c r="D30" s="6"/>
      <c r="E30" s="6">
        <v>22.07</v>
      </c>
      <c r="F30" s="6">
        <v>24.67</v>
      </c>
      <c r="G30" s="6"/>
      <c r="H30" s="6"/>
      <c r="I30" s="6"/>
      <c r="J30" s="9">
        <v>22.68</v>
      </c>
      <c r="K30" s="9">
        <v>22.58</v>
      </c>
      <c r="L30" s="9">
        <v>23.36</v>
      </c>
      <c r="M30" s="9">
        <v>21.92</v>
      </c>
      <c r="N30" s="9">
        <v>21.82</v>
      </c>
      <c r="O30" s="9">
        <v>22.03</v>
      </c>
      <c r="P30" s="9">
        <v>23.08</v>
      </c>
      <c r="Q30" s="9">
        <v>24.15</v>
      </c>
      <c r="R30" s="9">
        <v>24.66</v>
      </c>
      <c r="S30" s="9">
        <v>25.18</v>
      </c>
      <c r="T30" s="9">
        <v>26.43</v>
      </c>
      <c r="U30" s="9">
        <v>24.57</v>
      </c>
      <c r="V30" s="9">
        <v>23.44</v>
      </c>
      <c r="W30" s="6">
        <v>24.14</v>
      </c>
      <c r="X30" s="6">
        <v>23.1</v>
      </c>
      <c r="Y30" s="6">
        <v>24.56</v>
      </c>
      <c r="Z30" s="6">
        <v>22.83</v>
      </c>
      <c r="AA30" s="6">
        <v>23.08</v>
      </c>
      <c r="AB30" s="6">
        <v>22.58</v>
      </c>
      <c r="AC30" s="6">
        <v>23.23</v>
      </c>
      <c r="AD30" s="6">
        <v>22.85</v>
      </c>
      <c r="AE30" s="6">
        <v>23.18</v>
      </c>
      <c r="AF30" s="6">
        <v>22.82</v>
      </c>
      <c r="AG30" s="6">
        <v>24.12</v>
      </c>
      <c r="AH30" s="6">
        <v>22.32</v>
      </c>
      <c r="AI30" s="6">
        <v>24.16</v>
      </c>
      <c r="AJ30" s="7">
        <v>22.96</v>
      </c>
      <c r="AK30" s="7">
        <v>23.04</v>
      </c>
      <c r="AL30" s="7">
        <v>22.92</v>
      </c>
      <c r="AM30" s="7">
        <v>22.1</v>
      </c>
      <c r="AN30" s="7">
        <v>22.85</v>
      </c>
      <c r="AO30" s="7">
        <v>23.19</v>
      </c>
      <c r="AP30" s="7">
        <v>23.56</v>
      </c>
      <c r="AQ30" s="7">
        <v>22.85</v>
      </c>
      <c r="AR30" s="7">
        <v>23.18</v>
      </c>
      <c r="AS30" s="7">
        <v>23.6</v>
      </c>
      <c r="AT30" s="7">
        <v>21.19</v>
      </c>
      <c r="AU30" s="7">
        <v>23.43</v>
      </c>
      <c r="AV30" s="7">
        <v>23.91</v>
      </c>
      <c r="AW30" s="7">
        <v>22.32</v>
      </c>
      <c r="AX30" s="7">
        <v>22.68</v>
      </c>
      <c r="AY30" s="7">
        <v>23.1</v>
      </c>
      <c r="AZ30" s="7">
        <v>22.33</v>
      </c>
      <c r="BA30" s="7">
        <v>24.3</v>
      </c>
      <c r="BB30" s="7">
        <v>24.05</v>
      </c>
      <c r="BC30" s="7">
        <v>22.36</v>
      </c>
      <c r="BD30" s="7">
        <v>23.52</v>
      </c>
      <c r="BE30" s="7">
        <v>24.34</v>
      </c>
      <c r="BF30" s="7">
        <v>22.71</v>
      </c>
      <c r="BG30" s="7">
        <v>24.45</v>
      </c>
      <c r="BH30" s="10">
        <v>22.67</v>
      </c>
      <c r="BI30" s="10">
        <v>23.36</v>
      </c>
    </row>
    <row r="31" spans="1:61" ht="15.75" customHeight="1" x14ac:dyDescent="0.25">
      <c r="A31" s="1">
        <v>30</v>
      </c>
      <c r="B31" s="1"/>
      <c r="C31" s="1">
        <v>30</v>
      </c>
      <c r="D31" s="6"/>
      <c r="E31" s="6">
        <v>22.07</v>
      </c>
      <c r="F31" s="6">
        <v>24.54</v>
      </c>
      <c r="G31" s="6"/>
      <c r="H31" s="6"/>
      <c r="I31" s="6"/>
      <c r="J31" s="9">
        <v>22.58</v>
      </c>
      <c r="K31" s="9">
        <v>22.48</v>
      </c>
      <c r="L31" s="9">
        <v>23.27</v>
      </c>
      <c r="M31" s="9">
        <v>21.87</v>
      </c>
      <c r="N31" s="9">
        <v>21.79</v>
      </c>
      <c r="O31" s="9">
        <v>22</v>
      </c>
      <c r="P31" s="9">
        <v>23.02</v>
      </c>
      <c r="Q31" s="9">
        <v>24.08</v>
      </c>
      <c r="R31" s="9">
        <v>24.57</v>
      </c>
      <c r="S31" s="9">
        <v>25.09</v>
      </c>
      <c r="T31" s="9">
        <v>26.42</v>
      </c>
      <c r="U31" s="9">
        <v>24.5</v>
      </c>
      <c r="V31" s="9">
        <v>23.42</v>
      </c>
      <c r="W31" s="6">
        <v>24.06</v>
      </c>
      <c r="X31" s="6">
        <v>23.07</v>
      </c>
      <c r="Y31" s="6">
        <v>24.55</v>
      </c>
      <c r="Z31" s="6">
        <v>22.88</v>
      </c>
      <c r="AA31" s="6">
        <v>23.1</v>
      </c>
      <c r="AB31" s="6">
        <v>22.52</v>
      </c>
      <c r="AC31" s="6">
        <v>23.2</v>
      </c>
      <c r="AD31" s="6">
        <v>22.8</v>
      </c>
      <c r="AE31" s="6">
        <v>23.19</v>
      </c>
      <c r="AF31" s="6">
        <v>22.8</v>
      </c>
      <c r="AG31" s="6">
        <v>24.01</v>
      </c>
      <c r="AH31" s="6">
        <v>22.29</v>
      </c>
      <c r="AI31" s="6">
        <v>24.16</v>
      </c>
      <c r="AJ31" s="7">
        <v>22.91</v>
      </c>
      <c r="AK31" s="7">
        <v>23</v>
      </c>
      <c r="AL31" s="7">
        <v>22.9</v>
      </c>
      <c r="AM31" s="7">
        <v>22.03</v>
      </c>
      <c r="AN31" s="7">
        <v>22.78</v>
      </c>
      <c r="AO31" s="7">
        <v>23.1</v>
      </c>
      <c r="AP31" s="7">
        <v>23.64</v>
      </c>
      <c r="AQ31" s="7">
        <v>22.83</v>
      </c>
      <c r="AR31" s="7">
        <v>23.06</v>
      </c>
      <c r="AS31" s="7">
        <v>23.54</v>
      </c>
      <c r="AT31" s="7">
        <v>21.17</v>
      </c>
      <c r="AU31" s="7">
        <v>23.35</v>
      </c>
      <c r="AV31" s="7">
        <v>23.82</v>
      </c>
      <c r="AW31" s="7">
        <v>22.28</v>
      </c>
      <c r="AX31" s="7">
        <v>22.66</v>
      </c>
      <c r="AY31" s="7">
        <v>23.1</v>
      </c>
      <c r="AZ31" s="7">
        <v>22.25</v>
      </c>
      <c r="BA31" s="7">
        <v>24.18</v>
      </c>
      <c r="BB31" s="7">
        <v>24</v>
      </c>
      <c r="BC31" s="7">
        <v>22.31</v>
      </c>
      <c r="BD31" s="7">
        <v>23.48</v>
      </c>
      <c r="BE31" s="7">
        <v>24.25</v>
      </c>
      <c r="BF31" s="7">
        <v>22.7</v>
      </c>
      <c r="BG31" s="7">
        <v>24.38</v>
      </c>
      <c r="BH31" s="10">
        <v>22.62</v>
      </c>
      <c r="BI31" s="10">
        <v>23.28</v>
      </c>
    </row>
    <row r="32" spans="1:61" ht="15.75" customHeight="1" x14ac:dyDescent="0.25">
      <c r="A32" s="1">
        <v>31</v>
      </c>
      <c r="B32" s="1"/>
      <c r="C32" s="1">
        <v>31</v>
      </c>
      <c r="D32" s="6"/>
      <c r="E32" s="6">
        <v>22.2</v>
      </c>
      <c r="F32" s="6">
        <v>24.36</v>
      </c>
      <c r="G32" s="6"/>
      <c r="H32" s="6"/>
      <c r="I32" s="6"/>
      <c r="J32" s="9">
        <v>22.53</v>
      </c>
      <c r="K32" s="9">
        <v>22.38</v>
      </c>
      <c r="L32" s="9">
        <v>23.22</v>
      </c>
      <c r="M32" s="9">
        <v>21.81</v>
      </c>
      <c r="N32" s="9">
        <v>21.76</v>
      </c>
      <c r="O32" s="9">
        <v>21.94</v>
      </c>
      <c r="P32" s="9">
        <v>22.95</v>
      </c>
      <c r="Q32" s="9">
        <v>24.03</v>
      </c>
      <c r="R32" s="9">
        <v>24.48</v>
      </c>
      <c r="S32" s="9">
        <v>25</v>
      </c>
      <c r="T32" s="9">
        <v>26.38</v>
      </c>
      <c r="U32" s="9">
        <v>24.44</v>
      </c>
      <c r="V32" s="9">
        <v>23.39</v>
      </c>
      <c r="W32" s="6">
        <v>23.97</v>
      </c>
      <c r="X32" s="6">
        <v>23.06</v>
      </c>
      <c r="Y32" s="6">
        <v>24.51</v>
      </c>
      <c r="Z32" s="6">
        <v>22.93</v>
      </c>
      <c r="AA32" s="6">
        <v>23.05</v>
      </c>
      <c r="AB32" s="6">
        <v>22.47</v>
      </c>
      <c r="AC32" s="6">
        <v>23.12</v>
      </c>
      <c r="AD32" s="6">
        <v>22.72</v>
      </c>
      <c r="AE32" s="6">
        <v>23.2</v>
      </c>
      <c r="AF32" s="6">
        <v>22.77</v>
      </c>
      <c r="AG32" s="6">
        <v>23.96</v>
      </c>
      <c r="AH32" s="6">
        <v>22.26</v>
      </c>
      <c r="AI32" s="6">
        <v>24.2</v>
      </c>
      <c r="AJ32" s="7">
        <v>22.92</v>
      </c>
      <c r="AK32" s="7">
        <v>22.95</v>
      </c>
      <c r="AL32" s="7">
        <v>22.9</v>
      </c>
      <c r="AM32" s="7">
        <v>22</v>
      </c>
      <c r="AN32" s="7">
        <v>22.68</v>
      </c>
      <c r="AO32" s="7">
        <v>23.01</v>
      </c>
      <c r="AP32" s="7">
        <v>23.76</v>
      </c>
      <c r="AQ32" s="7">
        <v>22.7</v>
      </c>
      <c r="AR32" s="7">
        <v>22.94</v>
      </c>
      <c r="AS32" s="7">
        <v>23.5</v>
      </c>
      <c r="AT32" s="7">
        <v>21.15</v>
      </c>
      <c r="AU32" s="7">
        <v>23.2</v>
      </c>
      <c r="AV32" s="7">
        <v>23.72</v>
      </c>
      <c r="AW32" s="7">
        <v>22.25</v>
      </c>
      <c r="AX32" s="7">
        <v>22.65</v>
      </c>
      <c r="AY32" s="7">
        <v>23.1</v>
      </c>
      <c r="AZ32" s="7">
        <v>22.2</v>
      </c>
      <c r="BA32" s="7">
        <v>24.05</v>
      </c>
      <c r="BB32" s="7">
        <v>23.95</v>
      </c>
      <c r="BC32" s="7">
        <v>22.31</v>
      </c>
      <c r="BD32" s="7">
        <v>23.44</v>
      </c>
      <c r="BE32" s="7">
        <v>24.08</v>
      </c>
      <c r="BF32" s="7">
        <v>22.7</v>
      </c>
      <c r="BG32" s="7">
        <v>24.2</v>
      </c>
      <c r="BH32" s="10">
        <v>22.56</v>
      </c>
      <c r="BI32" s="10">
        <v>23.2</v>
      </c>
    </row>
    <row r="33" spans="1:61" ht="15.75" customHeight="1" x14ac:dyDescent="0.25">
      <c r="A33" s="1">
        <v>32</v>
      </c>
      <c r="B33" s="1" t="s">
        <v>4</v>
      </c>
      <c r="C33" s="1">
        <v>1</v>
      </c>
      <c r="D33" s="6"/>
      <c r="E33" s="6">
        <v>22.3</v>
      </c>
      <c r="F33" s="6">
        <v>24.2</v>
      </c>
      <c r="G33" s="6"/>
      <c r="H33" s="6"/>
      <c r="I33" s="6"/>
      <c r="J33" s="9">
        <v>22.48</v>
      </c>
      <c r="K33" s="9">
        <v>22.38</v>
      </c>
      <c r="L33" s="9">
        <v>23.17</v>
      </c>
      <c r="M33" s="9">
        <v>21.76</v>
      </c>
      <c r="N33" s="9">
        <v>21.74</v>
      </c>
      <c r="O33" s="9">
        <v>21.9</v>
      </c>
      <c r="P33" s="9">
        <v>22.95</v>
      </c>
      <c r="Q33" s="9">
        <v>23.97</v>
      </c>
      <c r="R33" s="9">
        <v>24.38</v>
      </c>
      <c r="S33" s="9">
        <v>24.9</v>
      </c>
      <c r="T33" s="9">
        <v>26.3</v>
      </c>
      <c r="U33" s="9">
        <v>24.4</v>
      </c>
      <c r="V33" s="9">
        <v>23.39</v>
      </c>
      <c r="W33" s="6">
        <v>23.88</v>
      </c>
      <c r="X33" s="6">
        <v>23.04</v>
      </c>
      <c r="Y33" s="6">
        <v>24.46</v>
      </c>
      <c r="Z33" s="6">
        <v>22.98</v>
      </c>
      <c r="AA33" s="6">
        <v>23</v>
      </c>
      <c r="AB33" s="6">
        <v>22.42</v>
      </c>
      <c r="AC33" s="6">
        <v>23.05</v>
      </c>
      <c r="AD33" s="6">
        <v>22.7</v>
      </c>
      <c r="AE33" s="6">
        <v>23.21</v>
      </c>
      <c r="AF33" s="6">
        <v>22.72</v>
      </c>
      <c r="AG33" s="6">
        <v>23.83</v>
      </c>
      <c r="AH33" s="6">
        <v>22.23</v>
      </c>
      <c r="AI33" s="6">
        <v>24.26</v>
      </c>
      <c r="AJ33" s="7">
        <v>22.93</v>
      </c>
      <c r="AK33" s="7">
        <v>22.89</v>
      </c>
      <c r="AL33" s="7">
        <v>22.96</v>
      </c>
      <c r="AM33" s="7">
        <v>21.95</v>
      </c>
      <c r="AN33" s="7">
        <v>22.63</v>
      </c>
      <c r="AO33" s="7">
        <v>22.97</v>
      </c>
      <c r="AP33" s="7">
        <v>23.82</v>
      </c>
      <c r="AQ33" s="7">
        <v>22.66</v>
      </c>
      <c r="AR33" s="7">
        <v>22.88</v>
      </c>
      <c r="AS33" s="7">
        <v>23.47</v>
      </c>
      <c r="AT33" s="7">
        <v>21.12</v>
      </c>
      <c r="AU33" s="7">
        <v>23.1</v>
      </c>
      <c r="AV33" s="7">
        <v>23.64</v>
      </c>
      <c r="AW33" s="7">
        <v>22.22</v>
      </c>
      <c r="AX33" s="7">
        <v>22.55</v>
      </c>
      <c r="AY33" s="7">
        <v>23.15</v>
      </c>
      <c r="AZ33" s="7">
        <v>22.13</v>
      </c>
      <c r="BA33" s="7">
        <v>23.9</v>
      </c>
      <c r="BB33" s="7">
        <v>23.85</v>
      </c>
      <c r="BC33" s="7">
        <v>22.28</v>
      </c>
      <c r="BD33" s="7">
        <v>23.4</v>
      </c>
      <c r="BE33" s="7">
        <v>24.1</v>
      </c>
      <c r="BF33" s="7">
        <v>22.68</v>
      </c>
      <c r="BG33" s="7">
        <v>24.2</v>
      </c>
      <c r="BH33" s="10">
        <v>22.5</v>
      </c>
      <c r="BI33" s="10">
        <v>23.15</v>
      </c>
    </row>
    <row r="34" spans="1:61" ht="15.75" customHeight="1" x14ac:dyDescent="0.25">
      <c r="A34" s="1">
        <v>33</v>
      </c>
      <c r="B34" s="1"/>
      <c r="C34" s="1">
        <v>2</v>
      </c>
      <c r="D34" s="6"/>
      <c r="E34" s="6">
        <v>22.4</v>
      </c>
      <c r="F34" s="6">
        <v>24.04</v>
      </c>
      <c r="G34" s="6"/>
      <c r="H34" s="6"/>
      <c r="I34" s="6"/>
      <c r="J34" s="9">
        <v>22.43</v>
      </c>
      <c r="K34" s="9">
        <v>22.28</v>
      </c>
      <c r="L34" s="9">
        <v>23.11</v>
      </c>
      <c r="M34" s="9">
        <v>21.71</v>
      </c>
      <c r="N34" s="9">
        <v>21.74</v>
      </c>
      <c r="O34" s="9">
        <v>21.86</v>
      </c>
      <c r="P34" s="9">
        <v>22.92</v>
      </c>
      <c r="Q34" s="9">
        <v>23.93</v>
      </c>
      <c r="R34" s="9">
        <v>24.31</v>
      </c>
      <c r="S34" s="9">
        <v>24.8</v>
      </c>
      <c r="T34" s="9">
        <v>26.22</v>
      </c>
      <c r="U34" s="9">
        <v>24.32</v>
      </c>
      <c r="V34" s="9">
        <v>23.4</v>
      </c>
      <c r="W34" s="6">
        <v>23.8</v>
      </c>
      <c r="X34" s="6">
        <v>23.03</v>
      </c>
      <c r="Y34" s="6">
        <v>24.39</v>
      </c>
      <c r="Z34" s="6">
        <v>23.04</v>
      </c>
      <c r="AA34" s="6">
        <v>22.94</v>
      </c>
      <c r="AB34" s="6">
        <v>22.36</v>
      </c>
      <c r="AC34" s="6">
        <v>23.01</v>
      </c>
      <c r="AD34" s="6">
        <v>22.65</v>
      </c>
      <c r="AE34" s="6">
        <v>23.23</v>
      </c>
      <c r="AF34" s="6">
        <v>22.7</v>
      </c>
      <c r="AG34" s="6">
        <v>23.73</v>
      </c>
      <c r="AH34" s="6">
        <v>22.2</v>
      </c>
      <c r="AI34" s="6">
        <v>24.31</v>
      </c>
      <c r="AJ34" s="7">
        <v>22.91</v>
      </c>
      <c r="AK34" s="7">
        <v>22.84</v>
      </c>
      <c r="AL34" s="7">
        <v>22.98</v>
      </c>
      <c r="AM34" s="7">
        <v>21.9</v>
      </c>
      <c r="AN34" s="7">
        <v>22.56</v>
      </c>
      <c r="AO34" s="7">
        <v>22.85</v>
      </c>
      <c r="AP34" s="7">
        <v>23.92</v>
      </c>
      <c r="AQ34" s="7">
        <v>22.6</v>
      </c>
      <c r="AR34" s="7">
        <v>22.78</v>
      </c>
      <c r="AS34" s="7">
        <v>23.4</v>
      </c>
      <c r="AT34" s="7">
        <v>21.1</v>
      </c>
      <c r="AU34" s="7">
        <v>23</v>
      </c>
      <c r="AV34" s="7">
        <v>23.59</v>
      </c>
      <c r="AW34" s="7">
        <v>22.19</v>
      </c>
      <c r="AX34" s="7">
        <v>22.48</v>
      </c>
      <c r="AY34" s="7">
        <v>23.2</v>
      </c>
      <c r="AZ34" s="7">
        <v>22.06</v>
      </c>
      <c r="BA34" s="7">
        <v>23.76</v>
      </c>
      <c r="BB34" s="7">
        <v>23.75</v>
      </c>
      <c r="BC34" s="7">
        <v>22.28</v>
      </c>
      <c r="BD34" s="7">
        <v>23.33</v>
      </c>
      <c r="BE34" s="7">
        <v>24.05</v>
      </c>
      <c r="BF34" s="7">
        <v>22.68</v>
      </c>
      <c r="BG34" s="7">
        <v>24.09</v>
      </c>
      <c r="BH34" s="10">
        <v>22.45</v>
      </c>
      <c r="BI34" s="10">
        <v>23.13</v>
      </c>
    </row>
    <row r="35" spans="1:61" ht="15.75" customHeight="1" x14ac:dyDescent="0.25">
      <c r="A35" s="1">
        <v>34</v>
      </c>
      <c r="B35" s="1"/>
      <c r="C35" s="1">
        <v>3</v>
      </c>
      <c r="D35" s="6"/>
      <c r="E35" s="6">
        <v>22.45</v>
      </c>
      <c r="F35" s="6">
        <v>23.89</v>
      </c>
      <c r="G35" s="6"/>
      <c r="H35" s="6"/>
      <c r="I35" s="6"/>
      <c r="J35" s="9">
        <v>22.38</v>
      </c>
      <c r="K35" s="9">
        <v>22.23</v>
      </c>
      <c r="L35" s="9">
        <v>23.06</v>
      </c>
      <c r="M35" s="9">
        <v>21.68</v>
      </c>
      <c r="N35" s="9">
        <v>21.61</v>
      </c>
      <c r="O35" s="9">
        <v>21.83</v>
      </c>
      <c r="P35" s="9">
        <v>22.89</v>
      </c>
      <c r="Q35" s="9">
        <v>23.87</v>
      </c>
      <c r="R35" s="9">
        <v>24.28</v>
      </c>
      <c r="S35" s="9">
        <v>24.72</v>
      </c>
      <c r="T35" s="9">
        <v>26.15</v>
      </c>
      <c r="U35" s="9">
        <v>24.23</v>
      </c>
      <c r="V35" s="9">
        <v>23.42</v>
      </c>
      <c r="W35" s="6">
        <v>23.72</v>
      </c>
      <c r="X35" s="6">
        <v>22.99</v>
      </c>
      <c r="Y35" s="6">
        <v>24.31</v>
      </c>
      <c r="Z35" s="6">
        <v>23.07</v>
      </c>
      <c r="AA35" s="6">
        <v>22.87</v>
      </c>
      <c r="AB35" s="6">
        <v>22.31</v>
      </c>
      <c r="AC35" s="6">
        <v>22.94</v>
      </c>
      <c r="AD35" s="6">
        <v>22.62</v>
      </c>
      <c r="AE35" s="6">
        <v>23.2</v>
      </c>
      <c r="AF35" s="6">
        <v>22.69</v>
      </c>
      <c r="AG35" s="6">
        <v>23.64</v>
      </c>
      <c r="AH35" s="6">
        <v>22.16</v>
      </c>
      <c r="AI35" s="6">
        <v>24.39</v>
      </c>
      <c r="AJ35" s="7">
        <v>22.88</v>
      </c>
      <c r="AK35" s="7">
        <v>22.79</v>
      </c>
      <c r="AL35" s="7">
        <v>22.98</v>
      </c>
      <c r="AM35" s="7">
        <v>21.85</v>
      </c>
      <c r="AN35" s="7">
        <v>22.48</v>
      </c>
      <c r="AO35" s="7">
        <v>22.77</v>
      </c>
      <c r="AP35" s="7">
        <v>24.02</v>
      </c>
      <c r="AQ35" s="7">
        <v>22.57</v>
      </c>
      <c r="AR35" s="7">
        <v>22.7</v>
      </c>
      <c r="AS35" s="7">
        <v>23.4</v>
      </c>
      <c r="AT35" s="7">
        <v>21.08</v>
      </c>
      <c r="AU35" s="7">
        <v>22.88</v>
      </c>
      <c r="AV35" s="7">
        <v>23.53</v>
      </c>
      <c r="AW35" s="7">
        <v>22.15</v>
      </c>
      <c r="AX35" s="7">
        <v>22.4</v>
      </c>
      <c r="AY35" s="7">
        <v>23.2</v>
      </c>
      <c r="AZ35" s="7">
        <v>21.98</v>
      </c>
      <c r="BA35" s="7">
        <v>23.68</v>
      </c>
      <c r="BB35" s="7">
        <v>23.64</v>
      </c>
      <c r="BC35" s="7">
        <v>22.29</v>
      </c>
      <c r="BD35" s="7">
        <v>23.26</v>
      </c>
      <c r="BE35" s="7">
        <v>23.98</v>
      </c>
      <c r="BF35" s="7">
        <v>22.66</v>
      </c>
      <c r="BG35" s="7">
        <v>23.96</v>
      </c>
      <c r="BH35" s="10">
        <v>22.38</v>
      </c>
      <c r="BI35" s="10">
        <v>23.13</v>
      </c>
    </row>
    <row r="36" spans="1:61" ht="15.75" customHeight="1" x14ac:dyDescent="0.25">
      <c r="A36" s="1">
        <v>35</v>
      </c>
      <c r="B36" s="1"/>
      <c r="C36" s="1">
        <v>4</v>
      </c>
      <c r="D36" s="6"/>
      <c r="E36" s="6">
        <v>22.55</v>
      </c>
      <c r="F36" s="6">
        <v>23.8</v>
      </c>
      <c r="G36" s="6"/>
      <c r="H36" s="6"/>
      <c r="I36" s="6"/>
      <c r="J36" s="9">
        <v>22.33</v>
      </c>
      <c r="K36" s="9">
        <v>22.18</v>
      </c>
      <c r="L36" s="9">
        <v>23.02</v>
      </c>
      <c r="M36" s="9">
        <v>21.61</v>
      </c>
      <c r="N36" s="9">
        <v>21.6</v>
      </c>
      <c r="O36" s="9">
        <v>21.8</v>
      </c>
      <c r="P36" s="9">
        <v>22.87</v>
      </c>
      <c r="Q36" s="9">
        <v>23.81</v>
      </c>
      <c r="R36" s="9">
        <v>24.22</v>
      </c>
      <c r="S36" s="9">
        <v>24.63</v>
      </c>
      <c r="T36" s="9">
        <v>26.07</v>
      </c>
      <c r="U36" s="9">
        <v>24.19</v>
      </c>
      <c r="V36" s="9">
        <v>23.43</v>
      </c>
      <c r="W36" s="6">
        <v>23.65</v>
      </c>
      <c r="X36" s="6">
        <v>22.96</v>
      </c>
      <c r="Y36" s="6">
        <v>24.22</v>
      </c>
      <c r="Z36" s="6">
        <v>23.13</v>
      </c>
      <c r="AA36" s="6">
        <v>22.81</v>
      </c>
      <c r="AB36" s="6">
        <v>22.26</v>
      </c>
      <c r="AC36" s="6">
        <v>22.87</v>
      </c>
      <c r="AD36" s="6">
        <v>22.57</v>
      </c>
      <c r="AE36" s="6">
        <v>23.15</v>
      </c>
      <c r="AF36" s="6">
        <v>22.65</v>
      </c>
      <c r="AG36" s="6">
        <v>23.55</v>
      </c>
      <c r="AH36" s="6">
        <v>22.14</v>
      </c>
      <c r="AI36" s="6">
        <v>24.46</v>
      </c>
      <c r="AJ36" s="7">
        <v>22.84</v>
      </c>
      <c r="AK36" s="7">
        <v>22.7</v>
      </c>
      <c r="AL36" s="7">
        <v>22.98</v>
      </c>
      <c r="AM36" s="7">
        <v>21.81</v>
      </c>
      <c r="AN36" s="7">
        <v>22.36</v>
      </c>
      <c r="AO36" s="7">
        <v>22.7</v>
      </c>
      <c r="AP36" s="7">
        <v>24.16</v>
      </c>
      <c r="AQ36" s="7">
        <v>22.53</v>
      </c>
      <c r="AR36" s="7">
        <v>22.65</v>
      </c>
      <c r="AS36" s="7">
        <v>23.44</v>
      </c>
      <c r="AT36" s="7">
        <v>21.05</v>
      </c>
      <c r="AU36" s="7">
        <v>22.78</v>
      </c>
      <c r="AV36" s="7">
        <v>23.47</v>
      </c>
      <c r="AW36" s="7">
        <v>22.1</v>
      </c>
      <c r="AX36" s="7">
        <v>22.38</v>
      </c>
      <c r="AY36" s="7">
        <v>23.18</v>
      </c>
      <c r="AZ36" s="7">
        <v>21.93</v>
      </c>
      <c r="BA36" s="7">
        <v>23.6</v>
      </c>
      <c r="BB36" s="7">
        <v>23.55</v>
      </c>
      <c r="BC36" s="7">
        <v>22.29</v>
      </c>
      <c r="BD36" s="7">
        <v>23.2</v>
      </c>
      <c r="BE36" s="7">
        <v>23.94</v>
      </c>
      <c r="BF36" s="7">
        <v>22.64</v>
      </c>
      <c r="BG36" s="7">
        <v>23.86</v>
      </c>
      <c r="BH36" s="10">
        <v>22.33</v>
      </c>
      <c r="BI36" s="10">
        <v>23.16</v>
      </c>
    </row>
    <row r="37" spans="1:61" ht="15.75" customHeight="1" x14ac:dyDescent="0.25">
      <c r="A37" s="1">
        <v>36</v>
      </c>
      <c r="B37" s="1"/>
      <c r="C37" s="1">
        <v>5</v>
      </c>
      <c r="D37" s="6"/>
      <c r="E37" s="6">
        <v>22.62</v>
      </c>
      <c r="F37" s="6">
        <v>23.65</v>
      </c>
      <c r="G37" s="6"/>
      <c r="H37" s="6"/>
      <c r="I37" s="6"/>
      <c r="J37" s="9">
        <v>22.28</v>
      </c>
      <c r="K37" s="9">
        <v>22.13</v>
      </c>
      <c r="L37" s="9">
        <v>22.98</v>
      </c>
      <c r="M37" s="9">
        <v>21.57</v>
      </c>
      <c r="N37" s="9">
        <v>21.71</v>
      </c>
      <c r="O37" s="9">
        <v>21.76</v>
      </c>
      <c r="P37" s="9">
        <v>22.8</v>
      </c>
      <c r="Q37" s="9">
        <v>23.77</v>
      </c>
      <c r="R37" s="9">
        <v>24.19</v>
      </c>
      <c r="S37" s="9">
        <v>24.54</v>
      </c>
      <c r="T37" s="9">
        <v>26.02</v>
      </c>
      <c r="U37" s="9">
        <v>24.13</v>
      </c>
      <c r="V37" s="9">
        <v>23.42</v>
      </c>
      <c r="W37" s="6">
        <v>23.61</v>
      </c>
      <c r="X37" s="6">
        <v>22.91</v>
      </c>
      <c r="Y37" s="6">
        <v>24.13</v>
      </c>
      <c r="Z37" s="6">
        <v>23.18</v>
      </c>
      <c r="AA37" s="6">
        <v>22.74</v>
      </c>
      <c r="AB37" s="6">
        <v>22.22</v>
      </c>
      <c r="AC37" s="6">
        <v>22.82</v>
      </c>
      <c r="AD37" s="6">
        <v>22.55</v>
      </c>
      <c r="AE37" s="6">
        <v>23.09</v>
      </c>
      <c r="AF37" s="6">
        <v>22.64</v>
      </c>
      <c r="AG37" s="6">
        <v>23.47</v>
      </c>
      <c r="AH37" s="6">
        <v>22.11</v>
      </c>
      <c r="AI37" s="6">
        <v>24.5</v>
      </c>
      <c r="AJ37" s="7">
        <v>22.8</v>
      </c>
      <c r="AK37" s="7">
        <v>22.67</v>
      </c>
      <c r="AL37" s="7">
        <v>22.91</v>
      </c>
      <c r="AM37" s="7">
        <v>21.77</v>
      </c>
      <c r="AN37" s="7">
        <v>22.3</v>
      </c>
      <c r="AO37" s="7">
        <v>22.66</v>
      </c>
      <c r="AP37" s="7">
        <v>24.26</v>
      </c>
      <c r="AQ37" s="7">
        <v>22.48</v>
      </c>
      <c r="AR37" s="7">
        <v>22.55</v>
      </c>
      <c r="AS37" s="7">
        <v>23.44</v>
      </c>
      <c r="AT37" s="7">
        <v>21</v>
      </c>
      <c r="AU37" s="7">
        <v>22.69</v>
      </c>
      <c r="AV37" s="7">
        <v>23.54</v>
      </c>
      <c r="AW37" s="7">
        <v>22.02</v>
      </c>
      <c r="AX37" s="7">
        <v>22.25</v>
      </c>
      <c r="AY37" s="7">
        <v>23.2</v>
      </c>
      <c r="AZ37" s="7">
        <v>21.86</v>
      </c>
      <c r="BA37" s="7">
        <v>23.66</v>
      </c>
      <c r="BB37" s="7">
        <v>23.41</v>
      </c>
      <c r="BC37" s="7">
        <v>22.27</v>
      </c>
      <c r="BD37" s="7">
        <v>23.15</v>
      </c>
      <c r="BE37" s="7">
        <v>23.85</v>
      </c>
      <c r="BF37" s="7">
        <v>22.59</v>
      </c>
      <c r="BG37" s="7">
        <v>23.75</v>
      </c>
      <c r="BH37" s="10">
        <v>22.28</v>
      </c>
      <c r="BI37" s="10">
        <v>23.18</v>
      </c>
    </row>
    <row r="38" spans="1:61" ht="15.75" customHeight="1" x14ac:dyDescent="0.25">
      <c r="A38" s="1">
        <v>37</v>
      </c>
      <c r="B38" s="1"/>
      <c r="C38" s="1">
        <v>6</v>
      </c>
      <c r="D38" s="6"/>
      <c r="E38" s="6">
        <v>22.75</v>
      </c>
      <c r="F38" s="6">
        <v>23.5</v>
      </c>
      <c r="G38" s="6"/>
      <c r="H38" s="6"/>
      <c r="I38" s="6"/>
      <c r="J38" s="9">
        <v>22.28</v>
      </c>
      <c r="K38" s="9">
        <v>22.13</v>
      </c>
      <c r="L38" s="9">
        <v>22.95</v>
      </c>
      <c r="M38" s="9">
        <v>21.53</v>
      </c>
      <c r="N38" s="9">
        <v>21.74</v>
      </c>
      <c r="O38" s="9">
        <v>21.72</v>
      </c>
      <c r="P38" s="9">
        <v>22.73</v>
      </c>
      <c r="Q38" s="9">
        <v>23.73</v>
      </c>
      <c r="R38" s="9">
        <v>24.15</v>
      </c>
      <c r="S38" s="9">
        <v>24.46</v>
      </c>
      <c r="T38" s="9">
        <v>25.96</v>
      </c>
      <c r="U38" s="9">
        <v>24.1</v>
      </c>
      <c r="V38" s="9">
        <v>23.4</v>
      </c>
      <c r="W38" s="6">
        <v>23.55</v>
      </c>
      <c r="X38" s="6">
        <v>22.88</v>
      </c>
      <c r="Y38" s="6">
        <v>24.01</v>
      </c>
      <c r="Z38" s="6">
        <v>23.23</v>
      </c>
      <c r="AA38" s="6">
        <v>22.7</v>
      </c>
      <c r="AB38" s="6">
        <v>22.18</v>
      </c>
      <c r="AC38" s="6">
        <v>22.8</v>
      </c>
      <c r="AD38" s="6">
        <v>22.5</v>
      </c>
      <c r="AE38" s="6">
        <v>23.02</v>
      </c>
      <c r="AF38" s="6">
        <v>22.63</v>
      </c>
      <c r="AG38" s="6">
        <v>23.4</v>
      </c>
      <c r="AH38" s="6">
        <v>22.09</v>
      </c>
      <c r="AI38" s="6">
        <v>24.54</v>
      </c>
      <c r="AJ38" s="7">
        <v>22.77</v>
      </c>
      <c r="AK38" s="7">
        <v>22.61</v>
      </c>
      <c r="AL38" s="7">
        <v>22.86</v>
      </c>
      <c r="AM38" s="7">
        <v>21.73</v>
      </c>
      <c r="AN38" s="7">
        <v>22.22</v>
      </c>
      <c r="AO38" s="7">
        <v>22.56</v>
      </c>
      <c r="AP38" s="7">
        <v>24.4</v>
      </c>
      <c r="AQ38" s="7">
        <v>22.41</v>
      </c>
      <c r="AR38" s="7">
        <v>22.48</v>
      </c>
      <c r="AS38" s="7">
        <v>23.47</v>
      </c>
      <c r="AT38" s="7">
        <v>20.97</v>
      </c>
      <c r="AU38" s="7">
        <v>22.68</v>
      </c>
      <c r="AV38" s="7">
        <v>23.42</v>
      </c>
      <c r="AW38" s="7">
        <v>21.95</v>
      </c>
      <c r="AX38" s="7">
        <v>22.2</v>
      </c>
      <c r="AY38" s="7">
        <v>23.18</v>
      </c>
      <c r="AZ38" s="7">
        <v>21.78</v>
      </c>
      <c r="BA38" s="7">
        <v>23.7</v>
      </c>
      <c r="BB38" s="7">
        <v>23.32</v>
      </c>
      <c r="BC38" s="7">
        <v>22.2</v>
      </c>
      <c r="BD38" s="7">
        <v>23.1</v>
      </c>
      <c r="BE38" s="7">
        <v>23.76</v>
      </c>
      <c r="BF38" s="7">
        <v>22.54</v>
      </c>
      <c r="BG38" s="7">
        <v>23.6</v>
      </c>
      <c r="BH38" s="10">
        <v>22.25</v>
      </c>
      <c r="BI38" s="10">
        <v>23.19</v>
      </c>
    </row>
    <row r="39" spans="1:61" ht="15.75" customHeight="1" x14ac:dyDescent="0.25">
      <c r="A39" s="1">
        <v>38</v>
      </c>
      <c r="B39" s="1"/>
      <c r="C39" s="1">
        <v>7</v>
      </c>
      <c r="D39" s="6"/>
      <c r="E39" s="6">
        <v>22.7</v>
      </c>
      <c r="F39" s="6">
        <v>23.26</v>
      </c>
      <c r="G39" s="6"/>
      <c r="H39" s="6"/>
      <c r="I39" s="6"/>
      <c r="J39" s="9">
        <v>22.23</v>
      </c>
      <c r="K39" s="9">
        <v>22.08</v>
      </c>
      <c r="L39" s="9">
        <v>22.88</v>
      </c>
      <c r="M39" s="9">
        <v>21.51</v>
      </c>
      <c r="N39" s="9">
        <v>21.77</v>
      </c>
      <c r="O39" s="9">
        <v>21.72</v>
      </c>
      <c r="P39" s="9">
        <v>22.66</v>
      </c>
      <c r="Q39" s="9">
        <v>23.69</v>
      </c>
      <c r="R39" s="9">
        <v>24.11</v>
      </c>
      <c r="S39" s="9">
        <v>24.4</v>
      </c>
      <c r="T39" s="9">
        <v>25.93</v>
      </c>
      <c r="U39" s="9">
        <v>24.05</v>
      </c>
      <c r="V39" s="9">
        <v>23.38</v>
      </c>
      <c r="W39" s="6">
        <v>23.49</v>
      </c>
      <c r="X39" s="6">
        <v>22.83</v>
      </c>
      <c r="Y39" s="6">
        <v>23.9</v>
      </c>
      <c r="Z39" s="6">
        <v>23.33</v>
      </c>
      <c r="AA39" s="6">
        <v>22.63</v>
      </c>
      <c r="AB39" s="6">
        <v>22.14</v>
      </c>
      <c r="AC39" s="6">
        <v>22.8</v>
      </c>
      <c r="AD39" s="6">
        <v>22.47</v>
      </c>
      <c r="AE39" s="6">
        <v>22.95</v>
      </c>
      <c r="AF39" s="6">
        <v>22.62</v>
      </c>
      <c r="AG39" s="6">
        <v>23.34</v>
      </c>
      <c r="AH39" s="6">
        <v>22.07</v>
      </c>
      <c r="AI39" s="6">
        <v>24.56</v>
      </c>
      <c r="AJ39" s="7">
        <v>22.74</v>
      </c>
      <c r="AK39" s="7">
        <v>22.56</v>
      </c>
      <c r="AL39" s="7">
        <v>22.8</v>
      </c>
      <c r="AM39" s="7">
        <v>21.7</v>
      </c>
      <c r="AN39" s="7">
        <v>22.17</v>
      </c>
      <c r="AO39" s="7">
        <v>22.5</v>
      </c>
      <c r="AP39" s="7">
        <v>24.57</v>
      </c>
      <c r="AQ39" s="7">
        <v>22.36</v>
      </c>
      <c r="AR39" s="7">
        <v>22.38</v>
      </c>
      <c r="AS39" s="7">
        <v>23.5</v>
      </c>
      <c r="AT39" s="7">
        <v>20.94</v>
      </c>
      <c r="AU39" s="7">
        <v>22.57</v>
      </c>
      <c r="AV39" s="7">
        <v>23.42</v>
      </c>
      <c r="AW39" s="7">
        <v>21.9</v>
      </c>
      <c r="AX39" s="7">
        <v>22.15</v>
      </c>
      <c r="AY39" s="7">
        <v>23.18</v>
      </c>
      <c r="AZ39" s="7">
        <v>21.73</v>
      </c>
      <c r="BA39" s="7">
        <v>23.66</v>
      </c>
      <c r="BB39" s="7">
        <v>23.22</v>
      </c>
      <c r="BC39" s="7">
        <v>22.17</v>
      </c>
      <c r="BD39" s="7">
        <v>23.05</v>
      </c>
      <c r="BE39" s="7">
        <v>23.68</v>
      </c>
      <c r="BF39" s="7">
        <v>22.48</v>
      </c>
      <c r="BG39" s="7">
        <v>23.5</v>
      </c>
      <c r="BH39" s="10">
        <v>22.25</v>
      </c>
      <c r="BI39" s="10">
        <v>23.17</v>
      </c>
    </row>
    <row r="40" spans="1:61" ht="15.75" customHeight="1" x14ac:dyDescent="0.25">
      <c r="A40" s="1">
        <v>39</v>
      </c>
      <c r="B40" s="1"/>
      <c r="C40" s="1">
        <v>8</v>
      </c>
      <c r="D40" s="6"/>
      <c r="E40" s="6">
        <v>22.6</v>
      </c>
      <c r="F40" s="6">
        <v>23.15</v>
      </c>
      <c r="G40" s="6"/>
      <c r="H40" s="6"/>
      <c r="I40" s="6"/>
      <c r="J40" s="9">
        <v>22.18</v>
      </c>
      <c r="K40" s="9">
        <v>21.98</v>
      </c>
      <c r="L40" s="9">
        <v>22.8</v>
      </c>
      <c r="M40" s="9">
        <v>21.47</v>
      </c>
      <c r="N40" s="9">
        <v>21.81</v>
      </c>
      <c r="O40" s="9">
        <v>21.67</v>
      </c>
      <c r="P40" s="9">
        <v>22.58</v>
      </c>
      <c r="Q40" s="9">
        <v>23.66</v>
      </c>
      <c r="R40" s="9">
        <v>24.11</v>
      </c>
      <c r="S40" s="9">
        <v>24.32</v>
      </c>
      <c r="T40" s="9">
        <v>25.92</v>
      </c>
      <c r="U40" s="9">
        <v>24</v>
      </c>
      <c r="V40" s="9">
        <v>23.37</v>
      </c>
      <c r="W40" s="6">
        <v>23.45</v>
      </c>
      <c r="X40" s="6">
        <v>22.81</v>
      </c>
      <c r="Y40" s="6">
        <v>23.88</v>
      </c>
      <c r="Z40" s="6">
        <v>23.38</v>
      </c>
      <c r="AA40" s="6">
        <v>22.59</v>
      </c>
      <c r="AB40" s="6">
        <v>22.11</v>
      </c>
      <c r="AC40" s="6">
        <v>22.81</v>
      </c>
      <c r="AD40" s="6">
        <v>22.44</v>
      </c>
      <c r="AE40" s="6">
        <v>22.9</v>
      </c>
      <c r="AF40" s="6">
        <v>22.6</v>
      </c>
      <c r="AG40" s="6">
        <v>23.3</v>
      </c>
      <c r="AH40" s="6">
        <v>22.05</v>
      </c>
      <c r="AI40" s="6">
        <v>24.54</v>
      </c>
      <c r="AJ40" s="7">
        <v>22.76</v>
      </c>
      <c r="AK40" s="7">
        <v>22.5</v>
      </c>
      <c r="AL40" s="7">
        <v>22.76</v>
      </c>
      <c r="AM40" s="7">
        <v>21.68</v>
      </c>
      <c r="AN40" s="7">
        <v>22.1</v>
      </c>
      <c r="AO40" s="7">
        <v>22.44</v>
      </c>
      <c r="AP40" s="7">
        <v>24.68</v>
      </c>
      <c r="AQ40" s="7">
        <v>22.3</v>
      </c>
      <c r="AR40" s="7">
        <v>22.32</v>
      </c>
      <c r="AS40" s="7">
        <v>23.6</v>
      </c>
      <c r="AT40" s="7">
        <v>20.9</v>
      </c>
      <c r="AU40" s="7">
        <v>22.54</v>
      </c>
      <c r="AV40" s="7">
        <v>23.45</v>
      </c>
      <c r="AW40" s="7">
        <v>21.87</v>
      </c>
      <c r="AX40" s="7">
        <v>22.1</v>
      </c>
      <c r="AY40" s="7">
        <v>23.18</v>
      </c>
      <c r="AZ40" s="7">
        <v>21.72</v>
      </c>
      <c r="BA40" s="7">
        <v>23.63</v>
      </c>
      <c r="BB40" s="7">
        <v>23.14</v>
      </c>
      <c r="BC40" s="7">
        <v>22.14</v>
      </c>
      <c r="BD40" s="7">
        <v>23</v>
      </c>
      <c r="BE40" s="7">
        <v>23.58</v>
      </c>
      <c r="BF40" s="7">
        <v>22.42</v>
      </c>
      <c r="BG40" s="7">
        <v>23.38</v>
      </c>
      <c r="BH40" s="10">
        <v>22.26</v>
      </c>
      <c r="BI40" s="10">
        <v>23.16</v>
      </c>
    </row>
    <row r="41" spans="1:61" ht="15.75" customHeight="1" x14ac:dyDescent="0.25">
      <c r="A41" s="1">
        <v>40</v>
      </c>
      <c r="B41" s="1"/>
      <c r="C41" s="1">
        <v>9</v>
      </c>
      <c r="D41" s="6"/>
      <c r="E41" s="6">
        <v>22.51</v>
      </c>
      <c r="F41" s="6">
        <v>23.11</v>
      </c>
      <c r="G41" s="6"/>
      <c r="H41" s="6"/>
      <c r="I41" s="6"/>
      <c r="J41" s="9">
        <v>22.18</v>
      </c>
      <c r="K41" s="9">
        <v>21.93</v>
      </c>
      <c r="L41" s="9">
        <v>22.73</v>
      </c>
      <c r="M41" s="9">
        <v>21.43</v>
      </c>
      <c r="N41" s="9">
        <v>21.86</v>
      </c>
      <c r="O41" s="9">
        <v>21.62</v>
      </c>
      <c r="P41" s="9">
        <v>22.51</v>
      </c>
      <c r="Q41" s="9">
        <v>23.63</v>
      </c>
      <c r="R41" s="9">
        <v>24.11</v>
      </c>
      <c r="S41" s="9">
        <v>24.23</v>
      </c>
      <c r="T41" s="9">
        <v>25.92</v>
      </c>
      <c r="U41" s="9">
        <v>23.95</v>
      </c>
      <c r="V41" s="9">
        <v>23.33</v>
      </c>
      <c r="W41" s="6">
        <v>23.41</v>
      </c>
      <c r="X41" s="6">
        <v>22.78</v>
      </c>
      <c r="Y41" s="6">
        <v>23.7</v>
      </c>
      <c r="Z41" s="6">
        <v>23.46</v>
      </c>
      <c r="AA41" s="6">
        <v>22.54</v>
      </c>
      <c r="AB41" s="6">
        <v>22.07</v>
      </c>
      <c r="AC41" s="6">
        <v>22.84</v>
      </c>
      <c r="AD41" s="6">
        <v>22.41</v>
      </c>
      <c r="AE41" s="6">
        <v>22.85</v>
      </c>
      <c r="AF41" s="6">
        <v>22.61</v>
      </c>
      <c r="AG41" s="6">
        <v>23.24</v>
      </c>
      <c r="AH41" s="6">
        <v>22.03</v>
      </c>
      <c r="AI41" s="6">
        <v>24.51</v>
      </c>
      <c r="AJ41" s="7">
        <v>22.82</v>
      </c>
      <c r="AK41" s="7">
        <v>22.45</v>
      </c>
      <c r="AL41" s="7">
        <v>22.68</v>
      </c>
      <c r="AM41" s="7">
        <v>21.65</v>
      </c>
      <c r="AN41" s="7">
        <v>22.08</v>
      </c>
      <c r="AO41" s="7">
        <v>22.4</v>
      </c>
      <c r="AP41" s="7">
        <v>24.76</v>
      </c>
      <c r="AQ41" s="7">
        <v>22.23</v>
      </c>
      <c r="AR41" s="7">
        <v>22.24</v>
      </c>
      <c r="AS41" s="7">
        <v>23.68</v>
      </c>
      <c r="AT41" s="7">
        <v>20.88</v>
      </c>
      <c r="AU41" s="7">
        <v>22.48</v>
      </c>
      <c r="AV41" s="7">
        <v>23.5</v>
      </c>
      <c r="AW41" s="7">
        <v>21.86</v>
      </c>
      <c r="AX41" s="7">
        <v>22.05</v>
      </c>
      <c r="AY41" s="7">
        <v>23.18</v>
      </c>
      <c r="AZ41" s="7">
        <v>21.67</v>
      </c>
      <c r="BA41" s="7">
        <v>23.62</v>
      </c>
      <c r="BB41" s="7">
        <v>23.04</v>
      </c>
      <c r="BC41" s="7">
        <v>22.14</v>
      </c>
      <c r="BD41" s="7">
        <v>22.95</v>
      </c>
      <c r="BE41" s="7">
        <v>23.52</v>
      </c>
      <c r="BF41" s="7">
        <v>22.35</v>
      </c>
      <c r="BG41" s="7">
        <v>23.18</v>
      </c>
      <c r="BH41" s="10">
        <v>22.28</v>
      </c>
      <c r="BI41" s="10">
        <v>23.13</v>
      </c>
    </row>
    <row r="42" spans="1:61" ht="15.75" customHeight="1" x14ac:dyDescent="0.25">
      <c r="A42" s="1">
        <v>41</v>
      </c>
      <c r="B42" s="1"/>
      <c r="C42" s="1">
        <v>10</v>
      </c>
      <c r="D42" s="6"/>
      <c r="E42" s="6">
        <v>22.42</v>
      </c>
      <c r="F42" s="6">
        <v>23.05</v>
      </c>
      <c r="G42" s="6"/>
      <c r="H42" s="6"/>
      <c r="I42" s="6"/>
      <c r="J42" s="9">
        <v>22.18</v>
      </c>
      <c r="K42" s="9">
        <v>21.88</v>
      </c>
      <c r="L42" s="9">
        <v>22.65</v>
      </c>
      <c r="M42" s="9">
        <v>21.4</v>
      </c>
      <c r="N42" s="9">
        <v>21.92</v>
      </c>
      <c r="O42" s="9">
        <v>21.6</v>
      </c>
      <c r="P42" s="9">
        <v>22.45</v>
      </c>
      <c r="Q42" s="9">
        <v>23.59</v>
      </c>
      <c r="R42" s="9">
        <v>24.11</v>
      </c>
      <c r="S42" s="9">
        <v>24.15</v>
      </c>
      <c r="T42" s="9">
        <v>25.95</v>
      </c>
      <c r="U42" s="9">
        <v>23.88</v>
      </c>
      <c r="V42" s="9">
        <v>23.27</v>
      </c>
      <c r="W42" s="6">
        <v>23.37</v>
      </c>
      <c r="X42" s="6">
        <v>22.74</v>
      </c>
      <c r="Y42" s="6">
        <v>23.62</v>
      </c>
      <c r="Z42" s="6">
        <v>23.55</v>
      </c>
      <c r="AA42" s="6">
        <v>22.5</v>
      </c>
      <c r="AB42" s="6">
        <v>22.04</v>
      </c>
      <c r="AC42" s="6">
        <v>22.88</v>
      </c>
      <c r="AD42" s="6">
        <v>22.4</v>
      </c>
      <c r="AE42" s="6">
        <v>22.8</v>
      </c>
      <c r="AF42" s="6">
        <v>22.63</v>
      </c>
      <c r="AG42" s="6">
        <v>23.19</v>
      </c>
      <c r="AH42" s="6">
        <v>22.03</v>
      </c>
      <c r="AI42" s="6">
        <v>24.47</v>
      </c>
      <c r="AJ42" s="7">
        <v>22.9</v>
      </c>
      <c r="AK42" s="7">
        <v>22.38</v>
      </c>
      <c r="AL42" s="7">
        <v>22.67</v>
      </c>
      <c r="AM42" s="7">
        <v>21.63</v>
      </c>
      <c r="AN42" s="7">
        <v>22.04</v>
      </c>
      <c r="AO42" s="7">
        <v>22.39</v>
      </c>
      <c r="AP42" s="7">
        <v>24.76</v>
      </c>
      <c r="AQ42" s="7">
        <v>22.18</v>
      </c>
      <c r="AR42" s="7">
        <v>22.17</v>
      </c>
      <c r="AS42" s="7">
        <v>23.76</v>
      </c>
      <c r="AT42" s="7">
        <v>20.86</v>
      </c>
      <c r="AU42" s="7">
        <v>22.43</v>
      </c>
      <c r="AV42" s="7">
        <v>23.52</v>
      </c>
      <c r="AW42" s="7">
        <v>21.86</v>
      </c>
      <c r="AX42" s="7">
        <v>22.02</v>
      </c>
      <c r="AY42" s="7">
        <v>23.2</v>
      </c>
      <c r="AZ42" s="7">
        <v>21.58</v>
      </c>
      <c r="BA42" s="7">
        <v>23.62</v>
      </c>
      <c r="BB42" s="7">
        <v>22.96</v>
      </c>
      <c r="BC42" s="7">
        <v>22.16</v>
      </c>
      <c r="BD42" s="7">
        <v>22.88</v>
      </c>
      <c r="BE42" s="7">
        <v>23.45</v>
      </c>
      <c r="BF42" s="7">
        <v>22.32</v>
      </c>
      <c r="BG42" s="7">
        <v>23.15</v>
      </c>
      <c r="BH42" s="10">
        <v>22.35</v>
      </c>
      <c r="BI42" s="10">
        <v>23.09</v>
      </c>
    </row>
    <row r="43" spans="1:61" ht="15.75" customHeight="1" x14ac:dyDescent="0.25">
      <c r="A43" s="1">
        <v>42</v>
      </c>
      <c r="B43" s="1"/>
      <c r="C43" s="1">
        <v>11</v>
      </c>
      <c r="D43" s="6"/>
      <c r="E43" s="6">
        <v>22.34</v>
      </c>
      <c r="F43" s="6">
        <v>22.97</v>
      </c>
      <c r="G43" s="6"/>
      <c r="H43" s="6"/>
      <c r="I43" s="6"/>
      <c r="J43" s="9">
        <v>22.18</v>
      </c>
      <c r="K43" s="9">
        <v>21.88</v>
      </c>
      <c r="L43" s="9">
        <v>22.54</v>
      </c>
      <c r="M43" s="9">
        <v>21.38</v>
      </c>
      <c r="N43" s="9">
        <v>22.02</v>
      </c>
      <c r="O43" s="9">
        <v>21.55</v>
      </c>
      <c r="P43" s="9">
        <v>22.4</v>
      </c>
      <c r="Q43" s="9">
        <v>23.57</v>
      </c>
      <c r="R43" s="9">
        <v>24.15</v>
      </c>
      <c r="S43" s="9">
        <v>24.07</v>
      </c>
      <c r="T43" s="9">
        <v>25.97</v>
      </c>
      <c r="U43" s="9">
        <v>23.84</v>
      </c>
      <c r="V43" s="9">
        <v>23.2</v>
      </c>
      <c r="W43" s="6">
        <v>23.3</v>
      </c>
      <c r="X43" s="6">
        <v>22.72</v>
      </c>
      <c r="Y43" s="6">
        <v>23.55</v>
      </c>
      <c r="Z43" s="6">
        <v>23.65</v>
      </c>
      <c r="AA43" s="6">
        <v>22.45</v>
      </c>
      <c r="AB43" s="6">
        <v>22</v>
      </c>
      <c r="AC43" s="6">
        <v>22.8</v>
      </c>
      <c r="AD43" s="6">
        <v>22.38</v>
      </c>
      <c r="AE43" s="6">
        <v>22.75</v>
      </c>
      <c r="AF43" s="6">
        <v>22.65</v>
      </c>
      <c r="AG43" s="6">
        <v>23.17</v>
      </c>
      <c r="AH43" s="6">
        <v>22.02</v>
      </c>
      <c r="AI43" s="6">
        <v>24.42</v>
      </c>
      <c r="AJ43" s="7">
        <v>22.95</v>
      </c>
      <c r="AK43" s="7">
        <v>22.37</v>
      </c>
      <c r="AL43" s="7">
        <v>22.66</v>
      </c>
      <c r="AM43" s="7">
        <v>21.61</v>
      </c>
      <c r="AN43" s="7">
        <v>21.96</v>
      </c>
      <c r="AO43" s="7">
        <v>22.4</v>
      </c>
      <c r="AP43" s="7">
        <v>24.69</v>
      </c>
      <c r="AQ43" s="7">
        <v>22.09</v>
      </c>
      <c r="AR43" s="7">
        <v>22.1</v>
      </c>
      <c r="AS43" s="7">
        <v>23.84</v>
      </c>
      <c r="AT43" s="7">
        <v>20.82</v>
      </c>
      <c r="AU43" s="7">
        <v>22.35</v>
      </c>
      <c r="AV43" s="7">
        <v>23.56</v>
      </c>
      <c r="AW43" s="7">
        <v>21.8</v>
      </c>
      <c r="AX43" s="7">
        <v>22</v>
      </c>
      <c r="AY43" s="7">
        <v>23.25</v>
      </c>
      <c r="AZ43" s="7">
        <v>21.58</v>
      </c>
      <c r="BA43" s="7">
        <v>23.67</v>
      </c>
      <c r="BB43" s="7">
        <v>22.76</v>
      </c>
      <c r="BC43" s="7">
        <v>22.18</v>
      </c>
      <c r="BD43" s="7">
        <v>22.8</v>
      </c>
      <c r="BE43" s="7">
        <v>23.36</v>
      </c>
      <c r="BF43" s="7">
        <v>22.26</v>
      </c>
      <c r="BG43" s="7">
        <v>23.09</v>
      </c>
      <c r="BH43" s="10">
        <v>22.39</v>
      </c>
      <c r="BI43" s="10">
        <v>23.04</v>
      </c>
    </row>
    <row r="44" spans="1:61" ht="15.75" customHeight="1" x14ac:dyDescent="0.25">
      <c r="A44" s="1">
        <v>43</v>
      </c>
      <c r="B44" s="1"/>
      <c r="C44" s="1">
        <v>12</v>
      </c>
      <c r="D44" s="6"/>
      <c r="E44" s="6">
        <v>22.28</v>
      </c>
      <c r="F44" s="6">
        <v>22.97</v>
      </c>
      <c r="G44" s="6"/>
      <c r="H44" s="6"/>
      <c r="I44" s="6"/>
      <c r="J44" s="9">
        <v>22.18</v>
      </c>
      <c r="K44" s="9">
        <v>21.83</v>
      </c>
      <c r="L44" s="9">
        <v>22.46</v>
      </c>
      <c r="M44" s="9">
        <v>21.36</v>
      </c>
      <c r="N44" s="9">
        <v>22.03</v>
      </c>
      <c r="O44" s="9">
        <v>21.48</v>
      </c>
      <c r="P44" s="9">
        <v>22.37</v>
      </c>
      <c r="Q44" s="9">
        <v>23.53</v>
      </c>
      <c r="R44" s="9">
        <v>24.19</v>
      </c>
      <c r="S44" s="9">
        <v>23.98</v>
      </c>
      <c r="T44" s="9">
        <v>25.96</v>
      </c>
      <c r="U44" s="9">
        <v>23.81</v>
      </c>
      <c r="V44" s="9">
        <v>23.15</v>
      </c>
      <c r="W44" s="6">
        <v>23.23</v>
      </c>
      <c r="X44" s="6">
        <v>22.72</v>
      </c>
      <c r="Y44" s="6">
        <v>23.49</v>
      </c>
      <c r="Z44" s="6">
        <v>23.8</v>
      </c>
      <c r="AA44" s="6">
        <v>22.4</v>
      </c>
      <c r="AB44" s="6">
        <v>21.97</v>
      </c>
      <c r="AC44" s="6">
        <v>22.9</v>
      </c>
      <c r="AD44" s="6">
        <v>22.36</v>
      </c>
      <c r="AE44" s="6">
        <v>22.71</v>
      </c>
      <c r="AF44" s="6">
        <v>22.7</v>
      </c>
      <c r="AG44" s="6">
        <v>23.17</v>
      </c>
      <c r="AH44" s="6">
        <v>22.03</v>
      </c>
      <c r="AI44" s="6">
        <v>24.37</v>
      </c>
      <c r="AJ44" s="7">
        <v>22.95</v>
      </c>
      <c r="AK44" s="7">
        <v>22.33</v>
      </c>
      <c r="AL44" s="7">
        <v>22.64</v>
      </c>
      <c r="AM44" s="7">
        <v>21.6</v>
      </c>
      <c r="AN44" s="7">
        <v>21.89</v>
      </c>
      <c r="AO44" s="7">
        <v>22.44</v>
      </c>
      <c r="AP44" s="7">
        <v>24.65</v>
      </c>
      <c r="AQ44" s="7">
        <v>22.02</v>
      </c>
      <c r="AR44" s="7">
        <v>22.05</v>
      </c>
      <c r="AS44" s="7">
        <v>23.88</v>
      </c>
      <c r="AT44" s="7">
        <v>20.81</v>
      </c>
      <c r="AU44" s="7">
        <v>22.33</v>
      </c>
      <c r="AV44" s="7">
        <v>23.54</v>
      </c>
      <c r="AW44" s="7">
        <v>21.78</v>
      </c>
      <c r="AX44" s="7">
        <v>21.98</v>
      </c>
      <c r="AY44" s="7">
        <v>23.3</v>
      </c>
      <c r="AZ44" s="7">
        <v>21.55</v>
      </c>
      <c r="BA44" s="7">
        <v>23.6</v>
      </c>
      <c r="BB44" s="7">
        <v>22.62</v>
      </c>
      <c r="BC44" s="7">
        <v>22.18</v>
      </c>
      <c r="BD44" s="7">
        <v>22.75</v>
      </c>
      <c r="BE44" s="7">
        <v>23.38</v>
      </c>
      <c r="BF44" s="7">
        <v>22.23</v>
      </c>
      <c r="BG44" s="7">
        <v>23.03</v>
      </c>
      <c r="BH44" s="10">
        <v>22.44</v>
      </c>
      <c r="BI44" s="10">
        <v>22.99</v>
      </c>
    </row>
    <row r="45" spans="1:61" ht="15.75" customHeight="1" x14ac:dyDescent="0.25">
      <c r="A45" s="1">
        <v>44</v>
      </c>
      <c r="B45" s="1"/>
      <c r="C45" s="1">
        <v>13</v>
      </c>
      <c r="D45" s="6"/>
      <c r="E45" s="6">
        <v>22.36</v>
      </c>
      <c r="F45" s="6">
        <v>23</v>
      </c>
      <c r="G45" s="6"/>
      <c r="H45" s="6"/>
      <c r="I45" s="6"/>
      <c r="J45" s="9">
        <v>22.18</v>
      </c>
      <c r="K45" s="9">
        <v>21.78</v>
      </c>
      <c r="L45" s="9">
        <v>22.4</v>
      </c>
      <c r="M45" s="9">
        <v>21.31</v>
      </c>
      <c r="N45" s="9">
        <v>22.14</v>
      </c>
      <c r="O45" s="9">
        <v>21.4</v>
      </c>
      <c r="P45" s="9">
        <v>22.35</v>
      </c>
      <c r="Q45" s="9">
        <v>23.49</v>
      </c>
      <c r="R45" s="9">
        <v>24.22</v>
      </c>
      <c r="S45" s="9">
        <v>23.87</v>
      </c>
      <c r="T45" s="9">
        <v>25.93</v>
      </c>
      <c r="U45" s="9">
        <v>23.78</v>
      </c>
      <c r="V45" s="9">
        <v>23.1</v>
      </c>
      <c r="W45" s="6">
        <v>23.16</v>
      </c>
      <c r="X45" s="6">
        <v>22.72</v>
      </c>
      <c r="Y45" s="6">
        <v>23.41</v>
      </c>
      <c r="Z45" s="6">
        <v>23.93</v>
      </c>
      <c r="AA45" s="6">
        <v>22.38</v>
      </c>
      <c r="AB45" s="6">
        <v>21.96</v>
      </c>
      <c r="AC45" s="6">
        <v>22.98</v>
      </c>
      <c r="AD45" s="6">
        <v>22.36</v>
      </c>
      <c r="AE45" s="6">
        <v>22.66</v>
      </c>
      <c r="AF45" s="6">
        <v>22.77</v>
      </c>
      <c r="AG45" s="6">
        <v>23.22</v>
      </c>
      <c r="AH45" s="6">
        <v>22.04</v>
      </c>
      <c r="AI45" s="6">
        <v>24.33</v>
      </c>
      <c r="AJ45" s="7">
        <v>22.94</v>
      </c>
      <c r="AK45" s="7">
        <v>22.31</v>
      </c>
      <c r="AL45" s="7">
        <v>22.63</v>
      </c>
      <c r="AM45" s="7">
        <v>21.58</v>
      </c>
      <c r="AN45" s="7">
        <v>21.84</v>
      </c>
      <c r="AO45" s="7">
        <v>22.46</v>
      </c>
      <c r="AP45" s="7">
        <v>24.59</v>
      </c>
      <c r="AQ45" s="7">
        <v>21.95</v>
      </c>
      <c r="AR45" s="7">
        <v>21.99</v>
      </c>
      <c r="AS45" s="7">
        <v>23.88</v>
      </c>
      <c r="AT45" s="7">
        <v>20.79</v>
      </c>
      <c r="AU45" s="7">
        <v>22.3</v>
      </c>
      <c r="AV45" s="7">
        <v>23.52</v>
      </c>
      <c r="AW45" s="7">
        <v>21.78</v>
      </c>
      <c r="AX45" s="7">
        <v>21.92</v>
      </c>
      <c r="AY45" s="7">
        <v>23.33</v>
      </c>
      <c r="AZ45" s="7">
        <v>21.52</v>
      </c>
      <c r="BA45" s="7">
        <v>23.56</v>
      </c>
      <c r="BB45" s="7">
        <v>22.52</v>
      </c>
      <c r="BC45" s="7">
        <v>22.2</v>
      </c>
      <c r="BD45" s="7">
        <v>22.7</v>
      </c>
      <c r="BE45" s="7">
        <v>23.38</v>
      </c>
      <c r="BF45" s="7">
        <v>22.19</v>
      </c>
      <c r="BG45" s="7">
        <v>22.98</v>
      </c>
      <c r="BH45" s="10">
        <v>22.48</v>
      </c>
      <c r="BI45" s="10">
        <v>22.91</v>
      </c>
    </row>
    <row r="46" spans="1:61" ht="15.75" customHeight="1" x14ac:dyDescent="0.25">
      <c r="A46" s="1">
        <v>45</v>
      </c>
      <c r="B46" s="1"/>
      <c r="C46" s="1">
        <v>14</v>
      </c>
      <c r="D46" s="6"/>
      <c r="E46" s="6">
        <v>22.46</v>
      </c>
      <c r="F46" s="6">
        <v>22.85</v>
      </c>
      <c r="G46" s="6"/>
      <c r="H46" s="6"/>
      <c r="I46" s="6"/>
      <c r="J46" s="9">
        <v>22.18</v>
      </c>
      <c r="K46" s="9">
        <v>21.77</v>
      </c>
      <c r="L46" s="9">
        <v>22.32</v>
      </c>
      <c r="M46" s="9">
        <v>21.28</v>
      </c>
      <c r="N46" s="9">
        <v>22.17</v>
      </c>
      <c r="O46" s="9">
        <v>21.31</v>
      </c>
      <c r="P46" s="9">
        <v>22.31</v>
      </c>
      <c r="Q46" s="9">
        <v>23.46</v>
      </c>
      <c r="R46" s="9">
        <v>24.26</v>
      </c>
      <c r="S46" s="9">
        <v>23.84</v>
      </c>
      <c r="T46" s="9">
        <v>25.88</v>
      </c>
      <c r="U46" s="9">
        <v>23.76</v>
      </c>
      <c r="V46" s="9">
        <v>23.04</v>
      </c>
      <c r="W46" s="6">
        <v>23.12</v>
      </c>
      <c r="X46" s="6">
        <v>22.8</v>
      </c>
      <c r="Y46" s="6">
        <v>23.38</v>
      </c>
      <c r="Z46" s="6">
        <v>24.07</v>
      </c>
      <c r="AA46" s="6">
        <v>22.34</v>
      </c>
      <c r="AB46" s="6">
        <v>21.95</v>
      </c>
      <c r="AC46" s="6">
        <v>22.94</v>
      </c>
      <c r="AD46" s="6">
        <v>22.36</v>
      </c>
      <c r="AE46" s="6">
        <v>22.62</v>
      </c>
      <c r="AF46" s="6">
        <v>22.87</v>
      </c>
      <c r="AG46" s="6">
        <v>23.27</v>
      </c>
      <c r="AH46" s="6">
        <v>22.05</v>
      </c>
      <c r="AI46" s="6">
        <v>24.26</v>
      </c>
      <c r="AJ46" s="7">
        <v>22.92</v>
      </c>
      <c r="AK46" s="7">
        <v>22.28</v>
      </c>
      <c r="AL46" s="7">
        <v>22.6</v>
      </c>
      <c r="AM46" s="7">
        <v>21.55</v>
      </c>
      <c r="AN46" s="7">
        <v>21.8</v>
      </c>
      <c r="AO46" s="7">
        <v>22.55</v>
      </c>
      <c r="AP46" s="7">
        <v>24.52</v>
      </c>
      <c r="AQ46" s="7">
        <v>21.9</v>
      </c>
      <c r="AR46" s="7">
        <v>21.94</v>
      </c>
      <c r="AS46" s="7">
        <v>23.83</v>
      </c>
      <c r="AT46" s="7">
        <v>20.79</v>
      </c>
      <c r="AU46" s="7">
        <v>22.25</v>
      </c>
      <c r="AV46" s="7">
        <v>23.5</v>
      </c>
      <c r="AW46" s="7">
        <v>21.79</v>
      </c>
      <c r="AX46" s="7">
        <v>21.89</v>
      </c>
      <c r="AY46" s="7">
        <v>23.4</v>
      </c>
      <c r="AZ46" s="7">
        <v>21.5</v>
      </c>
      <c r="BA46" s="7">
        <v>23.5</v>
      </c>
      <c r="BB46" s="7">
        <v>22.42</v>
      </c>
      <c r="BC46" s="7">
        <v>22.22</v>
      </c>
      <c r="BD46" s="7">
        <v>22.62</v>
      </c>
      <c r="BE46" s="7">
        <v>23.38</v>
      </c>
      <c r="BF46" s="7">
        <v>22.15</v>
      </c>
      <c r="BG46" s="7">
        <v>22.96</v>
      </c>
      <c r="BH46" s="10">
        <v>22.55</v>
      </c>
      <c r="BI46" s="10">
        <v>22.83</v>
      </c>
    </row>
    <row r="47" spans="1:61" ht="15.75" customHeight="1" x14ac:dyDescent="0.25">
      <c r="A47" s="1">
        <v>46</v>
      </c>
      <c r="B47" s="1"/>
      <c r="C47" s="1">
        <v>15</v>
      </c>
      <c r="D47" s="6"/>
      <c r="E47" s="6">
        <v>22.62</v>
      </c>
      <c r="F47" s="6">
        <v>22.67</v>
      </c>
      <c r="G47" s="6"/>
      <c r="H47" s="6"/>
      <c r="I47" s="6"/>
      <c r="J47" s="9">
        <v>22.18</v>
      </c>
      <c r="K47" s="9">
        <v>21.66</v>
      </c>
      <c r="L47" s="9">
        <v>22.27</v>
      </c>
      <c r="M47" s="9">
        <v>21.26</v>
      </c>
      <c r="N47" s="9">
        <v>22.19</v>
      </c>
      <c r="O47" s="9">
        <v>21.21</v>
      </c>
      <c r="P47" s="9">
        <v>22.3</v>
      </c>
      <c r="Q47" s="9">
        <v>23.45</v>
      </c>
      <c r="R47" s="9">
        <v>24.32</v>
      </c>
      <c r="S47" s="9">
        <v>23.78</v>
      </c>
      <c r="T47" s="9">
        <v>25.79</v>
      </c>
      <c r="U47" s="9">
        <v>23.74</v>
      </c>
      <c r="V47" s="9">
        <v>23</v>
      </c>
      <c r="W47" s="6">
        <v>23.06</v>
      </c>
      <c r="X47" s="6">
        <v>22.81</v>
      </c>
      <c r="Y47" s="6">
        <v>23.32</v>
      </c>
      <c r="Z47" s="6">
        <v>24.18</v>
      </c>
      <c r="AA47" s="6">
        <v>22.34</v>
      </c>
      <c r="AB47" s="6">
        <v>21.94</v>
      </c>
      <c r="AC47" s="6">
        <v>22.92</v>
      </c>
      <c r="AD47" s="6">
        <v>22.36</v>
      </c>
      <c r="AE47" s="6">
        <v>22.56</v>
      </c>
      <c r="AF47" s="6">
        <v>22.95</v>
      </c>
      <c r="AG47" s="6">
        <v>23.35</v>
      </c>
      <c r="AH47" s="6">
        <v>22.08</v>
      </c>
      <c r="AI47" s="6">
        <v>24.2</v>
      </c>
      <c r="AJ47" s="7">
        <v>22.91</v>
      </c>
      <c r="AK47" s="7">
        <v>22.21</v>
      </c>
      <c r="AL47" s="7">
        <v>22.56</v>
      </c>
      <c r="AM47" s="7">
        <v>21.52</v>
      </c>
      <c r="AN47" s="7">
        <v>21.77</v>
      </c>
      <c r="AO47" s="7">
        <v>22.65</v>
      </c>
      <c r="AP47" s="7">
        <v>24.45</v>
      </c>
      <c r="AQ47" s="7">
        <v>21.84</v>
      </c>
      <c r="AR47" s="7">
        <v>21.93</v>
      </c>
      <c r="AS47" s="7">
        <v>23.75</v>
      </c>
      <c r="AT47" s="7">
        <v>20.79</v>
      </c>
      <c r="AU47" s="7">
        <v>22.2</v>
      </c>
      <c r="AV47" s="7">
        <v>23.5</v>
      </c>
      <c r="AW47" s="7">
        <v>21.82</v>
      </c>
      <c r="AX47" s="7">
        <v>21.85</v>
      </c>
      <c r="AY47" s="7">
        <v>23.5</v>
      </c>
      <c r="AZ47" s="7">
        <v>21.48</v>
      </c>
      <c r="BA47" s="7">
        <v>23.46</v>
      </c>
      <c r="BB47" s="7">
        <v>22.25</v>
      </c>
      <c r="BC47" s="7">
        <v>22.27</v>
      </c>
      <c r="BD47" s="7">
        <v>22.53</v>
      </c>
      <c r="BE47" s="7">
        <v>23.37</v>
      </c>
      <c r="BF47" s="7">
        <v>22.14</v>
      </c>
      <c r="BG47" s="7">
        <v>22.91</v>
      </c>
      <c r="BH47" s="10">
        <v>22.65</v>
      </c>
      <c r="BI47" s="10">
        <v>22.76</v>
      </c>
    </row>
    <row r="48" spans="1:61" ht="15.75" customHeight="1" x14ac:dyDescent="0.25">
      <c r="A48" s="1">
        <v>47</v>
      </c>
      <c r="B48" s="1"/>
      <c r="C48" s="1">
        <v>16</v>
      </c>
      <c r="D48" s="6"/>
      <c r="E48" s="6">
        <v>22.62</v>
      </c>
      <c r="F48" s="6">
        <v>22.47</v>
      </c>
      <c r="G48" s="6"/>
      <c r="H48" s="6"/>
      <c r="I48" s="6"/>
      <c r="J48" s="9">
        <v>22.14</v>
      </c>
      <c r="K48" s="9">
        <v>21.57</v>
      </c>
      <c r="L48" s="9">
        <v>22.18</v>
      </c>
      <c r="M48" s="9">
        <v>21.25</v>
      </c>
      <c r="N48" s="9">
        <v>22.16</v>
      </c>
      <c r="O48" s="9">
        <v>21.13</v>
      </c>
      <c r="P48" s="9">
        <v>22.27</v>
      </c>
      <c r="Q48" s="9">
        <v>23.42</v>
      </c>
      <c r="R48" s="9">
        <v>24.35</v>
      </c>
      <c r="S48" s="9">
        <v>23.73</v>
      </c>
      <c r="T48" s="9">
        <v>25.72</v>
      </c>
      <c r="U48" s="9">
        <v>23.72</v>
      </c>
      <c r="V48" s="9">
        <v>22.98</v>
      </c>
      <c r="W48" s="6">
        <v>23.05</v>
      </c>
      <c r="X48" s="6">
        <v>22.88</v>
      </c>
      <c r="Y48" s="6">
        <v>23.3</v>
      </c>
      <c r="Z48" s="6">
        <v>24.31</v>
      </c>
      <c r="AA48" s="6">
        <v>22.31</v>
      </c>
      <c r="AB48" s="6">
        <v>21.92</v>
      </c>
      <c r="AC48" s="6">
        <v>22.92</v>
      </c>
      <c r="AD48" s="6">
        <v>22.42</v>
      </c>
      <c r="AE48" s="6">
        <v>22.5</v>
      </c>
      <c r="AF48" s="6">
        <v>23.04</v>
      </c>
      <c r="AG48" s="6">
        <v>23.41</v>
      </c>
      <c r="AH48" s="6">
        <v>22.12</v>
      </c>
      <c r="AI48" s="6">
        <v>24.15</v>
      </c>
      <c r="AJ48" s="7">
        <v>22.86</v>
      </c>
      <c r="AK48" s="7">
        <v>22.24</v>
      </c>
      <c r="AL48" s="7">
        <v>22.52</v>
      </c>
      <c r="AM48" s="7">
        <v>21.5</v>
      </c>
      <c r="AN48" s="7">
        <v>21.73</v>
      </c>
      <c r="AO48" s="7">
        <v>22.75</v>
      </c>
      <c r="AP48" s="7">
        <v>24.36</v>
      </c>
      <c r="AQ48" s="7">
        <v>21.75</v>
      </c>
      <c r="AR48" s="7">
        <v>21.96</v>
      </c>
      <c r="AS48" s="7">
        <v>23.68</v>
      </c>
      <c r="AT48" s="7">
        <v>20.79</v>
      </c>
      <c r="AU48" s="7">
        <v>22.17</v>
      </c>
      <c r="AV48" s="7">
        <v>23.5</v>
      </c>
      <c r="AW48" s="7">
        <v>21.88</v>
      </c>
      <c r="AX48" s="7">
        <v>21.83</v>
      </c>
      <c r="AY48" s="7">
        <v>23.46</v>
      </c>
      <c r="AZ48" s="7">
        <v>21.45</v>
      </c>
      <c r="BA48" s="7">
        <v>23.38</v>
      </c>
      <c r="BB48" s="7">
        <v>22</v>
      </c>
      <c r="BC48" s="7">
        <v>22.23</v>
      </c>
      <c r="BD48" s="7">
        <v>22.44</v>
      </c>
      <c r="BE48" s="7">
        <v>23.35</v>
      </c>
      <c r="BF48" s="7">
        <v>22.14</v>
      </c>
      <c r="BG48" s="7">
        <v>22.91</v>
      </c>
      <c r="BH48" s="10">
        <v>22.76</v>
      </c>
      <c r="BI48" s="10">
        <v>22.73</v>
      </c>
    </row>
    <row r="49" spans="1:61" ht="15.75" customHeight="1" x14ac:dyDescent="0.25">
      <c r="A49" s="1">
        <v>48</v>
      </c>
      <c r="B49" s="1"/>
      <c r="C49" s="1">
        <v>17</v>
      </c>
      <c r="D49" s="6"/>
      <c r="E49" s="6">
        <v>22.62</v>
      </c>
      <c r="F49" s="6">
        <v>22.26</v>
      </c>
      <c r="G49" s="6"/>
      <c r="H49" s="6"/>
      <c r="I49" s="6"/>
      <c r="J49" s="9">
        <v>22.1</v>
      </c>
      <c r="K49" s="9">
        <v>21.48</v>
      </c>
      <c r="L49" s="9">
        <v>22.13</v>
      </c>
      <c r="M49" s="9">
        <v>21.23</v>
      </c>
      <c r="N49" s="9">
        <v>22.13</v>
      </c>
      <c r="O49" s="9">
        <v>21.07</v>
      </c>
      <c r="P49" s="9">
        <v>22.22</v>
      </c>
      <c r="Q49" s="9">
        <v>23.4</v>
      </c>
      <c r="R49" s="9">
        <v>24.38</v>
      </c>
      <c r="S49" s="9">
        <v>23.69</v>
      </c>
      <c r="T49" s="9">
        <v>25.63</v>
      </c>
      <c r="U49" s="9">
        <v>23.72</v>
      </c>
      <c r="V49" s="9">
        <v>22.91</v>
      </c>
      <c r="W49" s="6">
        <v>23.05</v>
      </c>
      <c r="X49" s="6">
        <v>22.93</v>
      </c>
      <c r="Y49" s="6">
        <v>23.25</v>
      </c>
      <c r="Z49" s="6">
        <v>24.35</v>
      </c>
      <c r="AA49" s="6">
        <v>22.31</v>
      </c>
      <c r="AB49" s="6">
        <v>21.9</v>
      </c>
      <c r="AC49" s="6">
        <v>22.88</v>
      </c>
      <c r="AD49" s="6">
        <v>22.42</v>
      </c>
      <c r="AE49" s="6">
        <v>22.45</v>
      </c>
      <c r="AF49" s="6">
        <v>23.08</v>
      </c>
      <c r="AG49" s="6">
        <v>23.5</v>
      </c>
      <c r="AH49" s="6">
        <v>22.16</v>
      </c>
      <c r="AI49" s="6">
        <v>24.12</v>
      </c>
      <c r="AJ49" s="7">
        <v>22.74</v>
      </c>
      <c r="AK49" s="7">
        <v>22.24</v>
      </c>
      <c r="AL49" s="7">
        <v>22.49</v>
      </c>
      <c r="AM49" s="7">
        <v>21.48</v>
      </c>
      <c r="AN49" s="7">
        <v>21.68</v>
      </c>
      <c r="AO49" s="7">
        <v>22.86</v>
      </c>
      <c r="AP49" s="7">
        <v>24.27</v>
      </c>
      <c r="AQ49" s="7">
        <v>21.68</v>
      </c>
      <c r="AR49" s="7">
        <v>21.99</v>
      </c>
      <c r="AS49" s="7">
        <v>23.58</v>
      </c>
      <c r="AT49" s="7">
        <v>20.77</v>
      </c>
      <c r="AU49" s="7">
        <v>22.13</v>
      </c>
      <c r="AV49" s="7">
        <v>23.55</v>
      </c>
      <c r="AW49" s="7">
        <v>21.96</v>
      </c>
      <c r="AX49" s="7">
        <v>21.8</v>
      </c>
      <c r="AY49" s="7">
        <v>23.47</v>
      </c>
      <c r="AZ49" s="7">
        <v>21.41</v>
      </c>
      <c r="BA49" s="7">
        <v>23.3</v>
      </c>
      <c r="BB49" s="7">
        <v>21.9</v>
      </c>
      <c r="BC49" s="7">
        <v>22.2</v>
      </c>
      <c r="BD49" s="7">
        <v>22.35</v>
      </c>
      <c r="BE49" s="7">
        <v>23.3</v>
      </c>
      <c r="BF49" s="7">
        <v>22.14</v>
      </c>
      <c r="BG49" s="7">
        <v>22.89</v>
      </c>
      <c r="BH49" s="10">
        <v>22.85</v>
      </c>
      <c r="BI49" s="10">
        <v>22.69</v>
      </c>
    </row>
    <row r="50" spans="1:61" ht="15.75" customHeight="1" x14ac:dyDescent="0.25">
      <c r="A50" s="1">
        <v>49</v>
      </c>
      <c r="B50" s="1"/>
      <c r="C50" s="1">
        <v>18</v>
      </c>
      <c r="D50" s="6"/>
      <c r="E50" s="6">
        <v>22.65</v>
      </c>
      <c r="F50" s="6">
        <v>22.15</v>
      </c>
      <c r="G50" s="6"/>
      <c r="H50" s="6"/>
      <c r="I50" s="6"/>
      <c r="J50" s="9">
        <v>22.06</v>
      </c>
      <c r="K50" s="9">
        <v>21.41</v>
      </c>
      <c r="L50" s="9">
        <v>22.09</v>
      </c>
      <c r="M50" s="9">
        <v>21.22</v>
      </c>
      <c r="N50" s="9">
        <v>22.14</v>
      </c>
      <c r="O50" s="9">
        <v>21.03</v>
      </c>
      <c r="P50" s="9">
        <v>22.2</v>
      </c>
      <c r="Q50" s="9">
        <v>23.37</v>
      </c>
      <c r="R50" s="9">
        <v>24.4</v>
      </c>
      <c r="S50" s="9">
        <v>23.65</v>
      </c>
      <c r="T50" s="9">
        <v>25.54</v>
      </c>
      <c r="U50" s="9">
        <v>23.69</v>
      </c>
      <c r="V50" s="9">
        <v>22.87</v>
      </c>
      <c r="W50" s="6">
        <v>23.05</v>
      </c>
      <c r="X50" s="6">
        <v>22.97</v>
      </c>
      <c r="Y50" s="6">
        <v>23.22</v>
      </c>
      <c r="Z50" s="6">
        <v>24.37</v>
      </c>
      <c r="AA50" s="6">
        <v>22.3</v>
      </c>
      <c r="AB50" s="6">
        <v>21.89</v>
      </c>
      <c r="AC50" s="6">
        <v>22.82</v>
      </c>
      <c r="AD50" s="6">
        <v>22.4</v>
      </c>
      <c r="AE50" s="6">
        <v>22.39</v>
      </c>
      <c r="AF50" s="6">
        <v>23.2</v>
      </c>
      <c r="AG50" s="6">
        <v>23.61</v>
      </c>
      <c r="AH50" s="6">
        <v>22.19</v>
      </c>
      <c r="AI50" s="6">
        <v>24.11</v>
      </c>
      <c r="AJ50" s="7">
        <v>22.66</v>
      </c>
      <c r="AK50" s="7">
        <v>22.24</v>
      </c>
      <c r="AL50" s="7">
        <v>22.43</v>
      </c>
      <c r="AM50" s="7">
        <v>21.45</v>
      </c>
      <c r="AN50" s="7">
        <v>21.62</v>
      </c>
      <c r="AO50" s="7">
        <v>22.96</v>
      </c>
      <c r="AP50" s="7">
        <v>24.16</v>
      </c>
      <c r="AQ50" s="7">
        <v>21.63</v>
      </c>
      <c r="AR50" s="7">
        <v>22.04</v>
      </c>
      <c r="AS50" s="7">
        <v>23.48</v>
      </c>
      <c r="AT50" s="7">
        <v>20.76</v>
      </c>
      <c r="AU50" s="7">
        <v>22.1</v>
      </c>
      <c r="AV50" s="7">
        <v>23.58</v>
      </c>
      <c r="AW50" s="7">
        <v>22.04</v>
      </c>
      <c r="AX50" s="7">
        <v>21.79</v>
      </c>
      <c r="AY50" s="7">
        <v>23.4</v>
      </c>
      <c r="AZ50" s="7">
        <v>21.45</v>
      </c>
      <c r="BA50" s="7">
        <v>23.28</v>
      </c>
      <c r="BB50" s="7">
        <v>21.8</v>
      </c>
      <c r="BC50" s="7">
        <v>22.18</v>
      </c>
      <c r="BD50" s="7">
        <v>22.29</v>
      </c>
      <c r="BE50" s="7">
        <v>23.24</v>
      </c>
      <c r="BF50" s="7">
        <v>22.14</v>
      </c>
      <c r="BG50" s="7">
        <v>22.88</v>
      </c>
      <c r="BH50" s="10">
        <v>22.86</v>
      </c>
      <c r="BI50" s="10">
        <v>22.65</v>
      </c>
    </row>
    <row r="51" spans="1:61" ht="15.75" customHeight="1" x14ac:dyDescent="0.25">
      <c r="A51" s="1">
        <v>50</v>
      </c>
      <c r="B51" s="1"/>
      <c r="C51" s="1">
        <v>19</v>
      </c>
      <c r="D51" s="6"/>
      <c r="E51" s="6">
        <v>22.62</v>
      </c>
      <c r="F51" s="6">
        <v>22.26</v>
      </c>
      <c r="G51" s="6"/>
      <c r="H51" s="6"/>
      <c r="I51" s="6"/>
      <c r="J51" s="9">
        <v>22.02</v>
      </c>
      <c r="K51" s="9">
        <v>21.37</v>
      </c>
      <c r="L51" s="9">
        <v>22.07</v>
      </c>
      <c r="M51" s="9">
        <v>21.23</v>
      </c>
      <c r="N51" s="9">
        <v>22.12</v>
      </c>
      <c r="O51" s="9">
        <v>20.98</v>
      </c>
      <c r="P51" s="9">
        <v>22.15</v>
      </c>
      <c r="Q51" s="9">
        <v>23.35</v>
      </c>
      <c r="R51" s="9">
        <v>24.43</v>
      </c>
      <c r="S51" s="9">
        <v>23.6</v>
      </c>
      <c r="T51" s="9">
        <v>25.48</v>
      </c>
      <c r="U51" s="9">
        <v>23.67</v>
      </c>
      <c r="V51" s="9">
        <v>22.88</v>
      </c>
      <c r="W51" s="6">
        <v>23.06</v>
      </c>
      <c r="X51" s="6">
        <v>23</v>
      </c>
      <c r="Y51" s="6">
        <v>23.17</v>
      </c>
      <c r="Z51" s="6">
        <v>24.38</v>
      </c>
      <c r="AA51" s="6">
        <v>22.29</v>
      </c>
      <c r="AB51" s="6">
        <v>21.86</v>
      </c>
      <c r="AC51" s="6">
        <v>22.75</v>
      </c>
      <c r="AD51" s="6">
        <v>22.38</v>
      </c>
      <c r="AE51" s="6">
        <v>22.32</v>
      </c>
      <c r="AF51" s="6">
        <v>23.3</v>
      </c>
      <c r="AG51" s="6">
        <v>23.71</v>
      </c>
      <c r="AH51" s="6">
        <v>22.23</v>
      </c>
      <c r="AI51" s="6">
        <v>24.17</v>
      </c>
      <c r="AJ51" s="7">
        <v>22.56</v>
      </c>
      <c r="AK51" s="7">
        <v>22.24</v>
      </c>
      <c r="AL51" s="7">
        <v>22.36</v>
      </c>
      <c r="AM51" s="7">
        <v>21.43</v>
      </c>
      <c r="AN51" s="7">
        <v>21.58</v>
      </c>
      <c r="AO51" s="7">
        <v>23.02</v>
      </c>
      <c r="AP51" s="7">
        <v>23.97</v>
      </c>
      <c r="AQ51" s="7">
        <v>21.56</v>
      </c>
      <c r="AR51" s="7">
        <v>22.14</v>
      </c>
      <c r="AS51" s="7">
        <v>23.38</v>
      </c>
      <c r="AT51" s="7">
        <v>20.73</v>
      </c>
      <c r="AU51" s="7">
        <v>22.1</v>
      </c>
      <c r="AV51" s="7">
        <v>23.59</v>
      </c>
      <c r="AW51" s="7">
        <v>22.08</v>
      </c>
      <c r="AX51" s="7">
        <v>21.78</v>
      </c>
      <c r="AY51" s="7">
        <v>23.3</v>
      </c>
      <c r="AZ51" s="7">
        <v>21.49</v>
      </c>
      <c r="BA51" s="7">
        <v>23.2</v>
      </c>
      <c r="BB51" s="7">
        <v>21.7</v>
      </c>
      <c r="BC51" s="7">
        <v>22.14</v>
      </c>
      <c r="BD51" s="7">
        <v>22.22</v>
      </c>
      <c r="BE51" s="7">
        <v>23.18</v>
      </c>
      <c r="BF51" s="7">
        <v>22.15</v>
      </c>
      <c r="BG51" s="7">
        <v>22.86</v>
      </c>
      <c r="BH51" s="10">
        <v>22.82</v>
      </c>
      <c r="BI51" s="10">
        <v>22.6</v>
      </c>
    </row>
    <row r="52" spans="1:61" ht="15.75" customHeight="1" x14ac:dyDescent="0.25">
      <c r="A52" s="1">
        <v>51</v>
      </c>
      <c r="B52" s="1"/>
      <c r="C52" s="1">
        <v>20</v>
      </c>
      <c r="D52" s="6"/>
      <c r="E52" s="6">
        <v>22.68</v>
      </c>
      <c r="F52" s="6">
        <v>22.39</v>
      </c>
      <c r="G52" s="6"/>
      <c r="H52" s="6"/>
      <c r="I52" s="6"/>
      <c r="J52" s="9">
        <v>21.98</v>
      </c>
      <c r="K52" s="9">
        <v>21.33</v>
      </c>
      <c r="L52" s="9">
        <v>22.07</v>
      </c>
      <c r="M52" s="9">
        <v>21.24</v>
      </c>
      <c r="N52" s="9">
        <v>22.08</v>
      </c>
      <c r="O52" s="9">
        <v>20.94</v>
      </c>
      <c r="P52" s="9">
        <v>22.11</v>
      </c>
      <c r="Q52" s="9">
        <v>23.34</v>
      </c>
      <c r="R52" s="9">
        <v>24.48</v>
      </c>
      <c r="S52" s="9">
        <v>23.55</v>
      </c>
      <c r="T52" s="9">
        <v>25.42</v>
      </c>
      <c r="U52" s="9">
        <v>23.65</v>
      </c>
      <c r="V52" s="9">
        <v>22.88</v>
      </c>
      <c r="W52" s="6">
        <v>23.11</v>
      </c>
      <c r="X52" s="6">
        <v>23.02</v>
      </c>
      <c r="Y52" s="6">
        <v>23.1</v>
      </c>
      <c r="Z52" s="6">
        <v>24.33</v>
      </c>
      <c r="AA52" s="6">
        <v>22.26</v>
      </c>
      <c r="AB52" s="6">
        <v>21.86</v>
      </c>
      <c r="AC52" s="6">
        <v>22.68</v>
      </c>
      <c r="AD52" s="6">
        <v>22.35</v>
      </c>
      <c r="AE52" s="6">
        <v>22.3</v>
      </c>
      <c r="AF52" s="6">
        <v>23.42</v>
      </c>
      <c r="AG52" s="6">
        <v>23.84</v>
      </c>
      <c r="AH52" s="6">
        <v>22.28</v>
      </c>
      <c r="AI52" s="6">
        <v>24.23</v>
      </c>
      <c r="AJ52" s="7">
        <v>22.51</v>
      </c>
      <c r="AK52" s="7">
        <v>22.22</v>
      </c>
      <c r="AL52" s="7">
        <v>22.3</v>
      </c>
      <c r="AM52" s="7">
        <v>21.42</v>
      </c>
      <c r="AN52" s="7">
        <v>21.56</v>
      </c>
      <c r="AO52" s="7">
        <v>23.17</v>
      </c>
      <c r="AP52" s="7">
        <v>23.95</v>
      </c>
      <c r="AQ52" s="7">
        <v>21.51</v>
      </c>
      <c r="AR52" s="7">
        <v>22.23</v>
      </c>
      <c r="AS52" s="7">
        <v>23.3</v>
      </c>
      <c r="AT52" s="7">
        <v>20.7</v>
      </c>
      <c r="AU52" s="7">
        <v>22.09</v>
      </c>
      <c r="AV52" s="7">
        <v>23.54</v>
      </c>
      <c r="AW52" s="7">
        <v>22.1</v>
      </c>
      <c r="AX52" s="7">
        <v>21.75</v>
      </c>
      <c r="AY52" s="7">
        <v>23.24</v>
      </c>
      <c r="AZ52" s="7">
        <v>21.5</v>
      </c>
      <c r="BA52" s="7">
        <v>23.16</v>
      </c>
      <c r="BB52" s="7">
        <v>21.62</v>
      </c>
      <c r="BC52" s="7">
        <v>22.1</v>
      </c>
      <c r="BD52" s="7">
        <v>22.14</v>
      </c>
      <c r="BE52" s="7">
        <v>23.12</v>
      </c>
      <c r="BF52" s="7">
        <v>22.16</v>
      </c>
      <c r="BG52" s="7">
        <v>22.85</v>
      </c>
      <c r="BH52" s="10">
        <v>22.77</v>
      </c>
      <c r="BI52" s="10">
        <v>22.58</v>
      </c>
    </row>
    <row r="53" spans="1:61" ht="15.75" customHeight="1" x14ac:dyDescent="0.25">
      <c r="A53" s="1">
        <v>52</v>
      </c>
      <c r="B53" s="1"/>
      <c r="C53" s="1">
        <v>21</v>
      </c>
      <c r="D53" s="6"/>
      <c r="E53" s="6">
        <v>22.68</v>
      </c>
      <c r="F53" s="6">
        <v>22.29</v>
      </c>
      <c r="G53" s="6"/>
      <c r="H53" s="6"/>
      <c r="I53" s="6"/>
      <c r="J53" s="9">
        <v>21.96</v>
      </c>
      <c r="K53" s="9">
        <v>21.3</v>
      </c>
      <c r="L53" s="9">
        <v>22.07</v>
      </c>
      <c r="M53" s="9">
        <v>21.28</v>
      </c>
      <c r="N53" s="9">
        <v>22.07</v>
      </c>
      <c r="O53" s="9">
        <v>20.91</v>
      </c>
      <c r="P53" s="9">
        <v>22.04</v>
      </c>
      <c r="Q53" s="9">
        <v>23.34</v>
      </c>
      <c r="R53" s="9">
        <v>24.5</v>
      </c>
      <c r="S53" s="9">
        <v>23.51</v>
      </c>
      <c r="T53" s="9">
        <v>25.39</v>
      </c>
      <c r="U53" s="9">
        <v>23.64</v>
      </c>
      <c r="V53" s="9">
        <v>22.88</v>
      </c>
      <c r="W53" s="6">
        <v>23.22</v>
      </c>
      <c r="X53" s="6">
        <v>22.99</v>
      </c>
      <c r="Y53" s="6">
        <v>23.06</v>
      </c>
      <c r="Z53" s="6">
        <v>24.27</v>
      </c>
      <c r="AA53" s="6">
        <v>22.25</v>
      </c>
      <c r="AB53" s="6">
        <v>21.89</v>
      </c>
      <c r="AC53" s="6">
        <v>22.58</v>
      </c>
      <c r="AD53" s="6">
        <v>22.27</v>
      </c>
      <c r="AE53" s="6">
        <v>22.26</v>
      </c>
      <c r="AF53" s="6">
        <v>23.53</v>
      </c>
      <c r="AG53" s="6">
        <v>23.99</v>
      </c>
      <c r="AH53" s="6">
        <v>22.34</v>
      </c>
      <c r="AI53" s="6">
        <v>24.29</v>
      </c>
      <c r="AJ53" s="7">
        <v>22.41</v>
      </c>
      <c r="AK53" s="7">
        <v>22.18</v>
      </c>
      <c r="AL53" s="7">
        <v>22.21</v>
      </c>
      <c r="AM53" s="7">
        <v>21.4</v>
      </c>
      <c r="AN53" s="7">
        <v>21.54</v>
      </c>
      <c r="AO53" s="7">
        <v>23.35</v>
      </c>
      <c r="AP53" s="7">
        <v>23.8</v>
      </c>
      <c r="AQ53" s="7">
        <v>21.47</v>
      </c>
      <c r="AR53" s="7">
        <v>22.31</v>
      </c>
      <c r="AS53" s="7">
        <v>23.24</v>
      </c>
      <c r="AT53" s="7">
        <v>20.65</v>
      </c>
      <c r="AU53" s="7">
        <v>22.11</v>
      </c>
      <c r="AV53" s="7">
        <v>23.47</v>
      </c>
      <c r="AW53" s="7">
        <v>22.08</v>
      </c>
      <c r="AX53" s="7">
        <v>21.71</v>
      </c>
      <c r="AY53" s="7">
        <v>23.19</v>
      </c>
      <c r="AZ53" s="7">
        <v>21.5</v>
      </c>
      <c r="BA53" s="7">
        <v>23.07</v>
      </c>
      <c r="BB53" s="7">
        <v>21.57</v>
      </c>
      <c r="BC53" s="7">
        <v>22.04</v>
      </c>
      <c r="BD53" s="7">
        <v>22.1</v>
      </c>
      <c r="BE53" s="7">
        <v>23.08</v>
      </c>
      <c r="BF53" s="7">
        <v>22.18</v>
      </c>
      <c r="BG53" s="7">
        <v>22.85</v>
      </c>
      <c r="BH53" s="10">
        <v>22.71</v>
      </c>
      <c r="BI53" s="10">
        <v>22.57</v>
      </c>
    </row>
    <row r="54" spans="1:61" ht="15.75" customHeight="1" x14ac:dyDescent="0.25">
      <c r="A54" s="1">
        <v>53</v>
      </c>
      <c r="B54" s="1"/>
      <c r="C54" s="1">
        <v>22</v>
      </c>
      <c r="D54" s="6"/>
      <c r="E54" s="6">
        <v>22.68</v>
      </c>
      <c r="F54" s="6">
        <v>22.6</v>
      </c>
      <c r="G54" s="6"/>
      <c r="H54" s="6"/>
      <c r="I54" s="6"/>
      <c r="J54" s="9">
        <v>21.93</v>
      </c>
      <c r="K54" s="9">
        <v>21.28</v>
      </c>
      <c r="L54" s="9">
        <v>22.07</v>
      </c>
      <c r="M54" s="9">
        <v>21.3</v>
      </c>
      <c r="N54" s="9">
        <v>22.05</v>
      </c>
      <c r="O54" s="9">
        <v>20.88</v>
      </c>
      <c r="P54" s="9">
        <v>21.97</v>
      </c>
      <c r="Q54" s="9">
        <v>23.34</v>
      </c>
      <c r="R54" s="9">
        <v>24.5</v>
      </c>
      <c r="S54" s="9">
        <v>23.47</v>
      </c>
      <c r="T54" s="9">
        <v>25.37</v>
      </c>
      <c r="U54" s="9">
        <v>23.62</v>
      </c>
      <c r="V54" s="9">
        <v>22.89</v>
      </c>
      <c r="W54" s="6">
        <v>23.31</v>
      </c>
      <c r="X54" s="6">
        <v>22.96</v>
      </c>
      <c r="Y54" s="6">
        <v>22.98</v>
      </c>
      <c r="Z54" s="6">
        <v>24.19</v>
      </c>
      <c r="AA54" s="6">
        <v>22.24</v>
      </c>
      <c r="AB54" s="6">
        <v>21.87</v>
      </c>
      <c r="AC54" s="6">
        <v>22.56</v>
      </c>
      <c r="AD54" s="6">
        <v>22.23</v>
      </c>
      <c r="AE54" s="6">
        <v>22.23</v>
      </c>
      <c r="AF54" s="6">
        <v>23.62</v>
      </c>
      <c r="AG54" s="6">
        <v>24.17</v>
      </c>
      <c r="AH54" s="6">
        <v>22.38</v>
      </c>
      <c r="AI54" s="6">
        <v>24.34</v>
      </c>
      <c r="AJ54" s="7">
        <v>22.36</v>
      </c>
      <c r="AK54" s="7">
        <v>22.14</v>
      </c>
      <c r="AL54" s="7">
        <v>22.14</v>
      </c>
      <c r="AM54" s="7">
        <v>21.38</v>
      </c>
      <c r="AN54" s="7">
        <v>21.5</v>
      </c>
      <c r="AO54" s="7">
        <v>23.43</v>
      </c>
      <c r="AP54" s="7">
        <v>23.66</v>
      </c>
      <c r="AQ54" s="7">
        <v>21.41</v>
      </c>
      <c r="AR54" s="7">
        <v>22.39</v>
      </c>
      <c r="AS54" s="7">
        <v>23.18</v>
      </c>
      <c r="AT54" s="7">
        <v>20.6</v>
      </c>
      <c r="AU54" s="7">
        <v>22.11</v>
      </c>
      <c r="AV54" s="7">
        <v>23.38</v>
      </c>
      <c r="AW54" s="7">
        <v>22.07</v>
      </c>
      <c r="AX54" s="7">
        <v>21.68</v>
      </c>
      <c r="AY54" s="7">
        <v>23.19</v>
      </c>
      <c r="AZ54" s="7">
        <v>21.49</v>
      </c>
      <c r="BA54" s="7">
        <v>22.99</v>
      </c>
      <c r="BB54" s="7">
        <v>21.54</v>
      </c>
      <c r="BC54" s="7">
        <v>21.98</v>
      </c>
      <c r="BD54" s="7">
        <v>22.06</v>
      </c>
      <c r="BE54" s="7">
        <v>22.98</v>
      </c>
      <c r="BF54" s="7">
        <v>22.18</v>
      </c>
      <c r="BG54" s="7">
        <v>22.85</v>
      </c>
      <c r="BH54" s="10">
        <v>22.66</v>
      </c>
      <c r="BI54" s="10">
        <v>22.56</v>
      </c>
    </row>
    <row r="55" spans="1:61" ht="15.75" customHeight="1" x14ac:dyDescent="0.25">
      <c r="A55" s="1">
        <v>54</v>
      </c>
      <c r="B55" s="1"/>
      <c r="C55" s="1">
        <v>23</v>
      </c>
      <c r="D55" s="6"/>
      <c r="E55" s="6">
        <v>22.68</v>
      </c>
      <c r="F55" s="6">
        <v>22.7</v>
      </c>
      <c r="G55" s="6"/>
      <c r="H55" s="6"/>
      <c r="I55" s="6"/>
      <c r="J55" s="9">
        <v>21.93</v>
      </c>
      <c r="K55" s="9">
        <v>21.27</v>
      </c>
      <c r="L55" s="9">
        <v>22.07</v>
      </c>
      <c r="M55" s="9">
        <v>21.31</v>
      </c>
      <c r="N55" s="9">
        <v>22</v>
      </c>
      <c r="O55" s="9">
        <v>20.84</v>
      </c>
      <c r="P55" s="9">
        <v>21.96</v>
      </c>
      <c r="Q55" s="9">
        <v>23.35</v>
      </c>
      <c r="R55" s="9">
        <v>24.5</v>
      </c>
      <c r="S55" s="9">
        <v>23.42</v>
      </c>
      <c r="T55" s="9">
        <v>25.35</v>
      </c>
      <c r="U55" s="9">
        <v>23.6</v>
      </c>
      <c r="V55" s="9">
        <v>22.86</v>
      </c>
      <c r="W55" s="6">
        <v>23.46</v>
      </c>
      <c r="X55" s="6">
        <v>22.89</v>
      </c>
      <c r="Y55" s="6">
        <v>22.9</v>
      </c>
      <c r="Z55" s="6">
        <v>24.12</v>
      </c>
      <c r="AA55" s="6">
        <v>22.22</v>
      </c>
      <c r="AB55" s="6">
        <v>21.85</v>
      </c>
      <c r="AC55" s="6">
        <v>22.52</v>
      </c>
      <c r="AD55" s="6">
        <v>22.19</v>
      </c>
      <c r="AE55" s="6">
        <v>22.18</v>
      </c>
      <c r="AF55" s="6">
        <v>23.74</v>
      </c>
      <c r="AG55" s="6">
        <v>24.29</v>
      </c>
      <c r="AH55" s="6">
        <v>22.44</v>
      </c>
      <c r="AI55" s="6">
        <v>24.4</v>
      </c>
      <c r="AJ55" s="7">
        <v>22.25</v>
      </c>
      <c r="AK55" s="7">
        <v>22.09</v>
      </c>
      <c r="AL55" s="7">
        <v>22.08</v>
      </c>
      <c r="AM55" s="7">
        <v>21.42</v>
      </c>
      <c r="AN55" s="7">
        <v>21.48</v>
      </c>
      <c r="AO55" s="7">
        <v>23.4</v>
      </c>
      <c r="AP55" s="7">
        <v>23.51</v>
      </c>
      <c r="AQ55" s="7">
        <v>21.37</v>
      </c>
      <c r="AR55" s="7">
        <v>22.44</v>
      </c>
      <c r="AS55" s="7">
        <v>23.14</v>
      </c>
      <c r="AT55" s="7">
        <v>20.59</v>
      </c>
      <c r="AU55" s="7">
        <v>22.09</v>
      </c>
      <c r="AV55" s="7">
        <v>23.31</v>
      </c>
      <c r="AW55" s="7">
        <v>22.06</v>
      </c>
      <c r="AX55" s="7">
        <v>21.65</v>
      </c>
      <c r="AY55" s="7">
        <v>23.17</v>
      </c>
      <c r="AZ55" s="7">
        <v>21.46</v>
      </c>
      <c r="BA55" s="7">
        <v>22.9</v>
      </c>
      <c r="BB55" s="7">
        <v>21.52</v>
      </c>
      <c r="BC55" s="7">
        <v>21.93</v>
      </c>
      <c r="BD55" s="7">
        <v>22.02</v>
      </c>
      <c r="BE55" s="7">
        <v>22.95</v>
      </c>
      <c r="BF55" s="7">
        <v>22.17</v>
      </c>
      <c r="BG55" s="7">
        <v>22.84</v>
      </c>
      <c r="BH55" s="10">
        <v>22.6</v>
      </c>
      <c r="BI55" s="10">
        <v>22.55</v>
      </c>
    </row>
    <row r="56" spans="1:61" ht="15.75" customHeight="1" x14ac:dyDescent="0.25">
      <c r="A56" s="1">
        <v>55</v>
      </c>
      <c r="B56" s="1"/>
      <c r="C56" s="1">
        <v>24</v>
      </c>
      <c r="D56" s="6"/>
      <c r="E56" s="6">
        <v>22.68</v>
      </c>
      <c r="F56" s="6">
        <v>22.79</v>
      </c>
      <c r="G56" s="6"/>
      <c r="H56" s="6"/>
      <c r="I56" s="6"/>
      <c r="J56" s="9">
        <v>21.93</v>
      </c>
      <c r="K56" s="9">
        <v>21.26</v>
      </c>
      <c r="L56" s="9">
        <v>22.02</v>
      </c>
      <c r="M56" s="9">
        <v>21.32</v>
      </c>
      <c r="N56" s="9">
        <v>21.95</v>
      </c>
      <c r="O56" s="9">
        <v>20.8</v>
      </c>
      <c r="P56" s="9">
        <v>21.9</v>
      </c>
      <c r="Q56" s="9">
        <v>23.39</v>
      </c>
      <c r="R56" s="9">
        <v>24.5</v>
      </c>
      <c r="S56" s="9">
        <v>23.39</v>
      </c>
      <c r="T56" s="9">
        <v>25.34</v>
      </c>
      <c r="U56" s="9">
        <v>23.56</v>
      </c>
      <c r="V56" s="9">
        <v>22.84</v>
      </c>
      <c r="W56" s="6">
        <v>23.53</v>
      </c>
      <c r="X56" s="6">
        <v>22.83</v>
      </c>
      <c r="Y56" s="6">
        <v>22.88</v>
      </c>
      <c r="Z56" s="6">
        <v>24</v>
      </c>
      <c r="AA56" s="6">
        <v>22.2</v>
      </c>
      <c r="AB56" s="6">
        <v>21.82</v>
      </c>
      <c r="AC56" s="6">
        <v>22.46</v>
      </c>
      <c r="AD56" s="6">
        <v>22.15</v>
      </c>
      <c r="AE56" s="6">
        <v>22.14</v>
      </c>
      <c r="AF56" s="6">
        <v>23.79</v>
      </c>
      <c r="AG56" s="6">
        <v>24.32</v>
      </c>
      <c r="AH56" s="6">
        <v>22.54</v>
      </c>
      <c r="AI56" s="6">
        <v>24.48</v>
      </c>
      <c r="AJ56" s="7">
        <v>22.24</v>
      </c>
      <c r="AK56" s="7">
        <v>22.04</v>
      </c>
      <c r="AL56" s="7">
        <v>22.02</v>
      </c>
      <c r="AM56" s="7">
        <v>21.42</v>
      </c>
      <c r="AN56" s="7">
        <v>21.44</v>
      </c>
      <c r="AO56" s="7">
        <v>23.3</v>
      </c>
      <c r="AP56" s="7">
        <v>23.37</v>
      </c>
      <c r="AQ56" s="7">
        <v>21.34</v>
      </c>
      <c r="AR56" s="7">
        <v>22.45</v>
      </c>
      <c r="AS56" s="7">
        <v>23.08</v>
      </c>
      <c r="AT56" s="7">
        <v>20.57</v>
      </c>
      <c r="AU56" s="7">
        <v>22.09</v>
      </c>
      <c r="AV56" s="7">
        <v>23.24</v>
      </c>
      <c r="AW56" s="7">
        <v>22.06</v>
      </c>
      <c r="AX56" s="7">
        <v>21.61</v>
      </c>
      <c r="AY56" s="7">
        <v>23.15</v>
      </c>
      <c r="AZ56" s="7">
        <v>21.46</v>
      </c>
      <c r="BA56" s="7">
        <v>22.78</v>
      </c>
      <c r="BB56" s="7">
        <v>21.48</v>
      </c>
      <c r="BC56" s="7">
        <v>21.88</v>
      </c>
      <c r="BD56" s="7">
        <v>21.99</v>
      </c>
      <c r="BE56" s="7">
        <v>22.92</v>
      </c>
      <c r="BF56" s="7">
        <v>22.15</v>
      </c>
      <c r="BG56" s="7">
        <v>22.86</v>
      </c>
      <c r="BH56" s="10">
        <v>22.55</v>
      </c>
      <c r="BI56" s="10">
        <v>22.55</v>
      </c>
    </row>
    <row r="57" spans="1:61" ht="15.75" customHeight="1" x14ac:dyDescent="0.25">
      <c r="A57" s="1">
        <v>56</v>
      </c>
      <c r="B57" s="1"/>
      <c r="C57" s="1">
        <v>25</v>
      </c>
      <c r="D57" s="6"/>
      <c r="E57" s="6">
        <v>22.4</v>
      </c>
      <c r="F57" s="6">
        <v>22.95</v>
      </c>
      <c r="G57" s="6"/>
      <c r="H57" s="6"/>
      <c r="I57" s="6"/>
      <c r="J57" s="9">
        <v>21.93</v>
      </c>
      <c r="K57" s="9">
        <v>21.21</v>
      </c>
      <c r="L57" s="9">
        <v>21.94</v>
      </c>
      <c r="M57" s="9">
        <v>21.35</v>
      </c>
      <c r="N57" s="9">
        <v>21.87</v>
      </c>
      <c r="O57" s="9">
        <v>20.78</v>
      </c>
      <c r="P57" s="9">
        <v>21.86</v>
      </c>
      <c r="Q57" s="9">
        <v>23.43</v>
      </c>
      <c r="R57" s="9">
        <v>24.47</v>
      </c>
      <c r="S57" s="9">
        <v>23.37</v>
      </c>
      <c r="T57" s="9">
        <v>25.35</v>
      </c>
      <c r="U57" s="9">
        <v>23.51</v>
      </c>
      <c r="V57" s="9">
        <v>22.83</v>
      </c>
      <c r="W57" s="6">
        <v>23.55</v>
      </c>
      <c r="X57" s="6">
        <v>22.75</v>
      </c>
      <c r="Y57" s="6">
        <v>22.83</v>
      </c>
      <c r="Z57" s="6">
        <v>23.87</v>
      </c>
      <c r="AA57" s="6">
        <v>22.17</v>
      </c>
      <c r="AB57" s="6">
        <v>21.8</v>
      </c>
      <c r="AC57" s="6">
        <v>22.4</v>
      </c>
      <c r="AD57" s="6">
        <v>22.11</v>
      </c>
      <c r="AE57" s="6">
        <v>22.11</v>
      </c>
      <c r="AF57" s="6">
        <v>23.82</v>
      </c>
      <c r="AG57" s="6">
        <v>24.31</v>
      </c>
      <c r="AH57" s="6">
        <v>22.64</v>
      </c>
      <c r="AI57" s="6">
        <v>24.55</v>
      </c>
      <c r="AJ57" s="7">
        <v>22.22</v>
      </c>
      <c r="AK57" s="7">
        <v>22</v>
      </c>
      <c r="AL57" s="7">
        <v>21.95</v>
      </c>
      <c r="AM57" s="7">
        <v>21.39</v>
      </c>
      <c r="AN57" s="7">
        <v>21.4</v>
      </c>
      <c r="AO57" s="7">
        <v>23.18</v>
      </c>
      <c r="AP57" s="7">
        <v>23.21</v>
      </c>
      <c r="AQ57" s="7">
        <v>21.32</v>
      </c>
      <c r="AR57" s="7">
        <v>22.41</v>
      </c>
      <c r="AS57" s="7">
        <v>23.04</v>
      </c>
      <c r="AT57" s="7">
        <v>20.55</v>
      </c>
      <c r="AU57" s="7">
        <v>22.08</v>
      </c>
      <c r="AV57" s="7">
        <v>23.16</v>
      </c>
      <c r="AW57" s="7">
        <v>22.06</v>
      </c>
      <c r="AX57" s="7">
        <v>21.59</v>
      </c>
      <c r="AY57" s="7">
        <v>23.1</v>
      </c>
      <c r="AZ57" s="7">
        <v>21.44</v>
      </c>
      <c r="BA57" s="7">
        <v>22.69</v>
      </c>
      <c r="BB57" s="7">
        <v>21.46</v>
      </c>
      <c r="BC57" s="7">
        <v>21.84</v>
      </c>
      <c r="BD57" s="7">
        <v>21.96</v>
      </c>
      <c r="BE57" s="7">
        <v>22.81</v>
      </c>
      <c r="BF57" s="7">
        <v>22.13</v>
      </c>
      <c r="BG57" s="7">
        <v>22.88</v>
      </c>
      <c r="BH57" s="10">
        <v>22.51</v>
      </c>
      <c r="BI57" s="10"/>
    </row>
    <row r="58" spans="1:61" ht="15.75" customHeight="1" x14ac:dyDescent="0.25">
      <c r="A58" s="1">
        <v>57</v>
      </c>
      <c r="B58" s="1"/>
      <c r="C58" s="1">
        <v>26</v>
      </c>
      <c r="D58" s="6"/>
      <c r="E58" s="6">
        <v>22.3</v>
      </c>
      <c r="F58" s="6">
        <v>22.97</v>
      </c>
      <c r="G58" s="6"/>
      <c r="H58" s="6"/>
      <c r="I58" s="6"/>
      <c r="J58" s="9">
        <v>22.03</v>
      </c>
      <c r="K58" s="9">
        <v>21.15</v>
      </c>
      <c r="L58" s="9">
        <v>21.87</v>
      </c>
      <c r="M58" s="9">
        <v>21.38</v>
      </c>
      <c r="N58" s="9">
        <v>21.77</v>
      </c>
      <c r="O58" s="9">
        <v>20.75</v>
      </c>
      <c r="P58" s="9">
        <v>21.84</v>
      </c>
      <c r="Q58" s="9">
        <v>23.52</v>
      </c>
      <c r="R58" s="9">
        <v>24.42</v>
      </c>
      <c r="S58" s="9">
        <v>23.35</v>
      </c>
      <c r="T58" s="9">
        <v>25.39</v>
      </c>
      <c r="U58" s="9">
        <v>23.48</v>
      </c>
      <c r="V58" s="9">
        <v>22.83</v>
      </c>
      <c r="W58" s="6">
        <v>23.58</v>
      </c>
      <c r="X58" s="6">
        <v>22.73</v>
      </c>
      <c r="Y58" s="6">
        <v>22.81</v>
      </c>
      <c r="Z58" s="6">
        <v>23.73</v>
      </c>
      <c r="AA58" s="6">
        <v>22.15</v>
      </c>
      <c r="AB58" s="6">
        <v>21.78</v>
      </c>
      <c r="AC58" s="6">
        <v>22.33</v>
      </c>
      <c r="AD58" s="6">
        <v>22.09</v>
      </c>
      <c r="AE58" s="6">
        <v>22.08</v>
      </c>
      <c r="AF58" s="6">
        <v>23.82</v>
      </c>
      <c r="AG58" s="6">
        <v>24.26</v>
      </c>
      <c r="AH58" s="6">
        <v>22.76</v>
      </c>
      <c r="AI58" s="6">
        <v>24.64</v>
      </c>
      <c r="AJ58" s="7">
        <v>22.21</v>
      </c>
      <c r="AK58" s="7">
        <v>21.97</v>
      </c>
      <c r="AL58" s="7">
        <v>21.86</v>
      </c>
      <c r="AM58" s="7">
        <v>21.36</v>
      </c>
      <c r="AN58" s="7">
        <v>21.36</v>
      </c>
      <c r="AO58" s="7">
        <v>23.06</v>
      </c>
      <c r="AP58" s="7">
        <v>23.08</v>
      </c>
      <c r="AQ58" s="7">
        <v>21.29</v>
      </c>
      <c r="AR58" s="7">
        <v>22.4</v>
      </c>
      <c r="AS58" s="7">
        <v>23</v>
      </c>
      <c r="AT58" s="7">
        <v>20.54</v>
      </c>
      <c r="AU58" s="7">
        <v>22.08</v>
      </c>
      <c r="AV58" s="7">
        <v>23.1</v>
      </c>
      <c r="AW58" s="7">
        <v>22.08</v>
      </c>
      <c r="AX58" s="7">
        <v>21.57</v>
      </c>
      <c r="AY58" s="7">
        <v>23</v>
      </c>
      <c r="AZ58" s="7">
        <v>21.42</v>
      </c>
      <c r="BA58" s="7">
        <v>22.62</v>
      </c>
      <c r="BB58" s="7">
        <v>21.44</v>
      </c>
      <c r="BC58" s="7">
        <v>21.78</v>
      </c>
      <c r="BD58" s="7">
        <v>21.92</v>
      </c>
      <c r="BE58" s="7">
        <v>22.75</v>
      </c>
      <c r="BF58" s="7">
        <v>22.13</v>
      </c>
      <c r="BG58" s="7">
        <v>22.88</v>
      </c>
      <c r="BH58" s="10">
        <v>22.5</v>
      </c>
      <c r="BI58" s="10"/>
    </row>
    <row r="59" spans="1:61" ht="15.75" customHeight="1" x14ac:dyDescent="0.25">
      <c r="A59" s="1">
        <v>58</v>
      </c>
      <c r="B59" s="1"/>
      <c r="C59" s="1">
        <v>27</v>
      </c>
      <c r="D59" s="6"/>
      <c r="E59" s="6">
        <v>22.22</v>
      </c>
      <c r="F59" s="6">
        <v>22.97</v>
      </c>
      <c r="G59" s="6"/>
      <c r="H59" s="6"/>
      <c r="I59" s="6"/>
      <c r="J59" s="9">
        <v>21.98</v>
      </c>
      <c r="K59" s="9">
        <v>21.14</v>
      </c>
      <c r="L59" s="9">
        <v>21.84</v>
      </c>
      <c r="M59" s="9">
        <v>21.4</v>
      </c>
      <c r="N59" s="9">
        <v>21.65</v>
      </c>
      <c r="O59" s="9">
        <v>20.71</v>
      </c>
      <c r="P59" s="9">
        <v>21.8</v>
      </c>
      <c r="Q59" s="9">
        <v>23.59</v>
      </c>
      <c r="R59" s="9">
        <v>24.42</v>
      </c>
      <c r="S59" s="9">
        <v>23.36</v>
      </c>
      <c r="T59" s="9">
        <v>25.44</v>
      </c>
      <c r="U59" s="9">
        <v>23.47</v>
      </c>
      <c r="V59" s="9">
        <v>22.82</v>
      </c>
      <c r="W59" s="6">
        <v>23.55</v>
      </c>
      <c r="X59" s="6">
        <v>22.61</v>
      </c>
      <c r="Y59" s="6">
        <v>22.81</v>
      </c>
      <c r="Z59" s="6">
        <v>23.6</v>
      </c>
      <c r="AA59" s="6">
        <v>22.13</v>
      </c>
      <c r="AB59" s="6">
        <v>21.78</v>
      </c>
      <c r="AC59" s="6">
        <v>22.28</v>
      </c>
      <c r="AD59" s="6">
        <v>22.07</v>
      </c>
      <c r="AE59" s="6">
        <v>22.04</v>
      </c>
      <c r="AF59" s="6">
        <v>23.81</v>
      </c>
      <c r="AG59" s="6">
        <v>24.16</v>
      </c>
      <c r="AH59" s="6">
        <v>22.86</v>
      </c>
      <c r="AI59" s="6">
        <v>24.73</v>
      </c>
      <c r="AJ59" s="7">
        <v>22.21</v>
      </c>
      <c r="AK59" s="7">
        <v>21.95</v>
      </c>
      <c r="AL59" s="7">
        <v>21.84</v>
      </c>
      <c r="AM59" s="7">
        <v>21.35</v>
      </c>
      <c r="AN59" s="7">
        <v>21.34</v>
      </c>
      <c r="AO59" s="7">
        <v>22.96</v>
      </c>
      <c r="AP59" s="7">
        <v>22.98</v>
      </c>
      <c r="AQ59" s="7">
        <v>21.25</v>
      </c>
      <c r="AR59" s="7">
        <v>22.36</v>
      </c>
      <c r="AS59" s="7">
        <v>22.99</v>
      </c>
      <c r="AT59" s="7">
        <v>20.53</v>
      </c>
      <c r="AU59" s="7">
        <v>22.08</v>
      </c>
      <c r="AV59" s="7">
        <v>23.06</v>
      </c>
      <c r="AW59" s="7">
        <v>22.08</v>
      </c>
      <c r="AX59" s="7">
        <v>21.55</v>
      </c>
      <c r="AY59" s="7">
        <v>22.95</v>
      </c>
      <c r="AZ59" s="7">
        <v>21.4</v>
      </c>
      <c r="BA59" s="7">
        <v>22.56</v>
      </c>
      <c r="BB59" s="7">
        <v>21.43</v>
      </c>
      <c r="BC59" s="7">
        <v>21.76</v>
      </c>
      <c r="BD59" s="7">
        <v>21.84</v>
      </c>
      <c r="BE59" s="7">
        <v>22.68</v>
      </c>
      <c r="BF59" s="7">
        <v>22.14</v>
      </c>
      <c r="BG59" s="7">
        <v>22.9</v>
      </c>
      <c r="BH59" s="10">
        <v>22.5</v>
      </c>
      <c r="BI59" s="10"/>
    </row>
    <row r="60" spans="1:61" ht="15.75" customHeight="1" x14ac:dyDescent="0.25">
      <c r="A60" s="1">
        <v>59</v>
      </c>
      <c r="B60" s="1"/>
      <c r="C60" s="1">
        <v>28</v>
      </c>
      <c r="D60" s="6"/>
      <c r="E60" s="6">
        <v>22.17</v>
      </c>
      <c r="F60" s="6">
        <v>22.97</v>
      </c>
      <c r="G60" s="6"/>
      <c r="H60" s="6"/>
      <c r="I60" s="6"/>
      <c r="J60" s="9">
        <v>21.93</v>
      </c>
      <c r="K60" s="9">
        <v>21.15</v>
      </c>
      <c r="L60" s="9">
        <v>21.79</v>
      </c>
      <c r="M60" s="9">
        <v>21.39</v>
      </c>
      <c r="N60" s="9">
        <v>21.53</v>
      </c>
      <c r="O60" s="9">
        <v>20.68</v>
      </c>
      <c r="P60" s="9">
        <v>21.76</v>
      </c>
      <c r="Q60" s="9">
        <v>23.61</v>
      </c>
      <c r="R60" s="9">
        <v>24.39</v>
      </c>
      <c r="S60" s="9">
        <v>23.38</v>
      </c>
      <c r="T60" s="9">
        <v>25.54</v>
      </c>
      <c r="U60" s="9">
        <v>23.45</v>
      </c>
      <c r="V60" s="9">
        <v>22.8</v>
      </c>
      <c r="W60" s="6">
        <v>23.54</v>
      </c>
      <c r="X60" s="6">
        <v>22.54</v>
      </c>
      <c r="Y60" s="6">
        <v>22.75</v>
      </c>
      <c r="Z60" s="6">
        <v>23.47</v>
      </c>
      <c r="AA60" s="6">
        <v>22.12</v>
      </c>
      <c r="AB60" s="6">
        <v>21.77</v>
      </c>
      <c r="AC60" s="6">
        <v>22.22</v>
      </c>
      <c r="AD60" s="6">
        <v>22.07</v>
      </c>
      <c r="AE60" s="6">
        <v>22.02</v>
      </c>
      <c r="AF60" s="6">
        <v>23.8</v>
      </c>
      <c r="AG60" s="6">
        <v>24.05</v>
      </c>
      <c r="AH60" s="6">
        <v>22.91</v>
      </c>
      <c r="AI60" s="6">
        <v>24.82</v>
      </c>
      <c r="AJ60" s="7">
        <v>22.21</v>
      </c>
      <c r="AK60" s="7">
        <v>21.89</v>
      </c>
      <c r="AL60" s="7">
        <v>21.78</v>
      </c>
      <c r="AM60" s="7">
        <v>21.31</v>
      </c>
      <c r="AN60" s="7">
        <v>21.32</v>
      </c>
      <c r="AO60" s="7">
        <v>22.8</v>
      </c>
      <c r="AP60" s="7">
        <v>22.9</v>
      </c>
      <c r="AQ60" s="7">
        <v>21.2</v>
      </c>
      <c r="AR60" s="7">
        <v>22.28</v>
      </c>
      <c r="AS60" s="7">
        <v>22.97</v>
      </c>
      <c r="AT60" s="7">
        <v>20.54</v>
      </c>
      <c r="AU60" s="7">
        <v>22.08</v>
      </c>
      <c r="AV60" s="7">
        <v>22.97</v>
      </c>
      <c r="AW60" s="7">
        <v>22.1</v>
      </c>
      <c r="AX60" s="7">
        <v>21.52</v>
      </c>
      <c r="AY60" s="7">
        <v>22.9</v>
      </c>
      <c r="AZ60" s="7">
        <v>21.39</v>
      </c>
      <c r="BA60" s="7">
        <v>22.52</v>
      </c>
      <c r="BB60" s="7">
        <v>21.39</v>
      </c>
      <c r="BC60" s="7">
        <v>21.74</v>
      </c>
      <c r="BD60" s="7">
        <v>21.77</v>
      </c>
      <c r="BE60" s="7">
        <v>22.63</v>
      </c>
      <c r="BF60" s="7">
        <v>22.14</v>
      </c>
      <c r="BG60" s="7">
        <v>22.88</v>
      </c>
      <c r="BH60" s="10">
        <v>22.47</v>
      </c>
      <c r="BI60" s="10"/>
    </row>
    <row r="61" spans="1:61" ht="15.75" customHeight="1" x14ac:dyDescent="0.25">
      <c r="A61" s="1">
        <v>60</v>
      </c>
      <c r="B61" s="1"/>
      <c r="C61" s="1">
        <v>29</v>
      </c>
      <c r="D61" s="6"/>
      <c r="E61" s="6"/>
      <c r="F61" s="6" t="s">
        <v>6</v>
      </c>
      <c r="G61" s="6"/>
      <c r="H61" s="6"/>
      <c r="I61" s="6"/>
      <c r="J61" s="21"/>
      <c r="K61" s="21"/>
      <c r="L61" s="9">
        <v>21.83</v>
      </c>
      <c r="M61" s="21"/>
      <c r="N61" s="21"/>
      <c r="O61" s="21"/>
      <c r="P61" s="9">
        <v>21.72</v>
      </c>
      <c r="Q61" s="21"/>
      <c r="R61" s="21"/>
      <c r="S61" s="21"/>
      <c r="T61" s="9">
        <v>25.6</v>
      </c>
      <c r="U61" s="21"/>
      <c r="V61" s="21"/>
      <c r="W61" s="6"/>
      <c r="X61" s="6">
        <v>22.47</v>
      </c>
      <c r="Y61" s="6"/>
      <c r="Z61" s="6"/>
      <c r="AA61" s="6"/>
      <c r="AB61" s="6">
        <v>21.75</v>
      </c>
      <c r="AC61" s="6"/>
      <c r="AD61" s="6"/>
      <c r="AE61" s="6"/>
      <c r="AF61" s="6">
        <v>23.79</v>
      </c>
      <c r="AG61" s="6"/>
      <c r="AH61" s="6"/>
      <c r="AI61" s="6"/>
      <c r="AJ61" s="7">
        <v>22.21</v>
      </c>
      <c r="AK61" s="7"/>
      <c r="AL61" s="7"/>
      <c r="AM61" s="7"/>
      <c r="AN61" s="7">
        <v>21.3</v>
      </c>
      <c r="AO61" s="7"/>
      <c r="AP61" s="7"/>
      <c r="AQ61" s="7"/>
      <c r="AR61" s="7">
        <v>22.2</v>
      </c>
      <c r="AS61" s="15"/>
      <c r="AT61" s="15"/>
      <c r="AU61" s="15"/>
      <c r="AV61" s="7">
        <v>22.95</v>
      </c>
      <c r="AW61" s="15"/>
      <c r="AX61" s="15"/>
      <c r="AY61" s="7"/>
      <c r="AZ61" s="7">
        <v>21.38</v>
      </c>
      <c r="BA61" s="15"/>
      <c r="BB61" s="15"/>
      <c r="BC61" s="15"/>
      <c r="BD61" s="7">
        <v>21.74</v>
      </c>
      <c r="BE61" s="4"/>
      <c r="BF61" s="4"/>
      <c r="BG61" s="4"/>
      <c r="BH61" s="10">
        <v>22.36</v>
      </c>
      <c r="BI61" s="10"/>
    </row>
    <row r="62" spans="1:61" ht="15.75" customHeight="1" x14ac:dyDescent="0.25">
      <c r="A62" s="1">
        <v>61</v>
      </c>
      <c r="B62" s="1" t="s">
        <v>5</v>
      </c>
      <c r="C62" s="1">
        <v>1</v>
      </c>
      <c r="D62" s="6">
        <v>21.38</v>
      </c>
      <c r="E62" s="6">
        <v>22.15</v>
      </c>
      <c r="F62" s="6">
        <v>22.93</v>
      </c>
      <c r="G62" s="6"/>
      <c r="H62" s="6"/>
      <c r="I62" s="6"/>
      <c r="J62" s="9">
        <v>21.91</v>
      </c>
      <c r="K62" s="9">
        <v>21.16</v>
      </c>
      <c r="L62" s="9">
        <v>21.88</v>
      </c>
      <c r="M62" s="9">
        <v>21.4</v>
      </c>
      <c r="N62" s="9">
        <v>21.55</v>
      </c>
      <c r="O62" s="9">
        <v>20.65</v>
      </c>
      <c r="P62" s="9">
        <v>21.69</v>
      </c>
      <c r="Q62" s="9">
        <v>23.86</v>
      </c>
      <c r="R62" s="9">
        <v>24.35</v>
      </c>
      <c r="S62" s="9">
        <v>23.41</v>
      </c>
      <c r="T62" s="9">
        <v>25.65</v>
      </c>
      <c r="U62" s="9">
        <v>23.36</v>
      </c>
      <c r="V62" s="9">
        <v>22.8</v>
      </c>
      <c r="W62" s="6">
        <v>23.54</v>
      </c>
      <c r="X62" s="6">
        <v>22.41</v>
      </c>
      <c r="Y62" s="6">
        <v>22.82</v>
      </c>
      <c r="Z62" s="6">
        <v>23.32</v>
      </c>
      <c r="AA62" s="6">
        <v>22.13</v>
      </c>
      <c r="AB62" s="6">
        <v>21.75</v>
      </c>
      <c r="AC62" s="6">
        <v>22.17</v>
      </c>
      <c r="AD62" s="6">
        <v>22.1</v>
      </c>
      <c r="AE62" s="6">
        <v>22</v>
      </c>
      <c r="AF62" s="6">
        <v>23.77</v>
      </c>
      <c r="AG62" s="6">
        <v>23.98</v>
      </c>
      <c r="AH62" s="6">
        <v>22.9</v>
      </c>
      <c r="AI62" s="6">
        <v>24.91</v>
      </c>
      <c r="AJ62" s="7">
        <v>22.21</v>
      </c>
      <c r="AK62" s="7">
        <v>21.86</v>
      </c>
      <c r="AL62" s="7">
        <v>21.75</v>
      </c>
      <c r="AM62" s="7">
        <v>21.25</v>
      </c>
      <c r="AN62" s="7">
        <v>21.28</v>
      </c>
      <c r="AO62" s="7">
        <v>22.7</v>
      </c>
      <c r="AP62" s="7">
        <v>22.78</v>
      </c>
      <c r="AQ62" s="7">
        <v>21.15</v>
      </c>
      <c r="AR62" s="7">
        <v>22.16</v>
      </c>
      <c r="AS62" s="7">
        <v>22.95</v>
      </c>
      <c r="AT62" s="7">
        <v>20.55</v>
      </c>
      <c r="AU62" s="7">
        <v>22.08</v>
      </c>
      <c r="AV62" s="7">
        <v>22.85</v>
      </c>
      <c r="AW62" s="7">
        <v>22.12</v>
      </c>
      <c r="AX62" s="7">
        <v>21.49</v>
      </c>
      <c r="AY62" s="7">
        <v>22.8</v>
      </c>
      <c r="AZ62" s="7">
        <v>21.4</v>
      </c>
      <c r="BA62" s="7">
        <v>22.48</v>
      </c>
      <c r="BB62" s="7">
        <v>21.37</v>
      </c>
      <c r="BC62" s="7">
        <v>21.74</v>
      </c>
      <c r="BD62" s="7">
        <v>21.72</v>
      </c>
      <c r="BE62" s="7">
        <v>22.53</v>
      </c>
      <c r="BF62" s="7">
        <v>22.14</v>
      </c>
      <c r="BG62" s="7">
        <v>22.85</v>
      </c>
      <c r="BH62" s="10">
        <v>22.36</v>
      </c>
      <c r="BI62" s="10"/>
    </row>
    <row r="63" spans="1:61" ht="15.75" customHeight="1" x14ac:dyDescent="0.25">
      <c r="A63" s="1">
        <v>62</v>
      </c>
      <c r="B63" s="1"/>
      <c r="C63" s="1">
        <v>2</v>
      </c>
      <c r="D63" s="6">
        <v>21.34</v>
      </c>
      <c r="E63" s="6">
        <v>22.15</v>
      </c>
      <c r="F63" s="6">
        <v>22.87</v>
      </c>
      <c r="G63" s="6"/>
      <c r="H63" s="6"/>
      <c r="I63" s="6"/>
      <c r="J63" s="9">
        <v>21.9</v>
      </c>
      <c r="K63" s="9">
        <v>21.18</v>
      </c>
      <c r="L63" s="9">
        <v>21.97</v>
      </c>
      <c r="M63" s="9">
        <v>21.39</v>
      </c>
      <c r="N63" s="9">
        <v>21.48</v>
      </c>
      <c r="O63" s="9">
        <v>20.63</v>
      </c>
      <c r="P63" s="9">
        <v>21.65</v>
      </c>
      <c r="Q63" s="9">
        <v>23.99</v>
      </c>
      <c r="R63" s="9">
        <v>24.33</v>
      </c>
      <c r="S63" s="9">
        <v>23.45</v>
      </c>
      <c r="T63" s="9">
        <v>25.73</v>
      </c>
      <c r="U63" s="9">
        <v>23.31</v>
      </c>
      <c r="V63" s="9">
        <v>22.82</v>
      </c>
      <c r="W63" s="6">
        <v>23.54</v>
      </c>
      <c r="X63" s="6">
        <v>22.38</v>
      </c>
      <c r="Y63" s="6">
        <v>22.8</v>
      </c>
      <c r="Z63" s="6">
        <v>23.22</v>
      </c>
      <c r="AA63" s="6">
        <v>22.12</v>
      </c>
      <c r="AB63" s="6">
        <v>21.74</v>
      </c>
      <c r="AC63" s="6">
        <v>22.12</v>
      </c>
      <c r="AD63" s="6">
        <v>22.1</v>
      </c>
      <c r="AE63" s="6">
        <v>21.98</v>
      </c>
      <c r="AF63" s="6">
        <v>23.69</v>
      </c>
      <c r="AG63" s="6">
        <v>23.96</v>
      </c>
      <c r="AH63" s="6">
        <v>22.86</v>
      </c>
      <c r="AI63" s="6">
        <v>25.01</v>
      </c>
      <c r="AJ63" s="7">
        <v>22.22</v>
      </c>
      <c r="AK63" s="7">
        <v>21.83</v>
      </c>
      <c r="AL63" s="7">
        <v>21.69</v>
      </c>
      <c r="AM63" s="7">
        <v>21.2</v>
      </c>
      <c r="AN63" s="7">
        <v>21.28</v>
      </c>
      <c r="AO63" s="7">
        <v>22.6</v>
      </c>
      <c r="AP63" s="7">
        <v>22.68</v>
      </c>
      <c r="AQ63" s="7">
        <v>21.1</v>
      </c>
      <c r="AR63" s="7">
        <v>22.12</v>
      </c>
      <c r="AS63" s="7">
        <v>22.94</v>
      </c>
      <c r="AT63" s="7">
        <v>20.6</v>
      </c>
      <c r="AU63" s="7">
        <v>22.06</v>
      </c>
      <c r="AV63" s="7">
        <v>22.8</v>
      </c>
      <c r="AW63" s="7">
        <v>22.15</v>
      </c>
      <c r="AX63" s="7">
        <v>21.47</v>
      </c>
      <c r="AY63" s="7">
        <v>22.7</v>
      </c>
      <c r="AZ63" s="7">
        <v>21.39</v>
      </c>
      <c r="BA63" s="7">
        <v>22.38</v>
      </c>
      <c r="BB63" s="7">
        <v>21.36</v>
      </c>
      <c r="BC63" s="7">
        <v>21.71</v>
      </c>
      <c r="BD63" s="7">
        <v>21.7</v>
      </c>
      <c r="BE63" s="7">
        <v>22.51</v>
      </c>
      <c r="BF63" s="7">
        <v>22.18</v>
      </c>
      <c r="BG63" s="7">
        <v>22.79</v>
      </c>
      <c r="BH63" s="10">
        <v>22.29</v>
      </c>
      <c r="BI63" s="10"/>
    </row>
    <row r="64" spans="1:61" ht="15.75" customHeight="1" x14ac:dyDescent="0.25">
      <c r="A64" s="1">
        <v>63</v>
      </c>
      <c r="B64" s="1"/>
      <c r="C64" s="1">
        <v>3</v>
      </c>
      <c r="D64" s="6">
        <v>21.3</v>
      </c>
      <c r="E64" s="6">
        <v>22.15</v>
      </c>
      <c r="F64" s="6">
        <v>22.86</v>
      </c>
      <c r="G64" s="6"/>
      <c r="H64" s="6"/>
      <c r="I64" s="6"/>
      <c r="J64" s="9">
        <v>21.88</v>
      </c>
      <c r="K64" s="9">
        <v>21.19</v>
      </c>
      <c r="L64" s="9">
        <v>22.08</v>
      </c>
      <c r="M64" s="9">
        <v>21.39</v>
      </c>
      <c r="N64" s="9">
        <v>21.39</v>
      </c>
      <c r="O64" s="9">
        <v>20.61</v>
      </c>
      <c r="P64" s="9">
        <v>21.61</v>
      </c>
      <c r="Q64" s="9">
        <v>24.18</v>
      </c>
      <c r="R64" s="9">
        <v>24.32</v>
      </c>
      <c r="S64" s="9">
        <v>23.51</v>
      </c>
      <c r="T64" s="9">
        <v>25.85</v>
      </c>
      <c r="U64" s="9">
        <v>23.26</v>
      </c>
      <c r="V64" s="9">
        <v>22.86</v>
      </c>
      <c r="W64" s="6">
        <v>23.55</v>
      </c>
      <c r="X64" s="6">
        <v>22.31</v>
      </c>
      <c r="Y64" s="6">
        <v>22.85</v>
      </c>
      <c r="Z64" s="6">
        <v>23.13</v>
      </c>
      <c r="AA64" s="6">
        <v>22.13</v>
      </c>
      <c r="AB64" s="6">
        <v>21.72</v>
      </c>
      <c r="AC64" s="6">
        <v>22.07</v>
      </c>
      <c r="AD64" s="6">
        <v>22.13</v>
      </c>
      <c r="AE64" s="6">
        <v>21.97</v>
      </c>
      <c r="AF64" s="6">
        <v>23.6</v>
      </c>
      <c r="AG64" s="6">
        <v>23.94</v>
      </c>
      <c r="AH64" s="6">
        <v>22.81</v>
      </c>
      <c r="AI64" s="6">
        <v>25.12</v>
      </c>
      <c r="AJ64" s="7">
        <v>22.23</v>
      </c>
      <c r="AK64" s="7">
        <v>21.8</v>
      </c>
      <c r="AL64" s="7">
        <v>21.65</v>
      </c>
      <c r="AM64" s="7">
        <v>21.2</v>
      </c>
      <c r="AN64" s="7">
        <v>21.28</v>
      </c>
      <c r="AO64" s="7">
        <v>22.53</v>
      </c>
      <c r="AP64" s="7">
        <v>22.62</v>
      </c>
      <c r="AQ64" s="7">
        <v>21.08</v>
      </c>
      <c r="AR64" s="7">
        <v>22.09</v>
      </c>
      <c r="AS64" s="7">
        <v>22.9</v>
      </c>
      <c r="AT64" s="7">
        <v>20.64</v>
      </c>
      <c r="AU64" s="7">
        <v>22.06</v>
      </c>
      <c r="AV64" s="7">
        <v>22.75</v>
      </c>
      <c r="AW64" s="7">
        <v>22.21</v>
      </c>
      <c r="AX64" s="7">
        <v>21.45</v>
      </c>
      <c r="AY64" s="7">
        <v>22.53</v>
      </c>
      <c r="AZ64" s="7">
        <v>21.42</v>
      </c>
      <c r="BA64" s="7">
        <v>22.31</v>
      </c>
      <c r="BB64" s="7">
        <v>21.32</v>
      </c>
      <c r="BC64" s="7">
        <v>21.68</v>
      </c>
      <c r="BD64" s="7">
        <v>21.69</v>
      </c>
      <c r="BE64" s="7">
        <v>22.5</v>
      </c>
      <c r="BF64" s="7">
        <v>22.18</v>
      </c>
      <c r="BG64" s="7">
        <v>22.75</v>
      </c>
      <c r="BH64" s="10">
        <v>22.23</v>
      </c>
      <c r="BI64" s="10"/>
    </row>
    <row r="65" spans="1:61" ht="15.75" customHeight="1" x14ac:dyDescent="0.25">
      <c r="A65" s="1">
        <v>64</v>
      </c>
      <c r="B65" s="1"/>
      <c r="C65" s="1">
        <v>4</v>
      </c>
      <c r="D65" s="6">
        <v>21.29</v>
      </c>
      <c r="E65" s="6">
        <v>22.15</v>
      </c>
      <c r="F65" s="6">
        <v>22.85</v>
      </c>
      <c r="G65" s="6"/>
      <c r="H65" s="6"/>
      <c r="I65" s="6"/>
      <c r="J65" s="9">
        <v>21.83</v>
      </c>
      <c r="K65" s="9">
        <v>21.2</v>
      </c>
      <c r="L65" s="9">
        <v>22.15</v>
      </c>
      <c r="M65" s="9">
        <v>21.37</v>
      </c>
      <c r="N65" s="9">
        <v>21.32</v>
      </c>
      <c r="O65" s="9">
        <v>20.58</v>
      </c>
      <c r="P65" s="9">
        <v>21.58</v>
      </c>
      <c r="Q65" s="9">
        <v>24.41</v>
      </c>
      <c r="R65" s="9">
        <v>24.33</v>
      </c>
      <c r="S65" s="9">
        <v>23.56</v>
      </c>
      <c r="T65" s="9">
        <v>26.01</v>
      </c>
      <c r="U65" s="9">
        <v>23.21</v>
      </c>
      <c r="V65" s="9">
        <v>22.93</v>
      </c>
      <c r="W65" s="6">
        <v>23.55</v>
      </c>
      <c r="X65" s="6">
        <v>22.28</v>
      </c>
      <c r="Y65" s="6">
        <v>22.96</v>
      </c>
      <c r="Z65" s="6">
        <v>22.99</v>
      </c>
      <c r="AA65" s="6">
        <v>22.19</v>
      </c>
      <c r="AB65" s="6">
        <v>21.72</v>
      </c>
      <c r="AC65" s="6">
        <v>22.05</v>
      </c>
      <c r="AD65" s="6">
        <v>22.16</v>
      </c>
      <c r="AE65" s="6">
        <v>21.97</v>
      </c>
      <c r="AF65" s="6">
        <v>23.54</v>
      </c>
      <c r="AG65" s="6">
        <v>23.96</v>
      </c>
      <c r="AH65" s="6">
        <v>22.74</v>
      </c>
      <c r="AI65" s="6">
        <v>25.2</v>
      </c>
      <c r="AJ65" s="7">
        <v>22.23</v>
      </c>
      <c r="AK65" s="6">
        <v>21.79</v>
      </c>
      <c r="AL65" s="6">
        <v>21.62</v>
      </c>
      <c r="AM65" s="6">
        <v>21.21</v>
      </c>
      <c r="AN65" s="6">
        <v>21.31</v>
      </c>
      <c r="AO65" s="6">
        <v>22.46</v>
      </c>
      <c r="AP65" s="6">
        <v>22.56</v>
      </c>
      <c r="AQ65" s="6">
        <v>21.08</v>
      </c>
      <c r="AR65" s="6">
        <v>22.08</v>
      </c>
      <c r="AS65" s="6">
        <v>22.86</v>
      </c>
      <c r="AT65" s="6">
        <v>20.68</v>
      </c>
      <c r="AU65" s="6">
        <v>22.1</v>
      </c>
      <c r="AV65" s="6">
        <v>22.7</v>
      </c>
      <c r="AW65" s="6">
        <v>22.25</v>
      </c>
      <c r="AX65" s="6">
        <v>21.41</v>
      </c>
      <c r="AY65" s="6">
        <v>22.45</v>
      </c>
      <c r="AZ65" s="6">
        <v>21.45</v>
      </c>
      <c r="BA65" s="6">
        <v>22.32</v>
      </c>
      <c r="BB65" s="6">
        <v>21.25</v>
      </c>
      <c r="BC65" s="7">
        <v>21.66</v>
      </c>
      <c r="BD65" s="7">
        <v>21.67</v>
      </c>
      <c r="BE65" s="7">
        <v>22.5</v>
      </c>
      <c r="BF65" s="7">
        <v>22.22</v>
      </c>
      <c r="BG65" s="7">
        <v>22.68</v>
      </c>
      <c r="BH65" s="10">
        <v>22.17</v>
      </c>
      <c r="BI65" s="10"/>
    </row>
    <row r="66" spans="1:61" ht="15.75" customHeight="1" x14ac:dyDescent="0.25">
      <c r="A66" s="1">
        <v>65</v>
      </c>
      <c r="B66" s="1"/>
      <c r="C66" s="1">
        <v>5</v>
      </c>
      <c r="D66" s="6">
        <v>21.26</v>
      </c>
      <c r="E66" s="6">
        <v>22.39</v>
      </c>
      <c r="F66" s="6">
        <v>22.85</v>
      </c>
      <c r="G66" s="6"/>
      <c r="H66" s="6"/>
      <c r="I66" s="6"/>
      <c r="J66" s="9">
        <v>21.78</v>
      </c>
      <c r="K66" s="9">
        <v>21.2</v>
      </c>
      <c r="L66" s="9">
        <v>22.19</v>
      </c>
      <c r="M66" s="9">
        <v>21.36</v>
      </c>
      <c r="N66" s="9">
        <v>21.29</v>
      </c>
      <c r="O66" s="9">
        <v>20.58</v>
      </c>
      <c r="P66" s="9">
        <v>21.56</v>
      </c>
      <c r="Q66" s="9">
        <v>24.64</v>
      </c>
      <c r="R66" s="9">
        <v>24.34</v>
      </c>
      <c r="S66" s="9">
        <v>23.64</v>
      </c>
      <c r="T66" s="9">
        <v>26.12</v>
      </c>
      <c r="U66" s="9">
        <v>23.16</v>
      </c>
      <c r="V66" s="9">
        <v>23.03</v>
      </c>
      <c r="W66" s="6">
        <v>23.53</v>
      </c>
      <c r="X66" s="6">
        <v>22.22</v>
      </c>
      <c r="Y66" s="6">
        <v>23.07</v>
      </c>
      <c r="Z66" s="6">
        <v>22.88</v>
      </c>
      <c r="AA66" s="6">
        <v>22.25</v>
      </c>
      <c r="AB66" s="6">
        <v>21.75</v>
      </c>
      <c r="AC66" s="6">
        <v>22.03</v>
      </c>
      <c r="AD66" s="6">
        <v>22.2</v>
      </c>
      <c r="AE66" s="6">
        <v>21.96</v>
      </c>
      <c r="AF66" s="6">
        <v>23.48</v>
      </c>
      <c r="AG66" s="6">
        <v>23.97</v>
      </c>
      <c r="AH66" s="6">
        <v>22.68</v>
      </c>
      <c r="AI66" s="6">
        <v>25.22</v>
      </c>
      <c r="AJ66" s="7">
        <v>22.26</v>
      </c>
      <c r="AK66" s="6">
        <v>21.77</v>
      </c>
      <c r="AL66" s="6">
        <v>21.61</v>
      </c>
      <c r="AM66" s="6">
        <v>21.19</v>
      </c>
      <c r="AN66" s="6">
        <v>21.37</v>
      </c>
      <c r="AO66" s="6">
        <v>22.38</v>
      </c>
      <c r="AP66" s="6">
        <v>22.51</v>
      </c>
      <c r="AQ66" s="6">
        <v>21.06</v>
      </c>
      <c r="AR66" s="6">
        <v>22.06</v>
      </c>
      <c r="AS66" s="6">
        <v>22.82</v>
      </c>
      <c r="AT66" s="6">
        <v>20.69</v>
      </c>
      <c r="AU66" s="6">
        <v>22.18</v>
      </c>
      <c r="AV66" s="6">
        <v>22.68</v>
      </c>
      <c r="AW66" s="6">
        <v>22.3</v>
      </c>
      <c r="AX66" s="6">
        <v>21.4</v>
      </c>
      <c r="AY66" s="6">
        <v>22.4</v>
      </c>
      <c r="AZ66" s="6">
        <v>21.48</v>
      </c>
      <c r="BA66" s="6">
        <v>22.33</v>
      </c>
      <c r="BB66" s="6">
        <v>21.2</v>
      </c>
      <c r="BC66" s="7">
        <v>21.64</v>
      </c>
      <c r="BD66" s="7">
        <v>21.65</v>
      </c>
      <c r="BE66" s="7">
        <v>22.56</v>
      </c>
      <c r="BF66" s="7">
        <v>22.32</v>
      </c>
      <c r="BG66" s="7">
        <v>22.63</v>
      </c>
      <c r="BH66" s="10">
        <v>22.11</v>
      </c>
      <c r="BI66" s="10"/>
    </row>
    <row r="67" spans="1:61" ht="15.75" customHeight="1" x14ac:dyDescent="0.25">
      <c r="A67" s="1">
        <v>66</v>
      </c>
      <c r="B67" s="1"/>
      <c r="C67" s="1">
        <v>6</v>
      </c>
      <c r="D67" s="6">
        <v>21.23</v>
      </c>
      <c r="E67" s="6">
        <v>22.45</v>
      </c>
      <c r="F67" s="6">
        <v>22.84</v>
      </c>
      <c r="G67" s="6"/>
      <c r="H67" s="6"/>
      <c r="I67" s="6"/>
      <c r="J67" s="9">
        <v>21.78</v>
      </c>
      <c r="K67" s="9">
        <v>21.23</v>
      </c>
      <c r="L67" s="9">
        <v>22.22</v>
      </c>
      <c r="M67" s="9">
        <v>21.35</v>
      </c>
      <c r="N67" s="9">
        <v>21.19</v>
      </c>
      <c r="O67" s="9">
        <v>20.58</v>
      </c>
      <c r="P67" s="9">
        <v>21.54</v>
      </c>
      <c r="Q67" s="9">
        <v>24.89</v>
      </c>
      <c r="R67" s="9">
        <v>24.35</v>
      </c>
      <c r="S67" s="9">
        <v>23.74</v>
      </c>
      <c r="T67" s="9">
        <v>26.12</v>
      </c>
      <c r="U67" s="9">
        <v>23.11</v>
      </c>
      <c r="V67" s="9">
        <v>23.11</v>
      </c>
      <c r="W67" s="6">
        <v>23.49</v>
      </c>
      <c r="X67" s="6">
        <v>22.18</v>
      </c>
      <c r="Y67" s="6">
        <v>23.21</v>
      </c>
      <c r="Z67" s="6">
        <v>22.78</v>
      </c>
      <c r="AA67" s="6">
        <v>22.3</v>
      </c>
      <c r="AB67" s="6">
        <v>21.72</v>
      </c>
      <c r="AC67" s="6">
        <v>22.01</v>
      </c>
      <c r="AD67" s="6">
        <v>22.24</v>
      </c>
      <c r="AE67" s="6">
        <v>21.95</v>
      </c>
      <c r="AF67" s="6">
        <v>23.45</v>
      </c>
      <c r="AG67" s="6">
        <v>23.98</v>
      </c>
      <c r="AH67" s="6">
        <v>22.64</v>
      </c>
      <c r="AI67" s="6">
        <v>25.2</v>
      </c>
      <c r="AJ67" s="7">
        <v>22.3</v>
      </c>
      <c r="AK67" s="6">
        <v>21.75</v>
      </c>
      <c r="AL67" s="6">
        <v>21.58</v>
      </c>
      <c r="AM67" s="6">
        <v>21.18</v>
      </c>
      <c r="AN67" s="6">
        <v>21.45</v>
      </c>
      <c r="AO67" s="6">
        <v>22.3</v>
      </c>
      <c r="AP67" s="6">
        <v>22.46</v>
      </c>
      <c r="AQ67" s="6">
        <v>21.06</v>
      </c>
      <c r="AR67" s="6">
        <v>22.05</v>
      </c>
      <c r="AS67" s="6">
        <v>22.78</v>
      </c>
      <c r="AT67" s="6">
        <v>20.7</v>
      </c>
      <c r="AU67" s="6">
        <v>22.28</v>
      </c>
      <c r="AV67" s="6">
        <v>22.65</v>
      </c>
      <c r="AW67" s="6">
        <v>22.35</v>
      </c>
      <c r="AX67" s="6">
        <v>21.52</v>
      </c>
      <c r="AY67" s="6">
        <v>22.36</v>
      </c>
      <c r="AZ67" s="6">
        <v>21.5</v>
      </c>
      <c r="BA67" s="6">
        <v>22.35</v>
      </c>
      <c r="BB67" s="6">
        <v>21.15</v>
      </c>
      <c r="BC67" s="7">
        <v>21.62</v>
      </c>
      <c r="BD67" s="7">
        <v>21.64</v>
      </c>
      <c r="BE67" s="7">
        <v>22.6</v>
      </c>
      <c r="BF67" s="7">
        <v>22.42</v>
      </c>
      <c r="BG67" s="7">
        <v>22.6</v>
      </c>
      <c r="BH67" s="10">
        <v>22.05</v>
      </c>
      <c r="BI67" s="10"/>
    </row>
    <row r="68" spans="1:61" ht="15.75" customHeight="1" x14ac:dyDescent="0.25">
      <c r="A68" s="1">
        <v>67</v>
      </c>
      <c r="B68" s="1"/>
      <c r="C68" s="1">
        <v>7</v>
      </c>
      <c r="D68" s="6">
        <v>21.22</v>
      </c>
      <c r="E68" s="6">
        <v>22.5</v>
      </c>
      <c r="F68" s="6">
        <v>22.84</v>
      </c>
      <c r="G68" s="6"/>
      <c r="H68" s="6"/>
      <c r="I68" s="6"/>
      <c r="J68" s="9">
        <v>21.78</v>
      </c>
      <c r="K68" s="9">
        <v>21.27</v>
      </c>
      <c r="L68" s="9">
        <v>22.27</v>
      </c>
      <c r="M68" s="9">
        <v>21.33</v>
      </c>
      <c r="N68" s="9">
        <v>21.21</v>
      </c>
      <c r="O68" s="9">
        <v>20.58</v>
      </c>
      <c r="P68" s="9">
        <v>21.52</v>
      </c>
      <c r="Q68" s="9">
        <v>25.18</v>
      </c>
      <c r="R68" s="9">
        <v>24.37</v>
      </c>
      <c r="S68" s="9">
        <v>23.81</v>
      </c>
      <c r="T68" s="9">
        <v>26.1</v>
      </c>
      <c r="U68" s="9">
        <v>23.06</v>
      </c>
      <c r="V68" s="9">
        <v>23.2</v>
      </c>
      <c r="W68" s="6">
        <v>23.47</v>
      </c>
      <c r="X68" s="6">
        <v>22.13</v>
      </c>
      <c r="Y68" s="6">
        <v>23.32</v>
      </c>
      <c r="Z68" s="6">
        <v>22.68</v>
      </c>
      <c r="AA68" s="6">
        <v>22.36</v>
      </c>
      <c r="AB68" s="6">
        <v>21.88</v>
      </c>
      <c r="AC68" s="6">
        <v>22.01</v>
      </c>
      <c r="AD68" s="6">
        <v>22.27</v>
      </c>
      <c r="AE68" s="6">
        <v>21.95</v>
      </c>
      <c r="AF68" s="6">
        <v>23.43</v>
      </c>
      <c r="AG68" s="6">
        <v>23.97</v>
      </c>
      <c r="AH68" s="6">
        <v>22.6</v>
      </c>
      <c r="AI68" s="6">
        <v>25.13</v>
      </c>
      <c r="AJ68" s="7">
        <v>22.32</v>
      </c>
      <c r="AK68" s="6">
        <v>21.71</v>
      </c>
      <c r="AL68" s="6">
        <v>21.54</v>
      </c>
      <c r="AM68" s="6">
        <v>21.17</v>
      </c>
      <c r="AN68" s="6">
        <v>21.53</v>
      </c>
      <c r="AO68" s="6">
        <v>22.26</v>
      </c>
      <c r="AP68" s="6">
        <v>22.4</v>
      </c>
      <c r="AQ68" s="6">
        <v>21.09</v>
      </c>
      <c r="AR68" s="6">
        <v>22.03</v>
      </c>
      <c r="AS68" s="6">
        <v>22.7</v>
      </c>
      <c r="AT68" s="6">
        <v>20.71</v>
      </c>
      <c r="AU68" s="6">
        <v>22.38</v>
      </c>
      <c r="AV68" s="6">
        <v>22.59</v>
      </c>
      <c r="AW68" s="6">
        <v>22.42</v>
      </c>
      <c r="AX68" s="6">
        <v>21.5</v>
      </c>
      <c r="AY68" s="6">
        <v>22.3</v>
      </c>
      <c r="AZ68" s="6">
        <v>21.5</v>
      </c>
      <c r="BA68" s="6">
        <v>22.5</v>
      </c>
      <c r="BB68" s="6">
        <v>21.12</v>
      </c>
      <c r="BC68" s="7">
        <v>21.56</v>
      </c>
      <c r="BD68" s="7">
        <v>21.63</v>
      </c>
      <c r="BE68" s="7">
        <v>22.64</v>
      </c>
      <c r="BF68" s="7">
        <v>22.54</v>
      </c>
      <c r="BG68" s="7">
        <v>22.58</v>
      </c>
      <c r="BH68" s="10">
        <v>22</v>
      </c>
      <c r="BI68" s="10"/>
    </row>
    <row r="69" spans="1:61" ht="15.75" customHeight="1" x14ac:dyDescent="0.25">
      <c r="A69" s="1">
        <v>68</v>
      </c>
      <c r="B69" s="1"/>
      <c r="C69" s="1">
        <v>8</v>
      </c>
      <c r="D69" s="6">
        <v>21.22</v>
      </c>
      <c r="E69" s="6">
        <v>22.55</v>
      </c>
      <c r="F69" s="6">
        <v>22.81</v>
      </c>
      <c r="G69" s="6"/>
      <c r="H69" s="6"/>
      <c r="I69" s="6"/>
      <c r="J69" s="9">
        <v>21.83</v>
      </c>
      <c r="K69" s="9">
        <v>21.32</v>
      </c>
      <c r="L69" s="9">
        <v>22.35</v>
      </c>
      <c r="M69" s="9">
        <v>21.32</v>
      </c>
      <c r="N69" s="9">
        <v>21.18</v>
      </c>
      <c r="O69" s="9">
        <v>20.58</v>
      </c>
      <c r="P69" s="9">
        <v>21.5</v>
      </c>
      <c r="Q69" s="9">
        <v>25.39</v>
      </c>
      <c r="R69" s="9">
        <v>24.4</v>
      </c>
      <c r="S69" s="9">
        <v>23.91</v>
      </c>
      <c r="T69" s="9">
        <v>26.03</v>
      </c>
      <c r="U69" s="9">
        <v>23</v>
      </c>
      <c r="V69" s="9">
        <v>23.31</v>
      </c>
      <c r="W69" s="6">
        <v>23.45</v>
      </c>
      <c r="X69" s="6">
        <v>22.07</v>
      </c>
      <c r="Y69" s="6">
        <v>23.4</v>
      </c>
      <c r="Z69" s="6">
        <v>22.57</v>
      </c>
      <c r="AA69" s="6">
        <v>22.4</v>
      </c>
      <c r="AB69" s="6">
        <v>21.76</v>
      </c>
      <c r="AC69" s="6">
        <v>22.07</v>
      </c>
      <c r="AD69" s="6">
        <v>22.28</v>
      </c>
      <c r="AE69" s="6">
        <v>21.96</v>
      </c>
      <c r="AF69" s="6">
        <v>23.42</v>
      </c>
      <c r="AG69" s="6">
        <v>23.97</v>
      </c>
      <c r="AH69" s="6">
        <v>22.57</v>
      </c>
      <c r="AI69" s="6">
        <v>25.03</v>
      </c>
      <c r="AJ69" s="7">
        <v>22.36</v>
      </c>
      <c r="AK69" s="6">
        <v>21.69</v>
      </c>
      <c r="AL69" s="6">
        <v>21.53</v>
      </c>
      <c r="AM69" s="6">
        <v>21.16</v>
      </c>
      <c r="AN69" s="6">
        <v>21.6</v>
      </c>
      <c r="AO69" s="6">
        <v>22.2</v>
      </c>
      <c r="AP69" s="6">
        <v>22.35</v>
      </c>
      <c r="AQ69" s="6">
        <v>21.12</v>
      </c>
      <c r="AR69" s="6">
        <v>21.99</v>
      </c>
      <c r="AS69" s="6">
        <v>22.6</v>
      </c>
      <c r="AT69" s="6">
        <v>20.72</v>
      </c>
      <c r="AU69" s="6">
        <v>22.5</v>
      </c>
      <c r="AV69" s="6">
        <v>22.57</v>
      </c>
      <c r="AW69" s="6">
        <v>22.5</v>
      </c>
      <c r="AX69" s="6">
        <v>21.55</v>
      </c>
      <c r="AY69" s="6">
        <v>22.26</v>
      </c>
      <c r="AZ69" s="6">
        <v>21.49</v>
      </c>
      <c r="BA69" s="6">
        <v>22.53</v>
      </c>
      <c r="BB69" s="6">
        <v>21.11</v>
      </c>
      <c r="BC69" s="7">
        <v>21.5</v>
      </c>
      <c r="BD69" s="7">
        <v>21.62</v>
      </c>
      <c r="BE69" s="7">
        <v>22.62</v>
      </c>
      <c r="BF69" s="7">
        <v>22.74</v>
      </c>
      <c r="BG69" s="7">
        <v>22.56</v>
      </c>
      <c r="BH69" s="10">
        <v>21.96</v>
      </c>
      <c r="BI69" s="10"/>
    </row>
    <row r="70" spans="1:61" ht="15.75" customHeight="1" x14ac:dyDescent="0.25">
      <c r="A70" s="1">
        <v>69</v>
      </c>
      <c r="B70" s="1"/>
      <c r="C70" s="1">
        <v>9</v>
      </c>
      <c r="D70" s="6">
        <v>21.21</v>
      </c>
      <c r="E70" s="6">
        <v>22.61</v>
      </c>
      <c r="F70" s="6">
        <v>22.7</v>
      </c>
      <c r="G70" s="6"/>
      <c r="H70" s="6"/>
      <c r="I70" s="6"/>
      <c r="J70" s="9">
        <v>21.83</v>
      </c>
      <c r="K70" s="9">
        <v>21.38</v>
      </c>
      <c r="L70" s="9">
        <v>22.46</v>
      </c>
      <c r="M70" s="9">
        <v>21.32</v>
      </c>
      <c r="N70" s="9">
        <v>21.14</v>
      </c>
      <c r="O70" s="9">
        <v>20.58</v>
      </c>
      <c r="P70" s="9">
        <v>21.49</v>
      </c>
      <c r="Q70" s="9">
        <v>25.56</v>
      </c>
      <c r="R70" s="9">
        <v>24.36</v>
      </c>
      <c r="S70" s="9">
        <v>24.05</v>
      </c>
      <c r="T70" s="9">
        <v>25.94</v>
      </c>
      <c r="U70" s="9">
        <v>22.95</v>
      </c>
      <c r="V70" s="9">
        <v>23.44</v>
      </c>
      <c r="W70" s="6">
        <v>23.43</v>
      </c>
      <c r="X70" s="6">
        <v>22.03</v>
      </c>
      <c r="Y70" s="6">
        <v>23.46</v>
      </c>
      <c r="Z70" s="6">
        <v>22.52</v>
      </c>
      <c r="AA70" s="6">
        <v>22.46</v>
      </c>
      <c r="AB70" s="6">
        <v>21.81</v>
      </c>
      <c r="AC70" s="6">
        <v>22.07</v>
      </c>
      <c r="AD70" s="6">
        <v>22.28</v>
      </c>
      <c r="AE70" s="6">
        <v>21.97</v>
      </c>
      <c r="AF70" s="6">
        <v>23.4</v>
      </c>
      <c r="AG70" s="6">
        <v>23.96</v>
      </c>
      <c r="AH70" s="6">
        <v>22.54</v>
      </c>
      <c r="AI70" s="6">
        <v>24.93</v>
      </c>
      <c r="AJ70" s="7">
        <v>22.42</v>
      </c>
      <c r="AK70" s="6">
        <v>21.66</v>
      </c>
      <c r="AL70" s="6">
        <v>21.53</v>
      </c>
      <c r="AM70" s="6">
        <v>21.16</v>
      </c>
      <c r="AN70" s="6">
        <v>21.65</v>
      </c>
      <c r="AO70" s="6">
        <v>22.14</v>
      </c>
      <c r="AP70" s="6">
        <v>22.3</v>
      </c>
      <c r="AQ70" s="6">
        <v>21.13</v>
      </c>
      <c r="AR70" s="6">
        <v>21.96</v>
      </c>
      <c r="AS70" s="6">
        <v>22.5</v>
      </c>
      <c r="AT70" s="6">
        <v>20.75</v>
      </c>
      <c r="AU70" s="6">
        <v>22.64</v>
      </c>
      <c r="AV70" s="6">
        <v>22.57</v>
      </c>
      <c r="AW70" s="6">
        <v>22.59</v>
      </c>
      <c r="AX70" s="6">
        <v>21.62</v>
      </c>
      <c r="AY70" s="6">
        <v>22.25</v>
      </c>
      <c r="AZ70" s="6">
        <v>21.48</v>
      </c>
      <c r="BA70" s="6">
        <v>22.51</v>
      </c>
      <c r="BB70" s="6">
        <v>21.1</v>
      </c>
      <c r="BC70" s="7">
        <v>21.54</v>
      </c>
      <c r="BD70" s="7">
        <v>21.62</v>
      </c>
      <c r="BE70" s="7">
        <v>22.62</v>
      </c>
      <c r="BF70" s="7">
        <v>22.88</v>
      </c>
      <c r="BG70" s="7">
        <v>22.57</v>
      </c>
      <c r="BH70" s="10">
        <v>21.93</v>
      </c>
      <c r="BI70" s="10"/>
    </row>
    <row r="71" spans="1:61" ht="15.75" customHeight="1" x14ac:dyDescent="0.25">
      <c r="A71" s="1">
        <v>70</v>
      </c>
      <c r="B71" s="1"/>
      <c r="C71" s="1">
        <v>10</v>
      </c>
      <c r="D71" s="6">
        <v>21.22</v>
      </c>
      <c r="E71" s="6">
        <v>22.65</v>
      </c>
      <c r="F71" s="6">
        <v>22.6</v>
      </c>
      <c r="G71" s="6"/>
      <c r="H71" s="6"/>
      <c r="I71" s="6"/>
      <c r="J71" s="9">
        <v>21.73</v>
      </c>
      <c r="K71" s="9">
        <v>21.46</v>
      </c>
      <c r="L71" s="9">
        <v>22.51</v>
      </c>
      <c r="M71" s="9">
        <v>21.3</v>
      </c>
      <c r="N71" s="9">
        <v>21.12</v>
      </c>
      <c r="O71" s="9">
        <v>20.58</v>
      </c>
      <c r="P71" s="9">
        <v>21.47</v>
      </c>
      <c r="Q71" s="9">
        <v>25.73</v>
      </c>
      <c r="R71" s="9">
        <v>24.31</v>
      </c>
      <c r="S71" s="9">
        <v>24.23</v>
      </c>
      <c r="T71" s="9">
        <v>25.87</v>
      </c>
      <c r="U71" s="9">
        <v>22.93</v>
      </c>
      <c r="V71" s="9">
        <v>23.53</v>
      </c>
      <c r="W71" s="6">
        <v>23.38</v>
      </c>
      <c r="X71" s="6">
        <v>21.98</v>
      </c>
      <c r="Y71" s="6">
        <v>23.48</v>
      </c>
      <c r="Z71" s="6">
        <v>22.44</v>
      </c>
      <c r="AA71" s="6">
        <v>22.52</v>
      </c>
      <c r="AB71" s="6">
        <v>21.96</v>
      </c>
      <c r="AC71" s="6">
        <v>22.1</v>
      </c>
      <c r="AD71" s="6">
        <v>22.28</v>
      </c>
      <c r="AE71" s="6">
        <v>21.99</v>
      </c>
      <c r="AF71" s="6">
        <v>23.39</v>
      </c>
      <c r="AG71" s="6">
        <v>23.82</v>
      </c>
      <c r="AH71" s="6">
        <v>22.5</v>
      </c>
      <c r="AI71" s="6">
        <v>24.79</v>
      </c>
      <c r="AJ71" s="7">
        <v>22.44</v>
      </c>
      <c r="AK71" s="6">
        <v>21.6</v>
      </c>
      <c r="AL71" s="6">
        <v>21.55</v>
      </c>
      <c r="AM71" s="6">
        <v>21.18</v>
      </c>
      <c r="AN71" s="6">
        <v>21.72</v>
      </c>
      <c r="AO71" s="6">
        <v>22.1</v>
      </c>
      <c r="AP71" s="6">
        <v>22.25</v>
      </c>
      <c r="AQ71" s="6">
        <v>21.08</v>
      </c>
      <c r="AR71" s="6">
        <v>21.88</v>
      </c>
      <c r="AS71" s="6">
        <v>22.43</v>
      </c>
      <c r="AT71" s="6">
        <v>20.82</v>
      </c>
      <c r="AU71" s="6">
        <v>22.76</v>
      </c>
      <c r="AV71" s="6">
        <v>22.6</v>
      </c>
      <c r="AW71" s="6">
        <v>22.7</v>
      </c>
      <c r="AX71" s="6">
        <v>21.66</v>
      </c>
      <c r="AY71" s="6">
        <v>22.23</v>
      </c>
      <c r="AZ71" s="6">
        <v>21.42</v>
      </c>
      <c r="BA71" s="6">
        <v>22.51</v>
      </c>
      <c r="BB71" s="6">
        <v>21.08</v>
      </c>
      <c r="BC71" s="7">
        <v>21.56</v>
      </c>
      <c r="BD71" s="7">
        <v>21.62</v>
      </c>
      <c r="BE71" s="7">
        <v>22.6</v>
      </c>
      <c r="BF71" s="7">
        <v>23.08</v>
      </c>
      <c r="BG71" s="7">
        <v>22.62</v>
      </c>
      <c r="BH71" s="10">
        <v>21.91</v>
      </c>
      <c r="BI71" s="10"/>
    </row>
    <row r="72" spans="1:61" ht="15.75" customHeight="1" x14ac:dyDescent="0.25">
      <c r="A72" s="1">
        <v>71</v>
      </c>
      <c r="B72" s="1"/>
      <c r="C72" s="1">
        <v>11</v>
      </c>
      <c r="D72" s="6">
        <v>21.22</v>
      </c>
      <c r="E72" s="6">
        <v>22.7</v>
      </c>
      <c r="F72" s="6">
        <v>22.48</v>
      </c>
      <c r="G72" s="6"/>
      <c r="H72" s="6"/>
      <c r="I72" s="6"/>
      <c r="J72" s="9">
        <v>21.78</v>
      </c>
      <c r="K72" s="9">
        <v>21.52</v>
      </c>
      <c r="L72" s="9">
        <v>22.56</v>
      </c>
      <c r="M72" s="9">
        <v>21.29</v>
      </c>
      <c r="N72" s="9">
        <v>21.1</v>
      </c>
      <c r="O72" s="9">
        <v>20.58</v>
      </c>
      <c r="P72" s="9">
        <v>21.46</v>
      </c>
      <c r="Q72" s="9">
        <v>25.99</v>
      </c>
      <c r="R72" s="9">
        <v>24.24</v>
      </c>
      <c r="S72" s="9">
        <v>24.31</v>
      </c>
      <c r="T72" s="9">
        <v>25.8</v>
      </c>
      <c r="U72" s="9">
        <v>22.87</v>
      </c>
      <c r="V72" s="9">
        <v>23.59</v>
      </c>
      <c r="W72" s="6">
        <v>23.32</v>
      </c>
      <c r="X72" s="6">
        <v>21.97</v>
      </c>
      <c r="Y72" s="6">
        <v>23.48</v>
      </c>
      <c r="Z72" s="6">
        <v>22.39</v>
      </c>
      <c r="AA72" s="6">
        <v>22.62</v>
      </c>
      <c r="AB72" s="6">
        <v>22.04</v>
      </c>
      <c r="AC72" s="6">
        <v>22.14</v>
      </c>
      <c r="AD72" s="6">
        <v>22.27</v>
      </c>
      <c r="AE72" s="6">
        <v>21.99</v>
      </c>
      <c r="AF72" s="6">
        <v>23.38</v>
      </c>
      <c r="AG72" s="6">
        <v>23.73</v>
      </c>
      <c r="AH72" s="6">
        <v>22.45</v>
      </c>
      <c r="AI72" s="6">
        <v>24.69</v>
      </c>
      <c r="AJ72" s="7">
        <v>22.54</v>
      </c>
      <c r="AK72" s="6">
        <v>21.58</v>
      </c>
      <c r="AL72" s="6">
        <v>21.56</v>
      </c>
      <c r="AM72" s="6">
        <v>21.2</v>
      </c>
      <c r="AN72" s="6">
        <v>21.84</v>
      </c>
      <c r="AO72" s="6">
        <v>22.06</v>
      </c>
      <c r="AP72" s="6">
        <v>22.22</v>
      </c>
      <c r="AQ72" s="6">
        <v>21.05</v>
      </c>
      <c r="AR72" s="6">
        <v>21.8</v>
      </c>
      <c r="AS72" s="6">
        <v>22.38</v>
      </c>
      <c r="AT72" s="6">
        <v>20.86</v>
      </c>
      <c r="AU72" s="6">
        <v>22.85</v>
      </c>
      <c r="AV72" s="6">
        <v>22.64</v>
      </c>
      <c r="AW72" s="6">
        <v>22.75</v>
      </c>
      <c r="AX72" s="6">
        <v>21.76</v>
      </c>
      <c r="AY72" s="6">
        <v>22.23</v>
      </c>
      <c r="AZ72" s="6">
        <v>21.37</v>
      </c>
      <c r="BA72" s="6">
        <v>22.5</v>
      </c>
      <c r="BB72" s="6">
        <v>21.06</v>
      </c>
      <c r="BC72" s="7">
        <v>21.58</v>
      </c>
      <c r="BD72" s="7">
        <v>21.61</v>
      </c>
      <c r="BE72" s="7">
        <v>22.6</v>
      </c>
      <c r="BF72" s="7">
        <v>23.1</v>
      </c>
      <c r="BG72" s="7">
        <v>22.62</v>
      </c>
      <c r="BH72" s="10">
        <v>21.9</v>
      </c>
      <c r="BI72" s="10"/>
    </row>
    <row r="73" spans="1:61" ht="15.75" customHeight="1" x14ac:dyDescent="0.25">
      <c r="A73" s="1">
        <v>72</v>
      </c>
      <c r="B73" s="1"/>
      <c r="C73" s="1">
        <v>12</v>
      </c>
      <c r="D73" s="6">
        <v>21.21</v>
      </c>
      <c r="E73" s="6">
        <v>22.75</v>
      </c>
      <c r="F73" s="6">
        <v>22.35</v>
      </c>
      <c r="G73" s="6"/>
      <c r="H73" s="6"/>
      <c r="I73" s="6"/>
      <c r="J73" s="9">
        <v>21.83</v>
      </c>
      <c r="K73" s="9">
        <v>21.57</v>
      </c>
      <c r="L73" s="9">
        <v>22.7</v>
      </c>
      <c r="M73" s="9">
        <v>21.27</v>
      </c>
      <c r="N73" s="9">
        <v>21.08</v>
      </c>
      <c r="O73" s="9">
        <v>20.59</v>
      </c>
      <c r="P73" s="9">
        <v>21.45</v>
      </c>
      <c r="Q73" s="9">
        <v>26.09</v>
      </c>
      <c r="R73" s="9">
        <v>24.14</v>
      </c>
      <c r="S73" s="9">
        <v>24.27</v>
      </c>
      <c r="T73" s="9">
        <v>25.76</v>
      </c>
      <c r="U73" s="9">
        <v>22.82</v>
      </c>
      <c r="V73" s="9">
        <v>23.66</v>
      </c>
      <c r="W73" s="6">
        <v>23.27</v>
      </c>
      <c r="X73" s="6">
        <v>21.94</v>
      </c>
      <c r="Y73" s="6">
        <v>23.48</v>
      </c>
      <c r="Z73" s="6">
        <v>22.38</v>
      </c>
      <c r="AA73" s="6">
        <v>22.58</v>
      </c>
      <c r="AB73" s="6">
        <v>22.1</v>
      </c>
      <c r="AC73" s="6">
        <v>22.13</v>
      </c>
      <c r="AD73" s="6">
        <v>22.24</v>
      </c>
      <c r="AE73" s="6">
        <v>22</v>
      </c>
      <c r="AF73" s="6">
        <v>23.35</v>
      </c>
      <c r="AG73" s="6">
        <v>23.6</v>
      </c>
      <c r="AH73" s="6">
        <v>22.4</v>
      </c>
      <c r="AI73" s="6">
        <v>24.57</v>
      </c>
      <c r="AJ73" s="7">
        <v>22.53</v>
      </c>
      <c r="AK73" s="6">
        <v>21.57</v>
      </c>
      <c r="AL73" s="6">
        <v>21.56</v>
      </c>
      <c r="AM73" s="6">
        <v>21.2</v>
      </c>
      <c r="AN73" s="6">
        <v>21.93</v>
      </c>
      <c r="AO73" s="6">
        <v>22.06</v>
      </c>
      <c r="AP73" s="6">
        <v>22.2</v>
      </c>
      <c r="AQ73" s="6">
        <v>21.04</v>
      </c>
      <c r="AR73" s="6">
        <v>21.76</v>
      </c>
      <c r="AS73" s="6">
        <v>22.31</v>
      </c>
      <c r="AT73" s="6">
        <v>20.9</v>
      </c>
      <c r="AU73" s="6">
        <v>22.9</v>
      </c>
      <c r="AV73" s="6">
        <v>22.67</v>
      </c>
      <c r="AW73" s="6">
        <v>22.79</v>
      </c>
      <c r="AX73" s="6">
        <v>21.81</v>
      </c>
      <c r="AY73" s="6">
        <v>22.2</v>
      </c>
      <c r="AZ73" s="6">
        <v>21.33</v>
      </c>
      <c r="BA73" s="6">
        <v>22.5</v>
      </c>
      <c r="BB73" s="6">
        <v>21.08</v>
      </c>
      <c r="BC73" s="7">
        <v>21.58</v>
      </c>
      <c r="BD73" s="7">
        <v>21.6</v>
      </c>
      <c r="BE73" s="7">
        <v>22.57</v>
      </c>
      <c r="BF73" s="7">
        <v>23.15</v>
      </c>
      <c r="BG73" s="7">
        <v>22.67</v>
      </c>
      <c r="BH73" s="10">
        <v>21.87</v>
      </c>
      <c r="BI73" s="10"/>
    </row>
    <row r="74" spans="1:61" ht="15.75" customHeight="1" x14ac:dyDescent="0.25">
      <c r="A74" s="1">
        <v>73</v>
      </c>
      <c r="B74" s="1"/>
      <c r="C74" s="1">
        <v>13</v>
      </c>
      <c r="D74" s="6">
        <v>21.2</v>
      </c>
      <c r="E74" s="6">
        <v>22.79</v>
      </c>
      <c r="F74" s="6">
        <v>22.2</v>
      </c>
      <c r="G74" s="6"/>
      <c r="H74" s="6"/>
      <c r="I74" s="6"/>
      <c r="J74" s="9">
        <v>21.88</v>
      </c>
      <c r="K74" s="9">
        <v>21.63</v>
      </c>
      <c r="L74" s="9">
        <v>22.79</v>
      </c>
      <c r="M74" s="9">
        <v>21.27</v>
      </c>
      <c r="N74" s="9">
        <v>21.13</v>
      </c>
      <c r="O74" s="9">
        <v>20.61</v>
      </c>
      <c r="P74" s="9">
        <v>21.43</v>
      </c>
      <c r="Q74" s="9">
        <v>26.12</v>
      </c>
      <c r="R74" s="9">
        <v>24.06</v>
      </c>
      <c r="S74" s="9">
        <v>24.16</v>
      </c>
      <c r="T74" s="9">
        <v>25.72</v>
      </c>
      <c r="U74" s="9">
        <v>22.74</v>
      </c>
      <c r="V74" s="9">
        <v>23.69</v>
      </c>
      <c r="W74" s="6">
        <v>23.21</v>
      </c>
      <c r="X74" s="6">
        <v>21.89</v>
      </c>
      <c r="Y74" s="6">
        <v>23.45</v>
      </c>
      <c r="Z74" s="6">
        <v>22.37</v>
      </c>
      <c r="AA74" s="6">
        <v>22.54</v>
      </c>
      <c r="AB74" s="6">
        <v>22.15</v>
      </c>
      <c r="AC74" s="6">
        <v>22.18</v>
      </c>
      <c r="AD74" s="6">
        <v>22.19</v>
      </c>
      <c r="AE74" s="6">
        <v>22.02</v>
      </c>
      <c r="AF74" s="6">
        <v>23.31</v>
      </c>
      <c r="AG74" s="6">
        <v>23.51</v>
      </c>
      <c r="AH74" s="6">
        <v>22.34</v>
      </c>
      <c r="AI74" s="6">
        <v>24.44</v>
      </c>
      <c r="AJ74" s="7">
        <v>22.52</v>
      </c>
      <c r="AK74" s="6">
        <v>21.54</v>
      </c>
      <c r="AL74" s="6">
        <v>21.55</v>
      </c>
      <c r="AM74" s="6">
        <v>21.19</v>
      </c>
      <c r="AN74" s="6">
        <v>21.98</v>
      </c>
      <c r="AO74" s="6">
        <v>22.08</v>
      </c>
      <c r="AP74" s="6">
        <v>22.2</v>
      </c>
      <c r="AQ74" s="6">
        <v>21.02</v>
      </c>
      <c r="AR74" s="6">
        <v>21.7</v>
      </c>
      <c r="AS74" s="6">
        <v>22.3</v>
      </c>
      <c r="AT74" s="6">
        <v>20.94</v>
      </c>
      <c r="AU74" s="6">
        <v>22.93</v>
      </c>
      <c r="AV74" s="6">
        <v>22.69</v>
      </c>
      <c r="AW74" s="6">
        <v>22.79</v>
      </c>
      <c r="AX74" s="6">
        <v>21.9</v>
      </c>
      <c r="AY74" s="6">
        <v>22.2</v>
      </c>
      <c r="AZ74" s="6">
        <v>21.29</v>
      </c>
      <c r="BA74" s="6">
        <v>22.5</v>
      </c>
      <c r="BB74" s="6">
        <v>21.1</v>
      </c>
      <c r="BC74" s="6">
        <v>21.54</v>
      </c>
      <c r="BD74" s="6">
        <v>21.59</v>
      </c>
      <c r="BE74" s="7">
        <v>22.55</v>
      </c>
      <c r="BF74" s="7">
        <v>23.22</v>
      </c>
      <c r="BG74" s="7">
        <v>22.66</v>
      </c>
      <c r="BH74" s="10">
        <v>21.84</v>
      </c>
      <c r="BI74" s="10"/>
    </row>
    <row r="75" spans="1:61" ht="15.75" customHeight="1" x14ac:dyDescent="0.25">
      <c r="A75" s="1">
        <v>74</v>
      </c>
      <c r="B75" s="1"/>
      <c r="C75" s="1">
        <v>14</v>
      </c>
      <c r="D75" s="6">
        <v>21.19</v>
      </c>
      <c r="E75" s="6">
        <v>22.82</v>
      </c>
      <c r="F75" s="6">
        <v>22.18</v>
      </c>
      <c r="G75" s="6"/>
      <c r="H75" s="6"/>
      <c r="I75" s="6"/>
      <c r="J75" s="9">
        <v>21.93</v>
      </c>
      <c r="K75" s="9">
        <v>21.67</v>
      </c>
      <c r="L75" s="9">
        <v>22.87</v>
      </c>
      <c r="M75" s="9">
        <v>21.27</v>
      </c>
      <c r="N75" s="9">
        <v>21.13</v>
      </c>
      <c r="O75" s="9">
        <v>20.7</v>
      </c>
      <c r="P75" s="9">
        <v>21.42</v>
      </c>
      <c r="Q75" s="9">
        <v>26.12</v>
      </c>
      <c r="R75" s="9">
        <v>23.97</v>
      </c>
      <c r="S75" s="9">
        <v>24.06</v>
      </c>
      <c r="T75" s="9">
        <v>25.68</v>
      </c>
      <c r="U75" s="9">
        <v>22.7</v>
      </c>
      <c r="V75" s="9">
        <v>23.66</v>
      </c>
      <c r="W75" s="6">
        <v>23.18</v>
      </c>
      <c r="X75" s="6">
        <v>21.86</v>
      </c>
      <c r="Y75" s="6">
        <v>23.41</v>
      </c>
      <c r="Z75" s="6">
        <v>22.38</v>
      </c>
      <c r="AA75" s="6">
        <v>22.55</v>
      </c>
      <c r="AB75" s="6">
        <v>22.17</v>
      </c>
      <c r="AC75" s="6">
        <v>22.23</v>
      </c>
      <c r="AD75" s="6">
        <v>22.18</v>
      </c>
      <c r="AE75" s="6">
        <v>22.06</v>
      </c>
      <c r="AF75" s="6">
        <v>23.28</v>
      </c>
      <c r="AG75" s="6">
        <v>23.4</v>
      </c>
      <c r="AH75" s="6">
        <v>22.29</v>
      </c>
      <c r="AI75" s="6">
        <v>24.31</v>
      </c>
      <c r="AJ75" s="7">
        <v>22.52</v>
      </c>
      <c r="AK75" s="6">
        <v>21.55</v>
      </c>
      <c r="AL75" s="6">
        <v>21.54</v>
      </c>
      <c r="AM75" s="6">
        <v>21.19</v>
      </c>
      <c r="AN75" s="6">
        <v>21.93</v>
      </c>
      <c r="AO75" s="6">
        <v>22.1</v>
      </c>
      <c r="AP75" s="6">
        <v>22.24</v>
      </c>
      <c r="AQ75" s="6">
        <v>21.01</v>
      </c>
      <c r="AR75" s="6">
        <v>21.66</v>
      </c>
      <c r="AS75" s="6">
        <v>22.33</v>
      </c>
      <c r="AT75" s="6">
        <v>20.98</v>
      </c>
      <c r="AU75" s="6">
        <v>22.95</v>
      </c>
      <c r="AV75" s="6">
        <v>22.71</v>
      </c>
      <c r="AW75" s="6">
        <v>22.76</v>
      </c>
      <c r="AX75" s="6">
        <v>21.92</v>
      </c>
      <c r="AY75" s="6">
        <v>22.15</v>
      </c>
      <c r="AZ75" s="6">
        <v>21.27</v>
      </c>
      <c r="BA75" s="6">
        <v>22.5</v>
      </c>
      <c r="BB75" s="6">
        <v>21.12</v>
      </c>
      <c r="BC75" s="6">
        <v>21.56</v>
      </c>
      <c r="BD75" s="6">
        <v>21.56</v>
      </c>
      <c r="BE75" s="6">
        <v>22.57</v>
      </c>
      <c r="BF75" s="6">
        <v>23.25</v>
      </c>
      <c r="BG75" s="6">
        <v>22.71</v>
      </c>
      <c r="BH75" s="10">
        <v>21.81</v>
      </c>
      <c r="BI75" s="10"/>
    </row>
    <row r="76" spans="1:61" ht="15.75" customHeight="1" x14ac:dyDescent="0.25">
      <c r="A76" s="1">
        <v>75</v>
      </c>
      <c r="B76" s="1"/>
      <c r="C76" s="1">
        <v>15</v>
      </c>
      <c r="D76" s="6">
        <v>21.19</v>
      </c>
      <c r="E76" s="6">
        <v>22.87</v>
      </c>
      <c r="F76" s="6">
        <v>22.18</v>
      </c>
      <c r="G76" s="6"/>
      <c r="H76" s="6"/>
      <c r="I76" s="6"/>
      <c r="J76" s="9">
        <v>21.98</v>
      </c>
      <c r="K76" s="9">
        <v>21.74</v>
      </c>
      <c r="L76" s="9">
        <v>22.94</v>
      </c>
      <c r="M76" s="9">
        <v>21.25</v>
      </c>
      <c r="N76" s="9">
        <v>21.13</v>
      </c>
      <c r="O76" s="9">
        <v>20.81</v>
      </c>
      <c r="P76" s="9">
        <v>21.41</v>
      </c>
      <c r="Q76" s="9">
        <v>26.1</v>
      </c>
      <c r="R76" s="9">
        <v>23.89</v>
      </c>
      <c r="S76" s="9">
        <v>23.96</v>
      </c>
      <c r="T76" s="9">
        <v>25.63</v>
      </c>
      <c r="U76" s="9">
        <v>22.66</v>
      </c>
      <c r="V76" s="9">
        <v>23.62</v>
      </c>
      <c r="W76" s="6">
        <v>23.13</v>
      </c>
      <c r="X76" s="6">
        <v>21.82</v>
      </c>
      <c r="Y76" s="6">
        <v>23.4</v>
      </c>
      <c r="Z76" s="6">
        <v>22.41</v>
      </c>
      <c r="AA76" s="6">
        <v>22.59</v>
      </c>
      <c r="AB76" s="6">
        <v>22.2</v>
      </c>
      <c r="AC76" s="6">
        <v>22.26</v>
      </c>
      <c r="AD76" s="6">
        <v>22.12</v>
      </c>
      <c r="AE76" s="6">
        <v>22.11</v>
      </c>
      <c r="AF76" s="6">
        <v>23.27</v>
      </c>
      <c r="AG76" s="6">
        <v>23.31</v>
      </c>
      <c r="AH76" s="6">
        <v>22.26</v>
      </c>
      <c r="AI76" s="6">
        <v>24.18</v>
      </c>
      <c r="AJ76" s="7">
        <v>22.5</v>
      </c>
      <c r="AK76" s="6">
        <v>21.53</v>
      </c>
      <c r="AL76" s="6">
        <v>21.53</v>
      </c>
      <c r="AM76" s="6">
        <v>21.19</v>
      </c>
      <c r="AN76" s="6">
        <v>21.87</v>
      </c>
      <c r="AO76" s="6">
        <v>22.15</v>
      </c>
      <c r="AP76" s="6">
        <v>22.32</v>
      </c>
      <c r="AQ76" s="6">
        <v>21</v>
      </c>
      <c r="AR76" s="6">
        <v>21.61</v>
      </c>
      <c r="AS76" s="6">
        <v>22.37</v>
      </c>
      <c r="AT76" s="6">
        <v>21.04</v>
      </c>
      <c r="AU76" s="6">
        <v>22.97</v>
      </c>
      <c r="AV76" s="6">
        <v>22.74</v>
      </c>
      <c r="AW76" s="6">
        <v>22.73</v>
      </c>
      <c r="AX76" s="6">
        <v>21.94</v>
      </c>
      <c r="AY76" s="6">
        <v>22.14</v>
      </c>
      <c r="AZ76" s="6">
        <v>21.25</v>
      </c>
      <c r="BA76" s="6">
        <v>22.58</v>
      </c>
      <c r="BB76" s="6">
        <v>21.17</v>
      </c>
      <c r="BC76" s="6">
        <v>21.56</v>
      </c>
      <c r="BD76" s="6">
        <v>21.54</v>
      </c>
      <c r="BE76" s="6">
        <v>22.64</v>
      </c>
      <c r="BF76" s="6">
        <v>23.28</v>
      </c>
      <c r="BG76" s="6">
        <v>22.78</v>
      </c>
      <c r="BH76" s="10">
        <v>21.78</v>
      </c>
      <c r="BI76" s="10"/>
    </row>
    <row r="77" spans="1:61" ht="15.75" customHeight="1" x14ac:dyDescent="0.25">
      <c r="A77" s="1">
        <v>76</v>
      </c>
      <c r="B77" s="1"/>
      <c r="C77" s="1">
        <v>16</v>
      </c>
      <c r="D77" s="6">
        <v>21.19</v>
      </c>
      <c r="E77" s="6">
        <v>23.03</v>
      </c>
      <c r="F77" s="6">
        <v>22.11</v>
      </c>
      <c r="G77" s="6"/>
      <c r="H77" s="6"/>
      <c r="I77" s="6"/>
      <c r="J77" s="9">
        <v>21.98</v>
      </c>
      <c r="K77" s="9">
        <v>21.79</v>
      </c>
      <c r="L77" s="9">
        <v>23.01</v>
      </c>
      <c r="M77" s="9">
        <v>21.24</v>
      </c>
      <c r="N77" s="9">
        <v>21.18</v>
      </c>
      <c r="O77" s="9">
        <v>20.95</v>
      </c>
      <c r="P77" s="9">
        <v>21.4</v>
      </c>
      <c r="Q77" s="9">
        <v>26.03</v>
      </c>
      <c r="R77" s="9">
        <v>23.82</v>
      </c>
      <c r="S77" s="9">
        <v>23.85</v>
      </c>
      <c r="T77" s="9">
        <v>25.59</v>
      </c>
      <c r="U77" s="9">
        <v>22.61</v>
      </c>
      <c r="V77" s="9">
        <v>23.55</v>
      </c>
      <c r="W77" s="6">
        <v>23.04</v>
      </c>
      <c r="X77" s="6">
        <v>21.8</v>
      </c>
      <c r="Y77" s="6">
        <v>23.4</v>
      </c>
      <c r="Z77" s="6">
        <v>22.47</v>
      </c>
      <c r="AA77" s="6">
        <v>22.65</v>
      </c>
      <c r="AB77" s="6">
        <v>22.22</v>
      </c>
      <c r="AC77" s="6">
        <v>22.3</v>
      </c>
      <c r="AD77" s="6">
        <v>22.08</v>
      </c>
      <c r="AE77" s="6">
        <v>22.16</v>
      </c>
      <c r="AF77" s="6">
        <v>23.26</v>
      </c>
      <c r="AG77" s="6">
        <v>23.24</v>
      </c>
      <c r="AH77" s="6">
        <v>22.26</v>
      </c>
      <c r="AI77" s="6">
        <v>24.04</v>
      </c>
      <c r="AJ77" s="7">
        <v>22.48</v>
      </c>
      <c r="AK77" s="6">
        <v>21.52</v>
      </c>
      <c r="AL77" s="6">
        <v>21.52</v>
      </c>
      <c r="AM77" s="6">
        <v>21.19</v>
      </c>
      <c r="AN77" s="6">
        <v>21.85</v>
      </c>
      <c r="AO77" s="6">
        <v>22.19</v>
      </c>
      <c r="AP77" s="6">
        <v>22.41</v>
      </c>
      <c r="AQ77" s="6">
        <v>21</v>
      </c>
      <c r="AR77" s="6">
        <v>21.6</v>
      </c>
      <c r="AS77" s="6">
        <v>22.45</v>
      </c>
      <c r="AT77" s="6">
        <v>21.12</v>
      </c>
      <c r="AU77" s="6">
        <v>23</v>
      </c>
      <c r="AV77" s="6">
        <v>22.76</v>
      </c>
      <c r="AW77" s="6">
        <v>22.72</v>
      </c>
      <c r="AX77" s="6">
        <v>21.89</v>
      </c>
      <c r="AY77" s="6">
        <v>22.14</v>
      </c>
      <c r="AZ77" s="6">
        <v>21.25</v>
      </c>
      <c r="BA77" s="6">
        <v>22.7</v>
      </c>
      <c r="BB77" s="6">
        <v>21.2</v>
      </c>
      <c r="BC77" s="6">
        <v>21.55</v>
      </c>
      <c r="BD77" s="6">
        <v>21.52</v>
      </c>
      <c r="BE77" s="6">
        <v>22.73</v>
      </c>
      <c r="BF77" s="6">
        <v>23.28</v>
      </c>
      <c r="BG77" s="6">
        <v>22.88</v>
      </c>
      <c r="BH77" s="10">
        <v>21.76</v>
      </c>
      <c r="BI77" s="10"/>
    </row>
    <row r="78" spans="1:61" ht="15.75" customHeight="1" x14ac:dyDescent="0.25">
      <c r="A78" s="1">
        <v>77</v>
      </c>
      <c r="B78" s="1"/>
      <c r="C78" s="1">
        <v>17</v>
      </c>
      <c r="D78" s="6">
        <v>21.21</v>
      </c>
      <c r="E78" s="6">
        <v>23.12</v>
      </c>
      <c r="F78" s="6">
        <v>22.07</v>
      </c>
      <c r="G78" s="6"/>
      <c r="H78" s="6"/>
      <c r="I78" s="6"/>
      <c r="J78" s="9">
        <v>21.98</v>
      </c>
      <c r="K78" s="9">
        <v>21.74</v>
      </c>
      <c r="L78" s="9">
        <v>23.06</v>
      </c>
      <c r="M78" s="9">
        <v>21.26</v>
      </c>
      <c r="N78" s="9">
        <v>21.18</v>
      </c>
      <c r="O78" s="9">
        <v>21.02</v>
      </c>
      <c r="P78" s="9">
        <v>21.41</v>
      </c>
      <c r="Q78" s="9">
        <v>25.97</v>
      </c>
      <c r="R78" s="9">
        <v>23.78</v>
      </c>
      <c r="S78" s="9">
        <v>23.78</v>
      </c>
      <c r="T78" s="9">
        <v>25.53</v>
      </c>
      <c r="U78" s="9">
        <v>22.55</v>
      </c>
      <c r="V78" s="9">
        <v>23.48</v>
      </c>
      <c r="W78" s="6">
        <v>22.91</v>
      </c>
      <c r="X78" s="6">
        <v>21.75</v>
      </c>
      <c r="Y78" s="6">
        <v>23.39</v>
      </c>
      <c r="Z78" s="6">
        <v>22.57</v>
      </c>
      <c r="AA78" s="6">
        <v>22.74</v>
      </c>
      <c r="AB78" s="6">
        <v>22.24</v>
      </c>
      <c r="AC78" s="6">
        <v>22.36</v>
      </c>
      <c r="AD78" s="6">
        <v>22.05</v>
      </c>
      <c r="AE78" s="6">
        <v>22.21</v>
      </c>
      <c r="AF78" s="6">
        <v>23.24</v>
      </c>
      <c r="AG78" s="6">
        <v>23.2</v>
      </c>
      <c r="AH78" s="6">
        <v>22.26</v>
      </c>
      <c r="AI78" s="6">
        <v>23.93</v>
      </c>
      <c r="AJ78" s="7">
        <v>22.46</v>
      </c>
      <c r="AK78" s="6">
        <v>21.52</v>
      </c>
      <c r="AL78" s="6">
        <v>21.5</v>
      </c>
      <c r="AM78" s="6">
        <v>21.19</v>
      </c>
      <c r="AN78" s="6">
        <v>21.78</v>
      </c>
      <c r="AO78" s="6">
        <v>22.2</v>
      </c>
      <c r="AP78" s="6">
        <v>22.49</v>
      </c>
      <c r="AQ78" s="6">
        <v>21</v>
      </c>
      <c r="AR78" s="6">
        <v>21.64</v>
      </c>
      <c r="AS78" s="6">
        <v>22.48</v>
      </c>
      <c r="AT78" s="6">
        <v>21.17</v>
      </c>
      <c r="AU78" s="6">
        <v>23.03</v>
      </c>
      <c r="AV78" s="6">
        <v>22.79</v>
      </c>
      <c r="AW78" s="6">
        <v>22.7</v>
      </c>
      <c r="AX78" s="6">
        <v>21.86</v>
      </c>
      <c r="AY78" s="6">
        <v>22.17</v>
      </c>
      <c r="AZ78" s="6">
        <v>21.22</v>
      </c>
      <c r="BA78" s="6">
        <v>23.05</v>
      </c>
      <c r="BB78" s="6">
        <v>21.26</v>
      </c>
      <c r="BC78" s="6">
        <v>21.56</v>
      </c>
      <c r="BD78" s="6">
        <v>21.5</v>
      </c>
      <c r="BE78" s="6">
        <v>22.78</v>
      </c>
      <c r="BF78" s="6">
        <v>23.26</v>
      </c>
      <c r="BG78" s="6">
        <v>22.96</v>
      </c>
      <c r="BH78" s="10">
        <v>21.76</v>
      </c>
      <c r="BI78" s="10"/>
    </row>
    <row r="79" spans="1:61" ht="15.75" customHeight="1" x14ac:dyDescent="0.25">
      <c r="A79" s="1">
        <v>78</v>
      </c>
      <c r="B79" s="1"/>
      <c r="C79" s="1">
        <v>18</v>
      </c>
      <c r="D79" s="6">
        <v>21.27</v>
      </c>
      <c r="E79" s="6">
        <v>23.18</v>
      </c>
      <c r="F79" s="6">
        <v>22.07</v>
      </c>
      <c r="G79" s="6"/>
      <c r="H79" s="6"/>
      <c r="I79" s="6"/>
      <c r="J79" s="9">
        <v>21.93</v>
      </c>
      <c r="K79" s="9">
        <v>21.69</v>
      </c>
      <c r="L79" s="9">
        <v>23.1</v>
      </c>
      <c r="M79" s="9">
        <v>21.24</v>
      </c>
      <c r="N79" s="9">
        <v>21.18</v>
      </c>
      <c r="O79" s="9">
        <v>21.13</v>
      </c>
      <c r="P79" s="9">
        <v>21.4</v>
      </c>
      <c r="Q79" s="9">
        <v>25.89</v>
      </c>
      <c r="R79" s="9">
        <v>23.75</v>
      </c>
      <c r="S79" s="9">
        <v>23.73</v>
      </c>
      <c r="T79" s="9">
        <v>25.46</v>
      </c>
      <c r="U79" s="9">
        <v>22.5</v>
      </c>
      <c r="V79" s="9">
        <v>23.43</v>
      </c>
      <c r="W79" s="6">
        <v>22.88</v>
      </c>
      <c r="X79" s="6">
        <v>21.72</v>
      </c>
      <c r="Y79" s="6">
        <v>23.38</v>
      </c>
      <c r="Z79" s="6">
        <v>22.68</v>
      </c>
      <c r="AA79" s="6">
        <v>22.86</v>
      </c>
      <c r="AB79" s="6">
        <v>22.25</v>
      </c>
      <c r="AC79" s="6">
        <v>22.44</v>
      </c>
      <c r="AD79" s="6">
        <v>22.03</v>
      </c>
      <c r="AE79" s="6">
        <v>22.25</v>
      </c>
      <c r="AF79" s="6">
        <v>23.22</v>
      </c>
      <c r="AG79" s="6">
        <v>23.17</v>
      </c>
      <c r="AH79" s="6">
        <v>22.27</v>
      </c>
      <c r="AI79" s="6">
        <v>23.84</v>
      </c>
      <c r="AJ79" s="7">
        <v>22.44</v>
      </c>
      <c r="AK79" s="6">
        <v>21.52</v>
      </c>
      <c r="AL79" s="6">
        <v>21.46</v>
      </c>
      <c r="AM79" s="6">
        <v>21.18</v>
      </c>
      <c r="AN79" s="6">
        <v>21.74</v>
      </c>
      <c r="AO79" s="6">
        <v>22.21</v>
      </c>
      <c r="AP79" s="6">
        <v>22.6</v>
      </c>
      <c r="AQ79" s="6">
        <v>21.03</v>
      </c>
      <c r="AR79" s="6">
        <v>21.66</v>
      </c>
      <c r="AS79" s="6">
        <v>22.5</v>
      </c>
      <c r="AT79" s="6">
        <v>21.25</v>
      </c>
      <c r="AU79" s="6">
        <v>23.06</v>
      </c>
      <c r="AV79" s="6">
        <v>22.8</v>
      </c>
      <c r="AW79" s="6">
        <v>22.67</v>
      </c>
      <c r="AX79" s="6">
        <v>21.83</v>
      </c>
      <c r="AY79" s="6">
        <v>22.2</v>
      </c>
      <c r="AZ79" s="6">
        <v>21.22</v>
      </c>
      <c r="BA79" s="6">
        <v>23.2</v>
      </c>
      <c r="BB79" s="6">
        <v>21.32</v>
      </c>
      <c r="BC79" s="6">
        <v>21.56</v>
      </c>
      <c r="BD79" s="6">
        <v>21.48</v>
      </c>
      <c r="BE79" s="6">
        <v>22.86</v>
      </c>
      <c r="BF79" s="6">
        <v>23.26</v>
      </c>
      <c r="BG79" s="6">
        <v>23.05</v>
      </c>
      <c r="BH79" s="10">
        <v>21.76</v>
      </c>
      <c r="BI79" s="10"/>
    </row>
    <row r="80" spans="1:61" ht="15.75" customHeight="1" x14ac:dyDescent="0.25">
      <c r="A80" s="1">
        <v>79</v>
      </c>
      <c r="B80" s="1"/>
      <c r="C80" s="1">
        <v>19</v>
      </c>
      <c r="D80" s="6">
        <v>21.32</v>
      </c>
      <c r="E80" s="6">
        <v>23.07</v>
      </c>
      <c r="F80" s="6">
        <v>22.07</v>
      </c>
      <c r="G80" s="6"/>
      <c r="H80" s="6"/>
      <c r="I80" s="6"/>
      <c r="J80" s="9">
        <v>21.88</v>
      </c>
      <c r="K80" s="9">
        <v>21.64</v>
      </c>
      <c r="L80" s="9">
        <v>23.14</v>
      </c>
      <c r="M80" s="9">
        <v>21.22</v>
      </c>
      <c r="N80" s="9">
        <v>21.18</v>
      </c>
      <c r="O80" s="9">
        <v>21.23</v>
      </c>
      <c r="P80" s="9">
        <v>21.4</v>
      </c>
      <c r="Q80" s="9">
        <v>25.82</v>
      </c>
      <c r="R80" s="9">
        <v>23.71</v>
      </c>
      <c r="S80" s="9">
        <v>23.7</v>
      </c>
      <c r="T80" s="9">
        <v>25.37</v>
      </c>
      <c r="U80" s="9">
        <v>22.46</v>
      </c>
      <c r="V80" s="9">
        <v>23.37</v>
      </c>
      <c r="W80" s="6">
        <v>22.81</v>
      </c>
      <c r="X80" s="6">
        <v>21.72</v>
      </c>
      <c r="Y80" s="6">
        <v>23.38</v>
      </c>
      <c r="Z80" s="6">
        <v>22.98</v>
      </c>
      <c r="AA80" s="6">
        <v>22.98</v>
      </c>
      <c r="AB80" s="6">
        <v>22.26</v>
      </c>
      <c r="AC80" s="6">
        <v>22.59</v>
      </c>
      <c r="AD80" s="6">
        <v>21.99</v>
      </c>
      <c r="AE80" s="6">
        <v>22.27</v>
      </c>
      <c r="AF80" s="6">
        <v>23.21</v>
      </c>
      <c r="AG80" s="6">
        <v>23.15</v>
      </c>
      <c r="AH80" s="6">
        <v>22.28</v>
      </c>
      <c r="AI80" s="6">
        <v>23.78</v>
      </c>
      <c r="AJ80" s="7">
        <v>22.4</v>
      </c>
      <c r="AK80" s="6">
        <v>21.52</v>
      </c>
      <c r="AL80" s="6">
        <v>21.43</v>
      </c>
      <c r="AM80" s="6">
        <v>21.17</v>
      </c>
      <c r="AN80" s="6">
        <v>21.67</v>
      </c>
      <c r="AO80" s="6">
        <v>22.2</v>
      </c>
      <c r="AP80" s="6">
        <v>22.69</v>
      </c>
      <c r="AQ80" s="6">
        <v>21.05</v>
      </c>
      <c r="AR80" s="6">
        <v>21.76</v>
      </c>
      <c r="AS80" s="6">
        <v>22.5</v>
      </c>
      <c r="AT80" s="6">
        <v>21.3</v>
      </c>
      <c r="AU80" s="6">
        <v>23.07</v>
      </c>
      <c r="AV80" s="6">
        <v>22.82</v>
      </c>
      <c r="AW80" s="6">
        <v>22.67</v>
      </c>
      <c r="AX80" s="6">
        <v>21.9</v>
      </c>
      <c r="AY80" s="6">
        <v>22.22</v>
      </c>
      <c r="AZ80" s="6">
        <v>21.2</v>
      </c>
      <c r="BA80" s="6">
        <v>23.35</v>
      </c>
      <c r="BB80" s="6">
        <v>21.4</v>
      </c>
      <c r="BC80" s="6">
        <v>21.59</v>
      </c>
      <c r="BD80" s="6">
        <v>21.47</v>
      </c>
      <c r="BE80" s="6">
        <v>22.9</v>
      </c>
      <c r="BF80" s="6">
        <v>23.32</v>
      </c>
      <c r="BG80" s="6">
        <v>23.16</v>
      </c>
      <c r="BH80" s="10">
        <v>21.76</v>
      </c>
      <c r="BI80" s="10"/>
    </row>
    <row r="81" spans="1:61" ht="15.75" customHeight="1" x14ac:dyDescent="0.25">
      <c r="A81" s="1">
        <v>80</v>
      </c>
      <c r="B81" s="1"/>
      <c r="C81" s="1">
        <v>20</v>
      </c>
      <c r="D81" s="6">
        <v>21.38</v>
      </c>
      <c r="E81" s="6">
        <v>23.03</v>
      </c>
      <c r="F81" s="6">
        <v>22.15</v>
      </c>
      <c r="G81" s="6"/>
      <c r="H81" s="6"/>
      <c r="I81" s="6"/>
      <c r="J81" s="9">
        <v>21.78</v>
      </c>
      <c r="K81" s="9">
        <v>21.59</v>
      </c>
      <c r="L81" s="9">
        <v>23.19</v>
      </c>
      <c r="M81" s="9">
        <v>21.26</v>
      </c>
      <c r="N81" s="9">
        <v>21.03</v>
      </c>
      <c r="O81" s="9">
        <v>21.29</v>
      </c>
      <c r="P81" s="9">
        <v>21.4</v>
      </c>
      <c r="Q81" s="9">
        <v>25.75</v>
      </c>
      <c r="R81" s="9">
        <v>23.69</v>
      </c>
      <c r="S81" s="9">
        <v>23.67</v>
      </c>
      <c r="T81" s="9">
        <v>25.27</v>
      </c>
      <c r="U81" s="9">
        <v>22.41</v>
      </c>
      <c r="V81" s="9">
        <v>23.34</v>
      </c>
      <c r="W81" s="6">
        <v>22.8</v>
      </c>
      <c r="X81" s="6">
        <v>21.7</v>
      </c>
      <c r="Y81" s="6">
        <v>23.38</v>
      </c>
      <c r="Z81" s="6">
        <v>23.08</v>
      </c>
      <c r="AA81" s="6">
        <v>23.1</v>
      </c>
      <c r="AB81" s="6">
        <v>22.3</v>
      </c>
      <c r="AC81" s="6">
        <v>22.8</v>
      </c>
      <c r="AD81" s="6">
        <v>21.98</v>
      </c>
      <c r="AE81" s="6">
        <v>22.31</v>
      </c>
      <c r="AF81" s="6">
        <v>23.2</v>
      </c>
      <c r="AG81" s="6">
        <v>23.14</v>
      </c>
      <c r="AH81" s="6">
        <v>22.28</v>
      </c>
      <c r="AI81" s="6">
        <v>23.73</v>
      </c>
      <c r="AJ81" s="6">
        <v>22.37</v>
      </c>
      <c r="AK81" s="6">
        <v>21.52</v>
      </c>
      <c r="AL81" s="6">
        <v>21.41</v>
      </c>
      <c r="AM81" s="6">
        <v>21.18</v>
      </c>
      <c r="AN81" s="6">
        <v>21.6</v>
      </c>
      <c r="AO81" s="6">
        <v>22.16</v>
      </c>
      <c r="AP81" s="6">
        <v>22.75</v>
      </c>
      <c r="AQ81" s="6">
        <v>21.05</v>
      </c>
      <c r="AR81" s="6">
        <v>21.92</v>
      </c>
      <c r="AS81" s="6">
        <v>22.48</v>
      </c>
      <c r="AT81" s="6">
        <v>21.35</v>
      </c>
      <c r="AU81" s="6">
        <v>23.08</v>
      </c>
      <c r="AV81" s="6">
        <v>22.85</v>
      </c>
      <c r="AW81" s="6">
        <v>22.7</v>
      </c>
      <c r="AX81" s="6">
        <v>21.94</v>
      </c>
      <c r="AY81" s="6">
        <v>22.21</v>
      </c>
      <c r="AZ81" s="6">
        <v>21.17</v>
      </c>
      <c r="BA81" s="6">
        <v>23.52</v>
      </c>
      <c r="BB81" s="6">
        <v>21.4</v>
      </c>
      <c r="BC81" s="6">
        <v>21.62</v>
      </c>
      <c r="BD81" s="6">
        <v>21.46</v>
      </c>
      <c r="BE81" s="6">
        <v>22.95</v>
      </c>
      <c r="BF81" s="6">
        <v>23.4</v>
      </c>
      <c r="BG81" s="6">
        <v>23.28</v>
      </c>
      <c r="BH81" s="10">
        <v>21.77</v>
      </c>
      <c r="BI81" s="10"/>
    </row>
    <row r="82" spans="1:61" ht="15.75" customHeight="1" x14ac:dyDescent="0.25">
      <c r="A82" s="1">
        <v>81</v>
      </c>
      <c r="B82" s="1"/>
      <c r="C82" s="1">
        <v>21</v>
      </c>
      <c r="D82" s="6">
        <v>21.42</v>
      </c>
      <c r="E82" s="6">
        <v>22.82</v>
      </c>
      <c r="F82" s="6">
        <v>22.15</v>
      </c>
      <c r="G82" s="6"/>
      <c r="H82" s="6"/>
      <c r="I82" s="6"/>
      <c r="J82" s="9">
        <v>21.68</v>
      </c>
      <c r="K82" s="9">
        <v>21.54</v>
      </c>
      <c r="L82" s="9">
        <v>23.24</v>
      </c>
      <c r="M82" s="9">
        <v>21.29</v>
      </c>
      <c r="N82" s="9">
        <v>20.98</v>
      </c>
      <c r="O82" s="9">
        <v>21.34</v>
      </c>
      <c r="P82" s="9">
        <v>21.4</v>
      </c>
      <c r="Q82" s="9">
        <v>25.68</v>
      </c>
      <c r="R82" s="9">
        <v>23.66</v>
      </c>
      <c r="S82" s="9">
        <v>23.71</v>
      </c>
      <c r="T82" s="9">
        <v>25.18</v>
      </c>
      <c r="U82" s="9">
        <v>22.34</v>
      </c>
      <c r="V82" s="9">
        <v>23.32</v>
      </c>
      <c r="W82" s="6">
        <v>22.81</v>
      </c>
      <c r="X82" s="6">
        <v>21.68</v>
      </c>
      <c r="Y82" s="6">
        <v>23.37</v>
      </c>
      <c r="Z82" s="6">
        <v>23.25</v>
      </c>
      <c r="AA82" s="6">
        <v>23.22</v>
      </c>
      <c r="AB82" s="6">
        <v>22.33</v>
      </c>
      <c r="AC82" s="6">
        <v>23</v>
      </c>
      <c r="AD82" s="6">
        <v>21.97</v>
      </c>
      <c r="AE82" s="6">
        <v>22.32</v>
      </c>
      <c r="AF82" s="6">
        <v>23.19</v>
      </c>
      <c r="AG82" s="6">
        <v>23.16</v>
      </c>
      <c r="AH82" s="6">
        <v>22.27</v>
      </c>
      <c r="AI82" s="6">
        <v>23.73</v>
      </c>
      <c r="AJ82" s="6">
        <v>22.332999999999998</v>
      </c>
      <c r="AK82" s="6">
        <v>21.51</v>
      </c>
      <c r="AL82" s="6">
        <v>21.41</v>
      </c>
      <c r="AM82" s="6">
        <v>21.19</v>
      </c>
      <c r="AN82" s="6">
        <v>21.67</v>
      </c>
      <c r="AO82" s="6">
        <v>22.1</v>
      </c>
      <c r="AP82" s="6">
        <v>22.75</v>
      </c>
      <c r="AQ82" s="6">
        <v>21.08</v>
      </c>
      <c r="AR82" s="6">
        <v>22.09</v>
      </c>
      <c r="AS82" s="6">
        <v>22.47</v>
      </c>
      <c r="AT82" s="6">
        <v>21.4</v>
      </c>
      <c r="AU82" s="6">
        <v>23.08</v>
      </c>
      <c r="AV82" s="6">
        <v>22.92</v>
      </c>
      <c r="AW82" s="6">
        <v>22.69</v>
      </c>
      <c r="AX82" s="6">
        <v>21.97</v>
      </c>
      <c r="AY82" s="6">
        <v>22.2</v>
      </c>
      <c r="AZ82" s="6">
        <v>21.14</v>
      </c>
      <c r="BA82" s="6">
        <v>23.65</v>
      </c>
      <c r="BB82" s="6">
        <v>21.38</v>
      </c>
      <c r="BC82" s="6">
        <v>21.68</v>
      </c>
      <c r="BD82" s="6">
        <v>21.45</v>
      </c>
      <c r="BE82" s="6">
        <v>22.98</v>
      </c>
      <c r="BF82" s="6">
        <v>23.48</v>
      </c>
      <c r="BG82" s="6">
        <v>23.36</v>
      </c>
      <c r="BH82" s="10">
        <v>21.79</v>
      </c>
      <c r="BI82" s="10"/>
    </row>
    <row r="83" spans="1:61" ht="15.75" customHeight="1" x14ac:dyDescent="0.25">
      <c r="A83" s="1">
        <v>82</v>
      </c>
      <c r="B83" s="1"/>
      <c r="C83" s="1">
        <v>22</v>
      </c>
      <c r="D83" s="6">
        <v>21.4</v>
      </c>
      <c r="E83" s="6">
        <v>22.62</v>
      </c>
      <c r="F83" s="6">
        <v>22.12</v>
      </c>
      <c r="G83" s="6"/>
      <c r="H83" s="6"/>
      <c r="I83" s="6"/>
      <c r="J83" s="9">
        <v>21.63</v>
      </c>
      <c r="K83" s="9">
        <v>21.49</v>
      </c>
      <c r="L83" s="9">
        <v>23.29</v>
      </c>
      <c r="M83" s="9">
        <v>21.33</v>
      </c>
      <c r="N83" s="9">
        <v>20.98</v>
      </c>
      <c r="O83" s="9">
        <v>21.37</v>
      </c>
      <c r="P83" s="9">
        <v>21.44</v>
      </c>
      <c r="Q83" s="9">
        <v>25.57</v>
      </c>
      <c r="R83" s="9">
        <v>23.66</v>
      </c>
      <c r="S83" s="9">
        <v>23.74</v>
      </c>
      <c r="T83" s="9">
        <v>25.13</v>
      </c>
      <c r="U83" s="9">
        <v>22.32</v>
      </c>
      <c r="V83" s="9">
        <v>23.32</v>
      </c>
      <c r="W83" s="6">
        <v>22.82</v>
      </c>
      <c r="X83" s="6">
        <v>21.65</v>
      </c>
      <c r="Y83" s="6">
        <v>23.34</v>
      </c>
      <c r="Z83" s="6">
        <v>23.43</v>
      </c>
      <c r="AA83" s="6">
        <v>23.3</v>
      </c>
      <c r="AB83" s="6">
        <v>22.34</v>
      </c>
      <c r="AC83" s="6">
        <v>23.21</v>
      </c>
      <c r="AD83" s="6">
        <v>21.98</v>
      </c>
      <c r="AE83" s="6">
        <v>22.42</v>
      </c>
      <c r="AF83" s="6">
        <v>23.16</v>
      </c>
      <c r="AG83" s="6">
        <v>23.17</v>
      </c>
      <c r="AH83" s="6">
        <v>22.25</v>
      </c>
      <c r="AI83" s="6">
        <v>23.75</v>
      </c>
      <c r="AJ83" s="6">
        <v>22.29</v>
      </c>
      <c r="AK83" s="6">
        <v>21.52</v>
      </c>
      <c r="AL83" s="6">
        <v>21.52</v>
      </c>
      <c r="AM83" s="6">
        <v>21.19</v>
      </c>
      <c r="AN83" s="6">
        <v>21.84</v>
      </c>
      <c r="AO83" s="6">
        <v>22.06</v>
      </c>
      <c r="AP83" s="6">
        <v>22.66</v>
      </c>
      <c r="AQ83" s="6">
        <v>21.11</v>
      </c>
      <c r="AR83" s="6">
        <v>22.24</v>
      </c>
      <c r="AS83" s="6">
        <v>22.47</v>
      </c>
      <c r="AT83" s="6">
        <v>21.44</v>
      </c>
      <c r="AU83" s="6">
        <v>23.08</v>
      </c>
      <c r="AV83" s="6">
        <v>23.06</v>
      </c>
      <c r="AW83" s="6">
        <v>22.7</v>
      </c>
      <c r="AX83" s="6">
        <v>21.98</v>
      </c>
      <c r="AY83" s="6">
        <v>22.2</v>
      </c>
      <c r="AZ83" s="6">
        <v>21.14</v>
      </c>
      <c r="BA83" s="6">
        <v>23.7</v>
      </c>
      <c r="BB83" s="6">
        <v>21.32</v>
      </c>
      <c r="BC83" s="6">
        <v>21.72</v>
      </c>
      <c r="BD83" s="6">
        <v>21.44</v>
      </c>
      <c r="BE83" s="6">
        <v>23.05</v>
      </c>
      <c r="BF83" s="6">
        <v>23.52</v>
      </c>
      <c r="BG83" s="6">
        <v>23.58</v>
      </c>
      <c r="BH83" s="10">
        <v>21.81</v>
      </c>
      <c r="BI83" s="10"/>
    </row>
    <row r="84" spans="1:61" ht="15.75" customHeight="1" x14ac:dyDescent="0.25">
      <c r="A84" s="1">
        <v>83</v>
      </c>
      <c r="B84" s="1"/>
      <c r="C84" s="1">
        <v>23</v>
      </c>
      <c r="D84" s="6">
        <v>21.39</v>
      </c>
      <c r="E84" s="6">
        <v>22.43</v>
      </c>
      <c r="F84" s="6">
        <v>22.07</v>
      </c>
      <c r="G84" s="6"/>
      <c r="H84" s="6"/>
      <c r="I84" s="6"/>
      <c r="J84" s="9">
        <v>21.58</v>
      </c>
      <c r="K84" s="9">
        <v>21.45</v>
      </c>
      <c r="L84" s="9">
        <v>23.34</v>
      </c>
      <c r="M84" s="9">
        <v>21.37</v>
      </c>
      <c r="N84" s="9">
        <v>20.98</v>
      </c>
      <c r="O84" s="9">
        <v>21.34</v>
      </c>
      <c r="P84" s="9">
        <v>21.47</v>
      </c>
      <c r="Q84" s="9">
        <v>25.47</v>
      </c>
      <c r="R84" s="9">
        <v>23.66</v>
      </c>
      <c r="S84" s="9">
        <v>23.85</v>
      </c>
      <c r="T84" s="9">
        <v>25.09</v>
      </c>
      <c r="U84" s="9">
        <v>22.25</v>
      </c>
      <c r="V84" s="9">
        <v>23.32</v>
      </c>
      <c r="W84" s="6">
        <v>22.83</v>
      </c>
      <c r="X84" s="6">
        <v>21.64</v>
      </c>
      <c r="Y84" s="6">
        <v>23.33</v>
      </c>
      <c r="Z84" s="6">
        <v>23.47</v>
      </c>
      <c r="AA84" s="6">
        <v>23.32</v>
      </c>
      <c r="AB84" s="6">
        <v>22.34</v>
      </c>
      <c r="AC84" s="6">
        <v>23.37</v>
      </c>
      <c r="AD84" s="6">
        <v>22.04</v>
      </c>
      <c r="AE84" s="6">
        <v>22.48</v>
      </c>
      <c r="AF84" s="6">
        <v>23.12</v>
      </c>
      <c r="AG84" s="6">
        <v>23.19</v>
      </c>
      <c r="AH84" s="6">
        <v>22.22</v>
      </c>
      <c r="AI84" s="6">
        <v>23.8</v>
      </c>
      <c r="AJ84" s="6">
        <v>22.26</v>
      </c>
      <c r="AK84" s="6">
        <v>21.53</v>
      </c>
      <c r="AL84" s="6">
        <v>21.6</v>
      </c>
      <c r="AM84" s="6">
        <v>21.2</v>
      </c>
      <c r="AN84" s="6">
        <v>21.88</v>
      </c>
      <c r="AO84" s="6">
        <v>22.02</v>
      </c>
      <c r="AP84" s="6">
        <v>22.6</v>
      </c>
      <c r="AQ84" s="6">
        <v>21.12</v>
      </c>
      <c r="AR84" s="6">
        <v>22.34</v>
      </c>
      <c r="AS84" s="6">
        <v>22.47</v>
      </c>
      <c r="AT84" s="6">
        <v>21.45</v>
      </c>
      <c r="AU84" s="6">
        <v>23.04</v>
      </c>
      <c r="AV84" s="6">
        <v>23.16</v>
      </c>
      <c r="AW84" s="6">
        <v>22.74</v>
      </c>
      <c r="AX84" s="6">
        <v>21.99</v>
      </c>
      <c r="AY84" s="6">
        <v>22.2</v>
      </c>
      <c r="AZ84" s="6">
        <v>21.14</v>
      </c>
      <c r="BA84" s="6">
        <v>23.75</v>
      </c>
      <c r="BB84" s="6">
        <v>21.25</v>
      </c>
      <c r="BC84" s="6">
        <v>21.78</v>
      </c>
      <c r="BD84" s="6">
        <v>21.43</v>
      </c>
      <c r="BE84" s="6">
        <v>23.12</v>
      </c>
      <c r="BF84" s="6">
        <v>23.6</v>
      </c>
      <c r="BG84" s="6">
        <v>23.68</v>
      </c>
      <c r="BH84" s="10">
        <v>21.82</v>
      </c>
      <c r="BI84" s="10"/>
    </row>
    <row r="85" spans="1:61" ht="15.75" customHeight="1" x14ac:dyDescent="0.25">
      <c r="A85" s="1">
        <v>84</v>
      </c>
      <c r="B85" s="1"/>
      <c r="C85" s="1">
        <v>24</v>
      </c>
      <c r="D85" s="6">
        <v>21.38</v>
      </c>
      <c r="E85" s="6">
        <v>22.3</v>
      </c>
      <c r="F85" s="6">
        <v>22.07</v>
      </c>
      <c r="G85" s="6"/>
      <c r="H85" s="6"/>
      <c r="I85" s="6"/>
      <c r="J85" s="9">
        <v>21.53</v>
      </c>
      <c r="K85" s="9">
        <v>21.41</v>
      </c>
      <c r="L85" s="9">
        <v>23.38</v>
      </c>
      <c r="M85" s="9">
        <v>21.42</v>
      </c>
      <c r="N85" s="9">
        <v>20.98</v>
      </c>
      <c r="O85" s="9">
        <v>21.31</v>
      </c>
      <c r="P85" s="9">
        <v>21.49</v>
      </c>
      <c r="Q85" s="9">
        <v>25.32</v>
      </c>
      <c r="R85" s="9">
        <v>23.64</v>
      </c>
      <c r="S85" s="9">
        <v>24.03</v>
      </c>
      <c r="T85" s="9">
        <v>25.09</v>
      </c>
      <c r="U85" s="9">
        <v>22.2</v>
      </c>
      <c r="V85" s="9">
        <v>23.32</v>
      </c>
      <c r="W85" s="6">
        <v>22.89</v>
      </c>
      <c r="X85" s="6">
        <v>21.63</v>
      </c>
      <c r="Y85" s="6">
        <v>23.32</v>
      </c>
      <c r="Z85" s="6">
        <v>23.58</v>
      </c>
      <c r="AA85" s="6">
        <v>23.36</v>
      </c>
      <c r="AB85" s="6">
        <v>22.32</v>
      </c>
      <c r="AC85" s="6">
        <v>23.47</v>
      </c>
      <c r="AD85" s="6">
        <v>22.09</v>
      </c>
      <c r="AE85" s="6">
        <v>22.54</v>
      </c>
      <c r="AF85" s="6">
        <v>23.08</v>
      </c>
      <c r="AG85" s="6">
        <v>23.24</v>
      </c>
      <c r="AH85" s="6">
        <v>22.2</v>
      </c>
      <c r="AI85" s="6">
        <v>23.83</v>
      </c>
      <c r="AJ85" s="6">
        <v>22.22</v>
      </c>
      <c r="AK85" s="6">
        <v>21.52</v>
      </c>
      <c r="AL85" s="6">
        <v>21.69</v>
      </c>
      <c r="AM85" s="6">
        <v>21.21</v>
      </c>
      <c r="AN85" s="6">
        <v>21.86</v>
      </c>
      <c r="AO85" s="6">
        <v>22</v>
      </c>
      <c r="AP85" s="6">
        <v>22.55</v>
      </c>
      <c r="AQ85" s="6">
        <v>21.11</v>
      </c>
      <c r="AR85" s="6">
        <v>22.4</v>
      </c>
      <c r="AS85" s="6">
        <v>22.53</v>
      </c>
      <c r="AT85" s="6">
        <v>21.46</v>
      </c>
      <c r="AU85" s="6">
        <v>22.93</v>
      </c>
      <c r="AV85" s="6">
        <v>23.24</v>
      </c>
      <c r="AW85" s="6">
        <v>22.84</v>
      </c>
      <c r="AX85" s="6">
        <v>21.99</v>
      </c>
      <c r="AY85" s="6">
        <v>22.22</v>
      </c>
      <c r="AZ85" s="6">
        <v>21.16</v>
      </c>
      <c r="BA85" s="6">
        <v>23.75</v>
      </c>
      <c r="BB85" s="6">
        <v>21.18</v>
      </c>
      <c r="BC85" s="6">
        <v>21.83</v>
      </c>
      <c r="BD85" s="6">
        <v>21.43</v>
      </c>
      <c r="BE85" s="6">
        <v>23.16</v>
      </c>
      <c r="BF85" s="6">
        <v>23.68</v>
      </c>
      <c r="BG85" s="6">
        <v>23.64</v>
      </c>
      <c r="BH85" s="10">
        <v>21.85</v>
      </c>
      <c r="BI85" s="10"/>
    </row>
    <row r="86" spans="1:61" ht="15.75" customHeight="1" x14ac:dyDescent="0.25">
      <c r="A86" s="1">
        <v>85</v>
      </c>
      <c r="B86" s="1"/>
      <c r="C86" s="1">
        <v>25</v>
      </c>
      <c r="D86" s="6">
        <v>21.4</v>
      </c>
      <c r="E86" s="6">
        <v>22.26</v>
      </c>
      <c r="F86" s="6">
        <v>22.07</v>
      </c>
      <c r="G86" s="6"/>
      <c r="H86" s="6"/>
      <c r="I86" s="6"/>
      <c r="J86" s="9">
        <v>21.48</v>
      </c>
      <c r="K86" s="9">
        <v>21.44</v>
      </c>
      <c r="L86" s="9">
        <v>23.44</v>
      </c>
      <c r="M86" s="9">
        <v>21.55</v>
      </c>
      <c r="N86" s="9">
        <v>20.98</v>
      </c>
      <c r="O86" s="9">
        <v>21.27</v>
      </c>
      <c r="P86" s="9">
        <v>21.51</v>
      </c>
      <c r="Q86" s="9">
        <v>25.2</v>
      </c>
      <c r="R86" s="9">
        <v>23.66</v>
      </c>
      <c r="S86" s="9">
        <v>24.19</v>
      </c>
      <c r="T86" s="9">
        <v>25.07</v>
      </c>
      <c r="U86" s="9">
        <v>22.16</v>
      </c>
      <c r="V86" s="9">
        <v>23.3</v>
      </c>
      <c r="W86" s="6">
        <v>22.99</v>
      </c>
      <c r="X86" s="6">
        <v>21.62</v>
      </c>
      <c r="Y86" s="6">
        <v>23.29</v>
      </c>
      <c r="Z86" s="6">
        <v>23.62</v>
      </c>
      <c r="AA86" s="6">
        <v>23.34</v>
      </c>
      <c r="AB86" s="6">
        <v>22.34</v>
      </c>
      <c r="AC86" s="6">
        <v>23.54</v>
      </c>
      <c r="AD86" s="6">
        <v>22.14</v>
      </c>
      <c r="AE86" s="6">
        <v>22.58</v>
      </c>
      <c r="AF86" s="6">
        <v>23.03</v>
      </c>
      <c r="AG86" s="6">
        <v>23.27</v>
      </c>
      <c r="AH86" s="6">
        <v>22.18</v>
      </c>
      <c r="AI86" s="6">
        <v>23.82</v>
      </c>
      <c r="AJ86" s="6">
        <v>22.2</v>
      </c>
      <c r="AK86" s="6">
        <v>21.52</v>
      </c>
      <c r="AL86" s="6">
        <v>21.8</v>
      </c>
      <c r="AM86" s="6">
        <v>21.23</v>
      </c>
      <c r="AN86" s="6">
        <v>21.79</v>
      </c>
      <c r="AO86" s="6">
        <v>21.98</v>
      </c>
      <c r="AP86" s="6">
        <v>22.5</v>
      </c>
      <c r="AQ86" s="6">
        <v>21.11</v>
      </c>
      <c r="AR86" s="6">
        <v>22.48</v>
      </c>
      <c r="AS86" s="6">
        <v>22.6</v>
      </c>
      <c r="AT86" s="6">
        <v>21.45</v>
      </c>
      <c r="AU86" s="6">
        <v>22.86</v>
      </c>
      <c r="AV86" s="6">
        <v>23.28</v>
      </c>
      <c r="AW86" s="6">
        <v>22.9</v>
      </c>
      <c r="AX86" s="6">
        <v>21.96</v>
      </c>
      <c r="AY86" s="6">
        <v>22.28</v>
      </c>
      <c r="AZ86" s="6">
        <v>21.21</v>
      </c>
      <c r="BA86" s="6">
        <v>23.74</v>
      </c>
      <c r="BB86" s="6">
        <v>21.13</v>
      </c>
      <c r="BC86" s="6">
        <v>21.88</v>
      </c>
      <c r="BD86" s="6">
        <v>21.44</v>
      </c>
      <c r="BE86" s="6">
        <v>23.24</v>
      </c>
      <c r="BF86" s="6">
        <v>23.8</v>
      </c>
      <c r="BG86" s="6">
        <v>23.56</v>
      </c>
      <c r="BH86" s="10">
        <v>21.88</v>
      </c>
      <c r="BI86" s="10"/>
    </row>
    <row r="87" spans="1:61" ht="15.75" customHeight="1" x14ac:dyDescent="0.25">
      <c r="A87" s="1">
        <v>86</v>
      </c>
      <c r="B87" s="1"/>
      <c r="C87" s="1">
        <v>26</v>
      </c>
      <c r="D87" s="6">
        <v>21.34</v>
      </c>
      <c r="E87" s="6">
        <v>22.22</v>
      </c>
      <c r="F87" s="6">
        <v>22.04</v>
      </c>
      <c r="G87" s="6"/>
      <c r="H87" s="6"/>
      <c r="I87" s="6"/>
      <c r="J87" s="9">
        <v>21.43</v>
      </c>
      <c r="K87" s="9">
        <v>21.47</v>
      </c>
      <c r="L87" s="9">
        <v>23.5</v>
      </c>
      <c r="M87" s="9">
        <v>21.61</v>
      </c>
      <c r="N87" s="9">
        <v>20.88</v>
      </c>
      <c r="O87" s="9">
        <v>21.23</v>
      </c>
      <c r="P87" s="9">
        <v>21.53</v>
      </c>
      <c r="Q87" s="9">
        <v>25.05</v>
      </c>
      <c r="R87" s="9">
        <v>23.66</v>
      </c>
      <c r="S87" s="9">
        <v>24.29</v>
      </c>
      <c r="T87" s="9">
        <v>24.97</v>
      </c>
      <c r="U87" s="9">
        <v>22.11</v>
      </c>
      <c r="V87" s="9">
        <v>23.31</v>
      </c>
      <c r="W87" s="6">
        <v>23.19</v>
      </c>
      <c r="X87" s="6">
        <v>21.6</v>
      </c>
      <c r="Y87" s="6">
        <v>23.25</v>
      </c>
      <c r="Z87" s="6">
        <v>23.65</v>
      </c>
      <c r="AA87" s="6">
        <v>23.26</v>
      </c>
      <c r="AB87" s="6">
        <v>22.36</v>
      </c>
      <c r="AC87" s="6">
        <v>23.55</v>
      </c>
      <c r="AD87" s="6">
        <v>22.23</v>
      </c>
      <c r="AE87" s="6">
        <v>22.58</v>
      </c>
      <c r="AF87" s="6">
        <v>22.94</v>
      </c>
      <c r="AG87" s="6">
        <v>23.28</v>
      </c>
      <c r="AH87" s="6">
        <v>22.15</v>
      </c>
      <c r="AI87" s="6">
        <v>23.79</v>
      </c>
      <c r="AJ87" s="6">
        <v>22.18</v>
      </c>
      <c r="AK87" s="6">
        <v>21.55</v>
      </c>
      <c r="AL87" s="6">
        <v>21.93</v>
      </c>
      <c r="AM87" s="6">
        <v>21.26</v>
      </c>
      <c r="AN87" s="6">
        <v>21.7</v>
      </c>
      <c r="AO87" s="6">
        <v>21.97</v>
      </c>
      <c r="AP87" s="6">
        <v>22.45</v>
      </c>
      <c r="AQ87" s="6">
        <v>21.14</v>
      </c>
      <c r="AR87" s="6">
        <v>22.5</v>
      </c>
      <c r="AS87" s="6">
        <v>22.69</v>
      </c>
      <c r="AT87" s="6">
        <v>21.44</v>
      </c>
      <c r="AU87" s="6">
        <v>22.8</v>
      </c>
      <c r="AV87" s="6">
        <v>23.3</v>
      </c>
      <c r="AW87" s="6">
        <v>22.96</v>
      </c>
      <c r="AX87" s="6">
        <v>21.94</v>
      </c>
      <c r="AY87" s="6">
        <v>22.36</v>
      </c>
      <c r="AZ87" s="6">
        <v>21.25</v>
      </c>
      <c r="BA87" s="6">
        <v>23.73</v>
      </c>
      <c r="BB87" s="6">
        <v>21.1</v>
      </c>
      <c r="BC87" s="6">
        <v>21.94</v>
      </c>
      <c r="BD87" s="6">
        <v>21.46</v>
      </c>
      <c r="BE87" s="6">
        <v>23.3</v>
      </c>
      <c r="BF87" s="6">
        <v>23.96</v>
      </c>
      <c r="BG87" s="6">
        <v>23.48</v>
      </c>
      <c r="BH87" s="10">
        <v>21.87</v>
      </c>
      <c r="BI87" s="10"/>
    </row>
    <row r="88" spans="1:61" ht="15.75" customHeight="1" x14ac:dyDescent="0.25">
      <c r="A88" s="1">
        <v>87</v>
      </c>
      <c r="B88" s="1"/>
      <c r="C88" s="1">
        <v>27</v>
      </c>
      <c r="D88" s="6">
        <v>21.32</v>
      </c>
      <c r="E88" s="6">
        <v>22.11</v>
      </c>
      <c r="F88" s="6">
        <v>21.97</v>
      </c>
      <c r="G88" s="6"/>
      <c r="H88" s="6"/>
      <c r="I88" s="6"/>
      <c r="J88" s="9">
        <v>21.38</v>
      </c>
      <c r="K88" s="9">
        <v>21.5</v>
      </c>
      <c r="L88" s="9">
        <v>23.59</v>
      </c>
      <c r="M88" s="9">
        <v>21.74</v>
      </c>
      <c r="N88" s="9">
        <v>20.88</v>
      </c>
      <c r="O88" s="9">
        <v>21.19</v>
      </c>
      <c r="P88" s="9">
        <v>21.52</v>
      </c>
      <c r="Q88" s="9">
        <v>24.98</v>
      </c>
      <c r="R88" s="9">
        <v>23.73</v>
      </c>
      <c r="S88" s="9">
        <v>24.33</v>
      </c>
      <c r="T88" s="9">
        <v>24.86</v>
      </c>
      <c r="U88" s="9">
        <v>22.06</v>
      </c>
      <c r="V88" s="9">
        <v>23.31</v>
      </c>
      <c r="W88" s="6">
        <v>23.41</v>
      </c>
      <c r="X88" s="6">
        <v>21.57</v>
      </c>
      <c r="Y88" s="6">
        <v>23.22</v>
      </c>
      <c r="Z88" s="6">
        <v>23.71</v>
      </c>
      <c r="AA88" s="6">
        <v>23.27</v>
      </c>
      <c r="AB88" s="6">
        <v>22.36</v>
      </c>
      <c r="AC88" s="6">
        <v>23.58</v>
      </c>
      <c r="AD88" s="6">
        <v>22.33</v>
      </c>
      <c r="AE88" s="6">
        <v>22.54</v>
      </c>
      <c r="AF88" s="6">
        <v>22.87</v>
      </c>
      <c r="AG88" s="6">
        <v>23.23</v>
      </c>
      <c r="AH88" s="6">
        <v>22.14</v>
      </c>
      <c r="AI88" s="6">
        <v>23.75</v>
      </c>
      <c r="AJ88" s="6">
        <v>22.17</v>
      </c>
      <c r="AK88" s="6">
        <v>21.57</v>
      </c>
      <c r="AL88" s="6">
        <v>22.08</v>
      </c>
      <c r="AM88" s="6">
        <v>21.27</v>
      </c>
      <c r="AN88" s="6">
        <v>21.64</v>
      </c>
      <c r="AO88" s="6">
        <v>21.96</v>
      </c>
      <c r="AP88" s="6">
        <v>22.5</v>
      </c>
      <c r="AQ88" s="6">
        <v>21.19</v>
      </c>
      <c r="AR88" s="6">
        <v>22.48</v>
      </c>
      <c r="AS88" s="6">
        <v>22.78</v>
      </c>
      <c r="AT88" s="6">
        <v>21.43</v>
      </c>
      <c r="AU88" s="6">
        <v>22.78</v>
      </c>
      <c r="AV88" s="6">
        <v>23.35</v>
      </c>
      <c r="AW88" s="6">
        <v>23.02</v>
      </c>
      <c r="AX88" s="6">
        <v>21.9</v>
      </c>
      <c r="AY88" s="6">
        <v>22.46</v>
      </c>
      <c r="AZ88" s="6">
        <v>21.29</v>
      </c>
      <c r="BA88" s="6">
        <v>23.72</v>
      </c>
      <c r="BB88" s="6">
        <v>21.07</v>
      </c>
      <c r="BC88" s="6">
        <v>22.01</v>
      </c>
      <c r="BD88" s="6">
        <v>21.47</v>
      </c>
      <c r="BE88" s="6">
        <v>23.37</v>
      </c>
      <c r="BF88" s="6">
        <v>24.08</v>
      </c>
      <c r="BG88" s="6">
        <v>23.42</v>
      </c>
      <c r="BH88" s="10">
        <v>21.88</v>
      </c>
      <c r="BI88" s="10"/>
    </row>
    <row r="89" spans="1:61" ht="15.75" customHeight="1" x14ac:dyDescent="0.25">
      <c r="A89" s="1">
        <v>88</v>
      </c>
      <c r="B89" s="1"/>
      <c r="C89" s="1">
        <v>28</v>
      </c>
      <c r="D89" s="6">
        <v>21.32</v>
      </c>
      <c r="E89" s="6">
        <v>22.04</v>
      </c>
      <c r="F89" s="6">
        <v>22.04</v>
      </c>
      <c r="G89" s="6"/>
      <c r="H89" s="6"/>
      <c r="I89" s="6"/>
      <c r="J89" s="9">
        <v>21.38</v>
      </c>
      <c r="K89" s="9">
        <v>21.53</v>
      </c>
      <c r="L89" s="9">
        <v>23.66</v>
      </c>
      <c r="M89" s="9">
        <v>21.89</v>
      </c>
      <c r="N89" s="9">
        <v>20.98</v>
      </c>
      <c r="O89" s="9">
        <v>21.18</v>
      </c>
      <c r="P89" s="9">
        <v>21.48</v>
      </c>
      <c r="Q89" s="9">
        <v>24.75</v>
      </c>
      <c r="R89" s="9">
        <v>23.8</v>
      </c>
      <c r="S89" s="9">
        <v>24.24</v>
      </c>
      <c r="T89" s="9">
        <v>24.82</v>
      </c>
      <c r="U89" s="9">
        <v>22</v>
      </c>
      <c r="V89" s="9">
        <v>23.3</v>
      </c>
      <c r="W89" s="6">
        <v>23.49</v>
      </c>
      <c r="X89" s="6">
        <v>21.55</v>
      </c>
      <c r="Y89" s="6">
        <v>23.18</v>
      </c>
      <c r="Z89" s="6">
        <v>23.72</v>
      </c>
      <c r="AA89" s="6">
        <v>23.16</v>
      </c>
      <c r="AB89" s="6">
        <v>22.34</v>
      </c>
      <c r="AC89" s="6">
        <v>23.58</v>
      </c>
      <c r="AD89" s="6">
        <v>22.35</v>
      </c>
      <c r="AE89" s="6">
        <v>22.49</v>
      </c>
      <c r="AF89" s="6">
        <v>22.79</v>
      </c>
      <c r="AG89" s="6">
        <v>23.19</v>
      </c>
      <c r="AH89" s="6">
        <v>22.12</v>
      </c>
      <c r="AI89" s="6">
        <v>23.68</v>
      </c>
      <c r="AJ89" s="6">
        <v>22.16</v>
      </c>
      <c r="AK89" s="6">
        <v>21.58</v>
      </c>
      <c r="AL89" s="6">
        <v>22.13</v>
      </c>
      <c r="AM89" s="6">
        <v>21.27</v>
      </c>
      <c r="AN89" s="6">
        <v>21.59</v>
      </c>
      <c r="AO89" s="6">
        <v>21.97</v>
      </c>
      <c r="AP89" s="6">
        <v>22.7</v>
      </c>
      <c r="AQ89" s="6">
        <v>21.24</v>
      </c>
      <c r="AR89" s="6">
        <v>22.42</v>
      </c>
      <c r="AS89" s="6">
        <v>22.89</v>
      </c>
      <c r="AT89" s="6">
        <v>21.46</v>
      </c>
      <c r="AU89" s="6">
        <v>22.76</v>
      </c>
      <c r="AV89" s="6">
        <v>23.47</v>
      </c>
      <c r="AW89" s="6">
        <v>23.1</v>
      </c>
      <c r="AX89" s="6">
        <v>21.88</v>
      </c>
      <c r="AY89" s="6">
        <v>22.58</v>
      </c>
      <c r="AZ89" s="6">
        <v>21.34</v>
      </c>
      <c r="BA89" s="6">
        <v>23.72</v>
      </c>
      <c r="BB89" s="6">
        <v>21.05</v>
      </c>
      <c r="BC89" s="6">
        <v>22.06</v>
      </c>
      <c r="BD89" s="6">
        <v>21.49</v>
      </c>
      <c r="BE89" s="6">
        <v>23.42</v>
      </c>
      <c r="BF89" s="6">
        <v>24.2</v>
      </c>
      <c r="BG89" s="6">
        <v>23.37</v>
      </c>
      <c r="BH89" s="10">
        <v>21.9</v>
      </c>
      <c r="BI89" s="10"/>
    </row>
    <row r="90" spans="1:61" ht="15.75" customHeight="1" x14ac:dyDescent="0.25">
      <c r="A90" s="1">
        <v>89</v>
      </c>
      <c r="B90" s="1"/>
      <c r="C90" s="1">
        <v>29</v>
      </c>
      <c r="D90" s="6">
        <v>21.35</v>
      </c>
      <c r="E90" s="6">
        <v>21.97</v>
      </c>
      <c r="F90" s="6">
        <v>22.02</v>
      </c>
      <c r="G90" s="6"/>
      <c r="H90" s="6"/>
      <c r="I90" s="6"/>
      <c r="J90" s="9">
        <v>21.38</v>
      </c>
      <c r="K90" s="9">
        <v>21.63</v>
      </c>
      <c r="L90" s="9">
        <v>23.76</v>
      </c>
      <c r="M90" s="9">
        <v>22.03</v>
      </c>
      <c r="N90" s="9">
        <v>21.01</v>
      </c>
      <c r="O90" s="9">
        <v>21.23</v>
      </c>
      <c r="P90" s="9">
        <v>21.48</v>
      </c>
      <c r="Q90" s="9">
        <v>24.53</v>
      </c>
      <c r="R90" s="9">
        <v>23.86</v>
      </c>
      <c r="S90" s="9">
        <v>24.19</v>
      </c>
      <c r="T90" s="9">
        <v>24.87</v>
      </c>
      <c r="U90" s="9">
        <v>21.96</v>
      </c>
      <c r="V90" s="9">
        <v>23.27</v>
      </c>
      <c r="W90" s="6">
        <v>23.53</v>
      </c>
      <c r="X90" s="6">
        <v>21.54</v>
      </c>
      <c r="Y90" s="6">
        <v>23.14</v>
      </c>
      <c r="Z90" s="6">
        <v>23.75</v>
      </c>
      <c r="AA90" s="6">
        <v>22.96</v>
      </c>
      <c r="AB90" s="6">
        <v>22.32</v>
      </c>
      <c r="AC90" s="6">
        <v>23.62</v>
      </c>
      <c r="AD90" s="6">
        <v>22.39</v>
      </c>
      <c r="AE90" s="6">
        <v>22.44</v>
      </c>
      <c r="AF90" s="6">
        <v>22.76</v>
      </c>
      <c r="AG90" s="6">
        <v>23.13</v>
      </c>
      <c r="AH90" s="6">
        <v>22.12</v>
      </c>
      <c r="AI90" s="6">
        <v>23.6</v>
      </c>
      <c r="AJ90" s="6">
        <v>22.19</v>
      </c>
      <c r="AK90" s="6">
        <v>21.62</v>
      </c>
      <c r="AL90" s="6">
        <v>22.2</v>
      </c>
      <c r="AM90" s="6">
        <v>21.26</v>
      </c>
      <c r="AN90" s="6">
        <v>21.54</v>
      </c>
      <c r="AO90" s="6">
        <v>21.97</v>
      </c>
      <c r="AP90" s="6">
        <v>22.82</v>
      </c>
      <c r="AQ90" s="6">
        <v>21.28</v>
      </c>
      <c r="AR90" s="6">
        <v>22.36</v>
      </c>
      <c r="AS90" s="6">
        <v>22.98</v>
      </c>
      <c r="AT90" s="6">
        <v>21.5</v>
      </c>
      <c r="AU90" s="6">
        <v>22.76</v>
      </c>
      <c r="AV90" s="6">
        <v>23.59</v>
      </c>
      <c r="AW90" s="6">
        <v>23.2</v>
      </c>
      <c r="AX90" s="6">
        <v>21.8</v>
      </c>
      <c r="AY90" s="6">
        <v>22.65</v>
      </c>
      <c r="AZ90" s="6">
        <v>21.38</v>
      </c>
      <c r="BA90" s="6">
        <v>23.72</v>
      </c>
      <c r="BB90" s="6">
        <v>21.03</v>
      </c>
      <c r="BC90" s="6">
        <v>22.12</v>
      </c>
      <c r="BD90" s="6">
        <v>21.5</v>
      </c>
      <c r="BE90" s="6">
        <v>23.46</v>
      </c>
      <c r="BF90" s="6">
        <v>24.26</v>
      </c>
      <c r="BG90" s="6">
        <v>23.33</v>
      </c>
      <c r="BH90" s="10">
        <v>21.91</v>
      </c>
      <c r="BI90" s="10"/>
    </row>
    <row r="91" spans="1:61" ht="15.75" customHeight="1" x14ac:dyDescent="0.25">
      <c r="A91" s="1">
        <v>90</v>
      </c>
      <c r="B91" s="1"/>
      <c r="C91" s="1">
        <v>30</v>
      </c>
      <c r="D91" s="6">
        <v>21.37</v>
      </c>
      <c r="E91" s="6">
        <v>21.97</v>
      </c>
      <c r="F91" s="6">
        <v>21.97</v>
      </c>
      <c r="G91" s="6"/>
      <c r="H91" s="6"/>
      <c r="I91" s="6"/>
      <c r="J91" s="9">
        <v>21.38</v>
      </c>
      <c r="K91" s="9">
        <v>21.74</v>
      </c>
      <c r="L91" s="9">
        <v>23.8</v>
      </c>
      <c r="M91" s="9">
        <v>22.15</v>
      </c>
      <c r="N91" s="9">
        <v>21.15</v>
      </c>
      <c r="O91" s="9">
        <v>21.29</v>
      </c>
      <c r="P91" s="9">
        <v>21.48</v>
      </c>
      <c r="Q91" s="9">
        <v>24.4</v>
      </c>
      <c r="R91" s="9">
        <v>23.98</v>
      </c>
      <c r="S91" s="9">
        <v>24.06</v>
      </c>
      <c r="T91" s="9">
        <v>24.75</v>
      </c>
      <c r="U91" s="9">
        <v>21.91</v>
      </c>
      <c r="V91" s="9">
        <v>23.2</v>
      </c>
      <c r="W91" s="6">
        <v>23.49</v>
      </c>
      <c r="X91" s="6">
        <v>21.54</v>
      </c>
      <c r="Y91" s="6">
        <v>23.09</v>
      </c>
      <c r="Z91" s="6">
        <v>23.78</v>
      </c>
      <c r="AA91" s="6">
        <v>22.86</v>
      </c>
      <c r="AB91" s="6">
        <v>22.28</v>
      </c>
      <c r="AC91" s="6">
        <v>23.7</v>
      </c>
      <c r="AD91" s="6">
        <v>22.4</v>
      </c>
      <c r="AE91" s="6">
        <v>22.43</v>
      </c>
      <c r="AF91" s="6">
        <v>22.71</v>
      </c>
      <c r="AG91" s="6">
        <v>23.06</v>
      </c>
      <c r="AH91" s="6">
        <v>22.12</v>
      </c>
      <c r="AI91" s="6">
        <v>23.82</v>
      </c>
      <c r="AJ91" s="6">
        <v>22.23</v>
      </c>
      <c r="AK91" s="6">
        <v>21.65</v>
      </c>
      <c r="AL91" s="6">
        <v>22.55</v>
      </c>
      <c r="AM91" s="6">
        <v>21.27</v>
      </c>
      <c r="AN91" s="6">
        <v>21.53</v>
      </c>
      <c r="AO91" s="6">
        <v>21.97</v>
      </c>
      <c r="AP91" s="6">
        <v>22.95</v>
      </c>
      <c r="AQ91" s="6">
        <v>21.34</v>
      </c>
      <c r="AR91" s="6">
        <v>22.24</v>
      </c>
      <c r="AS91" s="6">
        <v>23.06</v>
      </c>
      <c r="AT91" s="6">
        <v>21.58</v>
      </c>
      <c r="AU91" s="6">
        <v>22.8</v>
      </c>
      <c r="AV91" s="6">
        <v>23.7</v>
      </c>
      <c r="AW91" s="6">
        <v>23.28</v>
      </c>
      <c r="AX91" s="6">
        <v>21.78</v>
      </c>
      <c r="AY91" s="6">
        <v>22.71</v>
      </c>
      <c r="AZ91" s="6">
        <v>21.41</v>
      </c>
      <c r="BA91" s="6">
        <v>23.72</v>
      </c>
      <c r="BB91" s="6">
        <v>21.01</v>
      </c>
      <c r="BC91" s="6">
        <v>22.18</v>
      </c>
      <c r="BD91" s="6">
        <v>21.52</v>
      </c>
      <c r="BE91" s="6">
        <v>23.5</v>
      </c>
      <c r="BF91" s="6">
        <v>24.3</v>
      </c>
      <c r="BG91" s="6">
        <v>23.31</v>
      </c>
      <c r="BH91" s="10">
        <v>21.92</v>
      </c>
      <c r="BI91" s="10"/>
    </row>
    <row r="92" spans="1:61" ht="15.75" customHeight="1" x14ac:dyDescent="0.25">
      <c r="A92" s="1">
        <v>91</v>
      </c>
      <c r="B92" s="1"/>
      <c r="C92" s="1">
        <v>31</v>
      </c>
      <c r="D92" s="6">
        <v>21.39</v>
      </c>
      <c r="E92" s="6">
        <v>22.03</v>
      </c>
      <c r="F92" s="6">
        <v>22.04</v>
      </c>
      <c r="G92" s="6"/>
      <c r="H92" s="6"/>
      <c r="I92" s="6"/>
      <c r="J92" s="9">
        <v>21.38</v>
      </c>
      <c r="K92" s="9">
        <v>21.82</v>
      </c>
      <c r="L92" s="9">
        <v>23.85</v>
      </c>
      <c r="M92" s="9">
        <v>22.22</v>
      </c>
      <c r="N92" s="9">
        <v>21.18</v>
      </c>
      <c r="O92" s="9">
        <v>21.35</v>
      </c>
      <c r="P92" s="9">
        <v>21.48</v>
      </c>
      <c r="Q92" s="9">
        <v>24.27</v>
      </c>
      <c r="R92" s="9">
        <v>24.13</v>
      </c>
      <c r="S92" s="9">
        <v>23.98</v>
      </c>
      <c r="T92" s="9">
        <v>24.71</v>
      </c>
      <c r="U92" s="9">
        <v>21.91</v>
      </c>
      <c r="V92" s="9">
        <v>23.14</v>
      </c>
      <c r="W92" s="6">
        <v>23.47</v>
      </c>
      <c r="X92" s="6">
        <v>21.52</v>
      </c>
      <c r="Y92" s="6">
        <v>22.99</v>
      </c>
      <c r="Z92" s="6">
        <v>23.81</v>
      </c>
      <c r="AA92" s="6">
        <v>22.77</v>
      </c>
      <c r="AB92" s="6">
        <v>22.22</v>
      </c>
      <c r="AC92" s="6">
        <v>23.73</v>
      </c>
      <c r="AD92" s="6">
        <v>22.45</v>
      </c>
      <c r="AE92" s="6">
        <v>22.43</v>
      </c>
      <c r="AF92" s="6">
        <v>22.73</v>
      </c>
      <c r="AG92" s="6">
        <v>22.99</v>
      </c>
      <c r="AH92" s="6">
        <v>22.16</v>
      </c>
      <c r="AI92" s="6">
        <v>23.47</v>
      </c>
      <c r="AJ92" s="6">
        <v>22.26</v>
      </c>
      <c r="AK92" s="6">
        <v>21.69</v>
      </c>
      <c r="AL92" s="6">
        <v>22.71</v>
      </c>
      <c r="AM92" s="6">
        <v>21.26</v>
      </c>
      <c r="AN92" s="6">
        <v>21.51</v>
      </c>
      <c r="AO92" s="6">
        <v>21.97</v>
      </c>
      <c r="AP92" s="6">
        <v>23.06</v>
      </c>
      <c r="AQ92" s="6">
        <v>21.39</v>
      </c>
      <c r="AR92" s="6">
        <v>22.14</v>
      </c>
      <c r="AS92" s="6">
        <v>23.15</v>
      </c>
      <c r="AT92" s="6">
        <v>21.64</v>
      </c>
      <c r="AU92" s="6">
        <v>22.85</v>
      </c>
      <c r="AV92" s="6">
        <v>23.82</v>
      </c>
      <c r="AW92" s="6">
        <v>23.36</v>
      </c>
      <c r="AX92" s="6">
        <v>21.76</v>
      </c>
      <c r="AY92" s="6">
        <v>22.73</v>
      </c>
      <c r="AZ92" s="6">
        <v>21.41</v>
      </c>
      <c r="BA92" s="6">
        <v>23.8</v>
      </c>
      <c r="BB92" s="6">
        <v>20.99</v>
      </c>
      <c r="BC92" s="6">
        <v>22.2</v>
      </c>
      <c r="BD92" s="6">
        <v>21.48</v>
      </c>
      <c r="BE92" s="6">
        <v>23.57</v>
      </c>
      <c r="BF92" s="6">
        <v>24.3</v>
      </c>
      <c r="BG92" s="6">
        <v>23.29</v>
      </c>
      <c r="BH92" s="10">
        <v>21.93</v>
      </c>
      <c r="BI92" s="10"/>
    </row>
    <row r="93" spans="1:61" ht="15.75" customHeight="1" x14ac:dyDescent="0.25">
      <c r="A93" s="1">
        <v>92</v>
      </c>
      <c r="B93" s="1" t="s">
        <v>7</v>
      </c>
      <c r="C93" s="1">
        <v>1</v>
      </c>
      <c r="D93" s="6">
        <v>21.4</v>
      </c>
      <c r="E93" s="6">
        <v>21.93</v>
      </c>
      <c r="F93" s="6">
        <v>22.07</v>
      </c>
      <c r="G93" s="6"/>
      <c r="H93" s="6"/>
      <c r="I93" s="6"/>
      <c r="J93" s="9">
        <v>21.38</v>
      </c>
      <c r="K93" s="9">
        <v>21.92</v>
      </c>
      <c r="L93" s="9">
        <v>23.85</v>
      </c>
      <c r="M93" s="9">
        <v>22.2</v>
      </c>
      <c r="N93" s="9">
        <v>21.23</v>
      </c>
      <c r="O93" s="9">
        <v>21.42</v>
      </c>
      <c r="P93" s="9">
        <v>21.51</v>
      </c>
      <c r="Q93" s="9">
        <v>24.21</v>
      </c>
      <c r="R93" s="9">
        <v>24.22</v>
      </c>
      <c r="S93" s="9">
        <v>23.93</v>
      </c>
      <c r="T93" s="9">
        <v>24.69</v>
      </c>
      <c r="U93" s="9">
        <v>21.89</v>
      </c>
      <c r="V93" s="9">
        <v>23.11</v>
      </c>
      <c r="W93" s="6">
        <v>23.46</v>
      </c>
      <c r="X93" s="6">
        <v>21.49</v>
      </c>
      <c r="Y93" s="6">
        <v>23.01</v>
      </c>
      <c r="Z93" s="6">
        <v>23.81</v>
      </c>
      <c r="AA93" s="6">
        <v>22.68</v>
      </c>
      <c r="AB93" s="6">
        <v>22.17</v>
      </c>
      <c r="AC93" s="6">
        <v>23.95</v>
      </c>
      <c r="AD93" s="6">
        <v>22.54</v>
      </c>
      <c r="AE93" s="6">
        <v>22.45</v>
      </c>
      <c r="AF93" s="6">
        <v>22.74</v>
      </c>
      <c r="AG93" s="6">
        <v>22.93</v>
      </c>
      <c r="AH93" s="6">
        <v>22.17</v>
      </c>
      <c r="AI93" s="6">
        <v>23.45</v>
      </c>
      <c r="AJ93" s="6">
        <v>22.32</v>
      </c>
      <c r="AK93" s="6">
        <v>21.7</v>
      </c>
      <c r="AL93" s="6">
        <v>22.9</v>
      </c>
      <c r="AM93" s="6">
        <v>21.26</v>
      </c>
      <c r="AN93" s="6">
        <v>21.5</v>
      </c>
      <c r="AO93" s="6">
        <v>21.95</v>
      </c>
      <c r="AP93" s="6">
        <v>23.23</v>
      </c>
      <c r="AQ93" s="6">
        <v>21.43</v>
      </c>
      <c r="AR93" s="6">
        <v>22.04</v>
      </c>
      <c r="AS93" s="6">
        <v>23.25</v>
      </c>
      <c r="AT93" s="6">
        <v>21.65</v>
      </c>
      <c r="AU93" s="6">
        <v>22.93</v>
      </c>
      <c r="AV93" s="6">
        <v>23.92</v>
      </c>
      <c r="AW93" s="6">
        <v>23.42</v>
      </c>
      <c r="AX93" s="6">
        <v>21.88</v>
      </c>
      <c r="AY93" s="6">
        <v>22.73</v>
      </c>
      <c r="AZ93" s="6">
        <v>21.38</v>
      </c>
      <c r="BA93" s="6">
        <v>24.05</v>
      </c>
      <c r="BB93" s="6">
        <v>20.97</v>
      </c>
      <c r="BC93" s="6">
        <v>22.24</v>
      </c>
      <c r="BD93" s="6">
        <v>21.45</v>
      </c>
      <c r="BE93" s="6">
        <v>23.67</v>
      </c>
      <c r="BF93" s="6">
        <v>24.3</v>
      </c>
      <c r="BG93" s="6">
        <v>23.28</v>
      </c>
      <c r="BH93" s="10">
        <v>21.96</v>
      </c>
      <c r="BI93" s="10"/>
    </row>
    <row r="94" spans="1:61" ht="15.75" customHeight="1" x14ac:dyDescent="0.25">
      <c r="A94" s="1">
        <v>93</v>
      </c>
      <c r="B94" s="1"/>
      <c r="C94" s="1">
        <v>2</v>
      </c>
      <c r="D94" s="6">
        <v>21.38</v>
      </c>
      <c r="E94" s="6">
        <v>21.03</v>
      </c>
      <c r="F94" s="6">
        <v>22.2</v>
      </c>
      <c r="G94" s="6"/>
      <c r="H94" s="6"/>
      <c r="I94" s="6"/>
      <c r="J94" s="9">
        <v>21.43</v>
      </c>
      <c r="K94" s="9">
        <v>21.97</v>
      </c>
      <c r="L94" s="9">
        <v>23.83</v>
      </c>
      <c r="M94" s="9">
        <v>22.19</v>
      </c>
      <c r="N94" s="9">
        <v>21.32</v>
      </c>
      <c r="O94" s="9">
        <v>21.54</v>
      </c>
      <c r="P94" s="9">
        <v>21.54</v>
      </c>
      <c r="Q94" s="9">
        <v>24.14</v>
      </c>
      <c r="R94" s="9">
        <v>24.35</v>
      </c>
      <c r="S94" s="9">
        <v>23.94</v>
      </c>
      <c r="T94" s="9">
        <v>24.69</v>
      </c>
      <c r="U94" s="9">
        <v>21.87</v>
      </c>
      <c r="V94" s="9">
        <v>23.09</v>
      </c>
      <c r="W94" s="6">
        <v>23.41</v>
      </c>
      <c r="X94" s="6">
        <v>21.49</v>
      </c>
      <c r="Y94" s="6">
        <v>22.99</v>
      </c>
      <c r="Z94" s="6">
        <v>23.85</v>
      </c>
      <c r="AA94" s="6">
        <v>22.6</v>
      </c>
      <c r="AB94" s="6">
        <v>22.1</v>
      </c>
      <c r="AC94" s="6">
        <v>24</v>
      </c>
      <c r="AD94" s="6">
        <v>22.68</v>
      </c>
      <c r="AE94" s="6">
        <v>22.47</v>
      </c>
      <c r="AF94" s="6">
        <v>22.77</v>
      </c>
      <c r="AG94" s="6">
        <v>22.87</v>
      </c>
      <c r="AH94" s="6">
        <v>22.2</v>
      </c>
      <c r="AI94" s="6">
        <v>23.49</v>
      </c>
      <c r="AJ94" s="6">
        <v>22.4</v>
      </c>
      <c r="AK94" s="6">
        <v>21.8</v>
      </c>
      <c r="AL94" s="6">
        <v>23</v>
      </c>
      <c r="AM94" s="6">
        <v>21.26</v>
      </c>
      <c r="AN94" s="6">
        <v>21.5</v>
      </c>
      <c r="AO94" s="6">
        <v>21.94</v>
      </c>
      <c r="AP94" s="6">
        <v>23.39</v>
      </c>
      <c r="AQ94" s="6">
        <v>21.51</v>
      </c>
      <c r="AR94" s="6">
        <v>21.97</v>
      </c>
      <c r="AS94" s="6">
        <v>23.32</v>
      </c>
      <c r="AT94" s="6">
        <v>21.65</v>
      </c>
      <c r="AU94" s="6">
        <v>23.08</v>
      </c>
      <c r="AV94" s="6">
        <v>24.1</v>
      </c>
      <c r="AW94" s="6">
        <v>23.48</v>
      </c>
      <c r="AX94" s="6">
        <v>21.98</v>
      </c>
      <c r="AY94" s="6">
        <v>22.73</v>
      </c>
      <c r="AZ94" s="6">
        <v>21.34</v>
      </c>
      <c r="BA94" s="6">
        <v>24.2</v>
      </c>
      <c r="BB94" s="6">
        <v>20.95</v>
      </c>
      <c r="BC94" s="6">
        <v>22.28</v>
      </c>
      <c r="BD94" s="6">
        <v>21.39</v>
      </c>
      <c r="BE94" s="6">
        <v>23.78</v>
      </c>
      <c r="BF94" s="6">
        <v>24.32</v>
      </c>
      <c r="BG94" s="6">
        <v>23.26</v>
      </c>
      <c r="BH94" s="10">
        <v>21.98</v>
      </c>
      <c r="BI94" s="10"/>
    </row>
    <row r="95" spans="1:61" ht="15.75" customHeight="1" x14ac:dyDescent="0.25">
      <c r="A95" s="1">
        <v>94</v>
      </c>
      <c r="B95" s="1"/>
      <c r="C95" s="1">
        <v>3</v>
      </c>
      <c r="D95" s="6">
        <v>21.38</v>
      </c>
      <c r="E95" s="6">
        <v>21.03</v>
      </c>
      <c r="F95" s="6">
        <v>22.35</v>
      </c>
      <c r="G95" s="6"/>
      <c r="H95" s="6"/>
      <c r="I95" s="6"/>
      <c r="J95" s="9">
        <v>21.48</v>
      </c>
      <c r="K95" s="9">
        <v>22.03</v>
      </c>
      <c r="L95" s="9">
        <v>23.78</v>
      </c>
      <c r="M95" s="9">
        <v>22.15</v>
      </c>
      <c r="N95" s="9">
        <v>21.38</v>
      </c>
      <c r="O95" s="9">
        <v>21.66</v>
      </c>
      <c r="P95" s="9">
        <v>21.57</v>
      </c>
      <c r="Q95" s="9">
        <v>24.12</v>
      </c>
      <c r="R95" s="9">
        <v>24.47</v>
      </c>
      <c r="S95" s="9">
        <v>23.98</v>
      </c>
      <c r="T95" s="9">
        <v>24.69</v>
      </c>
      <c r="U95" s="9">
        <v>21.86</v>
      </c>
      <c r="V95" s="9">
        <v>23.07</v>
      </c>
      <c r="W95" s="6">
        <v>23.37</v>
      </c>
      <c r="X95" s="6">
        <v>21.48</v>
      </c>
      <c r="Y95" s="6">
        <v>22.98</v>
      </c>
      <c r="Z95" s="6">
        <v>23.89</v>
      </c>
      <c r="AA95" s="6">
        <v>22.52</v>
      </c>
      <c r="AB95" s="6">
        <v>22.04</v>
      </c>
      <c r="AC95" s="6">
        <v>24.04</v>
      </c>
      <c r="AD95" s="6">
        <v>22.84</v>
      </c>
      <c r="AE95" s="6">
        <v>22.49</v>
      </c>
      <c r="AF95" s="6">
        <v>22.81</v>
      </c>
      <c r="AG95" s="6">
        <v>22.81</v>
      </c>
      <c r="AH95" s="6">
        <v>22.26</v>
      </c>
      <c r="AI95" s="6">
        <v>23.52</v>
      </c>
      <c r="AJ95" s="6">
        <v>22.53</v>
      </c>
      <c r="AK95" s="6">
        <v>21.87</v>
      </c>
      <c r="AL95" s="6">
        <v>23.02</v>
      </c>
      <c r="AM95" s="6">
        <v>21.26</v>
      </c>
      <c r="AN95" s="6">
        <v>21.54</v>
      </c>
      <c r="AO95" s="6">
        <v>21.9</v>
      </c>
      <c r="AP95" s="6">
        <v>23.55</v>
      </c>
      <c r="AQ95" s="6">
        <v>21.61</v>
      </c>
      <c r="AR95" s="6">
        <v>21.85</v>
      </c>
      <c r="AS95" s="6">
        <v>23.41</v>
      </c>
      <c r="AT95" s="6">
        <v>21.58</v>
      </c>
      <c r="AU95" s="6">
        <v>23.24</v>
      </c>
      <c r="AV95" s="6">
        <v>24.24</v>
      </c>
      <c r="AW95" s="6">
        <v>23.54</v>
      </c>
      <c r="AX95" s="6">
        <v>22.05</v>
      </c>
      <c r="AY95" s="6">
        <v>22.69</v>
      </c>
      <c r="AZ95" s="6">
        <v>21.29</v>
      </c>
      <c r="BA95" s="6">
        <v>24.32</v>
      </c>
      <c r="BB95" s="6">
        <v>20.95</v>
      </c>
      <c r="BC95" s="6">
        <v>22.3</v>
      </c>
      <c r="BD95" s="6">
        <v>21.38</v>
      </c>
      <c r="BE95" s="6">
        <v>23.88</v>
      </c>
      <c r="BF95" s="6">
        <v>24.4</v>
      </c>
      <c r="BG95" s="6">
        <v>23.24</v>
      </c>
      <c r="BH95" s="10">
        <v>22.01</v>
      </c>
      <c r="BI95" s="10"/>
    </row>
    <row r="96" spans="1:61" ht="15.75" customHeight="1" x14ac:dyDescent="0.25">
      <c r="A96" s="1">
        <v>95</v>
      </c>
      <c r="B96" s="1"/>
      <c r="C96" s="1">
        <v>4</v>
      </c>
      <c r="D96" s="6">
        <v>21.36</v>
      </c>
      <c r="E96" s="6">
        <v>21.03</v>
      </c>
      <c r="F96" s="6">
        <v>22.45</v>
      </c>
      <c r="G96" s="6"/>
      <c r="H96" s="6"/>
      <c r="I96" s="6"/>
      <c r="J96" s="9">
        <v>21.48</v>
      </c>
      <c r="K96" s="9">
        <v>22.1</v>
      </c>
      <c r="L96" s="9">
        <v>23.75</v>
      </c>
      <c r="M96" s="9">
        <v>22.14</v>
      </c>
      <c r="N96" s="9">
        <v>21.44</v>
      </c>
      <c r="O96" s="9">
        <v>21.88</v>
      </c>
      <c r="P96" s="9">
        <v>21.64</v>
      </c>
      <c r="Q96" s="9">
        <v>24.12</v>
      </c>
      <c r="R96" s="9">
        <v>24.57</v>
      </c>
      <c r="S96" s="9">
        <v>23.98</v>
      </c>
      <c r="T96" s="9">
        <v>24.67</v>
      </c>
      <c r="U96" s="9">
        <v>21.87</v>
      </c>
      <c r="V96" s="9">
        <v>23.06</v>
      </c>
      <c r="W96" s="6">
        <v>23.32</v>
      </c>
      <c r="X96" s="6">
        <v>21.49</v>
      </c>
      <c r="Y96" s="6">
        <v>22.96</v>
      </c>
      <c r="Z96" s="6">
        <v>23.94</v>
      </c>
      <c r="AA96" s="6">
        <v>22.5</v>
      </c>
      <c r="AB96" s="6">
        <v>21.99</v>
      </c>
      <c r="AC96" s="6">
        <v>24.08</v>
      </c>
      <c r="AD96" s="6">
        <v>22.99</v>
      </c>
      <c r="AE96" s="6">
        <v>22.49</v>
      </c>
      <c r="AF96" s="6">
        <v>22.85</v>
      </c>
      <c r="AG96" s="6">
        <v>22.76</v>
      </c>
      <c r="AH96" s="6">
        <v>22.34</v>
      </c>
      <c r="AI96" s="6">
        <v>23.55</v>
      </c>
      <c r="AJ96" s="6">
        <v>22.7</v>
      </c>
      <c r="AK96" s="6">
        <v>21.94</v>
      </c>
      <c r="AL96" s="6">
        <v>23.02</v>
      </c>
      <c r="AM96" s="6">
        <v>21.3</v>
      </c>
      <c r="AN96" s="6">
        <v>21.6</v>
      </c>
      <c r="AO96" s="6">
        <v>21.88</v>
      </c>
      <c r="AP96" s="6">
        <v>23.72</v>
      </c>
      <c r="AQ96" s="6">
        <v>21.73</v>
      </c>
      <c r="AR96" s="6">
        <v>21.78</v>
      </c>
      <c r="AS96" s="6">
        <v>23.49</v>
      </c>
      <c r="AT96" s="6">
        <v>21.49</v>
      </c>
      <c r="AU96" s="6">
        <v>23.33</v>
      </c>
      <c r="AV96" s="6">
        <v>24.39</v>
      </c>
      <c r="AW96" s="6">
        <v>23.57</v>
      </c>
      <c r="AX96" s="6">
        <v>22.11</v>
      </c>
      <c r="AY96" s="6">
        <v>22.63</v>
      </c>
      <c r="AZ96" s="6">
        <v>21.27</v>
      </c>
      <c r="BA96" s="6">
        <v>24.4</v>
      </c>
      <c r="BB96" s="6">
        <v>20.97</v>
      </c>
      <c r="BC96" s="6">
        <v>22.33</v>
      </c>
      <c r="BD96" s="6">
        <v>21.37</v>
      </c>
      <c r="BE96" s="6">
        <v>24.03</v>
      </c>
      <c r="BF96" s="6">
        <v>24.48</v>
      </c>
      <c r="BG96" s="6">
        <v>23.23</v>
      </c>
      <c r="BH96" s="10">
        <v>22.03</v>
      </c>
      <c r="BI96" s="10"/>
    </row>
    <row r="97" spans="1:61" ht="15.75" customHeight="1" x14ac:dyDescent="0.25">
      <c r="A97" s="1">
        <v>96</v>
      </c>
      <c r="B97" s="1"/>
      <c r="C97" s="1">
        <v>5</v>
      </c>
      <c r="D97" s="6">
        <v>21.34</v>
      </c>
      <c r="E97" s="6">
        <v>21.03</v>
      </c>
      <c r="F97" s="6">
        <v>22.62</v>
      </c>
      <c r="G97" s="6"/>
      <c r="H97" s="6"/>
      <c r="I97" s="6"/>
      <c r="J97" s="9">
        <v>21.53</v>
      </c>
      <c r="K97" s="9">
        <v>22.17</v>
      </c>
      <c r="L97" s="9">
        <v>23.72</v>
      </c>
      <c r="M97" s="9">
        <v>22.14</v>
      </c>
      <c r="N97" s="9">
        <v>21.58</v>
      </c>
      <c r="O97" s="9">
        <v>22.04</v>
      </c>
      <c r="P97" s="9">
        <v>21.74</v>
      </c>
      <c r="Q97" s="9">
        <v>24.05</v>
      </c>
      <c r="R97" s="9">
        <v>24.67</v>
      </c>
      <c r="S97" s="9">
        <v>23.96</v>
      </c>
      <c r="T97" s="9">
        <v>24.65</v>
      </c>
      <c r="U97" s="9">
        <v>21.95</v>
      </c>
      <c r="V97" s="9">
        <v>23.07</v>
      </c>
      <c r="W97" s="6">
        <v>23.27</v>
      </c>
      <c r="X97" s="6">
        <v>21.47</v>
      </c>
      <c r="Y97" s="6">
        <v>22.93</v>
      </c>
      <c r="Z97" s="6">
        <v>23.97</v>
      </c>
      <c r="AA97" s="6">
        <v>22.48</v>
      </c>
      <c r="AB97" s="6">
        <v>21.93</v>
      </c>
      <c r="AC97" s="6">
        <v>24.1</v>
      </c>
      <c r="AD97" s="6">
        <v>23.12</v>
      </c>
      <c r="AE97" s="6">
        <v>22.48</v>
      </c>
      <c r="AF97" s="6">
        <v>22.89</v>
      </c>
      <c r="AG97" s="6">
        <v>22.71</v>
      </c>
      <c r="AH97" s="6">
        <v>22.43</v>
      </c>
      <c r="AI97" s="6">
        <v>23.58</v>
      </c>
      <c r="AJ97" s="6">
        <v>22.88</v>
      </c>
      <c r="AK97" s="6">
        <v>21.99</v>
      </c>
      <c r="AL97" s="6">
        <v>23</v>
      </c>
      <c r="AM97" s="6">
        <v>21.36</v>
      </c>
      <c r="AN97" s="6">
        <v>21.65</v>
      </c>
      <c r="AO97" s="6">
        <v>21.87</v>
      </c>
      <c r="AP97" s="6">
        <v>23.88</v>
      </c>
      <c r="AQ97" s="6">
        <v>21.92</v>
      </c>
      <c r="AR97" s="6">
        <v>21.76</v>
      </c>
      <c r="AS97" s="6">
        <v>23.52</v>
      </c>
      <c r="AT97" s="6">
        <v>21.42</v>
      </c>
      <c r="AU97" s="6">
        <v>23.37</v>
      </c>
      <c r="AV97" s="6">
        <v>24.55</v>
      </c>
      <c r="AW97" s="6">
        <v>23.57</v>
      </c>
      <c r="AX97" s="6">
        <v>22.17</v>
      </c>
      <c r="AY97" s="6">
        <v>22.6</v>
      </c>
      <c r="AZ97" s="6">
        <v>21.24</v>
      </c>
      <c r="BA97" s="6">
        <v>24.48</v>
      </c>
      <c r="BB97" s="6">
        <v>21.09</v>
      </c>
      <c r="BC97" s="6">
        <v>22.34</v>
      </c>
      <c r="BD97" s="6">
        <v>21.36</v>
      </c>
      <c r="BE97" s="6">
        <v>24.19</v>
      </c>
      <c r="BF97" s="6">
        <v>24.5</v>
      </c>
      <c r="BG97" s="6">
        <v>23.22</v>
      </c>
      <c r="BH97" s="10">
        <v>22.04</v>
      </c>
      <c r="BI97" s="10"/>
    </row>
    <row r="98" spans="1:61" ht="15.75" customHeight="1" x14ac:dyDescent="0.25">
      <c r="A98" s="1">
        <v>97</v>
      </c>
      <c r="B98" s="1"/>
      <c r="C98" s="1">
        <v>6</v>
      </c>
      <c r="D98" s="6">
        <v>21.34</v>
      </c>
      <c r="E98" s="6">
        <v>21.03</v>
      </c>
      <c r="F98" s="6"/>
      <c r="G98" s="6"/>
      <c r="H98" s="6"/>
      <c r="I98" s="6"/>
      <c r="J98" s="9">
        <v>21.53</v>
      </c>
      <c r="K98" s="9">
        <v>22.29</v>
      </c>
      <c r="L98" s="9">
        <v>23.67</v>
      </c>
      <c r="M98" s="9">
        <v>22.16</v>
      </c>
      <c r="N98" s="9">
        <v>21.84</v>
      </c>
      <c r="O98" s="9">
        <v>22.14</v>
      </c>
      <c r="P98" s="9">
        <v>21.87</v>
      </c>
      <c r="Q98" s="9">
        <v>23.94</v>
      </c>
      <c r="R98" s="9">
        <v>24.75</v>
      </c>
      <c r="S98" s="9">
        <v>23.94</v>
      </c>
      <c r="T98" s="9">
        <v>24.62</v>
      </c>
      <c r="U98" s="9">
        <v>22.09</v>
      </c>
      <c r="V98" s="9">
        <v>23.19</v>
      </c>
      <c r="W98" s="6">
        <v>23.15</v>
      </c>
      <c r="X98" s="6">
        <v>21.47</v>
      </c>
      <c r="Y98" s="6">
        <v>22.91</v>
      </c>
      <c r="Z98" s="6">
        <v>23.98</v>
      </c>
      <c r="AA98" s="6">
        <v>22.4</v>
      </c>
      <c r="AB98" s="6">
        <v>21.9</v>
      </c>
      <c r="AC98" s="6">
        <v>24.05</v>
      </c>
      <c r="AD98" s="6">
        <v>23.23</v>
      </c>
      <c r="AE98" s="6">
        <v>22.44</v>
      </c>
      <c r="AF98" s="6">
        <v>22.92</v>
      </c>
      <c r="AG98" s="6">
        <v>22.65</v>
      </c>
      <c r="AH98" s="6">
        <v>22.5</v>
      </c>
      <c r="AI98" s="6">
        <v>23.63</v>
      </c>
      <c r="AJ98" s="6">
        <v>22.97</v>
      </c>
      <c r="AK98" s="6">
        <v>21.99</v>
      </c>
      <c r="AL98" s="6">
        <v>22.97</v>
      </c>
      <c r="AM98" s="6">
        <v>21.44</v>
      </c>
      <c r="AN98" s="6">
        <v>21.72</v>
      </c>
      <c r="AO98" s="6">
        <v>21.88</v>
      </c>
      <c r="AP98" s="6">
        <v>23.99</v>
      </c>
      <c r="AQ98" s="6">
        <v>22.12</v>
      </c>
      <c r="AR98" s="6">
        <v>21.7</v>
      </c>
      <c r="AS98" s="6">
        <v>23.52</v>
      </c>
      <c r="AT98" s="6">
        <v>21.35</v>
      </c>
      <c r="AU98" s="6">
        <v>23.38</v>
      </c>
      <c r="AV98" s="6">
        <v>24.47</v>
      </c>
      <c r="AW98" s="6">
        <v>23.57</v>
      </c>
      <c r="AX98" s="6">
        <v>22.23</v>
      </c>
      <c r="AY98" s="6">
        <v>22.57</v>
      </c>
      <c r="AZ98" s="6">
        <v>21.28</v>
      </c>
      <c r="BA98" s="6">
        <v>24.58</v>
      </c>
      <c r="BB98" s="6">
        <v>21.19</v>
      </c>
      <c r="BC98" s="6">
        <v>22.35</v>
      </c>
      <c r="BD98" s="6">
        <v>21.35</v>
      </c>
      <c r="BE98" s="6">
        <v>24.35</v>
      </c>
      <c r="BF98" s="6">
        <v>24.54</v>
      </c>
      <c r="BG98" s="6">
        <v>23.19</v>
      </c>
      <c r="BH98" s="10">
        <v>22.06</v>
      </c>
      <c r="BI98" s="10"/>
    </row>
    <row r="99" spans="1:61" ht="15.75" customHeight="1" x14ac:dyDescent="0.25">
      <c r="A99" s="1">
        <v>98</v>
      </c>
      <c r="B99" s="1"/>
      <c r="C99" s="1">
        <v>7</v>
      </c>
      <c r="D99" s="6">
        <v>21.35</v>
      </c>
      <c r="E99" s="6">
        <v>22.02</v>
      </c>
      <c r="F99" s="6"/>
      <c r="G99" s="6"/>
      <c r="H99" s="6"/>
      <c r="I99" s="6"/>
      <c r="J99" s="9">
        <v>21.58</v>
      </c>
      <c r="K99" s="9">
        <v>22.4</v>
      </c>
      <c r="L99" s="9">
        <v>23.67</v>
      </c>
      <c r="M99" s="9">
        <v>22.19</v>
      </c>
      <c r="N99" s="9">
        <v>22.02</v>
      </c>
      <c r="O99" s="9">
        <v>22.18</v>
      </c>
      <c r="P99" s="9">
        <v>22.05</v>
      </c>
      <c r="Q99" s="9">
        <v>23.86</v>
      </c>
      <c r="R99" s="9">
        <v>24.9</v>
      </c>
      <c r="S99" s="9">
        <v>23.93</v>
      </c>
      <c r="T99" s="9">
        <v>24.62</v>
      </c>
      <c r="U99" s="9">
        <v>22.24</v>
      </c>
      <c r="V99" s="9">
        <v>23.2</v>
      </c>
      <c r="W99" s="6">
        <v>23.08</v>
      </c>
      <c r="X99" s="6">
        <v>21.49</v>
      </c>
      <c r="Y99" s="6">
        <v>22.91</v>
      </c>
      <c r="Z99" s="6">
        <v>23.97</v>
      </c>
      <c r="AA99" s="6">
        <v>22.38</v>
      </c>
      <c r="AB99" s="6">
        <v>21.87</v>
      </c>
      <c r="AC99" s="6">
        <v>24.05</v>
      </c>
      <c r="AD99" s="6">
        <v>23.36</v>
      </c>
      <c r="AE99" s="6">
        <v>22.4</v>
      </c>
      <c r="AF99" s="6">
        <v>22.92</v>
      </c>
      <c r="AG99" s="6">
        <v>22.6</v>
      </c>
      <c r="AH99" s="6">
        <v>22.56</v>
      </c>
      <c r="AI99" s="6">
        <v>23.81</v>
      </c>
      <c r="AJ99" s="6">
        <v>22.98</v>
      </c>
      <c r="AK99" s="6">
        <v>21.98</v>
      </c>
      <c r="AL99" s="6">
        <v>22.99</v>
      </c>
      <c r="AM99" s="6">
        <v>21.53</v>
      </c>
      <c r="AN99" s="6">
        <v>21.8</v>
      </c>
      <c r="AO99" s="6">
        <v>21.86</v>
      </c>
      <c r="AP99" s="6">
        <v>24.06</v>
      </c>
      <c r="AQ99" s="6">
        <v>22.33</v>
      </c>
      <c r="AR99" s="6">
        <v>21.64</v>
      </c>
      <c r="AS99" s="6">
        <v>23.52</v>
      </c>
      <c r="AT99" s="6">
        <v>21.32</v>
      </c>
      <c r="AU99" s="6">
        <v>23.35</v>
      </c>
      <c r="AV99" s="6">
        <v>24.97</v>
      </c>
      <c r="AW99" s="6">
        <v>23.5</v>
      </c>
      <c r="AX99" s="6">
        <v>22.28</v>
      </c>
      <c r="AY99" s="6">
        <v>22.52</v>
      </c>
      <c r="AZ99" s="6">
        <v>21.34</v>
      </c>
      <c r="BA99" s="6">
        <v>24.68</v>
      </c>
      <c r="BB99" s="6">
        <v>21.43</v>
      </c>
      <c r="BC99" s="6">
        <v>22.36</v>
      </c>
      <c r="BD99" s="6">
        <v>21.34</v>
      </c>
      <c r="BE99" s="6">
        <v>24.45</v>
      </c>
      <c r="BF99" s="6">
        <v>24.56</v>
      </c>
      <c r="BG99" s="6">
        <v>23.14</v>
      </c>
      <c r="BH99" s="10">
        <v>22.08</v>
      </c>
      <c r="BI99" s="10"/>
    </row>
    <row r="100" spans="1:61" ht="15.75" customHeight="1" x14ac:dyDescent="0.25">
      <c r="A100" s="1">
        <v>99</v>
      </c>
      <c r="B100" s="1"/>
      <c r="C100" s="1">
        <v>8</v>
      </c>
      <c r="D100" s="6">
        <v>21.37</v>
      </c>
      <c r="E100" s="6">
        <v>22.11</v>
      </c>
      <c r="F100" s="6"/>
      <c r="G100" s="6"/>
      <c r="H100" s="6"/>
      <c r="I100" s="6"/>
      <c r="J100" s="9">
        <v>21.58</v>
      </c>
      <c r="K100" s="9">
        <v>22.51</v>
      </c>
      <c r="L100" s="9">
        <v>23.73</v>
      </c>
      <c r="M100" s="9">
        <v>22.2</v>
      </c>
      <c r="N100" s="9">
        <v>22.3</v>
      </c>
      <c r="O100" s="9">
        <v>22.18</v>
      </c>
      <c r="P100" s="9">
        <v>22.24</v>
      </c>
      <c r="Q100" s="9">
        <v>23.85</v>
      </c>
      <c r="R100" s="9">
        <v>25.14</v>
      </c>
      <c r="S100" s="9">
        <v>23.92</v>
      </c>
      <c r="T100" s="9">
        <v>24.59</v>
      </c>
      <c r="U100" s="9">
        <v>22.32</v>
      </c>
      <c r="V100" s="9">
        <v>23.25</v>
      </c>
      <c r="W100" s="6">
        <v>23.07</v>
      </c>
      <c r="X100" s="6">
        <v>21.54</v>
      </c>
      <c r="Y100" s="6">
        <v>22.91</v>
      </c>
      <c r="Z100" s="6">
        <v>23.94</v>
      </c>
      <c r="AA100" s="6">
        <v>22.34</v>
      </c>
      <c r="AB100" s="6">
        <v>21.85</v>
      </c>
      <c r="AC100" s="6">
        <v>24.02</v>
      </c>
      <c r="AD100" s="6">
        <v>23.47</v>
      </c>
      <c r="AE100" s="6">
        <v>22.38</v>
      </c>
      <c r="AF100" s="6">
        <v>22.94</v>
      </c>
      <c r="AG100" s="6">
        <v>22.55</v>
      </c>
      <c r="AH100" s="6">
        <v>22.6</v>
      </c>
      <c r="AI100" s="6">
        <v>24</v>
      </c>
      <c r="AJ100" s="6">
        <v>22.98</v>
      </c>
      <c r="AK100" s="6">
        <v>21.94</v>
      </c>
      <c r="AL100" s="6">
        <v>23.06</v>
      </c>
      <c r="AM100" s="6">
        <v>21.6</v>
      </c>
      <c r="AN100" s="6">
        <v>21.88</v>
      </c>
      <c r="AO100" s="6">
        <v>21.87</v>
      </c>
      <c r="AP100" s="6">
        <v>24.06</v>
      </c>
      <c r="AQ100" s="6">
        <v>22.6</v>
      </c>
      <c r="AR100" s="6">
        <v>21.6</v>
      </c>
      <c r="AS100" s="6">
        <v>23.5</v>
      </c>
      <c r="AT100" s="6">
        <v>21.4</v>
      </c>
      <c r="AU100" s="6">
        <v>23.28</v>
      </c>
      <c r="AV100" s="6">
        <v>25.23</v>
      </c>
      <c r="AW100" s="6">
        <v>23.47</v>
      </c>
      <c r="AX100" s="6">
        <v>22.34</v>
      </c>
      <c r="AY100" s="6">
        <v>22.52</v>
      </c>
      <c r="AZ100" s="6">
        <v>21.4</v>
      </c>
      <c r="BA100" s="6">
        <v>24.69</v>
      </c>
      <c r="BB100" s="6">
        <v>21.61</v>
      </c>
      <c r="BC100" s="6">
        <v>22.37</v>
      </c>
      <c r="BD100" s="6">
        <v>21.35</v>
      </c>
      <c r="BE100" s="6">
        <v>24.55</v>
      </c>
      <c r="BF100" s="6">
        <v>24.56</v>
      </c>
      <c r="BG100" s="6">
        <v>23.17</v>
      </c>
      <c r="BH100" s="10">
        <v>22.12</v>
      </c>
      <c r="BI100" s="10"/>
    </row>
    <row r="101" spans="1:61" ht="15.75" customHeight="1" x14ac:dyDescent="0.25">
      <c r="A101" s="1">
        <v>100</v>
      </c>
      <c r="B101" s="1"/>
      <c r="C101" s="1">
        <v>9</v>
      </c>
      <c r="D101" s="6">
        <v>21.45</v>
      </c>
      <c r="E101" s="6">
        <v>22.12</v>
      </c>
      <c r="F101" s="6"/>
      <c r="G101" s="6"/>
      <c r="H101" s="6"/>
      <c r="I101" s="6"/>
      <c r="J101" s="9">
        <v>21.63</v>
      </c>
      <c r="K101" s="9">
        <v>22.51</v>
      </c>
      <c r="L101" s="9">
        <v>23.82</v>
      </c>
      <c r="M101" s="9">
        <v>22.2</v>
      </c>
      <c r="N101" s="9">
        <v>22.52</v>
      </c>
      <c r="O101" s="9">
        <v>22.15</v>
      </c>
      <c r="P101" s="9">
        <v>22.4</v>
      </c>
      <c r="Q101" s="9">
        <v>23.82</v>
      </c>
      <c r="R101" s="9">
        <v>25.35</v>
      </c>
      <c r="S101" s="9">
        <v>23.88</v>
      </c>
      <c r="T101" s="9">
        <v>24.6</v>
      </c>
      <c r="U101" s="9">
        <v>22.32</v>
      </c>
      <c r="V101" s="9">
        <v>23.31</v>
      </c>
      <c r="W101" s="6">
        <v>23.07</v>
      </c>
      <c r="X101" s="6">
        <v>21.6</v>
      </c>
      <c r="Y101" s="6">
        <v>22.93</v>
      </c>
      <c r="Z101" s="6">
        <v>23.89</v>
      </c>
      <c r="AA101" s="6">
        <v>22.3</v>
      </c>
      <c r="AB101" s="6">
        <v>21.83</v>
      </c>
      <c r="AC101" s="6">
        <v>24</v>
      </c>
      <c r="AD101" s="6">
        <v>23.54</v>
      </c>
      <c r="AE101" s="6">
        <v>22.28</v>
      </c>
      <c r="AF101" s="6">
        <v>22.98</v>
      </c>
      <c r="AG101" s="6">
        <v>22.53</v>
      </c>
      <c r="AH101" s="6">
        <v>22.66</v>
      </c>
      <c r="AI101" s="6">
        <v>24.17</v>
      </c>
      <c r="AJ101" s="6">
        <v>22.95</v>
      </c>
      <c r="AK101" s="6">
        <v>21.95</v>
      </c>
      <c r="AL101" s="6">
        <v>23.19</v>
      </c>
      <c r="AM101" s="6">
        <v>21.68</v>
      </c>
      <c r="AN101" s="6">
        <v>21.98</v>
      </c>
      <c r="AO101" s="6">
        <v>21.9</v>
      </c>
      <c r="AP101" s="6">
        <v>24.06</v>
      </c>
      <c r="AQ101" s="6">
        <v>22.89</v>
      </c>
      <c r="AR101" s="6">
        <v>21.52</v>
      </c>
      <c r="AS101" s="6">
        <v>23.46</v>
      </c>
      <c r="AT101" s="6">
        <v>21.51</v>
      </c>
      <c r="AU101" s="6">
        <v>23.23</v>
      </c>
      <c r="AV101" s="6">
        <v>25.47</v>
      </c>
      <c r="AW101" s="6">
        <v>23.42</v>
      </c>
      <c r="AX101" s="6">
        <v>22.28</v>
      </c>
      <c r="AY101" s="6">
        <v>22.58</v>
      </c>
      <c r="AZ101" s="6">
        <v>21.5</v>
      </c>
      <c r="BA101" s="6">
        <v>24.6</v>
      </c>
      <c r="BB101" s="6">
        <v>21.81</v>
      </c>
      <c r="BC101" s="6">
        <v>22.38</v>
      </c>
      <c r="BD101" s="6">
        <v>21.36</v>
      </c>
      <c r="BE101" s="6">
        <v>24.67</v>
      </c>
      <c r="BF101" s="6">
        <v>24.56</v>
      </c>
      <c r="BG101" s="6">
        <v>23.2</v>
      </c>
      <c r="BH101" s="10">
        <v>22.16</v>
      </c>
      <c r="BI101" s="10"/>
    </row>
    <row r="102" spans="1:61" ht="15.75" customHeight="1" x14ac:dyDescent="0.25">
      <c r="A102" s="1">
        <v>101</v>
      </c>
      <c r="B102" s="1"/>
      <c r="C102" s="1">
        <v>10</v>
      </c>
      <c r="D102" s="6">
        <v>21.57</v>
      </c>
      <c r="E102" s="6">
        <v>22.15</v>
      </c>
      <c r="F102" s="6"/>
      <c r="G102" s="6"/>
      <c r="H102" s="6"/>
      <c r="I102" s="6"/>
      <c r="J102" s="9">
        <v>21.63</v>
      </c>
      <c r="K102" s="9">
        <v>22.51</v>
      </c>
      <c r="L102" s="9">
        <v>23.92</v>
      </c>
      <c r="M102" s="9">
        <v>22.17</v>
      </c>
      <c r="N102" s="9">
        <v>22.74</v>
      </c>
      <c r="O102" s="9">
        <v>22.06</v>
      </c>
      <c r="P102" s="9">
        <v>22.56</v>
      </c>
      <c r="Q102" s="9">
        <v>23.79</v>
      </c>
      <c r="R102" s="9">
        <v>25.58</v>
      </c>
      <c r="S102" s="9">
        <v>23.85</v>
      </c>
      <c r="T102" s="9">
        <v>24.63</v>
      </c>
      <c r="U102" s="9">
        <v>22.36</v>
      </c>
      <c r="V102" s="9">
        <v>23.37</v>
      </c>
      <c r="W102" s="6">
        <v>23.07</v>
      </c>
      <c r="X102" s="6">
        <v>21.66</v>
      </c>
      <c r="Y102" s="6">
        <v>22.95</v>
      </c>
      <c r="Z102" s="6">
        <v>23.88</v>
      </c>
      <c r="AA102" s="6">
        <v>22.3</v>
      </c>
      <c r="AB102" s="6">
        <v>21.83</v>
      </c>
      <c r="AC102" s="6">
        <v>23.97</v>
      </c>
      <c r="AD102" s="6">
        <v>23.64</v>
      </c>
      <c r="AE102" s="6">
        <v>22.23</v>
      </c>
      <c r="AF102" s="6">
        <v>23.03</v>
      </c>
      <c r="AG102" s="6">
        <v>22.51</v>
      </c>
      <c r="AH102" s="6">
        <v>22.8</v>
      </c>
      <c r="AI102" s="6">
        <v>24.31</v>
      </c>
      <c r="AJ102" s="6">
        <v>22.88</v>
      </c>
      <c r="AK102" s="6">
        <v>21.98</v>
      </c>
      <c r="AL102" s="6">
        <v>23.42</v>
      </c>
      <c r="AM102" s="6">
        <v>21.72</v>
      </c>
      <c r="AN102" s="6">
        <v>22.1</v>
      </c>
      <c r="AO102" s="6">
        <v>21.9</v>
      </c>
      <c r="AP102" s="6">
        <v>23.98</v>
      </c>
      <c r="AQ102" s="6">
        <v>23.1</v>
      </c>
      <c r="AR102" s="6">
        <v>21.46</v>
      </c>
      <c r="AS102" s="6">
        <v>23.41</v>
      </c>
      <c r="AT102" s="6">
        <v>21.72</v>
      </c>
      <c r="AU102" s="6">
        <v>23.18</v>
      </c>
      <c r="AV102" s="6">
        <v>25.64</v>
      </c>
      <c r="AW102" s="6">
        <v>23.4</v>
      </c>
      <c r="AX102" s="6">
        <v>22.28</v>
      </c>
      <c r="AY102" s="6">
        <v>22.62</v>
      </c>
      <c r="AZ102" s="6">
        <v>21.68</v>
      </c>
      <c r="BA102" s="6">
        <v>24.55</v>
      </c>
      <c r="BB102" s="6">
        <v>21.96</v>
      </c>
      <c r="BC102" s="6">
        <v>22.4</v>
      </c>
      <c r="BD102" s="6">
        <v>21.36</v>
      </c>
      <c r="BE102" s="6">
        <v>24.75</v>
      </c>
      <c r="BF102" s="6">
        <v>24.56</v>
      </c>
      <c r="BG102" s="6">
        <v>23.23</v>
      </c>
      <c r="BH102" s="10">
        <v>22.2</v>
      </c>
      <c r="BI102" s="10"/>
    </row>
    <row r="103" spans="1:61" ht="15.75" customHeight="1" x14ac:dyDescent="0.25">
      <c r="A103" s="1">
        <v>102</v>
      </c>
      <c r="B103" s="1"/>
      <c r="C103" s="1">
        <v>11</v>
      </c>
      <c r="D103" s="6">
        <v>21.7</v>
      </c>
      <c r="E103" s="6">
        <v>22.2</v>
      </c>
      <c r="F103" s="6"/>
      <c r="G103" s="6"/>
      <c r="H103" s="6"/>
      <c r="I103" s="6"/>
      <c r="J103" s="9">
        <v>21.68</v>
      </c>
      <c r="K103" s="9">
        <v>22.5</v>
      </c>
      <c r="L103" s="9">
        <v>24.04</v>
      </c>
      <c r="M103" s="9">
        <v>22.13</v>
      </c>
      <c r="N103" s="9">
        <v>22.85</v>
      </c>
      <c r="O103" s="9">
        <v>22.02</v>
      </c>
      <c r="P103" s="9">
        <v>22.68</v>
      </c>
      <c r="Q103" s="9">
        <v>23.8</v>
      </c>
      <c r="R103" s="9">
        <v>25.75</v>
      </c>
      <c r="S103" s="9">
        <v>23.84</v>
      </c>
      <c r="T103" s="9">
        <v>24.63</v>
      </c>
      <c r="U103" s="9">
        <v>22.4</v>
      </c>
      <c r="V103" s="9">
        <v>23.42</v>
      </c>
      <c r="W103" s="6">
        <v>23.11</v>
      </c>
      <c r="X103" s="6">
        <v>21.73</v>
      </c>
      <c r="Y103" s="6">
        <v>22.96</v>
      </c>
      <c r="Z103" s="6">
        <v>23.89</v>
      </c>
      <c r="AA103" s="6">
        <v>22.3</v>
      </c>
      <c r="AB103" s="6">
        <v>21.85</v>
      </c>
      <c r="AC103" s="6">
        <v>23.94</v>
      </c>
      <c r="AD103" s="6">
        <v>23.74</v>
      </c>
      <c r="AE103" s="6">
        <v>22.19</v>
      </c>
      <c r="AF103" s="6">
        <v>23.1</v>
      </c>
      <c r="AG103" s="6">
        <v>22.48</v>
      </c>
      <c r="AH103" s="6">
        <v>23.07</v>
      </c>
      <c r="AI103" s="6">
        <v>24.47</v>
      </c>
      <c r="AJ103" s="6">
        <v>22.85</v>
      </c>
      <c r="AK103" s="6">
        <v>22.01</v>
      </c>
      <c r="AL103" s="6">
        <v>23.7</v>
      </c>
      <c r="AM103" s="6">
        <v>21.75</v>
      </c>
      <c r="AN103" s="6">
        <v>22.2</v>
      </c>
      <c r="AO103" s="6">
        <v>21.96</v>
      </c>
      <c r="AP103" s="6">
        <v>23.95</v>
      </c>
      <c r="AQ103" s="6">
        <v>23.34</v>
      </c>
      <c r="AR103" s="6">
        <v>21.42</v>
      </c>
      <c r="AS103" s="6">
        <v>23.4</v>
      </c>
      <c r="AT103" s="6">
        <v>21.93</v>
      </c>
      <c r="AU103" s="6">
        <v>23.17</v>
      </c>
      <c r="AV103" s="6">
        <v>25.83</v>
      </c>
      <c r="AW103" s="6">
        <v>23.36</v>
      </c>
      <c r="AX103" s="6">
        <v>22.3</v>
      </c>
      <c r="AY103" s="6">
        <v>22.7</v>
      </c>
      <c r="AZ103" s="6">
        <v>21.91</v>
      </c>
      <c r="BA103" s="6">
        <v>24.48</v>
      </c>
      <c r="BB103" s="6">
        <v>22.16</v>
      </c>
      <c r="BC103" s="6">
        <v>22.43</v>
      </c>
      <c r="BD103" s="6">
        <v>21.37</v>
      </c>
      <c r="BE103" s="6">
        <v>24.85</v>
      </c>
      <c r="BF103" s="6">
        <v>24.54</v>
      </c>
      <c r="BG103" s="6">
        <v>23.28</v>
      </c>
      <c r="BH103" s="10">
        <v>22.28</v>
      </c>
      <c r="BI103" s="10"/>
    </row>
    <row r="104" spans="1:61" ht="15.75" customHeight="1" x14ac:dyDescent="0.25">
      <c r="A104" s="1">
        <v>103</v>
      </c>
      <c r="B104" s="1"/>
      <c r="C104" s="1">
        <v>12</v>
      </c>
      <c r="D104" s="6">
        <v>21.93</v>
      </c>
      <c r="E104" s="6">
        <v>22.2</v>
      </c>
      <c r="F104" s="6"/>
      <c r="G104" s="6"/>
      <c r="H104" s="6"/>
      <c r="I104" s="6"/>
      <c r="J104" s="9">
        <v>21.73</v>
      </c>
      <c r="K104" s="9">
        <v>22.5</v>
      </c>
      <c r="L104" s="9">
        <v>24.14</v>
      </c>
      <c r="M104" s="9">
        <v>22.08</v>
      </c>
      <c r="N104" s="9">
        <v>23.1</v>
      </c>
      <c r="O104" s="9">
        <v>22.02</v>
      </c>
      <c r="P104" s="9">
        <v>22.67</v>
      </c>
      <c r="Q104" s="9">
        <v>23.86</v>
      </c>
      <c r="R104" s="9">
        <v>25.99</v>
      </c>
      <c r="S104" s="9">
        <v>23.88</v>
      </c>
      <c r="T104" s="9">
        <v>24.63</v>
      </c>
      <c r="U104" s="9">
        <v>22.44</v>
      </c>
      <c r="V104" s="9">
        <v>23.49</v>
      </c>
      <c r="W104" s="6">
        <v>23.15</v>
      </c>
      <c r="X104" s="6">
        <v>21.81</v>
      </c>
      <c r="Y104" s="6">
        <v>22.99</v>
      </c>
      <c r="Z104" s="6">
        <v>23.99</v>
      </c>
      <c r="AA104" s="6">
        <v>22.33</v>
      </c>
      <c r="AB104" s="6">
        <v>21.87</v>
      </c>
      <c r="AC104" s="6">
        <v>23.99</v>
      </c>
      <c r="AD104" s="6">
        <v>23.82</v>
      </c>
      <c r="AE104" s="6">
        <v>22.14</v>
      </c>
      <c r="AF104" s="6">
        <v>23.18</v>
      </c>
      <c r="AG104" s="6">
        <v>22.48</v>
      </c>
      <c r="AH104" s="6">
        <v>23.37</v>
      </c>
      <c r="AI104" s="6">
        <v>24.64</v>
      </c>
      <c r="AJ104" s="6">
        <v>22.83</v>
      </c>
      <c r="AK104" s="6">
        <v>22.03</v>
      </c>
      <c r="AL104" s="6">
        <v>23.92</v>
      </c>
      <c r="AM104" s="6">
        <v>21.8</v>
      </c>
      <c r="AN104" s="6">
        <v>22.33</v>
      </c>
      <c r="AO104" s="6">
        <v>22.13</v>
      </c>
      <c r="AP104" s="6">
        <v>23.88</v>
      </c>
      <c r="AQ104" s="6">
        <v>23.52</v>
      </c>
      <c r="AR104" s="6">
        <v>21.44</v>
      </c>
      <c r="AS104" s="6">
        <v>23.39</v>
      </c>
      <c r="AT104" s="6">
        <v>22.08</v>
      </c>
      <c r="AU104" s="6">
        <v>23.2</v>
      </c>
      <c r="AV104" s="6">
        <v>25.99</v>
      </c>
      <c r="AW104" s="6">
        <v>23.3</v>
      </c>
      <c r="AX104" s="6">
        <v>22.32</v>
      </c>
      <c r="AY104" s="6">
        <v>22.78</v>
      </c>
      <c r="AZ104" s="6">
        <v>22.19</v>
      </c>
      <c r="BA104" s="6">
        <v>24.37</v>
      </c>
      <c r="BB104" s="6">
        <v>22.26</v>
      </c>
      <c r="BC104" s="6">
        <v>22.45</v>
      </c>
      <c r="BD104" s="6">
        <v>21.4</v>
      </c>
      <c r="BE104" s="6">
        <v>24.94</v>
      </c>
      <c r="BF104" s="6">
        <v>24.52</v>
      </c>
      <c r="BG104" s="6">
        <v>23.37</v>
      </c>
      <c r="BH104" s="10">
        <v>22.37</v>
      </c>
      <c r="BI104" s="10"/>
    </row>
    <row r="105" spans="1:61" ht="15.75" customHeight="1" x14ac:dyDescent="0.25">
      <c r="A105" s="1">
        <v>104</v>
      </c>
      <c r="B105" s="1"/>
      <c r="C105" s="1">
        <v>13</v>
      </c>
      <c r="D105" s="6">
        <v>22.15</v>
      </c>
      <c r="E105" s="6">
        <v>22.2</v>
      </c>
      <c r="F105" s="6"/>
      <c r="G105" s="6"/>
      <c r="H105" s="6"/>
      <c r="I105" s="6"/>
      <c r="J105" s="9">
        <v>21.78</v>
      </c>
      <c r="K105" s="9">
        <v>22.5</v>
      </c>
      <c r="L105" s="9">
        <v>24.28</v>
      </c>
      <c r="M105" s="9">
        <v>22.08</v>
      </c>
      <c r="N105" s="9">
        <v>23.3</v>
      </c>
      <c r="O105" s="9">
        <v>22.08</v>
      </c>
      <c r="P105" s="9">
        <v>22.63</v>
      </c>
      <c r="Q105" s="9">
        <v>23.94</v>
      </c>
      <c r="R105" s="9">
        <v>26.29</v>
      </c>
      <c r="S105" s="9">
        <v>23.94</v>
      </c>
      <c r="T105" s="9">
        <v>24.63</v>
      </c>
      <c r="U105" s="9">
        <v>22.48</v>
      </c>
      <c r="V105" s="9">
        <v>23.54</v>
      </c>
      <c r="W105" s="6">
        <v>23.23</v>
      </c>
      <c r="X105" s="6">
        <v>21.93</v>
      </c>
      <c r="Y105" s="6">
        <v>23.05</v>
      </c>
      <c r="Z105" s="6">
        <v>24.12</v>
      </c>
      <c r="AA105" s="6">
        <v>22.34</v>
      </c>
      <c r="AB105" s="6">
        <v>21.9</v>
      </c>
      <c r="AC105" s="6">
        <v>24.05</v>
      </c>
      <c r="AD105" s="6">
        <v>23.92</v>
      </c>
      <c r="AE105" s="6">
        <v>22.1</v>
      </c>
      <c r="AF105" s="6">
        <v>23.24</v>
      </c>
      <c r="AG105" s="6">
        <v>22.53</v>
      </c>
      <c r="AH105" s="6">
        <v>23.6</v>
      </c>
      <c r="AI105" s="6">
        <v>24.88</v>
      </c>
      <c r="AJ105" s="6">
        <v>22.88</v>
      </c>
      <c r="AK105" s="6">
        <v>22.04</v>
      </c>
      <c r="AL105" s="6">
        <v>23.99</v>
      </c>
      <c r="AM105" s="6">
        <v>21.8</v>
      </c>
      <c r="AN105" s="6">
        <v>22.46</v>
      </c>
      <c r="AO105" s="6">
        <v>22.37</v>
      </c>
      <c r="AP105" s="6">
        <v>23.88</v>
      </c>
      <c r="AQ105" s="6">
        <v>23.72</v>
      </c>
      <c r="AR105" s="6">
        <v>21.46</v>
      </c>
      <c r="AS105" s="6">
        <v>23.39</v>
      </c>
      <c r="AT105" s="6">
        <v>22.23</v>
      </c>
      <c r="AU105" s="6">
        <v>23.19</v>
      </c>
      <c r="AV105" s="6">
        <v>26.19</v>
      </c>
      <c r="AW105" s="6">
        <v>23.25</v>
      </c>
      <c r="AX105" s="6">
        <v>22.48</v>
      </c>
      <c r="AY105" s="6">
        <v>22.83</v>
      </c>
      <c r="AZ105" s="6">
        <v>22.48</v>
      </c>
      <c r="BA105" s="6">
        <v>24.3</v>
      </c>
      <c r="BB105" s="6">
        <v>22.4</v>
      </c>
      <c r="BC105" s="6">
        <v>22.44</v>
      </c>
      <c r="BD105" s="6">
        <v>21.41</v>
      </c>
      <c r="BE105" s="6">
        <v>25.1</v>
      </c>
      <c r="BF105" s="6">
        <v>24.48</v>
      </c>
      <c r="BG105" s="6">
        <v>23.48</v>
      </c>
      <c r="BH105" s="10">
        <v>22.48</v>
      </c>
      <c r="BI105" s="10"/>
    </row>
    <row r="106" spans="1:61" ht="15.75" customHeight="1" x14ac:dyDescent="0.25">
      <c r="A106" s="1">
        <v>105</v>
      </c>
      <c r="B106" s="1"/>
      <c r="C106" s="1">
        <v>14</v>
      </c>
      <c r="D106" s="6">
        <v>22.36</v>
      </c>
      <c r="E106" s="6">
        <v>22.25</v>
      </c>
      <c r="F106" s="6"/>
      <c r="G106" s="6"/>
      <c r="H106" s="6"/>
      <c r="I106" s="6"/>
      <c r="J106" s="9">
        <v>21.83</v>
      </c>
      <c r="K106" s="9">
        <v>22.48</v>
      </c>
      <c r="L106" s="9">
        <v>24.41</v>
      </c>
      <c r="M106" s="9">
        <v>22.08</v>
      </c>
      <c r="N106" s="9">
        <v>23.52</v>
      </c>
      <c r="O106" s="9">
        <v>22.16</v>
      </c>
      <c r="P106" s="9">
        <v>22.57</v>
      </c>
      <c r="Q106" s="9">
        <v>24.07</v>
      </c>
      <c r="R106" s="9">
        <v>26.61</v>
      </c>
      <c r="S106" s="9">
        <v>24.08</v>
      </c>
      <c r="T106" s="9">
        <v>24.63</v>
      </c>
      <c r="U106" s="9">
        <v>22.51</v>
      </c>
      <c r="V106" s="9">
        <v>23.68</v>
      </c>
      <c r="W106" s="6">
        <v>23.36</v>
      </c>
      <c r="X106" s="6">
        <v>22.04</v>
      </c>
      <c r="Y106" s="6">
        <v>23.14</v>
      </c>
      <c r="Z106" s="6">
        <v>24.25</v>
      </c>
      <c r="AA106" s="6">
        <v>22.4</v>
      </c>
      <c r="AB106" s="6">
        <v>21.92</v>
      </c>
      <c r="AC106" s="6">
        <v>24.15</v>
      </c>
      <c r="AD106" s="6">
        <v>24</v>
      </c>
      <c r="AE106" s="6">
        <v>22.06</v>
      </c>
      <c r="AF106" s="6">
        <v>23.28</v>
      </c>
      <c r="AG106" s="6">
        <v>22.6</v>
      </c>
      <c r="AH106" s="6">
        <v>23.74</v>
      </c>
      <c r="AI106" s="6">
        <v>25.14</v>
      </c>
      <c r="AJ106" s="6">
        <v>22.98</v>
      </c>
      <c r="AK106" s="6">
        <v>22.08</v>
      </c>
      <c r="AL106" s="6">
        <v>24.18</v>
      </c>
      <c r="AM106" s="6">
        <v>21.84</v>
      </c>
      <c r="AN106" s="6">
        <v>22.58</v>
      </c>
      <c r="AO106" s="6">
        <v>22.7</v>
      </c>
      <c r="AP106" s="6">
        <v>23.88</v>
      </c>
      <c r="AQ106" s="6">
        <v>23.91</v>
      </c>
      <c r="AR106" s="6">
        <v>21.47</v>
      </c>
      <c r="AS106" s="6">
        <v>23.39</v>
      </c>
      <c r="AT106" s="6">
        <v>22.4</v>
      </c>
      <c r="AU106" s="6">
        <v>23.2</v>
      </c>
      <c r="AV106" s="6">
        <v>26.39</v>
      </c>
      <c r="AW106" s="6">
        <v>23.19</v>
      </c>
      <c r="AX106" s="6">
        <v>22.54</v>
      </c>
      <c r="AY106" s="6">
        <v>22.9</v>
      </c>
      <c r="AZ106" s="6">
        <v>22.75</v>
      </c>
      <c r="BA106" s="6">
        <v>24.2</v>
      </c>
      <c r="BB106" s="6">
        <v>22.6</v>
      </c>
      <c r="BC106" s="6">
        <v>22.43</v>
      </c>
      <c r="BD106" s="6">
        <v>21.44</v>
      </c>
      <c r="BE106" s="6">
        <v>25.35</v>
      </c>
      <c r="BF106" s="6">
        <v>24.45</v>
      </c>
      <c r="BG106" s="6">
        <v>23.55</v>
      </c>
      <c r="BH106" s="10">
        <v>22.6</v>
      </c>
      <c r="BI106" s="10"/>
    </row>
    <row r="107" spans="1:61" ht="15.75" customHeight="1" x14ac:dyDescent="0.25">
      <c r="A107" s="1">
        <v>106</v>
      </c>
      <c r="B107" s="1"/>
      <c r="C107" s="1">
        <v>15</v>
      </c>
      <c r="D107" s="6">
        <v>22.54</v>
      </c>
      <c r="E107" s="6">
        <v>22.42</v>
      </c>
      <c r="F107" s="6"/>
      <c r="G107" s="6"/>
      <c r="H107" s="6"/>
      <c r="I107" s="6"/>
      <c r="J107" s="9">
        <v>21.88</v>
      </c>
      <c r="K107" s="9">
        <v>22.43</v>
      </c>
      <c r="L107" s="9">
        <v>24.53</v>
      </c>
      <c r="M107" s="9">
        <v>22.09</v>
      </c>
      <c r="N107" s="9">
        <v>23.72</v>
      </c>
      <c r="O107" s="9">
        <v>22.38</v>
      </c>
      <c r="P107" s="9">
        <v>22.5</v>
      </c>
      <c r="Q107" s="9">
        <v>24.22</v>
      </c>
      <c r="R107" s="9">
        <v>26.88</v>
      </c>
      <c r="S107" s="9">
        <v>24.2</v>
      </c>
      <c r="T107" s="9">
        <v>24.65</v>
      </c>
      <c r="U107" s="9">
        <v>22.52</v>
      </c>
      <c r="V107" s="9">
        <v>23.79</v>
      </c>
      <c r="W107" s="6">
        <v>23.48</v>
      </c>
      <c r="X107" s="6">
        <v>22.13</v>
      </c>
      <c r="Y107" s="6">
        <v>23.21</v>
      </c>
      <c r="Z107" s="6">
        <v>24.39</v>
      </c>
      <c r="AA107" s="6">
        <v>22.47</v>
      </c>
      <c r="AB107" s="6">
        <v>21.98</v>
      </c>
      <c r="AC107" s="6">
        <v>24.24</v>
      </c>
      <c r="AD107" s="6">
        <v>24.07</v>
      </c>
      <c r="AE107" s="6">
        <v>22.04</v>
      </c>
      <c r="AF107" s="6">
        <v>23.31</v>
      </c>
      <c r="AG107" s="6">
        <v>22.67</v>
      </c>
      <c r="AH107" s="6">
        <v>23.82</v>
      </c>
      <c r="AI107" s="6">
        <v>25.47</v>
      </c>
      <c r="AJ107" s="6">
        <v>23.12</v>
      </c>
      <c r="AK107" s="6">
        <v>22.13</v>
      </c>
      <c r="AL107" s="6">
        <v>24.24</v>
      </c>
      <c r="AM107" s="6">
        <v>21.91</v>
      </c>
      <c r="AN107" s="6">
        <v>22.63</v>
      </c>
      <c r="AO107" s="6">
        <v>23.03</v>
      </c>
      <c r="AP107" s="6">
        <v>23.88</v>
      </c>
      <c r="AQ107" s="6">
        <v>24.03</v>
      </c>
      <c r="AR107" s="6">
        <v>21.5</v>
      </c>
      <c r="AS107" s="6">
        <v>23.39</v>
      </c>
      <c r="AT107" s="6">
        <v>22.7</v>
      </c>
      <c r="AU107" s="6">
        <v>23.26</v>
      </c>
      <c r="AV107" s="6">
        <v>26.64</v>
      </c>
      <c r="AW107" s="6">
        <v>23.11</v>
      </c>
      <c r="AX107" s="6">
        <v>22.59</v>
      </c>
      <c r="AY107" s="6">
        <v>23.04</v>
      </c>
      <c r="AZ107" s="6">
        <v>23.01</v>
      </c>
      <c r="BA107" s="6">
        <v>23.96</v>
      </c>
      <c r="BB107" s="6">
        <v>22.9</v>
      </c>
      <c r="BC107" s="6">
        <v>22.42</v>
      </c>
      <c r="BD107" s="6">
        <v>21.46</v>
      </c>
      <c r="BE107" s="6">
        <v>25.55</v>
      </c>
      <c r="BF107" s="6">
        <v>24.43</v>
      </c>
      <c r="BG107" s="6">
        <v>23.54</v>
      </c>
      <c r="BH107" s="10">
        <v>22.69</v>
      </c>
      <c r="BI107" s="10"/>
    </row>
    <row r="108" spans="1:61" ht="15.75" customHeight="1" x14ac:dyDescent="0.25">
      <c r="A108" s="1">
        <v>107</v>
      </c>
      <c r="B108" s="1"/>
      <c r="C108" s="1">
        <v>16</v>
      </c>
      <c r="D108" s="6">
        <v>22.68</v>
      </c>
      <c r="E108" s="6">
        <v>22.61</v>
      </c>
      <c r="F108" s="6"/>
      <c r="G108" s="6"/>
      <c r="H108" s="6"/>
      <c r="I108" s="6"/>
      <c r="J108" s="9">
        <v>21.98</v>
      </c>
      <c r="K108" s="9">
        <v>22.39</v>
      </c>
      <c r="L108" s="9">
        <v>24.61</v>
      </c>
      <c r="M108" s="9">
        <v>22.13</v>
      </c>
      <c r="N108" s="9">
        <v>23.93</v>
      </c>
      <c r="O108" s="9">
        <v>22.64</v>
      </c>
      <c r="P108" s="9">
        <v>22.42</v>
      </c>
      <c r="Q108" s="9">
        <v>24.44</v>
      </c>
      <c r="R108" s="9">
        <v>27.08</v>
      </c>
      <c r="S108" s="9">
        <v>24.38</v>
      </c>
      <c r="T108" s="9">
        <v>24.74</v>
      </c>
      <c r="U108" s="9">
        <v>22.53</v>
      </c>
      <c r="V108" s="9">
        <v>23.92</v>
      </c>
      <c r="W108" s="6">
        <v>23.6</v>
      </c>
      <c r="X108" s="6">
        <v>22.23</v>
      </c>
      <c r="Y108" s="6">
        <v>23.3</v>
      </c>
      <c r="Z108" s="6">
        <v>24.5</v>
      </c>
      <c r="AA108" s="6">
        <v>22.56</v>
      </c>
      <c r="AB108" s="6">
        <v>22.02</v>
      </c>
      <c r="AC108" s="6">
        <v>24.3</v>
      </c>
      <c r="AD108" s="6">
        <v>24.1</v>
      </c>
      <c r="AE108" s="6">
        <v>22.04</v>
      </c>
      <c r="AF108" s="6">
        <v>23.36</v>
      </c>
      <c r="AG108" s="6">
        <v>22.74</v>
      </c>
      <c r="AH108" s="6">
        <v>23.9</v>
      </c>
      <c r="AI108" s="6">
        <v>25.78</v>
      </c>
      <c r="AJ108" s="6">
        <v>23.35</v>
      </c>
      <c r="AK108" s="6">
        <v>22.21</v>
      </c>
      <c r="AL108" s="6">
        <v>24.28</v>
      </c>
      <c r="AM108" s="6">
        <v>21.99</v>
      </c>
      <c r="AN108" s="6">
        <v>22.64</v>
      </c>
      <c r="AO108" s="6">
        <v>23.33</v>
      </c>
      <c r="AP108" s="6">
        <v>23.88</v>
      </c>
      <c r="AQ108" s="6">
        <v>24.36</v>
      </c>
      <c r="AR108" s="6">
        <v>21.56</v>
      </c>
      <c r="AS108" s="6">
        <v>23.39</v>
      </c>
      <c r="AT108" s="6">
        <v>23.17</v>
      </c>
      <c r="AU108" s="6">
        <v>23.37</v>
      </c>
      <c r="AV108" s="6">
        <v>26.88</v>
      </c>
      <c r="AW108" s="6">
        <v>23.02</v>
      </c>
      <c r="AX108" s="6">
        <v>22.65</v>
      </c>
      <c r="AY108" s="6">
        <v>23.07</v>
      </c>
      <c r="AZ108" s="6">
        <v>23.2</v>
      </c>
      <c r="BA108" s="6">
        <v>23.9</v>
      </c>
      <c r="BB108" s="6">
        <v>23.2</v>
      </c>
      <c r="BC108" s="6">
        <v>22.38</v>
      </c>
      <c r="BD108" s="6">
        <v>21.48</v>
      </c>
      <c r="BE108" s="6">
        <v>25.74</v>
      </c>
      <c r="BF108" s="6">
        <v>24.52</v>
      </c>
      <c r="BG108" s="6">
        <v>23.52</v>
      </c>
      <c r="BH108" s="10">
        <v>22.78</v>
      </c>
      <c r="BI108" s="10"/>
    </row>
    <row r="109" spans="1:61" ht="15.75" customHeight="1" x14ac:dyDescent="0.25">
      <c r="A109" s="1">
        <v>108</v>
      </c>
      <c r="B109" s="1"/>
      <c r="C109" s="1">
        <v>17</v>
      </c>
      <c r="D109" s="6">
        <v>22.87</v>
      </c>
      <c r="E109" s="6">
        <v>22.76</v>
      </c>
      <c r="F109" s="6"/>
      <c r="G109" s="6"/>
      <c r="H109" s="6"/>
      <c r="I109" s="6"/>
      <c r="J109" s="9">
        <v>21.98</v>
      </c>
      <c r="K109" s="9">
        <v>22.34</v>
      </c>
      <c r="L109" s="9">
        <v>24.64</v>
      </c>
      <c r="M109" s="9">
        <v>22.17</v>
      </c>
      <c r="N109" s="9">
        <v>24.15</v>
      </c>
      <c r="O109" s="9">
        <v>22.98</v>
      </c>
      <c r="P109" s="9">
        <v>22.36</v>
      </c>
      <c r="Q109" s="9">
        <v>24.66</v>
      </c>
      <c r="R109" s="9">
        <v>27.23</v>
      </c>
      <c r="S109" s="9">
        <v>24.54</v>
      </c>
      <c r="T109" s="9">
        <v>24.8</v>
      </c>
      <c r="U109" s="9">
        <v>22.53</v>
      </c>
      <c r="V109" s="9">
        <v>24.05</v>
      </c>
      <c r="W109" s="6">
        <v>23.71</v>
      </c>
      <c r="X109" s="6">
        <v>22.31</v>
      </c>
      <c r="Y109" s="6">
        <v>23.33</v>
      </c>
      <c r="Z109" s="6">
        <v>24.52</v>
      </c>
      <c r="AA109" s="6">
        <v>22.69</v>
      </c>
      <c r="AB109" s="6">
        <v>22.1</v>
      </c>
      <c r="AC109" s="6">
        <v>24.4</v>
      </c>
      <c r="AD109" s="6">
        <v>24.12</v>
      </c>
      <c r="AE109" s="6">
        <v>22.05</v>
      </c>
      <c r="AF109" s="6">
        <v>23.4</v>
      </c>
      <c r="AG109" s="6">
        <v>22.88</v>
      </c>
      <c r="AH109" s="6">
        <v>23.98</v>
      </c>
      <c r="AI109" s="6">
        <v>26.03</v>
      </c>
      <c r="AJ109" s="6">
        <v>23.66</v>
      </c>
      <c r="AK109" s="6">
        <v>22.28</v>
      </c>
      <c r="AL109" s="6">
        <v>24.33</v>
      </c>
      <c r="AM109" s="6">
        <v>22.1</v>
      </c>
      <c r="AN109" s="6">
        <v>22.64</v>
      </c>
      <c r="AO109" s="6">
        <v>23.8</v>
      </c>
      <c r="AP109" s="6">
        <v>23.88</v>
      </c>
      <c r="AQ109" s="6">
        <v>24.52</v>
      </c>
      <c r="AR109" s="6">
        <v>21.64</v>
      </c>
      <c r="AS109" s="6">
        <v>23.39</v>
      </c>
      <c r="AT109" s="6">
        <v>23.67</v>
      </c>
      <c r="AU109" s="6">
        <v>23.52</v>
      </c>
      <c r="AV109" s="6">
        <v>27.07</v>
      </c>
      <c r="AW109" s="6">
        <v>22.94</v>
      </c>
      <c r="AX109" s="6">
        <v>22.84</v>
      </c>
      <c r="AY109" s="6">
        <v>23.11</v>
      </c>
      <c r="AZ109" s="6">
        <v>23.34</v>
      </c>
      <c r="BA109" s="6">
        <v>23.82</v>
      </c>
      <c r="BB109" s="6">
        <v>23.35</v>
      </c>
      <c r="BC109" s="6">
        <v>22.34</v>
      </c>
      <c r="BD109" s="6">
        <v>21.5</v>
      </c>
      <c r="BE109" s="6">
        <v>25.93</v>
      </c>
      <c r="BF109" s="6">
        <v>24.6</v>
      </c>
      <c r="BG109" s="6">
        <v>23.48</v>
      </c>
      <c r="BH109" s="10">
        <v>22.87</v>
      </c>
      <c r="BI109" s="10"/>
    </row>
    <row r="110" spans="1:61" ht="15.75" customHeight="1" x14ac:dyDescent="0.25">
      <c r="A110" s="1">
        <v>109</v>
      </c>
      <c r="B110" s="1"/>
      <c r="C110" s="1">
        <v>18</v>
      </c>
      <c r="D110" s="6">
        <v>23.15</v>
      </c>
      <c r="E110" s="6">
        <v>22.97</v>
      </c>
      <c r="F110" s="6"/>
      <c r="G110" s="6"/>
      <c r="H110" s="6"/>
      <c r="I110" s="6"/>
      <c r="J110" s="9">
        <v>22.08</v>
      </c>
      <c r="K110" s="9">
        <v>22.28</v>
      </c>
      <c r="L110" s="9">
        <v>24.68</v>
      </c>
      <c r="M110" s="9">
        <v>22.22</v>
      </c>
      <c r="N110" s="9">
        <v>24.4</v>
      </c>
      <c r="O110" s="9">
        <v>23.33</v>
      </c>
      <c r="P110" s="9">
        <v>22.34</v>
      </c>
      <c r="Q110" s="9">
        <v>24.89</v>
      </c>
      <c r="R110" s="9">
        <v>27.34</v>
      </c>
      <c r="S110" s="9">
        <v>24.79</v>
      </c>
      <c r="T110" s="9">
        <v>24.86</v>
      </c>
      <c r="U110" s="9">
        <v>22.5</v>
      </c>
      <c r="V110" s="9">
        <v>24.22</v>
      </c>
      <c r="W110" s="6">
        <v>23.86</v>
      </c>
      <c r="X110" s="6">
        <v>22.38</v>
      </c>
      <c r="Y110" s="6">
        <v>23.32</v>
      </c>
      <c r="Z110" s="6">
        <v>24.52</v>
      </c>
      <c r="AA110" s="6">
        <v>22.84</v>
      </c>
      <c r="AB110" s="6">
        <v>22.18</v>
      </c>
      <c r="AC110" s="6">
        <v>24.56</v>
      </c>
      <c r="AD110" s="6">
        <v>24.13</v>
      </c>
      <c r="AE110" s="6">
        <v>22.06</v>
      </c>
      <c r="AF110" s="6">
        <v>23.44</v>
      </c>
      <c r="AG110" s="6">
        <v>23.11</v>
      </c>
      <c r="AH110" s="6">
        <v>24.06</v>
      </c>
      <c r="AI110" s="6">
        <v>26.43</v>
      </c>
      <c r="AJ110" s="6">
        <v>23.88</v>
      </c>
      <c r="AK110" s="6">
        <v>22.33</v>
      </c>
      <c r="AL110" s="6">
        <v>24.38</v>
      </c>
      <c r="AM110" s="6">
        <v>22.11</v>
      </c>
      <c r="AN110" s="6">
        <v>22.64</v>
      </c>
      <c r="AO110" s="6">
        <v>24.19</v>
      </c>
      <c r="AP110" s="6">
        <v>23.89</v>
      </c>
      <c r="AQ110" s="6">
        <v>24.6</v>
      </c>
      <c r="AR110" s="6">
        <v>21.74</v>
      </c>
      <c r="AS110" s="6">
        <v>23.44</v>
      </c>
      <c r="AT110" s="6">
        <v>24.2</v>
      </c>
      <c r="AU110" s="6">
        <v>23.67</v>
      </c>
      <c r="AV110" s="6">
        <v>27.21</v>
      </c>
      <c r="AW110" s="6">
        <v>22.9</v>
      </c>
      <c r="AX110" s="6">
        <v>22.95</v>
      </c>
      <c r="AY110" s="6">
        <v>23.17</v>
      </c>
      <c r="AZ110" s="6">
        <v>23.47</v>
      </c>
      <c r="BA110" s="6">
        <v>23.8</v>
      </c>
      <c r="BB110" s="6">
        <v>23.48</v>
      </c>
      <c r="BC110" s="6">
        <v>22.31</v>
      </c>
      <c r="BD110" s="6">
        <v>21.53</v>
      </c>
      <c r="BE110" s="6">
        <v>26.29</v>
      </c>
      <c r="BF110" s="6">
        <v>24.66</v>
      </c>
      <c r="BG110" s="6">
        <v>23.45</v>
      </c>
      <c r="BH110" s="10">
        <v>22.93</v>
      </c>
      <c r="BI110" s="10"/>
    </row>
    <row r="111" spans="1:61" ht="15.75" customHeight="1" x14ac:dyDescent="0.25">
      <c r="A111" s="1">
        <v>110</v>
      </c>
      <c r="B111" s="1"/>
      <c r="C111" s="1">
        <v>19</v>
      </c>
      <c r="D111" s="6">
        <v>23.47</v>
      </c>
      <c r="E111" s="6">
        <v>23.15</v>
      </c>
      <c r="F111" s="6"/>
      <c r="G111" s="6"/>
      <c r="H111" s="6"/>
      <c r="I111" s="6"/>
      <c r="J111" s="9">
        <v>22.18</v>
      </c>
      <c r="K111" s="9">
        <v>22.2</v>
      </c>
      <c r="L111" s="9">
        <v>24.76</v>
      </c>
      <c r="M111" s="9">
        <v>22.28</v>
      </c>
      <c r="N111" s="9">
        <v>24.64</v>
      </c>
      <c r="O111" s="9">
        <v>23.71</v>
      </c>
      <c r="P111" s="9">
        <v>22.32</v>
      </c>
      <c r="Q111" s="9">
        <v>25.17</v>
      </c>
      <c r="R111" s="9">
        <v>27.4</v>
      </c>
      <c r="S111" s="9">
        <v>24.98</v>
      </c>
      <c r="T111" s="9">
        <v>24.91</v>
      </c>
      <c r="U111" s="9">
        <v>22.46</v>
      </c>
      <c r="V111" s="9">
        <v>24.36</v>
      </c>
      <c r="W111" s="6">
        <v>23.96</v>
      </c>
      <c r="X111" s="6">
        <v>22.47</v>
      </c>
      <c r="Y111" s="6">
        <v>23.29</v>
      </c>
      <c r="Z111" s="6">
        <v>24.47</v>
      </c>
      <c r="AA111" s="6">
        <v>23</v>
      </c>
      <c r="AB111" s="6">
        <v>22.24</v>
      </c>
      <c r="AC111" s="6">
        <v>24.73</v>
      </c>
      <c r="AD111" s="6">
        <v>24.13</v>
      </c>
      <c r="AE111" s="6">
        <v>22.07</v>
      </c>
      <c r="AF111" s="6">
        <v>23.42</v>
      </c>
      <c r="AG111" s="6">
        <v>23.38</v>
      </c>
      <c r="AH111" s="6">
        <v>24.15</v>
      </c>
      <c r="AI111" s="6">
        <v>26.71</v>
      </c>
      <c r="AJ111" s="6">
        <v>23.97</v>
      </c>
      <c r="AK111" s="6">
        <v>22.41</v>
      </c>
      <c r="AL111" s="6">
        <v>24.41</v>
      </c>
      <c r="AM111" s="6">
        <v>22.31</v>
      </c>
      <c r="AN111" s="6">
        <v>22.67</v>
      </c>
      <c r="AO111" s="6">
        <v>24.48</v>
      </c>
      <c r="AP111" s="6">
        <v>23.86</v>
      </c>
      <c r="AQ111" s="6">
        <v>24.63</v>
      </c>
      <c r="AR111" s="6">
        <v>21.82</v>
      </c>
      <c r="AS111" s="6">
        <v>23.54</v>
      </c>
      <c r="AT111" s="6">
        <v>24.75</v>
      </c>
      <c r="AU111" s="6">
        <v>23.81</v>
      </c>
      <c r="AV111" s="6">
        <v>27.38</v>
      </c>
      <c r="AW111" s="6">
        <v>22.93</v>
      </c>
      <c r="AX111" s="6">
        <v>23.05</v>
      </c>
      <c r="AY111" s="6">
        <v>23.23</v>
      </c>
      <c r="AZ111" s="6">
        <v>23.58</v>
      </c>
      <c r="BA111" s="6">
        <v>23.84</v>
      </c>
      <c r="BB111" s="6">
        <v>23.58</v>
      </c>
      <c r="BC111" s="6">
        <v>22.28</v>
      </c>
      <c r="BD111" s="6">
        <v>21.56</v>
      </c>
      <c r="BE111" s="6">
        <v>26.68</v>
      </c>
      <c r="BF111" s="6">
        <v>24.68</v>
      </c>
      <c r="BG111" s="6">
        <v>23.46</v>
      </c>
      <c r="BH111" s="10">
        <v>22.96</v>
      </c>
      <c r="BI111" s="10"/>
    </row>
    <row r="112" spans="1:61" ht="15.75" customHeight="1" x14ac:dyDescent="0.25">
      <c r="A112" s="1">
        <v>111</v>
      </c>
      <c r="B112" s="1"/>
      <c r="C112" s="1">
        <v>20</v>
      </c>
      <c r="D112" s="6">
        <v>23.76</v>
      </c>
      <c r="E112" s="6">
        <v>23.3</v>
      </c>
      <c r="F112" s="6"/>
      <c r="G112" s="6"/>
      <c r="H112" s="6"/>
      <c r="I112" s="6"/>
      <c r="J112" s="9">
        <v>22.28</v>
      </c>
      <c r="K112" s="9">
        <v>22.14</v>
      </c>
      <c r="L112" s="9">
        <v>24.78</v>
      </c>
      <c r="M112" s="9">
        <v>22.35</v>
      </c>
      <c r="N112" s="9">
        <v>24.91</v>
      </c>
      <c r="O112" s="9">
        <v>24.12</v>
      </c>
      <c r="P112" s="9">
        <v>22.3</v>
      </c>
      <c r="Q112" s="9">
        <v>25.42</v>
      </c>
      <c r="R112" s="9">
        <v>27.4</v>
      </c>
      <c r="S112" s="9">
        <v>25.16</v>
      </c>
      <c r="T112" s="9">
        <v>25.04</v>
      </c>
      <c r="U112" s="9">
        <v>22.43</v>
      </c>
      <c r="V112" s="9">
        <v>24.48</v>
      </c>
      <c r="W112" s="6">
        <v>24.05</v>
      </c>
      <c r="X112" s="6">
        <v>22.61</v>
      </c>
      <c r="Y112" s="6">
        <v>23.24</v>
      </c>
      <c r="Z112" s="6">
        <v>24.4</v>
      </c>
      <c r="AA112" s="6">
        <v>23.14</v>
      </c>
      <c r="AB112" s="6">
        <v>22.34</v>
      </c>
      <c r="AC112" s="6">
        <v>24.85</v>
      </c>
      <c r="AD112" s="6">
        <v>24.12</v>
      </c>
      <c r="AE112" s="6">
        <v>22.1</v>
      </c>
      <c r="AF112" s="6">
        <v>23.42</v>
      </c>
      <c r="AG112" s="6">
        <v>23.6</v>
      </c>
      <c r="AH112" s="6">
        <v>24.27</v>
      </c>
      <c r="AI112" s="6">
        <v>26.92</v>
      </c>
      <c r="AJ112" s="6">
        <v>24.06</v>
      </c>
      <c r="AK112" s="6">
        <v>22.5</v>
      </c>
      <c r="AL112" s="6">
        <v>24.4</v>
      </c>
      <c r="AM112" s="6">
        <v>22.4</v>
      </c>
      <c r="AN112" s="6">
        <v>22.73</v>
      </c>
      <c r="AO112" s="6">
        <v>24.78</v>
      </c>
      <c r="AP112" s="6">
        <v>23.8</v>
      </c>
      <c r="AQ112" s="6">
        <v>24.6</v>
      </c>
      <c r="AR112" s="6">
        <v>21.92</v>
      </c>
      <c r="AS112" s="6">
        <v>23.6</v>
      </c>
      <c r="AT112" s="6">
        <v>24.95</v>
      </c>
      <c r="AU112" s="6">
        <v>24.09</v>
      </c>
      <c r="AV112" s="6">
        <v>27.54</v>
      </c>
      <c r="AW112" s="6">
        <v>22.99</v>
      </c>
      <c r="AX112" s="6">
        <v>23.1</v>
      </c>
      <c r="AY112" s="6">
        <v>23.29</v>
      </c>
      <c r="AZ112" s="6">
        <v>23.76</v>
      </c>
      <c r="BA112" s="6">
        <v>23.89</v>
      </c>
      <c r="BB112" s="6">
        <v>23.65</v>
      </c>
      <c r="BC112" s="6">
        <v>22.32</v>
      </c>
      <c r="BD112" s="6">
        <v>21.59</v>
      </c>
      <c r="BE112" s="6">
        <v>26.85</v>
      </c>
      <c r="BF112" s="6">
        <v>24.68</v>
      </c>
      <c r="BG112" s="6">
        <v>23.49</v>
      </c>
      <c r="BH112" s="10">
        <v>22.95</v>
      </c>
      <c r="BI112" s="10"/>
    </row>
    <row r="113" spans="1:61" ht="15.75" customHeight="1" x14ac:dyDescent="0.25">
      <c r="A113" s="1">
        <v>112</v>
      </c>
      <c r="B113" s="1"/>
      <c r="C113" s="1">
        <v>21</v>
      </c>
      <c r="D113" s="6">
        <v>23.98</v>
      </c>
      <c r="E113" s="6">
        <v>23.46</v>
      </c>
      <c r="F113" s="6"/>
      <c r="G113" s="6"/>
      <c r="H113" s="6"/>
      <c r="I113" s="6"/>
      <c r="J113" s="9">
        <v>22.38</v>
      </c>
      <c r="K113" s="9">
        <v>22.1</v>
      </c>
      <c r="L113" s="9">
        <v>24.8</v>
      </c>
      <c r="M113" s="9">
        <v>22.44</v>
      </c>
      <c r="N113" s="9">
        <v>25.13</v>
      </c>
      <c r="O113" s="9">
        <v>24.43</v>
      </c>
      <c r="P113" s="9">
        <v>22.34</v>
      </c>
      <c r="Q113" s="9">
        <v>25.72</v>
      </c>
      <c r="R113" s="9">
        <v>27.35</v>
      </c>
      <c r="S113" s="9">
        <v>25.48</v>
      </c>
      <c r="T113" s="9">
        <v>25.14</v>
      </c>
      <c r="U113" s="9">
        <v>22.4</v>
      </c>
      <c r="V113" s="9">
        <v>24.55</v>
      </c>
      <c r="W113" s="6">
        <v>24.12</v>
      </c>
      <c r="X113" s="6">
        <v>22.72</v>
      </c>
      <c r="Y113" s="6">
        <v>23.2</v>
      </c>
      <c r="Z113" s="6">
        <v>24.39</v>
      </c>
      <c r="AA113" s="6">
        <v>23.29</v>
      </c>
      <c r="AB113" s="6">
        <v>22.4</v>
      </c>
      <c r="AC113" s="6">
        <v>25.02</v>
      </c>
      <c r="AD113" s="6">
        <v>24.13</v>
      </c>
      <c r="AE113" s="6">
        <v>22.15</v>
      </c>
      <c r="AF113" s="6">
        <v>23.4</v>
      </c>
      <c r="AG113" s="6">
        <v>23.8</v>
      </c>
      <c r="AH113" s="6">
        <v>24.39</v>
      </c>
      <c r="AI113" s="6">
        <v>27.06</v>
      </c>
      <c r="AJ113" s="6">
        <v>24.19</v>
      </c>
      <c r="AK113" s="6">
        <v>22.61</v>
      </c>
      <c r="AL113" s="6">
        <v>24.39</v>
      </c>
      <c r="AM113" s="6">
        <v>22.51</v>
      </c>
      <c r="AN113" s="6">
        <v>22.84</v>
      </c>
      <c r="AO113" s="6">
        <v>25.13</v>
      </c>
      <c r="AP113" s="6">
        <v>23.78</v>
      </c>
      <c r="AQ113" s="6">
        <v>24.57</v>
      </c>
      <c r="AR113" s="6">
        <v>22.04</v>
      </c>
      <c r="AS113" s="6">
        <v>23.68</v>
      </c>
      <c r="AT113" s="6">
        <v>25.27</v>
      </c>
      <c r="AU113" s="6">
        <v>24.37</v>
      </c>
      <c r="AV113" s="6">
        <v>27.69</v>
      </c>
      <c r="AW113" s="6">
        <v>23.1</v>
      </c>
      <c r="AX113" s="6">
        <v>23.13</v>
      </c>
      <c r="AY113" s="6">
        <v>23.4</v>
      </c>
      <c r="AZ113" s="6">
        <v>23.9</v>
      </c>
      <c r="BA113" s="6">
        <v>24.05</v>
      </c>
      <c r="BB113" s="6">
        <v>23.75</v>
      </c>
      <c r="BC113" s="6">
        <v>22.37</v>
      </c>
      <c r="BD113" s="6">
        <v>21.62</v>
      </c>
      <c r="BE113" s="6">
        <v>26.92</v>
      </c>
      <c r="BF113" s="6">
        <v>24.68</v>
      </c>
      <c r="BG113" s="6">
        <v>23.57</v>
      </c>
      <c r="BH113" s="10">
        <v>22.92</v>
      </c>
      <c r="BI113" s="10"/>
    </row>
    <row r="114" spans="1:61" ht="15.75" customHeight="1" x14ac:dyDescent="0.25">
      <c r="A114" s="1">
        <v>113</v>
      </c>
      <c r="B114" s="1"/>
      <c r="C114" s="1">
        <v>22</v>
      </c>
      <c r="D114" s="6">
        <v>24.17</v>
      </c>
      <c r="E114" s="6">
        <v>23.62</v>
      </c>
      <c r="F114" s="6"/>
      <c r="G114" s="6"/>
      <c r="H114" s="6"/>
      <c r="I114" s="6"/>
      <c r="J114" s="9">
        <v>22.58</v>
      </c>
      <c r="K114" s="9">
        <v>22.07</v>
      </c>
      <c r="L114" s="9">
        <v>24.85</v>
      </c>
      <c r="M114" s="9">
        <v>22.52</v>
      </c>
      <c r="N114" s="9">
        <v>25.33</v>
      </c>
      <c r="O114" s="9">
        <v>24.76</v>
      </c>
      <c r="P114" s="9">
        <v>22.47</v>
      </c>
      <c r="Q114" s="9">
        <v>26.07</v>
      </c>
      <c r="R114" s="9">
        <v>27.3</v>
      </c>
      <c r="S114" s="9">
        <v>25.85</v>
      </c>
      <c r="T114" s="9">
        <v>25.3</v>
      </c>
      <c r="U114" s="9">
        <v>22.37</v>
      </c>
      <c r="V114" s="9">
        <v>24.56</v>
      </c>
      <c r="W114" s="6">
        <v>24.2</v>
      </c>
      <c r="X114" s="6">
        <v>22.73</v>
      </c>
      <c r="Y114" s="6">
        <v>23.15</v>
      </c>
      <c r="Z114" s="6">
        <v>24.44</v>
      </c>
      <c r="AA114" s="6">
        <v>23.42</v>
      </c>
      <c r="AB114" s="6">
        <v>22.43</v>
      </c>
      <c r="AC114" s="6">
        <v>25.16</v>
      </c>
      <c r="AD114" s="6">
        <v>24.16</v>
      </c>
      <c r="AE114" s="6">
        <v>22.25</v>
      </c>
      <c r="AF114" s="6">
        <v>23.36</v>
      </c>
      <c r="AG114" s="6">
        <v>23.96</v>
      </c>
      <c r="AH114" s="6">
        <v>24.5</v>
      </c>
      <c r="AI114" s="6">
        <v>27.2</v>
      </c>
      <c r="AJ114" s="6">
        <v>24.26</v>
      </c>
      <c r="AK114" s="6">
        <v>22.73</v>
      </c>
      <c r="AL114" s="6">
        <v>24.39</v>
      </c>
      <c r="AM114" s="6">
        <v>22.73</v>
      </c>
      <c r="AN114" s="6">
        <v>22.9</v>
      </c>
      <c r="AO114" s="6">
        <v>25.37</v>
      </c>
      <c r="AP114" s="6">
        <v>23.78</v>
      </c>
      <c r="AQ114" s="6">
        <v>24.5</v>
      </c>
      <c r="AR114" s="6">
        <v>22.18</v>
      </c>
      <c r="AS114" s="6">
        <v>23.72</v>
      </c>
      <c r="AT114" s="6">
        <v>25.53</v>
      </c>
      <c r="AU114" s="6">
        <v>24.6</v>
      </c>
      <c r="AV114" s="6">
        <v>27.83</v>
      </c>
      <c r="AW114" s="6">
        <v>23.32</v>
      </c>
      <c r="AX114" s="6">
        <v>23.16</v>
      </c>
      <c r="AY114" s="6">
        <v>23.55</v>
      </c>
      <c r="AZ114" s="6">
        <v>24.07</v>
      </c>
      <c r="BA114" s="6">
        <v>24.12</v>
      </c>
      <c r="BB114" s="6">
        <v>23.85</v>
      </c>
      <c r="BC114" s="6">
        <v>22.42</v>
      </c>
      <c r="BD114" s="6">
        <v>21.65</v>
      </c>
      <c r="BE114" s="6">
        <v>27.04</v>
      </c>
      <c r="BF114" s="6">
        <v>24.7</v>
      </c>
      <c r="BG114" s="6">
        <v>23.6</v>
      </c>
      <c r="BH114" s="10">
        <v>22.9</v>
      </c>
      <c r="BI114" s="10"/>
    </row>
    <row r="115" spans="1:61" ht="15.75" customHeight="1" x14ac:dyDescent="0.25">
      <c r="A115" s="1">
        <v>114</v>
      </c>
      <c r="B115" s="1"/>
      <c r="C115" s="1">
        <v>23</v>
      </c>
      <c r="D115" s="6">
        <v>24.37</v>
      </c>
      <c r="E115" s="6">
        <v>23.97</v>
      </c>
      <c r="F115" s="6"/>
      <c r="G115" s="6"/>
      <c r="H115" s="6"/>
      <c r="I115" s="6"/>
      <c r="J115" s="9">
        <v>22.68</v>
      </c>
      <c r="K115" s="9">
        <v>22.04</v>
      </c>
      <c r="L115" s="9">
        <v>24.89</v>
      </c>
      <c r="M115" s="9">
        <v>22.61</v>
      </c>
      <c r="N115" s="9">
        <v>25.46</v>
      </c>
      <c r="O115" s="9">
        <v>25.08</v>
      </c>
      <c r="P115" s="9">
        <v>22.61</v>
      </c>
      <c r="Q115" s="9">
        <v>26.37</v>
      </c>
      <c r="R115" s="9">
        <v>27.25</v>
      </c>
      <c r="S115" s="9">
        <v>26.15</v>
      </c>
      <c r="T115" s="9">
        <v>25.39</v>
      </c>
      <c r="U115" s="9">
        <v>22.34</v>
      </c>
      <c r="V115" s="9">
        <v>24.56</v>
      </c>
      <c r="W115" s="6">
        <v>24.28</v>
      </c>
      <c r="X115" s="6">
        <v>22.74</v>
      </c>
      <c r="Y115" s="6">
        <v>23.13</v>
      </c>
      <c r="Z115" s="6">
        <v>24.54</v>
      </c>
      <c r="AA115" s="6">
        <v>23.56</v>
      </c>
      <c r="AB115" s="6">
        <v>22.44</v>
      </c>
      <c r="AC115" s="6">
        <v>25.28</v>
      </c>
      <c r="AD115" s="6">
        <v>24.2</v>
      </c>
      <c r="AE115" s="6">
        <v>22.36</v>
      </c>
      <c r="AF115" s="6">
        <v>23.34</v>
      </c>
      <c r="AG115" s="6">
        <v>24.1</v>
      </c>
      <c r="AH115" s="6">
        <v>24.65</v>
      </c>
      <c r="AI115" s="6">
        <v>27.32</v>
      </c>
      <c r="AJ115" s="6">
        <v>24.36</v>
      </c>
      <c r="AK115" s="6">
        <v>22.83</v>
      </c>
      <c r="AL115" s="6">
        <v>24.39</v>
      </c>
      <c r="AM115" s="6">
        <v>22.99</v>
      </c>
      <c r="AN115" s="6">
        <v>23</v>
      </c>
      <c r="AO115" s="6">
        <v>25.6</v>
      </c>
      <c r="AP115" s="6">
        <v>23.87</v>
      </c>
      <c r="AQ115" s="6">
        <v>24.45</v>
      </c>
      <c r="AR115" s="6">
        <v>22.3</v>
      </c>
      <c r="AS115" s="6">
        <v>23.72</v>
      </c>
      <c r="AT115" s="6">
        <v>25.73</v>
      </c>
      <c r="AU115" s="6">
        <v>24.8</v>
      </c>
      <c r="AV115" s="6">
        <v>27.96</v>
      </c>
      <c r="AW115" s="6">
        <v>23.57</v>
      </c>
      <c r="AX115" s="6">
        <v>23.2</v>
      </c>
      <c r="AY115" s="6">
        <v>23.75</v>
      </c>
      <c r="AZ115" s="6">
        <v>24.24</v>
      </c>
      <c r="BA115" s="6">
        <v>24.29</v>
      </c>
      <c r="BB115" s="6">
        <v>23.97</v>
      </c>
      <c r="BC115" s="6">
        <v>22.55</v>
      </c>
      <c r="BD115" s="6">
        <v>21.68</v>
      </c>
      <c r="BE115" s="6">
        <v>27.07</v>
      </c>
      <c r="BF115" s="6">
        <v>24.73</v>
      </c>
      <c r="BG115" s="6">
        <v>23.67</v>
      </c>
      <c r="BH115" s="10">
        <v>22.89</v>
      </c>
      <c r="BI115" s="10"/>
    </row>
    <row r="116" spans="1:61" ht="15.75" customHeight="1" x14ac:dyDescent="0.25">
      <c r="A116" s="1">
        <v>115</v>
      </c>
      <c r="B116" s="1"/>
      <c r="C116" s="1">
        <v>24</v>
      </c>
      <c r="D116" s="6">
        <v>24.53</v>
      </c>
      <c r="E116" s="6">
        <v>24.22</v>
      </c>
      <c r="F116" s="6">
        <v>24.81</v>
      </c>
      <c r="G116" s="6"/>
      <c r="H116" s="6"/>
      <c r="I116" s="6"/>
      <c r="J116" s="9">
        <v>22.78</v>
      </c>
      <c r="K116" s="9">
        <v>22</v>
      </c>
      <c r="L116" s="9">
        <v>24.99</v>
      </c>
      <c r="M116" s="9">
        <v>22.66</v>
      </c>
      <c r="N116" s="9">
        <v>25.57</v>
      </c>
      <c r="O116" s="9">
        <v>25.25</v>
      </c>
      <c r="P116" s="9">
        <v>22.83</v>
      </c>
      <c r="Q116" s="9">
        <v>26.68</v>
      </c>
      <c r="R116" s="9">
        <v>27.19</v>
      </c>
      <c r="S116" s="9">
        <v>26.45</v>
      </c>
      <c r="T116" s="9">
        <v>25.43</v>
      </c>
      <c r="U116" s="9">
        <v>22.31</v>
      </c>
      <c r="V116" s="9">
        <v>24.6</v>
      </c>
      <c r="W116" s="6">
        <v>24.35</v>
      </c>
      <c r="X116" s="6">
        <v>22.75</v>
      </c>
      <c r="Y116" s="6">
        <v>23.14</v>
      </c>
      <c r="Z116" s="6">
        <v>24.69</v>
      </c>
      <c r="AA116" s="6">
        <v>23.71</v>
      </c>
      <c r="AB116" s="6">
        <v>22.45</v>
      </c>
      <c r="AC116" s="6">
        <v>25.39</v>
      </c>
      <c r="AD116" s="6">
        <v>24.26</v>
      </c>
      <c r="AE116" s="6">
        <v>22.52</v>
      </c>
      <c r="AF116" s="6">
        <v>23.31</v>
      </c>
      <c r="AG116" s="6">
        <v>24.22</v>
      </c>
      <c r="AH116" s="6">
        <v>24.82</v>
      </c>
      <c r="AI116" s="6">
        <v>27.39</v>
      </c>
      <c r="AJ116" s="6">
        <v>24.47</v>
      </c>
      <c r="AK116" s="6">
        <v>22.9</v>
      </c>
      <c r="AL116" s="6">
        <v>24.4</v>
      </c>
      <c r="AM116" s="6">
        <v>23.22</v>
      </c>
      <c r="AN116" s="6">
        <v>23.17</v>
      </c>
      <c r="AO116" s="6">
        <v>25.9</v>
      </c>
      <c r="AP116" s="6">
        <v>23.93</v>
      </c>
      <c r="AQ116" s="6">
        <v>24.54</v>
      </c>
      <c r="AR116" s="6">
        <v>22.42</v>
      </c>
      <c r="AS116" s="6">
        <v>23.75</v>
      </c>
      <c r="AT116" s="6">
        <v>25.95</v>
      </c>
      <c r="AU116" s="6">
        <v>24.99</v>
      </c>
      <c r="AV116" s="6">
        <v>28.09</v>
      </c>
      <c r="AW116" s="6">
        <v>23.7</v>
      </c>
      <c r="AX116" s="6">
        <v>23.28</v>
      </c>
      <c r="AY116" s="6">
        <v>23.99</v>
      </c>
      <c r="AZ116" s="6">
        <v>24.42</v>
      </c>
      <c r="BA116" s="6">
        <v>24.41</v>
      </c>
      <c r="BB116" s="6">
        <v>24.1</v>
      </c>
      <c r="BC116" s="6">
        <v>22.88</v>
      </c>
      <c r="BD116" s="6">
        <v>21.7</v>
      </c>
      <c r="BE116" s="6">
        <v>27.11</v>
      </c>
      <c r="BF116" s="6">
        <v>24.78</v>
      </c>
      <c r="BG116" s="6">
        <v>23.78</v>
      </c>
      <c r="BH116" s="10">
        <v>22.89</v>
      </c>
      <c r="BI116" s="10"/>
    </row>
    <row r="117" spans="1:61" ht="15.75" customHeight="1" x14ac:dyDescent="0.25">
      <c r="A117" s="1">
        <v>116</v>
      </c>
      <c r="B117" s="1"/>
      <c r="C117" s="1">
        <v>25</v>
      </c>
      <c r="D117" s="6">
        <v>24.67</v>
      </c>
      <c r="E117" s="6">
        <v>24.44</v>
      </c>
      <c r="F117" s="6">
        <v>24.95</v>
      </c>
      <c r="G117" s="6"/>
      <c r="H117" s="6"/>
      <c r="I117" s="6"/>
      <c r="J117" s="9">
        <v>22.88</v>
      </c>
      <c r="K117" s="9">
        <v>21.94</v>
      </c>
      <c r="L117" s="9">
        <v>25.1</v>
      </c>
      <c r="M117" s="9">
        <v>22.64</v>
      </c>
      <c r="N117" s="9">
        <v>25.65</v>
      </c>
      <c r="O117" s="9">
        <v>25.42</v>
      </c>
      <c r="P117" s="9">
        <v>23.05</v>
      </c>
      <c r="Q117" s="9">
        <v>27.04</v>
      </c>
      <c r="R117" s="9">
        <v>27.16</v>
      </c>
      <c r="S117" s="9">
        <v>26.76</v>
      </c>
      <c r="T117" s="9">
        <v>25.45</v>
      </c>
      <c r="U117" s="9">
        <v>22.3</v>
      </c>
      <c r="V117" s="9">
        <v>24.63</v>
      </c>
      <c r="W117" s="6">
        <v>24.43</v>
      </c>
      <c r="X117" s="6">
        <v>22.72</v>
      </c>
      <c r="Y117" s="6">
        <v>23.15</v>
      </c>
      <c r="Z117" s="6">
        <v>24.83</v>
      </c>
      <c r="AA117" s="6">
        <v>23.82</v>
      </c>
      <c r="AB117" s="6">
        <v>22.41</v>
      </c>
      <c r="AC117" s="6">
        <v>25.47</v>
      </c>
      <c r="AD117" s="6">
        <v>24.29</v>
      </c>
      <c r="AE117" s="6">
        <v>22.78</v>
      </c>
      <c r="AF117" s="6">
        <v>23.29</v>
      </c>
      <c r="AG117" s="6">
        <v>24.32</v>
      </c>
      <c r="AH117" s="6">
        <v>24.99</v>
      </c>
      <c r="AI117" s="6">
        <v>27.45</v>
      </c>
      <c r="AJ117" s="6">
        <v>24.57</v>
      </c>
      <c r="AK117" s="6">
        <v>22.97</v>
      </c>
      <c r="AL117" s="6">
        <v>24.45</v>
      </c>
      <c r="AM117" s="6">
        <v>23.43</v>
      </c>
      <c r="AN117" s="6">
        <v>23.33</v>
      </c>
      <c r="AO117" s="6">
        <v>26.1</v>
      </c>
      <c r="AP117" s="6">
        <v>24.01</v>
      </c>
      <c r="AQ117" s="6">
        <v>24.68</v>
      </c>
      <c r="AR117" s="6">
        <v>22.52</v>
      </c>
      <c r="AS117" s="6">
        <v>23.79</v>
      </c>
      <c r="AT117" s="6">
        <v>26.13</v>
      </c>
      <c r="AU117" s="6">
        <v>25.2</v>
      </c>
      <c r="AV117" s="6">
        <v>28.19</v>
      </c>
      <c r="AW117" s="6">
        <v>24.1</v>
      </c>
      <c r="AX117" s="6">
        <v>23.5</v>
      </c>
      <c r="AY117" s="6">
        <v>24.15</v>
      </c>
      <c r="AZ117" s="6">
        <v>24.45</v>
      </c>
      <c r="BA117" s="6">
        <v>24.6</v>
      </c>
      <c r="BB117" s="6">
        <v>24.25</v>
      </c>
      <c r="BC117" s="6">
        <v>22.95</v>
      </c>
      <c r="BD117" s="6">
        <v>21.85</v>
      </c>
      <c r="BE117" s="6">
        <v>27.14</v>
      </c>
      <c r="BF117" s="6">
        <v>24.88</v>
      </c>
      <c r="BG117" s="6">
        <v>23.85</v>
      </c>
      <c r="BH117" s="10">
        <v>22.93</v>
      </c>
      <c r="BI117" s="10"/>
    </row>
    <row r="118" spans="1:61" ht="15.75" customHeight="1" x14ac:dyDescent="0.25">
      <c r="A118" s="1">
        <v>117</v>
      </c>
      <c r="B118" s="1"/>
      <c r="C118" s="1">
        <v>26</v>
      </c>
      <c r="D118" s="6">
        <v>24.7</v>
      </c>
      <c r="E118" s="6">
        <v>24.62</v>
      </c>
      <c r="F118" s="6">
        <v>24.95</v>
      </c>
      <c r="G118" s="6"/>
      <c r="H118" s="6"/>
      <c r="I118" s="6"/>
      <c r="J118" s="9">
        <v>22.98</v>
      </c>
      <c r="K118" s="9">
        <v>21.91</v>
      </c>
      <c r="L118" s="9">
        <v>25.22</v>
      </c>
      <c r="M118" s="9">
        <v>22.61</v>
      </c>
      <c r="N118" s="9">
        <v>25.75</v>
      </c>
      <c r="O118" s="9">
        <v>25.51</v>
      </c>
      <c r="P118" s="9">
        <v>23.41</v>
      </c>
      <c r="Q118" s="9">
        <v>27.37</v>
      </c>
      <c r="R118" s="9">
        <v>27.2</v>
      </c>
      <c r="S118" s="9">
        <v>27.06</v>
      </c>
      <c r="T118" s="9">
        <v>25.45</v>
      </c>
      <c r="U118" s="9">
        <v>22.35</v>
      </c>
      <c r="V118" s="9">
        <v>24.7</v>
      </c>
      <c r="W118" s="6">
        <v>24.54</v>
      </c>
      <c r="X118" s="6">
        <v>22.7</v>
      </c>
      <c r="Y118" s="6">
        <v>23.16</v>
      </c>
      <c r="Z118" s="6">
        <v>24.94</v>
      </c>
      <c r="AA118" s="6">
        <v>23.96</v>
      </c>
      <c r="AB118" s="6">
        <v>22.43</v>
      </c>
      <c r="AC118" s="6">
        <v>25.57</v>
      </c>
      <c r="AD118" s="6">
        <v>24.35</v>
      </c>
      <c r="AE118" s="6">
        <v>23.09</v>
      </c>
      <c r="AF118" s="6">
        <v>23.28</v>
      </c>
      <c r="AG118" s="6">
        <v>24.41</v>
      </c>
      <c r="AH118" s="6">
        <v>25.11</v>
      </c>
      <c r="AI118" s="6">
        <v>27.48</v>
      </c>
      <c r="AJ118" s="6">
        <v>24.63</v>
      </c>
      <c r="AK118" s="6">
        <v>23</v>
      </c>
      <c r="AL118" s="6">
        <v>24.54</v>
      </c>
      <c r="AM118" s="6">
        <v>23.63</v>
      </c>
      <c r="AN118" s="6">
        <v>23.52</v>
      </c>
      <c r="AO118" s="6">
        <v>26.27</v>
      </c>
      <c r="AP118" s="6">
        <v>24.11</v>
      </c>
      <c r="AQ118" s="6">
        <v>24.8</v>
      </c>
      <c r="AR118" s="6">
        <v>22.6</v>
      </c>
      <c r="AS118" s="6">
        <v>23.89</v>
      </c>
      <c r="AT118" s="6">
        <v>26.24</v>
      </c>
      <c r="AU118" s="6">
        <v>25.45</v>
      </c>
      <c r="AV118" s="6">
        <v>28.24</v>
      </c>
      <c r="AW118" s="6">
        <v>24.5</v>
      </c>
      <c r="AX118" s="6">
        <v>23.78</v>
      </c>
      <c r="AY118" s="6">
        <v>24.4</v>
      </c>
      <c r="AZ118" s="6">
        <v>24.59</v>
      </c>
      <c r="BA118" s="6">
        <v>24.76</v>
      </c>
      <c r="BB118" s="6">
        <v>24.45</v>
      </c>
      <c r="BC118" s="6">
        <v>23.42</v>
      </c>
      <c r="BD118" s="6">
        <v>22</v>
      </c>
      <c r="BE118" s="6">
        <v>27.14</v>
      </c>
      <c r="BF118" s="6">
        <v>24.98</v>
      </c>
      <c r="BG118" s="6">
        <v>23.97</v>
      </c>
      <c r="BH118" s="10">
        <v>22.98</v>
      </c>
      <c r="BI118" s="10"/>
    </row>
    <row r="119" spans="1:61" ht="15.75" customHeight="1" x14ac:dyDescent="0.25">
      <c r="A119" s="1">
        <v>118</v>
      </c>
      <c r="B119" s="1"/>
      <c r="C119" s="1">
        <v>27</v>
      </c>
      <c r="D119" s="6">
        <v>24.73</v>
      </c>
      <c r="E119" s="6">
        <v>24.98</v>
      </c>
      <c r="F119" s="6">
        <v>25.18</v>
      </c>
      <c r="G119" s="6"/>
      <c r="H119" s="6"/>
      <c r="I119" s="6"/>
      <c r="J119" s="9">
        <v>22.98</v>
      </c>
      <c r="K119" s="9">
        <v>21.9</v>
      </c>
      <c r="L119" s="9">
        <v>25.38</v>
      </c>
      <c r="M119" s="9">
        <v>22.57</v>
      </c>
      <c r="N119" s="9">
        <v>25.87</v>
      </c>
      <c r="O119" s="9">
        <v>25.59</v>
      </c>
      <c r="P119" s="9">
        <v>23.62</v>
      </c>
      <c r="Q119" s="9">
        <v>27.69</v>
      </c>
      <c r="R119" s="9">
        <v>27.42</v>
      </c>
      <c r="S119" s="9">
        <v>27.26</v>
      </c>
      <c r="T119" s="9">
        <v>25.47</v>
      </c>
      <c r="U119" s="9">
        <v>22.33</v>
      </c>
      <c r="V119" s="9">
        <v>24.76</v>
      </c>
      <c r="W119" s="6">
        <v>24.75</v>
      </c>
      <c r="X119" s="6">
        <v>22.69</v>
      </c>
      <c r="Y119" s="6">
        <v>23.18</v>
      </c>
      <c r="Z119" s="6">
        <v>24.96</v>
      </c>
      <c r="AA119" s="6">
        <v>24.06</v>
      </c>
      <c r="AB119" s="6">
        <v>22.53</v>
      </c>
      <c r="AC119" s="6">
        <v>25.72</v>
      </c>
      <c r="AD119" s="6">
        <v>24.44</v>
      </c>
      <c r="AE119" s="6">
        <v>23.35</v>
      </c>
      <c r="AF119" s="6">
        <v>23.27</v>
      </c>
      <c r="AG119" s="6">
        <v>24.52</v>
      </c>
      <c r="AH119" s="6">
        <v>25.29</v>
      </c>
      <c r="AI119" s="6">
        <v>27.46</v>
      </c>
      <c r="AJ119" s="6">
        <v>24.71</v>
      </c>
      <c r="AK119" s="6">
        <v>23.02</v>
      </c>
      <c r="AL119" s="6">
        <v>24.71</v>
      </c>
      <c r="AM119" s="6">
        <v>23.8</v>
      </c>
      <c r="AN119" s="6">
        <v>23.72</v>
      </c>
      <c r="AO119" s="6">
        <v>26.45</v>
      </c>
      <c r="AP119" s="6">
        <v>24.27</v>
      </c>
      <c r="AQ119" s="6">
        <v>24.97</v>
      </c>
      <c r="AR119" s="6">
        <v>22.67</v>
      </c>
      <c r="AS119" s="6">
        <v>23.97</v>
      </c>
      <c r="AT119" s="6">
        <v>26.52</v>
      </c>
      <c r="AU119" s="6">
        <v>25.68</v>
      </c>
      <c r="AV119" s="6">
        <v>28.3</v>
      </c>
      <c r="AW119" s="6">
        <v>24.8</v>
      </c>
      <c r="AX119" s="6">
        <v>24.05</v>
      </c>
      <c r="AY119" s="6">
        <v>24.59</v>
      </c>
      <c r="AZ119" s="6">
        <v>24.79</v>
      </c>
      <c r="BA119" s="6">
        <v>24.9</v>
      </c>
      <c r="BB119" s="6">
        <v>24.7</v>
      </c>
      <c r="BC119" s="6">
        <v>23.68</v>
      </c>
      <c r="BD119" s="6">
        <v>22.15</v>
      </c>
      <c r="BE119" s="6">
        <v>27.12</v>
      </c>
      <c r="BF119" s="6">
        <v>25.12</v>
      </c>
      <c r="BG119" s="6">
        <v>24.29</v>
      </c>
      <c r="BH119" s="10">
        <v>23.03</v>
      </c>
      <c r="BI119" s="10"/>
    </row>
    <row r="120" spans="1:61" ht="15.75" customHeight="1" x14ac:dyDescent="0.25">
      <c r="A120" s="1">
        <v>119</v>
      </c>
      <c r="B120" s="1"/>
      <c r="C120" s="1">
        <v>28</v>
      </c>
      <c r="D120" s="6">
        <v>24.77</v>
      </c>
      <c r="E120" s="6">
        <v>25.45</v>
      </c>
      <c r="F120" s="6">
        <v>25.32</v>
      </c>
      <c r="G120" s="6"/>
      <c r="H120" s="6"/>
      <c r="I120" s="6"/>
      <c r="J120" s="9">
        <v>22.98</v>
      </c>
      <c r="K120" s="9">
        <v>21.95</v>
      </c>
      <c r="L120" s="9">
        <v>25.55</v>
      </c>
      <c r="M120" s="9">
        <v>22.53</v>
      </c>
      <c r="N120" s="9">
        <v>26.23</v>
      </c>
      <c r="O120" s="9">
        <v>25.66</v>
      </c>
      <c r="P120" s="9">
        <v>23.83</v>
      </c>
      <c r="Q120" s="9">
        <v>28</v>
      </c>
      <c r="R120" s="9">
        <v>27.58</v>
      </c>
      <c r="S120" s="9">
        <v>27.49</v>
      </c>
      <c r="T120" s="9">
        <v>25.5</v>
      </c>
      <c r="U120" s="9">
        <v>22.35</v>
      </c>
      <c r="V120" s="9">
        <v>24.8</v>
      </c>
      <c r="W120" s="6">
        <v>25.04</v>
      </c>
      <c r="X120" s="6">
        <v>22.65</v>
      </c>
      <c r="Y120" s="6">
        <v>23.2</v>
      </c>
      <c r="Z120" s="6">
        <v>24.99</v>
      </c>
      <c r="AA120" s="6">
        <v>24.18</v>
      </c>
      <c r="AB120" s="6">
        <v>22.7</v>
      </c>
      <c r="AC120" s="6">
        <v>25.86</v>
      </c>
      <c r="AD120" s="6">
        <v>24.6</v>
      </c>
      <c r="AE120" s="6">
        <v>23.55</v>
      </c>
      <c r="AF120" s="6">
        <v>23.3</v>
      </c>
      <c r="AG120" s="6">
        <v>24.68</v>
      </c>
      <c r="AH120" s="6">
        <v>25.55</v>
      </c>
      <c r="AI120" s="6">
        <v>27.44</v>
      </c>
      <c r="AJ120" s="6">
        <v>24.76</v>
      </c>
      <c r="AK120" s="6">
        <v>23.05</v>
      </c>
      <c r="AL120" s="6">
        <v>24.89</v>
      </c>
      <c r="AM120" s="6">
        <v>23.96</v>
      </c>
      <c r="AN120" s="6">
        <v>23.91</v>
      </c>
      <c r="AO120" s="6">
        <v>26.6</v>
      </c>
      <c r="AP120" s="6">
        <v>24.42</v>
      </c>
      <c r="AQ120" s="6">
        <v>25.1</v>
      </c>
      <c r="AR120" s="6">
        <v>22.72</v>
      </c>
      <c r="AS120" s="6">
        <v>24.3</v>
      </c>
      <c r="AT120" s="6">
        <v>26.76</v>
      </c>
      <c r="AU120" s="6">
        <v>25.9</v>
      </c>
      <c r="AV120" s="6">
        <v>28.36</v>
      </c>
      <c r="AW120" s="6">
        <v>25.14</v>
      </c>
      <c r="AX120" s="6">
        <v>24.24</v>
      </c>
      <c r="AY120" s="6">
        <v>24.82</v>
      </c>
      <c r="AZ120" s="6">
        <v>25.02</v>
      </c>
      <c r="BA120" s="6">
        <v>24.98</v>
      </c>
      <c r="BB120" s="6">
        <v>24.95</v>
      </c>
      <c r="BC120" s="6">
        <v>23.92</v>
      </c>
      <c r="BD120" s="6">
        <v>22.26</v>
      </c>
      <c r="BE120" s="6">
        <v>27.05</v>
      </c>
      <c r="BF120" s="6">
        <v>25.25</v>
      </c>
      <c r="BG120" s="6">
        <v>24.48</v>
      </c>
      <c r="BH120" s="10">
        <v>23.09</v>
      </c>
      <c r="BI120" s="10"/>
    </row>
    <row r="121" spans="1:61" ht="15.75" customHeight="1" x14ac:dyDescent="0.25">
      <c r="A121" s="1">
        <v>120</v>
      </c>
      <c r="B121" s="1"/>
      <c r="C121" s="1">
        <v>29</v>
      </c>
      <c r="D121" s="6">
        <v>24.79</v>
      </c>
      <c r="E121" s="6">
        <v>25.76</v>
      </c>
      <c r="F121" s="6">
        <v>25.53</v>
      </c>
      <c r="G121" s="6"/>
      <c r="H121" s="6"/>
      <c r="I121" s="6"/>
      <c r="J121" s="9">
        <v>22.98</v>
      </c>
      <c r="K121" s="9">
        <v>22.02</v>
      </c>
      <c r="L121" s="9">
        <v>25.71</v>
      </c>
      <c r="M121" s="9">
        <v>22.51</v>
      </c>
      <c r="N121" s="9">
        <v>26.36</v>
      </c>
      <c r="O121" s="9">
        <v>25.74</v>
      </c>
      <c r="P121" s="9">
        <v>24.34</v>
      </c>
      <c r="Q121" s="9">
        <v>28.27</v>
      </c>
      <c r="R121" s="9">
        <v>27.86</v>
      </c>
      <c r="S121" s="9">
        <v>27.76</v>
      </c>
      <c r="T121" s="9">
        <v>25.53</v>
      </c>
      <c r="U121" s="9">
        <v>22.41</v>
      </c>
      <c r="V121" s="9">
        <v>24.85</v>
      </c>
      <c r="W121" s="6">
        <v>25.27</v>
      </c>
      <c r="X121" s="6">
        <v>22.63</v>
      </c>
      <c r="Y121" s="6">
        <v>23.2</v>
      </c>
      <c r="Z121" s="6">
        <v>25.01</v>
      </c>
      <c r="AA121" s="6">
        <v>24.32</v>
      </c>
      <c r="AB121" s="6">
        <v>22.85</v>
      </c>
      <c r="AC121" s="6">
        <v>26</v>
      </c>
      <c r="AD121" s="6">
        <v>24.76</v>
      </c>
      <c r="AE121" s="6">
        <v>23.7</v>
      </c>
      <c r="AF121" s="6">
        <v>23.36</v>
      </c>
      <c r="AG121" s="6">
        <v>24.85</v>
      </c>
      <c r="AH121" s="6">
        <v>25.83</v>
      </c>
      <c r="AI121" s="6">
        <v>27.46</v>
      </c>
      <c r="AJ121" s="6">
        <v>24.81</v>
      </c>
      <c r="AK121" s="6">
        <v>23.09</v>
      </c>
      <c r="AL121" s="6">
        <v>25.08</v>
      </c>
      <c r="AM121" s="6">
        <v>24.1</v>
      </c>
      <c r="AN121" s="6">
        <v>24.11</v>
      </c>
      <c r="AO121" s="6">
        <v>26.74</v>
      </c>
      <c r="AP121" s="6">
        <v>24.56</v>
      </c>
      <c r="AQ121" s="6">
        <v>25.18</v>
      </c>
      <c r="AR121" s="6">
        <v>22.8</v>
      </c>
      <c r="AS121" s="6">
        <v>24.6</v>
      </c>
      <c r="AT121" s="6">
        <v>26.91</v>
      </c>
      <c r="AU121" s="6">
        <v>26.1</v>
      </c>
      <c r="AV121" s="6">
        <v>28.45</v>
      </c>
      <c r="AW121" s="6">
        <v>25.37</v>
      </c>
      <c r="AX121" s="6">
        <v>24.38</v>
      </c>
      <c r="AY121" s="6">
        <v>25.05</v>
      </c>
      <c r="AZ121" s="6">
        <v>25.26</v>
      </c>
      <c r="BA121" s="6">
        <v>25.11</v>
      </c>
      <c r="BB121" s="6">
        <v>25.15</v>
      </c>
      <c r="BC121" s="6">
        <v>24.16</v>
      </c>
      <c r="BD121" s="6">
        <v>22.48</v>
      </c>
      <c r="BE121" s="6">
        <v>27</v>
      </c>
      <c r="BF121" s="6">
        <v>25.38</v>
      </c>
      <c r="BG121" s="6">
        <v>24.64</v>
      </c>
      <c r="BH121" s="10">
        <v>23.2</v>
      </c>
      <c r="BI121" s="10"/>
    </row>
    <row r="122" spans="1:61" ht="15.75" customHeight="1" x14ac:dyDescent="0.25">
      <c r="A122" s="1">
        <v>121</v>
      </c>
      <c r="B122" s="1"/>
      <c r="C122" s="1">
        <v>30</v>
      </c>
      <c r="D122" s="6">
        <v>24.81</v>
      </c>
      <c r="E122" s="6">
        <v>25.97</v>
      </c>
      <c r="F122" s="6">
        <v>25.6</v>
      </c>
      <c r="G122" s="6"/>
      <c r="H122" s="6"/>
      <c r="I122" s="6"/>
      <c r="J122" s="9">
        <v>22.98</v>
      </c>
      <c r="K122" s="9">
        <v>22.09</v>
      </c>
      <c r="L122" s="9">
        <v>25.89</v>
      </c>
      <c r="M122" s="9">
        <v>22.5</v>
      </c>
      <c r="N122" s="9">
        <v>26.45</v>
      </c>
      <c r="O122" s="9">
        <v>25.85</v>
      </c>
      <c r="P122" s="9">
        <v>24.66</v>
      </c>
      <c r="Q122" s="9">
        <v>28.57</v>
      </c>
      <c r="R122" s="9">
        <v>28.11</v>
      </c>
      <c r="S122" s="9">
        <v>27.95</v>
      </c>
      <c r="T122" s="9">
        <v>25.53</v>
      </c>
      <c r="U122" s="9">
        <v>22.48</v>
      </c>
      <c r="V122" s="9">
        <v>24.85</v>
      </c>
      <c r="W122" s="6">
        <v>25.48</v>
      </c>
      <c r="X122" s="6">
        <v>22.63</v>
      </c>
      <c r="Y122" s="6">
        <v>23.2</v>
      </c>
      <c r="Z122" s="6">
        <v>25.11</v>
      </c>
      <c r="AA122" s="6">
        <v>24.48</v>
      </c>
      <c r="AB122" s="6">
        <v>23.16</v>
      </c>
      <c r="AC122" s="6">
        <v>26.1</v>
      </c>
      <c r="AD122" s="6">
        <v>24.93</v>
      </c>
      <c r="AE122" s="6">
        <v>23.88</v>
      </c>
      <c r="AF122" s="6">
        <v>23.45</v>
      </c>
      <c r="AG122" s="6">
        <v>25.04</v>
      </c>
      <c r="AH122" s="6">
        <v>26.04</v>
      </c>
      <c r="AI122" s="6">
        <v>27.5</v>
      </c>
      <c r="AJ122" s="6">
        <v>24.85</v>
      </c>
      <c r="AK122" s="6">
        <v>23.09</v>
      </c>
      <c r="AL122" s="6">
        <v>25.15</v>
      </c>
      <c r="AM122" s="6">
        <v>24.24</v>
      </c>
      <c r="AN122" s="6">
        <v>24.35</v>
      </c>
      <c r="AO122" s="6">
        <v>26.9</v>
      </c>
      <c r="AP122" s="6">
        <v>24.66</v>
      </c>
      <c r="AQ122" s="6">
        <v>25.21</v>
      </c>
      <c r="AR122" s="6">
        <v>22.91</v>
      </c>
      <c r="AS122" s="6">
        <v>24.85</v>
      </c>
      <c r="AT122" s="6">
        <v>27.09</v>
      </c>
      <c r="AU122" s="6">
        <v>26.25</v>
      </c>
      <c r="AV122" s="6">
        <v>28.54</v>
      </c>
      <c r="AW122" s="6">
        <v>25.6</v>
      </c>
      <c r="AX122" s="6">
        <v>24.48</v>
      </c>
      <c r="AY122" s="6">
        <v>25.19</v>
      </c>
      <c r="AZ122" s="6">
        <v>25.48</v>
      </c>
      <c r="BA122" s="6">
        <v>25.21</v>
      </c>
      <c r="BB122" s="6">
        <v>25.3</v>
      </c>
      <c r="BC122" s="6">
        <v>24.32</v>
      </c>
      <c r="BD122" s="6">
        <v>22.68</v>
      </c>
      <c r="BE122" s="6">
        <v>26.95</v>
      </c>
      <c r="BF122" s="6">
        <v>25.52</v>
      </c>
      <c r="BG122" s="6">
        <v>24.82</v>
      </c>
      <c r="BH122" s="10">
        <v>23.34</v>
      </c>
      <c r="BI122" s="10"/>
    </row>
    <row r="123" spans="1:61" ht="15.75" customHeight="1" x14ac:dyDescent="0.25">
      <c r="A123" s="1">
        <v>122</v>
      </c>
      <c r="B123" s="1" t="s">
        <v>8</v>
      </c>
      <c r="C123" s="1">
        <v>1</v>
      </c>
      <c r="D123" s="6">
        <v>24.86</v>
      </c>
      <c r="E123" s="6">
        <v>26.87</v>
      </c>
      <c r="F123" s="6">
        <v>25.57</v>
      </c>
      <c r="G123" s="6"/>
      <c r="H123" s="6"/>
      <c r="I123" s="6"/>
      <c r="J123" s="9">
        <v>22.98</v>
      </c>
      <c r="K123" s="9">
        <v>22.18</v>
      </c>
      <c r="L123" s="9">
        <v>26.11</v>
      </c>
      <c r="M123" s="9">
        <v>22.48</v>
      </c>
      <c r="N123" s="9">
        <v>26.55</v>
      </c>
      <c r="O123" s="9">
        <v>25.99</v>
      </c>
      <c r="P123" s="9">
        <v>25</v>
      </c>
      <c r="Q123" s="9">
        <v>28.85</v>
      </c>
      <c r="R123" s="9">
        <v>28.41</v>
      </c>
      <c r="S123" s="9">
        <v>28.16</v>
      </c>
      <c r="T123" s="9">
        <v>25.55</v>
      </c>
      <c r="U123" s="9">
        <v>22.55</v>
      </c>
      <c r="V123" s="9">
        <v>24.89</v>
      </c>
      <c r="W123" s="6">
        <v>25.6</v>
      </c>
      <c r="X123" s="6">
        <v>22.62</v>
      </c>
      <c r="Y123" s="6">
        <v>23.2</v>
      </c>
      <c r="Z123" s="6">
        <v>25.26</v>
      </c>
      <c r="AA123" s="6">
        <v>24.68</v>
      </c>
      <c r="AB123" s="6">
        <v>23.35</v>
      </c>
      <c r="AC123" s="6">
        <v>26.19</v>
      </c>
      <c r="AD123" s="6">
        <v>25.12</v>
      </c>
      <c r="AE123" s="6">
        <v>24.06</v>
      </c>
      <c r="AF123" s="6">
        <v>23.59</v>
      </c>
      <c r="AG123" s="6">
        <v>25.18</v>
      </c>
      <c r="AH123" s="6">
        <v>26.22</v>
      </c>
      <c r="AI123" s="6">
        <v>27.57</v>
      </c>
      <c r="AJ123" s="6">
        <v>24.92</v>
      </c>
      <c r="AK123" s="6">
        <v>23.08</v>
      </c>
      <c r="AL123" s="6">
        <v>25.24</v>
      </c>
      <c r="AM123" s="6">
        <v>24.4</v>
      </c>
      <c r="AN123" s="6">
        <v>24.58</v>
      </c>
      <c r="AO123" s="6">
        <v>27.06</v>
      </c>
      <c r="AP123" s="6">
        <v>24.7</v>
      </c>
      <c r="AQ123" s="6">
        <v>25.22</v>
      </c>
      <c r="AR123" s="6">
        <v>23.02</v>
      </c>
      <c r="AS123" s="6">
        <v>24.99</v>
      </c>
      <c r="AT123" s="6">
        <v>27.24</v>
      </c>
      <c r="AU123" s="6">
        <v>26.4</v>
      </c>
      <c r="AV123" s="6">
        <v>28.64</v>
      </c>
      <c r="AW123" s="6">
        <v>25.74</v>
      </c>
      <c r="AX123" s="6">
        <v>24.6</v>
      </c>
      <c r="AY123" s="6">
        <v>25.26</v>
      </c>
      <c r="AZ123" s="6">
        <v>25.77</v>
      </c>
      <c r="BA123" s="6">
        <v>25.37</v>
      </c>
      <c r="BB123" s="6">
        <v>25.5</v>
      </c>
      <c r="BC123" s="6">
        <v>24.44</v>
      </c>
      <c r="BD123" s="6">
        <v>22.86</v>
      </c>
      <c r="BE123" s="6">
        <v>26.95</v>
      </c>
      <c r="BF123" s="6">
        <v>25.62</v>
      </c>
      <c r="BG123" s="6">
        <v>24.9</v>
      </c>
      <c r="BH123" s="10">
        <v>23.48</v>
      </c>
      <c r="BI123" s="10"/>
    </row>
    <row r="124" spans="1:61" ht="15.75" customHeight="1" x14ac:dyDescent="0.25">
      <c r="A124" s="1">
        <v>123</v>
      </c>
      <c r="B124" s="1"/>
      <c r="C124" s="1">
        <v>2</v>
      </c>
      <c r="D124" s="6">
        <v>24.94</v>
      </c>
      <c r="E124" s="6">
        <v>27.37</v>
      </c>
      <c r="F124" s="6">
        <v>25.6</v>
      </c>
      <c r="G124" s="6"/>
      <c r="H124" s="6"/>
      <c r="I124" s="6"/>
      <c r="J124" s="9">
        <v>23.03</v>
      </c>
      <c r="K124" s="9">
        <v>22.31</v>
      </c>
      <c r="L124" s="9">
        <v>26.34</v>
      </c>
      <c r="M124" s="9">
        <v>22.49</v>
      </c>
      <c r="N124" s="9">
        <v>26.61</v>
      </c>
      <c r="O124" s="9">
        <v>26.12</v>
      </c>
      <c r="P124" s="9">
        <v>25.21</v>
      </c>
      <c r="Q124" s="9">
        <v>29.06</v>
      </c>
      <c r="R124" s="9">
        <v>28.6</v>
      </c>
      <c r="S124" s="9">
        <v>28.36</v>
      </c>
      <c r="T124" s="9">
        <v>25.62</v>
      </c>
      <c r="U124" s="9">
        <v>22.68</v>
      </c>
      <c r="V124" s="9">
        <v>24.96</v>
      </c>
      <c r="W124" s="6">
        <v>25.73</v>
      </c>
      <c r="X124" s="6">
        <v>22.61</v>
      </c>
      <c r="Y124" s="6">
        <v>23.2</v>
      </c>
      <c r="Z124" s="6">
        <v>25.44</v>
      </c>
      <c r="AA124" s="6">
        <v>24.92</v>
      </c>
      <c r="AB124" s="6">
        <v>23.62</v>
      </c>
      <c r="AC124" s="6">
        <v>26.3</v>
      </c>
      <c r="AD124" s="6">
        <v>25.3</v>
      </c>
      <c r="AE124" s="6">
        <v>24.35</v>
      </c>
      <c r="AF124" s="6">
        <v>23.78</v>
      </c>
      <c r="AG124" s="6">
        <v>25.3</v>
      </c>
      <c r="AH124" s="6">
        <v>26.4</v>
      </c>
      <c r="AI124" s="6">
        <v>27.68</v>
      </c>
      <c r="AJ124" s="6">
        <v>25.01</v>
      </c>
      <c r="AK124" s="6">
        <v>23.07</v>
      </c>
      <c r="AL124" s="6">
        <v>25.3</v>
      </c>
      <c r="AM124" s="6">
        <v>24.59</v>
      </c>
      <c r="AN124" s="6">
        <v>24.73</v>
      </c>
      <c r="AO124" s="6">
        <v>27.19</v>
      </c>
      <c r="AP124" s="6">
        <v>24.79</v>
      </c>
      <c r="AQ124" s="6">
        <v>25.19</v>
      </c>
      <c r="AR124" s="6">
        <v>23.14</v>
      </c>
      <c r="AS124" s="6">
        <v>25.07</v>
      </c>
      <c r="AT124" s="6">
        <v>27.34</v>
      </c>
      <c r="AU124" s="6">
        <v>26.6</v>
      </c>
      <c r="AV124" s="6">
        <v>28.77</v>
      </c>
      <c r="AW124" s="6">
        <v>25.87</v>
      </c>
      <c r="AX124" s="6">
        <v>24.75</v>
      </c>
      <c r="AY124" s="6">
        <v>25.31</v>
      </c>
      <c r="AZ124" s="6">
        <v>26.07</v>
      </c>
      <c r="BA124" s="6">
        <v>25.52</v>
      </c>
      <c r="BB124" s="6">
        <v>25.65</v>
      </c>
      <c r="BC124" s="6">
        <v>24.55</v>
      </c>
      <c r="BD124" s="6">
        <v>23.04</v>
      </c>
      <c r="BE124" s="6">
        <v>26.98</v>
      </c>
      <c r="BF124" s="6">
        <v>25.78</v>
      </c>
      <c r="BG124" s="6">
        <v>25</v>
      </c>
      <c r="BH124" s="10">
        <v>23.64</v>
      </c>
      <c r="BI124" s="10"/>
    </row>
    <row r="125" spans="1:61" ht="15.75" customHeight="1" x14ac:dyDescent="0.25">
      <c r="A125" s="1">
        <v>124</v>
      </c>
      <c r="B125" s="1"/>
      <c r="C125" s="1">
        <v>3</v>
      </c>
      <c r="D125" s="6">
        <v>25.12</v>
      </c>
      <c r="E125" s="6">
        <v>27.45</v>
      </c>
      <c r="F125" s="6">
        <v>25.68</v>
      </c>
      <c r="G125" s="6"/>
      <c r="H125" s="6"/>
      <c r="I125" s="6"/>
      <c r="J125" s="9">
        <v>23.08</v>
      </c>
      <c r="K125" s="9">
        <v>22.43</v>
      </c>
      <c r="L125" s="9">
        <v>26.63</v>
      </c>
      <c r="M125" s="9">
        <v>22.49</v>
      </c>
      <c r="N125" s="9">
        <v>26.64</v>
      </c>
      <c r="O125" s="9">
        <v>26.26</v>
      </c>
      <c r="P125" s="9">
        <v>25.5</v>
      </c>
      <c r="Q125" s="9">
        <v>29.42</v>
      </c>
      <c r="R125" s="9">
        <v>28.79</v>
      </c>
      <c r="S125" s="9">
        <v>28.57</v>
      </c>
      <c r="T125" s="9">
        <v>25.79</v>
      </c>
      <c r="U125" s="9">
        <v>22.85</v>
      </c>
      <c r="V125" s="9">
        <v>25.03</v>
      </c>
      <c r="W125" s="6">
        <v>25.87</v>
      </c>
      <c r="X125" s="6">
        <v>22.65</v>
      </c>
      <c r="Y125" s="6">
        <v>23.25</v>
      </c>
      <c r="Z125" s="6">
        <v>25.63</v>
      </c>
      <c r="AA125" s="6">
        <v>25.13</v>
      </c>
      <c r="AB125" s="6">
        <v>23.78</v>
      </c>
      <c r="AC125" s="6">
        <v>26.44</v>
      </c>
      <c r="AD125" s="6">
        <v>25.46</v>
      </c>
      <c r="AE125" s="6">
        <v>24.68</v>
      </c>
      <c r="AF125" s="6">
        <v>23.92</v>
      </c>
      <c r="AG125" s="6">
        <v>25.36</v>
      </c>
      <c r="AH125" s="6">
        <v>26.52</v>
      </c>
      <c r="AI125" s="6">
        <v>27.79</v>
      </c>
      <c r="AJ125" s="6">
        <v>25.11</v>
      </c>
      <c r="AK125" s="6">
        <v>23.07</v>
      </c>
      <c r="AL125" s="6">
        <v>25.36</v>
      </c>
      <c r="AM125" s="6">
        <v>24.8</v>
      </c>
      <c r="AN125" s="6">
        <v>24.93</v>
      </c>
      <c r="AO125" s="6">
        <v>27.27</v>
      </c>
      <c r="AP125" s="6">
        <v>24.9</v>
      </c>
      <c r="AQ125" s="6">
        <v>25.18</v>
      </c>
      <c r="AR125" s="6">
        <v>23.3</v>
      </c>
      <c r="AS125" s="6">
        <v>25.08</v>
      </c>
      <c r="AT125" s="6">
        <v>27.44</v>
      </c>
      <c r="AU125" s="6">
        <v>26.78</v>
      </c>
      <c r="AV125" s="6">
        <v>28.84</v>
      </c>
      <c r="AW125" s="6">
        <v>25.97</v>
      </c>
      <c r="AX125" s="6">
        <v>24.95</v>
      </c>
      <c r="AY125" s="6">
        <v>25.39</v>
      </c>
      <c r="AZ125" s="6">
        <v>26.28</v>
      </c>
      <c r="BA125" s="6">
        <v>25.62</v>
      </c>
      <c r="BB125" s="6">
        <v>25.93</v>
      </c>
      <c r="BC125" s="6">
        <v>24.68</v>
      </c>
      <c r="BD125" s="6">
        <v>23.15</v>
      </c>
      <c r="BE125" s="6">
        <v>27.1</v>
      </c>
      <c r="BF125" s="6">
        <v>25.95</v>
      </c>
      <c r="BG125" s="6">
        <v>25.15</v>
      </c>
      <c r="BH125" s="10">
        <v>23.78</v>
      </c>
      <c r="BI125" s="10"/>
    </row>
    <row r="126" spans="1:61" ht="15.75" customHeight="1" x14ac:dyDescent="0.25">
      <c r="A126" s="1">
        <v>125</v>
      </c>
      <c r="B126" s="1"/>
      <c r="C126" s="1">
        <v>4</v>
      </c>
      <c r="D126" s="6">
        <v>25.26</v>
      </c>
      <c r="E126" s="6">
        <v>27.53</v>
      </c>
      <c r="F126" s="6">
        <v>25.68</v>
      </c>
      <c r="G126" s="6"/>
      <c r="H126" s="6"/>
      <c r="I126" s="6"/>
      <c r="J126" s="9">
        <v>23.13</v>
      </c>
      <c r="K126" s="9">
        <v>22.63</v>
      </c>
      <c r="L126" s="9">
        <v>26.85</v>
      </c>
      <c r="M126" s="9">
        <v>22.61</v>
      </c>
      <c r="N126" s="9">
        <v>26.67</v>
      </c>
      <c r="O126" s="9">
        <v>26.41</v>
      </c>
      <c r="P126" s="9">
        <v>25.75</v>
      </c>
      <c r="Q126" s="9">
        <v>29.43</v>
      </c>
      <c r="R126" s="9">
        <v>29.06</v>
      </c>
      <c r="S126" s="9">
        <v>28.86</v>
      </c>
      <c r="T126" s="9">
        <v>25.92</v>
      </c>
      <c r="U126" s="9">
        <v>23.12</v>
      </c>
      <c r="V126" s="9">
        <v>25.11</v>
      </c>
      <c r="W126" s="6">
        <v>25.98</v>
      </c>
      <c r="X126" s="6">
        <v>22.66</v>
      </c>
      <c r="Y126" s="6">
        <v>23.32</v>
      </c>
      <c r="Z126" s="6">
        <v>25.93</v>
      </c>
      <c r="AA126" s="6">
        <v>25.26</v>
      </c>
      <c r="AB126" s="6">
        <v>23.85</v>
      </c>
      <c r="AC126" s="6">
        <v>26.5</v>
      </c>
      <c r="AD126" s="6">
        <v>25.7</v>
      </c>
      <c r="AE126" s="6">
        <v>24.98</v>
      </c>
      <c r="AF126" s="6">
        <v>24.12</v>
      </c>
      <c r="AG126" s="6">
        <v>25.38</v>
      </c>
      <c r="AH126" s="6">
        <v>26.68</v>
      </c>
      <c r="AI126" s="6">
        <v>27.9</v>
      </c>
      <c r="AJ126" s="6">
        <v>25.24</v>
      </c>
      <c r="AK126" s="6">
        <v>23.09</v>
      </c>
      <c r="AL126" s="6">
        <v>25.41</v>
      </c>
      <c r="AM126" s="6">
        <v>25.04</v>
      </c>
      <c r="AN126" s="6">
        <v>25.14</v>
      </c>
      <c r="AO126" s="6">
        <v>27.3</v>
      </c>
      <c r="AP126" s="6">
        <v>24.99</v>
      </c>
      <c r="AQ126" s="6">
        <v>25.17</v>
      </c>
      <c r="AR126" s="6">
        <v>23.45</v>
      </c>
      <c r="AS126" s="6">
        <v>25.08</v>
      </c>
      <c r="AT126" s="6">
        <v>27.47</v>
      </c>
      <c r="AU126" s="6">
        <v>26.9</v>
      </c>
      <c r="AV126" s="6">
        <v>28.9</v>
      </c>
      <c r="AW126" s="6">
        <v>26.09</v>
      </c>
      <c r="AX126" s="6">
        <v>25.18</v>
      </c>
      <c r="AY126" s="6">
        <v>25.49</v>
      </c>
      <c r="AZ126" s="6">
        <v>26.45</v>
      </c>
      <c r="BA126" s="6">
        <v>25.73</v>
      </c>
      <c r="BB126" s="6">
        <v>26.2</v>
      </c>
      <c r="BC126" s="6">
        <v>24.8</v>
      </c>
      <c r="BD126" s="6">
        <v>23.28</v>
      </c>
      <c r="BE126" s="6">
        <v>27.16</v>
      </c>
      <c r="BF126" s="6">
        <v>26.14</v>
      </c>
      <c r="BG126" s="6">
        <v>25.36</v>
      </c>
      <c r="BH126" s="10">
        <v>23.88</v>
      </c>
      <c r="BI126" s="23"/>
    </row>
    <row r="127" spans="1:61" ht="15.75" customHeight="1" x14ac:dyDescent="0.25">
      <c r="A127" s="1">
        <v>126</v>
      </c>
      <c r="B127" s="1"/>
      <c r="C127" s="1">
        <v>5</v>
      </c>
      <c r="D127" s="6">
        <v>25.29</v>
      </c>
      <c r="E127" s="6">
        <v>27.68</v>
      </c>
      <c r="F127" s="6">
        <v>25.69</v>
      </c>
      <c r="G127" s="6"/>
      <c r="H127" s="6"/>
      <c r="I127" s="6"/>
      <c r="J127" s="9">
        <v>23.18</v>
      </c>
      <c r="K127" s="9">
        <v>22.83</v>
      </c>
      <c r="L127" s="9">
        <v>27.07</v>
      </c>
      <c r="M127" s="9">
        <v>22.68</v>
      </c>
      <c r="N127" s="9">
        <v>26.68</v>
      </c>
      <c r="O127" s="9">
        <v>26.5</v>
      </c>
      <c r="P127" s="9">
        <v>25.86</v>
      </c>
      <c r="Q127" s="9">
        <v>29.57</v>
      </c>
      <c r="R127" s="9">
        <v>29.32</v>
      </c>
      <c r="S127" s="9">
        <v>29.17</v>
      </c>
      <c r="T127" s="9">
        <v>26.07</v>
      </c>
      <c r="U127" s="9">
        <v>23.35</v>
      </c>
      <c r="V127" s="9">
        <v>25.15</v>
      </c>
      <c r="W127" s="6">
        <v>26.05</v>
      </c>
      <c r="X127" s="6">
        <v>22.7</v>
      </c>
      <c r="Y127" s="6">
        <v>23.39</v>
      </c>
      <c r="Z127" s="6">
        <v>26.14</v>
      </c>
      <c r="AA127" s="6">
        <v>25.36</v>
      </c>
      <c r="AB127" s="6">
        <v>23.98</v>
      </c>
      <c r="AC127" s="6">
        <v>26.56</v>
      </c>
      <c r="AD127" s="6">
        <v>25.98</v>
      </c>
      <c r="AE127" s="6">
        <v>25.2</v>
      </c>
      <c r="AF127" s="6">
        <v>24.32</v>
      </c>
      <c r="AG127" s="6">
        <v>25.38</v>
      </c>
      <c r="AH127" s="6">
        <v>26.88</v>
      </c>
      <c r="AI127" s="6">
        <v>28</v>
      </c>
      <c r="AJ127" s="6">
        <v>25.36</v>
      </c>
      <c r="AK127" s="6">
        <v>23.17</v>
      </c>
      <c r="AL127" s="6">
        <v>25.47</v>
      </c>
      <c r="AM127" s="6">
        <v>25.25</v>
      </c>
      <c r="AN127" s="6">
        <v>25.34</v>
      </c>
      <c r="AO127" s="6">
        <v>27.33</v>
      </c>
      <c r="AP127" s="6">
        <v>25.13</v>
      </c>
      <c r="AQ127" s="6">
        <v>25.2</v>
      </c>
      <c r="AR127" s="6">
        <v>23.66</v>
      </c>
      <c r="AS127" s="6">
        <v>25.04</v>
      </c>
      <c r="AT127" s="6">
        <v>27.51</v>
      </c>
      <c r="AU127" s="6">
        <v>27.08</v>
      </c>
      <c r="AV127" s="6">
        <v>28.95</v>
      </c>
      <c r="AW127" s="6">
        <v>26.14</v>
      </c>
      <c r="AX127" s="6">
        <v>25.37</v>
      </c>
      <c r="AY127" s="6">
        <v>25.6</v>
      </c>
      <c r="AZ127" s="6">
        <v>26.6</v>
      </c>
      <c r="BA127" s="6">
        <v>25.85</v>
      </c>
      <c r="BB127" s="6">
        <v>26.4</v>
      </c>
      <c r="BC127" s="6">
        <v>24.9</v>
      </c>
      <c r="BD127" s="6">
        <v>23.4</v>
      </c>
      <c r="BE127" s="6">
        <v>27.54</v>
      </c>
      <c r="BF127" s="6">
        <v>26.31</v>
      </c>
      <c r="BG127" s="6">
        <v>25.5</v>
      </c>
      <c r="BH127" s="23">
        <v>23.96</v>
      </c>
      <c r="BI127" s="23"/>
    </row>
    <row r="128" spans="1:61" ht="15.75" customHeight="1" x14ac:dyDescent="0.25">
      <c r="A128" s="1">
        <v>127</v>
      </c>
      <c r="B128" s="1"/>
      <c r="C128" s="1">
        <v>6</v>
      </c>
      <c r="D128" s="6">
        <v>25.39</v>
      </c>
      <c r="E128" s="6">
        <v>27.72</v>
      </c>
      <c r="F128" s="6">
        <v>25.72</v>
      </c>
      <c r="G128" s="6"/>
      <c r="H128" s="6"/>
      <c r="I128" s="6"/>
      <c r="J128" s="9">
        <v>23.23</v>
      </c>
      <c r="K128" s="9">
        <v>23.15</v>
      </c>
      <c r="L128" s="9">
        <v>27.25</v>
      </c>
      <c r="M128" s="9">
        <v>22.73</v>
      </c>
      <c r="N128" s="9">
        <v>26.73</v>
      </c>
      <c r="O128" s="9">
        <v>26.63</v>
      </c>
      <c r="P128" s="9">
        <v>25.99</v>
      </c>
      <c r="Q128" s="9">
        <v>29.71</v>
      </c>
      <c r="R128" s="9">
        <v>29.55</v>
      </c>
      <c r="S128" s="9">
        <v>29.39</v>
      </c>
      <c r="T128" s="9">
        <v>26.23</v>
      </c>
      <c r="U128" s="9">
        <v>23.59</v>
      </c>
      <c r="V128" s="9">
        <v>25.18</v>
      </c>
      <c r="W128" s="6">
        <v>26.08</v>
      </c>
      <c r="X128" s="6">
        <v>22.73</v>
      </c>
      <c r="Y128" s="6">
        <v>23.46</v>
      </c>
      <c r="Z128" s="6">
        <v>26.36</v>
      </c>
      <c r="AA128" s="6">
        <v>25.44</v>
      </c>
      <c r="AB128" s="6">
        <v>24.16</v>
      </c>
      <c r="AC128" s="6">
        <v>26.6</v>
      </c>
      <c r="AD128" s="6">
        <v>26.24</v>
      </c>
      <c r="AE128" s="6">
        <v>25.38</v>
      </c>
      <c r="AF128" s="6">
        <v>24.44</v>
      </c>
      <c r="AG128" s="6">
        <v>25.38</v>
      </c>
      <c r="AH128" s="6">
        <v>26.98</v>
      </c>
      <c r="AI128" s="6">
        <v>28.08</v>
      </c>
      <c r="AJ128" s="6">
        <v>25.45</v>
      </c>
      <c r="AK128" s="6">
        <v>23.29</v>
      </c>
      <c r="AL128" s="6">
        <v>25.51</v>
      </c>
      <c r="AM128" s="6">
        <v>25.43</v>
      </c>
      <c r="AN128" s="6">
        <v>25.46</v>
      </c>
      <c r="AO128" s="6">
        <v>27.36</v>
      </c>
      <c r="AP128" s="6">
        <v>25.27</v>
      </c>
      <c r="AQ128" s="6">
        <v>25.24</v>
      </c>
      <c r="AR128" s="6">
        <v>23.8</v>
      </c>
      <c r="AS128" s="6">
        <v>25.02</v>
      </c>
      <c r="AT128" s="6">
        <v>27.54</v>
      </c>
      <c r="AU128" s="6">
        <v>27.19</v>
      </c>
      <c r="AV128" s="6">
        <v>29.05</v>
      </c>
      <c r="AW128" s="6">
        <v>26.2</v>
      </c>
      <c r="AX128" s="6">
        <v>25.54</v>
      </c>
      <c r="AY128" s="6">
        <v>25.67</v>
      </c>
      <c r="AZ128" s="6">
        <v>26.78</v>
      </c>
      <c r="BA128" s="6">
        <v>26.05</v>
      </c>
      <c r="BB128" s="6">
        <v>26.65</v>
      </c>
      <c r="BC128" s="6">
        <v>25.04</v>
      </c>
      <c r="BD128" s="6">
        <v>23.7</v>
      </c>
      <c r="BE128" s="6">
        <v>27.8</v>
      </c>
      <c r="BF128" s="6">
        <v>26.44</v>
      </c>
      <c r="BG128" s="6">
        <v>25.65</v>
      </c>
      <c r="BH128" s="23">
        <v>24.06</v>
      </c>
      <c r="BI128" s="10"/>
    </row>
    <row r="129" spans="1:61" ht="15.75" customHeight="1" x14ac:dyDescent="0.25">
      <c r="A129" s="1">
        <v>128</v>
      </c>
      <c r="B129" s="1"/>
      <c r="C129" s="1">
        <v>7</v>
      </c>
      <c r="D129" s="6">
        <v>25.46</v>
      </c>
      <c r="E129" s="6">
        <v>27.47</v>
      </c>
      <c r="F129" s="6">
        <v>25.81</v>
      </c>
      <c r="G129" s="6"/>
      <c r="H129" s="6"/>
      <c r="I129" s="6"/>
      <c r="J129" s="9">
        <v>23.28</v>
      </c>
      <c r="K129" s="9">
        <v>23.43</v>
      </c>
      <c r="L129" s="9">
        <v>27.42</v>
      </c>
      <c r="M129" s="9">
        <v>22.81</v>
      </c>
      <c r="N129" s="9">
        <v>26.77</v>
      </c>
      <c r="O129" s="9">
        <v>26.78</v>
      </c>
      <c r="P129" s="9">
        <v>26.11</v>
      </c>
      <c r="Q129" s="9">
        <v>29.82</v>
      </c>
      <c r="R129" s="9">
        <v>29.76</v>
      </c>
      <c r="S129" s="9">
        <v>29.57</v>
      </c>
      <c r="T129" s="9">
        <v>26.44</v>
      </c>
      <c r="U129" s="9">
        <v>23.81</v>
      </c>
      <c r="V129" s="9">
        <v>25.26</v>
      </c>
      <c r="W129" s="6">
        <v>26.1</v>
      </c>
      <c r="X129" s="6">
        <v>22.8</v>
      </c>
      <c r="Y129" s="6">
        <v>23.54</v>
      </c>
      <c r="Z129" s="6">
        <v>26.5</v>
      </c>
      <c r="AA129" s="6">
        <v>25.52</v>
      </c>
      <c r="AB129" s="6">
        <v>24.34</v>
      </c>
      <c r="AC129" s="6">
        <v>26.7</v>
      </c>
      <c r="AD129" s="6">
        <v>26.41</v>
      </c>
      <c r="AE129" s="6">
        <v>25.54</v>
      </c>
      <c r="AF129" s="6">
        <v>24.62</v>
      </c>
      <c r="AG129" s="6">
        <v>25.33</v>
      </c>
      <c r="AH129" s="6">
        <v>27.1</v>
      </c>
      <c r="AI129" s="6">
        <v>28.14</v>
      </c>
      <c r="AJ129" s="6">
        <v>25.52</v>
      </c>
      <c r="AK129" s="6">
        <v>23.47</v>
      </c>
      <c r="AL129" s="6">
        <v>25.52</v>
      </c>
      <c r="AM129" s="6">
        <v>25.59</v>
      </c>
      <c r="AN129" s="6">
        <v>25.57</v>
      </c>
      <c r="AO129" s="6">
        <v>27.38</v>
      </c>
      <c r="AP129" s="6">
        <v>25.43</v>
      </c>
      <c r="AQ129" s="6">
        <v>25.3</v>
      </c>
      <c r="AR129" s="6">
        <v>23.96</v>
      </c>
      <c r="AS129" s="6">
        <v>25.02</v>
      </c>
      <c r="AT129" s="6">
        <v>27.55</v>
      </c>
      <c r="AU129" s="6">
        <v>27.3</v>
      </c>
      <c r="AV129" s="6">
        <v>29.1</v>
      </c>
      <c r="AW129" s="6">
        <v>26.28</v>
      </c>
      <c r="AX129" s="6">
        <v>25.67</v>
      </c>
      <c r="AY129" s="6">
        <v>25.64</v>
      </c>
      <c r="AZ129" s="6">
        <v>27.02</v>
      </c>
      <c r="BA129" s="6">
        <v>26.3</v>
      </c>
      <c r="BB129" s="6">
        <v>26.98</v>
      </c>
      <c r="BC129" s="6">
        <v>25.1</v>
      </c>
      <c r="BD129" s="6">
        <v>23.86</v>
      </c>
      <c r="BE129" s="6">
        <v>27.98</v>
      </c>
      <c r="BF129" s="6">
        <v>26.63</v>
      </c>
      <c r="BG129" s="6">
        <v>25.66</v>
      </c>
      <c r="BH129" s="10">
        <v>24.28</v>
      </c>
      <c r="BI129" s="10"/>
    </row>
    <row r="130" spans="1:61" ht="15.75" customHeight="1" x14ac:dyDescent="0.25">
      <c r="A130" s="1">
        <v>129</v>
      </c>
      <c r="B130" s="1"/>
      <c r="C130" s="1">
        <v>8</v>
      </c>
      <c r="D130" s="6">
        <v>25.56</v>
      </c>
      <c r="E130" s="6">
        <v>27.22</v>
      </c>
      <c r="F130" s="6">
        <v>25.97</v>
      </c>
      <c r="G130" s="6"/>
      <c r="H130" s="6"/>
      <c r="I130" s="6"/>
      <c r="J130" s="9">
        <v>23.38</v>
      </c>
      <c r="K130" s="9">
        <v>23.67</v>
      </c>
      <c r="L130" s="9">
        <v>27.61</v>
      </c>
      <c r="M130" s="9">
        <v>22.9</v>
      </c>
      <c r="N130" s="9">
        <v>26.84</v>
      </c>
      <c r="O130" s="9">
        <v>26.87</v>
      </c>
      <c r="P130" s="9">
        <v>26.19</v>
      </c>
      <c r="Q130" s="9">
        <v>29.94</v>
      </c>
      <c r="R130" s="9">
        <v>29.94</v>
      </c>
      <c r="S130" s="9">
        <v>29.74</v>
      </c>
      <c r="T130" s="9">
        <v>26.64</v>
      </c>
      <c r="U130" s="9">
        <v>23.89</v>
      </c>
      <c r="V130" s="9">
        <v>25.4</v>
      </c>
      <c r="W130" s="6">
        <v>26.1</v>
      </c>
      <c r="X130" s="6">
        <v>22.86</v>
      </c>
      <c r="Y130" s="6">
        <v>23.59</v>
      </c>
      <c r="Z130" s="6">
        <v>26.65</v>
      </c>
      <c r="AA130" s="6">
        <v>25.57</v>
      </c>
      <c r="AB130" s="6">
        <v>24.43</v>
      </c>
      <c r="AC130" s="6">
        <v>26.86</v>
      </c>
      <c r="AD130" s="6">
        <v>26.58</v>
      </c>
      <c r="AE130" s="6">
        <v>25.64</v>
      </c>
      <c r="AF130" s="6">
        <v>24.79</v>
      </c>
      <c r="AG130" s="6">
        <v>25.3</v>
      </c>
      <c r="AH130" s="6">
        <v>27.17</v>
      </c>
      <c r="AI130" s="6">
        <v>28.18</v>
      </c>
      <c r="AJ130" s="6">
        <v>25.58</v>
      </c>
      <c r="AK130" s="6">
        <v>23.72</v>
      </c>
      <c r="AL130" s="6">
        <v>25.53</v>
      </c>
      <c r="AM130" s="6">
        <v>25.7</v>
      </c>
      <c r="AN130" s="6">
        <v>25.69</v>
      </c>
      <c r="AO130" s="6">
        <v>27.41</v>
      </c>
      <c r="AP130" s="6">
        <v>25.57</v>
      </c>
      <c r="AQ130" s="6">
        <v>25.4</v>
      </c>
      <c r="AR130" s="6">
        <v>24.1</v>
      </c>
      <c r="AS130" s="6">
        <v>25.1</v>
      </c>
      <c r="AT130" s="6">
        <v>27.55</v>
      </c>
      <c r="AU130" s="6">
        <v>27.42</v>
      </c>
      <c r="AV130" s="6">
        <v>29.2</v>
      </c>
      <c r="AW130" s="6">
        <v>26.39</v>
      </c>
      <c r="AX130" s="6">
        <v>25.78</v>
      </c>
      <c r="AY130" s="6">
        <v>25.61</v>
      </c>
      <c r="AZ130" s="6">
        <v>27.24</v>
      </c>
      <c r="BA130" s="6">
        <v>26.48</v>
      </c>
      <c r="BB130" s="6">
        <v>27.2</v>
      </c>
      <c r="BC130" s="6">
        <v>25.16</v>
      </c>
      <c r="BD130" s="6">
        <v>23.99</v>
      </c>
      <c r="BE130" s="6">
        <v>28.18</v>
      </c>
      <c r="BF130" s="6">
        <v>26.72</v>
      </c>
      <c r="BG130" s="6">
        <v>25.68</v>
      </c>
      <c r="BH130" s="10">
        <v>24.59</v>
      </c>
      <c r="BI130" s="10"/>
    </row>
    <row r="131" spans="1:61" ht="15.75" customHeight="1" x14ac:dyDescent="0.25">
      <c r="A131" s="1">
        <v>130</v>
      </c>
      <c r="B131" s="1"/>
      <c r="C131" s="1">
        <v>9</v>
      </c>
      <c r="D131" s="6">
        <v>25.62</v>
      </c>
      <c r="E131" s="6">
        <v>27.43</v>
      </c>
      <c r="F131" s="6">
        <v>26.22</v>
      </c>
      <c r="G131" s="6"/>
      <c r="H131" s="6"/>
      <c r="I131" s="6"/>
      <c r="J131" s="9">
        <v>23.48</v>
      </c>
      <c r="K131" s="9">
        <v>24.07</v>
      </c>
      <c r="L131" s="9">
        <v>27.8</v>
      </c>
      <c r="M131" s="9">
        <v>23.02</v>
      </c>
      <c r="N131" s="9">
        <v>26.93</v>
      </c>
      <c r="O131" s="9">
        <v>26.93</v>
      </c>
      <c r="P131" s="9">
        <v>26.27</v>
      </c>
      <c r="Q131" s="9">
        <v>30.06</v>
      </c>
      <c r="R131" s="9">
        <v>30.17</v>
      </c>
      <c r="S131" s="9">
        <v>29.86</v>
      </c>
      <c r="T131" s="9">
        <v>26.83</v>
      </c>
      <c r="U131" s="9">
        <v>23.93</v>
      </c>
      <c r="V131" s="9">
        <v>25.65</v>
      </c>
      <c r="W131" s="6">
        <v>26.13</v>
      </c>
      <c r="X131" s="6">
        <v>22.89</v>
      </c>
      <c r="Y131" s="6">
        <v>23.7</v>
      </c>
      <c r="Z131" s="6">
        <v>26.78</v>
      </c>
      <c r="AA131" s="6">
        <v>25.64</v>
      </c>
      <c r="AB131" s="6">
        <v>24.44</v>
      </c>
      <c r="AC131" s="6">
        <v>27</v>
      </c>
      <c r="AD131" s="6">
        <v>26.72</v>
      </c>
      <c r="AE131" s="6">
        <v>25.7</v>
      </c>
      <c r="AF131" s="6">
        <v>24.96</v>
      </c>
      <c r="AG131" s="6">
        <v>25.27</v>
      </c>
      <c r="AH131" s="6">
        <v>27.24</v>
      </c>
      <c r="AI131" s="6">
        <v>28.24</v>
      </c>
      <c r="AJ131" s="6">
        <v>25.63</v>
      </c>
      <c r="AK131" s="6">
        <v>23.94</v>
      </c>
      <c r="AL131" s="6">
        <v>25.56</v>
      </c>
      <c r="AM131" s="6">
        <v>25.8</v>
      </c>
      <c r="AN131" s="6">
        <v>25.83</v>
      </c>
      <c r="AO131" s="6">
        <v>27.47</v>
      </c>
      <c r="AP131" s="6">
        <v>25.76</v>
      </c>
      <c r="AQ131" s="6">
        <v>25.53</v>
      </c>
      <c r="AR131" s="6">
        <v>24.2</v>
      </c>
      <c r="AS131" s="6">
        <v>25.17</v>
      </c>
      <c r="AT131" s="6">
        <v>27.57</v>
      </c>
      <c r="AU131" s="6">
        <v>27.57</v>
      </c>
      <c r="AV131" s="6">
        <v>29.33</v>
      </c>
      <c r="AW131" s="6">
        <v>26.58</v>
      </c>
      <c r="AX131" s="6">
        <v>25.86</v>
      </c>
      <c r="AY131" s="6">
        <v>25.55</v>
      </c>
      <c r="AZ131" s="6">
        <v>27.45</v>
      </c>
      <c r="BA131" s="6">
        <v>26.64</v>
      </c>
      <c r="BB131" s="6">
        <v>27.4</v>
      </c>
      <c r="BC131" s="6">
        <v>25.22</v>
      </c>
      <c r="BD131" s="6">
        <v>24.08</v>
      </c>
      <c r="BE131" s="6">
        <v>28.34</v>
      </c>
      <c r="BF131" s="6">
        <v>26.86</v>
      </c>
      <c r="BG131" s="6">
        <v>25.66</v>
      </c>
      <c r="BH131" s="10">
        <v>24.91</v>
      </c>
      <c r="BI131" s="10"/>
    </row>
    <row r="132" spans="1:61" ht="15.75" customHeight="1" x14ac:dyDescent="0.25">
      <c r="A132" s="1">
        <v>131</v>
      </c>
      <c r="B132" s="1"/>
      <c r="C132" s="1">
        <v>10</v>
      </c>
      <c r="D132" s="6">
        <v>25.67</v>
      </c>
      <c r="E132" s="6">
        <v>27.68</v>
      </c>
      <c r="F132" s="6">
        <v>26.31</v>
      </c>
      <c r="G132" s="6"/>
      <c r="H132" s="6"/>
      <c r="I132" s="6"/>
      <c r="J132" s="9">
        <v>23.78</v>
      </c>
      <c r="K132" s="9">
        <v>24.24</v>
      </c>
      <c r="L132" s="9">
        <v>27.9</v>
      </c>
      <c r="M132" s="9">
        <v>23.09</v>
      </c>
      <c r="N132" s="9">
        <v>27.06</v>
      </c>
      <c r="O132" s="9">
        <v>26.97</v>
      </c>
      <c r="P132" s="9">
        <v>26.44</v>
      </c>
      <c r="Q132" s="9">
        <v>30.17</v>
      </c>
      <c r="R132" s="9">
        <v>30.35</v>
      </c>
      <c r="S132" s="9">
        <v>30.01</v>
      </c>
      <c r="T132" s="9">
        <v>27.03</v>
      </c>
      <c r="U132" s="9">
        <v>24</v>
      </c>
      <c r="V132" s="9">
        <v>25.94</v>
      </c>
      <c r="W132" s="6">
        <v>26.23</v>
      </c>
      <c r="X132" s="6">
        <v>22.99</v>
      </c>
      <c r="Y132" s="6">
        <v>23.83</v>
      </c>
      <c r="Z132" s="6">
        <v>26.94</v>
      </c>
      <c r="AA132" s="6">
        <v>25.67</v>
      </c>
      <c r="AB132" s="6">
        <v>24.39</v>
      </c>
      <c r="AC132" s="6">
        <v>27.14</v>
      </c>
      <c r="AD132" s="6">
        <v>26.75</v>
      </c>
      <c r="AE132" s="6">
        <v>25.76</v>
      </c>
      <c r="AF132" s="6">
        <v>25.16</v>
      </c>
      <c r="AG132" s="6">
        <v>25.31</v>
      </c>
      <c r="AH132" s="6">
        <v>27.3</v>
      </c>
      <c r="AI132" s="6">
        <v>28.26</v>
      </c>
      <c r="AJ132" s="6">
        <v>25.7</v>
      </c>
      <c r="AK132" s="6">
        <v>24.14</v>
      </c>
      <c r="AL132" s="6">
        <v>25.64</v>
      </c>
      <c r="AM132" s="6">
        <v>25.88</v>
      </c>
      <c r="AN132" s="6">
        <v>26.02</v>
      </c>
      <c r="AO132" s="6">
        <v>27.57</v>
      </c>
      <c r="AP132" s="6">
        <v>26.01</v>
      </c>
      <c r="AQ132" s="6">
        <v>25.69</v>
      </c>
      <c r="AR132" s="6">
        <v>24.3</v>
      </c>
      <c r="AS132" s="6">
        <v>25.26</v>
      </c>
      <c r="AT132" s="6">
        <v>27.6</v>
      </c>
      <c r="AU132" s="6">
        <v>27.75</v>
      </c>
      <c r="AV132" s="6">
        <v>29.47</v>
      </c>
      <c r="AW132" s="6">
        <v>26.75</v>
      </c>
      <c r="AX132" s="6">
        <v>25.92</v>
      </c>
      <c r="AY132" s="6">
        <v>25.48</v>
      </c>
      <c r="AZ132" s="6">
        <v>27.64</v>
      </c>
      <c r="BA132" s="6">
        <v>26.84</v>
      </c>
      <c r="BB132" s="6">
        <v>27.6</v>
      </c>
      <c r="BC132" s="6">
        <v>25.23</v>
      </c>
      <c r="BD132" s="6">
        <v>24.19</v>
      </c>
      <c r="BE132" s="6">
        <v>28.46</v>
      </c>
      <c r="BF132" s="6">
        <v>27.15</v>
      </c>
      <c r="BG132" s="6">
        <v>25.62</v>
      </c>
      <c r="BH132" s="10">
        <v>25.19</v>
      </c>
      <c r="BI132" s="10"/>
    </row>
    <row r="133" spans="1:61" ht="15.75" customHeight="1" x14ac:dyDescent="0.25">
      <c r="A133" s="1">
        <v>132</v>
      </c>
      <c r="B133" s="1"/>
      <c r="C133" s="1">
        <v>11</v>
      </c>
      <c r="D133" s="6">
        <v>25.75</v>
      </c>
      <c r="E133" s="6">
        <v>27.55</v>
      </c>
      <c r="F133" s="6">
        <v>26.27</v>
      </c>
      <c r="G133" s="6"/>
      <c r="H133" s="6"/>
      <c r="I133" s="6"/>
      <c r="J133" s="9">
        <v>23.98</v>
      </c>
      <c r="K133" s="9">
        <v>24.51</v>
      </c>
      <c r="L133" s="9">
        <v>28</v>
      </c>
      <c r="M133" s="9">
        <v>23.14</v>
      </c>
      <c r="N133" s="9">
        <v>27.19</v>
      </c>
      <c r="O133" s="9">
        <v>26.98</v>
      </c>
      <c r="P133" s="9">
        <v>26.68</v>
      </c>
      <c r="Q133" s="9">
        <v>30.27</v>
      </c>
      <c r="R133" s="9">
        <v>30.53</v>
      </c>
      <c r="S133" s="9">
        <v>30.13</v>
      </c>
      <c r="T133" s="9">
        <v>27.17</v>
      </c>
      <c r="U133" s="9">
        <v>24.31</v>
      </c>
      <c r="V133" s="9">
        <v>26.02</v>
      </c>
      <c r="W133" s="6">
        <v>26.31</v>
      </c>
      <c r="X133" s="6">
        <v>23.22</v>
      </c>
      <c r="Y133" s="6">
        <v>24.01</v>
      </c>
      <c r="Z133" s="6">
        <v>27.03</v>
      </c>
      <c r="AA133" s="6">
        <v>25.69</v>
      </c>
      <c r="AB133" s="6">
        <v>24.34</v>
      </c>
      <c r="AC133" s="6">
        <v>27.3</v>
      </c>
      <c r="AD133" s="6">
        <v>26.82</v>
      </c>
      <c r="AE133" s="6">
        <v>25.8</v>
      </c>
      <c r="AF133" s="6">
        <v>25.36</v>
      </c>
      <c r="AG133" s="6">
        <v>25.43</v>
      </c>
      <c r="AH133" s="6">
        <v>27.41</v>
      </c>
      <c r="AI133" s="6">
        <v>28.29</v>
      </c>
      <c r="AJ133" s="6">
        <v>25.78</v>
      </c>
      <c r="AK133" s="6">
        <v>24.32</v>
      </c>
      <c r="AL133" s="6">
        <v>25.78</v>
      </c>
      <c r="AM133" s="6">
        <v>25.99</v>
      </c>
      <c r="AN133" s="6">
        <v>26.27</v>
      </c>
      <c r="AO133" s="6">
        <v>27.67</v>
      </c>
      <c r="AP133" s="6">
        <v>26.26</v>
      </c>
      <c r="AQ133" s="6">
        <v>25.88</v>
      </c>
      <c r="AR133" s="6">
        <v>24.44</v>
      </c>
      <c r="AS133" s="6">
        <v>25.39</v>
      </c>
      <c r="AT133" s="6">
        <v>27.62</v>
      </c>
      <c r="AU133" s="6">
        <v>27.97</v>
      </c>
      <c r="AV133" s="6">
        <v>29.63</v>
      </c>
      <c r="AW133" s="6">
        <v>26.88</v>
      </c>
      <c r="AX133" s="6">
        <v>25.98</v>
      </c>
      <c r="AY133" s="6">
        <v>25.4</v>
      </c>
      <c r="AZ133" s="6">
        <v>27.83</v>
      </c>
      <c r="BA133" s="6">
        <v>27.14</v>
      </c>
      <c r="BB133" s="6">
        <v>27.84</v>
      </c>
      <c r="BC133" s="6">
        <v>25.28</v>
      </c>
      <c r="BD133" s="6">
        <v>24.35</v>
      </c>
      <c r="BE133" s="6">
        <v>28.58</v>
      </c>
      <c r="BF133" s="6">
        <v>27.28</v>
      </c>
      <c r="BG133" s="6">
        <v>25.52</v>
      </c>
      <c r="BH133" s="10">
        <v>25.48</v>
      </c>
      <c r="BI133" s="10"/>
    </row>
    <row r="134" spans="1:61" ht="15.75" customHeight="1" x14ac:dyDescent="0.25">
      <c r="A134" s="1">
        <v>133</v>
      </c>
      <c r="B134" s="1"/>
      <c r="C134" s="1">
        <v>12</v>
      </c>
      <c r="D134" s="6">
        <v>25.79</v>
      </c>
      <c r="E134" s="6">
        <v>27.18</v>
      </c>
      <c r="F134" s="6">
        <v>26.18</v>
      </c>
      <c r="G134" s="6"/>
      <c r="H134" s="6"/>
      <c r="I134" s="6"/>
      <c r="J134" s="9">
        <v>24.18</v>
      </c>
      <c r="K134" s="9">
        <v>24.67</v>
      </c>
      <c r="L134" s="9">
        <v>28.12</v>
      </c>
      <c r="M134" s="9">
        <v>23.18</v>
      </c>
      <c r="N134" s="9">
        <v>27.31</v>
      </c>
      <c r="O134" s="9">
        <v>27</v>
      </c>
      <c r="P134" s="9">
        <v>26.93</v>
      </c>
      <c r="Q134" s="9">
        <v>30.38</v>
      </c>
      <c r="R134" s="9">
        <v>30.68</v>
      </c>
      <c r="S134" s="9">
        <v>30.25</v>
      </c>
      <c r="T134" s="9">
        <v>27.24</v>
      </c>
      <c r="U134" s="9">
        <v>24.5</v>
      </c>
      <c r="V134" s="9">
        <v>26.13</v>
      </c>
      <c r="W134" s="6">
        <v>26.38</v>
      </c>
      <c r="X134" s="6">
        <v>23.46</v>
      </c>
      <c r="Y134" s="6">
        <v>24.17</v>
      </c>
      <c r="Z134" s="6">
        <v>27.12</v>
      </c>
      <c r="AA134" s="6">
        <v>25.7</v>
      </c>
      <c r="AB134" s="6">
        <v>24.32</v>
      </c>
      <c r="AC134" s="6">
        <v>27.44</v>
      </c>
      <c r="AD134" s="6">
        <v>26.9</v>
      </c>
      <c r="AE134" s="6">
        <v>25.84</v>
      </c>
      <c r="AF134" s="6">
        <v>25.55</v>
      </c>
      <c r="AG134" s="6">
        <v>25.54</v>
      </c>
      <c r="AH134" s="6">
        <v>27.57</v>
      </c>
      <c r="AI134" s="6">
        <v>28.33</v>
      </c>
      <c r="AJ134" s="6">
        <v>25.88</v>
      </c>
      <c r="AK134" s="6">
        <v>24.49</v>
      </c>
      <c r="AL134" s="6">
        <v>25.89</v>
      </c>
      <c r="AM134" s="6">
        <v>26.09</v>
      </c>
      <c r="AN134" s="6">
        <v>26.48</v>
      </c>
      <c r="AO134" s="6">
        <v>27.75</v>
      </c>
      <c r="AP134" s="6">
        <v>26.53</v>
      </c>
      <c r="AQ134" s="6">
        <v>26.09</v>
      </c>
      <c r="AR134" s="6">
        <v>24.65</v>
      </c>
      <c r="AS134" s="6">
        <v>25.54</v>
      </c>
      <c r="AT134" s="6">
        <v>27.7</v>
      </c>
      <c r="AU134" s="6">
        <v>28.22</v>
      </c>
      <c r="AV134" s="6">
        <v>29.77</v>
      </c>
      <c r="AW134" s="6">
        <v>26.98</v>
      </c>
      <c r="AX134" s="6">
        <v>26.06</v>
      </c>
      <c r="AY134" s="6">
        <v>25.3</v>
      </c>
      <c r="AZ134" s="6">
        <v>27.97</v>
      </c>
      <c r="BA134" s="6">
        <v>27.38</v>
      </c>
      <c r="BB134" s="6">
        <v>28.04</v>
      </c>
      <c r="BC134" s="6">
        <v>25.33</v>
      </c>
      <c r="BD134" s="6">
        <v>24.49</v>
      </c>
      <c r="BE134" s="6">
        <v>28.68</v>
      </c>
      <c r="BF134" s="6">
        <v>27.38</v>
      </c>
      <c r="BG134" s="6">
        <v>25.46</v>
      </c>
      <c r="BH134" s="10">
        <v>25.76</v>
      </c>
      <c r="BI134" s="10"/>
    </row>
    <row r="135" spans="1:61" ht="15.75" customHeight="1" x14ac:dyDescent="0.25">
      <c r="A135" s="1">
        <v>134</v>
      </c>
      <c r="B135" s="1"/>
      <c r="C135" s="1">
        <v>13</v>
      </c>
      <c r="D135" s="6">
        <v>25.84</v>
      </c>
      <c r="E135" s="6">
        <v>26.87</v>
      </c>
      <c r="F135" s="6">
        <v>26.15</v>
      </c>
      <c r="G135" s="6"/>
      <c r="H135" s="6"/>
      <c r="I135" s="6"/>
      <c r="J135" s="9">
        <v>24.38</v>
      </c>
      <c r="K135" s="9">
        <v>24.97</v>
      </c>
      <c r="L135" s="9">
        <v>28.23</v>
      </c>
      <c r="M135" s="9">
        <v>23.21</v>
      </c>
      <c r="N135" s="9">
        <v>27.41</v>
      </c>
      <c r="O135" s="9">
        <v>27</v>
      </c>
      <c r="P135" s="9">
        <v>27.14</v>
      </c>
      <c r="Q135" s="9">
        <v>30.48</v>
      </c>
      <c r="R135" s="9">
        <v>30.83</v>
      </c>
      <c r="S135" s="9">
        <v>30.35</v>
      </c>
      <c r="T135" s="9">
        <v>27.26</v>
      </c>
      <c r="U135" s="9">
        <v>24.66</v>
      </c>
      <c r="V135" s="9">
        <v>26.28</v>
      </c>
      <c r="W135" s="6">
        <v>26.45</v>
      </c>
      <c r="X135" s="6">
        <v>23.72</v>
      </c>
      <c r="Y135" s="6">
        <v>24.48</v>
      </c>
      <c r="Z135" s="6">
        <v>27.23</v>
      </c>
      <c r="AA135" s="6">
        <v>25.7</v>
      </c>
      <c r="AB135" s="6">
        <v>24.34</v>
      </c>
      <c r="AC135" s="6">
        <v>27.56</v>
      </c>
      <c r="AD135" s="6">
        <v>27.01</v>
      </c>
      <c r="AE135" s="6">
        <v>25.88</v>
      </c>
      <c r="AF135" s="6">
        <v>25.74</v>
      </c>
      <c r="AG135" s="6">
        <v>25.7</v>
      </c>
      <c r="AH135" s="6">
        <v>27.73</v>
      </c>
      <c r="AI135" s="6">
        <v>28.38</v>
      </c>
      <c r="AJ135" s="6">
        <v>25.98</v>
      </c>
      <c r="AK135" s="6">
        <v>24.92</v>
      </c>
      <c r="AL135" s="6">
        <v>26</v>
      </c>
      <c r="AM135" s="6">
        <v>26.23</v>
      </c>
      <c r="AN135" s="6">
        <v>26.68</v>
      </c>
      <c r="AO135" s="6">
        <v>27.84</v>
      </c>
      <c r="AP135" s="6">
        <v>26.82</v>
      </c>
      <c r="AQ135" s="6">
        <v>26.29</v>
      </c>
      <c r="AR135" s="6">
        <v>24.9</v>
      </c>
      <c r="AS135" s="6">
        <v>25.65</v>
      </c>
      <c r="AT135" s="6">
        <v>27.76</v>
      </c>
      <c r="AU135" s="6">
        <v>28.45</v>
      </c>
      <c r="AV135" s="6">
        <v>29.89</v>
      </c>
      <c r="AW135" s="6">
        <v>27.09</v>
      </c>
      <c r="AX135" s="6">
        <v>26.12</v>
      </c>
      <c r="AY135" s="6">
        <v>25.16</v>
      </c>
      <c r="AZ135" s="6">
        <v>28.1</v>
      </c>
      <c r="BA135" s="6">
        <v>27.58</v>
      </c>
      <c r="BB135" s="6">
        <v>28.24</v>
      </c>
      <c r="BC135" s="6">
        <v>25.37</v>
      </c>
      <c r="BD135" s="6">
        <v>24.68</v>
      </c>
      <c r="BE135" s="6">
        <v>28.78</v>
      </c>
      <c r="BF135" s="6">
        <v>27.47</v>
      </c>
      <c r="BG135" s="6">
        <v>25.42</v>
      </c>
      <c r="BH135" s="10">
        <v>26</v>
      </c>
      <c r="BI135" s="10"/>
    </row>
    <row r="136" spans="1:61" ht="15.75" customHeight="1" x14ac:dyDescent="0.25">
      <c r="A136" s="1">
        <v>135</v>
      </c>
      <c r="B136" s="1"/>
      <c r="C136" s="1">
        <v>14</v>
      </c>
      <c r="D136" s="6">
        <v>25.85</v>
      </c>
      <c r="E136" s="6">
        <v>26.72</v>
      </c>
      <c r="F136" s="6">
        <v>26.18</v>
      </c>
      <c r="G136" s="6"/>
      <c r="H136" s="6"/>
      <c r="I136" s="6"/>
      <c r="J136" s="9">
        <v>24.48</v>
      </c>
      <c r="K136" s="9">
        <v>25.09</v>
      </c>
      <c r="L136" s="9">
        <v>28.33</v>
      </c>
      <c r="M136" s="9">
        <v>23.31</v>
      </c>
      <c r="N136" s="9">
        <v>27.46</v>
      </c>
      <c r="O136" s="9">
        <v>27.02</v>
      </c>
      <c r="P136" s="9">
        <v>27.4</v>
      </c>
      <c r="Q136" s="9">
        <v>30.56</v>
      </c>
      <c r="R136" s="9">
        <v>30.96</v>
      </c>
      <c r="S136" s="9">
        <v>30.49</v>
      </c>
      <c r="T136" s="9">
        <v>27.26</v>
      </c>
      <c r="U136" s="9">
        <v>24.81</v>
      </c>
      <c r="V136" s="9">
        <v>26.39</v>
      </c>
      <c r="W136" s="6">
        <v>26.52</v>
      </c>
      <c r="X136" s="6">
        <v>23.94</v>
      </c>
      <c r="Y136" s="6">
        <v>24.74</v>
      </c>
      <c r="Z136" s="6">
        <v>27.32</v>
      </c>
      <c r="AA136" s="6">
        <v>25.74</v>
      </c>
      <c r="AB136" s="6">
        <v>24.36</v>
      </c>
      <c r="AC136" s="6">
        <v>27.7</v>
      </c>
      <c r="AD136" s="6">
        <v>27.19</v>
      </c>
      <c r="AE136" s="6">
        <v>25.89</v>
      </c>
      <c r="AF136" s="6">
        <v>25.92</v>
      </c>
      <c r="AG136" s="6">
        <v>25.94</v>
      </c>
      <c r="AH136" s="6">
        <v>27.88</v>
      </c>
      <c r="AI136" s="6">
        <v>28.44</v>
      </c>
      <c r="AJ136" s="6">
        <v>26.19</v>
      </c>
      <c r="AK136" s="6">
        <v>25.19</v>
      </c>
      <c r="AL136" s="6">
        <v>26.07</v>
      </c>
      <c r="AM136" s="6">
        <v>26.33</v>
      </c>
      <c r="AN136" s="6">
        <v>26.88</v>
      </c>
      <c r="AO136" s="6">
        <v>27.95</v>
      </c>
      <c r="AP136" s="6">
        <v>27.1</v>
      </c>
      <c r="AQ136" s="6">
        <v>26.52</v>
      </c>
      <c r="AR136" s="6">
        <v>25.08</v>
      </c>
      <c r="AS136" s="6">
        <v>25.71</v>
      </c>
      <c r="AT136" s="6">
        <v>27.82</v>
      </c>
      <c r="AU136" s="6">
        <v>28.69</v>
      </c>
      <c r="AV136" s="6">
        <v>29.99</v>
      </c>
      <c r="AW136" s="6">
        <v>27.19</v>
      </c>
      <c r="AX136" s="6">
        <v>26.19</v>
      </c>
      <c r="AY136" s="6">
        <v>25.1</v>
      </c>
      <c r="AZ136" s="6">
        <v>28.22</v>
      </c>
      <c r="BA136" s="6">
        <v>27.8</v>
      </c>
      <c r="BB136" s="6">
        <v>28.45</v>
      </c>
      <c r="BC136" s="6">
        <v>25.48</v>
      </c>
      <c r="BD136" s="6">
        <v>24.8</v>
      </c>
      <c r="BE136" s="6">
        <v>28.88</v>
      </c>
      <c r="BF136" s="6">
        <v>27.6</v>
      </c>
      <c r="BG136" s="6">
        <v>25.44</v>
      </c>
      <c r="BH136" s="10">
        <v>26.23</v>
      </c>
      <c r="BI136" s="10"/>
    </row>
    <row r="137" spans="1:61" ht="15.75" customHeight="1" x14ac:dyDescent="0.25">
      <c r="A137" s="1">
        <v>136</v>
      </c>
      <c r="B137" s="1"/>
      <c r="C137" s="1">
        <v>15</v>
      </c>
      <c r="D137" s="6">
        <v>25.93</v>
      </c>
      <c r="E137" s="6">
        <v>26.57</v>
      </c>
      <c r="F137" s="6">
        <v>26.26</v>
      </c>
      <c r="G137" s="6"/>
      <c r="H137" s="6"/>
      <c r="I137" s="6"/>
      <c r="J137" s="9">
        <v>24.68</v>
      </c>
      <c r="K137" s="9">
        <v>25.12</v>
      </c>
      <c r="L137" s="9">
        <v>28.42</v>
      </c>
      <c r="M137" s="9">
        <v>23.43</v>
      </c>
      <c r="N137" s="9">
        <v>27.47</v>
      </c>
      <c r="O137" s="9">
        <v>26.98</v>
      </c>
      <c r="P137" s="9">
        <v>27.67</v>
      </c>
      <c r="Q137" s="9">
        <v>30.63</v>
      </c>
      <c r="R137" s="9">
        <v>31.04</v>
      </c>
      <c r="S137" s="9">
        <v>30.66</v>
      </c>
      <c r="T137" s="9">
        <v>27.22</v>
      </c>
      <c r="U137" s="9">
        <v>25.03</v>
      </c>
      <c r="V137" s="9">
        <v>26.48</v>
      </c>
      <c r="W137" s="6">
        <v>26.57</v>
      </c>
      <c r="X137" s="6">
        <v>24.05</v>
      </c>
      <c r="Y137" s="6">
        <v>24.99</v>
      </c>
      <c r="Z137" s="6">
        <v>27.42</v>
      </c>
      <c r="AA137" s="6">
        <v>25.82</v>
      </c>
      <c r="AB137" s="6">
        <v>24.42</v>
      </c>
      <c r="AC137" s="6">
        <v>27.76</v>
      </c>
      <c r="AD137" s="6">
        <v>27.4</v>
      </c>
      <c r="AE137" s="6">
        <v>25.91</v>
      </c>
      <c r="AF137" s="6">
        <v>26.17</v>
      </c>
      <c r="AG137" s="6">
        <v>26.2</v>
      </c>
      <c r="AH137" s="6">
        <v>28.02</v>
      </c>
      <c r="AI137" s="6">
        <v>28.53</v>
      </c>
      <c r="AJ137" s="6">
        <v>26.35</v>
      </c>
      <c r="AK137" s="6">
        <v>25.37</v>
      </c>
      <c r="AL137" s="6">
        <v>26.14</v>
      </c>
      <c r="AM137" s="6">
        <v>26.44</v>
      </c>
      <c r="AN137" s="6">
        <v>27.09</v>
      </c>
      <c r="AO137" s="6">
        <v>28.01</v>
      </c>
      <c r="AP137" s="6">
        <v>27.41</v>
      </c>
      <c r="AQ137" s="6">
        <v>26.65</v>
      </c>
      <c r="AR137" s="6">
        <v>25.32</v>
      </c>
      <c r="AS137" s="6">
        <v>25.75</v>
      </c>
      <c r="AT137" s="6">
        <v>27.91</v>
      </c>
      <c r="AU137" s="6">
        <v>28.89</v>
      </c>
      <c r="AV137" s="6">
        <v>30.09</v>
      </c>
      <c r="AW137" s="6">
        <v>27.28</v>
      </c>
      <c r="AX137" s="6">
        <v>26.25</v>
      </c>
      <c r="AY137" s="6">
        <v>25.04</v>
      </c>
      <c r="AZ137" s="6">
        <v>28.3</v>
      </c>
      <c r="BA137" s="6">
        <v>27.97</v>
      </c>
      <c r="BB137" s="6">
        <v>28.52</v>
      </c>
      <c r="BC137" s="6">
        <v>25.68</v>
      </c>
      <c r="BD137" s="6">
        <v>24.98</v>
      </c>
      <c r="BE137" s="6">
        <v>28.95</v>
      </c>
      <c r="BF137" s="6">
        <v>27.76</v>
      </c>
      <c r="BG137" s="6">
        <v>25.44</v>
      </c>
      <c r="BH137" s="10">
        <v>26.4</v>
      </c>
      <c r="BI137" s="10"/>
    </row>
    <row r="138" spans="1:61" ht="15.75" customHeight="1" x14ac:dyDescent="0.25">
      <c r="A138" s="1">
        <v>137</v>
      </c>
      <c r="B138" s="1"/>
      <c r="C138" s="1">
        <v>16</v>
      </c>
      <c r="D138" s="6">
        <v>25.93</v>
      </c>
      <c r="E138" s="6">
        <v>26.87</v>
      </c>
      <c r="F138" s="6">
        <v>26.38</v>
      </c>
      <c r="G138" s="6"/>
      <c r="H138" s="6"/>
      <c r="I138" s="6"/>
      <c r="J138" s="9">
        <v>24.88</v>
      </c>
      <c r="K138" s="9">
        <v>25.16</v>
      </c>
      <c r="L138" s="9">
        <v>28.51</v>
      </c>
      <c r="M138" s="9">
        <v>23.55</v>
      </c>
      <c r="N138" s="9">
        <v>27.51</v>
      </c>
      <c r="O138" s="9">
        <v>26.95</v>
      </c>
      <c r="P138" s="9">
        <v>27.9</v>
      </c>
      <c r="Q138" s="9">
        <v>30.69</v>
      </c>
      <c r="R138" s="9">
        <v>31.16</v>
      </c>
      <c r="S138" s="9">
        <v>30.79</v>
      </c>
      <c r="T138" s="9">
        <v>27.19</v>
      </c>
      <c r="U138" s="9">
        <v>25.25</v>
      </c>
      <c r="V138" s="9">
        <v>26.62</v>
      </c>
      <c r="W138" s="6">
        <v>26.68</v>
      </c>
      <c r="X138" s="6">
        <v>24.15</v>
      </c>
      <c r="Y138" s="6">
        <v>25.32</v>
      </c>
      <c r="Z138" s="6">
        <v>27.53</v>
      </c>
      <c r="AA138" s="6">
        <v>25.98</v>
      </c>
      <c r="AB138" s="6">
        <v>24.53</v>
      </c>
      <c r="AC138" s="6">
        <v>27.86</v>
      </c>
      <c r="AD138" s="6">
        <v>27.63</v>
      </c>
      <c r="AE138" s="6">
        <v>25.92</v>
      </c>
      <c r="AF138" s="6">
        <v>26.43</v>
      </c>
      <c r="AG138" s="6">
        <v>26.42</v>
      </c>
      <c r="AH138" s="6">
        <v>28.13</v>
      </c>
      <c r="AI138" s="6">
        <v>28.6</v>
      </c>
      <c r="AJ138" s="6">
        <v>26.52</v>
      </c>
      <c r="AK138" s="6">
        <v>25.53</v>
      </c>
      <c r="AL138" s="6">
        <v>26.22</v>
      </c>
      <c r="AM138" s="6">
        <v>26.57</v>
      </c>
      <c r="AN138" s="6">
        <v>27.3</v>
      </c>
      <c r="AO138" s="6">
        <v>28.15</v>
      </c>
      <c r="AP138" s="6">
        <v>27.75</v>
      </c>
      <c r="AQ138" s="6">
        <v>26.81</v>
      </c>
      <c r="AR138" s="6">
        <v>25.48</v>
      </c>
      <c r="AS138" s="6">
        <v>25.77</v>
      </c>
      <c r="AT138" s="6">
        <v>28.05</v>
      </c>
      <c r="AU138" s="6">
        <v>29</v>
      </c>
      <c r="AV138" s="6">
        <v>30.16</v>
      </c>
      <c r="AW138" s="6">
        <v>27.38</v>
      </c>
      <c r="AX138" s="6">
        <v>26.38</v>
      </c>
      <c r="AY138" s="6">
        <v>24.98</v>
      </c>
      <c r="AZ138" s="6">
        <v>28.39</v>
      </c>
      <c r="BA138" s="6">
        <v>28.21</v>
      </c>
      <c r="BB138" s="6">
        <v>28.6</v>
      </c>
      <c r="BC138" s="6">
        <v>25.98</v>
      </c>
      <c r="BD138" s="6">
        <v>25.06</v>
      </c>
      <c r="BE138" s="6">
        <v>29.04</v>
      </c>
      <c r="BF138" s="6">
        <v>27.92</v>
      </c>
      <c r="BG138" s="6">
        <v>25.48</v>
      </c>
      <c r="BH138" s="10">
        <v>26.53</v>
      </c>
      <c r="BI138" s="10"/>
    </row>
    <row r="139" spans="1:61" ht="15.75" customHeight="1" x14ac:dyDescent="0.25">
      <c r="A139" s="1">
        <v>138</v>
      </c>
      <c r="B139" s="1"/>
      <c r="C139" s="1">
        <v>17</v>
      </c>
      <c r="D139" s="6">
        <v>25.98</v>
      </c>
      <c r="E139" s="6">
        <v>27.28</v>
      </c>
      <c r="F139" s="6">
        <v>26.56</v>
      </c>
      <c r="G139" s="6"/>
      <c r="H139" s="6"/>
      <c r="I139" s="6"/>
      <c r="J139" s="9">
        <v>24.98</v>
      </c>
      <c r="K139" s="9">
        <v>25.21</v>
      </c>
      <c r="L139" s="9">
        <v>28.59</v>
      </c>
      <c r="M139" s="9">
        <v>23.71</v>
      </c>
      <c r="N139" s="9">
        <v>27.55</v>
      </c>
      <c r="O139" s="9">
        <v>26.92</v>
      </c>
      <c r="P139" s="9">
        <v>28.1</v>
      </c>
      <c r="Q139" s="9">
        <v>30.76</v>
      </c>
      <c r="R139" s="9">
        <v>31.3</v>
      </c>
      <c r="S139" s="9">
        <v>30.95</v>
      </c>
      <c r="T139" s="9">
        <v>27.18</v>
      </c>
      <c r="U139" s="9">
        <v>25.49</v>
      </c>
      <c r="V139" s="9">
        <v>26.78</v>
      </c>
      <c r="W139" s="6">
        <v>26.9</v>
      </c>
      <c r="X139" s="6">
        <v>24.18</v>
      </c>
      <c r="Y139" s="6">
        <v>25.64</v>
      </c>
      <c r="Z139" s="6">
        <v>27.61</v>
      </c>
      <c r="AA139" s="6">
        <v>26.2</v>
      </c>
      <c r="AB139" s="6">
        <v>24.62</v>
      </c>
      <c r="AC139" s="6">
        <v>27.9</v>
      </c>
      <c r="AD139" s="6">
        <v>27.78</v>
      </c>
      <c r="AE139" s="6">
        <v>25.92</v>
      </c>
      <c r="AF139" s="6">
        <v>26.67</v>
      </c>
      <c r="AG139" s="6">
        <v>26.6</v>
      </c>
      <c r="AH139" s="6">
        <v>28.24</v>
      </c>
      <c r="AI139" s="6">
        <v>28.7</v>
      </c>
      <c r="AJ139" s="6">
        <v>26.7</v>
      </c>
      <c r="AK139" s="6">
        <v>25.71</v>
      </c>
      <c r="AL139" s="6">
        <v>26.35</v>
      </c>
      <c r="AM139" s="6">
        <v>26.75</v>
      </c>
      <c r="AN139" s="6">
        <v>27.5</v>
      </c>
      <c r="AO139" s="6">
        <v>28.29</v>
      </c>
      <c r="AP139" s="6">
        <v>28.08</v>
      </c>
      <c r="AQ139" s="6">
        <v>27.02</v>
      </c>
      <c r="AR139" s="6">
        <v>25.62</v>
      </c>
      <c r="AS139" s="6">
        <v>25.79</v>
      </c>
      <c r="AT139" s="6">
        <v>28.19</v>
      </c>
      <c r="AU139" s="6">
        <v>29.15</v>
      </c>
      <c r="AV139" s="6">
        <v>30.24</v>
      </c>
      <c r="AW139" s="6">
        <v>27.45</v>
      </c>
      <c r="AX139" s="6">
        <v>26.53</v>
      </c>
      <c r="AY139" s="6">
        <v>24.98</v>
      </c>
      <c r="AZ139" s="6">
        <v>28.45</v>
      </c>
      <c r="BA139" s="6">
        <v>28.37</v>
      </c>
      <c r="BB139" s="6">
        <v>28.67</v>
      </c>
      <c r="BC139" s="6">
        <v>26.3</v>
      </c>
      <c r="BD139" s="6">
        <v>25.17</v>
      </c>
      <c r="BE139" s="6">
        <v>29.15</v>
      </c>
      <c r="BF139" s="6">
        <v>28.1</v>
      </c>
      <c r="BG139" s="6">
        <v>25.62</v>
      </c>
      <c r="BH139" s="10">
        <v>26.69</v>
      </c>
      <c r="BI139" s="10"/>
    </row>
    <row r="140" spans="1:61" ht="15.75" customHeight="1" x14ac:dyDescent="0.25">
      <c r="A140" s="1">
        <v>139</v>
      </c>
      <c r="B140" s="1"/>
      <c r="C140" s="1">
        <v>18</v>
      </c>
      <c r="D140" s="6">
        <v>26.04</v>
      </c>
      <c r="E140" s="6">
        <v>27.03</v>
      </c>
      <c r="F140" s="6">
        <v>26.67</v>
      </c>
      <c r="G140" s="6"/>
      <c r="H140" s="6"/>
      <c r="I140" s="6"/>
      <c r="J140" s="9">
        <v>25.03</v>
      </c>
      <c r="K140" s="9">
        <v>25.24</v>
      </c>
      <c r="L140" s="9">
        <v>28.7</v>
      </c>
      <c r="M140" s="9">
        <v>23.83</v>
      </c>
      <c r="N140" s="9">
        <v>27.62</v>
      </c>
      <c r="O140" s="9">
        <v>26.93</v>
      </c>
      <c r="P140" s="9">
        <v>28.23</v>
      </c>
      <c r="Q140" s="9">
        <v>30.8</v>
      </c>
      <c r="R140" s="9">
        <v>31.4</v>
      </c>
      <c r="S140" s="9">
        <v>31.11</v>
      </c>
      <c r="T140" s="9">
        <v>27.13</v>
      </c>
      <c r="U140" s="9">
        <v>25.7</v>
      </c>
      <c r="V140" s="9">
        <v>26.92</v>
      </c>
      <c r="W140" s="6">
        <v>27.2</v>
      </c>
      <c r="X140" s="6">
        <v>24.31</v>
      </c>
      <c r="Y140" s="6">
        <v>26.14</v>
      </c>
      <c r="Z140" s="6">
        <v>27.61</v>
      </c>
      <c r="AA140" s="6">
        <v>26.52</v>
      </c>
      <c r="AB140" s="6">
        <v>24.72</v>
      </c>
      <c r="AC140" s="6">
        <v>27.95</v>
      </c>
      <c r="AD140" s="6">
        <v>27.94</v>
      </c>
      <c r="AE140" s="6">
        <v>25.95</v>
      </c>
      <c r="AF140" s="6">
        <v>26.89</v>
      </c>
      <c r="AG140" s="6">
        <v>26.75</v>
      </c>
      <c r="AH140" s="6">
        <v>28.32</v>
      </c>
      <c r="AI140" s="6">
        <v>28.8</v>
      </c>
      <c r="AJ140" s="6">
        <v>26.89</v>
      </c>
      <c r="AK140" s="6">
        <v>25.9</v>
      </c>
      <c r="AL140" s="6">
        <v>26.5</v>
      </c>
      <c r="AM140" s="6">
        <v>26.96</v>
      </c>
      <c r="AN140" s="6">
        <v>27.7</v>
      </c>
      <c r="AO140" s="6">
        <v>28.44</v>
      </c>
      <c r="AP140" s="6">
        <v>28.22</v>
      </c>
      <c r="AQ140" s="6">
        <v>27.19</v>
      </c>
      <c r="AR140" s="6">
        <v>25.69</v>
      </c>
      <c r="AS140" s="6">
        <v>25.8</v>
      </c>
      <c r="AT140" s="6">
        <v>28.32</v>
      </c>
      <c r="AU140" s="6">
        <v>29.27</v>
      </c>
      <c r="AV140" s="6">
        <v>30.3</v>
      </c>
      <c r="AW140" s="6">
        <v>27.51</v>
      </c>
      <c r="AX140" s="6">
        <v>26.7</v>
      </c>
      <c r="AY140" s="6">
        <v>25.04</v>
      </c>
      <c r="AZ140" s="6">
        <v>28.49</v>
      </c>
      <c r="BA140" s="6">
        <v>28.52</v>
      </c>
      <c r="BB140" s="6">
        <v>28.77</v>
      </c>
      <c r="BC140" s="6">
        <v>26.5</v>
      </c>
      <c r="BD140" s="6">
        <v>25.27</v>
      </c>
      <c r="BE140" s="6">
        <v>29.25</v>
      </c>
      <c r="BF140" s="6">
        <v>28.28</v>
      </c>
      <c r="BG140" s="6">
        <v>25.86</v>
      </c>
      <c r="BH140" s="10">
        <v>26.89</v>
      </c>
      <c r="BI140" s="10"/>
    </row>
    <row r="141" spans="1:61" ht="15.75" customHeight="1" x14ac:dyDescent="0.25">
      <c r="A141" s="1">
        <v>140</v>
      </c>
      <c r="B141" s="1"/>
      <c r="C141" s="1">
        <v>19</v>
      </c>
      <c r="D141" s="6">
        <v>25.98</v>
      </c>
      <c r="E141" s="6">
        <v>27.37</v>
      </c>
      <c r="F141" s="6">
        <v>26.73</v>
      </c>
      <c r="G141" s="6"/>
      <c r="H141" s="6"/>
      <c r="I141" s="6"/>
      <c r="J141" s="9">
        <v>25.08</v>
      </c>
      <c r="K141" s="9">
        <v>25.27</v>
      </c>
      <c r="L141" s="9">
        <v>28.83</v>
      </c>
      <c r="M141" s="9">
        <v>23.93</v>
      </c>
      <c r="N141" s="9">
        <v>27.68</v>
      </c>
      <c r="O141" s="9">
        <v>26.97</v>
      </c>
      <c r="P141" s="9">
        <v>28.35</v>
      </c>
      <c r="Q141" s="9">
        <v>30.87</v>
      </c>
      <c r="R141" s="9">
        <v>31.48</v>
      </c>
      <c r="S141" s="9">
        <v>31.24</v>
      </c>
      <c r="T141" s="9">
        <v>27.13</v>
      </c>
      <c r="U141" s="9">
        <v>25.91</v>
      </c>
      <c r="V141" s="9">
        <v>27.01</v>
      </c>
      <c r="W141" s="6">
        <v>27.48</v>
      </c>
      <c r="X141" s="6">
        <v>24.37</v>
      </c>
      <c r="Y141" s="6">
        <v>26.46</v>
      </c>
      <c r="Z141" s="6">
        <v>27.85</v>
      </c>
      <c r="AA141" s="6">
        <v>26.8</v>
      </c>
      <c r="AB141" s="6">
        <v>24.94</v>
      </c>
      <c r="AC141" s="6">
        <v>28</v>
      </c>
      <c r="AD141" s="6">
        <v>28.1</v>
      </c>
      <c r="AE141" s="6">
        <v>26.03</v>
      </c>
      <c r="AF141" s="6">
        <v>27.07</v>
      </c>
      <c r="AG141" s="6">
        <v>26.87</v>
      </c>
      <c r="AH141" s="6">
        <v>28.4</v>
      </c>
      <c r="AI141" s="6">
        <v>28.88</v>
      </c>
      <c r="AJ141" s="6">
        <v>27.08</v>
      </c>
      <c r="AK141" s="6">
        <v>26.05</v>
      </c>
      <c r="AL141" s="6">
        <v>26.66</v>
      </c>
      <c r="AM141" s="6">
        <v>27.23</v>
      </c>
      <c r="AN141" s="6">
        <v>27.86</v>
      </c>
      <c r="AO141" s="6">
        <v>28.55</v>
      </c>
      <c r="AP141" s="6">
        <v>28.43</v>
      </c>
      <c r="AQ141" s="6">
        <v>27.34</v>
      </c>
      <c r="AR141" s="6">
        <v>25.69</v>
      </c>
      <c r="AS141" s="6">
        <v>25.76</v>
      </c>
      <c r="AT141" s="6">
        <v>28.48</v>
      </c>
      <c r="AU141" s="6">
        <v>29.37</v>
      </c>
      <c r="AV141" s="6">
        <v>30.37</v>
      </c>
      <c r="AW141" s="6">
        <v>27.56</v>
      </c>
      <c r="AX141" s="6">
        <v>26.88</v>
      </c>
      <c r="AY141" s="6">
        <v>25.13</v>
      </c>
      <c r="AZ141" s="6">
        <v>28.5</v>
      </c>
      <c r="BA141" s="6">
        <v>28.68</v>
      </c>
      <c r="BB141" s="6">
        <v>28.9</v>
      </c>
      <c r="BC141" s="6">
        <v>26.7</v>
      </c>
      <c r="BD141" s="6">
        <v>25.44</v>
      </c>
      <c r="BE141" s="6">
        <v>29.35</v>
      </c>
      <c r="BF141" s="6">
        <v>28.46</v>
      </c>
      <c r="BG141" s="6">
        <v>26.14</v>
      </c>
      <c r="BH141" s="10">
        <v>27.12</v>
      </c>
      <c r="BI141" s="10"/>
    </row>
    <row r="142" spans="1:61" ht="15.75" customHeight="1" x14ac:dyDescent="0.25">
      <c r="A142" s="1">
        <v>141</v>
      </c>
      <c r="B142" s="1"/>
      <c r="C142" s="1">
        <v>20</v>
      </c>
      <c r="D142" s="6">
        <v>25.95</v>
      </c>
      <c r="E142" s="6">
        <v>27.53</v>
      </c>
      <c r="F142" s="6">
        <v>26.82</v>
      </c>
      <c r="G142" s="6"/>
      <c r="H142" s="6"/>
      <c r="I142" s="6"/>
      <c r="J142" s="9">
        <v>25.18</v>
      </c>
      <c r="K142" s="9">
        <v>25.3</v>
      </c>
      <c r="L142" s="9">
        <v>28.95</v>
      </c>
      <c r="M142" s="9">
        <v>24.12</v>
      </c>
      <c r="N142" s="9">
        <v>27.74</v>
      </c>
      <c r="O142" s="9">
        <v>27.02</v>
      </c>
      <c r="P142" s="9">
        <v>28.47</v>
      </c>
      <c r="Q142" s="9">
        <v>30.92</v>
      </c>
      <c r="R142" s="9">
        <v>31.52</v>
      </c>
      <c r="S142" s="9">
        <v>31.36</v>
      </c>
      <c r="T142" s="9">
        <v>27.17</v>
      </c>
      <c r="U142" s="9">
        <v>26.13</v>
      </c>
      <c r="V142" s="9">
        <v>27.1</v>
      </c>
      <c r="W142" s="6">
        <v>27.75</v>
      </c>
      <c r="X142" s="6">
        <v>24.47</v>
      </c>
      <c r="Y142" s="6">
        <v>26.64</v>
      </c>
      <c r="Z142" s="6">
        <v>27.92</v>
      </c>
      <c r="AA142" s="6">
        <v>27</v>
      </c>
      <c r="AB142" s="6">
        <v>25.2</v>
      </c>
      <c r="AC142" s="6">
        <v>28.06</v>
      </c>
      <c r="AD142" s="6">
        <v>28.26</v>
      </c>
      <c r="AE142" s="6">
        <v>26.1</v>
      </c>
      <c r="AF142" s="6">
        <v>27.24</v>
      </c>
      <c r="AG142" s="6">
        <v>26.98</v>
      </c>
      <c r="AH142" s="6">
        <v>28.56</v>
      </c>
      <c r="AI142" s="6">
        <v>28.96</v>
      </c>
      <c r="AJ142" s="6">
        <v>27.35</v>
      </c>
      <c r="AK142" s="6">
        <v>26.18</v>
      </c>
      <c r="AL142" s="6">
        <v>26.82</v>
      </c>
      <c r="AM142" s="6">
        <v>27.48</v>
      </c>
      <c r="AN142" s="6">
        <v>28.04</v>
      </c>
      <c r="AO142" s="6">
        <v>28.68</v>
      </c>
      <c r="AP142" s="6">
        <v>28.6</v>
      </c>
      <c r="AQ142" s="6">
        <v>27.46</v>
      </c>
      <c r="AR142" s="6">
        <v>25.68</v>
      </c>
      <c r="AS142" s="6">
        <v>25.72</v>
      </c>
      <c r="AT142" s="6">
        <v>28.65</v>
      </c>
      <c r="AU142" s="6">
        <v>29.48</v>
      </c>
      <c r="AV142" s="6">
        <v>30.47</v>
      </c>
      <c r="AW142" s="6">
        <v>27.61</v>
      </c>
      <c r="AX142" s="6">
        <v>26.98</v>
      </c>
      <c r="AY142" s="6">
        <v>25.18</v>
      </c>
      <c r="AZ142" s="6">
        <v>28.6</v>
      </c>
      <c r="BA142" s="6">
        <v>28.79</v>
      </c>
      <c r="BB142" s="6">
        <v>28.99</v>
      </c>
      <c r="BC142" s="6">
        <v>26.9</v>
      </c>
      <c r="BD142" s="6">
        <v>25.58</v>
      </c>
      <c r="BE142" s="6">
        <v>29.42</v>
      </c>
      <c r="BF142" s="6">
        <v>28.63</v>
      </c>
      <c r="BG142" s="6">
        <v>26.4</v>
      </c>
      <c r="BH142" s="10">
        <v>27.32</v>
      </c>
      <c r="BI142" s="10"/>
    </row>
    <row r="143" spans="1:61" ht="15.75" customHeight="1" x14ac:dyDescent="0.25">
      <c r="A143" s="1">
        <v>142</v>
      </c>
      <c r="B143" s="1"/>
      <c r="C143" s="1">
        <v>21</v>
      </c>
      <c r="D143" s="6">
        <v>25.98</v>
      </c>
      <c r="E143" s="6">
        <v>27.72</v>
      </c>
      <c r="F143" s="6">
        <v>26.77</v>
      </c>
      <c r="G143" s="6"/>
      <c r="H143" s="6"/>
      <c r="I143" s="6"/>
      <c r="J143" s="9">
        <v>25.18</v>
      </c>
      <c r="K143" s="9">
        <v>25.32</v>
      </c>
      <c r="L143" s="9">
        <v>29.11</v>
      </c>
      <c r="M143" s="9">
        <v>24.3</v>
      </c>
      <c r="N143" s="9">
        <v>27.83</v>
      </c>
      <c r="O143" s="9">
        <v>27.08</v>
      </c>
      <c r="P143" s="9">
        <v>28.61</v>
      </c>
      <c r="Q143" s="9">
        <v>31.01</v>
      </c>
      <c r="R143" s="9">
        <v>31.68</v>
      </c>
      <c r="S143" s="9">
        <v>31.44</v>
      </c>
      <c r="T143" s="9">
        <v>27.26</v>
      </c>
      <c r="U143" s="9">
        <v>26.25</v>
      </c>
      <c r="V143" s="9">
        <v>27.23</v>
      </c>
      <c r="W143" s="6">
        <v>27.98</v>
      </c>
      <c r="X143" s="6">
        <v>24.56</v>
      </c>
      <c r="Y143" s="6">
        <v>26.77</v>
      </c>
      <c r="Z143" s="6">
        <v>28.02</v>
      </c>
      <c r="AA143" s="6">
        <v>27.1</v>
      </c>
      <c r="AB143" s="6">
        <v>25.46</v>
      </c>
      <c r="AC143" s="6">
        <v>28.14</v>
      </c>
      <c r="AD143" s="6">
        <v>28.39</v>
      </c>
      <c r="AE143" s="6">
        <v>26.17</v>
      </c>
      <c r="AF143" s="6">
        <v>27.39</v>
      </c>
      <c r="AG143" s="6">
        <v>27.07</v>
      </c>
      <c r="AH143" s="6">
        <v>28.69</v>
      </c>
      <c r="AI143" s="6">
        <v>29</v>
      </c>
      <c r="AJ143" s="6">
        <v>27.42</v>
      </c>
      <c r="AK143" s="6">
        <v>26.23</v>
      </c>
      <c r="AL143" s="6">
        <v>27.04</v>
      </c>
      <c r="AM143" s="6">
        <v>27.72</v>
      </c>
      <c r="AN143" s="6">
        <v>28.24</v>
      </c>
      <c r="AO143" s="6">
        <v>28.8</v>
      </c>
      <c r="AP143" s="6">
        <v>28.73</v>
      </c>
      <c r="AQ143" s="6">
        <v>27.57</v>
      </c>
      <c r="AR143" s="6">
        <v>25.68</v>
      </c>
      <c r="AS143" s="6">
        <v>25.69</v>
      </c>
      <c r="AT143" s="6">
        <v>28.84</v>
      </c>
      <c r="AU143" s="6">
        <v>29.6</v>
      </c>
      <c r="AV143" s="6">
        <v>30.5</v>
      </c>
      <c r="AW143" s="6">
        <v>27.7</v>
      </c>
      <c r="AX143" s="6">
        <v>27.01</v>
      </c>
      <c r="AY143" s="6">
        <v>25.22</v>
      </c>
      <c r="AZ143" s="6">
        <v>28.7</v>
      </c>
      <c r="BA143" s="6">
        <v>28.86</v>
      </c>
      <c r="BB143" s="6">
        <v>29.08</v>
      </c>
      <c r="BC143" s="6">
        <v>27.06</v>
      </c>
      <c r="BD143" s="6">
        <v>25.73</v>
      </c>
      <c r="BE143" s="6">
        <v>29.52</v>
      </c>
      <c r="BF143" s="6">
        <v>28.8</v>
      </c>
      <c r="BG143" s="6">
        <v>26.68</v>
      </c>
      <c r="BH143" s="10">
        <v>27.51</v>
      </c>
      <c r="BI143" s="10"/>
    </row>
    <row r="144" spans="1:61" ht="15.75" customHeight="1" x14ac:dyDescent="0.25">
      <c r="A144" s="1">
        <v>143</v>
      </c>
      <c r="B144" s="1"/>
      <c r="C144" s="1">
        <v>22</v>
      </c>
      <c r="D144" s="6">
        <v>26.04</v>
      </c>
      <c r="E144" s="6">
        <v>27.86</v>
      </c>
      <c r="F144" s="6">
        <v>26.89</v>
      </c>
      <c r="G144" s="6"/>
      <c r="H144" s="6"/>
      <c r="I144" s="6"/>
      <c r="J144" s="9">
        <v>25.23</v>
      </c>
      <c r="K144" s="9">
        <v>25.36</v>
      </c>
      <c r="L144" s="9">
        <v>29.25</v>
      </c>
      <c r="M144" s="9">
        <v>24.55</v>
      </c>
      <c r="N144" s="9">
        <v>27.92</v>
      </c>
      <c r="O144" s="9">
        <v>27.12</v>
      </c>
      <c r="P144" s="9">
        <v>28.76</v>
      </c>
      <c r="Q144" s="9">
        <v>31.06</v>
      </c>
      <c r="R144" s="9">
        <v>31.76</v>
      </c>
      <c r="S144" s="9">
        <v>31.53</v>
      </c>
      <c r="T144" s="9">
        <v>27.34</v>
      </c>
      <c r="U144" s="9">
        <v>26.36</v>
      </c>
      <c r="V144" s="9">
        <v>27.29</v>
      </c>
      <c r="W144" s="6">
        <v>28.21</v>
      </c>
      <c r="X144" s="6">
        <v>24.63</v>
      </c>
      <c r="Y144" s="6">
        <v>26.9</v>
      </c>
      <c r="Z144" s="6">
        <v>28.17</v>
      </c>
      <c r="AA144" s="6">
        <v>27.2</v>
      </c>
      <c r="AB144" s="6">
        <v>25.62</v>
      </c>
      <c r="AC144" s="6">
        <v>28.26</v>
      </c>
      <c r="AD144" s="6">
        <v>28.48</v>
      </c>
      <c r="AE144" s="6">
        <v>26.27</v>
      </c>
      <c r="AF144" s="6">
        <v>27.5</v>
      </c>
      <c r="AG144" s="6">
        <v>27.16</v>
      </c>
      <c r="AH144" s="6">
        <v>28.79</v>
      </c>
      <c r="AI144" s="6">
        <v>29.05</v>
      </c>
      <c r="AJ144" s="6">
        <v>27.53</v>
      </c>
      <c r="AK144" s="6">
        <v>26.28</v>
      </c>
      <c r="AL144" s="6">
        <v>27.26</v>
      </c>
      <c r="AM144" s="6">
        <v>27.98</v>
      </c>
      <c r="AN144" s="6">
        <v>28.4</v>
      </c>
      <c r="AO144" s="6">
        <v>28.93</v>
      </c>
      <c r="AP144" s="6">
        <v>28.8</v>
      </c>
      <c r="AQ144" s="6">
        <v>27.67</v>
      </c>
      <c r="AR144" s="6">
        <v>25.68</v>
      </c>
      <c r="AS144" s="6">
        <v>25.69</v>
      </c>
      <c r="AT144" s="6">
        <v>28.99</v>
      </c>
      <c r="AU144" s="6">
        <v>29.7</v>
      </c>
      <c r="AV144" s="6">
        <v>30.55</v>
      </c>
      <c r="AW144" s="6">
        <v>27.75</v>
      </c>
      <c r="AX144" s="6">
        <v>27.03</v>
      </c>
      <c r="AY144" s="6">
        <v>25.32</v>
      </c>
      <c r="AZ144" s="6">
        <v>28.74</v>
      </c>
      <c r="BA144" s="6">
        <v>28.95</v>
      </c>
      <c r="BB144" s="6">
        <v>29.14</v>
      </c>
      <c r="BC144" s="6">
        <v>27.23</v>
      </c>
      <c r="BD144" s="6">
        <v>25.88</v>
      </c>
      <c r="BE144" s="6">
        <v>29.6</v>
      </c>
      <c r="BF144" s="6">
        <v>28.9</v>
      </c>
      <c r="BG144" s="6">
        <v>26.85</v>
      </c>
      <c r="BH144" s="10">
        <v>27.65</v>
      </c>
      <c r="BI144" s="10"/>
    </row>
    <row r="145" spans="1:61" ht="15.75" customHeight="1" x14ac:dyDescent="0.25">
      <c r="A145" s="1">
        <v>144</v>
      </c>
      <c r="B145" s="1"/>
      <c r="C145" s="1">
        <v>23</v>
      </c>
      <c r="D145" s="6">
        <v>26.25</v>
      </c>
      <c r="E145" s="6">
        <v>27.93</v>
      </c>
      <c r="F145" s="6">
        <v>27.03</v>
      </c>
      <c r="G145" s="6"/>
      <c r="H145" s="6"/>
      <c r="I145" s="6"/>
      <c r="J145" s="9">
        <v>25.28</v>
      </c>
      <c r="K145" s="9">
        <v>25.46</v>
      </c>
      <c r="L145" s="9">
        <v>29.37</v>
      </c>
      <c r="M145" s="9">
        <v>24.76</v>
      </c>
      <c r="N145" s="9">
        <v>28.02</v>
      </c>
      <c r="O145" s="9">
        <v>27.23</v>
      </c>
      <c r="P145" s="9">
        <v>28.84</v>
      </c>
      <c r="Q145" s="9">
        <v>31.14</v>
      </c>
      <c r="R145" s="9">
        <v>31.84</v>
      </c>
      <c r="S145" s="9">
        <v>31.57</v>
      </c>
      <c r="T145" s="9">
        <v>27.44</v>
      </c>
      <c r="U145" s="9">
        <v>26.46</v>
      </c>
      <c r="V145" s="9">
        <v>27.32</v>
      </c>
      <c r="W145" s="6">
        <v>28.28</v>
      </c>
      <c r="X145" s="6">
        <v>24.63</v>
      </c>
      <c r="Y145" s="6">
        <v>27.04</v>
      </c>
      <c r="Z145" s="6">
        <v>28.32</v>
      </c>
      <c r="AA145" s="6">
        <v>27.28</v>
      </c>
      <c r="AB145" s="6">
        <v>25.76</v>
      </c>
      <c r="AC145" s="6">
        <v>28.35</v>
      </c>
      <c r="AD145" s="6">
        <v>28.56</v>
      </c>
      <c r="AE145" s="6">
        <v>26.36</v>
      </c>
      <c r="AF145" s="6">
        <v>27.66</v>
      </c>
      <c r="AG145" s="6">
        <v>27.25</v>
      </c>
      <c r="AH145" s="6">
        <v>28.89</v>
      </c>
      <c r="AI145" s="6">
        <v>29.09</v>
      </c>
      <c r="AJ145" s="6">
        <v>27.75</v>
      </c>
      <c r="AK145" s="6">
        <v>26.38</v>
      </c>
      <c r="AL145" s="6">
        <v>27.46</v>
      </c>
      <c r="AM145" s="6">
        <v>28.18</v>
      </c>
      <c r="AN145" s="6">
        <v>28.58</v>
      </c>
      <c r="AO145" s="6">
        <v>29</v>
      </c>
      <c r="AP145" s="6">
        <v>28.88</v>
      </c>
      <c r="AQ145" s="6">
        <v>27.72</v>
      </c>
      <c r="AR145" s="6">
        <v>25.7</v>
      </c>
      <c r="AS145" s="6">
        <v>25.65</v>
      </c>
      <c r="AT145" s="6">
        <v>29.05</v>
      </c>
      <c r="AU145" s="6">
        <v>29.82</v>
      </c>
      <c r="AV145" s="6">
        <v>30.62</v>
      </c>
      <c r="AW145" s="6">
        <v>27.81</v>
      </c>
      <c r="AX145" s="6">
        <v>27.05</v>
      </c>
      <c r="AY145" s="6">
        <v>25.43</v>
      </c>
      <c r="AZ145" s="6">
        <v>28.81</v>
      </c>
      <c r="BA145" s="6">
        <v>28.98</v>
      </c>
      <c r="BB145" s="6">
        <v>29.22</v>
      </c>
      <c r="BC145" s="6">
        <v>27.38</v>
      </c>
      <c r="BD145" s="6">
        <v>26.01</v>
      </c>
      <c r="BE145" s="6">
        <v>29.65</v>
      </c>
      <c r="BF145" s="6">
        <v>29</v>
      </c>
      <c r="BG145" s="6">
        <v>26.99</v>
      </c>
      <c r="BH145" s="10">
        <v>27.75</v>
      </c>
      <c r="BI145" s="10"/>
    </row>
    <row r="146" spans="1:61" ht="15.75" customHeight="1" x14ac:dyDescent="0.25">
      <c r="A146" s="1">
        <v>145</v>
      </c>
      <c r="B146" s="1"/>
      <c r="C146" s="1">
        <v>24</v>
      </c>
      <c r="D146" s="6">
        <v>26.37</v>
      </c>
      <c r="E146" s="6">
        <v>28.05</v>
      </c>
      <c r="F146" s="6">
        <v>27.17</v>
      </c>
      <c r="G146" s="6"/>
      <c r="H146" s="6"/>
      <c r="I146" s="6"/>
      <c r="J146" s="9">
        <v>25.38</v>
      </c>
      <c r="K146" s="9">
        <v>25.57</v>
      </c>
      <c r="L146" s="9">
        <v>29.5</v>
      </c>
      <c r="M146" s="9">
        <v>25.03</v>
      </c>
      <c r="N146" s="9">
        <v>28.13</v>
      </c>
      <c r="O146" s="9">
        <v>27.34</v>
      </c>
      <c r="P146" s="9">
        <v>28.88</v>
      </c>
      <c r="Q146" s="9">
        <v>31.21</v>
      </c>
      <c r="R146" s="9">
        <v>31.9</v>
      </c>
      <c r="S146" s="9">
        <v>31.6</v>
      </c>
      <c r="T146" s="9">
        <v>27.53</v>
      </c>
      <c r="U146" s="9">
        <v>26.59</v>
      </c>
      <c r="V146" s="9">
        <v>27.34</v>
      </c>
      <c r="W146" s="6">
        <v>28.46</v>
      </c>
      <c r="X146" s="6">
        <v>24.72</v>
      </c>
      <c r="Y146" s="6">
        <v>27.14</v>
      </c>
      <c r="Z146" s="6">
        <v>28.51</v>
      </c>
      <c r="AA146" s="6">
        <v>27.35</v>
      </c>
      <c r="AB146" s="6">
        <v>25.9</v>
      </c>
      <c r="AC146" s="6">
        <v>28.41</v>
      </c>
      <c r="AD146" s="6">
        <v>28.62</v>
      </c>
      <c r="AE146" s="6">
        <v>26.41</v>
      </c>
      <c r="AF146" s="6">
        <v>27.8</v>
      </c>
      <c r="AG146" s="6">
        <v>27.35</v>
      </c>
      <c r="AH146" s="6">
        <v>28.98</v>
      </c>
      <c r="AI146" s="6">
        <v>29.14</v>
      </c>
      <c r="AJ146" s="6">
        <v>27.9</v>
      </c>
      <c r="AK146" s="6">
        <v>26.5</v>
      </c>
      <c r="AL146" s="6">
        <v>27.71</v>
      </c>
      <c r="AM146" s="6">
        <v>28.34</v>
      </c>
      <c r="AN146" s="6">
        <v>28.78</v>
      </c>
      <c r="AO146" s="6">
        <v>29.05</v>
      </c>
      <c r="AP146" s="6">
        <v>28.92</v>
      </c>
      <c r="AQ146" s="6">
        <v>27.78</v>
      </c>
      <c r="AR146" s="6">
        <v>25.78</v>
      </c>
      <c r="AS146" s="6">
        <v>25.64</v>
      </c>
      <c r="AT146" s="6">
        <v>29.1</v>
      </c>
      <c r="AU146" s="6">
        <v>29.97</v>
      </c>
      <c r="AV146" s="6">
        <v>30.66</v>
      </c>
      <c r="AW146" s="6">
        <v>27.9</v>
      </c>
      <c r="AX146" s="6">
        <v>27.05</v>
      </c>
      <c r="AY146" s="6">
        <v>25.62</v>
      </c>
      <c r="AZ146" s="6">
        <v>28.97</v>
      </c>
      <c r="BA146" s="6">
        <v>29.02</v>
      </c>
      <c r="BB146" s="6">
        <v>29.3</v>
      </c>
      <c r="BC146" s="6">
        <v>27.53</v>
      </c>
      <c r="BD146" s="6">
        <v>26.15</v>
      </c>
      <c r="BE146" s="6">
        <v>29.75</v>
      </c>
      <c r="BF146" s="6">
        <v>29.11</v>
      </c>
      <c r="BG146" s="6">
        <v>27.11</v>
      </c>
      <c r="BH146" s="10">
        <v>27.86</v>
      </c>
      <c r="BI146" s="10"/>
    </row>
    <row r="147" spans="1:61" ht="15.75" customHeight="1" x14ac:dyDescent="0.25">
      <c r="A147" s="1">
        <v>146</v>
      </c>
      <c r="B147" s="1"/>
      <c r="C147" s="1">
        <v>25</v>
      </c>
      <c r="D147" s="6">
        <v>26.55</v>
      </c>
      <c r="E147" s="6">
        <v>28.07</v>
      </c>
      <c r="F147" s="6">
        <v>27.4</v>
      </c>
      <c r="G147" s="6"/>
      <c r="H147" s="6"/>
      <c r="I147" s="6"/>
      <c r="J147" s="9">
        <v>25.48</v>
      </c>
      <c r="K147" s="9">
        <v>25.66</v>
      </c>
      <c r="L147" s="9">
        <v>29.6</v>
      </c>
      <c r="M147" s="9">
        <v>25.26</v>
      </c>
      <c r="N147" s="9">
        <v>28.32</v>
      </c>
      <c r="O147" s="9">
        <v>27.51</v>
      </c>
      <c r="P147" s="9">
        <v>29.13</v>
      </c>
      <c r="Q147" s="9">
        <v>31.29</v>
      </c>
      <c r="R147" s="9">
        <v>31.92</v>
      </c>
      <c r="S147" s="9">
        <v>31.63</v>
      </c>
      <c r="T147" s="9">
        <v>27.61</v>
      </c>
      <c r="U147" s="9">
        <v>26.66</v>
      </c>
      <c r="V147" s="9">
        <v>27.39</v>
      </c>
      <c r="W147" s="6">
        <v>28.52</v>
      </c>
      <c r="X147" s="6">
        <v>24.79</v>
      </c>
      <c r="Y147" s="6">
        <v>27.22</v>
      </c>
      <c r="Z147" s="6">
        <v>28.69</v>
      </c>
      <c r="AA147" s="6">
        <v>27.46</v>
      </c>
      <c r="AB147" s="6">
        <v>26.06</v>
      </c>
      <c r="AC147" s="6">
        <v>28.5</v>
      </c>
      <c r="AD147" s="6">
        <v>28.68</v>
      </c>
      <c r="AE147" s="6">
        <v>26.48</v>
      </c>
      <c r="AF147" s="6">
        <v>27.97</v>
      </c>
      <c r="AG147" s="6">
        <v>27.44</v>
      </c>
      <c r="AH147" s="6">
        <v>29.07</v>
      </c>
      <c r="AI147" s="6">
        <v>29.17</v>
      </c>
      <c r="AJ147" s="7">
        <v>28.07</v>
      </c>
      <c r="AK147" s="7">
        <v>26.63</v>
      </c>
      <c r="AL147" s="7">
        <v>27.9</v>
      </c>
      <c r="AM147" s="7">
        <v>28.48</v>
      </c>
      <c r="AN147" s="7">
        <v>28.9</v>
      </c>
      <c r="AO147" s="7">
        <v>29.11</v>
      </c>
      <c r="AP147" s="7">
        <v>28.94</v>
      </c>
      <c r="AQ147" s="7">
        <v>27.84</v>
      </c>
      <c r="AR147" s="7">
        <v>25.88</v>
      </c>
      <c r="AS147" s="7">
        <v>25.64</v>
      </c>
      <c r="AT147" s="7">
        <v>29.19</v>
      </c>
      <c r="AU147" s="7">
        <v>30.04</v>
      </c>
      <c r="AV147" s="7">
        <v>30.71</v>
      </c>
      <c r="AW147" s="7">
        <v>28.04</v>
      </c>
      <c r="AX147" s="7">
        <v>27.06</v>
      </c>
      <c r="AY147" s="7">
        <v>25.84</v>
      </c>
      <c r="AZ147" s="7">
        <v>29</v>
      </c>
      <c r="BA147" s="7">
        <v>29.1</v>
      </c>
      <c r="BB147" s="7">
        <v>29.37</v>
      </c>
      <c r="BC147" s="7">
        <v>27.73</v>
      </c>
      <c r="BD147" s="7">
        <v>26.28</v>
      </c>
      <c r="BE147" s="7">
        <v>29.75</v>
      </c>
      <c r="BF147" s="7">
        <v>29.22</v>
      </c>
      <c r="BG147" s="7">
        <v>27.2</v>
      </c>
      <c r="BH147" s="10">
        <v>27.95</v>
      </c>
      <c r="BI147" s="10"/>
    </row>
    <row r="148" spans="1:61" ht="15.75" customHeight="1" x14ac:dyDescent="0.25">
      <c r="A148" s="1">
        <v>147</v>
      </c>
      <c r="B148" s="1"/>
      <c r="C148" s="1">
        <v>26</v>
      </c>
      <c r="D148" s="6">
        <v>26.54</v>
      </c>
      <c r="E148" s="6">
        <v>28.07</v>
      </c>
      <c r="F148" s="6">
        <v>27.56</v>
      </c>
      <c r="G148" s="6"/>
      <c r="H148" s="6"/>
      <c r="I148" s="6"/>
      <c r="J148" s="9">
        <v>25.58</v>
      </c>
      <c r="K148" s="9">
        <v>25.81</v>
      </c>
      <c r="L148" s="9">
        <v>29.72</v>
      </c>
      <c r="M148" s="9">
        <v>25.54</v>
      </c>
      <c r="N148" s="9">
        <v>28.43</v>
      </c>
      <c r="O148" s="9">
        <v>27.65</v>
      </c>
      <c r="P148" s="9">
        <v>29.22</v>
      </c>
      <c r="Q148" s="9">
        <v>31.41</v>
      </c>
      <c r="R148" s="9">
        <v>31.94</v>
      </c>
      <c r="S148" s="9">
        <v>31.65</v>
      </c>
      <c r="T148" s="9">
        <v>27.68</v>
      </c>
      <c r="U148" s="9">
        <v>26.78</v>
      </c>
      <c r="V148" s="9">
        <v>27.44</v>
      </c>
      <c r="W148" s="6">
        <v>28.55</v>
      </c>
      <c r="X148" s="6">
        <v>24.88</v>
      </c>
      <c r="Y148" s="6">
        <v>27.33</v>
      </c>
      <c r="Z148" s="6">
        <v>28.89</v>
      </c>
      <c r="AA148" s="6">
        <v>27.54</v>
      </c>
      <c r="AB148" s="6">
        <v>26.2</v>
      </c>
      <c r="AC148" s="6">
        <v>28.65</v>
      </c>
      <c r="AD148" s="6">
        <v>28.72</v>
      </c>
      <c r="AE148" s="6">
        <v>26.57</v>
      </c>
      <c r="AF148" s="6">
        <v>28.1</v>
      </c>
      <c r="AG148" s="6">
        <v>27.57</v>
      </c>
      <c r="AH148" s="6">
        <v>29.16</v>
      </c>
      <c r="AI148" s="6">
        <v>29.19</v>
      </c>
      <c r="AJ148" s="7">
        <v>28.22</v>
      </c>
      <c r="AK148" s="7">
        <v>26.72</v>
      </c>
      <c r="AL148" s="7">
        <v>28.09</v>
      </c>
      <c r="AM148" s="7">
        <v>28.6</v>
      </c>
      <c r="AN148" s="7">
        <v>29</v>
      </c>
      <c r="AO148" s="7">
        <v>29.18</v>
      </c>
      <c r="AP148" s="7">
        <v>28.96</v>
      </c>
      <c r="AQ148" s="7">
        <v>27.91</v>
      </c>
      <c r="AR148" s="7">
        <v>26.04</v>
      </c>
      <c r="AS148" s="7">
        <v>25.64</v>
      </c>
      <c r="AT148" s="7">
        <v>29.28</v>
      </c>
      <c r="AU148" s="7">
        <v>30.12</v>
      </c>
      <c r="AV148" s="7">
        <v>30.75</v>
      </c>
      <c r="AW148" s="7">
        <v>28.18</v>
      </c>
      <c r="AX148" s="7">
        <v>27.06</v>
      </c>
      <c r="AY148" s="7">
        <v>26.1</v>
      </c>
      <c r="AZ148" s="7">
        <v>29.06</v>
      </c>
      <c r="BA148" s="7">
        <v>29.16</v>
      </c>
      <c r="BB148" s="7">
        <v>29.44</v>
      </c>
      <c r="BC148" s="7">
        <v>27.83</v>
      </c>
      <c r="BD148" s="7">
        <v>26.4</v>
      </c>
      <c r="BE148" s="7">
        <v>29.82</v>
      </c>
      <c r="BF148" s="7">
        <v>29.35</v>
      </c>
      <c r="BG148" s="7">
        <v>27.25</v>
      </c>
      <c r="BH148" s="10">
        <v>28.07</v>
      </c>
      <c r="BI148" s="10"/>
    </row>
    <row r="149" spans="1:61" ht="15.75" customHeight="1" x14ac:dyDescent="0.25">
      <c r="A149" s="1">
        <v>148</v>
      </c>
      <c r="B149" s="1"/>
      <c r="C149" s="1">
        <v>27</v>
      </c>
      <c r="D149" s="6">
        <v>26.7</v>
      </c>
      <c r="E149" s="6">
        <v>28.28</v>
      </c>
      <c r="F149" s="6">
        <v>27.77</v>
      </c>
      <c r="G149" s="6"/>
      <c r="H149" s="6"/>
      <c r="I149" s="6"/>
      <c r="J149" s="9">
        <v>25.53</v>
      </c>
      <c r="K149" s="9">
        <v>25.94</v>
      </c>
      <c r="L149" s="9">
        <v>29.79</v>
      </c>
      <c r="M149" s="9">
        <v>25.83</v>
      </c>
      <c r="N149" s="9">
        <v>28.48</v>
      </c>
      <c r="O149" s="9">
        <v>27.82</v>
      </c>
      <c r="P149" s="9">
        <v>29.32</v>
      </c>
      <c r="Q149" s="9">
        <v>31.53</v>
      </c>
      <c r="R149" s="9">
        <v>31.98</v>
      </c>
      <c r="S149" s="9">
        <v>31.69</v>
      </c>
      <c r="T149" s="9">
        <v>27.83</v>
      </c>
      <c r="U149" s="9">
        <v>26.87</v>
      </c>
      <c r="V149" s="9">
        <v>27.5</v>
      </c>
      <c r="W149" s="6">
        <v>28.56</v>
      </c>
      <c r="X149" s="6">
        <v>24.98</v>
      </c>
      <c r="Y149" s="6">
        <v>27.51</v>
      </c>
      <c r="Z149" s="6">
        <v>29.05</v>
      </c>
      <c r="AA149" s="6">
        <v>27.6</v>
      </c>
      <c r="AB149" s="6">
        <v>26.3</v>
      </c>
      <c r="AC149" s="6">
        <v>28.78</v>
      </c>
      <c r="AD149" s="6">
        <v>28.76</v>
      </c>
      <c r="AE149" s="6">
        <v>26.7</v>
      </c>
      <c r="AF149" s="6">
        <v>28.23</v>
      </c>
      <c r="AG149" s="6">
        <v>27.67</v>
      </c>
      <c r="AH149" s="6">
        <v>29.24</v>
      </c>
      <c r="AI149" s="6">
        <v>29.19</v>
      </c>
      <c r="AJ149" s="7">
        <v>28.38</v>
      </c>
      <c r="AK149" s="7">
        <v>26.82</v>
      </c>
      <c r="AL149" s="7">
        <v>28.26</v>
      </c>
      <c r="AM149" s="7">
        <v>28.72</v>
      </c>
      <c r="AN149" s="7">
        <v>29.09</v>
      </c>
      <c r="AO149" s="7">
        <v>29.24</v>
      </c>
      <c r="AP149" s="7">
        <v>28.99</v>
      </c>
      <c r="AQ149" s="7">
        <v>28</v>
      </c>
      <c r="AR149" s="7">
        <v>26.19</v>
      </c>
      <c r="AS149" s="7">
        <v>25.7</v>
      </c>
      <c r="AT149" s="7">
        <v>29.38</v>
      </c>
      <c r="AU149" s="7">
        <v>30.21</v>
      </c>
      <c r="AV149" s="7">
        <v>30.78</v>
      </c>
      <c r="AW149" s="7">
        <v>28.3</v>
      </c>
      <c r="AX149" s="7">
        <v>27.07</v>
      </c>
      <c r="AY149" s="7">
        <v>26.34</v>
      </c>
      <c r="AZ149" s="7">
        <v>29.19</v>
      </c>
      <c r="BA149" s="7">
        <v>29.16</v>
      </c>
      <c r="BB149" s="7">
        <v>29.5</v>
      </c>
      <c r="BC149" s="7">
        <v>27.93</v>
      </c>
      <c r="BD149" s="7">
        <v>26.55</v>
      </c>
      <c r="BE149" s="7">
        <v>29.92</v>
      </c>
      <c r="BF149" s="7">
        <v>29.48</v>
      </c>
      <c r="BG149" s="7">
        <v>27.24</v>
      </c>
      <c r="BH149" s="10">
        <v>28.21</v>
      </c>
      <c r="BI149" s="10"/>
    </row>
    <row r="150" spans="1:61" ht="15.75" customHeight="1" x14ac:dyDescent="0.25">
      <c r="A150" s="1">
        <v>149</v>
      </c>
      <c r="B150" s="1"/>
      <c r="C150" s="1">
        <v>28</v>
      </c>
      <c r="D150" s="6">
        <v>26.85</v>
      </c>
      <c r="E150" s="6">
        <v>28.53</v>
      </c>
      <c r="F150" s="6">
        <v>27.95</v>
      </c>
      <c r="G150" s="6"/>
      <c r="H150" s="6"/>
      <c r="I150" s="6"/>
      <c r="J150" s="9">
        <v>25.53</v>
      </c>
      <c r="K150" s="9">
        <v>26.05</v>
      </c>
      <c r="L150" s="9">
        <v>29.86</v>
      </c>
      <c r="M150" s="9">
        <v>26.07</v>
      </c>
      <c r="N150" s="9">
        <v>28.54</v>
      </c>
      <c r="O150" s="9">
        <v>27.95</v>
      </c>
      <c r="P150" s="9">
        <v>29.41</v>
      </c>
      <c r="Q150" s="9">
        <v>31.66</v>
      </c>
      <c r="R150" s="9">
        <v>31.98</v>
      </c>
      <c r="S150" s="9">
        <v>31.75</v>
      </c>
      <c r="T150" s="9">
        <v>27.98</v>
      </c>
      <c r="U150" s="9">
        <v>26.93</v>
      </c>
      <c r="V150" s="9">
        <v>27.61</v>
      </c>
      <c r="W150" s="6">
        <v>28.57</v>
      </c>
      <c r="X150" s="6">
        <v>25.08</v>
      </c>
      <c r="Y150" s="6">
        <v>27.65</v>
      </c>
      <c r="Z150" s="6">
        <v>29.34</v>
      </c>
      <c r="AA150" s="6">
        <v>27.67</v>
      </c>
      <c r="AB150" s="6">
        <v>26.38</v>
      </c>
      <c r="AC150" s="6">
        <v>28.88</v>
      </c>
      <c r="AD150" s="6">
        <v>28.8</v>
      </c>
      <c r="AE150" s="6">
        <v>26.84</v>
      </c>
      <c r="AF150" s="6">
        <v>28.35</v>
      </c>
      <c r="AG150" s="6">
        <v>27.79</v>
      </c>
      <c r="AH150" s="6">
        <v>29.3</v>
      </c>
      <c r="AI150" s="6">
        <v>29.11</v>
      </c>
      <c r="AJ150" s="7">
        <v>28.5</v>
      </c>
      <c r="AK150" s="7">
        <v>26.97</v>
      </c>
      <c r="AL150" s="7">
        <v>28.4</v>
      </c>
      <c r="AM150" s="7">
        <v>28.85</v>
      </c>
      <c r="AN150" s="7">
        <v>29.19</v>
      </c>
      <c r="AO150" s="7">
        <v>29.29</v>
      </c>
      <c r="AP150" s="7">
        <v>29</v>
      </c>
      <c r="AQ150" s="7">
        <v>28.1</v>
      </c>
      <c r="AR150" s="7">
        <v>26.4</v>
      </c>
      <c r="AS150" s="7">
        <v>25.77</v>
      </c>
      <c r="AT150" s="7">
        <v>29.43</v>
      </c>
      <c r="AU150" s="7">
        <v>30.3</v>
      </c>
      <c r="AV150" s="7">
        <v>30.8</v>
      </c>
      <c r="AW150" s="7">
        <v>28.5</v>
      </c>
      <c r="AX150" s="7">
        <v>27.12</v>
      </c>
      <c r="AY150" s="7">
        <v>26.54</v>
      </c>
      <c r="AZ150" s="7">
        <v>29.31</v>
      </c>
      <c r="BA150" s="7">
        <v>29.16</v>
      </c>
      <c r="BB150" s="7">
        <v>29.57</v>
      </c>
      <c r="BC150" s="7">
        <v>28.03</v>
      </c>
      <c r="BD150" s="7">
        <v>26.7</v>
      </c>
      <c r="BE150" s="7">
        <v>30.04</v>
      </c>
      <c r="BF150" s="7">
        <v>29.57</v>
      </c>
      <c r="BG150" s="7">
        <v>27.42</v>
      </c>
      <c r="BH150" s="10">
        <v>28.33</v>
      </c>
      <c r="BI150" s="10"/>
    </row>
    <row r="151" spans="1:61" ht="15.75" customHeight="1" x14ac:dyDescent="0.25">
      <c r="A151" s="1">
        <v>150</v>
      </c>
      <c r="B151" s="1"/>
      <c r="C151" s="1">
        <v>29</v>
      </c>
      <c r="D151" s="6">
        <v>27.04</v>
      </c>
      <c r="E151" s="6">
        <v>28.95</v>
      </c>
      <c r="F151" s="6">
        <v>28.07</v>
      </c>
      <c r="G151" s="6"/>
      <c r="H151" s="6"/>
      <c r="I151" s="6"/>
      <c r="J151" s="9">
        <v>25.48</v>
      </c>
      <c r="K151" s="9">
        <v>26.32</v>
      </c>
      <c r="L151" s="9">
        <v>29.92</v>
      </c>
      <c r="M151" s="9">
        <v>26.44</v>
      </c>
      <c r="N151" s="9">
        <v>28.65</v>
      </c>
      <c r="O151" s="9">
        <v>28.05</v>
      </c>
      <c r="P151" s="9">
        <v>29.46</v>
      </c>
      <c r="Q151" s="9">
        <v>31.82</v>
      </c>
      <c r="R151" s="9">
        <v>31.98</v>
      </c>
      <c r="S151" s="9">
        <v>31.79</v>
      </c>
      <c r="T151" s="9">
        <v>28.14</v>
      </c>
      <c r="U151" s="9">
        <v>26.98</v>
      </c>
      <c r="V151" s="9">
        <v>27.69</v>
      </c>
      <c r="W151" s="6">
        <v>28.57</v>
      </c>
      <c r="X151" s="6">
        <v>25.21</v>
      </c>
      <c r="Y151" s="6">
        <v>27.85</v>
      </c>
      <c r="Z151" s="6">
        <v>29.47</v>
      </c>
      <c r="AA151" s="6">
        <v>27.74</v>
      </c>
      <c r="AB151" s="6">
        <v>26.42</v>
      </c>
      <c r="AC151" s="6">
        <v>28.98</v>
      </c>
      <c r="AD151" s="6">
        <v>28.9</v>
      </c>
      <c r="AE151" s="6">
        <v>26.99</v>
      </c>
      <c r="AF151" s="6">
        <v>28.47</v>
      </c>
      <c r="AG151" s="6">
        <v>27.98</v>
      </c>
      <c r="AH151" s="6">
        <v>29.38</v>
      </c>
      <c r="AI151" s="6">
        <v>29.17</v>
      </c>
      <c r="AJ151" s="7">
        <v>28.68</v>
      </c>
      <c r="AK151" s="7">
        <v>27.08</v>
      </c>
      <c r="AL151" s="7">
        <v>28.54</v>
      </c>
      <c r="AM151" s="7">
        <v>28.98</v>
      </c>
      <c r="AN151" s="7">
        <v>29.33</v>
      </c>
      <c r="AO151" s="7">
        <v>29.32</v>
      </c>
      <c r="AP151" s="7">
        <v>29</v>
      </c>
      <c r="AQ151" s="7">
        <v>28.23</v>
      </c>
      <c r="AR151" s="7">
        <v>26.62</v>
      </c>
      <c r="AS151" s="7">
        <v>25.89</v>
      </c>
      <c r="AT151" s="7">
        <v>29.5</v>
      </c>
      <c r="AU151" s="7">
        <v>30.4</v>
      </c>
      <c r="AV151" s="7">
        <v>30.81</v>
      </c>
      <c r="AW151" s="7">
        <v>28.6</v>
      </c>
      <c r="AX151" s="7">
        <v>27.18</v>
      </c>
      <c r="AY151" s="7">
        <v>26.68</v>
      </c>
      <c r="AZ151" s="7">
        <v>29.4</v>
      </c>
      <c r="BA151" s="7">
        <v>29.14</v>
      </c>
      <c r="BB151" s="7">
        <v>29.64</v>
      </c>
      <c r="BC151" s="7">
        <v>28.08</v>
      </c>
      <c r="BD151" s="7">
        <v>26.85</v>
      </c>
      <c r="BE151" s="7">
        <v>30.22</v>
      </c>
      <c r="BF151" s="7">
        <v>29.66</v>
      </c>
      <c r="BG151" s="7">
        <v>27.56</v>
      </c>
      <c r="BH151" s="10">
        <v>28.45</v>
      </c>
      <c r="BI151" s="10"/>
    </row>
    <row r="152" spans="1:61" ht="15.75" customHeight="1" x14ac:dyDescent="0.25">
      <c r="A152" s="1">
        <v>151</v>
      </c>
      <c r="B152" s="1"/>
      <c r="C152" s="1">
        <v>30</v>
      </c>
      <c r="D152" s="6">
        <v>27.18</v>
      </c>
      <c r="E152" s="6">
        <v>29.26</v>
      </c>
      <c r="F152" s="6">
        <v>28.07</v>
      </c>
      <c r="G152" s="6"/>
      <c r="H152" s="6"/>
      <c r="I152" s="6"/>
      <c r="J152" s="9">
        <v>25.48</v>
      </c>
      <c r="K152" s="9">
        <v>26.46</v>
      </c>
      <c r="L152" s="9">
        <v>29.97</v>
      </c>
      <c r="M152" s="9">
        <v>26.64</v>
      </c>
      <c r="N152" s="9">
        <v>28.77</v>
      </c>
      <c r="O152" s="9">
        <v>28.17</v>
      </c>
      <c r="P152" s="9">
        <v>29.48</v>
      </c>
      <c r="Q152" s="9">
        <v>31.97</v>
      </c>
      <c r="R152" s="9">
        <v>32.01</v>
      </c>
      <c r="S152" s="9">
        <v>31.81</v>
      </c>
      <c r="T152" s="9">
        <v>28.33</v>
      </c>
      <c r="U152" s="9">
        <v>27.04</v>
      </c>
      <c r="V152" s="9">
        <v>27.92</v>
      </c>
      <c r="W152" s="6">
        <v>28.6</v>
      </c>
      <c r="X152" s="6">
        <v>25.35</v>
      </c>
      <c r="Y152" s="6">
        <v>28.04</v>
      </c>
      <c r="Z152" s="6">
        <v>29.6</v>
      </c>
      <c r="AA152" s="6">
        <v>27.82</v>
      </c>
      <c r="AB152" s="6">
        <v>26.42</v>
      </c>
      <c r="AC152" s="6">
        <v>29.09</v>
      </c>
      <c r="AD152" s="6">
        <v>28.96</v>
      </c>
      <c r="AE152" s="6">
        <v>27.13</v>
      </c>
      <c r="AF152" s="6">
        <v>28.58</v>
      </c>
      <c r="AG152" s="6">
        <v>28.14</v>
      </c>
      <c r="AH152" s="6">
        <v>29.44</v>
      </c>
      <c r="AI152" s="6">
        <v>29.18</v>
      </c>
      <c r="AJ152" s="7">
        <v>28.81</v>
      </c>
      <c r="AK152" s="7">
        <v>27.19</v>
      </c>
      <c r="AL152" s="7">
        <v>28.65</v>
      </c>
      <c r="AM152" s="7">
        <v>29.07</v>
      </c>
      <c r="AN152" s="7">
        <v>29.46</v>
      </c>
      <c r="AO152" s="7">
        <v>29.35</v>
      </c>
      <c r="AP152" s="7">
        <v>29.01</v>
      </c>
      <c r="AQ152" s="7">
        <v>28.37</v>
      </c>
      <c r="AR152" s="7">
        <v>26.79</v>
      </c>
      <c r="AS152" s="7">
        <v>25.99</v>
      </c>
      <c r="AT152" s="7">
        <v>29.75</v>
      </c>
      <c r="AU152" s="7">
        <v>30.49</v>
      </c>
      <c r="AV152" s="7">
        <v>30.83</v>
      </c>
      <c r="AW152" s="7">
        <v>28.75</v>
      </c>
      <c r="AX152" s="7">
        <v>27.26</v>
      </c>
      <c r="AY152" s="7">
        <v>26.8</v>
      </c>
      <c r="AZ152" s="7">
        <v>29.51</v>
      </c>
      <c r="BA152" s="7">
        <v>29.14</v>
      </c>
      <c r="BB152" s="7">
        <v>29.7</v>
      </c>
      <c r="BC152" s="7">
        <v>28.14</v>
      </c>
      <c r="BD152" s="7">
        <v>26.99</v>
      </c>
      <c r="BE152" s="7">
        <v>30.33</v>
      </c>
      <c r="BF152" s="7">
        <v>29.74</v>
      </c>
      <c r="BG152" s="7">
        <v>27.8</v>
      </c>
      <c r="BH152" s="10">
        <v>28.6</v>
      </c>
      <c r="BI152" s="10"/>
    </row>
    <row r="153" spans="1:61" ht="15.75" customHeight="1" x14ac:dyDescent="0.25">
      <c r="A153" s="1">
        <v>152</v>
      </c>
      <c r="B153" s="1"/>
      <c r="C153" s="1">
        <v>31</v>
      </c>
      <c r="D153" s="6">
        <v>27.29</v>
      </c>
      <c r="E153" s="6">
        <v>29.51</v>
      </c>
      <c r="F153" s="6">
        <v>28.07</v>
      </c>
      <c r="G153" s="6"/>
      <c r="H153" s="6"/>
      <c r="I153" s="6"/>
      <c r="J153" s="9">
        <v>25.53</v>
      </c>
      <c r="K153" s="9">
        <v>26.62</v>
      </c>
      <c r="L153" s="9">
        <v>30.03</v>
      </c>
      <c r="M153" s="9">
        <v>26.99</v>
      </c>
      <c r="N153" s="9">
        <v>28.89</v>
      </c>
      <c r="O153" s="9">
        <v>28.34</v>
      </c>
      <c r="P153" s="9">
        <v>29.5</v>
      </c>
      <c r="Q153" s="9">
        <v>32.03</v>
      </c>
      <c r="R153" s="9">
        <v>32.06</v>
      </c>
      <c r="S153" s="9">
        <v>31.82</v>
      </c>
      <c r="T153" s="9">
        <v>28.55</v>
      </c>
      <c r="U153" s="9">
        <v>27.08</v>
      </c>
      <c r="V153" s="9">
        <v>27.98</v>
      </c>
      <c r="W153" s="6">
        <v>28.63</v>
      </c>
      <c r="X153" s="6">
        <v>25.54</v>
      </c>
      <c r="Y153" s="6">
        <v>28.18</v>
      </c>
      <c r="Z153" s="6">
        <v>29.72</v>
      </c>
      <c r="AA153" s="6">
        <v>27.85</v>
      </c>
      <c r="AB153" s="6">
        <v>26.52</v>
      </c>
      <c r="AC153" s="6">
        <v>29.18</v>
      </c>
      <c r="AD153" s="6">
        <v>29.04</v>
      </c>
      <c r="AE153" s="6">
        <v>27.28</v>
      </c>
      <c r="AF153" s="6">
        <v>28.64</v>
      </c>
      <c r="AG153" s="6">
        <v>28.29</v>
      </c>
      <c r="AH153" s="6">
        <v>29.5</v>
      </c>
      <c r="AI153" s="6">
        <v>29.19</v>
      </c>
      <c r="AJ153" s="7">
        <v>28.96</v>
      </c>
      <c r="AK153" s="7">
        <v>27.24</v>
      </c>
      <c r="AL153" s="7">
        <v>28.78</v>
      </c>
      <c r="AM153" s="7">
        <v>29.14</v>
      </c>
      <c r="AN153" s="7">
        <v>29.61</v>
      </c>
      <c r="AO153" s="7">
        <v>29.37</v>
      </c>
      <c r="AP153" s="7">
        <v>29.04</v>
      </c>
      <c r="AQ153" s="7">
        <v>28.48</v>
      </c>
      <c r="AR153" s="7">
        <v>26.92</v>
      </c>
      <c r="AS153" s="7">
        <v>26.02</v>
      </c>
      <c r="AT153" s="7">
        <v>29.87</v>
      </c>
      <c r="AU153" s="7">
        <v>30.57</v>
      </c>
      <c r="AV153" s="7">
        <v>30.89</v>
      </c>
      <c r="AW153" s="7">
        <v>28.88</v>
      </c>
      <c r="AX153" s="7">
        <v>27.32</v>
      </c>
      <c r="AY153" s="7">
        <v>26.9</v>
      </c>
      <c r="AZ153" s="7">
        <v>29.6</v>
      </c>
      <c r="BA153" s="7">
        <v>29.16</v>
      </c>
      <c r="BB153" s="7">
        <v>29.75</v>
      </c>
      <c r="BC153" s="7">
        <v>28.2</v>
      </c>
      <c r="BD153" s="7">
        <v>27.15</v>
      </c>
      <c r="BE153" s="7">
        <v>30.43</v>
      </c>
      <c r="BF153" s="7">
        <v>29.81</v>
      </c>
      <c r="BG153" s="7">
        <v>27.98</v>
      </c>
      <c r="BH153" s="10">
        <v>28.74</v>
      </c>
      <c r="BI153" s="10"/>
    </row>
    <row r="154" spans="1:61" ht="15.75" customHeight="1" x14ac:dyDescent="0.25">
      <c r="A154" s="1">
        <v>153</v>
      </c>
      <c r="B154" s="1" t="s">
        <v>9</v>
      </c>
      <c r="C154" s="1">
        <v>1</v>
      </c>
      <c r="D154" s="6">
        <v>27.4</v>
      </c>
      <c r="E154" s="6">
        <v>29.55</v>
      </c>
      <c r="F154" s="6">
        <v>28.13</v>
      </c>
      <c r="G154" s="6"/>
      <c r="H154" s="6"/>
      <c r="I154" s="6"/>
      <c r="J154" s="9">
        <v>25.58</v>
      </c>
      <c r="K154" s="9">
        <v>26.86</v>
      </c>
      <c r="L154" s="9">
        <v>30.1</v>
      </c>
      <c r="M154" s="9">
        <v>27.3</v>
      </c>
      <c r="N154" s="9">
        <v>29.1</v>
      </c>
      <c r="O154" s="9">
        <v>28.46</v>
      </c>
      <c r="P154" s="9">
        <v>29.52</v>
      </c>
      <c r="Q154" s="9">
        <v>32.15</v>
      </c>
      <c r="R154" s="9">
        <v>32.1</v>
      </c>
      <c r="S154" s="9">
        <v>31.83</v>
      </c>
      <c r="T154" s="9">
        <v>28.74</v>
      </c>
      <c r="U154" s="9">
        <v>27.16</v>
      </c>
      <c r="V154" s="9">
        <v>28.15</v>
      </c>
      <c r="W154" s="6">
        <v>28.71</v>
      </c>
      <c r="X154" s="6">
        <v>25.78</v>
      </c>
      <c r="Y154" s="6">
        <v>28.3</v>
      </c>
      <c r="Z154" s="6">
        <v>29.81</v>
      </c>
      <c r="AA154" s="6">
        <v>27.9</v>
      </c>
      <c r="AB154" s="6">
        <v>26.6</v>
      </c>
      <c r="AC154" s="6">
        <v>29.3</v>
      </c>
      <c r="AD154" s="6">
        <v>29.12</v>
      </c>
      <c r="AE154" s="6">
        <v>27.46</v>
      </c>
      <c r="AF154" s="6">
        <v>28.76</v>
      </c>
      <c r="AG154" s="6">
        <v>28.44</v>
      </c>
      <c r="AH154" s="6">
        <v>29.58</v>
      </c>
      <c r="AI154" s="6">
        <v>29.17</v>
      </c>
      <c r="AJ154" s="7">
        <v>29.12</v>
      </c>
      <c r="AK154" s="7">
        <v>27.28</v>
      </c>
      <c r="AL154" s="7">
        <v>28.91</v>
      </c>
      <c r="AM154" s="7">
        <v>29.22</v>
      </c>
      <c r="AN154" s="7">
        <v>29.75</v>
      </c>
      <c r="AO154" s="7">
        <v>29.4</v>
      </c>
      <c r="AP154" s="7">
        <v>29.04</v>
      </c>
      <c r="AQ154" s="7">
        <v>28.58</v>
      </c>
      <c r="AR154" s="7">
        <v>27.17</v>
      </c>
      <c r="AS154" s="7">
        <v>26.02</v>
      </c>
      <c r="AT154" s="7">
        <v>29.99</v>
      </c>
      <c r="AU154" s="7">
        <v>30.69</v>
      </c>
      <c r="AV154" s="7">
        <v>30.9</v>
      </c>
      <c r="AW154" s="7">
        <v>28.97</v>
      </c>
      <c r="AX154" s="7">
        <v>27.36</v>
      </c>
      <c r="AY154" s="7">
        <v>27.03</v>
      </c>
      <c r="AZ154" s="7">
        <v>29.7</v>
      </c>
      <c r="BA154" s="7">
        <v>29.2</v>
      </c>
      <c r="BB154" s="7">
        <v>29.81</v>
      </c>
      <c r="BC154" s="7">
        <v>28.3</v>
      </c>
      <c r="BD154" s="7">
        <v>27.28</v>
      </c>
      <c r="BE154" s="7">
        <v>30.56</v>
      </c>
      <c r="BF154" s="7">
        <v>29.87</v>
      </c>
      <c r="BG154" s="7">
        <v>28.15</v>
      </c>
      <c r="BH154" s="10">
        <v>28.89</v>
      </c>
      <c r="BI154" s="10"/>
    </row>
    <row r="155" spans="1:61" ht="15.75" customHeight="1" x14ac:dyDescent="0.25">
      <c r="A155" s="1">
        <v>154</v>
      </c>
      <c r="B155" s="1"/>
      <c r="C155" s="1">
        <v>2</v>
      </c>
      <c r="D155" s="6">
        <v>27.52</v>
      </c>
      <c r="E155" s="6">
        <v>29.57</v>
      </c>
      <c r="F155" s="6">
        <v>28.17</v>
      </c>
      <c r="G155" s="6"/>
      <c r="H155" s="6"/>
      <c r="I155" s="6"/>
      <c r="J155" s="9">
        <v>25.63</v>
      </c>
      <c r="K155" s="9">
        <v>27.04</v>
      </c>
      <c r="L155" s="9">
        <v>30.16</v>
      </c>
      <c r="M155" s="9">
        <v>27.55</v>
      </c>
      <c r="N155" s="9">
        <v>29.2</v>
      </c>
      <c r="O155" s="9">
        <v>28.59</v>
      </c>
      <c r="P155" s="9">
        <v>29.55</v>
      </c>
      <c r="Q155" s="9">
        <v>32.270000000000003</v>
      </c>
      <c r="R155" s="9">
        <v>32.15</v>
      </c>
      <c r="S155" s="9">
        <v>31.83</v>
      </c>
      <c r="T155" s="9">
        <v>28.87</v>
      </c>
      <c r="U155" s="9">
        <v>27.27</v>
      </c>
      <c r="V155" s="9">
        <v>28.35</v>
      </c>
      <c r="W155" s="6">
        <v>28.77</v>
      </c>
      <c r="X155" s="6">
        <v>25.99</v>
      </c>
      <c r="Y155" s="6">
        <v>28.4</v>
      </c>
      <c r="Z155" s="6">
        <v>29.93</v>
      </c>
      <c r="AA155" s="6">
        <v>27.96</v>
      </c>
      <c r="AB155" s="6">
        <v>26.64</v>
      </c>
      <c r="AC155" s="6">
        <v>29.4</v>
      </c>
      <c r="AD155" s="6">
        <v>29.19</v>
      </c>
      <c r="AE155" s="6">
        <v>27.62</v>
      </c>
      <c r="AF155" s="6">
        <v>28.84</v>
      </c>
      <c r="AG155" s="6">
        <v>28.63</v>
      </c>
      <c r="AH155" s="6">
        <v>29.63</v>
      </c>
      <c r="AI155" s="6">
        <v>29.15</v>
      </c>
      <c r="AJ155" s="7">
        <v>29.26</v>
      </c>
      <c r="AK155" s="7">
        <v>27.29</v>
      </c>
      <c r="AL155" s="7">
        <v>29</v>
      </c>
      <c r="AM155" s="7">
        <v>29.3</v>
      </c>
      <c r="AN155" s="7">
        <v>29.88</v>
      </c>
      <c r="AO155" s="7">
        <v>29.43</v>
      </c>
      <c r="AP155" s="7">
        <v>29.04</v>
      </c>
      <c r="AQ155" s="7">
        <v>28.68</v>
      </c>
      <c r="AR155" s="7">
        <v>27.38</v>
      </c>
      <c r="AS155" s="7">
        <v>25.93</v>
      </c>
      <c r="AT155" s="7">
        <v>30.12</v>
      </c>
      <c r="AU155" s="7">
        <v>30.8</v>
      </c>
      <c r="AV155" s="7">
        <v>30.93</v>
      </c>
      <c r="AW155" s="7">
        <v>29.06</v>
      </c>
      <c r="AX155" s="7">
        <v>27.36</v>
      </c>
      <c r="AY155" s="7">
        <v>27.18</v>
      </c>
      <c r="AZ155" s="7">
        <v>29.89</v>
      </c>
      <c r="BA155" s="7">
        <v>29.22</v>
      </c>
      <c r="BB155" s="7">
        <v>29.86</v>
      </c>
      <c r="BC155" s="7">
        <v>28.4</v>
      </c>
      <c r="BD155" s="7">
        <v>27.31</v>
      </c>
      <c r="BE155" s="7">
        <v>30.68</v>
      </c>
      <c r="BF155" s="7">
        <v>29.95</v>
      </c>
      <c r="BG155" s="7">
        <v>28.35</v>
      </c>
      <c r="BH155" s="10">
        <v>29.05</v>
      </c>
      <c r="BI155" s="10"/>
    </row>
    <row r="156" spans="1:61" ht="15.75" customHeight="1" x14ac:dyDescent="0.25">
      <c r="A156" s="1">
        <v>155</v>
      </c>
      <c r="B156" s="1"/>
      <c r="C156" s="1">
        <v>3</v>
      </c>
      <c r="D156" s="6">
        <v>27.63</v>
      </c>
      <c r="E156" s="6">
        <v>29.72</v>
      </c>
      <c r="F156" s="6">
        <v>28.18</v>
      </c>
      <c r="G156" s="6"/>
      <c r="H156" s="6"/>
      <c r="I156" s="6"/>
      <c r="J156" s="9">
        <v>25.63</v>
      </c>
      <c r="K156" s="9">
        <v>27.27</v>
      </c>
      <c r="L156" s="9">
        <v>30.21</v>
      </c>
      <c r="M156" s="9">
        <v>27.74</v>
      </c>
      <c r="N156" s="9">
        <v>29.3</v>
      </c>
      <c r="O156" s="9">
        <v>28.73</v>
      </c>
      <c r="P156" s="9">
        <v>29.61</v>
      </c>
      <c r="Q156" s="9">
        <v>32.380000000000003</v>
      </c>
      <c r="R156" s="9">
        <v>32.270000000000003</v>
      </c>
      <c r="S156" s="9">
        <v>31.84</v>
      </c>
      <c r="T156" s="9">
        <v>28.97</v>
      </c>
      <c r="U156" s="9">
        <v>27.38</v>
      </c>
      <c r="V156" s="9">
        <v>28.59</v>
      </c>
      <c r="W156" s="6">
        <v>28.81</v>
      </c>
      <c r="X156" s="6">
        <v>26.2</v>
      </c>
      <c r="Y156" s="6">
        <v>28.49</v>
      </c>
      <c r="Z156" s="6">
        <v>30.02</v>
      </c>
      <c r="AA156" s="6">
        <v>28</v>
      </c>
      <c r="AB156" s="6">
        <v>26.7</v>
      </c>
      <c r="AC156" s="6">
        <v>29.48</v>
      </c>
      <c r="AD156" s="6">
        <v>29.3</v>
      </c>
      <c r="AE156" s="6">
        <v>27.8</v>
      </c>
      <c r="AF156" s="6">
        <v>28.97</v>
      </c>
      <c r="AG156" s="6">
        <v>28.79</v>
      </c>
      <c r="AH156" s="6">
        <v>29.68</v>
      </c>
      <c r="AI156" s="6">
        <v>29.12</v>
      </c>
      <c r="AJ156" s="7">
        <v>29.4</v>
      </c>
      <c r="AK156" s="7">
        <v>27.3</v>
      </c>
      <c r="AL156" s="7">
        <v>29.18</v>
      </c>
      <c r="AM156" s="7">
        <v>29.37</v>
      </c>
      <c r="AN156" s="7">
        <v>29.98</v>
      </c>
      <c r="AO156" s="7">
        <v>29.43</v>
      </c>
      <c r="AP156" s="7">
        <v>29.04</v>
      </c>
      <c r="AQ156" s="7">
        <v>28.77</v>
      </c>
      <c r="AR156" s="7">
        <v>27.56</v>
      </c>
      <c r="AS156" s="7">
        <v>25.86</v>
      </c>
      <c r="AT156" s="7">
        <v>30.21</v>
      </c>
      <c r="AU156" s="7">
        <v>30.89</v>
      </c>
      <c r="AV156" s="7">
        <v>30.94</v>
      </c>
      <c r="AW156" s="7">
        <v>29.21</v>
      </c>
      <c r="AX156" s="7">
        <v>27.36</v>
      </c>
      <c r="AY156" s="7">
        <v>27.31</v>
      </c>
      <c r="AZ156" s="7">
        <v>29.96</v>
      </c>
      <c r="BA156" s="7">
        <v>29.24</v>
      </c>
      <c r="BB156" s="7">
        <v>29.93</v>
      </c>
      <c r="BC156" s="7">
        <v>28.5</v>
      </c>
      <c r="BD156" s="7">
        <v>27.43</v>
      </c>
      <c r="BE156" s="7">
        <v>30.79</v>
      </c>
      <c r="BF156" s="7">
        <v>30.04</v>
      </c>
      <c r="BG156" s="7">
        <v>28.51</v>
      </c>
      <c r="BH156" s="10">
        <v>29.24</v>
      </c>
      <c r="BI156" s="10"/>
    </row>
    <row r="157" spans="1:61" ht="15.75" customHeight="1" x14ac:dyDescent="0.25">
      <c r="A157" s="1">
        <v>156</v>
      </c>
      <c r="B157" s="1"/>
      <c r="C157" s="1">
        <v>4</v>
      </c>
      <c r="D157" s="6">
        <v>27.76</v>
      </c>
      <c r="E157" s="6">
        <v>29.87</v>
      </c>
      <c r="F157" s="6">
        <v>28.2</v>
      </c>
      <c r="G157" s="6"/>
      <c r="H157" s="6"/>
      <c r="I157" s="6"/>
      <c r="J157" s="9">
        <v>25.68</v>
      </c>
      <c r="K157" s="9">
        <v>27.53</v>
      </c>
      <c r="L157" s="9">
        <v>30.28</v>
      </c>
      <c r="M157" s="9">
        <v>27.88</v>
      </c>
      <c r="N157" s="9">
        <v>29.37</v>
      </c>
      <c r="O157" s="9">
        <v>28.87</v>
      </c>
      <c r="P157" s="9">
        <v>29.7</v>
      </c>
      <c r="Q157" s="9">
        <v>32.49</v>
      </c>
      <c r="R157" s="9">
        <v>32.4</v>
      </c>
      <c r="S157" s="9">
        <v>31.86</v>
      </c>
      <c r="T157" s="9">
        <v>29.09</v>
      </c>
      <c r="U157" s="9">
        <v>27.59</v>
      </c>
      <c r="V157" s="9">
        <v>28.79</v>
      </c>
      <c r="W157" s="6">
        <v>28.83</v>
      </c>
      <c r="X157" s="6">
        <v>26.29</v>
      </c>
      <c r="Y157" s="6">
        <v>28.57</v>
      </c>
      <c r="Z157" s="6">
        <v>30.07</v>
      </c>
      <c r="AA157" s="6">
        <v>28.03</v>
      </c>
      <c r="AB157" s="6">
        <v>26.74</v>
      </c>
      <c r="AC157" s="6">
        <v>29.55</v>
      </c>
      <c r="AD157" s="6">
        <v>29.35</v>
      </c>
      <c r="AE157" s="6">
        <v>28</v>
      </c>
      <c r="AF157" s="6">
        <v>29.07</v>
      </c>
      <c r="AG157" s="6">
        <v>28.93</v>
      </c>
      <c r="AH157" s="6">
        <v>29.76</v>
      </c>
      <c r="AI157" s="6">
        <v>29.1</v>
      </c>
      <c r="AJ157" s="7">
        <v>29.58</v>
      </c>
      <c r="AK157" s="7">
        <v>27.35</v>
      </c>
      <c r="AL157" s="7">
        <v>29.26</v>
      </c>
      <c r="AM157" s="7">
        <v>29.42</v>
      </c>
      <c r="AN157" s="7">
        <v>30.09</v>
      </c>
      <c r="AO157" s="7">
        <v>29.45</v>
      </c>
      <c r="AP157" s="7">
        <v>29.1</v>
      </c>
      <c r="AQ157" s="7">
        <v>28.85</v>
      </c>
      <c r="AR157" s="7">
        <v>27.76</v>
      </c>
      <c r="AS157" s="7">
        <v>25.78</v>
      </c>
      <c r="AT157" s="7">
        <v>30.3</v>
      </c>
      <c r="AU157" s="7">
        <v>31.02</v>
      </c>
      <c r="AV157" s="7">
        <v>30.95</v>
      </c>
      <c r="AW157" s="7">
        <v>29.3</v>
      </c>
      <c r="AX157" s="7">
        <v>27.36</v>
      </c>
      <c r="AY157" s="7">
        <v>27.48</v>
      </c>
      <c r="AZ157" s="7">
        <v>30.09</v>
      </c>
      <c r="BA157" s="7">
        <v>29.24</v>
      </c>
      <c r="BB157" s="7">
        <v>30.01</v>
      </c>
      <c r="BC157" s="7">
        <v>28.6</v>
      </c>
      <c r="BD157" s="7">
        <v>27.53</v>
      </c>
      <c r="BE157" s="7">
        <v>30.92</v>
      </c>
      <c r="BF157" s="7">
        <v>30.12</v>
      </c>
      <c r="BG157" s="7">
        <v>28.66</v>
      </c>
      <c r="BH157" s="10">
        <v>29.42</v>
      </c>
      <c r="BI157" s="10"/>
    </row>
    <row r="158" spans="1:61" ht="15.75" customHeight="1" x14ac:dyDescent="0.25">
      <c r="A158" s="1">
        <v>157</v>
      </c>
      <c r="B158" s="1"/>
      <c r="C158" s="1">
        <v>5</v>
      </c>
      <c r="D158" s="6">
        <v>27.84</v>
      </c>
      <c r="E158" s="6">
        <v>29.62</v>
      </c>
      <c r="F158" s="6">
        <v>28.23</v>
      </c>
      <c r="G158" s="6"/>
      <c r="H158" s="6"/>
      <c r="I158" s="6"/>
      <c r="J158" s="9">
        <v>25.73</v>
      </c>
      <c r="K158" s="9">
        <v>27.7</v>
      </c>
      <c r="L158" s="9">
        <v>30.36</v>
      </c>
      <c r="M158" s="9">
        <v>28.01</v>
      </c>
      <c r="N158" s="9">
        <v>29.47</v>
      </c>
      <c r="O158" s="9">
        <v>29.02</v>
      </c>
      <c r="P158" s="9">
        <v>29.8</v>
      </c>
      <c r="Q158" s="9">
        <v>32.56</v>
      </c>
      <c r="R158" s="9">
        <v>32.479999999999997</v>
      </c>
      <c r="S158" s="9">
        <v>31.89</v>
      </c>
      <c r="T158" s="9">
        <v>29.21</v>
      </c>
      <c r="U158" s="9">
        <v>27.81</v>
      </c>
      <c r="V158" s="9">
        <v>28.92</v>
      </c>
      <c r="W158" s="6">
        <v>28.85</v>
      </c>
      <c r="X158" s="6">
        <v>26.36</v>
      </c>
      <c r="Y158" s="6">
        <v>28.65</v>
      </c>
      <c r="Z158" s="6">
        <v>30.17</v>
      </c>
      <c r="AA158" s="6">
        <v>28.06</v>
      </c>
      <c r="AB158" s="6">
        <v>26.78</v>
      </c>
      <c r="AC158" s="6">
        <v>29.65</v>
      </c>
      <c r="AD158" s="6">
        <v>29.43</v>
      </c>
      <c r="AE158" s="6">
        <v>28.2</v>
      </c>
      <c r="AF158" s="6">
        <v>29.17</v>
      </c>
      <c r="AG158" s="6">
        <v>29.1</v>
      </c>
      <c r="AH158" s="6">
        <v>29.87</v>
      </c>
      <c r="AI158" s="6">
        <v>29.07</v>
      </c>
      <c r="AJ158" s="7">
        <v>29.66</v>
      </c>
      <c r="AK158" s="7">
        <v>27.4</v>
      </c>
      <c r="AL158" s="7">
        <v>29.35</v>
      </c>
      <c r="AM158" s="7">
        <v>29.47</v>
      </c>
      <c r="AN158" s="7">
        <v>30.19</v>
      </c>
      <c r="AO158" s="7">
        <v>29.45</v>
      </c>
      <c r="AP158" s="7">
        <v>29.16</v>
      </c>
      <c r="AQ158" s="7">
        <v>28.95</v>
      </c>
      <c r="AR158" s="7">
        <v>27.94</v>
      </c>
      <c r="AS158" s="7">
        <v>25.7</v>
      </c>
      <c r="AT158" s="7">
        <v>30.37</v>
      </c>
      <c r="AU158" s="7">
        <v>31.12</v>
      </c>
      <c r="AV158" s="7">
        <v>30.94</v>
      </c>
      <c r="AW158" s="7">
        <v>29.34</v>
      </c>
      <c r="AX158" s="7">
        <v>27.43</v>
      </c>
      <c r="AY158" s="7">
        <v>27.63</v>
      </c>
      <c r="AZ158" s="7">
        <v>30.15</v>
      </c>
      <c r="BA158" s="7">
        <v>29.24</v>
      </c>
      <c r="BB158" s="7">
        <v>30.07</v>
      </c>
      <c r="BC158" s="7">
        <v>28.7</v>
      </c>
      <c r="BD158" s="7">
        <v>27.68</v>
      </c>
      <c r="BE158" s="7">
        <v>31.03</v>
      </c>
      <c r="BF158" s="7">
        <v>30.22</v>
      </c>
      <c r="BG158" s="7">
        <v>28.94</v>
      </c>
      <c r="BH158" s="10">
        <v>29.58</v>
      </c>
      <c r="BI158" s="10"/>
    </row>
    <row r="159" spans="1:61" ht="15.75" customHeight="1" x14ac:dyDescent="0.25">
      <c r="A159" s="1">
        <v>158</v>
      </c>
      <c r="B159" s="1"/>
      <c r="C159" s="1">
        <v>6</v>
      </c>
      <c r="D159" s="6">
        <v>28.04</v>
      </c>
      <c r="E159" s="6">
        <v>29.43</v>
      </c>
      <c r="F159" s="6">
        <v>28.27</v>
      </c>
      <c r="G159" s="6"/>
      <c r="H159" s="6"/>
      <c r="I159" s="6"/>
      <c r="J159" s="9">
        <v>25.83</v>
      </c>
      <c r="K159" s="9">
        <v>27.79</v>
      </c>
      <c r="L159" s="9">
        <v>30.44</v>
      </c>
      <c r="M159" s="9">
        <v>28.1</v>
      </c>
      <c r="N159" s="9">
        <v>29.56</v>
      </c>
      <c r="O159" s="9">
        <v>29.14</v>
      </c>
      <c r="P159" s="9">
        <v>29.9</v>
      </c>
      <c r="Q159" s="9">
        <v>32.64</v>
      </c>
      <c r="R159" s="9">
        <v>32.58</v>
      </c>
      <c r="S159" s="9">
        <v>31.92</v>
      </c>
      <c r="T159" s="9">
        <v>29.32</v>
      </c>
      <c r="U159" s="9">
        <v>28.09</v>
      </c>
      <c r="V159" s="9">
        <v>29.06</v>
      </c>
      <c r="W159" s="6">
        <v>28.85</v>
      </c>
      <c r="X159" s="6">
        <v>26.4</v>
      </c>
      <c r="Y159" s="6">
        <v>28.74</v>
      </c>
      <c r="Z159" s="6">
        <v>30.21</v>
      </c>
      <c r="AA159" s="6">
        <v>28.07</v>
      </c>
      <c r="AB159" s="6">
        <v>26.8</v>
      </c>
      <c r="AC159" s="6">
        <v>29.65</v>
      </c>
      <c r="AD159" s="6">
        <v>29.56</v>
      </c>
      <c r="AE159" s="6">
        <v>28.39</v>
      </c>
      <c r="AF159" s="6">
        <v>29.3</v>
      </c>
      <c r="AG159" s="6">
        <v>29.19</v>
      </c>
      <c r="AH159" s="6">
        <v>29.98</v>
      </c>
      <c r="AI159" s="6">
        <v>29.08</v>
      </c>
      <c r="AJ159" s="7">
        <v>29.76</v>
      </c>
      <c r="AK159" s="7">
        <v>27.46</v>
      </c>
      <c r="AL159" s="7">
        <v>29.43</v>
      </c>
      <c r="AM159" s="7">
        <v>29.51</v>
      </c>
      <c r="AN159" s="7">
        <v>30.29</v>
      </c>
      <c r="AO159" s="7">
        <v>29.5</v>
      </c>
      <c r="AP159" s="7">
        <v>29.22</v>
      </c>
      <c r="AQ159" s="7">
        <v>29</v>
      </c>
      <c r="AR159" s="7">
        <v>28.1</v>
      </c>
      <c r="AS159" s="7">
        <v>25.7</v>
      </c>
      <c r="AT159" s="7">
        <v>30.5</v>
      </c>
      <c r="AU159" s="7">
        <v>31.2</v>
      </c>
      <c r="AV159" s="7">
        <v>30.94</v>
      </c>
      <c r="AW159" s="7">
        <v>29.45</v>
      </c>
      <c r="AX159" s="7">
        <v>27.52</v>
      </c>
      <c r="AY159" s="7">
        <v>27.75</v>
      </c>
      <c r="AZ159" s="7">
        <v>30.19</v>
      </c>
      <c r="BA159" s="7">
        <v>29.25</v>
      </c>
      <c r="BB159" s="7">
        <v>30.21</v>
      </c>
      <c r="BC159" s="7">
        <v>28.8</v>
      </c>
      <c r="BD159" s="7">
        <v>27.79</v>
      </c>
      <c r="BE159" s="7">
        <v>31.13</v>
      </c>
      <c r="BF159" s="7">
        <v>30.33</v>
      </c>
      <c r="BG159" s="7">
        <v>29.09</v>
      </c>
      <c r="BH159" s="10">
        <v>29.74</v>
      </c>
      <c r="BI159" s="10"/>
    </row>
    <row r="160" spans="1:61" ht="15.75" customHeight="1" x14ac:dyDescent="0.25">
      <c r="A160" s="1">
        <v>159</v>
      </c>
      <c r="B160" s="1"/>
      <c r="C160" s="1">
        <v>7</v>
      </c>
      <c r="D160" s="6">
        <v>28.18</v>
      </c>
      <c r="E160" s="6">
        <v>29.22</v>
      </c>
      <c r="F160" s="6">
        <v>28.3</v>
      </c>
      <c r="G160" s="6"/>
      <c r="H160" s="6"/>
      <c r="I160" s="6"/>
      <c r="J160" s="9">
        <v>25.93</v>
      </c>
      <c r="K160" s="9">
        <v>27.88</v>
      </c>
      <c r="L160" s="9">
        <v>30.53</v>
      </c>
      <c r="M160" s="9">
        <v>28.22</v>
      </c>
      <c r="N160" s="9">
        <v>29.64</v>
      </c>
      <c r="O160" s="9">
        <v>29.22</v>
      </c>
      <c r="P160" s="9">
        <v>30.03</v>
      </c>
      <c r="Q160" s="9">
        <v>32.700000000000003</v>
      </c>
      <c r="R160" s="9">
        <v>32.72</v>
      </c>
      <c r="S160" s="9">
        <v>31.96</v>
      </c>
      <c r="T160" s="9">
        <v>29.4</v>
      </c>
      <c r="U160" s="9">
        <v>28.35</v>
      </c>
      <c r="V160" s="9">
        <v>29.17</v>
      </c>
      <c r="W160" s="6">
        <v>28.78</v>
      </c>
      <c r="X160" s="6">
        <v>26.46</v>
      </c>
      <c r="Y160" s="6">
        <v>28.82</v>
      </c>
      <c r="Z160" s="6">
        <v>30.3</v>
      </c>
      <c r="AA160" s="6">
        <v>28.05</v>
      </c>
      <c r="AB160" s="6">
        <v>26.76</v>
      </c>
      <c r="AC160" s="6">
        <v>29.73</v>
      </c>
      <c r="AD160" s="6">
        <v>29.6</v>
      </c>
      <c r="AE160" s="6">
        <v>28.56</v>
      </c>
      <c r="AF160" s="6">
        <v>29.49</v>
      </c>
      <c r="AG160" s="6">
        <v>29.29</v>
      </c>
      <c r="AH160" s="6">
        <v>30.06</v>
      </c>
      <c r="AI160" s="6">
        <v>29.1</v>
      </c>
      <c r="AJ160" s="7">
        <v>29.85</v>
      </c>
      <c r="AK160" s="7">
        <v>27.56</v>
      </c>
      <c r="AL160" s="7">
        <v>29.5</v>
      </c>
      <c r="AM160" s="7">
        <v>29.54</v>
      </c>
      <c r="AN160" s="7">
        <v>30.38</v>
      </c>
      <c r="AO160" s="7">
        <v>29.5</v>
      </c>
      <c r="AP160" s="7">
        <v>29.28</v>
      </c>
      <c r="AQ160" s="7">
        <v>29.07</v>
      </c>
      <c r="AR160" s="7">
        <v>28.24</v>
      </c>
      <c r="AS160" s="7">
        <v>25.79</v>
      </c>
      <c r="AT160" s="7">
        <v>30.55</v>
      </c>
      <c r="AU160" s="7">
        <v>31.28</v>
      </c>
      <c r="AV160" s="7">
        <v>30.92</v>
      </c>
      <c r="AW160" s="7">
        <v>29.52</v>
      </c>
      <c r="AX160" s="7">
        <v>27.58</v>
      </c>
      <c r="AY160" s="7">
        <v>27.84</v>
      </c>
      <c r="AZ160" s="7">
        <v>30.34</v>
      </c>
      <c r="BA160" s="7">
        <v>29.3</v>
      </c>
      <c r="BB160" s="7">
        <v>30.31</v>
      </c>
      <c r="BC160" s="7">
        <v>28.88</v>
      </c>
      <c r="BD160" s="7">
        <v>27.9</v>
      </c>
      <c r="BE160" s="7">
        <v>31.24</v>
      </c>
      <c r="BF160" s="7">
        <v>30.4</v>
      </c>
      <c r="BG160" s="7">
        <v>29.14</v>
      </c>
      <c r="BH160" s="10">
        <v>29.88</v>
      </c>
      <c r="BI160" s="10"/>
    </row>
    <row r="161" spans="1:61" ht="15.75" customHeight="1" x14ac:dyDescent="0.25">
      <c r="A161" s="1">
        <v>160</v>
      </c>
      <c r="B161" s="1"/>
      <c r="C161" s="1">
        <v>8</v>
      </c>
      <c r="D161" s="6">
        <v>28.29</v>
      </c>
      <c r="E161" s="6">
        <v>29.32</v>
      </c>
      <c r="F161" s="6">
        <v>28.39</v>
      </c>
      <c r="G161" s="6"/>
      <c r="H161" s="6"/>
      <c r="I161" s="6"/>
      <c r="J161" s="9">
        <v>26.03</v>
      </c>
      <c r="K161" s="9">
        <v>28.01</v>
      </c>
      <c r="L161" s="9">
        <v>30.61</v>
      </c>
      <c r="M161" s="9">
        <v>28.31</v>
      </c>
      <c r="N161" s="9">
        <v>29.73</v>
      </c>
      <c r="O161" s="9">
        <v>29.3</v>
      </c>
      <c r="P161" s="9">
        <v>30.24</v>
      </c>
      <c r="Q161" s="9">
        <v>32.79</v>
      </c>
      <c r="R161" s="9">
        <v>32.78</v>
      </c>
      <c r="S161" s="9">
        <v>32.01</v>
      </c>
      <c r="T161" s="9">
        <v>29.45</v>
      </c>
      <c r="U161" s="9">
        <v>28.6</v>
      </c>
      <c r="V161" s="9">
        <v>29.28</v>
      </c>
      <c r="W161" s="6">
        <v>28.73</v>
      </c>
      <c r="X161" s="6">
        <v>26.55</v>
      </c>
      <c r="Y161" s="6">
        <v>28.9</v>
      </c>
      <c r="Z161" s="6">
        <v>30.38</v>
      </c>
      <c r="AA161" s="6">
        <v>28.04</v>
      </c>
      <c r="AB161" s="6">
        <v>26.72</v>
      </c>
      <c r="AC161" s="6">
        <v>29.73</v>
      </c>
      <c r="AD161" s="6">
        <v>29.68</v>
      </c>
      <c r="AE161" s="6">
        <v>28.72</v>
      </c>
      <c r="AF161" s="6">
        <v>29.68</v>
      </c>
      <c r="AG161" s="6">
        <v>29.37</v>
      </c>
      <c r="AH161" s="6">
        <v>30.15</v>
      </c>
      <c r="AI161" s="6">
        <v>29.13</v>
      </c>
      <c r="AJ161" s="7">
        <v>29.94</v>
      </c>
      <c r="AK161" s="7">
        <v>27.69</v>
      </c>
      <c r="AL161" s="7">
        <v>29.57</v>
      </c>
      <c r="AM161" s="7">
        <v>29.58</v>
      </c>
      <c r="AN161" s="7">
        <v>30.43</v>
      </c>
      <c r="AO161" s="7">
        <v>29.58</v>
      </c>
      <c r="AP161" s="7">
        <v>29.32</v>
      </c>
      <c r="AQ161" s="7">
        <v>29.16</v>
      </c>
      <c r="AR161" s="7">
        <v>28.36</v>
      </c>
      <c r="AS161" s="7">
        <v>25.87</v>
      </c>
      <c r="AT161" s="7">
        <v>30.63</v>
      </c>
      <c r="AU161" s="7">
        <v>31.36</v>
      </c>
      <c r="AV161" s="7">
        <v>30.92</v>
      </c>
      <c r="AW161" s="7">
        <v>29.58</v>
      </c>
      <c r="AX161" s="7">
        <v>27.62</v>
      </c>
      <c r="AY161" s="7">
        <v>27.88</v>
      </c>
      <c r="AZ161" s="7">
        <v>30.42</v>
      </c>
      <c r="BA161" s="7">
        <v>29.32</v>
      </c>
      <c r="BB161" s="7">
        <v>30.38</v>
      </c>
      <c r="BC161" s="7">
        <v>28.96</v>
      </c>
      <c r="BD161" s="7">
        <v>28</v>
      </c>
      <c r="BE161" s="7">
        <v>31.33</v>
      </c>
      <c r="BF161" s="7">
        <v>30.47</v>
      </c>
      <c r="BG161" s="7">
        <v>29.21</v>
      </c>
      <c r="BH161" s="10">
        <v>30.01</v>
      </c>
      <c r="BI161" s="10"/>
    </row>
    <row r="162" spans="1:61" ht="15.75" customHeight="1" x14ac:dyDescent="0.25">
      <c r="A162" s="1">
        <v>161</v>
      </c>
      <c r="B162" s="1"/>
      <c r="C162" s="1">
        <v>9</v>
      </c>
      <c r="D162" s="6">
        <v>28.47</v>
      </c>
      <c r="E162" s="6">
        <v>29.62</v>
      </c>
      <c r="F162" s="6">
        <v>28.55</v>
      </c>
      <c r="G162" s="6"/>
      <c r="H162" s="6"/>
      <c r="I162" s="6"/>
      <c r="J162" s="9">
        <v>26.18</v>
      </c>
      <c r="K162" s="9">
        <v>28.1</v>
      </c>
      <c r="L162" s="9">
        <v>30.68</v>
      </c>
      <c r="M162" s="9">
        <v>28.42</v>
      </c>
      <c r="N162" s="9">
        <v>29.81</v>
      </c>
      <c r="O162" s="9">
        <v>29.4</v>
      </c>
      <c r="P162" s="9">
        <v>30.44</v>
      </c>
      <c r="Q162" s="9">
        <v>32.89</v>
      </c>
      <c r="R162" s="9">
        <v>32.880000000000003</v>
      </c>
      <c r="S162" s="9">
        <v>32.1</v>
      </c>
      <c r="T162" s="9">
        <v>29.49</v>
      </c>
      <c r="U162" s="9">
        <v>28.87</v>
      </c>
      <c r="V162" s="9">
        <v>29.36</v>
      </c>
      <c r="W162" s="6">
        <v>28.72</v>
      </c>
      <c r="X162" s="6">
        <v>26.72</v>
      </c>
      <c r="Y162" s="6">
        <v>28.97</v>
      </c>
      <c r="Z162" s="6">
        <v>30.45</v>
      </c>
      <c r="AA162" s="6">
        <v>28.07</v>
      </c>
      <c r="AB162" s="6">
        <v>26.8</v>
      </c>
      <c r="AC162" s="6">
        <v>29.79</v>
      </c>
      <c r="AD162" s="6">
        <v>29.74</v>
      </c>
      <c r="AE162" s="6">
        <v>28.88</v>
      </c>
      <c r="AF162" s="6">
        <v>29.83</v>
      </c>
      <c r="AG162" s="6">
        <v>29.44</v>
      </c>
      <c r="AH162" s="6">
        <v>30.25</v>
      </c>
      <c r="AI162" s="6">
        <v>29.18</v>
      </c>
      <c r="AJ162" s="7">
        <v>30.06</v>
      </c>
      <c r="AK162" s="7">
        <v>27.8</v>
      </c>
      <c r="AL162" s="7">
        <v>29.64</v>
      </c>
      <c r="AM162" s="7">
        <v>29.63</v>
      </c>
      <c r="AN162" s="7">
        <v>30.53</v>
      </c>
      <c r="AO162" s="7">
        <v>29.64</v>
      </c>
      <c r="AP162" s="7">
        <v>29.39</v>
      </c>
      <c r="AQ162" s="7">
        <v>29.24</v>
      </c>
      <c r="AR162" s="7">
        <v>28.5</v>
      </c>
      <c r="AS162" s="7">
        <v>25.95</v>
      </c>
      <c r="AT162" s="7">
        <v>30.69</v>
      </c>
      <c r="AU162" s="7">
        <v>31.42</v>
      </c>
      <c r="AV162" s="7">
        <v>30.92</v>
      </c>
      <c r="AW162" s="7">
        <v>29.64</v>
      </c>
      <c r="AX162" s="7">
        <v>27.66</v>
      </c>
      <c r="AY162" s="7">
        <v>27.75</v>
      </c>
      <c r="AZ162" s="7">
        <v>30.49</v>
      </c>
      <c r="BA162" s="7">
        <v>29.42</v>
      </c>
      <c r="BB162" s="7">
        <v>30.47</v>
      </c>
      <c r="BC162" s="7">
        <v>29.06</v>
      </c>
      <c r="BD162" s="7">
        <v>28.1</v>
      </c>
      <c r="BE162" s="7">
        <v>31.42</v>
      </c>
      <c r="BF162" s="7">
        <v>30.54</v>
      </c>
      <c r="BG162" s="7">
        <v>29.27</v>
      </c>
      <c r="BH162" s="10">
        <v>30.14</v>
      </c>
      <c r="BI162" s="10"/>
    </row>
    <row r="163" spans="1:61" ht="15.75" customHeight="1" x14ac:dyDescent="0.25">
      <c r="A163" s="1">
        <v>162</v>
      </c>
      <c r="B163" s="1"/>
      <c r="C163" s="1">
        <v>10</v>
      </c>
      <c r="D163" s="6">
        <v>28.54</v>
      </c>
      <c r="E163" s="6">
        <v>29.32</v>
      </c>
      <c r="F163" s="6">
        <v>28.62</v>
      </c>
      <c r="G163" s="6"/>
      <c r="H163" s="6"/>
      <c r="I163" s="6"/>
      <c r="J163" s="9">
        <v>26.33</v>
      </c>
      <c r="K163" s="9">
        <v>28.14</v>
      </c>
      <c r="L163" s="9">
        <v>30.76</v>
      </c>
      <c r="M163" s="9">
        <v>28.52</v>
      </c>
      <c r="N163" s="9">
        <v>29.9</v>
      </c>
      <c r="O163" s="9">
        <v>29.52</v>
      </c>
      <c r="P163" s="9">
        <v>30.55</v>
      </c>
      <c r="Q163" s="9">
        <v>32.97</v>
      </c>
      <c r="R163" s="9">
        <v>32.97</v>
      </c>
      <c r="S163" s="9">
        <v>32.18</v>
      </c>
      <c r="T163" s="9">
        <v>29.57</v>
      </c>
      <c r="U163" s="9">
        <v>29.16</v>
      </c>
      <c r="V163" s="9">
        <v>29.49</v>
      </c>
      <c r="W163" s="6">
        <v>28.72</v>
      </c>
      <c r="X163" s="6">
        <v>26.88</v>
      </c>
      <c r="Y163" s="6">
        <v>29.05</v>
      </c>
      <c r="Z163" s="6">
        <v>30.52</v>
      </c>
      <c r="AA163" s="6">
        <v>28.12</v>
      </c>
      <c r="AB163" s="6">
        <v>26.72</v>
      </c>
      <c r="AC163" s="6">
        <v>29.81</v>
      </c>
      <c r="AD163" s="6">
        <v>29.8</v>
      </c>
      <c r="AE163" s="6">
        <v>29.02</v>
      </c>
      <c r="AF163" s="6">
        <v>29.95</v>
      </c>
      <c r="AG163" s="6">
        <v>29.5</v>
      </c>
      <c r="AH163" s="6">
        <v>30.37</v>
      </c>
      <c r="AI163" s="6">
        <v>29.21</v>
      </c>
      <c r="AJ163" s="7">
        <v>30.14</v>
      </c>
      <c r="AK163" s="7">
        <v>27.91</v>
      </c>
      <c r="AL163" s="7">
        <v>29.68</v>
      </c>
      <c r="AM163" s="7">
        <v>29.68</v>
      </c>
      <c r="AN163" s="7">
        <v>30.63</v>
      </c>
      <c r="AO163" s="7">
        <v>29.69</v>
      </c>
      <c r="AP163" s="7">
        <v>29.49</v>
      </c>
      <c r="AQ163" s="7">
        <v>29.31</v>
      </c>
      <c r="AR163" s="7">
        <v>28.62</v>
      </c>
      <c r="AS163" s="7">
        <v>26.05</v>
      </c>
      <c r="AT163" s="7">
        <v>30.77</v>
      </c>
      <c r="AU163" s="7">
        <v>31.48</v>
      </c>
      <c r="AV163" s="7">
        <v>30.93</v>
      </c>
      <c r="AW163" s="7">
        <v>29.7</v>
      </c>
      <c r="AX163" s="7">
        <v>27.7</v>
      </c>
      <c r="AY163" s="7">
        <v>28.03</v>
      </c>
      <c r="AZ163" s="7">
        <v>30.5</v>
      </c>
      <c r="BA163" s="7">
        <v>29.5</v>
      </c>
      <c r="BB163" s="7">
        <v>30.55</v>
      </c>
      <c r="BC163" s="7">
        <v>29.14</v>
      </c>
      <c r="BD163" s="7">
        <v>28.12</v>
      </c>
      <c r="BE163" s="7">
        <v>31.5</v>
      </c>
      <c r="BF163" s="7">
        <v>30.58</v>
      </c>
      <c r="BG163" s="7">
        <v>29.38</v>
      </c>
      <c r="BH163" s="10">
        <v>30.27</v>
      </c>
      <c r="BI163" s="10"/>
    </row>
    <row r="164" spans="1:61" ht="15.75" customHeight="1" x14ac:dyDescent="0.25">
      <c r="A164" s="1">
        <v>163</v>
      </c>
      <c r="B164" s="1"/>
      <c r="C164" s="1">
        <v>11</v>
      </c>
      <c r="D164" s="6">
        <v>28.62</v>
      </c>
      <c r="E164" s="6">
        <v>29.28</v>
      </c>
      <c r="F164" s="6">
        <v>28.75</v>
      </c>
      <c r="G164" s="6"/>
      <c r="H164" s="6"/>
      <c r="I164" s="6"/>
      <c r="J164" s="9">
        <v>26.38</v>
      </c>
      <c r="K164" s="9">
        <v>28.2</v>
      </c>
      <c r="L164" s="9">
        <v>30.82</v>
      </c>
      <c r="M164" s="9">
        <v>28.62</v>
      </c>
      <c r="N164" s="9">
        <v>30</v>
      </c>
      <c r="O164" s="9">
        <v>29.6</v>
      </c>
      <c r="P164" s="9">
        <v>30.66</v>
      </c>
      <c r="Q164" s="9">
        <v>33.06</v>
      </c>
      <c r="R164" s="9">
        <v>33.11</v>
      </c>
      <c r="S164" s="9">
        <v>32.26</v>
      </c>
      <c r="T164" s="9">
        <v>29.65</v>
      </c>
      <c r="U164" s="9">
        <v>29.4</v>
      </c>
      <c r="V164" s="9">
        <v>29.62</v>
      </c>
      <c r="W164" s="6">
        <v>28.74</v>
      </c>
      <c r="X164" s="6">
        <v>27.05</v>
      </c>
      <c r="Y164" s="6">
        <v>29.14</v>
      </c>
      <c r="Z164" s="6">
        <v>30.57</v>
      </c>
      <c r="AA164" s="6">
        <v>28.19</v>
      </c>
      <c r="AB164" s="6">
        <v>26.81</v>
      </c>
      <c r="AC164" s="6">
        <v>29.87</v>
      </c>
      <c r="AD164" s="6">
        <v>29.89</v>
      </c>
      <c r="AE164" s="6">
        <v>29.12</v>
      </c>
      <c r="AF164" s="6">
        <v>30.08</v>
      </c>
      <c r="AG164" s="6">
        <v>29.59</v>
      </c>
      <c r="AH164" s="6">
        <v>30.52</v>
      </c>
      <c r="AI164" s="6">
        <v>29.25</v>
      </c>
      <c r="AJ164" s="7">
        <v>30.24</v>
      </c>
      <c r="AK164" s="7">
        <v>28.04</v>
      </c>
      <c r="AL164" s="7">
        <v>29.72</v>
      </c>
      <c r="AM164" s="7">
        <v>29.7</v>
      </c>
      <c r="AN164" s="7">
        <v>30.73</v>
      </c>
      <c r="AO164" s="7">
        <v>29.73</v>
      </c>
      <c r="AP164" s="7">
        <v>29.59</v>
      </c>
      <c r="AQ164" s="7">
        <v>29.4</v>
      </c>
      <c r="AR164" s="7">
        <v>28.76</v>
      </c>
      <c r="AS164" s="7">
        <v>26.2</v>
      </c>
      <c r="AT164" s="7">
        <v>30.8</v>
      </c>
      <c r="AU164" s="7">
        <v>31.54</v>
      </c>
      <c r="AV164" s="7">
        <v>30.9</v>
      </c>
      <c r="AW164" s="7">
        <v>29.8</v>
      </c>
      <c r="AX164" s="7">
        <v>27.79</v>
      </c>
      <c r="AY164" s="7">
        <v>28.12</v>
      </c>
      <c r="AZ164" s="7">
        <v>30.55</v>
      </c>
      <c r="BA164" s="7">
        <v>29.58</v>
      </c>
      <c r="BB164" s="7">
        <v>30.64</v>
      </c>
      <c r="BC164" s="7">
        <v>29.24</v>
      </c>
      <c r="BD164" s="7">
        <v>28.17</v>
      </c>
      <c r="BE164" s="7">
        <v>31.56</v>
      </c>
      <c r="BF164" s="7">
        <v>30.65</v>
      </c>
      <c r="BG164" s="7">
        <v>29.46</v>
      </c>
      <c r="BH164" s="10">
        <v>30.4</v>
      </c>
      <c r="BI164" s="10"/>
    </row>
    <row r="165" spans="1:61" ht="15.75" customHeight="1" x14ac:dyDescent="0.25">
      <c r="A165" s="1">
        <v>164</v>
      </c>
      <c r="B165" s="1"/>
      <c r="C165" s="1">
        <v>12</v>
      </c>
      <c r="D165" s="6">
        <v>28.72</v>
      </c>
      <c r="E165" s="6">
        <v>29.43</v>
      </c>
      <c r="F165" s="6">
        <v>28.84</v>
      </c>
      <c r="G165" s="6"/>
      <c r="H165" s="6"/>
      <c r="I165" s="6"/>
      <c r="J165" s="9">
        <v>26.43</v>
      </c>
      <c r="K165" s="9">
        <v>28.32</v>
      </c>
      <c r="L165" s="9">
        <v>30.89</v>
      </c>
      <c r="M165" s="9">
        <v>28.69</v>
      </c>
      <c r="N165" s="9">
        <v>30.09</v>
      </c>
      <c r="O165" s="9">
        <v>29.68</v>
      </c>
      <c r="P165" s="9">
        <v>30.74</v>
      </c>
      <c r="Q165" s="9">
        <v>33.159999999999997</v>
      </c>
      <c r="R165" s="9">
        <v>33.18</v>
      </c>
      <c r="S165" s="9">
        <v>32.36</v>
      </c>
      <c r="T165" s="9">
        <v>29.74</v>
      </c>
      <c r="U165" s="9">
        <v>29.65</v>
      </c>
      <c r="V165" s="9">
        <v>29.74</v>
      </c>
      <c r="W165" s="6">
        <v>28.74</v>
      </c>
      <c r="X165" s="6">
        <v>27.22</v>
      </c>
      <c r="Y165" s="6">
        <v>29.2</v>
      </c>
      <c r="Z165" s="6">
        <v>30.7</v>
      </c>
      <c r="AA165" s="6">
        <v>28.22</v>
      </c>
      <c r="AB165" s="6">
        <v>26.94</v>
      </c>
      <c r="AC165" s="6">
        <v>29.91</v>
      </c>
      <c r="AD165" s="6">
        <v>29.94</v>
      </c>
      <c r="AE165" s="6">
        <v>29.22</v>
      </c>
      <c r="AF165" s="6">
        <v>30.18</v>
      </c>
      <c r="AG165" s="6">
        <v>29.65</v>
      </c>
      <c r="AH165" s="6">
        <v>30.66</v>
      </c>
      <c r="AI165" s="6">
        <v>29.3</v>
      </c>
      <c r="AJ165" s="7">
        <v>30.44</v>
      </c>
      <c r="AK165" s="7">
        <v>28.1</v>
      </c>
      <c r="AL165" s="7">
        <v>29.78</v>
      </c>
      <c r="AM165" s="7">
        <v>29.74</v>
      </c>
      <c r="AN165" s="7">
        <v>30.81</v>
      </c>
      <c r="AO165" s="7">
        <v>29.8</v>
      </c>
      <c r="AP165" s="7">
        <v>29.69</v>
      </c>
      <c r="AQ165" s="7">
        <v>29.47</v>
      </c>
      <c r="AR165" s="7">
        <v>28.9</v>
      </c>
      <c r="AS165" s="7">
        <v>26.4</v>
      </c>
      <c r="AT165" s="7">
        <v>30.89</v>
      </c>
      <c r="AU165" s="7">
        <v>31.58</v>
      </c>
      <c r="AV165" s="7">
        <v>31.07</v>
      </c>
      <c r="AW165" s="7">
        <v>29.88</v>
      </c>
      <c r="AX165" s="7">
        <v>27.85</v>
      </c>
      <c r="AY165" s="7">
        <v>28.2</v>
      </c>
      <c r="AZ165" s="7">
        <v>30.6</v>
      </c>
      <c r="BA165" s="7">
        <v>29.72</v>
      </c>
      <c r="BB165" s="7">
        <v>30.76</v>
      </c>
      <c r="BC165" s="7">
        <v>29.32</v>
      </c>
      <c r="BD165" s="7">
        <v>28.22</v>
      </c>
      <c r="BE165" s="7">
        <v>31.64</v>
      </c>
      <c r="BF165" s="7">
        <v>30.72</v>
      </c>
      <c r="BG165" s="7">
        <v>29.55</v>
      </c>
      <c r="BH165" s="10">
        <v>30.52</v>
      </c>
      <c r="BI165" s="10"/>
    </row>
    <row r="166" spans="1:61" ht="15.75" customHeight="1" x14ac:dyDescent="0.25">
      <c r="A166" s="1">
        <v>165</v>
      </c>
      <c r="B166" s="1"/>
      <c r="C166" s="1">
        <v>13</v>
      </c>
      <c r="D166" s="6">
        <v>28.79</v>
      </c>
      <c r="E166" s="6">
        <v>29.62</v>
      </c>
      <c r="F166" s="6">
        <v>28.95</v>
      </c>
      <c r="G166" s="6"/>
      <c r="H166" s="6"/>
      <c r="I166" s="6"/>
      <c r="J166" s="9">
        <v>26.48</v>
      </c>
      <c r="K166" s="9">
        <v>28.23</v>
      </c>
      <c r="L166" s="9">
        <v>30.96</v>
      </c>
      <c r="M166" s="9">
        <v>28.79</v>
      </c>
      <c r="N166" s="9">
        <v>30.16</v>
      </c>
      <c r="O166" s="9">
        <v>29.78</v>
      </c>
      <c r="P166" s="9">
        <v>30.88</v>
      </c>
      <c r="Q166" s="9">
        <v>33.24</v>
      </c>
      <c r="R166" s="9">
        <v>33.29</v>
      </c>
      <c r="S166" s="9">
        <v>32.450000000000003</v>
      </c>
      <c r="T166" s="9">
        <v>29.92</v>
      </c>
      <c r="U166" s="9">
        <v>29.86</v>
      </c>
      <c r="V166" s="9">
        <v>29.82</v>
      </c>
      <c r="W166" s="6">
        <v>28.79</v>
      </c>
      <c r="X166" s="6">
        <v>27.33</v>
      </c>
      <c r="Y166" s="6">
        <v>29.3</v>
      </c>
      <c r="Z166" s="6">
        <v>30.76</v>
      </c>
      <c r="AA166" s="6">
        <v>28.27</v>
      </c>
      <c r="AB166" s="6">
        <v>27.04</v>
      </c>
      <c r="AC166" s="6">
        <v>30</v>
      </c>
      <c r="AD166" s="6">
        <v>29.98</v>
      </c>
      <c r="AE166" s="6">
        <v>29.32</v>
      </c>
      <c r="AF166" s="6">
        <v>30.28</v>
      </c>
      <c r="AG166" s="6">
        <v>29.74</v>
      </c>
      <c r="AH166" s="6">
        <v>30.83</v>
      </c>
      <c r="AI166" s="6">
        <v>29.35</v>
      </c>
      <c r="AJ166" s="7">
        <v>30.52</v>
      </c>
      <c r="AK166" s="7">
        <v>28.16</v>
      </c>
      <c r="AL166" s="7">
        <v>29.82</v>
      </c>
      <c r="AM166" s="7">
        <v>29.8</v>
      </c>
      <c r="AN166" s="7">
        <v>30.9</v>
      </c>
      <c r="AO166" s="7">
        <v>29.85</v>
      </c>
      <c r="AP166" s="7">
        <v>29.79</v>
      </c>
      <c r="AQ166" s="7">
        <v>29.56</v>
      </c>
      <c r="AR166" s="7">
        <v>28.99</v>
      </c>
      <c r="AS166" s="7">
        <v>26.6</v>
      </c>
      <c r="AT166" s="7">
        <v>30.95</v>
      </c>
      <c r="AU166" s="7">
        <v>31.64</v>
      </c>
      <c r="AV166" s="7">
        <v>31.14</v>
      </c>
      <c r="AW166" s="7">
        <v>29.99</v>
      </c>
      <c r="AX166" s="7">
        <v>27.96</v>
      </c>
      <c r="AY166" s="7">
        <v>28.32</v>
      </c>
      <c r="AZ166" s="7">
        <v>30.62</v>
      </c>
      <c r="BA166" s="7">
        <v>29.81</v>
      </c>
      <c r="BB166" s="7">
        <v>30.87</v>
      </c>
      <c r="BC166" s="7">
        <v>29.4</v>
      </c>
      <c r="BD166" s="7">
        <v>28.27</v>
      </c>
      <c r="BE166" s="7">
        <v>31.7</v>
      </c>
      <c r="BF166" s="7">
        <v>30.88</v>
      </c>
      <c r="BG166" s="7">
        <v>29.62</v>
      </c>
      <c r="BH166" s="10">
        <v>30.62</v>
      </c>
      <c r="BI166" s="10"/>
    </row>
    <row r="167" spans="1:61" ht="15.75" customHeight="1" x14ac:dyDescent="0.25">
      <c r="A167" s="1">
        <v>166</v>
      </c>
      <c r="B167" s="1"/>
      <c r="C167" s="1">
        <v>14</v>
      </c>
      <c r="D167" s="6">
        <v>28.87</v>
      </c>
      <c r="E167" s="6">
        <v>29.8</v>
      </c>
      <c r="F167" s="6">
        <v>29.02</v>
      </c>
      <c r="G167" s="6"/>
      <c r="H167" s="6"/>
      <c r="I167" s="6"/>
      <c r="J167" s="9">
        <v>26.53</v>
      </c>
      <c r="K167" s="9">
        <v>28.28</v>
      </c>
      <c r="L167" s="9">
        <v>31.04</v>
      </c>
      <c r="M167" s="9">
        <v>28.89</v>
      </c>
      <c r="N167" s="9">
        <v>30.23</v>
      </c>
      <c r="O167" s="9">
        <v>29.95</v>
      </c>
      <c r="P167" s="9">
        <v>31.12</v>
      </c>
      <c r="Q167" s="9">
        <v>33.35</v>
      </c>
      <c r="R167" s="9">
        <v>33.36</v>
      </c>
      <c r="S167" s="9">
        <v>32.56</v>
      </c>
      <c r="T167" s="9">
        <v>30.05</v>
      </c>
      <c r="U167" s="9">
        <v>30.06</v>
      </c>
      <c r="V167" s="9">
        <v>29.89</v>
      </c>
      <c r="W167" s="6">
        <v>28.8</v>
      </c>
      <c r="X167" s="6">
        <v>27.44</v>
      </c>
      <c r="Y167" s="6">
        <v>29.4</v>
      </c>
      <c r="Z167" s="6">
        <v>30.82</v>
      </c>
      <c r="AA167" s="6">
        <v>28.36</v>
      </c>
      <c r="AB167" s="6">
        <v>27.1</v>
      </c>
      <c r="AC167" s="6">
        <v>30.02</v>
      </c>
      <c r="AD167" s="6">
        <v>30.04</v>
      </c>
      <c r="AE167" s="6">
        <v>29.44</v>
      </c>
      <c r="AF167" s="6">
        <v>30.35</v>
      </c>
      <c r="AG167" s="6">
        <v>29.81</v>
      </c>
      <c r="AH167" s="6">
        <v>30.96</v>
      </c>
      <c r="AI167" s="6">
        <v>29.4</v>
      </c>
      <c r="AJ167" s="7">
        <v>30.6</v>
      </c>
      <c r="AK167" s="7">
        <v>28.25</v>
      </c>
      <c r="AL167" s="7">
        <v>29.88</v>
      </c>
      <c r="AM167" s="7">
        <v>29.84</v>
      </c>
      <c r="AN167" s="7">
        <v>31</v>
      </c>
      <c r="AO167" s="7">
        <v>29.91</v>
      </c>
      <c r="AP167" s="7">
        <v>29.89</v>
      </c>
      <c r="AQ167" s="7">
        <v>29.65</v>
      </c>
      <c r="AR167" s="7">
        <v>29.06</v>
      </c>
      <c r="AS167" s="7">
        <v>26.85</v>
      </c>
      <c r="AT167" s="7">
        <v>31.02</v>
      </c>
      <c r="AU167" s="7">
        <v>31.7</v>
      </c>
      <c r="AV167" s="7">
        <v>31.22</v>
      </c>
      <c r="AW167" s="7">
        <v>30.08</v>
      </c>
      <c r="AX167" s="7">
        <v>28.04</v>
      </c>
      <c r="AY167" s="7">
        <v>28.44</v>
      </c>
      <c r="AZ167" s="7">
        <v>30.75</v>
      </c>
      <c r="BA167" s="7">
        <v>29.92</v>
      </c>
      <c r="BB167" s="7">
        <v>30.98</v>
      </c>
      <c r="BC167" s="7">
        <v>29.5</v>
      </c>
      <c r="BD167" s="7">
        <v>28.32</v>
      </c>
      <c r="BE167" s="7">
        <v>31.76</v>
      </c>
      <c r="BF167" s="7">
        <v>30.98</v>
      </c>
      <c r="BG167" s="7">
        <v>29.7</v>
      </c>
      <c r="BH167" s="10">
        <v>30.73</v>
      </c>
      <c r="BI167" s="10"/>
    </row>
    <row r="168" spans="1:61" ht="15.75" customHeight="1" x14ac:dyDescent="0.25">
      <c r="A168" s="1">
        <v>167</v>
      </c>
      <c r="B168" s="1"/>
      <c r="C168" s="1">
        <v>15</v>
      </c>
      <c r="D168" s="6">
        <v>28.94</v>
      </c>
      <c r="E168" s="6">
        <v>29.9</v>
      </c>
      <c r="F168" s="6">
        <v>29.09</v>
      </c>
      <c r="G168" s="6"/>
      <c r="H168" s="6"/>
      <c r="I168" s="6"/>
      <c r="J168" s="9">
        <v>26.48</v>
      </c>
      <c r="K168" s="9">
        <v>28.38</v>
      </c>
      <c r="L168" s="9">
        <v>31.13</v>
      </c>
      <c r="M168" s="9">
        <v>29.01</v>
      </c>
      <c r="N168" s="9">
        <v>30.32</v>
      </c>
      <c r="O168" s="9">
        <v>30.03</v>
      </c>
      <c r="P168" s="9">
        <v>31.31</v>
      </c>
      <c r="Q168" s="9">
        <v>33.44</v>
      </c>
      <c r="R168" s="9">
        <v>33.44</v>
      </c>
      <c r="S168" s="9">
        <v>32.659999999999997</v>
      </c>
      <c r="T168" s="9">
        <v>30.19</v>
      </c>
      <c r="U168" s="9">
        <v>30.19</v>
      </c>
      <c r="V168" s="9">
        <v>29.96</v>
      </c>
      <c r="W168" s="6">
        <v>28.8</v>
      </c>
      <c r="X168" s="6">
        <v>27.7</v>
      </c>
      <c r="Y168" s="6">
        <v>29.49</v>
      </c>
      <c r="Z168" s="6">
        <v>30.93</v>
      </c>
      <c r="AA168" s="6">
        <v>28.45</v>
      </c>
      <c r="AB168" s="6">
        <v>27.15</v>
      </c>
      <c r="AC168" s="6">
        <v>30.21</v>
      </c>
      <c r="AD168" s="6">
        <v>30.16</v>
      </c>
      <c r="AE168" s="6">
        <v>29.54</v>
      </c>
      <c r="AF168" s="6">
        <v>30.4</v>
      </c>
      <c r="AG168" s="6">
        <v>29.87</v>
      </c>
      <c r="AH168" s="6">
        <v>31.08</v>
      </c>
      <c r="AI168" s="6">
        <v>29.49</v>
      </c>
      <c r="AJ168" s="6">
        <v>30.68</v>
      </c>
      <c r="AK168" s="6">
        <v>28.29</v>
      </c>
      <c r="AL168" s="6">
        <v>29.92</v>
      </c>
      <c r="AM168" s="6">
        <v>29.89</v>
      </c>
      <c r="AN168" s="6">
        <v>31.08</v>
      </c>
      <c r="AO168" s="6">
        <v>30.04</v>
      </c>
      <c r="AP168" s="6">
        <v>29.99</v>
      </c>
      <c r="AQ168" s="6">
        <v>29.73</v>
      </c>
      <c r="AR168" s="6">
        <v>29.11</v>
      </c>
      <c r="AS168" s="6">
        <v>27.09</v>
      </c>
      <c r="AT168" s="6">
        <v>31.07</v>
      </c>
      <c r="AU168" s="6">
        <v>31.74</v>
      </c>
      <c r="AV168" s="6">
        <v>31.29</v>
      </c>
      <c r="AW168" s="6">
        <v>30.18</v>
      </c>
      <c r="AX168" s="6">
        <v>28.16</v>
      </c>
      <c r="AY168" s="6">
        <v>28.56</v>
      </c>
      <c r="AZ168" s="6">
        <v>30.8</v>
      </c>
      <c r="BA168" s="6">
        <v>30.04</v>
      </c>
      <c r="BB168" s="6">
        <v>31.13</v>
      </c>
      <c r="BC168" s="6">
        <v>29.6</v>
      </c>
      <c r="BD168" s="7">
        <v>28.36</v>
      </c>
      <c r="BE168" s="7">
        <v>31.88</v>
      </c>
      <c r="BF168" s="7">
        <v>31.04</v>
      </c>
      <c r="BG168" s="7">
        <v>29.75</v>
      </c>
      <c r="BH168" s="10">
        <v>30.83</v>
      </c>
      <c r="BI168" s="10"/>
    </row>
    <row r="169" spans="1:61" ht="15.75" customHeight="1" x14ac:dyDescent="0.25">
      <c r="A169" s="1">
        <v>168</v>
      </c>
      <c r="B169" s="1"/>
      <c r="C169" s="1">
        <v>16</v>
      </c>
      <c r="D169" s="6">
        <v>29.04</v>
      </c>
      <c r="E169" s="6">
        <v>30.15</v>
      </c>
      <c r="F169" s="6">
        <v>29.2</v>
      </c>
      <c r="G169" s="6"/>
      <c r="H169" s="6"/>
      <c r="I169" s="6"/>
      <c r="J169" s="9">
        <v>26.38</v>
      </c>
      <c r="K169" s="9">
        <v>28.43</v>
      </c>
      <c r="L169" s="9">
        <v>31.2</v>
      </c>
      <c r="M169" s="9">
        <v>29.12</v>
      </c>
      <c r="N169" s="9">
        <v>30.38</v>
      </c>
      <c r="O169" s="9">
        <v>30.13</v>
      </c>
      <c r="P169" s="9">
        <v>31.46</v>
      </c>
      <c r="Q169" s="9">
        <v>33.520000000000003</v>
      </c>
      <c r="R169" s="9">
        <v>33.56</v>
      </c>
      <c r="S169" s="9">
        <v>32.72</v>
      </c>
      <c r="T169" s="9">
        <v>30.36</v>
      </c>
      <c r="U169" s="9">
        <v>30.33</v>
      </c>
      <c r="V169" s="9">
        <v>30.08</v>
      </c>
      <c r="W169" s="6">
        <v>28.82</v>
      </c>
      <c r="X169" s="6">
        <v>27.82</v>
      </c>
      <c r="Y169" s="6">
        <v>29.57</v>
      </c>
      <c r="Z169" s="6">
        <v>31</v>
      </c>
      <c r="AA169" s="6">
        <v>28.54</v>
      </c>
      <c r="AB169" s="6">
        <v>27.22</v>
      </c>
      <c r="AC169" s="6">
        <v>30.32</v>
      </c>
      <c r="AD169" s="6">
        <v>30.21</v>
      </c>
      <c r="AE169" s="6">
        <v>29.66</v>
      </c>
      <c r="AF169" s="6">
        <v>30.46</v>
      </c>
      <c r="AG169" s="6">
        <v>29.9</v>
      </c>
      <c r="AH169" s="6">
        <v>31.22</v>
      </c>
      <c r="AI169" s="6">
        <v>29.59</v>
      </c>
      <c r="AJ169" s="6">
        <v>30.62</v>
      </c>
      <c r="AK169" s="6">
        <v>28.34</v>
      </c>
      <c r="AL169" s="6">
        <v>29.99</v>
      </c>
      <c r="AM169" s="6">
        <v>29.93</v>
      </c>
      <c r="AN169" s="6">
        <v>31.14</v>
      </c>
      <c r="AO169" s="6">
        <v>30.09</v>
      </c>
      <c r="AP169" s="6">
        <v>30.07</v>
      </c>
      <c r="AQ169" s="6">
        <v>29.8</v>
      </c>
      <c r="AR169" s="6">
        <v>29.18</v>
      </c>
      <c r="AS169" s="6">
        <v>27.31</v>
      </c>
      <c r="AT169" s="6">
        <v>31.13</v>
      </c>
      <c r="AU169" s="6">
        <v>31.79</v>
      </c>
      <c r="AV169" s="6">
        <v>31.35</v>
      </c>
      <c r="AW169" s="6">
        <v>30.27</v>
      </c>
      <c r="AX169" s="6">
        <v>28.3</v>
      </c>
      <c r="AY169" s="6">
        <v>28.67</v>
      </c>
      <c r="AZ169" s="6">
        <v>30.85</v>
      </c>
      <c r="BA169" s="6">
        <v>30.19</v>
      </c>
      <c r="BB169" s="6">
        <v>31.26</v>
      </c>
      <c r="BC169" s="6">
        <v>29.68</v>
      </c>
      <c r="BD169" s="7">
        <v>28.44</v>
      </c>
      <c r="BE169" s="7">
        <v>32</v>
      </c>
      <c r="BF169" s="7">
        <v>31.12</v>
      </c>
      <c r="BG169" s="7">
        <v>29.84</v>
      </c>
      <c r="BH169" s="10">
        <v>30.95</v>
      </c>
      <c r="BI169" s="10"/>
    </row>
    <row r="170" spans="1:61" ht="15.75" customHeight="1" x14ac:dyDescent="0.25">
      <c r="A170" s="1">
        <v>169</v>
      </c>
      <c r="B170" s="1"/>
      <c r="C170" s="1">
        <v>17</v>
      </c>
      <c r="D170" s="6">
        <v>29.19</v>
      </c>
      <c r="E170" s="6">
        <v>30.23</v>
      </c>
      <c r="F170" s="6">
        <v>29.29</v>
      </c>
      <c r="G170" s="6"/>
      <c r="H170" s="6"/>
      <c r="I170" s="6"/>
      <c r="J170" s="9">
        <v>26.38</v>
      </c>
      <c r="K170" s="9">
        <v>28.58</v>
      </c>
      <c r="L170" s="9">
        <v>31.26</v>
      </c>
      <c r="M170" s="9">
        <v>29.3</v>
      </c>
      <c r="N170" s="9">
        <v>30.48</v>
      </c>
      <c r="O170" s="9">
        <v>30.22</v>
      </c>
      <c r="P170" s="9">
        <v>31.62</v>
      </c>
      <c r="Q170" s="9">
        <v>33.6</v>
      </c>
      <c r="R170" s="9">
        <v>33.72</v>
      </c>
      <c r="S170" s="9">
        <v>32.799999999999997</v>
      </c>
      <c r="T170" s="9">
        <v>30.54</v>
      </c>
      <c r="U170" s="9">
        <v>30.43</v>
      </c>
      <c r="V170" s="9">
        <v>30.16</v>
      </c>
      <c r="W170" s="6">
        <v>28.88</v>
      </c>
      <c r="X170" s="6">
        <v>27.94</v>
      </c>
      <c r="Y170" s="6">
        <v>29.74</v>
      </c>
      <c r="Z170" s="6">
        <v>31.05</v>
      </c>
      <c r="AA170" s="6">
        <v>28.63</v>
      </c>
      <c r="AB170" s="6">
        <v>27.29</v>
      </c>
      <c r="AC170" s="6">
        <v>30.47</v>
      </c>
      <c r="AD170" s="6">
        <v>30.28</v>
      </c>
      <c r="AE170" s="6">
        <v>29.75</v>
      </c>
      <c r="AF170" s="6">
        <v>30.52</v>
      </c>
      <c r="AG170" s="6">
        <v>29.94</v>
      </c>
      <c r="AH170" s="6">
        <v>31.39</v>
      </c>
      <c r="AI170" s="6">
        <v>29.67</v>
      </c>
      <c r="AJ170" s="6">
        <v>30.68</v>
      </c>
      <c r="AK170" s="6">
        <v>28.36</v>
      </c>
      <c r="AL170" s="6">
        <v>30.08</v>
      </c>
      <c r="AM170" s="6">
        <v>29.97</v>
      </c>
      <c r="AN170" s="6">
        <v>31.2</v>
      </c>
      <c r="AO170" s="6">
        <v>30.14</v>
      </c>
      <c r="AP170" s="6">
        <v>30.13</v>
      </c>
      <c r="AQ170" s="6">
        <v>29.84</v>
      </c>
      <c r="AR170" s="6">
        <v>29.28</v>
      </c>
      <c r="AS170" s="6">
        <v>27.49</v>
      </c>
      <c r="AT170" s="6">
        <v>31.18</v>
      </c>
      <c r="AU170" s="6">
        <v>31.84</v>
      </c>
      <c r="AV170" s="6">
        <v>31.45</v>
      </c>
      <c r="AW170" s="6">
        <v>30.35</v>
      </c>
      <c r="AX170" s="6">
        <v>28.5</v>
      </c>
      <c r="AY170" s="6">
        <v>28.78</v>
      </c>
      <c r="AZ170" s="6">
        <v>30.97</v>
      </c>
      <c r="BA170" s="6">
        <v>30.34</v>
      </c>
      <c r="BB170" s="6">
        <v>31.34</v>
      </c>
      <c r="BC170" s="6">
        <v>29.78</v>
      </c>
      <c r="BD170" s="7">
        <v>28.47</v>
      </c>
      <c r="BE170" s="7">
        <v>32.049999999999997</v>
      </c>
      <c r="BF170" s="7">
        <v>31.21</v>
      </c>
      <c r="BG170" s="7">
        <v>29.95</v>
      </c>
      <c r="BH170" s="10">
        <v>31.06</v>
      </c>
      <c r="BI170" s="10"/>
    </row>
    <row r="171" spans="1:61" ht="15.75" customHeight="1" x14ac:dyDescent="0.25">
      <c r="A171" s="1">
        <v>170</v>
      </c>
      <c r="B171" s="1"/>
      <c r="C171" s="1">
        <v>18</v>
      </c>
      <c r="D171" s="6">
        <v>29.29</v>
      </c>
      <c r="E171" s="6">
        <v>30.23</v>
      </c>
      <c r="F171" s="6">
        <v>29.37</v>
      </c>
      <c r="G171" s="6"/>
      <c r="H171" s="6"/>
      <c r="I171" s="6"/>
      <c r="J171" s="9">
        <v>26.53</v>
      </c>
      <c r="K171" s="9">
        <v>28.68</v>
      </c>
      <c r="L171" s="9">
        <v>31.33</v>
      </c>
      <c r="M171" s="9">
        <v>29.42</v>
      </c>
      <c r="N171" s="9">
        <v>30.63</v>
      </c>
      <c r="O171" s="9">
        <v>30.34</v>
      </c>
      <c r="P171" s="9">
        <v>31.77</v>
      </c>
      <c r="Q171" s="9">
        <v>33.69</v>
      </c>
      <c r="R171" s="9">
        <v>33.75</v>
      </c>
      <c r="S171" s="9">
        <v>32.89</v>
      </c>
      <c r="T171" s="9">
        <v>30.71</v>
      </c>
      <c r="U171" s="9">
        <v>30.53</v>
      </c>
      <c r="V171" s="9">
        <v>30.27</v>
      </c>
      <c r="W171" s="6">
        <v>28.96</v>
      </c>
      <c r="X171" s="6">
        <v>28.11</v>
      </c>
      <c r="Y171" s="6">
        <v>29.8</v>
      </c>
      <c r="Z171" s="6">
        <v>31.12</v>
      </c>
      <c r="AA171" s="6">
        <v>28.76</v>
      </c>
      <c r="AB171" s="6">
        <v>27.41</v>
      </c>
      <c r="AC171" s="6">
        <v>30.54</v>
      </c>
      <c r="AD171" s="6">
        <v>30.37</v>
      </c>
      <c r="AE171" s="6">
        <v>29.79</v>
      </c>
      <c r="AF171" s="6">
        <v>30.54</v>
      </c>
      <c r="AG171" s="6">
        <v>29.98</v>
      </c>
      <c r="AH171" s="6">
        <v>31.52</v>
      </c>
      <c r="AI171" s="6">
        <v>29.73</v>
      </c>
      <c r="AJ171" s="6">
        <v>30.73</v>
      </c>
      <c r="AK171" s="6">
        <v>28.39</v>
      </c>
      <c r="AL171" s="6">
        <v>30.16</v>
      </c>
      <c r="AM171" s="6">
        <v>29.98</v>
      </c>
      <c r="AN171" s="6">
        <v>31.26</v>
      </c>
      <c r="AO171" s="6">
        <v>30.22</v>
      </c>
      <c r="AP171" s="6">
        <v>30.19</v>
      </c>
      <c r="AQ171" s="6">
        <v>29.9</v>
      </c>
      <c r="AR171" s="6">
        <v>29.3</v>
      </c>
      <c r="AS171" s="6">
        <v>27.65</v>
      </c>
      <c r="AT171" s="6">
        <v>31.26</v>
      </c>
      <c r="AU171" s="6">
        <v>31.88</v>
      </c>
      <c r="AV171" s="6">
        <v>31.52</v>
      </c>
      <c r="AW171" s="6">
        <v>30.45</v>
      </c>
      <c r="AX171" s="6">
        <v>28.74</v>
      </c>
      <c r="AY171" s="6">
        <v>28.88</v>
      </c>
      <c r="AZ171" s="6">
        <v>31.04</v>
      </c>
      <c r="BA171" s="6">
        <v>30.44</v>
      </c>
      <c r="BB171" s="6">
        <v>31.49</v>
      </c>
      <c r="BC171" s="6">
        <v>29.9</v>
      </c>
      <c r="BD171" s="7">
        <v>28.52</v>
      </c>
      <c r="BE171" s="7">
        <v>32.090000000000003</v>
      </c>
      <c r="BF171" s="7">
        <v>31.27</v>
      </c>
      <c r="BG171" s="7">
        <v>30.08</v>
      </c>
      <c r="BH171" s="10">
        <v>31.15</v>
      </c>
      <c r="BI171" s="10"/>
    </row>
    <row r="172" spans="1:61" ht="15.75" customHeight="1" x14ac:dyDescent="0.25">
      <c r="A172" s="1">
        <v>171</v>
      </c>
      <c r="B172" s="1"/>
      <c r="C172" s="1">
        <v>19</v>
      </c>
      <c r="D172" s="6">
        <v>29.38</v>
      </c>
      <c r="E172" s="6">
        <v>30.23</v>
      </c>
      <c r="F172" s="6">
        <v>29.44</v>
      </c>
      <c r="G172" s="6"/>
      <c r="H172" s="6"/>
      <c r="I172" s="6"/>
      <c r="J172" s="9">
        <v>26.58</v>
      </c>
      <c r="K172" s="9">
        <v>28.78</v>
      </c>
      <c r="L172" s="9">
        <v>31.42</v>
      </c>
      <c r="M172" s="9">
        <v>29.57</v>
      </c>
      <c r="N172" s="9">
        <v>30.71</v>
      </c>
      <c r="O172" s="9">
        <v>30.53</v>
      </c>
      <c r="P172" s="9">
        <v>31.91</v>
      </c>
      <c r="Q172" s="9">
        <v>33.74</v>
      </c>
      <c r="R172" s="9">
        <v>33.76</v>
      </c>
      <c r="S172" s="9">
        <v>32.96</v>
      </c>
      <c r="T172" s="9">
        <v>30.85</v>
      </c>
      <c r="U172" s="9">
        <v>30.61</v>
      </c>
      <c r="V172" s="9">
        <v>30.36</v>
      </c>
      <c r="W172" s="6">
        <v>29.05</v>
      </c>
      <c r="X172" s="6">
        <v>28.28</v>
      </c>
      <c r="Y172" s="6">
        <v>29.9</v>
      </c>
      <c r="Z172" s="6">
        <v>31.17</v>
      </c>
      <c r="AA172" s="6">
        <v>28.86</v>
      </c>
      <c r="AB172" s="6">
        <v>27.53</v>
      </c>
      <c r="AC172" s="6">
        <v>30.62</v>
      </c>
      <c r="AD172" s="6">
        <v>30.41</v>
      </c>
      <c r="AE172" s="6">
        <v>29.83</v>
      </c>
      <c r="AF172" s="6">
        <v>30.68</v>
      </c>
      <c r="AG172" s="6">
        <v>30.02</v>
      </c>
      <c r="AH172" s="6">
        <v>31.68</v>
      </c>
      <c r="AI172" s="6">
        <v>29.78</v>
      </c>
      <c r="AJ172" s="6">
        <v>30.81</v>
      </c>
      <c r="AK172" s="6">
        <v>28.44</v>
      </c>
      <c r="AL172" s="6">
        <v>30.28</v>
      </c>
      <c r="AM172" s="6">
        <v>30.03</v>
      </c>
      <c r="AN172" s="6">
        <v>31.36</v>
      </c>
      <c r="AO172" s="6">
        <v>30.27</v>
      </c>
      <c r="AP172" s="6">
        <v>30.25</v>
      </c>
      <c r="AQ172" s="6">
        <v>29.96</v>
      </c>
      <c r="AR172" s="6">
        <v>29.34</v>
      </c>
      <c r="AS172" s="6">
        <v>27.76</v>
      </c>
      <c r="AT172" s="6">
        <v>31.32</v>
      </c>
      <c r="AU172" s="6">
        <v>31.92</v>
      </c>
      <c r="AV172" s="6">
        <v>31.59</v>
      </c>
      <c r="AW172" s="6">
        <v>30.54</v>
      </c>
      <c r="AX172" s="6">
        <v>28.92</v>
      </c>
      <c r="AY172" s="6">
        <v>29.01</v>
      </c>
      <c r="AZ172" s="6">
        <v>31.12</v>
      </c>
      <c r="BA172" s="6">
        <v>30.54</v>
      </c>
      <c r="BB172" s="6">
        <v>31.65</v>
      </c>
      <c r="BC172" s="6">
        <v>30.08</v>
      </c>
      <c r="BD172" s="7">
        <v>28.57</v>
      </c>
      <c r="BE172" s="7">
        <v>32.14</v>
      </c>
      <c r="BF172" s="7">
        <v>31.35</v>
      </c>
      <c r="BG172" s="7">
        <v>30.2</v>
      </c>
      <c r="BH172" s="10">
        <v>31.23</v>
      </c>
      <c r="BI172" s="10"/>
    </row>
    <row r="173" spans="1:61" ht="15.75" customHeight="1" x14ac:dyDescent="0.25">
      <c r="A173" s="1">
        <v>172</v>
      </c>
      <c r="B173" s="1"/>
      <c r="C173" s="1">
        <v>20</v>
      </c>
      <c r="D173" s="6">
        <v>29.48</v>
      </c>
      <c r="E173" s="6">
        <v>30.3</v>
      </c>
      <c r="F173" s="6">
        <v>29.52</v>
      </c>
      <c r="G173" s="6"/>
      <c r="H173" s="6"/>
      <c r="I173" s="6"/>
      <c r="J173" s="9">
        <v>26.78</v>
      </c>
      <c r="K173" s="9">
        <v>28.88</v>
      </c>
      <c r="L173" s="9">
        <v>31.48</v>
      </c>
      <c r="M173" s="9">
        <v>29.71</v>
      </c>
      <c r="N173" s="9">
        <v>30.87</v>
      </c>
      <c r="O173" s="9">
        <v>30.65</v>
      </c>
      <c r="P173" s="9">
        <v>32.1</v>
      </c>
      <c r="Q173" s="9">
        <v>33.81</v>
      </c>
      <c r="R173" s="9">
        <v>33.82</v>
      </c>
      <c r="S173" s="9">
        <v>33.06</v>
      </c>
      <c r="T173" s="9">
        <v>30.98</v>
      </c>
      <c r="U173" s="9">
        <v>30.71</v>
      </c>
      <c r="V173" s="9">
        <v>30.47</v>
      </c>
      <c r="W173" s="6">
        <v>29.12</v>
      </c>
      <c r="X173" s="6">
        <v>28.44</v>
      </c>
      <c r="Y173" s="6">
        <v>29.98</v>
      </c>
      <c r="Z173" s="6">
        <v>31.2</v>
      </c>
      <c r="AA173" s="6">
        <v>29</v>
      </c>
      <c r="AB173" s="6">
        <v>27.68</v>
      </c>
      <c r="AC173" s="6">
        <v>30.7</v>
      </c>
      <c r="AD173" s="6">
        <v>30.51</v>
      </c>
      <c r="AE173" s="6">
        <v>29.93</v>
      </c>
      <c r="AF173" s="6">
        <v>30.75</v>
      </c>
      <c r="AG173" s="6">
        <v>30.04</v>
      </c>
      <c r="AH173" s="6">
        <v>31.81</v>
      </c>
      <c r="AI173" s="6">
        <v>29.84</v>
      </c>
      <c r="AJ173" s="6">
        <v>30.86</v>
      </c>
      <c r="AK173" s="6">
        <v>28.48</v>
      </c>
      <c r="AL173" s="6">
        <v>30.36</v>
      </c>
      <c r="AM173" s="6">
        <v>30.07</v>
      </c>
      <c r="AN173" s="6">
        <v>31.45</v>
      </c>
      <c r="AO173" s="6">
        <v>30.3</v>
      </c>
      <c r="AP173" s="6">
        <v>30.31</v>
      </c>
      <c r="AQ173" s="6">
        <v>30</v>
      </c>
      <c r="AR173" s="6">
        <v>29.38</v>
      </c>
      <c r="AS173" s="6">
        <v>27.89</v>
      </c>
      <c r="AT173" s="6">
        <v>31.4</v>
      </c>
      <c r="AU173" s="6">
        <v>31.95</v>
      </c>
      <c r="AV173" s="6">
        <v>31.65</v>
      </c>
      <c r="AW173" s="6">
        <v>30.63</v>
      </c>
      <c r="AX173" s="6">
        <v>29.1</v>
      </c>
      <c r="AY173" s="6">
        <v>29.1</v>
      </c>
      <c r="AZ173" s="6">
        <v>31.22</v>
      </c>
      <c r="BA173" s="6">
        <v>30.68</v>
      </c>
      <c r="BB173" s="6">
        <v>31.76</v>
      </c>
      <c r="BC173" s="6">
        <v>30.14</v>
      </c>
      <c r="BD173" s="7">
        <v>28.7</v>
      </c>
      <c r="BE173" s="7">
        <v>32.18</v>
      </c>
      <c r="BF173" s="7">
        <v>31.42</v>
      </c>
      <c r="BG173" s="7">
        <v>30.3</v>
      </c>
      <c r="BH173" s="10">
        <v>31.29</v>
      </c>
      <c r="BI173" s="10"/>
    </row>
    <row r="174" spans="1:61" ht="15.75" customHeight="1" x14ac:dyDescent="0.25">
      <c r="A174" s="1">
        <v>173</v>
      </c>
      <c r="B174" s="1"/>
      <c r="C174" s="1">
        <v>21</v>
      </c>
      <c r="D174" s="6">
        <v>29.56</v>
      </c>
      <c r="E174" s="6">
        <v>30.32</v>
      </c>
      <c r="F174" s="6">
        <v>29.6</v>
      </c>
      <c r="G174" s="6"/>
      <c r="H174" s="6"/>
      <c r="I174" s="6"/>
      <c r="J174" s="9">
        <v>26.88</v>
      </c>
      <c r="K174" s="9">
        <v>28.98</v>
      </c>
      <c r="L174" s="9">
        <v>31.57</v>
      </c>
      <c r="M174" s="9">
        <v>29.83</v>
      </c>
      <c r="N174" s="9">
        <v>30.93</v>
      </c>
      <c r="O174" s="9">
        <v>30.8</v>
      </c>
      <c r="P174" s="9">
        <v>32.24</v>
      </c>
      <c r="Q174" s="9">
        <v>33.869999999999997</v>
      </c>
      <c r="R174" s="9">
        <v>33.9</v>
      </c>
      <c r="S174" s="9">
        <v>33.159999999999997</v>
      </c>
      <c r="T174" s="9">
        <v>31</v>
      </c>
      <c r="U174" s="9">
        <v>30.8</v>
      </c>
      <c r="V174" s="9">
        <v>30.6</v>
      </c>
      <c r="W174" s="6">
        <v>29.15</v>
      </c>
      <c r="X174" s="6">
        <v>28.63</v>
      </c>
      <c r="Y174" s="6">
        <v>30.05</v>
      </c>
      <c r="Z174" s="6">
        <v>31.28</v>
      </c>
      <c r="AA174" s="6">
        <v>29.1</v>
      </c>
      <c r="AB174" s="6">
        <v>27.88</v>
      </c>
      <c r="AC174" s="6">
        <v>30.79</v>
      </c>
      <c r="AD174" s="6">
        <v>30.56</v>
      </c>
      <c r="AE174" s="6">
        <v>30</v>
      </c>
      <c r="AF174" s="6">
        <v>30.85</v>
      </c>
      <c r="AG174" s="6">
        <v>30.04</v>
      </c>
      <c r="AH174" s="6">
        <v>31.92</v>
      </c>
      <c r="AI174" s="6">
        <v>29.88</v>
      </c>
      <c r="AJ174" s="6">
        <v>30.92</v>
      </c>
      <c r="AK174" s="6">
        <v>28.58</v>
      </c>
      <c r="AL174" s="6">
        <v>30.48</v>
      </c>
      <c r="AM174" s="6">
        <v>30.1</v>
      </c>
      <c r="AN174" s="6">
        <v>31.54</v>
      </c>
      <c r="AO174" s="6">
        <v>30.36</v>
      </c>
      <c r="AP174" s="6">
        <v>30.38</v>
      </c>
      <c r="AQ174" s="6">
        <v>30.06</v>
      </c>
      <c r="AR174" s="6">
        <v>29.43</v>
      </c>
      <c r="AS174" s="6">
        <v>27.99</v>
      </c>
      <c r="AT174" s="6">
        <v>31.5</v>
      </c>
      <c r="AU174" s="6">
        <v>32.020000000000003</v>
      </c>
      <c r="AV174" s="6">
        <v>31.7</v>
      </c>
      <c r="AW174" s="6">
        <v>30.73</v>
      </c>
      <c r="AX174" s="6">
        <v>29.22</v>
      </c>
      <c r="AY174" s="6">
        <v>29.22</v>
      </c>
      <c r="AZ174" s="6">
        <v>31.3</v>
      </c>
      <c r="BA174" s="6">
        <v>30.79</v>
      </c>
      <c r="BB174" s="6">
        <v>31.87</v>
      </c>
      <c r="BC174" s="6">
        <v>30.24</v>
      </c>
      <c r="BD174" s="7">
        <v>28.83</v>
      </c>
      <c r="BE174" s="7">
        <v>32.24</v>
      </c>
      <c r="BF174" s="7">
        <v>31.5</v>
      </c>
      <c r="BG174" s="7">
        <v>30.42</v>
      </c>
      <c r="BH174" s="10">
        <v>31.4</v>
      </c>
      <c r="BI174" s="10"/>
    </row>
    <row r="175" spans="1:61" ht="15.75" customHeight="1" x14ac:dyDescent="0.25">
      <c r="A175" s="1">
        <v>174</v>
      </c>
      <c r="B175" s="1"/>
      <c r="C175" s="1">
        <v>22</v>
      </c>
      <c r="D175" s="6">
        <v>29.65</v>
      </c>
      <c r="E175" s="6">
        <v>30.36</v>
      </c>
      <c r="F175" s="6">
        <v>29.63</v>
      </c>
      <c r="G175" s="6"/>
      <c r="H175" s="6"/>
      <c r="I175" s="6"/>
      <c r="J175" s="9">
        <v>27.03</v>
      </c>
      <c r="K175" s="9">
        <v>29.18</v>
      </c>
      <c r="L175" s="9">
        <v>31.63</v>
      </c>
      <c r="M175" s="9">
        <v>30.02</v>
      </c>
      <c r="N175" s="9">
        <v>31.04</v>
      </c>
      <c r="O175" s="9">
        <v>30.96</v>
      </c>
      <c r="P175" s="9">
        <v>32.35</v>
      </c>
      <c r="Q175" s="9">
        <v>33.94</v>
      </c>
      <c r="R175" s="9">
        <v>33.97</v>
      </c>
      <c r="S175" s="9">
        <v>33.26</v>
      </c>
      <c r="T175" s="9">
        <v>31.15</v>
      </c>
      <c r="U175" s="9">
        <v>30.87</v>
      </c>
      <c r="V175" s="9">
        <v>30.71</v>
      </c>
      <c r="W175" s="6">
        <v>29.19</v>
      </c>
      <c r="X175" s="6">
        <v>28.8</v>
      </c>
      <c r="Y175" s="6">
        <v>30.14</v>
      </c>
      <c r="Z175" s="6">
        <v>31.31</v>
      </c>
      <c r="AA175" s="6">
        <v>29.15</v>
      </c>
      <c r="AB175" s="6">
        <v>28.02</v>
      </c>
      <c r="AC175" s="6">
        <v>30.9</v>
      </c>
      <c r="AD175" s="6">
        <v>30.64</v>
      </c>
      <c r="AE175" s="6">
        <v>30.12</v>
      </c>
      <c r="AF175" s="6">
        <v>30.95</v>
      </c>
      <c r="AG175" s="6">
        <v>30.04</v>
      </c>
      <c r="AH175" s="6">
        <v>32.020000000000003</v>
      </c>
      <c r="AI175" s="6">
        <v>29.94</v>
      </c>
      <c r="AJ175" s="6">
        <v>31</v>
      </c>
      <c r="AK175" s="6">
        <v>28.69</v>
      </c>
      <c r="AL175" s="6">
        <v>30.6</v>
      </c>
      <c r="AM175" s="6">
        <v>30.12</v>
      </c>
      <c r="AN175" s="6">
        <v>31.61</v>
      </c>
      <c r="AO175" s="6">
        <v>30.41</v>
      </c>
      <c r="AP175" s="6">
        <v>30.43</v>
      </c>
      <c r="AQ175" s="6">
        <v>30.12</v>
      </c>
      <c r="AR175" s="6">
        <v>29.47</v>
      </c>
      <c r="AS175" s="6">
        <v>28.02</v>
      </c>
      <c r="AT175" s="6">
        <v>31.59</v>
      </c>
      <c r="AU175" s="6">
        <v>32.07</v>
      </c>
      <c r="AV175" s="6">
        <v>31.76</v>
      </c>
      <c r="AW175" s="6">
        <v>30.82</v>
      </c>
      <c r="AX175" s="6">
        <v>29.41</v>
      </c>
      <c r="AY175" s="6">
        <v>29.33</v>
      </c>
      <c r="AZ175" s="6">
        <v>31.39</v>
      </c>
      <c r="BA175" s="6">
        <v>30.9</v>
      </c>
      <c r="BB175" s="6">
        <v>31.99</v>
      </c>
      <c r="BC175" s="6">
        <v>30.36</v>
      </c>
      <c r="BD175" s="7">
        <v>28.97</v>
      </c>
      <c r="BE175" s="7">
        <v>32.28</v>
      </c>
      <c r="BF175" s="7">
        <v>31.57</v>
      </c>
      <c r="BG175" s="7">
        <v>30.5</v>
      </c>
      <c r="BH175" s="10">
        <v>31.5</v>
      </c>
      <c r="BI175" s="10"/>
    </row>
    <row r="176" spans="1:61" ht="15.75" customHeight="1" x14ac:dyDescent="0.25">
      <c r="A176" s="1">
        <v>175</v>
      </c>
      <c r="B176" s="1"/>
      <c r="C176" s="1">
        <v>23</v>
      </c>
      <c r="D176" s="6">
        <v>29.7</v>
      </c>
      <c r="E176" s="6">
        <v>30.39</v>
      </c>
      <c r="F176" s="6">
        <v>29.73</v>
      </c>
      <c r="G176" s="6"/>
      <c r="H176" s="6"/>
      <c r="I176" s="6"/>
      <c r="J176" s="9">
        <v>27.18</v>
      </c>
      <c r="K176" s="9">
        <v>29.28</v>
      </c>
      <c r="L176" s="9">
        <v>31.68</v>
      </c>
      <c r="M176" s="9">
        <v>30.19</v>
      </c>
      <c r="N176" s="9">
        <v>31.2</v>
      </c>
      <c r="O176" s="9">
        <v>31.11</v>
      </c>
      <c r="P176" s="9">
        <v>32.479999999999997</v>
      </c>
      <c r="Q176" s="9">
        <v>34.03</v>
      </c>
      <c r="R176" s="9">
        <v>34.03</v>
      </c>
      <c r="S176" s="9">
        <v>33.33</v>
      </c>
      <c r="T176" s="9">
        <v>31.28</v>
      </c>
      <c r="U176" s="9">
        <v>30.93</v>
      </c>
      <c r="V176" s="9">
        <v>30.83</v>
      </c>
      <c r="W176" s="6">
        <v>29.24</v>
      </c>
      <c r="X176" s="6">
        <v>28.89</v>
      </c>
      <c r="Y176" s="6">
        <v>30.2</v>
      </c>
      <c r="Z176" s="6">
        <v>31.37</v>
      </c>
      <c r="AA176" s="6">
        <v>29.21</v>
      </c>
      <c r="AB176" s="6">
        <v>28.24</v>
      </c>
      <c r="AC176" s="6">
        <v>31</v>
      </c>
      <c r="AD176" s="6">
        <v>30.75</v>
      </c>
      <c r="AE176" s="6">
        <v>30.2</v>
      </c>
      <c r="AF176" s="6">
        <v>31.04</v>
      </c>
      <c r="AG176" s="6">
        <v>30.04</v>
      </c>
      <c r="AH176" s="6">
        <v>32.1</v>
      </c>
      <c r="AI176" s="6">
        <v>30</v>
      </c>
      <c r="AJ176" s="6">
        <v>31.07</v>
      </c>
      <c r="AK176" s="6">
        <v>28.76</v>
      </c>
      <c r="AL176" s="6">
        <v>30.7</v>
      </c>
      <c r="AM176" s="6">
        <v>30.2</v>
      </c>
      <c r="AN176" s="6">
        <v>31.71</v>
      </c>
      <c r="AO176" s="6">
        <v>30.47</v>
      </c>
      <c r="AP176" s="6">
        <v>30.53</v>
      </c>
      <c r="AQ176" s="6">
        <v>30.18</v>
      </c>
      <c r="AR176" s="6">
        <v>29.52</v>
      </c>
      <c r="AS176" s="6">
        <v>28.2</v>
      </c>
      <c r="AT176" s="6">
        <v>31.66</v>
      </c>
      <c r="AU176" s="6">
        <v>32.130000000000003</v>
      </c>
      <c r="AV176" s="6">
        <v>31.8</v>
      </c>
      <c r="AW176" s="6">
        <v>30.9</v>
      </c>
      <c r="AX176" s="6">
        <v>29.6</v>
      </c>
      <c r="AY176" s="6">
        <v>29.45</v>
      </c>
      <c r="AZ176" s="6">
        <v>31.5</v>
      </c>
      <c r="BA176" s="6">
        <v>31.01</v>
      </c>
      <c r="BB176" s="6">
        <v>32.1</v>
      </c>
      <c r="BC176" s="6">
        <v>30.49</v>
      </c>
      <c r="BD176" s="7">
        <v>29.05</v>
      </c>
      <c r="BE176" s="7">
        <v>32.32</v>
      </c>
      <c r="BF176" s="7">
        <v>31.64</v>
      </c>
      <c r="BG176" s="7">
        <v>30.58</v>
      </c>
      <c r="BH176" s="10">
        <v>31.59</v>
      </c>
      <c r="BI176" s="10"/>
    </row>
    <row r="177" spans="1:61" ht="15.75" customHeight="1" x14ac:dyDescent="0.25">
      <c r="A177" s="1">
        <v>176</v>
      </c>
      <c r="B177" s="1"/>
      <c r="C177" s="1">
        <v>24</v>
      </c>
      <c r="D177" s="6">
        <v>29.79</v>
      </c>
      <c r="E177" s="6">
        <v>30.43</v>
      </c>
      <c r="F177" s="6">
        <v>29.79</v>
      </c>
      <c r="G177" s="6"/>
      <c r="H177" s="6"/>
      <c r="I177" s="6"/>
      <c r="J177" s="9">
        <v>27.28</v>
      </c>
      <c r="K177" s="9">
        <v>29.38</v>
      </c>
      <c r="L177" s="9">
        <v>31.75</v>
      </c>
      <c r="M177" s="9">
        <v>30.34</v>
      </c>
      <c r="N177" s="9">
        <v>31.4</v>
      </c>
      <c r="O177" s="9">
        <v>31.21</v>
      </c>
      <c r="P177" s="9">
        <v>32.590000000000003</v>
      </c>
      <c r="Q177" s="9">
        <v>34.11</v>
      </c>
      <c r="R177" s="9">
        <v>34.090000000000003</v>
      </c>
      <c r="S177" s="9">
        <v>33.4</v>
      </c>
      <c r="T177" s="9">
        <v>31.41</v>
      </c>
      <c r="U177" s="9">
        <v>31</v>
      </c>
      <c r="V177" s="9">
        <v>30.95</v>
      </c>
      <c r="W177" s="6">
        <v>29.37</v>
      </c>
      <c r="X177" s="6">
        <v>29</v>
      </c>
      <c r="Y177" s="6">
        <v>30.27</v>
      </c>
      <c r="Z177" s="6">
        <v>31.42</v>
      </c>
      <c r="AA177" s="6">
        <v>29.25</v>
      </c>
      <c r="AB177" s="6">
        <v>28.48</v>
      </c>
      <c r="AC177" s="6">
        <v>31.09</v>
      </c>
      <c r="AD177" s="6">
        <v>30.79</v>
      </c>
      <c r="AE177" s="6">
        <v>30.39</v>
      </c>
      <c r="AF177" s="6">
        <v>31.14</v>
      </c>
      <c r="AG177" s="6">
        <v>30.02</v>
      </c>
      <c r="AH177" s="6">
        <v>32.24</v>
      </c>
      <c r="AI177" s="6">
        <v>30.04</v>
      </c>
      <c r="AJ177" s="6">
        <v>31.14</v>
      </c>
      <c r="AK177" s="6">
        <v>28.8</v>
      </c>
      <c r="AL177" s="6">
        <v>30.89</v>
      </c>
      <c r="AM177" s="6">
        <v>30.28</v>
      </c>
      <c r="AN177" s="6">
        <v>31.76</v>
      </c>
      <c r="AO177" s="6">
        <v>30.55</v>
      </c>
      <c r="AP177" s="6">
        <v>30.68</v>
      </c>
      <c r="AQ177" s="6">
        <v>30.23</v>
      </c>
      <c r="AR177" s="6">
        <v>29.58</v>
      </c>
      <c r="AS177" s="6">
        <v>28.31</v>
      </c>
      <c r="AT177" s="6">
        <v>31.73</v>
      </c>
      <c r="AU177" s="6">
        <v>32.200000000000003</v>
      </c>
      <c r="AV177" s="6">
        <v>31.84</v>
      </c>
      <c r="AW177" s="6">
        <v>30.99</v>
      </c>
      <c r="AX177" s="6">
        <v>29.74</v>
      </c>
      <c r="AY177" s="6">
        <v>29.62</v>
      </c>
      <c r="AZ177" s="6">
        <v>31.61</v>
      </c>
      <c r="BA177" s="6">
        <v>31.12</v>
      </c>
      <c r="BB177" s="6">
        <v>32.28</v>
      </c>
      <c r="BC177" s="6">
        <v>30.52</v>
      </c>
      <c r="BD177" s="7">
        <v>29.13</v>
      </c>
      <c r="BE177" s="7">
        <v>32.369999999999997</v>
      </c>
      <c r="BF177" s="7">
        <v>31.68</v>
      </c>
      <c r="BG177" s="7">
        <v>30.65</v>
      </c>
      <c r="BH177" s="10">
        <v>31.7</v>
      </c>
      <c r="BI177" s="10"/>
    </row>
    <row r="178" spans="1:61" ht="15.75" customHeight="1" x14ac:dyDescent="0.25">
      <c r="A178" s="1">
        <v>177</v>
      </c>
      <c r="B178" s="1"/>
      <c r="C178" s="1">
        <v>25</v>
      </c>
      <c r="D178" s="6">
        <v>29.87</v>
      </c>
      <c r="E178" s="6">
        <v>30.45</v>
      </c>
      <c r="F178" s="6">
        <v>29.87</v>
      </c>
      <c r="G178" s="6"/>
      <c r="H178" s="6"/>
      <c r="I178" s="6"/>
      <c r="J178" s="9">
        <v>27.38</v>
      </c>
      <c r="K178" s="9">
        <v>29.48</v>
      </c>
      <c r="L178" s="9">
        <v>31.84</v>
      </c>
      <c r="M178" s="9">
        <v>30.49</v>
      </c>
      <c r="N178" s="9">
        <v>31.43</v>
      </c>
      <c r="O178" s="9">
        <v>31.38</v>
      </c>
      <c r="P178" s="9">
        <v>32.69</v>
      </c>
      <c r="Q178" s="9">
        <v>34.17</v>
      </c>
      <c r="R178" s="9">
        <v>34.15</v>
      </c>
      <c r="S178" s="9">
        <v>33.46</v>
      </c>
      <c r="T178" s="9">
        <v>31.52</v>
      </c>
      <c r="U178" s="9">
        <v>31.08</v>
      </c>
      <c r="V178" s="9">
        <v>30.99</v>
      </c>
      <c r="W178" s="6">
        <v>29.4</v>
      </c>
      <c r="X178" s="6">
        <v>29.07</v>
      </c>
      <c r="Y178" s="6">
        <v>30.38</v>
      </c>
      <c r="Z178" s="6">
        <v>31.5</v>
      </c>
      <c r="AA178" s="6">
        <v>29.3</v>
      </c>
      <c r="AB178" s="6">
        <v>28.66</v>
      </c>
      <c r="AC178" s="6">
        <v>31.18</v>
      </c>
      <c r="AD178" s="6">
        <v>30.85</v>
      </c>
      <c r="AE178" s="6">
        <v>30.5</v>
      </c>
      <c r="AF178" s="6">
        <v>31.22</v>
      </c>
      <c r="AG178" s="6">
        <v>29.99</v>
      </c>
      <c r="AH178" s="6">
        <v>32.35</v>
      </c>
      <c r="AI178" s="6">
        <v>30.11</v>
      </c>
      <c r="AJ178" s="6">
        <v>31.2</v>
      </c>
      <c r="AK178" s="6">
        <v>28.87</v>
      </c>
      <c r="AL178" s="6">
        <v>31.05</v>
      </c>
      <c r="AM178" s="6">
        <v>30.36</v>
      </c>
      <c r="AN178" s="6">
        <v>31.82</v>
      </c>
      <c r="AO178" s="6">
        <v>30.58</v>
      </c>
      <c r="AP178" s="6">
        <v>30.75</v>
      </c>
      <c r="AQ178" s="6">
        <v>30.34</v>
      </c>
      <c r="AR178" s="6">
        <v>29.62</v>
      </c>
      <c r="AS178" s="6">
        <v>28.41</v>
      </c>
      <c r="AT178" s="6">
        <v>31.79</v>
      </c>
      <c r="AU178" s="6">
        <v>32.270000000000003</v>
      </c>
      <c r="AV178" s="6">
        <v>31.88</v>
      </c>
      <c r="AW178" s="6">
        <v>31.07</v>
      </c>
      <c r="AX178" s="6">
        <v>29.88</v>
      </c>
      <c r="AY178" s="6">
        <v>29.78</v>
      </c>
      <c r="AZ178" s="6">
        <v>31.69</v>
      </c>
      <c r="BA178" s="6">
        <v>31.24</v>
      </c>
      <c r="BB178" s="6">
        <v>32.369999999999997</v>
      </c>
      <c r="BC178" s="6">
        <v>30.64</v>
      </c>
      <c r="BD178" s="7">
        <v>29.21</v>
      </c>
      <c r="BE178" s="7">
        <v>32.4</v>
      </c>
      <c r="BF178" s="7">
        <v>31.77</v>
      </c>
      <c r="BG178" s="7">
        <v>30.73</v>
      </c>
      <c r="BH178" s="10">
        <v>31.8</v>
      </c>
      <c r="BI178" s="10"/>
    </row>
    <row r="179" spans="1:61" ht="15.75" customHeight="1" x14ac:dyDescent="0.25">
      <c r="A179" s="1">
        <v>178</v>
      </c>
      <c r="B179" s="1"/>
      <c r="C179" s="1">
        <v>26</v>
      </c>
      <c r="D179" s="6">
        <v>29.94</v>
      </c>
      <c r="E179" s="6">
        <v>30.47</v>
      </c>
      <c r="F179" s="6">
        <v>29.92</v>
      </c>
      <c r="G179" s="6"/>
      <c r="H179" s="6"/>
      <c r="I179" s="6"/>
      <c r="J179" s="9">
        <v>27.48</v>
      </c>
      <c r="K179" s="9">
        <v>29.68</v>
      </c>
      <c r="L179" s="9">
        <v>31.93</v>
      </c>
      <c r="M179" s="9">
        <v>30.63</v>
      </c>
      <c r="N179" s="9">
        <v>31.54</v>
      </c>
      <c r="O179" s="9">
        <v>31.5</v>
      </c>
      <c r="P179" s="9">
        <v>32.78</v>
      </c>
      <c r="Q179" s="9">
        <v>34.22</v>
      </c>
      <c r="R179" s="9">
        <v>34.200000000000003</v>
      </c>
      <c r="S179" s="9">
        <v>33.53</v>
      </c>
      <c r="T179" s="9">
        <v>31.62</v>
      </c>
      <c r="U179" s="9">
        <v>31.17</v>
      </c>
      <c r="V179" s="9">
        <v>31.07</v>
      </c>
      <c r="W179" s="6">
        <v>29.5</v>
      </c>
      <c r="X179" s="6">
        <v>29.15</v>
      </c>
      <c r="Y179" s="6">
        <v>30.56</v>
      </c>
      <c r="Z179" s="6">
        <v>31.55</v>
      </c>
      <c r="AA179" s="6">
        <v>29.38</v>
      </c>
      <c r="AB179" s="6">
        <v>28.84</v>
      </c>
      <c r="AC179" s="6">
        <v>31.3</v>
      </c>
      <c r="AD179" s="6">
        <v>30.94</v>
      </c>
      <c r="AE179" s="6">
        <v>30.63</v>
      </c>
      <c r="AF179" s="6">
        <v>31.4</v>
      </c>
      <c r="AG179" s="6">
        <v>29.95</v>
      </c>
      <c r="AH179" s="6">
        <v>32.44</v>
      </c>
      <c r="AI179" s="6">
        <v>30.21</v>
      </c>
      <c r="AJ179" s="6">
        <v>31.25</v>
      </c>
      <c r="AK179" s="6">
        <v>28.93</v>
      </c>
      <c r="AL179" s="6">
        <v>31.19</v>
      </c>
      <c r="AM179" s="6">
        <v>30.46</v>
      </c>
      <c r="AN179" s="6">
        <v>31.88</v>
      </c>
      <c r="AO179" s="6">
        <v>30.7</v>
      </c>
      <c r="AP179" s="6">
        <v>30.86</v>
      </c>
      <c r="AQ179" s="6">
        <v>30.44</v>
      </c>
      <c r="AR179" s="6">
        <v>29.74</v>
      </c>
      <c r="AS179" s="6">
        <v>28.56</v>
      </c>
      <c r="AT179" s="6">
        <v>31.83</v>
      </c>
      <c r="AU179" s="6">
        <v>32.33</v>
      </c>
      <c r="AV179" s="6">
        <v>31.88</v>
      </c>
      <c r="AW179" s="6">
        <v>31.15</v>
      </c>
      <c r="AX179" s="6">
        <v>29.98</v>
      </c>
      <c r="AY179" s="6">
        <v>29.9</v>
      </c>
      <c r="AZ179" s="6">
        <v>31.8</v>
      </c>
      <c r="BA179" s="6">
        <v>31.38</v>
      </c>
      <c r="BB179" s="6">
        <v>32.49</v>
      </c>
      <c r="BC179" s="6">
        <v>30.73</v>
      </c>
      <c r="BD179" s="7">
        <v>29.29</v>
      </c>
      <c r="BE179" s="7">
        <v>32.44</v>
      </c>
      <c r="BF179" s="7">
        <v>31.9</v>
      </c>
      <c r="BG179" s="7">
        <v>30.8</v>
      </c>
      <c r="BH179" s="10">
        <v>31.88</v>
      </c>
      <c r="BI179" s="10"/>
    </row>
    <row r="180" spans="1:61" ht="15.75" customHeight="1" x14ac:dyDescent="0.25">
      <c r="A180" s="1">
        <v>179</v>
      </c>
      <c r="B180" s="1"/>
      <c r="C180" s="1">
        <v>27</v>
      </c>
      <c r="D180" s="6">
        <v>30.09</v>
      </c>
      <c r="E180" s="6">
        <v>30.51</v>
      </c>
      <c r="F180" s="6">
        <v>29.97</v>
      </c>
      <c r="G180" s="6"/>
      <c r="H180" s="6"/>
      <c r="I180" s="6"/>
      <c r="J180" s="9">
        <v>27.58</v>
      </c>
      <c r="K180" s="9">
        <v>29.78</v>
      </c>
      <c r="L180" s="9">
        <v>32.020000000000003</v>
      </c>
      <c r="M180" s="9">
        <v>30.75</v>
      </c>
      <c r="N180" s="9">
        <v>31.66</v>
      </c>
      <c r="O180" s="9">
        <v>31.59</v>
      </c>
      <c r="P180" s="9">
        <v>32.840000000000003</v>
      </c>
      <c r="Q180" s="9">
        <v>34.270000000000003</v>
      </c>
      <c r="R180" s="9">
        <v>34.229999999999997</v>
      </c>
      <c r="S180" s="9">
        <v>33.57</v>
      </c>
      <c r="T180" s="9">
        <v>31.7</v>
      </c>
      <c r="U180" s="9">
        <v>31.28</v>
      </c>
      <c r="V180" s="9">
        <v>31.25</v>
      </c>
      <c r="W180" s="6">
        <v>29.62</v>
      </c>
      <c r="X180" s="6">
        <v>29.28</v>
      </c>
      <c r="Y180" s="6">
        <v>30.54</v>
      </c>
      <c r="Z180" s="6">
        <v>31.62</v>
      </c>
      <c r="AA180" s="6">
        <v>29.45</v>
      </c>
      <c r="AB180" s="6">
        <v>29.04</v>
      </c>
      <c r="AC180" s="6">
        <v>31.4</v>
      </c>
      <c r="AD180" s="6">
        <v>30.97</v>
      </c>
      <c r="AE180" s="6">
        <v>30.7</v>
      </c>
      <c r="AF180" s="6">
        <v>31.46</v>
      </c>
      <c r="AG180" s="6">
        <v>30</v>
      </c>
      <c r="AH180" s="6">
        <v>32.520000000000003</v>
      </c>
      <c r="AI180" s="6">
        <v>30.26</v>
      </c>
      <c r="AJ180" s="6">
        <v>31.3</v>
      </c>
      <c r="AK180" s="6">
        <v>28.99</v>
      </c>
      <c r="AL180" s="6">
        <v>31.32</v>
      </c>
      <c r="AM180" s="6">
        <v>30.5</v>
      </c>
      <c r="AN180" s="6">
        <v>31.92</v>
      </c>
      <c r="AO180" s="6">
        <v>30.76</v>
      </c>
      <c r="AP180" s="6">
        <v>30.97</v>
      </c>
      <c r="AQ180" s="6">
        <v>30.56</v>
      </c>
      <c r="AR180" s="6">
        <v>29.8</v>
      </c>
      <c r="AS180" s="6">
        <v>28.68</v>
      </c>
      <c r="AT180" s="6">
        <v>31.87</v>
      </c>
      <c r="AU180" s="6">
        <v>32.380000000000003</v>
      </c>
      <c r="AV180" s="6">
        <v>31.91</v>
      </c>
      <c r="AW180" s="6">
        <v>31.2</v>
      </c>
      <c r="AX180" s="6">
        <v>30.08</v>
      </c>
      <c r="AY180" s="6">
        <v>30.03</v>
      </c>
      <c r="AZ180" s="6">
        <v>31.9</v>
      </c>
      <c r="BA180" s="6">
        <v>31.47</v>
      </c>
      <c r="BB180" s="6">
        <v>32.619999999999997</v>
      </c>
      <c r="BC180" s="6">
        <v>30.85</v>
      </c>
      <c r="BD180" s="7">
        <v>29.36</v>
      </c>
      <c r="BE180" s="7">
        <v>32.479999999999997</v>
      </c>
      <c r="BF180" s="7">
        <v>31.95</v>
      </c>
      <c r="BG180" s="7">
        <v>30.85</v>
      </c>
      <c r="BH180" s="10">
        <v>31.97</v>
      </c>
      <c r="BI180" s="10"/>
    </row>
    <row r="181" spans="1:61" ht="15.75" customHeight="1" x14ac:dyDescent="0.25">
      <c r="A181" s="1">
        <v>180</v>
      </c>
      <c r="B181" s="1"/>
      <c r="C181" s="1">
        <v>28</v>
      </c>
      <c r="D181" s="6">
        <v>30.27</v>
      </c>
      <c r="E181" s="6">
        <v>30.57</v>
      </c>
      <c r="F181" s="6">
        <v>30.05</v>
      </c>
      <c r="G181" s="6"/>
      <c r="H181" s="6"/>
      <c r="I181" s="6"/>
      <c r="J181" s="9">
        <v>27.68</v>
      </c>
      <c r="K181" s="9">
        <v>29.83</v>
      </c>
      <c r="L181" s="9">
        <v>32.11</v>
      </c>
      <c r="M181" s="9">
        <v>30.88</v>
      </c>
      <c r="N181" s="9">
        <v>31.72</v>
      </c>
      <c r="O181" s="9">
        <v>31.73</v>
      </c>
      <c r="P181" s="9">
        <v>32.94</v>
      </c>
      <c r="Q181" s="9">
        <v>34.35</v>
      </c>
      <c r="R181" s="9">
        <v>34.26</v>
      </c>
      <c r="S181" s="9">
        <v>33.61</v>
      </c>
      <c r="T181" s="9">
        <v>31.79</v>
      </c>
      <c r="U181" s="9">
        <v>31.41</v>
      </c>
      <c r="V181" s="9">
        <v>31.39</v>
      </c>
      <c r="W181" s="6">
        <v>29.72</v>
      </c>
      <c r="X181" s="6">
        <v>29.36</v>
      </c>
      <c r="Y181" s="6">
        <v>30.59</v>
      </c>
      <c r="Z181" s="6">
        <v>31.72</v>
      </c>
      <c r="AA181" s="6">
        <v>29.61</v>
      </c>
      <c r="AB181" s="6">
        <v>29.28</v>
      </c>
      <c r="AC181" s="6">
        <v>31.51</v>
      </c>
      <c r="AD181" s="6">
        <v>30.99</v>
      </c>
      <c r="AE181" s="6">
        <v>30.79</v>
      </c>
      <c r="AF181" s="6">
        <v>31.56</v>
      </c>
      <c r="AG181" s="6">
        <v>30</v>
      </c>
      <c r="AH181" s="6">
        <v>32.64</v>
      </c>
      <c r="AI181" s="6">
        <v>30.34</v>
      </c>
      <c r="AJ181" s="6">
        <v>31.38</v>
      </c>
      <c r="AK181" s="6">
        <v>29.07</v>
      </c>
      <c r="AL181" s="6">
        <v>31.46</v>
      </c>
      <c r="AM181" s="6">
        <v>30.59</v>
      </c>
      <c r="AN181" s="6">
        <v>31.98</v>
      </c>
      <c r="AO181" s="6">
        <v>30.82</v>
      </c>
      <c r="AP181" s="6">
        <v>31.1</v>
      </c>
      <c r="AQ181" s="6">
        <v>30.68</v>
      </c>
      <c r="AR181" s="6">
        <v>29.92</v>
      </c>
      <c r="AS181" s="6">
        <v>28.78</v>
      </c>
      <c r="AT181" s="6">
        <v>31.94</v>
      </c>
      <c r="AU181" s="6">
        <v>32.44</v>
      </c>
      <c r="AV181" s="6">
        <v>31.93</v>
      </c>
      <c r="AW181" s="6">
        <v>31.26</v>
      </c>
      <c r="AX181" s="6">
        <v>30.2</v>
      </c>
      <c r="AY181" s="6">
        <v>30.2</v>
      </c>
      <c r="AZ181" s="6">
        <v>32</v>
      </c>
      <c r="BA181" s="6">
        <v>31.57</v>
      </c>
      <c r="BB181" s="6">
        <v>32.76</v>
      </c>
      <c r="BC181" s="6">
        <v>30.95</v>
      </c>
      <c r="BD181" s="7">
        <v>29.43</v>
      </c>
      <c r="BE181" s="7">
        <v>32.520000000000003</v>
      </c>
      <c r="BF181" s="7">
        <v>32.049999999999997</v>
      </c>
      <c r="BG181" s="7">
        <v>30.9</v>
      </c>
      <c r="BH181" s="10">
        <v>32.06</v>
      </c>
      <c r="BI181" s="10"/>
    </row>
    <row r="182" spans="1:61" ht="15.75" customHeight="1" x14ac:dyDescent="0.25">
      <c r="A182" s="1">
        <v>181</v>
      </c>
      <c r="B182" s="1"/>
      <c r="C182" s="1">
        <v>29</v>
      </c>
      <c r="D182" s="6">
        <v>30.45</v>
      </c>
      <c r="E182" s="6">
        <v>30.68</v>
      </c>
      <c r="F182" s="6">
        <v>30.12</v>
      </c>
      <c r="G182" s="6"/>
      <c r="H182" s="6"/>
      <c r="I182" s="6"/>
      <c r="J182" s="9">
        <v>27.78</v>
      </c>
      <c r="K182" s="9">
        <v>29.88</v>
      </c>
      <c r="L182" s="9">
        <v>32.270000000000003</v>
      </c>
      <c r="M182" s="9">
        <v>30.99</v>
      </c>
      <c r="N182" s="9">
        <v>31.79</v>
      </c>
      <c r="O182" s="9">
        <v>31.88</v>
      </c>
      <c r="P182" s="9">
        <v>33.03</v>
      </c>
      <c r="Q182" s="9">
        <v>34.42</v>
      </c>
      <c r="R182" s="9">
        <v>34.28</v>
      </c>
      <c r="S182" s="9">
        <v>33.619999999999997</v>
      </c>
      <c r="T182" s="9">
        <v>31.88</v>
      </c>
      <c r="U182" s="9">
        <v>31.52</v>
      </c>
      <c r="V182" s="9">
        <v>31.55</v>
      </c>
      <c r="W182" s="6">
        <v>29.85</v>
      </c>
      <c r="X182" s="6">
        <v>29.46</v>
      </c>
      <c r="Y182" s="6">
        <v>30.65</v>
      </c>
      <c r="Z182" s="6">
        <v>31.79</v>
      </c>
      <c r="AA182" s="6">
        <v>29.66</v>
      </c>
      <c r="AB182" s="6">
        <v>29.48</v>
      </c>
      <c r="AC182" s="6">
        <v>31.64</v>
      </c>
      <c r="AD182" s="6">
        <v>31.08</v>
      </c>
      <c r="AE182" s="6">
        <v>30.87</v>
      </c>
      <c r="AF182" s="6">
        <v>31.62</v>
      </c>
      <c r="AG182" s="6">
        <v>30.02</v>
      </c>
      <c r="AH182" s="6">
        <v>32.75</v>
      </c>
      <c r="AI182" s="6">
        <v>30.42</v>
      </c>
      <c r="AJ182" s="6">
        <v>31.44</v>
      </c>
      <c r="AK182" s="6">
        <v>29.15</v>
      </c>
      <c r="AL182" s="6">
        <v>31.6</v>
      </c>
      <c r="AM182" s="6">
        <v>30.64</v>
      </c>
      <c r="AN182" s="6">
        <v>32.049999999999997</v>
      </c>
      <c r="AO182" s="6">
        <v>30.88</v>
      </c>
      <c r="AP182" s="6">
        <v>31.25</v>
      </c>
      <c r="AQ182" s="6">
        <v>30.8</v>
      </c>
      <c r="AR182" s="6">
        <v>30.09</v>
      </c>
      <c r="AS182" s="6">
        <v>28.9</v>
      </c>
      <c r="AT182" s="6">
        <v>31.98</v>
      </c>
      <c r="AU182" s="6">
        <v>32.479999999999997</v>
      </c>
      <c r="AV182" s="6">
        <v>31.98</v>
      </c>
      <c r="AW182" s="6">
        <v>31.32</v>
      </c>
      <c r="AX182" s="6">
        <v>30.38</v>
      </c>
      <c r="AY182" s="6">
        <v>30.35</v>
      </c>
      <c r="AZ182" s="6">
        <v>32.119999999999997</v>
      </c>
      <c r="BA182" s="6">
        <v>31.66</v>
      </c>
      <c r="BB182" s="6">
        <v>32.869999999999997</v>
      </c>
      <c r="BC182" s="6">
        <v>31.02</v>
      </c>
      <c r="BD182" s="7">
        <v>29.5</v>
      </c>
      <c r="BE182" s="7">
        <v>32.54</v>
      </c>
      <c r="BF182" s="7">
        <v>32.119999999999997</v>
      </c>
      <c r="BG182" s="7">
        <v>30.95</v>
      </c>
      <c r="BH182" s="10">
        <v>32.119999999999997</v>
      </c>
      <c r="BI182" s="10"/>
    </row>
    <row r="183" spans="1:61" ht="15.75" customHeight="1" x14ac:dyDescent="0.25">
      <c r="A183" s="1">
        <v>182</v>
      </c>
      <c r="B183" s="1"/>
      <c r="C183" s="1">
        <v>30</v>
      </c>
      <c r="D183" s="6">
        <v>30.62</v>
      </c>
      <c r="E183" s="6">
        <v>30.78</v>
      </c>
      <c r="F183" s="6">
        <v>30.2</v>
      </c>
      <c r="G183" s="6"/>
      <c r="H183" s="6"/>
      <c r="I183" s="6"/>
      <c r="J183" s="9">
        <v>27.88</v>
      </c>
      <c r="K183" s="9">
        <v>29.98</v>
      </c>
      <c r="L183" s="9">
        <v>32.380000000000003</v>
      </c>
      <c r="M183" s="9">
        <v>31.11</v>
      </c>
      <c r="N183" s="9">
        <v>31.87</v>
      </c>
      <c r="O183" s="9">
        <v>31.95</v>
      </c>
      <c r="P183" s="9">
        <v>33.119999999999997</v>
      </c>
      <c r="Q183" s="9">
        <v>34.49</v>
      </c>
      <c r="R183" s="9">
        <v>34.29</v>
      </c>
      <c r="S183" s="9">
        <v>33.67</v>
      </c>
      <c r="T183" s="9">
        <v>31.95</v>
      </c>
      <c r="U183" s="9">
        <v>31.6</v>
      </c>
      <c r="V183" s="9">
        <v>31.69</v>
      </c>
      <c r="W183" s="6">
        <v>29.91</v>
      </c>
      <c r="X183" s="6">
        <v>29.61</v>
      </c>
      <c r="Y183" s="6">
        <v>30.7</v>
      </c>
      <c r="Z183" s="6">
        <v>31.81</v>
      </c>
      <c r="AA183" s="6">
        <v>29.72</v>
      </c>
      <c r="AB183" s="6">
        <v>29.7</v>
      </c>
      <c r="AC183" s="6">
        <v>31.74</v>
      </c>
      <c r="AD183" s="6">
        <v>31.16</v>
      </c>
      <c r="AE183" s="6">
        <v>30.98</v>
      </c>
      <c r="AF183" s="6">
        <v>31.71</v>
      </c>
      <c r="AG183" s="6">
        <v>30.08</v>
      </c>
      <c r="AH183" s="6">
        <v>32.9</v>
      </c>
      <c r="AI183" s="6">
        <v>30.47</v>
      </c>
      <c r="AJ183" s="6">
        <v>31.45</v>
      </c>
      <c r="AK183" s="6">
        <v>29.26</v>
      </c>
      <c r="AL183" s="6">
        <v>31.71</v>
      </c>
      <c r="AM183" s="6">
        <v>30.7</v>
      </c>
      <c r="AN183" s="6">
        <v>32.1</v>
      </c>
      <c r="AO183" s="6">
        <v>30.93</v>
      </c>
      <c r="AP183" s="6">
        <v>31.32</v>
      </c>
      <c r="AQ183" s="6">
        <v>30.95</v>
      </c>
      <c r="AR183" s="6">
        <v>30.24</v>
      </c>
      <c r="AS183" s="6">
        <v>28.99</v>
      </c>
      <c r="AT183" s="6">
        <v>32.04</v>
      </c>
      <c r="AU183" s="6">
        <v>32.54</v>
      </c>
      <c r="AV183" s="6">
        <v>32.01</v>
      </c>
      <c r="AW183" s="6">
        <v>31.36</v>
      </c>
      <c r="AX183" s="6">
        <v>30.46</v>
      </c>
      <c r="AY183" s="6">
        <v>30.46</v>
      </c>
      <c r="AZ183" s="6">
        <v>32.24</v>
      </c>
      <c r="BA183" s="6">
        <v>31.94</v>
      </c>
      <c r="BB183" s="6">
        <v>33.020000000000003</v>
      </c>
      <c r="BC183" s="6">
        <v>31.1</v>
      </c>
      <c r="BD183" s="6">
        <v>29.64</v>
      </c>
      <c r="BE183" s="6">
        <v>32.6</v>
      </c>
      <c r="BF183" s="6">
        <v>32.17</v>
      </c>
      <c r="BG183" s="6">
        <v>31</v>
      </c>
      <c r="BH183" s="10">
        <v>32.18</v>
      </c>
      <c r="BI183" s="10"/>
    </row>
    <row r="184" spans="1:61" ht="15.75" customHeight="1" x14ac:dyDescent="0.25">
      <c r="A184" s="1">
        <v>183</v>
      </c>
      <c r="B184" s="1" t="s">
        <v>10</v>
      </c>
      <c r="C184" s="1">
        <v>1</v>
      </c>
      <c r="D184" s="6">
        <v>30.73</v>
      </c>
      <c r="E184" s="6">
        <v>30.95</v>
      </c>
      <c r="F184" s="6">
        <v>30.29</v>
      </c>
      <c r="G184" s="6"/>
      <c r="H184" s="6"/>
      <c r="I184" s="6"/>
      <c r="J184" s="9">
        <v>27.98</v>
      </c>
      <c r="K184" s="9">
        <v>30.08</v>
      </c>
      <c r="L184" s="9">
        <v>32.5</v>
      </c>
      <c r="M184" s="9">
        <v>31.2</v>
      </c>
      <c r="N184" s="9">
        <v>31.92</v>
      </c>
      <c r="O184" s="9">
        <v>32.090000000000003</v>
      </c>
      <c r="P184" s="9">
        <v>33.19</v>
      </c>
      <c r="Q184" s="9">
        <v>34.54</v>
      </c>
      <c r="R184" s="9">
        <v>34.31</v>
      </c>
      <c r="S184" s="9">
        <v>33.71</v>
      </c>
      <c r="T184" s="9">
        <v>32.020000000000003</v>
      </c>
      <c r="U184" s="9">
        <v>31.67</v>
      </c>
      <c r="V184" s="9">
        <v>31.94</v>
      </c>
      <c r="W184" s="6">
        <v>30.02</v>
      </c>
      <c r="X184" s="6">
        <v>29.65</v>
      </c>
      <c r="Y184" s="6">
        <v>30.75</v>
      </c>
      <c r="Z184" s="6">
        <v>32.020000000000003</v>
      </c>
      <c r="AA184" s="6">
        <v>29.8</v>
      </c>
      <c r="AB184" s="6">
        <v>29.82</v>
      </c>
      <c r="AC184" s="6">
        <v>31.86</v>
      </c>
      <c r="AD184" s="6">
        <v>31.24</v>
      </c>
      <c r="AE184" s="6">
        <v>31.04</v>
      </c>
      <c r="AF184" s="6">
        <v>31.86</v>
      </c>
      <c r="AG184" s="6">
        <v>30.1</v>
      </c>
      <c r="AH184" s="6">
        <v>32.99</v>
      </c>
      <c r="AI184" s="6">
        <v>30.52</v>
      </c>
      <c r="AJ184" s="6">
        <v>31.5</v>
      </c>
      <c r="AK184" s="6">
        <v>29.34</v>
      </c>
      <c r="AL184" s="6">
        <v>31.82</v>
      </c>
      <c r="AM184" s="6">
        <v>30.77</v>
      </c>
      <c r="AN184" s="6">
        <v>32.159999999999997</v>
      </c>
      <c r="AO184" s="6">
        <v>30.97</v>
      </c>
      <c r="AP184" s="6">
        <v>31.4</v>
      </c>
      <c r="AQ184" s="6">
        <v>31.1</v>
      </c>
      <c r="AR184" s="6">
        <v>30.4</v>
      </c>
      <c r="AS184" s="6">
        <v>29.09</v>
      </c>
      <c r="AT184" s="6">
        <v>32.1</v>
      </c>
      <c r="AU184" s="6">
        <v>32.58</v>
      </c>
      <c r="AV184" s="6">
        <v>32.04</v>
      </c>
      <c r="AW184" s="6">
        <v>31.4</v>
      </c>
      <c r="AX184" s="6">
        <v>30.58</v>
      </c>
      <c r="AY184" s="6">
        <v>30.58</v>
      </c>
      <c r="AZ184" s="6">
        <v>32.340000000000003</v>
      </c>
      <c r="BA184" s="6">
        <v>32.04</v>
      </c>
      <c r="BB184" s="6">
        <v>33.17</v>
      </c>
      <c r="BC184" s="6">
        <v>31.2</v>
      </c>
      <c r="BD184" s="6">
        <v>29.74</v>
      </c>
      <c r="BE184" s="6">
        <v>32.630000000000003</v>
      </c>
      <c r="BF184" s="6">
        <v>32.270000000000003</v>
      </c>
      <c r="BG184" s="6">
        <v>31.04</v>
      </c>
      <c r="BH184" s="10">
        <v>32.26</v>
      </c>
      <c r="BI184" s="10"/>
    </row>
    <row r="185" spans="1:61" ht="15.75" customHeight="1" x14ac:dyDescent="0.25">
      <c r="A185" s="1">
        <v>184</v>
      </c>
      <c r="B185" s="1"/>
      <c r="C185" s="1">
        <v>2</v>
      </c>
      <c r="D185" s="6">
        <v>30.8</v>
      </c>
      <c r="E185" s="6">
        <v>31.11</v>
      </c>
      <c r="F185" s="6">
        <v>30.37</v>
      </c>
      <c r="G185" s="6"/>
      <c r="H185" s="6"/>
      <c r="I185" s="6"/>
      <c r="J185" s="9">
        <v>28.08</v>
      </c>
      <c r="K185" s="9">
        <v>30.18</v>
      </c>
      <c r="L185" s="9">
        <v>32.64</v>
      </c>
      <c r="M185" s="9">
        <v>31.32</v>
      </c>
      <c r="N185" s="9">
        <v>32.03</v>
      </c>
      <c r="O185" s="9">
        <v>32.32</v>
      </c>
      <c r="P185" s="9">
        <v>33.32</v>
      </c>
      <c r="Q185" s="9">
        <v>34.61</v>
      </c>
      <c r="R185" s="9">
        <v>34.33</v>
      </c>
      <c r="S185" s="9">
        <v>33.81</v>
      </c>
      <c r="T185" s="9">
        <v>32.090000000000003</v>
      </c>
      <c r="U185" s="9">
        <v>31.75</v>
      </c>
      <c r="V185" s="9">
        <v>32.04</v>
      </c>
      <c r="W185" s="6">
        <v>30.08</v>
      </c>
      <c r="X185" s="6">
        <v>29.78</v>
      </c>
      <c r="Y185" s="6">
        <v>30.81</v>
      </c>
      <c r="Z185" s="6">
        <v>32.090000000000003</v>
      </c>
      <c r="AA185" s="6">
        <v>29.9</v>
      </c>
      <c r="AB185" s="6">
        <v>29.92</v>
      </c>
      <c r="AC185" s="6">
        <v>31.95</v>
      </c>
      <c r="AD185" s="6">
        <v>31.3</v>
      </c>
      <c r="AE185" s="6">
        <v>31.12</v>
      </c>
      <c r="AF185" s="6">
        <v>31.96</v>
      </c>
      <c r="AG185" s="6">
        <v>30.14</v>
      </c>
      <c r="AH185" s="6">
        <v>33.08</v>
      </c>
      <c r="AI185" s="6">
        <v>30.59</v>
      </c>
      <c r="AJ185" s="6">
        <v>31.55</v>
      </c>
      <c r="AK185" s="6">
        <v>29.39</v>
      </c>
      <c r="AL185" s="6">
        <v>31.9</v>
      </c>
      <c r="AM185" s="6">
        <v>30.8</v>
      </c>
      <c r="AN185" s="6">
        <v>32.21</v>
      </c>
      <c r="AO185" s="6">
        <v>31.1</v>
      </c>
      <c r="AP185" s="6">
        <v>31.49</v>
      </c>
      <c r="AQ185" s="6">
        <v>31.25</v>
      </c>
      <c r="AR185" s="6">
        <v>30.56</v>
      </c>
      <c r="AS185" s="6">
        <v>29.23</v>
      </c>
      <c r="AT185" s="6">
        <v>32.17</v>
      </c>
      <c r="AU185" s="6">
        <v>32.64</v>
      </c>
      <c r="AV185" s="6">
        <v>32.07</v>
      </c>
      <c r="AW185" s="6">
        <v>31.43</v>
      </c>
      <c r="AX185" s="6">
        <v>30.68</v>
      </c>
      <c r="AY185" s="6">
        <v>30.67</v>
      </c>
      <c r="AZ185" s="6">
        <v>32.42</v>
      </c>
      <c r="BA185" s="6">
        <v>32.119999999999997</v>
      </c>
      <c r="BB185" s="6">
        <v>33.32</v>
      </c>
      <c r="BC185" s="6">
        <v>31.28</v>
      </c>
      <c r="BD185" s="6">
        <v>29.82</v>
      </c>
      <c r="BE185" s="6">
        <v>32.659999999999997</v>
      </c>
      <c r="BF185" s="6">
        <v>32.35</v>
      </c>
      <c r="BG185" s="6">
        <v>31.1</v>
      </c>
      <c r="BH185" s="10">
        <v>32.31</v>
      </c>
      <c r="BI185" s="10"/>
    </row>
    <row r="186" spans="1:61" ht="15.75" customHeight="1" x14ac:dyDescent="0.25">
      <c r="A186" s="1">
        <v>185</v>
      </c>
      <c r="B186" s="1"/>
      <c r="C186" s="1">
        <v>3</v>
      </c>
      <c r="D186" s="6">
        <v>30.94</v>
      </c>
      <c r="E186" s="6">
        <v>31.2</v>
      </c>
      <c r="F186" s="6">
        <v>30.47</v>
      </c>
      <c r="G186" s="6"/>
      <c r="H186" s="6"/>
      <c r="I186" s="6"/>
      <c r="J186" s="9">
        <v>28.23</v>
      </c>
      <c r="K186" s="9">
        <v>30.38</v>
      </c>
      <c r="L186" s="9">
        <v>32.79</v>
      </c>
      <c r="M186" s="9">
        <v>31.42</v>
      </c>
      <c r="N186" s="9">
        <v>32.11</v>
      </c>
      <c r="O186" s="9">
        <v>32.450000000000003</v>
      </c>
      <c r="P186" s="9">
        <v>33.43</v>
      </c>
      <c r="Q186" s="9">
        <v>34.67</v>
      </c>
      <c r="R186" s="9">
        <v>34.36</v>
      </c>
      <c r="S186" s="9">
        <v>33.85</v>
      </c>
      <c r="T186" s="9">
        <v>32.15</v>
      </c>
      <c r="U186" s="9">
        <v>31.82</v>
      </c>
      <c r="V186" s="9">
        <v>32.15</v>
      </c>
      <c r="W186" s="6">
        <v>30.15</v>
      </c>
      <c r="X186" s="6">
        <v>29.85</v>
      </c>
      <c r="Y186" s="6">
        <v>30.88</v>
      </c>
      <c r="Z186" s="6">
        <v>32.11</v>
      </c>
      <c r="AA186" s="6">
        <v>29.98</v>
      </c>
      <c r="AB186" s="6">
        <v>29.95</v>
      </c>
      <c r="AC186" s="6">
        <v>32.049999999999997</v>
      </c>
      <c r="AD186" s="6">
        <v>31.42</v>
      </c>
      <c r="AE186" s="6">
        <v>31.21</v>
      </c>
      <c r="AF186" s="6">
        <v>32.04</v>
      </c>
      <c r="AG186" s="6">
        <v>30.18</v>
      </c>
      <c r="AH186" s="6">
        <v>33.159999999999997</v>
      </c>
      <c r="AI186" s="6">
        <v>30.65</v>
      </c>
      <c r="AJ186" s="6">
        <v>31.58</v>
      </c>
      <c r="AK186" s="6">
        <v>29.45</v>
      </c>
      <c r="AL186" s="6">
        <v>32</v>
      </c>
      <c r="AM186" s="6">
        <v>30.96</v>
      </c>
      <c r="AN186" s="6">
        <v>32.26</v>
      </c>
      <c r="AO186" s="6">
        <v>31.15</v>
      </c>
      <c r="AP186" s="6">
        <v>31.58</v>
      </c>
      <c r="AQ186" s="6">
        <v>31.4</v>
      </c>
      <c r="AR186" s="6">
        <v>30.7</v>
      </c>
      <c r="AS186" s="6">
        <v>29.33</v>
      </c>
      <c r="AT186" s="6">
        <v>32.21</v>
      </c>
      <c r="AU186" s="6">
        <v>32.68</v>
      </c>
      <c r="AV186" s="6">
        <v>32.1</v>
      </c>
      <c r="AW186" s="6">
        <v>31.48</v>
      </c>
      <c r="AX186" s="6">
        <v>30.76</v>
      </c>
      <c r="AY186" s="6">
        <v>30.79</v>
      </c>
      <c r="AZ186" s="6">
        <v>32.520000000000003</v>
      </c>
      <c r="BA186" s="6">
        <v>32.21</v>
      </c>
      <c r="BB186" s="6">
        <v>33.4</v>
      </c>
      <c r="BC186" s="6">
        <v>31.36</v>
      </c>
      <c r="BD186" s="6">
        <v>29.9</v>
      </c>
      <c r="BE186" s="6">
        <v>32.68</v>
      </c>
      <c r="BF186" s="6">
        <v>32.4</v>
      </c>
      <c r="BG186" s="6">
        <v>31.14</v>
      </c>
      <c r="BH186" s="10">
        <v>32.380000000000003</v>
      </c>
      <c r="BI186" s="10"/>
    </row>
    <row r="187" spans="1:61" ht="15.75" customHeight="1" x14ac:dyDescent="0.25">
      <c r="A187" s="1">
        <v>186</v>
      </c>
      <c r="B187" s="1"/>
      <c r="C187" s="1">
        <v>4</v>
      </c>
      <c r="D187" s="6">
        <v>31.12</v>
      </c>
      <c r="E187" s="6">
        <v>31.3</v>
      </c>
      <c r="F187" s="6">
        <v>30.54</v>
      </c>
      <c r="G187" s="6"/>
      <c r="H187" s="6"/>
      <c r="I187" s="6"/>
      <c r="J187" s="9">
        <v>28.33</v>
      </c>
      <c r="K187" s="9">
        <v>30.48</v>
      </c>
      <c r="L187" s="9">
        <v>32.909999999999997</v>
      </c>
      <c r="M187" s="9">
        <v>31.51</v>
      </c>
      <c r="N187" s="9">
        <v>32.22</v>
      </c>
      <c r="O187" s="9">
        <v>32.54</v>
      </c>
      <c r="P187" s="9">
        <v>33.520000000000003</v>
      </c>
      <c r="Q187" s="9">
        <v>34.729999999999997</v>
      </c>
      <c r="R187" s="9">
        <v>34.380000000000003</v>
      </c>
      <c r="S187" s="9">
        <v>33.89</v>
      </c>
      <c r="T187" s="9">
        <v>32.229999999999997</v>
      </c>
      <c r="U187" s="9">
        <v>31.88</v>
      </c>
      <c r="V187" s="9">
        <v>32.270000000000003</v>
      </c>
      <c r="W187" s="6">
        <v>30.23</v>
      </c>
      <c r="X187" s="6">
        <v>29.96</v>
      </c>
      <c r="Y187" s="6">
        <v>30.95</v>
      </c>
      <c r="Z187" s="6">
        <v>32.25</v>
      </c>
      <c r="AA187" s="6">
        <v>30.08</v>
      </c>
      <c r="AB187" s="6">
        <v>29.99</v>
      </c>
      <c r="AC187" s="6">
        <v>32.14</v>
      </c>
      <c r="AD187" s="6">
        <v>31.46</v>
      </c>
      <c r="AE187" s="6">
        <v>31.3</v>
      </c>
      <c r="AF187" s="6">
        <v>32.130000000000003</v>
      </c>
      <c r="AG187" s="6">
        <v>30.22</v>
      </c>
      <c r="AH187" s="6">
        <v>33.299999999999997</v>
      </c>
      <c r="AI187" s="6">
        <v>30.74</v>
      </c>
      <c r="AJ187" s="6">
        <v>31.62</v>
      </c>
      <c r="AK187" s="6">
        <v>29.49</v>
      </c>
      <c r="AL187" s="6">
        <v>32.1</v>
      </c>
      <c r="AM187" s="6">
        <v>31.02</v>
      </c>
      <c r="AN187" s="6">
        <v>32.33</v>
      </c>
      <c r="AO187" s="6">
        <v>31.2</v>
      </c>
      <c r="AP187" s="6">
        <v>31.68</v>
      </c>
      <c r="AQ187" s="6">
        <v>31.52</v>
      </c>
      <c r="AR187" s="6">
        <v>30.82</v>
      </c>
      <c r="AS187" s="6">
        <v>29.47</v>
      </c>
      <c r="AT187" s="6">
        <v>32.29</v>
      </c>
      <c r="AU187" s="6">
        <v>32.71</v>
      </c>
      <c r="AV187" s="6">
        <v>32.15</v>
      </c>
      <c r="AW187" s="6">
        <v>31.48</v>
      </c>
      <c r="AX187" s="6">
        <v>30.85</v>
      </c>
      <c r="AY187" s="6">
        <v>30.86</v>
      </c>
      <c r="AZ187" s="6">
        <v>32.6</v>
      </c>
      <c r="BA187" s="6">
        <v>32.26</v>
      </c>
      <c r="BB187" s="6">
        <v>33.5</v>
      </c>
      <c r="BC187" s="6">
        <v>31.45</v>
      </c>
      <c r="BD187" s="6">
        <v>29.98</v>
      </c>
      <c r="BE187" s="6">
        <v>32.700000000000003</v>
      </c>
      <c r="BF187" s="6">
        <v>32.46</v>
      </c>
      <c r="BG187" s="6">
        <v>31.17</v>
      </c>
      <c r="BH187" s="10">
        <v>32.43</v>
      </c>
      <c r="BI187" s="10"/>
    </row>
    <row r="188" spans="1:61" ht="15.75" customHeight="1" x14ac:dyDescent="0.25">
      <c r="A188" s="1">
        <v>187</v>
      </c>
      <c r="B188" s="1"/>
      <c r="C188" s="1">
        <v>5</v>
      </c>
      <c r="D188" s="6">
        <v>31.2</v>
      </c>
      <c r="E188" s="6">
        <v>31.42</v>
      </c>
      <c r="F188" s="6">
        <v>30.61</v>
      </c>
      <c r="G188" s="6"/>
      <c r="H188" s="6"/>
      <c r="I188" s="6"/>
      <c r="J188" s="9">
        <v>28.38</v>
      </c>
      <c r="K188" s="9">
        <v>30.58</v>
      </c>
      <c r="L188" s="9">
        <v>33.06</v>
      </c>
      <c r="M188" s="9">
        <v>31.66</v>
      </c>
      <c r="N188" s="9">
        <v>32.299999999999997</v>
      </c>
      <c r="O188" s="9">
        <v>32.64</v>
      </c>
      <c r="P188" s="9">
        <v>33.61</v>
      </c>
      <c r="Q188" s="9">
        <v>34.799999999999997</v>
      </c>
      <c r="R188" s="9">
        <v>34.4</v>
      </c>
      <c r="S188" s="9">
        <v>33.93</v>
      </c>
      <c r="T188" s="9">
        <v>32.31</v>
      </c>
      <c r="U188" s="9">
        <v>31.92</v>
      </c>
      <c r="V188" s="9">
        <v>32.380000000000003</v>
      </c>
      <c r="W188" s="6">
        <v>30.33</v>
      </c>
      <c r="X188" s="6">
        <v>30.03</v>
      </c>
      <c r="Y188" s="6">
        <v>30.99</v>
      </c>
      <c r="Z188" s="6">
        <v>32.340000000000003</v>
      </c>
      <c r="AA188" s="6">
        <v>30.17</v>
      </c>
      <c r="AB188" s="6">
        <v>30.03</v>
      </c>
      <c r="AC188" s="6">
        <v>32.24</v>
      </c>
      <c r="AD188" s="6">
        <v>31.56</v>
      </c>
      <c r="AE188" s="6">
        <v>31.39</v>
      </c>
      <c r="AF188" s="6">
        <v>32.200000000000003</v>
      </c>
      <c r="AG188" s="6">
        <v>30.27</v>
      </c>
      <c r="AH188" s="6">
        <v>33.4</v>
      </c>
      <c r="AI188" s="6">
        <v>30.79</v>
      </c>
      <c r="AJ188" s="6">
        <v>31.67</v>
      </c>
      <c r="AK188" s="6">
        <v>29.54</v>
      </c>
      <c r="AL188" s="6">
        <v>32.200000000000003</v>
      </c>
      <c r="AM188" s="6">
        <v>31.1</v>
      </c>
      <c r="AN188" s="6">
        <v>32.450000000000003</v>
      </c>
      <c r="AO188" s="6">
        <v>31.22</v>
      </c>
      <c r="AP188" s="6">
        <v>31.78</v>
      </c>
      <c r="AQ188" s="6">
        <v>31.66</v>
      </c>
      <c r="AR188" s="6">
        <v>30.97</v>
      </c>
      <c r="AS188" s="6">
        <v>29.62</v>
      </c>
      <c r="AT188" s="6">
        <v>32.340000000000003</v>
      </c>
      <c r="AU188" s="6">
        <v>32.74</v>
      </c>
      <c r="AV188" s="6">
        <v>32.18</v>
      </c>
      <c r="AW188" s="6">
        <v>31.48</v>
      </c>
      <c r="AX188" s="6">
        <v>30.91</v>
      </c>
      <c r="AY188" s="6">
        <v>30.97</v>
      </c>
      <c r="AZ188" s="6">
        <v>32.700000000000003</v>
      </c>
      <c r="BA188" s="6">
        <v>32.299999999999997</v>
      </c>
      <c r="BB188" s="6">
        <v>33.6</v>
      </c>
      <c r="BC188" s="6">
        <v>31.53</v>
      </c>
      <c r="BD188" s="6">
        <v>30.06</v>
      </c>
      <c r="BE188" s="6">
        <v>32.729999999999997</v>
      </c>
      <c r="BF188" s="6">
        <v>32.53</v>
      </c>
      <c r="BG188" s="6">
        <v>31.24</v>
      </c>
      <c r="BH188" s="10">
        <v>32.46</v>
      </c>
      <c r="BI188" s="10"/>
    </row>
    <row r="189" spans="1:61" ht="15.75" customHeight="1" x14ac:dyDescent="0.25">
      <c r="A189" s="1">
        <v>188</v>
      </c>
      <c r="B189" s="1"/>
      <c r="C189" s="1">
        <v>6</v>
      </c>
      <c r="D189" s="6">
        <v>31.3</v>
      </c>
      <c r="E189" s="6">
        <v>31.42</v>
      </c>
      <c r="F189" s="6">
        <v>30.67</v>
      </c>
      <c r="G189" s="6"/>
      <c r="H189" s="6"/>
      <c r="I189" s="6"/>
      <c r="J189" s="9">
        <v>28.48</v>
      </c>
      <c r="K189" s="9">
        <v>30.68</v>
      </c>
      <c r="L189" s="9">
        <v>33.159999999999997</v>
      </c>
      <c r="M189" s="9">
        <v>31.7</v>
      </c>
      <c r="N189" s="9">
        <v>32.4</v>
      </c>
      <c r="O189" s="9">
        <v>32.72</v>
      </c>
      <c r="P189" s="9">
        <v>33.67</v>
      </c>
      <c r="Q189" s="9">
        <v>34.909999999999997</v>
      </c>
      <c r="R189" s="9">
        <v>34.42</v>
      </c>
      <c r="S189" s="9">
        <v>33.99</v>
      </c>
      <c r="T189" s="9">
        <v>32.39</v>
      </c>
      <c r="U189" s="9">
        <v>31.99</v>
      </c>
      <c r="V189" s="9">
        <v>32.49</v>
      </c>
      <c r="W189" s="6">
        <v>30.47</v>
      </c>
      <c r="X189" s="6">
        <v>30.14</v>
      </c>
      <c r="Y189" s="6">
        <v>30.99</v>
      </c>
      <c r="Z189" s="6">
        <v>32.43</v>
      </c>
      <c r="AA189" s="6">
        <v>30.26</v>
      </c>
      <c r="AB189" s="6">
        <v>30.16</v>
      </c>
      <c r="AC189" s="6">
        <v>32.32</v>
      </c>
      <c r="AD189" s="6">
        <v>31.65</v>
      </c>
      <c r="AE189" s="6">
        <v>31.5</v>
      </c>
      <c r="AF189" s="6">
        <v>32.26</v>
      </c>
      <c r="AG189" s="6">
        <v>30.35</v>
      </c>
      <c r="AH189" s="6">
        <v>33.479999999999997</v>
      </c>
      <c r="AI189" s="6">
        <v>30.82</v>
      </c>
      <c r="AJ189" s="6">
        <v>31.72</v>
      </c>
      <c r="AK189" s="6">
        <v>29.59</v>
      </c>
      <c r="AL189" s="6">
        <v>32.29</v>
      </c>
      <c r="AM189" s="6">
        <v>31.16</v>
      </c>
      <c r="AN189" s="6">
        <v>32.56</v>
      </c>
      <c r="AO189" s="6">
        <v>31.27</v>
      </c>
      <c r="AP189" s="6">
        <v>31.85</v>
      </c>
      <c r="AQ189" s="6">
        <v>31.78</v>
      </c>
      <c r="AR189" s="6">
        <v>31.04</v>
      </c>
      <c r="AS189" s="6">
        <v>29.75</v>
      </c>
      <c r="AT189" s="6">
        <v>32.4</v>
      </c>
      <c r="AU189" s="6">
        <v>32.799999999999997</v>
      </c>
      <c r="AV189" s="6">
        <v>32.19</v>
      </c>
      <c r="AW189" s="6">
        <v>31.48</v>
      </c>
      <c r="AX189" s="6">
        <v>30.97</v>
      </c>
      <c r="AY189" s="6">
        <v>31.02</v>
      </c>
      <c r="AZ189" s="6">
        <v>32.78</v>
      </c>
      <c r="BA189" s="6">
        <v>32.4</v>
      </c>
      <c r="BB189" s="6">
        <v>33.69</v>
      </c>
      <c r="BC189" s="6">
        <v>31.71</v>
      </c>
      <c r="BD189" s="6">
        <v>30.12</v>
      </c>
      <c r="BE189" s="6">
        <v>32.75</v>
      </c>
      <c r="BF189" s="6">
        <v>32.58</v>
      </c>
      <c r="BG189" s="6">
        <v>31.28</v>
      </c>
      <c r="BH189" s="10">
        <v>32.57</v>
      </c>
      <c r="BI189" s="10"/>
    </row>
    <row r="190" spans="1:61" ht="15.75" customHeight="1" x14ac:dyDescent="0.25">
      <c r="A190" s="1">
        <v>189</v>
      </c>
      <c r="B190" s="1"/>
      <c r="C190" s="1">
        <v>7</v>
      </c>
      <c r="D190" s="6">
        <v>31.37</v>
      </c>
      <c r="E190" s="6">
        <v>31.5</v>
      </c>
      <c r="F190" s="6">
        <v>30.75</v>
      </c>
      <c r="G190" s="6"/>
      <c r="H190" s="6"/>
      <c r="I190" s="6"/>
      <c r="J190" s="9">
        <v>28.55</v>
      </c>
      <c r="K190" s="9">
        <v>30.78</v>
      </c>
      <c r="L190" s="9">
        <v>33.25</v>
      </c>
      <c r="M190" s="9">
        <v>31.76</v>
      </c>
      <c r="N190" s="9">
        <v>32.450000000000003</v>
      </c>
      <c r="O190" s="9">
        <v>32.82</v>
      </c>
      <c r="P190" s="9">
        <v>33.75</v>
      </c>
      <c r="Q190" s="9">
        <v>34.99</v>
      </c>
      <c r="R190" s="9">
        <v>34.450000000000003</v>
      </c>
      <c r="S190" s="9">
        <v>34.04</v>
      </c>
      <c r="T190" s="9">
        <v>32.46</v>
      </c>
      <c r="U190" s="9">
        <v>32.03</v>
      </c>
      <c r="V190" s="9">
        <v>32.61</v>
      </c>
      <c r="W190" s="6">
        <v>30.6</v>
      </c>
      <c r="X190" s="6">
        <v>30.16</v>
      </c>
      <c r="Y190" s="6">
        <v>31.07</v>
      </c>
      <c r="Z190" s="6">
        <v>32.520000000000003</v>
      </c>
      <c r="AA190" s="6">
        <v>30.35</v>
      </c>
      <c r="AB190" s="6">
        <v>30.21</v>
      </c>
      <c r="AC190" s="6">
        <v>32.39</v>
      </c>
      <c r="AD190" s="6">
        <v>31.7</v>
      </c>
      <c r="AE190" s="6">
        <v>31.62</v>
      </c>
      <c r="AF190" s="6">
        <v>32.33</v>
      </c>
      <c r="AG190" s="6">
        <v>30.41</v>
      </c>
      <c r="AH190" s="6">
        <v>33.58</v>
      </c>
      <c r="AI190" s="6">
        <v>30.92</v>
      </c>
      <c r="AJ190" s="6">
        <v>31.78</v>
      </c>
      <c r="AK190" s="6">
        <v>29.66</v>
      </c>
      <c r="AL190" s="6">
        <v>32.4</v>
      </c>
      <c r="AM190" s="6">
        <v>31.22</v>
      </c>
      <c r="AN190" s="6">
        <v>32.659999999999997</v>
      </c>
      <c r="AO190" s="6">
        <v>31.3</v>
      </c>
      <c r="AP190" s="6">
        <v>31.95</v>
      </c>
      <c r="AQ190" s="6">
        <v>31.86</v>
      </c>
      <c r="AR190" s="6">
        <v>31.11</v>
      </c>
      <c r="AS190" s="6">
        <v>29.87</v>
      </c>
      <c r="AT190" s="6">
        <v>32.46</v>
      </c>
      <c r="AU190" s="6">
        <v>32.840000000000003</v>
      </c>
      <c r="AV190" s="6">
        <v>32.21</v>
      </c>
      <c r="AW190" s="6">
        <v>31.47</v>
      </c>
      <c r="AX190" s="6">
        <v>31.01</v>
      </c>
      <c r="AY190" s="6">
        <v>31.09</v>
      </c>
      <c r="AZ190" s="6">
        <v>32.86</v>
      </c>
      <c r="BA190" s="6">
        <v>32.44</v>
      </c>
      <c r="BB190" s="6">
        <v>33.770000000000003</v>
      </c>
      <c r="BC190" s="6">
        <v>31.8</v>
      </c>
      <c r="BD190" s="6">
        <v>30.22</v>
      </c>
      <c r="BE190" s="6">
        <v>32.770000000000003</v>
      </c>
      <c r="BF190" s="6">
        <v>32.630000000000003</v>
      </c>
      <c r="BG190" s="6">
        <v>31.33</v>
      </c>
      <c r="BH190" s="10">
        <v>32.659999999999997</v>
      </c>
      <c r="BI190" s="10"/>
    </row>
    <row r="191" spans="1:61" ht="15.75" customHeight="1" x14ac:dyDescent="0.25">
      <c r="A191" s="1">
        <v>190</v>
      </c>
      <c r="B191" s="1"/>
      <c r="C191" s="1">
        <v>8</v>
      </c>
      <c r="D191" s="6">
        <v>31.42</v>
      </c>
      <c r="E191" s="6">
        <v>31.57</v>
      </c>
      <c r="F191" s="6">
        <v>30.84</v>
      </c>
      <c r="G191" s="6"/>
      <c r="H191" s="6"/>
      <c r="I191" s="6"/>
      <c r="J191" s="9">
        <v>28.61</v>
      </c>
      <c r="K191" s="9">
        <v>30.83</v>
      </c>
      <c r="L191" s="9">
        <v>33.36</v>
      </c>
      <c r="M191" s="9">
        <v>31.83</v>
      </c>
      <c r="N191" s="9">
        <v>32.520000000000003</v>
      </c>
      <c r="O191" s="9">
        <v>32.89</v>
      </c>
      <c r="P191" s="9">
        <v>33.840000000000003</v>
      </c>
      <c r="Q191" s="9">
        <v>35.06</v>
      </c>
      <c r="R191" s="9">
        <v>34.5</v>
      </c>
      <c r="S191" s="9">
        <v>34.06</v>
      </c>
      <c r="T191" s="9">
        <v>32.54</v>
      </c>
      <c r="U191" s="9">
        <v>32.07</v>
      </c>
      <c r="V191" s="9">
        <v>32.74</v>
      </c>
      <c r="W191" s="6">
        <v>30.72</v>
      </c>
      <c r="X191" s="6">
        <v>30.2</v>
      </c>
      <c r="Y191" s="6">
        <v>31.09</v>
      </c>
      <c r="Z191" s="6">
        <v>32.590000000000003</v>
      </c>
      <c r="AA191" s="6">
        <v>30.46</v>
      </c>
      <c r="AB191" s="6">
        <v>30.28</v>
      </c>
      <c r="AC191" s="6">
        <v>32.44</v>
      </c>
      <c r="AD191" s="6">
        <v>31.75</v>
      </c>
      <c r="AE191" s="6">
        <v>31.72</v>
      </c>
      <c r="AF191" s="6">
        <v>32.4</v>
      </c>
      <c r="AG191" s="6">
        <v>30.48</v>
      </c>
      <c r="AH191" s="6">
        <v>33.67</v>
      </c>
      <c r="AI191" s="6">
        <v>30.97</v>
      </c>
      <c r="AJ191" s="6">
        <v>31.8</v>
      </c>
      <c r="AK191" s="6">
        <v>29.72</v>
      </c>
      <c r="AL191" s="6">
        <v>32.479999999999997</v>
      </c>
      <c r="AM191" s="6">
        <v>31.32</v>
      </c>
      <c r="AN191" s="6">
        <v>32.76</v>
      </c>
      <c r="AO191" s="6">
        <v>31.33</v>
      </c>
      <c r="AP191" s="6">
        <v>32.03</v>
      </c>
      <c r="AQ191" s="6">
        <v>31.97</v>
      </c>
      <c r="AR191" s="6">
        <v>31.19</v>
      </c>
      <c r="AS191" s="6">
        <v>30</v>
      </c>
      <c r="AT191" s="6">
        <v>32.590000000000003</v>
      </c>
      <c r="AU191" s="6">
        <v>32.880000000000003</v>
      </c>
      <c r="AV191" s="6">
        <v>32.229999999999997</v>
      </c>
      <c r="AW191" s="6">
        <v>31.47</v>
      </c>
      <c r="AX191" s="6">
        <v>31.07</v>
      </c>
      <c r="AY191" s="6">
        <v>31.17</v>
      </c>
      <c r="AZ191" s="6">
        <v>33</v>
      </c>
      <c r="BA191" s="6">
        <v>32.520000000000003</v>
      </c>
      <c r="BB191" s="6">
        <v>33.840000000000003</v>
      </c>
      <c r="BC191" s="6">
        <v>31.88</v>
      </c>
      <c r="BD191" s="6">
        <v>30.3</v>
      </c>
      <c r="BE191" s="6">
        <v>32.770000000000003</v>
      </c>
      <c r="BF191" s="6">
        <v>32.68</v>
      </c>
      <c r="BG191" s="6">
        <v>31.38</v>
      </c>
      <c r="BH191" s="10">
        <v>32.72</v>
      </c>
      <c r="BI191" s="10"/>
    </row>
    <row r="192" spans="1:61" ht="15.75" customHeight="1" x14ac:dyDescent="0.25">
      <c r="A192" s="1">
        <v>191</v>
      </c>
      <c r="B192" s="1"/>
      <c r="C192" s="1">
        <v>9</v>
      </c>
      <c r="D192" s="6">
        <v>31.5</v>
      </c>
      <c r="E192" s="6">
        <v>31.64</v>
      </c>
      <c r="F192" s="6">
        <v>30.92</v>
      </c>
      <c r="G192" s="6"/>
      <c r="H192" s="6"/>
      <c r="I192" s="6"/>
      <c r="J192" s="9">
        <v>28.7</v>
      </c>
      <c r="K192" s="9">
        <v>30.88</v>
      </c>
      <c r="L192" s="9">
        <v>33.450000000000003</v>
      </c>
      <c r="M192" s="9">
        <v>31.92</v>
      </c>
      <c r="N192" s="9">
        <v>32.590000000000003</v>
      </c>
      <c r="O192" s="9">
        <v>32.950000000000003</v>
      </c>
      <c r="P192" s="9">
        <v>33.92</v>
      </c>
      <c r="Q192" s="9">
        <v>35.18</v>
      </c>
      <c r="R192" s="9">
        <v>34.549999999999997</v>
      </c>
      <c r="S192" s="9">
        <v>34.119999999999997</v>
      </c>
      <c r="T192" s="9">
        <v>32.630000000000003</v>
      </c>
      <c r="U192" s="9">
        <v>32.130000000000003</v>
      </c>
      <c r="V192" s="9">
        <v>32.869999999999997</v>
      </c>
      <c r="W192" s="6">
        <v>30.87</v>
      </c>
      <c r="X192" s="6">
        <v>30.28</v>
      </c>
      <c r="Y192" s="6">
        <v>31.14</v>
      </c>
      <c r="Z192" s="6">
        <v>32.659999999999997</v>
      </c>
      <c r="AA192" s="6">
        <v>30.58</v>
      </c>
      <c r="AB192" s="6">
        <v>30.31</v>
      </c>
      <c r="AC192" s="6">
        <v>32.49</v>
      </c>
      <c r="AD192" s="6">
        <v>31.82</v>
      </c>
      <c r="AE192" s="6">
        <v>31.82</v>
      </c>
      <c r="AF192" s="6">
        <v>32.44</v>
      </c>
      <c r="AG192" s="6">
        <v>30.58</v>
      </c>
      <c r="AH192" s="6">
        <v>33.75</v>
      </c>
      <c r="AI192" s="6">
        <v>31.03</v>
      </c>
      <c r="AJ192" s="6">
        <v>31.84</v>
      </c>
      <c r="AK192" s="6">
        <v>29.79</v>
      </c>
      <c r="AL192" s="6">
        <v>32.56</v>
      </c>
      <c r="AM192" s="6">
        <v>31.38</v>
      </c>
      <c r="AN192" s="6">
        <v>32.840000000000003</v>
      </c>
      <c r="AO192" s="6">
        <v>31.35</v>
      </c>
      <c r="AP192" s="6">
        <v>32.1</v>
      </c>
      <c r="AQ192" s="6">
        <v>32.06</v>
      </c>
      <c r="AR192" s="6">
        <v>31.25</v>
      </c>
      <c r="AS192" s="6">
        <v>30.12</v>
      </c>
      <c r="AT192" s="6">
        <v>32.64</v>
      </c>
      <c r="AU192" s="6">
        <v>32.9</v>
      </c>
      <c r="AV192" s="6">
        <v>32.25</v>
      </c>
      <c r="AW192" s="6">
        <v>31.47</v>
      </c>
      <c r="AX192" s="6">
        <v>31.1</v>
      </c>
      <c r="AY192" s="6">
        <v>31.24</v>
      </c>
      <c r="AZ192" s="6">
        <v>33.08</v>
      </c>
      <c r="BA192" s="6">
        <v>32.619999999999997</v>
      </c>
      <c r="BB192" s="6">
        <v>33.9</v>
      </c>
      <c r="BC192" s="6">
        <v>32.04</v>
      </c>
      <c r="BD192" s="6">
        <v>30.38</v>
      </c>
      <c r="BE192" s="6">
        <v>32.799999999999997</v>
      </c>
      <c r="BF192" s="6">
        <v>32.75</v>
      </c>
      <c r="BG192" s="6">
        <v>31.44</v>
      </c>
      <c r="BH192" s="10">
        <v>32.799999999999997</v>
      </c>
      <c r="BI192" s="10"/>
    </row>
    <row r="193" spans="1:61" ht="15.75" customHeight="1" x14ac:dyDescent="0.25">
      <c r="A193" s="1">
        <v>192</v>
      </c>
      <c r="B193" s="1"/>
      <c r="C193" s="1">
        <v>10</v>
      </c>
      <c r="D193" s="6">
        <v>31.56</v>
      </c>
      <c r="E193" s="6">
        <v>31.72</v>
      </c>
      <c r="F193" s="6">
        <v>31</v>
      </c>
      <c r="G193" s="6"/>
      <c r="H193" s="6"/>
      <c r="I193" s="6"/>
      <c r="J193" s="9">
        <v>28.82</v>
      </c>
      <c r="K193" s="9">
        <v>30.93</v>
      </c>
      <c r="L193" s="9">
        <v>33.54</v>
      </c>
      <c r="M193" s="9">
        <v>32</v>
      </c>
      <c r="N193" s="9">
        <v>32.65</v>
      </c>
      <c r="O193" s="9">
        <v>33.020000000000003</v>
      </c>
      <c r="P193" s="9">
        <v>34</v>
      </c>
      <c r="Q193" s="9">
        <v>35.26</v>
      </c>
      <c r="R193" s="9">
        <v>34.590000000000003</v>
      </c>
      <c r="S193" s="9">
        <v>34.159999999999997</v>
      </c>
      <c r="T193" s="9">
        <v>32.69</v>
      </c>
      <c r="U193" s="9">
        <v>32.18</v>
      </c>
      <c r="V193" s="9">
        <v>33.03</v>
      </c>
      <c r="W193" s="6">
        <v>31</v>
      </c>
      <c r="X193" s="6">
        <v>30.37</v>
      </c>
      <c r="Y193" s="6">
        <v>31.15</v>
      </c>
      <c r="Z193" s="6">
        <v>32.74</v>
      </c>
      <c r="AA193" s="6">
        <v>30.67</v>
      </c>
      <c r="AB193" s="6">
        <v>30.35</v>
      </c>
      <c r="AC193" s="6">
        <v>32.54</v>
      </c>
      <c r="AD193" s="6">
        <v>31.88</v>
      </c>
      <c r="AE193" s="6">
        <v>31.89</v>
      </c>
      <c r="AF193" s="6">
        <v>32.54</v>
      </c>
      <c r="AG193" s="6">
        <v>30.72</v>
      </c>
      <c r="AH193" s="6">
        <v>33.81</v>
      </c>
      <c r="AI193" s="6">
        <v>31.09</v>
      </c>
      <c r="AJ193" s="6">
        <v>31.88</v>
      </c>
      <c r="AK193" s="6">
        <v>29.86</v>
      </c>
      <c r="AL193" s="6">
        <v>32.64</v>
      </c>
      <c r="AM193" s="6">
        <v>31.42</v>
      </c>
      <c r="AN193" s="6">
        <v>32.9</v>
      </c>
      <c r="AO193" s="6">
        <v>31.37</v>
      </c>
      <c r="AP193" s="6">
        <v>32.18</v>
      </c>
      <c r="AQ193" s="6">
        <v>32.159999999999997</v>
      </c>
      <c r="AR193" s="6">
        <v>31.32</v>
      </c>
      <c r="AS193" s="6">
        <v>30.25</v>
      </c>
      <c r="AT193" s="6">
        <v>32.700000000000003</v>
      </c>
      <c r="AU193" s="6">
        <v>32.93</v>
      </c>
      <c r="AV193" s="6">
        <v>32.32</v>
      </c>
      <c r="AW193" s="6">
        <v>31.5</v>
      </c>
      <c r="AX193" s="6">
        <v>31.2</v>
      </c>
      <c r="AY193" s="6">
        <v>31.31</v>
      </c>
      <c r="AZ193" s="6">
        <v>33.14</v>
      </c>
      <c r="BA193" s="6">
        <v>32.700000000000003</v>
      </c>
      <c r="BB193" s="6">
        <v>34</v>
      </c>
      <c r="BC193" s="6">
        <v>32.14</v>
      </c>
      <c r="BD193" s="6">
        <v>30.46</v>
      </c>
      <c r="BE193" s="6">
        <v>32.86</v>
      </c>
      <c r="BF193" s="6">
        <v>32.79</v>
      </c>
      <c r="BG193" s="6">
        <v>31.48</v>
      </c>
      <c r="BH193" s="10">
        <v>32.869999999999997</v>
      </c>
      <c r="BI193" s="10"/>
    </row>
    <row r="194" spans="1:61" ht="15.75" customHeight="1" x14ac:dyDescent="0.25">
      <c r="A194" s="1">
        <v>193</v>
      </c>
      <c r="B194" s="1"/>
      <c r="C194" s="1">
        <v>11</v>
      </c>
      <c r="D194" s="6">
        <v>31.64</v>
      </c>
      <c r="E194" s="6">
        <v>31.87</v>
      </c>
      <c r="F194" s="6">
        <v>31.12</v>
      </c>
      <c r="G194" s="6"/>
      <c r="H194" s="6"/>
      <c r="I194" s="6"/>
      <c r="J194" s="9">
        <v>28.94</v>
      </c>
      <c r="K194" s="9">
        <v>30.98</v>
      </c>
      <c r="L194" s="9">
        <v>33.64</v>
      </c>
      <c r="M194" s="9">
        <v>32.08</v>
      </c>
      <c r="N194" s="9">
        <v>32.700000000000003</v>
      </c>
      <c r="O194" s="9">
        <v>33.08</v>
      </c>
      <c r="P194" s="9">
        <v>34.049999999999997</v>
      </c>
      <c r="Q194" s="9">
        <v>35.340000000000003</v>
      </c>
      <c r="R194" s="9">
        <v>34.61</v>
      </c>
      <c r="S194" s="9">
        <v>34.159999999999997</v>
      </c>
      <c r="T194" s="9">
        <v>32.729999999999997</v>
      </c>
      <c r="U194" s="9">
        <v>32.22</v>
      </c>
      <c r="V194" s="9">
        <v>33.159999999999997</v>
      </c>
      <c r="W194" s="6">
        <v>31.11</v>
      </c>
      <c r="X194" s="6">
        <v>30.44</v>
      </c>
      <c r="Y194" s="6">
        <v>31.2</v>
      </c>
      <c r="Z194" s="6">
        <v>32.79</v>
      </c>
      <c r="AA194" s="6">
        <v>30.78</v>
      </c>
      <c r="AB194" s="6">
        <v>30.41</v>
      </c>
      <c r="AC194" s="6">
        <v>32.590000000000003</v>
      </c>
      <c r="AD194" s="6">
        <v>31.95</v>
      </c>
      <c r="AE194" s="6">
        <v>31.97</v>
      </c>
      <c r="AF194" s="6">
        <v>32.58</v>
      </c>
      <c r="AG194" s="6">
        <v>30.86</v>
      </c>
      <c r="AH194" s="6">
        <v>33.92</v>
      </c>
      <c r="AI194" s="6">
        <v>31.15</v>
      </c>
      <c r="AJ194" s="6">
        <v>31.9</v>
      </c>
      <c r="AK194" s="6">
        <v>29.92</v>
      </c>
      <c r="AL194" s="6">
        <v>32.72</v>
      </c>
      <c r="AM194" s="6">
        <v>31.48</v>
      </c>
      <c r="AN194" s="6">
        <v>32.96</v>
      </c>
      <c r="AO194" s="6">
        <v>31.38</v>
      </c>
      <c r="AP194" s="6">
        <v>32.29</v>
      </c>
      <c r="AQ194" s="6">
        <v>32.24</v>
      </c>
      <c r="AR194" s="6">
        <v>31.39</v>
      </c>
      <c r="AS194" s="6">
        <v>30.35</v>
      </c>
      <c r="AT194" s="6">
        <v>32.76</v>
      </c>
      <c r="AU194" s="6">
        <v>33.03</v>
      </c>
      <c r="AV194" s="6">
        <v>32.229999999999997</v>
      </c>
      <c r="AW194" s="6">
        <v>31.52</v>
      </c>
      <c r="AX194" s="6">
        <v>31.3</v>
      </c>
      <c r="AY194" s="6">
        <v>31.4</v>
      </c>
      <c r="AZ194" s="6">
        <v>33.200000000000003</v>
      </c>
      <c r="BA194" s="6">
        <v>32.76</v>
      </c>
      <c r="BB194" s="6">
        <v>34.04</v>
      </c>
      <c r="BC194" s="6">
        <v>32.270000000000003</v>
      </c>
      <c r="BD194" s="6">
        <v>30.54</v>
      </c>
      <c r="BE194" s="6">
        <v>32.880000000000003</v>
      </c>
      <c r="BF194" s="6">
        <v>32.83</v>
      </c>
      <c r="BG194" s="6">
        <v>31.53</v>
      </c>
      <c r="BH194" s="10">
        <v>32.92</v>
      </c>
      <c r="BI194" s="10"/>
    </row>
    <row r="195" spans="1:61" ht="15.75" customHeight="1" x14ac:dyDescent="0.25">
      <c r="A195" s="1">
        <v>194</v>
      </c>
      <c r="B195" s="1"/>
      <c r="C195" s="1">
        <v>12</v>
      </c>
      <c r="D195" s="6">
        <v>31.7</v>
      </c>
      <c r="E195" s="6">
        <v>31.95</v>
      </c>
      <c r="F195" s="6">
        <v>31.25</v>
      </c>
      <c r="G195" s="6"/>
      <c r="H195" s="6"/>
      <c r="I195" s="6"/>
      <c r="J195" s="9">
        <v>29.06</v>
      </c>
      <c r="K195" s="9">
        <v>31.08</v>
      </c>
      <c r="L195" s="9">
        <v>33.729999999999997</v>
      </c>
      <c r="M195" s="9">
        <v>32.159999999999997</v>
      </c>
      <c r="N195" s="9">
        <v>32.75</v>
      </c>
      <c r="O195" s="9">
        <v>33.14</v>
      </c>
      <c r="P195" s="9">
        <v>34.130000000000003</v>
      </c>
      <c r="Q195" s="9">
        <v>35.479999999999997</v>
      </c>
      <c r="R195" s="9">
        <v>34.65</v>
      </c>
      <c r="S195" s="9">
        <v>34.19</v>
      </c>
      <c r="T195" s="9">
        <v>32.79</v>
      </c>
      <c r="U195" s="9">
        <v>32.26</v>
      </c>
      <c r="V195" s="9">
        <v>33.31</v>
      </c>
      <c r="W195" s="6">
        <v>31.2</v>
      </c>
      <c r="X195" s="6">
        <v>30.55</v>
      </c>
      <c r="Y195" s="6">
        <v>31.24</v>
      </c>
      <c r="Z195" s="6">
        <v>32.840000000000003</v>
      </c>
      <c r="AA195" s="6">
        <v>30.85</v>
      </c>
      <c r="AB195" s="6">
        <v>30.49</v>
      </c>
      <c r="AC195" s="6">
        <v>32.619999999999997</v>
      </c>
      <c r="AD195" s="6">
        <v>32.04</v>
      </c>
      <c r="AE195" s="6">
        <v>32.03</v>
      </c>
      <c r="AF195" s="6">
        <v>32.64</v>
      </c>
      <c r="AG195" s="6">
        <v>31.04</v>
      </c>
      <c r="AH195" s="6">
        <v>34.020000000000003</v>
      </c>
      <c r="AI195" s="6">
        <v>31.2</v>
      </c>
      <c r="AJ195" s="6">
        <v>31.93</v>
      </c>
      <c r="AK195" s="6">
        <v>29.99</v>
      </c>
      <c r="AL195" s="6">
        <v>32.799999999999997</v>
      </c>
      <c r="AM195" s="6">
        <v>31.6</v>
      </c>
      <c r="AN195" s="6">
        <v>32.99</v>
      </c>
      <c r="AO195" s="6">
        <v>31.39</v>
      </c>
      <c r="AP195" s="6">
        <v>32.36</v>
      </c>
      <c r="AQ195" s="6">
        <v>32.340000000000003</v>
      </c>
      <c r="AR195" s="6">
        <v>31.5</v>
      </c>
      <c r="AS195" s="6">
        <v>30.48</v>
      </c>
      <c r="AT195" s="6">
        <v>32.840000000000003</v>
      </c>
      <c r="AU195" s="6">
        <v>33.090000000000003</v>
      </c>
      <c r="AV195" s="6">
        <v>32.21</v>
      </c>
      <c r="AW195" s="6">
        <v>31.53</v>
      </c>
      <c r="AX195" s="6">
        <v>31.39</v>
      </c>
      <c r="AY195" s="6">
        <v>31.45</v>
      </c>
      <c r="AZ195" s="6">
        <v>33.25</v>
      </c>
      <c r="BA195" s="6">
        <v>32.82</v>
      </c>
      <c r="BB195" s="6">
        <v>34.15</v>
      </c>
      <c r="BC195" s="6">
        <v>32.36</v>
      </c>
      <c r="BD195" s="6">
        <v>30.62</v>
      </c>
      <c r="BE195" s="6">
        <v>32.9</v>
      </c>
      <c r="BF195" s="6">
        <v>32.89</v>
      </c>
      <c r="BG195" s="6">
        <v>31.57</v>
      </c>
      <c r="BH195" s="10">
        <v>32.97</v>
      </c>
      <c r="BI195" s="10"/>
    </row>
    <row r="196" spans="1:61" ht="15.75" customHeight="1" x14ac:dyDescent="0.25">
      <c r="A196" s="1">
        <v>195</v>
      </c>
      <c r="B196" s="1"/>
      <c r="C196" s="1">
        <v>13</v>
      </c>
      <c r="D196" s="6">
        <v>31.77</v>
      </c>
      <c r="E196" s="6">
        <v>32.04</v>
      </c>
      <c r="F196" s="6">
        <v>31.31</v>
      </c>
      <c r="G196" s="6"/>
      <c r="H196" s="6"/>
      <c r="I196" s="6"/>
      <c r="J196" s="9">
        <v>29.13</v>
      </c>
      <c r="K196" s="9">
        <v>31.18</v>
      </c>
      <c r="L196" s="9">
        <v>33.82</v>
      </c>
      <c r="M196" s="9">
        <v>32.229999999999997</v>
      </c>
      <c r="N196" s="9">
        <v>32.799999999999997</v>
      </c>
      <c r="O196" s="9">
        <v>33.18</v>
      </c>
      <c r="P196" s="9">
        <v>34.18</v>
      </c>
      <c r="Q196" s="9">
        <v>35.56</v>
      </c>
      <c r="R196" s="9">
        <v>34.700000000000003</v>
      </c>
      <c r="S196" s="9">
        <v>34.21</v>
      </c>
      <c r="T196" s="9">
        <v>32.82</v>
      </c>
      <c r="U196" s="9">
        <v>32.29</v>
      </c>
      <c r="V196" s="9">
        <v>33.43</v>
      </c>
      <c r="W196" s="6">
        <v>31.27</v>
      </c>
      <c r="X196" s="6">
        <v>30.68</v>
      </c>
      <c r="Y196" s="6">
        <v>31.26</v>
      </c>
      <c r="Z196" s="6">
        <v>32.880000000000003</v>
      </c>
      <c r="AA196" s="6">
        <v>30.91</v>
      </c>
      <c r="AB196" s="6">
        <v>30.56</v>
      </c>
      <c r="AC196" s="6">
        <v>32.68</v>
      </c>
      <c r="AD196" s="6">
        <v>32.08</v>
      </c>
      <c r="AE196" s="6">
        <v>32.1</v>
      </c>
      <c r="AF196" s="6">
        <v>32.71</v>
      </c>
      <c r="AG196" s="6">
        <v>31.15</v>
      </c>
      <c r="AH196" s="6">
        <v>34.11</v>
      </c>
      <c r="AI196" s="6">
        <v>31.28</v>
      </c>
      <c r="AJ196" s="6">
        <v>31.94</v>
      </c>
      <c r="AK196" s="6">
        <v>30.04</v>
      </c>
      <c r="AL196" s="6">
        <v>32.9</v>
      </c>
      <c r="AM196" s="6">
        <v>31.68</v>
      </c>
      <c r="AN196" s="6">
        <v>33.04</v>
      </c>
      <c r="AO196" s="6">
        <v>31.38</v>
      </c>
      <c r="AP196" s="6">
        <v>32.43</v>
      </c>
      <c r="AQ196" s="6">
        <v>32.44</v>
      </c>
      <c r="AR196" s="6">
        <v>31.6</v>
      </c>
      <c r="AS196" s="6">
        <v>30.57</v>
      </c>
      <c r="AT196" s="6">
        <v>32.880000000000003</v>
      </c>
      <c r="AU196" s="6">
        <v>33.15</v>
      </c>
      <c r="AV196" s="6">
        <v>32.229999999999997</v>
      </c>
      <c r="AW196" s="6">
        <v>31.54</v>
      </c>
      <c r="AX196" s="6">
        <v>31.5</v>
      </c>
      <c r="AY196" s="6">
        <v>31.53</v>
      </c>
      <c r="AZ196" s="6">
        <v>33.32</v>
      </c>
      <c r="BA196" s="6">
        <v>32.9</v>
      </c>
      <c r="BB196" s="6">
        <v>34.200000000000003</v>
      </c>
      <c r="BC196" s="6">
        <v>32.44</v>
      </c>
      <c r="BD196" s="6">
        <v>30.69</v>
      </c>
      <c r="BE196" s="6">
        <v>32.94</v>
      </c>
      <c r="BF196" s="6">
        <v>32.950000000000003</v>
      </c>
      <c r="BG196" s="6">
        <v>31.6</v>
      </c>
      <c r="BH196" s="10">
        <v>33.049999999999997</v>
      </c>
      <c r="BI196" s="10"/>
    </row>
    <row r="197" spans="1:61" ht="15.75" customHeight="1" x14ac:dyDescent="0.25">
      <c r="A197" s="1">
        <v>196</v>
      </c>
      <c r="B197" s="1"/>
      <c r="C197" s="1">
        <v>14</v>
      </c>
      <c r="D197" s="6">
        <v>31.85</v>
      </c>
      <c r="E197" s="6">
        <v>32.06</v>
      </c>
      <c r="F197" s="6">
        <v>31.4</v>
      </c>
      <c r="G197" s="6"/>
      <c r="H197" s="6"/>
      <c r="I197" s="6"/>
      <c r="J197" s="9">
        <v>29.2</v>
      </c>
      <c r="K197" s="9">
        <v>31.23</v>
      </c>
      <c r="L197" s="9">
        <v>33.93</v>
      </c>
      <c r="M197" s="9">
        <v>32.340000000000003</v>
      </c>
      <c r="N197" s="9">
        <v>32.840000000000003</v>
      </c>
      <c r="O197" s="9">
        <v>33.22</v>
      </c>
      <c r="P197" s="9">
        <v>34.22</v>
      </c>
      <c r="Q197" s="9">
        <v>35.65</v>
      </c>
      <c r="R197" s="9">
        <v>34.74</v>
      </c>
      <c r="S197" s="9">
        <v>34.25</v>
      </c>
      <c r="T197" s="9">
        <v>32.86</v>
      </c>
      <c r="U197" s="9">
        <v>32.32</v>
      </c>
      <c r="V197" s="9">
        <v>33.53</v>
      </c>
      <c r="W197" s="6">
        <v>31.36</v>
      </c>
      <c r="X197" s="6">
        <v>30.78</v>
      </c>
      <c r="Y197" s="6">
        <v>31.31</v>
      </c>
      <c r="Z197" s="6">
        <v>32.950000000000003</v>
      </c>
      <c r="AA197" s="6">
        <v>30.98</v>
      </c>
      <c r="AB197" s="6">
        <v>30.67</v>
      </c>
      <c r="AC197" s="6">
        <v>32.729999999999997</v>
      </c>
      <c r="AD197" s="6">
        <v>32.14</v>
      </c>
      <c r="AE197" s="6">
        <v>32.17</v>
      </c>
      <c r="AF197" s="6">
        <v>32.75</v>
      </c>
      <c r="AG197" s="6">
        <v>31.3</v>
      </c>
      <c r="AH197" s="6">
        <v>34.22</v>
      </c>
      <c r="AI197" s="6">
        <v>31.31</v>
      </c>
      <c r="AJ197" s="6">
        <v>31.98</v>
      </c>
      <c r="AK197" s="6">
        <v>30.09</v>
      </c>
      <c r="AL197" s="6">
        <v>32.979999999999997</v>
      </c>
      <c r="AM197" s="6">
        <v>31.76</v>
      </c>
      <c r="AN197" s="6">
        <v>33.06</v>
      </c>
      <c r="AO197" s="6">
        <v>31.36</v>
      </c>
      <c r="AP197" s="6">
        <v>32.5</v>
      </c>
      <c r="AQ197" s="6">
        <v>32.53</v>
      </c>
      <c r="AR197" s="6">
        <v>31.68</v>
      </c>
      <c r="AS197" s="6">
        <v>30.66</v>
      </c>
      <c r="AT197" s="6">
        <v>32.92</v>
      </c>
      <c r="AU197" s="6">
        <v>33.21</v>
      </c>
      <c r="AV197" s="6">
        <v>32.24</v>
      </c>
      <c r="AW197" s="6">
        <v>31.56</v>
      </c>
      <c r="AX197" s="6">
        <v>31.62</v>
      </c>
      <c r="AY197" s="6">
        <v>31.6</v>
      </c>
      <c r="AZ197" s="6">
        <v>33.380000000000003</v>
      </c>
      <c r="BA197" s="6">
        <v>32.94</v>
      </c>
      <c r="BB197" s="6">
        <v>34.25</v>
      </c>
      <c r="BC197" s="6">
        <v>32.520000000000003</v>
      </c>
      <c r="BD197" s="6">
        <v>30.76</v>
      </c>
      <c r="BE197" s="6">
        <v>32.96</v>
      </c>
      <c r="BF197" s="6">
        <v>33.01</v>
      </c>
      <c r="BG197" s="6">
        <v>31.64</v>
      </c>
      <c r="BH197" s="10">
        <v>33.130000000000003</v>
      </c>
      <c r="BI197" s="10"/>
    </row>
    <row r="198" spans="1:61" ht="15.75" customHeight="1" x14ac:dyDescent="0.25">
      <c r="A198" s="1">
        <v>197</v>
      </c>
      <c r="B198" s="1"/>
      <c r="C198" s="1">
        <v>15</v>
      </c>
      <c r="D198" s="6">
        <v>31.92</v>
      </c>
      <c r="E198" s="6">
        <v>32.090000000000003</v>
      </c>
      <c r="F198" s="6">
        <v>31.51</v>
      </c>
      <c r="G198" s="6"/>
      <c r="H198" s="6"/>
      <c r="I198" s="6"/>
      <c r="J198" s="9">
        <v>29.28</v>
      </c>
      <c r="K198" s="9">
        <v>31.28</v>
      </c>
      <c r="L198" s="9">
        <v>34.020000000000003</v>
      </c>
      <c r="M198" s="9">
        <v>32.43</v>
      </c>
      <c r="N198" s="9">
        <v>32.909999999999997</v>
      </c>
      <c r="O198" s="9">
        <v>33.22</v>
      </c>
      <c r="P198" s="9">
        <v>34.29</v>
      </c>
      <c r="Q198" s="9">
        <v>35.770000000000003</v>
      </c>
      <c r="R198" s="9">
        <v>34.79</v>
      </c>
      <c r="S198" s="9">
        <v>34.28</v>
      </c>
      <c r="T198" s="9">
        <v>32.92</v>
      </c>
      <c r="U198" s="9">
        <v>32.36</v>
      </c>
      <c r="V198" s="9">
        <v>33.64</v>
      </c>
      <c r="W198" s="6">
        <v>31.43</v>
      </c>
      <c r="X198" s="6">
        <v>30.89</v>
      </c>
      <c r="Y198" s="6">
        <v>31.33</v>
      </c>
      <c r="Z198" s="6">
        <v>33</v>
      </c>
      <c r="AA198" s="6">
        <v>31.04</v>
      </c>
      <c r="AB198" s="6">
        <v>30.78</v>
      </c>
      <c r="AC198" s="6">
        <v>32.78</v>
      </c>
      <c r="AD198" s="6">
        <v>32.19</v>
      </c>
      <c r="AE198" s="6">
        <v>32.200000000000003</v>
      </c>
      <c r="AF198" s="6">
        <v>32.78</v>
      </c>
      <c r="AG198" s="6">
        <v>31.44</v>
      </c>
      <c r="AH198" s="6">
        <v>34.35</v>
      </c>
      <c r="AI198" s="6">
        <v>31.34</v>
      </c>
      <c r="AJ198" s="6">
        <v>32.03</v>
      </c>
      <c r="AK198" s="6">
        <v>30.14</v>
      </c>
      <c r="AL198" s="6">
        <v>33.04</v>
      </c>
      <c r="AM198" s="6">
        <v>31.86</v>
      </c>
      <c r="AN198" s="6">
        <v>33.090000000000003</v>
      </c>
      <c r="AO198" s="6">
        <v>31.34</v>
      </c>
      <c r="AP198" s="6">
        <v>32.64</v>
      </c>
      <c r="AQ198" s="6">
        <v>32.64</v>
      </c>
      <c r="AR198" s="6">
        <v>31.8</v>
      </c>
      <c r="AS198" s="6">
        <v>30.75</v>
      </c>
      <c r="AT198" s="6">
        <v>32.950000000000003</v>
      </c>
      <c r="AU198" s="6">
        <v>33.26</v>
      </c>
      <c r="AV198" s="6">
        <v>32.270000000000003</v>
      </c>
      <c r="AW198" s="6">
        <v>31.54</v>
      </c>
      <c r="AX198" s="6">
        <v>31.75</v>
      </c>
      <c r="AY198" s="6">
        <v>31.7</v>
      </c>
      <c r="AZ198" s="6">
        <v>33.43</v>
      </c>
      <c r="BA198" s="6">
        <v>33</v>
      </c>
      <c r="BB198" s="6">
        <v>34.299999999999997</v>
      </c>
      <c r="BC198" s="6">
        <v>32.6</v>
      </c>
      <c r="BD198" s="6">
        <v>30.84</v>
      </c>
      <c r="BE198" s="6">
        <v>32.979999999999997</v>
      </c>
      <c r="BF198" s="6">
        <v>33.06</v>
      </c>
      <c r="BG198" s="6">
        <v>31.7</v>
      </c>
      <c r="BH198" s="10">
        <v>33.200000000000003</v>
      </c>
      <c r="BI198" s="10"/>
    </row>
    <row r="199" spans="1:61" ht="15.75" customHeight="1" x14ac:dyDescent="0.25">
      <c r="A199" s="1">
        <v>198</v>
      </c>
      <c r="B199" s="1"/>
      <c r="C199" s="1">
        <v>16</v>
      </c>
      <c r="D199" s="6">
        <v>32.04</v>
      </c>
      <c r="E199" s="6">
        <v>32.130000000000003</v>
      </c>
      <c r="F199" s="6">
        <v>31.57</v>
      </c>
      <c r="G199" s="6"/>
      <c r="H199" s="6"/>
      <c r="I199" s="6"/>
      <c r="J199" s="9">
        <v>29.36</v>
      </c>
      <c r="K199" s="9">
        <v>31.33</v>
      </c>
      <c r="L199" s="9">
        <v>34.11</v>
      </c>
      <c r="M199" s="9">
        <v>32.520000000000003</v>
      </c>
      <c r="N199" s="9">
        <v>32.93</v>
      </c>
      <c r="O199" s="9">
        <v>33.22</v>
      </c>
      <c r="P199" s="9">
        <v>34.35</v>
      </c>
      <c r="Q199" s="9">
        <v>35.86</v>
      </c>
      <c r="R199" s="9">
        <v>34.83</v>
      </c>
      <c r="S199" s="9">
        <v>34.31</v>
      </c>
      <c r="T199" s="9">
        <v>32.979999999999997</v>
      </c>
      <c r="U199" s="9">
        <v>32.42</v>
      </c>
      <c r="V199" s="9">
        <v>33.75</v>
      </c>
      <c r="W199" s="6">
        <v>31.51</v>
      </c>
      <c r="X199" s="6">
        <v>31.02</v>
      </c>
      <c r="Y199" s="6">
        <v>31.36</v>
      </c>
      <c r="Z199" s="6">
        <v>33.06</v>
      </c>
      <c r="AA199" s="6">
        <v>31.1</v>
      </c>
      <c r="AB199" s="6">
        <v>30.92</v>
      </c>
      <c r="AC199" s="6">
        <v>32.94</v>
      </c>
      <c r="AD199" s="6">
        <v>32.24</v>
      </c>
      <c r="AE199" s="6">
        <v>32.24</v>
      </c>
      <c r="AF199" s="6">
        <v>32.840000000000003</v>
      </c>
      <c r="AG199" s="6">
        <v>31.55</v>
      </c>
      <c r="AH199" s="6">
        <v>34.409999999999997</v>
      </c>
      <c r="AI199" s="6">
        <v>31.4</v>
      </c>
      <c r="AJ199" s="6">
        <v>32.1</v>
      </c>
      <c r="AK199" s="6">
        <v>30.18</v>
      </c>
      <c r="AL199" s="6">
        <v>33.119999999999997</v>
      </c>
      <c r="AM199" s="6">
        <v>32</v>
      </c>
      <c r="AN199" s="6">
        <v>33.119999999999997</v>
      </c>
      <c r="AO199" s="6">
        <v>31.3</v>
      </c>
      <c r="AP199" s="6">
        <v>32.700000000000003</v>
      </c>
      <c r="AQ199" s="6">
        <v>32.72</v>
      </c>
      <c r="AR199" s="6">
        <v>31.9</v>
      </c>
      <c r="AS199" s="6">
        <v>30.86</v>
      </c>
      <c r="AT199" s="6">
        <v>32.979999999999997</v>
      </c>
      <c r="AU199" s="6">
        <v>33.299999999999997</v>
      </c>
      <c r="AV199" s="6">
        <v>32.33</v>
      </c>
      <c r="AW199" s="6">
        <v>31.54</v>
      </c>
      <c r="AX199" s="6">
        <v>31.87</v>
      </c>
      <c r="AY199" s="6">
        <v>31.8</v>
      </c>
      <c r="AZ199" s="6">
        <v>33.49</v>
      </c>
      <c r="BA199" s="6">
        <v>33.1</v>
      </c>
      <c r="BB199" s="6">
        <v>34.35</v>
      </c>
      <c r="BC199" s="6">
        <v>32.68</v>
      </c>
      <c r="BD199" s="6">
        <v>30.9</v>
      </c>
      <c r="BE199" s="6">
        <v>33.01</v>
      </c>
      <c r="BF199" s="6">
        <v>33.119999999999997</v>
      </c>
      <c r="BG199" s="6">
        <v>31.77</v>
      </c>
      <c r="BH199" s="10">
        <v>33.28</v>
      </c>
      <c r="BI199" s="10"/>
    </row>
    <row r="200" spans="1:61" ht="15.75" customHeight="1" x14ac:dyDescent="0.25">
      <c r="A200" s="1">
        <v>199</v>
      </c>
      <c r="B200" s="1"/>
      <c r="C200" s="1">
        <v>17</v>
      </c>
      <c r="D200" s="6">
        <v>32.130000000000003</v>
      </c>
      <c r="E200" s="6">
        <v>32.18</v>
      </c>
      <c r="F200" s="6">
        <v>31.67</v>
      </c>
      <c r="G200" s="6"/>
      <c r="H200" s="6"/>
      <c r="I200" s="6"/>
      <c r="J200" s="9">
        <v>29.44</v>
      </c>
      <c r="K200" s="9">
        <v>31.38</v>
      </c>
      <c r="L200" s="9">
        <v>34.18</v>
      </c>
      <c r="M200" s="9">
        <v>32.590000000000003</v>
      </c>
      <c r="N200" s="9">
        <v>33</v>
      </c>
      <c r="O200" s="9">
        <v>33.229999999999997</v>
      </c>
      <c r="P200" s="9">
        <v>34.409999999999997</v>
      </c>
      <c r="Q200" s="9">
        <v>35.950000000000003</v>
      </c>
      <c r="R200" s="9">
        <v>34.869999999999997</v>
      </c>
      <c r="S200" s="9">
        <v>34.35</v>
      </c>
      <c r="T200" s="9">
        <v>33.020000000000003</v>
      </c>
      <c r="U200" s="9">
        <v>32.46</v>
      </c>
      <c r="V200" s="9">
        <v>33.85</v>
      </c>
      <c r="W200" s="6">
        <v>31.58</v>
      </c>
      <c r="X200" s="6">
        <v>31.13</v>
      </c>
      <c r="Y200" s="6">
        <v>31.44</v>
      </c>
      <c r="Z200" s="6">
        <v>33.11</v>
      </c>
      <c r="AA200" s="6">
        <v>31.17</v>
      </c>
      <c r="AB200" s="6">
        <v>31.02</v>
      </c>
      <c r="AC200" s="6">
        <v>32.979999999999997</v>
      </c>
      <c r="AD200" s="6">
        <v>32.32</v>
      </c>
      <c r="AE200" s="6">
        <v>32.299999999999997</v>
      </c>
      <c r="AF200" s="6">
        <v>32.880000000000003</v>
      </c>
      <c r="AG200" s="6">
        <v>31.66</v>
      </c>
      <c r="AH200" s="6">
        <v>34.46</v>
      </c>
      <c r="AI200" s="6">
        <v>31.44</v>
      </c>
      <c r="AJ200" s="6">
        <v>32.14</v>
      </c>
      <c r="AK200" s="6">
        <v>30.25</v>
      </c>
      <c r="AL200" s="6">
        <v>33.200000000000003</v>
      </c>
      <c r="AM200" s="6">
        <v>32.14</v>
      </c>
      <c r="AN200" s="6">
        <v>33.22</v>
      </c>
      <c r="AO200" s="6">
        <v>31.26</v>
      </c>
      <c r="AP200" s="6">
        <v>32.770000000000003</v>
      </c>
      <c r="AQ200" s="6">
        <v>32.83</v>
      </c>
      <c r="AR200" s="6">
        <v>31.99</v>
      </c>
      <c r="AS200" s="6">
        <v>30.98</v>
      </c>
      <c r="AT200" s="6">
        <v>33.090000000000003</v>
      </c>
      <c r="AU200" s="6">
        <v>33.33</v>
      </c>
      <c r="AV200" s="6">
        <v>32.380000000000003</v>
      </c>
      <c r="AW200" s="6">
        <v>31.56</v>
      </c>
      <c r="AX200" s="6">
        <v>31.97</v>
      </c>
      <c r="AY200" s="6">
        <v>31.91</v>
      </c>
      <c r="AZ200" s="6">
        <v>33.590000000000003</v>
      </c>
      <c r="BA200" s="6">
        <v>33.159999999999997</v>
      </c>
      <c r="BB200" s="6">
        <v>34.39</v>
      </c>
      <c r="BC200" s="6">
        <v>32.76</v>
      </c>
      <c r="BD200" s="6">
        <v>30.98</v>
      </c>
      <c r="BE200" s="6">
        <v>33.04</v>
      </c>
      <c r="BF200" s="6">
        <v>33.17</v>
      </c>
      <c r="BG200" s="6">
        <v>31.83</v>
      </c>
      <c r="BH200" s="10">
        <v>33.340000000000003</v>
      </c>
      <c r="BI200" s="10"/>
    </row>
    <row r="201" spans="1:61" ht="15.75" customHeight="1" x14ac:dyDescent="0.25">
      <c r="A201" s="1">
        <v>200</v>
      </c>
      <c r="B201" s="1"/>
      <c r="C201" s="1">
        <v>18</v>
      </c>
      <c r="D201" s="6">
        <v>32.22</v>
      </c>
      <c r="E201" s="6">
        <v>32.200000000000003</v>
      </c>
      <c r="F201" s="6">
        <v>31.75</v>
      </c>
      <c r="G201" s="6"/>
      <c r="H201" s="6"/>
      <c r="I201" s="6"/>
      <c r="J201" s="9">
        <v>29.54</v>
      </c>
      <c r="K201" s="9">
        <v>31.43</v>
      </c>
      <c r="L201" s="9">
        <v>34.270000000000003</v>
      </c>
      <c r="M201" s="9">
        <v>32.659999999999997</v>
      </c>
      <c r="N201" s="9">
        <v>33.06</v>
      </c>
      <c r="O201" s="9">
        <v>33.229999999999997</v>
      </c>
      <c r="P201" s="9">
        <v>34.46</v>
      </c>
      <c r="Q201" s="9">
        <v>36.020000000000003</v>
      </c>
      <c r="R201" s="9">
        <v>34.89</v>
      </c>
      <c r="S201" s="9">
        <v>34.380000000000003</v>
      </c>
      <c r="T201" s="9">
        <v>33.07</v>
      </c>
      <c r="U201" s="9">
        <v>32.520000000000003</v>
      </c>
      <c r="V201" s="9">
        <v>34</v>
      </c>
      <c r="W201" s="6">
        <v>31.67</v>
      </c>
      <c r="X201" s="6">
        <v>31.29</v>
      </c>
      <c r="Y201" s="6">
        <v>31.51</v>
      </c>
      <c r="Z201" s="6">
        <v>33.15</v>
      </c>
      <c r="AA201" s="6">
        <v>31.24</v>
      </c>
      <c r="AB201" s="6">
        <v>31.11</v>
      </c>
      <c r="AC201" s="6">
        <v>33.04</v>
      </c>
      <c r="AD201" s="6">
        <v>32.4</v>
      </c>
      <c r="AE201" s="6">
        <v>32.369999999999997</v>
      </c>
      <c r="AF201" s="6">
        <v>32.94</v>
      </c>
      <c r="AG201" s="6">
        <v>31.76</v>
      </c>
      <c r="AH201" s="6">
        <v>34.520000000000003</v>
      </c>
      <c r="AI201" s="6">
        <v>31.49</v>
      </c>
      <c r="AJ201" s="6">
        <v>32.18</v>
      </c>
      <c r="AK201" s="6">
        <v>30.3</v>
      </c>
      <c r="AL201" s="6">
        <v>33.28</v>
      </c>
      <c r="AM201" s="6">
        <v>32.24</v>
      </c>
      <c r="AN201" s="6">
        <v>33.24</v>
      </c>
      <c r="AO201" s="6">
        <v>31.21</v>
      </c>
      <c r="AP201" s="6">
        <v>32.82</v>
      </c>
      <c r="AQ201" s="6">
        <v>32.909999999999997</v>
      </c>
      <c r="AR201" s="6">
        <v>32.119999999999997</v>
      </c>
      <c r="AS201" s="6">
        <v>31.08</v>
      </c>
      <c r="AT201" s="6">
        <v>33.130000000000003</v>
      </c>
      <c r="AU201" s="6">
        <v>33.36</v>
      </c>
      <c r="AV201" s="6">
        <v>32.42</v>
      </c>
      <c r="AW201" s="6">
        <v>31.57</v>
      </c>
      <c r="AX201" s="6">
        <v>32.06</v>
      </c>
      <c r="AY201" s="6">
        <v>32.01</v>
      </c>
      <c r="AZ201" s="6">
        <v>33.64</v>
      </c>
      <c r="BA201" s="6">
        <v>33.200000000000003</v>
      </c>
      <c r="BB201" s="6">
        <v>34.43</v>
      </c>
      <c r="BC201" s="6">
        <v>32.83</v>
      </c>
      <c r="BD201" s="6">
        <v>31.06</v>
      </c>
      <c r="BE201" s="6">
        <v>33.08</v>
      </c>
      <c r="BF201" s="6">
        <v>33.22</v>
      </c>
      <c r="BG201" s="6">
        <v>31.9</v>
      </c>
      <c r="BH201" s="10">
        <v>33.42</v>
      </c>
      <c r="BI201" s="10"/>
    </row>
    <row r="202" spans="1:61" ht="15.75" customHeight="1" x14ac:dyDescent="0.25">
      <c r="A202" s="1">
        <v>201</v>
      </c>
      <c r="B202" s="1"/>
      <c r="C202" s="1">
        <v>19</v>
      </c>
      <c r="D202" s="6">
        <v>32.31</v>
      </c>
      <c r="E202" s="6">
        <v>32.270000000000003</v>
      </c>
      <c r="F202" s="6">
        <v>31.84</v>
      </c>
      <c r="G202" s="6"/>
      <c r="H202" s="6"/>
      <c r="I202" s="6"/>
      <c r="J202" s="9">
        <v>29.61</v>
      </c>
      <c r="K202" s="9">
        <v>31.48</v>
      </c>
      <c r="L202" s="9">
        <v>34.380000000000003</v>
      </c>
      <c r="M202" s="9">
        <v>32.770000000000003</v>
      </c>
      <c r="N202" s="9">
        <v>33.08</v>
      </c>
      <c r="O202" s="9">
        <v>33.229999999999997</v>
      </c>
      <c r="P202" s="9">
        <v>34.51</v>
      </c>
      <c r="Q202" s="9">
        <v>36.08</v>
      </c>
      <c r="R202" s="9">
        <v>34.92</v>
      </c>
      <c r="S202" s="9">
        <v>34.39</v>
      </c>
      <c r="T202" s="9">
        <v>33.14</v>
      </c>
      <c r="U202" s="9">
        <v>32.56</v>
      </c>
      <c r="V202" s="9">
        <v>34.08</v>
      </c>
      <c r="W202" s="6">
        <v>31.76</v>
      </c>
      <c r="X202" s="6">
        <v>31.4</v>
      </c>
      <c r="Y202" s="6">
        <v>31.58</v>
      </c>
      <c r="Z202" s="6">
        <v>33.18</v>
      </c>
      <c r="AA202" s="6">
        <v>31.3</v>
      </c>
      <c r="AB202" s="6">
        <v>31.2</v>
      </c>
      <c r="AC202" s="6">
        <v>33.119999999999997</v>
      </c>
      <c r="AD202" s="6">
        <v>32.479999999999997</v>
      </c>
      <c r="AE202" s="6">
        <v>32.43</v>
      </c>
      <c r="AF202" s="6">
        <v>32.979999999999997</v>
      </c>
      <c r="AG202" s="6">
        <v>31.86</v>
      </c>
      <c r="AH202" s="6">
        <v>34.56</v>
      </c>
      <c r="AI202" s="6">
        <v>31.53</v>
      </c>
      <c r="AJ202" s="6">
        <v>32.21</v>
      </c>
      <c r="AK202" s="6">
        <v>30.36</v>
      </c>
      <c r="AL202" s="6">
        <v>33.36</v>
      </c>
      <c r="AM202" s="6">
        <v>32.32</v>
      </c>
      <c r="AN202" s="6">
        <v>33.270000000000003</v>
      </c>
      <c r="AO202" s="6">
        <v>31.16</v>
      </c>
      <c r="AP202" s="6">
        <v>32.909999999999997</v>
      </c>
      <c r="AQ202" s="6">
        <v>33.07</v>
      </c>
      <c r="AR202" s="6">
        <v>32.24</v>
      </c>
      <c r="AS202" s="6">
        <v>31.18</v>
      </c>
      <c r="AT202" s="6">
        <v>33.159999999999997</v>
      </c>
      <c r="AU202" s="6">
        <v>33.4</v>
      </c>
      <c r="AV202" s="6">
        <v>32.47</v>
      </c>
      <c r="AW202" s="6">
        <v>31.57</v>
      </c>
      <c r="AX202" s="6">
        <v>32.19</v>
      </c>
      <c r="AY202" s="6">
        <v>32.119999999999997</v>
      </c>
      <c r="AZ202" s="6">
        <v>33.69</v>
      </c>
      <c r="BA202" s="6">
        <v>33.299999999999997</v>
      </c>
      <c r="BB202" s="6">
        <v>34.49</v>
      </c>
      <c r="BC202" s="6">
        <v>32.880000000000003</v>
      </c>
      <c r="BD202" s="6">
        <v>31.13</v>
      </c>
      <c r="BE202" s="6">
        <v>33.1</v>
      </c>
      <c r="BF202" s="6">
        <v>33.28</v>
      </c>
      <c r="BG202" s="6">
        <v>31.98</v>
      </c>
      <c r="BH202" s="10">
        <v>33.49</v>
      </c>
      <c r="BI202" s="10"/>
    </row>
    <row r="203" spans="1:61" ht="15.75" customHeight="1" x14ac:dyDescent="0.25">
      <c r="A203" s="1">
        <v>202</v>
      </c>
      <c r="B203" s="1"/>
      <c r="C203" s="1">
        <v>20</v>
      </c>
      <c r="D203" s="6">
        <v>32.36</v>
      </c>
      <c r="E203" s="6">
        <v>32.33</v>
      </c>
      <c r="F203" s="6">
        <v>31.94</v>
      </c>
      <c r="G203" s="6"/>
      <c r="H203" s="6"/>
      <c r="I203" s="6"/>
      <c r="J203" s="9">
        <v>29.67</v>
      </c>
      <c r="K203" s="9">
        <v>31.53</v>
      </c>
      <c r="L203" s="9">
        <v>34.49</v>
      </c>
      <c r="M203" s="9">
        <v>32.869999999999997</v>
      </c>
      <c r="N203" s="9">
        <v>33.090000000000003</v>
      </c>
      <c r="O203" s="9">
        <v>33.229999999999997</v>
      </c>
      <c r="P203" s="9">
        <v>34.57</v>
      </c>
      <c r="Q203" s="9">
        <v>36.15</v>
      </c>
      <c r="R203" s="9">
        <v>34.950000000000003</v>
      </c>
      <c r="S203" s="9">
        <v>34.409999999999997</v>
      </c>
      <c r="T203" s="9">
        <v>33.21</v>
      </c>
      <c r="U203" s="9">
        <v>32.630000000000003</v>
      </c>
      <c r="V203" s="9">
        <v>34.18</v>
      </c>
      <c r="W203" s="6">
        <v>31.83</v>
      </c>
      <c r="X203" s="6">
        <v>31.47</v>
      </c>
      <c r="Y203" s="6">
        <v>31.61</v>
      </c>
      <c r="Z203" s="6">
        <v>33.22</v>
      </c>
      <c r="AA203" s="6">
        <v>31.36</v>
      </c>
      <c r="AB203" s="6">
        <v>31.31</v>
      </c>
      <c r="AC203" s="6">
        <v>33.19</v>
      </c>
      <c r="AD203" s="6">
        <v>32.56</v>
      </c>
      <c r="AE203" s="6">
        <v>32.479999999999997</v>
      </c>
      <c r="AF203" s="6">
        <v>33.01</v>
      </c>
      <c r="AG203" s="6">
        <v>31.92</v>
      </c>
      <c r="AH203" s="6">
        <v>34.56</v>
      </c>
      <c r="AI203" s="6">
        <v>31.56</v>
      </c>
      <c r="AJ203" s="6">
        <v>32.24</v>
      </c>
      <c r="AK203" s="6">
        <v>30.4</v>
      </c>
      <c r="AL203" s="6">
        <v>33.44</v>
      </c>
      <c r="AM203" s="6">
        <v>32.4</v>
      </c>
      <c r="AN203" s="6">
        <v>33.299999999999997</v>
      </c>
      <c r="AO203" s="6">
        <v>31.17</v>
      </c>
      <c r="AP203" s="6">
        <v>32.96</v>
      </c>
      <c r="AQ203" s="6">
        <v>33.14</v>
      </c>
      <c r="AR203" s="6">
        <v>32.33</v>
      </c>
      <c r="AS203" s="6">
        <v>31.27</v>
      </c>
      <c r="AT203" s="6">
        <v>33.19</v>
      </c>
      <c r="AU203" s="6">
        <v>33.44</v>
      </c>
      <c r="AV203" s="6">
        <v>32.520000000000003</v>
      </c>
      <c r="AW203" s="6">
        <v>31.57</v>
      </c>
      <c r="AX203" s="6">
        <v>32.28</v>
      </c>
      <c r="AY203" s="6">
        <v>32.200000000000003</v>
      </c>
      <c r="AZ203" s="6">
        <v>33.76</v>
      </c>
      <c r="BA203" s="6">
        <v>33.369999999999997</v>
      </c>
      <c r="BB203" s="6">
        <v>34.54</v>
      </c>
      <c r="BC203" s="6">
        <v>32.93</v>
      </c>
      <c r="BD203" s="6">
        <v>31.2</v>
      </c>
      <c r="BE203" s="6">
        <v>33.119999999999997</v>
      </c>
      <c r="BF203" s="6">
        <v>33.380000000000003</v>
      </c>
      <c r="BG203" s="6">
        <v>32.04</v>
      </c>
      <c r="BH203" s="10">
        <v>33.549999999999997</v>
      </c>
      <c r="BI203" s="10"/>
    </row>
    <row r="204" spans="1:61" ht="15.75" customHeight="1" x14ac:dyDescent="0.25">
      <c r="A204" s="1">
        <v>203</v>
      </c>
      <c r="B204" s="1"/>
      <c r="C204" s="1">
        <v>21</v>
      </c>
      <c r="D204" s="6">
        <v>32.409999999999997</v>
      </c>
      <c r="E204" s="6">
        <v>32.380000000000003</v>
      </c>
      <c r="F204" s="6">
        <v>32.06</v>
      </c>
      <c r="G204" s="6"/>
      <c r="H204" s="6"/>
      <c r="I204" s="6"/>
      <c r="J204" s="9">
        <v>29.72</v>
      </c>
      <c r="K204" s="9">
        <v>31.58</v>
      </c>
      <c r="L204" s="9">
        <v>34.590000000000003</v>
      </c>
      <c r="M204" s="9">
        <v>32.950000000000003</v>
      </c>
      <c r="N204" s="9">
        <v>33.090000000000003</v>
      </c>
      <c r="O204" s="9">
        <v>33.200000000000003</v>
      </c>
      <c r="P204" s="9">
        <v>34.630000000000003</v>
      </c>
      <c r="Q204" s="9">
        <v>36.22</v>
      </c>
      <c r="R204" s="9">
        <v>34.99</v>
      </c>
      <c r="S204" s="9">
        <v>34.43</v>
      </c>
      <c r="T204" s="9">
        <v>33.270000000000003</v>
      </c>
      <c r="U204" s="9">
        <v>32.68</v>
      </c>
      <c r="V204" s="9">
        <v>34.25</v>
      </c>
      <c r="W204" s="6">
        <v>31.92</v>
      </c>
      <c r="X204" s="6">
        <v>31.56</v>
      </c>
      <c r="Y204" s="6">
        <v>31.65</v>
      </c>
      <c r="Z204" s="6">
        <v>33.25</v>
      </c>
      <c r="AA204" s="6">
        <v>31.42</v>
      </c>
      <c r="AB204" s="6">
        <v>31.39</v>
      </c>
      <c r="AC204" s="6">
        <v>33.24</v>
      </c>
      <c r="AD204" s="6">
        <v>32.630000000000003</v>
      </c>
      <c r="AE204" s="6">
        <v>32.65</v>
      </c>
      <c r="AF204" s="6">
        <v>33.07</v>
      </c>
      <c r="AG204" s="6">
        <v>31.99</v>
      </c>
      <c r="AH204" s="6">
        <v>34.6</v>
      </c>
      <c r="AI204" s="6">
        <v>31.62</v>
      </c>
      <c r="AJ204" s="6">
        <v>32.31</v>
      </c>
      <c r="AK204" s="6">
        <v>30.44</v>
      </c>
      <c r="AL204" s="6">
        <v>33.5</v>
      </c>
      <c r="AM204" s="6">
        <v>32.479999999999997</v>
      </c>
      <c r="AN204" s="6">
        <v>33.35</v>
      </c>
      <c r="AO204" s="6">
        <v>31.15</v>
      </c>
      <c r="AP204" s="6">
        <v>33.049999999999997</v>
      </c>
      <c r="AQ204" s="6">
        <v>33.200000000000003</v>
      </c>
      <c r="AR204" s="6">
        <v>32.450000000000003</v>
      </c>
      <c r="AS204" s="6">
        <v>31.39</v>
      </c>
      <c r="AT204" s="6">
        <v>33.229999999999997</v>
      </c>
      <c r="AU204" s="6">
        <v>33.450000000000003</v>
      </c>
      <c r="AV204" s="6">
        <v>32.58</v>
      </c>
      <c r="AW204" s="6">
        <v>31.57</v>
      </c>
      <c r="AX204" s="6">
        <v>32.39</v>
      </c>
      <c r="AY204" s="6">
        <v>32.299999999999997</v>
      </c>
      <c r="AZ204" s="6">
        <v>33.82</v>
      </c>
      <c r="BA204" s="6">
        <v>33.44</v>
      </c>
      <c r="BB204" s="6">
        <v>34.56</v>
      </c>
      <c r="BC204" s="6">
        <v>32.979999999999997</v>
      </c>
      <c r="BD204" s="6">
        <v>31.27</v>
      </c>
      <c r="BE204" s="6">
        <v>33.14</v>
      </c>
      <c r="BF204" s="6">
        <v>33.44</v>
      </c>
      <c r="BG204" s="6">
        <v>32.1</v>
      </c>
      <c r="BH204" s="10">
        <v>33.619999999999997</v>
      </c>
      <c r="BI204" s="10"/>
    </row>
    <row r="205" spans="1:61" ht="15.75" customHeight="1" x14ac:dyDescent="0.25">
      <c r="A205" s="1">
        <v>204</v>
      </c>
      <c r="B205" s="1"/>
      <c r="C205" s="1">
        <v>22</v>
      </c>
      <c r="D205" s="6">
        <v>32.47</v>
      </c>
      <c r="E205" s="6">
        <v>32.4</v>
      </c>
      <c r="F205" s="6">
        <v>32.130000000000003</v>
      </c>
      <c r="G205" s="6"/>
      <c r="H205" s="6"/>
      <c r="I205" s="6"/>
      <c r="J205" s="9">
        <v>29.76</v>
      </c>
      <c r="K205" s="9">
        <v>31.6</v>
      </c>
      <c r="L205" s="9">
        <v>34.71</v>
      </c>
      <c r="M205" s="9">
        <v>33.03</v>
      </c>
      <c r="N205" s="9">
        <v>33.130000000000003</v>
      </c>
      <c r="O205" s="9">
        <v>33.159999999999997</v>
      </c>
      <c r="P205" s="9">
        <v>34.68</v>
      </c>
      <c r="Q205" s="9">
        <v>36.270000000000003</v>
      </c>
      <c r="R205" s="9">
        <v>35.020000000000003</v>
      </c>
      <c r="S205" s="9">
        <v>34.46</v>
      </c>
      <c r="T205" s="9">
        <v>33.340000000000003</v>
      </c>
      <c r="U205" s="9">
        <v>32.729999999999997</v>
      </c>
      <c r="V205" s="9">
        <v>34.36</v>
      </c>
      <c r="W205" s="6">
        <v>31.99</v>
      </c>
      <c r="X205" s="6">
        <v>31.58</v>
      </c>
      <c r="Y205" s="6">
        <v>31.67</v>
      </c>
      <c r="Z205" s="6">
        <v>33.270000000000003</v>
      </c>
      <c r="AA205" s="6">
        <v>31.51</v>
      </c>
      <c r="AB205" s="6">
        <v>31.48</v>
      </c>
      <c r="AC205" s="6">
        <v>33.270000000000003</v>
      </c>
      <c r="AD205" s="6">
        <v>32.71</v>
      </c>
      <c r="AE205" s="6">
        <v>32.72</v>
      </c>
      <c r="AF205" s="6">
        <v>33.159999999999997</v>
      </c>
      <c r="AG205" s="6">
        <v>32.090000000000003</v>
      </c>
      <c r="AH205" s="6">
        <v>34.6</v>
      </c>
      <c r="AI205" s="6">
        <v>31.64</v>
      </c>
      <c r="AJ205" s="6">
        <v>32.39</v>
      </c>
      <c r="AK205" s="6">
        <v>30.48</v>
      </c>
      <c r="AL205" s="6">
        <v>33.56</v>
      </c>
      <c r="AM205" s="6">
        <v>32.56</v>
      </c>
      <c r="AN205" s="6">
        <v>33.39</v>
      </c>
      <c r="AO205" s="6">
        <v>31.15</v>
      </c>
      <c r="AP205" s="6">
        <v>33.119999999999997</v>
      </c>
      <c r="AQ205" s="6">
        <v>33.26</v>
      </c>
      <c r="AR205" s="6">
        <v>32.57</v>
      </c>
      <c r="AS205" s="6">
        <v>31.48</v>
      </c>
      <c r="AT205" s="6">
        <v>33.25</v>
      </c>
      <c r="AU205" s="6">
        <v>33.479999999999997</v>
      </c>
      <c r="AV205" s="6">
        <v>32.64</v>
      </c>
      <c r="AW205" s="6">
        <v>31.57</v>
      </c>
      <c r="AX205" s="6">
        <v>32.479999999999997</v>
      </c>
      <c r="AY205" s="6">
        <v>32.4</v>
      </c>
      <c r="AZ205" s="6">
        <v>33.89</v>
      </c>
      <c r="BA205" s="6">
        <v>33.5</v>
      </c>
      <c r="BB205" s="6">
        <v>34.590000000000003</v>
      </c>
      <c r="BC205" s="6">
        <v>33.020000000000003</v>
      </c>
      <c r="BD205" s="6">
        <v>31.32</v>
      </c>
      <c r="BE205" s="6">
        <v>33.159999999999997</v>
      </c>
      <c r="BF205" s="6">
        <v>33.479999999999997</v>
      </c>
      <c r="BG205" s="6">
        <v>32.159999999999997</v>
      </c>
      <c r="BH205" s="10">
        <v>33.68</v>
      </c>
      <c r="BI205" s="10"/>
    </row>
    <row r="206" spans="1:61" ht="15.75" customHeight="1" x14ac:dyDescent="0.25">
      <c r="A206" s="1">
        <v>205</v>
      </c>
      <c r="B206" s="1"/>
      <c r="C206" s="1">
        <v>23</v>
      </c>
      <c r="D206" s="6">
        <v>32.520000000000003</v>
      </c>
      <c r="E206" s="6">
        <v>32.4</v>
      </c>
      <c r="F206" s="6">
        <v>32.22</v>
      </c>
      <c r="G206" s="6"/>
      <c r="H206" s="6"/>
      <c r="I206" s="6"/>
      <c r="J206" s="9">
        <v>29.82</v>
      </c>
      <c r="K206" s="9">
        <v>31.63</v>
      </c>
      <c r="L206" s="9">
        <v>34.82</v>
      </c>
      <c r="M206" s="9">
        <v>33.090000000000003</v>
      </c>
      <c r="N206" s="9">
        <v>33.14</v>
      </c>
      <c r="O206" s="9">
        <v>33.159999999999997</v>
      </c>
      <c r="P206" s="9">
        <v>34.74</v>
      </c>
      <c r="Q206" s="9">
        <v>36.299999999999997</v>
      </c>
      <c r="R206" s="9">
        <v>35.06</v>
      </c>
      <c r="S206" s="9">
        <v>34.51</v>
      </c>
      <c r="T206" s="9">
        <v>33.4</v>
      </c>
      <c r="U206" s="9">
        <v>32.78</v>
      </c>
      <c r="V206" s="9">
        <v>34.450000000000003</v>
      </c>
      <c r="W206" s="6">
        <v>32.08</v>
      </c>
      <c r="X206" s="6">
        <v>31.68</v>
      </c>
      <c r="Y206" s="6">
        <v>31.72</v>
      </c>
      <c r="Z206" s="6">
        <v>33.36</v>
      </c>
      <c r="AA206" s="6">
        <v>31.6</v>
      </c>
      <c r="AB206" s="6">
        <v>31.6</v>
      </c>
      <c r="AC206" s="6">
        <v>33.299999999999997</v>
      </c>
      <c r="AD206" s="6">
        <v>32.78</v>
      </c>
      <c r="AE206" s="6">
        <v>32.799999999999997</v>
      </c>
      <c r="AF206" s="6">
        <v>33.22</v>
      </c>
      <c r="AG206" s="6">
        <v>32.159999999999997</v>
      </c>
      <c r="AH206" s="6">
        <v>34.619999999999997</v>
      </c>
      <c r="AI206" s="6">
        <v>31.64</v>
      </c>
      <c r="AJ206" s="6">
        <v>32.43</v>
      </c>
      <c r="AK206" s="6">
        <v>30.51</v>
      </c>
      <c r="AL206" s="6">
        <v>33.61</v>
      </c>
      <c r="AM206" s="6">
        <v>32.659999999999997</v>
      </c>
      <c r="AN206" s="6">
        <v>33.42</v>
      </c>
      <c r="AO206" s="6">
        <v>31.2</v>
      </c>
      <c r="AP206" s="6">
        <v>33.19</v>
      </c>
      <c r="AQ206" s="6">
        <v>33.32</v>
      </c>
      <c r="AR206" s="6">
        <v>32.659999999999997</v>
      </c>
      <c r="AS206" s="6">
        <v>31.55</v>
      </c>
      <c r="AT206" s="6">
        <v>33.28</v>
      </c>
      <c r="AU206" s="6">
        <v>33.51</v>
      </c>
      <c r="AV206" s="6">
        <v>32.71</v>
      </c>
      <c r="AW206" s="6">
        <v>31.6</v>
      </c>
      <c r="AX206" s="6">
        <v>32.58</v>
      </c>
      <c r="AY206" s="6">
        <v>32.46</v>
      </c>
      <c r="AZ206" s="6">
        <v>33.94</v>
      </c>
      <c r="BA206" s="6">
        <v>33.6</v>
      </c>
      <c r="BB206" s="6">
        <v>34.619999999999997</v>
      </c>
      <c r="BC206" s="6">
        <v>33.07</v>
      </c>
      <c r="BD206" s="6">
        <v>31.37</v>
      </c>
      <c r="BE206" s="6">
        <v>33.22</v>
      </c>
      <c r="BF206" s="6">
        <v>33.51</v>
      </c>
      <c r="BG206" s="6">
        <v>32.24</v>
      </c>
      <c r="BH206" s="10">
        <v>33.729999999999997</v>
      </c>
      <c r="BI206" s="10"/>
    </row>
    <row r="207" spans="1:61" ht="15.75" customHeight="1" x14ac:dyDescent="0.25">
      <c r="A207" s="1">
        <v>206</v>
      </c>
      <c r="B207" s="1"/>
      <c r="C207" s="1">
        <v>24</v>
      </c>
      <c r="D207" s="6">
        <v>32.590000000000003</v>
      </c>
      <c r="E207" s="6">
        <v>32.4</v>
      </c>
      <c r="F207" s="6">
        <v>32.29</v>
      </c>
      <c r="G207" s="6"/>
      <c r="H207" s="6"/>
      <c r="I207" s="6"/>
      <c r="J207" s="9">
        <v>29.86</v>
      </c>
      <c r="K207" s="9">
        <v>31.66</v>
      </c>
      <c r="L207" s="9">
        <v>34.909999999999997</v>
      </c>
      <c r="M207" s="9">
        <v>33.159999999999997</v>
      </c>
      <c r="N207" s="9">
        <v>33.14</v>
      </c>
      <c r="O207" s="9">
        <v>33.159999999999997</v>
      </c>
      <c r="P207" s="9">
        <v>34.799999999999997</v>
      </c>
      <c r="Q207" s="9">
        <v>36.32</v>
      </c>
      <c r="R207" s="9">
        <v>35.11</v>
      </c>
      <c r="S207" s="9">
        <v>34.57</v>
      </c>
      <c r="T207" s="9">
        <v>33.44</v>
      </c>
      <c r="U207" s="9">
        <v>32.83</v>
      </c>
      <c r="V207" s="9">
        <v>34.56</v>
      </c>
      <c r="W207" s="6">
        <v>32.17</v>
      </c>
      <c r="X207" s="6">
        <v>31.81</v>
      </c>
      <c r="Y207" s="6">
        <v>31.78</v>
      </c>
      <c r="Z207" s="6">
        <v>33.380000000000003</v>
      </c>
      <c r="AA207" s="6">
        <v>31.69</v>
      </c>
      <c r="AB207" s="6">
        <v>31.68</v>
      </c>
      <c r="AC207" s="6">
        <v>33.32</v>
      </c>
      <c r="AD207" s="6">
        <v>32.869999999999997</v>
      </c>
      <c r="AE207" s="6">
        <v>32.85</v>
      </c>
      <c r="AF207" s="6">
        <v>33.299999999999997</v>
      </c>
      <c r="AG207" s="6">
        <v>32.24</v>
      </c>
      <c r="AH207" s="6">
        <v>34.64</v>
      </c>
      <c r="AI207" s="6">
        <v>31.67</v>
      </c>
      <c r="AJ207" s="6">
        <v>32.450000000000003</v>
      </c>
      <c r="AK207" s="6">
        <v>30.56</v>
      </c>
      <c r="AL207" s="6">
        <v>33.659999999999997</v>
      </c>
      <c r="AM207" s="6">
        <v>32.72</v>
      </c>
      <c r="AN207" s="6">
        <v>33.43</v>
      </c>
      <c r="AO207" s="6">
        <v>31.28</v>
      </c>
      <c r="AP207" s="6">
        <v>33.24</v>
      </c>
      <c r="AQ207" s="6">
        <v>33.36</v>
      </c>
      <c r="AR207" s="6">
        <v>32.75</v>
      </c>
      <c r="AS207" s="6">
        <v>31.62</v>
      </c>
      <c r="AT207" s="6">
        <v>33.31</v>
      </c>
      <c r="AU207" s="6">
        <v>33.520000000000003</v>
      </c>
      <c r="AV207" s="6">
        <v>32.78</v>
      </c>
      <c r="AW207" s="6">
        <v>31.64</v>
      </c>
      <c r="AX207" s="6">
        <v>32.619999999999997</v>
      </c>
      <c r="AY207" s="6">
        <v>32.520000000000003</v>
      </c>
      <c r="AZ207" s="6">
        <v>33.99</v>
      </c>
      <c r="BA207" s="6">
        <v>33.700000000000003</v>
      </c>
      <c r="BB207" s="6">
        <v>34.65</v>
      </c>
      <c r="BC207" s="6">
        <v>33.1</v>
      </c>
      <c r="BD207" s="6">
        <v>31.44</v>
      </c>
      <c r="BE207" s="6">
        <v>33.26</v>
      </c>
      <c r="BF207" s="6">
        <v>33.56</v>
      </c>
      <c r="BG207" s="6">
        <v>32.32</v>
      </c>
      <c r="BH207" s="10">
        <v>33.770000000000003</v>
      </c>
      <c r="BI207" s="10"/>
    </row>
    <row r="208" spans="1:61" ht="15.75" customHeight="1" x14ac:dyDescent="0.25">
      <c r="A208" s="1">
        <v>207</v>
      </c>
      <c r="B208" s="1"/>
      <c r="C208" s="1">
        <v>25</v>
      </c>
      <c r="D208" s="6">
        <v>32.630000000000003</v>
      </c>
      <c r="E208" s="6">
        <v>32.4</v>
      </c>
      <c r="F208" s="6">
        <v>32.36</v>
      </c>
      <c r="G208" s="6"/>
      <c r="H208" s="6"/>
      <c r="I208" s="6"/>
      <c r="J208" s="9">
        <v>29.9</v>
      </c>
      <c r="K208" s="9">
        <v>31.68</v>
      </c>
      <c r="L208" s="9">
        <v>34.99</v>
      </c>
      <c r="M208" s="9">
        <v>33.21</v>
      </c>
      <c r="N208" s="9">
        <v>33.14</v>
      </c>
      <c r="O208" s="9">
        <v>33.159999999999997</v>
      </c>
      <c r="P208" s="9">
        <v>34.86</v>
      </c>
      <c r="Q208" s="9">
        <v>36.36</v>
      </c>
      <c r="R208" s="9">
        <v>35.15</v>
      </c>
      <c r="S208" s="9">
        <v>34.630000000000003</v>
      </c>
      <c r="T208" s="9">
        <v>33.479999999999997</v>
      </c>
      <c r="U208" s="9">
        <v>32.9</v>
      </c>
      <c r="V208" s="9">
        <v>34.659999999999997</v>
      </c>
      <c r="W208" s="6">
        <v>32.26</v>
      </c>
      <c r="X208" s="6">
        <v>31.86</v>
      </c>
      <c r="Y208" s="6">
        <v>31.85</v>
      </c>
      <c r="Z208" s="6">
        <v>33.4</v>
      </c>
      <c r="AA208" s="6">
        <v>31.78</v>
      </c>
      <c r="AB208" s="6">
        <v>31.76</v>
      </c>
      <c r="AC208" s="6">
        <v>33.35</v>
      </c>
      <c r="AD208" s="6">
        <v>32.93</v>
      </c>
      <c r="AE208" s="6">
        <v>32.880000000000003</v>
      </c>
      <c r="AF208" s="6">
        <v>33.340000000000003</v>
      </c>
      <c r="AG208" s="6">
        <v>32.32</v>
      </c>
      <c r="AH208" s="6">
        <v>34.64</v>
      </c>
      <c r="AI208" s="6">
        <v>31.72</v>
      </c>
      <c r="AJ208" s="6">
        <v>32.56</v>
      </c>
      <c r="AK208" s="6">
        <v>30.6</v>
      </c>
      <c r="AL208" s="6">
        <v>33.68</v>
      </c>
      <c r="AM208" s="6">
        <v>32.78</v>
      </c>
      <c r="AN208" s="6">
        <v>33.450000000000003</v>
      </c>
      <c r="AO208" s="6">
        <v>31.34</v>
      </c>
      <c r="AP208" s="6">
        <v>33.299999999999997</v>
      </c>
      <c r="AQ208" s="6">
        <v>33.4</v>
      </c>
      <c r="AR208" s="6">
        <v>32.85</v>
      </c>
      <c r="AS208" s="6">
        <v>31.65</v>
      </c>
      <c r="AT208" s="6">
        <v>33.35</v>
      </c>
      <c r="AU208" s="6">
        <v>33.58</v>
      </c>
      <c r="AV208" s="6">
        <v>32.869999999999997</v>
      </c>
      <c r="AW208" s="6">
        <v>31.68</v>
      </c>
      <c r="AX208" s="6">
        <v>32.700000000000003</v>
      </c>
      <c r="AY208" s="6">
        <v>32.58</v>
      </c>
      <c r="AZ208" s="6">
        <v>34.020000000000003</v>
      </c>
      <c r="BA208" s="6">
        <v>33.75</v>
      </c>
      <c r="BB208" s="6">
        <v>34.72</v>
      </c>
      <c r="BC208" s="6">
        <v>33.119999999999997</v>
      </c>
      <c r="BD208" s="6">
        <v>31.51</v>
      </c>
      <c r="BE208" s="6">
        <v>33.299999999999997</v>
      </c>
      <c r="BF208" s="6">
        <v>33.6</v>
      </c>
      <c r="BG208" s="6">
        <v>32.380000000000003</v>
      </c>
      <c r="BH208" s="10">
        <v>33.83</v>
      </c>
      <c r="BI208" s="10"/>
    </row>
    <row r="209" spans="1:61" ht="15.75" customHeight="1" x14ac:dyDescent="0.25">
      <c r="A209" s="1">
        <v>208</v>
      </c>
      <c r="B209" s="1"/>
      <c r="C209" s="1">
        <v>26</v>
      </c>
      <c r="D209" s="6">
        <v>32.68</v>
      </c>
      <c r="E209" s="6">
        <v>32.4</v>
      </c>
      <c r="F209" s="6">
        <v>32.43</v>
      </c>
      <c r="G209" s="6"/>
      <c r="H209" s="6"/>
      <c r="I209" s="6"/>
      <c r="J209" s="9">
        <v>29.94</v>
      </c>
      <c r="K209" s="9">
        <v>31.73</v>
      </c>
      <c r="L209" s="9">
        <v>35.090000000000003</v>
      </c>
      <c r="M209" s="9">
        <v>33.270000000000003</v>
      </c>
      <c r="N209" s="9">
        <v>33.14</v>
      </c>
      <c r="O209" s="9">
        <v>33.159999999999997</v>
      </c>
      <c r="P209" s="9">
        <v>34.880000000000003</v>
      </c>
      <c r="Q209" s="9">
        <v>36.380000000000003</v>
      </c>
      <c r="R209" s="9">
        <v>35.18</v>
      </c>
      <c r="S209" s="9">
        <v>34.68</v>
      </c>
      <c r="T209" s="9">
        <v>33.51</v>
      </c>
      <c r="U209" s="9">
        <v>32.97</v>
      </c>
      <c r="V209" s="9">
        <v>34.75</v>
      </c>
      <c r="W209" s="6">
        <v>32.31</v>
      </c>
      <c r="X209" s="6">
        <v>31.93</v>
      </c>
      <c r="Y209" s="6">
        <v>31.9</v>
      </c>
      <c r="Z209" s="6">
        <v>33.43</v>
      </c>
      <c r="AA209" s="6">
        <v>31.85</v>
      </c>
      <c r="AB209" s="6">
        <v>31.86</v>
      </c>
      <c r="AC209" s="6">
        <v>33.380000000000003</v>
      </c>
      <c r="AD209" s="6">
        <v>32.979999999999997</v>
      </c>
      <c r="AE209" s="6">
        <v>32.92</v>
      </c>
      <c r="AF209" s="6">
        <v>33.39</v>
      </c>
      <c r="AG209" s="6">
        <v>32.409999999999997</v>
      </c>
      <c r="AH209" s="6">
        <v>34.630000000000003</v>
      </c>
      <c r="AI209" s="6">
        <v>31.76</v>
      </c>
      <c r="AJ209" s="6">
        <v>32.61</v>
      </c>
      <c r="AK209" s="6">
        <v>30.62</v>
      </c>
      <c r="AL209" s="6">
        <v>33.700000000000003</v>
      </c>
      <c r="AM209" s="6">
        <v>32.840000000000003</v>
      </c>
      <c r="AN209" s="6">
        <v>33.49</v>
      </c>
      <c r="AO209" s="6">
        <v>31.41</v>
      </c>
      <c r="AP209" s="6">
        <v>33.36</v>
      </c>
      <c r="AQ209" s="6">
        <v>33.42</v>
      </c>
      <c r="AR209" s="6">
        <v>32.92</v>
      </c>
      <c r="AS209" s="6">
        <v>31.73</v>
      </c>
      <c r="AT209" s="6">
        <v>33.380000000000003</v>
      </c>
      <c r="AU209" s="6">
        <v>33.619999999999997</v>
      </c>
      <c r="AV209" s="6">
        <v>32.950000000000003</v>
      </c>
      <c r="AW209" s="6">
        <v>31.72</v>
      </c>
      <c r="AX209" s="6">
        <v>32.76</v>
      </c>
      <c r="AY209" s="6">
        <v>32.64</v>
      </c>
      <c r="AZ209" s="6">
        <v>34.1</v>
      </c>
      <c r="BA209" s="6">
        <v>33.83</v>
      </c>
      <c r="BB209" s="6">
        <v>34.76</v>
      </c>
      <c r="BC209" s="6">
        <v>33.14</v>
      </c>
      <c r="BD209" s="6">
        <v>31.59</v>
      </c>
      <c r="BE209" s="6">
        <v>33.340000000000003</v>
      </c>
      <c r="BF209" s="6">
        <v>33.64</v>
      </c>
      <c r="BG209" s="6">
        <v>32.450000000000003</v>
      </c>
      <c r="BH209" s="10">
        <v>33.86</v>
      </c>
      <c r="BI209" s="10"/>
    </row>
    <row r="210" spans="1:61" ht="15.75" customHeight="1" x14ac:dyDescent="0.25">
      <c r="A210" s="1">
        <v>209</v>
      </c>
      <c r="B210" s="1"/>
      <c r="C210" s="1">
        <v>27</v>
      </c>
      <c r="D210" s="6">
        <v>32.72</v>
      </c>
      <c r="E210" s="6">
        <v>32.4</v>
      </c>
      <c r="F210" s="6">
        <v>32.5</v>
      </c>
      <c r="G210" s="6"/>
      <c r="H210" s="6"/>
      <c r="I210" s="6"/>
      <c r="J210" s="9">
        <v>29.98</v>
      </c>
      <c r="K210" s="9">
        <v>31.78</v>
      </c>
      <c r="L210" s="9">
        <v>35.18</v>
      </c>
      <c r="M210" s="9">
        <v>33.299999999999997</v>
      </c>
      <c r="N210" s="9">
        <v>33.130000000000003</v>
      </c>
      <c r="O210" s="9">
        <v>33.159999999999997</v>
      </c>
      <c r="P210" s="9">
        <v>34.909999999999997</v>
      </c>
      <c r="Q210" s="9">
        <v>36.4</v>
      </c>
      <c r="R210" s="9">
        <v>35.21</v>
      </c>
      <c r="S210" s="9">
        <v>34.75</v>
      </c>
      <c r="T210" s="9">
        <v>33.54</v>
      </c>
      <c r="U210" s="9">
        <v>33.03</v>
      </c>
      <c r="V210" s="9">
        <v>34.86</v>
      </c>
      <c r="W210" s="6">
        <v>32.36</v>
      </c>
      <c r="X210" s="6">
        <v>32.020000000000003</v>
      </c>
      <c r="Y210" s="6">
        <v>31.94</v>
      </c>
      <c r="Z210" s="6">
        <v>33.450000000000003</v>
      </c>
      <c r="AA210" s="6">
        <v>31.91</v>
      </c>
      <c r="AB210" s="6">
        <v>31.99</v>
      </c>
      <c r="AC210" s="6">
        <v>33.39</v>
      </c>
      <c r="AD210" s="6">
        <v>33.04</v>
      </c>
      <c r="AE210" s="6">
        <v>32.96</v>
      </c>
      <c r="AF210" s="6">
        <v>33.450000000000003</v>
      </c>
      <c r="AG210" s="6">
        <v>32.5</v>
      </c>
      <c r="AH210" s="6">
        <v>34.630000000000003</v>
      </c>
      <c r="AI210" s="6">
        <v>31.78</v>
      </c>
      <c r="AJ210" s="6">
        <v>32.630000000000003</v>
      </c>
      <c r="AK210" s="6">
        <v>30.66</v>
      </c>
      <c r="AL210" s="6">
        <v>33.74</v>
      </c>
      <c r="AM210" s="6">
        <v>32.909999999999997</v>
      </c>
      <c r="AN210" s="6">
        <v>33.53</v>
      </c>
      <c r="AO210" s="6">
        <v>31.47</v>
      </c>
      <c r="AP210" s="6">
        <v>33.4</v>
      </c>
      <c r="AQ210" s="6">
        <v>33.51</v>
      </c>
      <c r="AR210" s="6">
        <v>33.08</v>
      </c>
      <c r="AS210" s="6">
        <v>31.74</v>
      </c>
      <c r="AT210" s="6">
        <v>33.42</v>
      </c>
      <c r="AU210" s="6">
        <v>33.64</v>
      </c>
      <c r="AV210" s="6">
        <v>32.99</v>
      </c>
      <c r="AW210" s="6">
        <v>31.8</v>
      </c>
      <c r="AX210" s="6">
        <v>32.86</v>
      </c>
      <c r="AY210" s="6">
        <v>32.700000000000003</v>
      </c>
      <c r="AZ210" s="6">
        <v>34.14</v>
      </c>
      <c r="BA210" s="6">
        <v>33.909999999999997</v>
      </c>
      <c r="BB210" s="6">
        <v>34.79</v>
      </c>
      <c r="BC210" s="6">
        <v>33.159999999999997</v>
      </c>
      <c r="BD210" s="6">
        <v>31.67</v>
      </c>
      <c r="BE210" s="6">
        <v>33.42</v>
      </c>
      <c r="BF210" s="6">
        <v>33.67</v>
      </c>
      <c r="BG210" s="6">
        <v>32.5</v>
      </c>
      <c r="BH210" s="10">
        <v>33.92</v>
      </c>
      <c r="BI210" s="10"/>
    </row>
    <row r="211" spans="1:61" ht="15.75" customHeight="1" x14ac:dyDescent="0.25">
      <c r="A211" s="1">
        <v>210</v>
      </c>
      <c r="B211" s="1"/>
      <c r="C211" s="1">
        <v>28</v>
      </c>
      <c r="D211" s="6">
        <v>32.75</v>
      </c>
      <c r="E211" s="6">
        <v>32.4</v>
      </c>
      <c r="F211" s="6">
        <v>32.56</v>
      </c>
      <c r="G211" s="6"/>
      <c r="H211" s="6"/>
      <c r="I211" s="6"/>
      <c r="J211" s="9">
        <v>30.02</v>
      </c>
      <c r="K211" s="9">
        <v>31.83</v>
      </c>
      <c r="L211" s="9">
        <v>35.25</v>
      </c>
      <c r="M211" s="9">
        <v>33.36</v>
      </c>
      <c r="N211" s="9">
        <v>33.119999999999997</v>
      </c>
      <c r="O211" s="9">
        <v>33.159999999999997</v>
      </c>
      <c r="P211" s="9">
        <v>34.950000000000003</v>
      </c>
      <c r="Q211" s="9">
        <v>36.4</v>
      </c>
      <c r="R211" s="9">
        <v>35.25</v>
      </c>
      <c r="S211" s="9">
        <v>34.799999999999997</v>
      </c>
      <c r="T211" s="9">
        <v>33.61</v>
      </c>
      <c r="U211" s="9">
        <v>33.07</v>
      </c>
      <c r="V211" s="9">
        <v>34.94</v>
      </c>
      <c r="W211" s="6">
        <v>32.42</v>
      </c>
      <c r="X211" s="6">
        <v>32.11</v>
      </c>
      <c r="Y211" s="6">
        <v>31.99</v>
      </c>
      <c r="Z211" s="6">
        <v>33.47</v>
      </c>
      <c r="AA211" s="6">
        <v>31.97</v>
      </c>
      <c r="AB211" s="6">
        <v>32.090000000000003</v>
      </c>
      <c r="AC211" s="6">
        <v>33.4</v>
      </c>
      <c r="AD211" s="6">
        <v>33.08</v>
      </c>
      <c r="AE211" s="6">
        <v>33</v>
      </c>
      <c r="AF211" s="6">
        <v>33.53</v>
      </c>
      <c r="AG211" s="6">
        <v>32.57</v>
      </c>
      <c r="AH211" s="6">
        <v>34.630000000000003</v>
      </c>
      <c r="AI211" s="6">
        <v>31.82</v>
      </c>
      <c r="AJ211" s="6">
        <v>32.65</v>
      </c>
      <c r="AK211" s="6">
        <v>30.68</v>
      </c>
      <c r="AL211" s="6">
        <v>33.78</v>
      </c>
      <c r="AM211" s="6">
        <v>32.97</v>
      </c>
      <c r="AN211" s="6">
        <v>33.56</v>
      </c>
      <c r="AO211" s="6">
        <v>31.52</v>
      </c>
      <c r="AP211" s="6">
        <v>33.46</v>
      </c>
      <c r="AQ211" s="6">
        <v>33.51</v>
      </c>
      <c r="AR211" s="6">
        <v>33.14</v>
      </c>
      <c r="AS211" s="6">
        <v>31.8</v>
      </c>
      <c r="AT211" s="6">
        <v>33.450000000000003</v>
      </c>
      <c r="AU211" s="6">
        <v>33.67</v>
      </c>
      <c r="AV211" s="6">
        <v>33.06</v>
      </c>
      <c r="AW211" s="6">
        <v>31.9</v>
      </c>
      <c r="AX211" s="6">
        <v>32.92</v>
      </c>
      <c r="AY211" s="6">
        <v>32.76</v>
      </c>
      <c r="AZ211" s="6">
        <v>34.17</v>
      </c>
      <c r="BA211" s="6">
        <v>34.020000000000003</v>
      </c>
      <c r="BB211" s="6">
        <v>34.85</v>
      </c>
      <c r="BC211" s="6">
        <v>33.19</v>
      </c>
      <c r="BD211" s="6">
        <v>31.75</v>
      </c>
      <c r="BE211" s="6">
        <v>33.479999999999997</v>
      </c>
      <c r="BF211" s="6">
        <v>33.71</v>
      </c>
      <c r="BG211" s="6">
        <v>32.54</v>
      </c>
      <c r="BH211" s="10">
        <v>33.96</v>
      </c>
      <c r="BI211" s="10"/>
    </row>
    <row r="212" spans="1:61" ht="15.75" customHeight="1" x14ac:dyDescent="0.25">
      <c r="A212" s="1">
        <v>211</v>
      </c>
      <c r="B212" s="1"/>
      <c r="C212" s="1">
        <v>29</v>
      </c>
      <c r="D212" s="6">
        <v>32.79</v>
      </c>
      <c r="E212" s="6">
        <v>32.4</v>
      </c>
      <c r="F212" s="6">
        <v>32.590000000000003</v>
      </c>
      <c r="G212" s="6"/>
      <c r="H212" s="6"/>
      <c r="I212" s="6"/>
      <c r="J212" s="9">
        <v>30.09</v>
      </c>
      <c r="K212" s="9">
        <v>31.88</v>
      </c>
      <c r="L212" s="9">
        <v>35.33</v>
      </c>
      <c r="M212" s="9">
        <v>33.4</v>
      </c>
      <c r="N212" s="9">
        <v>33.11</v>
      </c>
      <c r="O212" s="9">
        <v>33.159999999999997</v>
      </c>
      <c r="P212" s="9">
        <v>34.99</v>
      </c>
      <c r="Q212" s="9">
        <v>36.4</v>
      </c>
      <c r="R212" s="9">
        <v>35.31</v>
      </c>
      <c r="S212" s="9">
        <v>34.83</v>
      </c>
      <c r="T212" s="9">
        <v>33.659999999999997</v>
      </c>
      <c r="U212" s="9">
        <v>33.1</v>
      </c>
      <c r="V212" s="9">
        <v>35.01</v>
      </c>
      <c r="W212" s="6">
        <v>32.47</v>
      </c>
      <c r="X212" s="6">
        <v>32.18</v>
      </c>
      <c r="Y212" s="6">
        <v>32.03</v>
      </c>
      <c r="Z212" s="6">
        <v>33.520000000000003</v>
      </c>
      <c r="AA212" s="6">
        <v>32.04</v>
      </c>
      <c r="AB212" s="6">
        <v>32.22</v>
      </c>
      <c r="AC212" s="6">
        <v>33.4</v>
      </c>
      <c r="AD212" s="6">
        <v>33.11</v>
      </c>
      <c r="AE212" s="6">
        <v>33.03</v>
      </c>
      <c r="AF212" s="6">
        <v>33.58</v>
      </c>
      <c r="AG212" s="6">
        <v>32.64</v>
      </c>
      <c r="AH212" s="6">
        <v>34.630000000000003</v>
      </c>
      <c r="AI212" s="6">
        <v>31.86</v>
      </c>
      <c r="AJ212" s="6">
        <v>32.71</v>
      </c>
      <c r="AK212" s="6">
        <v>30.7</v>
      </c>
      <c r="AL212" s="6">
        <v>33.799999999999997</v>
      </c>
      <c r="AM212" s="6">
        <v>33.01</v>
      </c>
      <c r="AN212" s="6">
        <v>33.57</v>
      </c>
      <c r="AO212" s="6">
        <v>31.61</v>
      </c>
      <c r="AP212" s="6">
        <v>33.58</v>
      </c>
      <c r="AQ212" s="6">
        <v>33.53</v>
      </c>
      <c r="AR212" s="6">
        <v>33.229999999999997</v>
      </c>
      <c r="AS212" s="6">
        <v>31.84</v>
      </c>
      <c r="AT212" s="6">
        <v>33.520000000000003</v>
      </c>
      <c r="AU212" s="6">
        <v>33.68</v>
      </c>
      <c r="AV212" s="6">
        <v>33.15</v>
      </c>
      <c r="AW212" s="6">
        <v>31.98</v>
      </c>
      <c r="AX212" s="6">
        <v>33.020000000000003</v>
      </c>
      <c r="AY212" s="6">
        <v>32.79</v>
      </c>
      <c r="AZ212" s="6">
        <v>34.22</v>
      </c>
      <c r="BA212" s="6">
        <v>34.11</v>
      </c>
      <c r="BB212" s="6">
        <v>34.880000000000003</v>
      </c>
      <c r="BC212" s="6">
        <v>33.22</v>
      </c>
      <c r="BD212" s="6">
        <v>31.8</v>
      </c>
      <c r="BE212" s="6">
        <v>33.520000000000003</v>
      </c>
      <c r="BF212" s="6">
        <v>33.75</v>
      </c>
      <c r="BG212" s="6">
        <v>32.58</v>
      </c>
      <c r="BH212" s="10">
        <v>34.049999999999997</v>
      </c>
      <c r="BI212" s="10"/>
    </row>
    <row r="213" spans="1:61" ht="15.75" customHeight="1" x14ac:dyDescent="0.25">
      <c r="A213" s="1">
        <v>212</v>
      </c>
      <c r="B213" s="1"/>
      <c r="C213" s="1">
        <v>30</v>
      </c>
      <c r="D213" s="6">
        <v>32.83</v>
      </c>
      <c r="E213" s="6">
        <v>32.380000000000003</v>
      </c>
      <c r="F213" s="6">
        <v>32.630000000000003</v>
      </c>
      <c r="G213" s="6"/>
      <c r="H213" s="6"/>
      <c r="I213" s="6"/>
      <c r="J213" s="9">
        <v>30.14</v>
      </c>
      <c r="K213" s="9">
        <v>31.93</v>
      </c>
      <c r="L213" s="9">
        <v>35.409999999999997</v>
      </c>
      <c r="M213" s="9">
        <v>33.4</v>
      </c>
      <c r="N213" s="9">
        <v>33.090000000000003</v>
      </c>
      <c r="O213" s="9">
        <v>33.159999999999997</v>
      </c>
      <c r="P213" s="9">
        <v>35.06</v>
      </c>
      <c r="Q213" s="9">
        <v>36.42</v>
      </c>
      <c r="R213" s="9">
        <v>35.35</v>
      </c>
      <c r="S213" s="9">
        <v>34.869999999999997</v>
      </c>
      <c r="T213" s="9">
        <v>33.729999999999997</v>
      </c>
      <c r="U213" s="9">
        <v>33.119999999999997</v>
      </c>
      <c r="V213" s="9">
        <v>35.06</v>
      </c>
      <c r="W213" s="6">
        <v>32.520000000000003</v>
      </c>
      <c r="X213" s="6">
        <v>32.270000000000003</v>
      </c>
      <c r="Y213" s="6">
        <v>32.04</v>
      </c>
      <c r="Z213" s="6">
        <v>33.54</v>
      </c>
      <c r="AA213" s="6">
        <v>32.1</v>
      </c>
      <c r="AB213" s="6">
        <v>32.32</v>
      </c>
      <c r="AC213" s="6">
        <v>33.39</v>
      </c>
      <c r="AD213" s="6">
        <v>33.15</v>
      </c>
      <c r="AE213" s="6">
        <v>33.049999999999997</v>
      </c>
      <c r="AF213" s="6">
        <v>33.630000000000003</v>
      </c>
      <c r="AG213" s="6">
        <v>32.72</v>
      </c>
      <c r="AH213" s="6">
        <v>34.630000000000003</v>
      </c>
      <c r="AI213" s="6">
        <v>31.91</v>
      </c>
      <c r="AJ213" s="6">
        <v>32.729999999999997</v>
      </c>
      <c r="AK213" s="6">
        <v>30.71</v>
      </c>
      <c r="AL213" s="6">
        <v>33.86</v>
      </c>
      <c r="AM213" s="6">
        <v>33.06</v>
      </c>
      <c r="AN213" s="6">
        <v>33.6</v>
      </c>
      <c r="AO213" s="6">
        <v>31.7</v>
      </c>
      <c r="AP213" s="6">
        <v>33.64</v>
      </c>
      <c r="AQ213" s="6">
        <v>33.54</v>
      </c>
      <c r="AR213" s="6">
        <v>33.270000000000003</v>
      </c>
      <c r="AS213" s="6">
        <v>31.89</v>
      </c>
      <c r="AT213" s="6">
        <v>33.56</v>
      </c>
      <c r="AU213" s="6">
        <v>33.71</v>
      </c>
      <c r="AV213" s="6">
        <v>33.21</v>
      </c>
      <c r="AW213" s="6">
        <v>32.020000000000003</v>
      </c>
      <c r="AX213" s="6">
        <v>33.11</v>
      </c>
      <c r="AY213" s="6">
        <v>32.83</v>
      </c>
      <c r="AZ213" s="6">
        <v>34.26</v>
      </c>
      <c r="BA213" s="6">
        <v>34.19</v>
      </c>
      <c r="BB213" s="6">
        <v>34.92</v>
      </c>
      <c r="BC213" s="6">
        <v>33.24</v>
      </c>
      <c r="BD213" s="6">
        <v>31.8</v>
      </c>
      <c r="BE213" s="6">
        <v>33.58</v>
      </c>
      <c r="BF213" s="6">
        <v>33.799999999999997</v>
      </c>
      <c r="BG213" s="6">
        <v>32.619999999999997</v>
      </c>
      <c r="BH213" s="10">
        <v>34.08</v>
      </c>
      <c r="BI213" s="10"/>
    </row>
    <row r="214" spans="1:61" ht="15.75" customHeight="1" x14ac:dyDescent="0.25">
      <c r="A214" s="1">
        <v>213</v>
      </c>
      <c r="B214" s="1"/>
      <c r="C214" s="1">
        <v>31</v>
      </c>
      <c r="D214" s="6">
        <v>32.840000000000003</v>
      </c>
      <c r="E214" s="6">
        <v>32.36</v>
      </c>
      <c r="F214" s="6">
        <v>32.65</v>
      </c>
      <c r="G214" s="6"/>
      <c r="H214" s="6"/>
      <c r="I214" s="6"/>
      <c r="J214" s="9">
        <v>30.21</v>
      </c>
      <c r="K214" s="9">
        <v>31.98</v>
      </c>
      <c r="L214" s="9">
        <v>35.49</v>
      </c>
      <c r="M214" s="9">
        <v>33.409999999999997</v>
      </c>
      <c r="N214" s="9">
        <v>33.07</v>
      </c>
      <c r="O214" s="9">
        <v>33.159999999999997</v>
      </c>
      <c r="P214" s="9">
        <v>35.03</v>
      </c>
      <c r="Q214" s="9">
        <v>36.42</v>
      </c>
      <c r="R214" s="9">
        <v>35.409999999999997</v>
      </c>
      <c r="S214" s="9">
        <v>34.92</v>
      </c>
      <c r="T214" s="9">
        <v>33.79</v>
      </c>
      <c r="U214" s="9">
        <v>33.15</v>
      </c>
      <c r="V214" s="9">
        <v>35.130000000000003</v>
      </c>
      <c r="W214" s="6">
        <v>32.61</v>
      </c>
      <c r="X214" s="6">
        <v>32.36</v>
      </c>
      <c r="Y214" s="6">
        <v>32.06</v>
      </c>
      <c r="Z214" s="6">
        <v>33.58</v>
      </c>
      <c r="AA214" s="6">
        <v>32.159999999999997</v>
      </c>
      <c r="AB214" s="6">
        <v>32.42</v>
      </c>
      <c r="AC214" s="6">
        <v>33.42</v>
      </c>
      <c r="AD214" s="6">
        <v>33.200000000000003</v>
      </c>
      <c r="AE214" s="6">
        <v>33.090000000000003</v>
      </c>
      <c r="AF214" s="6">
        <v>33.659999999999997</v>
      </c>
      <c r="AG214" s="6">
        <v>32.770000000000003</v>
      </c>
      <c r="AH214" s="6">
        <v>34.67</v>
      </c>
      <c r="AI214" s="6">
        <v>31.98</v>
      </c>
      <c r="AJ214" s="6">
        <v>32.79</v>
      </c>
      <c r="AK214" s="6">
        <v>30.71</v>
      </c>
      <c r="AL214" s="6">
        <v>33.86</v>
      </c>
      <c r="AM214" s="6">
        <v>33.14</v>
      </c>
      <c r="AN214" s="6">
        <v>33.619999999999997</v>
      </c>
      <c r="AO214" s="6">
        <v>31.75</v>
      </c>
      <c r="AP214" s="6">
        <v>33.69</v>
      </c>
      <c r="AQ214" s="6">
        <v>33.54</v>
      </c>
      <c r="AR214" s="6">
        <v>33.32</v>
      </c>
      <c r="AS214" s="6">
        <v>31.93</v>
      </c>
      <c r="AT214" s="6">
        <v>33.6</v>
      </c>
      <c r="AU214" s="6">
        <v>33.74</v>
      </c>
      <c r="AV214" s="6">
        <v>33.270000000000003</v>
      </c>
      <c r="AW214" s="6">
        <v>32.090000000000003</v>
      </c>
      <c r="AX214" s="6">
        <v>33.17</v>
      </c>
      <c r="AY214" s="6">
        <v>32.880000000000003</v>
      </c>
      <c r="AZ214" s="6">
        <v>34.29</v>
      </c>
      <c r="BA214" s="6">
        <v>34.26</v>
      </c>
      <c r="BB214" s="6">
        <v>34.94</v>
      </c>
      <c r="BC214" s="6">
        <v>33.26</v>
      </c>
      <c r="BD214" s="6">
        <v>31.9</v>
      </c>
      <c r="BE214" s="6">
        <v>33.65</v>
      </c>
      <c r="BF214" s="6">
        <v>33.86</v>
      </c>
      <c r="BG214" s="6">
        <v>32.65</v>
      </c>
      <c r="BH214" s="10">
        <v>34.11</v>
      </c>
      <c r="BI214" s="10"/>
    </row>
    <row r="215" spans="1:61" ht="15.75" customHeight="1" x14ac:dyDescent="0.25">
      <c r="A215" s="1">
        <v>214</v>
      </c>
      <c r="B215" s="1" t="s">
        <v>11</v>
      </c>
      <c r="C215" s="1">
        <v>1</v>
      </c>
      <c r="D215" s="6">
        <v>32.950000000000003</v>
      </c>
      <c r="E215" s="6">
        <v>32.36</v>
      </c>
      <c r="F215" s="6">
        <v>32.700000000000003</v>
      </c>
      <c r="G215" s="6"/>
      <c r="H215" s="6"/>
      <c r="I215" s="6"/>
      <c r="J215" s="9">
        <v>30.34</v>
      </c>
      <c r="K215" s="9">
        <v>31.98</v>
      </c>
      <c r="L215" s="9">
        <v>35.56</v>
      </c>
      <c r="M215" s="9">
        <v>33.43</v>
      </c>
      <c r="N215" s="9">
        <v>33.04</v>
      </c>
      <c r="O215" s="9">
        <v>33.200000000000003</v>
      </c>
      <c r="P215" s="9">
        <v>35.03</v>
      </c>
      <c r="Q215" s="9">
        <v>36.44</v>
      </c>
      <c r="R215" s="9">
        <v>35.46</v>
      </c>
      <c r="S215" s="9">
        <v>34.97</v>
      </c>
      <c r="T215" s="9">
        <v>33.85</v>
      </c>
      <c r="U215" s="9">
        <v>33.17</v>
      </c>
      <c r="V215" s="9">
        <v>35.17</v>
      </c>
      <c r="W215" s="6">
        <v>32.65</v>
      </c>
      <c r="X215" s="6">
        <v>32.42</v>
      </c>
      <c r="Y215" s="6">
        <v>32.06</v>
      </c>
      <c r="Z215" s="6">
        <v>33.630000000000003</v>
      </c>
      <c r="AA215" s="6">
        <v>32.24</v>
      </c>
      <c r="AB215" s="6">
        <v>32.520000000000003</v>
      </c>
      <c r="AC215" s="6">
        <v>33.409999999999997</v>
      </c>
      <c r="AD215" s="6">
        <v>33.24</v>
      </c>
      <c r="AE215" s="6">
        <v>33.119999999999997</v>
      </c>
      <c r="AF215" s="6">
        <v>33.700000000000003</v>
      </c>
      <c r="AG215" s="6">
        <v>32.81</v>
      </c>
      <c r="AH215" s="6">
        <v>34.700000000000003</v>
      </c>
      <c r="AI215" s="6">
        <v>32.01</v>
      </c>
      <c r="AJ215" s="6">
        <v>32.799999999999997</v>
      </c>
      <c r="AK215" s="6">
        <v>30.74</v>
      </c>
      <c r="AL215" s="6">
        <v>33.89</v>
      </c>
      <c r="AM215" s="6">
        <v>33.200000000000003</v>
      </c>
      <c r="AN215" s="6">
        <v>33.64</v>
      </c>
      <c r="AO215" s="6">
        <v>31.8</v>
      </c>
      <c r="AP215" s="6">
        <v>33.76</v>
      </c>
      <c r="AQ215" s="6">
        <v>33.51</v>
      </c>
      <c r="AR215" s="6">
        <v>33.36</v>
      </c>
      <c r="AS215" s="6">
        <v>31.99</v>
      </c>
      <c r="AT215" s="6">
        <v>33.630000000000003</v>
      </c>
      <c r="AU215" s="6">
        <v>33.770000000000003</v>
      </c>
      <c r="AV215" s="6">
        <v>33.33</v>
      </c>
      <c r="AW215" s="6">
        <v>32.159999999999997</v>
      </c>
      <c r="AX215" s="6">
        <v>33.25</v>
      </c>
      <c r="AY215" s="6">
        <v>32.950000000000003</v>
      </c>
      <c r="AZ215" s="6">
        <v>34.32</v>
      </c>
      <c r="BA215" s="6">
        <v>34.33</v>
      </c>
      <c r="BB215" s="6">
        <v>35</v>
      </c>
      <c r="BC215" s="6">
        <v>33.28</v>
      </c>
      <c r="BD215" s="6">
        <v>31.94</v>
      </c>
      <c r="BE215" s="6">
        <v>33.700000000000003</v>
      </c>
      <c r="BF215" s="6">
        <v>33.86</v>
      </c>
      <c r="BG215" s="6">
        <v>32.700000000000003</v>
      </c>
      <c r="BH215" s="10">
        <v>34.130000000000003</v>
      </c>
      <c r="BI215" s="10"/>
    </row>
    <row r="216" spans="1:61" ht="15.75" customHeight="1" x14ac:dyDescent="0.25">
      <c r="A216" s="1">
        <v>215</v>
      </c>
      <c r="B216" s="1"/>
      <c r="C216" s="1">
        <v>2</v>
      </c>
      <c r="D216" s="6">
        <v>33.04</v>
      </c>
      <c r="E216" s="6">
        <v>32.4</v>
      </c>
      <c r="F216" s="6">
        <v>32.700000000000003</v>
      </c>
      <c r="G216" s="6"/>
      <c r="H216" s="6"/>
      <c r="I216" s="6"/>
      <c r="J216" s="9">
        <v>30.44</v>
      </c>
      <c r="K216" s="9">
        <v>31.98</v>
      </c>
      <c r="L216" s="9">
        <v>35.58</v>
      </c>
      <c r="M216" s="9">
        <v>33.46</v>
      </c>
      <c r="N216" s="9">
        <v>33</v>
      </c>
      <c r="O216" s="9">
        <v>33.24</v>
      </c>
      <c r="P216" s="9">
        <v>35.049999999999997</v>
      </c>
      <c r="Q216" s="9">
        <v>36.450000000000003</v>
      </c>
      <c r="R216" s="9">
        <v>35.51</v>
      </c>
      <c r="S216" s="9">
        <v>35.020000000000003</v>
      </c>
      <c r="T216" s="9">
        <v>33.92</v>
      </c>
      <c r="U216" s="9">
        <v>33.19</v>
      </c>
      <c r="V216" s="9">
        <v>35.21</v>
      </c>
      <c r="W216" s="6">
        <v>32.72</v>
      </c>
      <c r="X216" s="6">
        <v>32.54</v>
      </c>
      <c r="Y216" s="6">
        <v>32.08</v>
      </c>
      <c r="Z216" s="6">
        <v>33.65</v>
      </c>
      <c r="AA216" s="6">
        <v>32.31</v>
      </c>
      <c r="AB216" s="6">
        <v>32.68</v>
      </c>
      <c r="AC216" s="6">
        <v>33.43</v>
      </c>
      <c r="AD216" s="6">
        <v>33.26</v>
      </c>
      <c r="AE216" s="6">
        <v>33.14</v>
      </c>
      <c r="AF216" s="6">
        <v>33.729999999999997</v>
      </c>
      <c r="AG216" s="6">
        <v>32.81</v>
      </c>
      <c r="AH216" s="6">
        <v>34.71</v>
      </c>
      <c r="AI216" s="6">
        <v>32.1</v>
      </c>
      <c r="AJ216" s="6">
        <v>32.840000000000003</v>
      </c>
      <c r="AK216" s="6">
        <v>30.76</v>
      </c>
      <c r="AL216" s="6">
        <v>33.9</v>
      </c>
      <c r="AM216" s="6">
        <v>33.28</v>
      </c>
      <c r="AN216" s="6">
        <v>33.65</v>
      </c>
      <c r="AO216" s="6">
        <v>31.86</v>
      </c>
      <c r="AP216" s="6">
        <v>33.82</v>
      </c>
      <c r="AQ216" s="6">
        <v>33.479999999999997</v>
      </c>
      <c r="AR216" s="6">
        <v>33.39</v>
      </c>
      <c r="AS216" s="6">
        <v>32.020000000000003</v>
      </c>
      <c r="AT216" s="6">
        <v>33.67</v>
      </c>
      <c r="AU216" s="6">
        <v>33.79</v>
      </c>
      <c r="AV216" s="6">
        <v>33.380000000000003</v>
      </c>
      <c r="AW216" s="6">
        <v>32.21</v>
      </c>
      <c r="AX216" s="6">
        <v>33.33</v>
      </c>
      <c r="AY216" s="6">
        <v>32.99</v>
      </c>
      <c r="AZ216" s="6">
        <v>34.35</v>
      </c>
      <c r="BA216" s="6">
        <v>34.4</v>
      </c>
      <c r="BB216" s="6">
        <v>35.04</v>
      </c>
      <c r="BC216" s="6">
        <v>33.299999999999997</v>
      </c>
      <c r="BD216" s="6">
        <v>31.98</v>
      </c>
      <c r="BE216" s="6">
        <v>33.78</v>
      </c>
      <c r="BF216" s="6">
        <v>33.880000000000003</v>
      </c>
      <c r="BG216" s="6">
        <v>32.74</v>
      </c>
      <c r="BH216" s="10">
        <v>34.14</v>
      </c>
      <c r="BI216" s="10"/>
    </row>
    <row r="217" spans="1:61" ht="15.75" customHeight="1" x14ac:dyDescent="0.25">
      <c r="A217" s="1">
        <v>216</v>
      </c>
      <c r="B217" s="1"/>
      <c r="C217" s="1">
        <v>3</v>
      </c>
      <c r="D217" s="6">
        <v>33.130000000000003</v>
      </c>
      <c r="E217" s="6">
        <v>32.380000000000003</v>
      </c>
      <c r="F217" s="6">
        <v>32.81</v>
      </c>
      <c r="G217" s="6"/>
      <c r="H217" s="6"/>
      <c r="I217" s="6"/>
      <c r="J217" s="9">
        <v>30.51</v>
      </c>
      <c r="K217" s="9">
        <v>31.98</v>
      </c>
      <c r="L217" s="9">
        <v>35.590000000000003</v>
      </c>
      <c r="M217" s="9">
        <v>33.479999999999997</v>
      </c>
      <c r="N217" s="9">
        <v>32.979999999999997</v>
      </c>
      <c r="O217" s="9">
        <v>33.25</v>
      </c>
      <c r="P217" s="9">
        <v>35.07</v>
      </c>
      <c r="Q217" s="9">
        <v>36.450000000000003</v>
      </c>
      <c r="R217" s="9">
        <v>35.549999999999997</v>
      </c>
      <c r="S217" s="9">
        <v>35.090000000000003</v>
      </c>
      <c r="T217" s="9">
        <v>33.96</v>
      </c>
      <c r="U217" s="9">
        <v>33.24</v>
      </c>
      <c r="V217" s="9">
        <v>35.25</v>
      </c>
      <c r="W217" s="6">
        <v>32.79</v>
      </c>
      <c r="X217" s="6">
        <v>32.590000000000003</v>
      </c>
      <c r="Y217" s="6">
        <v>32.1</v>
      </c>
      <c r="Z217" s="6">
        <v>33.700000000000003</v>
      </c>
      <c r="AA217" s="6">
        <v>32.4</v>
      </c>
      <c r="AB217" s="6">
        <v>32.81</v>
      </c>
      <c r="AC217" s="6">
        <v>33.46</v>
      </c>
      <c r="AD217" s="6">
        <v>33.32</v>
      </c>
      <c r="AE217" s="6">
        <v>33.159999999999997</v>
      </c>
      <c r="AF217" s="6">
        <v>33.770000000000003</v>
      </c>
      <c r="AG217" s="6">
        <v>32.89</v>
      </c>
      <c r="AH217" s="6">
        <v>34.72</v>
      </c>
      <c r="AI217" s="6">
        <v>32.15</v>
      </c>
      <c r="AJ217" s="6">
        <v>32.880000000000003</v>
      </c>
      <c r="AK217" s="6">
        <v>30.79</v>
      </c>
      <c r="AL217" s="6">
        <v>33.92</v>
      </c>
      <c r="AM217" s="6">
        <v>33.33</v>
      </c>
      <c r="AN217" s="6">
        <v>33.65</v>
      </c>
      <c r="AO217" s="6">
        <v>31.94</v>
      </c>
      <c r="AP217" s="6">
        <v>33.869999999999997</v>
      </c>
      <c r="AQ217" s="6">
        <v>33.450000000000003</v>
      </c>
      <c r="AR217" s="6">
        <v>33.42</v>
      </c>
      <c r="AS217" s="6">
        <v>32.06</v>
      </c>
      <c r="AT217" s="6">
        <v>33.72</v>
      </c>
      <c r="AU217" s="6">
        <v>33.81</v>
      </c>
      <c r="AV217" s="6">
        <v>33.450000000000003</v>
      </c>
      <c r="AW217" s="6">
        <v>32.270000000000003</v>
      </c>
      <c r="AX217" s="6">
        <v>33.39</v>
      </c>
      <c r="AY217" s="6">
        <v>33.03</v>
      </c>
      <c r="AZ217" s="6">
        <v>34.39</v>
      </c>
      <c r="BA217" s="6">
        <v>34.44</v>
      </c>
      <c r="BB217" s="6">
        <v>35.090000000000003</v>
      </c>
      <c r="BC217" s="6">
        <v>33.33</v>
      </c>
      <c r="BD217" s="6">
        <v>32.020000000000003</v>
      </c>
      <c r="BE217" s="6">
        <v>33.83</v>
      </c>
      <c r="BF217" s="6">
        <v>33.93</v>
      </c>
      <c r="BG217" s="6">
        <v>32.78</v>
      </c>
      <c r="BH217" s="10">
        <v>34.159999999999997</v>
      </c>
      <c r="BI217" s="10"/>
    </row>
    <row r="218" spans="1:61" ht="15.75" customHeight="1" x14ac:dyDescent="0.25">
      <c r="A218" s="1">
        <v>217</v>
      </c>
      <c r="B218" s="1"/>
      <c r="C218" s="1">
        <v>4</v>
      </c>
      <c r="D218" s="6">
        <v>33.18</v>
      </c>
      <c r="E218" s="6">
        <v>32.380000000000003</v>
      </c>
      <c r="F218" s="6">
        <v>32.81</v>
      </c>
      <c r="G218" s="6"/>
      <c r="H218" s="6"/>
      <c r="I218" s="6"/>
      <c r="J218" s="9">
        <v>30.55</v>
      </c>
      <c r="K218" s="9">
        <v>31.98</v>
      </c>
      <c r="L218" s="9">
        <v>35.630000000000003</v>
      </c>
      <c r="M218" s="9">
        <v>33.49</v>
      </c>
      <c r="N218" s="9">
        <v>32.979999999999997</v>
      </c>
      <c r="O218" s="9">
        <v>33.22</v>
      </c>
      <c r="P218" s="9">
        <v>35.07</v>
      </c>
      <c r="Q218" s="9">
        <v>36.450000000000003</v>
      </c>
      <c r="R218" s="9">
        <v>35.6</v>
      </c>
      <c r="S218" s="9">
        <v>35.15</v>
      </c>
      <c r="T218" s="9">
        <v>34.01</v>
      </c>
      <c r="U218" s="9">
        <v>33.32</v>
      </c>
      <c r="V218" s="9">
        <v>35.270000000000003</v>
      </c>
      <c r="W218" s="6">
        <v>32.840000000000003</v>
      </c>
      <c r="X218" s="6">
        <v>32.67</v>
      </c>
      <c r="Y218" s="6">
        <v>32.11</v>
      </c>
      <c r="Z218" s="6">
        <v>33.74</v>
      </c>
      <c r="AA218" s="6">
        <v>32.5</v>
      </c>
      <c r="AB218" s="6">
        <v>32.94</v>
      </c>
      <c r="AC218" s="6">
        <v>33.47</v>
      </c>
      <c r="AD218" s="6">
        <v>33.35</v>
      </c>
      <c r="AE218" s="6">
        <v>33.18</v>
      </c>
      <c r="AF218" s="6">
        <v>33.799999999999997</v>
      </c>
      <c r="AG218" s="6">
        <v>32.909999999999997</v>
      </c>
      <c r="AH218" s="6">
        <v>34.74</v>
      </c>
      <c r="AI218" s="6">
        <v>32.21</v>
      </c>
      <c r="AJ218" s="6">
        <v>32.909999999999997</v>
      </c>
      <c r="AK218" s="6">
        <v>30.84</v>
      </c>
      <c r="AL218" s="6">
        <v>33.97</v>
      </c>
      <c r="AM218" s="6">
        <v>33.39</v>
      </c>
      <c r="AN218" s="6">
        <v>33.65</v>
      </c>
      <c r="AO218" s="6">
        <v>31.99</v>
      </c>
      <c r="AP218" s="6">
        <v>33.909999999999997</v>
      </c>
      <c r="AQ218" s="6">
        <v>33.42</v>
      </c>
      <c r="AR218" s="6">
        <v>33.43</v>
      </c>
      <c r="AS218" s="6">
        <v>32.08</v>
      </c>
      <c r="AT218" s="6">
        <v>33.729999999999997</v>
      </c>
      <c r="AU218" s="6">
        <v>33.840000000000003</v>
      </c>
      <c r="AV218" s="6">
        <v>33.479999999999997</v>
      </c>
      <c r="AW218" s="6">
        <v>32.340000000000003</v>
      </c>
      <c r="AX218" s="6">
        <v>33.42</v>
      </c>
      <c r="AY218" s="6">
        <v>33.08</v>
      </c>
      <c r="AZ218" s="6">
        <v>34.44</v>
      </c>
      <c r="BA218" s="6">
        <v>34.49</v>
      </c>
      <c r="BB218" s="6">
        <v>35.14</v>
      </c>
      <c r="BC218" s="6">
        <v>33.36</v>
      </c>
      <c r="BD218" s="6">
        <v>32.03</v>
      </c>
      <c r="BE218" s="6">
        <v>33.880000000000003</v>
      </c>
      <c r="BF218" s="6">
        <v>33.97</v>
      </c>
      <c r="BG218" s="6">
        <v>32.82</v>
      </c>
      <c r="BH218" s="10">
        <v>34.15</v>
      </c>
      <c r="BI218" s="10"/>
    </row>
    <row r="219" spans="1:61" ht="15.75" customHeight="1" x14ac:dyDescent="0.25">
      <c r="A219" s="1">
        <v>218</v>
      </c>
      <c r="B219" s="1"/>
      <c r="C219" s="1">
        <v>5</v>
      </c>
      <c r="D219" s="6">
        <v>33.29</v>
      </c>
      <c r="E219" s="6">
        <v>32.36</v>
      </c>
      <c r="F219" s="6">
        <v>32.79</v>
      </c>
      <c r="G219" s="6"/>
      <c r="H219" s="6"/>
      <c r="I219" s="6"/>
      <c r="J219" s="9">
        <v>30.58</v>
      </c>
      <c r="K219" s="9">
        <v>32.03</v>
      </c>
      <c r="L219" s="9">
        <v>35.64</v>
      </c>
      <c r="M219" s="9">
        <v>33.5</v>
      </c>
      <c r="N219" s="9">
        <v>32.99</v>
      </c>
      <c r="O219" s="9">
        <v>33.299999999999997</v>
      </c>
      <c r="P219" s="9">
        <v>35.07</v>
      </c>
      <c r="Q219" s="9">
        <v>36.450000000000003</v>
      </c>
      <c r="R219" s="9">
        <v>35.64</v>
      </c>
      <c r="S219" s="9">
        <v>35.21</v>
      </c>
      <c r="T219" s="9">
        <v>34.04</v>
      </c>
      <c r="U219" s="9">
        <v>33.36</v>
      </c>
      <c r="V219" s="9">
        <v>35.28</v>
      </c>
      <c r="W219" s="6">
        <v>32.92</v>
      </c>
      <c r="X219" s="6">
        <v>32.72</v>
      </c>
      <c r="Y219" s="6">
        <v>32.130000000000003</v>
      </c>
      <c r="Z219" s="6">
        <v>33.75</v>
      </c>
      <c r="AA219" s="6">
        <v>32.590000000000003</v>
      </c>
      <c r="AB219" s="6">
        <v>33.07</v>
      </c>
      <c r="AC219" s="6">
        <v>33.49</v>
      </c>
      <c r="AD219" s="6">
        <v>33.39</v>
      </c>
      <c r="AE219" s="6">
        <v>33.200000000000003</v>
      </c>
      <c r="AF219" s="6">
        <v>33.86</v>
      </c>
      <c r="AG219" s="6">
        <v>32.93</v>
      </c>
      <c r="AH219" s="6">
        <v>34.75</v>
      </c>
      <c r="AI219" s="6">
        <v>32.28</v>
      </c>
      <c r="AJ219" s="6">
        <v>32.94</v>
      </c>
      <c r="AK219" s="6">
        <v>30.86</v>
      </c>
      <c r="AL219" s="6">
        <v>34.01</v>
      </c>
      <c r="AM219" s="6">
        <v>33.43</v>
      </c>
      <c r="AN219" s="6">
        <v>33.65</v>
      </c>
      <c r="AO219" s="6">
        <v>32.020000000000003</v>
      </c>
      <c r="AP219" s="6">
        <v>33.92</v>
      </c>
      <c r="AQ219" s="6">
        <v>33.409999999999997</v>
      </c>
      <c r="AR219" s="6">
        <v>33.43</v>
      </c>
      <c r="AS219" s="6">
        <v>32.11</v>
      </c>
      <c r="AT219" s="6">
        <v>33.75</v>
      </c>
      <c r="AU219" s="6">
        <v>33.869999999999997</v>
      </c>
      <c r="AV219" s="6">
        <v>33.54</v>
      </c>
      <c r="AW219" s="6">
        <v>32.369999999999997</v>
      </c>
      <c r="AX219" s="6">
        <v>33.479999999999997</v>
      </c>
      <c r="AY219" s="6">
        <v>33.1</v>
      </c>
      <c r="AZ219" s="6">
        <v>34.520000000000003</v>
      </c>
      <c r="BA219" s="6">
        <v>34.590000000000003</v>
      </c>
      <c r="BB219" s="6">
        <v>35.21</v>
      </c>
      <c r="BC219" s="6">
        <v>33.39</v>
      </c>
      <c r="BD219" s="6">
        <v>32.049999999999997</v>
      </c>
      <c r="BE219" s="6">
        <v>33.93</v>
      </c>
      <c r="BF219" s="6">
        <v>34</v>
      </c>
      <c r="BG219" s="6">
        <v>32.86</v>
      </c>
      <c r="BH219" s="10">
        <v>34.159999999999997</v>
      </c>
      <c r="BI219" s="10"/>
    </row>
    <row r="220" spans="1:61" ht="15.75" customHeight="1" x14ac:dyDescent="0.25">
      <c r="A220" s="1">
        <v>219</v>
      </c>
      <c r="B220" s="1"/>
      <c r="C220" s="1">
        <v>6</v>
      </c>
      <c r="D220" s="6">
        <v>33.340000000000003</v>
      </c>
      <c r="E220" s="6">
        <v>32.4</v>
      </c>
      <c r="F220" s="6">
        <v>32.700000000000003</v>
      </c>
      <c r="G220" s="6"/>
      <c r="H220" s="6"/>
      <c r="I220" s="6"/>
      <c r="J220" s="9">
        <v>30.73</v>
      </c>
      <c r="K220" s="9">
        <v>32.03</v>
      </c>
      <c r="L220" s="9">
        <v>35.65</v>
      </c>
      <c r="M220" s="9">
        <v>33.56</v>
      </c>
      <c r="N220" s="9">
        <v>33</v>
      </c>
      <c r="O220" s="9">
        <v>33.33</v>
      </c>
      <c r="P220" s="9">
        <v>35.11</v>
      </c>
      <c r="Q220" s="9">
        <v>36.43</v>
      </c>
      <c r="R220" s="9">
        <v>35.659999999999997</v>
      </c>
      <c r="S220" s="9">
        <v>35.29</v>
      </c>
      <c r="T220" s="9">
        <v>34.07</v>
      </c>
      <c r="U220" s="9">
        <v>33.44</v>
      </c>
      <c r="V220" s="9">
        <v>35.29</v>
      </c>
      <c r="W220" s="6">
        <v>32.97</v>
      </c>
      <c r="X220" s="6">
        <v>32.79</v>
      </c>
      <c r="Y220" s="6">
        <v>32.15</v>
      </c>
      <c r="Z220" s="6">
        <v>33.75</v>
      </c>
      <c r="AA220" s="6">
        <v>32.659999999999997</v>
      </c>
      <c r="AB220" s="6">
        <v>33.14</v>
      </c>
      <c r="AC220" s="6">
        <v>33.5</v>
      </c>
      <c r="AD220" s="6">
        <v>33.43</v>
      </c>
      <c r="AE220" s="6">
        <v>33.22</v>
      </c>
      <c r="AF220" s="6">
        <v>33.880000000000003</v>
      </c>
      <c r="AG220" s="6">
        <v>32.94</v>
      </c>
      <c r="AH220" s="6">
        <v>34.75</v>
      </c>
      <c r="AI220" s="6">
        <v>32.33</v>
      </c>
      <c r="AJ220" s="6">
        <v>32.979999999999997</v>
      </c>
      <c r="AK220" s="6">
        <v>30.94</v>
      </c>
      <c r="AL220" s="6">
        <v>34.020000000000003</v>
      </c>
      <c r="AM220" s="6">
        <v>33.479999999999997</v>
      </c>
      <c r="AN220" s="6">
        <v>33.659999999999997</v>
      </c>
      <c r="AO220" s="6">
        <v>32.06</v>
      </c>
      <c r="AP220" s="6">
        <v>33.99</v>
      </c>
      <c r="AQ220" s="6">
        <v>33.369999999999997</v>
      </c>
      <c r="AR220" s="6">
        <v>33.43</v>
      </c>
      <c r="AS220" s="6">
        <v>32.15</v>
      </c>
      <c r="AT220" s="6">
        <v>33.770000000000003</v>
      </c>
      <c r="AU220" s="6">
        <v>33.880000000000003</v>
      </c>
      <c r="AV220" s="6">
        <v>33.6</v>
      </c>
      <c r="AW220" s="6">
        <v>32.4</v>
      </c>
      <c r="AX220" s="6">
        <v>33.54</v>
      </c>
      <c r="AY220" s="6">
        <v>33.130000000000003</v>
      </c>
      <c r="AZ220" s="6">
        <v>34.56</v>
      </c>
      <c r="BA220" s="6">
        <v>34.64</v>
      </c>
      <c r="BB220" s="6">
        <v>35.28</v>
      </c>
      <c r="BC220" s="6">
        <v>33.4</v>
      </c>
      <c r="BD220" s="6">
        <v>32.090000000000003</v>
      </c>
      <c r="BE220" s="6">
        <v>33.979999999999997</v>
      </c>
      <c r="BF220" s="6">
        <v>34.020000000000003</v>
      </c>
      <c r="BG220" s="6">
        <v>32.93</v>
      </c>
      <c r="BH220" s="10">
        <v>34.15</v>
      </c>
      <c r="BI220" s="10"/>
    </row>
    <row r="221" spans="1:61" ht="15.75" customHeight="1" x14ac:dyDescent="0.25">
      <c r="A221" s="1">
        <v>220</v>
      </c>
      <c r="B221" s="1"/>
      <c r="C221" s="1">
        <v>7</v>
      </c>
      <c r="D221" s="6">
        <v>33.4</v>
      </c>
      <c r="E221" s="6">
        <v>32.43</v>
      </c>
      <c r="F221" s="6">
        <v>32.700000000000003</v>
      </c>
      <c r="G221" s="6"/>
      <c r="H221" s="6"/>
      <c r="I221" s="6"/>
      <c r="J221" s="9">
        <v>30.79</v>
      </c>
      <c r="K221" s="9">
        <v>32.07</v>
      </c>
      <c r="L221" s="9">
        <v>35.65</v>
      </c>
      <c r="M221" s="9">
        <v>33.58</v>
      </c>
      <c r="N221" s="9">
        <v>33.020000000000003</v>
      </c>
      <c r="O221" s="9">
        <v>33.369999999999997</v>
      </c>
      <c r="P221" s="9">
        <v>35.119999999999997</v>
      </c>
      <c r="Q221" s="9">
        <v>36.409999999999997</v>
      </c>
      <c r="R221" s="9">
        <v>35.72</v>
      </c>
      <c r="S221" s="9">
        <v>35.36</v>
      </c>
      <c r="T221" s="9">
        <v>34.1</v>
      </c>
      <c r="U221" s="9">
        <v>33.56</v>
      </c>
      <c r="V221" s="9">
        <v>35.32</v>
      </c>
      <c r="W221" s="6">
        <v>33.04</v>
      </c>
      <c r="X221" s="6">
        <v>32.83</v>
      </c>
      <c r="Y221" s="6">
        <v>32.15</v>
      </c>
      <c r="Z221" s="6">
        <v>33.770000000000003</v>
      </c>
      <c r="AA221" s="6">
        <v>32.72</v>
      </c>
      <c r="AB221" s="6">
        <v>33.22</v>
      </c>
      <c r="AC221" s="6">
        <v>33.54</v>
      </c>
      <c r="AD221" s="6">
        <v>33.51</v>
      </c>
      <c r="AE221" s="6">
        <v>33.24</v>
      </c>
      <c r="AF221" s="6">
        <v>33.9</v>
      </c>
      <c r="AG221" s="6">
        <v>32.94</v>
      </c>
      <c r="AH221" s="6">
        <v>34.74</v>
      </c>
      <c r="AI221" s="6">
        <v>32.39</v>
      </c>
      <c r="AJ221" s="6">
        <v>33.03</v>
      </c>
      <c r="AK221" s="6">
        <v>31.03</v>
      </c>
      <c r="AL221" s="6">
        <v>34.03</v>
      </c>
      <c r="AM221" s="6">
        <v>33.5</v>
      </c>
      <c r="AN221" s="6">
        <v>33.68</v>
      </c>
      <c r="AO221" s="6">
        <v>32.090000000000003</v>
      </c>
      <c r="AP221" s="6">
        <v>34.01</v>
      </c>
      <c r="AQ221" s="6">
        <v>33.33</v>
      </c>
      <c r="AR221" s="6">
        <v>33.43</v>
      </c>
      <c r="AS221" s="6">
        <v>32.159999999999997</v>
      </c>
      <c r="AT221" s="6">
        <v>33.799999999999997</v>
      </c>
      <c r="AU221" s="6">
        <v>33.9</v>
      </c>
      <c r="AV221" s="6">
        <v>33.69</v>
      </c>
      <c r="AW221" s="6">
        <v>32.44</v>
      </c>
      <c r="AX221" s="6">
        <v>33.6</v>
      </c>
      <c r="AY221" s="6">
        <v>33.159999999999997</v>
      </c>
      <c r="AZ221" s="6">
        <v>34.56</v>
      </c>
      <c r="BA221" s="6">
        <v>34.659999999999997</v>
      </c>
      <c r="BB221" s="6">
        <v>35.32</v>
      </c>
      <c r="BC221" s="6">
        <v>33.409999999999997</v>
      </c>
      <c r="BD221" s="6">
        <v>32.11</v>
      </c>
      <c r="BE221" s="6">
        <v>34.020000000000003</v>
      </c>
      <c r="BF221" s="6">
        <v>34.04</v>
      </c>
      <c r="BG221" s="6">
        <v>32.979999999999997</v>
      </c>
      <c r="BH221" s="10">
        <v>34.130000000000003</v>
      </c>
      <c r="BI221" s="10"/>
    </row>
    <row r="222" spans="1:61" ht="15.75" customHeight="1" x14ac:dyDescent="0.25">
      <c r="A222" s="1">
        <v>221</v>
      </c>
      <c r="B222" s="1"/>
      <c r="C222" s="1">
        <v>8</v>
      </c>
      <c r="D222" s="6">
        <v>33.5</v>
      </c>
      <c r="E222" s="6">
        <v>32.450000000000003</v>
      </c>
      <c r="F222" s="6">
        <v>32.72</v>
      </c>
      <c r="G222" s="6"/>
      <c r="H222" s="6"/>
      <c r="I222" s="6"/>
      <c r="J222" s="9">
        <v>30.85</v>
      </c>
      <c r="K222" s="9">
        <v>32.130000000000003</v>
      </c>
      <c r="L222" s="9">
        <v>35.65</v>
      </c>
      <c r="M222" s="9">
        <v>33.61</v>
      </c>
      <c r="N222" s="9">
        <v>33.049999999999997</v>
      </c>
      <c r="O222" s="9">
        <v>33.380000000000003</v>
      </c>
      <c r="P222" s="9">
        <v>35.130000000000003</v>
      </c>
      <c r="Q222" s="9">
        <v>36.369999999999997</v>
      </c>
      <c r="R222" s="9">
        <v>35.75</v>
      </c>
      <c r="S222" s="9">
        <v>35.450000000000003</v>
      </c>
      <c r="T222" s="9">
        <v>34.130000000000003</v>
      </c>
      <c r="U222" s="9">
        <v>33.6</v>
      </c>
      <c r="V222" s="9">
        <v>35.340000000000003</v>
      </c>
      <c r="W222" s="6">
        <v>33.15</v>
      </c>
      <c r="X222" s="6">
        <v>32.880000000000003</v>
      </c>
      <c r="Y222" s="6">
        <v>32.130000000000003</v>
      </c>
      <c r="Z222" s="6">
        <v>33.75</v>
      </c>
      <c r="AA222" s="6">
        <v>32.799999999999997</v>
      </c>
      <c r="AB222" s="6">
        <v>33.33</v>
      </c>
      <c r="AC222" s="6">
        <v>33.57</v>
      </c>
      <c r="AD222" s="6">
        <v>33.51</v>
      </c>
      <c r="AE222" s="6">
        <v>33.28</v>
      </c>
      <c r="AF222" s="6">
        <v>33.92</v>
      </c>
      <c r="AG222" s="6">
        <v>32.950000000000003</v>
      </c>
      <c r="AH222" s="6">
        <v>34.75</v>
      </c>
      <c r="AI222" s="6">
        <v>32.43</v>
      </c>
      <c r="AJ222" s="6">
        <v>33.07</v>
      </c>
      <c r="AK222" s="6">
        <v>31.14</v>
      </c>
      <c r="AL222" s="6">
        <v>34.04</v>
      </c>
      <c r="AM222" s="6">
        <v>33.520000000000003</v>
      </c>
      <c r="AN222" s="6">
        <v>33.700000000000003</v>
      </c>
      <c r="AO222" s="6">
        <v>32.119999999999997</v>
      </c>
      <c r="AP222" s="6">
        <v>34.03</v>
      </c>
      <c r="AQ222" s="6">
        <v>33.31</v>
      </c>
      <c r="AR222" s="6">
        <v>33.43</v>
      </c>
      <c r="AS222" s="6">
        <v>32.18</v>
      </c>
      <c r="AT222" s="6">
        <v>33.82</v>
      </c>
      <c r="AU222" s="6">
        <v>33.9</v>
      </c>
      <c r="AV222" s="6">
        <v>33.74</v>
      </c>
      <c r="AW222" s="6">
        <v>32.49</v>
      </c>
      <c r="AX222" s="6">
        <v>33.64</v>
      </c>
      <c r="AY222" s="6">
        <v>33.18</v>
      </c>
      <c r="AZ222" s="6">
        <v>34.590000000000003</v>
      </c>
      <c r="BA222" s="6">
        <v>34.659999999999997</v>
      </c>
      <c r="BB222" s="6">
        <v>35.4</v>
      </c>
      <c r="BC222" s="6">
        <v>33.43</v>
      </c>
      <c r="BD222" s="6">
        <v>32.11</v>
      </c>
      <c r="BE222" s="6">
        <v>34.06</v>
      </c>
      <c r="BF222" s="6">
        <v>34.04</v>
      </c>
      <c r="BG222" s="6">
        <v>33.04</v>
      </c>
      <c r="BH222" s="10">
        <v>34.1</v>
      </c>
      <c r="BI222" s="10"/>
    </row>
    <row r="223" spans="1:61" ht="15.75" customHeight="1" x14ac:dyDescent="0.25">
      <c r="A223" s="1">
        <v>222</v>
      </c>
      <c r="B223" s="1"/>
      <c r="C223" s="1">
        <v>9</v>
      </c>
      <c r="D223" s="6">
        <v>33.56</v>
      </c>
      <c r="E223" s="6">
        <v>32.47</v>
      </c>
      <c r="F223" s="6">
        <v>32.68</v>
      </c>
      <c r="G223" s="6"/>
      <c r="H223" s="6"/>
      <c r="I223" s="6"/>
      <c r="J223" s="9">
        <v>30.89</v>
      </c>
      <c r="K223" s="9">
        <v>32.18</v>
      </c>
      <c r="L223" s="9">
        <v>35.65</v>
      </c>
      <c r="M223" s="9">
        <v>33.630000000000003</v>
      </c>
      <c r="N223" s="9">
        <v>33.049999999999997</v>
      </c>
      <c r="O223" s="9">
        <v>33.43</v>
      </c>
      <c r="P223" s="9">
        <v>35.17</v>
      </c>
      <c r="Q223" s="9">
        <v>36.340000000000003</v>
      </c>
      <c r="R223" s="9">
        <v>35.770000000000003</v>
      </c>
      <c r="S223" s="9">
        <v>35.520000000000003</v>
      </c>
      <c r="T223" s="9">
        <v>34.17</v>
      </c>
      <c r="U223" s="9">
        <v>33.630000000000003</v>
      </c>
      <c r="V223" s="9">
        <v>35.39</v>
      </c>
      <c r="W223" s="6">
        <v>33.15</v>
      </c>
      <c r="X223" s="6">
        <v>32.92</v>
      </c>
      <c r="Y223" s="6">
        <v>32.11</v>
      </c>
      <c r="Z223" s="6">
        <v>33.75</v>
      </c>
      <c r="AA223" s="6">
        <v>32.85</v>
      </c>
      <c r="AB223" s="6">
        <v>33.369999999999997</v>
      </c>
      <c r="AC223" s="6">
        <v>33.56</v>
      </c>
      <c r="AD223" s="6">
        <v>33.53</v>
      </c>
      <c r="AE223" s="6">
        <v>33.299999999999997</v>
      </c>
      <c r="AF223" s="6">
        <v>33.950000000000003</v>
      </c>
      <c r="AG223" s="6">
        <v>32.94</v>
      </c>
      <c r="AH223" s="6">
        <v>34.75</v>
      </c>
      <c r="AI223" s="6">
        <v>32.51</v>
      </c>
      <c r="AJ223" s="6">
        <v>33.11</v>
      </c>
      <c r="AK223" s="6">
        <v>31.2</v>
      </c>
      <c r="AL223" s="6">
        <v>34.04</v>
      </c>
      <c r="AM223" s="6">
        <v>33.549999999999997</v>
      </c>
      <c r="AN223" s="6">
        <v>33.700000000000003</v>
      </c>
      <c r="AO223" s="6">
        <v>32.15</v>
      </c>
      <c r="AP223" s="6">
        <v>34.04</v>
      </c>
      <c r="AQ223" s="6">
        <v>33.33</v>
      </c>
      <c r="AR223" s="6">
        <v>33.42</v>
      </c>
      <c r="AS223" s="6">
        <v>32.200000000000003</v>
      </c>
      <c r="AT223" s="6">
        <v>33.83</v>
      </c>
      <c r="AU223" s="6">
        <v>33.92</v>
      </c>
      <c r="AV223" s="6">
        <v>33.78</v>
      </c>
      <c r="AW223" s="6">
        <v>32.520000000000003</v>
      </c>
      <c r="AX223" s="6">
        <v>33.69</v>
      </c>
      <c r="AY223" s="6">
        <v>33.200000000000003</v>
      </c>
      <c r="AZ223" s="6">
        <v>34.590000000000003</v>
      </c>
      <c r="BA223" s="6">
        <v>34.65</v>
      </c>
      <c r="BB223" s="6">
        <v>35.49</v>
      </c>
      <c r="BC223" s="6">
        <v>33.450000000000003</v>
      </c>
      <c r="BD223" s="6">
        <v>32.11</v>
      </c>
      <c r="BE223" s="6">
        <v>34.1</v>
      </c>
      <c r="BF223" s="6">
        <v>34.04</v>
      </c>
      <c r="BG223" s="6">
        <v>33.08</v>
      </c>
      <c r="BH223" s="10">
        <v>34.07</v>
      </c>
      <c r="BI223" s="10"/>
    </row>
    <row r="224" spans="1:61" ht="15.75" customHeight="1" x14ac:dyDescent="0.25">
      <c r="A224" s="1">
        <v>223</v>
      </c>
      <c r="B224" s="1"/>
      <c r="C224" s="1">
        <v>10</v>
      </c>
      <c r="D224" s="6">
        <v>33.54</v>
      </c>
      <c r="E224" s="6">
        <v>32.5</v>
      </c>
      <c r="F224" s="6">
        <v>32.659999999999997</v>
      </c>
      <c r="G224" s="6"/>
      <c r="H224" s="6"/>
      <c r="I224" s="6"/>
      <c r="J224" s="9">
        <v>30.97</v>
      </c>
      <c r="K224" s="9">
        <v>32.229999999999997</v>
      </c>
      <c r="L224" s="9">
        <v>35.65</v>
      </c>
      <c r="M224" s="9">
        <v>33.65</v>
      </c>
      <c r="N224" s="9">
        <v>33.06</v>
      </c>
      <c r="O224" s="9">
        <v>33.49</v>
      </c>
      <c r="P224" s="9">
        <v>35.200000000000003</v>
      </c>
      <c r="Q224" s="9">
        <v>36.340000000000003</v>
      </c>
      <c r="R224" s="9">
        <v>35.799999999999997</v>
      </c>
      <c r="S224" s="9">
        <v>35.58</v>
      </c>
      <c r="T224" s="9">
        <v>34.21</v>
      </c>
      <c r="U224" s="9">
        <v>33.68</v>
      </c>
      <c r="V224" s="9">
        <v>35.42</v>
      </c>
      <c r="W224" s="6">
        <v>33.270000000000003</v>
      </c>
      <c r="X224" s="6">
        <v>32.950000000000003</v>
      </c>
      <c r="Y224" s="6">
        <v>32.1</v>
      </c>
      <c r="Z224" s="6">
        <v>33.74</v>
      </c>
      <c r="AA224" s="6">
        <v>32.92</v>
      </c>
      <c r="AB224" s="6">
        <v>33.450000000000003</v>
      </c>
      <c r="AC224" s="6">
        <v>33.57</v>
      </c>
      <c r="AD224" s="6">
        <v>33.54</v>
      </c>
      <c r="AE224" s="6">
        <v>33.299999999999997</v>
      </c>
      <c r="AF224" s="6">
        <v>33.979999999999997</v>
      </c>
      <c r="AG224" s="6">
        <v>32.99</v>
      </c>
      <c r="AH224" s="6">
        <v>34.75</v>
      </c>
      <c r="AI224" s="6">
        <v>32.56</v>
      </c>
      <c r="AJ224" s="6">
        <v>33.130000000000003</v>
      </c>
      <c r="AK224" s="6">
        <v>31.26</v>
      </c>
      <c r="AL224" s="6">
        <v>34.04</v>
      </c>
      <c r="AM224" s="6">
        <v>33.58</v>
      </c>
      <c r="AN224" s="6">
        <v>33.74</v>
      </c>
      <c r="AO224" s="6">
        <v>32.19</v>
      </c>
      <c r="AP224" s="6">
        <v>34.090000000000003</v>
      </c>
      <c r="AQ224" s="6">
        <v>33.299999999999997</v>
      </c>
      <c r="AR224" s="6">
        <v>33.44</v>
      </c>
      <c r="AS224" s="6">
        <v>32.229999999999997</v>
      </c>
      <c r="AT224" s="6">
        <v>33.85</v>
      </c>
      <c r="AU224" s="6">
        <v>33.909999999999997</v>
      </c>
      <c r="AV224" s="6">
        <v>33.82</v>
      </c>
      <c r="AW224" s="6">
        <v>32.56</v>
      </c>
      <c r="AX224" s="6">
        <v>33.72</v>
      </c>
      <c r="AY224" s="6">
        <v>33.22</v>
      </c>
      <c r="AZ224" s="6">
        <v>34.630000000000003</v>
      </c>
      <c r="BA224" s="6">
        <v>34.64</v>
      </c>
      <c r="BB224" s="6">
        <v>35.58</v>
      </c>
      <c r="BC224" s="6">
        <v>33.47</v>
      </c>
      <c r="BD224" s="6">
        <v>32.11</v>
      </c>
      <c r="BE224" s="6">
        <v>34.14</v>
      </c>
      <c r="BF224" s="6">
        <v>34.119999999999997</v>
      </c>
      <c r="BG224" s="6">
        <v>33.119999999999997</v>
      </c>
      <c r="BH224" s="10">
        <v>34.049999999999997</v>
      </c>
      <c r="BI224" s="10"/>
    </row>
    <row r="225" spans="1:61" ht="15.75" customHeight="1" x14ac:dyDescent="0.25">
      <c r="A225" s="1">
        <v>224</v>
      </c>
      <c r="B225" s="1"/>
      <c r="C225" s="1">
        <v>11</v>
      </c>
      <c r="D225" s="6">
        <v>33.590000000000003</v>
      </c>
      <c r="E225" s="6">
        <v>32.520000000000003</v>
      </c>
      <c r="F225" s="6">
        <v>32.65</v>
      </c>
      <c r="G225" s="6"/>
      <c r="H225" s="6"/>
      <c r="I225" s="6"/>
      <c r="J225" s="9">
        <v>31.06</v>
      </c>
      <c r="K225" s="9">
        <v>32.28</v>
      </c>
      <c r="L225" s="9">
        <v>35.65</v>
      </c>
      <c r="M225" s="9">
        <v>33.659999999999997</v>
      </c>
      <c r="N225" s="9">
        <v>33.06</v>
      </c>
      <c r="O225" s="9">
        <v>33.53</v>
      </c>
      <c r="P225" s="9">
        <v>35.21</v>
      </c>
      <c r="Q225" s="9">
        <v>36.299999999999997</v>
      </c>
      <c r="R225" s="9">
        <v>35.83</v>
      </c>
      <c r="S225" s="9">
        <v>35.65</v>
      </c>
      <c r="T225" s="9">
        <v>34.22</v>
      </c>
      <c r="U225" s="9">
        <v>33.729999999999997</v>
      </c>
      <c r="V225" s="9">
        <v>35.43</v>
      </c>
      <c r="W225" s="6">
        <v>33.33</v>
      </c>
      <c r="X225" s="6">
        <v>32.99</v>
      </c>
      <c r="Y225" s="6">
        <v>32.06</v>
      </c>
      <c r="Z225" s="6">
        <v>33.68</v>
      </c>
      <c r="AA225" s="6">
        <v>32.979999999999997</v>
      </c>
      <c r="AB225" s="6">
        <v>33.5</v>
      </c>
      <c r="AC225" s="6">
        <v>33.57</v>
      </c>
      <c r="AD225" s="6">
        <v>33.54</v>
      </c>
      <c r="AE225" s="6">
        <v>33.32</v>
      </c>
      <c r="AF225" s="6">
        <v>34.020000000000003</v>
      </c>
      <c r="AG225" s="6">
        <v>32.97</v>
      </c>
      <c r="AH225" s="6">
        <v>34.74</v>
      </c>
      <c r="AI225" s="6">
        <v>32.630000000000003</v>
      </c>
      <c r="AJ225" s="6">
        <v>33.15</v>
      </c>
      <c r="AK225" s="6">
        <v>31.33</v>
      </c>
      <c r="AL225" s="6">
        <v>34.04</v>
      </c>
      <c r="AM225" s="6">
        <v>33.590000000000003</v>
      </c>
      <c r="AN225" s="6">
        <v>33.76</v>
      </c>
      <c r="AO225" s="6">
        <v>32.21</v>
      </c>
      <c r="AP225" s="6">
        <v>34.090000000000003</v>
      </c>
      <c r="AQ225" s="6">
        <v>33.28</v>
      </c>
      <c r="AR225" s="6">
        <v>33.44</v>
      </c>
      <c r="AS225" s="6">
        <v>32.25</v>
      </c>
      <c r="AT225" s="6">
        <v>33.880000000000003</v>
      </c>
      <c r="AU225" s="6">
        <v>33.909999999999997</v>
      </c>
      <c r="AV225" s="6">
        <v>33.86</v>
      </c>
      <c r="AW225" s="6">
        <v>32.590000000000003</v>
      </c>
      <c r="AX225" s="6">
        <v>33.72</v>
      </c>
      <c r="AY225" s="6">
        <v>33.229999999999997</v>
      </c>
      <c r="AZ225" s="6">
        <v>34.630000000000003</v>
      </c>
      <c r="BA225" s="6">
        <v>34.630000000000003</v>
      </c>
      <c r="BB225" s="6">
        <v>35.65</v>
      </c>
      <c r="BC225" s="6">
        <v>33.49</v>
      </c>
      <c r="BD225" s="6">
        <v>32.11</v>
      </c>
      <c r="BE225" s="6">
        <v>34.18</v>
      </c>
      <c r="BF225" s="6">
        <v>34.119999999999997</v>
      </c>
      <c r="BG225" s="6">
        <v>33.14</v>
      </c>
      <c r="BH225" s="10">
        <v>34.07</v>
      </c>
      <c r="BI225" s="10"/>
    </row>
    <row r="226" spans="1:61" ht="15.75" customHeight="1" x14ac:dyDescent="0.25">
      <c r="A226" s="1">
        <v>225</v>
      </c>
      <c r="B226" s="1"/>
      <c r="C226" s="1">
        <v>12</v>
      </c>
      <c r="D226" s="6">
        <v>33.61</v>
      </c>
      <c r="E226" s="6">
        <v>32.54</v>
      </c>
      <c r="F226" s="6">
        <v>32.65</v>
      </c>
      <c r="G226" s="6"/>
      <c r="H226" s="6"/>
      <c r="I226" s="6"/>
      <c r="J226" s="9">
        <v>31.14</v>
      </c>
      <c r="K226" s="9">
        <v>32.33</v>
      </c>
      <c r="L226" s="9">
        <v>35.619999999999997</v>
      </c>
      <c r="M226" s="9">
        <v>33.68</v>
      </c>
      <c r="N226" s="9">
        <v>33.07</v>
      </c>
      <c r="O226" s="9">
        <v>33.56</v>
      </c>
      <c r="P226" s="9">
        <v>35.200000000000003</v>
      </c>
      <c r="Q226" s="9">
        <v>36.26</v>
      </c>
      <c r="R226" s="9">
        <v>35.909999999999997</v>
      </c>
      <c r="S226" s="9">
        <v>35.700000000000003</v>
      </c>
      <c r="T226" s="9">
        <v>34.24</v>
      </c>
      <c r="U226" s="9">
        <v>33.76</v>
      </c>
      <c r="V226" s="9">
        <v>35.44</v>
      </c>
      <c r="W226" s="6">
        <v>33.380000000000003</v>
      </c>
      <c r="X226" s="6">
        <v>33.020000000000003</v>
      </c>
      <c r="Y226" s="6">
        <v>32.04</v>
      </c>
      <c r="Z226" s="6">
        <v>33.65</v>
      </c>
      <c r="AA226" s="6">
        <v>33.049999999999997</v>
      </c>
      <c r="AB226" s="6">
        <v>33.53</v>
      </c>
      <c r="AC226" s="6">
        <v>33.57</v>
      </c>
      <c r="AD226" s="6">
        <v>33.54</v>
      </c>
      <c r="AE226" s="6">
        <v>33.299999999999997</v>
      </c>
      <c r="AF226" s="6">
        <v>34.049999999999997</v>
      </c>
      <c r="AG226" s="6">
        <v>32.979999999999997</v>
      </c>
      <c r="AH226" s="6">
        <v>34.729999999999997</v>
      </c>
      <c r="AI226" s="6">
        <v>32.68</v>
      </c>
      <c r="AJ226" s="6">
        <v>33.159999999999997</v>
      </c>
      <c r="AK226" s="6">
        <v>31.4</v>
      </c>
      <c r="AL226" s="6">
        <v>34.04</v>
      </c>
      <c r="AM226" s="6">
        <v>33.6</v>
      </c>
      <c r="AN226" s="6">
        <v>33.78</v>
      </c>
      <c r="AO226" s="6">
        <v>32.24</v>
      </c>
      <c r="AP226" s="6">
        <v>34.1</v>
      </c>
      <c r="AQ226" s="6">
        <v>33.26</v>
      </c>
      <c r="AR226" s="6">
        <v>33.46</v>
      </c>
      <c r="AS226" s="6">
        <v>32.26</v>
      </c>
      <c r="AT226" s="6">
        <v>33.9</v>
      </c>
      <c r="AU226" s="6">
        <v>33.9</v>
      </c>
      <c r="AV226" s="6">
        <v>33.9</v>
      </c>
      <c r="AW226" s="6">
        <v>32.65</v>
      </c>
      <c r="AX226" s="6">
        <v>33.729999999999997</v>
      </c>
      <c r="AY226" s="6">
        <v>33.24</v>
      </c>
      <c r="AZ226" s="6">
        <v>34.64</v>
      </c>
      <c r="BA226" s="6">
        <v>34.6</v>
      </c>
      <c r="BB226" s="6">
        <v>35.71</v>
      </c>
      <c r="BC226" s="6">
        <v>33.520000000000003</v>
      </c>
      <c r="BD226" s="6">
        <v>32.08</v>
      </c>
      <c r="BE226" s="6">
        <v>34.18</v>
      </c>
      <c r="BF226" s="6">
        <v>34.119999999999997</v>
      </c>
      <c r="BG226" s="6">
        <v>33.159999999999997</v>
      </c>
      <c r="BH226" s="10">
        <v>34.07</v>
      </c>
      <c r="BI226" s="10"/>
    </row>
    <row r="227" spans="1:61" ht="15.75" customHeight="1" x14ac:dyDescent="0.25">
      <c r="A227" s="1">
        <v>226</v>
      </c>
      <c r="B227" s="1"/>
      <c r="C227" s="1">
        <v>13</v>
      </c>
      <c r="D227" s="6">
        <v>33.61</v>
      </c>
      <c r="E227" s="6">
        <v>32.56</v>
      </c>
      <c r="F227" s="6">
        <v>32.65</v>
      </c>
      <c r="G227" s="6"/>
      <c r="H227" s="6"/>
      <c r="I227" s="6"/>
      <c r="J227" s="9">
        <v>31.21</v>
      </c>
      <c r="K227" s="9">
        <v>32.380000000000003</v>
      </c>
      <c r="L227" s="9">
        <v>35.630000000000003</v>
      </c>
      <c r="M227" s="9">
        <v>33.659999999999997</v>
      </c>
      <c r="N227" s="9">
        <v>33.07</v>
      </c>
      <c r="O227" s="9">
        <v>33.58</v>
      </c>
      <c r="P227" s="9">
        <v>35.200000000000003</v>
      </c>
      <c r="Q227" s="9">
        <v>36.25</v>
      </c>
      <c r="R227" s="9">
        <v>35.94</v>
      </c>
      <c r="S227" s="9">
        <v>35.75</v>
      </c>
      <c r="T227" s="9">
        <v>34.29</v>
      </c>
      <c r="U227" s="9">
        <v>33.79</v>
      </c>
      <c r="V227" s="9">
        <v>35.44</v>
      </c>
      <c r="W227" s="6">
        <v>33.42</v>
      </c>
      <c r="X227" s="6">
        <v>33.020000000000003</v>
      </c>
      <c r="Y227" s="6">
        <v>32.01</v>
      </c>
      <c r="Z227" s="6">
        <v>33.61</v>
      </c>
      <c r="AA227" s="6">
        <v>33.11</v>
      </c>
      <c r="AB227" s="6">
        <v>33.56</v>
      </c>
      <c r="AC227" s="6">
        <v>33.56</v>
      </c>
      <c r="AD227" s="6">
        <v>33.549999999999997</v>
      </c>
      <c r="AE227" s="6">
        <v>33.299999999999997</v>
      </c>
      <c r="AF227" s="6">
        <v>34.090000000000003</v>
      </c>
      <c r="AG227" s="6">
        <v>32.950000000000003</v>
      </c>
      <c r="AH227" s="6">
        <v>34.71</v>
      </c>
      <c r="AI227" s="6">
        <v>32.72</v>
      </c>
      <c r="AJ227" s="6">
        <v>33.200000000000003</v>
      </c>
      <c r="AK227" s="6">
        <v>31.47</v>
      </c>
      <c r="AL227" s="6">
        <v>34.03</v>
      </c>
      <c r="AM227" s="6">
        <v>33.61</v>
      </c>
      <c r="AN227" s="6">
        <v>33.79</v>
      </c>
      <c r="AO227" s="6">
        <v>32.28</v>
      </c>
      <c r="AP227" s="6">
        <v>34.119999999999997</v>
      </c>
      <c r="AQ227" s="6">
        <v>33.229999999999997</v>
      </c>
      <c r="AR227" s="6">
        <v>33.46</v>
      </c>
      <c r="AS227" s="6">
        <v>32.270000000000003</v>
      </c>
      <c r="AT227" s="6">
        <v>33.9</v>
      </c>
      <c r="AU227" s="6">
        <v>33.9</v>
      </c>
      <c r="AV227" s="6">
        <v>33.94</v>
      </c>
      <c r="AW227" s="6">
        <v>32.659999999999997</v>
      </c>
      <c r="AX227" s="6">
        <v>33.74</v>
      </c>
      <c r="AY227" s="6">
        <v>33.24</v>
      </c>
      <c r="AZ227" s="6">
        <v>34.700000000000003</v>
      </c>
      <c r="BA227" s="6">
        <v>34.56</v>
      </c>
      <c r="BB227" s="6">
        <v>35.770000000000003</v>
      </c>
      <c r="BC227" s="6">
        <v>33.549999999999997</v>
      </c>
      <c r="BD227" s="6">
        <v>32.049999999999997</v>
      </c>
      <c r="BE227" s="6">
        <v>34.299999999999997</v>
      </c>
      <c r="BF227" s="6">
        <v>34.14</v>
      </c>
      <c r="BG227" s="6">
        <v>33.17</v>
      </c>
      <c r="BH227" s="10">
        <v>34.020000000000003</v>
      </c>
      <c r="BI227" s="10"/>
    </row>
    <row r="228" spans="1:61" ht="15.75" customHeight="1" x14ac:dyDescent="0.25">
      <c r="A228" s="1">
        <v>227</v>
      </c>
      <c r="B228" s="1"/>
      <c r="C228" s="1">
        <v>14</v>
      </c>
      <c r="D228" s="6">
        <v>33.590000000000003</v>
      </c>
      <c r="E228" s="6">
        <v>32.58</v>
      </c>
      <c r="F228" s="6">
        <v>32.68</v>
      </c>
      <c r="G228" s="6"/>
      <c r="H228" s="6"/>
      <c r="I228" s="6"/>
      <c r="J228" s="9">
        <v>31.28</v>
      </c>
      <c r="K228" s="9">
        <v>32.479999999999997</v>
      </c>
      <c r="L228" s="9">
        <v>35.61</v>
      </c>
      <c r="M228" s="9">
        <v>33.659999999999997</v>
      </c>
      <c r="N228" s="9">
        <v>33.090000000000003</v>
      </c>
      <c r="O228" s="9">
        <v>33.590000000000003</v>
      </c>
      <c r="P228" s="9">
        <v>35.19</v>
      </c>
      <c r="Q228" s="9">
        <v>36.22</v>
      </c>
      <c r="R228" s="9">
        <v>35.94</v>
      </c>
      <c r="S228" s="9">
        <v>35.799999999999997</v>
      </c>
      <c r="T228" s="9">
        <v>34.31</v>
      </c>
      <c r="U228" s="9">
        <v>33.82</v>
      </c>
      <c r="V228" s="9">
        <v>35.43</v>
      </c>
      <c r="W228" s="6">
        <v>33.43</v>
      </c>
      <c r="X228" s="6">
        <v>33.06</v>
      </c>
      <c r="Y228" s="6">
        <v>32.01</v>
      </c>
      <c r="Z228" s="6">
        <v>33.590000000000003</v>
      </c>
      <c r="AA228" s="6">
        <v>33.19</v>
      </c>
      <c r="AB228" s="6">
        <v>33.590000000000003</v>
      </c>
      <c r="AC228" s="6">
        <v>33.57</v>
      </c>
      <c r="AD228" s="6">
        <v>33.57</v>
      </c>
      <c r="AE228" s="6">
        <v>33.29</v>
      </c>
      <c r="AF228" s="6">
        <v>34.11</v>
      </c>
      <c r="AG228" s="6">
        <v>32.950000000000003</v>
      </c>
      <c r="AH228" s="6">
        <v>34.700000000000003</v>
      </c>
      <c r="AI228" s="6">
        <v>32.82</v>
      </c>
      <c r="AJ228" s="6">
        <v>33.22</v>
      </c>
      <c r="AK228" s="6">
        <v>31.55</v>
      </c>
      <c r="AL228" s="6">
        <v>34</v>
      </c>
      <c r="AM228" s="6">
        <v>33.65</v>
      </c>
      <c r="AN228" s="6">
        <v>33.799999999999997</v>
      </c>
      <c r="AO228" s="6">
        <v>32.31</v>
      </c>
      <c r="AP228" s="6">
        <v>34.119999999999997</v>
      </c>
      <c r="AQ228" s="6">
        <v>33.21</v>
      </c>
      <c r="AR228" s="6">
        <v>33.450000000000003</v>
      </c>
      <c r="AS228" s="6">
        <v>32.28</v>
      </c>
      <c r="AT228" s="6">
        <v>33.93</v>
      </c>
      <c r="AU228" s="6">
        <v>33.9</v>
      </c>
      <c r="AV228" s="6">
        <v>33.96</v>
      </c>
      <c r="AW228" s="6">
        <v>32.659999999999997</v>
      </c>
      <c r="AX228" s="6">
        <v>33.72</v>
      </c>
      <c r="AY228" s="6">
        <v>33.28</v>
      </c>
      <c r="AZ228" s="6">
        <v>34.700000000000003</v>
      </c>
      <c r="BA228" s="6">
        <v>34.53</v>
      </c>
      <c r="BB228" s="6">
        <v>35.840000000000003</v>
      </c>
      <c r="BC228" s="6">
        <v>33.58</v>
      </c>
      <c r="BD228" s="6">
        <v>32.020000000000003</v>
      </c>
      <c r="BE228" s="6">
        <v>34.33</v>
      </c>
      <c r="BF228" s="6">
        <v>34.17</v>
      </c>
      <c r="BG228" s="6">
        <v>33.19</v>
      </c>
      <c r="BH228" s="10">
        <v>33.979999999999997</v>
      </c>
      <c r="BI228" s="10"/>
    </row>
    <row r="229" spans="1:61" ht="15.75" customHeight="1" x14ac:dyDescent="0.25">
      <c r="A229" s="1">
        <v>228</v>
      </c>
      <c r="B229" s="1"/>
      <c r="C229" s="1">
        <v>15</v>
      </c>
      <c r="D229" s="6">
        <v>33.590000000000003</v>
      </c>
      <c r="E229" s="6">
        <v>32.590000000000003</v>
      </c>
      <c r="F229" s="6">
        <v>32.72</v>
      </c>
      <c r="G229" s="6"/>
      <c r="H229" s="6"/>
      <c r="I229" s="6"/>
      <c r="J229" s="9">
        <v>31.38</v>
      </c>
      <c r="K229" s="9">
        <v>32.53</v>
      </c>
      <c r="L229" s="9">
        <v>35.630000000000003</v>
      </c>
      <c r="M229" s="9">
        <v>33.659999999999997</v>
      </c>
      <c r="N229" s="9">
        <v>33.119999999999997</v>
      </c>
      <c r="O229" s="9">
        <v>33.619999999999997</v>
      </c>
      <c r="P229" s="9">
        <v>35.17</v>
      </c>
      <c r="Q229" s="9">
        <v>36.21</v>
      </c>
      <c r="R229" s="9">
        <v>35.94</v>
      </c>
      <c r="S229" s="9">
        <v>35.83</v>
      </c>
      <c r="T229" s="9">
        <v>34.31</v>
      </c>
      <c r="U229" s="9">
        <v>33.86</v>
      </c>
      <c r="V229" s="9">
        <v>35.43</v>
      </c>
      <c r="W229" s="6">
        <v>33.450000000000003</v>
      </c>
      <c r="X229" s="6">
        <v>33.08</v>
      </c>
      <c r="Y229" s="6">
        <v>31.99</v>
      </c>
      <c r="Z229" s="6">
        <v>33.56</v>
      </c>
      <c r="AA229" s="6">
        <v>33.229999999999997</v>
      </c>
      <c r="AB229" s="6">
        <v>33.6</v>
      </c>
      <c r="AC229" s="6">
        <v>33.56</v>
      </c>
      <c r="AD229" s="6">
        <v>33.549999999999997</v>
      </c>
      <c r="AE229" s="6">
        <v>33.26</v>
      </c>
      <c r="AF229" s="6">
        <v>34.17</v>
      </c>
      <c r="AG229" s="6">
        <v>32.92</v>
      </c>
      <c r="AH229" s="6">
        <v>34.67</v>
      </c>
      <c r="AI229" s="6">
        <v>32.869999999999997</v>
      </c>
      <c r="AJ229" s="6">
        <v>33.22</v>
      </c>
      <c r="AK229" s="6">
        <v>31.63</v>
      </c>
      <c r="AL229" s="6">
        <v>33.979999999999997</v>
      </c>
      <c r="AM229" s="6">
        <v>33.659999999999997</v>
      </c>
      <c r="AN229" s="6">
        <v>33.799999999999997</v>
      </c>
      <c r="AO229" s="6">
        <v>32.340000000000003</v>
      </c>
      <c r="AP229" s="6">
        <v>34.11</v>
      </c>
      <c r="AQ229" s="6">
        <v>33.18</v>
      </c>
      <c r="AR229" s="6">
        <v>33.42</v>
      </c>
      <c r="AS229" s="6">
        <v>32.299999999999997</v>
      </c>
      <c r="AT229" s="6">
        <v>33.94</v>
      </c>
      <c r="AU229" s="6">
        <v>33.89</v>
      </c>
      <c r="AV229" s="6">
        <v>33.97</v>
      </c>
      <c r="AW229" s="6">
        <v>32.69</v>
      </c>
      <c r="AX229" s="6">
        <v>33.729999999999997</v>
      </c>
      <c r="AY229" s="6">
        <v>33.299999999999997</v>
      </c>
      <c r="AZ229" s="6">
        <v>34.69</v>
      </c>
      <c r="BA229" s="6">
        <v>34.49</v>
      </c>
      <c r="BB229" s="6">
        <v>35.909999999999997</v>
      </c>
      <c r="BC229" s="6">
        <v>33.64</v>
      </c>
      <c r="BD229" s="6">
        <v>31.98</v>
      </c>
      <c r="BE229" s="6">
        <v>34.36</v>
      </c>
      <c r="BF229" s="6">
        <v>34.17</v>
      </c>
      <c r="BG229" s="6">
        <v>33.19</v>
      </c>
      <c r="BH229" s="10">
        <v>33.94</v>
      </c>
      <c r="BI229" s="10"/>
    </row>
    <row r="230" spans="1:61" ht="15.75" customHeight="1" x14ac:dyDescent="0.25">
      <c r="A230" s="1">
        <v>229</v>
      </c>
      <c r="B230" s="1"/>
      <c r="C230" s="1">
        <v>16</v>
      </c>
      <c r="D230" s="6">
        <v>33.630000000000003</v>
      </c>
      <c r="E230" s="6">
        <v>32.590000000000003</v>
      </c>
      <c r="F230" s="6">
        <v>32.74</v>
      </c>
      <c r="G230" s="6"/>
      <c r="H230" s="6"/>
      <c r="I230" s="6"/>
      <c r="J230" s="9">
        <v>31.52</v>
      </c>
      <c r="K230" s="9">
        <v>32.58</v>
      </c>
      <c r="L230" s="9">
        <v>35.65</v>
      </c>
      <c r="M230" s="9">
        <v>33.659999999999997</v>
      </c>
      <c r="N230" s="9">
        <v>33.14</v>
      </c>
      <c r="O230" s="9">
        <v>33.619999999999997</v>
      </c>
      <c r="P230" s="9">
        <v>35.17</v>
      </c>
      <c r="Q230" s="9">
        <v>36.18</v>
      </c>
      <c r="R230" s="9">
        <v>35.94</v>
      </c>
      <c r="S230" s="9">
        <v>35.85</v>
      </c>
      <c r="T230" s="9">
        <v>34.31</v>
      </c>
      <c r="U230" s="9">
        <v>33.89</v>
      </c>
      <c r="V230" s="9">
        <v>35.42</v>
      </c>
      <c r="W230" s="6">
        <v>33.47</v>
      </c>
      <c r="X230" s="6">
        <v>33.08</v>
      </c>
      <c r="Y230" s="6">
        <v>31.99</v>
      </c>
      <c r="Z230" s="6">
        <v>33.54</v>
      </c>
      <c r="AA230" s="6">
        <v>33.29</v>
      </c>
      <c r="AB230" s="6">
        <v>33.61</v>
      </c>
      <c r="AC230" s="6">
        <v>33.57</v>
      </c>
      <c r="AD230" s="6">
        <v>33.56</v>
      </c>
      <c r="AE230" s="6">
        <v>33.229999999999997</v>
      </c>
      <c r="AF230" s="6">
        <v>34.22</v>
      </c>
      <c r="AG230" s="6">
        <v>32.9</v>
      </c>
      <c r="AH230" s="6">
        <v>34.64</v>
      </c>
      <c r="AI230" s="6">
        <v>32.92</v>
      </c>
      <c r="AJ230" s="6">
        <v>33.24</v>
      </c>
      <c r="AK230" s="6">
        <v>31.7</v>
      </c>
      <c r="AL230" s="6">
        <v>33.979999999999997</v>
      </c>
      <c r="AM230" s="6">
        <v>33.67</v>
      </c>
      <c r="AN230" s="6">
        <v>33.799999999999997</v>
      </c>
      <c r="AO230" s="6">
        <v>32.36</v>
      </c>
      <c r="AP230" s="6">
        <v>34.1</v>
      </c>
      <c r="AQ230" s="6">
        <v>33.200000000000003</v>
      </c>
      <c r="AR230" s="6">
        <v>33.39</v>
      </c>
      <c r="AS230" s="6">
        <v>32.299999999999997</v>
      </c>
      <c r="AT230" s="6">
        <v>33.950000000000003</v>
      </c>
      <c r="AU230" s="6">
        <v>33.869999999999997</v>
      </c>
      <c r="AV230" s="6">
        <v>33.979999999999997</v>
      </c>
      <c r="AW230" s="6">
        <v>32.72</v>
      </c>
      <c r="AX230" s="6">
        <v>33.72</v>
      </c>
      <c r="AY230" s="6">
        <v>33.36</v>
      </c>
      <c r="AZ230" s="6">
        <v>34.67</v>
      </c>
      <c r="BA230" s="6">
        <v>34.450000000000003</v>
      </c>
      <c r="BB230" s="6">
        <v>35.93</v>
      </c>
      <c r="BC230" s="6">
        <v>33.659999999999997</v>
      </c>
      <c r="BD230" s="6">
        <v>31.94</v>
      </c>
      <c r="BE230" s="6">
        <v>34.380000000000003</v>
      </c>
      <c r="BF230" s="6">
        <v>34.17</v>
      </c>
      <c r="BG230" s="6">
        <v>33.200000000000003</v>
      </c>
      <c r="BH230" s="10">
        <v>33.89</v>
      </c>
      <c r="BI230" s="10"/>
    </row>
    <row r="231" spans="1:61" ht="15.75" customHeight="1" x14ac:dyDescent="0.25">
      <c r="A231" s="1">
        <v>230</v>
      </c>
      <c r="B231" s="1"/>
      <c r="C231" s="1">
        <v>17</v>
      </c>
      <c r="D231" s="6">
        <v>33.56</v>
      </c>
      <c r="E231" s="6">
        <v>32.590000000000003</v>
      </c>
      <c r="F231" s="6">
        <v>32.770000000000003</v>
      </c>
      <c r="G231" s="6"/>
      <c r="H231" s="6"/>
      <c r="I231" s="6"/>
      <c r="J231" s="9">
        <v>31.59</v>
      </c>
      <c r="K231" s="9">
        <v>32.68</v>
      </c>
      <c r="L231" s="9">
        <v>35.630000000000003</v>
      </c>
      <c r="M231" s="9">
        <v>33.68</v>
      </c>
      <c r="N231" s="9">
        <v>33.159999999999997</v>
      </c>
      <c r="O231" s="9">
        <v>33.619999999999997</v>
      </c>
      <c r="P231" s="9">
        <v>35.159999999999997</v>
      </c>
      <c r="Q231" s="9">
        <v>36.14</v>
      </c>
      <c r="R231" s="9">
        <v>35.96</v>
      </c>
      <c r="S231" s="9">
        <v>35.880000000000003</v>
      </c>
      <c r="T231" s="9">
        <v>34.380000000000003</v>
      </c>
      <c r="U231" s="9">
        <v>33.909999999999997</v>
      </c>
      <c r="V231" s="9">
        <v>35.409999999999997</v>
      </c>
      <c r="W231" s="6">
        <v>33.51</v>
      </c>
      <c r="X231" s="6">
        <v>33.08</v>
      </c>
      <c r="Y231" s="6">
        <v>31.97</v>
      </c>
      <c r="Z231" s="6">
        <v>33.520000000000003</v>
      </c>
      <c r="AA231" s="6">
        <v>33.32</v>
      </c>
      <c r="AB231" s="6">
        <v>33.64</v>
      </c>
      <c r="AC231" s="6">
        <v>33.54</v>
      </c>
      <c r="AD231" s="6">
        <v>33.57</v>
      </c>
      <c r="AE231" s="6">
        <v>33.200000000000003</v>
      </c>
      <c r="AF231" s="6">
        <v>34.26</v>
      </c>
      <c r="AG231" s="6">
        <v>32.86</v>
      </c>
      <c r="AH231" s="6">
        <v>34.67</v>
      </c>
      <c r="AI231" s="6">
        <v>32.96</v>
      </c>
      <c r="AJ231" s="6">
        <v>33.26</v>
      </c>
      <c r="AK231" s="6">
        <v>31.74</v>
      </c>
      <c r="AL231" s="6">
        <v>33.96</v>
      </c>
      <c r="AM231" s="6">
        <v>33.67</v>
      </c>
      <c r="AN231" s="6">
        <v>33.85</v>
      </c>
      <c r="AO231" s="6">
        <v>32.39</v>
      </c>
      <c r="AP231" s="6">
        <v>34.1</v>
      </c>
      <c r="AQ231" s="6">
        <v>33.200000000000003</v>
      </c>
      <c r="AR231" s="6">
        <v>33.369999999999997</v>
      </c>
      <c r="AS231" s="6">
        <v>32.299999999999997</v>
      </c>
      <c r="AT231" s="6">
        <v>33.950000000000003</v>
      </c>
      <c r="AU231" s="6">
        <v>33.85</v>
      </c>
      <c r="AV231" s="6">
        <v>33.979999999999997</v>
      </c>
      <c r="AW231" s="6">
        <v>32.76</v>
      </c>
      <c r="AX231" s="6">
        <v>33.700000000000003</v>
      </c>
      <c r="AY231" s="6">
        <v>33.4</v>
      </c>
      <c r="AZ231" s="6">
        <v>34.659999999999997</v>
      </c>
      <c r="BA231" s="6">
        <v>34.409999999999997</v>
      </c>
      <c r="BB231" s="6">
        <v>35.97</v>
      </c>
      <c r="BC231" s="6">
        <v>33.700000000000003</v>
      </c>
      <c r="BD231" s="6">
        <v>31.89</v>
      </c>
      <c r="BE231" s="6">
        <v>34.39</v>
      </c>
      <c r="BF231" s="6">
        <v>34.15</v>
      </c>
      <c r="BG231" s="6">
        <v>33.21</v>
      </c>
      <c r="BH231" s="10">
        <v>33.74</v>
      </c>
      <c r="BI231" s="10"/>
    </row>
    <row r="232" spans="1:61" ht="15.75" customHeight="1" x14ac:dyDescent="0.25">
      <c r="A232" s="1">
        <v>231</v>
      </c>
      <c r="B232" s="1"/>
      <c r="C232" s="1">
        <v>18</v>
      </c>
      <c r="D232" s="6">
        <v>33.56</v>
      </c>
      <c r="E232" s="6">
        <v>32.61</v>
      </c>
      <c r="F232" s="6">
        <v>32.79</v>
      </c>
      <c r="G232" s="6"/>
      <c r="H232" s="6"/>
      <c r="I232" s="6"/>
      <c r="J232" s="9">
        <v>31.67</v>
      </c>
      <c r="K232" s="9">
        <v>32.78</v>
      </c>
      <c r="L232" s="9">
        <v>35.590000000000003</v>
      </c>
      <c r="M232" s="9">
        <v>33.71</v>
      </c>
      <c r="N232" s="9">
        <v>33.18</v>
      </c>
      <c r="O232" s="9">
        <v>33.619999999999997</v>
      </c>
      <c r="P232" s="9">
        <v>35.14</v>
      </c>
      <c r="Q232" s="9">
        <v>36.14</v>
      </c>
      <c r="R232" s="9">
        <v>35.96</v>
      </c>
      <c r="S232" s="9">
        <v>35.96</v>
      </c>
      <c r="T232" s="9">
        <v>34.409999999999997</v>
      </c>
      <c r="U232" s="9">
        <v>33.96</v>
      </c>
      <c r="V232" s="9">
        <v>35.39</v>
      </c>
      <c r="W232" s="6">
        <v>33.54</v>
      </c>
      <c r="X232" s="6">
        <v>33.08</v>
      </c>
      <c r="Y232" s="6">
        <v>31.97</v>
      </c>
      <c r="Z232" s="6">
        <v>33.47</v>
      </c>
      <c r="AA232" s="6">
        <v>33.380000000000003</v>
      </c>
      <c r="AB232" s="6">
        <v>33.65</v>
      </c>
      <c r="AC232" s="6">
        <v>33.54</v>
      </c>
      <c r="AD232" s="6">
        <v>33.590000000000003</v>
      </c>
      <c r="AE232" s="6">
        <v>33.18</v>
      </c>
      <c r="AF232" s="6">
        <v>34.29</v>
      </c>
      <c r="AG232" s="6">
        <v>32.82</v>
      </c>
      <c r="AH232" s="6">
        <v>34.65</v>
      </c>
      <c r="AI232" s="6">
        <v>33</v>
      </c>
      <c r="AJ232" s="6">
        <v>33.24</v>
      </c>
      <c r="AK232" s="6">
        <v>31.8</v>
      </c>
      <c r="AL232" s="6">
        <v>33.94</v>
      </c>
      <c r="AM232" s="6">
        <v>33.700000000000003</v>
      </c>
      <c r="AN232" s="6">
        <v>33.85</v>
      </c>
      <c r="AO232" s="6">
        <v>32.42</v>
      </c>
      <c r="AP232" s="6">
        <v>34.090000000000003</v>
      </c>
      <c r="AQ232" s="6">
        <v>33.159999999999997</v>
      </c>
      <c r="AR232" s="6">
        <v>33.340000000000003</v>
      </c>
      <c r="AS232" s="6">
        <v>32.299999999999997</v>
      </c>
      <c r="AT232" s="6">
        <v>33.950000000000003</v>
      </c>
      <c r="AU232" s="6">
        <v>33.82</v>
      </c>
      <c r="AV232" s="6">
        <v>33.99</v>
      </c>
      <c r="AW232" s="6">
        <v>32.76</v>
      </c>
      <c r="AX232" s="6">
        <v>33.72</v>
      </c>
      <c r="AY232" s="6">
        <v>33.42</v>
      </c>
      <c r="AZ232" s="6">
        <v>34.64</v>
      </c>
      <c r="BA232" s="6">
        <v>34.36</v>
      </c>
      <c r="BB232" s="6">
        <v>36.01</v>
      </c>
      <c r="BC232" s="6">
        <v>33.74</v>
      </c>
      <c r="BD232" s="6">
        <v>31.84</v>
      </c>
      <c r="BE232" s="6">
        <v>34.39</v>
      </c>
      <c r="BF232" s="6">
        <v>34.14</v>
      </c>
      <c r="BG232" s="6">
        <v>33.200000000000003</v>
      </c>
      <c r="BH232" s="10">
        <v>33.770000000000003</v>
      </c>
      <c r="BI232" s="10"/>
    </row>
    <row r="233" spans="1:61" ht="15.75" customHeight="1" x14ac:dyDescent="0.25">
      <c r="A233" s="1">
        <v>232</v>
      </c>
      <c r="B233" s="1"/>
      <c r="C233" s="1">
        <v>19</v>
      </c>
      <c r="D233" s="6">
        <v>33.54</v>
      </c>
      <c r="E233" s="6">
        <v>32.61</v>
      </c>
      <c r="F233" s="6">
        <v>32.86</v>
      </c>
      <c r="G233" s="6"/>
      <c r="H233" s="6"/>
      <c r="I233" s="6"/>
      <c r="J233" s="9">
        <v>31.74</v>
      </c>
      <c r="K233" s="9">
        <v>32.83</v>
      </c>
      <c r="L233" s="9">
        <v>35.54</v>
      </c>
      <c r="M233" s="9">
        <v>33.74</v>
      </c>
      <c r="N233" s="9">
        <v>33.200000000000003</v>
      </c>
      <c r="O233" s="9">
        <v>33.619999999999997</v>
      </c>
      <c r="P233" s="9">
        <v>35.17</v>
      </c>
      <c r="Q233" s="9">
        <v>36.130000000000003</v>
      </c>
      <c r="R233" s="9">
        <v>35.93</v>
      </c>
      <c r="S233" s="9">
        <v>35.97</v>
      </c>
      <c r="T233" s="9">
        <v>34.43</v>
      </c>
      <c r="U233" s="9">
        <v>34.04</v>
      </c>
      <c r="V233" s="9">
        <v>35.36</v>
      </c>
      <c r="W233" s="6">
        <v>33.54</v>
      </c>
      <c r="X233" s="6">
        <v>33.08</v>
      </c>
      <c r="Y233" s="6">
        <v>31.97</v>
      </c>
      <c r="Z233" s="6">
        <v>33.47</v>
      </c>
      <c r="AA233" s="6">
        <v>33.44</v>
      </c>
      <c r="AB233" s="6">
        <v>33.659999999999997</v>
      </c>
      <c r="AC233" s="6">
        <v>33.53</v>
      </c>
      <c r="AD233" s="6">
        <v>33.6</v>
      </c>
      <c r="AE233" s="6">
        <v>33.15</v>
      </c>
      <c r="AF233" s="6">
        <v>34.35</v>
      </c>
      <c r="AG233" s="6">
        <v>32.799999999999997</v>
      </c>
      <c r="AH233" s="6">
        <v>34.619999999999997</v>
      </c>
      <c r="AI233" s="6">
        <v>33.03</v>
      </c>
      <c r="AJ233" s="6">
        <v>33.229999999999997</v>
      </c>
      <c r="AK233" s="6">
        <v>31.82</v>
      </c>
      <c r="AL233" s="6">
        <v>33.93</v>
      </c>
      <c r="AM233" s="6">
        <v>33.700000000000003</v>
      </c>
      <c r="AN233" s="6">
        <v>33.85</v>
      </c>
      <c r="AO233" s="6">
        <v>32.450000000000003</v>
      </c>
      <c r="AP233" s="6">
        <v>34.090000000000003</v>
      </c>
      <c r="AQ233" s="6">
        <v>33.15</v>
      </c>
      <c r="AR233" s="6">
        <v>33.299999999999997</v>
      </c>
      <c r="AS233" s="6">
        <v>32.32</v>
      </c>
      <c r="AT233" s="6">
        <v>33.97</v>
      </c>
      <c r="AU233" s="6">
        <v>33.799999999999997</v>
      </c>
      <c r="AV233" s="6">
        <v>34</v>
      </c>
      <c r="AW233" s="6">
        <v>32.770000000000003</v>
      </c>
      <c r="AX233" s="6">
        <v>33.71</v>
      </c>
      <c r="AY233" s="6">
        <v>33.46</v>
      </c>
      <c r="AZ233" s="6">
        <v>34.64</v>
      </c>
      <c r="BA233" s="6">
        <v>34.32</v>
      </c>
      <c r="BB233" s="6">
        <v>36.049999999999997</v>
      </c>
      <c r="BC233" s="6">
        <v>33.770000000000003</v>
      </c>
      <c r="BD233" s="6">
        <v>31.78</v>
      </c>
      <c r="BE233" s="6">
        <v>34.380000000000003</v>
      </c>
      <c r="BF233" s="6">
        <v>34.119999999999997</v>
      </c>
      <c r="BG233" s="6">
        <v>33.200000000000003</v>
      </c>
      <c r="BH233" s="10">
        <v>33.71</v>
      </c>
      <c r="BI233" s="10"/>
    </row>
    <row r="234" spans="1:61" ht="15.75" customHeight="1" x14ac:dyDescent="0.25">
      <c r="A234" s="1">
        <v>233</v>
      </c>
      <c r="B234" s="1"/>
      <c r="C234" s="1">
        <v>20</v>
      </c>
      <c r="D234" s="6">
        <v>33.520000000000003</v>
      </c>
      <c r="E234" s="6">
        <v>32.61</v>
      </c>
      <c r="F234" s="6">
        <v>32.909999999999997</v>
      </c>
      <c r="G234" s="6"/>
      <c r="H234" s="6"/>
      <c r="I234" s="6"/>
      <c r="J234" s="9">
        <v>31.8</v>
      </c>
      <c r="K234" s="9">
        <v>32.880000000000003</v>
      </c>
      <c r="L234" s="9">
        <v>35.49</v>
      </c>
      <c r="M234" s="9">
        <v>33.729999999999997</v>
      </c>
      <c r="N234" s="9">
        <v>33.22</v>
      </c>
      <c r="O234" s="9">
        <v>33.619999999999997</v>
      </c>
      <c r="P234" s="9">
        <v>35.200000000000003</v>
      </c>
      <c r="Q234" s="9">
        <v>36.090000000000003</v>
      </c>
      <c r="R234" s="9">
        <v>35.92</v>
      </c>
      <c r="S234" s="9">
        <v>35.979999999999997</v>
      </c>
      <c r="T234" s="9">
        <v>34.479999999999997</v>
      </c>
      <c r="U234" s="9">
        <v>34.090000000000003</v>
      </c>
      <c r="V234" s="9">
        <v>35.369999999999997</v>
      </c>
      <c r="W234" s="6">
        <v>33.54</v>
      </c>
      <c r="X234" s="6">
        <v>33.08</v>
      </c>
      <c r="Y234" s="6">
        <v>31.95</v>
      </c>
      <c r="Z234" s="6">
        <v>33.43</v>
      </c>
      <c r="AA234" s="6">
        <v>33.49</v>
      </c>
      <c r="AB234" s="6">
        <v>33.65</v>
      </c>
      <c r="AC234" s="6">
        <v>33.51</v>
      </c>
      <c r="AD234" s="6">
        <v>33.619999999999997</v>
      </c>
      <c r="AE234" s="6">
        <v>33.11</v>
      </c>
      <c r="AF234" s="6">
        <v>34.380000000000003</v>
      </c>
      <c r="AG234" s="6">
        <v>32.74</v>
      </c>
      <c r="AH234" s="6">
        <v>34.590000000000003</v>
      </c>
      <c r="AI234" s="6">
        <v>33.06</v>
      </c>
      <c r="AJ234" s="6">
        <v>33.21</v>
      </c>
      <c r="AK234" s="6">
        <v>31.89</v>
      </c>
      <c r="AL234" s="6">
        <v>33.909999999999997</v>
      </c>
      <c r="AM234" s="6">
        <v>33.71</v>
      </c>
      <c r="AN234" s="6">
        <v>33.85</v>
      </c>
      <c r="AO234" s="6">
        <v>32.49</v>
      </c>
      <c r="AP234" s="6">
        <v>34.07</v>
      </c>
      <c r="AQ234" s="6">
        <v>33.119999999999997</v>
      </c>
      <c r="AR234" s="6">
        <v>33.29</v>
      </c>
      <c r="AS234" s="6">
        <v>32.33</v>
      </c>
      <c r="AT234" s="6">
        <v>33.97</v>
      </c>
      <c r="AU234" s="6">
        <v>33.75</v>
      </c>
      <c r="AV234" s="6">
        <v>34.020000000000003</v>
      </c>
      <c r="AW234" s="6">
        <v>32.79</v>
      </c>
      <c r="AX234" s="6">
        <v>33.72</v>
      </c>
      <c r="AY234" s="6">
        <v>33.47</v>
      </c>
      <c r="AZ234" s="6">
        <v>34.61</v>
      </c>
      <c r="BA234" s="6">
        <v>34.31</v>
      </c>
      <c r="BB234" s="6">
        <v>36.049999999999997</v>
      </c>
      <c r="BC234" s="6">
        <v>33.79</v>
      </c>
      <c r="BD234" s="6">
        <v>31.72</v>
      </c>
      <c r="BE234" s="6">
        <v>34.369999999999997</v>
      </c>
      <c r="BF234" s="6">
        <v>34.119999999999997</v>
      </c>
      <c r="BG234" s="6">
        <v>33.21</v>
      </c>
      <c r="BH234" s="10">
        <v>33.64</v>
      </c>
      <c r="BI234" s="10"/>
    </row>
    <row r="235" spans="1:61" ht="15.75" customHeight="1" x14ac:dyDescent="0.25">
      <c r="A235" s="1">
        <v>234</v>
      </c>
      <c r="B235" s="1"/>
      <c r="C235" s="1">
        <v>21</v>
      </c>
      <c r="D235" s="6">
        <v>33.47</v>
      </c>
      <c r="E235" s="6">
        <v>32.630000000000003</v>
      </c>
      <c r="F235" s="6">
        <v>32.950000000000003</v>
      </c>
      <c r="G235" s="6"/>
      <c r="H235" s="6"/>
      <c r="I235" s="6"/>
      <c r="J235" s="9">
        <v>31.87</v>
      </c>
      <c r="K235" s="9">
        <v>32.93</v>
      </c>
      <c r="L235" s="9">
        <v>35.49</v>
      </c>
      <c r="M235" s="9">
        <v>33.75</v>
      </c>
      <c r="N235" s="9">
        <v>33.25</v>
      </c>
      <c r="O235" s="9">
        <v>33.590000000000003</v>
      </c>
      <c r="P235" s="9">
        <v>35.200000000000003</v>
      </c>
      <c r="Q235" s="9">
        <v>36.049999999999997</v>
      </c>
      <c r="R235" s="9">
        <v>35.869999999999997</v>
      </c>
      <c r="S235" s="9">
        <v>35.979999999999997</v>
      </c>
      <c r="T235" s="9">
        <v>34.49</v>
      </c>
      <c r="U235" s="9">
        <v>34.130000000000003</v>
      </c>
      <c r="V235" s="9">
        <v>35.33</v>
      </c>
      <c r="W235" s="6">
        <v>33.56</v>
      </c>
      <c r="X235" s="6">
        <v>33.08</v>
      </c>
      <c r="Y235" s="6">
        <v>31.94</v>
      </c>
      <c r="Z235" s="6">
        <v>33.4</v>
      </c>
      <c r="AA235" s="6">
        <v>33.56</v>
      </c>
      <c r="AB235" s="6">
        <v>33.64</v>
      </c>
      <c r="AC235" s="6">
        <v>33.5</v>
      </c>
      <c r="AD235" s="6">
        <v>33.630000000000003</v>
      </c>
      <c r="AE235" s="6">
        <v>33.090000000000003</v>
      </c>
      <c r="AF235" s="6">
        <v>34.409999999999997</v>
      </c>
      <c r="AG235" s="6">
        <v>32.700000000000003</v>
      </c>
      <c r="AH235" s="6">
        <v>34.549999999999997</v>
      </c>
      <c r="AI235" s="6">
        <v>33.1</v>
      </c>
      <c r="AJ235" s="6">
        <v>33.200000000000003</v>
      </c>
      <c r="AK235" s="6">
        <v>31.94</v>
      </c>
      <c r="AL235" s="6">
        <v>33.9</v>
      </c>
      <c r="AM235" s="6">
        <v>33.729999999999997</v>
      </c>
      <c r="AN235" s="6">
        <v>33.86</v>
      </c>
      <c r="AO235" s="6">
        <v>32.520000000000003</v>
      </c>
      <c r="AP235" s="6">
        <v>34.049999999999997</v>
      </c>
      <c r="AQ235" s="6">
        <v>33.14</v>
      </c>
      <c r="AR235" s="6">
        <v>33.25</v>
      </c>
      <c r="AS235" s="6">
        <v>32.4</v>
      </c>
      <c r="AT235" s="6">
        <v>33.979999999999997</v>
      </c>
      <c r="AU235" s="6">
        <v>33.729999999999997</v>
      </c>
      <c r="AV235" s="6">
        <v>34.01</v>
      </c>
      <c r="AW235" s="6">
        <v>32.799999999999997</v>
      </c>
      <c r="AX235" s="6">
        <v>33.71</v>
      </c>
      <c r="AY235" s="6">
        <v>33.49</v>
      </c>
      <c r="AZ235" s="6">
        <v>34.56</v>
      </c>
      <c r="BA235" s="6">
        <v>34.299999999999997</v>
      </c>
      <c r="BB235" s="6">
        <v>36.03</v>
      </c>
      <c r="BC235" s="6">
        <v>33.81</v>
      </c>
      <c r="BD235" s="6">
        <v>31.68</v>
      </c>
      <c r="BE235" s="6">
        <v>34.340000000000003</v>
      </c>
      <c r="BF235" s="6">
        <v>34.119999999999997</v>
      </c>
      <c r="BG235" s="6">
        <v>33.200000000000003</v>
      </c>
      <c r="BH235" s="10">
        <v>33.56</v>
      </c>
      <c r="BI235" s="10"/>
    </row>
    <row r="236" spans="1:61" ht="15.75" customHeight="1" x14ac:dyDescent="0.25">
      <c r="A236" s="1">
        <v>235</v>
      </c>
      <c r="B236" s="1"/>
      <c r="C236" s="1">
        <v>22</v>
      </c>
      <c r="D236" s="6">
        <v>33.43</v>
      </c>
      <c r="E236" s="6">
        <v>32.630000000000003</v>
      </c>
      <c r="F236" s="6">
        <v>32.97</v>
      </c>
      <c r="G236" s="6"/>
      <c r="H236" s="6"/>
      <c r="I236" s="6"/>
      <c r="J236" s="9">
        <v>31.94</v>
      </c>
      <c r="K236" s="9">
        <v>32.979999999999997</v>
      </c>
      <c r="L236" s="9">
        <v>35.450000000000003</v>
      </c>
      <c r="M236" s="9">
        <v>33.75</v>
      </c>
      <c r="N236" s="9">
        <v>33.25</v>
      </c>
      <c r="O236" s="9">
        <v>33.57</v>
      </c>
      <c r="P236" s="9">
        <v>35.18</v>
      </c>
      <c r="Q236" s="9">
        <v>36.01</v>
      </c>
      <c r="R236" s="9">
        <v>35.92</v>
      </c>
      <c r="S236" s="9">
        <v>36.01</v>
      </c>
      <c r="T236" s="9">
        <v>34.5</v>
      </c>
      <c r="U236" s="9">
        <v>34.21</v>
      </c>
      <c r="V236" s="9">
        <v>35.33</v>
      </c>
      <c r="W236" s="6">
        <v>33.58</v>
      </c>
      <c r="X236" s="6">
        <v>33.04</v>
      </c>
      <c r="Y236" s="6">
        <v>31.92</v>
      </c>
      <c r="Z236" s="6">
        <v>33.380000000000003</v>
      </c>
      <c r="AA236" s="6">
        <v>33.630000000000003</v>
      </c>
      <c r="AB236" s="6">
        <v>33.619999999999997</v>
      </c>
      <c r="AC236" s="6">
        <v>33.479999999999997</v>
      </c>
      <c r="AD236" s="6">
        <v>33.65</v>
      </c>
      <c r="AE236" s="6">
        <v>33.07</v>
      </c>
      <c r="AF236" s="6">
        <v>34.409999999999997</v>
      </c>
      <c r="AG236" s="6">
        <v>32.64</v>
      </c>
      <c r="AH236" s="6">
        <v>34.5</v>
      </c>
      <c r="AI236" s="6">
        <v>33.119999999999997</v>
      </c>
      <c r="AJ236" s="6">
        <v>33.19</v>
      </c>
      <c r="AK236" s="6">
        <v>31.99</v>
      </c>
      <c r="AL236" s="6">
        <v>33.89</v>
      </c>
      <c r="AM236" s="6">
        <v>33.729999999999997</v>
      </c>
      <c r="AN236" s="6">
        <v>33.880000000000003</v>
      </c>
      <c r="AO236" s="6">
        <v>32.549999999999997</v>
      </c>
      <c r="AP236" s="6">
        <v>34.049999999999997</v>
      </c>
      <c r="AQ236" s="6">
        <v>33.15</v>
      </c>
      <c r="AR236" s="6">
        <v>33.22</v>
      </c>
      <c r="AS236" s="6">
        <v>32.4</v>
      </c>
      <c r="AT236" s="6">
        <v>33.979999999999997</v>
      </c>
      <c r="AU236" s="6">
        <v>33.68</v>
      </c>
      <c r="AV236" s="6">
        <v>34.01</v>
      </c>
      <c r="AW236" s="6">
        <v>32.81</v>
      </c>
      <c r="AX236" s="6">
        <v>33.700000000000003</v>
      </c>
      <c r="AY236" s="6">
        <v>33.5</v>
      </c>
      <c r="AZ236" s="6">
        <v>34.51</v>
      </c>
      <c r="BA236" s="6">
        <v>34.25</v>
      </c>
      <c r="BB236" s="6">
        <v>36.020000000000003</v>
      </c>
      <c r="BC236" s="6">
        <v>33.83</v>
      </c>
      <c r="BD236" s="6">
        <v>31.65</v>
      </c>
      <c r="BE236" s="6">
        <v>34.299999999999997</v>
      </c>
      <c r="BF236" s="6">
        <v>34.15</v>
      </c>
      <c r="BG236" s="6">
        <v>33.200000000000003</v>
      </c>
      <c r="BH236" s="10">
        <v>33.479999999999997</v>
      </c>
      <c r="BI236" s="10"/>
    </row>
    <row r="237" spans="1:61" ht="15.75" customHeight="1" x14ac:dyDescent="0.25">
      <c r="A237" s="1">
        <v>236</v>
      </c>
      <c r="B237" s="1"/>
      <c r="C237" s="1">
        <v>23</v>
      </c>
      <c r="D237" s="6">
        <v>33.380000000000003</v>
      </c>
      <c r="E237" s="6">
        <v>32.65</v>
      </c>
      <c r="F237" s="6">
        <v>32.99</v>
      </c>
      <c r="G237" s="6"/>
      <c r="H237" s="6"/>
      <c r="I237" s="6"/>
      <c r="J237" s="9">
        <v>32</v>
      </c>
      <c r="K237" s="9">
        <v>33.03</v>
      </c>
      <c r="L237" s="9">
        <v>35.4</v>
      </c>
      <c r="M237" s="9">
        <v>33.770000000000003</v>
      </c>
      <c r="N237" s="9">
        <v>33.28</v>
      </c>
      <c r="O237" s="9">
        <v>33.54</v>
      </c>
      <c r="P237" s="9">
        <v>35.19</v>
      </c>
      <c r="Q237" s="9">
        <v>35.97</v>
      </c>
      <c r="R237" s="9">
        <v>35.880000000000003</v>
      </c>
      <c r="S237" s="9">
        <v>36.03</v>
      </c>
      <c r="T237" s="9">
        <v>34.5</v>
      </c>
      <c r="U237" s="9">
        <v>34.24</v>
      </c>
      <c r="V237" s="9">
        <v>35.299999999999997</v>
      </c>
      <c r="W237" s="6">
        <v>33.61</v>
      </c>
      <c r="X237" s="6">
        <v>33.020000000000003</v>
      </c>
      <c r="Y237" s="6">
        <v>31.9</v>
      </c>
      <c r="Z237" s="6">
        <v>33.380000000000003</v>
      </c>
      <c r="AA237" s="6">
        <v>33.700000000000003</v>
      </c>
      <c r="AB237" s="6">
        <v>33.6</v>
      </c>
      <c r="AC237" s="6">
        <v>33.46</v>
      </c>
      <c r="AD237" s="6">
        <v>33.68</v>
      </c>
      <c r="AE237" s="6">
        <v>33.04</v>
      </c>
      <c r="AF237" s="6">
        <v>34.409999999999997</v>
      </c>
      <c r="AG237" s="6">
        <v>32.6</v>
      </c>
      <c r="AH237" s="6">
        <v>34.46</v>
      </c>
      <c r="AI237" s="6">
        <v>33.159999999999997</v>
      </c>
      <c r="AJ237" s="6">
        <v>33.17</v>
      </c>
      <c r="AK237" s="6">
        <v>32.049999999999997</v>
      </c>
      <c r="AL237" s="6">
        <v>33.880000000000003</v>
      </c>
      <c r="AM237" s="6">
        <v>33.729999999999997</v>
      </c>
      <c r="AN237" s="6">
        <v>33.880000000000003</v>
      </c>
      <c r="AO237" s="6">
        <v>32.58</v>
      </c>
      <c r="AP237" s="6">
        <v>34.03</v>
      </c>
      <c r="AQ237" s="6">
        <v>33.130000000000003</v>
      </c>
      <c r="AR237" s="6">
        <v>33.19</v>
      </c>
      <c r="AS237" s="6">
        <v>32.39</v>
      </c>
      <c r="AT237" s="6">
        <v>34</v>
      </c>
      <c r="AU237" s="6">
        <v>33.65</v>
      </c>
      <c r="AV237" s="6">
        <v>34.01</v>
      </c>
      <c r="AW237" s="6">
        <v>32.81</v>
      </c>
      <c r="AX237" s="6">
        <v>33.700000000000003</v>
      </c>
      <c r="AY237" s="6">
        <v>33.549999999999997</v>
      </c>
      <c r="AZ237" s="6">
        <v>34.5</v>
      </c>
      <c r="BA237" s="6">
        <v>34.21</v>
      </c>
      <c r="BB237" s="6">
        <v>36.06</v>
      </c>
      <c r="BC237" s="6">
        <v>33.840000000000003</v>
      </c>
      <c r="BD237" s="6">
        <v>31.61</v>
      </c>
      <c r="BE237" s="6">
        <v>34.29</v>
      </c>
      <c r="BF237" s="6">
        <v>34.14</v>
      </c>
      <c r="BG237" s="6">
        <v>33.200000000000003</v>
      </c>
      <c r="BH237" s="10">
        <v>33.4</v>
      </c>
      <c r="BI237" s="10"/>
    </row>
    <row r="238" spans="1:61" ht="15.75" customHeight="1" x14ac:dyDescent="0.25">
      <c r="A238" s="1">
        <v>237</v>
      </c>
      <c r="B238" s="1"/>
      <c r="C238" s="1">
        <v>24</v>
      </c>
      <c r="D238" s="6">
        <v>33.36</v>
      </c>
      <c r="E238" s="6">
        <v>32.68</v>
      </c>
      <c r="F238" s="6">
        <v>33.020000000000003</v>
      </c>
      <c r="G238" s="6"/>
      <c r="H238" s="6"/>
      <c r="I238" s="6"/>
      <c r="J238" s="9">
        <v>32.049999999999997</v>
      </c>
      <c r="K238" s="9">
        <v>33.08</v>
      </c>
      <c r="L238" s="9">
        <v>35.340000000000003</v>
      </c>
      <c r="M238" s="9">
        <v>33.770000000000003</v>
      </c>
      <c r="N238" s="9">
        <v>33.340000000000003</v>
      </c>
      <c r="O238" s="9">
        <v>33.520000000000003</v>
      </c>
      <c r="P238" s="9">
        <v>35.19</v>
      </c>
      <c r="Q238" s="9">
        <v>35.92</v>
      </c>
      <c r="R238" s="9">
        <v>35.85</v>
      </c>
      <c r="S238" s="9">
        <v>36.04</v>
      </c>
      <c r="T238" s="9">
        <v>34.5</v>
      </c>
      <c r="U238" s="9">
        <v>34.25</v>
      </c>
      <c r="V238" s="9">
        <v>35.200000000000003</v>
      </c>
      <c r="W238" s="6">
        <v>33.61</v>
      </c>
      <c r="X238" s="6">
        <v>32.99</v>
      </c>
      <c r="Y238" s="6">
        <v>31.88</v>
      </c>
      <c r="Z238" s="6">
        <v>33.33</v>
      </c>
      <c r="AA238" s="6">
        <v>33.75</v>
      </c>
      <c r="AB238" s="6">
        <v>33.619999999999997</v>
      </c>
      <c r="AC238" s="6">
        <v>33.44</v>
      </c>
      <c r="AD238" s="6">
        <v>33.71</v>
      </c>
      <c r="AE238" s="6">
        <v>33.049999999999997</v>
      </c>
      <c r="AF238" s="6">
        <v>34.4</v>
      </c>
      <c r="AG238" s="6">
        <v>32.549999999999997</v>
      </c>
      <c r="AH238" s="6">
        <v>34.409999999999997</v>
      </c>
      <c r="AI238" s="6">
        <v>33.17</v>
      </c>
      <c r="AJ238" s="6">
        <v>33.130000000000003</v>
      </c>
      <c r="AK238" s="6">
        <v>32.08</v>
      </c>
      <c r="AL238" s="6">
        <v>33.869999999999997</v>
      </c>
      <c r="AM238" s="6">
        <v>33.729999999999997</v>
      </c>
      <c r="AN238" s="6">
        <v>33.869999999999997</v>
      </c>
      <c r="AO238" s="6">
        <v>32.6</v>
      </c>
      <c r="AP238" s="6">
        <v>34</v>
      </c>
      <c r="AQ238" s="6">
        <v>33.130000000000003</v>
      </c>
      <c r="AR238" s="6">
        <v>33.17</v>
      </c>
      <c r="AS238" s="6">
        <v>32.380000000000003</v>
      </c>
      <c r="AT238" s="6">
        <v>34</v>
      </c>
      <c r="AU238" s="6">
        <v>33.619999999999997</v>
      </c>
      <c r="AV238" s="6">
        <v>34.01</v>
      </c>
      <c r="AW238" s="6">
        <v>32.82</v>
      </c>
      <c r="AX238" s="6">
        <v>33.71</v>
      </c>
      <c r="AY238" s="6">
        <v>33.57</v>
      </c>
      <c r="AZ238" s="6">
        <v>34.46</v>
      </c>
      <c r="BA238" s="6">
        <v>34.159999999999997</v>
      </c>
      <c r="BB238" s="6">
        <v>36.04</v>
      </c>
      <c r="BC238" s="6">
        <v>33.86</v>
      </c>
      <c r="BD238" s="6">
        <v>31.58</v>
      </c>
      <c r="BE238" s="6">
        <v>34.24</v>
      </c>
      <c r="BF238" s="6">
        <v>34.14</v>
      </c>
      <c r="BG238" s="6">
        <v>33.21</v>
      </c>
      <c r="BH238" s="10">
        <v>33.32</v>
      </c>
      <c r="BI238" s="10"/>
    </row>
    <row r="239" spans="1:61" ht="15.75" customHeight="1" x14ac:dyDescent="0.25">
      <c r="A239" s="1">
        <v>238</v>
      </c>
      <c r="B239" s="1"/>
      <c r="C239" s="1">
        <v>25</v>
      </c>
      <c r="D239" s="6">
        <v>33.31</v>
      </c>
      <c r="E239" s="6">
        <v>32.68</v>
      </c>
      <c r="F239" s="6">
        <v>33.020000000000003</v>
      </c>
      <c r="G239" s="6"/>
      <c r="H239" s="6"/>
      <c r="I239" s="6"/>
      <c r="J239" s="9">
        <v>32.11</v>
      </c>
      <c r="K239" s="9">
        <v>33.18</v>
      </c>
      <c r="L239" s="9">
        <v>35.299999999999997</v>
      </c>
      <c r="M239" s="9">
        <v>33.78</v>
      </c>
      <c r="N239" s="9">
        <v>33.380000000000003</v>
      </c>
      <c r="O239" s="9">
        <v>33.5</v>
      </c>
      <c r="P239" s="9">
        <v>35.17</v>
      </c>
      <c r="Q239" s="9">
        <v>35.9</v>
      </c>
      <c r="R239" s="9">
        <v>35.82</v>
      </c>
      <c r="S239" s="9">
        <v>36.04</v>
      </c>
      <c r="T239" s="9">
        <v>34.5</v>
      </c>
      <c r="U239" s="9">
        <v>34.270000000000003</v>
      </c>
      <c r="V239" s="9">
        <v>35.22</v>
      </c>
      <c r="W239" s="6">
        <v>33.630000000000003</v>
      </c>
      <c r="X239" s="6">
        <v>32.97</v>
      </c>
      <c r="Y239" s="6">
        <v>31.85</v>
      </c>
      <c r="Z239" s="6">
        <v>33.29</v>
      </c>
      <c r="AA239" s="6">
        <v>33.840000000000003</v>
      </c>
      <c r="AB239" s="6">
        <v>33.67</v>
      </c>
      <c r="AC239" s="6">
        <v>33.32</v>
      </c>
      <c r="AD239" s="6">
        <v>33.799999999999997</v>
      </c>
      <c r="AE239" s="6">
        <v>33.03</v>
      </c>
      <c r="AF239" s="6">
        <v>34.39</v>
      </c>
      <c r="AG239" s="6">
        <v>32.520000000000003</v>
      </c>
      <c r="AH239" s="6">
        <v>34.340000000000003</v>
      </c>
      <c r="AI239" s="6">
        <v>33.159999999999997</v>
      </c>
      <c r="AJ239" s="6">
        <v>33.1</v>
      </c>
      <c r="AK239" s="6">
        <v>32.1</v>
      </c>
      <c r="AL239" s="6">
        <v>33.85</v>
      </c>
      <c r="AM239" s="6">
        <v>33.72</v>
      </c>
      <c r="AN239" s="6">
        <v>33.85</v>
      </c>
      <c r="AO239" s="6">
        <v>32.65</v>
      </c>
      <c r="AP239" s="6">
        <v>33.99</v>
      </c>
      <c r="AQ239" s="6">
        <v>33.15</v>
      </c>
      <c r="AR239" s="6">
        <v>33.14</v>
      </c>
      <c r="AS239" s="6">
        <v>32.380000000000003</v>
      </c>
      <c r="AT239" s="6">
        <v>34</v>
      </c>
      <c r="AU239" s="6">
        <v>33.619999999999997</v>
      </c>
      <c r="AV239" s="6">
        <v>33.99</v>
      </c>
      <c r="AW239" s="6">
        <v>32.81</v>
      </c>
      <c r="AX239" s="6">
        <v>33.72</v>
      </c>
      <c r="AY239" s="6">
        <v>33.590000000000003</v>
      </c>
      <c r="AZ239" s="6">
        <v>34.409999999999997</v>
      </c>
      <c r="BA239" s="6">
        <v>34.11</v>
      </c>
      <c r="BB239" s="6">
        <v>36</v>
      </c>
      <c r="BC239" s="6">
        <v>33.869999999999997</v>
      </c>
      <c r="BD239" s="6">
        <v>31.55</v>
      </c>
      <c r="BE239" s="6">
        <v>34.22</v>
      </c>
      <c r="BF239" s="6">
        <v>34.14</v>
      </c>
      <c r="BG239" s="6">
        <v>33.18</v>
      </c>
      <c r="BH239" s="10">
        <v>33.26</v>
      </c>
      <c r="BI239" s="10"/>
    </row>
    <row r="240" spans="1:61" ht="15.75" customHeight="1" x14ac:dyDescent="0.25">
      <c r="A240" s="1">
        <v>239</v>
      </c>
      <c r="B240" s="1"/>
      <c r="C240" s="1">
        <v>26</v>
      </c>
      <c r="D240" s="6">
        <v>33.24</v>
      </c>
      <c r="E240" s="6">
        <v>32.65</v>
      </c>
      <c r="F240" s="6">
        <v>33</v>
      </c>
      <c r="G240" s="6"/>
      <c r="H240" s="6"/>
      <c r="I240" s="6"/>
      <c r="J240" s="9">
        <v>32.130000000000003</v>
      </c>
      <c r="K240" s="9">
        <v>33.229999999999997</v>
      </c>
      <c r="L240" s="9">
        <v>35.28</v>
      </c>
      <c r="M240" s="9">
        <v>33.78</v>
      </c>
      <c r="N240" s="9">
        <v>33.4</v>
      </c>
      <c r="O240" s="9">
        <v>33.47</v>
      </c>
      <c r="P240" s="9">
        <v>35.17</v>
      </c>
      <c r="Q240" s="9">
        <v>35.869999999999997</v>
      </c>
      <c r="R240" s="9">
        <v>35.79</v>
      </c>
      <c r="S240" s="9">
        <v>36.020000000000003</v>
      </c>
      <c r="T240" s="9">
        <v>34.479999999999997</v>
      </c>
      <c r="U240" s="9">
        <v>34.31</v>
      </c>
      <c r="V240" s="9">
        <v>35.17</v>
      </c>
      <c r="W240" s="6">
        <v>33.65</v>
      </c>
      <c r="X240" s="6">
        <v>32.950000000000003</v>
      </c>
      <c r="Y240" s="6">
        <v>31.88</v>
      </c>
      <c r="Z240" s="6">
        <v>33.25</v>
      </c>
      <c r="AA240" s="6">
        <v>33.880000000000003</v>
      </c>
      <c r="AB240" s="6">
        <v>33.659999999999997</v>
      </c>
      <c r="AC240" s="6">
        <v>33.4</v>
      </c>
      <c r="AD240" s="6">
        <v>33.85</v>
      </c>
      <c r="AE240" s="6">
        <v>33.01</v>
      </c>
      <c r="AF240" s="6">
        <v>34.369999999999997</v>
      </c>
      <c r="AG240" s="6">
        <v>32.479999999999997</v>
      </c>
      <c r="AH240" s="6">
        <v>34.270000000000003</v>
      </c>
      <c r="AI240" s="6">
        <v>33.14</v>
      </c>
      <c r="AJ240" s="6">
        <v>33.08</v>
      </c>
      <c r="AK240" s="6">
        <v>32.119999999999997</v>
      </c>
      <c r="AL240" s="6">
        <v>33.83</v>
      </c>
      <c r="AM240" s="6">
        <v>33.72</v>
      </c>
      <c r="AN240" s="6">
        <v>33.840000000000003</v>
      </c>
      <c r="AO240" s="6">
        <v>32.65</v>
      </c>
      <c r="AP240" s="6">
        <v>33.950000000000003</v>
      </c>
      <c r="AQ240" s="6">
        <v>33.18</v>
      </c>
      <c r="AR240" s="6">
        <v>33.11</v>
      </c>
      <c r="AS240" s="6">
        <v>32.380000000000003</v>
      </c>
      <c r="AT240" s="6">
        <v>33.979999999999997</v>
      </c>
      <c r="AU240" s="6">
        <v>33.58</v>
      </c>
      <c r="AV240" s="6">
        <v>34</v>
      </c>
      <c r="AW240" s="6">
        <v>32.82</v>
      </c>
      <c r="AX240" s="6">
        <v>33.72</v>
      </c>
      <c r="AY240" s="6">
        <v>33.6</v>
      </c>
      <c r="AZ240" s="6">
        <v>34.380000000000003</v>
      </c>
      <c r="BA240" s="6">
        <v>34.06</v>
      </c>
      <c r="BB240" s="6">
        <v>35.96</v>
      </c>
      <c r="BC240" s="6">
        <v>33.880000000000003</v>
      </c>
      <c r="BD240" s="6">
        <v>31.54</v>
      </c>
      <c r="BE240" s="6">
        <v>34.15</v>
      </c>
      <c r="BF240" s="6">
        <v>34.14</v>
      </c>
      <c r="BG240" s="6">
        <v>33.159999999999997</v>
      </c>
      <c r="BH240" s="10">
        <v>33.159999999999997</v>
      </c>
      <c r="BI240" s="10"/>
    </row>
    <row r="241" spans="1:61" ht="15.75" customHeight="1" x14ac:dyDescent="0.25">
      <c r="A241" s="1">
        <v>240</v>
      </c>
      <c r="B241" s="1"/>
      <c r="C241" s="1">
        <v>27</v>
      </c>
      <c r="D241" s="6">
        <v>33.200000000000003</v>
      </c>
      <c r="E241" s="6">
        <v>32.68</v>
      </c>
      <c r="F241" s="6">
        <v>33</v>
      </c>
      <c r="G241" s="6"/>
      <c r="H241" s="6"/>
      <c r="I241" s="6"/>
      <c r="J241" s="9">
        <v>32.14</v>
      </c>
      <c r="K241" s="9">
        <v>33.229999999999997</v>
      </c>
      <c r="L241" s="9">
        <v>35.229999999999997</v>
      </c>
      <c r="M241" s="9">
        <v>33.799999999999997</v>
      </c>
      <c r="N241" s="9">
        <v>33.4</v>
      </c>
      <c r="O241" s="9">
        <v>33.43</v>
      </c>
      <c r="P241" s="9">
        <v>35.15</v>
      </c>
      <c r="Q241" s="9">
        <v>35.82</v>
      </c>
      <c r="R241" s="9">
        <v>35.75</v>
      </c>
      <c r="S241" s="9">
        <v>36.020000000000003</v>
      </c>
      <c r="T241" s="9">
        <v>34.479999999999997</v>
      </c>
      <c r="U241" s="9">
        <v>34.36</v>
      </c>
      <c r="V241" s="9">
        <v>35.130000000000003</v>
      </c>
      <c r="W241" s="6">
        <v>33.68</v>
      </c>
      <c r="X241" s="6">
        <v>32.93</v>
      </c>
      <c r="Y241" s="6">
        <v>31.85</v>
      </c>
      <c r="Z241" s="6">
        <v>33.200000000000003</v>
      </c>
      <c r="AA241" s="6">
        <v>33.92</v>
      </c>
      <c r="AB241" s="6">
        <v>33.64</v>
      </c>
      <c r="AC241" s="6">
        <v>33.4</v>
      </c>
      <c r="AD241" s="6">
        <v>33.89</v>
      </c>
      <c r="AE241" s="6">
        <v>32.99</v>
      </c>
      <c r="AF241" s="6">
        <v>34.340000000000003</v>
      </c>
      <c r="AG241" s="6">
        <v>32.46</v>
      </c>
      <c r="AH241" s="6">
        <v>34.24</v>
      </c>
      <c r="AI241" s="6">
        <v>33.130000000000003</v>
      </c>
      <c r="AJ241" s="6">
        <v>33.049999999999997</v>
      </c>
      <c r="AK241" s="6">
        <v>32.14</v>
      </c>
      <c r="AL241" s="6">
        <v>33.81</v>
      </c>
      <c r="AM241" s="6">
        <v>33.71</v>
      </c>
      <c r="AN241" s="6">
        <v>33.83</v>
      </c>
      <c r="AO241" s="6">
        <v>32.64</v>
      </c>
      <c r="AP241" s="6">
        <v>33.92</v>
      </c>
      <c r="AQ241" s="6">
        <v>33.200000000000003</v>
      </c>
      <c r="AR241" s="6">
        <v>33.08</v>
      </c>
      <c r="AS241" s="6">
        <v>32.36</v>
      </c>
      <c r="AT241" s="6">
        <v>33.97</v>
      </c>
      <c r="AU241" s="6">
        <v>33.549999999999997</v>
      </c>
      <c r="AV241" s="6">
        <v>34.01</v>
      </c>
      <c r="AW241" s="6">
        <v>32.85</v>
      </c>
      <c r="AX241" s="6">
        <v>33.770000000000003</v>
      </c>
      <c r="AY241" s="6">
        <v>33.6</v>
      </c>
      <c r="AZ241" s="6">
        <v>34.340000000000003</v>
      </c>
      <c r="BA241" s="6">
        <v>34.01</v>
      </c>
      <c r="BB241" s="6">
        <v>35.93</v>
      </c>
      <c r="BC241" s="6">
        <v>33.880000000000003</v>
      </c>
      <c r="BD241" s="6">
        <v>31.54</v>
      </c>
      <c r="BE241" s="6">
        <v>34.119999999999997</v>
      </c>
      <c r="BF241" s="6">
        <v>34.14</v>
      </c>
      <c r="BG241" s="6">
        <v>33.119999999999997</v>
      </c>
      <c r="BH241" s="10">
        <v>33.06</v>
      </c>
      <c r="BI241" s="10"/>
    </row>
    <row r="242" spans="1:61" ht="15.75" customHeight="1" x14ac:dyDescent="0.25">
      <c r="A242" s="1">
        <v>241</v>
      </c>
      <c r="B242" s="1"/>
      <c r="C242" s="1">
        <v>28</v>
      </c>
      <c r="D242" s="6">
        <v>33.15</v>
      </c>
      <c r="E242" s="6">
        <v>32.68</v>
      </c>
      <c r="F242" s="6">
        <v>32.99</v>
      </c>
      <c r="G242" s="6"/>
      <c r="H242" s="6"/>
      <c r="I242" s="6"/>
      <c r="J242" s="9">
        <v>32.130000000000003</v>
      </c>
      <c r="K242" s="9">
        <v>33.28</v>
      </c>
      <c r="L242" s="9">
        <v>35.18</v>
      </c>
      <c r="M242" s="9">
        <v>33.799999999999997</v>
      </c>
      <c r="N242" s="9">
        <v>33.43</v>
      </c>
      <c r="O242" s="9">
        <v>33.369999999999997</v>
      </c>
      <c r="P242" s="9">
        <v>35.15</v>
      </c>
      <c r="Q242" s="9">
        <v>35.78</v>
      </c>
      <c r="R242" s="9">
        <v>35.72</v>
      </c>
      <c r="S242" s="9">
        <v>36.020000000000003</v>
      </c>
      <c r="T242" s="9">
        <v>34.520000000000003</v>
      </c>
      <c r="U242" s="9">
        <v>34.36</v>
      </c>
      <c r="V242" s="9">
        <v>35.07</v>
      </c>
      <c r="W242" s="6">
        <v>33.700000000000003</v>
      </c>
      <c r="X242" s="6">
        <v>32.950000000000003</v>
      </c>
      <c r="Y242" s="6">
        <v>31.79</v>
      </c>
      <c r="Z242" s="6">
        <v>33.18</v>
      </c>
      <c r="AA242" s="6">
        <v>33.97</v>
      </c>
      <c r="AB242" s="6">
        <v>33.67</v>
      </c>
      <c r="AC242" s="6">
        <v>33.39</v>
      </c>
      <c r="AD242" s="6">
        <v>33.92</v>
      </c>
      <c r="AE242" s="6">
        <v>32.979999999999997</v>
      </c>
      <c r="AF242" s="6">
        <v>34.299999999999997</v>
      </c>
      <c r="AG242" s="6">
        <v>32.43</v>
      </c>
      <c r="AH242" s="6">
        <v>34.200000000000003</v>
      </c>
      <c r="AI242" s="6">
        <v>33.119999999999997</v>
      </c>
      <c r="AJ242" s="6">
        <v>33.020000000000003</v>
      </c>
      <c r="AK242" s="6">
        <v>32.14</v>
      </c>
      <c r="AL242" s="6">
        <v>33.79</v>
      </c>
      <c r="AM242" s="6">
        <v>33.700000000000003</v>
      </c>
      <c r="AN242" s="6">
        <v>33.83</v>
      </c>
      <c r="AO242" s="6">
        <v>32.630000000000003</v>
      </c>
      <c r="AP242" s="6">
        <v>33.880000000000003</v>
      </c>
      <c r="AQ242" s="6">
        <v>33.21</v>
      </c>
      <c r="AR242" s="6">
        <v>33.04</v>
      </c>
      <c r="AS242" s="6">
        <v>32.340000000000003</v>
      </c>
      <c r="AT242" s="6">
        <v>33.97</v>
      </c>
      <c r="AU242" s="6">
        <v>33.5</v>
      </c>
      <c r="AV242" s="6">
        <v>34</v>
      </c>
      <c r="AW242" s="6">
        <v>32.83</v>
      </c>
      <c r="AX242" s="6">
        <v>33.82</v>
      </c>
      <c r="AY242" s="6">
        <v>33.61</v>
      </c>
      <c r="AZ242" s="6">
        <v>34.31</v>
      </c>
      <c r="BA242" s="6">
        <v>33.950000000000003</v>
      </c>
      <c r="BB242" s="6">
        <v>35.9</v>
      </c>
      <c r="BC242" s="6">
        <v>33.89</v>
      </c>
      <c r="BD242" s="6">
        <v>31.51</v>
      </c>
      <c r="BE242" s="6">
        <v>34.1</v>
      </c>
      <c r="BF242" s="6">
        <v>34.119999999999997</v>
      </c>
      <c r="BG242" s="6">
        <v>33.08</v>
      </c>
      <c r="BH242" s="10">
        <v>32.99</v>
      </c>
      <c r="BI242" s="10"/>
    </row>
    <row r="243" spans="1:61" ht="15.75" customHeight="1" x14ac:dyDescent="0.25">
      <c r="A243" s="1">
        <v>242</v>
      </c>
      <c r="B243" s="1"/>
      <c r="C243" s="1">
        <v>29</v>
      </c>
      <c r="D243" s="6">
        <v>33.090000000000003</v>
      </c>
      <c r="E243" s="6">
        <v>32.700000000000003</v>
      </c>
      <c r="F243" s="6">
        <v>32.950000000000003</v>
      </c>
      <c r="G243" s="6"/>
      <c r="H243" s="6"/>
      <c r="I243" s="6"/>
      <c r="J243" s="9">
        <v>32.090000000000003</v>
      </c>
      <c r="K243" s="9">
        <v>33.28</v>
      </c>
      <c r="L243" s="9">
        <v>35.119999999999997</v>
      </c>
      <c r="M243" s="9">
        <v>33.78</v>
      </c>
      <c r="N243" s="9">
        <v>33.43</v>
      </c>
      <c r="O243" s="9">
        <v>33.369999999999997</v>
      </c>
      <c r="P243" s="9">
        <v>35.15</v>
      </c>
      <c r="Q243" s="9">
        <v>35.729999999999997</v>
      </c>
      <c r="R243" s="9">
        <v>35.71</v>
      </c>
      <c r="S243" s="9">
        <v>36.01</v>
      </c>
      <c r="T243" s="9">
        <v>34.53</v>
      </c>
      <c r="U243" s="9">
        <v>34.39</v>
      </c>
      <c r="V243" s="9">
        <v>35.04</v>
      </c>
      <c r="W243" s="6">
        <v>33.700000000000003</v>
      </c>
      <c r="X243" s="6">
        <v>32.93</v>
      </c>
      <c r="Y243" s="6">
        <v>31.81</v>
      </c>
      <c r="Z243" s="6">
        <v>33.15</v>
      </c>
      <c r="AA243" s="6">
        <v>34.020000000000003</v>
      </c>
      <c r="AB243" s="6">
        <v>33.67</v>
      </c>
      <c r="AC243" s="6">
        <v>33.36</v>
      </c>
      <c r="AD243" s="6">
        <v>33.99</v>
      </c>
      <c r="AE243" s="6">
        <v>32.96</v>
      </c>
      <c r="AF243" s="6">
        <v>34.270000000000003</v>
      </c>
      <c r="AG243" s="6">
        <v>32.39</v>
      </c>
      <c r="AH243" s="6">
        <v>34.15</v>
      </c>
      <c r="AI243" s="6">
        <v>33.090000000000003</v>
      </c>
      <c r="AJ243" s="6">
        <v>33</v>
      </c>
      <c r="AK243" s="6">
        <v>32.14</v>
      </c>
      <c r="AL243" s="6">
        <v>33.78</v>
      </c>
      <c r="AM243" s="6">
        <v>33.700000000000003</v>
      </c>
      <c r="AN243" s="6">
        <v>33.82</v>
      </c>
      <c r="AO243" s="6">
        <v>32.61</v>
      </c>
      <c r="AP243" s="6">
        <v>33.86</v>
      </c>
      <c r="AQ243" s="6">
        <v>33.21</v>
      </c>
      <c r="AR243" s="6">
        <v>32.92</v>
      </c>
      <c r="AS243" s="6">
        <v>32.32</v>
      </c>
      <c r="AT243" s="6">
        <v>33.96</v>
      </c>
      <c r="AU243" s="6">
        <v>33.46</v>
      </c>
      <c r="AV243" s="6">
        <v>34</v>
      </c>
      <c r="AW243" s="6">
        <v>32.85</v>
      </c>
      <c r="AX243" s="6">
        <v>33.83</v>
      </c>
      <c r="AY243" s="6">
        <v>33.619999999999997</v>
      </c>
      <c r="AZ243" s="6">
        <v>34.25</v>
      </c>
      <c r="BA243" s="6">
        <v>33.880000000000003</v>
      </c>
      <c r="BB243" s="6">
        <v>35.85</v>
      </c>
      <c r="BC243" s="6">
        <v>33.89</v>
      </c>
      <c r="BD243" s="6">
        <v>31.49</v>
      </c>
      <c r="BE243" s="6">
        <v>34.08</v>
      </c>
      <c r="BF243" s="6">
        <v>34.14</v>
      </c>
      <c r="BG243" s="6">
        <v>33.04</v>
      </c>
      <c r="BH243" s="10">
        <v>32.9</v>
      </c>
      <c r="BI243" s="10"/>
    </row>
    <row r="244" spans="1:61" ht="15.75" customHeight="1" x14ac:dyDescent="0.25">
      <c r="A244" s="1">
        <v>243</v>
      </c>
      <c r="B244" s="1"/>
      <c r="C244" s="1">
        <v>30</v>
      </c>
      <c r="D244" s="6">
        <v>33.06</v>
      </c>
      <c r="E244" s="6">
        <v>32.65</v>
      </c>
      <c r="F244" s="6">
        <v>32.93</v>
      </c>
      <c r="G244" s="6"/>
      <c r="H244" s="6"/>
      <c r="I244" s="6"/>
      <c r="J244" s="9">
        <v>32.090000000000003</v>
      </c>
      <c r="K244" s="9">
        <v>33.33</v>
      </c>
      <c r="L244" s="9">
        <v>35.07</v>
      </c>
      <c r="M244" s="9">
        <v>33.799999999999997</v>
      </c>
      <c r="N244" s="9">
        <v>33.43</v>
      </c>
      <c r="O244" s="9">
        <v>33.299999999999997</v>
      </c>
      <c r="P244" s="9">
        <v>35.15</v>
      </c>
      <c r="Q244" s="9">
        <v>35.68</v>
      </c>
      <c r="R244" s="9">
        <v>35.700000000000003</v>
      </c>
      <c r="S244" s="9">
        <v>35.99</v>
      </c>
      <c r="T244" s="9">
        <v>34.53</v>
      </c>
      <c r="U244" s="9">
        <v>34.409999999999997</v>
      </c>
      <c r="V244" s="9">
        <v>35.01</v>
      </c>
      <c r="W244" s="6">
        <v>33.700000000000003</v>
      </c>
      <c r="X244" s="6">
        <v>32.93</v>
      </c>
      <c r="Y244" s="6">
        <v>31.79</v>
      </c>
      <c r="Z244" s="6">
        <v>33.11</v>
      </c>
      <c r="AA244" s="6">
        <v>34.049999999999997</v>
      </c>
      <c r="AB244" s="6">
        <v>33.64</v>
      </c>
      <c r="AC244" s="6">
        <v>33.35</v>
      </c>
      <c r="AD244" s="6">
        <v>34.020000000000003</v>
      </c>
      <c r="AE244" s="6">
        <v>32.94</v>
      </c>
      <c r="AF244" s="6">
        <v>34.22</v>
      </c>
      <c r="AG244" s="6">
        <v>32.35</v>
      </c>
      <c r="AH244" s="6">
        <v>34.1</v>
      </c>
      <c r="AI244" s="6">
        <v>33.020000000000003</v>
      </c>
      <c r="AJ244" s="6">
        <v>32.950000000000003</v>
      </c>
      <c r="AK244" s="6">
        <v>32.14</v>
      </c>
      <c r="AL244" s="6">
        <v>33.76</v>
      </c>
      <c r="AM244" s="6">
        <v>33.69</v>
      </c>
      <c r="AN244" s="6">
        <v>33.79</v>
      </c>
      <c r="AO244" s="6">
        <v>32.590000000000003</v>
      </c>
      <c r="AP244" s="6">
        <v>33.83</v>
      </c>
      <c r="AQ244" s="6">
        <v>33.200000000000003</v>
      </c>
      <c r="AR244" s="6">
        <v>32.9</v>
      </c>
      <c r="AS244" s="6">
        <v>32.299999999999997</v>
      </c>
      <c r="AT244" s="6">
        <v>33.93</v>
      </c>
      <c r="AU244" s="6">
        <v>33.409999999999997</v>
      </c>
      <c r="AV244" s="6">
        <v>33.979999999999997</v>
      </c>
      <c r="AW244" s="6">
        <v>32.909999999999997</v>
      </c>
      <c r="AX244" s="6">
        <v>33.840000000000003</v>
      </c>
      <c r="AY244" s="6">
        <v>33.65</v>
      </c>
      <c r="AZ244" s="6">
        <v>34.200000000000003</v>
      </c>
      <c r="BA244" s="6">
        <v>33.799999999999997</v>
      </c>
      <c r="BB244" s="6">
        <v>35.799999999999997</v>
      </c>
      <c r="BC244" s="6">
        <v>33.9</v>
      </c>
      <c r="BD244" s="6">
        <v>31.47</v>
      </c>
      <c r="BE244" s="6">
        <v>34.06</v>
      </c>
      <c r="BF244" s="6">
        <v>34.14</v>
      </c>
      <c r="BG244" s="6">
        <v>32.97</v>
      </c>
      <c r="BH244" s="10">
        <v>32.799999999999997</v>
      </c>
      <c r="BI244" s="10"/>
    </row>
    <row r="245" spans="1:61" ht="15.75" customHeight="1" x14ac:dyDescent="0.25">
      <c r="A245" s="1">
        <v>244</v>
      </c>
      <c r="B245" s="1"/>
      <c r="C245" s="1">
        <v>31</v>
      </c>
      <c r="D245" s="6">
        <v>33.06</v>
      </c>
      <c r="E245" s="6">
        <v>32.659999999999997</v>
      </c>
      <c r="F245" s="6">
        <v>32.9</v>
      </c>
      <c r="G245" s="6"/>
      <c r="H245" s="6"/>
      <c r="I245" s="6"/>
      <c r="J245" s="9">
        <v>32.020000000000003</v>
      </c>
      <c r="K245" s="9">
        <v>33.380000000000003</v>
      </c>
      <c r="L245" s="9">
        <v>35.03</v>
      </c>
      <c r="M245" s="9">
        <v>33.799999999999997</v>
      </c>
      <c r="N245" s="9">
        <v>33.43</v>
      </c>
      <c r="O245" s="9">
        <v>33.270000000000003</v>
      </c>
      <c r="P245" s="9">
        <v>35.130000000000003</v>
      </c>
      <c r="Q245" s="9">
        <v>35.630000000000003</v>
      </c>
      <c r="R245" s="9">
        <v>35.729999999999997</v>
      </c>
      <c r="S245" s="9">
        <v>35.979999999999997</v>
      </c>
      <c r="T245" s="9">
        <v>34.56</v>
      </c>
      <c r="U245" s="9">
        <v>34.44</v>
      </c>
      <c r="V245" s="9">
        <v>34.979999999999997</v>
      </c>
      <c r="W245" s="6">
        <v>33.700000000000003</v>
      </c>
      <c r="X245" s="6">
        <v>32.93</v>
      </c>
      <c r="Y245" s="6">
        <v>31.78</v>
      </c>
      <c r="Z245" s="6">
        <v>33.06</v>
      </c>
      <c r="AA245" s="6">
        <v>34.049999999999997</v>
      </c>
      <c r="AB245" s="6">
        <v>33.619999999999997</v>
      </c>
      <c r="AC245" s="6">
        <v>33.31</v>
      </c>
      <c r="AD245" s="6">
        <v>34.07</v>
      </c>
      <c r="AE245" s="6">
        <v>32.92</v>
      </c>
      <c r="AF245" s="6">
        <v>34.18</v>
      </c>
      <c r="AG245" s="6">
        <v>32.31</v>
      </c>
      <c r="AH245" s="6">
        <v>34.06</v>
      </c>
      <c r="AI245" s="6">
        <v>32.99</v>
      </c>
      <c r="AJ245" s="6">
        <v>32.9</v>
      </c>
      <c r="AK245" s="6">
        <v>32.1</v>
      </c>
      <c r="AL245" s="6">
        <v>33.74</v>
      </c>
      <c r="AM245" s="6">
        <v>33.67</v>
      </c>
      <c r="AN245" s="6">
        <v>33.75</v>
      </c>
      <c r="AO245" s="6">
        <v>32.549999999999997</v>
      </c>
      <c r="AP245" s="6">
        <v>33.79</v>
      </c>
      <c r="AQ245" s="6">
        <v>33.24</v>
      </c>
      <c r="AR245" s="6">
        <v>32.880000000000003</v>
      </c>
      <c r="AS245" s="6">
        <v>32.270000000000003</v>
      </c>
      <c r="AT245" s="6">
        <v>33.9</v>
      </c>
      <c r="AU245" s="6">
        <v>33.369999999999997</v>
      </c>
      <c r="AV245" s="6">
        <v>33.96</v>
      </c>
      <c r="AW245" s="6">
        <v>32.909999999999997</v>
      </c>
      <c r="AX245" s="6">
        <v>33.83</v>
      </c>
      <c r="AY245" s="6">
        <v>33.67</v>
      </c>
      <c r="AZ245" s="6">
        <v>34.159999999999997</v>
      </c>
      <c r="BA245" s="6">
        <v>33.74</v>
      </c>
      <c r="BB245" s="6">
        <v>35.76</v>
      </c>
      <c r="BC245" s="6">
        <v>33.9</v>
      </c>
      <c r="BD245" s="6">
        <v>31.45</v>
      </c>
      <c r="BE245" s="6">
        <v>34.020000000000003</v>
      </c>
      <c r="BF245" s="6">
        <v>34.14</v>
      </c>
      <c r="BG245" s="6">
        <v>32.9</v>
      </c>
      <c r="BH245" s="10">
        <v>32.700000000000003</v>
      </c>
      <c r="BI245" s="10"/>
    </row>
    <row r="246" spans="1:61" ht="15.75" customHeight="1" x14ac:dyDescent="0.25">
      <c r="A246" s="1">
        <v>245</v>
      </c>
      <c r="B246" s="1" t="s">
        <v>12</v>
      </c>
      <c r="C246" s="1">
        <v>1</v>
      </c>
      <c r="D246" s="6">
        <v>33.04</v>
      </c>
      <c r="E246" s="6">
        <v>32.74</v>
      </c>
      <c r="F246" s="6">
        <v>32.909999999999997</v>
      </c>
      <c r="G246" s="6"/>
      <c r="H246" s="6"/>
      <c r="I246" s="6"/>
      <c r="J246" s="9">
        <v>32</v>
      </c>
      <c r="K246" s="9">
        <v>33.33</v>
      </c>
      <c r="L246" s="9">
        <v>34.979999999999997</v>
      </c>
      <c r="M246" s="9">
        <v>33.75</v>
      </c>
      <c r="N246" s="9">
        <v>33.43</v>
      </c>
      <c r="O246" s="9">
        <v>33.25</v>
      </c>
      <c r="P246" s="9">
        <v>35.11</v>
      </c>
      <c r="Q246" s="9">
        <v>35.590000000000003</v>
      </c>
      <c r="R246" s="9">
        <v>35.64</v>
      </c>
      <c r="S246" s="9">
        <v>35.97</v>
      </c>
      <c r="T246" s="9">
        <v>34.590000000000003</v>
      </c>
      <c r="U246" s="9">
        <v>34.46</v>
      </c>
      <c r="V246" s="9">
        <v>34.950000000000003</v>
      </c>
      <c r="W246" s="6">
        <v>33.68</v>
      </c>
      <c r="X246" s="6">
        <v>32.93</v>
      </c>
      <c r="Y246" s="6">
        <v>31.76</v>
      </c>
      <c r="Z246" s="6">
        <v>33.04</v>
      </c>
      <c r="AA246" s="6">
        <v>34.07</v>
      </c>
      <c r="AB246" s="6">
        <v>33.57</v>
      </c>
      <c r="AC246" s="6">
        <v>33.28</v>
      </c>
      <c r="AD246" s="6">
        <v>34.090000000000003</v>
      </c>
      <c r="AE246" s="6">
        <v>32.880000000000003</v>
      </c>
      <c r="AF246" s="6">
        <v>34.14</v>
      </c>
      <c r="AG246" s="6">
        <v>32.26</v>
      </c>
      <c r="AH246" s="6">
        <v>34.020000000000003</v>
      </c>
      <c r="AI246" s="6">
        <v>32.94</v>
      </c>
      <c r="AJ246" s="6">
        <v>32.880000000000003</v>
      </c>
      <c r="AK246" s="6">
        <v>32.08</v>
      </c>
      <c r="AL246" s="6">
        <v>33.71</v>
      </c>
      <c r="AM246" s="6">
        <v>33.67</v>
      </c>
      <c r="AN246" s="6">
        <v>33.72</v>
      </c>
      <c r="AO246" s="6">
        <v>32.5</v>
      </c>
      <c r="AP246" s="6">
        <v>33.79</v>
      </c>
      <c r="AQ246" s="6">
        <v>33.229999999999997</v>
      </c>
      <c r="AR246" s="6">
        <v>32.85</v>
      </c>
      <c r="AS246" s="6">
        <v>32.22</v>
      </c>
      <c r="AT246" s="6">
        <v>33.86</v>
      </c>
      <c r="AU246" s="6">
        <v>33.32</v>
      </c>
      <c r="AV246" s="6">
        <v>33.93</v>
      </c>
      <c r="AW246" s="6">
        <v>32.950000000000003</v>
      </c>
      <c r="AX246" s="6">
        <v>33.82</v>
      </c>
      <c r="AY246" s="6">
        <v>33.67</v>
      </c>
      <c r="AZ246" s="6">
        <v>34.090000000000003</v>
      </c>
      <c r="BA246" s="6">
        <v>33.68</v>
      </c>
      <c r="BB246" s="6">
        <v>35.700000000000003</v>
      </c>
      <c r="BC246" s="6">
        <v>33.89</v>
      </c>
      <c r="BD246" s="6">
        <v>31.44</v>
      </c>
      <c r="BE246" s="6">
        <v>33.979999999999997</v>
      </c>
      <c r="BF246" s="6">
        <v>34.14</v>
      </c>
      <c r="BG246" s="6">
        <v>32.82</v>
      </c>
      <c r="BH246" s="10">
        <v>32.64</v>
      </c>
      <c r="BI246" s="10"/>
    </row>
    <row r="247" spans="1:61" ht="15.75" customHeight="1" x14ac:dyDescent="0.25">
      <c r="A247" s="1">
        <v>246</v>
      </c>
      <c r="B247" s="1"/>
      <c r="C247" s="1">
        <v>2</v>
      </c>
      <c r="D247" s="6">
        <v>33.020000000000003</v>
      </c>
      <c r="E247" s="6">
        <v>32.74</v>
      </c>
      <c r="F247" s="6">
        <v>32.93</v>
      </c>
      <c r="G247" s="6"/>
      <c r="H247" s="6"/>
      <c r="I247" s="6"/>
      <c r="J247" s="9">
        <v>32</v>
      </c>
      <c r="K247" s="9">
        <v>33.33</v>
      </c>
      <c r="L247" s="9">
        <v>34.9</v>
      </c>
      <c r="M247" s="9">
        <v>33.71</v>
      </c>
      <c r="N247" s="9">
        <v>33.409999999999997</v>
      </c>
      <c r="O247" s="9">
        <v>33.21</v>
      </c>
      <c r="P247" s="9">
        <v>35.1</v>
      </c>
      <c r="Q247" s="9">
        <v>35.57</v>
      </c>
      <c r="R247" s="9">
        <v>35.619999999999997</v>
      </c>
      <c r="S247" s="9">
        <v>35.93</v>
      </c>
      <c r="T247" s="9">
        <v>34.6</v>
      </c>
      <c r="U247" s="9">
        <v>34.46</v>
      </c>
      <c r="V247" s="9">
        <v>34.89</v>
      </c>
      <c r="W247" s="6">
        <v>33.68</v>
      </c>
      <c r="X247" s="6">
        <v>32.93</v>
      </c>
      <c r="Y247" s="6">
        <v>31.67</v>
      </c>
      <c r="Z247" s="6">
        <v>33</v>
      </c>
      <c r="AA247" s="6">
        <v>34.07</v>
      </c>
      <c r="AB247" s="6">
        <v>33.54</v>
      </c>
      <c r="AC247" s="6">
        <v>33.24</v>
      </c>
      <c r="AD247" s="6">
        <v>34.08</v>
      </c>
      <c r="AE247" s="6">
        <v>32.840000000000003</v>
      </c>
      <c r="AF247" s="6">
        <v>34.119999999999997</v>
      </c>
      <c r="AG247" s="6">
        <v>32.200000000000003</v>
      </c>
      <c r="AH247" s="6">
        <v>33.99</v>
      </c>
      <c r="AI247" s="6">
        <v>32.9</v>
      </c>
      <c r="AJ247" s="6">
        <v>32.869999999999997</v>
      </c>
      <c r="AK247" s="6">
        <v>32.049999999999997</v>
      </c>
      <c r="AL247" s="6">
        <v>33.700000000000003</v>
      </c>
      <c r="AM247" s="6">
        <v>33.64</v>
      </c>
      <c r="AN247" s="6">
        <v>33.67</v>
      </c>
      <c r="AO247" s="6">
        <v>32.450000000000003</v>
      </c>
      <c r="AP247" s="6">
        <v>33.74</v>
      </c>
      <c r="AQ247" s="6">
        <v>33.21</v>
      </c>
      <c r="AR247" s="6">
        <v>32.799999999999997</v>
      </c>
      <c r="AS247" s="6">
        <v>32.17</v>
      </c>
      <c r="AT247" s="6">
        <v>33.799999999999997</v>
      </c>
      <c r="AU247" s="6">
        <v>33.28</v>
      </c>
      <c r="AV247" s="6">
        <v>33.89</v>
      </c>
      <c r="AW247" s="6">
        <v>32.97</v>
      </c>
      <c r="AX247" s="6">
        <v>33.799999999999997</v>
      </c>
      <c r="AY247" s="6">
        <v>33.659999999999997</v>
      </c>
      <c r="AZ247" s="6">
        <v>34.049999999999997</v>
      </c>
      <c r="BA247" s="6">
        <v>33.619999999999997</v>
      </c>
      <c r="BB247" s="6">
        <v>35.64</v>
      </c>
      <c r="BC247" s="6">
        <v>33.89</v>
      </c>
      <c r="BD247" s="6">
        <v>31.44</v>
      </c>
      <c r="BE247" s="6">
        <v>33.94</v>
      </c>
      <c r="BF247" s="6">
        <v>34.119999999999997</v>
      </c>
      <c r="BG247" s="6">
        <v>32.75</v>
      </c>
      <c r="BH247" s="10">
        <v>32.57</v>
      </c>
      <c r="BI247" s="10"/>
    </row>
    <row r="248" spans="1:61" ht="15.75" customHeight="1" x14ac:dyDescent="0.25">
      <c r="A248" s="1">
        <v>247</v>
      </c>
      <c r="B248" s="1"/>
      <c r="C248" s="1">
        <v>3</v>
      </c>
      <c r="D248" s="6">
        <v>33.020000000000003</v>
      </c>
      <c r="E248" s="6">
        <v>32.75</v>
      </c>
      <c r="F248" s="6">
        <v>32.909999999999997</v>
      </c>
      <c r="G248" s="6"/>
      <c r="H248" s="6"/>
      <c r="I248" s="6"/>
      <c r="J248" s="9">
        <v>31.95</v>
      </c>
      <c r="K248" s="9">
        <v>33.28</v>
      </c>
      <c r="L248" s="9">
        <v>34.83</v>
      </c>
      <c r="M248" s="9">
        <v>33.68</v>
      </c>
      <c r="N248" s="9">
        <v>33.369999999999997</v>
      </c>
      <c r="O248" s="9">
        <v>33.159999999999997</v>
      </c>
      <c r="P248" s="9">
        <v>35.07</v>
      </c>
      <c r="Q248" s="9">
        <v>35.53</v>
      </c>
      <c r="R248" s="9">
        <v>35.6</v>
      </c>
      <c r="S248" s="9">
        <v>35.9</v>
      </c>
      <c r="T248" s="9">
        <v>34.619999999999997</v>
      </c>
      <c r="U248" s="9">
        <v>34.46</v>
      </c>
      <c r="V248" s="9">
        <v>34.840000000000003</v>
      </c>
      <c r="W248" s="6">
        <v>33.68</v>
      </c>
      <c r="X248" s="6">
        <v>32.92</v>
      </c>
      <c r="Y248" s="6">
        <v>31.63</v>
      </c>
      <c r="Z248" s="6">
        <v>32.93</v>
      </c>
      <c r="AA248" s="6">
        <v>34.049999999999997</v>
      </c>
      <c r="AB248" s="6">
        <v>33.5</v>
      </c>
      <c r="AC248" s="6">
        <v>33.200000000000003</v>
      </c>
      <c r="AD248" s="6">
        <v>34.08</v>
      </c>
      <c r="AE248" s="6">
        <v>32.83</v>
      </c>
      <c r="AF248" s="6">
        <v>34.090000000000003</v>
      </c>
      <c r="AG248" s="6">
        <v>32.130000000000003</v>
      </c>
      <c r="AH248" s="6">
        <v>33.950000000000003</v>
      </c>
      <c r="AI248" s="6">
        <v>32.86</v>
      </c>
      <c r="AJ248" s="6">
        <v>32.85</v>
      </c>
      <c r="AK248" s="6">
        <v>32.03</v>
      </c>
      <c r="AL248" s="6">
        <v>33.69</v>
      </c>
      <c r="AM248" s="6">
        <v>33.61</v>
      </c>
      <c r="AN248" s="6">
        <v>33.630000000000003</v>
      </c>
      <c r="AO248" s="6">
        <v>32.43</v>
      </c>
      <c r="AP248" s="6">
        <v>33.69</v>
      </c>
      <c r="AQ248" s="6">
        <v>33.200000000000003</v>
      </c>
      <c r="AR248" s="6">
        <v>32.79</v>
      </c>
      <c r="AS248" s="6">
        <v>32.11</v>
      </c>
      <c r="AT248" s="6">
        <v>33.75</v>
      </c>
      <c r="AU248" s="6">
        <v>33.25</v>
      </c>
      <c r="AV248" s="6">
        <v>33.85</v>
      </c>
      <c r="AW248" s="6">
        <v>32.97</v>
      </c>
      <c r="AX248" s="6">
        <v>33.770000000000003</v>
      </c>
      <c r="AY248" s="6">
        <v>33.68</v>
      </c>
      <c r="AZ248" s="6">
        <v>34.01</v>
      </c>
      <c r="BA248" s="6">
        <v>33.56</v>
      </c>
      <c r="BB248" s="6">
        <v>35.590000000000003</v>
      </c>
      <c r="BC248" s="6">
        <v>33.880000000000003</v>
      </c>
      <c r="BD248" s="6">
        <v>31.44</v>
      </c>
      <c r="BE248" s="6">
        <v>33.880000000000003</v>
      </c>
      <c r="BF248" s="6">
        <v>34.08</v>
      </c>
      <c r="BG248" s="6">
        <v>32.67</v>
      </c>
      <c r="BH248" s="10">
        <v>32.47</v>
      </c>
      <c r="BI248" s="10"/>
    </row>
    <row r="249" spans="1:61" ht="15.75" customHeight="1" x14ac:dyDescent="0.25">
      <c r="A249" s="1">
        <v>248</v>
      </c>
      <c r="B249" s="1"/>
      <c r="C249" s="1">
        <v>4</v>
      </c>
      <c r="D249" s="6">
        <v>33</v>
      </c>
      <c r="E249" s="6">
        <v>32.75</v>
      </c>
      <c r="F249" s="6">
        <v>32.97</v>
      </c>
      <c r="G249" s="6"/>
      <c r="H249" s="6"/>
      <c r="I249" s="6"/>
      <c r="J249" s="9">
        <v>31.91</v>
      </c>
      <c r="K249" s="9">
        <v>33.28</v>
      </c>
      <c r="L249" s="9">
        <v>34.75</v>
      </c>
      <c r="M249" s="9">
        <v>33.64</v>
      </c>
      <c r="N249" s="9">
        <v>33.33</v>
      </c>
      <c r="O249" s="9">
        <v>33.11</v>
      </c>
      <c r="P249" s="9">
        <v>35.04</v>
      </c>
      <c r="Q249" s="9">
        <v>35.5</v>
      </c>
      <c r="R249" s="9">
        <v>35.58</v>
      </c>
      <c r="S249" s="9">
        <v>35.86</v>
      </c>
      <c r="T249" s="9">
        <v>34.630000000000003</v>
      </c>
      <c r="U249" s="9">
        <v>34.47</v>
      </c>
      <c r="V249" s="9">
        <v>34.78</v>
      </c>
      <c r="W249" s="6">
        <v>33.68</v>
      </c>
      <c r="X249" s="6">
        <v>32.92</v>
      </c>
      <c r="Y249" s="6">
        <v>31.58</v>
      </c>
      <c r="Z249" s="6">
        <v>32.880000000000003</v>
      </c>
      <c r="AA249" s="6">
        <v>34.03</v>
      </c>
      <c r="AB249" s="6">
        <v>33.46</v>
      </c>
      <c r="AC249" s="6">
        <v>33.14</v>
      </c>
      <c r="AD249" s="6">
        <v>34.08</v>
      </c>
      <c r="AE249" s="6">
        <v>32.799999999999997</v>
      </c>
      <c r="AF249" s="6">
        <v>34.03</v>
      </c>
      <c r="AG249" s="6">
        <v>32.06</v>
      </c>
      <c r="AH249" s="6">
        <v>33.909999999999997</v>
      </c>
      <c r="AI249" s="6">
        <v>32.81</v>
      </c>
      <c r="AJ249" s="6">
        <v>32.82</v>
      </c>
      <c r="AK249" s="6">
        <v>31.99</v>
      </c>
      <c r="AL249" s="6">
        <v>33.67</v>
      </c>
      <c r="AM249" s="6">
        <v>33.590000000000003</v>
      </c>
      <c r="AN249" s="6">
        <v>33.61</v>
      </c>
      <c r="AO249" s="6">
        <v>32.4</v>
      </c>
      <c r="AP249" s="6">
        <v>33.64</v>
      </c>
      <c r="AQ249" s="6">
        <v>33.18</v>
      </c>
      <c r="AR249" s="6">
        <v>32.78</v>
      </c>
      <c r="AS249" s="6">
        <v>32.07</v>
      </c>
      <c r="AT249" s="6">
        <v>33.700000000000003</v>
      </c>
      <c r="AU249" s="6">
        <v>33.18</v>
      </c>
      <c r="AV249" s="6">
        <v>33.840000000000003</v>
      </c>
      <c r="AW249" s="6">
        <v>32.950000000000003</v>
      </c>
      <c r="AX249" s="6">
        <v>33.76</v>
      </c>
      <c r="AY249" s="6">
        <v>33.67</v>
      </c>
      <c r="AZ249" s="6">
        <v>34.01</v>
      </c>
      <c r="BA249" s="6">
        <v>33.5</v>
      </c>
      <c r="BB249" s="6">
        <v>35.58</v>
      </c>
      <c r="BC249" s="6">
        <v>33.86</v>
      </c>
      <c r="BD249" s="6">
        <v>31.42</v>
      </c>
      <c r="BE249" s="6">
        <v>33.869999999999997</v>
      </c>
      <c r="BF249" s="6">
        <v>34.04</v>
      </c>
      <c r="BG249" s="6">
        <v>32.57</v>
      </c>
      <c r="BH249" s="10">
        <v>32.4</v>
      </c>
      <c r="BI249" s="10"/>
    </row>
    <row r="250" spans="1:61" ht="15.75" customHeight="1" x14ac:dyDescent="0.25">
      <c r="A250" s="1">
        <v>249</v>
      </c>
      <c r="B250" s="1"/>
      <c r="C250" s="1">
        <v>5</v>
      </c>
      <c r="D250" s="6">
        <v>33</v>
      </c>
      <c r="E250" s="6">
        <v>32.770000000000003</v>
      </c>
      <c r="F250" s="6">
        <v>32.97</v>
      </c>
      <c r="G250" s="6"/>
      <c r="H250" s="6"/>
      <c r="I250" s="6"/>
      <c r="J250" s="9">
        <v>31.97</v>
      </c>
      <c r="K250" s="9">
        <v>33.229999999999997</v>
      </c>
      <c r="L250" s="9">
        <v>34.659999999999997</v>
      </c>
      <c r="M250" s="9">
        <v>33.590000000000003</v>
      </c>
      <c r="N250" s="9">
        <v>33.270000000000003</v>
      </c>
      <c r="O250" s="9">
        <v>33.07</v>
      </c>
      <c r="P250" s="9">
        <v>35.01</v>
      </c>
      <c r="Q250" s="9">
        <v>35.479999999999997</v>
      </c>
      <c r="R250" s="9">
        <v>35.56</v>
      </c>
      <c r="S250" s="9">
        <v>35.81</v>
      </c>
      <c r="T250" s="9">
        <v>34.64</v>
      </c>
      <c r="U250" s="9">
        <v>34.47</v>
      </c>
      <c r="V250" s="9">
        <v>34.71</v>
      </c>
      <c r="W250" s="6">
        <v>33.67</v>
      </c>
      <c r="X250" s="6">
        <v>32.880000000000003</v>
      </c>
      <c r="Y250" s="6">
        <v>31.58</v>
      </c>
      <c r="Z250" s="6">
        <v>32.81</v>
      </c>
      <c r="AA250" s="6">
        <v>34.01</v>
      </c>
      <c r="AB250" s="6">
        <v>33.44</v>
      </c>
      <c r="AC250" s="6">
        <v>33.1</v>
      </c>
      <c r="AD250" s="6">
        <v>34.049999999999997</v>
      </c>
      <c r="AE250" s="6">
        <v>32.75</v>
      </c>
      <c r="AF250" s="6">
        <v>34.01</v>
      </c>
      <c r="AG250" s="6">
        <v>32</v>
      </c>
      <c r="AH250" s="6">
        <v>33.869999999999997</v>
      </c>
      <c r="AI250" s="6">
        <v>32.76</v>
      </c>
      <c r="AJ250" s="6">
        <v>32.840000000000003</v>
      </c>
      <c r="AK250" s="6">
        <v>31.94</v>
      </c>
      <c r="AL250" s="6">
        <v>33.659999999999997</v>
      </c>
      <c r="AM250" s="6">
        <v>33.56</v>
      </c>
      <c r="AN250" s="6">
        <v>33.58</v>
      </c>
      <c r="AO250" s="6">
        <v>32.380000000000003</v>
      </c>
      <c r="AP250" s="6">
        <v>33.58</v>
      </c>
      <c r="AQ250" s="6">
        <v>33.159999999999997</v>
      </c>
      <c r="AR250" s="6">
        <v>32.75</v>
      </c>
      <c r="AS250" s="6">
        <v>32.020000000000003</v>
      </c>
      <c r="AT250" s="6">
        <v>33.65</v>
      </c>
      <c r="AU250" s="6">
        <v>33.130000000000003</v>
      </c>
      <c r="AV250" s="6">
        <v>33.81</v>
      </c>
      <c r="AW250" s="6">
        <v>32.950000000000003</v>
      </c>
      <c r="AX250" s="6">
        <v>33.74</v>
      </c>
      <c r="AY250" s="6">
        <v>33.659999999999997</v>
      </c>
      <c r="AZ250" s="6">
        <v>33.9</v>
      </c>
      <c r="BA250" s="6">
        <v>33.409999999999997</v>
      </c>
      <c r="BB250" s="6">
        <v>35.53</v>
      </c>
      <c r="BC250" s="6">
        <v>33.840000000000003</v>
      </c>
      <c r="BD250" s="6">
        <v>31.38</v>
      </c>
      <c r="BE250" s="6">
        <v>33.82</v>
      </c>
      <c r="BF250" s="6">
        <v>33.99</v>
      </c>
      <c r="BG250" s="6">
        <v>32.46</v>
      </c>
      <c r="BH250" s="10">
        <v>32.340000000000003</v>
      </c>
      <c r="BI250" s="10"/>
    </row>
    <row r="251" spans="1:61" ht="15.75" customHeight="1" x14ac:dyDescent="0.25">
      <c r="A251" s="1">
        <v>250</v>
      </c>
      <c r="B251" s="1"/>
      <c r="C251" s="1">
        <v>6</v>
      </c>
      <c r="D251" s="6">
        <v>33</v>
      </c>
      <c r="E251" s="6">
        <v>32.81</v>
      </c>
      <c r="F251" s="6">
        <v>33</v>
      </c>
      <c r="G251" s="6"/>
      <c r="H251" s="6"/>
      <c r="I251" s="6"/>
      <c r="J251" s="9">
        <v>31.95</v>
      </c>
      <c r="K251" s="9">
        <v>33.229999999999997</v>
      </c>
      <c r="L251" s="9">
        <v>34.58</v>
      </c>
      <c r="M251" s="9">
        <v>33.54</v>
      </c>
      <c r="N251" s="9">
        <v>33.22</v>
      </c>
      <c r="O251" s="9">
        <v>33</v>
      </c>
      <c r="P251" s="9">
        <v>34.979999999999997</v>
      </c>
      <c r="Q251" s="9">
        <v>35.43</v>
      </c>
      <c r="R251" s="9">
        <v>35.53</v>
      </c>
      <c r="S251" s="9">
        <v>35.78</v>
      </c>
      <c r="T251" s="9">
        <v>34.64</v>
      </c>
      <c r="U251" s="9">
        <v>34.47</v>
      </c>
      <c r="V251" s="9">
        <v>34.64</v>
      </c>
      <c r="W251" s="6">
        <v>33.67</v>
      </c>
      <c r="X251" s="6">
        <v>32.880000000000003</v>
      </c>
      <c r="Y251" s="6">
        <v>31.58</v>
      </c>
      <c r="Z251" s="6">
        <v>32.75</v>
      </c>
      <c r="AA251" s="6">
        <v>33.99</v>
      </c>
      <c r="AB251" s="6">
        <v>33.42</v>
      </c>
      <c r="AC251" s="6">
        <v>33.090000000000003</v>
      </c>
      <c r="AD251" s="6">
        <v>34.04</v>
      </c>
      <c r="AE251" s="6">
        <v>32.69</v>
      </c>
      <c r="AF251" s="6">
        <v>33.96</v>
      </c>
      <c r="AG251" s="6">
        <v>31.93</v>
      </c>
      <c r="AH251" s="6">
        <v>33.82</v>
      </c>
      <c r="AI251" s="6">
        <v>32.72</v>
      </c>
      <c r="AJ251" s="6">
        <v>32.9</v>
      </c>
      <c r="AK251" s="6">
        <v>31.9</v>
      </c>
      <c r="AL251" s="6">
        <v>33.64</v>
      </c>
      <c r="AM251" s="6">
        <v>33.53</v>
      </c>
      <c r="AN251" s="6">
        <v>33.54</v>
      </c>
      <c r="AO251" s="6">
        <v>32.33</v>
      </c>
      <c r="AP251" s="6">
        <v>33.51</v>
      </c>
      <c r="AQ251" s="6">
        <v>33.130000000000003</v>
      </c>
      <c r="AR251" s="6">
        <v>32.700000000000003</v>
      </c>
      <c r="AS251" s="6">
        <v>31.98</v>
      </c>
      <c r="AT251" s="6">
        <v>33.590000000000003</v>
      </c>
      <c r="AU251" s="6">
        <v>33.07</v>
      </c>
      <c r="AV251" s="6">
        <v>33.76</v>
      </c>
      <c r="AW251" s="6">
        <v>32.950000000000003</v>
      </c>
      <c r="AX251" s="6">
        <v>33.700000000000003</v>
      </c>
      <c r="AY251" s="6">
        <v>33.630000000000003</v>
      </c>
      <c r="AZ251" s="6">
        <v>33.85</v>
      </c>
      <c r="BA251" s="6">
        <v>33.32</v>
      </c>
      <c r="BB251" s="6">
        <v>35.479999999999997</v>
      </c>
      <c r="BC251" s="6">
        <v>33.82</v>
      </c>
      <c r="BD251" s="6">
        <v>31.35</v>
      </c>
      <c r="BE251" s="6">
        <v>33.76</v>
      </c>
      <c r="BF251" s="6">
        <v>33.97</v>
      </c>
      <c r="BG251" s="6">
        <v>32.35</v>
      </c>
      <c r="BH251" s="10">
        <v>32.25</v>
      </c>
      <c r="BI251" s="10"/>
    </row>
    <row r="252" spans="1:61" ht="15.75" customHeight="1" x14ac:dyDescent="0.25">
      <c r="A252" s="1">
        <v>251</v>
      </c>
      <c r="B252" s="1"/>
      <c r="C252" s="1">
        <v>7</v>
      </c>
      <c r="D252" s="6">
        <v>33.020000000000003</v>
      </c>
      <c r="E252" s="6">
        <v>32.81</v>
      </c>
      <c r="F252" s="6">
        <v>33.090000000000003</v>
      </c>
      <c r="G252" s="6"/>
      <c r="H252" s="6"/>
      <c r="I252" s="6"/>
      <c r="J252" s="9">
        <v>31.91</v>
      </c>
      <c r="K252" s="9">
        <v>33.229999999999997</v>
      </c>
      <c r="L252" s="9">
        <v>34.5</v>
      </c>
      <c r="M252" s="9">
        <v>33.479999999999997</v>
      </c>
      <c r="N252" s="9">
        <v>33.159999999999997</v>
      </c>
      <c r="O252" s="9">
        <v>32.96</v>
      </c>
      <c r="P252" s="9">
        <v>34.950000000000003</v>
      </c>
      <c r="Q252" s="9">
        <v>35.4</v>
      </c>
      <c r="R252" s="9">
        <v>35.5</v>
      </c>
      <c r="S252" s="9">
        <v>35.75</v>
      </c>
      <c r="T252" s="9">
        <v>34.619999999999997</v>
      </c>
      <c r="U252" s="9">
        <v>34.47</v>
      </c>
      <c r="V252" s="9">
        <v>34.57</v>
      </c>
      <c r="W252" s="6">
        <v>33.68</v>
      </c>
      <c r="X252" s="6">
        <v>32.86</v>
      </c>
      <c r="Y252" s="6">
        <v>31.54</v>
      </c>
      <c r="Z252" s="6">
        <v>32.72</v>
      </c>
      <c r="AA252" s="6">
        <v>33.96</v>
      </c>
      <c r="AB252" s="6">
        <v>33.369999999999997</v>
      </c>
      <c r="AC252" s="6">
        <v>33.03</v>
      </c>
      <c r="AD252" s="6">
        <v>34.01</v>
      </c>
      <c r="AE252" s="6">
        <v>32.61</v>
      </c>
      <c r="AF252" s="6">
        <v>33.92</v>
      </c>
      <c r="AG252" s="6">
        <v>31.85</v>
      </c>
      <c r="AH252" s="6">
        <v>33.78</v>
      </c>
      <c r="AI252" s="6">
        <v>32.700000000000003</v>
      </c>
      <c r="AJ252" s="6">
        <v>32.89</v>
      </c>
      <c r="AK252" s="6">
        <v>31.87</v>
      </c>
      <c r="AL252" s="6">
        <v>33.61</v>
      </c>
      <c r="AM252" s="6">
        <v>33.49</v>
      </c>
      <c r="AN252" s="6">
        <v>33.49</v>
      </c>
      <c r="AO252" s="6">
        <v>32.299999999999997</v>
      </c>
      <c r="AP252" s="6">
        <v>33.46</v>
      </c>
      <c r="AQ252" s="6">
        <v>33.090000000000003</v>
      </c>
      <c r="AR252" s="6">
        <v>32.68</v>
      </c>
      <c r="AS252" s="6">
        <v>31.99</v>
      </c>
      <c r="AT252" s="6">
        <v>33.549999999999997</v>
      </c>
      <c r="AU252" s="6">
        <v>32.979999999999997</v>
      </c>
      <c r="AV252" s="6">
        <v>33.729999999999997</v>
      </c>
      <c r="AW252" s="6">
        <v>32.94</v>
      </c>
      <c r="AX252" s="6">
        <v>33.700000000000003</v>
      </c>
      <c r="AY252" s="6">
        <v>33.6</v>
      </c>
      <c r="AZ252" s="6">
        <v>33.799999999999997</v>
      </c>
      <c r="BA252" s="6">
        <v>33.25</v>
      </c>
      <c r="BB252" s="6">
        <v>35.43</v>
      </c>
      <c r="BC252" s="6">
        <v>33.81</v>
      </c>
      <c r="BD252" s="6">
        <v>31.33</v>
      </c>
      <c r="BE252" s="6">
        <v>33.74</v>
      </c>
      <c r="BF252" s="6">
        <v>33.94</v>
      </c>
      <c r="BG252" s="6">
        <v>32.229999999999997</v>
      </c>
      <c r="BH252" s="10">
        <v>32.17</v>
      </c>
      <c r="BI252" s="10"/>
    </row>
    <row r="253" spans="1:61" ht="15.75" customHeight="1" x14ac:dyDescent="0.25">
      <c r="A253" s="1">
        <v>252</v>
      </c>
      <c r="B253" s="1"/>
      <c r="C253" s="1">
        <v>8</v>
      </c>
      <c r="D253" s="6">
        <v>33.020000000000003</v>
      </c>
      <c r="E253" s="6">
        <v>32.79</v>
      </c>
      <c r="F253" s="6">
        <v>33.130000000000003</v>
      </c>
      <c r="G253" s="6"/>
      <c r="H253" s="6"/>
      <c r="I253" s="6"/>
      <c r="J253" s="9">
        <v>31.87</v>
      </c>
      <c r="K253" s="9">
        <v>33.229999999999997</v>
      </c>
      <c r="L253" s="9">
        <v>34.409999999999997</v>
      </c>
      <c r="M253" s="9">
        <v>33.409999999999997</v>
      </c>
      <c r="N253" s="9">
        <v>33.090000000000003</v>
      </c>
      <c r="O253" s="9">
        <v>32.89</v>
      </c>
      <c r="P253" s="9">
        <v>34.9</v>
      </c>
      <c r="Q253" s="9">
        <v>35.380000000000003</v>
      </c>
      <c r="R253" s="9">
        <v>35.5</v>
      </c>
      <c r="S253" s="9">
        <v>35.74</v>
      </c>
      <c r="T253" s="9">
        <v>34.6</v>
      </c>
      <c r="U253" s="9">
        <v>34.47</v>
      </c>
      <c r="V253" s="9">
        <v>34.520000000000003</v>
      </c>
      <c r="W253" s="6">
        <v>33.65</v>
      </c>
      <c r="X253" s="6">
        <v>32.83</v>
      </c>
      <c r="Y253" s="6">
        <v>31.49</v>
      </c>
      <c r="Z253" s="6">
        <v>32.68</v>
      </c>
      <c r="AA253" s="6">
        <v>33.92</v>
      </c>
      <c r="AB253" s="6">
        <v>33.32</v>
      </c>
      <c r="AC253" s="6">
        <v>32.99</v>
      </c>
      <c r="AD253" s="6">
        <v>33.979999999999997</v>
      </c>
      <c r="AE253" s="6">
        <v>32.549999999999997</v>
      </c>
      <c r="AF253" s="6">
        <v>33.869999999999997</v>
      </c>
      <c r="AG253" s="6">
        <v>31.77</v>
      </c>
      <c r="AH253" s="6">
        <v>33.72</v>
      </c>
      <c r="AI253" s="6">
        <v>32.630000000000003</v>
      </c>
      <c r="AJ253" s="6">
        <v>32.89</v>
      </c>
      <c r="AK253" s="6">
        <v>31.8</v>
      </c>
      <c r="AL253" s="6">
        <v>33.57</v>
      </c>
      <c r="AM253" s="6">
        <v>33.450000000000003</v>
      </c>
      <c r="AN253" s="6">
        <v>33.44</v>
      </c>
      <c r="AO253" s="6">
        <v>32.25</v>
      </c>
      <c r="AP253" s="6">
        <v>33.409999999999997</v>
      </c>
      <c r="AQ253" s="6">
        <v>33.07</v>
      </c>
      <c r="AR253" s="6">
        <v>32.64</v>
      </c>
      <c r="AS253" s="6">
        <v>31.87</v>
      </c>
      <c r="AT253" s="6">
        <v>33.51</v>
      </c>
      <c r="AU253" s="6">
        <v>32.909999999999997</v>
      </c>
      <c r="AV253" s="6">
        <v>33.69</v>
      </c>
      <c r="AW253" s="6">
        <v>32.92</v>
      </c>
      <c r="AX253" s="6">
        <v>33.659999999999997</v>
      </c>
      <c r="AY253" s="6">
        <v>33.58</v>
      </c>
      <c r="AZ253" s="6">
        <v>33.75</v>
      </c>
      <c r="BA253" s="6">
        <v>33.159999999999997</v>
      </c>
      <c r="BB253" s="6">
        <v>35.380000000000003</v>
      </c>
      <c r="BC253" s="6">
        <v>33.79</v>
      </c>
      <c r="BD253" s="6">
        <v>31.28</v>
      </c>
      <c r="BE253" s="6">
        <v>33.68</v>
      </c>
      <c r="BF253" s="6">
        <v>33.9</v>
      </c>
      <c r="BG253" s="6">
        <v>32.1</v>
      </c>
      <c r="BH253" s="10">
        <v>32.07</v>
      </c>
      <c r="BI253" s="10"/>
    </row>
    <row r="254" spans="1:61" ht="15.75" customHeight="1" x14ac:dyDescent="0.25">
      <c r="A254" s="1">
        <v>253</v>
      </c>
      <c r="B254" s="1"/>
      <c r="C254" s="1">
        <v>9</v>
      </c>
      <c r="D254" s="6">
        <v>33.020000000000003</v>
      </c>
      <c r="E254" s="6">
        <v>32.79</v>
      </c>
      <c r="F254" s="6">
        <v>33.159999999999997</v>
      </c>
      <c r="G254" s="6"/>
      <c r="H254" s="6"/>
      <c r="I254" s="6"/>
      <c r="J254" s="9">
        <v>31.84</v>
      </c>
      <c r="K254" s="9">
        <v>33.18</v>
      </c>
      <c r="L254" s="9">
        <v>34.33</v>
      </c>
      <c r="M254" s="9">
        <v>33.340000000000003</v>
      </c>
      <c r="N254" s="9">
        <v>33.04</v>
      </c>
      <c r="O254" s="9">
        <v>32.83</v>
      </c>
      <c r="P254" s="9">
        <v>34.85</v>
      </c>
      <c r="Q254" s="9">
        <v>35.33</v>
      </c>
      <c r="R254" s="9">
        <v>35.49</v>
      </c>
      <c r="S254" s="9">
        <v>35.71</v>
      </c>
      <c r="T254" s="9">
        <v>34.56</v>
      </c>
      <c r="U254" s="9">
        <v>34.450000000000003</v>
      </c>
      <c r="V254" s="9">
        <v>34.47</v>
      </c>
      <c r="W254" s="6">
        <v>33.65</v>
      </c>
      <c r="X254" s="6">
        <v>32.81</v>
      </c>
      <c r="Y254" s="6">
        <v>31.42</v>
      </c>
      <c r="Z254" s="6">
        <v>32.61</v>
      </c>
      <c r="AA254" s="6">
        <v>33.89</v>
      </c>
      <c r="AB254" s="6">
        <v>33.24</v>
      </c>
      <c r="AC254" s="6">
        <v>32.94</v>
      </c>
      <c r="AD254" s="6">
        <v>33.93</v>
      </c>
      <c r="AE254" s="6">
        <v>32.479999999999997</v>
      </c>
      <c r="AF254" s="6">
        <v>33.83</v>
      </c>
      <c r="AG254" s="6">
        <v>31.7</v>
      </c>
      <c r="AH254" s="6">
        <v>33.68</v>
      </c>
      <c r="AI254" s="6">
        <v>32.57</v>
      </c>
      <c r="AJ254" s="6">
        <v>32.880000000000003</v>
      </c>
      <c r="AK254" s="6">
        <v>31.75</v>
      </c>
      <c r="AL254" s="6">
        <v>33.53</v>
      </c>
      <c r="AM254" s="6">
        <v>33.409999999999997</v>
      </c>
      <c r="AN254" s="6">
        <v>33.4</v>
      </c>
      <c r="AO254" s="6">
        <v>32.200000000000003</v>
      </c>
      <c r="AP254" s="6">
        <v>33.369999999999997</v>
      </c>
      <c r="AQ254" s="6">
        <v>33.03</v>
      </c>
      <c r="AR254" s="6">
        <v>32.619999999999997</v>
      </c>
      <c r="AS254" s="6">
        <v>31.83</v>
      </c>
      <c r="AT254" s="6">
        <v>33.450000000000003</v>
      </c>
      <c r="AU254" s="6">
        <v>32.83</v>
      </c>
      <c r="AV254" s="6">
        <v>33.64</v>
      </c>
      <c r="AW254" s="6">
        <v>32.89</v>
      </c>
      <c r="AX254" s="6">
        <v>33.6</v>
      </c>
      <c r="AY254" s="6">
        <v>33.549999999999997</v>
      </c>
      <c r="AZ254" s="6">
        <v>33.71</v>
      </c>
      <c r="BA254" s="6">
        <v>33.090000000000003</v>
      </c>
      <c r="BB254" s="6">
        <v>35.340000000000003</v>
      </c>
      <c r="BC254" s="6">
        <v>33.770000000000003</v>
      </c>
      <c r="BD254" s="6">
        <v>31.22</v>
      </c>
      <c r="BE254" s="6">
        <v>33.619999999999997</v>
      </c>
      <c r="BF254" s="6">
        <v>33.840000000000003</v>
      </c>
      <c r="BG254" s="6">
        <v>31.95</v>
      </c>
      <c r="BH254" s="10">
        <v>31.97</v>
      </c>
      <c r="BI254" s="10"/>
    </row>
    <row r="255" spans="1:61" ht="15.75" customHeight="1" x14ac:dyDescent="0.25">
      <c r="A255" s="1">
        <v>254</v>
      </c>
      <c r="B255" s="1"/>
      <c r="C255" s="1">
        <v>10</v>
      </c>
      <c r="D255" s="6">
        <v>33.020000000000003</v>
      </c>
      <c r="E255" s="6">
        <v>32.81</v>
      </c>
      <c r="F255" s="6">
        <v>33.22</v>
      </c>
      <c r="G255" s="6"/>
      <c r="H255" s="6"/>
      <c r="I255" s="6"/>
      <c r="J255" s="9">
        <v>31.83</v>
      </c>
      <c r="K255" s="9">
        <v>33.18</v>
      </c>
      <c r="L255" s="9">
        <v>34.229999999999997</v>
      </c>
      <c r="M255" s="9">
        <v>33.29</v>
      </c>
      <c r="N255" s="9">
        <v>32.99</v>
      </c>
      <c r="O255" s="9">
        <v>32.78</v>
      </c>
      <c r="P255" s="9">
        <v>34.79</v>
      </c>
      <c r="Q255" s="9">
        <v>35.29</v>
      </c>
      <c r="R255" s="9">
        <v>35.47</v>
      </c>
      <c r="S255" s="9">
        <v>35.68</v>
      </c>
      <c r="T255" s="9">
        <v>34.520000000000003</v>
      </c>
      <c r="U255" s="9">
        <v>34.43</v>
      </c>
      <c r="V255" s="9">
        <v>34.43</v>
      </c>
      <c r="W255" s="6">
        <v>33.630000000000003</v>
      </c>
      <c r="X255" s="6">
        <v>32.770000000000003</v>
      </c>
      <c r="Y255" s="6">
        <v>31.38</v>
      </c>
      <c r="Z255" s="6">
        <v>32.58</v>
      </c>
      <c r="AA255" s="6">
        <v>33.85</v>
      </c>
      <c r="AB255" s="6">
        <v>33.200000000000003</v>
      </c>
      <c r="AC255" s="6">
        <v>32.9</v>
      </c>
      <c r="AD255" s="6">
        <v>33.96</v>
      </c>
      <c r="AE255" s="6">
        <v>32.380000000000003</v>
      </c>
      <c r="AF255" s="6">
        <v>33.79</v>
      </c>
      <c r="AG255" s="6">
        <v>31.63</v>
      </c>
      <c r="AH255" s="6">
        <v>33.619999999999997</v>
      </c>
      <c r="AI255" s="6">
        <v>32.51</v>
      </c>
      <c r="AJ255" s="6">
        <v>32.89</v>
      </c>
      <c r="AK255" s="6">
        <v>31.68</v>
      </c>
      <c r="AL255" s="6">
        <v>33.5</v>
      </c>
      <c r="AM255" s="6">
        <v>33.369999999999997</v>
      </c>
      <c r="AN255" s="6">
        <v>33.4</v>
      </c>
      <c r="AO255" s="6">
        <v>32.15</v>
      </c>
      <c r="AP255" s="6">
        <v>33.299999999999997</v>
      </c>
      <c r="AQ255" s="6">
        <v>32.909999999999997</v>
      </c>
      <c r="AR255" s="6">
        <v>32.6</v>
      </c>
      <c r="AS255" s="6">
        <v>31.78</v>
      </c>
      <c r="AT255" s="6">
        <v>33.4</v>
      </c>
      <c r="AU255" s="6">
        <v>32.729999999999997</v>
      </c>
      <c r="AV255" s="6">
        <v>33.590000000000003</v>
      </c>
      <c r="AW255" s="6">
        <v>32.86</v>
      </c>
      <c r="AX255" s="6">
        <v>33.56</v>
      </c>
      <c r="AY255" s="6">
        <v>33.5</v>
      </c>
      <c r="AZ255" s="6">
        <v>33.659999999999997</v>
      </c>
      <c r="BA255" s="6">
        <v>32.979999999999997</v>
      </c>
      <c r="BB255" s="6">
        <v>35.299999999999997</v>
      </c>
      <c r="BC255" s="6">
        <v>33.74</v>
      </c>
      <c r="BD255" s="6">
        <v>31.16</v>
      </c>
      <c r="BE255" s="6">
        <v>33.56</v>
      </c>
      <c r="BF255" s="6">
        <v>33.799999999999997</v>
      </c>
      <c r="BG255" s="6">
        <v>31.8</v>
      </c>
      <c r="BH255" s="10">
        <v>31.87</v>
      </c>
      <c r="BI255" s="10"/>
    </row>
    <row r="256" spans="1:61" ht="15.75" customHeight="1" x14ac:dyDescent="0.25">
      <c r="A256" s="1">
        <v>255</v>
      </c>
      <c r="B256" s="1"/>
      <c r="C256" s="1">
        <v>11</v>
      </c>
      <c r="D256" s="6">
        <v>33.020000000000003</v>
      </c>
      <c r="E256" s="6">
        <v>32.83</v>
      </c>
      <c r="F256" s="6">
        <v>33.24</v>
      </c>
      <c r="G256" s="6"/>
      <c r="H256" s="6"/>
      <c r="I256" s="6"/>
      <c r="J256" s="9">
        <v>31.81</v>
      </c>
      <c r="K256" s="9">
        <v>33.18</v>
      </c>
      <c r="L256" s="9">
        <v>34.130000000000003</v>
      </c>
      <c r="M256" s="9">
        <v>33.229999999999997</v>
      </c>
      <c r="N256" s="9">
        <v>32.909999999999997</v>
      </c>
      <c r="O256" s="9">
        <v>32.729999999999997</v>
      </c>
      <c r="P256" s="9">
        <v>34.75</v>
      </c>
      <c r="Q256" s="9">
        <v>35.24</v>
      </c>
      <c r="R256" s="9">
        <v>35.450000000000003</v>
      </c>
      <c r="S256" s="9">
        <v>35.64</v>
      </c>
      <c r="T256" s="9">
        <v>34.51</v>
      </c>
      <c r="U256" s="9">
        <v>34.409999999999997</v>
      </c>
      <c r="V256" s="9">
        <v>34.380000000000003</v>
      </c>
      <c r="W256" s="6">
        <v>33.590000000000003</v>
      </c>
      <c r="X256" s="6">
        <v>32.74</v>
      </c>
      <c r="Y256" s="6">
        <v>31.22</v>
      </c>
      <c r="Z256" s="6">
        <v>32.54</v>
      </c>
      <c r="AA256" s="6">
        <v>33.83</v>
      </c>
      <c r="AB256" s="6">
        <v>33.15</v>
      </c>
      <c r="AC256" s="6">
        <v>32.880000000000003</v>
      </c>
      <c r="AD256" s="6">
        <v>33.96</v>
      </c>
      <c r="AE256" s="6">
        <v>32.299999999999997</v>
      </c>
      <c r="AF256" s="6">
        <v>33.75</v>
      </c>
      <c r="AG256" s="6">
        <v>31.55</v>
      </c>
      <c r="AH256" s="6">
        <v>33.61</v>
      </c>
      <c r="AI256" s="6">
        <v>32.44</v>
      </c>
      <c r="AJ256" s="6">
        <v>32.9</v>
      </c>
      <c r="AK256" s="6">
        <v>31.63</v>
      </c>
      <c r="AL256" s="6">
        <v>33.46</v>
      </c>
      <c r="AM256" s="6">
        <v>33.32</v>
      </c>
      <c r="AN256" s="6">
        <v>33.36</v>
      </c>
      <c r="AO256" s="6">
        <v>32.11</v>
      </c>
      <c r="AP256" s="6">
        <v>33.22</v>
      </c>
      <c r="AQ256" s="26">
        <v>32.85</v>
      </c>
      <c r="AR256" s="26">
        <v>32.58</v>
      </c>
      <c r="AS256" s="26">
        <v>31.72</v>
      </c>
      <c r="AT256" s="26">
        <v>33.340000000000003</v>
      </c>
      <c r="AU256" s="26">
        <v>32.64</v>
      </c>
      <c r="AV256" s="26">
        <v>33.549999999999997</v>
      </c>
      <c r="AW256" s="26">
        <v>32.85</v>
      </c>
      <c r="AX256" s="26">
        <v>33.46</v>
      </c>
      <c r="AY256" s="26">
        <v>33.450000000000003</v>
      </c>
      <c r="AZ256" s="26">
        <v>33.64</v>
      </c>
      <c r="BA256" s="26">
        <v>32.9</v>
      </c>
      <c r="BB256" s="26">
        <v>35.22</v>
      </c>
      <c r="BC256" s="6">
        <v>33.700000000000003</v>
      </c>
      <c r="BD256" s="6">
        <v>31.1</v>
      </c>
      <c r="BE256" s="6">
        <v>33.520000000000003</v>
      </c>
      <c r="BF256" s="6">
        <v>33.75</v>
      </c>
      <c r="BG256" s="6">
        <v>31.66</v>
      </c>
      <c r="BH256" s="10">
        <v>31.76</v>
      </c>
      <c r="BI256" s="10"/>
    </row>
    <row r="257" spans="1:61" ht="15.75" customHeight="1" x14ac:dyDescent="0.25">
      <c r="A257" s="1">
        <v>256</v>
      </c>
      <c r="B257" s="1"/>
      <c r="C257" s="1">
        <v>12</v>
      </c>
      <c r="D257" s="6">
        <v>33.020000000000003</v>
      </c>
      <c r="E257" s="6">
        <v>32.81</v>
      </c>
      <c r="F257" s="6">
        <v>33.25</v>
      </c>
      <c r="G257" s="6"/>
      <c r="H257" s="6"/>
      <c r="I257" s="6"/>
      <c r="J257" s="9">
        <v>31.78</v>
      </c>
      <c r="K257" s="9">
        <v>33.18</v>
      </c>
      <c r="L257" s="9">
        <v>34.020000000000003</v>
      </c>
      <c r="M257" s="9">
        <v>33.159999999999997</v>
      </c>
      <c r="N257" s="9">
        <v>32.86</v>
      </c>
      <c r="O257" s="9">
        <v>32.65</v>
      </c>
      <c r="P257" s="9">
        <v>34.71</v>
      </c>
      <c r="Q257" s="9">
        <v>35.18</v>
      </c>
      <c r="R257" s="9">
        <v>35.409999999999997</v>
      </c>
      <c r="S257" s="9">
        <v>35.61</v>
      </c>
      <c r="T257" s="9">
        <v>34.49</v>
      </c>
      <c r="U257" s="9">
        <v>34.4</v>
      </c>
      <c r="V257" s="9">
        <v>34.340000000000003</v>
      </c>
      <c r="W257" s="6">
        <v>33.58</v>
      </c>
      <c r="X257" s="6">
        <v>32.68</v>
      </c>
      <c r="Y257" s="6">
        <v>31.22</v>
      </c>
      <c r="Z257" s="6">
        <v>32.47</v>
      </c>
      <c r="AA257" s="6">
        <v>33.81</v>
      </c>
      <c r="AB257" s="6">
        <v>33.08</v>
      </c>
      <c r="AC257" s="6">
        <v>32.85</v>
      </c>
      <c r="AD257" s="6">
        <v>33.94</v>
      </c>
      <c r="AE257" s="6">
        <v>32.21</v>
      </c>
      <c r="AF257" s="6">
        <v>33.729999999999997</v>
      </c>
      <c r="AG257" s="6">
        <v>31.45</v>
      </c>
      <c r="AH257" s="6">
        <v>33.56</v>
      </c>
      <c r="AI257" s="6">
        <v>32.39</v>
      </c>
      <c r="AJ257" s="6">
        <v>32.9</v>
      </c>
      <c r="AK257" s="6">
        <v>31.55</v>
      </c>
      <c r="AL257" s="6">
        <v>33.409999999999997</v>
      </c>
      <c r="AM257" s="6">
        <v>33.299999999999997</v>
      </c>
      <c r="AN257" s="6">
        <v>33.299999999999997</v>
      </c>
      <c r="AO257" s="6">
        <v>32.06</v>
      </c>
      <c r="AP257" s="6">
        <v>33.15</v>
      </c>
      <c r="AQ257" s="6">
        <v>32.78</v>
      </c>
      <c r="AR257" s="6">
        <v>32.56</v>
      </c>
      <c r="AS257" s="6">
        <v>31.66</v>
      </c>
      <c r="AT257" s="6">
        <v>33.29</v>
      </c>
      <c r="AU257" s="6">
        <v>32.58</v>
      </c>
      <c r="AV257" s="6">
        <v>33.5</v>
      </c>
      <c r="AW257" s="6">
        <v>32.82</v>
      </c>
      <c r="AX257" s="6">
        <v>33.380000000000003</v>
      </c>
      <c r="AY257" s="6">
        <v>33.4</v>
      </c>
      <c r="AZ257" s="6">
        <v>33.6</v>
      </c>
      <c r="BA257" s="6">
        <v>32.78</v>
      </c>
      <c r="BB257" s="6">
        <v>35.18</v>
      </c>
      <c r="BC257" s="6">
        <v>33.64</v>
      </c>
      <c r="BD257" s="6">
        <v>31.03</v>
      </c>
      <c r="BE257" s="6">
        <v>33.46</v>
      </c>
      <c r="BF257" s="6">
        <v>33.700000000000003</v>
      </c>
      <c r="BG257" s="6">
        <v>31.51</v>
      </c>
      <c r="BH257" s="10">
        <v>31.65</v>
      </c>
      <c r="BI257" s="10"/>
    </row>
    <row r="258" spans="1:61" ht="15.75" customHeight="1" x14ac:dyDescent="0.25">
      <c r="A258" s="1">
        <v>257</v>
      </c>
      <c r="B258" s="1"/>
      <c r="C258" s="1">
        <v>13</v>
      </c>
      <c r="D258" s="6">
        <v>33.020000000000003</v>
      </c>
      <c r="E258" s="6">
        <v>32.81</v>
      </c>
      <c r="F258" s="6">
        <v>33.25</v>
      </c>
      <c r="G258" s="6"/>
      <c r="H258" s="6"/>
      <c r="I258" s="6"/>
      <c r="J258" s="9">
        <v>31.76</v>
      </c>
      <c r="K258" s="9">
        <v>33.18</v>
      </c>
      <c r="L258" s="9">
        <v>33.93</v>
      </c>
      <c r="M258" s="9">
        <v>33.090000000000003</v>
      </c>
      <c r="N258" s="9">
        <v>32.82</v>
      </c>
      <c r="O258" s="9">
        <v>32.58</v>
      </c>
      <c r="P258" s="9">
        <v>34.69</v>
      </c>
      <c r="Q258" s="9">
        <v>35.130000000000003</v>
      </c>
      <c r="R258" s="9">
        <v>35.380000000000003</v>
      </c>
      <c r="S258" s="9">
        <v>35.58</v>
      </c>
      <c r="T258" s="9">
        <v>34.450000000000003</v>
      </c>
      <c r="U258" s="9">
        <v>34.4</v>
      </c>
      <c r="V258" s="9">
        <v>34.270000000000003</v>
      </c>
      <c r="W258" s="6">
        <v>33.56</v>
      </c>
      <c r="X258" s="6">
        <v>32.68</v>
      </c>
      <c r="Y258" s="6">
        <v>31.2</v>
      </c>
      <c r="Z258" s="6">
        <v>32.4</v>
      </c>
      <c r="AA258" s="6">
        <v>33.78</v>
      </c>
      <c r="AB258" s="6">
        <v>33.01</v>
      </c>
      <c r="AC258" s="6">
        <v>32.9</v>
      </c>
      <c r="AD258" s="6">
        <v>33.89</v>
      </c>
      <c r="AE258" s="6">
        <v>32.11</v>
      </c>
      <c r="AF258" s="6">
        <v>33.68</v>
      </c>
      <c r="AG258" s="6">
        <v>31.38</v>
      </c>
      <c r="AH258" s="6">
        <v>33.5</v>
      </c>
      <c r="AI258" s="6">
        <v>32.340000000000003</v>
      </c>
      <c r="AJ258" s="6">
        <v>32.880000000000003</v>
      </c>
      <c r="AK258" s="6">
        <v>31.5</v>
      </c>
      <c r="AL258" s="6">
        <v>33.36</v>
      </c>
      <c r="AM258" s="6">
        <v>33.24</v>
      </c>
      <c r="AN258" s="6">
        <v>33.28</v>
      </c>
      <c r="AO258" s="6">
        <v>32</v>
      </c>
      <c r="AP258" s="6">
        <v>33.07</v>
      </c>
      <c r="AQ258" s="6">
        <v>32.729999999999997</v>
      </c>
      <c r="AR258" s="6">
        <v>32.5</v>
      </c>
      <c r="AS258" s="6">
        <v>31.62</v>
      </c>
      <c r="AT258" s="6">
        <v>33.229999999999997</v>
      </c>
      <c r="AU258" s="6">
        <v>32.5</v>
      </c>
      <c r="AV258" s="6">
        <v>33.46</v>
      </c>
      <c r="AW258" s="6">
        <v>32.79</v>
      </c>
      <c r="AX258" s="6">
        <v>33.31</v>
      </c>
      <c r="AY258" s="6">
        <v>33.35</v>
      </c>
      <c r="AZ258" s="6">
        <v>33.6</v>
      </c>
      <c r="BA258" s="6">
        <v>32.65</v>
      </c>
      <c r="BB258" s="6">
        <v>35.1</v>
      </c>
      <c r="BC258" s="6">
        <v>33.58</v>
      </c>
      <c r="BD258" s="6">
        <v>30.96</v>
      </c>
      <c r="BE258" s="6">
        <v>33.42</v>
      </c>
      <c r="BF258" s="6">
        <v>33.65</v>
      </c>
      <c r="BG258" s="6">
        <v>31.36</v>
      </c>
      <c r="BH258" s="10">
        <v>31.53</v>
      </c>
      <c r="BI258" s="10"/>
    </row>
    <row r="259" spans="1:61" ht="15.75" customHeight="1" x14ac:dyDescent="0.25">
      <c r="A259" s="1">
        <v>258</v>
      </c>
      <c r="B259" s="1"/>
      <c r="C259" s="1">
        <v>14</v>
      </c>
      <c r="D259" s="6">
        <v>33.04</v>
      </c>
      <c r="E259" s="6">
        <v>32.81</v>
      </c>
      <c r="F259" s="6">
        <v>33.25</v>
      </c>
      <c r="G259" s="6"/>
      <c r="H259" s="6"/>
      <c r="I259" s="6"/>
      <c r="J259" s="9">
        <v>31.73</v>
      </c>
      <c r="K259" s="9">
        <v>33.18</v>
      </c>
      <c r="L259" s="9">
        <v>33.82</v>
      </c>
      <c r="M259" s="9">
        <v>33.049999999999997</v>
      </c>
      <c r="N259" s="9">
        <v>32.79</v>
      </c>
      <c r="O259" s="9">
        <v>32.5</v>
      </c>
      <c r="P259" s="9">
        <v>34.65</v>
      </c>
      <c r="Q259" s="9">
        <v>35.08</v>
      </c>
      <c r="R259" s="9">
        <v>35.340000000000003</v>
      </c>
      <c r="S259" s="9">
        <v>35.53</v>
      </c>
      <c r="T259" s="9">
        <v>34.42</v>
      </c>
      <c r="U259" s="9">
        <v>34.39</v>
      </c>
      <c r="V259" s="9">
        <v>34.22</v>
      </c>
      <c r="W259" s="6">
        <v>33.54</v>
      </c>
      <c r="X259" s="6">
        <v>32.630000000000003</v>
      </c>
      <c r="Y259" s="6">
        <v>31.12</v>
      </c>
      <c r="Z259" s="6">
        <v>32.33</v>
      </c>
      <c r="AA259" s="6">
        <v>33.75</v>
      </c>
      <c r="AB259" s="6">
        <v>32.950000000000003</v>
      </c>
      <c r="AC259" s="6">
        <v>32.89</v>
      </c>
      <c r="AD259" s="6">
        <v>33.85</v>
      </c>
      <c r="AE259" s="6">
        <v>32.01</v>
      </c>
      <c r="AF259" s="6">
        <v>33.64</v>
      </c>
      <c r="AG259" s="6">
        <v>31.28</v>
      </c>
      <c r="AH259" s="6">
        <v>33.49</v>
      </c>
      <c r="AI259" s="6">
        <v>32.29</v>
      </c>
      <c r="AJ259" s="6">
        <v>32.840000000000003</v>
      </c>
      <c r="AK259" s="6">
        <v>31.45</v>
      </c>
      <c r="AL259" s="6">
        <v>33.31</v>
      </c>
      <c r="AM259" s="6">
        <v>33.19</v>
      </c>
      <c r="AN259" s="6">
        <v>33.24</v>
      </c>
      <c r="AO259" s="6">
        <v>31.98</v>
      </c>
      <c r="AP259" s="6">
        <v>33</v>
      </c>
      <c r="AQ259" s="6">
        <v>32.700000000000003</v>
      </c>
      <c r="AR259" s="6">
        <v>32.450000000000003</v>
      </c>
      <c r="AS259" s="6">
        <v>31.56</v>
      </c>
      <c r="AT259" s="6">
        <v>33.15</v>
      </c>
      <c r="AU259" s="6">
        <v>32.43</v>
      </c>
      <c r="AV259" s="6">
        <v>33.4</v>
      </c>
      <c r="AW259" s="6">
        <v>32.76</v>
      </c>
      <c r="AX259" s="6">
        <v>33.24</v>
      </c>
      <c r="AY259" s="6">
        <v>33.299999999999997</v>
      </c>
      <c r="AZ259" s="6">
        <v>33.58</v>
      </c>
      <c r="BA259" s="6">
        <v>32.53</v>
      </c>
      <c r="BB259" s="6">
        <v>35.04</v>
      </c>
      <c r="BC259" s="6">
        <v>33.57</v>
      </c>
      <c r="BD259" s="6">
        <v>30.88</v>
      </c>
      <c r="BE259" s="6">
        <v>33.380000000000003</v>
      </c>
      <c r="BF259" s="6">
        <v>33.6</v>
      </c>
      <c r="BG259" s="6">
        <v>31.2</v>
      </c>
      <c r="BH259" s="10">
        <v>31.42</v>
      </c>
      <c r="BI259" s="10"/>
    </row>
    <row r="260" spans="1:61" ht="15.75" customHeight="1" x14ac:dyDescent="0.25">
      <c r="A260" s="1">
        <v>259</v>
      </c>
      <c r="B260" s="1"/>
      <c r="C260" s="1">
        <v>15</v>
      </c>
      <c r="D260" s="6">
        <v>33.04</v>
      </c>
      <c r="E260" s="6">
        <v>32.81</v>
      </c>
      <c r="F260" s="6">
        <v>33.25</v>
      </c>
      <c r="G260" s="6"/>
      <c r="H260" s="6"/>
      <c r="I260" s="6"/>
      <c r="J260" s="9">
        <v>31.69</v>
      </c>
      <c r="K260" s="9">
        <v>33.18</v>
      </c>
      <c r="L260" s="9">
        <v>33.729999999999997</v>
      </c>
      <c r="M260" s="9">
        <v>33.020000000000003</v>
      </c>
      <c r="N260" s="9">
        <v>32.72</v>
      </c>
      <c r="O260" s="9">
        <v>32.450000000000003</v>
      </c>
      <c r="P260" s="9">
        <v>34.590000000000003</v>
      </c>
      <c r="Q260" s="9">
        <v>35.07</v>
      </c>
      <c r="R260" s="9">
        <v>35.299999999999997</v>
      </c>
      <c r="S260" s="9">
        <v>35.479999999999997</v>
      </c>
      <c r="T260" s="9">
        <v>34.4</v>
      </c>
      <c r="U260" s="9">
        <v>34.369999999999997</v>
      </c>
      <c r="V260" s="9">
        <v>34.15</v>
      </c>
      <c r="W260" s="6">
        <v>33.54</v>
      </c>
      <c r="X260" s="6">
        <v>32.590000000000003</v>
      </c>
      <c r="Y260" s="6">
        <v>31.01</v>
      </c>
      <c r="Z260" s="6">
        <v>32.22</v>
      </c>
      <c r="AA260" s="6">
        <v>33.71</v>
      </c>
      <c r="AB260" s="6">
        <v>32.9</v>
      </c>
      <c r="AC260" s="6">
        <v>32.880000000000003</v>
      </c>
      <c r="AD260" s="6">
        <v>33.83</v>
      </c>
      <c r="AE260" s="6">
        <v>31.9</v>
      </c>
      <c r="AF260" s="6">
        <v>33.61</v>
      </c>
      <c r="AG260" s="6">
        <v>31.2</v>
      </c>
      <c r="AH260" s="6">
        <v>33.43</v>
      </c>
      <c r="AI260" s="6">
        <v>32.22</v>
      </c>
      <c r="AJ260" s="6">
        <v>32.799999999999997</v>
      </c>
      <c r="AK260" s="6">
        <v>31.4</v>
      </c>
      <c r="AL260" s="6">
        <v>33.25</v>
      </c>
      <c r="AM260" s="6">
        <v>33.14</v>
      </c>
      <c r="AN260" s="6">
        <v>33.229999999999997</v>
      </c>
      <c r="AO260" s="6">
        <v>31.95</v>
      </c>
      <c r="AP260" s="6">
        <v>32.86</v>
      </c>
      <c r="AQ260" s="6">
        <v>32.65</v>
      </c>
      <c r="AR260" s="6">
        <v>32.4</v>
      </c>
      <c r="AS260" s="6">
        <v>31.48</v>
      </c>
      <c r="AT260" s="6">
        <v>33.090000000000003</v>
      </c>
      <c r="AU260" s="6">
        <v>32.31</v>
      </c>
      <c r="AV260" s="6">
        <v>33.36</v>
      </c>
      <c r="AW260" s="6">
        <v>32.729999999999997</v>
      </c>
      <c r="AX260" s="6">
        <v>33.17</v>
      </c>
      <c r="AY260" s="6">
        <v>33.24</v>
      </c>
      <c r="AZ260" s="6">
        <v>33.53</v>
      </c>
      <c r="BA260" s="6">
        <v>32.39</v>
      </c>
      <c r="BB260" s="6">
        <v>34.96</v>
      </c>
      <c r="BC260" s="6">
        <v>33.44</v>
      </c>
      <c r="BD260" s="6">
        <v>30.8</v>
      </c>
      <c r="BE260" s="6">
        <v>33.340000000000003</v>
      </c>
      <c r="BF260" s="6">
        <v>33.54</v>
      </c>
      <c r="BG260" s="6">
        <v>31.04</v>
      </c>
      <c r="BH260" s="10">
        <v>31.3</v>
      </c>
      <c r="BI260" s="10"/>
    </row>
    <row r="261" spans="1:61" ht="15.75" customHeight="1" x14ac:dyDescent="0.25">
      <c r="A261" s="1">
        <v>260</v>
      </c>
      <c r="B261" s="1"/>
      <c r="C261" s="1">
        <v>16</v>
      </c>
      <c r="D261" s="6">
        <v>33.04</v>
      </c>
      <c r="E261" s="6">
        <v>32.840000000000003</v>
      </c>
      <c r="F261" s="6">
        <v>33.24</v>
      </c>
      <c r="G261" s="6"/>
      <c r="H261" s="6"/>
      <c r="I261" s="6"/>
      <c r="J261" s="9">
        <v>31.66</v>
      </c>
      <c r="K261" s="9">
        <v>33.18</v>
      </c>
      <c r="L261" s="9">
        <v>33.619999999999997</v>
      </c>
      <c r="M261" s="9">
        <v>32.909999999999997</v>
      </c>
      <c r="N261" s="9">
        <v>32.64</v>
      </c>
      <c r="O261" s="9">
        <v>32.409999999999997</v>
      </c>
      <c r="P261" s="9">
        <v>34.53</v>
      </c>
      <c r="Q261" s="9">
        <v>35.04</v>
      </c>
      <c r="R261" s="9">
        <v>35.25</v>
      </c>
      <c r="S261" s="9">
        <v>35.44</v>
      </c>
      <c r="T261" s="9">
        <v>34.36</v>
      </c>
      <c r="U261" s="9">
        <v>34.33</v>
      </c>
      <c r="V261" s="9">
        <v>34.07</v>
      </c>
      <c r="W261" s="6">
        <v>33.520000000000003</v>
      </c>
      <c r="X261" s="6">
        <v>32.54</v>
      </c>
      <c r="Y261" s="6">
        <v>30.91</v>
      </c>
      <c r="Z261" s="6">
        <v>32.15</v>
      </c>
      <c r="AA261" s="6">
        <v>33.68</v>
      </c>
      <c r="AB261" s="6">
        <v>32.840000000000003</v>
      </c>
      <c r="AC261" s="6">
        <v>32.869999999999997</v>
      </c>
      <c r="AD261" s="6">
        <v>33.78</v>
      </c>
      <c r="AE261" s="6">
        <v>31.77</v>
      </c>
      <c r="AF261" s="6">
        <v>33.56</v>
      </c>
      <c r="AG261" s="6">
        <v>31.11</v>
      </c>
      <c r="AH261" s="6">
        <v>33.39</v>
      </c>
      <c r="AI261" s="6">
        <v>32.14</v>
      </c>
      <c r="AJ261" s="6">
        <v>32.78</v>
      </c>
      <c r="AK261" s="6">
        <v>31.33</v>
      </c>
      <c r="AL261" s="6">
        <v>33.19</v>
      </c>
      <c r="AM261" s="6">
        <v>33.08</v>
      </c>
      <c r="AN261" s="6">
        <v>33.19</v>
      </c>
      <c r="AO261" s="6">
        <v>31.91</v>
      </c>
      <c r="AP261" s="6">
        <v>32.72</v>
      </c>
      <c r="AQ261" s="6">
        <v>32.6</v>
      </c>
      <c r="AR261" s="6">
        <v>32.35</v>
      </c>
      <c r="AS261" s="6">
        <v>31.41</v>
      </c>
      <c r="AT261" s="6">
        <v>33.06</v>
      </c>
      <c r="AU261" s="6">
        <v>32.21</v>
      </c>
      <c r="AV261" s="6">
        <v>33.31</v>
      </c>
      <c r="AW261" s="6">
        <v>32.700000000000003</v>
      </c>
      <c r="AX261" s="6">
        <v>33.119999999999997</v>
      </c>
      <c r="AY261" s="6">
        <v>33.17</v>
      </c>
      <c r="AZ261" s="6">
        <v>33.56</v>
      </c>
      <c r="BA261" s="6">
        <v>32.26</v>
      </c>
      <c r="BB261" s="6">
        <v>34.9</v>
      </c>
      <c r="BC261" s="6">
        <v>33.36</v>
      </c>
      <c r="BD261" s="6">
        <v>30.7</v>
      </c>
      <c r="BE261" s="6">
        <v>33.28</v>
      </c>
      <c r="BF261" s="6">
        <v>33.47</v>
      </c>
      <c r="BG261" s="6">
        <v>30.88</v>
      </c>
      <c r="BH261" s="10">
        <v>31.18</v>
      </c>
      <c r="BI261" s="10"/>
    </row>
    <row r="262" spans="1:61" ht="15.75" customHeight="1" x14ac:dyDescent="0.25">
      <c r="A262" s="1">
        <v>261</v>
      </c>
      <c r="B262" s="1"/>
      <c r="C262" s="1">
        <v>17</v>
      </c>
      <c r="D262" s="6">
        <v>33.06</v>
      </c>
      <c r="E262" s="6">
        <v>32.770000000000003</v>
      </c>
      <c r="F262" s="6">
        <v>33.22</v>
      </c>
      <c r="G262" s="6"/>
      <c r="H262" s="6"/>
      <c r="I262" s="6"/>
      <c r="J262" s="9">
        <v>31.57</v>
      </c>
      <c r="K262" s="9">
        <v>33.18</v>
      </c>
      <c r="L262" s="9">
        <v>33.520000000000003</v>
      </c>
      <c r="M262" s="9">
        <v>32.840000000000003</v>
      </c>
      <c r="N262" s="9">
        <v>32.590000000000003</v>
      </c>
      <c r="O262" s="9">
        <v>32.369999999999997</v>
      </c>
      <c r="P262" s="9">
        <v>34.47</v>
      </c>
      <c r="Q262" s="9">
        <v>35</v>
      </c>
      <c r="R262" s="9">
        <v>35.200000000000003</v>
      </c>
      <c r="S262" s="9">
        <v>35.42</v>
      </c>
      <c r="T262" s="9">
        <v>34.33</v>
      </c>
      <c r="U262" s="9">
        <v>34.32</v>
      </c>
      <c r="V262" s="9">
        <v>33.99</v>
      </c>
      <c r="W262" s="6">
        <v>33.49</v>
      </c>
      <c r="X262" s="6">
        <v>32.47</v>
      </c>
      <c r="Y262" s="6">
        <v>30.81</v>
      </c>
      <c r="Z262" s="6">
        <v>32.090000000000003</v>
      </c>
      <c r="AA262" s="6">
        <v>33.659999999999997</v>
      </c>
      <c r="AB262" s="6">
        <v>32.79</v>
      </c>
      <c r="AC262" s="6">
        <v>32.85</v>
      </c>
      <c r="AD262" s="6">
        <v>33.74</v>
      </c>
      <c r="AE262" s="6">
        <v>31.67</v>
      </c>
      <c r="AF262" s="6">
        <v>33.549999999999997</v>
      </c>
      <c r="AG262" s="6">
        <v>31.02</v>
      </c>
      <c r="AH262" s="6">
        <v>33.35</v>
      </c>
      <c r="AI262" s="6">
        <v>32.06</v>
      </c>
      <c r="AJ262" s="6">
        <v>32.72</v>
      </c>
      <c r="AK262" s="6">
        <v>31.27</v>
      </c>
      <c r="AL262" s="6">
        <v>33.119999999999997</v>
      </c>
      <c r="AM262" s="6">
        <v>33.020000000000003</v>
      </c>
      <c r="AN262" s="6">
        <v>33.159999999999997</v>
      </c>
      <c r="AO262" s="6">
        <v>31.86</v>
      </c>
      <c r="AP262" s="6">
        <v>32.61</v>
      </c>
      <c r="AQ262" s="6">
        <v>32.56</v>
      </c>
      <c r="AR262" s="6">
        <v>32.32</v>
      </c>
      <c r="AS262" s="6">
        <v>31.32</v>
      </c>
      <c r="AT262" s="6">
        <v>32.89</v>
      </c>
      <c r="AU262" s="6">
        <v>32.1</v>
      </c>
      <c r="AV262" s="6">
        <v>33.270000000000003</v>
      </c>
      <c r="AW262" s="6">
        <v>32.64</v>
      </c>
      <c r="AX262" s="6">
        <v>33.06</v>
      </c>
      <c r="AY262" s="6">
        <v>33.1</v>
      </c>
      <c r="AZ262" s="6">
        <v>33.520000000000003</v>
      </c>
      <c r="BA262" s="6">
        <v>32.119999999999997</v>
      </c>
      <c r="BB262" s="6">
        <v>34.880000000000003</v>
      </c>
      <c r="BC262" s="6">
        <v>33.28</v>
      </c>
      <c r="BD262" s="6">
        <v>30.62</v>
      </c>
      <c r="BE262" s="6">
        <v>33.24</v>
      </c>
      <c r="BF262" s="6">
        <v>33.42</v>
      </c>
      <c r="BG262" s="6">
        <v>30.7</v>
      </c>
      <c r="BH262" s="10">
        <v>31.06</v>
      </c>
      <c r="BI262" s="10"/>
    </row>
    <row r="263" spans="1:61" ht="15.75" customHeight="1" x14ac:dyDescent="0.25">
      <c r="A263" s="1">
        <v>262</v>
      </c>
      <c r="B263" s="1"/>
      <c r="C263" s="1">
        <v>18</v>
      </c>
      <c r="D263" s="6">
        <v>33.06</v>
      </c>
      <c r="E263" s="6">
        <v>32.75</v>
      </c>
      <c r="F263" s="6">
        <v>33.22</v>
      </c>
      <c r="G263" s="6"/>
      <c r="H263" s="6"/>
      <c r="I263" s="6"/>
      <c r="J263" s="9">
        <v>31.61</v>
      </c>
      <c r="K263" s="9">
        <v>33.130000000000003</v>
      </c>
      <c r="L263" s="9">
        <v>33.409999999999997</v>
      </c>
      <c r="M263" s="9">
        <v>32.78</v>
      </c>
      <c r="N263" s="9">
        <v>32.520000000000003</v>
      </c>
      <c r="O263" s="9">
        <v>32.32</v>
      </c>
      <c r="P263" s="9">
        <v>34.42</v>
      </c>
      <c r="Q263" s="9">
        <v>34.97</v>
      </c>
      <c r="R263" s="9">
        <v>35.159999999999997</v>
      </c>
      <c r="S263" s="9">
        <v>35.380000000000003</v>
      </c>
      <c r="T263" s="9">
        <v>34.29</v>
      </c>
      <c r="U263" s="9">
        <v>34.28</v>
      </c>
      <c r="V263" s="9">
        <v>33.93</v>
      </c>
      <c r="W263" s="6">
        <v>33.47</v>
      </c>
      <c r="X263" s="6">
        <v>32.43</v>
      </c>
      <c r="Y263" s="6">
        <v>30.72</v>
      </c>
      <c r="Z263" s="6">
        <v>32.020000000000003</v>
      </c>
      <c r="AA263" s="6">
        <v>33.64</v>
      </c>
      <c r="AB263" s="6">
        <v>32.729999999999997</v>
      </c>
      <c r="AC263" s="6">
        <v>32.83</v>
      </c>
      <c r="AD263" s="6">
        <v>33.72</v>
      </c>
      <c r="AE263" s="6">
        <v>31.56</v>
      </c>
      <c r="AF263" s="6">
        <v>33.450000000000003</v>
      </c>
      <c r="AG263" s="6">
        <v>30.96</v>
      </c>
      <c r="AH263" s="6">
        <v>33.299999999999997</v>
      </c>
      <c r="AI263" s="6">
        <v>31.96</v>
      </c>
      <c r="AJ263" s="6">
        <v>32.68</v>
      </c>
      <c r="AK263" s="6">
        <v>31.19</v>
      </c>
      <c r="AL263" s="6">
        <v>33.130000000000003</v>
      </c>
      <c r="AM263" s="6">
        <v>32.979999999999997</v>
      </c>
      <c r="AN263" s="6">
        <v>33.130000000000003</v>
      </c>
      <c r="AO263" s="6">
        <v>31.82</v>
      </c>
      <c r="AP263" s="6">
        <v>32.54</v>
      </c>
      <c r="AQ263" s="6">
        <v>32.5</v>
      </c>
      <c r="AR263" s="6">
        <v>32.28</v>
      </c>
      <c r="AS263" s="6">
        <v>31.27</v>
      </c>
      <c r="AT263" s="6">
        <v>32.82</v>
      </c>
      <c r="AU263" s="6">
        <v>31.99</v>
      </c>
      <c r="AV263" s="6">
        <v>33.22</v>
      </c>
      <c r="AW263" s="6">
        <v>32.590000000000003</v>
      </c>
      <c r="AX263" s="6">
        <v>33.06</v>
      </c>
      <c r="AY263" s="6">
        <v>33.04</v>
      </c>
      <c r="AZ263" s="6">
        <v>33.479999999999997</v>
      </c>
      <c r="BA263" s="6">
        <v>31.99</v>
      </c>
      <c r="BB263" s="6">
        <v>34.81</v>
      </c>
      <c r="BC263" s="6">
        <v>33.200000000000003</v>
      </c>
      <c r="BD263" s="6">
        <v>30.52</v>
      </c>
      <c r="BE263" s="6">
        <v>33.200000000000003</v>
      </c>
      <c r="BF263" s="6">
        <v>33.36</v>
      </c>
      <c r="BG263" s="6">
        <v>30.56</v>
      </c>
      <c r="BH263" s="10">
        <v>30.94</v>
      </c>
      <c r="BI263" s="10"/>
    </row>
    <row r="264" spans="1:61" ht="15.75" customHeight="1" x14ac:dyDescent="0.25">
      <c r="A264" s="1">
        <v>263</v>
      </c>
      <c r="B264" s="1"/>
      <c r="C264" s="1">
        <v>19</v>
      </c>
      <c r="D264" s="6">
        <v>33.11</v>
      </c>
      <c r="E264" s="6">
        <v>32.65</v>
      </c>
      <c r="F264" s="6">
        <v>33.200000000000003</v>
      </c>
      <c r="G264" s="6"/>
      <c r="H264" s="6"/>
      <c r="I264" s="6"/>
      <c r="J264" s="9">
        <v>31.58</v>
      </c>
      <c r="K264" s="9">
        <v>33.08</v>
      </c>
      <c r="L264" s="9">
        <v>33.32</v>
      </c>
      <c r="M264" s="9">
        <v>32.72</v>
      </c>
      <c r="N264" s="9">
        <v>32.46</v>
      </c>
      <c r="O264" s="9">
        <v>32.270000000000003</v>
      </c>
      <c r="P264" s="9">
        <v>34.39</v>
      </c>
      <c r="Q264" s="9">
        <v>34.96</v>
      </c>
      <c r="R264" s="9">
        <v>35.119999999999997</v>
      </c>
      <c r="S264" s="9">
        <v>35.33</v>
      </c>
      <c r="T264" s="9">
        <v>34.24</v>
      </c>
      <c r="U264" s="9">
        <v>34.26</v>
      </c>
      <c r="V264" s="9">
        <v>33.86</v>
      </c>
      <c r="W264" s="6">
        <v>33.43</v>
      </c>
      <c r="X264" s="6">
        <v>32.4</v>
      </c>
      <c r="Y264" s="6">
        <v>30.62</v>
      </c>
      <c r="Z264" s="6">
        <v>31.94</v>
      </c>
      <c r="AA264" s="6">
        <v>33.619999999999997</v>
      </c>
      <c r="AB264" s="6">
        <v>32.68</v>
      </c>
      <c r="AC264" s="6">
        <v>32.82</v>
      </c>
      <c r="AD264" s="6">
        <v>33.630000000000003</v>
      </c>
      <c r="AE264" s="6">
        <v>31.48</v>
      </c>
      <c r="AF264" s="6">
        <v>33.4</v>
      </c>
      <c r="AG264" s="6">
        <v>30.89</v>
      </c>
      <c r="AH264" s="6">
        <v>33.25</v>
      </c>
      <c r="AI264" s="6">
        <v>31.88</v>
      </c>
      <c r="AJ264" s="6">
        <v>32.630000000000003</v>
      </c>
      <c r="AK264" s="6">
        <v>31.12</v>
      </c>
      <c r="AL264" s="6">
        <v>33.08</v>
      </c>
      <c r="AM264" s="6">
        <v>32.97</v>
      </c>
      <c r="AN264" s="6">
        <v>33.1</v>
      </c>
      <c r="AO264" s="6">
        <v>31.79</v>
      </c>
      <c r="AP264" s="6">
        <v>32.44</v>
      </c>
      <c r="AQ264" s="6">
        <v>32.479999999999997</v>
      </c>
      <c r="AR264" s="6">
        <v>32.21</v>
      </c>
      <c r="AS264" s="6">
        <v>31.19</v>
      </c>
      <c r="AT264" s="6">
        <v>32.74</v>
      </c>
      <c r="AU264" s="6">
        <v>31.88</v>
      </c>
      <c r="AV264" s="6">
        <v>33.17</v>
      </c>
      <c r="AW264" s="6">
        <v>32.57</v>
      </c>
      <c r="AX264" s="6">
        <v>32.96</v>
      </c>
      <c r="AY264" s="6">
        <v>32.99</v>
      </c>
      <c r="AZ264" s="6">
        <v>33.43</v>
      </c>
      <c r="BA264" s="6">
        <v>31.84</v>
      </c>
      <c r="BB264" s="6">
        <v>34.75</v>
      </c>
      <c r="BC264" s="6">
        <v>33.119999999999997</v>
      </c>
      <c r="BD264" s="6">
        <v>30.42</v>
      </c>
      <c r="BE264" s="6">
        <v>33.15</v>
      </c>
      <c r="BF264" s="6">
        <v>33.29</v>
      </c>
      <c r="BG264" s="6">
        <v>30.41</v>
      </c>
      <c r="BH264" s="10">
        <v>30.82</v>
      </c>
      <c r="BI264" s="10"/>
    </row>
    <row r="265" spans="1:61" ht="15.75" customHeight="1" x14ac:dyDescent="0.25">
      <c r="A265" s="1">
        <v>264</v>
      </c>
      <c r="B265" s="1"/>
      <c r="C265" s="1">
        <v>20</v>
      </c>
      <c r="D265" s="6">
        <v>33.15</v>
      </c>
      <c r="E265" s="6">
        <v>32.61</v>
      </c>
      <c r="F265" s="6">
        <v>33.200000000000003</v>
      </c>
      <c r="G265" s="6"/>
      <c r="H265" s="6"/>
      <c r="I265" s="6"/>
      <c r="J265" s="9">
        <v>31.55</v>
      </c>
      <c r="K265" s="9">
        <v>33.03</v>
      </c>
      <c r="L265" s="9">
        <v>33.24</v>
      </c>
      <c r="M265" s="9">
        <v>32.64</v>
      </c>
      <c r="N265" s="9">
        <v>32.4</v>
      </c>
      <c r="O265" s="9">
        <v>32.22</v>
      </c>
      <c r="P265" s="9">
        <v>34.35</v>
      </c>
      <c r="Q265" s="9">
        <v>34.96</v>
      </c>
      <c r="R265" s="9">
        <v>35.08</v>
      </c>
      <c r="S265" s="9">
        <v>35.28</v>
      </c>
      <c r="T265" s="9">
        <v>34.200000000000003</v>
      </c>
      <c r="U265" s="9">
        <v>34.24</v>
      </c>
      <c r="V265" s="9">
        <v>33.79</v>
      </c>
      <c r="W265" s="6">
        <v>33.380000000000003</v>
      </c>
      <c r="X265" s="6">
        <v>32.33</v>
      </c>
      <c r="Y265" s="6">
        <v>30.54</v>
      </c>
      <c r="Z265" s="6">
        <v>31.87</v>
      </c>
      <c r="AA265" s="6">
        <v>33.590000000000003</v>
      </c>
      <c r="AB265" s="6">
        <v>32.619999999999997</v>
      </c>
      <c r="AC265" s="6">
        <v>32.81</v>
      </c>
      <c r="AD265" s="6">
        <v>33.590000000000003</v>
      </c>
      <c r="AE265" s="6">
        <v>31.38</v>
      </c>
      <c r="AF265" s="6">
        <v>33.36</v>
      </c>
      <c r="AG265" s="6">
        <v>30.79</v>
      </c>
      <c r="AH265" s="6">
        <v>33.18</v>
      </c>
      <c r="AI265" s="6">
        <v>31.8</v>
      </c>
      <c r="AJ265" s="6">
        <v>32.58</v>
      </c>
      <c r="AK265" s="6">
        <v>31.06</v>
      </c>
      <c r="AL265" s="6">
        <v>33.03</v>
      </c>
      <c r="AM265" s="6">
        <v>32.9</v>
      </c>
      <c r="AN265" s="6">
        <v>33.08</v>
      </c>
      <c r="AO265" s="6">
        <v>31.75</v>
      </c>
      <c r="AP265" s="6">
        <v>32.36</v>
      </c>
      <c r="AQ265" s="6">
        <v>32.450000000000003</v>
      </c>
      <c r="AR265" s="6">
        <v>32.15</v>
      </c>
      <c r="AS265" s="6">
        <v>31.11</v>
      </c>
      <c r="AT265" s="6">
        <v>32.69</v>
      </c>
      <c r="AU265" s="6">
        <v>31.78</v>
      </c>
      <c r="AV265" s="6">
        <v>33.119999999999997</v>
      </c>
      <c r="AW265" s="6">
        <v>32.56</v>
      </c>
      <c r="AX265" s="6">
        <v>32.9</v>
      </c>
      <c r="AY265" s="6">
        <v>32.89</v>
      </c>
      <c r="AZ265" s="6">
        <v>33.380000000000003</v>
      </c>
      <c r="BA265" s="6">
        <v>31.71</v>
      </c>
      <c r="BB265" s="6">
        <v>34.68</v>
      </c>
      <c r="BC265" s="6">
        <v>33</v>
      </c>
      <c r="BD265" s="6">
        <v>30.31</v>
      </c>
      <c r="BE265" s="6">
        <v>33.11</v>
      </c>
      <c r="BF265" s="6">
        <v>33.22</v>
      </c>
      <c r="BG265" s="6">
        <v>30.26</v>
      </c>
      <c r="BH265" s="10">
        <v>30.68</v>
      </c>
      <c r="BI265" s="10"/>
    </row>
    <row r="266" spans="1:61" ht="15.75" customHeight="1" x14ac:dyDescent="0.25">
      <c r="A266" s="1">
        <v>265</v>
      </c>
      <c r="B266" s="1"/>
      <c r="C266" s="1">
        <v>21</v>
      </c>
      <c r="D266" s="6">
        <v>33.18</v>
      </c>
      <c r="E266" s="6">
        <v>32.520000000000003</v>
      </c>
      <c r="F266" s="6">
        <v>33.159999999999997</v>
      </c>
      <c r="G266" s="6"/>
      <c r="H266" s="6"/>
      <c r="I266" s="6"/>
      <c r="J266" s="9">
        <v>31.51</v>
      </c>
      <c r="K266" s="9">
        <v>32.979999999999997</v>
      </c>
      <c r="L266" s="9">
        <v>33.15</v>
      </c>
      <c r="M266" s="9">
        <v>32.57</v>
      </c>
      <c r="N266" s="9">
        <v>32.340000000000003</v>
      </c>
      <c r="O266" s="9">
        <v>32.159999999999997</v>
      </c>
      <c r="P266" s="9">
        <v>34.29</v>
      </c>
      <c r="Q266" s="9">
        <v>34.96</v>
      </c>
      <c r="R266" s="9">
        <v>35.04</v>
      </c>
      <c r="S266" s="9">
        <v>35.229999999999997</v>
      </c>
      <c r="T266" s="9">
        <v>34.159999999999997</v>
      </c>
      <c r="U266" s="9">
        <v>34.21</v>
      </c>
      <c r="V266" s="9">
        <v>33.75</v>
      </c>
      <c r="W266" s="6">
        <v>33.33</v>
      </c>
      <c r="X266" s="6">
        <v>32.29</v>
      </c>
      <c r="Y266" s="6">
        <v>30.43</v>
      </c>
      <c r="Z266" s="6">
        <v>31.81</v>
      </c>
      <c r="AA266" s="6">
        <v>33.56</v>
      </c>
      <c r="AB266" s="6">
        <v>32.56</v>
      </c>
      <c r="AC266" s="6">
        <v>32.78</v>
      </c>
      <c r="AD266" s="6">
        <v>33.53</v>
      </c>
      <c r="AE266" s="6">
        <v>31.3</v>
      </c>
      <c r="AF266" s="6">
        <v>33.299999999999997</v>
      </c>
      <c r="AG266" s="6">
        <v>30.71</v>
      </c>
      <c r="AH266" s="6">
        <v>33.119999999999997</v>
      </c>
      <c r="AI266" s="6">
        <v>31.71</v>
      </c>
      <c r="AJ266" s="6">
        <v>32.53</v>
      </c>
      <c r="AK266" s="6">
        <v>30.99</v>
      </c>
      <c r="AL266" s="6">
        <v>32.97</v>
      </c>
      <c r="AM266" s="6">
        <v>32.85</v>
      </c>
      <c r="AN266" s="6">
        <v>33.04</v>
      </c>
      <c r="AO266" s="6">
        <v>31.7</v>
      </c>
      <c r="AP266" s="6">
        <v>32.270000000000003</v>
      </c>
      <c r="AQ266" s="6">
        <v>32.43</v>
      </c>
      <c r="AR266" s="6">
        <v>32.08</v>
      </c>
      <c r="AS266" s="6">
        <v>31.03</v>
      </c>
      <c r="AT266" s="6">
        <v>32.61</v>
      </c>
      <c r="AU266" s="6">
        <v>31.7</v>
      </c>
      <c r="AV266" s="6">
        <v>33.06</v>
      </c>
      <c r="AW266" s="6">
        <v>32.5</v>
      </c>
      <c r="AX266" s="6">
        <v>32.86</v>
      </c>
      <c r="AY266" s="6">
        <v>32.83</v>
      </c>
      <c r="AZ266" s="6">
        <v>33.33</v>
      </c>
      <c r="BA266" s="6">
        <v>31.59</v>
      </c>
      <c r="BB266" s="6">
        <v>34.6</v>
      </c>
      <c r="BC266" s="6">
        <v>32.92</v>
      </c>
      <c r="BD266" s="6">
        <v>30.2</v>
      </c>
      <c r="BE266" s="6">
        <v>33.08</v>
      </c>
      <c r="BF266" s="6">
        <v>33.17</v>
      </c>
      <c r="BG266" s="6">
        <v>30.1</v>
      </c>
      <c r="BH266" s="10">
        <v>30.56</v>
      </c>
      <c r="BI266" s="10"/>
    </row>
    <row r="267" spans="1:61" ht="15.75" customHeight="1" x14ac:dyDescent="0.25">
      <c r="A267" s="1">
        <v>266</v>
      </c>
      <c r="B267" s="1"/>
      <c r="C267" s="1">
        <v>22</v>
      </c>
      <c r="D267" s="6">
        <v>33.18</v>
      </c>
      <c r="E267" s="6">
        <v>32.47</v>
      </c>
      <c r="F267" s="6">
        <v>33.15</v>
      </c>
      <c r="G267" s="6"/>
      <c r="H267" s="6"/>
      <c r="I267" s="6"/>
      <c r="J267" s="9">
        <v>31.48</v>
      </c>
      <c r="K267" s="9">
        <v>32.93</v>
      </c>
      <c r="L267" s="9">
        <v>33.07</v>
      </c>
      <c r="M267" s="9">
        <v>32.5</v>
      </c>
      <c r="N267" s="9">
        <v>32.25</v>
      </c>
      <c r="O267" s="9">
        <v>32.119999999999997</v>
      </c>
      <c r="P267" s="9">
        <v>34.26</v>
      </c>
      <c r="Q267" s="9">
        <v>34.979999999999997</v>
      </c>
      <c r="R267" s="9">
        <v>34.99</v>
      </c>
      <c r="S267" s="9">
        <v>35.159999999999997</v>
      </c>
      <c r="T267" s="9">
        <v>34.119999999999997</v>
      </c>
      <c r="U267" s="9">
        <v>34.18</v>
      </c>
      <c r="V267" s="9">
        <v>33.69</v>
      </c>
      <c r="W267" s="6">
        <v>33.270000000000003</v>
      </c>
      <c r="X267" s="6">
        <v>32.24</v>
      </c>
      <c r="Y267" s="6">
        <v>30.29</v>
      </c>
      <c r="Z267" s="6">
        <v>31.76</v>
      </c>
      <c r="AA267" s="6">
        <v>33.520000000000003</v>
      </c>
      <c r="AB267" s="6">
        <v>32.479999999999997</v>
      </c>
      <c r="AC267" s="6">
        <v>32.75</v>
      </c>
      <c r="AD267" s="6">
        <v>33.47</v>
      </c>
      <c r="AE267" s="6">
        <v>31.22</v>
      </c>
      <c r="AF267" s="6">
        <v>33.26</v>
      </c>
      <c r="AG267" s="6">
        <v>30.61</v>
      </c>
      <c r="AH267" s="6">
        <v>33.06</v>
      </c>
      <c r="AI267" s="6">
        <v>31.62</v>
      </c>
      <c r="AJ267" s="6">
        <v>32.46</v>
      </c>
      <c r="AK267" s="6">
        <v>30.92</v>
      </c>
      <c r="AL267" s="6">
        <v>32.89</v>
      </c>
      <c r="AM267" s="6">
        <v>32.81</v>
      </c>
      <c r="AN267" s="6">
        <v>33</v>
      </c>
      <c r="AO267" s="6">
        <v>31.66</v>
      </c>
      <c r="AP267" s="6">
        <v>32.19</v>
      </c>
      <c r="AQ267" s="6">
        <v>32.4</v>
      </c>
      <c r="AR267" s="6">
        <v>31.99</v>
      </c>
      <c r="AS267" s="6">
        <v>30.95</v>
      </c>
      <c r="AT267" s="6">
        <v>32.549999999999997</v>
      </c>
      <c r="AU267" s="6">
        <v>31.62</v>
      </c>
      <c r="AV267" s="6">
        <v>33.01</v>
      </c>
      <c r="AW267" s="6">
        <v>32.46</v>
      </c>
      <c r="AX267" s="6">
        <v>32.799999999999997</v>
      </c>
      <c r="AY267" s="6">
        <v>32.770000000000003</v>
      </c>
      <c r="AZ267" s="6">
        <v>33.28</v>
      </c>
      <c r="BA267" s="6">
        <v>31.46</v>
      </c>
      <c r="BB267" s="6">
        <v>34.520000000000003</v>
      </c>
      <c r="BC267" s="6">
        <v>32.86</v>
      </c>
      <c r="BD267" s="6">
        <v>30.1</v>
      </c>
      <c r="BE267" s="6">
        <v>33.04</v>
      </c>
      <c r="BF267" s="6">
        <v>33.119999999999997</v>
      </c>
      <c r="BG267" s="6">
        <v>29.94</v>
      </c>
      <c r="BH267" s="10">
        <v>30.45</v>
      </c>
      <c r="BI267" s="10"/>
    </row>
    <row r="268" spans="1:61" ht="15.75" customHeight="1" x14ac:dyDescent="0.25">
      <c r="A268" s="1">
        <v>267</v>
      </c>
      <c r="B268" s="1"/>
      <c r="C268" s="1">
        <v>23</v>
      </c>
      <c r="D268" s="6">
        <v>33.11</v>
      </c>
      <c r="E268" s="6">
        <v>32.36</v>
      </c>
      <c r="F268" s="6">
        <v>33.130000000000003</v>
      </c>
      <c r="G268" s="6"/>
      <c r="H268" s="6"/>
      <c r="I268" s="6"/>
      <c r="J268" s="9">
        <v>31.45</v>
      </c>
      <c r="K268" s="9">
        <v>32.880000000000003</v>
      </c>
      <c r="L268" s="9">
        <v>32.979999999999997</v>
      </c>
      <c r="M268" s="9">
        <v>32.450000000000003</v>
      </c>
      <c r="N268" s="9">
        <v>32.15</v>
      </c>
      <c r="O268" s="9">
        <v>32.07</v>
      </c>
      <c r="P268" s="9">
        <v>34.229999999999997</v>
      </c>
      <c r="Q268" s="9">
        <v>34.950000000000003</v>
      </c>
      <c r="R268" s="9">
        <v>34.950000000000003</v>
      </c>
      <c r="S268" s="9">
        <v>35.1</v>
      </c>
      <c r="T268" s="9">
        <v>34.090000000000003</v>
      </c>
      <c r="U268" s="9">
        <v>34.130000000000003</v>
      </c>
      <c r="V268" s="9">
        <v>33.630000000000003</v>
      </c>
      <c r="W268" s="6">
        <v>33.200000000000003</v>
      </c>
      <c r="X268" s="6">
        <v>32.24</v>
      </c>
      <c r="Y268" s="6">
        <v>30.32</v>
      </c>
      <c r="Z268" s="6">
        <v>31.69</v>
      </c>
      <c r="AA268" s="6">
        <v>33.479999999999997</v>
      </c>
      <c r="AB268" s="6">
        <v>32.409999999999997</v>
      </c>
      <c r="AC268" s="6">
        <v>32.729999999999997</v>
      </c>
      <c r="AD268" s="6">
        <v>33.42</v>
      </c>
      <c r="AE268" s="6">
        <v>31.12</v>
      </c>
      <c r="AF268" s="6">
        <v>33.21</v>
      </c>
      <c r="AG268" s="6">
        <v>30.51</v>
      </c>
      <c r="AH268" s="6">
        <v>33.01</v>
      </c>
      <c r="AI268" s="6">
        <v>31.53</v>
      </c>
      <c r="AJ268" s="6">
        <v>32.4</v>
      </c>
      <c r="AK268" s="6">
        <v>30.89</v>
      </c>
      <c r="AL268" s="6">
        <v>32.81</v>
      </c>
      <c r="AM268" s="6">
        <v>32.75</v>
      </c>
      <c r="AN268" s="6">
        <v>32.96</v>
      </c>
      <c r="AO268" s="6">
        <v>31.61</v>
      </c>
      <c r="AP268" s="6">
        <v>32.1</v>
      </c>
      <c r="AQ268" s="6">
        <v>32.369999999999997</v>
      </c>
      <c r="AR268" s="6">
        <v>31.92</v>
      </c>
      <c r="AS268" s="6">
        <v>30.87</v>
      </c>
      <c r="AT268" s="6">
        <v>32.450000000000003</v>
      </c>
      <c r="AU268" s="6">
        <v>31.52</v>
      </c>
      <c r="AV268" s="6">
        <v>32.950000000000003</v>
      </c>
      <c r="AW268" s="6">
        <v>32.42</v>
      </c>
      <c r="AX268" s="6">
        <v>32.74</v>
      </c>
      <c r="AY268" s="6">
        <v>32.68</v>
      </c>
      <c r="AZ268" s="6">
        <v>33.22</v>
      </c>
      <c r="BA268" s="6">
        <v>31.35</v>
      </c>
      <c r="BB268" s="6">
        <v>34.450000000000003</v>
      </c>
      <c r="BC268" s="6">
        <v>32.74</v>
      </c>
      <c r="BD268" s="6">
        <v>30</v>
      </c>
      <c r="BE268" s="6">
        <v>33.04</v>
      </c>
      <c r="BF268" s="6">
        <v>33.04</v>
      </c>
      <c r="BG268" s="6">
        <v>29.78</v>
      </c>
      <c r="BH268" s="10">
        <v>30.3</v>
      </c>
      <c r="BI268" s="10"/>
    </row>
    <row r="269" spans="1:61" ht="15.75" customHeight="1" x14ac:dyDescent="0.25">
      <c r="A269" s="1">
        <v>268</v>
      </c>
      <c r="B269" s="1"/>
      <c r="C269" s="1">
        <v>24</v>
      </c>
      <c r="D269" s="6">
        <v>33.11</v>
      </c>
      <c r="E269" s="6">
        <v>32.29</v>
      </c>
      <c r="F269" s="6">
        <v>33.11</v>
      </c>
      <c r="G269" s="6"/>
      <c r="H269" s="6"/>
      <c r="I269" s="6"/>
      <c r="J269" s="9">
        <v>31.43</v>
      </c>
      <c r="K269" s="9">
        <v>32.83</v>
      </c>
      <c r="L269" s="9">
        <v>32.880000000000003</v>
      </c>
      <c r="M269" s="9">
        <v>32.39</v>
      </c>
      <c r="N269" s="9">
        <v>32.06</v>
      </c>
      <c r="O269" s="9">
        <v>32.03</v>
      </c>
      <c r="P269" s="9">
        <v>34.21</v>
      </c>
      <c r="Q269" s="9">
        <v>34.94</v>
      </c>
      <c r="R269" s="9">
        <v>34.909999999999997</v>
      </c>
      <c r="S269" s="9">
        <v>35.06</v>
      </c>
      <c r="T269" s="9">
        <v>34.08</v>
      </c>
      <c r="U269" s="9">
        <v>34.090000000000003</v>
      </c>
      <c r="V269" s="9">
        <v>33.56</v>
      </c>
      <c r="W269" s="6">
        <v>33.18</v>
      </c>
      <c r="X269" s="6">
        <v>32.22</v>
      </c>
      <c r="Y269" s="6">
        <v>30.22</v>
      </c>
      <c r="Z269" s="6">
        <v>31.62</v>
      </c>
      <c r="AA269" s="6">
        <v>33.450000000000003</v>
      </c>
      <c r="AB269" s="6">
        <v>32.340000000000003</v>
      </c>
      <c r="AC269" s="6">
        <v>32.69</v>
      </c>
      <c r="AD269" s="6">
        <v>33.36</v>
      </c>
      <c r="AE269" s="6">
        <v>31.03</v>
      </c>
      <c r="AF269" s="6">
        <v>33.17</v>
      </c>
      <c r="AG269" s="6">
        <v>30.4</v>
      </c>
      <c r="AH269" s="6">
        <v>32.94</v>
      </c>
      <c r="AI269" s="6">
        <v>31.48</v>
      </c>
      <c r="AJ269" s="6">
        <v>32.380000000000003</v>
      </c>
      <c r="AK269" s="6">
        <v>30.83</v>
      </c>
      <c r="AL269" s="6">
        <v>32.729999999999997</v>
      </c>
      <c r="AM269" s="6">
        <v>32.72</v>
      </c>
      <c r="AN269" s="6">
        <v>32.9</v>
      </c>
      <c r="AO269" s="6">
        <v>31.56</v>
      </c>
      <c r="AP269" s="6">
        <v>32.020000000000003</v>
      </c>
      <c r="AQ269" s="6">
        <v>32.33</v>
      </c>
      <c r="AR269" s="6">
        <v>31.86</v>
      </c>
      <c r="AS269" s="6">
        <v>30.78</v>
      </c>
      <c r="AT269" s="6">
        <v>32.4</v>
      </c>
      <c r="AU269" s="6">
        <v>31.42</v>
      </c>
      <c r="AV269" s="6">
        <v>32.9</v>
      </c>
      <c r="AW269" s="6">
        <v>32.380000000000003</v>
      </c>
      <c r="AX269" s="6">
        <v>32.700000000000003</v>
      </c>
      <c r="AY269" s="6">
        <v>32.56</v>
      </c>
      <c r="AZ269" s="6">
        <v>33.159999999999997</v>
      </c>
      <c r="BA269" s="6">
        <v>31.28</v>
      </c>
      <c r="BB269" s="6">
        <v>34.4</v>
      </c>
      <c r="BC269" s="6">
        <v>32.65</v>
      </c>
      <c r="BD269" s="6">
        <v>29.89</v>
      </c>
      <c r="BE269" s="6">
        <v>33</v>
      </c>
      <c r="BF269" s="6">
        <v>32.96</v>
      </c>
      <c r="BG269" s="6">
        <v>29.6</v>
      </c>
      <c r="BH269" s="10">
        <v>30.13</v>
      </c>
      <c r="BI269" s="10"/>
    </row>
    <row r="270" spans="1:61" ht="15.75" customHeight="1" x14ac:dyDescent="0.25">
      <c r="A270" s="1">
        <v>269</v>
      </c>
      <c r="B270" s="1"/>
      <c r="C270" s="1">
        <v>25</v>
      </c>
      <c r="D270" s="6">
        <v>33.11</v>
      </c>
      <c r="E270" s="6">
        <v>32.22</v>
      </c>
      <c r="F270" s="6">
        <v>33.090000000000003</v>
      </c>
      <c r="G270" s="6"/>
      <c r="H270" s="6"/>
      <c r="I270" s="6"/>
      <c r="J270" s="9">
        <v>31.46</v>
      </c>
      <c r="K270" s="9">
        <v>32.78</v>
      </c>
      <c r="L270" s="9">
        <v>32.78</v>
      </c>
      <c r="M270" s="9">
        <v>32.340000000000003</v>
      </c>
      <c r="N270" s="9">
        <v>31.99</v>
      </c>
      <c r="O270" s="9">
        <v>31.97</v>
      </c>
      <c r="P270" s="9">
        <v>34.17</v>
      </c>
      <c r="Q270" s="9">
        <v>34.94</v>
      </c>
      <c r="R270" s="9">
        <v>34.89</v>
      </c>
      <c r="S270" s="9">
        <v>34.99</v>
      </c>
      <c r="T270" s="9">
        <v>34.04</v>
      </c>
      <c r="U270" s="9">
        <v>34.049999999999997</v>
      </c>
      <c r="V270" s="9">
        <v>33.49</v>
      </c>
      <c r="W270" s="6">
        <v>33.130000000000003</v>
      </c>
      <c r="X270" s="6">
        <v>32.18</v>
      </c>
      <c r="Y270" s="6">
        <v>30.2</v>
      </c>
      <c r="Z270" s="6">
        <v>31.51</v>
      </c>
      <c r="AA270" s="6">
        <v>33.42</v>
      </c>
      <c r="AB270" s="6">
        <v>32.28</v>
      </c>
      <c r="AC270" s="6">
        <v>32.64</v>
      </c>
      <c r="AD270" s="6">
        <v>33.32</v>
      </c>
      <c r="AE270" s="6">
        <v>30.92</v>
      </c>
      <c r="AF270" s="6">
        <v>33.130000000000003</v>
      </c>
      <c r="AG270" s="6">
        <v>30.29</v>
      </c>
      <c r="AH270" s="6">
        <v>32.880000000000003</v>
      </c>
      <c r="AI270" s="6">
        <v>31.4</v>
      </c>
      <c r="AJ270" s="6">
        <v>32.43</v>
      </c>
      <c r="AK270" s="6">
        <v>30.79</v>
      </c>
      <c r="AL270" s="6">
        <v>32.64</v>
      </c>
      <c r="AM270" s="6">
        <v>32.67</v>
      </c>
      <c r="AN270" s="6">
        <v>32.840000000000003</v>
      </c>
      <c r="AO270" s="6">
        <v>31.5</v>
      </c>
      <c r="AP270" s="6">
        <v>31.95</v>
      </c>
      <c r="AQ270" s="6">
        <v>32.299999999999997</v>
      </c>
      <c r="AR270" s="6">
        <v>31.78</v>
      </c>
      <c r="AS270" s="6">
        <v>30.7</v>
      </c>
      <c r="AT270" s="6">
        <v>32.32</v>
      </c>
      <c r="AU270" s="6">
        <v>31.31</v>
      </c>
      <c r="AV270" s="6">
        <v>32.83</v>
      </c>
      <c r="AW270" s="6">
        <v>32.340000000000003</v>
      </c>
      <c r="AX270" s="6">
        <v>32.659999999999997</v>
      </c>
      <c r="AY270" s="6">
        <v>32.42</v>
      </c>
      <c r="AZ270" s="6">
        <v>33.090000000000003</v>
      </c>
      <c r="BA270" s="6">
        <v>31.18</v>
      </c>
      <c r="BB270" s="6">
        <v>34.340000000000003</v>
      </c>
      <c r="BC270" s="6">
        <v>32.549999999999997</v>
      </c>
      <c r="BD270" s="6">
        <v>29.8</v>
      </c>
      <c r="BE270" s="6">
        <v>32.979999999999997</v>
      </c>
      <c r="BF270" s="6">
        <v>32.9</v>
      </c>
      <c r="BG270" s="6">
        <v>29.46</v>
      </c>
      <c r="BH270" s="10">
        <v>29.98</v>
      </c>
      <c r="BI270" s="10"/>
    </row>
    <row r="271" spans="1:61" ht="15.75" customHeight="1" x14ac:dyDescent="0.25">
      <c r="A271" s="1">
        <v>270</v>
      </c>
      <c r="B271" s="1"/>
      <c r="C271" s="1">
        <v>26</v>
      </c>
      <c r="D271" s="6">
        <v>33.15</v>
      </c>
      <c r="E271" s="6">
        <v>32.11</v>
      </c>
      <c r="F271" s="6">
        <v>33.06</v>
      </c>
      <c r="G271" s="6"/>
      <c r="H271" s="6"/>
      <c r="I271" s="6"/>
      <c r="J271" s="9">
        <v>31.44</v>
      </c>
      <c r="K271" s="9">
        <v>32.729999999999997</v>
      </c>
      <c r="L271" s="9">
        <v>32.659999999999997</v>
      </c>
      <c r="M271" s="9">
        <v>32.28</v>
      </c>
      <c r="N271" s="9">
        <v>31.82</v>
      </c>
      <c r="O271" s="9">
        <v>31.9</v>
      </c>
      <c r="P271" s="9">
        <v>34.119999999999997</v>
      </c>
      <c r="Q271" s="9">
        <v>34.909999999999997</v>
      </c>
      <c r="R271" s="9">
        <v>34.81</v>
      </c>
      <c r="S271" s="9">
        <v>34.93</v>
      </c>
      <c r="T271" s="9">
        <v>34.01</v>
      </c>
      <c r="U271" s="9">
        <v>34</v>
      </c>
      <c r="V271" s="9">
        <v>33.44</v>
      </c>
      <c r="W271" s="6">
        <v>33.08</v>
      </c>
      <c r="X271" s="6">
        <v>32.130000000000003</v>
      </c>
      <c r="Y271" s="6">
        <v>30.13</v>
      </c>
      <c r="Z271" s="6">
        <v>31.42</v>
      </c>
      <c r="AA271" s="6">
        <v>33.39</v>
      </c>
      <c r="AB271" s="6">
        <v>32.200000000000003</v>
      </c>
      <c r="AC271" s="6">
        <v>32.590000000000003</v>
      </c>
      <c r="AD271" s="6">
        <v>33.28</v>
      </c>
      <c r="AE271" s="6">
        <v>30.81</v>
      </c>
      <c r="AF271" s="6">
        <v>33.1</v>
      </c>
      <c r="AG271" s="6">
        <v>30.18</v>
      </c>
      <c r="AH271" s="6">
        <v>32.799999999999997</v>
      </c>
      <c r="AI271" s="6">
        <v>31.34</v>
      </c>
      <c r="AJ271" s="6">
        <v>32.25</v>
      </c>
      <c r="AK271" s="6">
        <v>30.75</v>
      </c>
      <c r="AL271" s="6">
        <v>32.58</v>
      </c>
      <c r="AM271" s="6">
        <v>32.6</v>
      </c>
      <c r="AN271" s="6">
        <v>32.78</v>
      </c>
      <c r="AO271" s="6">
        <v>31.42</v>
      </c>
      <c r="AP271" s="6">
        <v>31.86</v>
      </c>
      <c r="AQ271" s="6">
        <v>32.270000000000003</v>
      </c>
      <c r="AR271" s="6">
        <v>31.68</v>
      </c>
      <c r="AS271" s="6">
        <v>30.6</v>
      </c>
      <c r="AT271" s="6">
        <v>32.24</v>
      </c>
      <c r="AU271" s="6">
        <v>31.21</v>
      </c>
      <c r="AV271" s="6">
        <v>32.76</v>
      </c>
      <c r="AW271" s="6">
        <v>32.31</v>
      </c>
      <c r="AX271" s="6">
        <v>32.6</v>
      </c>
      <c r="AY271" s="6">
        <v>32.32</v>
      </c>
      <c r="AZ271" s="6">
        <v>33.020000000000003</v>
      </c>
      <c r="BA271" s="6">
        <v>31.12</v>
      </c>
      <c r="BB271" s="6">
        <v>34.26</v>
      </c>
      <c r="BC271" s="6">
        <v>32.44</v>
      </c>
      <c r="BD271" s="6">
        <v>29.72</v>
      </c>
      <c r="BE271" s="6">
        <v>32.94</v>
      </c>
      <c r="BF271" s="6">
        <v>32.82</v>
      </c>
      <c r="BG271" s="6">
        <v>29.33</v>
      </c>
      <c r="BH271" s="10">
        <v>29.82</v>
      </c>
      <c r="BI271" s="10"/>
    </row>
    <row r="272" spans="1:61" ht="15.75" customHeight="1" x14ac:dyDescent="0.25">
      <c r="A272" s="1">
        <v>271</v>
      </c>
      <c r="B272" s="1"/>
      <c r="C272" s="1">
        <v>27</v>
      </c>
      <c r="D272" s="6">
        <v>33.15</v>
      </c>
      <c r="E272" s="6">
        <v>32.04</v>
      </c>
      <c r="F272" s="6">
        <v>33.04</v>
      </c>
      <c r="G272" s="6"/>
      <c r="H272" s="6"/>
      <c r="I272" s="6"/>
      <c r="J272" s="9">
        <v>31.42</v>
      </c>
      <c r="K272" s="9">
        <v>32.68</v>
      </c>
      <c r="L272" s="9">
        <v>32.58</v>
      </c>
      <c r="M272" s="9">
        <v>32.270000000000003</v>
      </c>
      <c r="N272" s="9">
        <v>31.75</v>
      </c>
      <c r="O272" s="9">
        <v>31.81</v>
      </c>
      <c r="P272" s="9">
        <v>34.08</v>
      </c>
      <c r="Q272" s="9">
        <v>34.89</v>
      </c>
      <c r="R272" s="9">
        <v>34.729999999999997</v>
      </c>
      <c r="S272" s="9">
        <v>34.880000000000003</v>
      </c>
      <c r="T272" s="9">
        <v>33.99</v>
      </c>
      <c r="U272" s="9">
        <v>33.97</v>
      </c>
      <c r="V272" s="9">
        <v>33.39</v>
      </c>
      <c r="W272" s="6">
        <v>33.020000000000003</v>
      </c>
      <c r="X272" s="6">
        <v>32.11</v>
      </c>
      <c r="Y272" s="6">
        <v>30.07</v>
      </c>
      <c r="Z272" s="6">
        <v>31.29</v>
      </c>
      <c r="AA272" s="6">
        <v>33.35</v>
      </c>
      <c r="AB272" s="6">
        <v>32.1</v>
      </c>
      <c r="AC272" s="6">
        <v>32.54</v>
      </c>
      <c r="AD272" s="6">
        <v>33.22</v>
      </c>
      <c r="AE272" s="6">
        <v>30.7</v>
      </c>
      <c r="AF272" s="6">
        <v>33.06</v>
      </c>
      <c r="AG272" s="6">
        <v>30.07</v>
      </c>
      <c r="AH272" s="6">
        <v>32.72</v>
      </c>
      <c r="AI272" s="6">
        <v>31.25</v>
      </c>
      <c r="AJ272" s="6">
        <v>32.159999999999997</v>
      </c>
      <c r="AK272" s="6">
        <v>30.73</v>
      </c>
      <c r="AL272" s="6">
        <v>32.49</v>
      </c>
      <c r="AM272" s="6">
        <v>32.549999999999997</v>
      </c>
      <c r="AN272" s="6">
        <v>32.700000000000003</v>
      </c>
      <c r="AO272" s="6">
        <v>31.35</v>
      </c>
      <c r="AP272" s="6">
        <v>31.77</v>
      </c>
      <c r="AQ272" s="6">
        <v>32.270000000000003</v>
      </c>
      <c r="AR272" s="6">
        <v>31.6</v>
      </c>
      <c r="AS272" s="6">
        <v>30.5</v>
      </c>
      <c r="AT272" s="6">
        <v>32.130000000000003</v>
      </c>
      <c r="AU272" s="6">
        <v>31.14</v>
      </c>
      <c r="AV272" s="6">
        <v>32.68</v>
      </c>
      <c r="AW272" s="6">
        <v>32.28</v>
      </c>
      <c r="AX272" s="6">
        <v>32.54</v>
      </c>
      <c r="AY272" s="6">
        <v>32.200000000000003</v>
      </c>
      <c r="AZ272" s="6">
        <v>32.950000000000003</v>
      </c>
      <c r="BA272" s="6">
        <v>31.04</v>
      </c>
      <c r="BB272" s="6">
        <v>34.19</v>
      </c>
      <c r="BC272" s="6">
        <v>32.340000000000003</v>
      </c>
      <c r="BD272" s="6">
        <v>29.64</v>
      </c>
      <c r="BE272" s="6">
        <v>32.94</v>
      </c>
      <c r="BF272" s="6">
        <v>32.74</v>
      </c>
      <c r="BG272" s="6">
        <v>29.2</v>
      </c>
      <c r="BH272" s="10">
        <v>29.68</v>
      </c>
      <c r="BI272" s="10"/>
    </row>
    <row r="273" spans="1:61" ht="15.75" customHeight="1" x14ac:dyDescent="0.25">
      <c r="A273" s="1">
        <v>272</v>
      </c>
      <c r="B273" s="1"/>
      <c r="C273" s="1">
        <v>28</v>
      </c>
      <c r="D273" s="6">
        <v>33.15</v>
      </c>
      <c r="E273" s="6">
        <v>31.97</v>
      </c>
      <c r="F273" s="6">
        <v>33</v>
      </c>
      <c r="G273" s="6"/>
      <c r="H273" s="6"/>
      <c r="I273" s="6"/>
      <c r="J273" s="9">
        <v>31.4</v>
      </c>
      <c r="K273" s="9">
        <v>32.630000000000003</v>
      </c>
      <c r="L273" s="9">
        <v>32.49</v>
      </c>
      <c r="M273" s="9">
        <v>32.21</v>
      </c>
      <c r="N273" s="9">
        <v>31.68</v>
      </c>
      <c r="O273" s="9">
        <v>31.73</v>
      </c>
      <c r="P273" s="9">
        <v>33.99</v>
      </c>
      <c r="Q273" s="9">
        <v>34.86</v>
      </c>
      <c r="R273" s="9">
        <v>34.65</v>
      </c>
      <c r="S273" s="9">
        <v>34.840000000000003</v>
      </c>
      <c r="T273" s="9">
        <v>33.94</v>
      </c>
      <c r="U273" s="9">
        <v>33.9</v>
      </c>
      <c r="V273" s="9">
        <v>33.33</v>
      </c>
      <c r="W273" s="6">
        <v>32.950000000000003</v>
      </c>
      <c r="X273" s="6">
        <v>32.06</v>
      </c>
      <c r="Y273" s="6">
        <v>30.01</v>
      </c>
      <c r="Z273" s="6">
        <v>31.15</v>
      </c>
      <c r="AA273" s="6">
        <v>33.33</v>
      </c>
      <c r="AB273" s="6">
        <v>32.020000000000003</v>
      </c>
      <c r="AC273" s="6">
        <v>32.479999999999997</v>
      </c>
      <c r="AD273" s="6">
        <v>33.159999999999997</v>
      </c>
      <c r="AE273" s="6">
        <v>30.6</v>
      </c>
      <c r="AF273" s="6">
        <v>33.06</v>
      </c>
      <c r="AG273" s="6">
        <v>29.97</v>
      </c>
      <c r="AH273" s="6">
        <v>32.64</v>
      </c>
      <c r="AI273" s="6">
        <v>31.16</v>
      </c>
      <c r="AJ273" s="6">
        <v>32.090000000000003</v>
      </c>
      <c r="AK273" s="6">
        <v>30.7</v>
      </c>
      <c r="AL273" s="6">
        <v>32.42</v>
      </c>
      <c r="AM273" s="6">
        <v>32.520000000000003</v>
      </c>
      <c r="AN273" s="6">
        <v>32.65</v>
      </c>
      <c r="AO273" s="6">
        <v>31.22</v>
      </c>
      <c r="AP273" s="6">
        <v>31.67</v>
      </c>
      <c r="AQ273" s="6">
        <v>32.21</v>
      </c>
      <c r="AR273" s="6">
        <v>31.5</v>
      </c>
      <c r="AS273" s="6">
        <v>30.38</v>
      </c>
      <c r="AT273" s="6">
        <v>32.03</v>
      </c>
      <c r="AU273" s="6">
        <v>31.08</v>
      </c>
      <c r="AV273" s="6">
        <v>32.64</v>
      </c>
      <c r="AW273" s="6">
        <v>32.229999999999997</v>
      </c>
      <c r="AX273" s="6">
        <v>32.47</v>
      </c>
      <c r="AY273" s="6">
        <v>32.08</v>
      </c>
      <c r="AZ273" s="6">
        <v>32.86</v>
      </c>
      <c r="BA273" s="6">
        <v>30.98</v>
      </c>
      <c r="BB273" s="6">
        <v>34.130000000000003</v>
      </c>
      <c r="BC273" s="6">
        <v>32.24</v>
      </c>
      <c r="BD273" s="6">
        <v>29.57</v>
      </c>
      <c r="BE273" s="6">
        <v>32.86</v>
      </c>
      <c r="BF273" s="6">
        <v>32.65</v>
      </c>
      <c r="BG273" s="6">
        <v>29.08</v>
      </c>
      <c r="BH273" s="10">
        <v>29.52</v>
      </c>
      <c r="BI273" s="10"/>
    </row>
    <row r="274" spans="1:61" ht="15.75" customHeight="1" x14ac:dyDescent="0.25">
      <c r="A274" s="1">
        <v>273</v>
      </c>
      <c r="B274" s="1"/>
      <c r="C274" s="1">
        <v>29</v>
      </c>
      <c r="D274" s="6">
        <v>33.130000000000003</v>
      </c>
      <c r="E274" s="6">
        <v>31.87</v>
      </c>
      <c r="F274" s="6">
        <v>32.99</v>
      </c>
      <c r="G274" s="6"/>
      <c r="H274" s="6"/>
      <c r="I274" s="6"/>
      <c r="J274" s="9">
        <v>31.39</v>
      </c>
      <c r="K274" s="9">
        <v>32.58</v>
      </c>
      <c r="L274" s="9">
        <v>32.380000000000003</v>
      </c>
      <c r="M274" s="9">
        <v>32.14</v>
      </c>
      <c r="N274" s="9">
        <v>31.63</v>
      </c>
      <c r="O274" s="9">
        <v>31.63</v>
      </c>
      <c r="P274" s="9">
        <v>33.950000000000003</v>
      </c>
      <c r="Q274" s="9">
        <v>34.82</v>
      </c>
      <c r="R274" s="9">
        <v>34.56</v>
      </c>
      <c r="S274" s="9">
        <v>34.78</v>
      </c>
      <c r="T274" s="9">
        <v>33.92</v>
      </c>
      <c r="U274" s="9">
        <v>33.83</v>
      </c>
      <c r="V274" s="9">
        <v>33.28</v>
      </c>
      <c r="W274" s="6">
        <v>32.9</v>
      </c>
      <c r="X274" s="6">
        <v>32.04</v>
      </c>
      <c r="Y274" s="6">
        <v>29.93</v>
      </c>
      <c r="Z274" s="6">
        <v>31.04</v>
      </c>
      <c r="AA274" s="6">
        <v>33.299999999999997</v>
      </c>
      <c r="AB274" s="6">
        <v>31.9</v>
      </c>
      <c r="AC274" s="6">
        <v>32.409999999999997</v>
      </c>
      <c r="AD274" s="6">
        <v>33.11</v>
      </c>
      <c r="AE274" s="6">
        <v>30.51</v>
      </c>
      <c r="AF274" s="6">
        <v>33.03</v>
      </c>
      <c r="AG274" s="6">
        <v>29.86</v>
      </c>
      <c r="AH274" s="6">
        <v>32.54</v>
      </c>
      <c r="AI274" s="6">
        <v>31.13</v>
      </c>
      <c r="AJ274" s="6">
        <v>32.04</v>
      </c>
      <c r="AK274" s="6">
        <v>30.65</v>
      </c>
      <c r="AL274" s="6">
        <v>32.35</v>
      </c>
      <c r="AM274" s="6">
        <v>32.479999999999997</v>
      </c>
      <c r="AN274" s="6">
        <v>32.6</v>
      </c>
      <c r="AO274" s="6">
        <v>31.12</v>
      </c>
      <c r="AP274" s="6">
        <v>31.59</v>
      </c>
      <c r="AQ274" s="6">
        <v>32.18</v>
      </c>
      <c r="AR274" s="6">
        <v>31.45</v>
      </c>
      <c r="AS274" s="6">
        <v>30.28</v>
      </c>
      <c r="AT274" s="6">
        <v>31.92</v>
      </c>
      <c r="AU274" s="6">
        <v>31.01</v>
      </c>
      <c r="AV274" s="6">
        <v>32.58</v>
      </c>
      <c r="AW274" s="6">
        <v>32.18</v>
      </c>
      <c r="AX274" s="6">
        <v>32.4</v>
      </c>
      <c r="AY274" s="6">
        <v>31.9</v>
      </c>
      <c r="AZ274" s="6">
        <v>32.78</v>
      </c>
      <c r="BA274" s="6">
        <v>30.98</v>
      </c>
      <c r="BB274" s="6">
        <v>34.06</v>
      </c>
      <c r="BC274" s="6">
        <v>32.14</v>
      </c>
      <c r="BD274" s="6">
        <v>29.5</v>
      </c>
      <c r="BE274" s="6">
        <v>32.82</v>
      </c>
      <c r="BF274" s="6">
        <v>32.56</v>
      </c>
      <c r="BG274" s="6">
        <v>28.98</v>
      </c>
      <c r="BH274" s="10">
        <v>29.38</v>
      </c>
      <c r="BI274" s="10"/>
    </row>
    <row r="275" spans="1:61" ht="15.75" customHeight="1" x14ac:dyDescent="0.25">
      <c r="A275" s="1">
        <v>274</v>
      </c>
      <c r="B275" s="1"/>
      <c r="C275" s="1">
        <v>30</v>
      </c>
      <c r="D275" s="6">
        <v>33.159999999999997</v>
      </c>
      <c r="E275" s="6">
        <v>31.79</v>
      </c>
      <c r="F275" s="6">
        <v>32.950000000000003</v>
      </c>
      <c r="G275" s="6"/>
      <c r="H275" s="6"/>
      <c r="I275" s="6"/>
      <c r="J275" s="9">
        <v>31.38</v>
      </c>
      <c r="K275" s="9">
        <v>32.53</v>
      </c>
      <c r="L275" s="9">
        <v>32.28</v>
      </c>
      <c r="M275" s="9">
        <v>32.090000000000003</v>
      </c>
      <c r="N275" s="9">
        <v>31.58</v>
      </c>
      <c r="O275" s="9">
        <v>31.56</v>
      </c>
      <c r="P275" s="9">
        <v>33.869999999999997</v>
      </c>
      <c r="Q275" s="9">
        <v>34.770000000000003</v>
      </c>
      <c r="R275" s="9">
        <v>34.46</v>
      </c>
      <c r="S275" s="9">
        <v>34.76</v>
      </c>
      <c r="T275" s="9">
        <v>33.94</v>
      </c>
      <c r="U275" s="9">
        <v>33.76</v>
      </c>
      <c r="V275" s="9">
        <v>33.22</v>
      </c>
      <c r="W275" s="6">
        <v>32.83</v>
      </c>
      <c r="X275" s="6">
        <v>31.99</v>
      </c>
      <c r="Y275" s="6">
        <v>29.89</v>
      </c>
      <c r="Z275" s="6">
        <v>30.94</v>
      </c>
      <c r="AA275" s="6">
        <v>33.25</v>
      </c>
      <c r="AB275" s="6">
        <v>31.81</v>
      </c>
      <c r="AC275" s="6">
        <v>32.340000000000003</v>
      </c>
      <c r="AD275" s="6">
        <v>33.04</v>
      </c>
      <c r="AE275" s="6">
        <v>30.43</v>
      </c>
      <c r="AF275" s="6">
        <v>32.99</v>
      </c>
      <c r="AG275" s="6">
        <v>29.75</v>
      </c>
      <c r="AH275" s="6">
        <v>32.44</v>
      </c>
      <c r="AI275" s="6">
        <v>31.12</v>
      </c>
      <c r="AJ275" s="6">
        <v>31.96</v>
      </c>
      <c r="AK275" s="6">
        <v>30.62</v>
      </c>
      <c r="AL275" s="6">
        <v>32.270000000000003</v>
      </c>
      <c r="AM275" s="6">
        <v>32.4</v>
      </c>
      <c r="AN275" s="6">
        <v>32.54</v>
      </c>
      <c r="AO275" s="6">
        <v>30.98</v>
      </c>
      <c r="AP275" s="6">
        <v>31.48</v>
      </c>
      <c r="AQ275" s="6">
        <v>32.14</v>
      </c>
      <c r="AR275" s="6">
        <v>31.37</v>
      </c>
      <c r="AS275" s="6">
        <v>30.17</v>
      </c>
      <c r="AT275" s="6">
        <v>31.8</v>
      </c>
      <c r="AU275" s="6">
        <v>30.99</v>
      </c>
      <c r="AV275" s="6">
        <v>32.5</v>
      </c>
      <c r="AW275" s="6">
        <v>32.14</v>
      </c>
      <c r="AX275" s="6">
        <v>32.35</v>
      </c>
      <c r="AY275" s="6">
        <v>31.76</v>
      </c>
      <c r="AZ275" s="6">
        <v>32.700000000000003</v>
      </c>
      <c r="BA275" s="6">
        <v>30.94</v>
      </c>
      <c r="BB275" s="6">
        <v>33.99</v>
      </c>
      <c r="BC275" s="6">
        <v>32</v>
      </c>
      <c r="BD275" s="6">
        <v>29.44</v>
      </c>
      <c r="BE275" s="6">
        <v>32.799999999999997</v>
      </c>
      <c r="BF275" s="6">
        <v>32.479999999999997</v>
      </c>
      <c r="BG275" s="6">
        <v>28.83</v>
      </c>
      <c r="BH275" s="10">
        <v>29.27</v>
      </c>
      <c r="BI275" s="10"/>
    </row>
    <row r="276" spans="1:61" ht="15.75" customHeight="1" x14ac:dyDescent="0.25">
      <c r="A276" s="1">
        <v>275</v>
      </c>
      <c r="B276" s="1" t="s">
        <v>13</v>
      </c>
      <c r="C276" s="1">
        <v>1</v>
      </c>
      <c r="D276" s="6">
        <v>33.020000000000003</v>
      </c>
      <c r="E276" s="6">
        <v>31.69</v>
      </c>
      <c r="F276" s="6">
        <v>32.9</v>
      </c>
      <c r="G276" s="6"/>
      <c r="H276" s="6"/>
      <c r="I276" s="6"/>
      <c r="J276" s="9">
        <v>31.38</v>
      </c>
      <c r="K276" s="9">
        <v>32.479999999999997</v>
      </c>
      <c r="L276" s="9">
        <v>32.14</v>
      </c>
      <c r="M276" s="9">
        <v>32.020000000000003</v>
      </c>
      <c r="N276" s="9">
        <v>31.51</v>
      </c>
      <c r="O276" s="9">
        <v>31.46</v>
      </c>
      <c r="P276" s="9">
        <v>33.79</v>
      </c>
      <c r="Q276" s="9">
        <v>34.71</v>
      </c>
      <c r="R276" s="9">
        <v>34.36</v>
      </c>
      <c r="S276" s="9">
        <v>34.71</v>
      </c>
      <c r="T276" s="9">
        <v>33.93</v>
      </c>
      <c r="U276" s="9">
        <v>33.68</v>
      </c>
      <c r="V276" s="9">
        <v>33.19</v>
      </c>
      <c r="W276" s="6">
        <v>32.770000000000003</v>
      </c>
      <c r="X276" s="6">
        <v>31.93</v>
      </c>
      <c r="Y276" s="6">
        <v>29.84</v>
      </c>
      <c r="Z276" s="6">
        <v>30.79</v>
      </c>
      <c r="AA276" s="6">
        <v>33.200000000000003</v>
      </c>
      <c r="AB276" s="6">
        <v>31.72</v>
      </c>
      <c r="AC276" s="6">
        <v>32.21</v>
      </c>
      <c r="AD276" s="6">
        <v>32.979999999999997</v>
      </c>
      <c r="AE276" s="6">
        <v>30.36</v>
      </c>
      <c r="AF276" s="6">
        <v>32.94</v>
      </c>
      <c r="AG276" s="6">
        <v>29.7</v>
      </c>
      <c r="AH276" s="6">
        <v>32.35</v>
      </c>
      <c r="AI276" s="6">
        <v>31.11</v>
      </c>
      <c r="AJ276" s="6">
        <v>31.88</v>
      </c>
      <c r="AK276" s="6">
        <v>30.6</v>
      </c>
      <c r="AL276" s="6">
        <v>32.200000000000003</v>
      </c>
      <c r="AM276" s="6">
        <v>32.369999999999997</v>
      </c>
      <c r="AN276" s="6">
        <v>32.479999999999997</v>
      </c>
      <c r="AO276" s="6">
        <v>30.83</v>
      </c>
      <c r="AP276" s="6">
        <v>31.37</v>
      </c>
      <c r="AQ276" s="6">
        <v>32.1</v>
      </c>
      <c r="AR276" s="6">
        <v>31.29</v>
      </c>
      <c r="AS276" s="6">
        <v>30.06</v>
      </c>
      <c r="AT276" s="6">
        <v>31.69</v>
      </c>
      <c r="AU276" s="6">
        <v>30.86</v>
      </c>
      <c r="AV276" s="6">
        <v>32.47</v>
      </c>
      <c r="AW276" s="6">
        <v>32.07</v>
      </c>
      <c r="AX276" s="6">
        <v>32.26</v>
      </c>
      <c r="AY276" s="6">
        <v>31.6</v>
      </c>
      <c r="AZ276" s="6">
        <v>32.61</v>
      </c>
      <c r="BA276" s="6">
        <v>30.9</v>
      </c>
      <c r="BB276" s="6">
        <v>33.92</v>
      </c>
      <c r="BC276" s="6">
        <v>31.83</v>
      </c>
      <c r="BD276" s="6">
        <v>29.39</v>
      </c>
      <c r="BE276" s="6">
        <v>32.76</v>
      </c>
      <c r="BF276" s="6">
        <v>32.369999999999997</v>
      </c>
      <c r="BG276" s="6">
        <v>28.8</v>
      </c>
      <c r="BH276" s="10">
        <v>29.17</v>
      </c>
      <c r="BI276" s="10"/>
    </row>
    <row r="277" spans="1:61" ht="15.75" customHeight="1" x14ac:dyDescent="0.25">
      <c r="A277" s="1">
        <v>276</v>
      </c>
      <c r="B277" s="1"/>
      <c r="C277" s="1">
        <v>2</v>
      </c>
      <c r="D277" s="6">
        <v>33.08</v>
      </c>
      <c r="E277" s="6">
        <v>31.62</v>
      </c>
      <c r="F277" s="6">
        <v>32.86</v>
      </c>
      <c r="G277" s="6"/>
      <c r="H277" s="6"/>
      <c r="I277" s="6"/>
      <c r="J277" s="9">
        <v>31.37</v>
      </c>
      <c r="K277" s="9">
        <v>32.380000000000003</v>
      </c>
      <c r="L277" s="9">
        <v>32.03</v>
      </c>
      <c r="M277" s="9">
        <v>31.96</v>
      </c>
      <c r="N277" s="9">
        <v>31.45</v>
      </c>
      <c r="O277" s="9">
        <v>31.36</v>
      </c>
      <c r="P277" s="9">
        <v>33.700000000000003</v>
      </c>
      <c r="Q277" s="9">
        <v>34.68</v>
      </c>
      <c r="R277" s="9">
        <v>34.24</v>
      </c>
      <c r="S277" s="9">
        <v>34.65</v>
      </c>
      <c r="T277" s="9">
        <v>33.909999999999997</v>
      </c>
      <c r="U277" s="9">
        <v>33.6</v>
      </c>
      <c r="V277" s="9">
        <v>33.14</v>
      </c>
      <c r="W277" s="6">
        <v>32.72</v>
      </c>
      <c r="X277" s="6">
        <v>31.86</v>
      </c>
      <c r="Y277" s="6">
        <v>29.85</v>
      </c>
      <c r="Z277" s="6">
        <v>30.63</v>
      </c>
      <c r="AA277" s="6">
        <v>33.15</v>
      </c>
      <c r="AB277" s="6">
        <v>31.69</v>
      </c>
      <c r="AC277" s="6">
        <v>32.119999999999997</v>
      </c>
      <c r="AD277" s="6">
        <v>32.92</v>
      </c>
      <c r="AE277" s="6">
        <v>30.28</v>
      </c>
      <c r="AF277" s="6">
        <v>32.89</v>
      </c>
      <c r="AG277" s="6">
        <v>29.64</v>
      </c>
      <c r="AH277" s="6">
        <v>32.299999999999997</v>
      </c>
      <c r="AI277" s="6">
        <v>31.09</v>
      </c>
      <c r="AJ277" s="6">
        <v>31.67</v>
      </c>
      <c r="AK277" s="6">
        <v>30.56</v>
      </c>
      <c r="AL277" s="6">
        <v>32.090000000000003</v>
      </c>
      <c r="AM277" s="6">
        <v>32.32</v>
      </c>
      <c r="AN277" s="6">
        <v>32.409999999999997</v>
      </c>
      <c r="AO277" s="6">
        <v>30.72</v>
      </c>
      <c r="AP277" s="6">
        <v>31.27</v>
      </c>
      <c r="AQ277" s="6">
        <v>32.06</v>
      </c>
      <c r="AR277" s="6">
        <v>31.2</v>
      </c>
      <c r="AS277" s="6">
        <v>29.91</v>
      </c>
      <c r="AT277" s="6">
        <v>31.59</v>
      </c>
      <c r="AU277" s="6">
        <v>30.8</v>
      </c>
      <c r="AV277" s="6">
        <v>32.35</v>
      </c>
      <c r="AW277" s="6">
        <v>32.03</v>
      </c>
      <c r="AX277" s="6">
        <v>32.18</v>
      </c>
      <c r="AY277" s="6">
        <v>31.41</v>
      </c>
      <c r="AZ277" s="6">
        <v>32.54</v>
      </c>
      <c r="BA277" s="6">
        <v>30.88</v>
      </c>
      <c r="BB277" s="6">
        <v>33.82</v>
      </c>
      <c r="BC277" s="6">
        <v>31.72</v>
      </c>
      <c r="BD277" s="6">
        <v>29.35</v>
      </c>
      <c r="BE277" s="6">
        <v>32.700000000000003</v>
      </c>
      <c r="BF277" s="6">
        <v>32.26</v>
      </c>
      <c r="BG277" s="6">
        <v>28.68</v>
      </c>
      <c r="BH277" s="10">
        <v>29.02</v>
      </c>
      <c r="BI277" s="10"/>
    </row>
    <row r="278" spans="1:61" ht="15.75" customHeight="1" x14ac:dyDescent="0.25">
      <c r="A278" s="1">
        <v>277</v>
      </c>
      <c r="B278" s="1"/>
      <c r="C278" s="1">
        <v>3</v>
      </c>
      <c r="D278" s="6">
        <v>32.950000000000003</v>
      </c>
      <c r="E278" s="6">
        <v>31.54</v>
      </c>
      <c r="F278" s="6">
        <v>32.79</v>
      </c>
      <c r="G278" s="6"/>
      <c r="H278" s="6"/>
      <c r="I278" s="6"/>
      <c r="J278" s="9">
        <v>31.37</v>
      </c>
      <c r="K278" s="9">
        <v>32.28</v>
      </c>
      <c r="L278" s="9">
        <v>31.95</v>
      </c>
      <c r="M278" s="9">
        <v>31.86</v>
      </c>
      <c r="N278" s="9">
        <v>31.37</v>
      </c>
      <c r="O278" s="9">
        <v>31.25</v>
      </c>
      <c r="P278" s="9">
        <v>33.58</v>
      </c>
      <c r="Q278" s="9">
        <v>34.61</v>
      </c>
      <c r="R278" s="9">
        <v>34.11</v>
      </c>
      <c r="S278" s="9">
        <v>34.590000000000003</v>
      </c>
      <c r="T278" s="9">
        <v>33.9</v>
      </c>
      <c r="U278" s="9">
        <v>33.5</v>
      </c>
      <c r="V278" s="9">
        <v>33.159999999999997</v>
      </c>
      <c r="W278" s="6">
        <v>32.65</v>
      </c>
      <c r="X278" s="6">
        <v>31.83</v>
      </c>
      <c r="Y278" s="6">
        <v>29.82</v>
      </c>
      <c r="Z278" s="6">
        <v>30.55</v>
      </c>
      <c r="AA278" s="6">
        <v>33.08</v>
      </c>
      <c r="AB278" s="6">
        <v>31.52</v>
      </c>
      <c r="AC278" s="6">
        <v>32</v>
      </c>
      <c r="AD278" s="6">
        <v>32.840000000000003</v>
      </c>
      <c r="AE278" s="6">
        <v>30.2</v>
      </c>
      <c r="AF278" s="6">
        <v>32.83</v>
      </c>
      <c r="AG278" s="6">
        <v>29.6</v>
      </c>
      <c r="AH278" s="6">
        <v>32.200000000000003</v>
      </c>
      <c r="AI278" s="6">
        <v>31.08</v>
      </c>
      <c r="AJ278" s="6">
        <v>31.87</v>
      </c>
      <c r="AK278" s="6">
        <v>30.54</v>
      </c>
      <c r="AL278" s="6">
        <v>31.99</v>
      </c>
      <c r="AM278" s="6">
        <v>32.28</v>
      </c>
      <c r="AN278" s="6">
        <v>32.35</v>
      </c>
      <c r="AO278" s="6">
        <v>30.58</v>
      </c>
      <c r="AP278" s="6">
        <v>31.17</v>
      </c>
      <c r="AQ278" s="6">
        <v>32.020000000000003</v>
      </c>
      <c r="AR278" s="6">
        <v>31.11</v>
      </c>
      <c r="AS278" s="6">
        <v>29.78</v>
      </c>
      <c r="AT278" s="6">
        <v>31.46</v>
      </c>
      <c r="AU278" s="6">
        <v>30.74</v>
      </c>
      <c r="AV278" s="6">
        <v>32.26</v>
      </c>
      <c r="AW278" s="6">
        <v>31.99</v>
      </c>
      <c r="AX278" s="6">
        <v>32.08</v>
      </c>
      <c r="AY278" s="6">
        <v>31.23</v>
      </c>
      <c r="AZ278" s="6">
        <v>32.43</v>
      </c>
      <c r="BA278" s="6">
        <v>30.85</v>
      </c>
      <c r="BB278" s="6">
        <v>33.770000000000003</v>
      </c>
      <c r="BC278" s="6">
        <v>31.6</v>
      </c>
      <c r="BD278" s="6">
        <v>29.32</v>
      </c>
      <c r="BE278" s="6">
        <v>32.64</v>
      </c>
      <c r="BF278" s="6">
        <v>32.15</v>
      </c>
      <c r="BG278" s="6">
        <v>28.58</v>
      </c>
      <c r="BH278" s="10">
        <v>28.9</v>
      </c>
      <c r="BI278" s="10"/>
    </row>
    <row r="279" spans="1:61" ht="15.75" customHeight="1" x14ac:dyDescent="0.25">
      <c r="A279" s="1">
        <v>278</v>
      </c>
      <c r="B279" s="1"/>
      <c r="C279" s="1">
        <v>4</v>
      </c>
      <c r="D279" s="6">
        <v>32.880000000000003</v>
      </c>
      <c r="E279" s="6">
        <v>31.37</v>
      </c>
      <c r="F279" s="6">
        <v>32.75</v>
      </c>
      <c r="G279" s="6"/>
      <c r="H279" s="6"/>
      <c r="I279" s="6"/>
      <c r="J279" s="9">
        <v>31.36</v>
      </c>
      <c r="K279" s="9">
        <v>32.229999999999997</v>
      </c>
      <c r="L279" s="9">
        <v>31.86</v>
      </c>
      <c r="M279" s="9">
        <v>31.76</v>
      </c>
      <c r="N279" s="9">
        <v>31.31</v>
      </c>
      <c r="O279" s="9">
        <v>31.14</v>
      </c>
      <c r="P279" s="9">
        <v>33.46</v>
      </c>
      <c r="Q279" s="9">
        <v>34.56</v>
      </c>
      <c r="R279" s="9">
        <v>34.04</v>
      </c>
      <c r="S279" s="9">
        <v>34.549999999999997</v>
      </c>
      <c r="T279" s="9">
        <v>33.869999999999997</v>
      </c>
      <c r="U279" s="9">
        <v>33.42</v>
      </c>
      <c r="V279" s="9">
        <v>33.03</v>
      </c>
      <c r="W279" s="6">
        <v>32.61</v>
      </c>
      <c r="X279" s="6">
        <v>31.77</v>
      </c>
      <c r="Y279" s="6">
        <v>29.79</v>
      </c>
      <c r="Z279" s="6">
        <v>30.44</v>
      </c>
      <c r="AA279" s="6">
        <v>32.99</v>
      </c>
      <c r="AB279" s="6">
        <v>31.42</v>
      </c>
      <c r="AC279" s="6">
        <v>31.9</v>
      </c>
      <c r="AD279" s="6">
        <v>32.770000000000003</v>
      </c>
      <c r="AE279" s="6">
        <v>30.1</v>
      </c>
      <c r="AF279" s="6">
        <v>32.79</v>
      </c>
      <c r="AG279" s="6">
        <v>29.54</v>
      </c>
      <c r="AH279" s="6">
        <v>32.1</v>
      </c>
      <c r="AI279" s="6">
        <v>31.1</v>
      </c>
      <c r="AJ279" s="6">
        <v>31.84</v>
      </c>
      <c r="AK279" s="6">
        <v>30.49</v>
      </c>
      <c r="AL279" s="6">
        <v>31.88</v>
      </c>
      <c r="AM279" s="6">
        <v>32.24</v>
      </c>
      <c r="AN279" s="6">
        <v>32.299999999999997</v>
      </c>
      <c r="AO279" s="6">
        <v>30.43</v>
      </c>
      <c r="AP279" s="6">
        <v>31.08</v>
      </c>
      <c r="AQ279" s="6">
        <v>31.97</v>
      </c>
      <c r="AR279" s="6">
        <v>31.04</v>
      </c>
      <c r="AS279" s="6">
        <v>29.68</v>
      </c>
      <c r="AT279" s="6">
        <v>31.35</v>
      </c>
      <c r="AU279" s="6">
        <v>30.73</v>
      </c>
      <c r="AV279" s="6">
        <v>32.159999999999997</v>
      </c>
      <c r="AW279" s="6">
        <v>31.96</v>
      </c>
      <c r="AX279" s="6">
        <v>31.98</v>
      </c>
      <c r="AY279" s="6">
        <v>31.01</v>
      </c>
      <c r="AZ279" s="6">
        <v>32.36</v>
      </c>
      <c r="BA279" s="6">
        <v>30.86</v>
      </c>
      <c r="BB279" s="6">
        <v>33.69</v>
      </c>
      <c r="BC279" s="6">
        <v>31.48</v>
      </c>
      <c r="BD279" s="6">
        <v>29.29</v>
      </c>
      <c r="BE279" s="6">
        <v>32.58</v>
      </c>
      <c r="BF279" s="6">
        <v>32.04</v>
      </c>
      <c r="BG279" s="6">
        <v>28.48</v>
      </c>
      <c r="BH279" s="10">
        <v>28.79</v>
      </c>
      <c r="BI279" s="10"/>
    </row>
    <row r="280" spans="1:61" ht="15.75" customHeight="1" x14ac:dyDescent="0.25">
      <c r="A280" s="1">
        <v>279</v>
      </c>
      <c r="B280" s="1"/>
      <c r="C280" s="1">
        <v>5</v>
      </c>
      <c r="D280" s="6">
        <v>32.86</v>
      </c>
      <c r="E280" s="6">
        <v>31.26</v>
      </c>
      <c r="F280" s="6">
        <v>32.68</v>
      </c>
      <c r="G280" s="6"/>
      <c r="H280" s="6"/>
      <c r="I280" s="6"/>
      <c r="J280" s="9">
        <v>31.35</v>
      </c>
      <c r="K280" s="9">
        <v>32.18</v>
      </c>
      <c r="L280" s="9">
        <v>31.76</v>
      </c>
      <c r="M280" s="9">
        <v>31.75</v>
      </c>
      <c r="N280" s="9">
        <v>31.26</v>
      </c>
      <c r="O280" s="9">
        <v>30.99</v>
      </c>
      <c r="P280" s="9">
        <v>33.36</v>
      </c>
      <c r="Q280" s="9">
        <v>34.49</v>
      </c>
      <c r="R280" s="9">
        <v>33.92</v>
      </c>
      <c r="S280" s="9">
        <v>34.49</v>
      </c>
      <c r="T280" s="9">
        <v>33.82</v>
      </c>
      <c r="U280" s="9">
        <v>33.32</v>
      </c>
      <c r="V280" s="9">
        <v>32.96</v>
      </c>
      <c r="W280" s="6">
        <v>32.54</v>
      </c>
      <c r="X280" s="6">
        <v>31.74</v>
      </c>
      <c r="Y280" s="6">
        <v>29.77</v>
      </c>
      <c r="Z280" s="6">
        <v>30.31</v>
      </c>
      <c r="AA280" s="6">
        <v>32.950000000000003</v>
      </c>
      <c r="AB280" s="6">
        <v>31.3</v>
      </c>
      <c r="AC280" s="6">
        <v>31.8</v>
      </c>
      <c r="AD280" s="6">
        <v>32.72</v>
      </c>
      <c r="AE280" s="6">
        <v>30.02</v>
      </c>
      <c r="AF280" s="6">
        <v>32.700000000000003</v>
      </c>
      <c r="AG280" s="6">
        <v>29.48</v>
      </c>
      <c r="AH280" s="6">
        <v>31.99</v>
      </c>
      <c r="AI280" s="6">
        <v>31.09</v>
      </c>
      <c r="AJ280" s="6">
        <v>31.81</v>
      </c>
      <c r="AK280" s="6">
        <v>30.43</v>
      </c>
      <c r="AL280" s="6">
        <v>31.77</v>
      </c>
      <c r="AM280" s="6">
        <v>32.19</v>
      </c>
      <c r="AN280" s="6">
        <v>32.270000000000003</v>
      </c>
      <c r="AO280" s="6">
        <v>30.31</v>
      </c>
      <c r="AP280" s="6">
        <v>30.91</v>
      </c>
      <c r="AQ280" s="6">
        <v>31.91</v>
      </c>
      <c r="AR280" s="6">
        <v>30.96</v>
      </c>
      <c r="AS280" s="6">
        <v>29.54</v>
      </c>
      <c r="AT280" s="6">
        <v>31.25</v>
      </c>
      <c r="AU280" s="6">
        <v>30.74</v>
      </c>
      <c r="AV280" s="6">
        <v>32.18</v>
      </c>
      <c r="AW280" s="6">
        <v>31.92</v>
      </c>
      <c r="AX280" s="6">
        <v>31.86</v>
      </c>
      <c r="AY280" s="6">
        <v>30.78</v>
      </c>
      <c r="AZ280" s="6">
        <v>32.270000000000003</v>
      </c>
      <c r="BA280" s="6">
        <v>30.84</v>
      </c>
      <c r="BB280" s="6">
        <v>33.6</v>
      </c>
      <c r="BC280" s="6">
        <v>31.34</v>
      </c>
      <c r="BD280" s="6">
        <v>29.26</v>
      </c>
      <c r="BE280" s="6">
        <v>32.520000000000003</v>
      </c>
      <c r="BF280" s="6">
        <v>31.9</v>
      </c>
      <c r="BG280" s="6">
        <v>28.28</v>
      </c>
      <c r="BH280" s="10">
        <v>28.64</v>
      </c>
      <c r="BI280" s="10"/>
    </row>
    <row r="281" spans="1:61" ht="15.75" customHeight="1" x14ac:dyDescent="0.25">
      <c r="A281" s="1">
        <v>280</v>
      </c>
      <c r="B281" s="1"/>
      <c r="C281" s="1">
        <v>6</v>
      </c>
      <c r="D281" s="6">
        <v>32.81</v>
      </c>
      <c r="E281" s="6">
        <v>31.14</v>
      </c>
      <c r="F281" s="6">
        <v>32.630000000000003</v>
      </c>
      <c r="G281" s="6"/>
      <c r="H281" s="6"/>
      <c r="I281" s="6"/>
      <c r="J281" s="9">
        <v>31.35</v>
      </c>
      <c r="K281" s="9">
        <v>32.130000000000003</v>
      </c>
      <c r="L281" s="9">
        <v>31.64</v>
      </c>
      <c r="M281" s="9">
        <v>31.66</v>
      </c>
      <c r="N281" s="9">
        <v>31.2</v>
      </c>
      <c r="O281" s="9">
        <v>30.91</v>
      </c>
      <c r="P281" s="9">
        <v>33.26</v>
      </c>
      <c r="Q281" s="9">
        <v>34.4</v>
      </c>
      <c r="R281" s="9">
        <v>33.82</v>
      </c>
      <c r="S281" s="9">
        <v>34.409999999999997</v>
      </c>
      <c r="T281" s="9">
        <v>33.770000000000003</v>
      </c>
      <c r="U281" s="9">
        <v>33.24</v>
      </c>
      <c r="V281" s="9">
        <v>32.9</v>
      </c>
      <c r="W281" s="6">
        <v>32.49</v>
      </c>
      <c r="X281" s="6">
        <v>31.7</v>
      </c>
      <c r="Y281" s="6">
        <v>29.77</v>
      </c>
      <c r="Z281" s="6">
        <v>30.2</v>
      </c>
      <c r="AA281" s="6">
        <v>32.86</v>
      </c>
      <c r="AB281" s="6">
        <v>31.32</v>
      </c>
      <c r="AC281" s="6">
        <v>31.79</v>
      </c>
      <c r="AD281" s="6">
        <v>32.659999999999997</v>
      </c>
      <c r="AE281" s="6">
        <v>29.95</v>
      </c>
      <c r="AF281" s="6">
        <v>32.65</v>
      </c>
      <c r="AG281" s="6">
        <v>29.37</v>
      </c>
      <c r="AH281" s="6">
        <v>31.88</v>
      </c>
      <c r="AI281" s="6">
        <v>31.1</v>
      </c>
      <c r="AJ281" s="6">
        <v>31.78</v>
      </c>
      <c r="AK281" s="6">
        <v>30.37</v>
      </c>
      <c r="AL281" s="6">
        <v>31.65</v>
      </c>
      <c r="AM281" s="6">
        <v>32.15</v>
      </c>
      <c r="AN281" s="6">
        <v>32.229999999999997</v>
      </c>
      <c r="AO281" s="6">
        <v>30.18</v>
      </c>
      <c r="AP281" s="6">
        <v>30.8</v>
      </c>
      <c r="AQ281" s="6">
        <v>31.89</v>
      </c>
      <c r="AR281" s="6">
        <v>30.87</v>
      </c>
      <c r="AS281" s="6">
        <v>29.41</v>
      </c>
      <c r="AT281" s="6">
        <v>31.14</v>
      </c>
      <c r="AU281" s="6">
        <v>30.74</v>
      </c>
      <c r="AV281" s="6">
        <v>32.01</v>
      </c>
      <c r="AW281" s="6">
        <v>31.88</v>
      </c>
      <c r="AX281" s="6">
        <v>31.76</v>
      </c>
      <c r="AY281" s="6">
        <v>30.51</v>
      </c>
      <c r="AZ281" s="6">
        <v>32.159999999999997</v>
      </c>
      <c r="BA281" s="6">
        <v>30.82</v>
      </c>
      <c r="BB281" s="6">
        <v>33.520000000000003</v>
      </c>
      <c r="BC281" s="6">
        <v>31.2</v>
      </c>
      <c r="BD281" s="6">
        <v>29.22</v>
      </c>
      <c r="BE281" s="6">
        <v>32.479999999999997</v>
      </c>
      <c r="BF281" s="6">
        <v>31.8</v>
      </c>
      <c r="BG281" s="6">
        <v>28.18</v>
      </c>
      <c r="BH281" s="10">
        <v>28.55</v>
      </c>
      <c r="BI281" s="10"/>
    </row>
    <row r="282" spans="1:61" ht="15.75" customHeight="1" x14ac:dyDescent="0.25">
      <c r="A282" s="1">
        <v>281</v>
      </c>
      <c r="B282" s="1"/>
      <c r="C282" s="1">
        <v>7</v>
      </c>
      <c r="D282" s="6">
        <v>32.75</v>
      </c>
      <c r="E282" s="6">
        <v>31.11</v>
      </c>
      <c r="F282" s="6">
        <v>32.56</v>
      </c>
      <c r="G282" s="6"/>
      <c r="H282" s="6"/>
      <c r="I282" s="6"/>
      <c r="J282" s="9">
        <v>31.34</v>
      </c>
      <c r="K282" s="9">
        <v>32.07</v>
      </c>
      <c r="L282" s="9">
        <v>31.54</v>
      </c>
      <c r="M282" s="9">
        <v>31.59</v>
      </c>
      <c r="N282" s="9">
        <v>31.17</v>
      </c>
      <c r="O282" s="9">
        <v>30.82</v>
      </c>
      <c r="P282" s="9">
        <v>33.17</v>
      </c>
      <c r="Q282" s="9">
        <v>34.299999999999997</v>
      </c>
      <c r="R282" s="9">
        <v>33.72</v>
      </c>
      <c r="S282" s="9">
        <v>34.35</v>
      </c>
      <c r="T282" s="9">
        <v>33.72</v>
      </c>
      <c r="U282" s="9">
        <v>33.159999999999997</v>
      </c>
      <c r="V282" s="9">
        <v>32.83</v>
      </c>
      <c r="W282" s="6">
        <v>32.43</v>
      </c>
      <c r="X282" s="6">
        <v>31.63</v>
      </c>
      <c r="Y282" s="6">
        <v>29.77</v>
      </c>
      <c r="Z282" s="6">
        <v>30.1</v>
      </c>
      <c r="AA282" s="6">
        <v>32.78</v>
      </c>
      <c r="AB282" s="6">
        <v>31.13</v>
      </c>
      <c r="AC282" s="6">
        <v>31.58</v>
      </c>
      <c r="AD282" s="6">
        <v>32.61</v>
      </c>
      <c r="AE282" s="6">
        <v>29.87</v>
      </c>
      <c r="AF282" s="6">
        <v>32.590000000000003</v>
      </c>
      <c r="AG282" s="6">
        <v>29.25</v>
      </c>
      <c r="AH282" s="6">
        <v>31.8</v>
      </c>
      <c r="AI282" s="6">
        <v>31.09</v>
      </c>
      <c r="AJ282" s="6">
        <v>31.74</v>
      </c>
      <c r="AK282" s="6">
        <v>30.3</v>
      </c>
      <c r="AL282" s="6">
        <v>31.55</v>
      </c>
      <c r="AM282" s="6">
        <v>32.090000000000003</v>
      </c>
      <c r="AN282" s="6">
        <v>32.200000000000003</v>
      </c>
      <c r="AO282" s="6">
        <v>30.06</v>
      </c>
      <c r="AP282" s="6">
        <v>30.69</v>
      </c>
      <c r="AQ282" s="6">
        <v>31.85</v>
      </c>
      <c r="AR282" s="6">
        <v>30.78</v>
      </c>
      <c r="AS282" s="6">
        <v>29.3</v>
      </c>
      <c r="AT282" s="6">
        <v>31.03</v>
      </c>
      <c r="AU282" s="6">
        <v>30.74</v>
      </c>
      <c r="AV282" s="6">
        <v>31.9</v>
      </c>
      <c r="AW282" s="6">
        <v>31.84</v>
      </c>
      <c r="AX282" s="6">
        <v>31.63</v>
      </c>
      <c r="AY282" s="6">
        <v>30.28</v>
      </c>
      <c r="AZ282" s="6">
        <v>32.049999999999997</v>
      </c>
      <c r="BA282" s="6">
        <v>30.8</v>
      </c>
      <c r="BB282" s="6">
        <v>33.43</v>
      </c>
      <c r="BC282" s="6">
        <v>31.05</v>
      </c>
      <c r="BD282" s="6">
        <v>29.18</v>
      </c>
      <c r="BE282" s="6">
        <v>32.42</v>
      </c>
      <c r="BF282" s="6">
        <v>31.66</v>
      </c>
      <c r="BG282" s="6">
        <v>28.08</v>
      </c>
      <c r="BH282" s="10">
        <v>28.52</v>
      </c>
      <c r="BI282" s="10"/>
    </row>
    <row r="283" spans="1:61" ht="15.75" customHeight="1" x14ac:dyDescent="0.25">
      <c r="A283" s="1">
        <v>282</v>
      </c>
      <c r="B283" s="1"/>
      <c r="C283" s="1">
        <v>8</v>
      </c>
      <c r="D283" s="6">
        <v>32.68</v>
      </c>
      <c r="E283" s="6">
        <v>31.1</v>
      </c>
      <c r="F283" s="6">
        <v>32.5</v>
      </c>
      <c r="G283" s="6"/>
      <c r="H283" s="6"/>
      <c r="I283" s="6"/>
      <c r="J283" s="9">
        <v>31.33</v>
      </c>
      <c r="K283" s="9">
        <v>31.98</v>
      </c>
      <c r="L283" s="9">
        <v>31.42</v>
      </c>
      <c r="M283" s="9">
        <v>31.55</v>
      </c>
      <c r="N283" s="9">
        <v>31.12</v>
      </c>
      <c r="O283" s="9">
        <v>30.68</v>
      </c>
      <c r="P283" s="9">
        <v>33.06</v>
      </c>
      <c r="Q283" s="9">
        <v>34.22</v>
      </c>
      <c r="R283" s="9">
        <v>33.64</v>
      </c>
      <c r="S283" s="9">
        <v>34.28</v>
      </c>
      <c r="T283" s="9">
        <v>33.64</v>
      </c>
      <c r="U283" s="9">
        <v>33.06</v>
      </c>
      <c r="V283" s="9">
        <v>32.78</v>
      </c>
      <c r="W283" s="6">
        <v>32.380000000000003</v>
      </c>
      <c r="X283" s="6">
        <v>31.58</v>
      </c>
      <c r="Y283" s="6">
        <v>29.79</v>
      </c>
      <c r="Z283" s="6">
        <v>29.95</v>
      </c>
      <c r="AA283" s="6">
        <v>32.700000000000003</v>
      </c>
      <c r="AB283" s="6">
        <v>31.04</v>
      </c>
      <c r="AC283" s="6">
        <v>31.47</v>
      </c>
      <c r="AD283" s="6">
        <v>32.57</v>
      </c>
      <c r="AE283" s="6">
        <v>29.78</v>
      </c>
      <c r="AF283" s="6">
        <v>32.53</v>
      </c>
      <c r="AG283" s="6">
        <v>29.1</v>
      </c>
      <c r="AH283" s="6">
        <v>31.68</v>
      </c>
      <c r="AI283" s="6">
        <v>31.08</v>
      </c>
      <c r="AJ283" s="6">
        <v>31.7</v>
      </c>
      <c r="AK283" s="6">
        <v>30.22</v>
      </c>
      <c r="AL283" s="6">
        <v>31.43</v>
      </c>
      <c r="AM283" s="6">
        <v>32.020000000000003</v>
      </c>
      <c r="AN283" s="6">
        <v>32.18</v>
      </c>
      <c r="AO283" s="6">
        <v>29.91</v>
      </c>
      <c r="AP283" s="6">
        <v>30.57</v>
      </c>
      <c r="AQ283" s="6">
        <v>31.8</v>
      </c>
      <c r="AR283" s="6">
        <v>30.68</v>
      </c>
      <c r="AS283" s="6">
        <v>29.17</v>
      </c>
      <c r="AT283" s="6">
        <v>30.91</v>
      </c>
      <c r="AU283" s="6">
        <v>30.68</v>
      </c>
      <c r="AV283" s="6">
        <v>31.79</v>
      </c>
      <c r="AW283" s="6">
        <v>31.79</v>
      </c>
      <c r="AX283" s="6">
        <v>31.52</v>
      </c>
      <c r="AY283" s="6">
        <v>29.98</v>
      </c>
      <c r="AZ283" s="6">
        <v>31.93</v>
      </c>
      <c r="BA283" s="6">
        <v>30.8</v>
      </c>
      <c r="BB283" s="6">
        <v>33.33</v>
      </c>
      <c r="BC283" s="6">
        <v>30.9</v>
      </c>
      <c r="BD283" s="6">
        <v>29.16</v>
      </c>
      <c r="BE283" s="6">
        <v>32.36</v>
      </c>
      <c r="BF283" s="6">
        <v>31.55</v>
      </c>
      <c r="BG283" s="6">
        <v>27.94</v>
      </c>
      <c r="BH283" s="10">
        <v>28.48</v>
      </c>
      <c r="BI283" s="10"/>
    </row>
    <row r="284" spans="1:61" ht="15.75" customHeight="1" x14ac:dyDescent="0.25">
      <c r="A284" s="1">
        <v>283</v>
      </c>
      <c r="B284" s="1"/>
      <c r="C284" s="1">
        <v>9</v>
      </c>
      <c r="D284" s="6">
        <v>32.659999999999997</v>
      </c>
      <c r="E284" s="6">
        <v>31.07</v>
      </c>
      <c r="F284" s="6">
        <v>32.43</v>
      </c>
      <c r="G284" s="6"/>
      <c r="H284" s="6"/>
      <c r="I284" s="6"/>
      <c r="J284" s="9">
        <v>31.33</v>
      </c>
      <c r="K284" s="9">
        <v>31.88</v>
      </c>
      <c r="L284" s="9">
        <v>31.29</v>
      </c>
      <c r="M284" s="9">
        <v>31.55</v>
      </c>
      <c r="N284" s="9">
        <v>31.09</v>
      </c>
      <c r="O284" s="9">
        <v>30.64</v>
      </c>
      <c r="P284" s="9">
        <v>32.97</v>
      </c>
      <c r="Q284" s="9">
        <v>34.130000000000003</v>
      </c>
      <c r="R284" s="9">
        <v>33.57</v>
      </c>
      <c r="S284" s="9">
        <v>34.22</v>
      </c>
      <c r="T284" s="9">
        <v>33.590000000000003</v>
      </c>
      <c r="U284" s="9">
        <v>32.950000000000003</v>
      </c>
      <c r="V284" s="9">
        <v>32.72</v>
      </c>
      <c r="W284" s="6">
        <v>32.33</v>
      </c>
      <c r="X284" s="6">
        <v>31.49</v>
      </c>
      <c r="Y284" s="6">
        <v>29.77</v>
      </c>
      <c r="Z284" s="6">
        <v>29.84</v>
      </c>
      <c r="AA284" s="6">
        <v>32.61</v>
      </c>
      <c r="AB284" s="6">
        <v>30.95</v>
      </c>
      <c r="AC284" s="6">
        <v>31.37</v>
      </c>
      <c r="AD284" s="6">
        <v>32.5</v>
      </c>
      <c r="AE284" s="6">
        <v>29.66</v>
      </c>
      <c r="AF284" s="6">
        <v>32.479999999999997</v>
      </c>
      <c r="AG284" s="6">
        <v>28.96</v>
      </c>
      <c r="AH284" s="6">
        <v>31.59</v>
      </c>
      <c r="AI284" s="6">
        <v>31.07</v>
      </c>
      <c r="AJ284" s="6">
        <v>31.68</v>
      </c>
      <c r="AK284" s="6">
        <v>30.13</v>
      </c>
      <c r="AL284" s="6">
        <v>31.31</v>
      </c>
      <c r="AM284" s="6">
        <v>31.97</v>
      </c>
      <c r="AN284" s="6">
        <v>32.14</v>
      </c>
      <c r="AO284" s="6">
        <v>29.78</v>
      </c>
      <c r="AP284" s="6">
        <v>30.47</v>
      </c>
      <c r="AQ284" s="6">
        <v>31.77</v>
      </c>
      <c r="AR284" s="6">
        <v>30.59</v>
      </c>
      <c r="AS284" s="6">
        <v>29.08</v>
      </c>
      <c r="AT284" s="6">
        <v>30.77</v>
      </c>
      <c r="AU284" s="6">
        <v>30.66</v>
      </c>
      <c r="AV284" s="6">
        <v>31.7</v>
      </c>
      <c r="AW284" s="6">
        <v>31.74</v>
      </c>
      <c r="AX284" s="6">
        <v>31.4</v>
      </c>
      <c r="AY284" s="6">
        <v>29.75</v>
      </c>
      <c r="AZ284" s="6">
        <v>31.8</v>
      </c>
      <c r="BA284" s="6">
        <v>30.78</v>
      </c>
      <c r="BB284" s="6">
        <v>33.24</v>
      </c>
      <c r="BC284" s="6">
        <v>30.76</v>
      </c>
      <c r="BD284" s="6">
        <v>29.16</v>
      </c>
      <c r="BE284" s="6">
        <v>32.299999999999997</v>
      </c>
      <c r="BF284" s="6">
        <v>31.44</v>
      </c>
      <c r="BG284" s="6">
        <v>27.83</v>
      </c>
      <c r="BH284" s="10">
        <v>28.44</v>
      </c>
      <c r="BI284" s="10"/>
    </row>
    <row r="285" spans="1:61" ht="15.75" customHeight="1" x14ac:dyDescent="0.25">
      <c r="A285" s="1">
        <v>284</v>
      </c>
      <c r="B285" s="1"/>
      <c r="C285" s="1">
        <v>10</v>
      </c>
      <c r="D285" s="6">
        <v>32.630000000000003</v>
      </c>
      <c r="E285" s="6">
        <v>30.87</v>
      </c>
      <c r="F285" s="6">
        <v>32.380000000000003</v>
      </c>
      <c r="G285" s="6"/>
      <c r="H285" s="6"/>
      <c r="I285" s="6"/>
      <c r="J285" s="9">
        <v>31.32</v>
      </c>
      <c r="K285" s="9">
        <v>31.78</v>
      </c>
      <c r="L285" s="9">
        <v>31.13</v>
      </c>
      <c r="M285" s="9">
        <v>31.53</v>
      </c>
      <c r="N285" s="9">
        <v>31.07</v>
      </c>
      <c r="O285" s="9">
        <v>30.57</v>
      </c>
      <c r="P285" s="9">
        <v>32.909999999999997</v>
      </c>
      <c r="Q285" s="9">
        <v>34</v>
      </c>
      <c r="R285" s="9">
        <v>33.46</v>
      </c>
      <c r="S285" s="9">
        <v>34.119999999999997</v>
      </c>
      <c r="T285" s="9">
        <v>33.53</v>
      </c>
      <c r="U285" s="9">
        <v>32.86</v>
      </c>
      <c r="V285" s="9">
        <v>32.67</v>
      </c>
      <c r="W285" s="6">
        <v>32.26</v>
      </c>
      <c r="X285" s="6">
        <v>31.42</v>
      </c>
      <c r="Y285" s="6">
        <v>29.77</v>
      </c>
      <c r="Z285" s="6">
        <v>29.73</v>
      </c>
      <c r="AA285" s="6">
        <v>32.5</v>
      </c>
      <c r="AB285" s="6">
        <v>30.85</v>
      </c>
      <c r="AC285" s="6">
        <v>31.28</v>
      </c>
      <c r="AD285" s="6">
        <v>32.450000000000003</v>
      </c>
      <c r="AE285" s="6">
        <v>29.58</v>
      </c>
      <c r="AF285" s="6">
        <v>32.409999999999997</v>
      </c>
      <c r="AG285" s="6">
        <v>28.82</v>
      </c>
      <c r="AH285" s="6">
        <v>31.5</v>
      </c>
      <c r="AI285" s="6">
        <v>31.07</v>
      </c>
      <c r="AJ285" s="6">
        <v>31.64</v>
      </c>
      <c r="AK285" s="6">
        <v>30.04</v>
      </c>
      <c r="AL285" s="6">
        <v>31.17</v>
      </c>
      <c r="AM285" s="6">
        <v>31.89</v>
      </c>
      <c r="AN285" s="6">
        <v>32.11</v>
      </c>
      <c r="AO285" s="6">
        <v>29.65</v>
      </c>
      <c r="AP285" s="6">
        <v>30.38</v>
      </c>
      <c r="AQ285" s="6">
        <v>31.74</v>
      </c>
      <c r="AR285" s="6">
        <v>30.5</v>
      </c>
      <c r="AS285" s="6">
        <v>29</v>
      </c>
      <c r="AT285" s="6">
        <v>30.65</v>
      </c>
      <c r="AU285" s="6">
        <v>30.63</v>
      </c>
      <c r="AV285" s="6">
        <v>31.58</v>
      </c>
      <c r="AW285" s="6">
        <v>31.68</v>
      </c>
      <c r="AX285" s="6">
        <v>31.3</v>
      </c>
      <c r="AY285" s="6">
        <v>29.49</v>
      </c>
      <c r="AZ285" s="6">
        <v>31.69</v>
      </c>
      <c r="BA285" s="6">
        <v>30.76</v>
      </c>
      <c r="BB285" s="6">
        <v>33.14</v>
      </c>
      <c r="BC285" s="6">
        <v>30.72</v>
      </c>
      <c r="BD285" s="6">
        <v>29.16</v>
      </c>
      <c r="BE285" s="6">
        <v>32.22</v>
      </c>
      <c r="BF285" s="6">
        <v>31.32</v>
      </c>
      <c r="BG285" s="6">
        <v>27.71</v>
      </c>
      <c r="BH285" s="10">
        <v>28.34</v>
      </c>
      <c r="BI285" s="10"/>
    </row>
    <row r="286" spans="1:61" ht="15.75" customHeight="1" x14ac:dyDescent="0.25">
      <c r="A286" s="1">
        <v>285</v>
      </c>
      <c r="B286" s="1"/>
      <c r="C286" s="1">
        <v>11</v>
      </c>
      <c r="D286" s="6">
        <v>32.630000000000003</v>
      </c>
      <c r="E286" s="6">
        <v>30.77</v>
      </c>
      <c r="F286" s="6">
        <v>32.33</v>
      </c>
      <c r="G286" s="6"/>
      <c r="H286" s="6"/>
      <c r="I286" s="6"/>
      <c r="J286" s="9">
        <v>31.32</v>
      </c>
      <c r="K286" s="9">
        <v>31.73</v>
      </c>
      <c r="L286" s="9">
        <v>30.99</v>
      </c>
      <c r="M286" s="9">
        <v>31.52</v>
      </c>
      <c r="N286" s="9">
        <v>31.04</v>
      </c>
      <c r="O286" s="9">
        <v>30.51</v>
      </c>
      <c r="P286" s="9">
        <v>32.840000000000003</v>
      </c>
      <c r="Q286" s="9">
        <v>33.92</v>
      </c>
      <c r="R286" s="9">
        <v>33.36</v>
      </c>
      <c r="S286" s="9">
        <v>34.07</v>
      </c>
      <c r="T286" s="9">
        <v>33.46</v>
      </c>
      <c r="U286" s="9">
        <v>32.76</v>
      </c>
      <c r="V286" s="9">
        <v>32.64</v>
      </c>
      <c r="W286" s="6">
        <v>32.22</v>
      </c>
      <c r="X286" s="6">
        <v>31.33</v>
      </c>
      <c r="Y286" s="6">
        <v>29.75</v>
      </c>
      <c r="Z286" s="6">
        <v>29.63</v>
      </c>
      <c r="AA286" s="6">
        <v>32.380000000000003</v>
      </c>
      <c r="AB286" s="6">
        <v>30.74</v>
      </c>
      <c r="AC286" s="6">
        <v>31.19</v>
      </c>
      <c r="AD286" s="6">
        <v>32.409999999999997</v>
      </c>
      <c r="AE286" s="6">
        <v>29.46</v>
      </c>
      <c r="AF286" s="6">
        <v>32.340000000000003</v>
      </c>
      <c r="AG286" s="6">
        <v>28.72</v>
      </c>
      <c r="AH286" s="6">
        <v>31.39</v>
      </c>
      <c r="AI286" s="6">
        <v>31.06</v>
      </c>
      <c r="AJ286" s="6">
        <v>31.58</v>
      </c>
      <c r="AK286" s="6">
        <v>29.92</v>
      </c>
      <c r="AL286" s="6">
        <v>30.98</v>
      </c>
      <c r="AM286" s="6">
        <v>31.83</v>
      </c>
      <c r="AN286" s="6">
        <v>32.08</v>
      </c>
      <c r="AO286" s="6">
        <v>29.5</v>
      </c>
      <c r="AP286" s="6">
        <v>30.3</v>
      </c>
      <c r="AQ286" s="6">
        <v>31.69</v>
      </c>
      <c r="AR286" s="6">
        <v>30.46</v>
      </c>
      <c r="AS286" s="6">
        <v>29</v>
      </c>
      <c r="AT286" s="6">
        <v>30.55</v>
      </c>
      <c r="AU286" s="6">
        <v>30.62</v>
      </c>
      <c r="AV286" s="6">
        <v>31.46</v>
      </c>
      <c r="AW286" s="6">
        <v>31.62</v>
      </c>
      <c r="AX286" s="6">
        <v>31.17</v>
      </c>
      <c r="AY286" s="6">
        <v>29.25</v>
      </c>
      <c r="AZ286" s="6">
        <v>31.57</v>
      </c>
      <c r="BA286" s="6">
        <v>30.72</v>
      </c>
      <c r="BB286" s="6">
        <v>33.03</v>
      </c>
      <c r="BC286" s="6">
        <v>30.63</v>
      </c>
      <c r="BD286" s="6">
        <v>29.16</v>
      </c>
      <c r="BE286" s="6">
        <v>32.18</v>
      </c>
      <c r="BF286" s="6">
        <v>31.2</v>
      </c>
      <c r="BG286" s="6">
        <v>27.55</v>
      </c>
      <c r="BH286" s="10">
        <v>28.25</v>
      </c>
      <c r="BI286" s="10"/>
    </row>
    <row r="287" spans="1:61" ht="15.75" customHeight="1" x14ac:dyDescent="0.25">
      <c r="A287" s="1">
        <v>286</v>
      </c>
      <c r="B287" s="1"/>
      <c r="C287" s="1">
        <v>12</v>
      </c>
      <c r="D287" s="6">
        <v>32.56</v>
      </c>
      <c r="E287" s="6">
        <v>30.67</v>
      </c>
      <c r="F287" s="6">
        <v>32.25</v>
      </c>
      <c r="G287" s="6"/>
      <c r="H287" s="6"/>
      <c r="I287" s="6"/>
      <c r="J287" s="9">
        <v>31.31</v>
      </c>
      <c r="K287" s="9">
        <v>31.68</v>
      </c>
      <c r="L287" s="9">
        <v>30.87</v>
      </c>
      <c r="M287" s="9">
        <v>31.51</v>
      </c>
      <c r="N287" s="9">
        <v>31.02</v>
      </c>
      <c r="O287" s="9">
        <v>30.49</v>
      </c>
      <c r="P287" s="9">
        <v>32.78</v>
      </c>
      <c r="Q287" s="9">
        <v>33.85</v>
      </c>
      <c r="R287" s="9">
        <v>33.26</v>
      </c>
      <c r="S287" s="9">
        <v>33.99</v>
      </c>
      <c r="T287" s="9">
        <v>33.369999999999997</v>
      </c>
      <c r="U287" s="9">
        <v>32.64</v>
      </c>
      <c r="V287" s="9">
        <v>32.61</v>
      </c>
      <c r="W287" s="6">
        <v>32.17</v>
      </c>
      <c r="X287" s="6">
        <v>31.27</v>
      </c>
      <c r="Y287" s="6">
        <v>29.74</v>
      </c>
      <c r="Z287" s="6">
        <v>29.59</v>
      </c>
      <c r="AA287" s="6">
        <v>32.24</v>
      </c>
      <c r="AB287" s="6">
        <v>30.62</v>
      </c>
      <c r="AC287" s="6">
        <v>31.1</v>
      </c>
      <c r="AD287" s="6">
        <v>32.380000000000003</v>
      </c>
      <c r="AE287" s="6">
        <v>29.34</v>
      </c>
      <c r="AF287" s="6">
        <v>32.29</v>
      </c>
      <c r="AG287" s="6">
        <v>28.58</v>
      </c>
      <c r="AH287" s="6">
        <v>31.28</v>
      </c>
      <c r="AI287" s="6">
        <v>31.06</v>
      </c>
      <c r="AJ287" s="6">
        <v>31.56</v>
      </c>
      <c r="AK287" s="6">
        <v>29.79</v>
      </c>
      <c r="AL287" s="6">
        <v>30.8</v>
      </c>
      <c r="AM287" s="6">
        <v>31.75</v>
      </c>
      <c r="AN287" s="6">
        <v>32.04</v>
      </c>
      <c r="AO287" s="6">
        <v>29.35</v>
      </c>
      <c r="AP287" s="6">
        <v>30.23</v>
      </c>
      <c r="AQ287" s="6">
        <v>31.62</v>
      </c>
      <c r="AR287" s="6">
        <v>30.4</v>
      </c>
      <c r="AS287" s="6">
        <v>28.99</v>
      </c>
      <c r="AT287" s="6">
        <v>30.41</v>
      </c>
      <c r="AU287" s="6">
        <v>30.51</v>
      </c>
      <c r="AV287" s="6">
        <v>31.32</v>
      </c>
      <c r="AW287" s="6">
        <v>31.56</v>
      </c>
      <c r="AX287" s="6">
        <v>31.05</v>
      </c>
      <c r="AY287" s="6">
        <v>29.04</v>
      </c>
      <c r="AZ287" s="6">
        <v>31.48</v>
      </c>
      <c r="BA287" s="6">
        <v>30.7</v>
      </c>
      <c r="BB287" s="6">
        <v>32.92</v>
      </c>
      <c r="BC287" s="6">
        <v>30.54</v>
      </c>
      <c r="BD287" s="6">
        <v>29.17</v>
      </c>
      <c r="BE287" s="6">
        <v>32.159999999999997</v>
      </c>
      <c r="BF287" s="6">
        <v>31.12</v>
      </c>
      <c r="BG287" s="6">
        <v>27.4</v>
      </c>
      <c r="BH287" s="10">
        <v>28.12</v>
      </c>
      <c r="BI287" s="10"/>
    </row>
    <row r="288" spans="1:61" ht="15.75" customHeight="1" x14ac:dyDescent="0.25">
      <c r="A288" s="1">
        <v>287</v>
      </c>
      <c r="B288" s="1"/>
      <c r="C288" s="1">
        <v>13</v>
      </c>
      <c r="D288" s="6">
        <v>32.43</v>
      </c>
      <c r="E288" s="6">
        <v>30.62</v>
      </c>
      <c r="F288" s="6">
        <v>32.18</v>
      </c>
      <c r="G288" s="6"/>
      <c r="H288" s="6"/>
      <c r="I288" s="6"/>
      <c r="J288" s="9">
        <v>31.29</v>
      </c>
      <c r="K288" s="9">
        <v>31.58</v>
      </c>
      <c r="L288" s="9">
        <v>30.72</v>
      </c>
      <c r="M288" s="9">
        <v>31.45</v>
      </c>
      <c r="N288" s="9">
        <v>30.99</v>
      </c>
      <c r="O288" s="9">
        <v>30.46</v>
      </c>
      <c r="P288" s="9">
        <v>32.75</v>
      </c>
      <c r="Q288" s="9">
        <v>33.75</v>
      </c>
      <c r="R288" s="9">
        <v>33.159999999999997</v>
      </c>
      <c r="S288" s="9">
        <v>33.880000000000003</v>
      </c>
      <c r="T288" s="9">
        <v>33.270000000000003</v>
      </c>
      <c r="U288" s="9">
        <v>32.54</v>
      </c>
      <c r="V288" s="9">
        <v>32.64</v>
      </c>
      <c r="W288" s="6">
        <v>32.130000000000003</v>
      </c>
      <c r="X288" s="6">
        <v>31.2</v>
      </c>
      <c r="Y288" s="6">
        <v>29.73</v>
      </c>
      <c r="Z288" s="6">
        <v>29.5</v>
      </c>
      <c r="AA288" s="6">
        <v>32.090000000000003</v>
      </c>
      <c r="AB288" s="6">
        <v>30.5</v>
      </c>
      <c r="AC288" s="6">
        <v>31.05</v>
      </c>
      <c r="AD288" s="6">
        <v>32.32</v>
      </c>
      <c r="AE288" s="6">
        <v>29.23</v>
      </c>
      <c r="AF288" s="6">
        <v>32.22</v>
      </c>
      <c r="AG288" s="6">
        <v>28.42</v>
      </c>
      <c r="AH288" s="6">
        <v>31.16</v>
      </c>
      <c r="AI288" s="6">
        <v>31.06</v>
      </c>
      <c r="AJ288" s="6">
        <v>31.53</v>
      </c>
      <c r="AK288" s="6">
        <v>29.67</v>
      </c>
      <c r="AL288" s="6">
        <v>30.61</v>
      </c>
      <c r="AM288" s="6">
        <v>31.75</v>
      </c>
      <c r="AN288" s="6">
        <v>31.99</v>
      </c>
      <c r="AO288" s="6">
        <v>29.2</v>
      </c>
      <c r="AP288" s="6">
        <v>30.2</v>
      </c>
      <c r="AQ288" s="6">
        <v>31.6</v>
      </c>
      <c r="AR288" s="6">
        <v>30.34</v>
      </c>
      <c r="AS288" s="6">
        <v>28.97</v>
      </c>
      <c r="AT288" s="6">
        <v>30.3</v>
      </c>
      <c r="AU288" s="6">
        <v>30.48</v>
      </c>
      <c r="AV288" s="6">
        <v>31.18</v>
      </c>
      <c r="AW288" s="6">
        <v>31.48</v>
      </c>
      <c r="AX288" s="6">
        <v>30.95</v>
      </c>
      <c r="AY288" s="6">
        <v>28.85</v>
      </c>
      <c r="AZ288" s="6">
        <v>31.38</v>
      </c>
      <c r="BA288" s="6">
        <v>30.66</v>
      </c>
      <c r="BB288" s="6">
        <v>32.82</v>
      </c>
      <c r="BC288" s="6">
        <v>30.41</v>
      </c>
      <c r="BD288" s="6">
        <v>29.2</v>
      </c>
      <c r="BE288" s="6">
        <v>32.1</v>
      </c>
      <c r="BF288" s="6">
        <v>31.03</v>
      </c>
      <c r="BG288" s="6">
        <v>27.25</v>
      </c>
      <c r="BH288" s="10">
        <v>27.98</v>
      </c>
      <c r="BI288" s="10"/>
    </row>
    <row r="289" spans="1:61" ht="15.75" customHeight="1" x14ac:dyDescent="0.25">
      <c r="A289" s="1">
        <v>288</v>
      </c>
      <c r="B289" s="1"/>
      <c r="C289" s="1">
        <v>14</v>
      </c>
      <c r="D289" s="6">
        <v>32.43</v>
      </c>
      <c r="E289" s="6">
        <v>30.62</v>
      </c>
      <c r="F289" s="6">
        <v>32.090000000000003</v>
      </c>
      <c r="G289" s="6"/>
      <c r="H289" s="6"/>
      <c r="I289" s="6"/>
      <c r="J289" s="9">
        <v>31.28</v>
      </c>
      <c r="K289" s="9">
        <v>31.48</v>
      </c>
      <c r="L289" s="9">
        <v>30.57</v>
      </c>
      <c r="M289" s="9">
        <v>31.38</v>
      </c>
      <c r="N289" s="9">
        <v>30.97</v>
      </c>
      <c r="O289" s="9">
        <v>30.41</v>
      </c>
      <c r="P289" s="9">
        <v>32.69</v>
      </c>
      <c r="Q289" s="9">
        <v>33.65</v>
      </c>
      <c r="R289" s="9">
        <v>33.07</v>
      </c>
      <c r="S289" s="9">
        <v>33.799999999999997</v>
      </c>
      <c r="T289" s="9">
        <v>33.159999999999997</v>
      </c>
      <c r="U289" s="9">
        <v>32.43</v>
      </c>
      <c r="V289" s="9">
        <v>32.659999999999997</v>
      </c>
      <c r="W289" s="6">
        <v>32.06</v>
      </c>
      <c r="X289" s="6">
        <v>31.14</v>
      </c>
      <c r="Y289" s="6">
        <v>29.76</v>
      </c>
      <c r="Z289" s="6">
        <v>29.39</v>
      </c>
      <c r="AA289" s="6">
        <v>31.99</v>
      </c>
      <c r="AB289" s="6">
        <v>30.39</v>
      </c>
      <c r="AC289" s="6">
        <v>31</v>
      </c>
      <c r="AD289" s="6">
        <v>32.25</v>
      </c>
      <c r="AE289" s="6">
        <v>29.11</v>
      </c>
      <c r="AF289" s="6">
        <v>32.14</v>
      </c>
      <c r="AG289" s="6">
        <v>28.31</v>
      </c>
      <c r="AH289" s="6">
        <v>31.04</v>
      </c>
      <c r="AI289" s="6">
        <v>31.1</v>
      </c>
      <c r="AJ289" s="6">
        <v>31.48</v>
      </c>
      <c r="AK289" s="6">
        <v>29.54</v>
      </c>
      <c r="AL289" s="6">
        <v>30.41</v>
      </c>
      <c r="AM289" s="6">
        <v>31.67</v>
      </c>
      <c r="AN289" s="6">
        <v>31.94</v>
      </c>
      <c r="AO289" s="6">
        <v>29.08</v>
      </c>
      <c r="AP289" s="6">
        <v>30.14</v>
      </c>
      <c r="AQ289" s="6">
        <v>31.56</v>
      </c>
      <c r="AR289" s="6">
        <v>30.25</v>
      </c>
      <c r="AS289" s="6">
        <v>28.9</v>
      </c>
      <c r="AT289" s="6">
        <v>30.2</v>
      </c>
      <c r="AU289" s="6">
        <v>30.43</v>
      </c>
      <c r="AV289" s="6">
        <v>31.06</v>
      </c>
      <c r="AW289" s="6">
        <v>31.4</v>
      </c>
      <c r="AX289" s="6">
        <v>30.88</v>
      </c>
      <c r="AY289" s="6">
        <v>28.66</v>
      </c>
      <c r="AZ289" s="6">
        <v>31.27</v>
      </c>
      <c r="BA289" s="6">
        <v>30.62</v>
      </c>
      <c r="BB289" s="6">
        <v>32.700000000000003</v>
      </c>
      <c r="BC289" s="6">
        <v>30.38</v>
      </c>
      <c r="BD289" s="6">
        <v>29.23</v>
      </c>
      <c r="BE289" s="6">
        <v>32.049999999999997</v>
      </c>
      <c r="BF289" s="6">
        <v>30.92</v>
      </c>
      <c r="BG289" s="6">
        <v>27.12</v>
      </c>
      <c r="BH289" s="10">
        <v>27.88</v>
      </c>
      <c r="BI289" s="10"/>
    </row>
    <row r="290" spans="1:61" ht="15.75" customHeight="1" x14ac:dyDescent="0.25">
      <c r="A290" s="1">
        <v>289</v>
      </c>
      <c r="B290" s="1"/>
      <c r="C290" s="1">
        <v>15</v>
      </c>
      <c r="D290" s="6">
        <v>32.4</v>
      </c>
      <c r="E290" s="6">
        <v>30.61</v>
      </c>
      <c r="F290" s="6">
        <v>32.020000000000003</v>
      </c>
      <c r="G290" s="6"/>
      <c r="H290" s="6"/>
      <c r="I290" s="6"/>
      <c r="J290" s="9">
        <v>31.27</v>
      </c>
      <c r="K290" s="9">
        <v>31.43</v>
      </c>
      <c r="L290" s="9">
        <v>30.4</v>
      </c>
      <c r="M290" s="9">
        <v>31.29</v>
      </c>
      <c r="N290" s="9">
        <v>30.96</v>
      </c>
      <c r="O290" s="9">
        <v>30.37</v>
      </c>
      <c r="P290" s="9">
        <v>32.659999999999997</v>
      </c>
      <c r="Q290" s="9">
        <v>33.61</v>
      </c>
      <c r="R290" s="9">
        <v>32.979999999999997</v>
      </c>
      <c r="S290" s="9">
        <v>33.71</v>
      </c>
      <c r="T290" s="9">
        <v>33.07</v>
      </c>
      <c r="U290" s="9">
        <v>32.33</v>
      </c>
      <c r="V290" s="9">
        <v>32.65</v>
      </c>
      <c r="W290" s="6">
        <v>32.020000000000003</v>
      </c>
      <c r="X290" s="6">
        <v>31.1</v>
      </c>
      <c r="Y290" s="6">
        <v>29.89</v>
      </c>
      <c r="Z290" s="6">
        <v>29.29</v>
      </c>
      <c r="AA290" s="6">
        <v>31.88</v>
      </c>
      <c r="AB290" s="6">
        <v>30.29</v>
      </c>
      <c r="AC290" s="6">
        <v>30.95</v>
      </c>
      <c r="AD290" s="6">
        <v>32.18</v>
      </c>
      <c r="AE290" s="6">
        <v>28.95</v>
      </c>
      <c r="AF290" s="6">
        <v>32.049999999999997</v>
      </c>
      <c r="AG290" s="6">
        <v>28.23</v>
      </c>
      <c r="AH290" s="6">
        <v>30.9</v>
      </c>
      <c r="AI290" s="6">
        <v>31.14</v>
      </c>
      <c r="AJ290" s="6">
        <v>31.44</v>
      </c>
      <c r="AK290" s="6">
        <v>29.43</v>
      </c>
      <c r="AL290" s="6">
        <v>30.2</v>
      </c>
      <c r="AM290" s="6">
        <v>31.61</v>
      </c>
      <c r="AN290" s="6">
        <v>31.9</v>
      </c>
      <c r="AO290" s="6">
        <v>28.95</v>
      </c>
      <c r="AP290" s="6">
        <v>30.07</v>
      </c>
      <c r="AQ290" s="6">
        <v>31.53</v>
      </c>
      <c r="AR290" s="6">
        <v>30.18</v>
      </c>
      <c r="AS290" s="6">
        <v>28.82</v>
      </c>
      <c r="AT290" s="6">
        <v>30.05</v>
      </c>
      <c r="AU290" s="6">
        <v>30.4</v>
      </c>
      <c r="AV290" s="6">
        <v>30.95</v>
      </c>
      <c r="AW290" s="6">
        <v>31.3</v>
      </c>
      <c r="AX290" s="6">
        <v>30.8</v>
      </c>
      <c r="AY290" s="6">
        <v>28.55</v>
      </c>
      <c r="AZ290" s="6">
        <v>31.19</v>
      </c>
      <c r="BA290" s="6">
        <v>30.6</v>
      </c>
      <c r="BB290" s="6">
        <v>32.57</v>
      </c>
      <c r="BC290" s="6">
        <v>30.24</v>
      </c>
      <c r="BD290" s="6">
        <v>29.27</v>
      </c>
      <c r="BE290" s="6">
        <v>31.98</v>
      </c>
      <c r="BF290" s="6">
        <v>30.82</v>
      </c>
      <c r="BG290" s="6">
        <v>26.95</v>
      </c>
      <c r="BH290" s="10">
        <v>27.82</v>
      </c>
      <c r="BI290" s="10"/>
    </row>
    <row r="291" spans="1:61" ht="15.75" customHeight="1" x14ac:dyDescent="0.25">
      <c r="A291" s="1">
        <v>290</v>
      </c>
      <c r="B291" s="1"/>
      <c r="C291" s="1">
        <v>16</v>
      </c>
      <c r="D291" s="6">
        <v>32.29</v>
      </c>
      <c r="E291" s="6">
        <v>30.51</v>
      </c>
      <c r="F291" s="6">
        <v>31.94</v>
      </c>
      <c r="G291" s="6"/>
      <c r="H291" s="6"/>
      <c r="I291" s="6"/>
      <c r="J291" s="9">
        <v>31.27</v>
      </c>
      <c r="K291" s="9">
        <v>31.38</v>
      </c>
      <c r="L291" s="9">
        <v>30.23</v>
      </c>
      <c r="M291" s="9">
        <v>31.23</v>
      </c>
      <c r="N291" s="9">
        <v>30.96</v>
      </c>
      <c r="O291" s="9">
        <v>30.36</v>
      </c>
      <c r="P291" s="9">
        <v>32.619999999999997</v>
      </c>
      <c r="Q291" s="9">
        <v>33.42</v>
      </c>
      <c r="R291" s="9">
        <v>32.81</v>
      </c>
      <c r="S291" s="9">
        <v>33.590000000000003</v>
      </c>
      <c r="T291" s="9">
        <v>32.99</v>
      </c>
      <c r="U291" s="9">
        <v>32.21</v>
      </c>
      <c r="V291" s="9">
        <v>32.64</v>
      </c>
      <c r="W291" s="6">
        <v>31.99</v>
      </c>
      <c r="X291" s="6">
        <v>31.1</v>
      </c>
      <c r="Y291" s="6">
        <v>29.91</v>
      </c>
      <c r="Z291" s="6">
        <v>29.2</v>
      </c>
      <c r="AA291" s="6">
        <v>31.75</v>
      </c>
      <c r="AB291" s="6">
        <v>30.21</v>
      </c>
      <c r="AC291" s="6">
        <v>30.94</v>
      </c>
      <c r="AD291" s="6">
        <v>32.11</v>
      </c>
      <c r="AE291" s="6">
        <v>28.83</v>
      </c>
      <c r="AF291" s="6">
        <v>31.96</v>
      </c>
      <c r="AG291" s="6">
        <v>28.13</v>
      </c>
      <c r="AH291" s="6">
        <v>30.78</v>
      </c>
      <c r="AI291" s="6">
        <v>31.18</v>
      </c>
      <c r="AJ291" s="6">
        <v>31.41</v>
      </c>
      <c r="AK291" s="6">
        <v>29.33</v>
      </c>
      <c r="AL291" s="6">
        <v>29.98</v>
      </c>
      <c r="AM291" s="6">
        <v>31.56</v>
      </c>
      <c r="AN291" s="6">
        <v>31.86</v>
      </c>
      <c r="AO291" s="6">
        <v>28.9</v>
      </c>
      <c r="AP291" s="6">
        <v>29.98</v>
      </c>
      <c r="AQ291" s="6">
        <v>31.48</v>
      </c>
      <c r="AR291" s="6">
        <v>30.1</v>
      </c>
      <c r="AS291" s="6">
        <v>28.74</v>
      </c>
      <c r="AT291" s="6">
        <v>29.95</v>
      </c>
      <c r="AU291" s="6">
        <v>30.35</v>
      </c>
      <c r="AV291" s="6">
        <v>30.84</v>
      </c>
      <c r="AW291" s="6">
        <v>31.19</v>
      </c>
      <c r="AX291" s="6">
        <v>30.73</v>
      </c>
      <c r="AY291" s="6">
        <v>28.41</v>
      </c>
      <c r="AZ291" s="6">
        <v>31.1</v>
      </c>
      <c r="BA291" s="6">
        <v>30.54</v>
      </c>
      <c r="BB291" s="6">
        <v>32.44</v>
      </c>
      <c r="BC291" s="6">
        <v>30.15</v>
      </c>
      <c r="BD291" s="6">
        <v>29.32</v>
      </c>
      <c r="BE291" s="6">
        <v>31.9</v>
      </c>
      <c r="BF291" s="6">
        <v>30.74</v>
      </c>
      <c r="BG291" s="6">
        <v>26.8</v>
      </c>
      <c r="BH291" s="10">
        <v>27.82</v>
      </c>
      <c r="BI291" s="10"/>
    </row>
    <row r="292" spans="1:61" ht="15.75" customHeight="1" x14ac:dyDescent="0.25">
      <c r="A292" s="1">
        <v>291</v>
      </c>
      <c r="B292" s="1"/>
      <c r="C292" s="1">
        <v>17</v>
      </c>
      <c r="D292" s="6">
        <v>32.270000000000003</v>
      </c>
      <c r="E292" s="6">
        <v>30.45</v>
      </c>
      <c r="F292" s="6">
        <v>31.86</v>
      </c>
      <c r="G292" s="6"/>
      <c r="H292" s="6"/>
      <c r="I292" s="6"/>
      <c r="J292" s="9">
        <v>31.28</v>
      </c>
      <c r="K292" s="9">
        <v>31.33</v>
      </c>
      <c r="L292" s="9">
        <v>30.08</v>
      </c>
      <c r="M292" s="9">
        <v>31.15</v>
      </c>
      <c r="N292" s="9">
        <v>30.96</v>
      </c>
      <c r="O292" s="9">
        <v>30.33</v>
      </c>
      <c r="P292" s="9">
        <v>32.56</v>
      </c>
      <c r="Q292" s="9">
        <v>33.299999999999997</v>
      </c>
      <c r="R292" s="9">
        <v>32.69</v>
      </c>
      <c r="S292" s="9">
        <v>33.5</v>
      </c>
      <c r="T292" s="9">
        <v>32.9</v>
      </c>
      <c r="U292" s="9">
        <v>32.08</v>
      </c>
      <c r="V292" s="9">
        <v>32.630000000000003</v>
      </c>
      <c r="W292" s="6">
        <v>31.95</v>
      </c>
      <c r="X292" s="6">
        <v>31.06</v>
      </c>
      <c r="Y292" s="6">
        <v>29.91</v>
      </c>
      <c r="Z292" s="6">
        <v>29.09</v>
      </c>
      <c r="AA292" s="6">
        <v>31.63</v>
      </c>
      <c r="AB292" s="6">
        <v>30.12</v>
      </c>
      <c r="AC292" s="6">
        <v>30.9</v>
      </c>
      <c r="AD292" s="6">
        <v>32.03</v>
      </c>
      <c r="AE292" s="6">
        <v>28.74</v>
      </c>
      <c r="AF292" s="6">
        <v>31.88</v>
      </c>
      <c r="AG292" s="6">
        <v>28.05</v>
      </c>
      <c r="AH292" s="6">
        <v>30.64</v>
      </c>
      <c r="AI292" s="6">
        <v>31.24</v>
      </c>
      <c r="AJ292" s="6">
        <v>31.37</v>
      </c>
      <c r="AK292" s="6">
        <v>29.2</v>
      </c>
      <c r="AL292" s="6">
        <v>29.78</v>
      </c>
      <c r="AM292" s="6">
        <v>31.5</v>
      </c>
      <c r="AN292" s="6">
        <v>31.8</v>
      </c>
      <c r="AO292" s="6">
        <v>28.84</v>
      </c>
      <c r="AP292" s="6">
        <v>29.91</v>
      </c>
      <c r="AQ292" s="6">
        <v>31.46</v>
      </c>
      <c r="AR292" s="6">
        <v>30.03</v>
      </c>
      <c r="AS292" s="6">
        <v>28.68</v>
      </c>
      <c r="AT292" s="6">
        <v>29.85</v>
      </c>
      <c r="AU292" s="6">
        <v>30.28</v>
      </c>
      <c r="AV292" s="6">
        <v>30.71</v>
      </c>
      <c r="AW292" s="6">
        <v>31.09</v>
      </c>
      <c r="AX292" s="6">
        <v>30.7</v>
      </c>
      <c r="AY292" s="6">
        <v>28.33</v>
      </c>
      <c r="AZ292" s="6">
        <v>31</v>
      </c>
      <c r="BA292" s="6">
        <v>30.48</v>
      </c>
      <c r="BB292" s="6">
        <v>32.29</v>
      </c>
      <c r="BC292" s="6">
        <v>30</v>
      </c>
      <c r="BD292" s="6">
        <v>29.34</v>
      </c>
      <c r="BE292" s="6">
        <v>31.82</v>
      </c>
      <c r="BF292" s="6">
        <v>30.67</v>
      </c>
      <c r="BG292" s="6">
        <v>26.66</v>
      </c>
      <c r="BH292" s="10">
        <v>27.85</v>
      </c>
      <c r="BI292" s="10"/>
    </row>
    <row r="293" spans="1:61" ht="15.75" customHeight="1" x14ac:dyDescent="0.25">
      <c r="A293" s="1">
        <v>292</v>
      </c>
      <c r="B293" s="1"/>
      <c r="C293" s="1">
        <v>18</v>
      </c>
      <c r="D293" s="6">
        <v>32.24</v>
      </c>
      <c r="E293" s="6">
        <v>30.4</v>
      </c>
      <c r="F293" s="6">
        <v>31.79</v>
      </c>
      <c r="G293" s="6"/>
      <c r="H293" s="6"/>
      <c r="I293" s="6"/>
      <c r="J293" s="9">
        <v>31.28</v>
      </c>
      <c r="K293" s="9">
        <v>31.28</v>
      </c>
      <c r="L293" s="9">
        <v>29.93</v>
      </c>
      <c r="M293" s="9">
        <v>31.06</v>
      </c>
      <c r="N293" s="9">
        <v>30.95</v>
      </c>
      <c r="O293" s="9">
        <v>30.3</v>
      </c>
      <c r="P293" s="9">
        <v>32.51</v>
      </c>
      <c r="Q293" s="9">
        <v>33.229999999999997</v>
      </c>
      <c r="R293" s="9">
        <v>32.58</v>
      </c>
      <c r="S293" s="9">
        <v>33.4</v>
      </c>
      <c r="T293" s="9">
        <v>32.82</v>
      </c>
      <c r="U293" s="9">
        <v>31.97</v>
      </c>
      <c r="V293" s="9">
        <v>32.619999999999997</v>
      </c>
      <c r="W293" s="6">
        <v>31.9</v>
      </c>
      <c r="X293" s="6">
        <v>31.04</v>
      </c>
      <c r="Y293" s="6">
        <v>29.92</v>
      </c>
      <c r="Z293" s="6">
        <v>29.02</v>
      </c>
      <c r="AA293" s="6">
        <v>31.48</v>
      </c>
      <c r="AB293" s="6">
        <v>30.07</v>
      </c>
      <c r="AC293" s="6">
        <v>30.88</v>
      </c>
      <c r="AD293" s="6">
        <v>31.98</v>
      </c>
      <c r="AE293" s="6">
        <v>28.7</v>
      </c>
      <c r="AF293" s="6">
        <v>31.78</v>
      </c>
      <c r="AG293" s="6">
        <v>27.99</v>
      </c>
      <c r="AH293" s="6">
        <v>30.5</v>
      </c>
      <c r="AI293" s="6">
        <v>31.27</v>
      </c>
      <c r="AJ293" s="6">
        <v>31.34</v>
      </c>
      <c r="AK293" s="6">
        <v>29.1</v>
      </c>
      <c r="AL293" s="6">
        <v>29.55</v>
      </c>
      <c r="AM293" s="6">
        <v>31.46</v>
      </c>
      <c r="AN293" s="6">
        <v>31.72</v>
      </c>
      <c r="AO293" s="6">
        <v>28.78</v>
      </c>
      <c r="AP293" s="6">
        <v>29.85</v>
      </c>
      <c r="AQ293" s="6">
        <v>31.41</v>
      </c>
      <c r="AR293" s="6">
        <v>29.98</v>
      </c>
      <c r="AS293" s="6">
        <v>28.6</v>
      </c>
      <c r="AT293" s="6">
        <v>29.73</v>
      </c>
      <c r="AU293" s="6">
        <v>30.21</v>
      </c>
      <c r="AV293" s="6">
        <v>30.58</v>
      </c>
      <c r="AW293" s="6">
        <v>30.98</v>
      </c>
      <c r="AX293" s="6">
        <v>30.67</v>
      </c>
      <c r="AY293" s="6">
        <v>28.3</v>
      </c>
      <c r="AZ293" s="6">
        <v>30.93</v>
      </c>
      <c r="BA293" s="6">
        <v>30.46</v>
      </c>
      <c r="BB293" s="6">
        <v>32.14</v>
      </c>
      <c r="BC293" s="6">
        <v>29.94</v>
      </c>
      <c r="BD293" s="6">
        <v>29.36</v>
      </c>
      <c r="BE293" s="6">
        <v>31.72</v>
      </c>
      <c r="BF293" s="6">
        <v>30.58</v>
      </c>
      <c r="BG293" s="6">
        <v>26.58</v>
      </c>
      <c r="BH293" s="10">
        <v>27.86</v>
      </c>
      <c r="BI293" s="10"/>
    </row>
    <row r="294" spans="1:61" ht="15.75" customHeight="1" x14ac:dyDescent="0.25">
      <c r="A294" s="1">
        <v>293</v>
      </c>
      <c r="B294" s="1"/>
      <c r="C294" s="1">
        <v>19</v>
      </c>
      <c r="D294" s="6">
        <v>32.159999999999997</v>
      </c>
      <c r="E294" s="6">
        <v>30.39</v>
      </c>
      <c r="F294" s="6">
        <v>31.7</v>
      </c>
      <c r="G294" s="6"/>
      <c r="H294" s="6"/>
      <c r="I294" s="6"/>
      <c r="J294" s="9">
        <v>31.29</v>
      </c>
      <c r="K294" s="9">
        <v>31.18</v>
      </c>
      <c r="L294" s="9">
        <v>29.81</v>
      </c>
      <c r="M294" s="9">
        <v>30.97</v>
      </c>
      <c r="N294" s="9">
        <v>30.92</v>
      </c>
      <c r="O294" s="9">
        <v>30.27</v>
      </c>
      <c r="P294" s="9">
        <v>32.450000000000003</v>
      </c>
      <c r="Q294" s="9">
        <v>33.15</v>
      </c>
      <c r="R294" s="9">
        <v>32.47</v>
      </c>
      <c r="S294" s="9">
        <v>33.31</v>
      </c>
      <c r="T294" s="9">
        <v>32.72</v>
      </c>
      <c r="U294" s="9">
        <v>31.89</v>
      </c>
      <c r="V294" s="9">
        <v>32.6</v>
      </c>
      <c r="W294" s="6">
        <v>31.86</v>
      </c>
      <c r="X294" s="6">
        <v>31</v>
      </c>
      <c r="Y294" s="6">
        <v>29.93</v>
      </c>
      <c r="Z294" s="6">
        <v>28.93</v>
      </c>
      <c r="AA294" s="6">
        <v>31.34</v>
      </c>
      <c r="AB294" s="6">
        <v>29.93</v>
      </c>
      <c r="AC294" s="6">
        <v>30.86</v>
      </c>
      <c r="AD294" s="6">
        <v>31.86</v>
      </c>
      <c r="AE294" s="6">
        <v>28.69</v>
      </c>
      <c r="AF294" s="6">
        <v>31.67</v>
      </c>
      <c r="AG294" s="6">
        <v>27.94</v>
      </c>
      <c r="AH294" s="6">
        <v>30.35</v>
      </c>
      <c r="AI294" s="6">
        <v>31.29</v>
      </c>
      <c r="AJ294" s="6">
        <v>31.3</v>
      </c>
      <c r="AK294" s="6">
        <v>28.97</v>
      </c>
      <c r="AL294" s="6">
        <v>29.32</v>
      </c>
      <c r="AM294" s="6">
        <v>31.38</v>
      </c>
      <c r="AN294" s="6">
        <v>31.7</v>
      </c>
      <c r="AO294" s="6">
        <v>28.75</v>
      </c>
      <c r="AP294" s="6">
        <v>29.79</v>
      </c>
      <c r="AQ294" s="6">
        <v>31.35</v>
      </c>
      <c r="AR294" s="6">
        <v>29.9</v>
      </c>
      <c r="AS294" s="6">
        <v>28.5</v>
      </c>
      <c r="AT294" s="6">
        <v>29.65</v>
      </c>
      <c r="AU294" s="6">
        <v>30.14</v>
      </c>
      <c r="AV294" s="6">
        <v>30.47</v>
      </c>
      <c r="AW294" s="6">
        <v>30.86</v>
      </c>
      <c r="AX294" s="6">
        <v>30.65</v>
      </c>
      <c r="AY294" s="6">
        <v>28.28</v>
      </c>
      <c r="AZ294" s="6">
        <v>30.86</v>
      </c>
      <c r="BA294" s="6">
        <v>30.42</v>
      </c>
      <c r="BB294" s="6">
        <v>31.98</v>
      </c>
      <c r="BC294" s="6">
        <v>29.91</v>
      </c>
      <c r="BD294" s="6">
        <v>29.39</v>
      </c>
      <c r="BE294" s="6">
        <v>31.6</v>
      </c>
      <c r="BF294" s="6">
        <v>30.53</v>
      </c>
      <c r="BG294" s="6">
        <v>26.54</v>
      </c>
      <c r="BH294" s="10">
        <v>27.84</v>
      </c>
      <c r="BI294" s="10"/>
    </row>
    <row r="295" spans="1:61" ht="15.75" customHeight="1" x14ac:dyDescent="0.25">
      <c r="A295" s="1">
        <v>294</v>
      </c>
      <c r="B295" s="1"/>
      <c r="C295" s="1">
        <v>20</v>
      </c>
      <c r="D295" s="6">
        <v>32.11</v>
      </c>
      <c r="E295" s="6">
        <v>30.39</v>
      </c>
      <c r="F295" s="6">
        <v>31.63</v>
      </c>
      <c r="G295" s="6"/>
      <c r="H295" s="6"/>
      <c r="I295" s="6"/>
      <c r="J295" s="9">
        <v>31.3</v>
      </c>
      <c r="K295" s="9">
        <v>31.08</v>
      </c>
      <c r="L295" s="9">
        <v>29.7</v>
      </c>
      <c r="M295" s="9">
        <v>30.88</v>
      </c>
      <c r="N295" s="9">
        <v>30.87</v>
      </c>
      <c r="O295" s="9">
        <v>30.26</v>
      </c>
      <c r="P295" s="9">
        <v>32.4</v>
      </c>
      <c r="Q295" s="9">
        <v>33.07</v>
      </c>
      <c r="R295" s="9">
        <v>32.369999999999997</v>
      </c>
      <c r="S295" s="9">
        <v>33.22</v>
      </c>
      <c r="T295" s="9">
        <v>32.659999999999997</v>
      </c>
      <c r="U295" s="9">
        <v>31.79</v>
      </c>
      <c r="V295" s="9">
        <v>32.58</v>
      </c>
      <c r="W295" s="6">
        <v>31.79</v>
      </c>
      <c r="X295" s="6">
        <v>30.98</v>
      </c>
      <c r="Y295" s="6">
        <v>29.92</v>
      </c>
      <c r="Z295" s="6">
        <v>28.84</v>
      </c>
      <c r="AA295" s="6">
        <v>31.2</v>
      </c>
      <c r="AB295" s="6">
        <v>29.9</v>
      </c>
      <c r="AC295" s="6">
        <v>30.83</v>
      </c>
      <c r="AD295" s="6">
        <v>31.8</v>
      </c>
      <c r="AE295" s="6">
        <v>28.65</v>
      </c>
      <c r="AF295" s="6">
        <v>31.55</v>
      </c>
      <c r="AG295" s="6">
        <v>27.88</v>
      </c>
      <c r="AH295" s="6">
        <v>30.22</v>
      </c>
      <c r="AI295" s="6">
        <v>31.34</v>
      </c>
      <c r="AJ295" s="6">
        <v>31.22</v>
      </c>
      <c r="AK295" s="6">
        <v>28.89</v>
      </c>
      <c r="AL295" s="6">
        <v>29.09</v>
      </c>
      <c r="AM295" s="6">
        <v>31.36</v>
      </c>
      <c r="AN295" s="6">
        <v>31.64</v>
      </c>
      <c r="AO295" s="6">
        <v>28.71</v>
      </c>
      <c r="AP295" s="6">
        <v>29.72</v>
      </c>
      <c r="AQ295" s="6">
        <v>31.25</v>
      </c>
      <c r="AR295" s="6">
        <v>29.84</v>
      </c>
      <c r="AS295" s="6">
        <v>28.45</v>
      </c>
      <c r="AT295" s="6">
        <v>29.59</v>
      </c>
      <c r="AU295" s="6">
        <v>30.1</v>
      </c>
      <c r="AV295" s="6">
        <v>30.34</v>
      </c>
      <c r="AW295" s="6">
        <v>30.72</v>
      </c>
      <c r="AX295" s="6">
        <v>30.63</v>
      </c>
      <c r="AY295" s="6">
        <v>28.33</v>
      </c>
      <c r="AZ295" s="6">
        <v>30.78</v>
      </c>
      <c r="BA295" s="6">
        <v>30.38</v>
      </c>
      <c r="BB295" s="6">
        <v>31.85</v>
      </c>
      <c r="BC295" s="6">
        <v>29.89</v>
      </c>
      <c r="BD295" s="6">
        <v>29.38</v>
      </c>
      <c r="BE295" s="6">
        <v>31.48</v>
      </c>
      <c r="BF295" s="6">
        <v>30.48</v>
      </c>
      <c r="BG295" s="6">
        <v>26.47</v>
      </c>
      <c r="BH295" s="10">
        <v>27.78</v>
      </c>
      <c r="BI295" s="10"/>
    </row>
    <row r="296" spans="1:61" ht="15.75" customHeight="1" x14ac:dyDescent="0.25">
      <c r="A296" s="1">
        <v>295</v>
      </c>
      <c r="B296" s="1"/>
      <c r="C296" s="1">
        <v>21</v>
      </c>
      <c r="D296" s="6">
        <v>32.06</v>
      </c>
      <c r="E296" s="6">
        <v>30.37</v>
      </c>
      <c r="F296" s="6">
        <v>31.56</v>
      </c>
      <c r="G296" s="6"/>
      <c r="H296" s="6"/>
      <c r="I296" s="6"/>
      <c r="J296" s="9">
        <v>31.28</v>
      </c>
      <c r="K296" s="9">
        <v>30.98</v>
      </c>
      <c r="L296" s="9">
        <v>29.59</v>
      </c>
      <c r="M296" s="9">
        <v>30.82</v>
      </c>
      <c r="N296" s="9">
        <v>30.81</v>
      </c>
      <c r="O296" s="9">
        <v>30.24</v>
      </c>
      <c r="P296" s="9">
        <v>32.35</v>
      </c>
      <c r="Q296" s="9">
        <v>32.97</v>
      </c>
      <c r="R296" s="9">
        <v>32.270000000000003</v>
      </c>
      <c r="S296" s="9">
        <v>33.1</v>
      </c>
      <c r="T296" s="9">
        <v>32.6</v>
      </c>
      <c r="U296" s="9">
        <v>31.66</v>
      </c>
      <c r="V296" s="9">
        <v>32.58</v>
      </c>
      <c r="W296" s="6">
        <v>31.72</v>
      </c>
      <c r="X296" s="6">
        <v>30.95</v>
      </c>
      <c r="Y296" s="6">
        <v>29.9</v>
      </c>
      <c r="Z296" s="6">
        <v>28.72</v>
      </c>
      <c r="AA296" s="6">
        <v>31.04</v>
      </c>
      <c r="AB296" s="6">
        <v>29.89</v>
      </c>
      <c r="AC296" s="6">
        <v>30.8</v>
      </c>
      <c r="AD296" s="6">
        <v>31.73</v>
      </c>
      <c r="AE296" s="6">
        <v>28.62</v>
      </c>
      <c r="AF296" s="6">
        <v>31.45</v>
      </c>
      <c r="AG296" s="6">
        <v>27.82</v>
      </c>
      <c r="AH296" s="6">
        <v>30.08</v>
      </c>
      <c r="AI296" s="6">
        <v>31.37</v>
      </c>
      <c r="AJ296" s="6">
        <v>31.18</v>
      </c>
      <c r="AK296" s="6">
        <v>28.84</v>
      </c>
      <c r="AL296" s="6">
        <v>28.87</v>
      </c>
      <c r="AM296" s="6">
        <v>31.31</v>
      </c>
      <c r="AN296" s="6">
        <v>31.54</v>
      </c>
      <c r="AO296" s="6">
        <v>28.65</v>
      </c>
      <c r="AP296" s="6">
        <v>29.66</v>
      </c>
      <c r="AQ296" s="6">
        <v>31.18</v>
      </c>
      <c r="AR296" s="6">
        <v>29.78</v>
      </c>
      <c r="AS296" s="6">
        <v>28.4</v>
      </c>
      <c r="AT296" s="6">
        <v>29.5</v>
      </c>
      <c r="AU296" s="6">
        <v>30.04</v>
      </c>
      <c r="AV296" s="6">
        <v>30.24</v>
      </c>
      <c r="AW296" s="6">
        <v>30.6</v>
      </c>
      <c r="AX296" s="6">
        <v>30.63</v>
      </c>
      <c r="AY296" s="6">
        <v>28.36</v>
      </c>
      <c r="AZ296" s="6">
        <v>30.72</v>
      </c>
      <c r="BA296" s="6">
        <v>30.36</v>
      </c>
      <c r="BB296" s="6">
        <v>31.7</v>
      </c>
      <c r="BC296" s="6">
        <v>29.87</v>
      </c>
      <c r="BD296" s="6">
        <v>29.33</v>
      </c>
      <c r="BE296" s="6">
        <v>31.34</v>
      </c>
      <c r="BF296" s="6">
        <v>30.42</v>
      </c>
      <c r="BG296" s="6">
        <v>26.42</v>
      </c>
      <c r="BH296" s="10">
        <v>27.72</v>
      </c>
      <c r="BI296" s="10"/>
    </row>
    <row r="297" spans="1:61" ht="15.75" customHeight="1" x14ac:dyDescent="0.25">
      <c r="A297" s="1">
        <v>296</v>
      </c>
      <c r="B297" s="1"/>
      <c r="C297" s="1">
        <v>22</v>
      </c>
      <c r="D297" s="6">
        <v>32.020000000000003</v>
      </c>
      <c r="E297" s="6">
        <v>30.36</v>
      </c>
      <c r="F297" s="6">
        <v>31.47</v>
      </c>
      <c r="G297" s="6"/>
      <c r="H297" s="6"/>
      <c r="I297" s="6"/>
      <c r="J297" s="9">
        <v>31.24</v>
      </c>
      <c r="K297" s="9">
        <v>30.88</v>
      </c>
      <c r="L297" s="9">
        <v>29.49</v>
      </c>
      <c r="M297" s="9">
        <v>30.75</v>
      </c>
      <c r="N297" s="9">
        <v>30.8</v>
      </c>
      <c r="O297" s="9">
        <v>30.24</v>
      </c>
      <c r="P297" s="9">
        <v>32.29</v>
      </c>
      <c r="Q297" s="9">
        <v>32.869999999999997</v>
      </c>
      <c r="R297" s="9">
        <v>32.18</v>
      </c>
      <c r="S297" s="9">
        <v>33.01</v>
      </c>
      <c r="T297" s="9">
        <v>32.53</v>
      </c>
      <c r="U297" s="9">
        <v>31.56</v>
      </c>
      <c r="V297" s="9">
        <v>32.57</v>
      </c>
      <c r="W297" s="6">
        <v>31.65</v>
      </c>
      <c r="X297" s="6">
        <v>30.9</v>
      </c>
      <c r="Y297" s="6">
        <v>29.88</v>
      </c>
      <c r="Z297" s="6">
        <v>28.64</v>
      </c>
      <c r="AA297" s="6">
        <v>30.9</v>
      </c>
      <c r="AB297" s="6">
        <v>29.74</v>
      </c>
      <c r="AC297" s="6">
        <v>30.77</v>
      </c>
      <c r="AD297" s="6">
        <v>31.66</v>
      </c>
      <c r="AE297" s="6">
        <v>28.64</v>
      </c>
      <c r="AF297" s="6">
        <v>31.35</v>
      </c>
      <c r="AG297" s="6">
        <v>27.77</v>
      </c>
      <c r="AH297" s="6">
        <v>29.94</v>
      </c>
      <c r="AI297" s="6">
        <v>31.4</v>
      </c>
      <c r="AJ297" s="6">
        <v>31.1</v>
      </c>
      <c r="AK297" s="6">
        <v>28.78</v>
      </c>
      <c r="AL297" s="6">
        <v>28.65</v>
      </c>
      <c r="AM297" s="6">
        <v>31.28</v>
      </c>
      <c r="AN297" s="6">
        <v>31.47</v>
      </c>
      <c r="AO297" s="6">
        <v>28.6</v>
      </c>
      <c r="AP297" s="6">
        <v>29.6</v>
      </c>
      <c r="AQ297" s="6">
        <v>31.1</v>
      </c>
      <c r="AR297" s="6">
        <v>29.72</v>
      </c>
      <c r="AS297" s="6">
        <v>28.35</v>
      </c>
      <c r="AT297" s="6">
        <v>29.45</v>
      </c>
      <c r="AU297" s="6">
        <v>29.99</v>
      </c>
      <c r="AV297" s="6">
        <v>30.17</v>
      </c>
      <c r="AW297" s="6">
        <v>30.48</v>
      </c>
      <c r="AX297" s="6">
        <v>30.62</v>
      </c>
      <c r="AY297" s="6">
        <v>28.4</v>
      </c>
      <c r="AZ297" s="6">
        <v>30.66</v>
      </c>
      <c r="BA297" s="6">
        <v>30.34</v>
      </c>
      <c r="BB297" s="6">
        <v>31.55</v>
      </c>
      <c r="BC297" s="6">
        <v>29.86</v>
      </c>
      <c r="BD297" s="6">
        <v>29.28</v>
      </c>
      <c r="BE297" s="6">
        <v>31.16</v>
      </c>
      <c r="BF297" s="6">
        <v>30.36</v>
      </c>
      <c r="BG297" s="6">
        <v>26.38</v>
      </c>
      <c r="BH297" s="10">
        <v>27.65</v>
      </c>
      <c r="BI297" s="10"/>
    </row>
    <row r="298" spans="1:61" ht="15.75" customHeight="1" x14ac:dyDescent="0.25">
      <c r="A298" s="1">
        <v>297</v>
      </c>
      <c r="B298" s="1"/>
      <c r="C298" s="1">
        <v>23</v>
      </c>
      <c r="D298" s="6">
        <v>31.95</v>
      </c>
      <c r="E298" s="6">
        <v>30.31</v>
      </c>
      <c r="F298" s="6">
        <v>31.4</v>
      </c>
      <c r="G298" s="6"/>
      <c r="H298" s="6"/>
      <c r="I298" s="6"/>
      <c r="J298" s="9">
        <v>31.2</v>
      </c>
      <c r="K298" s="9">
        <v>30.78</v>
      </c>
      <c r="L298" s="9">
        <v>29.39</v>
      </c>
      <c r="M298" s="9">
        <v>30.67</v>
      </c>
      <c r="N298" s="9">
        <v>30.78</v>
      </c>
      <c r="O298" s="9">
        <v>30.27</v>
      </c>
      <c r="P298" s="9">
        <v>32.24</v>
      </c>
      <c r="Q298" s="9">
        <v>32.78</v>
      </c>
      <c r="R298" s="9">
        <v>32.08</v>
      </c>
      <c r="S298" s="9">
        <v>32.9</v>
      </c>
      <c r="T298" s="9">
        <v>32.49</v>
      </c>
      <c r="U298" s="9">
        <v>31.41</v>
      </c>
      <c r="V298" s="9">
        <v>32.57</v>
      </c>
      <c r="W298" s="6">
        <v>31.56</v>
      </c>
      <c r="X298" s="6">
        <v>30.88</v>
      </c>
      <c r="Y298" s="6">
        <v>29.85</v>
      </c>
      <c r="Z298" s="6">
        <v>28.55</v>
      </c>
      <c r="AA298" s="6">
        <v>30.75</v>
      </c>
      <c r="AB298" s="6">
        <v>29.64</v>
      </c>
      <c r="AC298" s="6">
        <v>30.75</v>
      </c>
      <c r="AD298" s="6">
        <v>31.6</v>
      </c>
      <c r="AE298" s="6">
        <v>28.49</v>
      </c>
      <c r="AF298" s="6">
        <v>31.26</v>
      </c>
      <c r="AG298" s="6">
        <v>27.7</v>
      </c>
      <c r="AH298" s="6">
        <v>29.81</v>
      </c>
      <c r="AI298" s="6">
        <v>31.44</v>
      </c>
      <c r="AJ298" s="6">
        <v>31.04</v>
      </c>
      <c r="AK298" s="6">
        <v>28.73</v>
      </c>
      <c r="AL298" s="6">
        <v>28.45</v>
      </c>
      <c r="AM298" s="6">
        <v>31.23</v>
      </c>
      <c r="AN298" s="6">
        <v>31.35</v>
      </c>
      <c r="AO298" s="6">
        <v>28.54</v>
      </c>
      <c r="AP298" s="6">
        <v>29.55</v>
      </c>
      <c r="AQ298" s="6">
        <v>31.01</v>
      </c>
      <c r="AR298" s="6">
        <v>29.68</v>
      </c>
      <c r="AS298" s="6">
        <v>28.31</v>
      </c>
      <c r="AT298" s="6">
        <v>29.44</v>
      </c>
      <c r="AU298" s="6">
        <v>29.94</v>
      </c>
      <c r="AV298" s="6">
        <v>30.12</v>
      </c>
      <c r="AW298" s="6">
        <v>30.38</v>
      </c>
      <c r="AX298" s="6">
        <v>30.6</v>
      </c>
      <c r="AY298" s="6">
        <v>28.4</v>
      </c>
      <c r="AZ298" s="6">
        <v>30.6</v>
      </c>
      <c r="BA298" s="6">
        <v>30.3</v>
      </c>
      <c r="BB298" s="6">
        <v>31.42</v>
      </c>
      <c r="BC298" s="6">
        <v>29.85</v>
      </c>
      <c r="BD298" s="6">
        <v>29.21</v>
      </c>
      <c r="BE298" s="6">
        <v>31.02</v>
      </c>
      <c r="BF298" s="6">
        <v>30.3</v>
      </c>
      <c r="BG298" s="6">
        <v>26.38</v>
      </c>
      <c r="BH298" s="10">
        <v>27.59</v>
      </c>
      <c r="BI298" s="10"/>
    </row>
    <row r="299" spans="1:61" ht="15.75" customHeight="1" x14ac:dyDescent="0.25">
      <c r="A299" s="1">
        <v>298</v>
      </c>
      <c r="B299" s="1"/>
      <c r="C299" s="1">
        <v>24</v>
      </c>
      <c r="D299" s="6">
        <v>31.96</v>
      </c>
      <c r="E299" s="6">
        <v>30.29</v>
      </c>
      <c r="F299" s="6">
        <v>31.31</v>
      </c>
      <c r="G299" s="6"/>
      <c r="H299" s="6"/>
      <c r="I299" s="6"/>
      <c r="J299" s="9">
        <v>31.14</v>
      </c>
      <c r="K299" s="9">
        <v>30.73</v>
      </c>
      <c r="L299" s="9">
        <v>29.29</v>
      </c>
      <c r="M299" s="9">
        <v>30.59</v>
      </c>
      <c r="N299" s="9">
        <v>30.72</v>
      </c>
      <c r="O299" s="9">
        <v>30.27</v>
      </c>
      <c r="P299" s="9">
        <v>32.159999999999997</v>
      </c>
      <c r="Q299" s="9">
        <v>32.68</v>
      </c>
      <c r="R299" s="9">
        <v>31.99</v>
      </c>
      <c r="S299" s="9">
        <v>32.79</v>
      </c>
      <c r="T299" s="9">
        <v>32.42</v>
      </c>
      <c r="U299" s="9">
        <v>31.27</v>
      </c>
      <c r="V299" s="9">
        <v>32.6</v>
      </c>
      <c r="W299" s="6">
        <v>31.45</v>
      </c>
      <c r="X299" s="6">
        <v>30.82</v>
      </c>
      <c r="Y299" s="6">
        <v>29.82</v>
      </c>
      <c r="Z299" s="6">
        <v>28.5</v>
      </c>
      <c r="AA299" s="6">
        <v>30.6</v>
      </c>
      <c r="AB299" s="6">
        <v>29.55</v>
      </c>
      <c r="AC299" s="6">
        <v>30.7</v>
      </c>
      <c r="AD299" s="6">
        <v>31.56</v>
      </c>
      <c r="AE299" s="6">
        <v>28.43</v>
      </c>
      <c r="AF299" s="6">
        <v>31.18</v>
      </c>
      <c r="AG299" s="6">
        <v>27.63</v>
      </c>
      <c r="AH299" s="6">
        <v>29.68</v>
      </c>
      <c r="AI299" s="6">
        <v>31.44</v>
      </c>
      <c r="AJ299" s="6">
        <v>31</v>
      </c>
      <c r="AK299" s="6">
        <v>28.67</v>
      </c>
      <c r="AL299" s="6">
        <v>28.3</v>
      </c>
      <c r="AM299" s="6">
        <v>31.2</v>
      </c>
      <c r="AN299" s="6">
        <v>31.27</v>
      </c>
      <c r="AO299" s="6">
        <v>28.51</v>
      </c>
      <c r="AP299" s="6">
        <v>29.53</v>
      </c>
      <c r="AQ299" s="6">
        <v>30.96</v>
      </c>
      <c r="AR299" s="6">
        <v>29.66</v>
      </c>
      <c r="AS299" s="6">
        <v>28.3</v>
      </c>
      <c r="AT299" s="6">
        <v>29.4</v>
      </c>
      <c r="AU299" s="6">
        <v>29.97</v>
      </c>
      <c r="AV299" s="6">
        <v>30.1</v>
      </c>
      <c r="AW299" s="6">
        <v>30.27</v>
      </c>
      <c r="AX299" s="6">
        <v>30.59</v>
      </c>
      <c r="AY299" s="6">
        <v>28.33</v>
      </c>
      <c r="AZ299" s="6">
        <v>30.52</v>
      </c>
      <c r="BA299" s="6">
        <v>30.26</v>
      </c>
      <c r="BB299" s="6">
        <v>31.3</v>
      </c>
      <c r="BC299" s="6">
        <v>29.83</v>
      </c>
      <c r="BD299" s="6">
        <v>29.14</v>
      </c>
      <c r="BE299" s="6">
        <v>30.9</v>
      </c>
      <c r="BF299" s="6">
        <v>30.24</v>
      </c>
      <c r="BG299" s="6">
        <v>26.37</v>
      </c>
      <c r="BH299" s="10">
        <v>27.49</v>
      </c>
      <c r="BI299" s="10"/>
    </row>
    <row r="300" spans="1:61" ht="15.75" customHeight="1" x14ac:dyDescent="0.25">
      <c r="A300" s="1">
        <v>299</v>
      </c>
      <c r="B300" s="1"/>
      <c r="C300" s="1">
        <v>25</v>
      </c>
      <c r="D300" s="6">
        <v>31.87</v>
      </c>
      <c r="E300" s="6">
        <v>30.29</v>
      </c>
      <c r="F300" s="6">
        <v>31.2</v>
      </c>
      <c r="G300" s="6"/>
      <c r="H300" s="6"/>
      <c r="I300" s="6"/>
      <c r="J300" s="9">
        <v>31.09</v>
      </c>
      <c r="K300" s="9">
        <v>30.58</v>
      </c>
      <c r="L300" s="9">
        <v>29.19</v>
      </c>
      <c r="M300" s="9">
        <v>30.53</v>
      </c>
      <c r="N300" s="9">
        <v>30.63</v>
      </c>
      <c r="O300" s="9">
        <v>30.27</v>
      </c>
      <c r="P300" s="9">
        <v>32.090000000000003</v>
      </c>
      <c r="Q300" s="9">
        <v>32.590000000000003</v>
      </c>
      <c r="R300" s="9">
        <v>31.89</v>
      </c>
      <c r="S300" s="9">
        <v>32.700000000000003</v>
      </c>
      <c r="T300" s="9">
        <v>32.36</v>
      </c>
      <c r="U300" s="9">
        <v>31.12</v>
      </c>
      <c r="V300" s="9">
        <v>32.630000000000003</v>
      </c>
      <c r="W300" s="6">
        <v>31.36</v>
      </c>
      <c r="X300" s="6">
        <v>30.8</v>
      </c>
      <c r="Y300" s="6">
        <v>29.77</v>
      </c>
      <c r="Z300" s="6">
        <v>28.31</v>
      </c>
      <c r="AA300" s="6">
        <v>30.45</v>
      </c>
      <c r="AB300" s="6">
        <v>29.46</v>
      </c>
      <c r="AC300" s="6">
        <v>30.64</v>
      </c>
      <c r="AD300" s="6">
        <v>31.52</v>
      </c>
      <c r="AE300" s="6">
        <v>28.35</v>
      </c>
      <c r="AF300" s="6">
        <v>31.08</v>
      </c>
      <c r="AG300" s="6">
        <v>27.56</v>
      </c>
      <c r="AH300" s="6">
        <v>29.51</v>
      </c>
      <c r="AI300" s="6">
        <v>31.46</v>
      </c>
      <c r="AJ300" s="6">
        <v>30.94</v>
      </c>
      <c r="AK300" s="6">
        <v>28.61</v>
      </c>
      <c r="AL300" s="6">
        <v>28.21</v>
      </c>
      <c r="AM300" s="6">
        <v>31.15</v>
      </c>
      <c r="AN300" s="6">
        <v>31.02</v>
      </c>
      <c r="AO300" s="6">
        <v>28.45</v>
      </c>
      <c r="AP300" s="6">
        <v>29.5</v>
      </c>
      <c r="AQ300" s="6">
        <v>30.86</v>
      </c>
      <c r="AR300" s="6">
        <v>29.64</v>
      </c>
      <c r="AS300" s="6">
        <v>28.27</v>
      </c>
      <c r="AT300" s="6">
        <v>29.37</v>
      </c>
      <c r="AU300" s="6">
        <v>29.8</v>
      </c>
      <c r="AV300" s="6">
        <v>30.09</v>
      </c>
      <c r="AW300" s="6">
        <v>30.17</v>
      </c>
      <c r="AX300" s="6">
        <v>30.58</v>
      </c>
      <c r="AY300" s="6">
        <v>28.31</v>
      </c>
      <c r="AZ300" s="6">
        <v>30.44</v>
      </c>
      <c r="BA300" s="6">
        <v>30.22</v>
      </c>
      <c r="BB300" s="6">
        <v>31.19</v>
      </c>
      <c r="BC300" s="6">
        <v>29.81</v>
      </c>
      <c r="BD300" s="6">
        <v>29.07</v>
      </c>
      <c r="BE300" s="6">
        <v>30.78</v>
      </c>
      <c r="BF300" s="6">
        <v>30.22</v>
      </c>
      <c r="BG300" s="6">
        <v>26.37</v>
      </c>
      <c r="BH300" s="10">
        <v>27.37</v>
      </c>
      <c r="BI300" s="10"/>
    </row>
    <row r="301" spans="1:61" ht="15.75" customHeight="1" x14ac:dyDescent="0.25">
      <c r="A301" s="1">
        <v>300</v>
      </c>
      <c r="B301" s="1"/>
      <c r="C301" s="1">
        <v>26</v>
      </c>
      <c r="D301" s="6">
        <v>31.76</v>
      </c>
      <c r="E301" s="6">
        <v>30.28</v>
      </c>
      <c r="F301" s="6">
        <v>31.1</v>
      </c>
      <c r="G301" s="6"/>
      <c r="H301" s="6"/>
      <c r="I301" s="6"/>
      <c r="J301" s="9">
        <v>31</v>
      </c>
      <c r="K301" s="9">
        <v>30.48</v>
      </c>
      <c r="L301" s="9">
        <v>29.09</v>
      </c>
      <c r="M301" s="9">
        <v>30.48</v>
      </c>
      <c r="N301" s="9">
        <v>30.47</v>
      </c>
      <c r="O301" s="9">
        <v>30.3</v>
      </c>
      <c r="P301" s="9">
        <v>32.020000000000003</v>
      </c>
      <c r="Q301" s="9">
        <v>32.51</v>
      </c>
      <c r="R301" s="9">
        <v>31.82</v>
      </c>
      <c r="S301" s="9">
        <v>32.6</v>
      </c>
      <c r="T301" s="9">
        <v>32.299999999999997</v>
      </c>
      <c r="U301" s="9">
        <v>30.97</v>
      </c>
      <c r="V301" s="9">
        <v>32.659999999999997</v>
      </c>
      <c r="W301" s="6">
        <v>31.27</v>
      </c>
      <c r="X301" s="6">
        <v>30.77</v>
      </c>
      <c r="Y301" s="6">
        <v>29.77</v>
      </c>
      <c r="Z301" s="6">
        <v>28.26</v>
      </c>
      <c r="AA301" s="6">
        <v>30.32</v>
      </c>
      <c r="AB301" s="6">
        <v>29.39</v>
      </c>
      <c r="AC301" s="6">
        <v>30.58</v>
      </c>
      <c r="AD301" s="6">
        <v>31.47</v>
      </c>
      <c r="AE301" s="6">
        <v>28.25</v>
      </c>
      <c r="AF301" s="6">
        <v>30.97</v>
      </c>
      <c r="AG301" s="6">
        <v>27.5</v>
      </c>
      <c r="AH301" s="6">
        <v>29.39</v>
      </c>
      <c r="AI301" s="6">
        <v>31.45</v>
      </c>
      <c r="AJ301" s="6">
        <v>30.89</v>
      </c>
      <c r="AK301" s="6">
        <v>28.53</v>
      </c>
      <c r="AL301" s="6">
        <v>28.18</v>
      </c>
      <c r="AM301" s="6">
        <v>31.1</v>
      </c>
      <c r="AN301" s="6">
        <v>30.9</v>
      </c>
      <c r="AO301" s="6">
        <v>28.38</v>
      </c>
      <c r="AP301" s="6">
        <v>29.48</v>
      </c>
      <c r="AQ301" s="6">
        <v>30.8</v>
      </c>
      <c r="AR301" s="6">
        <v>29.6</v>
      </c>
      <c r="AS301" s="6">
        <v>28.2</v>
      </c>
      <c r="AT301" s="6">
        <v>29.3</v>
      </c>
      <c r="AU301" s="6">
        <v>29.72</v>
      </c>
      <c r="AV301" s="6">
        <v>30.09</v>
      </c>
      <c r="AW301" s="6">
        <v>30.07</v>
      </c>
      <c r="AX301" s="6">
        <v>30.55</v>
      </c>
      <c r="AY301" s="6">
        <v>28.28</v>
      </c>
      <c r="AZ301" s="6">
        <v>30.36</v>
      </c>
      <c r="BA301" s="6">
        <v>30.14</v>
      </c>
      <c r="BB301" s="6">
        <v>31.06</v>
      </c>
      <c r="BC301" s="6">
        <v>29.83</v>
      </c>
      <c r="BD301" s="6">
        <v>28.98</v>
      </c>
      <c r="BE301" s="6">
        <v>30.65</v>
      </c>
      <c r="BF301" s="6">
        <v>30.2</v>
      </c>
      <c r="BG301" s="6">
        <v>26.47</v>
      </c>
      <c r="BH301" s="10">
        <v>27.24</v>
      </c>
      <c r="BI301" s="10"/>
    </row>
    <row r="302" spans="1:61" ht="15.75" customHeight="1" x14ac:dyDescent="0.25">
      <c r="A302" s="1">
        <v>301</v>
      </c>
      <c r="B302" s="1"/>
      <c r="C302" s="1">
        <v>27</v>
      </c>
      <c r="D302" s="6">
        <v>31.5</v>
      </c>
      <c r="E302" s="6">
        <v>30.26</v>
      </c>
      <c r="F302" s="6">
        <v>30.97</v>
      </c>
      <c r="G302" s="6"/>
      <c r="H302" s="6"/>
      <c r="I302" s="6"/>
      <c r="J302" s="9">
        <v>30.89</v>
      </c>
      <c r="K302" s="9">
        <v>30.38</v>
      </c>
      <c r="L302" s="9">
        <v>28.97</v>
      </c>
      <c r="M302" s="9">
        <v>30.45</v>
      </c>
      <c r="N302" s="9">
        <v>30.41</v>
      </c>
      <c r="O302" s="9">
        <v>30.34</v>
      </c>
      <c r="P302" s="9">
        <v>31.97</v>
      </c>
      <c r="Q302" s="9">
        <v>32.42</v>
      </c>
      <c r="R302" s="9">
        <v>31.76</v>
      </c>
      <c r="S302" s="9">
        <v>32.5</v>
      </c>
      <c r="T302" s="9">
        <v>32.22</v>
      </c>
      <c r="U302" s="9">
        <v>30.84</v>
      </c>
      <c r="V302" s="9">
        <v>32.659999999999997</v>
      </c>
      <c r="W302" s="6">
        <v>31.2</v>
      </c>
      <c r="X302" s="6">
        <v>30.72</v>
      </c>
      <c r="Y302" s="6">
        <v>29.68</v>
      </c>
      <c r="Z302" s="6">
        <v>28.17</v>
      </c>
      <c r="AA302" s="6">
        <v>30.2</v>
      </c>
      <c r="AB302" s="6">
        <v>29.32</v>
      </c>
      <c r="AC302" s="6">
        <v>30.5</v>
      </c>
      <c r="AD302" s="6">
        <v>31.41</v>
      </c>
      <c r="AE302" s="6">
        <v>28.19</v>
      </c>
      <c r="AF302" s="6">
        <v>30.87</v>
      </c>
      <c r="AG302" s="6">
        <v>27.49</v>
      </c>
      <c r="AH302" s="6">
        <v>29.28</v>
      </c>
      <c r="AI302" s="6">
        <v>31.43</v>
      </c>
      <c r="AJ302" s="6">
        <v>30.81</v>
      </c>
      <c r="AK302" s="6">
        <v>28.47</v>
      </c>
      <c r="AL302" s="6">
        <v>28.19</v>
      </c>
      <c r="AM302" s="6">
        <v>31.05</v>
      </c>
      <c r="AN302" s="6">
        <v>30.72</v>
      </c>
      <c r="AO302" s="6">
        <v>28.27</v>
      </c>
      <c r="AP302" s="6">
        <v>29.46</v>
      </c>
      <c r="AQ302" s="6">
        <v>30.76</v>
      </c>
      <c r="AR302" s="6">
        <v>29.59</v>
      </c>
      <c r="AS302" s="6">
        <v>28.09</v>
      </c>
      <c r="AT302" s="6">
        <v>29.2</v>
      </c>
      <c r="AU302" s="6">
        <v>29.65</v>
      </c>
      <c r="AV302" s="6">
        <v>30.07</v>
      </c>
      <c r="AW302" s="6">
        <v>29.95</v>
      </c>
      <c r="AX302" s="6">
        <v>30.55</v>
      </c>
      <c r="AY302" s="6">
        <v>28.29</v>
      </c>
      <c r="AZ302" s="6">
        <v>30.26</v>
      </c>
      <c r="BA302" s="6">
        <v>30.1</v>
      </c>
      <c r="BB302" s="6">
        <v>30.94</v>
      </c>
      <c r="BC302" s="6">
        <v>29.85</v>
      </c>
      <c r="BD302" s="6">
        <v>28.88</v>
      </c>
      <c r="BE302" s="6">
        <v>30.55</v>
      </c>
      <c r="BF302" s="6">
        <v>30.17</v>
      </c>
      <c r="BG302" s="6">
        <v>26.52</v>
      </c>
      <c r="BH302" s="10">
        <v>27.1</v>
      </c>
      <c r="BI302" s="10"/>
    </row>
    <row r="303" spans="1:61" ht="15.75" customHeight="1" x14ac:dyDescent="0.25">
      <c r="A303" s="1">
        <v>302</v>
      </c>
      <c r="B303" s="1"/>
      <c r="C303" s="1">
        <v>28</v>
      </c>
      <c r="D303" s="6">
        <v>31.34</v>
      </c>
      <c r="E303" s="6">
        <v>30.26</v>
      </c>
      <c r="F303" s="6">
        <v>30.88</v>
      </c>
      <c r="G303" s="6"/>
      <c r="H303" s="6"/>
      <c r="I303" s="6"/>
      <c r="J303" s="9">
        <v>30.78</v>
      </c>
      <c r="K303" s="9">
        <v>30.28</v>
      </c>
      <c r="L303" s="9">
        <v>28.88</v>
      </c>
      <c r="M303" s="9">
        <v>30.43</v>
      </c>
      <c r="N303" s="9">
        <v>30.34</v>
      </c>
      <c r="O303" s="9">
        <v>30.38</v>
      </c>
      <c r="P303" s="9">
        <v>31.91</v>
      </c>
      <c r="Q303" s="9">
        <v>32.32</v>
      </c>
      <c r="R303" s="9">
        <v>31.72</v>
      </c>
      <c r="S303" s="9">
        <v>32.43</v>
      </c>
      <c r="T303" s="9">
        <v>32.15</v>
      </c>
      <c r="U303" s="9">
        <v>30.69</v>
      </c>
      <c r="V303" s="9">
        <v>32.69</v>
      </c>
      <c r="W303" s="6">
        <v>31.12</v>
      </c>
      <c r="X303" s="6">
        <v>30.69</v>
      </c>
      <c r="Y303" s="6">
        <v>29.65</v>
      </c>
      <c r="Z303" s="6">
        <v>28.07</v>
      </c>
      <c r="AA303" s="6">
        <v>30.05</v>
      </c>
      <c r="AB303" s="6">
        <v>29.3</v>
      </c>
      <c r="AC303" s="6">
        <v>30.42</v>
      </c>
      <c r="AD303" s="6">
        <v>31.37</v>
      </c>
      <c r="AE303" s="6">
        <v>28.15</v>
      </c>
      <c r="AF303" s="6">
        <v>30.78</v>
      </c>
      <c r="AG303" s="6">
        <v>27.48</v>
      </c>
      <c r="AH303" s="6">
        <v>29.18</v>
      </c>
      <c r="AI303" s="6">
        <v>31.39</v>
      </c>
      <c r="AJ303" s="6">
        <v>30.75</v>
      </c>
      <c r="AK303" s="6">
        <v>28.4</v>
      </c>
      <c r="AL303" s="6">
        <v>28.25</v>
      </c>
      <c r="AM303" s="6">
        <v>30.98</v>
      </c>
      <c r="AN303" s="6">
        <v>30.56</v>
      </c>
      <c r="AO303" s="6">
        <v>28.17</v>
      </c>
      <c r="AP303" s="6">
        <v>29.43</v>
      </c>
      <c r="AQ303" s="6">
        <v>30.75</v>
      </c>
      <c r="AR303" s="6">
        <v>29.56</v>
      </c>
      <c r="AS303" s="6">
        <v>27.97</v>
      </c>
      <c r="AT303" s="6">
        <v>29.14</v>
      </c>
      <c r="AU303" s="6">
        <v>29.62</v>
      </c>
      <c r="AV303" s="6">
        <v>30.07</v>
      </c>
      <c r="AW303" s="6">
        <v>29.82</v>
      </c>
      <c r="AX303" s="6">
        <v>30.53</v>
      </c>
      <c r="AY303" s="6">
        <v>28.2</v>
      </c>
      <c r="AZ303" s="6">
        <v>30.17</v>
      </c>
      <c r="BA303" s="6">
        <v>30.04</v>
      </c>
      <c r="BB303" s="6">
        <v>30.78</v>
      </c>
      <c r="BC303" s="6">
        <v>29.86</v>
      </c>
      <c r="BD303" s="6">
        <v>28.78</v>
      </c>
      <c r="BE303" s="6">
        <v>30.47</v>
      </c>
      <c r="BF303" s="6">
        <v>30.15</v>
      </c>
      <c r="BG303" s="6">
        <v>26.58</v>
      </c>
      <c r="BH303" s="10">
        <v>26.93</v>
      </c>
      <c r="BI303" s="10"/>
    </row>
    <row r="304" spans="1:61" ht="15.75" customHeight="1" x14ac:dyDescent="0.25">
      <c r="A304" s="1">
        <v>303</v>
      </c>
      <c r="B304" s="1"/>
      <c r="C304" s="1">
        <v>29</v>
      </c>
      <c r="D304" s="6">
        <v>31.23</v>
      </c>
      <c r="E304" s="6">
        <v>30.21</v>
      </c>
      <c r="F304" s="6">
        <v>30.8</v>
      </c>
      <c r="G304" s="6"/>
      <c r="H304" s="6"/>
      <c r="I304" s="6"/>
      <c r="J304" s="9">
        <v>30.7</v>
      </c>
      <c r="K304" s="9">
        <v>30.18</v>
      </c>
      <c r="L304" s="9">
        <v>28.82</v>
      </c>
      <c r="M304" s="9">
        <v>30.41</v>
      </c>
      <c r="N304" s="9">
        <v>30.29</v>
      </c>
      <c r="O304" s="9">
        <v>30.4</v>
      </c>
      <c r="P304" s="9">
        <v>31.88</v>
      </c>
      <c r="Q304" s="9">
        <v>32.24</v>
      </c>
      <c r="R304" s="9">
        <v>31.65</v>
      </c>
      <c r="S304" s="9">
        <v>32.369999999999997</v>
      </c>
      <c r="T304" s="9">
        <v>32.08</v>
      </c>
      <c r="U304" s="9">
        <v>30.59</v>
      </c>
      <c r="V304" s="9">
        <v>32.700000000000003</v>
      </c>
      <c r="W304" s="6">
        <v>31.02</v>
      </c>
      <c r="X304" s="6">
        <v>30.68</v>
      </c>
      <c r="Y304" s="6">
        <v>29.57</v>
      </c>
      <c r="Z304" s="6">
        <v>27.98</v>
      </c>
      <c r="AA304" s="6">
        <v>29.92</v>
      </c>
      <c r="AB304" s="6">
        <v>29.21</v>
      </c>
      <c r="AC304" s="6">
        <v>30.32</v>
      </c>
      <c r="AD304" s="6">
        <v>31.3</v>
      </c>
      <c r="AE304" s="6">
        <v>28.1</v>
      </c>
      <c r="AF304" s="6">
        <v>30.7</v>
      </c>
      <c r="AG304" s="6">
        <v>27.43</v>
      </c>
      <c r="AH304" s="6">
        <v>29.08</v>
      </c>
      <c r="AI304" s="6">
        <v>31.34</v>
      </c>
      <c r="AJ304" s="6">
        <v>30.64</v>
      </c>
      <c r="AK304" s="6">
        <v>28.32</v>
      </c>
      <c r="AL304" s="6">
        <v>28.24</v>
      </c>
      <c r="AM304" s="6">
        <v>30.92</v>
      </c>
      <c r="AN304" s="6">
        <v>30.43</v>
      </c>
      <c r="AO304" s="6">
        <v>28.08</v>
      </c>
      <c r="AP304" s="6">
        <v>29.43</v>
      </c>
      <c r="AQ304" s="6">
        <v>30.72</v>
      </c>
      <c r="AR304" s="6">
        <v>29.51</v>
      </c>
      <c r="AS304" s="6">
        <v>27.88</v>
      </c>
      <c r="AT304" s="6">
        <v>29.11</v>
      </c>
      <c r="AU304" s="6">
        <v>29.65</v>
      </c>
      <c r="AV304" s="6">
        <v>30.05</v>
      </c>
      <c r="AW304" s="6">
        <v>29.69</v>
      </c>
      <c r="AX304" s="6">
        <v>30.5</v>
      </c>
      <c r="AY304" s="6">
        <v>28.13</v>
      </c>
      <c r="AZ304" s="6">
        <v>30.08</v>
      </c>
      <c r="BA304" s="6">
        <v>30</v>
      </c>
      <c r="BB304" s="6">
        <v>30.62</v>
      </c>
      <c r="BC304" s="6">
        <v>29.85</v>
      </c>
      <c r="BD304" s="6">
        <v>28.68</v>
      </c>
      <c r="BE304" s="6">
        <v>30.39</v>
      </c>
      <c r="BF304" s="6">
        <v>30.1</v>
      </c>
      <c r="BG304" s="6">
        <v>26.6</v>
      </c>
      <c r="BH304" s="10">
        <v>26.81</v>
      </c>
      <c r="BI304" s="10"/>
    </row>
    <row r="305" spans="1:61" ht="15.75" customHeight="1" x14ac:dyDescent="0.25">
      <c r="A305" s="1">
        <v>304</v>
      </c>
      <c r="B305" s="1"/>
      <c r="C305" s="1">
        <v>30</v>
      </c>
      <c r="D305" s="6">
        <v>31.12</v>
      </c>
      <c r="E305" s="6">
        <v>30.15</v>
      </c>
      <c r="F305" s="6">
        <v>30.73</v>
      </c>
      <c r="G305" s="6"/>
      <c r="H305" s="6"/>
      <c r="I305" s="6"/>
      <c r="J305" s="9">
        <v>30.6</v>
      </c>
      <c r="K305" s="9">
        <v>30.08</v>
      </c>
      <c r="L305" s="9">
        <v>28.76</v>
      </c>
      <c r="M305" s="9">
        <v>30.39</v>
      </c>
      <c r="N305" s="9">
        <v>30.2</v>
      </c>
      <c r="O305" s="9">
        <v>30.43</v>
      </c>
      <c r="P305" s="9">
        <v>31.82</v>
      </c>
      <c r="Q305" s="9">
        <v>32.15</v>
      </c>
      <c r="R305" s="9">
        <v>31.6</v>
      </c>
      <c r="S305" s="9">
        <v>32.28</v>
      </c>
      <c r="T305" s="9">
        <v>31.92</v>
      </c>
      <c r="U305" s="9">
        <v>30.5</v>
      </c>
      <c r="V305" s="9">
        <v>32.700000000000003</v>
      </c>
      <c r="W305" s="6">
        <v>30.91</v>
      </c>
      <c r="X305" s="6">
        <v>30.63</v>
      </c>
      <c r="Y305" s="6">
        <v>29.51</v>
      </c>
      <c r="Z305" s="6">
        <v>27.92</v>
      </c>
      <c r="AA305" s="6">
        <v>29.78</v>
      </c>
      <c r="AB305" s="6">
        <v>29.12</v>
      </c>
      <c r="AC305" s="6">
        <v>30.26</v>
      </c>
      <c r="AD305" s="6">
        <v>31.25</v>
      </c>
      <c r="AE305" s="6">
        <v>28.1</v>
      </c>
      <c r="AF305" s="6">
        <v>30.65</v>
      </c>
      <c r="AG305" s="6">
        <v>27.42</v>
      </c>
      <c r="AH305" s="6">
        <v>28.95</v>
      </c>
      <c r="AI305" s="6">
        <v>31.28</v>
      </c>
      <c r="AJ305" s="6">
        <v>30.59</v>
      </c>
      <c r="AK305" s="6">
        <v>28.21</v>
      </c>
      <c r="AL305" s="6">
        <v>28.22</v>
      </c>
      <c r="AM305" s="6">
        <v>30.88</v>
      </c>
      <c r="AN305" s="6">
        <v>30.3</v>
      </c>
      <c r="AO305" s="6">
        <v>27.96</v>
      </c>
      <c r="AP305" s="6">
        <v>29.45</v>
      </c>
      <c r="AQ305" s="6">
        <v>30.67</v>
      </c>
      <c r="AR305" s="6">
        <v>29.45</v>
      </c>
      <c r="AS305" s="6">
        <v>27.75</v>
      </c>
      <c r="AT305" s="6">
        <v>29.05</v>
      </c>
      <c r="AU305" s="6">
        <v>29.65</v>
      </c>
      <c r="AV305" s="6">
        <v>30.03</v>
      </c>
      <c r="AW305" s="6">
        <v>29.58</v>
      </c>
      <c r="AX305" s="6">
        <v>30.48</v>
      </c>
      <c r="AY305" s="6">
        <v>28.08</v>
      </c>
      <c r="AZ305" s="6">
        <v>30</v>
      </c>
      <c r="BA305" s="6">
        <v>29.98</v>
      </c>
      <c r="BB305" s="6">
        <v>30.48</v>
      </c>
      <c r="BC305" s="6">
        <v>29.83</v>
      </c>
      <c r="BD305" s="6">
        <v>28.58</v>
      </c>
      <c r="BE305" s="6">
        <v>30.34</v>
      </c>
      <c r="BF305" s="6">
        <v>30.17</v>
      </c>
      <c r="BG305" s="6">
        <v>26.64</v>
      </c>
      <c r="BH305" s="10">
        <v>26.7</v>
      </c>
      <c r="BI305" s="10"/>
    </row>
    <row r="306" spans="1:61" ht="15.75" customHeight="1" x14ac:dyDescent="0.25">
      <c r="A306" s="1">
        <v>305</v>
      </c>
      <c r="B306" s="1"/>
      <c r="C306" s="1">
        <v>31</v>
      </c>
      <c r="D306" s="6">
        <v>31.04</v>
      </c>
      <c r="E306" s="6">
        <v>30.04</v>
      </c>
      <c r="F306" s="6">
        <v>30.68</v>
      </c>
      <c r="G306" s="6"/>
      <c r="H306" s="6"/>
      <c r="I306" s="6"/>
      <c r="J306" s="9">
        <v>30.47</v>
      </c>
      <c r="K306" s="9">
        <v>29.98</v>
      </c>
      <c r="L306" s="9">
        <v>28.69</v>
      </c>
      <c r="M306" s="9">
        <v>30.35</v>
      </c>
      <c r="N306" s="9">
        <v>30.12</v>
      </c>
      <c r="O306" s="9">
        <v>30.45</v>
      </c>
      <c r="P306" s="9">
        <v>31.74</v>
      </c>
      <c r="Q306" s="9">
        <v>32.06</v>
      </c>
      <c r="R306" s="9">
        <v>31.56</v>
      </c>
      <c r="S306" s="9">
        <v>32.229999999999997</v>
      </c>
      <c r="T306" s="9">
        <v>31.93</v>
      </c>
      <c r="U306" s="9">
        <v>30.43</v>
      </c>
      <c r="V306" s="9">
        <v>32.69</v>
      </c>
      <c r="W306" s="6">
        <v>30.83</v>
      </c>
      <c r="X306" s="6">
        <v>30.58</v>
      </c>
      <c r="Y306" s="6">
        <v>29.43</v>
      </c>
      <c r="Z306" s="6">
        <v>27.89</v>
      </c>
      <c r="AA306" s="6">
        <v>29.64</v>
      </c>
      <c r="AB306" s="6">
        <v>28.99</v>
      </c>
      <c r="AC306" s="6">
        <v>30.22</v>
      </c>
      <c r="AD306" s="6">
        <v>31.18</v>
      </c>
      <c r="AE306" s="6">
        <v>28.11</v>
      </c>
      <c r="AF306" s="6">
        <v>30.59</v>
      </c>
      <c r="AG306" s="6">
        <v>27.37</v>
      </c>
      <c r="AH306" s="6">
        <v>28.84</v>
      </c>
      <c r="AI306" s="6">
        <v>31.2</v>
      </c>
      <c r="AJ306" s="6">
        <v>30.52</v>
      </c>
      <c r="AK306" s="6">
        <v>28.11</v>
      </c>
      <c r="AL306" s="6">
        <v>28.19</v>
      </c>
      <c r="AM306" s="6">
        <v>30.84</v>
      </c>
      <c r="AN306" s="6">
        <v>30.2</v>
      </c>
      <c r="AO306" s="6">
        <v>27.9</v>
      </c>
      <c r="AP306" s="6">
        <v>29.47</v>
      </c>
      <c r="AQ306" s="6">
        <v>30.61</v>
      </c>
      <c r="AR306" s="6">
        <v>29.35</v>
      </c>
      <c r="AS306" s="6">
        <v>27.65</v>
      </c>
      <c r="AT306" s="6">
        <v>29</v>
      </c>
      <c r="AU306" s="6">
        <v>29.64</v>
      </c>
      <c r="AV306" s="6">
        <v>30</v>
      </c>
      <c r="AW306" s="6">
        <v>29.48</v>
      </c>
      <c r="AX306" s="6">
        <v>30.49</v>
      </c>
      <c r="AY306" s="6">
        <v>28</v>
      </c>
      <c r="AZ306" s="6">
        <v>29.89</v>
      </c>
      <c r="BA306" s="6">
        <v>29.92</v>
      </c>
      <c r="BB306" s="6">
        <v>30.36</v>
      </c>
      <c r="BC306" s="6">
        <v>29.82</v>
      </c>
      <c r="BD306" s="6">
        <v>28.48</v>
      </c>
      <c r="BE306" s="6">
        <v>30.28</v>
      </c>
      <c r="BF306" s="6">
        <v>30.17</v>
      </c>
      <c r="BG306" s="6">
        <v>26.66</v>
      </c>
      <c r="BH306" s="10">
        <v>26.59</v>
      </c>
      <c r="BI306" s="10"/>
    </row>
    <row r="307" spans="1:61" ht="15.75" customHeight="1" x14ac:dyDescent="0.25">
      <c r="A307" s="1">
        <v>306</v>
      </c>
      <c r="B307" s="1" t="s">
        <v>14</v>
      </c>
      <c r="C307" s="1">
        <v>1</v>
      </c>
      <c r="D307" s="6">
        <v>31.03</v>
      </c>
      <c r="E307" s="6">
        <v>29.97</v>
      </c>
      <c r="F307" s="6">
        <v>30.62</v>
      </c>
      <c r="G307" s="6"/>
      <c r="H307" s="6"/>
      <c r="I307" s="6"/>
      <c r="J307" s="9">
        <v>30.34</v>
      </c>
      <c r="K307" s="9">
        <v>29.98</v>
      </c>
      <c r="L307" s="9">
        <v>28.7</v>
      </c>
      <c r="M307" s="9">
        <v>30.32</v>
      </c>
      <c r="N307" s="9">
        <v>30.07</v>
      </c>
      <c r="O307" s="9">
        <v>30.47</v>
      </c>
      <c r="P307" s="9">
        <v>31.66</v>
      </c>
      <c r="Q307" s="9">
        <v>31.99</v>
      </c>
      <c r="R307" s="9">
        <v>31.53</v>
      </c>
      <c r="S307" s="9">
        <v>32.22</v>
      </c>
      <c r="T307" s="9">
        <v>31.8</v>
      </c>
      <c r="U307" s="9">
        <v>30.39</v>
      </c>
      <c r="V307" s="9">
        <v>32.68</v>
      </c>
      <c r="W307" s="6">
        <v>30.77</v>
      </c>
      <c r="X307" s="6">
        <v>30.55</v>
      </c>
      <c r="Y307" s="6">
        <v>29.35</v>
      </c>
      <c r="Z307" s="6">
        <v>27.94</v>
      </c>
      <c r="AA307" s="6">
        <v>29.53</v>
      </c>
      <c r="AB307" s="6">
        <v>28.9</v>
      </c>
      <c r="AC307" s="6">
        <v>30.07</v>
      </c>
      <c r="AD307" s="6">
        <v>31.11</v>
      </c>
      <c r="AE307" s="6">
        <v>28.08</v>
      </c>
      <c r="AF307" s="6">
        <v>30.53</v>
      </c>
      <c r="AG307" s="6">
        <v>27.3</v>
      </c>
      <c r="AH307" s="6">
        <v>28.75</v>
      </c>
      <c r="AI307" s="6">
        <v>31.14</v>
      </c>
      <c r="AJ307" s="6">
        <v>30.42</v>
      </c>
      <c r="AK307" s="6">
        <v>28.02</v>
      </c>
      <c r="AL307" s="6">
        <v>28.16</v>
      </c>
      <c r="AM307" s="6">
        <v>30.8</v>
      </c>
      <c r="AN307" s="6">
        <v>30.1</v>
      </c>
      <c r="AO307" s="6">
        <v>27.82</v>
      </c>
      <c r="AP307" s="6">
        <v>29.48</v>
      </c>
      <c r="AQ307" s="6">
        <v>30.58</v>
      </c>
      <c r="AR307" s="6">
        <v>29.28</v>
      </c>
      <c r="AS307" s="6">
        <v>27.58</v>
      </c>
      <c r="AT307" s="6">
        <v>28.91</v>
      </c>
      <c r="AU307" s="6">
        <v>29.62</v>
      </c>
      <c r="AV307" s="6">
        <v>29.95</v>
      </c>
      <c r="AW307" s="6">
        <v>29.37</v>
      </c>
      <c r="AX307" s="6">
        <v>30.43</v>
      </c>
      <c r="AY307" s="6">
        <v>27.96</v>
      </c>
      <c r="AZ307" s="6">
        <v>29.78</v>
      </c>
      <c r="BA307" s="6">
        <v>29.92</v>
      </c>
      <c r="BB307" s="6">
        <v>30.25</v>
      </c>
      <c r="BC307" s="6">
        <v>29.82</v>
      </c>
      <c r="BD307" s="6">
        <v>28.38</v>
      </c>
      <c r="BE307" s="6">
        <v>30.22</v>
      </c>
      <c r="BF307" s="6">
        <v>30.2</v>
      </c>
      <c r="BG307" s="6">
        <v>26.66</v>
      </c>
      <c r="BH307" s="10">
        <v>26.5</v>
      </c>
      <c r="BI307" s="10"/>
    </row>
    <row r="308" spans="1:61" ht="15.75" customHeight="1" x14ac:dyDescent="0.25">
      <c r="A308" s="1">
        <v>307</v>
      </c>
      <c r="B308" s="1"/>
      <c r="C308" s="1">
        <v>2</v>
      </c>
      <c r="D308" s="6">
        <v>30.84</v>
      </c>
      <c r="E308" s="6">
        <v>30</v>
      </c>
      <c r="F308" s="6">
        <v>30.54</v>
      </c>
      <c r="G308" s="6"/>
      <c r="H308" s="6"/>
      <c r="I308" s="6"/>
      <c r="J308" s="9">
        <v>30.26</v>
      </c>
      <c r="K308" s="9">
        <v>29.88</v>
      </c>
      <c r="L308" s="9">
        <v>28.69</v>
      </c>
      <c r="M308" s="9">
        <v>30.28</v>
      </c>
      <c r="N308" s="9">
        <v>30</v>
      </c>
      <c r="O308" s="9">
        <v>30.48</v>
      </c>
      <c r="P308" s="9">
        <v>31.57</v>
      </c>
      <c r="Q308" s="9">
        <v>31.95</v>
      </c>
      <c r="R308" s="9">
        <v>31.49</v>
      </c>
      <c r="S308" s="9">
        <v>32.18</v>
      </c>
      <c r="T308" s="9">
        <v>31.68</v>
      </c>
      <c r="U308" s="9">
        <v>30.34</v>
      </c>
      <c r="V308" s="9">
        <v>32.67</v>
      </c>
      <c r="W308" s="6">
        <v>30.7</v>
      </c>
      <c r="X308" s="6">
        <v>30.49</v>
      </c>
      <c r="Y308" s="6">
        <v>29.24</v>
      </c>
      <c r="Z308" s="6">
        <v>27.95</v>
      </c>
      <c r="AA308" s="6">
        <v>29.42</v>
      </c>
      <c r="AB308" s="6">
        <v>28.85</v>
      </c>
      <c r="AC308" s="6">
        <v>30.02</v>
      </c>
      <c r="AD308" s="6">
        <v>31.04</v>
      </c>
      <c r="AE308" s="6">
        <v>28.05</v>
      </c>
      <c r="AF308" s="6">
        <v>30.46</v>
      </c>
      <c r="AG308" s="6">
        <v>27.21</v>
      </c>
      <c r="AH308" s="6">
        <v>28.64</v>
      </c>
      <c r="AI308" s="6">
        <v>31.06</v>
      </c>
      <c r="AJ308" s="6">
        <v>30.35</v>
      </c>
      <c r="AK308" s="6">
        <v>27.92</v>
      </c>
      <c r="AL308" s="6">
        <v>28.15</v>
      </c>
      <c r="AM308" s="6">
        <v>30.74</v>
      </c>
      <c r="AN308" s="6">
        <v>29.96</v>
      </c>
      <c r="AO308" s="6">
        <v>27.78</v>
      </c>
      <c r="AP308" s="6">
        <v>29.5</v>
      </c>
      <c r="AQ308" s="6">
        <v>30.54</v>
      </c>
      <c r="AR308" s="6">
        <v>29.22</v>
      </c>
      <c r="AS308" s="6">
        <v>27.54</v>
      </c>
      <c r="AT308" s="6">
        <v>28.8</v>
      </c>
      <c r="AU308" s="6">
        <v>29.6</v>
      </c>
      <c r="AV308" s="6">
        <v>29.89</v>
      </c>
      <c r="AW308" s="6">
        <v>29.14</v>
      </c>
      <c r="AX308" s="6">
        <v>30.45</v>
      </c>
      <c r="AY308" s="6">
        <v>27.88</v>
      </c>
      <c r="AZ308" s="6">
        <v>29.66</v>
      </c>
      <c r="BA308" s="6">
        <v>29.9</v>
      </c>
      <c r="BB308" s="6">
        <v>30.14</v>
      </c>
      <c r="BC308" s="6">
        <v>29.8</v>
      </c>
      <c r="BD308" s="6">
        <v>28.36</v>
      </c>
      <c r="BE308" s="6">
        <v>30.18</v>
      </c>
      <c r="BF308" s="6">
        <v>30.2</v>
      </c>
      <c r="BG308" s="6">
        <v>26.65</v>
      </c>
      <c r="BH308" s="10">
        <v>26.4</v>
      </c>
      <c r="BI308" s="10"/>
    </row>
    <row r="309" spans="1:61" ht="15.75" customHeight="1" x14ac:dyDescent="0.25">
      <c r="A309" s="1">
        <v>308</v>
      </c>
      <c r="B309" s="1"/>
      <c r="C309" s="1">
        <v>3</v>
      </c>
      <c r="D309" s="6">
        <v>30.7</v>
      </c>
      <c r="E309" s="6">
        <v>30.03</v>
      </c>
      <c r="F309" s="6">
        <v>30.46</v>
      </c>
      <c r="G309" s="6"/>
      <c r="H309" s="6"/>
      <c r="I309" s="6"/>
      <c r="J309" s="9">
        <v>30.15</v>
      </c>
      <c r="K309" s="9">
        <v>29.78</v>
      </c>
      <c r="L309" s="9">
        <v>28.66</v>
      </c>
      <c r="M309" s="9">
        <v>30.22</v>
      </c>
      <c r="N309" s="9">
        <v>29.96</v>
      </c>
      <c r="O309" s="9">
        <v>30.48</v>
      </c>
      <c r="P309" s="9">
        <v>31.51</v>
      </c>
      <c r="Q309" s="9">
        <v>31.87</v>
      </c>
      <c r="R309" s="9">
        <v>31.46</v>
      </c>
      <c r="S309" s="9">
        <v>32.130000000000003</v>
      </c>
      <c r="T309" s="9">
        <v>31.54</v>
      </c>
      <c r="U309" s="9">
        <v>30.28</v>
      </c>
      <c r="V309" s="9">
        <v>32.659999999999997</v>
      </c>
      <c r="W309" s="6">
        <v>30.63</v>
      </c>
      <c r="X309" s="6">
        <v>30.41</v>
      </c>
      <c r="Y309" s="6">
        <v>29.2</v>
      </c>
      <c r="Z309" s="6">
        <v>27.95</v>
      </c>
      <c r="AA309" s="6">
        <v>29.32</v>
      </c>
      <c r="AB309" s="6">
        <v>28.7</v>
      </c>
      <c r="AC309" s="6">
        <v>29.95</v>
      </c>
      <c r="AD309" s="6">
        <v>30.9</v>
      </c>
      <c r="AE309" s="6">
        <v>28.04</v>
      </c>
      <c r="AF309" s="6">
        <v>30.4</v>
      </c>
      <c r="AG309" s="6">
        <v>27.1</v>
      </c>
      <c r="AH309" s="6">
        <v>28.57</v>
      </c>
      <c r="AI309" s="6">
        <v>30.98</v>
      </c>
      <c r="AJ309" s="6">
        <v>30.24</v>
      </c>
      <c r="AK309" s="6">
        <v>27.83</v>
      </c>
      <c r="AL309" s="6">
        <v>28.15</v>
      </c>
      <c r="AM309" s="6">
        <v>30.66</v>
      </c>
      <c r="AN309" s="6">
        <v>29.84</v>
      </c>
      <c r="AO309" s="6">
        <v>27.76</v>
      </c>
      <c r="AP309" s="6">
        <v>29.51</v>
      </c>
      <c r="AQ309" s="6">
        <v>30.47</v>
      </c>
      <c r="AR309" s="6">
        <v>29.18</v>
      </c>
      <c r="AS309" s="6">
        <v>27.53</v>
      </c>
      <c r="AT309" s="6">
        <v>28.69</v>
      </c>
      <c r="AU309" s="6">
        <v>29.57</v>
      </c>
      <c r="AV309" s="6">
        <v>29.8</v>
      </c>
      <c r="AW309" s="6">
        <v>28.97</v>
      </c>
      <c r="AX309" s="6">
        <v>30.43</v>
      </c>
      <c r="AY309" s="6">
        <v>27.79</v>
      </c>
      <c r="AZ309" s="6">
        <v>29.58</v>
      </c>
      <c r="BA309" s="6">
        <v>29.88</v>
      </c>
      <c r="BB309" s="6">
        <v>30.03</v>
      </c>
      <c r="BC309" s="6">
        <v>29.78</v>
      </c>
      <c r="BD309" s="6">
        <v>28.36</v>
      </c>
      <c r="BE309" s="6">
        <v>30.16</v>
      </c>
      <c r="BF309" s="6">
        <v>30.2</v>
      </c>
      <c r="BG309" s="6">
        <v>26.63</v>
      </c>
      <c r="BH309" s="10">
        <v>26.4</v>
      </c>
      <c r="BI309" s="10"/>
    </row>
    <row r="310" spans="1:61" ht="15.75" customHeight="1" x14ac:dyDescent="0.25">
      <c r="A310" s="1">
        <v>309</v>
      </c>
      <c r="B310" s="1"/>
      <c r="C310" s="1">
        <v>4</v>
      </c>
      <c r="D310" s="6">
        <v>30.61</v>
      </c>
      <c r="E310" s="6">
        <v>30.04</v>
      </c>
      <c r="F310" s="6">
        <v>30.39</v>
      </c>
      <c r="G310" s="6"/>
      <c r="H310" s="6"/>
      <c r="I310" s="6"/>
      <c r="J310" s="9">
        <v>30.04</v>
      </c>
      <c r="K310" s="9">
        <v>29.68</v>
      </c>
      <c r="L310" s="9">
        <v>28.57</v>
      </c>
      <c r="M310" s="9">
        <v>30.14</v>
      </c>
      <c r="N310" s="9">
        <v>29.88</v>
      </c>
      <c r="O310" s="9">
        <v>30.48</v>
      </c>
      <c r="P310" s="9">
        <v>31.43</v>
      </c>
      <c r="Q310" s="9">
        <v>31.76</v>
      </c>
      <c r="R310" s="9">
        <v>31.45</v>
      </c>
      <c r="S310" s="9">
        <v>32.1</v>
      </c>
      <c r="T310" s="9">
        <v>31.39</v>
      </c>
      <c r="U310" s="9">
        <v>30.19</v>
      </c>
      <c r="V310" s="9">
        <v>32.65</v>
      </c>
      <c r="W310" s="6">
        <v>30.56</v>
      </c>
      <c r="X310" s="6">
        <v>30.35</v>
      </c>
      <c r="Y310" s="6">
        <v>29.14</v>
      </c>
      <c r="Z310" s="6">
        <v>27.94</v>
      </c>
      <c r="AA310" s="6">
        <v>29.24</v>
      </c>
      <c r="AB310" s="6">
        <v>28.48</v>
      </c>
      <c r="AC310" s="6">
        <v>29.89</v>
      </c>
      <c r="AD310" s="6">
        <v>30.79</v>
      </c>
      <c r="AE310" s="6">
        <v>28.03</v>
      </c>
      <c r="AF310" s="6">
        <v>30.3</v>
      </c>
      <c r="AG310" s="6">
        <v>26.98</v>
      </c>
      <c r="AH310" s="6">
        <v>28.51</v>
      </c>
      <c r="AI310" s="6">
        <v>30.93</v>
      </c>
      <c r="AJ310" s="6">
        <v>30.15</v>
      </c>
      <c r="AK310" s="6">
        <v>27.74</v>
      </c>
      <c r="AL310" s="6">
        <v>28.19</v>
      </c>
      <c r="AM310" s="6">
        <v>30.66</v>
      </c>
      <c r="AN310" s="6">
        <v>29.73</v>
      </c>
      <c r="AO310" s="6">
        <v>27.76</v>
      </c>
      <c r="AP310" s="6">
        <v>29.51</v>
      </c>
      <c r="AQ310" s="6">
        <v>30.43</v>
      </c>
      <c r="AR310" s="6">
        <v>29.14</v>
      </c>
      <c r="AS310" s="6">
        <v>27.43</v>
      </c>
      <c r="AT310" s="6">
        <v>28.57</v>
      </c>
      <c r="AU310" s="6">
        <v>29.54</v>
      </c>
      <c r="AV310" s="6">
        <v>29.71</v>
      </c>
      <c r="AW310" s="6">
        <v>28.86</v>
      </c>
      <c r="AX310" s="6">
        <v>30.42</v>
      </c>
      <c r="AY310" s="6">
        <v>27.73</v>
      </c>
      <c r="AZ310" s="6">
        <v>29.51</v>
      </c>
      <c r="BA310" s="6">
        <v>29.8</v>
      </c>
      <c r="BB310" s="6">
        <v>29.94</v>
      </c>
      <c r="BC310" s="6">
        <v>29.76</v>
      </c>
      <c r="BD310" s="6">
        <v>28.35</v>
      </c>
      <c r="BE310" s="6">
        <v>30.12</v>
      </c>
      <c r="BF310" s="6">
        <v>30.22</v>
      </c>
      <c r="BG310" s="6">
        <v>26.62</v>
      </c>
      <c r="BH310" s="10">
        <v>26.3</v>
      </c>
      <c r="BI310" s="10"/>
    </row>
    <row r="311" spans="1:61" ht="15.75" customHeight="1" x14ac:dyDescent="0.25">
      <c r="A311" s="1">
        <v>310</v>
      </c>
      <c r="B311" s="1"/>
      <c r="C311" s="1">
        <v>5</v>
      </c>
      <c r="D311" s="6">
        <v>30.51</v>
      </c>
      <c r="E311" s="6">
        <v>30.06</v>
      </c>
      <c r="F311" s="6">
        <v>30.44</v>
      </c>
      <c r="G311" s="6"/>
      <c r="H311" s="6"/>
      <c r="I311" s="6"/>
      <c r="J311" s="9">
        <v>29.94</v>
      </c>
      <c r="K311" s="9">
        <v>29.58</v>
      </c>
      <c r="L311" s="9">
        <v>28.45</v>
      </c>
      <c r="M311" s="9">
        <v>30.08</v>
      </c>
      <c r="N311" s="9">
        <v>29.84</v>
      </c>
      <c r="O311" s="9">
        <v>30.46</v>
      </c>
      <c r="P311" s="9">
        <v>31.36</v>
      </c>
      <c r="Q311" s="9">
        <v>31.62</v>
      </c>
      <c r="R311" s="9">
        <v>31.4</v>
      </c>
      <c r="S311" s="9">
        <v>32.07</v>
      </c>
      <c r="T311" s="9">
        <v>31.24</v>
      </c>
      <c r="U311" s="9">
        <v>30.13</v>
      </c>
      <c r="V311" s="9">
        <v>32.64</v>
      </c>
      <c r="W311" s="6">
        <v>30.48</v>
      </c>
      <c r="X311" s="6">
        <v>30.25</v>
      </c>
      <c r="Y311" s="6">
        <v>29.07</v>
      </c>
      <c r="Z311" s="6">
        <v>27.89</v>
      </c>
      <c r="AA311" s="6">
        <v>29.16</v>
      </c>
      <c r="AB311" s="6">
        <v>28.32</v>
      </c>
      <c r="AC311" s="6">
        <v>29.84</v>
      </c>
      <c r="AD311" s="6">
        <v>30.63</v>
      </c>
      <c r="AE311" s="6">
        <v>28.07</v>
      </c>
      <c r="AF311" s="6">
        <v>30.22</v>
      </c>
      <c r="AG311" s="6">
        <v>26.88</v>
      </c>
      <c r="AH311" s="6">
        <v>28.48</v>
      </c>
      <c r="AI311" s="6">
        <v>30.82</v>
      </c>
      <c r="AJ311" s="6">
        <v>30.1</v>
      </c>
      <c r="AK311" s="6">
        <v>27.68</v>
      </c>
      <c r="AL311" s="6">
        <v>28.24</v>
      </c>
      <c r="AM311" s="6">
        <v>30.61</v>
      </c>
      <c r="AN311" s="6">
        <v>29.62</v>
      </c>
      <c r="AO311" s="6">
        <v>27.8</v>
      </c>
      <c r="AP311" s="6">
        <v>29.5</v>
      </c>
      <c r="AQ311" s="6">
        <v>30.36</v>
      </c>
      <c r="AR311" s="6">
        <v>29.12</v>
      </c>
      <c r="AS311" s="6">
        <v>27.3</v>
      </c>
      <c r="AT311" s="6">
        <v>28.49</v>
      </c>
      <c r="AU311" s="6">
        <v>29.49</v>
      </c>
      <c r="AV311" s="6">
        <v>29.61</v>
      </c>
      <c r="AW311" s="6">
        <v>28.76</v>
      </c>
      <c r="AX311" s="6">
        <v>30.4</v>
      </c>
      <c r="AY311" s="6">
        <v>27.67</v>
      </c>
      <c r="AZ311" s="6">
        <v>29.45</v>
      </c>
      <c r="BA311" s="6">
        <v>29.72</v>
      </c>
      <c r="BB311" s="6">
        <v>29.86</v>
      </c>
      <c r="BC311" s="6">
        <v>29.7</v>
      </c>
      <c r="BD311" s="6">
        <v>28.34</v>
      </c>
      <c r="BE311" s="6">
        <v>30.09</v>
      </c>
      <c r="BF311" s="6">
        <v>30.21</v>
      </c>
      <c r="BG311" s="6">
        <v>26.65</v>
      </c>
      <c r="BH311" s="10">
        <v>26.28</v>
      </c>
      <c r="BI311" s="10"/>
    </row>
    <row r="312" spans="1:61" ht="15.75" customHeight="1" x14ac:dyDescent="0.25">
      <c r="A312" s="1">
        <v>311</v>
      </c>
      <c r="B312" s="1"/>
      <c r="C312" s="1">
        <v>6</v>
      </c>
      <c r="D312" s="6">
        <v>30.43</v>
      </c>
      <c r="E312" s="6">
        <v>29.88</v>
      </c>
      <c r="F312" s="6">
        <v>30.29</v>
      </c>
      <c r="G312" s="6"/>
      <c r="H312" s="6"/>
      <c r="I312" s="6"/>
      <c r="J312" s="9">
        <v>29.8</v>
      </c>
      <c r="K312" s="9">
        <v>29.53</v>
      </c>
      <c r="L312" s="9">
        <v>28.32</v>
      </c>
      <c r="M312" s="9">
        <v>30.02</v>
      </c>
      <c r="N312" s="9">
        <v>29.77</v>
      </c>
      <c r="O312" s="9">
        <v>30.43</v>
      </c>
      <c r="P312" s="9">
        <v>31.27</v>
      </c>
      <c r="Q312" s="9">
        <v>31.45</v>
      </c>
      <c r="R312" s="9">
        <v>31.35</v>
      </c>
      <c r="S312" s="9">
        <v>32.03</v>
      </c>
      <c r="T312" s="9">
        <v>31.02</v>
      </c>
      <c r="U312" s="9">
        <v>30.06</v>
      </c>
      <c r="V312" s="9">
        <v>32.619999999999997</v>
      </c>
      <c r="W312" s="6">
        <v>30.44</v>
      </c>
      <c r="X312" s="6">
        <v>30.18</v>
      </c>
      <c r="Y312" s="6">
        <v>29.01</v>
      </c>
      <c r="Z312" s="6">
        <v>27.84</v>
      </c>
      <c r="AA312" s="6">
        <v>29.08</v>
      </c>
      <c r="AB312" s="6">
        <v>28.18</v>
      </c>
      <c r="AC312" s="6">
        <v>29.81</v>
      </c>
      <c r="AD312" s="6">
        <v>30.48</v>
      </c>
      <c r="AE312" s="6">
        <v>28.08</v>
      </c>
      <c r="AF312" s="6">
        <v>30.11</v>
      </c>
      <c r="AG312" s="6">
        <v>26.75</v>
      </c>
      <c r="AH312" s="6">
        <v>28.5</v>
      </c>
      <c r="AI312" s="6">
        <v>30.7</v>
      </c>
      <c r="AJ312" s="6">
        <v>29.94</v>
      </c>
      <c r="AK312" s="6">
        <v>27.64</v>
      </c>
      <c r="AL312" s="6">
        <v>28.28</v>
      </c>
      <c r="AM312" s="6">
        <v>30.58</v>
      </c>
      <c r="AN312" s="6">
        <v>29.49</v>
      </c>
      <c r="AO312" s="6">
        <v>27.86</v>
      </c>
      <c r="AP312" s="6">
        <v>29.48</v>
      </c>
      <c r="AQ312" s="6">
        <v>30.3</v>
      </c>
      <c r="AR312" s="6">
        <v>29.11</v>
      </c>
      <c r="AS312" s="6">
        <v>27.15</v>
      </c>
      <c r="AT312" s="6">
        <v>28.4</v>
      </c>
      <c r="AU312" s="6">
        <v>29.44</v>
      </c>
      <c r="AV312" s="6">
        <v>29.5</v>
      </c>
      <c r="AW312" s="6">
        <v>28.67</v>
      </c>
      <c r="AX312" s="6">
        <v>30.38</v>
      </c>
      <c r="AY312" s="6">
        <v>27.61</v>
      </c>
      <c r="AZ312" s="6">
        <v>29.45</v>
      </c>
      <c r="BA312" s="6">
        <v>29.66</v>
      </c>
      <c r="BB312" s="6">
        <v>29.78</v>
      </c>
      <c r="BC312" s="6">
        <v>29.61</v>
      </c>
      <c r="BD312" s="6">
        <v>28.34</v>
      </c>
      <c r="BE312" s="6">
        <v>30.06</v>
      </c>
      <c r="BF312" s="6">
        <v>30.2</v>
      </c>
      <c r="BG312" s="6">
        <v>26.64</v>
      </c>
      <c r="BH312" s="10">
        <v>26.32</v>
      </c>
      <c r="BI312" s="10"/>
    </row>
    <row r="313" spans="1:61" ht="15.75" customHeight="1" x14ac:dyDescent="0.25">
      <c r="A313" s="1">
        <v>312</v>
      </c>
      <c r="B313" s="1"/>
      <c r="C313" s="1">
        <v>7</v>
      </c>
      <c r="D313" s="6">
        <v>30.36</v>
      </c>
      <c r="E313" s="6">
        <v>29.82</v>
      </c>
      <c r="F313" s="6">
        <v>30.22</v>
      </c>
      <c r="G313" s="6"/>
      <c r="H313" s="6"/>
      <c r="I313" s="6"/>
      <c r="J313" s="9">
        <v>29.67</v>
      </c>
      <c r="K313" s="9">
        <v>29.48</v>
      </c>
      <c r="L313" s="9">
        <v>28.16</v>
      </c>
      <c r="M313" s="9">
        <v>30.02</v>
      </c>
      <c r="N313" s="9">
        <v>29.68</v>
      </c>
      <c r="O313" s="9">
        <v>30.39</v>
      </c>
      <c r="P313" s="9">
        <v>31.18</v>
      </c>
      <c r="Q313" s="9">
        <v>31.34</v>
      </c>
      <c r="R313" s="9">
        <v>31.29</v>
      </c>
      <c r="S313" s="9">
        <v>31.99</v>
      </c>
      <c r="T313" s="9">
        <v>30.98</v>
      </c>
      <c r="U313" s="9">
        <v>29.95</v>
      </c>
      <c r="V313" s="9">
        <v>32.61</v>
      </c>
      <c r="W313" s="6">
        <v>30.37</v>
      </c>
      <c r="X313" s="6">
        <v>30.13</v>
      </c>
      <c r="Y313" s="6">
        <v>28.98</v>
      </c>
      <c r="Z313" s="6">
        <v>27.78</v>
      </c>
      <c r="AA313" s="6">
        <v>29</v>
      </c>
      <c r="AB313" s="6">
        <v>28.04</v>
      </c>
      <c r="AC313" s="6">
        <v>29.79</v>
      </c>
      <c r="AD313" s="6">
        <v>30.34</v>
      </c>
      <c r="AE313" s="6">
        <v>28.07</v>
      </c>
      <c r="AF313" s="6">
        <v>30.04</v>
      </c>
      <c r="AG313" s="6">
        <v>26.65</v>
      </c>
      <c r="AH313" s="6">
        <v>28.55</v>
      </c>
      <c r="AI313" s="6">
        <v>30.56</v>
      </c>
      <c r="AJ313" s="6">
        <v>29.83</v>
      </c>
      <c r="AK313" s="6">
        <v>27.59</v>
      </c>
      <c r="AL313" s="6">
        <v>28.31</v>
      </c>
      <c r="AM313" s="6">
        <v>30.56</v>
      </c>
      <c r="AN313" s="6">
        <v>29.39</v>
      </c>
      <c r="AO313" s="6">
        <v>27.93</v>
      </c>
      <c r="AP313" s="6">
        <v>29.45</v>
      </c>
      <c r="AQ313" s="6">
        <v>30.22</v>
      </c>
      <c r="AR313" s="6">
        <v>29.09</v>
      </c>
      <c r="AS313" s="6">
        <v>26.96</v>
      </c>
      <c r="AT313" s="6">
        <v>28.29</v>
      </c>
      <c r="AU313" s="6">
        <v>29.38</v>
      </c>
      <c r="AV313" s="6">
        <v>29.38</v>
      </c>
      <c r="AW313" s="6">
        <v>28.62</v>
      </c>
      <c r="AX313" s="6">
        <v>30.36</v>
      </c>
      <c r="AY313" s="6">
        <v>27.57</v>
      </c>
      <c r="AZ313" s="6">
        <v>29.41</v>
      </c>
      <c r="BA313" s="6">
        <v>29.62</v>
      </c>
      <c r="BB313" s="6">
        <v>29.68</v>
      </c>
      <c r="BC313" s="6">
        <v>29.55</v>
      </c>
      <c r="BD313" s="6">
        <v>28.38</v>
      </c>
      <c r="BE313" s="6">
        <v>30.02</v>
      </c>
      <c r="BF313" s="6">
        <v>30.18</v>
      </c>
      <c r="BG313" s="6">
        <v>26.63</v>
      </c>
      <c r="BH313" s="10">
        <v>26.32</v>
      </c>
      <c r="BI313" s="10"/>
    </row>
    <row r="314" spans="1:61" ht="15.75" customHeight="1" x14ac:dyDescent="0.25">
      <c r="A314" s="1">
        <v>313</v>
      </c>
      <c r="B314" s="1"/>
      <c r="C314" s="1">
        <v>8</v>
      </c>
      <c r="D314" s="6">
        <v>30.26</v>
      </c>
      <c r="E314" s="6">
        <v>29.79</v>
      </c>
      <c r="F314" s="6">
        <v>30.18</v>
      </c>
      <c r="G314" s="6"/>
      <c r="H314" s="6"/>
      <c r="I314" s="6"/>
      <c r="J314" s="9">
        <v>29.52</v>
      </c>
      <c r="K314" s="9">
        <v>29.43</v>
      </c>
      <c r="L314" s="9">
        <v>27.99</v>
      </c>
      <c r="M314" s="9">
        <v>29.97</v>
      </c>
      <c r="N314" s="9">
        <v>29.59</v>
      </c>
      <c r="O314" s="9">
        <v>30.33</v>
      </c>
      <c r="P314" s="9">
        <v>31.08</v>
      </c>
      <c r="Q314" s="9">
        <v>31.15</v>
      </c>
      <c r="R314" s="9">
        <v>31.2</v>
      </c>
      <c r="S314" s="9">
        <v>31.95</v>
      </c>
      <c r="T314" s="9">
        <v>30.87</v>
      </c>
      <c r="U314" s="9">
        <v>29.9</v>
      </c>
      <c r="V314" s="9">
        <v>32.58</v>
      </c>
      <c r="W314" s="6">
        <v>30.3</v>
      </c>
      <c r="X314" s="6">
        <v>30.07</v>
      </c>
      <c r="Y314" s="6">
        <v>28.93</v>
      </c>
      <c r="Z314" s="6">
        <v>27.72</v>
      </c>
      <c r="AA314" s="6">
        <v>28.9</v>
      </c>
      <c r="AB314" s="6">
        <v>27.87</v>
      </c>
      <c r="AC314" s="6">
        <v>29.79</v>
      </c>
      <c r="AD314" s="6">
        <v>30.21</v>
      </c>
      <c r="AE314" s="6">
        <v>28.08</v>
      </c>
      <c r="AF314" s="6">
        <v>29.93</v>
      </c>
      <c r="AG314" s="6">
        <v>26.55</v>
      </c>
      <c r="AH314" s="6">
        <v>28.6</v>
      </c>
      <c r="AI314" s="6">
        <v>30.42</v>
      </c>
      <c r="AJ314" s="6">
        <v>29.73</v>
      </c>
      <c r="AK314" s="6">
        <v>27.53</v>
      </c>
      <c r="AL314" s="6">
        <v>28.37</v>
      </c>
      <c r="AM314" s="6">
        <v>30.51</v>
      </c>
      <c r="AN314" s="6">
        <v>29.29</v>
      </c>
      <c r="AO314" s="6">
        <v>27.99</v>
      </c>
      <c r="AP314" s="6">
        <v>29.37</v>
      </c>
      <c r="AQ314" s="6">
        <v>30.13</v>
      </c>
      <c r="AR314" s="6">
        <v>29.07</v>
      </c>
      <c r="AS314" s="6">
        <v>26.85</v>
      </c>
      <c r="AT314" s="6">
        <v>28.19</v>
      </c>
      <c r="AU314" s="6">
        <v>29.3</v>
      </c>
      <c r="AV314" s="6">
        <v>29.25</v>
      </c>
      <c r="AW314" s="6">
        <v>28.58</v>
      </c>
      <c r="AX314" s="6">
        <v>30.3</v>
      </c>
      <c r="AY314" s="6">
        <v>27.5</v>
      </c>
      <c r="AZ314" s="6">
        <v>29.39</v>
      </c>
      <c r="BA314" s="6">
        <v>29.6</v>
      </c>
      <c r="BB314" s="6">
        <v>29.58</v>
      </c>
      <c r="BC314" s="6">
        <v>29.44</v>
      </c>
      <c r="BD314" s="6">
        <v>28.42</v>
      </c>
      <c r="BE314" s="6">
        <v>29.96</v>
      </c>
      <c r="BF314" s="6">
        <v>30.14</v>
      </c>
      <c r="BG314" s="6">
        <v>26.6</v>
      </c>
      <c r="BH314" s="10">
        <v>26.26</v>
      </c>
      <c r="BI314" s="10"/>
    </row>
    <row r="315" spans="1:61" ht="15.75" customHeight="1" x14ac:dyDescent="0.25">
      <c r="A315" s="1">
        <v>314</v>
      </c>
      <c r="B315" s="1"/>
      <c r="C315" s="1">
        <v>9</v>
      </c>
      <c r="D315" s="6">
        <v>30.12</v>
      </c>
      <c r="E315" s="6">
        <v>29.75</v>
      </c>
      <c r="F315" s="6">
        <v>30.11</v>
      </c>
      <c r="G315" s="6"/>
      <c r="H315" s="6"/>
      <c r="I315" s="6"/>
      <c r="J315" s="9">
        <v>29.31</v>
      </c>
      <c r="K315" s="9">
        <v>29.38</v>
      </c>
      <c r="L315" s="9">
        <v>27.86</v>
      </c>
      <c r="M315" s="9">
        <v>29.93</v>
      </c>
      <c r="N315" s="9">
        <v>29.48</v>
      </c>
      <c r="O315" s="9">
        <v>30.27</v>
      </c>
      <c r="P315" s="9">
        <v>30.91</v>
      </c>
      <c r="Q315" s="9">
        <v>31</v>
      </c>
      <c r="R315" s="9">
        <v>31.06</v>
      </c>
      <c r="S315" s="9">
        <v>31.91</v>
      </c>
      <c r="T315" s="9">
        <v>30.81</v>
      </c>
      <c r="U315" s="9">
        <v>29.8</v>
      </c>
      <c r="V315" s="9">
        <v>32.54</v>
      </c>
      <c r="W315" s="6">
        <v>30.21</v>
      </c>
      <c r="X315" s="6">
        <v>30.03</v>
      </c>
      <c r="Y315" s="6">
        <v>28.88</v>
      </c>
      <c r="Z315" s="6">
        <v>27.69</v>
      </c>
      <c r="AA315" s="6">
        <v>28.8</v>
      </c>
      <c r="AB315" s="6">
        <v>27.7</v>
      </c>
      <c r="AC315" s="6">
        <v>29.79</v>
      </c>
      <c r="AD315" s="6">
        <v>30.11</v>
      </c>
      <c r="AE315" s="6">
        <v>28.05</v>
      </c>
      <c r="AF315" s="6">
        <v>29.81</v>
      </c>
      <c r="AG315" s="6">
        <v>26.48</v>
      </c>
      <c r="AH315" s="6">
        <v>28.6</v>
      </c>
      <c r="AI315" s="6">
        <v>30.29</v>
      </c>
      <c r="AJ315" s="6">
        <v>29.65</v>
      </c>
      <c r="AK315" s="6">
        <v>27.51</v>
      </c>
      <c r="AL315" s="6">
        <v>28.4</v>
      </c>
      <c r="AM315" s="6">
        <v>30.49</v>
      </c>
      <c r="AN315" s="6">
        <v>29.19</v>
      </c>
      <c r="AO315" s="6">
        <v>28.07</v>
      </c>
      <c r="AP315" s="6">
        <v>29.26</v>
      </c>
      <c r="AQ315" s="6">
        <v>30.04</v>
      </c>
      <c r="AR315" s="6">
        <v>29.07</v>
      </c>
      <c r="AS315" s="6">
        <v>26.75</v>
      </c>
      <c r="AT315" s="6">
        <v>28.1</v>
      </c>
      <c r="AU315" s="6">
        <v>29.2</v>
      </c>
      <c r="AV315" s="6">
        <v>29.11</v>
      </c>
      <c r="AW315" s="6">
        <v>28.54</v>
      </c>
      <c r="AX315" s="6">
        <v>30.25</v>
      </c>
      <c r="AY315" s="6">
        <v>27.46</v>
      </c>
      <c r="AZ315" s="6">
        <v>29.3</v>
      </c>
      <c r="BA315" s="6">
        <v>29.58</v>
      </c>
      <c r="BB315" s="6">
        <v>29.48</v>
      </c>
      <c r="BC315" s="6">
        <v>29.35</v>
      </c>
      <c r="BD315" s="6">
        <v>28.45</v>
      </c>
      <c r="BE315" s="6">
        <v>29.9</v>
      </c>
      <c r="BF315" s="6">
        <v>30.12</v>
      </c>
      <c r="BG315" s="6">
        <v>26.58</v>
      </c>
      <c r="BH315" s="10">
        <v>26.2</v>
      </c>
      <c r="BI315" s="10"/>
    </row>
    <row r="316" spans="1:61" ht="15.75" customHeight="1" x14ac:dyDescent="0.25">
      <c r="A316" s="1">
        <v>315</v>
      </c>
      <c r="B316" s="1"/>
      <c r="C316" s="1">
        <v>10</v>
      </c>
      <c r="D316" s="6">
        <v>30.01</v>
      </c>
      <c r="E316" s="6">
        <v>29.7</v>
      </c>
      <c r="F316" s="6">
        <v>30.02</v>
      </c>
      <c r="G316" s="6"/>
      <c r="H316" s="6"/>
      <c r="I316" s="6"/>
      <c r="J316" s="9">
        <v>29.16</v>
      </c>
      <c r="K316" s="9">
        <v>29.33</v>
      </c>
      <c r="L316" s="9">
        <v>27.75</v>
      </c>
      <c r="M316" s="9">
        <v>29.87</v>
      </c>
      <c r="N316" s="9">
        <v>29.41</v>
      </c>
      <c r="O316" s="9">
        <v>30.2</v>
      </c>
      <c r="P316" s="9">
        <v>30.86</v>
      </c>
      <c r="Q316" s="9">
        <v>30.86</v>
      </c>
      <c r="R316" s="9">
        <v>30.92</v>
      </c>
      <c r="S316" s="9">
        <v>31.86</v>
      </c>
      <c r="T316" s="9">
        <v>30.76</v>
      </c>
      <c r="U316" s="9">
        <v>29.71</v>
      </c>
      <c r="V316" s="9">
        <v>32.5</v>
      </c>
      <c r="W316" s="6">
        <v>30.13</v>
      </c>
      <c r="X316" s="6">
        <v>29.97</v>
      </c>
      <c r="Y316" s="6">
        <v>28.8</v>
      </c>
      <c r="Z316" s="6">
        <v>27.68</v>
      </c>
      <c r="AA316" s="6">
        <v>28.69</v>
      </c>
      <c r="AB316" s="6">
        <v>27.54</v>
      </c>
      <c r="AC316" s="6">
        <v>29.8</v>
      </c>
      <c r="AD316" s="6">
        <v>30.02</v>
      </c>
      <c r="AE316" s="6">
        <v>28.06</v>
      </c>
      <c r="AF316" s="6">
        <v>29.7</v>
      </c>
      <c r="AG316" s="6">
        <v>26.44</v>
      </c>
      <c r="AH316" s="6">
        <v>28.58</v>
      </c>
      <c r="AI316" s="6">
        <v>30.15</v>
      </c>
      <c r="AJ316" s="6">
        <v>29.58</v>
      </c>
      <c r="AK316" s="6">
        <v>27.51</v>
      </c>
      <c r="AL316" s="6">
        <v>28.43</v>
      </c>
      <c r="AM316" s="6">
        <v>30.49</v>
      </c>
      <c r="AN316" s="6">
        <v>29.12</v>
      </c>
      <c r="AO316" s="6">
        <v>28.13</v>
      </c>
      <c r="AP316" s="6">
        <v>29.13</v>
      </c>
      <c r="AQ316" s="6">
        <v>29.93</v>
      </c>
      <c r="AR316" s="6">
        <v>29.07</v>
      </c>
      <c r="AS316" s="6">
        <v>26.64</v>
      </c>
      <c r="AT316" s="6">
        <v>28.02</v>
      </c>
      <c r="AU316" s="6">
        <v>29.09</v>
      </c>
      <c r="AV316" s="6">
        <v>28.97</v>
      </c>
      <c r="AW316" s="6">
        <v>28.51</v>
      </c>
      <c r="AX316" s="6">
        <v>30.17</v>
      </c>
      <c r="AY316" s="6">
        <v>27.4</v>
      </c>
      <c r="AZ316" s="6">
        <v>29.22</v>
      </c>
      <c r="BA316" s="6">
        <v>29.54</v>
      </c>
      <c r="BB316" s="6">
        <v>29.38</v>
      </c>
      <c r="BC316" s="6">
        <v>29.26</v>
      </c>
      <c r="BD316" s="6">
        <v>28.58</v>
      </c>
      <c r="BE316" s="6">
        <v>29.9</v>
      </c>
      <c r="BF316" s="6">
        <v>30.14</v>
      </c>
      <c r="BG316" s="6">
        <v>26.56</v>
      </c>
      <c r="BH316" s="10">
        <v>26.1</v>
      </c>
      <c r="BI316" s="10"/>
    </row>
    <row r="317" spans="1:61" ht="15.75" customHeight="1" x14ac:dyDescent="0.25">
      <c r="A317" s="1">
        <v>316</v>
      </c>
      <c r="B317" s="1"/>
      <c r="C317" s="1">
        <v>11</v>
      </c>
      <c r="D317" s="6">
        <v>29.97</v>
      </c>
      <c r="E317" s="6">
        <v>29.64</v>
      </c>
      <c r="F317" s="6">
        <v>29.92</v>
      </c>
      <c r="G317" s="6"/>
      <c r="H317" s="6"/>
      <c r="I317" s="6"/>
      <c r="J317" s="9">
        <v>28.97</v>
      </c>
      <c r="K317" s="9">
        <v>29.28</v>
      </c>
      <c r="L317" s="9">
        <v>27.66</v>
      </c>
      <c r="M317" s="9">
        <v>29.83</v>
      </c>
      <c r="N317" s="9">
        <v>29.26</v>
      </c>
      <c r="O317" s="9">
        <v>30.12</v>
      </c>
      <c r="P317" s="9">
        <v>30.76</v>
      </c>
      <c r="Q317" s="9">
        <v>30.74</v>
      </c>
      <c r="R317" s="9">
        <v>30.8</v>
      </c>
      <c r="S317" s="9">
        <v>31.75</v>
      </c>
      <c r="T317" s="9">
        <v>30.68</v>
      </c>
      <c r="U317" s="9">
        <v>29.59</v>
      </c>
      <c r="V317" s="9">
        <v>32.450000000000003</v>
      </c>
      <c r="W317" s="6">
        <v>30.03</v>
      </c>
      <c r="X317" s="6">
        <v>29.96</v>
      </c>
      <c r="Y317" s="6">
        <v>28.7</v>
      </c>
      <c r="Z317" s="6">
        <v>27.63</v>
      </c>
      <c r="AA317" s="6">
        <v>28.56</v>
      </c>
      <c r="AB317" s="6">
        <v>27.38</v>
      </c>
      <c r="AC317" s="6">
        <v>29.8</v>
      </c>
      <c r="AD317" s="6">
        <v>29.96</v>
      </c>
      <c r="AE317" s="6">
        <v>28.08</v>
      </c>
      <c r="AF317" s="6">
        <v>29.59</v>
      </c>
      <c r="AG317" s="6">
        <v>26.38</v>
      </c>
      <c r="AH317" s="6">
        <v>28.56</v>
      </c>
      <c r="AI317" s="6">
        <v>30.02</v>
      </c>
      <c r="AJ317" s="4">
        <v>29.5</v>
      </c>
      <c r="AK317" s="4">
        <v>27.56</v>
      </c>
      <c r="AL317" s="6">
        <v>28.46</v>
      </c>
      <c r="AM317" s="6">
        <v>30.49</v>
      </c>
      <c r="AN317" s="6">
        <v>29.04</v>
      </c>
      <c r="AO317" s="6">
        <v>28.23</v>
      </c>
      <c r="AP317" s="6">
        <v>29</v>
      </c>
      <c r="AQ317" s="6">
        <v>29.8</v>
      </c>
      <c r="AR317" s="6">
        <v>29.09</v>
      </c>
      <c r="AS317" s="6">
        <v>26.53</v>
      </c>
      <c r="AT317" s="6">
        <v>27.95</v>
      </c>
      <c r="AU317" s="6">
        <v>29</v>
      </c>
      <c r="AV317" s="6">
        <v>28.83</v>
      </c>
      <c r="AW317" s="6">
        <v>28.51</v>
      </c>
      <c r="AX317" s="6">
        <v>30.05</v>
      </c>
      <c r="AY317" s="6">
        <v>27.42</v>
      </c>
      <c r="AZ317" s="6">
        <v>29.16</v>
      </c>
      <c r="BA317" s="6">
        <v>29.54</v>
      </c>
      <c r="BB317" s="6">
        <v>29.28</v>
      </c>
      <c r="BC317" s="6">
        <v>29.18</v>
      </c>
      <c r="BD317" s="6">
        <v>28.68</v>
      </c>
      <c r="BE317" s="6">
        <v>29.75</v>
      </c>
      <c r="BF317" s="6">
        <v>30.16</v>
      </c>
      <c r="BG317" s="6">
        <v>26.55</v>
      </c>
      <c r="BH317" s="10">
        <v>25.98</v>
      </c>
      <c r="BI317" s="10"/>
    </row>
    <row r="318" spans="1:61" ht="15.75" customHeight="1" x14ac:dyDescent="0.25">
      <c r="A318" s="1">
        <v>317</v>
      </c>
      <c r="B318" s="1"/>
      <c r="C318" s="1">
        <v>12</v>
      </c>
      <c r="D318" s="6">
        <v>29.7</v>
      </c>
      <c r="E318" s="6">
        <v>29.55</v>
      </c>
      <c r="F318" s="6">
        <v>29.77</v>
      </c>
      <c r="G318" s="6"/>
      <c r="H318" s="6"/>
      <c r="I318" s="6"/>
      <c r="J318" s="9">
        <v>28.86</v>
      </c>
      <c r="K318" s="9">
        <v>29.18</v>
      </c>
      <c r="L318" s="9">
        <v>27.58</v>
      </c>
      <c r="M318" s="9">
        <v>29.75</v>
      </c>
      <c r="N318" s="9">
        <v>29.14</v>
      </c>
      <c r="O318" s="9">
        <v>30.02</v>
      </c>
      <c r="P318" s="9">
        <v>30.68</v>
      </c>
      <c r="Q318" s="9">
        <v>30.62</v>
      </c>
      <c r="R318" s="9">
        <v>30.59</v>
      </c>
      <c r="S318" s="9">
        <v>31.65</v>
      </c>
      <c r="T318" s="9">
        <v>30.63</v>
      </c>
      <c r="U318" s="9">
        <v>29.48</v>
      </c>
      <c r="V318" s="9">
        <v>32.39</v>
      </c>
      <c r="W318" s="6">
        <v>29.94</v>
      </c>
      <c r="X318" s="6">
        <v>29.95</v>
      </c>
      <c r="Y318" s="6">
        <v>28.68</v>
      </c>
      <c r="Z318" s="6">
        <v>27.6</v>
      </c>
      <c r="AA318" s="6">
        <v>28.45</v>
      </c>
      <c r="AB318" s="6">
        <v>27.24</v>
      </c>
      <c r="AC318" s="6">
        <v>29.8</v>
      </c>
      <c r="AD318" s="6">
        <v>29.88</v>
      </c>
      <c r="AE318" s="6">
        <v>28.12</v>
      </c>
      <c r="AF318" s="6">
        <v>29.5</v>
      </c>
      <c r="AG318" s="6">
        <v>26.34</v>
      </c>
      <c r="AH318" s="6">
        <v>28.53</v>
      </c>
      <c r="AI318" s="6">
        <v>29.9</v>
      </c>
      <c r="AJ318" s="6">
        <v>29.44</v>
      </c>
      <c r="AK318" s="6">
        <v>27.64</v>
      </c>
      <c r="AL318" s="6">
        <v>28.46</v>
      </c>
      <c r="AM318" s="6">
        <v>30.49</v>
      </c>
      <c r="AN318" s="6">
        <v>28.96</v>
      </c>
      <c r="AO318" s="6">
        <v>28.3</v>
      </c>
      <c r="AP318" s="6">
        <v>28.86</v>
      </c>
      <c r="AQ318" s="6">
        <v>29.67</v>
      </c>
      <c r="AR318" s="6">
        <v>29.1</v>
      </c>
      <c r="AS318" s="6">
        <v>26.42</v>
      </c>
      <c r="AT318" s="6">
        <v>27.91</v>
      </c>
      <c r="AU318" s="6">
        <v>29</v>
      </c>
      <c r="AV318" s="6">
        <v>28.73</v>
      </c>
      <c r="AW318" s="6">
        <v>28.5</v>
      </c>
      <c r="AX318" s="6">
        <v>29.97</v>
      </c>
      <c r="AY318" s="6">
        <v>27.43</v>
      </c>
      <c r="AZ318" s="6">
        <v>29.13</v>
      </c>
      <c r="BA318" s="6">
        <v>29.52</v>
      </c>
      <c r="BB318" s="6">
        <v>29.15</v>
      </c>
      <c r="BC318" s="6">
        <v>29.1</v>
      </c>
      <c r="BD318" s="6">
        <v>28.75</v>
      </c>
      <c r="BE318" s="6">
        <v>29.75</v>
      </c>
      <c r="BF318" s="6">
        <v>30.2</v>
      </c>
      <c r="BG318" s="6">
        <v>26.5</v>
      </c>
      <c r="BH318" s="10">
        <v>26.08</v>
      </c>
      <c r="BI318" s="10"/>
    </row>
    <row r="319" spans="1:61" ht="15.75" customHeight="1" x14ac:dyDescent="0.25">
      <c r="A319" s="1">
        <v>318</v>
      </c>
      <c r="B319" s="1"/>
      <c r="C319" s="1">
        <v>13</v>
      </c>
      <c r="D319" s="6">
        <v>29.57</v>
      </c>
      <c r="E319" s="6">
        <v>29.45</v>
      </c>
      <c r="F319" s="6">
        <v>29.63</v>
      </c>
      <c r="G319" s="6"/>
      <c r="H319" s="6"/>
      <c r="I319" s="6"/>
      <c r="J319" s="9">
        <v>28.76</v>
      </c>
      <c r="K319" s="9">
        <v>29.13</v>
      </c>
      <c r="L319" s="9">
        <v>27.52</v>
      </c>
      <c r="M319" s="9">
        <v>29.71</v>
      </c>
      <c r="N319" s="9">
        <v>29</v>
      </c>
      <c r="O319" s="9">
        <v>29.95</v>
      </c>
      <c r="P319" s="9">
        <v>30.6</v>
      </c>
      <c r="Q319" s="9">
        <v>30.55</v>
      </c>
      <c r="R319" s="9">
        <v>30.48</v>
      </c>
      <c r="S319" s="9">
        <v>31.46</v>
      </c>
      <c r="T319" s="9">
        <v>30.57</v>
      </c>
      <c r="U319" s="9">
        <v>29.37</v>
      </c>
      <c r="V319" s="9">
        <v>32.340000000000003</v>
      </c>
      <c r="W319" s="6">
        <v>29.83</v>
      </c>
      <c r="X319" s="6">
        <v>29.91</v>
      </c>
      <c r="Y319" s="6">
        <v>28.45</v>
      </c>
      <c r="Z319" s="6">
        <v>27.55</v>
      </c>
      <c r="AA319" s="6">
        <v>28.34</v>
      </c>
      <c r="AB319" s="6">
        <v>27.12</v>
      </c>
      <c r="AC319" s="6">
        <v>29.81</v>
      </c>
      <c r="AD319" s="6">
        <v>29.84</v>
      </c>
      <c r="AE319" s="6">
        <v>28.14</v>
      </c>
      <c r="AF319" s="6">
        <v>29.44</v>
      </c>
      <c r="AG319" s="6">
        <v>26.33</v>
      </c>
      <c r="AH319" s="6">
        <v>28.5</v>
      </c>
      <c r="AI319" s="6">
        <v>29.77</v>
      </c>
      <c r="AJ319" s="6">
        <v>29.21</v>
      </c>
      <c r="AK319" s="6">
        <v>27.7</v>
      </c>
      <c r="AL319" s="6">
        <v>28.46</v>
      </c>
      <c r="AM319" s="6">
        <v>30.49</v>
      </c>
      <c r="AN319" s="6">
        <v>28.95</v>
      </c>
      <c r="AO319" s="6">
        <v>28.38</v>
      </c>
      <c r="AP319" s="6">
        <v>28.63</v>
      </c>
      <c r="AQ319" s="6">
        <v>29.53</v>
      </c>
      <c r="AR319" s="6">
        <v>29.1</v>
      </c>
      <c r="AS319" s="6">
        <v>26.32</v>
      </c>
      <c r="AT319" s="6">
        <v>27.9</v>
      </c>
      <c r="AU319" s="6">
        <v>29</v>
      </c>
      <c r="AV319" s="6">
        <v>28.64</v>
      </c>
      <c r="AW319" s="6">
        <v>28.53</v>
      </c>
      <c r="AX319" s="6">
        <v>29.83</v>
      </c>
      <c r="AY319" s="6">
        <v>27.48</v>
      </c>
      <c r="AZ319" s="6">
        <v>29.06</v>
      </c>
      <c r="BA319" s="6">
        <v>29.54</v>
      </c>
      <c r="BB319" s="6">
        <v>29.05</v>
      </c>
      <c r="BC319" s="6">
        <v>28.98</v>
      </c>
      <c r="BD319" s="6">
        <v>28.8</v>
      </c>
      <c r="BE319" s="6">
        <v>29.54</v>
      </c>
      <c r="BF319" s="6">
        <v>30.18</v>
      </c>
      <c r="BG319" s="6">
        <v>26.5</v>
      </c>
      <c r="BH319" s="10">
        <v>26.12</v>
      </c>
      <c r="BI319" s="10"/>
    </row>
    <row r="320" spans="1:61" ht="15.75" customHeight="1" x14ac:dyDescent="0.25">
      <c r="A320" s="1">
        <v>319</v>
      </c>
      <c r="B320" s="1"/>
      <c r="C320" s="1">
        <v>14</v>
      </c>
      <c r="D320" s="6">
        <v>29.47</v>
      </c>
      <c r="E320" s="6">
        <v>29.23</v>
      </c>
      <c r="F320" s="6">
        <v>29.47</v>
      </c>
      <c r="G320" s="6"/>
      <c r="H320" s="6"/>
      <c r="I320" s="6"/>
      <c r="J320" s="9">
        <v>28.65</v>
      </c>
      <c r="K320" s="9">
        <v>29.08</v>
      </c>
      <c r="L320" s="9">
        <v>27.44</v>
      </c>
      <c r="M320" s="9">
        <v>29.68</v>
      </c>
      <c r="N320" s="9">
        <v>28.88</v>
      </c>
      <c r="O320" s="9">
        <v>29.79</v>
      </c>
      <c r="P320" s="9">
        <v>30.54</v>
      </c>
      <c r="Q320" s="9">
        <v>30.48</v>
      </c>
      <c r="R320" s="9">
        <v>30.35</v>
      </c>
      <c r="S320" s="9">
        <v>31.29</v>
      </c>
      <c r="T320" s="9">
        <v>30.51</v>
      </c>
      <c r="U320" s="9">
        <v>29.28</v>
      </c>
      <c r="V320" s="9">
        <v>32.270000000000003</v>
      </c>
      <c r="W320" s="6">
        <v>29.72</v>
      </c>
      <c r="X320" s="6">
        <v>29.93</v>
      </c>
      <c r="Y320" s="6">
        <v>28.3</v>
      </c>
      <c r="Z320" s="6">
        <v>27.52</v>
      </c>
      <c r="AA320" s="6">
        <v>28.26</v>
      </c>
      <c r="AB320" s="6">
        <v>27.04</v>
      </c>
      <c r="AC320" s="6">
        <v>29.82</v>
      </c>
      <c r="AD320" s="6">
        <v>29.79</v>
      </c>
      <c r="AE320" s="6">
        <v>28.18</v>
      </c>
      <c r="AF320" s="6">
        <v>29.4</v>
      </c>
      <c r="AG320" s="6">
        <v>26.33</v>
      </c>
      <c r="AH320" s="6">
        <v>28.51</v>
      </c>
      <c r="AI320" s="24">
        <v>29.63</v>
      </c>
      <c r="AJ320" s="6">
        <v>29.04</v>
      </c>
      <c r="AK320" s="6">
        <v>27.71</v>
      </c>
      <c r="AL320" s="6">
        <v>28.46</v>
      </c>
      <c r="AM320" s="6">
        <v>30.49</v>
      </c>
      <c r="AN320" s="6">
        <v>28.85</v>
      </c>
      <c r="AO320" s="6">
        <v>28.49</v>
      </c>
      <c r="AP320" s="6">
        <v>28.49</v>
      </c>
      <c r="AQ320" s="6">
        <v>29.4</v>
      </c>
      <c r="AR320" s="6">
        <v>29.09</v>
      </c>
      <c r="AS320" s="6">
        <v>26.2</v>
      </c>
      <c r="AT320" s="6">
        <v>27.92</v>
      </c>
      <c r="AU320" s="6">
        <v>28.98</v>
      </c>
      <c r="AV320" s="6">
        <v>28.69</v>
      </c>
      <c r="AW320" s="6">
        <v>28.56</v>
      </c>
      <c r="AX320" s="6">
        <v>29.68</v>
      </c>
      <c r="AY320" s="6">
        <v>27.57</v>
      </c>
      <c r="AZ320" s="6">
        <v>29</v>
      </c>
      <c r="BA320" s="6">
        <v>29.52</v>
      </c>
      <c r="BB320" s="6">
        <v>28.97</v>
      </c>
      <c r="BC320" s="6">
        <v>28.9</v>
      </c>
      <c r="BD320" s="6">
        <v>28.84</v>
      </c>
      <c r="BE320" s="6">
        <v>29.4</v>
      </c>
      <c r="BF320" s="6">
        <v>30.18</v>
      </c>
      <c r="BG320" s="6">
        <v>26.56</v>
      </c>
      <c r="BH320" s="10">
        <v>26.14</v>
      </c>
      <c r="BI320" s="10"/>
    </row>
    <row r="321" spans="1:61" ht="15.75" customHeight="1" x14ac:dyDescent="0.25">
      <c r="A321" s="1">
        <v>320</v>
      </c>
      <c r="B321" s="1"/>
      <c r="C321" s="1">
        <v>15</v>
      </c>
      <c r="D321" s="6">
        <v>29.26</v>
      </c>
      <c r="E321" s="6">
        <v>29.04</v>
      </c>
      <c r="F321" s="6">
        <v>29.32</v>
      </c>
      <c r="G321" s="6"/>
      <c r="H321" s="6"/>
      <c r="I321" s="6"/>
      <c r="J321" s="9">
        <v>28.56</v>
      </c>
      <c r="K321" s="9">
        <v>28.98</v>
      </c>
      <c r="L321" s="9">
        <v>27.33</v>
      </c>
      <c r="M321" s="9">
        <v>29.66</v>
      </c>
      <c r="N321" s="9">
        <v>28.75</v>
      </c>
      <c r="O321" s="9">
        <v>29.71</v>
      </c>
      <c r="P321" s="9">
        <v>30.47</v>
      </c>
      <c r="Q321" s="9">
        <v>30.4</v>
      </c>
      <c r="R321" s="9">
        <v>30.18</v>
      </c>
      <c r="S321" s="9">
        <v>31.11</v>
      </c>
      <c r="T321" s="9">
        <v>30.49</v>
      </c>
      <c r="U321" s="9">
        <v>29.23</v>
      </c>
      <c r="V321" s="9">
        <v>32.22</v>
      </c>
      <c r="W321" s="6">
        <v>29.64</v>
      </c>
      <c r="X321" s="6">
        <v>29.96</v>
      </c>
      <c r="Y321" s="6">
        <v>28.15</v>
      </c>
      <c r="Z321" s="6">
        <v>27.47</v>
      </c>
      <c r="AA321" s="6">
        <v>28.22</v>
      </c>
      <c r="AB321" s="6">
        <v>27.02</v>
      </c>
      <c r="AC321" s="6">
        <v>29.81</v>
      </c>
      <c r="AD321" s="6">
        <v>29.75</v>
      </c>
      <c r="AE321" s="6">
        <v>28.24</v>
      </c>
      <c r="AF321" s="6">
        <v>29.32</v>
      </c>
      <c r="AG321" s="6">
        <v>26.35</v>
      </c>
      <c r="AH321" s="6">
        <v>28.55</v>
      </c>
      <c r="AI321" s="6">
        <v>29.45</v>
      </c>
      <c r="AJ321" s="6">
        <v>28.85</v>
      </c>
      <c r="AK321" s="6">
        <v>27.7</v>
      </c>
      <c r="AL321" s="6">
        <v>28.46</v>
      </c>
      <c r="AM321" s="6">
        <v>30.46</v>
      </c>
      <c r="AN321" s="6">
        <v>28.82</v>
      </c>
      <c r="AO321" s="6">
        <v>28.57</v>
      </c>
      <c r="AP321" s="6">
        <v>28.4</v>
      </c>
      <c r="AQ321" s="6">
        <v>29.27</v>
      </c>
      <c r="AR321" s="6">
        <v>29.07</v>
      </c>
      <c r="AS321" s="6">
        <v>26.1</v>
      </c>
      <c r="AT321" s="6">
        <v>28.04</v>
      </c>
      <c r="AU321" s="6">
        <v>29</v>
      </c>
      <c r="AV321" s="6">
        <v>28.5</v>
      </c>
      <c r="AW321" s="6">
        <v>28.59</v>
      </c>
      <c r="AX321" s="6">
        <v>29.54</v>
      </c>
      <c r="AY321" s="6">
        <v>27.68</v>
      </c>
      <c r="AZ321" s="6">
        <v>28.96</v>
      </c>
      <c r="BA321" s="6">
        <v>29.47</v>
      </c>
      <c r="BB321" s="6">
        <v>28.88</v>
      </c>
      <c r="BC321" s="6">
        <v>28.82</v>
      </c>
      <c r="BD321" s="6">
        <v>28.88</v>
      </c>
      <c r="BE321" s="6">
        <v>29.24</v>
      </c>
      <c r="BF321" s="6">
        <v>30.16</v>
      </c>
      <c r="BG321" s="6">
        <v>26.68</v>
      </c>
      <c r="BH321" s="10">
        <v>26.1</v>
      </c>
      <c r="BI321" s="10"/>
    </row>
    <row r="322" spans="1:61" ht="15.75" customHeight="1" x14ac:dyDescent="0.25">
      <c r="A322" s="1">
        <v>321</v>
      </c>
      <c r="B322" s="1"/>
      <c r="C322" s="1">
        <v>16</v>
      </c>
      <c r="D322" s="6">
        <v>29.14</v>
      </c>
      <c r="E322" s="6">
        <v>28.78</v>
      </c>
      <c r="F322" s="6">
        <v>29.19</v>
      </c>
      <c r="G322" s="6"/>
      <c r="H322" s="6"/>
      <c r="I322" s="6"/>
      <c r="J322" s="9">
        <v>28.45</v>
      </c>
      <c r="K322" s="9">
        <v>28.88</v>
      </c>
      <c r="L322" s="9">
        <v>27.26</v>
      </c>
      <c r="M322" s="9">
        <v>29.68</v>
      </c>
      <c r="N322" s="9">
        <v>28.61</v>
      </c>
      <c r="O322" s="9">
        <v>29.61</v>
      </c>
      <c r="P322" s="9">
        <v>30.42</v>
      </c>
      <c r="Q322" s="9">
        <v>30.32</v>
      </c>
      <c r="R322" s="9">
        <v>30.02</v>
      </c>
      <c r="S322" s="9">
        <v>30.91</v>
      </c>
      <c r="T322" s="9">
        <v>30.46</v>
      </c>
      <c r="U322" s="9">
        <v>29.14</v>
      </c>
      <c r="V322" s="9">
        <v>32.17</v>
      </c>
      <c r="W322" s="6">
        <v>29.47</v>
      </c>
      <c r="X322" s="6">
        <v>29.96</v>
      </c>
      <c r="Y322" s="6">
        <v>28.01</v>
      </c>
      <c r="Z322" s="6">
        <v>27.42</v>
      </c>
      <c r="AA322" s="6">
        <v>28.21</v>
      </c>
      <c r="AB322" s="6">
        <v>27.04</v>
      </c>
      <c r="AC322" s="6">
        <v>29.82</v>
      </c>
      <c r="AD322" s="6">
        <v>29.64</v>
      </c>
      <c r="AE322" s="6">
        <v>28.28</v>
      </c>
      <c r="AF322" s="6">
        <v>29.26</v>
      </c>
      <c r="AG322" s="6">
        <v>26.35</v>
      </c>
      <c r="AH322" s="6">
        <v>28.56</v>
      </c>
      <c r="AI322" s="6">
        <v>29.3</v>
      </c>
      <c r="AJ322" s="6">
        <v>28.68</v>
      </c>
      <c r="AK322" s="6">
        <v>27.66</v>
      </c>
      <c r="AL322" s="6">
        <v>28.49</v>
      </c>
      <c r="AM322" s="6">
        <v>30.44</v>
      </c>
      <c r="AN322" s="6">
        <v>28.79</v>
      </c>
      <c r="AO322" s="6">
        <v>28.63</v>
      </c>
      <c r="AP322" s="6">
        <v>28.35</v>
      </c>
      <c r="AQ322" s="6">
        <v>29.16</v>
      </c>
      <c r="AR322" s="6">
        <v>29.02</v>
      </c>
      <c r="AS322" s="6">
        <v>25.99</v>
      </c>
      <c r="AT322" s="6">
        <v>28.2</v>
      </c>
      <c r="AU322" s="6">
        <v>29</v>
      </c>
      <c r="AV322" s="6">
        <v>28.41</v>
      </c>
      <c r="AW322" s="6">
        <v>28.59</v>
      </c>
      <c r="AX322" s="6">
        <v>29.41</v>
      </c>
      <c r="AY322" s="6">
        <v>27.74</v>
      </c>
      <c r="AZ322" s="6">
        <v>28.84</v>
      </c>
      <c r="BA322" s="6">
        <v>29.4</v>
      </c>
      <c r="BB322" s="6">
        <v>28.82</v>
      </c>
      <c r="BC322" s="6">
        <v>28.74</v>
      </c>
      <c r="BD322" s="6">
        <v>28.92</v>
      </c>
      <c r="BE322" s="6">
        <v>29.06</v>
      </c>
      <c r="BF322" s="6">
        <v>30.08</v>
      </c>
      <c r="BG322" s="6">
        <v>26.78</v>
      </c>
      <c r="BH322" s="10">
        <v>26.08</v>
      </c>
      <c r="BI322" s="10"/>
    </row>
    <row r="323" spans="1:61" ht="15.75" customHeight="1" x14ac:dyDescent="0.25">
      <c r="A323" s="1">
        <v>322</v>
      </c>
      <c r="B323" s="1"/>
      <c r="C323" s="1">
        <v>17</v>
      </c>
      <c r="D323" s="6">
        <v>29.03</v>
      </c>
      <c r="E323" s="6">
        <v>28.55</v>
      </c>
      <c r="F323" s="6">
        <v>29.04</v>
      </c>
      <c r="G323" s="6"/>
      <c r="H323" s="6"/>
      <c r="I323" s="6"/>
      <c r="J323" s="9">
        <v>28.32</v>
      </c>
      <c r="K323" s="9">
        <v>28.78</v>
      </c>
      <c r="L323" s="9">
        <v>27.25</v>
      </c>
      <c r="M323" s="9">
        <v>29.7</v>
      </c>
      <c r="N323" s="9">
        <v>28.48</v>
      </c>
      <c r="O323" s="9">
        <v>29.5</v>
      </c>
      <c r="P323" s="9">
        <v>30.37</v>
      </c>
      <c r="Q323" s="9">
        <v>30.22</v>
      </c>
      <c r="R323" s="9">
        <v>29.84</v>
      </c>
      <c r="S323" s="9">
        <v>30.73</v>
      </c>
      <c r="T323" s="9">
        <v>30.4</v>
      </c>
      <c r="U323" s="9">
        <v>29.11</v>
      </c>
      <c r="V323" s="9">
        <v>32.119999999999997</v>
      </c>
      <c r="W323" s="6">
        <v>29.33</v>
      </c>
      <c r="X323" s="6">
        <v>29.91</v>
      </c>
      <c r="Y323" s="6">
        <v>27.9</v>
      </c>
      <c r="Z323" s="6">
        <v>27.36</v>
      </c>
      <c r="AA323" s="6">
        <v>28.2</v>
      </c>
      <c r="AB323" s="6">
        <v>27.07</v>
      </c>
      <c r="AC323" s="6">
        <v>29.82</v>
      </c>
      <c r="AD323" s="6">
        <v>29.6</v>
      </c>
      <c r="AE323" s="6">
        <v>28.32</v>
      </c>
      <c r="AF323" s="6">
        <v>29.18</v>
      </c>
      <c r="AG323" s="6">
        <v>26.35</v>
      </c>
      <c r="AH323" s="6">
        <v>28.55</v>
      </c>
      <c r="AI323" s="6">
        <v>29.12</v>
      </c>
      <c r="AJ323" s="6">
        <v>28.52</v>
      </c>
      <c r="AK323" s="6">
        <v>27.64</v>
      </c>
      <c r="AL323" s="6">
        <v>28.54</v>
      </c>
      <c r="AM323" s="6">
        <v>30.4</v>
      </c>
      <c r="AN323" s="6">
        <v>28.73</v>
      </c>
      <c r="AO323" s="6">
        <v>28.7</v>
      </c>
      <c r="AP323" s="6">
        <v>28.35</v>
      </c>
      <c r="AQ323" s="6">
        <v>29.08</v>
      </c>
      <c r="AR323" s="6">
        <v>29</v>
      </c>
      <c r="AS323" s="6">
        <v>25.9</v>
      </c>
      <c r="AT323" s="6">
        <v>28.35</v>
      </c>
      <c r="AU323" s="6">
        <v>29</v>
      </c>
      <c r="AV323" s="6">
        <v>28.32</v>
      </c>
      <c r="AW323" s="6">
        <v>28.56</v>
      </c>
      <c r="AX323" s="6">
        <v>29.29</v>
      </c>
      <c r="AY323" s="6">
        <v>27.77</v>
      </c>
      <c r="AZ323" s="6">
        <v>28.78</v>
      </c>
      <c r="BA323" s="6">
        <v>29.28</v>
      </c>
      <c r="BB323" s="6">
        <v>28.78</v>
      </c>
      <c r="BC323" s="6">
        <v>28.68</v>
      </c>
      <c r="BD323" s="6">
        <v>28.92</v>
      </c>
      <c r="BE323" s="6">
        <v>28.91</v>
      </c>
      <c r="BF323" s="6">
        <v>30.01</v>
      </c>
      <c r="BG323" s="6">
        <v>26.84</v>
      </c>
      <c r="BH323" s="10">
        <v>26.05</v>
      </c>
      <c r="BI323" s="10"/>
    </row>
    <row r="324" spans="1:61" ht="15.75" customHeight="1" x14ac:dyDescent="0.25">
      <c r="A324" s="1">
        <v>323</v>
      </c>
      <c r="B324" s="1"/>
      <c r="C324" s="1">
        <v>18</v>
      </c>
      <c r="D324" s="6">
        <v>29.45</v>
      </c>
      <c r="E324" s="6">
        <v>28.34</v>
      </c>
      <c r="F324" s="6">
        <v>28.88</v>
      </c>
      <c r="G324" s="6"/>
      <c r="H324" s="6"/>
      <c r="I324" s="6"/>
      <c r="J324" s="9">
        <v>28.19</v>
      </c>
      <c r="K324" s="9">
        <v>28.68</v>
      </c>
      <c r="L324" s="9">
        <v>27.27</v>
      </c>
      <c r="M324" s="9">
        <v>29.71</v>
      </c>
      <c r="N324" s="9">
        <v>28.39</v>
      </c>
      <c r="O324" s="9">
        <v>29.43</v>
      </c>
      <c r="P324" s="9">
        <v>30.36</v>
      </c>
      <c r="Q324" s="9">
        <v>30.12</v>
      </c>
      <c r="R324" s="9">
        <v>29.65</v>
      </c>
      <c r="S324" s="9">
        <v>30.53</v>
      </c>
      <c r="T324" s="9">
        <v>30.36</v>
      </c>
      <c r="U324" s="9">
        <v>29.06</v>
      </c>
      <c r="V324" s="9">
        <v>32.06</v>
      </c>
      <c r="W324" s="6">
        <v>29.18</v>
      </c>
      <c r="X324" s="6">
        <v>29.94</v>
      </c>
      <c r="Y324" s="6">
        <v>27.77</v>
      </c>
      <c r="Z324" s="6">
        <v>27.31</v>
      </c>
      <c r="AA324" s="6">
        <v>28.2</v>
      </c>
      <c r="AB324" s="6">
        <v>27.11</v>
      </c>
      <c r="AC324" s="6">
        <v>29.8</v>
      </c>
      <c r="AD324" s="6">
        <v>29.52</v>
      </c>
      <c r="AE324" s="6">
        <v>28.34</v>
      </c>
      <c r="AF324" s="6">
        <v>29.14</v>
      </c>
      <c r="AG324" s="6">
        <v>26.32</v>
      </c>
      <c r="AH324" s="6">
        <v>28.49</v>
      </c>
      <c r="AI324" s="6">
        <v>28.96</v>
      </c>
      <c r="AJ324" s="6">
        <v>28.39</v>
      </c>
      <c r="AK324" s="6">
        <v>27.64</v>
      </c>
      <c r="AL324" s="6">
        <v>28.58</v>
      </c>
      <c r="AM324" s="6">
        <v>30.36</v>
      </c>
      <c r="AN324" s="6">
        <v>28.65</v>
      </c>
      <c r="AO324" s="6">
        <v>28.76</v>
      </c>
      <c r="AP324" s="6">
        <v>28.38</v>
      </c>
      <c r="AQ324" s="6">
        <v>29.02</v>
      </c>
      <c r="AR324" s="6">
        <v>28.94</v>
      </c>
      <c r="AS324" s="6">
        <v>25.8</v>
      </c>
      <c r="AT324" s="6">
        <v>28.44</v>
      </c>
      <c r="AU324" s="6">
        <v>29.01</v>
      </c>
      <c r="AV324" s="6">
        <v>28.24</v>
      </c>
      <c r="AW324" s="6">
        <v>28.5</v>
      </c>
      <c r="AX324" s="6">
        <v>29.19</v>
      </c>
      <c r="AY324" s="6">
        <v>27.76</v>
      </c>
      <c r="AZ324" s="6">
        <v>28.69</v>
      </c>
      <c r="BA324" s="6">
        <v>29.16</v>
      </c>
      <c r="BB324" s="6">
        <v>28.76</v>
      </c>
      <c r="BC324" s="6">
        <v>28.62</v>
      </c>
      <c r="BD324" s="6">
        <v>28.99</v>
      </c>
      <c r="BE324" s="6">
        <v>28.75</v>
      </c>
      <c r="BF324" s="6">
        <v>29.94</v>
      </c>
      <c r="BG324" s="6">
        <v>26.88</v>
      </c>
      <c r="BH324" s="10">
        <v>26.05</v>
      </c>
      <c r="BI324" s="10"/>
    </row>
    <row r="325" spans="1:61" ht="15.75" customHeight="1" x14ac:dyDescent="0.25">
      <c r="A325" s="1">
        <v>324</v>
      </c>
      <c r="B325" s="1"/>
      <c r="C325" s="1">
        <v>19</v>
      </c>
      <c r="D325" s="6">
        <v>29.81</v>
      </c>
      <c r="E325" s="6">
        <v>28.13</v>
      </c>
      <c r="F325" s="6">
        <v>28.76</v>
      </c>
      <c r="G325" s="6"/>
      <c r="H325" s="6"/>
      <c r="I325" s="6"/>
      <c r="J325" s="9">
        <v>28.08</v>
      </c>
      <c r="K325" s="9">
        <v>28.63</v>
      </c>
      <c r="L325" s="9">
        <v>27.21</v>
      </c>
      <c r="M325" s="9">
        <v>29.73</v>
      </c>
      <c r="N325" s="9">
        <v>28.32</v>
      </c>
      <c r="O325" s="9">
        <v>29.37</v>
      </c>
      <c r="P325" s="9">
        <v>30.34</v>
      </c>
      <c r="Q325" s="9">
        <v>30.03</v>
      </c>
      <c r="R325" s="9">
        <v>29.5</v>
      </c>
      <c r="S325" s="9">
        <v>30.36</v>
      </c>
      <c r="T325" s="9">
        <v>30.3</v>
      </c>
      <c r="U325" s="9">
        <v>28.99</v>
      </c>
      <c r="V325" s="9">
        <v>31.99</v>
      </c>
      <c r="W325" s="6">
        <v>29</v>
      </c>
      <c r="X325" s="6">
        <v>29.95</v>
      </c>
      <c r="Y325" s="6">
        <v>27.65</v>
      </c>
      <c r="Z325" s="6">
        <v>27.31</v>
      </c>
      <c r="AA325" s="6">
        <v>28.17</v>
      </c>
      <c r="AB325" s="6">
        <v>27.12</v>
      </c>
      <c r="AC325" s="6">
        <v>29.78</v>
      </c>
      <c r="AD325" s="6">
        <v>29.4</v>
      </c>
      <c r="AE325" s="6">
        <v>28.34</v>
      </c>
      <c r="AF325" s="6">
        <v>29.09</v>
      </c>
      <c r="AG325" s="6">
        <v>26.25</v>
      </c>
      <c r="AH325" s="6">
        <v>28.4</v>
      </c>
      <c r="AI325" s="6">
        <v>28.82</v>
      </c>
      <c r="AJ325" s="6">
        <v>28.29</v>
      </c>
      <c r="AK325" s="6">
        <v>27.62</v>
      </c>
      <c r="AL325" s="6">
        <v>28.6</v>
      </c>
      <c r="AM325" s="6">
        <v>30.32</v>
      </c>
      <c r="AN325" s="6">
        <v>28.6</v>
      </c>
      <c r="AO325" s="6">
        <v>28.82</v>
      </c>
      <c r="AP325" s="6">
        <v>28.41</v>
      </c>
      <c r="AQ325" s="6">
        <v>28.98</v>
      </c>
      <c r="AR325" s="6">
        <v>28.84</v>
      </c>
      <c r="AS325" s="6">
        <v>25.7</v>
      </c>
      <c r="AT325" s="6">
        <v>28.51</v>
      </c>
      <c r="AU325" s="6">
        <v>29.02</v>
      </c>
      <c r="AV325" s="6">
        <v>28.04</v>
      </c>
      <c r="AW325" s="6">
        <v>28.43</v>
      </c>
      <c r="AX325" s="6">
        <v>29.12</v>
      </c>
      <c r="AY325" s="6">
        <v>27.76</v>
      </c>
      <c r="AZ325" s="6">
        <v>28.68</v>
      </c>
      <c r="BA325" s="6">
        <v>29</v>
      </c>
      <c r="BB325" s="6">
        <v>28.73</v>
      </c>
      <c r="BC325" s="6">
        <v>28.58</v>
      </c>
      <c r="BD325" s="6">
        <v>29.04</v>
      </c>
      <c r="BE325" s="6">
        <v>28.63</v>
      </c>
      <c r="BF325" s="6">
        <v>29.9</v>
      </c>
      <c r="BG325" s="6">
        <v>26.9</v>
      </c>
      <c r="BH325" s="10">
        <v>26.07</v>
      </c>
      <c r="BI325" s="10"/>
    </row>
    <row r="326" spans="1:61" ht="15.75" customHeight="1" x14ac:dyDescent="0.25">
      <c r="A326" s="1">
        <v>325</v>
      </c>
      <c r="B326" s="1"/>
      <c r="C326" s="1">
        <v>20</v>
      </c>
      <c r="D326" s="6">
        <v>29.7</v>
      </c>
      <c r="E326" s="6">
        <v>27.96</v>
      </c>
      <c r="F326" s="6">
        <v>28.62</v>
      </c>
      <c r="G326" s="6"/>
      <c r="H326" s="6"/>
      <c r="I326" s="6"/>
      <c r="J326" s="9">
        <v>27.99</v>
      </c>
      <c r="K326" s="9">
        <v>28.58</v>
      </c>
      <c r="L326" s="9">
        <v>27.11</v>
      </c>
      <c r="M326" s="9">
        <v>29.74</v>
      </c>
      <c r="N326" s="9">
        <v>28.27</v>
      </c>
      <c r="O326" s="9">
        <v>29.32</v>
      </c>
      <c r="P326" s="9">
        <v>30.28</v>
      </c>
      <c r="Q326" s="9">
        <v>29.9</v>
      </c>
      <c r="R326" s="9">
        <v>29.35</v>
      </c>
      <c r="S326" s="9">
        <v>30.19</v>
      </c>
      <c r="T326" s="9">
        <v>30.24</v>
      </c>
      <c r="U326" s="9">
        <v>28.92</v>
      </c>
      <c r="V326" s="9">
        <v>31.95</v>
      </c>
      <c r="W326" s="6">
        <v>28.8</v>
      </c>
      <c r="X326" s="6">
        <v>29.97</v>
      </c>
      <c r="Y326" s="6">
        <v>27.55</v>
      </c>
      <c r="Z326" s="6">
        <v>27.29</v>
      </c>
      <c r="AA326" s="6">
        <v>28.12</v>
      </c>
      <c r="AB326" s="6">
        <v>27.12</v>
      </c>
      <c r="AC326" s="6">
        <v>29.78</v>
      </c>
      <c r="AD326" s="6">
        <v>29.3</v>
      </c>
      <c r="AE326" s="6">
        <v>28.32</v>
      </c>
      <c r="AF326" s="6">
        <v>29.05</v>
      </c>
      <c r="AG326" s="6">
        <v>26.18</v>
      </c>
      <c r="AH326" s="6">
        <v>28.28</v>
      </c>
      <c r="AI326" s="6">
        <v>28.69</v>
      </c>
      <c r="AJ326" s="6">
        <v>28.17</v>
      </c>
      <c r="AK326" s="6">
        <v>27.58</v>
      </c>
      <c r="AL326" s="6">
        <v>28.58</v>
      </c>
      <c r="AM326" s="6">
        <v>30.25</v>
      </c>
      <c r="AN326" s="6">
        <v>28.5</v>
      </c>
      <c r="AO326" s="6">
        <v>28.87</v>
      </c>
      <c r="AP326" s="6">
        <v>28.45</v>
      </c>
      <c r="AQ326" s="6">
        <v>28.88</v>
      </c>
      <c r="AR326" s="6">
        <v>28.74</v>
      </c>
      <c r="AS326" s="6">
        <v>25.64</v>
      </c>
      <c r="AT326" s="6">
        <v>28.6</v>
      </c>
      <c r="AU326" s="6">
        <v>29.03</v>
      </c>
      <c r="AV326" s="6">
        <v>27.98</v>
      </c>
      <c r="AW326" s="6">
        <v>28.38</v>
      </c>
      <c r="AX326" s="6">
        <v>29.06</v>
      </c>
      <c r="AY326" s="6">
        <v>27.71</v>
      </c>
      <c r="AZ326" s="6">
        <v>28.7</v>
      </c>
      <c r="BA326" s="6">
        <v>28.82</v>
      </c>
      <c r="BB326" s="6">
        <v>28.67</v>
      </c>
      <c r="BC326" s="6">
        <v>28.53</v>
      </c>
      <c r="BD326" s="6">
        <v>29.08</v>
      </c>
      <c r="BE326" s="6">
        <v>28.48</v>
      </c>
      <c r="BF326" s="6">
        <v>29.86</v>
      </c>
      <c r="BG326" s="6">
        <v>26.86</v>
      </c>
      <c r="BH326" s="10">
        <v>26.05</v>
      </c>
      <c r="BI326" s="10"/>
    </row>
    <row r="327" spans="1:61" ht="15.75" customHeight="1" x14ac:dyDescent="0.25">
      <c r="A327" s="1">
        <v>326</v>
      </c>
      <c r="B327" s="1"/>
      <c r="C327" s="1">
        <v>21</v>
      </c>
      <c r="D327" s="6">
        <v>29.72</v>
      </c>
      <c r="E327" s="6">
        <v>27.8</v>
      </c>
      <c r="F327" s="6">
        <v>28.44</v>
      </c>
      <c r="G327" s="6"/>
      <c r="H327" s="6"/>
      <c r="I327" s="6"/>
      <c r="J327" s="9">
        <v>27.89</v>
      </c>
      <c r="K327" s="9">
        <v>28.53</v>
      </c>
      <c r="L327" s="9">
        <v>26.96</v>
      </c>
      <c r="M327" s="9">
        <v>29.72</v>
      </c>
      <c r="N327" s="9">
        <v>28.22</v>
      </c>
      <c r="O327" s="9">
        <v>29.27</v>
      </c>
      <c r="P327" s="9">
        <v>30.23</v>
      </c>
      <c r="Q327" s="9">
        <v>29.78</v>
      </c>
      <c r="R327" s="9">
        <v>29.27</v>
      </c>
      <c r="S327" s="9">
        <v>30.01</v>
      </c>
      <c r="T327" s="9">
        <v>30.18</v>
      </c>
      <c r="U327" s="9">
        <v>28.89</v>
      </c>
      <c r="V327" s="9">
        <v>31.92</v>
      </c>
      <c r="W327" s="6">
        <v>28.63</v>
      </c>
      <c r="X327" s="6">
        <v>29.99</v>
      </c>
      <c r="Y327" s="6">
        <v>27.45</v>
      </c>
      <c r="Z327" s="6">
        <v>27.27</v>
      </c>
      <c r="AA327" s="6">
        <v>28.04</v>
      </c>
      <c r="AB327" s="6">
        <v>27.2</v>
      </c>
      <c r="AC327" s="6">
        <v>29.75</v>
      </c>
      <c r="AD327" s="6">
        <v>29.2</v>
      </c>
      <c r="AE327" s="6">
        <v>28.3</v>
      </c>
      <c r="AF327" s="6">
        <v>28.98</v>
      </c>
      <c r="AG327" s="6">
        <v>26.11</v>
      </c>
      <c r="AH327" s="6">
        <v>28.17</v>
      </c>
      <c r="AI327" s="6">
        <v>28.48</v>
      </c>
      <c r="AJ327" s="6">
        <v>28.05</v>
      </c>
      <c r="AK327" s="6">
        <v>27.5</v>
      </c>
      <c r="AL327" s="6">
        <v>28.58</v>
      </c>
      <c r="AM327" s="6">
        <v>30.19</v>
      </c>
      <c r="AN327" s="6">
        <v>28.44</v>
      </c>
      <c r="AO327" s="6">
        <v>28.93</v>
      </c>
      <c r="AP327" s="6">
        <v>28.53</v>
      </c>
      <c r="AQ327" s="6">
        <v>28.78</v>
      </c>
      <c r="AR327" s="6">
        <v>28.64</v>
      </c>
      <c r="AS327" s="6">
        <v>25.62</v>
      </c>
      <c r="AT327" s="6">
        <v>28.67</v>
      </c>
      <c r="AU327" s="6">
        <v>29.02</v>
      </c>
      <c r="AV327" s="6">
        <v>27.87</v>
      </c>
      <c r="AW327" s="6">
        <v>28.31</v>
      </c>
      <c r="AX327" s="6">
        <v>29.03</v>
      </c>
      <c r="AY327" s="6">
        <v>27.68</v>
      </c>
      <c r="AZ327" s="6">
        <v>28.71</v>
      </c>
      <c r="BA327" s="6">
        <v>28.66</v>
      </c>
      <c r="BB327" s="6">
        <v>28.52</v>
      </c>
      <c r="BC327" s="6">
        <v>28.49</v>
      </c>
      <c r="BD327" s="6">
        <v>29.12</v>
      </c>
      <c r="BE327" s="6">
        <v>28.14</v>
      </c>
      <c r="BF327" s="6">
        <v>29.84</v>
      </c>
      <c r="BG327" s="6">
        <v>26.8</v>
      </c>
      <c r="BH327" s="10">
        <v>26.04</v>
      </c>
      <c r="BI327" s="10"/>
    </row>
    <row r="328" spans="1:61" ht="15.75" customHeight="1" x14ac:dyDescent="0.25">
      <c r="A328" s="1">
        <v>327</v>
      </c>
      <c r="B328" s="1"/>
      <c r="C328" s="1">
        <v>22</v>
      </c>
      <c r="D328" s="6">
        <v>29.54</v>
      </c>
      <c r="E328" s="6">
        <v>27.87</v>
      </c>
      <c r="F328" s="6">
        <v>28.29</v>
      </c>
      <c r="G328" s="6"/>
      <c r="H328" s="6"/>
      <c r="I328" s="6"/>
      <c r="J328" s="9">
        <v>27.79</v>
      </c>
      <c r="K328" s="9">
        <v>28.48</v>
      </c>
      <c r="L328" s="9">
        <v>26.81</v>
      </c>
      <c r="M328" s="9">
        <v>29.69</v>
      </c>
      <c r="N328" s="9">
        <v>28.16</v>
      </c>
      <c r="O328" s="9">
        <v>29.25</v>
      </c>
      <c r="P328" s="9">
        <v>30.17</v>
      </c>
      <c r="Q328" s="9">
        <v>29.68</v>
      </c>
      <c r="R328" s="9">
        <v>29.19</v>
      </c>
      <c r="S328" s="9">
        <v>29.82</v>
      </c>
      <c r="T328" s="9">
        <v>30.15</v>
      </c>
      <c r="U328" s="9">
        <v>28.86</v>
      </c>
      <c r="V328" s="9">
        <v>31.95</v>
      </c>
      <c r="W328" s="6">
        <v>28.47</v>
      </c>
      <c r="X328" s="6">
        <v>29.97</v>
      </c>
      <c r="Y328" s="6">
        <v>27.3</v>
      </c>
      <c r="Z328" s="6">
        <v>27.2</v>
      </c>
      <c r="AA328" s="6">
        <v>27.96</v>
      </c>
      <c r="AB328" s="6">
        <v>27.23</v>
      </c>
      <c r="AC328" s="6">
        <v>29.7</v>
      </c>
      <c r="AD328" s="6">
        <v>29.06</v>
      </c>
      <c r="AE328" s="6">
        <v>28.28</v>
      </c>
      <c r="AF328" s="6">
        <v>28.89</v>
      </c>
      <c r="AG328" s="6">
        <v>26.07</v>
      </c>
      <c r="AH328" s="6">
        <v>28.04</v>
      </c>
      <c r="AI328" s="6">
        <v>28.38</v>
      </c>
      <c r="AJ328" s="6">
        <v>27.91</v>
      </c>
      <c r="AK328" s="6">
        <v>27.41</v>
      </c>
      <c r="AL328" s="6">
        <v>28.56</v>
      </c>
      <c r="AM328" s="6">
        <v>30.15</v>
      </c>
      <c r="AN328" s="6">
        <v>28.4</v>
      </c>
      <c r="AO328" s="6">
        <v>28.97</v>
      </c>
      <c r="AP328" s="6">
        <v>28.64</v>
      </c>
      <c r="AQ328" s="6">
        <v>28.68</v>
      </c>
      <c r="AR328" s="6">
        <v>28.55</v>
      </c>
      <c r="AS328" s="6">
        <v>25.6</v>
      </c>
      <c r="AT328" s="6">
        <v>28.73</v>
      </c>
      <c r="AU328" s="6">
        <v>29</v>
      </c>
      <c r="AV328" s="6">
        <v>27.81</v>
      </c>
      <c r="AW328" s="6">
        <v>28.2</v>
      </c>
      <c r="AX328" s="6">
        <v>29.02</v>
      </c>
      <c r="AY328" s="6">
        <v>27.67</v>
      </c>
      <c r="AZ328" s="6">
        <v>28.69</v>
      </c>
      <c r="BA328" s="6">
        <v>28.51</v>
      </c>
      <c r="BB328" s="6">
        <v>28.42</v>
      </c>
      <c r="BC328" s="6">
        <v>28.46</v>
      </c>
      <c r="BD328" s="6">
        <v>29.16</v>
      </c>
      <c r="BE328" s="6">
        <v>28.04</v>
      </c>
      <c r="BF328" s="6">
        <v>29.8</v>
      </c>
      <c r="BG328" s="6">
        <v>26.74</v>
      </c>
      <c r="BH328" s="10">
        <v>26.05</v>
      </c>
      <c r="BI328" s="10"/>
    </row>
    <row r="329" spans="1:61" ht="15.75" customHeight="1" x14ac:dyDescent="0.25">
      <c r="A329" s="1">
        <v>328</v>
      </c>
      <c r="B329" s="1"/>
      <c r="C329" s="1">
        <v>23</v>
      </c>
      <c r="D329" s="6">
        <v>29.27</v>
      </c>
      <c r="E329" s="6">
        <v>27.93</v>
      </c>
      <c r="F329" s="6">
        <v>28.12</v>
      </c>
      <c r="G329" s="6"/>
      <c r="H329" s="6"/>
      <c r="I329" s="6"/>
      <c r="J329" s="9">
        <v>27.73</v>
      </c>
      <c r="K329" s="9">
        <v>28.38</v>
      </c>
      <c r="L329" s="9">
        <v>26.66</v>
      </c>
      <c r="M329" s="9">
        <v>29.66</v>
      </c>
      <c r="N329" s="9">
        <v>28.14</v>
      </c>
      <c r="O329" s="9">
        <v>29.25</v>
      </c>
      <c r="P329" s="9">
        <v>30.1</v>
      </c>
      <c r="Q329" s="9">
        <v>29.58</v>
      </c>
      <c r="R329" s="9">
        <v>29.11</v>
      </c>
      <c r="S329" s="9">
        <v>29.66</v>
      </c>
      <c r="T329" s="9">
        <v>30.12</v>
      </c>
      <c r="U329" s="9">
        <v>28.84</v>
      </c>
      <c r="V329" s="9">
        <v>31.79</v>
      </c>
      <c r="W329" s="6">
        <v>28.3</v>
      </c>
      <c r="X329" s="6">
        <v>29.97</v>
      </c>
      <c r="Y329" s="6">
        <v>27.15</v>
      </c>
      <c r="Z329" s="6">
        <v>27.13</v>
      </c>
      <c r="AA329" s="6">
        <v>27.84</v>
      </c>
      <c r="AB329" s="6">
        <v>27.28</v>
      </c>
      <c r="AC329" s="6">
        <v>29.59</v>
      </c>
      <c r="AD329" s="6">
        <v>28.91</v>
      </c>
      <c r="AE329" s="6">
        <v>28.25</v>
      </c>
      <c r="AF329" s="6">
        <v>28.82</v>
      </c>
      <c r="AG329" s="6">
        <v>25.99</v>
      </c>
      <c r="AH329" s="6">
        <v>27.96</v>
      </c>
      <c r="AI329" s="6">
        <v>28.22</v>
      </c>
      <c r="AJ329" s="6">
        <v>27.8</v>
      </c>
      <c r="AK329" s="6">
        <v>27.28</v>
      </c>
      <c r="AL329" s="6">
        <v>28.56</v>
      </c>
      <c r="AM329" s="6">
        <v>30.09</v>
      </c>
      <c r="AN329" s="6">
        <v>28.35</v>
      </c>
      <c r="AO329" s="6">
        <v>29</v>
      </c>
      <c r="AP329" s="6">
        <v>28.73</v>
      </c>
      <c r="AQ329" s="6">
        <v>28.58</v>
      </c>
      <c r="AR329" s="6">
        <v>28.52</v>
      </c>
      <c r="AS329" s="6">
        <v>25.58</v>
      </c>
      <c r="AT329" s="6">
        <v>28.77</v>
      </c>
      <c r="AU329" s="6">
        <v>29</v>
      </c>
      <c r="AV329" s="6">
        <v>27.74</v>
      </c>
      <c r="AW329" s="6">
        <v>28.1</v>
      </c>
      <c r="AX329" s="6">
        <v>28.98</v>
      </c>
      <c r="AY329" s="6">
        <v>27.66</v>
      </c>
      <c r="AZ329" s="6">
        <v>28.61</v>
      </c>
      <c r="BA329" s="6">
        <v>28.38</v>
      </c>
      <c r="BB329" s="6">
        <v>28.3</v>
      </c>
      <c r="BC329" s="6">
        <v>28.39</v>
      </c>
      <c r="BD329" s="6">
        <v>29.12</v>
      </c>
      <c r="BE329" s="6">
        <v>27.86</v>
      </c>
      <c r="BF329" s="6">
        <v>29.76</v>
      </c>
      <c r="BG329" s="6">
        <v>26.62</v>
      </c>
      <c r="BH329" s="10">
        <v>26.1</v>
      </c>
      <c r="BI329" s="10"/>
    </row>
    <row r="330" spans="1:61" ht="15.75" customHeight="1" x14ac:dyDescent="0.25">
      <c r="A330" s="1">
        <v>329</v>
      </c>
      <c r="B330" s="1"/>
      <c r="C330" s="1">
        <v>24</v>
      </c>
      <c r="D330" s="6">
        <v>28.97</v>
      </c>
      <c r="E330" s="6">
        <v>27.94</v>
      </c>
      <c r="F330" s="6">
        <v>27.93</v>
      </c>
      <c r="G330" s="6"/>
      <c r="H330" s="6"/>
      <c r="I330" s="6"/>
      <c r="J330" s="9">
        <v>27.68</v>
      </c>
      <c r="K330" s="9">
        <v>28.28</v>
      </c>
      <c r="L330" s="9">
        <v>26.51</v>
      </c>
      <c r="M330" s="9">
        <v>29.62</v>
      </c>
      <c r="N330" s="9">
        <v>28.11</v>
      </c>
      <c r="O330" s="9">
        <v>29.24</v>
      </c>
      <c r="P330" s="9">
        <v>30.01</v>
      </c>
      <c r="Q330" s="9">
        <v>29.47</v>
      </c>
      <c r="R330" s="9">
        <v>29.07</v>
      </c>
      <c r="S330" s="9">
        <v>29.52</v>
      </c>
      <c r="T330" s="9">
        <v>30.11</v>
      </c>
      <c r="U330" s="9">
        <v>28.83</v>
      </c>
      <c r="V330" s="9">
        <v>31.71</v>
      </c>
      <c r="W330" s="6">
        <v>28.15</v>
      </c>
      <c r="X330" s="6">
        <v>30.02</v>
      </c>
      <c r="Y330" s="6">
        <v>27.07</v>
      </c>
      <c r="Z330" s="6">
        <v>27.12</v>
      </c>
      <c r="AA330" s="6">
        <v>27.72</v>
      </c>
      <c r="AB330" s="6">
        <v>27.34</v>
      </c>
      <c r="AC330" s="6">
        <v>29.52</v>
      </c>
      <c r="AD330" s="6">
        <v>28.78</v>
      </c>
      <c r="AE330" s="6">
        <v>28.23</v>
      </c>
      <c r="AF330" s="6">
        <v>28.72</v>
      </c>
      <c r="AG330" s="6">
        <v>25.95</v>
      </c>
      <c r="AH330" s="6">
        <v>27.88</v>
      </c>
      <c r="AI330" s="6">
        <v>28.07</v>
      </c>
      <c r="AJ330" s="6">
        <v>27.72</v>
      </c>
      <c r="AK330" s="6">
        <v>27.15</v>
      </c>
      <c r="AL330" s="6">
        <v>28.56</v>
      </c>
      <c r="AM330" s="6">
        <v>30.02</v>
      </c>
      <c r="AN330" s="6">
        <v>28.28</v>
      </c>
      <c r="AO330" s="6">
        <v>29</v>
      </c>
      <c r="AP330" s="6">
        <v>28.86</v>
      </c>
      <c r="AQ330" s="6">
        <v>28.5</v>
      </c>
      <c r="AR330" s="6">
        <v>28.5</v>
      </c>
      <c r="AS330" s="6">
        <v>25.52</v>
      </c>
      <c r="AT330" s="6">
        <v>28.79</v>
      </c>
      <c r="AU330" s="6">
        <v>29</v>
      </c>
      <c r="AV330" s="6">
        <v>27.67</v>
      </c>
      <c r="AW330" s="6">
        <v>27.99</v>
      </c>
      <c r="AX330" s="6">
        <v>28.96</v>
      </c>
      <c r="AY330" s="6">
        <v>27.67</v>
      </c>
      <c r="AZ330" s="6">
        <v>28.5</v>
      </c>
      <c r="BA330" s="6">
        <v>28.26</v>
      </c>
      <c r="BB330" s="6">
        <v>28.18</v>
      </c>
      <c r="BC330" s="6">
        <v>28.32</v>
      </c>
      <c r="BD330" s="6">
        <v>29.08</v>
      </c>
      <c r="BE330" s="6">
        <v>27.73</v>
      </c>
      <c r="BF330" s="6">
        <v>29.7</v>
      </c>
      <c r="BG330" s="6">
        <v>26.5</v>
      </c>
      <c r="BH330" s="10">
        <v>26.21</v>
      </c>
      <c r="BI330" s="10"/>
    </row>
    <row r="331" spans="1:61" ht="15.75" customHeight="1" x14ac:dyDescent="0.25">
      <c r="A331" s="1">
        <v>330</v>
      </c>
      <c r="B331" s="1"/>
      <c r="C331" s="1">
        <v>25</v>
      </c>
      <c r="D331" s="6">
        <v>28.78</v>
      </c>
      <c r="E331" s="6">
        <v>27.95</v>
      </c>
      <c r="F331" s="6">
        <v>27.77</v>
      </c>
      <c r="G331" s="6"/>
      <c r="H331" s="6"/>
      <c r="I331" s="6"/>
      <c r="J331" s="9">
        <v>27.62</v>
      </c>
      <c r="K331" s="9">
        <v>28.23</v>
      </c>
      <c r="L331" s="9">
        <v>26.4</v>
      </c>
      <c r="M331" s="9">
        <v>29.51</v>
      </c>
      <c r="N331" s="9">
        <v>28.07</v>
      </c>
      <c r="O331" s="9">
        <v>29.21</v>
      </c>
      <c r="P331" s="9">
        <v>29.89</v>
      </c>
      <c r="Q331" s="9">
        <v>29.35</v>
      </c>
      <c r="R331" s="9">
        <v>28.99</v>
      </c>
      <c r="S331" s="9">
        <v>29.37</v>
      </c>
      <c r="T331" s="9">
        <v>30.08</v>
      </c>
      <c r="U331" s="9">
        <v>28.81</v>
      </c>
      <c r="V331" s="9">
        <v>31.63</v>
      </c>
      <c r="W331" s="6">
        <v>28.02</v>
      </c>
      <c r="X331" s="6">
        <v>29.96</v>
      </c>
      <c r="Y331" s="6">
        <v>26.97</v>
      </c>
      <c r="Z331" s="6">
        <v>27.07</v>
      </c>
      <c r="AA331" s="6">
        <v>27.66</v>
      </c>
      <c r="AB331" s="6">
        <v>27.44</v>
      </c>
      <c r="AC331" s="6">
        <v>29.45</v>
      </c>
      <c r="AD331" s="6">
        <v>28.74</v>
      </c>
      <c r="AE331" s="6">
        <v>28.19</v>
      </c>
      <c r="AF331" s="6">
        <v>28.78</v>
      </c>
      <c r="AG331" s="6">
        <v>25.93</v>
      </c>
      <c r="AH331" s="6">
        <v>27.82</v>
      </c>
      <c r="AI331" s="6">
        <v>27.94</v>
      </c>
      <c r="AJ331" s="6">
        <v>27.68</v>
      </c>
      <c r="AK331" s="6">
        <v>27.05</v>
      </c>
      <c r="AL331" s="6">
        <v>28.56</v>
      </c>
      <c r="AM331" s="6">
        <v>29.93</v>
      </c>
      <c r="AN331" s="6">
        <v>28.2</v>
      </c>
      <c r="AO331" s="6">
        <v>29</v>
      </c>
      <c r="AP331" s="6">
        <v>28.91</v>
      </c>
      <c r="AQ331" s="6">
        <v>28.44</v>
      </c>
      <c r="AR331" s="6">
        <v>28.48</v>
      </c>
      <c r="AS331" s="6">
        <v>25.46</v>
      </c>
      <c r="AT331" s="6">
        <v>28.82</v>
      </c>
      <c r="AU331" s="6">
        <v>29</v>
      </c>
      <c r="AV331" s="6">
        <v>27.6</v>
      </c>
      <c r="AW331" s="6">
        <v>27.92</v>
      </c>
      <c r="AX331" s="6">
        <v>28.96</v>
      </c>
      <c r="AY331" s="6">
        <v>27.62</v>
      </c>
      <c r="AZ331" s="6">
        <v>28.4</v>
      </c>
      <c r="BA331" s="6">
        <v>28.1</v>
      </c>
      <c r="BB331" s="6">
        <v>28.1</v>
      </c>
      <c r="BC331" s="6">
        <v>28.25</v>
      </c>
      <c r="BD331" s="6">
        <v>29.01</v>
      </c>
      <c r="BE331" s="6">
        <v>27.58</v>
      </c>
      <c r="BF331" s="6">
        <v>29.66</v>
      </c>
      <c r="BG331" s="6">
        <v>26.37</v>
      </c>
      <c r="BH331" s="10">
        <v>26.32</v>
      </c>
      <c r="BI331" s="10"/>
    </row>
    <row r="332" spans="1:61" ht="15.75" customHeight="1" x14ac:dyDescent="0.25">
      <c r="A332" s="1">
        <v>331</v>
      </c>
      <c r="B332" s="1"/>
      <c r="C332" s="1">
        <v>26</v>
      </c>
      <c r="D332" s="6">
        <v>28.65</v>
      </c>
      <c r="E332" s="6">
        <v>27.95</v>
      </c>
      <c r="F332" s="6">
        <v>27.59</v>
      </c>
      <c r="G332" s="6"/>
      <c r="H332" s="6"/>
      <c r="I332" s="6"/>
      <c r="J332" s="9">
        <v>27.57</v>
      </c>
      <c r="K332" s="9">
        <v>28.18</v>
      </c>
      <c r="L332" s="9">
        <v>26.32</v>
      </c>
      <c r="M332" s="9">
        <v>29.47</v>
      </c>
      <c r="N332" s="9">
        <v>27.99</v>
      </c>
      <c r="O332" s="9">
        <v>29.16</v>
      </c>
      <c r="P332" s="9">
        <v>29.78</v>
      </c>
      <c r="Q332" s="9">
        <v>29.22</v>
      </c>
      <c r="R332" s="9">
        <v>28.93</v>
      </c>
      <c r="S332" s="9">
        <v>29.23</v>
      </c>
      <c r="T332" s="9">
        <v>30.02</v>
      </c>
      <c r="U332" s="9">
        <v>28.81</v>
      </c>
      <c r="V332" s="9">
        <v>31.55</v>
      </c>
      <c r="W332" s="6">
        <v>27.88</v>
      </c>
      <c r="X332" s="6">
        <v>29.89</v>
      </c>
      <c r="Y332" s="6">
        <v>26.91</v>
      </c>
      <c r="Z332" s="6">
        <v>27.1</v>
      </c>
      <c r="AA332" s="6">
        <v>27.55</v>
      </c>
      <c r="AB332" s="6">
        <v>27.51</v>
      </c>
      <c r="AC332" s="6">
        <v>29.39</v>
      </c>
      <c r="AD332" s="6">
        <v>28.7</v>
      </c>
      <c r="AE332" s="6">
        <v>28.13</v>
      </c>
      <c r="AF332" s="6">
        <v>28.7</v>
      </c>
      <c r="AG332" s="6">
        <v>25.89</v>
      </c>
      <c r="AH332" s="6">
        <v>27.77</v>
      </c>
      <c r="AI332" s="6">
        <v>27.82</v>
      </c>
      <c r="AJ332" s="6">
        <v>27.72</v>
      </c>
      <c r="AK332" s="6">
        <v>26.92</v>
      </c>
      <c r="AL332" s="6">
        <v>28.55</v>
      </c>
      <c r="AM332" s="6">
        <v>29.8</v>
      </c>
      <c r="AN332" s="6">
        <v>28.13</v>
      </c>
      <c r="AO332" s="6">
        <v>28.98</v>
      </c>
      <c r="AP332" s="6">
        <v>28.93</v>
      </c>
      <c r="AQ332" s="6">
        <v>28.37</v>
      </c>
      <c r="AR332" s="6">
        <v>28.48</v>
      </c>
      <c r="AS332" s="6">
        <v>25.38</v>
      </c>
      <c r="AT332" s="6">
        <v>28.84</v>
      </c>
      <c r="AU332" s="6">
        <v>29</v>
      </c>
      <c r="AV332" s="6">
        <v>27.56</v>
      </c>
      <c r="AW332" s="6">
        <v>27.91</v>
      </c>
      <c r="AX332" s="6">
        <v>28.96</v>
      </c>
      <c r="AY332" s="6">
        <v>27.55</v>
      </c>
      <c r="AZ332" s="6">
        <v>28.3</v>
      </c>
      <c r="BA332" s="6">
        <v>27.98</v>
      </c>
      <c r="BB332" s="6">
        <v>28.03</v>
      </c>
      <c r="BC332" s="6">
        <v>28.18</v>
      </c>
      <c r="BD332" s="6">
        <v>28.92</v>
      </c>
      <c r="BE332" s="6">
        <v>27.52</v>
      </c>
      <c r="BF332" s="6">
        <v>29.62</v>
      </c>
      <c r="BG332" s="6">
        <v>26.25</v>
      </c>
      <c r="BH332" s="10">
        <v>26.42</v>
      </c>
      <c r="BI332" s="10"/>
    </row>
    <row r="333" spans="1:61" ht="15.75" customHeight="1" x14ac:dyDescent="0.25">
      <c r="A333" s="1">
        <v>332</v>
      </c>
      <c r="B333" s="1"/>
      <c r="C333" s="1">
        <v>27</v>
      </c>
      <c r="D333" s="6">
        <v>28.55</v>
      </c>
      <c r="E333" s="6">
        <v>27.94</v>
      </c>
      <c r="F333" s="6">
        <v>27.4</v>
      </c>
      <c r="G333" s="6"/>
      <c r="H333" s="6"/>
      <c r="I333" s="6"/>
      <c r="J333" s="9">
        <v>27.54</v>
      </c>
      <c r="K333" s="9">
        <v>28.13</v>
      </c>
      <c r="L333" s="9">
        <v>26.25</v>
      </c>
      <c r="M333" s="9">
        <v>29.35</v>
      </c>
      <c r="N333" s="9">
        <v>27.92</v>
      </c>
      <c r="O333" s="9">
        <v>29.12</v>
      </c>
      <c r="P333" s="9">
        <v>29.68</v>
      </c>
      <c r="Q333" s="9">
        <v>29.07</v>
      </c>
      <c r="R333" s="9">
        <v>28.89</v>
      </c>
      <c r="S333" s="9">
        <v>29.16</v>
      </c>
      <c r="T333" s="9">
        <v>29.97</v>
      </c>
      <c r="U333" s="9">
        <v>28.81</v>
      </c>
      <c r="V333" s="9">
        <v>31.48</v>
      </c>
      <c r="W333" s="6">
        <v>27.78</v>
      </c>
      <c r="X333" s="6">
        <v>29.79</v>
      </c>
      <c r="Y333" s="6">
        <v>26.88</v>
      </c>
      <c r="Z333" s="6">
        <v>27.12</v>
      </c>
      <c r="AA333" s="6">
        <v>27.47</v>
      </c>
      <c r="AB333" s="6">
        <v>27.57</v>
      </c>
      <c r="AC333" s="6">
        <v>29.29</v>
      </c>
      <c r="AD333" s="6">
        <v>28.6</v>
      </c>
      <c r="AE333" s="6">
        <v>28.06</v>
      </c>
      <c r="AF333" s="6">
        <v>28.62</v>
      </c>
      <c r="AG333" s="6">
        <v>25.86</v>
      </c>
      <c r="AH333" s="6">
        <v>27.74</v>
      </c>
      <c r="AI333" s="6">
        <v>27.73</v>
      </c>
      <c r="AJ333" s="6">
        <v>27.75</v>
      </c>
      <c r="AK333" s="6">
        <v>26.8</v>
      </c>
      <c r="AL333" s="6">
        <v>28.49</v>
      </c>
      <c r="AM333" s="6">
        <v>29.67</v>
      </c>
      <c r="AN333" s="6">
        <v>28.02</v>
      </c>
      <c r="AO333" s="6">
        <v>28.96</v>
      </c>
      <c r="AP333" s="6">
        <v>28.95</v>
      </c>
      <c r="AQ333" s="6">
        <v>28.3</v>
      </c>
      <c r="AR333" s="6">
        <v>28.5</v>
      </c>
      <c r="AS333" s="6">
        <v>25.28</v>
      </c>
      <c r="AT333" s="6">
        <v>28.87</v>
      </c>
      <c r="AU333" s="6">
        <v>29</v>
      </c>
      <c r="AV333" s="6">
        <v>27.51</v>
      </c>
      <c r="AW333" s="6">
        <v>27.78</v>
      </c>
      <c r="AX333" s="6">
        <v>28.93</v>
      </c>
      <c r="AY333" s="6">
        <v>27.45</v>
      </c>
      <c r="AZ333" s="6">
        <v>28.18</v>
      </c>
      <c r="BA333" s="6">
        <v>27.82</v>
      </c>
      <c r="BB333" s="6">
        <v>27.97</v>
      </c>
      <c r="BC333" s="6">
        <v>28.08</v>
      </c>
      <c r="BD333" s="6">
        <v>28.88</v>
      </c>
      <c r="BE333" s="6">
        <v>27.45</v>
      </c>
      <c r="BF333" s="6">
        <v>29.61</v>
      </c>
      <c r="BG333" s="6">
        <v>26.13</v>
      </c>
      <c r="BH333" s="10">
        <v>26.5</v>
      </c>
      <c r="BI333" s="10"/>
    </row>
    <row r="334" spans="1:61" ht="15.75" customHeight="1" x14ac:dyDescent="0.25">
      <c r="A334" s="1">
        <v>333</v>
      </c>
      <c r="B334" s="1"/>
      <c r="C334" s="1">
        <v>28</v>
      </c>
      <c r="D334" s="6">
        <v>28.38</v>
      </c>
      <c r="E334" s="6">
        <v>27.45</v>
      </c>
      <c r="F334" s="6">
        <v>27.25</v>
      </c>
      <c r="G334" s="6"/>
      <c r="H334" s="6"/>
      <c r="I334" s="6"/>
      <c r="J334" s="9">
        <v>27.52</v>
      </c>
      <c r="K334" s="9">
        <v>28.13</v>
      </c>
      <c r="L334" s="9">
        <v>26.13</v>
      </c>
      <c r="M334" s="9">
        <v>29.17</v>
      </c>
      <c r="N334" s="9">
        <v>27.79</v>
      </c>
      <c r="O334" s="9">
        <v>28.99</v>
      </c>
      <c r="P334" s="9">
        <v>29.6</v>
      </c>
      <c r="Q334" s="9">
        <v>28.93</v>
      </c>
      <c r="R334" s="9">
        <v>28.83</v>
      </c>
      <c r="S334" s="9">
        <v>29.07</v>
      </c>
      <c r="T334" s="9">
        <v>29.91</v>
      </c>
      <c r="U334" s="9">
        <v>28.81</v>
      </c>
      <c r="V334" s="9">
        <v>31.4</v>
      </c>
      <c r="W334" s="6">
        <v>27.72</v>
      </c>
      <c r="X334" s="6">
        <v>29.73</v>
      </c>
      <c r="Y334" s="6">
        <v>26.84</v>
      </c>
      <c r="Z334" s="6">
        <v>27.13</v>
      </c>
      <c r="AA334" s="6">
        <v>27.39</v>
      </c>
      <c r="AB334" s="6">
        <v>27.6</v>
      </c>
      <c r="AC334" s="6">
        <v>29.21</v>
      </c>
      <c r="AD334" s="6">
        <v>28.58</v>
      </c>
      <c r="AE334" s="6">
        <v>27.96</v>
      </c>
      <c r="AF334" s="6">
        <v>28.55</v>
      </c>
      <c r="AG334" s="6">
        <v>25.83</v>
      </c>
      <c r="AH334" s="6">
        <v>27.71</v>
      </c>
      <c r="AI334" s="6">
        <v>27.64</v>
      </c>
      <c r="AJ334" s="6">
        <v>27.73</v>
      </c>
      <c r="AK334" s="6">
        <v>26.69</v>
      </c>
      <c r="AL334" s="6">
        <v>28.43</v>
      </c>
      <c r="AM334" s="6">
        <v>29.53</v>
      </c>
      <c r="AN334" s="6">
        <v>27.95</v>
      </c>
      <c r="AO334" s="6">
        <v>28.91</v>
      </c>
      <c r="AP334" s="6">
        <v>28.97</v>
      </c>
      <c r="AQ334" s="6">
        <v>28.19</v>
      </c>
      <c r="AR334" s="6">
        <v>28.54</v>
      </c>
      <c r="AS334" s="6">
        <v>25.18</v>
      </c>
      <c r="AT334" s="6">
        <v>28.89</v>
      </c>
      <c r="AU334" s="6">
        <v>29</v>
      </c>
      <c r="AV334" s="6">
        <v>27.38</v>
      </c>
      <c r="AW334" s="6">
        <v>27.72</v>
      </c>
      <c r="AX334" s="6">
        <v>28.86</v>
      </c>
      <c r="AY334" s="6">
        <v>27.34</v>
      </c>
      <c r="AZ334" s="6">
        <v>28.11</v>
      </c>
      <c r="BA334" s="6">
        <v>27.68</v>
      </c>
      <c r="BB334" s="6">
        <v>27.92</v>
      </c>
      <c r="BC334" s="6">
        <v>28</v>
      </c>
      <c r="BD334" s="6">
        <v>28.7</v>
      </c>
      <c r="BE334" s="6">
        <v>27.38</v>
      </c>
      <c r="BF334" s="6">
        <v>29.6</v>
      </c>
      <c r="BG334" s="6">
        <v>26.03</v>
      </c>
      <c r="BH334" s="10">
        <v>26.6</v>
      </c>
      <c r="BI334" s="10"/>
    </row>
    <row r="335" spans="1:61" ht="15.75" customHeight="1" x14ac:dyDescent="0.25">
      <c r="A335" s="1">
        <v>334</v>
      </c>
      <c r="B335" s="1"/>
      <c r="C335" s="1">
        <v>29</v>
      </c>
      <c r="D335" s="6">
        <v>28.3</v>
      </c>
      <c r="E335" s="6">
        <v>26.97</v>
      </c>
      <c r="F335" s="6">
        <v>27.12</v>
      </c>
      <c r="G335" s="6"/>
      <c r="H335" s="6"/>
      <c r="I335" s="6"/>
      <c r="J335" s="9">
        <v>27.54</v>
      </c>
      <c r="K335" s="9">
        <v>27.98</v>
      </c>
      <c r="L335" s="9">
        <v>26.01</v>
      </c>
      <c r="M335" s="9">
        <v>28.99</v>
      </c>
      <c r="N335" s="9">
        <v>27.68</v>
      </c>
      <c r="O335" s="9">
        <v>28.86</v>
      </c>
      <c r="P335" s="9">
        <v>29.46</v>
      </c>
      <c r="Q335" s="9">
        <v>28.8</v>
      </c>
      <c r="R335" s="9">
        <v>28.77</v>
      </c>
      <c r="S335" s="9">
        <v>28.99</v>
      </c>
      <c r="T335" s="9">
        <v>29.83</v>
      </c>
      <c r="U335" s="9">
        <v>28.78</v>
      </c>
      <c r="V335" s="9">
        <v>31.32</v>
      </c>
      <c r="W335" s="6">
        <v>27.65</v>
      </c>
      <c r="X335" s="6">
        <v>29.63</v>
      </c>
      <c r="Y335" s="6">
        <v>26.83</v>
      </c>
      <c r="Z335" s="6">
        <v>27.18</v>
      </c>
      <c r="AA335" s="6">
        <v>27.35</v>
      </c>
      <c r="AB335" s="6">
        <v>27.58</v>
      </c>
      <c r="AC335" s="6">
        <v>29.12</v>
      </c>
      <c r="AD335" s="6">
        <v>28.6</v>
      </c>
      <c r="AE335" s="6">
        <v>27.9</v>
      </c>
      <c r="AF335" s="6">
        <v>28.48</v>
      </c>
      <c r="AG335" s="6">
        <v>25.77</v>
      </c>
      <c r="AH335" s="6">
        <v>27.68</v>
      </c>
      <c r="AI335" s="6">
        <v>27.54</v>
      </c>
      <c r="AJ335" s="6">
        <v>27.65</v>
      </c>
      <c r="AK335" s="6">
        <v>26.55</v>
      </c>
      <c r="AL335" s="6">
        <v>28.36</v>
      </c>
      <c r="AM335" s="6">
        <v>29.38</v>
      </c>
      <c r="AN335" s="6">
        <v>27.87</v>
      </c>
      <c r="AO335" s="6">
        <v>28.84</v>
      </c>
      <c r="AP335" s="6">
        <v>28.94</v>
      </c>
      <c r="AQ335" s="6">
        <v>28.06</v>
      </c>
      <c r="AR335" s="6">
        <v>28.62</v>
      </c>
      <c r="AS335" s="6">
        <v>25.08</v>
      </c>
      <c r="AT335" s="6">
        <v>28.9</v>
      </c>
      <c r="AU335" s="6">
        <v>29</v>
      </c>
      <c r="AV335" s="6">
        <v>27.2</v>
      </c>
      <c r="AW335" s="6">
        <v>27.65</v>
      </c>
      <c r="AX335" s="6">
        <v>28.75</v>
      </c>
      <c r="AY335" s="6">
        <v>27.22</v>
      </c>
      <c r="AZ335" s="6">
        <v>28.03</v>
      </c>
      <c r="BA335" s="6">
        <v>27.53</v>
      </c>
      <c r="BB335" s="6">
        <v>27.87</v>
      </c>
      <c r="BC335" s="6">
        <v>27.91</v>
      </c>
      <c r="BD335" s="6">
        <v>28.6</v>
      </c>
      <c r="BE335" s="6">
        <v>27.31</v>
      </c>
      <c r="BF335" s="6">
        <v>29.57</v>
      </c>
      <c r="BG335" s="6">
        <v>25.98</v>
      </c>
      <c r="BH335" s="10">
        <v>26.7</v>
      </c>
      <c r="BI335" s="10"/>
    </row>
    <row r="336" spans="1:61" ht="15.75" customHeight="1" x14ac:dyDescent="0.25">
      <c r="A336" s="1">
        <v>335</v>
      </c>
      <c r="B336" s="1"/>
      <c r="C336" s="1">
        <v>30</v>
      </c>
      <c r="D336" s="6">
        <v>28.26</v>
      </c>
      <c r="E336" s="6">
        <v>27.51</v>
      </c>
      <c r="F336" s="6">
        <v>26.97</v>
      </c>
      <c r="G336" s="6"/>
      <c r="H336" s="6"/>
      <c r="I336" s="6"/>
      <c r="J336" s="9">
        <v>27.52</v>
      </c>
      <c r="K336" s="9">
        <v>27.93</v>
      </c>
      <c r="L336" s="9">
        <v>25.89</v>
      </c>
      <c r="M336" s="9">
        <v>28.79</v>
      </c>
      <c r="N336" s="9">
        <v>27.6</v>
      </c>
      <c r="O336" s="9">
        <v>28.73</v>
      </c>
      <c r="P336" s="9">
        <v>29.27</v>
      </c>
      <c r="Q336" s="9">
        <v>28.68</v>
      </c>
      <c r="R336" s="9">
        <v>28.68</v>
      </c>
      <c r="S336" s="9">
        <v>28.9</v>
      </c>
      <c r="T336" s="9">
        <v>29.7</v>
      </c>
      <c r="U336" s="9">
        <v>28.75</v>
      </c>
      <c r="V336" s="9">
        <v>31.32</v>
      </c>
      <c r="W336" s="6">
        <v>27.62</v>
      </c>
      <c r="X336" s="6">
        <v>29.53</v>
      </c>
      <c r="Y336" s="6">
        <v>26.75</v>
      </c>
      <c r="Z336" s="6">
        <v>27.17</v>
      </c>
      <c r="AA336" s="6">
        <v>27.34</v>
      </c>
      <c r="AB336" s="6">
        <v>27.52</v>
      </c>
      <c r="AC336" s="6">
        <v>29.03</v>
      </c>
      <c r="AD336" s="6">
        <v>28.58</v>
      </c>
      <c r="AE336" s="6">
        <v>27.8</v>
      </c>
      <c r="AF336" s="6">
        <v>28.41</v>
      </c>
      <c r="AG336" s="6">
        <v>25.73</v>
      </c>
      <c r="AH336" s="6">
        <v>27.65</v>
      </c>
      <c r="AI336" s="6">
        <v>27.46</v>
      </c>
      <c r="AJ336" s="6">
        <v>27.54</v>
      </c>
      <c r="AK336" s="6">
        <v>26.41</v>
      </c>
      <c r="AL336" s="6">
        <v>28.26</v>
      </c>
      <c r="AM336" s="6">
        <v>29.28</v>
      </c>
      <c r="AN336" s="6">
        <v>27.79</v>
      </c>
      <c r="AO336" s="6">
        <v>28.78</v>
      </c>
      <c r="AP336" s="6">
        <v>28.94</v>
      </c>
      <c r="AQ336" s="6">
        <v>27.92</v>
      </c>
      <c r="AR336" s="6">
        <v>28.72</v>
      </c>
      <c r="AS336" s="6">
        <v>25.01</v>
      </c>
      <c r="AT336" s="6">
        <v>28.86</v>
      </c>
      <c r="AU336" s="6">
        <v>29.01</v>
      </c>
      <c r="AV336" s="6">
        <v>27.02</v>
      </c>
      <c r="AW336" s="6">
        <v>27.58</v>
      </c>
      <c r="AX336" s="6">
        <v>28.6</v>
      </c>
      <c r="AY336" s="6">
        <v>27.09</v>
      </c>
      <c r="AZ336" s="6">
        <v>27.98</v>
      </c>
      <c r="BA336" s="6">
        <v>27.41</v>
      </c>
      <c r="BB336" s="6">
        <v>27.81</v>
      </c>
      <c r="BC336" s="6">
        <v>27.83</v>
      </c>
      <c r="BD336" s="6">
        <v>28.45</v>
      </c>
      <c r="BE336" s="6">
        <v>27.26</v>
      </c>
      <c r="BF336" s="6">
        <v>29.52</v>
      </c>
      <c r="BG336" s="6">
        <v>25.93</v>
      </c>
      <c r="BH336" s="10">
        <v>26.8</v>
      </c>
      <c r="BI336" s="10"/>
    </row>
    <row r="337" spans="1:61" ht="15.75" customHeight="1" x14ac:dyDescent="0.25">
      <c r="A337" s="1">
        <v>336</v>
      </c>
      <c r="B337" s="1" t="s">
        <v>15</v>
      </c>
      <c r="C337" s="1">
        <v>1</v>
      </c>
      <c r="D337" s="6">
        <v>28.12</v>
      </c>
      <c r="E337" s="6">
        <v>28.03</v>
      </c>
      <c r="F337" s="6">
        <v>26.85</v>
      </c>
      <c r="G337" s="6"/>
      <c r="H337" s="6"/>
      <c r="I337" s="6"/>
      <c r="J337" s="9">
        <v>27.52</v>
      </c>
      <c r="K337" s="9">
        <v>27.88</v>
      </c>
      <c r="L337" s="9">
        <v>25.77</v>
      </c>
      <c r="M337" s="9">
        <v>28.57</v>
      </c>
      <c r="N337" s="9">
        <v>27.51</v>
      </c>
      <c r="O337" s="9">
        <v>28.69</v>
      </c>
      <c r="P337" s="9">
        <v>29.12</v>
      </c>
      <c r="Q337" s="9">
        <v>28.58</v>
      </c>
      <c r="R337" s="9">
        <v>28.67</v>
      </c>
      <c r="S337" s="9">
        <v>28.82</v>
      </c>
      <c r="T337" s="9">
        <v>29.62</v>
      </c>
      <c r="U337" s="9">
        <v>28.7</v>
      </c>
      <c r="V337" s="9">
        <v>31.11</v>
      </c>
      <c r="W337" s="6">
        <v>27.61</v>
      </c>
      <c r="X337" s="6">
        <v>29.4</v>
      </c>
      <c r="Y337" s="6">
        <v>26.7</v>
      </c>
      <c r="Z337" s="6">
        <v>27.13</v>
      </c>
      <c r="AA337" s="6">
        <v>27.3</v>
      </c>
      <c r="AB337" s="6">
        <v>27.46</v>
      </c>
      <c r="AC337" s="6">
        <v>28.93</v>
      </c>
      <c r="AD337" s="6">
        <v>28.58</v>
      </c>
      <c r="AE337" s="6">
        <v>27.7</v>
      </c>
      <c r="AF337" s="6">
        <v>28.36</v>
      </c>
      <c r="AG337" s="6">
        <v>25.64</v>
      </c>
      <c r="AH337" s="6">
        <v>27.65</v>
      </c>
      <c r="AI337" s="6">
        <v>27.38</v>
      </c>
      <c r="AJ337" s="6">
        <v>27.42</v>
      </c>
      <c r="AK337" s="6">
        <v>26.28</v>
      </c>
      <c r="AL337" s="6">
        <v>28.14</v>
      </c>
      <c r="AM337" s="6">
        <v>29.18</v>
      </c>
      <c r="AN337" s="6">
        <v>27.7</v>
      </c>
      <c r="AO337" s="6">
        <v>28.69</v>
      </c>
      <c r="AP337" s="6">
        <v>28.91</v>
      </c>
      <c r="AQ337" s="6">
        <v>27.8</v>
      </c>
      <c r="AR337" s="6">
        <v>28.79</v>
      </c>
      <c r="AS337" s="6">
        <v>24.89</v>
      </c>
      <c r="AT337" s="6">
        <v>28.81</v>
      </c>
      <c r="AU337" s="6">
        <v>29.01</v>
      </c>
      <c r="AV337" s="6">
        <v>26.85</v>
      </c>
      <c r="AW337" s="6">
        <v>27.49</v>
      </c>
      <c r="AX337" s="6">
        <v>28.44</v>
      </c>
      <c r="AY337" s="6">
        <v>26.99</v>
      </c>
      <c r="AZ337" s="6">
        <v>27.92</v>
      </c>
      <c r="BA337" s="6">
        <v>27.3</v>
      </c>
      <c r="BB337" s="6">
        <v>27.74</v>
      </c>
      <c r="BC337" s="6">
        <v>27.75</v>
      </c>
      <c r="BD337" s="6">
        <v>28.36</v>
      </c>
      <c r="BE337" s="6">
        <v>27.2</v>
      </c>
      <c r="BF337" s="6">
        <v>29.47</v>
      </c>
      <c r="BG337" s="6">
        <v>25.86</v>
      </c>
      <c r="BH337" s="10">
        <v>26.87</v>
      </c>
      <c r="BI337" s="10"/>
    </row>
    <row r="338" spans="1:61" ht="15.75" customHeight="1" x14ac:dyDescent="0.25">
      <c r="A338" s="1">
        <v>337</v>
      </c>
      <c r="B338" s="1"/>
      <c r="C338" s="1">
        <v>2</v>
      </c>
      <c r="D338" s="6">
        <v>27.89</v>
      </c>
      <c r="E338" s="6">
        <v>28.02</v>
      </c>
      <c r="F338" s="6">
        <v>26.69</v>
      </c>
      <c r="G338" s="6"/>
      <c r="H338" s="6"/>
      <c r="I338" s="6"/>
      <c r="J338" s="9">
        <v>27.52</v>
      </c>
      <c r="K338" s="9">
        <v>27.78</v>
      </c>
      <c r="L338" s="9">
        <v>25.67</v>
      </c>
      <c r="M338" s="9">
        <v>28.33</v>
      </c>
      <c r="N338" s="9">
        <v>27.41</v>
      </c>
      <c r="O338" s="9">
        <v>28.6</v>
      </c>
      <c r="P338" s="9">
        <v>28.99</v>
      </c>
      <c r="Q338" s="9">
        <v>28.48</v>
      </c>
      <c r="R338" s="9">
        <v>28.7</v>
      </c>
      <c r="S338" s="9">
        <v>28.76</v>
      </c>
      <c r="T338" s="9">
        <v>29.56</v>
      </c>
      <c r="U338" s="9">
        <v>28.64</v>
      </c>
      <c r="V338" s="9">
        <v>31</v>
      </c>
      <c r="W338" s="6">
        <v>27.62</v>
      </c>
      <c r="X338" s="6">
        <v>29.27</v>
      </c>
      <c r="Y338" s="6">
        <v>26.75</v>
      </c>
      <c r="Z338" s="6">
        <v>27.13</v>
      </c>
      <c r="AA338" s="6">
        <v>27.26</v>
      </c>
      <c r="AB338" s="6">
        <v>27.39</v>
      </c>
      <c r="AC338" s="6">
        <v>28.83</v>
      </c>
      <c r="AD338" s="6">
        <v>28.58</v>
      </c>
      <c r="AE338" s="6">
        <v>27.58</v>
      </c>
      <c r="AF338" s="6">
        <v>28.3</v>
      </c>
      <c r="AG338" s="6">
        <v>25.54</v>
      </c>
      <c r="AH338" s="6">
        <v>27.55</v>
      </c>
      <c r="AI338" s="6">
        <v>27.32</v>
      </c>
      <c r="AJ338" s="6">
        <v>27.29</v>
      </c>
      <c r="AK338" s="6">
        <v>26.14</v>
      </c>
      <c r="AL338" s="6">
        <v>28.02</v>
      </c>
      <c r="AM338" s="6">
        <v>29.08</v>
      </c>
      <c r="AN338" s="6">
        <v>27.65</v>
      </c>
      <c r="AO338" s="6">
        <v>28.6</v>
      </c>
      <c r="AP338" s="6">
        <v>28.85</v>
      </c>
      <c r="AQ338" s="6">
        <v>27.67</v>
      </c>
      <c r="AR338" s="6">
        <v>28.88</v>
      </c>
      <c r="AS338" s="6">
        <v>24.78</v>
      </c>
      <c r="AT338" s="6">
        <v>28.76</v>
      </c>
      <c r="AU338" s="6">
        <v>29.05</v>
      </c>
      <c r="AV338" s="6">
        <v>26.68</v>
      </c>
      <c r="AW338" s="6">
        <v>27.4</v>
      </c>
      <c r="AX338" s="6">
        <v>28.26</v>
      </c>
      <c r="AY338" s="6">
        <v>26.88</v>
      </c>
      <c r="AZ338" s="6">
        <v>27.93</v>
      </c>
      <c r="BA338" s="6">
        <v>27.24</v>
      </c>
      <c r="BB338" s="6">
        <v>27.67</v>
      </c>
      <c r="BC338" s="6">
        <v>27.66</v>
      </c>
      <c r="BD338" s="6">
        <v>28.26</v>
      </c>
      <c r="BE338" s="6">
        <v>27.15</v>
      </c>
      <c r="BF338" s="6">
        <v>29.41</v>
      </c>
      <c r="BG338" s="6">
        <v>25.8</v>
      </c>
      <c r="BH338" s="10">
        <v>26.88</v>
      </c>
      <c r="BI338" s="10"/>
    </row>
    <row r="339" spans="1:61" ht="15.75" customHeight="1" x14ac:dyDescent="0.25">
      <c r="A339" s="1">
        <v>338</v>
      </c>
      <c r="B339" s="1"/>
      <c r="C339" s="1">
        <v>3</v>
      </c>
      <c r="D339" s="6">
        <v>27.76</v>
      </c>
      <c r="E339" s="6">
        <v>27.97</v>
      </c>
      <c r="F339" s="6">
        <v>26.56</v>
      </c>
      <c r="G339" s="6"/>
      <c r="H339" s="6"/>
      <c r="I339" s="6"/>
      <c r="J339" s="9">
        <v>27.49</v>
      </c>
      <c r="K339" s="9">
        <v>27.68</v>
      </c>
      <c r="L339" s="9">
        <v>25.58</v>
      </c>
      <c r="M339" s="9">
        <v>28.08</v>
      </c>
      <c r="N339" s="9">
        <v>27.33</v>
      </c>
      <c r="O339" s="9">
        <v>28.53</v>
      </c>
      <c r="P339" s="9">
        <v>28.84</v>
      </c>
      <c r="Q339" s="9">
        <v>28.38</v>
      </c>
      <c r="R339" s="9">
        <v>28.68</v>
      </c>
      <c r="S339" s="9">
        <v>28.68</v>
      </c>
      <c r="T339" s="9">
        <v>29.42</v>
      </c>
      <c r="U339" s="9">
        <v>28.57</v>
      </c>
      <c r="V339" s="9">
        <v>30.89</v>
      </c>
      <c r="W339" s="6">
        <v>27.57</v>
      </c>
      <c r="X339" s="6">
        <v>29.13</v>
      </c>
      <c r="Y339" s="6">
        <v>26.77</v>
      </c>
      <c r="Z339" s="6">
        <v>27.13</v>
      </c>
      <c r="AA339" s="6">
        <v>27.2</v>
      </c>
      <c r="AB339" s="6">
        <v>27.3</v>
      </c>
      <c r="AC339" s="6">
        <v>28.7</v>
      </c>
      <c r="AD339" s="6">
        <v>28.58</v>
      </c>
      <c r="AE339" s="6">
        <v>27.43</v>
      </c>
      <c r="AF339" s="6">
        <v>28.24</v>
      </c>
      <c r="AG339" s="6">
        <v>25.44</v>
      </c>
      <c r="AH339" s="6">
        <v>27.48</v>
      </c>
      <c r="AI339" s="6">
        <v>27.24</v>
      </c>
      <c r="AJ339" s="6">
        <v>27.17</v>
      </c>
      <c r="AK339" s="6">
        <v>26</v>
      </c>
      <c r="AL339" s="6">
        <v>27.9</v>
      </c>
      <c r="AM339" s="6">
        <v>28.96</v>
      </c>
      <c r="AN339" s="6">
        <v>27.6</v>
      </c>
      <c r="AO339" s="6">
        <v>28.5</v>
      </c>
      <c r="AP339" s="6">
        <v>28.77</v>
      </c>
      <c r="AQ339" s="6">
        <v>27.56</v>
      </c>
      <c r="AR339" s="6">
        <v>28.94</v>
      </c>
      <c r="AS339" s="6">
        <v>24.68</v>
      </c>
      <c r="AT339" s="6">
        <v>28.7</v>
      </c>
      <c r="AU339" s="6">
        <v>29.05</v>
      </c>
      <c r="AV339" s="6">
        <v>26.51</v>
      </c>
      <c r="AW339" s="6">
        <v>27.3</v>
      </c>
      <c r="AX339" s="6">
        <v>28.08</v>
      </c>
      <c r="AY339" s="6">
        <v>26.82</v>
      </c>
      <c r="AZ339" s="6">
        <v>28.1</v>
      </c>
      <c r="BA339" s="6">
        <v>27.2</v>
      </c>
      <c r="BB339" s="6">
        <v>27.57</v>
      </c>
      <c r="BC339" s="6">
        <v>27.57</v>
      </c>
      <c r="BD339" s="6">
        <v>28.28</v>
      </c>
      <c r="BE339" s="6">
        <v>27.08</v>
      </c>
      <c r="BF339" s="6">
        <v>29.34</v>
      </c>
      <c r="BG339" s="6">
        <v>25.73</v>
      </c>
      <c r="BH339" s="10">
        <v>26.82</v>
      </c>
      <c r="BI339" s="10"/>
    </row>
    <row r="340" spans="1:61" ht="15.75" customHeight="1" x14ac:dyDescent="0.25">
      <c r="A340" s="1">
        <v>339</v>
      </c>
      <c r="B340" s="1"/>
      <c r="C340" s="1">
        <v>4</v>
      </c>
      <c r="D340" s="6">
        <v>27.62</v>
      </c>
      <c r="E340" s="6">
        <v>27.9</v>
      </c>
      <c r="F340" s="6">
        <v>26.39</v>
      </c>
      <c r="G340" s="6"/>
      <c r="H340" s="6"/>
      <c r="I340" s="6"/>
      <c r="J340" s="9">
        <v>27.43</v>
      </c>
      <c r="K340" s="9">
        <v>27.58</v>
      </c>
      <c r="L340" s="9">
        <v>25.49</v>
      </c>
      <c r="M340" s="9">
        <v>27.88</v>
      </c>
      <c r="N340" s="9">
        <v>27.24</v>
      </c>
      <c r="O340" s="9">
        <v>28.47</v>
      </c>
      <c r="P340" s="9">
        <v>28.69</v>
      </c>
      <c r="Q340" s="9">
        <v>28.25</v>
      </c>
      <c r="R340" s="9">
        <v>28.65</v>
      </c>
      <c r="S340" s="9">
        <v>28.61</v>
      </c>
      <c r="T340" s="9">
        <v>29.34</v>
      </c>
      <c r="U340" s="9">
        <v>28.51</v>
      </c>
      <c r="V340" s="9">
        <v>30.76</v>
      </c>
      <c r="W340" s="6">
        <v>27.55</v>
      </c>
      <c r="X340" s="6">
        <v>29.03</v>
      </c>
      <c r="Y340" s="6">
        <v>26.82</v>
      </c>
      <c r="Z340" s="6">
        <v>27.18</v>
      </c>
      <c r="AA340" s="6">
        <v>27.15</v>
      </c>
      <c r="AB340" s="6">
        <v>27.2</v>
      </c>
      <c r="AC340" s="6">
        <v>28.6</v>
      </c>
      <c r="AD340" s="6">
        <v>28.56</v>
      </c>
      <c r="AE340" s="6">
        <v>27.28</v>
      </c>
      <c r="AF340" s="6">
        <v>28.18</v>
      </c>
      <c r="AG340" s="6">
        <v>25.39</v>
      </c>
      <c r="AH340" s="6">
        <v>27.39</v>
      </c>
      <c r="AI340" s="6">
        <v>27.16</v>
      </c>
      <c r="AJ340" s="6">
        <v>27.01</v>
      </c>
      <c r="AK340" s="6">
        <v>25.88</v>
      </c>
      <c r="AL340" s="6">
        <v>27.78</v>
      </c>
      <c r="AM340" s="6">
        <v>28.8</v>
      </c>
      <c r="AN340" s="6">
        <v>27.6</v>
      </c>
      <c r="AO340" s="6">
        <v>28.36</v>
      </c>
      <c r="AP340" s="6">
        <v>28.67</v>
      </c>
      <c r="AQ340" s="6">
        <v>27.41</v>
      </c>
      <c r="AR340" s="6">
        <v>28.98</v>
      </c>
      <c r="AS340" s="6">
        <v>24.58</v>
      </c>
      <c r="AT340" s="6">
        <v>28.64</v>
      </c>
      <c r="AU340" s="6">
        <v>29.02</v>
      </c>
      <c r="AV340" s="6">
        <v>26.38</v>
      </c>
      <c r="AW340" s="6">
        <v>27.31</v>
      </c>
      <c r="AX340" s="6">
        <v>27.89</v>
      </c>
      <c r="AY340" s="6">
        <v>26.75</v>
      </c>
      <c r="AZ340" s="6">
        <v>28.17</v>
      </c>
      <c r="BA340" s="6">
        <v>27.18</v>
      </c>
      <c r="BB340" s="6">
        <v>27.45</v>
      </c>
      <c r="BC340" s="6">
        <v>27.48</v>
      </c>
      <c r="BD340" s="6">
        <v>28.28</v>
      </c>
      <c r="BE340" s="6">
        <v>27</v>
      </c>
      <c r="BF340" s="6">
        <v>29.26</v>
      </c>
      <c r="BG340" s="6">
        <v>25.66</v>
      </c>
      <c r="BH340" s="10">
        <v>26.78</v>
      </c>
      <c r="BI340" s="10"/>
    </row>
    <row r="341" spans="1:61" ht="15.75" customHeight="1" x14ac:dyDescent="0.25">
      <c r="A341" s="1">
        <v>340</v>
      </c>
      <c r="B341" s="1"/>
      <c r="C341" s="1">
        <v>5</v>
      </c>
      <c r="D341" s="6">
        <v>27.44</v>
      </c>
      <c r="E341" s="6">
        <v>27.8</v>
      </c>
      <c r="F341" s="6">
        <v>26.2</v>
      </c>
      <c r="G341" s="6"/>
      <c r="H341" s="6"/>
      <c r="I341" s="6"/>
      <c r="J341" s="9">
        <v>27.34</v>
      </c>
      <c r="K341" s="9">
        <v>27.48</v>
      </c>
      <c r="L341" s="9">
        <v>25.41</v>
      </c>
      <c r="M341" s="9">
        <v>27.67</v>
      </c>
      <c r="N341" s="9">
        <v>27.15</v>
      </c>
      <c r="O341" s="9">
        <v>28.34</v>
      </c>
      <c r="P341" s="9">
        <v>28.54</v>
      </c>
      <c r="Q341" s="9">
        <v>28.11</v>
      </c>
      <c r="R341" s="9">
        <v>28.58</v>
      </c>
      <c r="S341" s="9">
        <v>28.59</v>
      </c>
      <c r="T341" s="9">
        <v>29.11</v>
      </c>
      <c r="U341" s="9">
        <v>28.47</v>
      </c>
      <c r="V341" s="9">
        <v>30.62</v>
      </c>
      <c r="W341" s="6">
        <v>27.53</v>
      </c>
      <c r="X341" s="6">
        <v>28.91</v>
      </c>
      <c r="Y341" s="6">
        <v>26.75</v>
      </c>
      <c r="Z341" s="6">
        <v>27.21</v>
      </c>
      <c r="AA341" s="6">
        <v>27.08</v>
      </c>
      <c r="AB341" s="6">
        <v>27.12</v>
      </c>
      <c r="AC341" s="6">
        <v>28.53</v>
      </c>
      <c r="AD341" s="6">
        <v>28.54</v>
      </c>
      <c r="AE341" s="6">
        <v>27.12</v>
      </c>
      <c r="AF341" s="6">
        <v>28.12</v>
      </c>
      <c r="AG341" s="6">
        <v>25.34</v>
      </c>
      <c r="AH341" s="6">
        <v>27.35</v>
      </c>
      <c r="AI341" s="6">
        <v>27.04</v>
      </c>
      <c r="AJ341" s="6">
        <v>26.92</v>
      </c>
      <c r="AK341" s="6">
        <v>25.78</v>
      </c>
      <c r="AL341" s="6">
        <v>27.65</v>
      </c>
      <c r="AM341" s="6">
        <v>28.66</v>
      </c>
      <c r="AN341" s="6">
        <v>27.59</v>
      </c>
      <c r="AO341" s="6">
        <v>28.2</v>
      </c>
      <c r="AP341" s="6">
        <v>28.55</v>
      </c>
      <c r="AQ341" s="6">
        <v>27.29</v>
      </c>
      <c r="AR341" s="6">
        <v>29</v>
      </c>
      <c r="AS341" s="6">
        <v>24.48</v>
      </c>
      <c r="AT341" s="6">
        <v>28.58</v>
      </c>
      <c r="AU341" s="6">
        <v>29</v>
      </c>
      <c r="AV341" s="6">
        <v>26.22</v>
      </c>
      <c r="AW341" s="6">
        <v>27.1</v>
      </c>
      <c r="AX341" s="6">
        <v>27.71</v>
      </c>
      <c r="AY341" s="6">
        <v>26.55</v>
      </c>
      <c r="AZ341" s="6">
        <v>28.2</v>
      </c>
      <c r="BA341" s="6">
        <v>27.12</v>
      </c>
      <c r="BB341" s="6">
        <v>27.34</v>
      </c>
      <c r="BC341" s="6">
        <v>27.36</v>
      </c>
      <c r="BD341" s="6">
        <v>28.38</v>
      </c>
      <c r="BE341" s="6">
        <v>26.96</v>
      </c>
      <c r="BF341" s="6">
        <v>29.15</v>
      </c>
      <c r="BG341" s="6">
        <v>25.5</v>
      </c>
      <c r="BH341" s="10">
        <v>26.68</v>
      </c>
      <c r="BI341" s="10"/>
    </row>
    <row r="342" spans="1:61" ht="15.75" customHeight="1" x14ac:dyDescent="0.25">
      <c r="A342" s="1">
        <v>341</v>
      </c>
      <c r="B342" s="1"/>
      <c r="C342" s="1">
        <v>6</v>
      </c>
      <c r="D342" s="6">
        <v>27.28</v>
      </c>
      <c r="E342" s="6">
        <v>27.7</v>
      </c>
      <c r="F342" s="6">
        <v>26.12</v>
      </c>
      <c r="G342" s="6"/>
      <c r="H342" s="6"/>
      <c r="I342" s="6"/>
      <c r="J342" s="9">
        <v>27.23</v>
      </c>
      <c r="K342" s="9">
        <v>27.38</v>
      </c>
      <c r="L342" s="9">
        <v>25.32</v>
      </c>
      <c r="M342" s="9">
        <v>27.43</v>
      </c>
      <c r="N342" s="9">
        <v>27.07</v>
      </c>
      <c r="O342" s="9">
        <v>28.24</v>
      </c>
      <c r="P342" s="9">
        <v>28.4</v>
      </c>
      <c r="Q342" s="9">
        <v>27.96</v>
      </c>
      <c r="R342" s="9">
        <v>28.5</v>
      </c>
      <c r="S342" s="9">
        <v>28.56</v>
      </c>
      <c r="T342" s="9">
        <v>29.02</v>
      </c>
      <c r="U342" s="9">
        <v>28.4</v>
      </c>
      <c r="V342" s="9">
        <v>30.48</v>
      </c>
      <c r="W342" s="6">
        <v>27.52</v>
      </c>
      <c r="X342" s="6">
        <v>28.79</v>
      </c>
      <c r="Y342" s="6">
        <v>26.68</v>
      </c>
      <c r="Z342" s="6">
        <v>27.25</v>
      </c>
      <c r="AA342" s="6">
        <v>27</v>
      </c>
      <c r="AB342" s="6">
        <v>27.08</v>
      </c>
      <c r="AC342" s="6">
        <v>28.46</v>
      </c>
      <c r="AD342" s="6">
        <v>28.49</v>
      </c>
      <c r="AE342" s="6">
        <v>26.94</v>
      </c>
      <c r="AF342" s="6">
        <v>28.06</v>
      </c>
      <c r="AG342" s="6">
        <v>25.3</v>
      </c>
      <c r="AH342" s="6">
        <v>27.24</v>
      </c>
      <c r="AI342" s="6">
        <v>26.9</v>
      </c>
      <c r="AJ342" s="6">
        <v>26.83</v>
      </c>
      <c r="AK342" s="6">
        <v>25.72</v>
      </c>
      <c r="AL342" s="6">
        <v>27.52</v>
      </c>
      <c r="AM342" s="6">
        <v>28.64</v>
      </c>
      <c r="AN342" s="6">
        <v>27.54</v>
      </c>
      <c r="AO342" s="6">
        <v>28.02</v>
      </c>
      <c r="AP342" s="6">
        <v>28.41</v>
      </c>
      <c r="AQ342" s="6">
        <v>27.1</v>
      </c>
      <c r="AR342" s="6">
        <v>28.99</v>
      </c>
      <c r="AS342" s="6">
        <v>24.38</v>
      </c>
      <c r="AT342" s="6">
        <v>28.5</v>
      </c>
      <c r="AU342" s="6">
        <v>28.96</v>
      </c>
      <c r="AV342" s="6">
        <v>26.12</v>
      </c>
      <c r="AW342" s="6">
        <v>27.02</v>
      </c>
      <c r="AX342" s="6">
        <v>27.52</v>
      </c>
      <c r="AY342" s="6">
        <v>26.65</v>
      </c>
      <c r="AZ342" s="6">
        <v>28.24</v>
      </c>
      <c r="BA342" s="6">
        <v>27.05</v>
      </c>
      <c r="BB342" s="6">
        <v>27.23</v>
      </c>
      <c r="BC342" s="6">
        <v>27.28</v>
      </c>
      <c r="BD342" s="6">
        <v>28.47</v>
      </c>
      <c r="BE342" s="6">
        <v>26.91</v>
      </c>
      <c r="BF342" s="6">
        <v>29.12</v>
      </c>
      <c r="BG342" s="6">
        <v>25.52</v>
      </c>
      <c r="BH342" s="10">
        <v>26.6</v>
      </c>
      <c r="BI342" s="10"/>
    </row>
    <row r="343" spans="1:61" ht="15.75" customHeight="1" x14ac:dyDescent="0.25">
      <c r="A343" s="1">
        <v>342</v>
      </c>
      <c r="B343" s="1"/>
      <c r="C343" s="1">
        <v>7</v>
      </c>
      <c r="D343" s="6">
        <v>27.12</v>
      </c>
      <c r="E343" s="6">
        <v>27.6</v>
      </c>
      <c r="F343" s="6">
        <v>26.04</v>
      </c>
      <c r="G343" s="6"/>
      <c r="H343" s="6"/>
      <c r="I343" s="6"/>
      <c r="J343" s="9">
        <v>27.12</v>
      </c>
      <c r="K343" s="9">
        <v>27.28</v>
      </c>
      <c r="L343" s="9">
        <v>25.27</v>
      </c>
      <c r="M343" s="9">
        <v>27.2</v>
      </c>
      <c r="N343" s="9">
        <v>27</v>
      </c>
      <c r="O343" s="9">
        <v>28.15</v>
      </c>
      <c r="P343" s="9">
        <v>28.23</v>
      </c>
      <c r="Q343" s="9">
        <v>27.81</v>
      </c>
      <c r="R343" s="9">
        <v>28.49</v>
      </c>
      <c r="S343" s="9">
        <v>28.55</v>
      </c>
      <c r="T343" s="9">
        <v>28.96</v>
      </c>
      <c r="U343" s="9">
        <v>28.33</v>
      </c>
      <c r="V343" s="9">
        <v>30.33</v>
      </c>
      <c r="W343" s="6">
        <v>27.52</v>
      </c>
      <c r="X343" s="6">
        <v>28.68</v>
      </c>
      <c r="Y343" s="6">
        <v>26.59</v>
      </c>
      <c r="Z343" s="6">
        <v>27.23</v>
      </c>
      <c r="AA343" s="6">
        <v>26.93</v>
      </c>
      <c r="AB343" s="6">
        <v>27.04</v>
      </c>
      <c r="AC343" s="6">
        <v>28.38</v>
      </c>
      <c r="AD343" s="6">
        <v>28.41</v>
      </c>
      <c r="AE343" s="6">
        <v>26.78</v>
      </c>
      <c r="AF343" s="6">
        <v>28.03</v>
      </c>
      <c r="AG343" s="6">
        <v>25.27</v>
      </c>
      <c r="AH343" s="6">
        <v>27.16</v>
      </c>
      <c r="AI343" s="24">
        <v>26.76</v>
      </c>
      <c r="AJ343" s="6">
        <v>26.75</v>
      </c>
      <c r="AK343" s="6">
        <v>25.65</v>
      </c>
      <c r="AL343" s="6">
        <v>27.37</v>
      </c>
      <c r="AM343" s="6">
        <v>28.38</v>
      </c>
      <c r="AN343" s="6">
        <v>27.47</v>
      </c>
      <c r="AO343" s="6">
        <v>27.84</v>
      </c>
      <c r="AP343" s="6">
        <v>28.25</v>
      </c>
      <c r="AQ343" s="6">
        <v>26.95</v>
      </c>
      <c r="AR343" s="6">
        <v>28.98</v>
      </c>
      <c r="AS343" s="6">
        <v>24.3</v>
      </c>
      <c r="AT343" s="6">
        <v>28.4</v>
      </c>
      <c r="AU343" s="6">
        <v>28.96</v>
      </c>
      <c r="AV343" s="6">
        <v>26</v>
      </c>
      <c r="AW343" s="6">
        <v>26.99</v>
      </c>
      <c r="AX343" s="6">
        <v>27.35</v>
      </c>
      <c r="AY343" s="6">
        <v>26.59</v>
      </c>
      <c r="AZ343" s="6">
        <v>28.25</v>
      </c>
      <c r="BA343" s="6">
        <v>26.91</v>
      </c>
      <c r="BB343" s="6">
        <v>27.11</v>
      </c>
      <c r="BC343" s="6">
        <v>27.14</v>
      </c>
      <c r="BD343" s="6">
        <v>28.5</v>
      </c>
      <c r="BE343" s="6">
        <v>26.78</v>
      </c>
      <c r="BF343" s="6">
        <v>29.05</v>
      </c>
      <c r="BG343" s="6">
        <v>25.41</v>
      </c>
      <c r="BH343" s="10">
        <v>26.52</v>
      </c>
      <c r="BI343" s="10"/>
    </row>
    <row r="344" spans="1:61" ht="15.75" customHeight="1" x14ac:dyDescent="0.25">
      <c r="A344" s="1">
        <v>343</v>
      </c>
      <c r="B344" s="1"/>
      <c r="C344" s="1">
        <v>8</v>
      </c>
      <c r="D344" s="6">
        <v>26.82</v>
      </c>
      <c r="E344" s="6">
        <v>27.51</v>
      </c>
      <c r="F344" s="6">
        <v>25.92</v>
      </c>
      <c r="G344" s="6"/>
      <c r="H344" s="6"/>
      <c r="I344" s="6"/>
      <c r="J344" s="9">
        <v>27</v>
      </c>
      <c r="K344" s="9">
        <v>27.23</v>
      </c>
      <c r="L344" s="9">
        <v>25.2</v>
      </c>
      <c r="M344" s="9">
        <v>26.97</v>
      </c>
      <c r="N344" s="9">
        <v>26.92</v>
      </c>
      <c r="O344" s="9">
        <v>28.07</v>
      </c>
      <c r="P344" s="9">
        <v>28.09</v>
      </c>
      <c r="Q344" s="9">
        <v>27.7</v>
      </c>
      <c r="R344" s="9">
        <v>28.47</v>
      </c>
      <c r="S344" s="9">
        <v>28.51</v>
      </c>
      <c r="T344" s="9">
        <v>28.88</v>
      </c>
      <c r="U344" s="9">
        <v>28.23</v>
      </c>
      <c r="V344" s="9">
        <v>30.18</v>
      </c>
      <c r="W344" s="6">
        <v>27.56</v>
      </c>
      <c r="X344" s="6">
        <v>28.55</v>
      </c>
      <c r="Y344" s="6">
        <v>26.54</v>
      </c>
      <c r="Z344" s="6">
        <v>27.28</v>
      </c>
      <c r="AA344" s="6">
        <v>26.86</v>
      </c>
      <c r="AB344" s="6">
        <v>27.02</v>
      </c>
      <c r="AC344" s="6">
        <v>28.3</v>
      </c>
      <c r="AD344" s="6">
        <v>28.3</v>
      </c>
      <c r="AE344" s="6">
        <v>26.61</v>
      </c>
      <c r="AF344" s="6">
        <v>28.01</v>
      </c>
      <c r="AG344" s="6">
        <v>25.25</v>
      </c>
      <c r="AH344" s="6">
        <v>27.08</v>
      </c>
      <c r="AI344" s="6">
        <v>26.61</v>
      </c>
      <c r="AJ344" s="6">
        <v>26.67</v>
      </c>
      <c r="AK344" s="6">
        <v>25.55</v>
      </c>
      <c r="AL344" s="6">
        <v>27.2</v>
      </c>
      <c r="AM344" s="6">
        <v>28.28</v>
      </c>
      <c r="AN344" s="6">
        <v>27.38</v>
      </c>
      <c r="AO344" s="6">
        <v>27.66</v>
      </c>
      <c r="AP344" s="6">
        <v>28.08</v>
      </c>
      <c r="AQ344" s="6">
        <v>26.8</v>
      </c>
      <c r="AR344" s="6">
        <v>28.96</v>
      </c>
      <c r="AS344" s="6">
        <v>24.25</v>
      </c>
      <c r="AT344" s="6">
        <v>28.35</v>
      </c>
      <c r="AU344" s="6">
        <v>28.96</v>
      </c>
      <c r="AV344" s="6">
        <v>25.88</v>
      </c>
      <c r="AW344" s="6">
        <v>26.92</v>
      </c>
      <c r="AX344" s="6">
        <v>27.17</v>
      </c>
      <c r="AY344" s="6">
        <v>26.53</v>
      </c>
      <c r="AZ344" s="6">
        <v>28.26</v>
      </c>
      <c r="BA344" s="6">
        <v>26.77</v>
      </c>
      <c r="BB344" s="6">
        <v>26.99</v>
      </c>
      <c r="BC344" s="6">
        <v>27</v>
      </c>
      <c r="BD344" s="6">
        <v>28.56</v>
      </c>
      <c r="BE344" s="6">
        <v>26.66</v>
      </c>
      <c r="BF344" s="6">
        <v>29</v>
      </c>
      <c r="BG344" s="6">
        <v>25.28</v>
      </c>
      <c r="BH344" s="10">
        <v>26.44</v>
      </c>
      <c r="BI344" s="10"/>
    </row>
    <row r="345" spans="1:61" ht="15.75" customHeight="1" x14ac:dyDescent="0.25">
      <c r="A345" s="1">
        <v>344</v>
      </c>
      <c r="B345" s="1"/>
      <c r="C345" s="1">
        <v>9</v>
      </c>
      <c r="D345" s="6">
        <v>26.71</v>
      </c>
      <c r="E345" s="6">
        <v>27.27</v>
      </c>
      <c r="F345" s="6">
        <v>25.81</v>
      </c>
      <c r="G345" s="6"/>
      <c r="H345" s="6"/>
      <c r="I345" s="6"/>
      <c r="J345" s="9">
        <v>26.86</v>
      </c>
      <c r="K345" s="9">
        <v>27.18</v>
      </c>
      <c r="L345" s="9">
        <v>25.15</v>
      </c>
      <c r="M345" s="9">
        <v>26.74</v>
      </c>
      <c r="N345" s="9">
        <v>26.87</v>
      </c>
      <c r="O345" s="9">
        <v>28.01</v>
      </c>
      <c r="P345" s="9">
        <v>27.92</v>
      </c>
      <c r="Q345" s="9">
        <v>27.63</v>
      </c>
      <c r="R345" s="9">
        <v>28.51</v>
      </c>
      <c r="S345" s="9">
        <v>28.48</v>
      </c>
      <c r="T345" s="9">
        <v>28.79</v>
      </c>
      <c r="U345" s="9">
        <v>28.15</v>
      </c>
      <c r="V345" s="9">
        <v>30.03</v>
      </c>
      <c r="W345" s="6">
        <v>27.61</v>
      </c>
      <c r="X345" s="6">
        <v>28.45</v>
      </c>
      <c r="Y345" s="6">
        <v>26.49</v>
      </c>
      <c r="Z345" s="6">
        <v>27.29</v>
      </c>
      <c r="AA345" s="6">
        <v>26.74</v>
      </c>
      <c r="AB345" s="6">
        <v>27.02</v>
      </c>
      <c r="AC345" s="6">
        <v>28.23</v>
      </c>
      <c r="AD345" s="6">
        <v>28.15</v>
      </c>
      <c r="AE345" s="6">
        <v>26.46</v>
      </c>
      <c r="AF345" s="6">
        <v>27.99</v>
      </c>
      <c r="AG345" s="6">
        <v>25.2</v>
      </c>
      <c r="AH345" s="6">
        <v>27.04</v>
      </c>
      <c r="AI345" s="6">
        <v>26.47</v>
      </c>
      <c r="AJ345" s="6">
        <v>26.57</v>
      </c>
      <c r="AK345" s="6">
        <v>25.47</v>
      </c>
      <c r="AL345" s="6">
        <v>27.05</v>
      </c>
      <c r="AM345" s="6">
        <v>28.16</v>
      </c>
      <c r="AN345" s="6">
        <v>27.3</v>
      </c>
      <c r="AO345" s="6">
        <v>27.49</v>
      </c>
      <c r="AP345" s="6">
        <v>27.91</v>
      </c>
      <c r="AQ345" s="6">
        <v>26.63</v>
      </c>
      <c r="AR345" s="6">
        <v>28.89</v>
      </c>
      <c r="AS345" s="6">
        <v>24.18</v>
      </c>
      <c r="AT345" s="6">
        <v>28.3</v>
      </c>
      <c r="AU345" s="6">
        <v>28.97</v>
      </c>
      <c r="AV345" s="6">
        <v>25.75</v>
      </c>
      <c r="AW345" s="6">
        <v>26.85</v>
      </c>
      <c r="AX345" s="6">
        <v>26.98</v>
      </c>
      <c r="AY345" s="6">
        <v>26.5</v>
      </c>
      <c r="AZ345" s="6">
        <v>28.15</v>
      </c>
      <c r="BA345" s="6">
        <v>26.6</v>
      </c>
      <c r="BB345" s="6">
        <v>26.86</v>
      </c>
      <c r="BC345" s="6">
        <v>26.88</v>
      </c>
      <c r="BD345" s="6">
        <v>28.58</v>
      </c>
      <c r="BE345" s="6">
        <v>26.55</v>
      </c>
      <c r="BF345" s="6">
        <v>28.98</v>
      </c>
      <c r="BG345" s="6">
        <v>25.15</v>
      </c>
      <c r="BH345" s="10">
        <v>26.32</v>
      </c>
      <c r="BI345" s="10"/>
    </row>
    <row r="346" spans="1:61" ht="15.75" customHeight="1" x14ac:dyDescent="0.25">
      <c r="A346" s="1">
        <v>345</v>
      </c>
      <c r="B346" s="1"/>
      <c r="C346" s="1">
        <v>10</v>
      </c>
      <c r="D346" s="6">
        <v>26.48</v>
      </c>
      <c r="E346" s="6">
        <v>27.11</v>
      </c>
      <c r="F346" s="6">
        <v>25.79</v>
      </c>
      <c r="G346" s="6"/>
      <c r="H346" s="6"/>
      <c r="I346" s="6"/>
      <c r="J346" s="9">
        <v>26.71</v>
      </c>
      <c r="K346" s="9">
        <v>27.13</v>
      </c>
      <c r="L346" s="9">
        <v>25.1</v>
      </c>
      <c r="M346" s="9">
        <v>26.54</v>
      </c>
      <c r="N346" s="9">
        <v>26.86</v>
      </c>
      <c r="O346" s="9">
        <v>27.93</v>
      </c>
      <c r="P346" s="9">
        <v>27.78</v>
      </c>
      <c r="Q346" s="9">
        <v>27.57</v>
      </c>
      <c r="R346" s="9">
        <v>28.53</v>
      </c>
      <c r="S346" s="9">
        <v>28.48</v>
      </c>
      <c r="T346" s="9">
        <v>28.66</v>
      </c>
      <c r="U346" s="9">
        <v>28.07</v>
      </c>
      <c r="V346" s="9">
        <v>29.86</v>
      </c>
      <c r="W346" s="6">
        <v>27.58</v>
      </c>
      <c r="X346" s="6">
        <v>28.31</v>
      </c>
      <c r="Y346" s="6">
        <v>26.47</v>
      </c>
      <c r="Z346" s="6">
        <v>27.29</v>
      </c>
      <c r="AA346" s="6">
        <v>26.65</v>
      </c>
      <c r="AB346" s="6">
        <v>26.99</v>
      </c>
      <c r="AC346" s="6">
        <v>28.16</v>
      </c>
      <c r="AD346" s="6">
        <v>28</v>
      </c>
      <c r="AE346" s="6">
        <v>26.31</v>
      </c>
      <c r="AF346" s="6">
        <v>27.95</v>
      </c>
      <c r="AG346" s="6">
        <v>25.16</v>
      </c>
      <c r="AH346" s="6">
        <v>26.99</v>
      </c>
      <c r="AI346" s="6">
        <v>26.35</v>
      </c>
      <c r="AJ346" s="6">
        <v>26.51</v>
      </c>
      <c r="AK346" s="6">
        <v>25.34</v>
      </c>
      <c r="AL346" s="6">
        <v>26.88</v>
      </c>
      <c r="AM346" s="6">
        <v>28.05</v>
      </c>
      <c r="AN346" s="6">
        <v>27.24</v>
      </c>
      <c r="AO346" s="6">
        <v>27.34</v>
      </c>
      <c r="AP346" s="6">
        <v>27.74</v>
      </c>
      <c r="AQ346" s="6">
        <v>26.46</v>
      </c>
      <c r="AR346" s="6">
        <v>28.8</v>
      </c>
      <c r="AS346" s="6">
        <v>24.1</v>
      </c>
      <c r="AT346" s="6">
        <v>28.25</v>
      </c>
      <c r="AU346" s="6">
        <v>28.98</v>
      </c>
      <c r="AV346" s="6">
        <v>25.6</v>
      </c>
      <c r="AW346" s="6">
        <v>26.77</v>
      </c>
      <c r="AX346" s="6">
        <v>26.85</v>
      </c>
      <c r="AY346" s="6">
        <v>26.5</v>
      </c>
      <c r="AZ346" s="6">
        <v>28.25</v>
      </c>
      <c r="BA346" s="6">
        <v>26.48</v>
      </c>
      <c r="BB346" s="6">
        <v>26.72</v>
      </c>
      <c r="BC346" s="6">
        <v>26.78</v>
      </c>
      <c r="BD346" s="6">
        <v>28.58</v>
      </c>
      <c r="BE346" s="6">
        <v>26.46</v>
      </c>
      <c r="BF346" s="6">
        <v>28.94</v>
      </c>
      <c r="BG346" s="6">
        <v>25.03</v>
      </c>
      <c r="BH346" s="10">
        <v>26.2</v>
      </c>
      <c r="BI346" s="10"/>
    </row>
    <row r="347" spans="1:61" ht="15.75" customHeight="1" x14ac:dyDescent="0.25">
      <c r="A347" s="1">
        <v>346</v>
      </c>
      <c r="B347" s="1"/>
      <c r="C347" s="1">
        <v>11</v>
      </c>
      <c r="D347" s="6">
        <v>26.27</v>
      </c>
      <c r="E347" s="6">
        <v>27.01</v>
      </c>
      <c r="F347" s="6">
        <v>25.78</v>
      </c>
      <c r="G347" s="6"/>
      <c r="H347" s="6"/>
      <c r="I347" s="6"/>
      <c r="J347" s="9">
        <v>26.58</v>
      </c>
      <c r="K347" s="9">
        <v>27.08</v>
      </c>
      <c r="L347" s="9">
        <v>25.08</v>
      </c>
      <c r="M347" s="9">
        <v>26.33</v>
      </c>
      <c r="N347" s="9">
        <v>26.87</v>
      </c>
      <c r="O347" s="9">
        <v>27.81</v>
      </c>
      <c r="P347" s="9">
        <v>27.61</v>
      </c>
      <c r="Q347" s="9">
        <v>27.49</v>
      </c>
      <c r="R347" s="9">
        <v>28.49</v>
      </c>
      <c r="S347" s="9">
        <v>28.48</v>
      </c>
      <c r="T347" s="9">
        <v>28.51</v>
      </c>
      <c r="U347" s="9">
        <v>27.99</v>
      </c>
      <c r="V347" s="9">
        <v>29.71</v>
      </c>
      <c r="W347" s="6">
        <v>27.53</v>
      </c>
      <c r="X347" s="6">
        <v>28.2</v>
      </c>
      <c r="Y347" s="6">
        <v>26.45</v>
      </c>
      <c r="Z347" s="6">
        <v>27.34</v>
      </c>
      <c r="AA347" s="6">
        <v>26.54</v>
      </c>
      <c r="AB347" s="6">
        <v>26.98</v>
      </c>
      <c r="AC347" s="6">
        <v>28.01</v>
      </c>
      <c r="AD347" s="6">
        <v>27.88</v>
      </c>
      <c r="AE347" s="6">
        <v>26.16</v>
      </c>
      <c r="AF347" s="6">
        <v>27.92</v>
      </c>
      <c r="AG347" s="6">
        <v>25.11</v>
      </c>
      <c r="AH347" s="6">
        <v>26.96</v>
      </c>
      <c r="AI347" s="6">
        <v>26.25</v>
      </c>
      <c r="AJ347" s="6">
        <v>26.42</v>
      </c>
      <c r="AK347" s="6">
        <v>25.25</v>
      </c>
      <c r="AL347" s="6">
        <v>26.75</v>
      </c>
      <c r="AM347" s="6">
        <v>27.9</v>
      </c>
      <c r="AN347" s="6">
        <v>27.16</v>
      </c>
      <c r="AO347" s="6">
        <v>27.22</v>
      </c>
      <c r="AP347" s="6">
        <v>27.6</v>
      </c>
      <c r="AQ347" s="6">
        <v>26.3</v>
      </c>
      <c r="AR347" s="6">
        <v>28.7</v>
      </c>
      <c r="AS347" s="6">
        <v>24.05</v>
      </c>
      <c r="AT347" s="6">
        <v>28.2</v>
      </c>
      <c r="AU347" s="6">
        <v>28.98</v>
      </c>
      <c r="AV347" s="6">
        <v>25.48</v>
      </c>
      <c r="AW347" s="6">
        <v>26.73</v>
      </c>
      <c r="AX347" s="6">
        <v>26.68</v>
      </c>
      <c r="AY347" s="6">
        <v>26.47</v>
      </c>
      <c r="AZ347" s="6">
        <v>28.25</v>
      </c>
      <c r="BA347" s="6">
        <v>26.35</v>
      </c>
      <c r="BB347" s="6">
        <v>26.59</v>
      </c>
      <c r="BC347" s="6">
        <v>26.68</v>
      </c>
      <c r="BD347" s="6">
        <v>28.56</v>
      </c>
      <c r="BE347" s="6">
        <v>26.37</v>
      </c>
      <c r="BF347" s="6">
        <v>28.64</v>
      </c>
      <c r="BG347" s="6">
        <v>24.9</v>
      </c>
      <c r="BH347" s="10">
        <v>26.08</v>
      </c>
      <c r="BI347" s="10"/>
    </row>
    <row r="348" spans="1:61" ht="15.75" customHeight="1" x14ac:dyDescent="0.25">
      <c r="A348" s="1">
        <v>347</v>
      </c>
      <c r="B348" s="1"/>
      <c r="C348" s="1">
        <v>12</v>
      </c>
      <c r="D348" s="6">
        <v>25.88</v>
      </c>
      <c r="E348" s="6">
        <v>26.89</v>
      </c>
      <c r="F348" s="6">
        <v>25.78</v>
      </c>
      <c r="G348" s="6"/>
      <c r="H348" s="6"/>
      <c r="I348" s="6"/>
      <c r="J348" s="9">
        <v>26.5</v>
      </c>
      <c r="K348" s="9">
        <v>27.08</v>
      </c>
      <c r="L348" s="9">
        <v>25.07</v>
      </c>
      <c r="M348" s="9">
        <v>26.12</v>
      </c>
      <c r="N348" s="9">
        <v>26.94</v>
      </c>
      <c r="O348" s="9">
        <v>27.68</v>
      </c>
      <c r="P348" s="9">
        <v>27.44</v>
      </c>
      <c r="Q348" s="9">
        <v>27.46</v>
      </c>
      <c r="R348" s="9">
        <v>28.42</v>
      </c>
      <c r="S348" s="9">
        <v>28.48</v>
      </c>
      <c r="T348" s="9">
        <v>28.37</v>
      </c>
      <c r="U348" s="9">
        <v>27.94</v>
      </c>
      <c r="V348" s="9">
        <v>29.58</v>
      </c>
      <c r="W348" s="6">
        <v>27.41</v>
      </c>
      <c r="X348" s="6">
        <v>28.07</v>
      </c>
      <c r="Y348" s="6">
        <v>26.38</v>
      </c>
      <c r="Z348" s="6">
        <v>27.37</v>
      </c>
      <c r="AA348" s="6">
        <v>26.43</v>
      </c>
      <c r="AB348" s="6">
        <v>26.94</v>
      </c>
      <c r="AC348" s="6">
        <v>27.9</v>
      </c>
      <c r="AD348" s="6">
        <v>27.74</v>
      </c>
      <c r="AE348" s="6">
        <v>26.02</v>
      </c>
      <c r="AF348" s="6">
        <v>27.82</v>
      </c>
      <c r="AG348" s="6">
        <v>25.06</v>
      </c>
      <c r="AH348" s="6">
        <v>26.91</v>
      </c>
      <c r="AI348" s="6">
        <v>26.1</v>
      </c>
      <c r="AJ348" s="6">
        <v>26.38</v>
      </c>
      <c r="AK348" s="6">
        <v>25.17</v>
      </c>
      <c r="AL348" s="6">
        <v>26.71</v>
      </c>
      <c r="AM348" s="6">
        <v>27.77</v>
      </c>
      <c r="AN348" s="6">
        <v>27.09</v>
      </c>
      <c r="AO348" s="6">
        <v>27.1</v>
      </c>
      <c r="AP348" s="6">
        <v>27.48</v>
      </c>
      <c r="AQ348" s="6">
        <v>26.16</v>
      </c>
      <c r="AR348" s="6">
        <v>28.56</v>
      </c>
      <c r="AS348" s="6">
        <v>23.98</v>
      </c>
      <c r="AT348" s="6">
        <v>28.19</v>
      </c>
      <c r="AU348" s="6">
        <v>28.97</v>
      </c>
      <c r="AV348" s="6">
        <v>25.35</v>
      </c>
      <c r="AW348" s="6">
        <v>26.68</v>
      </c>
      <c r="AX348" s="6">
        <v>26.5</v>
      </c>
      <c r="AY348" s="6">
        <v>26.42</v>
      </c>
      <c r="AZ348" s="6">
        <v>28.23</v>
      </c>
      <c r="BA348" s="6">
        <v>26.25</v>
      </c>
      <c r="BB348" s="6">
        <v>26.45</v>
      </c>
      <c r="BC348" s="6">
        <v>26.56</v>
      </c>
      <c r="BD348" s="6">
        <v>28.54</v>
      </c>
      <c r="BE348" s="6">
        <v>26.3</v>
      </c>
      <c r="BF348" s="6">
        <v>28.45</v>
      </c>
      <c r="BG348" s="6">
        <v>24.8</v>
      </c>
      <c r="BH348" s="10">
        <v>25.97</v>
      </c>
      <c r="BI348" s="10"/>
    </row>
    <row r="349" spans="1:61" ht="15.75" customHeight="1" x14ac:dyDescent="0.25">
      <c r="A349" s="1">
        <v>348</v>
      </c>
      <c r="B349" s="1"/>
      <c r="C349" s="1">
        <v>13</v>
      </c>
      <c r="D349" s="6">
        <v>25.67</v>
      </c>
      <c r="E349" s="6">
        <v>26.79</v>
      </c>
      <c r="F349" s="6">
        <v>25.75</v>
      </c>
      <c r="G349" s="6"/>
      <c r="H349" s="6"/>
      <c r="I349" s="6"/>
      <c r="J349" s="9">
        <v>26.41</v>
      </c>
      <c r="K349" s="9">
        <v>27.03</v>
      </c>
      <c r="L349" s="9">
        <v>25.06</v>
      </c>
      <c r="M349" s="9">
        <v>25.97</v>
      </c>
      <c r="N349" s="9">
        <v>27.02</v>
      </c>
      <c r="O349" s="9">
        <v>27.52</v>
      </c>
      <c r="P349" s="9">
        <v>27.29</v>
      </c>
      <c r="Q349" s="9">
        <v>27.43</v>
      </c>
      <c r="R349" s="9">
        <v>28.34</v>
      </c>
      <c r="S349" s="9">
        <v>28.48</v>
      </c>
      <c r="T349" s="9">
        <v>28.23</v>
      </c>
      <c r="U349" s="9">
        <v>27.87</v>
      </c>
      <c r="V349" s="9">
        <v>29.46</v>
      </c>
      <c r="W349" s="6">
        <v>27.3</v>
      </c>
      <c r="X349" s="6">
        <v>27.96</v>
      </c>
      <c r="Y349" s="6">
        <v>26.27</v>
      </c>
      <c r="Z349" s="6">
        <v>27.4</v>
      </c>
      <c r="AA349" s="6">
        <v>26.3</v>
      </c>
      <c r="AB349" s="6">
        <v>26.87</v>
      </c>
      <c r="AC349" s="6">
        <v>27.78</v>
      </c>
      <c r="AD349" s="6">
        <v>27.62</v>
      </c>
      <c r="AE349" s="6">
        <v>25.89</v>
      </c>
      <c r="AF349" s="6">
        <v>27.76</v>
      </c>
      <c r="AG349" s="6">
        <v>25.01</v>
      </c>
      <c r="AH349" s="6">
        <v>26.86</v>
      </c>
      <c r="AI349" s="6">
        <v>26</v>
      </c>
      <c r="AJ349" s="6">
        <v>26.32</v>
      </c>
      <c r="AK349" s="6">
        <v>25.11</v>
      </c>
      <c r="AL349" s="6">
        <v>26.48</v>
      </c>
      <c r="AM349" s="6">
        <v>27.67</v>
      </c>
      <c r="AN349" s="6">
        <v>27</v>
      </c>
      <c r="AO349" s="6">
        <v>27</v>
      </c>
      <c r="AP349" s="6">
        <v>27.36</v>
      </c>
      <c r="AQ349" s="6">
        <v>25.98</v>
      </c>
      <c r="AR349" s="6">
        <v>28.43</v>
      </c>
      <c r="AS349" s="6">
        <v>23.9</v>
      </c>
      <c r="AT349" s="6">
        <v>28.17</v>
      </c>
      <c r="AU349" s="6">
        <v>28.95</v>
      </c>
      <c r="AV349" s="6">
        <v>25.24</v>
      </c>
      <c r="AW349" s="6">
        <v>26.6</v>
      </c>
      <c r="AX349" s="6">
        <v>26.3</v>
      </c>
      <c r="AY349" s="6">
        <v>26.36</v>
      </c>
      <c r="AZ349" s="6">
        <v>28.18</v>
      </c>
      <c r="BA349" s="6">
        <v>26.14</v>
      </c>
      <c r="BB349" s="6">
        <v>26.26</v>
      </c>
      <c r="BC349" s="6">
        <v>26.46</v>
      </c>
      <c r="BD349" s="6">
        <v>28.48</v>
      </c>
      <c r="BE349" s="6">
        <v>26.26</v>
      </c>
      <c r="BF349" s="6">
        <v>28.26</v>
      </c>
      <c r="BG349" s="6">
        <v>24.65</v>
      </c>
      <c r="BH349" s="10">
        <v>25.82</v>
      </c>
      <c r="BI349" s="10"/>
    </row>
    <row r="350" spans="1:61" ht="15.75" customHeight="1" x14ac:dyDescent="0.25">
      <c r="A350" s="1">
        <v>349</v>
      </c>
      <c r="B350" s="1"/>
      <c r="C350" s="1">
        <v>14</v>
      </c>
      <c r="D350" s="6">
        <v>25.43</v>
      </c>
      <c r="E350" s="6">
        <v>26.79</v>
      </c>
      <c r="F350" s="6">
        <v>25.73</v>
      </c>
      <c r="G350" s="6"/>
      <c r="H350" s="6"/>
      <c r="I350" s="6"/>
      <c r="J350" s="9">
        <v>26.38</v>
      </c>
      <c r="K350" s="9">
        <v>27.03</v>
      </c>
      <c r="L350" s="9">
        <v>25.05</v>
      </c>
      <c r="M350" s="9">
        <v>25.82</v>
      </c>
      <c r="N350" s="9">
        <v>27.09</v>
      </c>
      <c r="O350" s="9">
        <v>27.4</v>
      </c>
      <c r="P350" s="9">
        <v>27.15</v>
      </c>
      <c r="Q350" s="9">
        <v>27.42</v>
      </c>
      <c r="R350" s="9">
        <v>28.25</v>
      </c>
      <c r="S350" s="9">
        <v>28.45</v>
      </c>
      <c r="T350" s="9">
        <v>28.09</v>
      </c>
      <c r="U350" s="9">
        <v>27.8</v>
      </c>
      <c r="V350" s="9">
        <v>29.35</v>
      </c>
      <c r="W350" s="6">
        <v>27.15</v>
      </c>
      <c r="X350" s="6">
        <v>27.74</v>
      </c>
      <c r="Y350" s="6">
        <v>26.22</v>
      </c>
      <c r="Z350" s="6">
        <v>27.47</v>
      </c>
      <c r="AA350" s="6">
        <v>26.18</v>
      </c>
      <c r="AB350" s="6">
        <v>26.8</v>
      </c>
      <c r="AC350" s="6">
        <v>27.64</v>
      </c>
      <c r="AD350" s="6">
        <v>27.54</v>
      </c>
      <c r="AE350" s="6">
        <v>25.74</v>
      </c>
      <c r="AF350" s="6">
        <v>27.71</v>
      </c>
      <c r="AG350" s="6">
        <v>24.95</v>
      </c>
      <c r="AH350" s="6">
        <v>26.75</v>
      </c>
      <c r="AI350" s="6">
        <v>25.89</v>
      </c>
      <c r="AJ350" s="6">
        <v>26.26</v>
      </c>
      <c r="AK350" s="6">
        <v>25</v>
      </c>
      <c r="AL350" s="6">
        <v>26.34</v>
      </c>
      <c r="AM350" s="6">
        <v>27.6</v>
      </c>
      <c r="AN350" s="6">
        <v>26.92</v>
      </c>
      <c r="AO350" s="6">
        <v>26.9</v>
      </c>
      <c r="AP350" s="6">
        <v>27.22</v>
      </c>
      <c r="AQ350" s="6">
        <v>25.84</v>
      </c>
      <c r="AR350" s="6">
        <v>28.28</v>
      </c>
      <c r="AS350" s="6">
        <v>23.8</v>
      </c>
      <c r="AT350" s="6">
        <v>28.1</v>
      </c>
      <c r="AU350" s="6">
        <v>28.96</v>
      </c>
      <c r="AV350" s="6">
        <v>25.12</v>
      </c>
      <c r="AW350" s="6">
        <v>26.54</v>
      </c>
      <c r="AX350" s="6">
        <v>26.19</v>
      </c>
      <c r="AY350" s="6">
        <v>26.3</v>
      </c>
      <c r="AZ350" s="6">
        <v>28.08</v>
      </c>
      <c r="BA350" s="6">
        <v>26.08</v>
      </c>
      <c r="BB350" s="6">
        <v>26.1</v>
      </c>
      <c r="BC350" s="6">
        <v>26.37</v>
      </c>
      <c r="BD350" s="6">
        <v>28.4</v>
      </c>
      <c r="BE350" s="6">
        <v>26.16</v>
      </c>
      <c r="BF350" s="6">
        <v>28.12</v>
      </c>
      <c r="BG350" s="6">
        <v>24.55</v>
      </c>
      <c r="BH350" s="10">
        <v>25.66</v>
      </c>
      <c r="BI350" s="10"/>
    </row>
    <row r="351" spans="1:61" ht="15.75" customHeight="1" x14ac:dyDescent="0.25">
      <c r="A351" s="1">
        <v>350</v>
      </c>
      <c r="B351" s="1"/>
      <c r="C351" s="1">
        <v>15</v>
      </c>
      <c r="D351" s="6">
        <v>25.22</v>
      </c>
      <c r="E351" s="6">
        <v>26.8</v>
      </c>
      <c r="F351" s="6">
        <v>25.71</v>
      </c>
      <c r="G351" s="6"/>
      <c r="H351" s="6"/>
      <c r="I351" s="6"/>
      <c r="J351" s="9">
        <v>26.28</v>
      </c>
      <c r="K351" s="9">
        <v>27.08</v>
      </c>
      <c r="L351" s="9">
        <v>25.04</v>
      </c>
      <c r="M351" s="9">
        <v>25.68</v>
      </c>
      <c r="N351" s="9">
        <v>27.12</v>
      </c>
      <c r="O351" s="9">
        <v>27.33</v>
      </c>
      <c r="P351" s="9">
        <v>27.05</v>
      </c>
      <c r="Q351" s="9">
        <v>27.42</v>
      </c>
      <c r="R351" s="9">
        <v>28.18</v>
      </c>
      <c r="S351" s="9">
        <v>28.41</v>
      </c>
      <c r="T351" s="9">
        <v>27.95</v>
      </c>
      <c r="U351" s="9">
        <v>27.74</v>
      </c>
      <c r="V351" s="9">
        <v>29.25</v>
      </c>
      <c r="W351" s="6">
        <v>27.02</v>
      </c>
      <c r="X351" s="6">
        <v>27.61</v>
      </c>
      <c r="Y351" s="6">
        <v>26.15</v>
      </c>
      <c r="Z351" s="6">
        <v>27.46</v>
      </c>
      <c r="AA351" s="6">
        <v>26.06</v>
      </c>
      <c r="AB351" s="6">
        <v>26.71</v>
      </c>
      <c r="AC351" s="6">
        <v>27.5</v>
      </c>
      <c r="AD351" s="6">
        <v>27.45</v>
      </c>
      <c r="AE351" s="6">
        <v>25.57</v>
      </c>
      <c r="AF351" s="6">
        <v>27.68</v>
      </c>
      <c r="AG351" s="6">
        <v>24.9</v>
      </c>
      <c r="AH351" s="6">
        <v>26.65</v>
      </c>
      <c r="AI351" s="6">
        <v>25.8</v>
      </c>
      <c r="AJ351" s="6">
        <v>26.2</v>
      </c>
      <c r="AK351" s="6">
        <v>25.04</v>
      </c>
      <c r="AL351" s="6">
        <v>26.18</v>
      </c>
      <c r="AM351" s="6">
        <v>27.54</v>
      </c>
      <c r="AN351" s="6">
        <v>26.85</v>
      </c>
      <c r="AO351" s="6">
        <v>26.79</v>
      </c>
      <c r="AP351" s="6">
        <v>27.16</v>
      </c>
      <c r="AQ351" s="6">
        <v>25.7</v>
      </c>
      <c r="AR351" s="6">
        <v>28.15</v>
      </c>
      <c r="AS351" s="6">
        <v>23.7</v>
      </c>
      <c r="AT351" s="6">
        <v>27.99</v>
      </c>
      <c r="AU351" s="6">
        <v>28.97</v>
      </c>
      <c r="AV351" s="6">
        <v>25.03</v>
      </c>
      <c r="AW351" s="6">
        <v>26.46</v>
      </c>
      <c r="AX351" s="6">
        <v>26.1</v>
      </c>
      <c r="AY351" s="6">
        <v>26.2</v>
      </c>
      <c r="AZ351" s="6">
        <v>27.96</v>
      </c>
      <c r="BA351" s="6">
        <v>25.94</v>
      </c>
      <c r="BB351" s="6">
        <v>25.95</v>
      </c>
      <c r="BC351" s="6">
        <v>26.27</v>
      </c>
      <c r="BD351" s="6">
        <v>28.3</v>
      </c>
      <c r="BE351" s="6">
        <v>26.08</v>
      </c>
      <c r="BF351" s="6">
        <v>27.97</v>
      </c>
      <c r="BG351" s="6">
        <v>24.47</v>
      </c>
      <c r="BH351" s="10">
        <v>25.55</v>
      </c>
      <c r="BI351" s="10"/>
    </row>
    <row r="352" spans="1:61" ht="15.75" customHeight="1" x14ac:dyDescent="0.25">
      <c r="A352" s="1">
        <v>351</v>
      </c>
      <c r="B352" s="1"/>
      <c r="C352" s="1">
        <v>16</v>
      </c>
      <c r="D352" s="6">
        <v>24.82</v>
      </c>
      <c r="E352" s="6">
        <v>26.55</v>
      </c>
      <c r="F352" s="6">
        <v>25.69</v>
      </c>
      <c r="G352" s="6"/>
      <c r="H352" s="6"/>
      <c r="I352" s="6"/>
      <c r="J352" s="9">
        <v>26.13</v>
      </c>
      <c r="K352" s="9">
        <v>27.08</v>
      </c>
      <c r="L352" s="9">
        <v>25.05</v>
      </c>
      <c r="M352" s="9">
        <v>25.59</v>
      </c>
      <c r="N352" s="9">
        <v>27.11</v>
      </c>
      <c r="O352" s="9">
        <v>27.28</v>
      </c>
      <c r="P352" s="9">
        <v>26.87</v>
      </c>
      <c r="Q352" s="9">
        <v>27.43</v>
      </c>
      <c r="R352" s="9">
        <v>28.08</v>
      </c>
      <c r="S352" s="9">
        <v>28.36</v>
      </c>
      <c r="T352" s="9">
        <v>27.81</v>
      </c>
      <c r="U352" s="9">
        <v>27.62</v>
      </c>
      <c r="V352" s="9">
        <v>29.17</v>
      </c>
      <c r="W352" s="6">
        <v>26.89</v>
      </c>
      <c r="X352" s="6">
        <v>27.52</v>
      </c>
      <c r="Y352" s="6">
        <v>26.07</v>
      </c>
      <c r="Z352" s="6">
        <v>27.43</v>
      </c>
      <c r="AA352" s="6">
        <v>25.95</v>
      </c>
      <c r="AB352" s="6">
        <v>26.61</v>
      </c>
      <c r="AC352" s="6">
        <v>27.34</v>
      </c>
      <c r="AD352" s="6">
        <v>27.4</v>
      </c>
      <c r="AE352" s="6">
        <v>25.4</v>
      </c>
      <c r="AF352" s="6">
        <v>27.62</v>
      </c>
      <c r="AG352" s="6">
        <v>24.84</v>
      </c>
      <c r="AH352" s="6">
        <v>26.52</v>
      </c>
      <c r="AI352" s="6">
        <v>25.71</v>
      </c>
      <c r="AJ352" s="6">
        <v>26.13</v>
      </c>
      <c r="AK352" s="6">
        <v>25.08</v>
      </c>
      <c r="AL352" s="6">
        <v>26.04</v>
      </c>
      <c r="AM352" s="6">
        <v>27.44</v>
      </c>
      <c r="AN352" s="6">
        <v>26.8</v>
      </c>
      <c r="AO352" s="6">
        <v>26.66</v>
      </c>
      <c r="AP352" s="6">
        <v>27.04</v>
      </c>
      <c r="AQ352" s="6">
        <v>25.57</v>
      </c>
      <c r="AR352" s="6">
        <v>28.02</v>
      </c>
      <c r="AS352" s="6">
        <v>23.6</v>
      </c>
      <c r="AT352" s="6">
        <v>27.9</v>
      </c>
      <c r="AU352" s="6">
        <v>28.98</v>
      </c>
      <c r="AV352" s="6">
        <v>24.94</v>
      </c>
      <c r="AW352" s="6">
        <v>26.36</v>
      </c>
      <c r="AX352" s="6">
        <v>26.02</v>
      </c>
      <c r="AY352" s="6">
        <v>26.05</v>
      </c>
      <c r="AZ352" s="6">
        <v>27.8</v>
      </c>
      <c r="BA352" s="6">
        <v>25.78</v>
      </c>
      <c r="BB352" s="6">
        <v>25.78</v>
      </c>
      <c r="BC352" s="6">
        <v>26.18</v>
      </c>
      <c r="BD352" s="6">
        <v>28.2</v>
      </c>
      <c r="BE352" s="6">
        <v>25.95</v>
      </c>
      <c r="BF352" s="6">
        <v>27.8</v>
      </c>
      <c r="BG352" s="6">
        <v>24.42</v>
      </c>
      <c r="BH352" s="10">
        <v>25.44</v>
      </c>
      <c r="BI352" s="10"/>
    </row>
    <row r="353" spans="1:61" ht="15.75" customHeight="1" x14ac:dyDescent="0.25">
      <c r="A353" s="1">
        <v>352</v>
      </c>
      <c r="B353" s="1"/>
      <c r="C353" s="1">
        <v>17</v>
      </c>
      <c r="D353" s="6">
        <v>24.65</v>
      </c>
      <c r="E353" s="6">
        <v>26.51</v>
      </c>
      <c r="F353" s="6">
        <v>25.67</v>
      </c>
      <c r="G353" s="6"/>
      <c r="H353" s="6"/>
      <c r="I353" s="6"/>
      <c r="J353" s="9">
        <v>25.98</v>
      </c>
      <c r="K353" s="9">
        <v>27.13</v>
      </c>
      <c r="L353" s="9">
        <v>25.07</v>
      </c>
      <c r="M353" s="9">
        <v>25.43</v>
      </c>
      <c r="N353" s="9">
        <v>27.08</v>
      </c>
      <c r="O353" s="9">
        <v>27.19</v>
      </c>
      <c r="P353" s="9">
        <v>26.73</v>
      </c>
      <c r="Q353" s="9">
        <v>27.47</v>
      </c>
      <c r="R353" s="9">
        <v>27.95</v>
      </c>
      <c r="S353" s="9">
        <v>28.31</v>
      </c>
      <c r="T353" s="9">
        <v>27.69</v>
      </c>
      <c r="U353" s="9">
        <v>27.53</v>
      </c>
      <c r="V353" s="9">
        <v>29.09</v>
      </c>
      <c r="W353" s="6">
        <v>26.75</v>
      </c>
      <c r="X353" s="6">
        <v>27.36</v>
      </c>
      <c r="Y353" s="6">
        <v>26.01</v>
      </c>
      <c r="Z353" s="6">
        <v>27.37</v>
      </c>
      <c r="AA353" s="6">
        <v>25.83</v>
      </c>
      <c r="AB353" s="6">
        <v>26.48</v>
      </c>
      <c r="AC353" s="6">
        <v>27.2</v>
      </c>
      <c r="AD353" s="6">
        <v>27.35</v>
      </c>
      <c r="AE353" s="6">
        <v>25.26</v>
      </c>
      <c r="AF353" s="6">
        <v>27.59</v>
      </c>
      <c r="AG353" s="6">
        <v>24.78</v>
      </c>
      <c r="AH353" s="6">
        <v>26.39</v>
      </c>
      <c r="AI353" s="6">
        <v>25.62</v>
      </c>
      <c r="AJ353" s="6">
        <v>26.05</v>
      </c>
      <c r="AK353" s="6">
        <v>25.16</v>
      </c>
      <c r="AL353" s="6">
        <v>25.89</v>
      </c>
      <c r="AM353" s="6">
        <v>27.33</v>
      </c>
      <c r="AN353" s="6">
        <v>26.75</v>
      </c>
      <c r="AO353" s="6">
        <v>26.5</v>
      </c>
      <c r="AP353" s="6">
        <v>26.95</v>
      </c>
      <c r="AQ353" s="6">
        <v>25.46</v>
      </c>
      <c r="AR353" s="6">
        <v>27.88</v>
      </c>
      <c r="AS353" s="6">
        <v>23.5</v>
      </c>
      <c r="AT353" s="6">
        <v>27.75</v>
      </c>
      <c r="AU353" s="6">
        <v>28.97</v>
      </c>
      <c r="AV353" s="6">
        <v>24.84</v>
      </c>
      <c r="AW353" s="6">
        <v>26.27</v>
      </c>
      <c r="AX353" s="6">
        <v>25.95</v>
      </c>
      <c r="AY353" s="6">
        <v>25.92</v>
      </c>
      <c r="AZ353" s="6">
        <v>27.6</v>
      </c>
      <c r="BA353" s="6">
        <v>25.64</v>
      </c>
      <c r="BB353" s="6">
        <v>25.6</v>
      </c>
      <c r="BC353" s="6">
        <v>26.08</v>
      </c>
      <c r="BD353" s="6">
        <v>28.12</v>
      </c>
      <c r="BE353" s="6">
        <v>25.85</v>
      </c>
      <c r="BF353" s="6">
        <v>27.6</v>
      </c>
      <c r="BG353" s="6">
        <v>24.38</v>
      </c>
      <c r="BH353" s="10">
        <v>25.3</v>
      </c>
      <c r="BI353" s="10"/>
    </row>
    <row r="354" spans="1:61" ht="15.75" customHeight="1" x14ac:dyDescent="0.25">
      <c r="A354" s="1">
        <v>353</v>
      </c>
      <c r="B354" s="1"/>
      <c r="C354" s="1">
        <v>18</v>
      </c>
      <c r="D354" s="6">
        <v>24.55</v>
      </c>
      <c r="E354" s="6">
        <v>26.35</v>
      </c>
      <c r="F354" s="6">
        <v>25.62</v>
      </c>
      <c r="G354" s="6"/>
      <c r="H354" s="6"/>
      <c r="I354" s="6"/>
      <c r="J354" s="9">
        <v>25.88</v>
      </c>
      <c r="K354" s="9">
        <v>27.13</v>
      </c>
      <c r="L354" s="9">
        <v>25.09</v>
      </c>
      <c r="M354" s="9">
        <v>25.34</v>
      </c>
      <c r="N354" s="9">
        <v>27.05</v>
      </c>
      <c r="O354" s="9">
        <v>27.09</v>
      </c>
      <c r="P354" s="9">
        <v>26.6</v>
      </c>
      <c r="Q354" s="9">
        <v>27.51</v>
      </c>
      <c r="R354" s="9">
        <v>27.84</v>
      </c>
      <c r="S354" s="9">
        <v>28.24</v>
      </c>
      <c r="T354" s="9">
        <v>27.56</v>
      </c>
      <c r="U354" s="9">
        <v>27.43</v>
      </c>
      <c r="V354" s="9">
        <v>28.99</v>
      </c>
      <c r="W354" s="6">
        <v>26.63</v>
      </c>
      <c r="X354" s="6">
        <v>27.25</v>
      </c>
      <c r="Y354" s="6">
        <v>25.8</v>
      </c>
      <c r="Z354" s="6">
        <v>27.29</v>
      </c>
      <c r="AA354" s="6">
        <v>25.73</v>
      </c>
      <c r="AB354" s="6">
        <v>26.36</v>
      </c>
      <c r="AC354" s="6">
        <v>27.06</v>
      </c>
      <c r="AD354" s="6">
        <v>27.24</v>
      </c>
      <c r="AE354" s="6">
        <v>25.13</v>
      </c>
      <c r="AF354" s="6">
        <v>27.56</v>
      </c>
      <c r="AG354" s="6">
        <v>24.7</v>
      </c>
      <c r="AH354" s="6">
        <v>26.25</v>
      </c>
      <c r="AI354" s="6">
        <v>25.6</v>
      </c>
      <c r="AJ354" s="6">
        <v>26.01</v>
      </c>
      <c r="AK354" s="6">
        <v>25.23</v>
      </c>
      <c r="AL354" s="6">
        <v>25.75</v>
      </c>
      <c r="AM354" s="6">
        <v>27.16</v>
      </c>
      <c r="AN354" s="6">
        <v>26.69</v>
      </c>
      <c r="AO354" s="6">
        <v>26.36</v>
      </c>
      <c r="AP354" s="6">
        <v>26.85</v>
      </c>
      <c r="AQ354" s="6">
        <v>25.37</v>
      </c>
      <c r="AR354" s="6">
        <v>27.76</v>
      </c>
      <c r="AS354" s="6">
        <v>23.46</v>
      </c>
      <c r="AT354" s="6">
        <v>27.58</v>
      </c>
      <c r="AU354" s="6">
        <v>28.94</v>
      </c>
      <c r="AV354" s="6">
        <v>24.73</v>
      </c>
      <c r="AW354" s="6">
        <v>26.18</v>
      </c>
      <c r="AX354" s="6">
        <v>25.89</v>
      </c>
      <c r="AY354" s="6">
        <v>25.77</v>
      </c>
      <c r="AZ354" s="6">
        <v>27.47</v>
      </c>
      <c r="BA354" s="6">
        <v>25.49</v>
      </c>
      <c r="BB354" s="6">
        <v>25.48</v>
      </c>
      <c r="BC354" s="6">
        <v>26</v>
      </c>
      <c r="BD354" s="6">
        <v>28.05</v>
      </c>
      <c r="BE354" s="6">
        <v>25.73</v>
      </c>
      <c r="BF354" s="6">
        <v>27.42</v>
      </c>
      <c r="BG354" s="6">
        <v>24.35</v>
      </c>
      <c r="BH354" s="10">
        <v>25.16</v>
      </c>
      <c r="BI354" s="10"/>
    </row>
    <row r="355" spans="1:61" ht="15.75" customHeight="1" x14ac:dyDescent="0.25">
      <c r="A355" s="1">
        <v>354</v>
      </c>
      <c r="B355" s="1"/>
      <c r="C355" s="1">
        <v>19</v>
      </c>
      <c r="D355" s="6">
        <v>24.36</v>
      </c>
      <c r="E355" s="6">
        <v>26.26</v>
      </c>
      <c r="F355" s="6">
        <v>25.54</v>
      </c>
      <c r="G355" s="6"/>
      <c r="H355" s="6"/>
      <c r="I355" s="6"/>
      <c r="J355" s="9">
        <v>25.78</v>
      </c>
      <c r="K355" s="9">
        <v>27.18</v>
      </c>
      <c r="L355" s="9">
        <v>25.09</v>
      </c>
      <c r="M355" s="9">
        <v>25.24</v>
      </c>
      <c r="N355" s="9">
        <v>27.01</v>
      </c>
      <c r="O355" s="9">
        <v>26.96</v>
      </c>
      <c r="P355" s="9">
        <v>26.45</v>
      </c>
      <c r="Q355" s="9">
        <v>27.52</v>
      </c>
      <c r="R355" s="9">
        <v>27.71</v>
      </c>
      <c r="S355" s="9">
        <v>28.2</v>
      </c>
      <c r="T355" s="9">
        <v>27.43</v>
      </c>
      <c r="U355" s="9">
        <v>27.32</v>
      </c>
      <c r="V355" s="9">
        <v>28.87</v>
      </c>
      <c r="W355" s="6">
        <v>26.48</v>
      </c>
      <c r="X355" s="6">
        <v>27.07</v>
      </c>
      <c r="Y355" s="6">
        <v>25.67</v>
      </c>
      <c r="Z355" s="6">
        <v>27.2</v>
      </c>
      <c r="AA355" s="6">
        <v>25.62</v>
      </c>
      <c r="AB355" s="6">
        <v>26.2</v>
      </c>
      <c r="AC355" s="6">
        <v>26.95</v>
      </c>
      <c r="AD355" s="6">
        <v>27.15</v>
      </c>
      <c r="AE355" s="6">
        <v>25.02</v>
      </c>
      <c r="AF355" s="6">
        <v>27.55</v>
      </c>
      <c r="AG355" s="6">
        <v>24.59</v>
      </c>
      <c r="AH355" s="6">
        <v>26.13</v>
      </c>
      <c r="AI355" s="6">
        <v>25.55</v>
      </c>
      <c r="AJ355" s="6">
        <v>25.95</v>
      </c>
      <c r="AK355" s="6">
        <v>25.3</v>
      </c>
      <c r="AL355" s="6">
        <v>25.6</v>
      </c>
      <c r="AM355" s="6">
        <v>26.99</v>
      </c>
      <c r="AN355" s="6">
        <v>26.57</v>
      </c>
      <c r="AO355" s="6">
        <v>26.18</v>
      </c>
      <c r="AP355" s="6">
        <v>26.76</v>
      </c>
      <c r="AQ355" s="6">
        <v>25.28</v>
      </c>
      <c r="AR355" s="6">
        <v>27.62</v>
      </c>
      <c r="AS355" s="6">
        <v>23.4</v>
      </c>
      <c r="AT355" s="6">
        <v>27.38</v>
      </c>
      <c r="AU355" s="6">
        <v>28.89</v>
      </c>
      <c r="AV355" s="6">
        <v>24.56</v>
      </c>
      <c r="AW355" s="6">
        <v>26.09</v>
      </c>
      <c r="AX355" s="6">
        <v>25.84</v>
      </c>
      <c r="AY355" s="6">
        <v>25.66</v>
      </c>
      <c r="AZ355" s="6">
        <v>27.32</v>
      </c>
      <c r="BA355" s="6">
        <v>25.34</v>
      </c>
      <c r="BB355" s="6">
        <v>25.34</v>
      </c>
      <c r="BC355" s="6">
        <v>25.92</v>
      </c>
      <c r="BD355" s="6">
        <v>27.94</v>
      </c>
      <c r="BE355" s="6">
        <v>25.6</v>
      </c>
      <c r="BF355" s="6">
        <v>27.25</v>
      </c>
      <c r="BG355" s="6">
        <v>24.35</v>
      </c>
      <c r="BH355" s="10">
        <v>25.02</v>
      </c>
      <c r="BI355" s="10"/>
    </row>
    <row r="356" spans="1:61" ht="15.75" customHeight="1" x14ac:dyDescent="0.25">
      <c r="A356" s="1">
        <v>355</v>
      </c>
      <c r="B356" s="1"/>
      <c r="C356" s="1">
        <v>20</v>
      </c>
      <c r="D356" s="6">
        <v>24.2</v>
      </c>
      <c r="E356" s="6">
        <v>26.11</v>
      </c>
      <c r="F356" s="6">
        <v>25.47</v>
      </c>
      <c r="G356" s="6"/>
      <c r="H356" s="6"/>
      <c r="I356" s="6"/>
      <c r="J356" s="9">
        <v>25.63</v>
      </c>
      <c r="K356" s="9">
        <v>27.18</v>
      </c>
      <c r="L356" s="9">
        <v>25.02</v>
      </c>
      <c r="M356" s="9">
        <v>25.11</v>
      </c>
      <c r="N356" s="9">
        <v>26.88</v>
      </c>
      <c r="O356" s="9">
        <v>26.81</v>
      </c>
      <c r="P356" s="9">
        <v>26.4</v>
      </c>
      <c r="Q356" s="9">
        <v>27.52</v>
      </c>
      <c r="R356" s="9">
        <v>27.61</v>
      </c>
      <c r="S356" s="9">
        <v>28.17</v>
      </c>
      <c r="T356" s="9">
        <v>27.31</v>
      </c>
      <c r="U356" s="9">
        <v>27.19</v>
      </c>
      <c r="V356" s="9">
        <v>28.73</v>
      </c>
      <c r="W356" s="6">
        <v>26.41</v>
      </c>
      <c r="X356" s="6">
        <v>26.94</v>
      </c>
      <c r="Y356" s="6">
        <v>25.56</v>
      </c>
      <c r="Z356" s="6">
        <v>27.1</v>
      </c>
      <c r="AA356" s="6">
        <v>25.5</v>
      </c>
      <c r="AB356" s="6">
        <v>26.04</v>
      </c>
      <c r="AC356" s="6">
        <v>26.89</v>
      </c>
      <c r="AD356" s="6">
        <v>27.02</v>
      </c>
      <c r="AE356" s="6">
        <v>24.9</v>
      </c>
      <c r="AF356" s="6">
        <v>27.54</v>
      </c>
      <c r="AG356" s="6">
        <v>24.46</v>
      </c>
      <c r="AH356" s="6">
        <v>26.01</v>
      </c>
      <c r="AI356" s="6">
        <v>25.43</v>
      </c>
      <c r="AJ356" s="6">
        <v>25.9</v>
      </c>
      <c r="AK356" s="6">
        <v>25.36</v>
      </c>
      <c r="AL356" s="6">
        <v>25.48</v>
      </c>
      <c r="AM356" s="6">
        <v>26.8</v>
      </c>
      <c r="AN356" s="6">
        <v>26.47</v>
      </c>
      <c r="AO356" s="6">
        <v>26.12</v>
      </c>
      <c r="AP356" s="6">
        <v>26.67</v>
      </c>
      <c r="AQ356" s="6">
        <v>25.17</v>
      </c>
      <c r="AR356" s="6">
        <v>27.48</v>
      </c>
      <c r="AS356" s="6">
        <v>23.33</v>
      </c>
      <c r="AT356" s="6">
        <v>27.22</v>
      </c>
      <c r="AU356" s="6">
        <v>28.8</v>
      </c>
      <c r="AV356" s="6">
        <v>24.42</v>
      </c>
      <c r="AW356" s="6">
        <v>26.04</v>
      </c>
      <c r="AX356" s="6">
        <v>25.78</v>
      </c>
      <c r="AY356" s="6">
        <v>25.55</v>
      </c>
      <c r="AZ356" s="6">
        <v>27.18</v>
      </c>
      <c r="BA356" s="6">
        <v>25.2</v>
      </c>
      <c r="BB356" s="6">
        <v>25.21</v>
      </c>
      <c r="BC356" s="6">
        <v>25.82</v>
      </c>
      <c r="BD356" s="6">
        <v>27.8</v>
      </c>
      <c r="BE356" s="6">
        <v>25.52</v>
      </c>
      <c r="BF356" s="6">
        <v>26.92</v>
      </c>
      <c r="BG356" s="6">
        <v>24.34</v>
      </c>
      <c r="BH356" s="10">
        <v>24.9</v>
      </c>
      <c r="BI356" s="10"/>
    </row>
    <row r="357" spans="1:61" ht="15.75" customHeight="1" x14ac:dyDescent="0.25">
      <c r="A357" s="1">
        <v>356</v>
      </c>
      <c r="B357" s="1"/>
      <c r="C357" s="1">
        <v>21</v>
      </c>
      <c r="D357" s="6">
        <v>24.15</v>
      </c>
      <c r="E357" s="6">
        <v>26.02</v>
      </c>
      <c r="F357" s="6">
        <v>25.37</v>
      </c>
      <c r="G357" s="6"/>
      <c r="H357" s="6"/>
      <c r="I357" s="6"/>
      <c r="J357" s="9">
        <v>25.48</v>
      </c>
      <c r="K357" s="9">
        <v>27.18</v>
      </c>
      <c r="L357" s="9">
        <v>24.94</v>
      </c>
      <c r="M357" s="9">
        <v>24.96</v>
      </c>
      <c r="N357" s="9">
        <v>26.77</v>
      </c>
      <c r="O357" s="9">
        <v>26.67</v>
      </c>
      <c r="P357" s="9">
        <v>26.36</v>
      </c>
      <c r="Q357" s="9">
        <v>27.5</v>
      </c>
      <c r="R357" s="9">
        <v>27.53</v>
      </c>
      <c r="S357" s="9">
        <v>28.13</v>
      </c>
      <c r="T357" s="9">
        <v>27.17</v>
      </c>
      <c r="U357" s="9">
        <v>27.08</v>
      </c>
      <c r="V357" s="9">
        <v>28.61</v>
      </c>
      <c r="W357" s="6">
        <v>26.29</v>
      </c>
      <c r="X357" s="6">
        <v>26.79</v>
      </c>
      <c r="Y357" s="6">
        <v>25.38</v>
      </c>
      <c r="Z357" s="6">
        <v>27</v>
      </c>
      <c r="AA357" s="6">
        <v>25.39</v>
      </c>
      <c r="AB357" s="6">
        <v>25.88</v>
      </c>
      <c r="AC357" s="6">
        <v>26.66</v>
      </c>
      <c r="AD357" s="6">
        <v>26.88</v>
      </c>
      <c r="AE357" s="6">
        <v>24.8</v>
      </c>
      <c r="AF357" s="6">
        <v>27.54</v>
      </c>
      <c r="AG357" s="6">
        <v>24.34</v>
      </c>
      <c r="AH357" s="6">
        <v>25.87</v>
      </c>
      <c r="AI357" s="6">
        <v>25.38</v>
      </c>
      <c r="AJ357" s="6">
        <v>25.82</v>
      </c>
      <c r="AK357" s="6">
        <v>25.36</v>
      </c>
      <c r="AL357" s="6">
        <v>25.36</v>
      </c>
      <c r="AM357" s="6">
        <v>26.64</v>
      </c>
      <c r="AN357" s="6">
        <v>26.36</v>
      </c>
      <c r="AO357" s="6">
        <v>25.89</v>
      </c>
      <c r="AP357" s="6">
        <v>26.59</v>
      </c>
      <c r="AQ357" s="6">
        <v>25.07</v>
      </c>
      <c r="AR357" s="6">
        <v>27.36</v>
      </c>
      <c r="AS357" s="6">
        <v>23.28</v>
      </c>
      <c r="AT357" s="6">
        <v>27.02</v>
      </c>
      <c r="AU357" s="6">
        <v>28.71</v>
      </c>
      <c r="AV357" s="6">
        <v>24.28</v>
      </c>
      <c r="AW357" s="6">
        <v>26.02</v>
      </c>
      <c r="AX357" s="6">
        <v>25.75</v>
      </c>
      <c r="AY357" s="6">
        <v>25.45</v>
      </c>
      <c r="AZ357" s="6">
        <v>27.06</v>
      </c>
      <c r="BA357" s="6">
        <v>25.06</v>
      </c>
      <c r="BB357" s="6">
        <v>25.09</v>
      </c>
      <c r="BC357" s="6">
        <v>25.77</v>
      </c>
      <c r="BD357" s="6">
        <v>27.64</v>
      </c>
      <c r="BE357" s="6">
        <v>25.4</v>
      </c>
      <c r="BF357" s="6">
        <v>26.66</v>
      </c>
      <c r="BG357" s="6">
        <v>24.29</v>
      </c>
      <c r="BH357" s="10">
        <v>24.75</v>
      </c>
      <c r="BI357" s="10"/>
    </row>
    <row r="358" spans="1:61" ht="15.75" customHeight="1" x14ac:dyDescent="0.25">
      <c r="A358" s="1">
        <v>357</v>
      </c>
      <c r="B358" s="1"/>
      <c r="C358" s="1">
        <v>22</v>
      </c>
      <c r="D358" s="6">
        <v>24.05</v>
      </c>
      <c r="E358" s="6">
        <v>25.98</v>
      </c>
      <c r="F358" s="6">
        <v>25.27</v>
      </c>
      <c r="G358" s="6"/>
      <c r="H358" s="6"/>
      <c r="I358" s="6"/>
      <c r="J358" s="9">
        <v>25.28</v>
      </c>
      <c r="K358" s="9">
        <v>27.08</v>
      </c>
      <c r="L358" s="9">
        <v>24.83</v>
      </c>
      <c r="M358" s="9">
        <v>24.82</v>
      </c>
      <c r="N358" s="9">
        <v>26.65</v>
      </c>
      <c r="O358" s="9">
        <v>26.52</v>
      </c>
      <c r="P358" s="9">
        <v>26.32</v>
      </c>
      <c r="Q358" s="9">
        <v>27.49</v>
      </c>
      <c r="R358" s="9">
        <v>27.44</v>
      </c>
      <c r="S358" s="9">
        <v>28.1</v>
      </c>
      <c r="T358" s="9">
        <v>27.04</v>
      </c>
      <c r="U358" s="9">
        <v>26.95</v>
      </c>
      <c r="V358" s="9">
        <v>28.47</v>
      </c>
      <c r="W358" s="6">
        <v>26.22</v>
      </c>
      <c r="X358" s="6">
        <v>26.65</v>
      </c>
      <c r="Y358" s="6">
        <v>25.24</v>
      </c>
      <c r="Z358" s="6">
        <v>26.89</v>
      </c>
      <c r="AA358" s="6">
        <v>25.24</v>
      </c>
      <c r="AB358" s="6">
        <v>25.74</v>
      </c>
      <c r="AC358" s="6">
        <v>26.52</v>
      </c>
      <c r="AD358" s="6">
        <v>26.76</v>
      </c>
      <c r="AE358" s="6">
        <v>24.74</v>
      </c>
      <c r="AF358" s="6">
        <v>27.58</v>
      </c>
      <c r="AG358" s="6">
        <v>24.24</v>
      </c>
      <c r="AH358" s="6">
        <v>25.72</v>
      </c>
      <c r="AI358" s="6">
        <v>25.33</v>
      </c>
      <c r="AJ358" s="6">
        <v>25.73</v>
      </c>
      <c r="AK358" s="6">
        <v>25.38</v>
      </c>
      <c r="AL358" s="6">
        <v>25.22</v>
      </c>
      <c r="AM358" s="6">
        <v>26.5</v>
      </c>
      <c r="AN358" s="6">
        <v>26.3</v>
      </c>
      <c r="AO358" s="6">
        <v>25.74</v>
      </c>
      <c r="AP358" s="6">
        <v>26.49</v>
      </c>
      <c r="AQ358" s="6">
        <v>24.96</v>
      </c>
      <c r="AR358" s="6">
        <v>27.28</v>
      </c>
      <c r="AS358" s="6">
        <v>23.18</v>
      </c>
      <c r="AT358" s="6">
        <v>26.8</v>
      </c>
      <c r="AU358" s="6">
        <v>28.58</v>
      </c>
      <c r="AV358" s="6">
        <v>24.19</v>
      </c>
      <c r="AW358" s="6">
        <v>25.98</v>
      </c>
      <c r="AX358" s="6">
        <v>25.67</v>
      </c>
      <c r="AY358" s="6">
        <v>25.36</v>
      </c>
      <c r="AZ358" s="6">
        <v>26.97</v>
      </c>
      <c r="BA358" s="6">
        <v>24.91</v>
      </c>
      <c r="BB358" s="6">
        <v>24.96</v>
      </c>
      <c r="BC358" s="6">
        <v>25.72</v>
      </c>
      <c r="BD358" s="6">
        <v>27.48</v>
      </c>
      <c r="BE358" s="6">
        <v>25.32</v>
      </c>
      <c r="BF358" s="6">
        <v>26.5</v>
      </c>
      <c r="BG358" s="6">
        <v>24.21</v>
      </c>
      <c r="BH358" s="10">
        <v>24.65</v>
      </c>
      <c r="BI358" s="10"/>
    </row>
    <row r="359" spans="1:61" ht="15.75" customHeight="1" x14ac:dyDescent="0.25">
      <c r="A359" s="1">
        <v>358</v>
      </c>
      <c r="B359" s="1"/>
      <c r="C359" s="1">
        <v>23</v>
      </c>
      <c r="D359" s="6">
        <v>23.86</v>
      </c>
      <c r="E359" s="6">
        <v>26.01</v>
      </c>
      <c r="F359" s="6">
        <v>25.2</v>
      </c>
      <c r="G359" s="6"/>
      <c r="H359" s="6"/>
      <c r="I359" s="6"/>
      <c r="J359" s="9">
        <v>25.08</v>
      </c>
      <c r="K359" s="9">
        <v>26.98</v>
      </c>
      <c r="L359" s="9">
        <v>24.69</v>
      </c>
      <c r="M359" s="9">
        <v>24.68</v>
      </c>
      <c r="N359" s="9">
        <v>26.48</v>
      </c>
      <c r="O359" s="9">
        <v>26.44</v>
      </c>
      <c r="P359" s="9">
        <v>26.29</v>
      </c>
      <c r="Q359" s="9">
        <v>27.48</v>
      </c>
      <c r="R359" s="9">
        <v>27.3</v>
      </c>
      <c r="S359" s="9">
        <v>28.06</v>
      </c>
      <c r="T359" s="9">
        <v>26.92</v>
      </c>
      <c r="U359" s="9">
        <v>26.81</v>
      </c>
      <c r="V359" s="9">
        <v>28.32</v>
      </c>
      <c r="W359" s="6">
        <v>26.1</v>
      </c>
      <c r="X359" s="6">
        <v>26.55</v>
      </c>
      <c r="Y359" s="6">
        <v>25.09</v>
      </c>
      <c r="Z359" s="6">
        <v>26.79</v>
      </c>
      <c r="AA359" s="6">
        <v>25.1</v>
      </c>
      <c r="AB359" s="6">
        <v>25.62</v>
      </c>
      <c r="AC359" s="6">
        <v>26.32</v>
      </c>
      <c r="AD359" s="6">
        <v>26.63</v>
      </c>
      <c r="AE359" s="6">
        <v>24.69</v>
      </c>
      <c r="AF359" s="6">
        <v>27.63</v>
      </c>
      <c r="AG359" s="6">
        <v>24.12</v>
      </c>
      <c r="AH359" s="6">
        <v>25.58</v>
      </c>
      <c r="AI359" s="6">
        <v>25.28</v>
      </c>
      <c r="AJ359" s="6">
        <v>25.65</v>
      </c>
      <c r="AK359" s="6">
        <v>25.4</v>
      </c>
      <c r="AL359" s="6">
        <v>25.08</v>
      </c>
      <c r="AM359" s="6">
        <v>26.34</v>
      </c>
      <c r="AN359" s="6">
        <v>26.27</v>
      </c>
      <c r="AO359" s="6">
        <v>25.61</v>
      </c>
      <c r="AP359" s="6">
        <v>26.4</v>
      </c>
      <c r="AQ359" s="6">
        <v>24.96</v>
      </c>
      <c r="AR359" s="6">
        <v>27.15</v>
      </c>
      <c r="AS359" s="6">
        <v>23.08</v>
      </c>
      <c r="AT359" s="6">
        <v>26.6</v>
      </c>
      <c r="AU359" s="6">
        <v>28.45</v>
      </c>
      <c r="AV359" s="6">
        <v>24.1</v>
      </c>
      <c r="AW359" s="6">
        <v>25.96</v>
      </c>
      <c r="AX359" s="6">
        <v>25.58</v>
      </c>
      <c r="AY359" s="6">
        <v>25.26</v>
      </c>
      <c r="AZ359" s="6">
        <v>26.9</v>
      </c>
      <c r="BA359" s="6">
        <v>24.86</v>
      </c>
      <c r="BB359" s="6">
        <v>24.85</v>
      </c>
      <c r="BC359" s="6">
        <v>25.74</v>
      </c>
      <c r="BD359" s="6">
        <v>27.34</v>
      </c>
      <c r="BE359" s="6">
        <v>25.27</v>
      </c>
      <c r="BF359" s="6">
        <v>26.34</v>
      </c>
      <c r="BG359" s="6">
        <v>24.15</v>
      </c>
      <c r="BH359" s="10">
        <v>24.6</v>
      </c>
      <c r="BI359" s="10"/>
    </row>
    <row r="360" spans="1:61" ht="15.75" customHeight="1" x14ac:dyDescent="0.25">
      <c r="A360" s="1">
        <v>359</v>
      </c>
      <c r="B360" s="1"/>
      <c r="C360" s="1">
        <v>24</v>
      </c>
      <c r="D360" s="6">
        <v>23.71</v>
      </c>
      <c r="E360" s="6">
        <v>26.09</v>
      </c>
      <c r="F360" s="6">
        <v>25.13</v>
      </c>
      <c r="G360" s="6"/>
      <c r="H360" s="6"/>
      <c r="I360" s="6"/>
      <c r="J360" s="9">
        <v>24.88</v>
      </c>
      <c r="K360" s="9">
        <v>26.78</v>
      </c>
      <c r="L360" s="9">
        <v>24.58</v>
      </c>
      <c r="M360" s="9">
        <v>24.56</v>
      </c>
      <c r="N360" s="9">
        <v>26.41</v>
      </c>
      <c r="O360" s="9">
        <v>26.37</v>
      </c>
      <c r="P360" s="9">
        <v>26.25</v>
      </c>
      <c r="Q360" s="9">
        <v>27.43</v>
      </c>
      <c r="R360" s="9">
        <v>27.3</v>
      </c>
      <c r="S360" s="9">
        <v>28</v>
      </c>
      <c r="T360" s="9">
        <v>26.83</v>
      </c>
      <c r="U360" s="9">
        <v>26.65</v>
      </c>
      <c r="V360" s="9">
        <v>28.19</v>
      </c>
      <c r="W360" s="6">
        <v>25.99</v>
      </c>
      <c r="X360" s="6">
        <v>26.44</v>
      </c>
      <c r="Y360" s="6">
        <v>24.9</v>
      </c>
      <c r="Z360" s="6">
        <v>26.7</v>
      </c>
      <c r="AA360" s="6">
        <v>24.96</v>
      </c>
      <c r="AB360" s="6">
        <v>25.5</v>
      </c>
      <c r="AC360" s="6">
        <v>26.13</v>
      </c>
      <c r="AD360" s="6">
        <v>26.51</v>
      </c>
      <c r="AE360" s="6">
        <v>24.63</v>
      </c>
      <c r="AF360" s="6">
        <v>27.64</v>
      </c>
      <c r="AG360" s="6">
        <v>23.99</v>
      </c>
      <c r="AH360" s="6">
        <v>25.46</v>
      </c>
      <c r="AI360" s="6">
        <v>25.24</v>
      </c>
      <c r="AJ360" s="6">
        <v>25.51</v>
      </c>
      <c r="AK360" s="6">
        <v>25.49</v>
      </c>
      <c r="AL360" s="6">
        <v>25</v>
      </c>
      <c r="AM360" s="6">
        <v>26.2</v>
      </c>
      <c r="AN360" s="6">
        <v>26.22</v>
      </c>
      <c r="AO360" s="6">
        <v>25.49</v>
      </c>
      <c r="AP360" s="6">
        <v>26.27</v>
      </c>
      <c r="AQ360" s="6">
        <v>24.92</v>
      </c>
      <c r="AR360" s="6">
        <v>27.02</v>
      </c>
      <c r="AS360" s="6">
        <v>22.97</v>
      </c>
      <c r="AT360" s="6">
        <v>26.45</v>
      </c>
      <c r="AU360" s="6">
        <v>28.3</v>
      </c>
      <c r="AV360" s="6">
        <v>24.06</v>
      </c>
      <c r="AW360" s="6">
        <v>25.86</v>
      </c>
      <c r="AX360" s="6">
        <v>25.45</v>
      </c>
      <c r="AY360" s="6">
        <v>25.21</v>
      </c>
      <c r="AZ360" s="6">
        <v>26.82</v>
      </c>
      <c r="BA360" s="6">
        <v>24.7</v>
      </c>
      <c r="BB360" s="6">
        <v>24.76</v>
      </c>
      <c r="BC360" s="6">
        <v>25.77</v>
      </c>
      <c r="BD360" s="6">
        <v>27.15</v>
      </c>
      <c r="BE360" s="6">
        <v>25.18</v>
      </c>
      <c r="BF360" s="6">
        <v>26.22</v>
      </c>
      <c r="BG360" s="6">
        <v>24.1</v>
      </c>
      <c r="BH360" s="10">
        <v>24.55</v>
      </c>
      <c r="BI360" s="10"/>
    </row>
    <row r="361" spans="1:61" ht="15.75" customHeight="1" x14ac:dyDescent="0.25">
      <c r="A361" s="1">
        <v>360</v>
      </c>
      <c r="B361" s="1"/>
      <c r="C361" s="1">
        <v>25</v>
      </c>
      <c r="D361" s="6">
        <v>23.55</v>
      </c>
      <c r="E361" s="6">
        <v>25.88</v>
      </c>
      <c r="F361" s="6">
        <v>25.11</v>
      </c>
      <c r="G361" s="6"/>
      <c r="H361" s="6"/>
      <c r="I361" s="6"/>
      <c r="J361" s="9">
        <v>24.68</v>
      </c>
      <c r="K361" s="9">
        <v>26.68</v>
      </c>
      <c r="L361" s="9">
        <v>24.46</v>
      </c>
      <c r="M361" s="9">
        <v>24.44</v>
      </c>
      <c r="N361" s="9">
        <v>26.28</v>
      </c>
      <c r="O361" s="9">
        <v>26.33</v>
      </c>
      <c r="P361" s="9">
        <v>26.22</v>
      </c>
      <c r="Q361" s="9">
        <v>27.37</v>
      </c>
      <c r="R361" s="9">
        <v>27.05</v>
      </c>
      <c r="S361" s="9">
        <v>27.93</v>
      </c>
      <c r="T361" s="9">
        <v>26.75</v>
      </c>
      <c r="U361" s="9">
        <v>26.47</v>
      </c>
      <c r="V361" s="9">
        <v>28.05</v>
      </c>
      <c r="W361" s="6">
        <v>25.89</v>
      </c>
      <c r="X361" s="6">
        <v>26.31</v>
      </c>
      <c r="Y361" s="6">
        <v>24.72</v>
      </c>
      <c r="Z361" s="6">
        <v>26.6</v>
      </c>
      <c r="AA361" s="6">
        <v>24.83</v>
      </c>
      <c r="AB361" s="6">
        <v>25.39</v>
      </c>
      <c r="AC361" s="6">
        <v>25.96</v>
      </c>
      <c r="AD361" s="6">
        <v>26.4</v>
      </c>
      <c r="AE361" s="6">
        <v>24.56</v>
      </c>
      <c r="AF361" s="6">
        <v>27.62</v>
      </c>
      <c r="AG361" s="6">
        <v>23.88</v>
      </c>
      <c r="AH361" s="6">
        <v>25.36</v>
      </c>
      <c r="AI361" s="6">
        <v>25.18</v>
      </c>
      <c r="AJ361" s="6">
        <v>25.5</v>
      </c>
      <c r="AK361" s="6">
        <v>25.66</v>
      </c>
      <c r="AL361" s="6">
        <v>24.85</v>
      </c>
      <c r="AM361" s="6">
        <v>26.1</v>
      </c>
      <c r="AN361" s="6">
        <v>26.15</v>
      </c>
      <c r="AO361" s="6">
        <v>25.36</v>
      </c>
      <c r="AP361" s="6">
        <v>26.14</v>
      </c>
      <c r="AQ361" s="6">
        <v>24.92</v>
      </c>
      <c r="AR361" s="6">
        <v>26.82</v>
      </c>
      <c r="AS361" s="6">
        <v>22.9</v>
      </c>
      <c r="AT361" s="6">
        <v>26.28</v>
      </c>
      <c r="AU361" s="6">
        <v>28.15</v>
      </c>
      <c r="AV361" s="6">
        <v>23.98</v>
      </c>
      <c r="AW361" s="6">
        <v>25.79</v>
      </c>
      <c r="AX361" s="6">
        <v>25.37</v>
      </c>
      <c r="AY361" s="6">
        <v>25.15</v>
      </c>
      <c r="AZ361" s="6">
        <v>26.75</v>
      </c>
      <c r="BA361" s="6">
        <v>24.6</v>
      </c>
      <c r="BB361" s="6">
        <v>24.68</v>
      </c>
      <c r="BC361" s="6">
        <v>25.8</v>
      </c>
      <c r="BD361" s="6">
        <v>27.02</v>
      </c>
      <c r="BE361" s="6">
        <v>25.12</v>
      </c>
      <c r="BF361" s="6">
        <v>26.12</v>
      </c>
      <c r="BG361" s="6">
        <v>24.07</v>
      </c>
      <c r="BH361" s="10">
        <v>24.5</v>
      </c>
      <c r="BI361" s="10"/>
    </row>
    <row r="362" spans="1:61" ht="15.75" customHeight="1" x14ac:dyDescent="0.25">
      <c r="A362" s="1">
        <v>361</v>
      </c>
      <c r="B362" s="1"/>
      <c r="C362" s="1">
        <v>26</v>
      </c>
      <c r="D362" s="6">
        <v>23.32</v>
      </c>
      <c r="E362" s="6">
        <v>25.77</v>
      </c>
      <c r="F362" s="6">
        <v>25.04</v>
      </c>
      <c r="G362" s="6"/>
      <c r="H362" s="6"/>
      <c r="I362" s="6"/>
      <c r="J362" s="9">
        <v>24.58</v>
      </c>
      <c r="K362" s="9">
        <v>26.48</v>
      </c>
      <c r="L362" s="9">
        <v>24.35</v>
      </c>
      <c r="M362" s="9">
        <v>24.33</v>
      </c>
      <c r="N362" s="9">
        <v>26.14</v>
      </c>
      <c r="O362" s="9">
        <v>26.3</v>
      </c>
      <c r="P362" s="9">
        <v>26.19</v>
      </c>
      <c r="Q362" s="9">
        <v>27.28</v>
      </c>
      <c r="R362" s="9">
        <v>26.93</v>
      </c>
      <c r="S362" s="9">
        <v>27.81</v>
      </c>
      <c r="T362" s="9">
        <v>26.64</v>
      </c>
      <c r="U362" s="9">
        <v>26.27</v>
      </c>
      <c r="V362" s="9">
        <v>27.92</v>
      </c>
      <c r="W362" s="6">
        <v>25.74</v>
      </c>
      <c r="X362" s="6">
        <v>26.1</v>
      </c>
      <c r="Y362" s="6">
        <v>24.65</v>
      </c>
      <c r="Z362" s="6">
        <v>26.5</v>
      </c>
      <c r="AA362" s="6">
        <v>24.73</v>
      </c>
      <c r="AB362" s="6">
        <v>25.27</v>
      </c>
      <c r="AC362" s="6">
        <v>25.8</v>
      </c>
      <c r="AD362" s="6">
        <v>26.28</v>
      </c>
      <c r="AE362" s="6">
        <v>24.5</v>
      </c>
      <c r="AF362" s="6">
        <v>27.53</v>
      </c>
      <c r="AG362" s="6">
        <v>23.84</v>
      </c>
      <c r="AH362" s="6">
        <v>25.26</v>
      </c>
      <c r="AI362" s="6">
        <v>25.15</v>
      </c>
      <c r="AJ362" s="6">
        <v>25.21</v>
      </c>
      <c r="AK362" s="6">
        <v>25.83</v>
      </c>
      <c r="AL362" s="6">
        <v>24.77</v>
      </c>
      <c r="AM362" s="6">
        <v>25.98</v>
      </c>
      <c r="AN362" s="6">
        <v>26.04</v>
      </c>
      <c r="AO362" s="6">
        <v>25.25</v>
      </c>
      <c r="AP362" s="6">
        <v>26.01</v>
      </c>
      <c r="AQ362" s="6">
        <v>24.95</v>
      </c>
      <c r="AR362" s="6">
        <v>26.56</v>
      </c>
      <c r="AS362" s="6">
        <v>22.86</v>
      </c>
      <c r="AT362" s="6">
        <v>26.15</v>
      </c>
      <c r="AU362" s="6">
        <v>28.03</v>
      </c>
      <c r="AV362" s="6">
        <v>23.94</v>
      </c>
      <c r="AW362" s="6">
        <v>25.74</v>
      </c>
      <c r="AX362" s="6">
        <v>25.33</v>
      </c>
      <c r="AY362" s="6">
        <v>25.13</v>
      </c>
      <c r="AZ362" s="6">
        <v>26.68</v>
      </c>
      <c r="BA362" s="6">
        <v>24.48</v>
      </c>
      <c r="BB362" s="6">
        <v>24.6</v>
      </c>
      <c r="BC362" s="6">
        <v>25.83</v>
      </c>
      <c r="BD362" s="6">
        <v>26.96</v>
      </c>
      <c r="BE362" s="6">
        <v>25.12</v>
      </c>
      <c r="BF362" s="6">
        <v>25.84</v>
      </c>
      <c r="BG362" s="6">
        <v>24.05</v>
      </c>
      <c r="BH362" s="10">
        <v>24.48</v>
      </c>
      <c r="BI362" s="10"/>
    </row>
    <row r="363" spans="1:61" ht="15.75" customHeight="1" x14ac:dyDescent="0.25">
      <c r="A363" s="1">
        <v>362</v>
      </c>
      <c r="B363" s="1"/>
      <c r="C363" s="1">
        <v>27</v>
      </c>
      <c r="D363" s="6">
        <v>23.15</v>
      </c>
      <c r="E363" s="6">
        <v>25.7</v>
      </c>
      <c r="F363" s="6">
        <v>24.96</v>
      </c>
      <c r="G363" s="6"/>
      <c r="H363" s="6"/>
      <c r="I363" s="6"/>
      <c r="J363" s="9">
        <v>24.38</v>
      </c>
      <c r="K363" s="9">
        <v>26.38</v>
      </c>
      <c r="L363" s="9">
        <v>24.25</v>
      </c>
      <c r="M363" s="9">
        <v>24.24</v>
      </c>
      <c r="N363" s="9">
        <v>26.02</v>
      </c>
      <c r="O363" s="9">
        <v>26.27</v>
      </c>
      <c r="P363" s="9">
        <v>26.16</v>
      </c>
      <c r="Q363" s="9">
        <v>27.19</v>
      </c>
      <c r="R363" s="9">
        <v>26.82</v>
      </c>
      <c r="S363" s="9">
        <v>27.7</v>
      </c>
      <c r="T363" s="9">
        <v>26.58</v>
      </c>
      <c r="U363" s="9">
        <v>26.06</v>
      </c>
      <c r="V363" s="9">
        <v>27.78</v>
      </c>
      <c r="W363" s="6">
        <v>25.63</v>
      </c>
      <c r="X363" s="6">
        <v>25.88</v>
      </c>
      <c r="Y363" s="6">
        <v>24.49</v>
      </c>
      <c r="Z363" s="6">
        <v>26.39</v>
      </c>
      <c r="AA363" s="6">
        <v>24.6</v>
      </c>
      <c r="AB363" s="6">
        <v>25.14</v>
      </c>
      <c r="AC363" s="6">
        <v>25.67</v>
      </c>
      <c r="AD363" s="6">
        <v>26.19</v>
      </c>
      <c r="AE363" s="6">
        <v>24.45</v>
      </c>
      <c r="AF363" s="6">
        <v>27.47</v>
      </c>
      <c r="AG363" s="6">
        <v>23.71</v>
      </c>
      <c r="AH363" s="6">
        <v>25.16</v>
      </c>
      <c r="AI363" s="6">
        <v>25.1</v>
      </c>
      <c r="AJ363" s="6">
        <v>25.2</v>
      </c>
      <c r="AK363" s="6">
        <v>25.99</v>
      </c>
      <c r="AL363" s="6">
        <v>24.72</v>
      </c>
      <c r="AM363" s="6">
        <v>25.88</v>
      </c>
      <c r="AN363" s="6">
        <v>25.9</v>
      </c>
      <c r="AO363" s="6">
        <v>25.15</v>
      </c>
      <c r="AP363" s="6">
        <v>25.88</v>
      </c>
      <c r="AQ363" s="6">
        <v>25.07</v>
      </c>
      <c r="AR363" s="6">
        <v>26.4</v>
      </c>
      <c r="AS363" s="6">
        <v>22.8</v>
      </c>
      <c r="AT363" s="6">
        <v>26.02</v>
      </c>
      <c r="AU363" s="6">
        <v>27.97</v>
      </c>
      <c r="AV363" s="6">
        <v>23.96</v>
      </c>
      <c r="AW363" s="6">
        <v>25.64</v>
      </c>
      <c r="AX363" s="6">
        <v>25.3</v>
      </c>
      <c r="AY363" s="6">
        <v>25.1</v>
      </c>
      <c r="AZ363" s="6">
        <v>26.6</v>
      </c>
      <c r="BA363" s="6">
        <v>24.4</v>
      </c>
      <c r="BB363" s="6">
        <v>24.52</v>
      </c>
      <c r="BC363" s="6">
        <v>25.87</v>
      </c>
      <c r="BD363" s="6">
        <v>26.85</v>
      </c>
      <c r="BE363" s="6">
        <v>25.1</v>
      </c>
      <c r="BF363" s="6">
        <v>25.55</v>
      </c>
      <c r="BG363" s="6">
        <v>24.07</v>
      </c>
      <c r="BH363" s="10">
        <v>24.45</v>
      </c>
      <c r="BI363" s="10"/>
    </row>
    <row r="364" spans="1:61" ht="15.75" customHeight="1" x14ac:dyDescent="0.25">
      <c r="A364" s="1">
        <v>363</v>
      </c>
      <c r="B364" s="1"/>
      <c r="C364" s="1">
        <v>28</v>
      </c>
      <c r="D364" s="6">
        <v>22.95</v>
      </c>
      <c r="E364" s="6">
        <v>25.55</v>
      </c>
      <c r="F364" s="6">
        <v>24.87</v>
      </c>
      <c r="G364" s="6"/>
      <c r="H364" s="6"/>
      <c r="I364" s="6"/>
      <c r="J364" s="9">
        <v>24.18</v>
      </c>
      <c r="K364" s="9">
        <v>26.28</v>
      </c>
      <c r="L364" s="9">
        <v>24.16</v>
      </c>
      <c r="M364" s="9">
        <v>24.13</v>
      </c>
      <c r="N364" s="9">
        <v>25.88</v>
      </c>
      <c r="O364" s="9">
        <v>26.24</v>
      </c>
      <c r="P364" s="9">
        <v>26.14</v>
      </c>
      <c r="Q364" s="9">
        <v>27.08</v>
      </c>
      <c r="R364" s="9">
        <v>26.72</v>
      </c>
      <c r="S364" s="9">
        <v>27.59</v>
      </c>
      <c r="T364" s="9">
        <v>26.51</v>
      </c>
      <c r="U364" s="9">
        <v>25.85</v>
      </c>
      <c r="V364" s="9">
        <v>27.65</v>
      </c>
      <c r="W364" s="6">
        <v>25.55</v>
      </c>
      <c r="X364" s="6">
        <v>25.68</v>
      </c>
      <c r="Y364" s="6">
        <v>24.38</v>
      </c>
      <c r="Z364" s="6">
        <v>26.26</v>
      </c>
      <c r="AA364" s="6">
        <v>24.48</v>
      </c>
      <c r="AB364" s="6">
        <v>25.07</v>
      </c>
      <c r="AC364" s="6">
        <v>25.53</v>
      </c>
      <c r="AD364" s="6">
        <v>26.06</v>
      </c>
      <c r="AE364" s="6">
        <v>24.42</v>
      </c>
      <c r="AF364" s="6">
        <v>27.36</v>
      </c>
      <c r="AG364" s="6">
        <v>23.62</v>
      </c>
      <c r="AH364" s="6">
        <v>25.11</v>
      </c>
      <c r="AI364" s="6">
        <v>25.04</v>
      </c>
      <c r="AJ364" s="6">
        <v>25.1</v>
      </c>
      <c r="AK364" s="6">
        <v>26.1</v>
      </c>
      <c r="AL364" s="6">
        <v>24.68</v>
      </c>
      <c r="AM364" s="6">
        <v>25.8</v>
      </c>
      <c r="AN364" s="6">
        <v>25.8</v>
      </c>
      <c r="AO364" s="6">
        <v>25.05</v>
      </c>
      <c r="AP364" s="6">
        <v>25.72</v>
      </c>
      <c r="AQ364" s="6">
        <v>25.14</v>
      </c>
      <c r="AR364" s="6">
        <v>26.2</v>
      </c>
      <c r="AS364" s="6">
        <v>22.76</v>
      </c>
      <c r="AT364" s="6">
        <v>25.96</v>
      </c>
      <c r="AU364" s="6">
        <v>27.81</v>
      </c>
      <c r="AV364" s="6">
        <v>23.98</v>
      </c>
      <c r="AW364" s="6">
        <v>25.5</v>
      </c>
      <c r="AX364" s="6">
        <v>25.24</v>
      </c>
      <c r="AY364" s="6">
        <v>25.06</v>
      </c>
      <c r="AZ364" s="6">
        <v>26.52</v>
      </c>
      <c r="BA364" s="6">
        <v>24.2</v>
      </c>
      <c r="BB364" s="6">
        <v>24.44</v>
      </c>
      <c r="BC364" s="6">
        <v>25.89</v>
      </c>
      <c r="BD364" s="6">
        <v>26.7</v>
      </c>
      <c r="BE364" s="6">
        <v>25</v>
      </c>
      <c r="BF364" s="6">
        <v>25.38</v>
      </c>
      <c r="BG364" s="6">
        <v>24.07</v>
      </c>
      <c r="BH364" s="10">
        <v>24.43</v>
      </c>
      <c r="BI364" s="10"/>
    </row>
    <row r="365" spans="1:61" ht="15.75" customHeight="1" x14ac:dyDescent="0.25">
      <c r="A365" s="1">
        <v>364</v>
      </c>
      <c r="B365" s="1"/>
      <c r="C365" s="1">
        <v>29</v>
      </c>
      <c r="D365" s="6">
        <v>22.72</v>
      </c>
      <c r="E365" s="6">
        <v>25.45</v>
      </c>
      <c r="F365" s="6">
        <v>24.76</v>
      </c>
      <c r="G365" s="6"/>
      <c r="H365" s="6"/>
      <c r="I365" s="6"/>
      <c r="J365" s="9">
        <v>24.08</v>
      </c>
      <c r="K365" s="9">
        <v>26.16</v>
      </c>
      <c r="L365" s="9">
        <v>24.09</v>
      </c>
      <c r="M365" s="9">
        <v>24.05</v>
      </c>
      <c r="N365" s="9">
        <v>25.75</v>
      </c>
      <c r="O365" s="9">
        <v>26.16</v>
      </c>
      <c r="P365" s="9">
        <v>26.11</v>
      </c>
      <c r="Q365" s="9">
        <v>27.03</v>
      </c>
      <c r="R365" s="9">
        <v>26.64</v>
      </c>
      <c r="S365" s="9">
        <v>27.5</v>
      </c>
      <c r="T365" s="9">
        <v>26.46</v>
      </c>
      <c r="U365" s="9">
        <v>25.66</v>
      </c>
      <c r="V365" s="9">
        <v>27.51</v>
      </c>
      <c r="W365" s="6">
        <v>25.45</v>
      </c>
      <c r="X365" s="6">
        <v>25.47</v>
      </c>
      <c r="Y365" s="6">
        <v>24.24</v>
      </c>
      <c r="Z365" s="6">
        <v>26.1</v>
      </c>
      <c r="AA365" s="6">
        <v>24.35</v>
      </c>
      <c r="AB365" s="6">
        <v>24.94</v>
      </c>
      <c r="AC365" s="6">
        <v>25.39</v>
      </c>
      <c r="AD365" s="6">
        <v>25.92</v>
      </c>
      <c r="AE365" s="6">
        <v>24.41</v>
      </c>
      <c r="AF365" s="6">
        <v>27.26</v>
      </c>
      <c r="AG365" s="6">
        <v>23.57</v>
      </c>
      <c r="AH365" s="6">
        <v>25.02</v>
      </c>
      <c r="AI365" s="6">
        <v>24.98</v>
      </c>
      <c r="AJ365" s="6">
        <v>24.99</v>
      </c>
      <c r="AK365" s="6">
        <v>26.2</v>
      </c>
      <c r="AL365" s="6">
        <v>24.76</v>
      </c>
      <c r="AM365" s="6">
        <v>25.73</v>
      </c>
      <c r="AN365" s="6">
        <v>25.7</v>
      </c>
      <c r="AO365" s="6">
        <v>24.9</v>
      </c>
      <c r="AP365" s="6">
        <v>25.57</v>
      </c>
      <c r="AQ365" s="6">
        <v>25.22</v>
      </c>
      <c r="AR365" s="6">
        <v>25.99</v>
      </c>
      <c r="AS365" s="6">
        <v>22.7</v>
      </c>
      <c r="AT365" s="6">
        <v>25.8</v>
      </c>
      <c r="AU365" s="6">
        <v>27.7</v>
      </c>
      <c r="AV365" s="6">
        <v>23.98</v>
      </c>
      <c r="AW365" s="6">
        <v>25.36</v>
      </c>
      <c r="AX365" s="6">
        <v>24.94</v>
      </c>
      <c r="AY365" s="6">
        <v>25</v>
      </c>
      <c r="AZ365" s="6">
        <v>26.41</v>
      </c>
      <c r="BA365" s="6">
        <v>24.08</v>
      </c>
      <c r="BB365" s="6">
        <v>24.4</v>
      </c>
      <c r="BC365" s="6">
        <v>25.91</v>
      </c>
      <c r="BD365" s="6">
        <v>26.6</v>
      </c>
      <c r="BE365" s="6">
        <v>24.98</v>
      </c>
      <c r="BF365" s="6">
        <v>25.19</v>
      </c>
      <c r="BG365" s="6">
        <v>24.05</v>
      </c>
      <c r="BH365" s="10">
        <v>24.43</v>
      </c>
      <c r="BI365" s="10"/>
    </row>
    <row r="366" spans="1:61" ht="15.75" customHeight="1" x14ac:dyDescent="0.25">
      <c r="A366" s="1">
        <v>365</v>
      </c>
      <c r="B366" s="1"/>
      <c r="C366" s="1">
        <v>30</v>
      </c>
      <c r="D366" s="6">
        <v>22.53</v>
      </c>
      <c r="E366" s="6">
        <v>25.34</v>
      </c>
      <c r="F366" s="6">
        <v>24.65</v>
      </c>
      <c r="G366" s="6"/>
      <c r="H366" s="6"/>
      <c r="I366" s="6"/>
      <c r="J366" s="9">
        <v>23.98</v>
      </c>
      <c r="K366" s="9">
        <v>26</v>
      </c>
      <c r="L366" s="9">
        <v>24</v>
      </c>
      <c r="M366" s="9">
        <v>24</v>
      </c>
      <c r="N366" s="9">
        <v>25.54</v>
      </c>
      <c r="O366" s="9">
        <v>26.06</v>
      </c>
      <c r="P366" s="9">
        <v>26.09</v>
      </c>
      <c r="Q366" s="9">
        <v>26.97</v>
      </c>
      <c r="R366" s="9">
        <v>26.54</v>
      </c>
      <c r="S366" s="9">
        <v>27.45</v>
      </c>
      <c r="T366" s="9">
        <v>26.43</v>
      </c>
      <c r="U366" s="9">
        <v>25.49</v>
      </c>
      <c r="V366" s="9">
        <v>27.39</v>
      </c>
      <c r="W366" s="6">
        <v>25.33</v>
      </c>
      <c r="X366" s="6">
        <v>25.36</v>
      </c>
      <c r="Y366" s="6">
        <v>24.01</v>
      </c>
      <c r="Z366" s="6">
        <v>26</v>
      </c>
      <c r="AA366" s="6">
        <v>24.22</v>
      </c>
      <c r="AB366" s="6">
        <v>24.83</v>
      </c>
      <c r="AC366" s="6">
        <v>25.27</v>
      </c>
      <c r="AD366" s="6">
        <v>25.83</v>
      </c>
      <c r="AE366" s="6">
        <v>24.43</v>
      </c>
      <c r="AF366" s="6">
        <v>27.15</v>
      </c>
      <c r="AG366" s="6">
        <v>23.47</v>
      </c>
      <c r="AH366" s="6">
        <v>24.96</v>
      </c>
      <c r="AI366" s="6">
        <v>24.9</v>
      </c>
      <c r="AJ366" s="6">
        <v>24.89</v>
      </c>
      <c r="AK366" s="6">
        <v>26.26</v>
      </c>
      <c r="AL366" s="6">
        <v>24.81</v>
      </c>
      <c r="AM366" s="6">
        <v>25.65</v>
      </c>
      <c r="AN366" s="6">
        <v>25.49</v>
      </c>
      <c r="AO366" s="6">
        <v>24.8</v>
      </c>
      <c r="AP366" s="6">
        <v>25.44</v>
      </c>
      <c r="AQ366" s="6">
        <v>25.29</v>
      </c>
      <c r="AR366" s="6">
        <v>25.79</v>
      </c>
      <c r="AS366" s="6">
        <v>22.7</v>
      </c>
      <c r="AT366" s="6">
        <v>25.66</v>
      </c>
      <c r="AU366" s="6">
        <v>27.59</v>
      </c>
      <c r="AV366" s="6">
        <v>23.99</v>
      </c>
      <c r="AW366" s="6">
        <v>25.2</v>
      </c>
      <c r="AX366" s="6">
        <v>24.87</v>
      </c>
      <c r="AY366" s="6">
        <v>24.92</v>
      </c>
      <c r="AZ366" s="6">
        <v>26.32</v>
      </c>
      <c r="BA366" s="6">
        <v>23.89</v>
      </c>
      <c r="BB366" s="6">
        <v>24.3</v>
      </c>
      <c r="BC366" s="6">
        <v>25.92</v>
      </c>
      <c r="BD366" s="6">
        <v>26.5</v>
      </c>
      <c r="BE366" s="6">
        <v>24.95</v>
      </c>
      <c r="BF366" s="6">
        <v>25.04</v>
      </c>
      <c r="BG366" s="6">
        <v>24.05</v>
      </c>
      <c r="BH366" s="10">
        <v>24.47</v>
      </c>
      <c r="BI366" s="10"/>
    </row>
    <row r="367" spans="1:61" ht="15.75" customHeight="1" x14ac:dyDescent="0.25">
      <c r="A367" s="1">
        <v>366</v>
      </c>
      <c r="B367" s="1"/>
      <c r="C367" s="1">
        <v>31</v>
      </c>
      <c r="D367" s="4">
        <v>22.77</v>
      </c>
      <c r="E367" s="4">
        <v>25.23</v>
      </c>
      <c r="F367" s="4">
        <v>24.55</v>
      </c>
      <c r="G367" s="4"/>
      <c r="H367" s="4"/>
      <c r="I367" s="4"/>
      <c r="J367" s="9">
        <v>23.78</v>
      </c>
      <c r="K367" s="9">
        <v>25.88</v>
      </c>
      <c r="L367" s="21">
        <v>23.9</v>
      </c>
      <c r="M367" s="9">
        <v>23.95</v>
      </c>
      <c r="N367" s="9">
        <v>25.36</v>
      </c>
      <c r="O367" s="9">
        <v>25.92</v>
      </c>
      <c r="P367" s="21">
        <v>26.06</v>
      </c>
      <c r="Q367" s="9">
        <v>26.93</v>
      </c>
      <c r="R367" s="9">
        <v>26.47</v>
      </c>
      <c r="S367" s="9">
        <v>27.33</v>
      </c>
      <c r="T367" s="21">
        <v>26.51</v>
      </c>
      <c r="U367" s="9">
        <v>25.32</v>
      </c>
      <c r="V367" s="9">
        <v>27.25</v>
      </c>
      <c r="W367" s="4">
        <v>25.23</v>
      </c>
      <c r="X367" s="4">
        <v>25.1</v>
      </c>
      <c r="Y367" s="4">
        <v>23.93</v>
      </c>
      <c r="Z367" s="4">
        <v>25.85</v>
      </c>
      <c r="AA367" s="4">
        <v>24.13</v>
      </c>
      <c r="AB367" s="4">
        <v>24.7</v>
      </c>
      <c r="AC367" s="4">
        <v>25.19</v>
      </c>
      <c r="AD367" s="4">
        <v>25.7</v>
      </c>
      <c r="AE367" s="4">
        <v>24.48</v>
      </c>
      <c r="AF367" s="4">
        <v>27.04</v>
      </c>
      <c r="AG367" s="4">
        <v>23.4</v>
      </c>
      <c r="AH367" s="20">
        <v>24.92</v>
      </c>
      <c r="AI367" s="20">
        <v>24.82</v>
      </c>
      <c r="AJ367" s="20">
        <v>24.76</v>
      </c>
      <c r="AK367" s="20">
        <v>26.26</v>
      </c>
      <c r="AL367" s="20">
        <v>24.78</v>
      </c>
      <c r="AM367" s="20">
        <v>25.55</v>
      </c>
      <c r="AN367" s="20">
        <v>25.3</v>
      </c>
      <c r="AO367" s="20">
        <v>24.76</v>
      </c>
      <c r="AP367" s="6">
        <v>25.32</v>
      </c>
      <c r="AQ367" s="6">
        <v>25.32</v>
      </c>
      <c r="AR367" s="6">
        <v>25.57</v>
      </c>
      <c r="AS367" s="6">
        <v>22.7</v>
      </c>
      <c r="AT367" s="6">
        <v>25.52</v>
      </c>
      <c r="AU367" s="6">
        <v>27.5</v>
      </c>
      <c r="AV367" s="6">
        <v>24.04</v>
      </c>
      <c r="AW367" s="6">
        <v>25.08</v>
      </c>
      <c r="AX367" s="6">
        <v>24.78</v>
      </c>
      <c r="AY367" s="6">
        <v>24.85</v>
      </c>
      <c r="AZ367" s="6">
        <v>26.24</v>
      </c>
      <c r="BA367" s="6">
        <v>23.8</v>
      </c>
      <c r="BB367" s="6">
        <v>24.22</v>
      </c>
      <c r="BC367" s="6">
        <v>25.89</v>
      </c>
      <c r="BD367" s="6">
        <v>26.4</v>
      </c>
      <c r="BE367" s="6">
        <v>24.95</v>
      </c>
      <c r="BF367" s="6">
        <v>24.88</v>
      </c>
      <c r="BG367" s="6">
        <v>24.05</v>
      </c>
      <c r="BH367" s="10">
        <v>24.5</v>
      </c>
      <c r="BI367" s="10"/>
    </row>
    <row r="368" spans="1:61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decimal" allowBlank="1" showInputMessage="1" showErrorMessage="1" prompt="Ingrese año de Evaluación - Debe estar comprendido entre 1987-2016" sqref="B3" xr:uid="{00000000-0002-0000-0100-000000000000}">
      <formula1>D1</formula1>
      <formula2>BD1</formula2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P367"/>
  <sheetViews>
    <sheetView workbookViewId="0"/>
  </sheetViews>
  <sheetFormatPr baseColWidth="10" defaultColWidth="14.42578125" defaultRowHeight="15" customHeight="1" x14ac:dyDescent="0.25"/>
  <cols>
    <col min="1" max="94" width="10.7109375" customWidth="1"/>
  </cols>
  <sheetData>
    <row r="1" spans="1:94" ht="15.75" x14ac:dyDescent="0.25">
      <c r="A1" s="1" t="s">
        <v>0</v>
      </c>
      <c r="B1" s="1" t="s">
        <v>1</v>
      </c>
      <c r="C1" s="1" t="s">
        <v>2</v>
      </c>
      <c r="D1" s="1">
        <v>1935</v>
      </c>
      <c r="E1" s="1">
        <v>1936</v>
      </c>
      <c r="F1" s="1">
        <v>1937</v>
      </c>
      <c r="G1" s="1">
        <v>1938</v>
      </c>
      <c r="H1" s="1">
        <v>1939</v>
      </c>
      <c r="I1" s="1">
        <v>1940</v>
      </c>
      <c r="J1" s="1">
        <v>1941</v>
      </c>
      <c r="K1" s="1">
        <v>1942</v>
      </c>
      <c r="L1" s="1">
        <v>1943</v>
      </c>
      <c r="M1" s="1">
        <v>1944</v>
      </c>
      <c r="N1" s="1">
        <v>1945</v>
      </c>
      <c r="O1" s="1">
        <v>1946</v>
      </c>
      <c r="P1" s="1">
        <v>1947</v>
      </c>
      <c r="Q1" s="1">
        <v>1948</v>
      </c>
      <c r="R1" s="1">
        <v>1949</v>
      </c>
      <c r="S1" s="1">
        <v>1950</v>
      </c>
      <c r="T1" s="1">
        <v>1951</v>
      </c>
      <c r="U1" s="1">
        <v>1952</v>
      </c>
      <c r="V1" s="1">
        <v>1953</v>
      </c>
      <c r="W1" s="1">
        <v>1954</v>
      </c>
      <c r="X1" s="1">
        <v>1955</v>
      </c>
      <c r="Y1" s="1">
        <v>1956</v>
      </c>
      <c r="Z1" s="1">
        <v>1957</v>
      </c>
      <c r="AA1" s="1">
        <v>1958</v>
      </c>
      <c r="AB1" s="1">
        <v>1959</v>
      </c>
      <c r="AC1" s="1">
        <v>1960</v>
      </c>
      <c r="AD1" s="1">
        <v>1961</v>
      </c>
      <c r="AE1" s="1">
        <v>1962</v>
      </c>
      <c r="AF1" s="1">
        <v>1963</v>
      </c>
      <c r="AG1" s="1">
        <v>1964</v>
      </c>
      <c r="AH1" s="1">
        <v>1965</v>
      </c>
      <c r="AI1" s="1">
        <v>1966</v>
      </c>
      <c r="AJ1" s="1">
        <v>1967</v>
      </c>
      <c r="AK1" s="1">
        <v>1968</v>
      </c>
      <c r="AL1" s="1">
        <v>1969</v>
      </c>
      <c r="AM1" s="1">
        <v>1970</v>
      </c>
      <c r="AN1" s="1">
        <v>1971</v>
      </c>
      <c r="AO1" s="1">
        <v>1972</v>
      </c>
      <c r="AP1" s="1">
        <v>1973</v>
      </c>
      <c r="AQ1" s="1">
        <v>1974</v>
      </c>
      <c r="AR1" s="1">
        <v>1975</v>
      </c>
      <c r="AS1" s="1">
        <v>1976</v>
      </c>
      <c r="AT1" s="1">
        <v>1977</v>
      </c>
      <c r="AU1" s="1">
        <v>1978</v>
      </c>
      <c r="AV1" s="1">
        <v>1979</v>
      </c>
      <c r="AW1" s="1">
        <v>1980</v>
      </c>
      <c r="AX1" s="1">
        <v>1981</v>
      </c>
      <c r="AY1" s="1">
        <v>1982</v>
      </c>
      <c r="AZ1" s="1">
        <v>1983</v>
      </c>
      <c r="BA1" s="1">
        <v>1984</v>
      </c>
      <c r="BB1" s="1">
        <v>1985</v>
      </c>
      <c r="BC1" s="1">
        <v>1986</v>
      </c>
      <c r="BD1" s="1">
        <v>1987</v>
      </c>
      <c r="BE1" s="1">
        <v>1988</v>
      </c>
      <c r="BF1" s="1">
        <v>1989</v>
      </c>
      <c r="BG1" s="1">
        <v>1990</v>
      </c>
      <c r="BH1" s="1">
        <v>1991</v>
      </c>
      <c r="BI1" s="1">
        <v>1992</v>
      </c>
      <c r="BJ1" s="1">
        <v>1993</v>
      </c>
      <c r="BK1" s="1">
        <v>1994</v>
      </c>
      <c r="BL1" s="1">
        <v>1995</v>
      </c>
      <c r="BM1" s="1">
        <v>1996</v>
      </c>
      <c r="BN1" s="1">
        <v>1997</v>
      </c>
      <c r="BO1" s="1">
        <v>1998</v>
      </c>
      <c r="BP1" s="1">
        <v>1999</v>
      </c>
      <c r="BQ1" s="1">
        <v>2000</v>
      </c>
      <c r="BR1" s="1">
        <v>2001</v>
      </c>
      <c r="BS1" s="1">
        <v>2002</v>
      </c>
      <c r="BT1" s="1">
        <v>2003</v>
      </c>
      <c r="BU1" s="1">
        <v>2004</v>
      </c>
      <c r="BV1" s="1">
        <v>2005</v>
      </c>
      <c r="BW1" s="1">
        <v>2006</v>
      </c>
      <c r="BX1" s="1">
        <v>2007</v>
      </c>
      <c r="BY1" s="1">
        <v>2008</v>
      </c>
      <c r="BZ1" s="1">
        <v>2009</v>
      </c>
      <c r="CA1" s="1">
        <v>2010</v>
      </c>
      <c r="CB1" s="1">
        <v>2011</v>
      </c>
      <c r="CC1" s="1">
        <v>2012</v>
      </c>
      <c r="CD1" s="1">
        <v>2013</v>
      </c>
      <c r="CE1" s="1">
        <v>2014</v>
      </c>
      <c r="CF1" s="1">
        <v>2015</v>
      </c>
      <c r="CG1" s="1">
        <v>2016</v>
      </c>
      <c r="CH1" s="1">
        <v>2017</v>
      </c>
      <c r="CI1" s="1">
        <v>2018</v>
      </c>
      <c r="CJ1" s="1">
        <v>2019</v>
      </c>
      <c r="CK1" s="1">
        <v>2020</v>
      </c>
      <c r="CL1" s="1">
        <v>2021</v>
      </c>
      <c r="CM1" s="1">
        <v>2022</v>
      </c>
      <c r="CN1" s="1">
        <v>2023</v>
      </c>
      <c r="CO1" s="1">
        <v>2024</v>
      </c>
      <c r="CP1" s="1">
        <v>2025</v>
      </c>
    </row>
    <row r="2" spans="1:94" ht="15.75" x14ac:dyDescent="0.25">
      <c r="A2" s="4">
        <v>1</v>
      </c>
      <c r="B2" s="5" t="s">
        <v>3</v>
      </c>
      <c r="C2" s="4">
        <v>1</v>
      </c>
      <c r="D2" s="8">
        <v>6.48</v>
      </c>
      <c r="E2" s="8">
        <v>6.48</v>
      </c>
      <c r="F2" s="8">
        <v>5.43</v>
      </c>
      <c r="G2" s="8">
        <v>4.9800000000000004</v>
      </c>
      <c r="H2" s="8">
        <v>8.58</v>
      </c>
      <c r="I2" s="8">
        <v>5.73</v>
      </c>
      <c r="J2" s="8">
        <v>6.22</v>
      </c>
      <c r="K2" s="8">
        <v>5.3</v>
      </c>
      <c r="L2" s="8">
        <v>7.58</v>
      </c>
      <c r="M2" s="8">
        <v>5.9</v>
      </c>
      <c r="N2" s="8">
        <v>7.42</v>
      </c>
      <c r="O2" s="8">
        <v>6.54</v>
      </c>
      <c r="P2" s="8">
        <v>6.51</v>
      </c>
      <c r="Q2" s="8">
        <v>5.3</v>
      </c>
      <c r="R2" s="8">
        <v>5.31</v>
      </c>
      <c r="S2" s="8">
        <v>6.82</v>
      </c>
      <c r="T2" s="8">
        <v>6.86</v>
      </c>
      <c r="U2" s="8">
        <v>6.83</v>
      </c>
      <c r="V2" s="8">
        <v>6.77</v>
      </c>
      <c r="W2" s="8">
        <v>6.39</v>
      </c>
      <c r="X2" s="8">
        <v>7.47</v>
      </c>
      <c r="Y2" s="8">
        <v>6.54</v>
      </c>
      <c r="Z2" s="8">
        <v>6.63</v>
      </c>
      <c r="AA2" s="8">
        <v>6.51</v>
      </c>
      <c r="AB2" s="8">
        <v>4.6900000000000004</v>
      </c>
      <c r="AC2" s="8">
        <v>7.31</v>
      </c>
      <c r="AD2" s="8">
        <v>7.36</v>
      </c>
      <c r="AE2" s="8">
        <v>7.39</v>
      </c>
      <c r="AF2" s="8">
        <v>5.36</v>
      </c>
      <c r="AG2" s="8">
        <v>5.97</v>
      </c>
      <c r="AH2" s="8">
        <v>5.44</v>
      </c>
      <c r="AI2" s="8">
        <v>5.99</v>
      </c>
      <c r="AJ2" s="8">
        <v>7.88</v>
      </c>
      <c r="AK2" s="8">
        <v>5.41</v>
      </c>
      <c r="AL2" s="8">
        <v>5.14</v>
      </c>
      <c r="AM2" s="8">
        <v>7.07</v>
      </c>
      <c r="AN2" s="8">
        <v>6.56</v>
      </c>
      <c r="AO2" s="8">
        <v>7.32</v>
      </c>
      <c r="AP2" s="8">
        <v>6.39</v>
      </c>
      <c r="AQ2" s="8">
        <v>6.89</v>
      </c>
      <c r="AR2" s="8">
        <v>5.3</v>
      </c>
      <c r="AS2" s="8">
        <v>8.2100000000000009</v>
      </c>
      <c r="AT2" s="8">
        <v>5.47</v>
      </c>
      <c r="AU2" s="6">
        <v>5.38</v>
      </c>
      <c r="AV2" s="6">
        <v>7.15</v>
      </c>
      <c r="AW2" s="6">
        <v>7.76</v>
      </c>
      <c r="AX2" s="6">
        <v>6</v>
      </c>
      <c r="AY2" s="6">
        <v>6.9</v>
      </c>
      <c r="AZ2" s="6">
        <v>6.23</v>
      </c>
      <c r="BA2" s="6">
        <v>7.19</v>
      </c>
      <c r="BB2" s="6">
        <v>6.53</v>
      </c>
      <c r="BC2" s="6">
        <v>6.26</v>
      </c>
      <c r="BD2" s="11">
        <v>8.32</v>
      </c>
      <c r="BE2" s="6">
        <v>6.55</v>
      </c>
      <c r="BF2" s="6">
        <v>7.15</v>
      </c>
      <c r="BG2" s="6">
        <v>5.34</v>
      </c>
      <c r="BH2" s="6">
        <v>7.59</v>
      </c>
      <c r="BI2" s="6">
        <v>5.9</v>
      </c>
      <c r="BJ2" s="6">
        <v>6.28</v>
      </c>
      <c r="BK2" s="6">
        <v>6.78</v>
      </c>
      <c r="BL2" s="6">
        <v>7.23</v>
      </c>
      <c r="BM2" s="6">
        <v>5.8</v>
      </c>
      <c r="BN2" s="6">
        <v>8.83</v>
      </c>
      <c r="BO2" s="6">
        <v>4.38</v>
      </c>
      <c r="BP2" s="6">
        <v>6.8</v>
      </c>
      <c r="BQ2" s="7">
        <v>6.26</v>
      </c>
      <c r="BR2" s="7">
        <v>6.46</v>
      </c>
      <c r="BS2" s="7">
        <v>7.7</v>
      </c>
      <c r="BT2" s="7">
        <v>6.18</v>
      </c>
      <c r="BU2" s="7">
        <v>7.3</v>
      </c>
      <c r="BV2" s="7">
        <v>7.14</v>
      </c>
      <c r="BW2" s="7">
        <v>6.8</v>
      </c>
      <c r="BX2" s="7">
        <v>7.5</v>
      </c>
      <c r="BY2" s="7">
        <v>7.26</v>
      </c>
      <c r="BZ2" s="7">
        <v>8.3000000000000007</v>
      </c>
      <c r="CA2" s="7">
        <v>4.2</v>
      </c>
      <c r="CB2" s="7">
        <v>7.68</v>
      </c>
      <c r="CC2" s="6">
        <v>9.5</v>
      </c>
      <c r="CD2" s="7">
        <v>5.8</v>
      </c>
      <c r="CE2" s="7">
        <v>6.9</v>
      </c>
      <c r="CF2" s="7">
        <v>6.52</v>
      </c>
      <c r="CG2" s="7">
        <v>6.14</v>
      </c>
      <c r="CH2" s="7">
        <v>8.1199999999999992</v>
      </c>
      <c r="CI2" s="8">
        <v>5.42</v>
      </c>
      <c r="CJ2" s="11">
        <v>6.6</v>
      </c>
      <c r="CK2" s="7">
        <v>7.34</v>
      </c>
      <c r="CL2" s="6">
        <v>8.1999999999999993</v>
      </c>
      <c r="CM2" s="6">
        <v>7.2</v>
      </c>
      <c r="CN2" s="6">
        <v>6.93</v>
      </c>
      <c r="CO2" s="10">
        <v>5.44</v>
      </c>
      <c r="CP2" s="10">
        <v>5.95</v>
      </c>
    </row>
    <row r="3" spans="1:94" ht="15.75" x14ac:dyDescent="0.25">
      <c r="A3" s="4">
        <v>2</v>
      </c>
      <c r="B3" s="12"/>
      <c r="C3" s="4">
        <v>2</v>
      </c>
      <c r="D3" s="8">
        <v>6.33</v>
      </c>
      <c r="E3" s="8">
        <v>6.38</v>
      </c>
      <c r="F3" s="8">
        <v>5.33</v>
      </c>
      <c r="G3" s="8">
        <v>5.08</v>
      </c>
      <c r="H3" s="8">
        <v>8.33</v>
      </c>
      <c r="I3" s="8">
        <v>5.68</v>
      </c>
      <c r="J3" s="8">
        <v>6.1</v>
      </c>
      <c r="K3" s="8">
        <v>5.26</v>
      </c>
      <c r="L3" s="8">
        <v>7.48</v>
      </c>
      <c r="M3" s="8">
        <v>5.77</v>
      </c>
      <c r="N3" s="8">
        <v>7.21</v>
      </c>
      <c r="O3" s="8">
        <v>6.41</v>
      </c>
      <c r="P3" s="8">
        <v>6.43</v>
      </c>
      <c r="Q3" s="8">
        <v>5.16</v>
      </c>
      <c r="R3" s="8">
        <v>5.24</v>
      </c>
      <c r="S3" s="8">
        <v>6.79</v>
      </c>
      <c r="T3" s="8">
        <v>6.77</v>
      </c>
      <c r="U3" s="8">
        <v>6.76</v>
      </c>
      <c r="V3" s="8">
        <v>6.73</v>
      </c>
      <c r="W3" s="8">
        <v>6.16</v>
      </c>
      <c r="X3" s="8">
        <v>7.45</v>
      </c>
      <c r="Y3" s="8">
        <v>6.44</v>
      </c>
      <c r="Z3" s="8">
        <v>6.63</v>
      </c>
      <c r="AA3" s="8">
        <v>6.48</v>
      </c>
      <c r="AB3" s="8">
        <v>4.6500000000000004</v>
      </c>
      <c r="AC3" s="8">
        <v>7.29</v>
      </c>
      <c r="AD3" s="8">
        <v>7.19</v>
      </c>
      <c r="AE3" s="8">
        <v>7.27</v>
      </c>
      <c r="AF3" s="8">
        <v>5.15</v>
      </c>
      <c r="AG3" s="8">
        <v>5.86</v>
      </c>
      <c r="AH3" s="8">
        <v>5.37</v>
      </c>
      <c r="AI3" s="8">
        <v>5.81</v>
      </c>
      <c r="AJ3" s="8">
        <v>7.92</v>
      </c>
      <c r="AK3" s="8">
        <v>5.31</v>
      </c>
      <c r="AL3" s="8">
        <v>5.08</v>
      </c>
      <c r="AM3" s="8">
        <v>6.96</v>
      </c>
      <c r="AN3" s="8">
        <v>6.48</v>
      </c>
      <c r="AO3" s="8">
        <v>7.32</v>
      </c>
      <c r="AP3" s="8">
        <v>6.29</v>
      </c>
      <c r="AQ3" s="8">
        <v>6.78</v>
      </c>
      <c r="AR3" s="8">
        <v>5.17</v>
      </c>
      <c r="AS3" s="8">
        <v>8.0500000000000007</v>
      </c>
      <c r="AT3" s="8">
        <v>5.37</v>
      </c>
      <c r="AU3" s="6">
        <v>5.3</v>
      </c>
      <c r="AV3" s="6">
        <v>6.96</v>
      </c>
      <c r="AW3" s="6">
        <v>7.69</v>
      </c>
      <c r="AX3" s="6">
        <v>5.88</v>
      </c>
      <c r="AY3" s="6">
        <v>6.86</v>
      </c>
      <c r="AZ3" s="6">
        <v>6.11</v>
      </c>
      <c r="BA3" s="6">
        <v>7.13</v>
      </c>
      <c r="BB3" s="6">
        <v>6.44</v>
      </c>
      <c r="BC3" s="6">
        <v>6.09</v>
      </c>
      <c r="BD3" s="11">
        <v>8.11</v>
      </c>
      <c r="BE3" s="6">
        <v>6.44</v>
      </c>
      <c r="BF3" s="6">
        <v>7.01</v>
      </c>
      <c r="BG3" s="6">
        <v>5.17</v>
      </c>
      <c r="BH3" s="6">
        <v>7.48</v>
      </c>
      <c r="BI3" s="6">
        <v>5.8</v>
      </c>
      <c r="BJ3" s="6">
        <v>6.12</v>
      </c>
      <c r="BK3" s="6">
        <v>6.6</v>
      </c>
      <c r="BL3" s="6">
        <v>7.08</v>
      </c>
      <c r="BM3" s="6">
        <v>5.78</v>
      </c>
      <c r="BN3" s="6">
        <v>8.56</v>
      </c>
      <c r="BO3" s="6">
        <v>4.4000000000000004</v>
      </c>
      <c r="BP3" s="6">
        <v>6.74</v>
      </c>
      <c r="BQ3" s="7">
        <v>6.15</v>
      </c>
      <c r="BR3" s="7">
        <v>6.4</v>
      </c>
      <c r="BS3" s="7">
        <v>7.84</v>
      </c>
      <c r="BT3" s="7">
        <v>6.12</v>
      </c>
      <c r="BU3" s="7">
        <v>7.2</v>
      </c>
      <c r="BV3" s="7">
        <v>7</v>
      </c>
      <c r="BW3" s="7">
        <v>6.66</v>
      </c>
      <c r="BX3" s="7">
        <v>7.32</v>
      </c>
      <c r="BY3" s="7">
        <v>7.24</v>
      </c>
      <c r="BZ3" s="7">
        <v>8.02</v>
      </c>
      <c r="CA3" s="7">
        <v>4.0999999999999996</v>
      </c>
      <c r="CB3" s="7">
        <v>7.62</v>
      </c>
      <c r="CC3" s="6">
        <v>9.42</v>
      </c>
      <c r="CD3" s="7">
        <v>5.8</v>
      </c>
      <c r="CE3" s="7">
        <v>6.7</v>
      </c>
      <c r="CF3" s="7">
        <v>6.44</v>
      </c>
      <c r="CG3" s="7">
        <v>6.06</v>
      </c>
      <c r="CH3" s="7">
        <v>8.06</v>
      </c>
      <c r="CI3" s="8">
        <v>5.44</v>
      </c>
      <c r="CJ3" s="11">
        <v>6.33</v>
      </c>
      <c r="CK3" s="7">
        <v>7.3</v>
      </c>
      <c r="CL3" s="6">
        <v>8.1999999999999993</v>
      </c>
      <c r="CM3" s="6">
        <v>7</v>
      </c>
      <c r="CN3" s="6">
        <v>6.76</v>
      </c>
      <c r="CO3" s="10">
        <v>5.44</v>
      </c>
      <c r="CP3" s="10">
        <v>5.94</v>
      </c>
    </row>
    <row r="4" spans="1:94" ht="15.75" x14ac:dyDescent="0.25">
      <c r="A4" s="4">
        <v>3</v>
      </c>
      <c r="B4" s="14"/>
      <c r="C4" s="4">
        <v>3</v>
      </c>
      <c r="D4" s="8">
        <v>6.08</v>
      </c>
      <c r="E4" s="8">
        <v>6.23</v>
      </c>
      <c r="F4" s="8">
        <v>5.23</v>
      </c>
      <c r="G4" s="8">
        <v>5.13</v>
      </c>
      <c r="H4" s="8">
        <v>8.08</v>
      </c>
      <c r="I4" s="8">
        <v>5.58</v>
      </c>
      <c r="J4" s="8">
        <v>5.93</v>
      </c>
      <c r="K4" s="8">
        <v>5.21</v>
      </c>
      <c r="L4" s="8">
        <v>7.38</v>
      </c>
      <c r="M4" s="8">
        <v>5.66</v>
      </c>
      <c r="N4" s="8">
        <v>6.98</v>
      </c>
      <c r="O4" s="8">
        <v>6.34</v>
      </c>
      <c r="P4" s="8">
        <v>6.36</v>
      </c>
      <c r="Q4" s="8">
        <v>5.04</v>
      </c>
      <c r="R4" s="8">
        <v>5.0599999999999996</v>
      </c>
      <c r="S4" s="8">
        <v>6.79</v>
      </c>
      <c r="T4" s="8">
        <v>6.66</v>
      </c>
      <c r="U4" s="8">
        <v>6.67</v>
      </c>
      <c r="V4" s="8">
        <v>6.77</v>
      </c>
      <c r="W4" s="8">
        <v>6.08</v>
      </c>
      <c r="X4" s="8">
        <v>7.45</v>
      </c>
      <c r="Y4" s="8">
        <v>6.33</v>
      </c>
      <c r="Z4" s="8">
        <v>6.55</v>
      </c>
      <c r="AA4" s="8">
        <v>6.33</v>
      </c>
      <c r="AB4" s="8">
        <v>4.57</v>
      </c>
      <c r="AC4" s="8">
        <v>7.27</v>
      </c>
      <c r="AD4" s="8">
        <v>7.03</v>
      </c>
      <c r="AE4" s="8">
        <v>7.09</v>
      </c>
      <c r="AF4" s="8">
        <v>4.9800000000000004</v>
      </c>
      <c r="AG4" s="8">
        <v>5.72</v>
      </c>
      <c r="AH4" s="8">
        <v>5.31</v>
      </c>
      <c r="AI4" s="8">
        <v>5.65</v>
      </c>
      <c r="AJ4" s="8">
        <v>7.91</v>
      </c>
      <c r="AK4" s="8">
        <v>5.23</v>
      </c>
      <c r="AL4" s="8">
        <v>5.01</v>
      </c>
      <c r="AM4" s="8">
        <v>6.85</v>
      </c>
      <c r="AN4" s="8">
        <v>6.41</v>
      </c>
      <c r="AO4" s="8">
        <v>7.28</v>
      </c>
      <c r="AP4" s="8">
        <v>6.18</v>
      </c>
      <c r="AQ4" s="8">
        <v>6.73</v>
      </c>
      <c r="AR4" s="8">
        <v>5.03</v>
      </c>
      <c r="AS4" s="8">
        <v>7.84</v>
      </c>
      <c r="AT4" s="8">
        <v>5.27</v>
      </c>
      <c r="AU4" s="6">
        <v>5.21</v>
      </c>
      <c r="AV4" s="6">
        <v>6.78</v>
      </c>
      <c r="AW4" s="6">
        <v>7.65</v>
      </c>
      <c r="AX4" s="6">
        <v>5.8</v>
      </c>
      <c r="AY4" s="6">
        <v>6.78</v>
      </c>
      <c r="AZ4" s="6">
        <v>6.03</v>
      </c>
      <c r="BA4" s="6">
        <v>7.09</v>
      </c>
      <c r="BB4" s="6">
        <v>6.36</v>
      </c>
      <c r="BC4" s="6">
        <v>5.92</v>
      </c>
      <c r="BD4" s="11">
        <v>7.9</v>
      </c>
      <c r="BE4" s="6">
        <v>6.3</v>
      </c>
      <c r="BF4" s="6">
        <v>6.92</v>
      </c>
      <c r="BG4" s="6">
        <v>5.01</v>
      </c>
      <c r="BH4" s="6">
        <v>7.32</v>
      </c>
      <c r="BI4" s="6">
        <v>5.6</v>
      </c>
      <c r="BJ4" s="6">
        <v>5.95</v>
      </c>
      <c r="BK4" s="6">
        <v>6.44</v>
      </c>
      <c r="BL4" s="6">
        <v>6.98</v>
      </c>
      <c r="BM4" s="6">
        <v>5.76</v>
      </c>
      <c r="BN4" s="6">
        <v>8.5399999999999991</v>
      </c>
      <c r="BO4" s="6">
        <v>4.3499999999999996</v>
      </c>
      <c r="BP4" s="6">
        <v>6.68</v>
      </c>
      <c r="BQ4" s="7">
        <v>6.05</v>
      </c>
      <c r="BR4" s="7">
        <v>6.38</v>
      </c>
      <c r="BS4" s="7">
        <v>7.79</v>
      </c>
      <c r="BT4" s="7">
        <v>6.04</v>
      </c>
      <c r="BU4" s="7">
        <v>7.1</v>
      </c>
      <c r="BV4" s="7">
        <v>6.95</v>
      </c>
      <c r="BW4" s="7">
        <v>6.6</v>
      </c>
      <c r="BX4" s="7">
        <v>7.14</v>
      </c>
      <c r="BY4" s="7">
        <v>7.2</v>
      </c>
      <c r="BZ4" s="7">
        <v>7.8</v>
      </c>
      <c r="CA4" s="7">
        <v>4.08</v>
      </c>
      <c r="CB4" s="7">
        <v>7.58</v>
      </c>
      <c r="CC4" s="6">
        <v>9.1999999999999993</v>
      </c>
      <c r="CD4" s="7">
        <v>5.72</v>
      </c>
      <c r="CE4" s="7">
        <v>6.5</v>
      </c>
      <c r="CF4" s="7">
        <v>6.36</v>
      </c>
      <c r="CG4" s="7">
        <v>6</v>
      </c>
      <c r="CH4" s="7">
        <v>8</v>
      </c>
      <c r="CI4" s="8">
        <v>5.42</v>
      </c>
      <c r="CJ4" s="11">
        <v>6.1950000000000003</v>
      </c>
      <c r="CK4" s="7">
        <v>7.26</v>
      </c>
      <c r="CL4" s="6">
        <v>8.1999999999999993</v>
      </c>
      <c r="CM4" s="6">
        <v>6.84</v>
      </c>
      <c r="CN4" s="6">
        <v>6.6</v>
      </c>
      <c r="CO4" s="10">
        <v>5.43</v>
      </c>
      <c r="CP4" s="10">
        <v>5.98</v>
      </c>
    </row>
    <row r="5" spans="1:94" ht="15.75" x14ac:dyDescent="0.25">
      <c r="A5" s="4">
        <v>4</v>
      </c>
      <c r="B5" s="4"/>
      <c r="C5" s="4">
        <v>4</v>
      </c>
      <c r="D5" s="8">
        <v>5.93</v>
      </c>
      <c r="E5" s="8">
        <v>6.08</v>
      </c>
      <c r="F5" s="8">
        <v>5.18</v>
      </c>
      <c r="G5" s="8">
        <v>5.18</v>
      </c>
      <c r="H5" s="8">
        <v>7.83</v>
      </c>
      <c r="I5" s="8">
        <v>5.48</v>
      </c>
      <c r="J5" s="8">
        <v>5.83</v>
      </c>
      <c r="K5" s="8">
        <v>5.14</v>
      </c>
      <c r="L5" s="8">
        <v>7.28</v>
      </c>
      <c r="M5" s="8">
        <v>5.54</v>
      </c>
      <c r="N5" s="8">
        <v>6.8</v>
      </c>
      <c r="O5" s="8">
        <v>6.19</v>
      </c>
      <c r="P5" s="8">
        <v>6.34</v>
      </c>
      <c r="Q5" s="8">
        <v>4.9000000000000004</v>
      </c>
      <c r="R5" s="8">
        <v>4.9800000000000004</v>
      </c>
      <c r="S5" s="8">
        <v>6.81</v>
      </c>
      <c r="T5" s="8">
        <v>6.51</v>
      </c>
      <c r="U5" s="8">
        <v>6.63</v>
      </c>
      <c r="V5" s="8">
        <v>6.67</v>
      </c>
      <c r="W5" s="8">
        <v>5.98</v>
      </c>
      <c r="X5" s="8">
        <v>7.43</v>
      </c>
      <c r="Y5" s="8">
        <v>6.25</v>
      </c>
      <c r="Z5" s="8">
        <v>6.45</v>
      </c>
      <c r="AA5" s="8">
        <v>6.19</v>
      </c>
      <c r="AB5" s="8">
        <v>4.4800000000000004</v>
      </c>
      <c r="AC5" s="8">
        <v>7.27</v>
      </c>
      <c r="AD5" s="8">
        <v>6.87</v>
      </c>
      <c r="AE5" s="8">
        <v>6.91</v>
      </c>
      <c r="AF5" s="8">
        <v>4.9000000000000004</v>
      </c>
      <c r="AG5" s="8">
        <v>5.64</v>
      </c>
      <c r="AH5" s="8">
        <v>5.25</v>
      </c>
      <c r="AI5" s="8">
        <v>5.57</v>
      </c>
      <c r="AJ5" s="8">
        <v>7.86</v>
      </c>
      <c r="AK5" s="8">
        <v>5.12</v>
      </c>
      <c r="AL5" s="8">
        <v>4.92</v>
      </c>
      <c r="AM5" s="8">
        <v>6.8</v>
      </c>
      <c r="AN5" s="8">
        <v>6.35</v>
      </c>
      <c r="AO5" s="8">
        <v>7.26</v>
      </c>
      <c r="AP5" s="8">
        <v>6.06</v>
      </c>
      <c r="AQ5" s="8">
        <v>6.68</v>
      </c>
      <c r="AR5" s="8">
        <v>4.9000000000000004</v>
      </c>
      <c r="AS5" s="8">
        <v>7.62</v>
      </c>
      <c r="AT5" s="8">
        <v>5.2</v>
      </c>
      <c r="AU5" s="6">
        <v>5.13</v>
      </c>
      <c r="AV5" s="6">
        <v>6.59</v>
      </c>
      <c r="AW5" s="6">
        <v>7.55</v>
      </c>
      <c r="AX5" s="6">
        <v>5.76</v>
      </c>
      <c r="AY5" s="6">
        <v>6.57</v>
      </c>
      <c r="AZ5" s="6">
        <v>5.98</v>
      </c>
      <c r="BA5" s="6">
        <v>7.03</v>
      </c>
      <c r="BB5" s="6">
        <v>6.32</v>
      </c>
      <c r="BC5" s="6">
        <v>5.75</v>
      </c>
      <c r="BD5" s="11">
        <v>7.72</v>
      </c>
      <c r="BE5" s="6">
        <v>6.21</v>
      </c>
      <c r="BF5" s="6">
        <v>6.84</v>
      </c>
      <c r="BG5" s="6">
        <v>4.96</v>
      </c>
      <c r="BH5" s="6">
        <v>7.21</v>
      </c>
      <c r="BI5" s="6">
        <v>5.48</v>
      </c>
      <c r="BJ5" s="6">
        <v>5.8</v>
      </c>
      <c r="BK5" s="6">
        <v>6.28</v>
      </c>
      <c r="BL5" s="6">
        <v>6.82</v>
      </c>
      <c r="BM5" s="6">
        <v>5.81</v>
      </c>
      <c r="BN5" s="6">
        <v>8.52</v>
      </c>
      <c r="BO5" s="6">
        <v>4.2</v>
      </c>
      <c r="BP5" s="6">
        <v>6.69</v>
      </c>
      <c r="BQ5" s="7">
        <v>5.96</v>
      </c>
      <c r="BR5" s="7">
        <v>6.32</v>
      </c>
      <c r="BS5" s="7">
        <v>7.8</v>
      </c>
      <c r="BT5" s="7">
        <v>6</v>
      </c>
      <c r="BU5" s="7">
        <v>7.05</v>
      </c>
      <c r="BV5" s="7">
        <v>6.8</v>
      </c>
      <c r="BW5" s="7">
        <v>6.5</v>
      </c>
      <c r="BX5" s="7">
        <v>7.04</v>
      </c>
      <c r="BY5" s="7">
        <v>7.16</v>
      </c>
      <c r="BZ5" s="7">
        <v>7.7</v>
      </c>
      <c r="CA5" s="7">
        <v>4.0599999999999996</v>
      </c>
      <c r="CB5" s="7">
        <v>7.46</v>
      </c>
      <c r="CC5" s="6">
        <v>9.16</v>
      </c>
      <c r="CD5" s="7">
        <v>5.7</v>
      </c>
      <c r="CE5" s="7">
        <v>6.38</v>
      </c>
      <c r="CF5" s="7">
        <v>6.28</v>
      </c>
      <c r="CG5" s="7">
        <v>5.92</v>
      </c>
      <c r="CH5" s="7">
        <v>8.1199999999999992</v>
      </c>
      <c r="CI5" s="8">
        <v>5.4</v>
      </c>
      <c r="CJ5" s="11">
        <v>6.06</v>
      </c>
      <c r="CK5" s="7">
        <v>7.22</v>
      </c>
      <c r="CL5" s="6">
        <v>8.1999999999999993</v>
      </c>
      <c r="CM5" s="6">
        <v>6.8</v>
      </c>
      <c r="CN5" s="6">
        <v>6.44</v>
      </c>
      <c r="CO5" s="10">
        <v>5.39</v>
      </c>
      <c r="CP5" s="10">
        <v>6.02</v>
      </c>
    </row>
    <row r="6" spans="1:94" ht="15.75" x14ac:dyDescent="0.25">
      <c r="A6" s="4">
        <v>5</v>
      </c>
      <c r="B6" s="4"/>
      <c r="C6" s="4">
        <v>5</v>
      </c>
      <c r="D6" s="8">
        <v>5.78</v>
      </c>
      <c r="E6" s="8">
        <v>5.98</v>
      </c>
      <c r="F6" s="8">
        <v>5.13</v>
      </c>
      <c r="G6" s="8">
        <v>5.23</v>
      </c>
      <c r="H6" s="8">
        <v>7.63</v>
      </c>
      <c r="I6" s="8">
        <v>5.38</v>
      </c>
      <c r="J6" s="8">
        <v>5.68</v>
      </c>
      <c r="K6" s="8">
        <v>5.08</v>
      </c>
      <c r="L6" s="8">
        <v>7.18</v>
      </c>
      <c r="M6" s="8">
        <v>5.41</v>
      </c>
      <c r="N6" s="8">
        <v>6.6</v>
      </c>
      <c r="O6" s="8">
        <v>6.01</v>
      </c>
      <c r="P6" s="8">
        <v>6.27</v>
      </c>
      <c r="Q6" s="8">
        <v>4.78</v>
      </c>
      <c r="R6" s="8">
        <v>4.88</v>
      </c>
      <c r="S6" s="8">
        <v>6.9</v>
      </c>
      <c r="T6" s="8">
        <v>6.46</v>
      </c>
      <c r="U6" s="8">
        <v>6.63</v>
      </c>
      <c r="V6" s="8">
        <v>6.59</v>
      </c>
      <c r="W6" s="8">
        <v>5.98</v>
      </c>
      <c r="X6" s="8">
        <v>7.41</v>
      </c>
      <c r="Y6" s="8">
        <v>6.21</v>
      </c>
      <c r="Z6" s="8">
        <v>6.35</v>
      </c>
      <c r="AA6" s="8">
        <v>6.04</v>
      </c>
      <c r="AB6" s="8">
        <v>4.42</v>
      </c>
      <c r="AC6" s="8">
        <v>7.21</v>
      </c>
      <c r="AD6" s="8">
        <v>6.71</v>
      </c>
      <c r="AE6" s="8">
        <v>6.72</v>
      </c>
      <c r="AF6" s="8">
        <v>4.7699999999999996</v>
      </c>
      <c r="AG6" s="8">
        <v>5.54</v>
      </c>
      <c r="AH6" s="8">
        <v>5.18</v>
      </c>
      <c r="AI6" s="8">
        <v>5.49</v>
      </c>
      <c r="AJ6" s="8">
        <v>7.77</v>
      </c>
      <c r="AK6" s="8">
        <v>5.01</v>
      </c>
      <c r="AL6" s="8">
        <v>4.87</v>
      </c>
      <c r="AM6" s="8">
        <v>6.84</v>
      </c>
      <c r="AN6" s="8">
        <v>6.28</v>
      </c>
      <c r="AO6" s="8">
        <v>7.27</v>
      </c>
      <c r="AP6" s="8">
        <v>5.92</v>
      </c>
      <c r="AQ6" s="8">
        <v>6.62</v>
      </c>
      <c r="AR6" s="8">
        <v>4.82</v>
      </c>
      <c r="AS6" s="8">
        <v>7.4</v>
      </c>
      <c r="AT6" s="8">
        <v>5.15</v>
      </c>
      <c r="AU6" s="6">
        <v>5.09</v>
      </c>
      <c r="AV6" s="6">
        <v>6.4</v>
      </c>
      <c r="AW6" s="6">
        <v>7.46</v>
      </c>
      <c r="AX6" s="6">
        <v>5.71</v>
      </c>
      <c r="AY6" s="6">
        <v>6.53</v>
      </c>
      <c r="AZ6" s="6">
        <v>5.9</v>
      </c>
      <c r="BA6" s="6">
        <v>6.96</v>
      </c>
      <c r="BB6" s="6">
        <v>6.28</v>
      </c>
      <c r="BC6" s="6">
        <v>5.61</v>
      </c>
      <c r="BD6" s="11">
        <v>7.53</v>
      </c>
      <c r="BE6" s="6">
        <v>6.09</v>
      </c>
      <c r="BF6" s="6">
        <v>6.76</v>
      </c>
      <c r="BG6" s="6">
        <v>4.96</v>
      </c>
      <c r="BH6" s="6">
        <v>7.17</v>
      </c>
      <c r="BI6" s="6">
        <v>5.46</v>
      </c>
      <c r="BJ6" s="6">
        <v>5.65</v>
      </c>
      <c r="BK6" s="6">
        <v>6.1</v>
      </c>
      <c r="BL6" s="6">
        <v>6.64</v>
      </c>
      <c r="BM6" s="6">
        <v>5.86</v>
      </c>
      <c r="BN6" s="6">
        <v>8.35</v>
      </c>
      <c r="BO6" s="6">
        <v>4.0999999999999996</v>
      </c>
      <c r="BP6" s="6">
        <v>6.78</v>
      </c>
      <c r="BQ6" s="7">
        <v>5.85</v>
      </c>
      <c r="BR6" s="7">
        <v>6.1</v>
      </c>
      <c r="BS6" s="7">
        <v>7.8</v>
      </c>
      <c r="BT6" s="7">
        <v>5.88</v>
      </c>
      <c r="BU6" s="7">
        <v>7</v>
      </c>
      <c r="BV6" s="7">
        <v>6.74</v>
      </c>
      <c r="BW6" s="7">
        <v>6.38</v>
      </c>
      <c r="BX6" s="7">
        <v>6.9</v>
      </c>
      <c r="BY6" s="7">
        <v>7.14</v>
      </c>
      <c r="BZ6" s="7">
        <v>7.6</v>
      </c>
      <c r="CA6" s="7">
        <v>4.04</v>
      </c>
      <c r="CB6" s="7">
        <v>7.3</v>
      </c>
      <c r="CC6" s="6">
        <v>9</v>
      </c>
      <c r="CD6" s="7">
        <v>5.82</v>
      </c>
      <c r="CE6" s="7">
        <v>6.18</v>
      </c>
      <c r="CF6" s="7">
        <v>6.18</v>
      </c>
      <c r="CG6" s="7">
        <v>5.85</v>
      </c>
      <c r="CH6" s="7">
        <v>8.1</v>
      </c>
      <c r="CI6" s="8">
        <v>5.4</v>
      </c>
      <c r="CJ6" s="11">
        <v>5.9</v>
      </c>
      <c r="CK6" s="7">
        <v>7.18</v>
      </c>
      <c r="CL6" s="6">
        <v>8.3000000000000007</v>
      </c>
      <c r="CM6" s="6">
        <v>6.7</v>
      </c>
      <c r="CN6" s="6">
        <v>6.3</v>
      </c>
      <c r="CO6" s="10">
        <v>5.36</v>
      </c>
      <c r="CP6" s="10">
        <v>6.08</v>
      </c>
    </row>
    <row r="7" spans="1:94" ht="15.75" x14ac:dyDescent="0.25">
      <c r="A7" s="4">
        <v>6</v>
      </c>
      <c r="B7" s="4"/>
      <c r="C7" s="4">
        <v>6</v>
      </c>
      <c r="D7" s="8">
        <v>5.63</v>
      </c>
      <c r="E7" s="8">
        <v>5.88</v>
      </c>
      <c r="F7" s="8">
        <v>5.08</v>
      </c>
      <c r="G7" s="8">
        <v>5.18</v>
      </c>
      <c r="H7" s="8">
        <v>7.43</v>
      </c>
      <c r="I7" s="8">
        <v>5.33</v>
      </c>
      <c r="J7" s="8">
        <v>5.58</v>
      </c>
      <c r="K7" s="8">
        <v>5.03</v>
      </c>
      <c r="L7" s="8">
        <v>7.03</v>
      </c>
      <c r="M7" s="8">
        <v>5.29</v>
      </c>
      <c r="N7" s="8">
        <v>6.41</v>
      </c>
      <c r="O7" s="8">
        <v>5.86</v>
      </c>
      <c r="P7" s="8">
        <v>6.22</v>
      </c>
      <c r="Q7" s="8">
        <v>4.67</v>
      </c>
      <c r="R7" s="8">
        <v>4.7699999999999996</v>
      </c>
      <c r="S7" s="8">
        <v>7.03</v>
      </c>
      <c r="T7" s="8">
        <v>6.44</v>
      </c>
      <c r="U7" s="8">
        <v>6.63</v>
      </c>
      <c r="V7" s="8">
        <v>6.49</v>
      </c>
      <c r="W7" s="8">
        <v>6.03</v>
      </c>
      <c r="X7" s="8">
        <v>7.37</v>
      </c>
      <c r="Y7" s="8">
        <v>6.15</v>
      </c>
      <c r="Z7" s="8">
        <v>6.23</v>
      </c>
      <c r="AA7" s="8">
        <v>5.9</v>
      </c>
      <c r="AB7" s="8">
        <v>4.37</v>
      </c>
      <c r="AC7" s="8">
        <v>7.15</v>
      </c>
      <c r="AD7" s="8">
        <v>6.55</v>
      </c>
      <c r="AE7" s="8">
        <v>6.53</v>
      </c>
      <c r="AF7" s="8">
        <v>4.6500000000000004</v>
      </c>
      <c r="AG7" s="8">
        <v>5.42</v>
      </c>
      <c r="AH7" s="8">
        <v>5.12</v>
      </c>
      <c r="AI7" s="8">
        <v>5.45</v>
      </c>
      <c r="AJ7" s="8">
        <v>7.62</v>
      </c>
      <c r="AK7" s="8">
        <v>4.8899999999999997</v>
      </c>
      <c r="AL7" s="8">
        <v>4.78</v>
      </c>
      <c r="AM7" s="8">
        <v>6.87</v>
      </c>
      <c r="AN7" s="8">
        <v>6.22</v>
      </c>
      <c r="AO7" s="8">
        <v>7.29</v>
      </c>
      <c r="AP7" s="8">
        <v>5.77</v>
      </c>
      <c r="AQ7" s="8">
        <v>6.57</v>
      </c>
      <c r="AR7" s="8">
        <v>4.6900000000000004</v>
      </c>
      <c r="AS7" s="8">
        <v>7.18</v>
      </c>
      <c r="AT7" s="8">
        <v>5.0999999999999996</v>
      </c>
      <c r="AU7" s="6">
        <v>5.01</v>
      </c>
      <c r="AV7" s="6">
        <v>6.21</v>
      </c>
      <c r="AW7" s="6">
        <v>7.34</v>
      </c>
      <c r="AX7" s="6">
        <v>5.63</v>
      </c>
      <c r="AY7" s="6">
        <v>6.48</v>
      </c>
      <c r="AZ7" s="6">
        <v>5.84</v>
      </c>
      <c r="BA7" s="6">
        <v>6.88</v>
      </c>
      <c r="BB7" s="6">
        <v>6.23</v>
      </c>
      <c r="BC7" s="6">
        <v>5.48</v>
      </c>
      <c r="BD7" s="11">
        <v>7.3</v>
      </c>
      <c r="BE7" s="6">
        <v>6.01</v>
      </c>
      <c r="BF7" s="6">
        <v>6.65</v>
      </c>
      <c r="BG7" s="6">
        <v>4.6900000000000004</v>
      </c>
      <c r="BH7" s="6">
        <v>7.21</v>
      </c>
      <c r="BI7" s="6">
        <v>5.44</v>
      </c>
      <c r="BJ7" s="6">
        <v>5.52</v>
      </c>
      <c r="BK7" s="6">
        <v>6</v>
      </c>
      <c r="BL7" s="6">
        <v>6.6</v>
      </c>
      <c r="BM7" s="6">
        <v>5.83</v>
      </c>
      <c r="BN7" s="6">
        <v>8.3000000000000007</v>
      </c>
      <c r="BO7" s="6">
        <v>3.98</v>
      </c>
      <c r="BP7" s="6">
        <v>6.9</v>
      </c>
      <c r="BQ7" s="7">
        <v>5.76</v>
      </c>
      <c r="BR7" s="7">
        <v>6.06</v>
      </c>
      <c r="BS7" s="7">
        <v>7.78</v>
      </c>
      <c r="BT7" s="7">
        <v>5.78</v>
      </c>
      <c r="BU7" s="7">
        <v>6.86</v>
      </c>
      <c r="BV7" s="7">
        <v>6.68</v>
      </c>
      <c r="BW7" s="7">
        <v>6.28</v>
      </c>
      <c r="BX7" s="7">
        <v>6.79</v>
      </c>
      <c r="BY7" s="7">
        <v>7.12</v>
      </c>
      <c r="BZ7" s="7">
        <v>7.52</v>
      </c>
      <c r="CA7" s="7">
        <v>4.0199999999999996</v>
      </c>
      <c r="CB7" s="7">
        <v>7.2</v>
      </c>
      <c r="CC7" s="6">
        <v>8.9</v>
      </c>
      <c r="CD7" s="7">
        <v>5.7</v>
      </c>
      <c r="CE7" s="7">
        <v>6.1</v>
      </c>
      <c r="CF7" s="7">
        <v>6.06</v>
      </c>
      <c r="CG7" s="7">
        <v>5.78</v>
      </c>
      <c r="CH7" s="7">
        <v>8.1</v>
      </c>
      <c r="CI7" s="8">
        <v>5.46</v>
      </c>
      <c r="CJ7" s="11">
        <v>5.82</v>
      </c>
      <c r="CK7" s="7">
        <v>7.12</v>
      </c>
      <c r="CL7" s="6">
        <v>8.34</v>
      </c>
      <c r="CM7" s="6">
        <v>6.5</v>
      </c>
      <c r="CN7" s="6">
        <v>6.22</v>
      </c>
      <c r="CO7" s="10">
        <v>5.38</v>
      </c>
      <c r="CP7" s="10">
        <v>6.15</v>
      </c>
    </row>
    <row r="8" spans="1:94" ht="15.75" x14ac:dyDescent="0.25">
      <c r="A8" s="4">
        <v>7</v>
      </c>
      <c r="B8" s="4"/>
      <c r="C8" s="4">
        <v>7</v>
      </c>
      <c r="D8" s="8">
        <v>5.43</v>
      </c>
      <c r="E8" s="8">
        <v>5.78</v>
      </c>
      <c r="F8" s="8">
        <v>5.04</v>
      </c>
      <c r="G8" s="8">
        <v>5.13</v>
      </c>
      <c r="H8" s="8">
        <v>7.23</v>
      </c>
      <c r="I8" s="8">
        <v>5.23</v>
      </c>
      <c r="J8" s="8">
        <v>5.48</v>
      </c>
      <c r="K8" s="8">
        <v>4.9800000000000004</v>
      </c>
      <c r="L8" s="8">
        <v>6.93</v>
      </c>
      <c r="M8" s="8">
        <v>5.19</v>
      </c>
      <c r="N8" s="8">
        <v>6.26</v>
      </c>
      <c r="O8" s="8">
        <v>5.68</v>
      </c>
      <c r="P8" s="8">
        <v>6.18</v>
      </c>
      <c r="Q8" s="8">
        <v>4.57</v>
      </c>
      <c r="R8" s="8">
        <v>4.67</v>
      </c>
      <c r="S8" s="8">
        <v>7.14</v>
      </c>
      <c r="T8" s="8">
        <v>6.41</v>
      </c>
      <c r="U8" s="8">
        <v>6.46</v>
      </c>
      <c r="V8" s="8">
        <v>6.41</v>
      </c>
      <c r="W8" s="8">
        <v>6.03</v>
      </c>
      <c r="X8" s="8">
        <v>7.33</v>
      </c>
      <c r="Y8" s="8">
        <v>6.1</v>
      </c>
      <c r="Z8" s="8">
        <v>6.13</v>
      </c>
      <c r="AA8" s="8">
        <v>5.75</v>
      </c>
      <c r="AB8" s="8">
        <v>4.3099999999999996</v>
      </c>
      <c r="AC8" s="8">
        <v>7.09</v>
      </c>
      <c r="AD8" s="8">
        <v>6.39</v>
      </c>
      <c r="AE8" s="8">
        <v>6.37</v>
      </c>
      <c r="AF8" s="8">
        <v>4.57</v>
      </c>
      <c r="AG8" s="8">
        <v>5.28</v>
      </c>
      <c r="AH8" s="8">
        <v>5.05</v>
      </c>
      <c r="AI8" s="8">
        <v>5.45</v>
      </c>
      <c r="AJ8" s="8">
        <v>7.44</v>
      </c>
      <c r="AK8" s="8">
        <v>4.7699999999999996</v>
      </c>
      <c r="AL8" s="8">
        <v>4.67</v>
      </c>
      <c r="AM8" s="8">
        <v>6.81</v>
      </c>
      <c r="AN8" s="8">
        <v>6.15</v>
      </c>
      <c r="AO8" s="8">
        <v>7.3</v>
      </c>
      <c r="AP8" s="8">
        <v>5.64</v>
      </c>
      <c r="AQ8" s="8">
        <v>6.52</v>
      </c>
      <c r="AR8" s="8">
        <v>4.58</v>
      </c>
      <c r="AS8" s="8">
        <v>7</v>
      </c>
      <c r="AT8" s="8">
        <v>5</v>
      </c>
      <c r="AU8" s="6">
        <v>4.96</v>
      </c>
      <c r="AV8" s="6">
        <v>6</v>
      </c>
      <c r="AW8" s="6">
        <v>6.94</v>
      </c>
      <c r="AX8" s="6">
        <v>5.57</v>
      </c>
      <c r="AY8" s="6">
        <v>6.4</v>
      </c>
      <c r="AZ8" s="6">
        <v>5.73</v>
      </c>
      <c r="BA8" s="6">
        <v>6.8</v>
      </c>
      <c r="BB8" s="6">
        <v>6.17</v>
      </c>
      <c r="BC8" s="6">
        <v>5.34</v>
      </c>
      <c r="BD8" s="11">
        <v>7.12</v>
      </c>
      <c r="BE8" s="6">
        <v>5.92</v>
      </c>
      <c r="BF8" s="6">
        <v>6.59</v>
      </c>
      <c r="BG8" s="6">
        <v>4.59</v>
      </c>
      <c r="BH8" s="6">
        <v>7.19</v>
      </c>
      <c r="BI8" s="6">
        <v>5.42</v>
      </c>
      <c r="BJ8" s="6">
        <v>5.44</v>
      </c>
      <c r="BK8" s="6">
        <v>5.82</v>
      </c>
      <c r="BL8" s="6">
        <v>6.5</v>
      </c>
      <c r="BM8" s="6">
        <v>5.8</v>
      </c>
      <c r="BN8" s="6">
        <v>7.98</v>
      </c>
      <c r="BO8" s="6">
        <v>3.92</v>
      </c>
      <c r="BP8" s="6">
        <v>7.02</v>
      </c>
      <c r="BQ8" s="7">
        <v>5.62</v>
      </c>
      <c r="BR8" s="7">
        <v>6</v>
      </c>
      <c r="BS8" s="7">
        <v>7.74</v>
      </c>
      <c r="BT8" s="7">
        <v>5.64</v>
      </c>
      <c r="BU8" s="7">
        <v>6.8</v>
      </c>
      <c r="BV8" s="7">
        <v>6.28</v>
      </c>
      <c r="BW8" s="7">
        <v>6.2</v>
      </c>
      <c r="BX8" s="7">
        <v>6.68</v>
      </c>
      <c r="BY8" s="7">
        <v>7.1</v>
      </c>
      <c r="BZ8" s="7">
        <v>7.42</v>
      </c>
      <c r="CA8" s="7">
        <v>4.0199999999999996</v>
      </c>
      <c r="CB8" s="7">
        <v>7.1</v>
      </c>
      <c r="CC8" s="6">
        <v>8.7799999999999994</v>
      </c>
      <c r="CD8" s="7">
        <v>5.78</v>
      </c>
      <c r="CE8" s="7">
        <v>5.96</v>
      </c>
      <c r="CF8" s="7">
        <v>5.96</v>
      </c>
      <c r="CG8" s="7">
        <v>5.7</v>
      </c>
      <c r="CH8" s="7">
        <v>8.0399999999999991</v>
      </c>
      <c r="CI8" s="8">
        <v>5.44</v>
      </c>
      <c r="CJ8" s="11">
        <v>5.62</v>
      </c>
      <c r="CK8" s="7">
        <v>7.06</v>
      </c>
      <c r="CL8" s="6">
        <v>8.34</v>
      </c>
      <c r="CM8" s="6">
        <v>6.4</v>
      </c>
      <c r="CN8" s="6">
        <v>6.16</v>
      </c>
      <c r="CO8" s="10">
        <v>5.4</v>
      </c>
      <c r="CP8" s="10">
        <v>6.27</v>
      </c>
    </row>
    <row r="9" spans="1:94" ht="15.75" x14ac:dyDescent="0.25">
      <c r="A9" s="4">
        <v>8</v>
      </c>
      <c r="B9" s="4"/>
      <c r="C9" s="4">
        <v>8</v>
      </c>
      <c r="D9" s="8">
        <v>5.28</v>
      </c>
      <c r="E9" s="8">
        <v>5.63</v>
      </c>
      <c r="F9" s="8">
        <v>5</v>
      </c>
      <c r="G9" s="8">
        <v>5.08</v>
      </c>
      <c r="H9" s="8">
        <v>6.98</v>
      </c>
      <c r="I9" s="8">
        <v>5.13</v>
      </c>
      <c r="J9" s="8">
        <v>5.4</v>
      </c>
      <c r="K9" s="8">
        <v>4.91</v>
      </c>
      <c r="L9" s="8">
        <v>6.83</v>
      </c>
      <c r="M9" s="8">
        <v>5.1100000000000003</v>
      </c>
      <c r="N9" s="8">
        <v>6.07</v>
      </c>
      <c r="O9" s="8">
        <v>5.51</v>
      </c>
      <c r="P9" s="8">
        <v>6.18</v>
      </c>
      <c r="Q9" s="8">
        <v>4.46</v>
      </c>
      <c r="R9" s="8">
        <v>4.5599999999999996</v>
      </c>
      <c r="S9" s="8">
        <v>7.15</v>
      </c>
      <c r="T9" s="8">
        <v>6.38</v>
      </c>
      <c r="U9" s="8">
        <v>6.41</v>
      </c>
      <c r="V9" s="8">
        <v>6.39</v>
      </c>
      <c r="W9" s="8">
        <v>5.96</v>
      </c>
      <c r="X9" s="8">
        <v>7.3</v>
      </c>
      <c r="Y9" s="8">
        <v>6.07</v>
      </c>
      <c r="Z9" s="8">
        <v>6.07</v>
      </c>
      <c r="AA9" s="8">
        <v>5.61</v>
      </c>
      <c r="AB9" s="8">
        <v>4.2300000000000004</v>
      </c>
      <c r="AC9" s="8">
        <v>7.03</v>
      </c>
      <c r="AD9" s="8">
        <v>6.23</v>
      </c>
      <c r="AE9" s="8">
        <v>6.23</v>
      </c>
      <c r="AF9" s="8">
        <v>4.4800000000000004</v>
      </c>
      <c r="AG9" s="8">
        <v>5.15</v>
      </c>
      <c r="AH9" s="8">
        <v>4.95</v>
      </c>
      <c r="AI9" s="8">
        <v>5.51</v>
      </c>
      <c r="AJ9" s="8">
        <v>7.22</v>
      </c>
      <c r="AK9" s="8">
        <v>4.6500000000000004</v>
      </c>
      <c r="AL9" s="8">
        <v>4.57</v>
      </c>
      <c r="AM9" s="8">
        <v>6.77</v>
      </c>
      <c r="AN9" s="8">
        <v>6.09</v>
      </c>
      <c r="AO9" s="8">
        <v>7.28</v>
      </c>
      <c r="AP9" s="8">
        <v>5.51</v>
      </c>
      <c r="AQ9" s="8">
        <v>6.48</v>
      </c>
      <c r="AR9" s="8">
        <v>4.5199999999999996</v>
      </c>
      <c r="AS9" s="8">
        <v>6.83</v>
      </c>
      <c r="AT9" s="8">
        <v>4.9400000000000004</v>
      </c>
      <c r="AU9" s="6">
        <v>4.88</v>
      </c>
      <c r="AV9" s="6">
        <v>5.82</v>
      </c>
      <c r="AW9" s="6">
        <v>6.78</v>
      </c>
      <c r="AX9" s="6">
        <v>5.51</v>
      </c>
      <c r="AY9" s="6">
        <v>6.34</v>
      </c>
      <c r="AZ9" s="6">
        <v>5.69</v>
      </c>
      <c r="BA9" s="6">
        <v>6.76</v>
      </c>
      <c r="BB9" s="6">
        <v>6.11</v>
      </c>
      <c r="BC9" s="6">
        <v>5.21</v>
      </c>
      <c r="BD9" s="11">
        <v>6.93</v>
      </c>
      <c r="BE9" s="6">
        <v>5.82</v>
      </c>
      <c r="BF9" s="6">
        <v>6.53</v>
      </c>
      <c r="BG9" s="6">
        <v>4.4000000000000004</v>
      </c>
      <c r="BH9" s="6">
        <v>7.17</v>
      </c>
      <c r="BI9" s="6">
        <v>5.4</v>
      </c>
      <c r="BJ9" s="6">
        <v>5.34</v>
      </c>
      <c r="BK9" s="6">
        <v>5.66</v>
      </c>
      <c r="BL9" s="6">
        <v>6.42</v>
      </c>
      <c r="BM9" s="6">
        <v>5.72</v>
      </c>
      <c r="BN9" s="6">
        <v>7.82</v>
      </c>
      <c r="BO9" s="6">
        <v>3.87</v>
      </c>
      <c r="BP9" s="6">
        <v>7.09</v>
      </c>
      <c r="BQ9" s="7">
        <v>5.38</v>
      </c>
      <c r="BR9" s="7">
        <v>5.86</v>
      </c>
      <c r="BS9" s="7">
        <v>7.7</v>
      </c>
      <c r="BT9" s="7">
        <v>5.5</v>
      </c>
      <c r="BU9" s="7">
        <v>6.8</v>
      </c>
      <c r="BV9" s="7">
        <v>6.18</v>
      </c>
      <c r="BW9" s="7">
        <v>6.16</v>
      </c>
      <c r="BX9" s="7">
        <v>6.58</v>
      </c>
      <c r="BY9" s="7">
        <v>7.1</v>
      </c>
      <c r="BZ9" s="7">
        <v>7.4</v>
      </c>
      <c r="CA9" s="7">
        <v>4</v>
      </c>
      <c r="CB9" s="7">
        <v>7.08</v>
      </c>
      <c r="CC9" s="6">
        <v>8.74</v>
      </c>
      <c r="CD9" s="7">
        <v>5.7</v>
      </c>
      <c r="CE9" s="7">
        <v>5.78</v>
      </c>
      <c r="CF9" s="7">
        <v>5.82</v>
      </c>
      <c r="CG9" s="7">
        <v>5.58</v>
      </c>
      <c r="CH9" s="7">
        <v>8.1</v>
      </c>
      <c r="CI9" s="8">
        <v>5.44</v>
      </c>
      <c r="CJ9" s="11">
        <v>5.52</v>
      </c>
      <c r="CK9" s="7">
        <v>6.96</v>
      </c>
      <c r="CL9" s="6">
        <v>8.3000000000000007</v>
      </c>
      <c r="CM9" s="6">
        <v>6.02</v>
      </c>
      <c r="CN9" s="6">
        <v>6.14</v>
      </c>
      <c r="CO9" s="10">
        <v>5.47</v>
      </c>
      <c r="CP9" s="10">
        <v>6.46</v>
      </c>
    </row>
    <row r="10" spans="1:94" ht="15.75" x14ac:dyDescent="0.25">
      <c r="A10" s="4">
        <v>9</v>
      </c>
      <c r="B10" s="4"/>
      <c r="C10" s="4">
        <v>9</v>
      </c>
      <c r="D10" s="8">
        <v>5.08</v>
      </c>
      <c r="E10" s="8">
        <v>5.48</v>
      </c>
      <c r="F10" s="8">
        <v>4.9800000000000004</v>
      </c>
      <c r="G10" s="8">
        <v>5.03</v>
      </c>
      <c r="H10" s="8">
        <v>6.78</v>
      </c>
      <c r="I10" s="8">
        <v>5.08</v>
      </c>
      <c r="J10" s="8">
        <v>5.34</v>
      </c>
      <c r="K10" s="8">
        <v>4.8600000000000003</v>
      </c>
      <c r="L10" s="8">
        <v>6.68</v>
      </c>
      <c r="M10" s="8">
        <v>5.07</v>
      </c>
      <c r="N10" s="8">
        <v>5.89</v>
      </c>
      <c r="O10" s="8">
        <v>5.37</v>
      </c>
      <c r="P10" s="8">
        <v>6.14</v>
      </c>
      <c r="Q10" s="8">
        <v>4.37</v>
      </c>
      <c r="R10" s="8">
        <v>4.46</v>
      </c>
      <c r="S10" s="8">
        <v>7.11</v>
      </c>
      <c r="T10" s="8">
        <v>6.36</v>
      </c>
      <c r="U10" s="8">
        <v>6.38</v>
      </c>
      <c r="V10" s="8">
        <v>6.27</v>
      </c>
      <c r="W10" s="8">
        <v>5.78</v>
      </c>
      <c r="X10" s="8">
        <v>7.25</v>
      </c>
      <c r="Y10" s="8">
        <v>5.99</v>
      </c>
      <c r="Z10" s="8">
        <v>6.03</v>
      </c>
      <c r="AA10" s="8">
        <v>5.46</v>
      </c>
      <c r="AB10" s="8">
        <v>4.1500000000000004</v>
      </c>
      <c r="AC10" s="8">
        <v>6.97</v>
      </c>
      <c r="AD10" s="8">
        <v>6.13</v>
      </c>
      <c r="AE10" s="8">
        <v>6.08</v>
      </c>
      <c r="AF10" s="8">
        <v>4.37</v>
      </c>
      <c r="AG10" s="8">
        <v>5.04</v>
      </c>
      <c r="AH10" s="8">
        <v>4.84</v>
      </c>
      <c r="AI10" s="8">
        <v>5.54</v>
      </c>
      <c r="AJ10" s="8">
        <v>7.04</v>
      </c>
      <c r="AK10" s="8">
        <v>4.55</v>
      </c>
      <c r="AL10" s="8">
        <v>4.4800000000000004</v>
      </c>
      <c r="AM10" s="8">
        <v>6.68</v>
      </c>
      <c r="AN10" s="8">
        <v>6.05</v>
      </c>
      <c r="AO10" s="8">
        <v>7.25</v>
      </c>
      <c r="AP10" s="8">
        <v>5.39</v>
      </c>
      <c r="AQ10" s="8">
        <v>6.34</v>
      </c>
      <c r="AR10" s="8">
        <v>4.5199999999999996</v>
      </c>
      <c r="AS10" s="8">
        <v>6.68</v>
      </c>
      <c r="AT10" s="8">
        <v>4.8899999999999997</v>
      </c>
      <c r="AU10" s="6">
        <v>4.8</v>
      </c>
      <c r="AV10" s="6">
        <v>5.65</v>
      </c>
      <c r="AW10" s="6">
        <v>6.67</v>
      </c>
      <c r="AX10" s="6">
        <v>5.44</v>
      </c>
      <c r="AY10" s="6">
        <v>6.28</v>
      </c>
      <c r="AZ10" s="6">
        <v>5.65</v>
      </c>
      <c r="BA10" s="6">
        <v>6.71</v>
      </c>
      <c r="BB10" s="6">
        <v>6.01</v>
      </c>
      <c r="BC10" s="6">
        <v>5.07</v>
      </c>
      <c r="BD10" s="11">
        <v>6.74</v>
      </c>
      <c r="BE10" s="6">
        <v>5.71</v>
      </c>
      <c r="BF10" s="6">
        <v>6.53</v>
      </c>
      <c r="BG10" s="6">
        <v>4.1900000000000004</v>
      </c>
      <c r="BH10" s="6">
        <v>7.13</v>
      </c>
      <c r="BI10" s="6">
        <v>5.3</v>
      </c>
      <c r="BJ10" s="6">
        <v>5.27</v>
      </c>
      <c r="BK10" s="6">
        <v>5.55</v>
      </c>
      <c r="BL10" s="6">
        <v>6.1</v>
      </c>
      <c r="BM10" s="6">
        <v>5.66</v>
      </c>
      <c r="BN10" s="6">
        <v>7.7</v>
      </c>
      <c r="BO10" s="6">
        <v>3.8</v>
      </c>
      <c r="BP10" s="6">
        <v>7.12</v>
      </c>
      <c r="BQ10" s="7">
        <v>5.38</v>
      </c>
      <c r="BR10" s="7">
        <v>5.78</v>
      </c>
      <c r="BS10" s="7">
        <v>7.64</v>
      </c>
      <c r="BT10" s="7">
        <v>5.34</v>
      </c>
      <c r="BU10" s="7">
        <v>6.7</v>
      </c>
      <c r="BV10" s="7">
        <v>6.1</v>
      </c>
      <c r="BW10" s="7">
        <v>6.08</v>
      </c>
      <c r="BX10" s="7">
        <v>6.4</v>
      </c>
      <c r="BY10" s="7">
        <v>7</v>
      </c>
      <c r="BZ10" s="7">
        <v>7.3</v>
      </c>
      <c r="CA10" s="7">
        <v>4</v>
      </c>
      <c r="CB10" s="7">
        <v>7</v>
      </c>
      <c r="CC10" s="6">
        <v>8.6</v>
      </c>
      <c r="CD10" s="7">
        <v>5.6</v>
      </c>
      <c r="CE10" s="7">
        <v>5.83</v>
      </c>
      <c r="CF10" s="7">
        <v>5.76</v>
      </c>
      <c r="CG10" s="7">
        <v>5.52</v>
      </c>
      <c r="CH10" s="7">
        <v>8</v>
      </c>
      <c r="CI10" s="8">
        <v>5.42</v>
      </c>
      <c r="CJ10" s="11">
        <v>5.47</v>
      </c>
      <c r="CK10" s="7">
        <v>6.68</v>
      </c>
      <c r="CL10" s="6">
        <v>8.2799999999999994</v>
      </c>
      <c r="CM10" s="6">
        <v>5.86</v>
      </c>
      <c r="CN10" s="6">
        <v>6.15</v>
      </c>
      <c r="CO10" s="10">
        <v>5.5</v>
      </c>
      <c r="CP10" s="10">
        <v>6.64</v>
      </c>
    </row>
    <row r="11" spans="1:94" ht="15.75" x14ac:dyDescent="0.25">
      <c r="A11" s="4">
        <v>10</v>
      </c>
      <c r="B11" s="4"/>
      <c r="C11" s="4">
        <v>10</v>
      </c>
      <c r="D11" s="8">
        <v>4.9800000000000004</v>
      </c>
      <c r="E11" s="8">
        <v>5.33</v>
      </c>
      <c r="F11" s="8">
        <v>4.96</v>
      </c>
      <c r="G11" s="8">
        <v>4.9800000000000004</v>
      </c>
      <c r="H11" s="8">
        <v>6.58</v>
      </c>
      <c r="I11" s="8">
        <v>5.03</v>
      </c>
      <c r="J11" s="8">
        <v>5.26</v>
      </c>
      <c r="K11" s="8">
        <v>4.8</v>
      </c>
      <c r="L11" s="8">
        <v>6.53</v>
      </c>
      <c r="M11" s="8">
        <v>5.09</v>
      </c>
      <c r="N11" s="8">
        <v>5.7</v>
      </c>
      <c r="O11" s="8">
        <v>5.24</v>
      </c>
      <c r="P11" s="8">
        <v>6.09</v>
      </c>
      <c r="Q11" s="8">
        <v>4.29</v>
      </c>
      <c r="R11" s="8">
        <v>4.37</v>
      </c>
      <c r="S11" s="8">
        <v>7</v>
      </c>
      <c r="T11" s="8">
        <v>6.31</v>
      </c>
      <c r="U11" s="8">
        <v>6.32</v>
      </c>
      <c r="V11" s="8">
        <v>6.19</v>
      </c>
      <c r="W11" s="8">
        <v>5.66</v>
      </c>
      <c r="X11" s="8">
        <v>7.23</v>
      </c>
      <c r="Y11" s="8">
        <v>5.92</v>
      </c>
      <c r="Z11" s="8">
        <v>6.01</v>
      </c>
      <c r="AA11" s="8">
        <v>5.35</v>
      </c>
      <c r="AB11" s="8">
        <v>4.05</v>
      </c>
      <c r="AC11" s="8">
        <v>6.93</v>
      </c>
      <c r="AD11" s="8">
        <v>5.98</v>
      </c>
      <c r="AE11" s="8">
        <v>5.92</v>
      </c>
      <c r="AF11" s="8">
        <v>4.32</v>
      </c>
      <c r="AG11" s="8">
        <v>4.9000000000000004</v>
      </c>
      <c r="AH11" s="8">
        <v>4.7</v>
      </c>
      <c r="AI11" s="8">
        <v>5.57</v>
      </c>
      <c r="AJ11" s="8">
        <v>6.91</v>
      </c>
      <c r="AK11" s="8">
        <v>4.46</v>
      </c>
      <c r="AL11" s="8">
        <v>4.4000000000000004</v>
      </c>
      <c r="AM11" s="8">
        <v>6.6</v>
      </c>
      <c r="AN11" s="8">
        <v>6.01</v>
      </c>
      <c r="AO11" s="8">
        <v>7.26</v>
      </c>
      <c r="AP11" s="8">
        <v>5.27</v>
      </c>
      <c r="AQ11" s="8">
        <v>6.28</v>
      </c>
      <c r="AR11" s="8">
        <v>4.53</v>
      </c>
      <c r="AS11" s="8">
        <v>6.59</v>
      </c>
      <c r="AT11" s="8">
        <v>4.83</v>
      </c>
      <c r="AU11" s="6">
        <v>4.71</v>
      </c>
      <c r="AV11" s="6">
        <v>5.48</v>
      </c>
      <c r="AW11" s="6">
        <v>6.65</v>
      </c>
      <c r="AX11" s="6">
        <v>5.4</v>
      </c>
      <c r="AY11" s="6">
        <v>6.21</v>
      </c>
      <c r="AZ11" s="6">
        <v>5.67</v>
      </c>
      <c r="BA11" s="6">
        <v>6.65</v>
      </c>
      <c r="BB11" s="6">
        <v>5.9</v>
      </c>
      <c r="BC11" s="6">
        <v>4.96</v>
      </c>
      <c r="BD11" s="11">
        <v>6.56</v>
      </c>
      <c r="BE11" s="6">
        <v>5.61</v>
      </c>
      <c r="BF11" s="6">
        <v>6.63</v>
      </c>
      <c r="BG11" s="6">
        <v>4.03</v>
      </c>
      <c r="BH11" s="6">
        <v>7.09</v>
      </c>
      <c r="BI11" s="6">
        <v>5.2</v>
      </c>
      <c r="BJ11" s="6">
        <v>5.25</v>
      </c>
      <c r="BK11" s="6">
        <v>5.4</v>
      </c>
      <c r="BL11" s="6">
        <v>5.95</v>
      </c>
      <c r="BM11" s="6">
        <v>5.62</v>
      </c>
      <c r="BN11" s="6">
        <v>7.58</v>
      </c>
      <c r="BO11" s="6">
        <v>3.8</v>
      </c>
      <c r="BP11" s="6">
        <v>7.18</v>
      </c>
      <c r="BQ11" s="7">
        <v>5.25</v>
      </c>
      <c r="BR11" s="7">
        <v>5.76</v>
      </c>
      <c r="BS11" s="7">
        <v>7.54</v>
      </c>
      <c r="BT11" s="7">
        <v>5.2</v>
      </c>
      <c r="BU11" s="7">
        <v>6.68</v>
      </c>
      <c r="BV11" s="7">
        <v>6.06</v>
      </c>
      <c r="BW11" s="7">
        <v>6.06</v>
      </c>
      <c r="BX11" s="7">
        <v>6.38</v>
      </c>
      <c r="BY11" s="7">
        <v>6.96</v>
      </c>
      <c r="BZ11" s="7">
        <v>7.2</v>
      </c>
      <c r="CA11" s="7">
        <v>4</v>
      </c>
      <c r="CB11" s="7">
        <v>6.8</v>
      </c>
      <c r="CC11" s="6">
        <v>8.5</v>
      </c>
      <c r="CD11" s="7">
        <v>5.5</v>
      </c>
      <c r="CE11" s="7">
        <v>5.68</v>
      </c>
      <c r="CF11" s="7">
        <v>5.56</v>
      </c>
      <c r="CG11" s="7">
        <v>5.42</v>
      </c>
      <c r="CH11" s="7">
        <v>7.94</v>
      </c>
      <c r="CI11" s="8">
        <v>5.4</v>
      </c>
      <c r="CJ11" s="11">
        <v>5.4450000000000003</v>
      </c>
      <c r="CK11" s="7">
        <v>6.6</v>
      </c>
      <c r="CL11" s="6">
        <v>8.18</v>
      </c>
      <c r="CM11" s="6">
        <v>5.72</v>
      </c>
      <c r="CN11" s="6">
        <v>6.17</v>
      </c>
      <c r="CO11" s="10">
        <v>5.54</v>
      </c>
      <c r="CP11" s="10">
        <v>6.75</v>
      </c>
    </row>
    <row r="12" spans="1:94" ht="15.75" x14ac:dyDescent="0.25">
      <c r="A12" s="4">
        <v>11</v>
      </c>
      <c r="B12" s="4"/>
      <c r="C12" s="4">
        <v>11</v>
      </c>
      <c r="D12" s="8">
        <v>4.92</v>
      </c>
      <c r="E12" s="8">
        <v>5.23</v>
      </c>
      <c r="F12" s="8">
        <v>4.9800000000000004</v>
      </c>
      <c r="G12" s="8">
        <v>4.88</v>
      </c>
      <c r="H12" s="8">
        <v>6.48</v>
      </c>
      <c r="I12" s="8">
        <v>4.9800000000000004</v>
      </c>
      <c r="J12" s="8">
        <v>5.22</v>
      </c>
      <c r="K12" s="8">
        <v>4.7300000000000004</v>
      </c>
      <c r="L12" s="8">
        <v>6.43</v>
      </c>
      <c r="M12" s="8">
        <v>5.0999999999999996</v>
      </c>
      <c r="N12" s="8">
        <v>5.52</v>
      </c>
      <c r="O12" s="8">
        <v>5.0999999999999996</v>
      </c>
      <c r="P12" s="8">
        <v>6.03</v>
      </c>
      <c r="Q12" s="8">
        <v>4.21</v>
      </c>
      <c r="R12" s="8">
        <v>4.32</v>
      </c>
      <c r="S12" s="8">
        <v>6.83</v>
      </c>
      <c r="T12" s="8">
        <v>6.11</v>
      </c>
      <c r="U12" s="8">
        <v>6.32</v>
      </c>
      <c r="V12" s="8">
        <v>6.14</v>
      </c>
      <c r="W12" s="8">
        <v>5.53</v>
      </c>
      <c r="X12" s="8">
        <v>7.25</v>
      </c>
      <c r="Y12" s="8">
        <v>5.85</v>
      </c>
      <c r="Z12" s="8">
        <v>6.01</v>
      </c>
      <c r="AA12" s="8">
        <v>5.25</v>
      </c>
      <c r="AB12" s="8">
        <v>3.95</v>
      </c>
      <c r="AC12" s="8">
        <v>6.89</v>
      </c>
      <c r="AD12" s="8">
        <v>5.83</v>
      </c>
      <c r="AE12" s="8">
        <v>5.78</v>
      </c>
      <c r="AF12" s="8">
        <v>4.2699999999999996</v>
      </c>
      <c r="AG12" s="8">
        <v>4.76</v>
      </c>
      <c r="AH12" s="8">
        <v>4.58</v>
      </c>
      <c r="AI12" s="8">
        <v>5.57</v>
      </c>
      <c r="AJ12" s="8">
        <v>6.8</v>
      </c>
      <c r="AK12" s="8">
        <v>4.37</v>
      </c>
      <c r="AL12" s="8">
        <v>4.3499999999999996</v>
      </c>
      <c r="AM12" s="8">
        <v>6.56</v>
      </c>
      <c r="AN12" s="8">
        <v>5.97</v>
      </c>
      <c r="AO12" s="8">
        <v>7.29</v>
      </c>
      <c r="AP12" s="8">
        <v>5.16</v>
      </c>
      <c r="AQ12" s="8">
        <v>6.22</v>
      </c>
      <c r="AR12" s="8">
        <v>4.5199999999999996</v>
      </c>
      <c r="AS12" s="8">
        <v>6.5</v>
      </c>
      <c r="AT12" s="8">
        <v>4.76</v>
      </c>
      <c r="AU12" s="6">
        <v>4.6100000000000003</v>
      </c>
      <c r="AV12" s="6">
        <v>5.32</v>
      </c>
      <c r="AW12" s="6">
        <v>6.53</v>
      </c>
      <c r="AX12" s="6">
        <v>5.36</v>
      </c>
      <c r="AY12" s="6">
        <v>6.15</v>
      </c>
      <c r="AZ12" s="6">
        <v>5.73</v>
      </c>
      <c r="BA12" s="6">
        <v>6.61</v>
      </c>
      <c r="BB12" s="6">
        <v>5.8</v>
      </c>
      <c r="BC12" s="6">
        <v>4.88</v>
      </c>
      <c r="BD12" s="11">
        <v>6.4</v>
      </c>
      <c r="BE12" s="6">
        <v>5.51</v>
      </c>
      <c r="BF12" s="6">
        <v>6.75</v>
      </c>
      <c r="BG12" s="6">
        <v>4.1900000000000004</v>
      </c>
      <c r="BH12" s="6">
        <v>7.01</v>
      </c>
      <c r="BI12" s="6">
        <v>5.0999999999999996</v>
      </c>
      <c r="BJ12" s="6">
        <v>5.22</v>
      </c>
      <c r="BK12" s="6">
        <v>5.28</v>
      </c>
      <c r="BL12" s="6">
        <v>5.8</v>
      </c>
      <c r="BM12" s="6">
        <v>5.56</v>
      </c>
      <c r="BN12" s="6">
        <v>7.44</v>
      </c>
      <c r="BO12" s="6">
        <v>3.76</v>
      </c>
      <c r="BP12" s="6">
        <v>7.18</v>
      </c>
      <c r="BQ12" s="7">
        <v>5.12</v>
      </c>
      <c r="BR12" s="7">
        <v>5.8</v>
      </c>
      <c r="BS12" s="7">
        <v>7.4</v>
      </c>
      <c r="BT12" s="7">
        <v>5.0999999999999996</v>
      </c>
      <c r="BU12" s="7">
        <v>6.62</v>
      </c>
      <c r="BV12" s="7">
        <v>6</v>
      </c>
      <c r="BW12" s="7">
        <v>6.1</v>
      </c>
      <c r="BX12" s="7">
        <v>6.18</v>
      </c>
      <c r="BY12" s="7">
        <v>6.8</v>
      </c>
      <c r="BZ12" s="7">
        <v>7.1</v>
      </c>
      <c r="CA12" s="7">
        <v>3.92</v>
      </c>
      <c r="CB12" s="7">
        <v>6.8</v>
      </c>
      <c r="CC12" s="6">
        <v>8.4600000000000009</v>
      </c>
      <c r="CD12" s="7">
        <v>5.32</v>
      </c>
      <c r="CE12" s="7">
        <v>5.6</v>
      </c>
      <c r="CF12" s="7">
        <v>5.48</v>
      </c>
      <c r="CG12" s="7">
        <v>5.38</v>
      </c>
      <c r="CH12" s="7">
        <v>7.84</v>
      </c>
      <c r="CI12" s="8">
        <v>5.4</v>
      </c>
      <c r="CJ12" s="7">
        <v>4.9000000000000004</v>
      </c>
      <c r="CK12" s="7">
        <v>6.5</v>
      </c>
      <c r="CL12" s="6">
        <v>8.18</v>
      </c>
      <c r="CM12" s="6">
        <v>5.6</v>
      </c>
      <c r="CN12" s="6">
        <v>6.22</v>
      </c>
      <c r="CO12" s="10">
        <v>5.54</v>
      </c>
      <c r="CP12" s="10">
        <v>6.78</v>
      </c>
    </row>
    <row r="13" spans="1:94" ht="15.75" x14ac:dyDescent="0.25">
      <c r="A13" s="4">
        <v>12</v>
      </c>
      <c r="B13" s="4"/>
      <c r="C13" s="4">
        <v>12</v>
      </c>
      <c r="D13" s="8">
        <v>4.83</v>
      </c>
      <c r="E13" s="8">
        <v>5.08</v>
      </c>
      <c r="F13" s="8">
        <v>5</v>
      </c>
      <c r="G13" s="8">
        <v>4.78</v>
      </c>
      <c r="H13" s="8">
        <v>6.43</v>
      </c>
      <c r="I13" s="8">
        <v>4.92</v>
      </c>
      <c r="J13" s="8">
        <v>5.18</v>
      </c>
      <c r="K13" s="8">
        <v>4.67</v>
      </c>
      <c r="L13" s="8">
        <v>6.42</v>
      </c>
      <c r="M13" s="8">
        <v>5.07</v>
      </c>
      <c r="N13" s="8">
        <v>5.37</v>
      </c>
      <c r="O13" s="8">
        <v>4.9800000000000004</v>
      </c>
      <c r="P13" s="8">
        <v>5.97</v>
      </c>
      <c r="Q13" s="8">
        <v>4.1399999999999997</v>
      </c>
      <c r="R13" s="8">
        <v>4.2300000000000004</v>
      </c>
      <c r="S13" s="8">
        <v>6.63</v>
      </c>
      <c r="T13" s="8">
        <v>5.96</v>
      </c>
      <c r="U13" s="8">
        <v>6.37</v>
      </c>
      <c r="V13" s="8">
        <v>6.14</v>
      </c>
      <c r="W13" s="8">
        <v>5.63</v>
      </c>
      <c r="X13" s="8">
        <v>7.25</v>
      </c>
      <c r="Y13" s="8">
        <v>5.91</v>
      </c>
      <c r="Z13" s="8">
        <v>6.01</v>
      </c>
      <c r="AA13" s="8">
        <v>5.19</v>
      </c>
      <c r="AB13" s="8">
        <v>3.85</v>
      </c>
      <c r="AC13" s="8">
        <v>6.81</v>
      </c>
      <c r="AD13" s="8">
        <v>5.68</v>
      </c>
      <c r="AE13" s="8">
        <v>5.61</v>
      </c>
      <c r="AF13" s="8">
        <v>4.21</v>
      </c>
      <c r="AG13" s="8">
        <v>4.62</v>
      </c>
      <c r="AH13" s="8">
        <v>4.45</v>
      </c>
      <c r="AI13" s="8">
        <v>5.57</v>
      </c>
      <c r="AJ13" s="8">
        <v>6.74</v>
      </c>
      <c r="AK13" s="8">
        <v>4.3099999999999996</v>
      </c>
      <c r="AL13" s="8">
        <v>4.29</v>
      </c>
      <c r="AM13" s="8">
        <v>6.59</v>
      </c>
      <c r="AN13" s="8">
        <v>5.95</v>
      </c>
      <c r="AO13" s="8">
        <v>7.35</v>
      </c>
      <c r="AP13" s="8">
        <v>5.04</v>
      </c>
      <c r="AQ13" s="8">
        <v>6.16</v>
      </c>
      <c r="AR13" s="8">
        <v>4.46</v>
      </c>
      <c r="AS13" s="8">
        <v>6.41</v>
      </c>
      <c r="AT13" s="8">
        <v>4.6900000000000004</v>
      </c>
      <c r="AU13" s="6">
        <v>4.53</v>
      </c>
      <c r="AV13" s="6">
        <v>5.15</v>
      </c>
      <c r="AW13" s="6">
        <v>6.42</v>
      </c>
      <c r="AX13" s="6">
        <v>5.34</v>
      </c>
      <c r="AY13" s="6">
        <v>6.07</v>
      </c>
      <c r="AZ13" s="6">
        <v>5.71</v>
      </c>
      <c r="BA13" s="6">
        <v>6.51</v>
      </c>
      <c r="BB13" s="6">
        <v>5.69</v>
      </c>
      <c r="BC13" s="6">
        <v>4.78</v>
      </c>
      <c r="BD13" s="11">
        <v>6.25</v>
      </c>
      <c r="BE13" s="6">
        <v>5.42</v>
      </c>
      <c r="BF13" s="6">
        <v>6.78</v>
      </c>
      <c r="BG13" s="6">
        <v>4.09</v>
      </c>
      <c r="BH13" s="6">
        <v>6.88</v>
      </c>
      <c r="BI13" s="6">
        <v>4.9800000000000004</v>
      </c>
      <c r="BJ13" s="6">
        <v>5.19</v>
      </c>
      <c r="BK13" s="6">
        <v>5.15</v>
      </c>
      <c r="BL13" s="6">
        <v>5.6</v>
      </c>
      <c r="BM13" s="6">
        <v>5.45</v>
      </c>
      <c r="BN13" s="6">
        <v>7.34</v>
      </c>
      <c r="BO13" s="6">
        <v>3.7</v>
      </c>
      <c r="BP13" s="6">
        <v>7.12</v>
      </c>
      <c r="BQ13" s="7">
        <v>5.05</v>
      </c>
      <c r="BR13" s="7">
        <v>5.78</v>
      </c>
      <c r="BS13" s="7">
        <v>7.24</v>
      </c>
      <c r="BT13" s="7">
        <v>4.9000000000000004</v>
      </c>
      <c r="BU13" s="7">
        <v>6.56</v>
      </c>
      <c r="BV13" s="7">
        <v>5.94</v>
      </c>
      <c r="BW13" s="7">
        <v>6</v>
      </c>
      <c r="BX13" s="7">
        <v>6.1</v>
      </c>
      <c r="BY13" s="7">
        <v>6.78</v>
      </c>
      <c r="BZ13" s="7">
        <v>7</v>
      </c>
      <c r="CA13" s="7">
        <v>3.8</v>
      </c>
      <c r="CB13" s="7">
        <v>6.9</v>
      </c>
      <c r="CC13" s="6">
        <v>8.34</v>
      </c>
      <c r="CD13" s="7">
        <v>5.26</v>
      </c>
      <c r="CE13" s="7">
        <v>5.4</v>
      </c>
      <c r="CF13" s="7">
        <v>5.4</v>
      </c>
      <c r="CG13" s="7">
        <v>5.34</v>
      </c>
      <c r="CH13" s="7">
        <v>7.78</v>
      </c>
      <c r="CI13" s="8">
        <v>5.38</v>
      </c>
      <c r="CJ13" s="7">
        <v>4.76</v>
      </c>
      <c r="CK13" s="7">
        <v>6.36</v>
      </c>
      <c r="CL13" s="6">
        <v>8.14</v>
      </c>
      <c r="CM13" s="6">
        <v>5.48</v>
      </c>
      <c r="CN13" s="6">
        <v>6.35</v>
      </c>
      <c r="CO13" s="10">
        <v>5.51</v>
      </c>
      <c r="CP13" s="10">
        <v>6.72</v>
      </c>
    </row>
    <row r="14" spans="1:94" ht="15.75" x14ac:dyDescent="0.25">
      <c r="A14" s="4">
        <v>13</v>
      </c>
      <c r="B14" s="4"/>
      <c r="C14" s="4">
        <v>13</v>
      </c>
      <c r="D14" s="8">
        <v>4.78</v>
      </c>
      <c r="E14" s="8">
        <v>4.92</v>
      </c>
      <c r="F14" s="8">
        <v>5.0199999999999996</v>
      </c>
      <c r="G14" s="8">
        <v>4.67</v>
      </c>
      <c r="H14" s="8">
        <v>6.43</v>
      </c>
      <c r="I14" s="8">
        <v>4.88</v>
      </c>
      <c r="J14" s="8">
        <v>5.13</v>
      </c>
      <c r="K14" s="8">
        <v>4.58</v>
      </c>
      <c r="L14" s="8">
        <v>6.41</v>
      </c>
      <c r="M14" s="8">
        <v>5.0199999999999996</v>
      </c>
      <c r="N14" s="8">
        <v>5.22</v>
      </c>
      <c r="O14" s="8">
        <v>4.8899999999999997</v>
      </c>
      <c r="P14" s="8">
        <v>5.91</v>
      </c>
      <c r="Q14" s="8">
        <v>4.07</v>
      </c>
      <c r="R14" s="8">
        <v>4.1900000000000004</v>
      </c>
      <c r="S14" s="8">
        <v>6.58</v>
      </c>
      <c r="T14" s="8">
        <v>5.81</v>
      </c>
      <c r="U14" s="8">
        <v>6.4</v>
      </c>
      <c r="V14" s="8">
        <v>5.84</v>
      </c>
      <c r="W14" s="8">
        <v>5.78</v>
      </c>
      <c r="X14" s="8">
        <v>7.25</v>
      </c>
      <c r="Y14" s="8">
        <v>5.97</v>
      </c>
      <c r="Z14" s="8">
        <v>5.97</v>
      </c>
      <c r="AA14" s="8">
        <v>5.13</v>
      </c>
      <c r="AB14" s="8">
        <v>3.75</v>
      </c>
      <c r="AC14" s="8">
        <v>6.73</v>
      </c>
      <c r="AD14" s="8">
        <v>5.53</v>
      </c>
      <c r="AE14" s="8">
        <v>5.43</v>
      </c>
      <c r="AF14" s="8">
        <v>4.17</v>
      </c>
      <c r="AG14" s="8">
        <v>4.5</v>
      </c>
      <c r="AH14" s="8">
        <v>4.38</v>
      </c>
      <c r="AI14" s="8">
        <v>5.55</v>
      </c>
      <c r="AJ14" s="8">
        <v>6.68</v>
      </c>
      <c r="AK14" s="8">
        <v>4.25</v>
      </c>
      <c r="AL14" s="8">
        <v>4.21</v>
      </c>
      <c r="AM14" s="8">
        <v>6.6</v>
      </c>
      <c r="AN14" s="8">
        <v>5.9</v>
      </c>
      <c r="AO14" s="8">
        <v>7.41</v>
      </c>
      <c r="AP14" s="8">
        <v>4.92</v>
      </c>
      <c r="AQ14" s="8">
        <v>6.04</v>
      </c>
      <c r="AR14" s="8">
        <v>4.3899999999999997</v>
      </c>
      <c r="AS14" s="8">
        <v>6.29</v>
      </c>
      <c r="AT14" s="8">
        <v>4.63</v>
      </c>
      <c r="AU14" s="6">
        <v>4.42</v>
      </c>
      <c r="AV14" s="6">
        <v>5</v>
      </c>
      <c r="AW14" s="6">
        <v>6.3</v>
      </c>
      <c r="AX14" s="6">
        <v>5.3</v>
      </c>
      <c r="AY14" s="6">
        <v>5.96</v>
      </c>
      <c r="AZ14" s="6">
        <v>5.69</v>
      </c>
      <c r="BA14" s="6">
        <v>6.42</v>
      </c>
      <c r="BB14" s="6">
        <v>5.61</v>
      </c>
      <c r="BC14" s="6">
        <v>4.71</v>
      </c>
      <c r="BD14" s="11">
        <v>6.13</v>
      </c>
      <c r="BE14" s="6">
        <v>5.32</v>
      </c>
      <c r="BF14" s="6">
        <v>6.76</v>
      </c>
      <c r="BG14" s="6">
        <v>4.07</v>
      </c>
      <c r="BH14" s="6">
        <v>6.76</v>
      </c>
      <c r="BI14" s="6">
        <v>4.8600000000000003</v>
      </c>
      <c r="BJ14" s="6">
        <v>5.15</v>
      </c>
      <c r="BK14" s="6">
        <v>5.0599999999999996</v>
      </c>
      <c r="BL14" s="6">
        <v>5.48</v>
      </c>
      <c r="BM14" s="6">
        <v>5.35</v>
      </c>
      <c r="BN14" s="6">
        <v>7.22</v>
      </c>
      <c r="BO14" s="6">
        <v>3.66</v>
      </c>
      <c r="BP14" s="6">
        <v>7.08</v>
      </c>
      <c r="BQ14" s="7">
        <v>4.9000000000000004</v>
      </c>
      <c r="BR14" s="7">
        <v>5.72</v>
      </c>
      <c r="BS14" s="7">
        <v>7.06</v>
      </c>
      <c r="BT14" s="7">
        <v>4.78</v>
      </c>
      <c r="BU14" s="7">
        <v>6.48</v>
      </c>
      <c r="BV14" s="7">
        <v>6.12</v>
      </c>
      <c r="BW14" s="7">
        <v>6</v>
      </c>
      <c r="BX14" s="7">
        <v>6.05</v>
      </c>
      <c r="BY14" s="7">
        <v>6.6</v>
      </c>
      <c r="BZ14" s="7">
        <v>6.96</v>
      </c>
      <c r="CA14" s="7">
        <v>3.7</v>
      </c>
      <c r="CB14" s="7">
        <v>6.82</v>
      </c>
      <c r="CC14" s="6">
        <v>8.1</v>
      </c>
      <c r="CD14" s="7">
        <v>5.22</v>
      </c>
      <c r="CE14" s="7">
        <v>5.28</v>
      </c>
      <c r="CF14" s="7">
        <v>5.24</v>
      </c>
      <c r="CG14" s="7">
        <v>5.22</v>
      </c>
      <c r="CH14" s="7">
        <v>7.8</v>
      </c>
      <c r="CI14" s="8">
        <v>5.36</v>
      </c>
      <c r="CJ14" s="7">
        <v>4.7</v>
      </c>
      <c r="CK14" s="7">
        <v>6.26</v>
      </c>
      <c r="CL14" s="6">
        <v>8.1</v>
      </c>
      <c r="CM14" s="6">
        <v>5.36</v>
      </c>
      <c r="CN14" s="6">
        <v>6.39</v>
      </c>
      <c r="CO14" s="10">
        <v>5.4</v>
      </c>
      <c r="CP14" s="10">
        <v>6.62</v>
      </c>
    </row>
    <row r="15" spans="1:94" ht="15.75" x14ac:dyDescent="0.25">
      <c r="A15" s="4">
        <v>14</v>
      </c>
      <c r="B15" s="4"/>
      <c r="C15" s="4">
        <v>14</v>
      </c>
      <c r="D15" s="8">
        <v>4.67</v>
      </c>
      <c r="E15" s="8">
        <v>4.83</v>
      </c>
      <c r="F15" s="8">
        <v>5.0599999999999996</v>
      </c>
      <c r="G15" s="8">
        <v>4.58</v>
      </c>
      <c r="H15" s="8">
        <v>6.43</v>
      </c>
      <c r="I15" s="8">
        <v>4.78</v>
      </c>
      <c r="J15" s="8">
        <v>5.08</v>
      </c>
      <c r="K15" s="8">
        <v>4.5</v>
      </c>
      <c r="L15" s="8">
        <v>6.41</v>
      </c>
      <c r="M15" s="8">
        <v>4.96</v>
      </c>
      <c r="N15" s="8">
        <v>5.08</v>
      </c>
      <c r="O15" s="8">
        <v>4.79</v>
      </c>
      <c r="P15" s="8">
        <v>5.88</v>
      </c>
      <c r="Q15" s="8">
        <v>4.01</v>
      </c>
      <c r="R15" s="8">
        <v>4.1100000000000003</v>
      </c>
      <c r="S15" s="8">
        <v>6.39</v>
      </c>
      <c r="T15" s="8">
        <v>5.71</v>
      </c>
      <c r="U15" s="8">
        <v>6.38</v>
      </c>
      <c r="V15" s="8">
        <v>5.74</v>
      </c>
      <c r="W15" s="8">
        <v>5.88</v>
      </c>
      <c r="X15" s="8">
        <v>7.17</v>
      </c>
      <c r="Y15" s="8">
        <v>5.99</v>
      </c>
      <c r="Z15" s="8">
        <v>5.93</v>
      </c>
      <c r="AA15" s="8">
        <v>5.07</v>
      </c>
      <c r="AB15" s="8">
        <v>3.63</v>
      </c>
      <c r="AC15" s="8">
        <v>6.65</v>
      </c>
      <c r="AD15" s="8">
        <v>5.39</v>
      </c>
      <c r="AE15" s="8">
        <v>5.28</v>
      </c>
      <c r="AF15" s="8">
        <v>4.1100000000000003</v>
      </c>
      <c r="AG15" s="8">
        <v>4.38</v>
      </c>
      <c r="AH15" s="8">
        <v>4.33</v>
      </c>
      <c r="AI15" s="8">
        <v>5.5</v>
      </c>
      <c r="AJ15" s="8">
        <v>6.6</v>
      </c>
      <c r="AK15" s="8">
        <v>4.1900000000000004</v>
      </c>
      <c r="AL15" s="8">
        <v>4.12</v>
      </c>
      <c r="AM15" s="8">
        <v>6.6</v>
      </c>
      <c r="AN15" s="8">
        <v>5.93</v>
      </c>
      <c r="AO15" s="8">
        <v>7.44</v>
      </c>
      <c r="AP15" s="8">
        <v>4.82</v>
      </c>
      <c r="AQ15" s="8">
        <v>5.88</v>
      </c>
      <c r="AR15" s="8">
        <v>4.3</v>
      </c>
      <c r="AS15" s="8">
        <v>6.16</v>
      </c>
      <c r="AT15" s="8">
        <v>4.57</v>
      </c>
      <c r="AU15" s="6">
        <v>4.3</v>
      </c>
      <c r="AV15" s="6">
        <v>4.8600000000000003</v>
      </c>
      <c r="AW15" s="6">
        <v>6.19</v>
      </c>
      <c r="AX15" s="6">
        <v>5.21</v>
      </c>
      <c r="AY15" s="6">
        <v>5.84</v>
      </c>
      <c r="AZ15" s="6">
        <v>5.67</v>
      </c>
      <c r="BA15" s="6">
        <v>6.3</v>
      </c>
      <c r="BB15" s="6">
        <v>5.59</v>
      </c>
      <c r="BC15" s="6">
        <v>4.67</v>
      </c>
      <c r="BD15" s="11">
        <v>6.02</v>
      </c>
      <c r="BE15" s="6">
        <v>5.23</v>
      </c>
      <c r="BF15" s="6">
        <v>6.65</v>
      </c>
      <c r="BG15" s="6">
        <v>4</v>
      </c>
      <c r="BH15" s="6">
        <v>6.63</v>
      </c>
      <c r="BI15" s="6">
        <v>4.7</v>
      </c>
      <c r="BJ15" s="6">
        <v>5.12</v>
      </c>
      <c r="BK15" s="6">
        <v>4.92</v>
      </c>
      <c r="BL15" s="6">
        <v>5.32</v>
      </c>
      <c r="BM15" s="6">
        <v>5.22</v>
      </c>
      <c r="BN15" s="6">
        <v>7.12</v>
      </c>
      <c r="BO15" s="6">
        <v>3.56</v>
      </c>
      <c r="BP15" s="6">
        <v>7.08</v>
      </c>
      <c r="BQ15" s="7">
        <v>4.9000000000000004</v>
      </c>
      <c r="BR15" s="7">
        <v>5.76</v>
      </c>
      <c r="BS15" s="7">
        <v>6.84</v>
      </c>
      <c r="BT15" s="7">
        <v>4.6399999999999997</v>
      </c>
      <c r="BU15" s="7">
        <v>6.3</v>
      </c>
      <c r="BV15" s="7">
        <v>6</v>
      </c>
      <c r="BW15" s="7">
        <v>5.9</v>
      </c>
      <c r="BX15" s="7">
        <v>5.9</v>
      </c>
      <c r="BY15" s="7">
        <v>6.54</v>
      </c>
      <c r="BZ15" s="7">
        <v>6.9</v>
      </c>
      <c r="CA15" s="7">
        <v>3.62</v>
      </c>
      <c r="CB15" s="7">
        <v>6.72</v>
      </c>
      <c r="CC15" s="6">
        <v>8</v>
      </c>
      <c r="CD15" s="7">
        <v>5</v>
      </c>
      <c r="CE15" s="7">
        <v>5.18</v>
      </c>
      <c r="CF15" s="7">
        <v>5.12</v>
      </c>
      <c r="CG15" s="7">
        <v>5.2</v>
      </c>
      <c r="CH15" s="7">
        <v>7.78</v>
      </c>
      <c r="CI15" s="8">
        <v>5.36</v>
      </c>
      <c r="CJ15" s="7">
        <v>4.62</v>
      </c>
      <c r="CK15" s="7">
        <v>6.18</v>
      </c>
      <c r="CL15" s="6">
        <v>8.02</v>
      </c>
      <c r="CM15" s="6">
        <v>5.24</v>
      </c>
      <c r="CN15" s="6">
        <v>6.38</v>
      </c>
      <c r="CO15" s="10">
        <v>5.52</v>
      </c>
      <c r="CP15" s="10">
        <v>6.53</v>
      </c>
    </row>
    <row r="16" spans="1:94" ht="15.75" x14ac:dyDescent="0.25">
      <c r="A16" s="4">
        <v>15</v>
      </c>
      <c r="B16" s="4"/>
      <c r="C16" s="4">
        <v>15</v>
      </c>
      <c r="D16" s="8">
        <v>4.58</v>
      </c>
      <c r="E16" s="8">
        <v>4.7300000000000004</v>
      </c>
      <c r="F16" s="8">
        <v>5.0999999999999996</v>
      </c>
      <c r="G16" s="8">
        <v>4.4800000000000004</v>
      </c>
      <c r="H16" s="8">
        <v>6.43</v>
      </c>
      <c r="I16" s="8">
        <v>4.71</v>
      </c>
      <c r="J16" s="8">
        <v>5.04</v>
      </c>
      <c r="K16" s="8">
        <v>4.41</v>
      </c>
      <c r="L16" s="8">
        <v>6.4</v>
      </c>
      <c r="M16" s="8">
        <v>4.9400000000000004</v>
      </c>
      <c r="N16" s="8">
        <v>4.9400000000000004</v>
      </c>
      <c r="O16" s="8">
        <v>4.6900000000000004</v>
      </c>
      <c r="P16" s="8">
        <v>5.83</v>
      </c>
      <c r="Q16" s="8">
        <v>3.94</v>
      </c>
      <c r="R16" s="8">
        <v>4.04</v>
      </c>
      <c r="S16" s="8">
        <v>6.33</v>
      </c>
      <c r="T16" s="8">
        <v>5.56</v>
      </c>
      <c r="U16" s="8">
        <v>6.29</v>
      </c>
      <c r="V16" s="8">
        <v>5.54</v>
      </c>
      <c r="W16" s="8">
        <v>5.88</v>
      </c>
      <c r="X16" s="8">
        <v>7.13</v>
      </c>
      <c r="Y16" s="8">
        <v>5.99</v>
      </c>
      <c r="Z16" s="8">
        <v>5.84</v>
      </c>
      <c r="AA16" s="8">
        <v>5.01</v>
      </c>
      <c r="AB16" s="8">
        <v>3.54</v>
      </c>
      <c r="AC16" s="8">
        <v>6.53</v>
      </c>
      <c r="AD16" s="8">
        <v>5.26</v>
      </c>
      <c r="AE16" s="8">
        <v>5.13</v>
      </c>
      <c r="AF16" s="8">
        <v>4.05</v>
      </c>
      <c r="AG16" s="8">
        <v>4.2699999999999996</v>
      </c>
      <c r="AH16" s="8">
        <v>4.2699999999999996</v>
      </c>
      <c r="AI16" s="8">
        <v>5.41</v>
      </c>
      <c r="AJ16" s="8">
        <v>6.5</v>
      </c>
      <c r="AK16" s="8">
        <v>4.12</v>
      </c>
      <c r="AL16" s="8">
        <v>4.08</v>
      </c>
      <c r="AM16" s="8">
        <v>6.62</v>
      </c>
      <c r="AN16" s="8">
        <v>5.87</v>
      </c>
      <c r="AO16" s="8">
        <v>7.47</v>
      </c>
      <c r="AP16" s="8">
        <v>4.71</v>
      </c>
      <c r="AQ16" s="8">
        <v>5.78</v>
      </c>
      <c r="AR16" s="8">
        <v>4.25</v>
      </c>
      <c r="AS16" s="8">
        <v>6.03</v>
      </c>
      <c r="AT16" s="8">
        <v>4.4800000000000004</v>
      </c>
      <c r="AU16" s="6">
        <v>4.13</v>
      </c>
      <c r="AV16" s="6">
        <v>4.71</v>
      </c>
      <c r="AW16" s="6">
        <v>6.07</v>
      </c>
      <c r="AX16" s="6">
        <v>5.13</v>
      </c>
      <c r="AY16" s="6">
        <v>5.71</v>
      </c>
      <c r="AZ16" s="6">
        <v>5.67</v>
      </c>
      <c r="BA16" s="6">
        <v>6.19</v>
      </c>
      <c r="BB16" s="6">
        <v>5.57</v>
      </c>
      <c r="BC16" s="6">
        <v>4.57</v>
      </c>
      <c r="BD16" s="11">
        <v>5.91</v>
      </c>
      <c r="BE16" s="6">
        <v>5.13</v>
      </c>
      <c r="BF16" s="6">
        <v>6.57</v>
      </c>
      <c r="BG16" s="6">
        <v>3.95</v>
      </c>
      <c r="BH16" s="6">
        <v>6.48</v>
      </c>
      <c r="BI16" s="6">
        <v>4.7</v>
      </c>
      <c r="BJ16" s="6">
        <v>4.9000000000000004</v>
      </c>
      <c r="BK16" s="6">
        <v>4.82</v>
      </c>
      <c r="BL16" s="6">
        <v>5.16</v>
      </c>
      <c r="BM16" s="6">
        <v>5.08</v>
      </c>
      <c r="BN16" s="6">
        <v>7.04</v>
      </c>
      <c r="BO16" s="6">
        <v>3.49</v>
      </c>
      <c r="BP16" s="6">
        <v>7</v>
      </c>
      <c r="BQ16" s="7">
        <v>4.7</v>
      </c>
      <c r="BR16" s="7">
        <v>5.75</v>
      </c>
      <c r="BS16" s="7">
        <v>6.64</v>
      </c>
      <c r="BT16" s="7">
        <v>4.5</v>
      </c>
      <c r="BU16" s="7">
        <v>6.3</v>
      </c>
      <c r="BV16" s="7">
        <v>5.88</v>
      </c>
      <c r="BW16" s="7">
        <v>5.82</v>
      </c>
      <c r="BX16" s="7">
        <v>5.8</v>
      </c>
      <c r="BY16" s="7">
        <v>6.5</v>
      </c>
      <c r="BZ16" s="7">
        <v>6.8</v>
      </c>
      <c r="CA16" s="7">
        <v>3.58</v>
      </c>
      <c r="CB16" s="7">
        <v>6.62</v>
      </c>
      <c r="CC16" s="6">
        <v>7.86</v>
      </c>
      <c r="CD16" s="7">
        <v>4.88</v>
      </c>
      <c r="CE16" s="7">
        <v>5.18</v>
      </c>
      <c r="CF16" s="7">
        <v>5.08</v>
      </c>
      <c r="CG16" s="7">
        <v>5.16</v>
      </c>
      <c r="CH16" s="7">
        <v>7.66</v>
      </c>
      <c r="CI16" s="8">
        <v>5.32</v>
      </c>
      <c r="CJ16" s="7">
        <v>4.46</v>
      </c>
      <c r="CK16" s="7">
        <v>6.02</v>
      </c>
      <c r="CL16" s="6">
        <v>7.98</v>
      </c>
      <c r="CM16" s="6">
        <v>5.0999999999999996</v>
      </c>
      <c r="CN16" s="6">
        <v>6.38</v>
      </c>
      <c r="CO16" s="10">
        <v>5.22</v>
      </c>
      <c r="CP16" s="10">
        <v>6.45</v>
      </c>
    </row>
    <row r="17" spans="1:94" ht="15.75" x14ac:dyDescent="0.25">
      <c r="A17" s="4">
        <v>16</v>
      </c>
      <c r="B17" s="4"/>
      <c r="C17" s="4">
        <v>16</v>
      </c>
      <c r="D17" s="8">
        <v>4.4800000000000004</v>
      </c>
      <c r="E17" s="8">
        <v>4.58</v>
      </c>
      <c r="F17" s="8">
        <v>5.14</v>
      </c>
      <c r="G17" s="8">
        <v>4.38</v>
      </c>
      <c r="H17" s="8">
        <v>6.43</v>
      </c>
      <c r="I17" s="8">
        <v>4.66</v>
      </c>
      <c r="J17" s="8">
        <v>5.01</v>
      </c>
      <c r="K17" s="8">
        <v>4.28</v>
      </c>
      <c r="L17" s="8">
        <v>6.4</v>
      </c>
      <c r="M17" s="8">
        <v>4.91</v>
      </c>
      <c r="N17" s="8">
        <v>4.8099999999999996</v>
      </c>
      <c r="O17" s="8">
        <v>4.62</v>
      </c>
      <c r="P17" s="8">
        <v>5.76</v>
      </c>
      <c r="Q17" s="8">
        <v>3.9</v>
      </c>
      <c r="R17" s="8">
        <v>3.97</v>
      </c>
      <c r="S17" s="8">
        <v>6.25</v>
      </c>
      <c r="T17" s="8">
        <v>5.41</v>
      </c>
      <c r="U17" s="8">
        <v>6.21</v>
      </c>
      <c r="V17" s="8">
        <v>5.41</v>
      </c>
      <c r="W17" s="8">
        <v>5.83</v>
      </c>
      <c r="X17" s="8">
        <v>7.07</v>
      </c>
      <c r="Y17" s="8">
        <v>6.03</v>
      </c>
      <c r="Z17" s="8">
        <v>5.73</v>
      </c>
      <c r="AA17" s="8">
        <v>4.8899999999999997</v>
      </c>
      <c r="AB17" s="8">
        <v>3.45</v>
      </c>
      <c r="AC17" s="8">
        <v>6.43</v>
      </c>
      <c r="AD17" s="8">
        <v>5.13</v>
      </c>
      <c r="AE17" s="8">
        <v>5</v>
      </c>
      <c r="AF17" s="8">
        <v>4.03</v>
      </c>
      <c r="AG17" s="8">
        <v>4.17</v>
      </c>
      <c r="AH17" s="8">
        <v>4.21</v>
      </c>
      <c r="AI17" s="8">
        <v>5.32</v>
      </c>
      <c r="AJ17" s="8">
        <v>6.37</v>
      </c>
      <c r="AK17" s="8">
        <v>4.05</v>
      </c>
      <c r="AL17" s="8">
        <v>4.0599999999999996</v>
      </c>
      <c r="AM17" s="8">
        <v>6.73</v>
      </c>
      <c r="AN17" s="8">
        <v>5.83</v>
      </c>
      <c r="AO17" s="8">
        <v>7.47</v>
      </c>
      <c r="AP17" s="8">
        <v>4.62</v>
      </c>
      <c r="AQ17" s="8">
        <v>5.62</v>
      </c>
      <c r="AR17" s="8">
        <v>4.1900000000000004</v>
      </c>
      <c r="AS17" s="8">
        <v>5.86</v>
      </c>
      <c r="AT17" s="8">
        <v>4.41</v>
      </c>
      <c r="AU17" s="6">
        <v>4</v>
      </c>
      <c r="AV17" s="6">
        <v>4.46</v>
      </c>
      <c r="AW17" s="6">
        <v>5.94</v>
      </c>
      <c r="AX17" s="6">
        <v>5.03</v>
      </c>
      <c r="AY17" s="6">
        <v>5.59</v>
      </c>
      <c r="AZ17" s="6">
        <v>5.67</v>
      </c>
      <c r="BA17" s="6">
        <v>6.09</v>
      </c>
      <c r="BB17" s="6">
        <v>5.5</v>
      </c>
      <c r="BC17" s="6">
        <v>4.42</v>
      </c>
      <c r="BD17" s="11">
        <v>5.81</v>
      </c>
      <c r="BE17" s="6">
        <v>5.01</v>
      </c>
      <c r="BF17" s="6">
        <v>6.51</v>
      </c>
      <c r="BG17" s="6">
        <v>3.88</v>
      </c>
      <c r="BH17" s="6">
        <v>6.36</v>
      </c>
      <c r="BI17" s="6">
        <v>4.5999999999999996</v>
      </c>
      <c r="BJ17" s="6">
        <v>4.88</v>
      </c>
      <c r="BK17" s="6">
        <v>4.76</v>
      </c>
      <c r="BL17" s="6">
        <v>5.0199999999999996</v>
      </c>
      <c r="BM17" s="6">
        <v>4.96</v>
      </c>
      <c r="BN17" s="6">
        <v>6.98</v>
      </c>
      <c r="BO17" s="6">
        <v>3.45</v>
      </c>
      <c r="BP17" s="6">
        <v>7.05</v>
      </c>
      <c r="BQ17" s="7">
        <v>4.62</v>
      </c>
      <c r="BR17" s="7">
        <v>5.7</v>
      </c>
      <c r="BS17" s="7">
        <v>6.4</v>
      </c>
      <c r="BT17" s="7">
        <v>4.4000000000000004</v>
      </c>
      <c r="BU17" s="7">
        <v>6.3</v>
      </c>
      <c r="BV17" s="7">
        <v>5.7</v>
      </c>
      <c r="BW17" s="7">
        <v>5.74</v>
      </c>
      <c r="BX17" s="7">
        <v>5.7</v>
      </c>
      <c r="BY17" s="7">
        <v>6.4</v>
      </c>
      <c r="BZ17" s="7">
        <v>6.76</v>
      </c>
      <c r="CA17" s="7">
        <v>3.5</v>
      </c>
      <c r="CB17" s="7">
        <v>6.56</v>
      </c>
      <c r="CC17" s="6">
        <v>7.76</v>
      </c>
      <c r="CD17" s="7">
        <v>4.8</v>
      </c>
      <c r="CE17" s="7">
        <v>5.14</v>
      </c>
      <c r="CF17" s="7">
        <v>5.05</v>
      </c>
      <c r="CG17" s="7">
        <v>5</v>
      </c>
      <c r="CH17" s="7">
        <v>7.52</v>
      </c>
      <c r="CI17" s="8">
        <v>5.28</v>
      </c>
      <c r="CJ17" s="7">
        <v>4.38</v>
      </c>
      <c r="CK17" s="7">
        <v>5.92</v>
      </c>
      <c r="CL17" s="6">
        <v>7.84</v>
      </c>
      <c r="CM17" s="6">
        <v>5</v>
      </c>
      <c r="CN17" s="6">
        <v>6.38</v>
      </c>
      <c r="CO17" s="10">
        <v>5.12</v>
      </c>
      <c r="CP17" s="10">
        <v>6.36</v>
      </c>
    </row>
    <row r="18" spans="1:94" ht="15.75" x14ac:dyDescent="0.25">
      <c r="A18" s="4">
        <v>17</v>
      </c>
      <c r="B18" s="4"/>
      <c r="C18" s="4">
        <v>17</v>
      </c>
      <c r="D18" s="8">
        <v>4.42</v>
      </c>
      <c r="E18" s="8">
        <v>4.4800000000000004</v>
      </c>
      <c r="F18" s="8">
        <v>5.16</v>
      </c>
      <c r="G18" s="8">
        <v>4.28</v>
      </c>
      <c r="H18" s="8">
        <v>6.43</v>
      </c>
      <c r="I18" s="8">
        <v>4.5999999999999996</v>
      </c>
      <c r="J18" s="8">
        <v>4.9800000000000004</v>
      </c>
      <c r="K18" s="8">
        <v>4.17</v>
      </c>
      <c r="L18" s="8">
        <v>6.39</v>
      </c>
      <c r="M18" s="8">
        <v>4.8600000000000003</v>
      </c>
      <c r="N18" s="8">
        <v>4.71</v>
      </c>
      <c r="O18" s="8">
        <v>4.57</v>
      </c>
      <c r="P18" s="8">
        <v>5.71</v>
      </c>
      <c r="Q18" s="8">
        <v>3.85</v>
      </c>
      <c r="R18" s="8">
        <v>3.93</v>
      </c>
      <c r="S18" s="8">
        <v>6.19</v>
      </c>
      <c r="T18" s="8">
        <v>5.31</v>
      </c>
      <c r="U18" s="8">
        <v>6.11</v>
      </c>
      <c r="V18" s="8">
        <v>5.33</v>
      </c>
      <c r="W18" s="8">
        <v>5.73</v>
      </c>
      <c r="X18" s="8">
        <v>6.99</v>
      </c>
      <c r="Y18" s="8">
        <v>5.99</v>
      </c>
      <c r="Z18" s="8">
        <v>5.6</v>
      </c>
      <c r="AA18" s="8">
        <v>4.7300000000000004</v>
      </c>
      <c r="AB18" s="8">
        <v>3.35</v>
      </c>
      <c r="AC18" s="8">
        <v>6.34</v>
      </c>
      <c r="AD18" s="8">
        <v>4.9800000000000004</v>
      </c>
      <c r="AE18" s="8">
        <v>4.8600000000000003</v>
      </c>
      <c r="AF18" s="8">
        <v>4.03</v>
      </c>
      <c r="AG18" s="8">
        <v>4.08</v>
      </c>
      <c r="AH18" s="8">
        <v>4.1500000000000004</v>
      </c>
      <c r="AI18" s="8">
        <v>5.25</v>
      </c>
      <c r="AJ18" s="8">
        <v>6.28</v>
      </c>
      <c r="AK18" s="8">
        <v>3.95</v>
      </c>
      <c r="AL18" s="8">
        <v>4.08</v>
      </c>
      <c r="AM18" s="8">
        <v>6.8</v>
      </c>
      <c r="AN18" s="8">
        <v>5.78</v>
      </c>
      <c r="AO18" s="8">
        <v>7.47</v>
      </c>
      <c r="AP18" s="8">
        <v>4.5199999999999996</v>
      </c>
      <c r="AQ18" s="8">
        <v>5.44</v>
      </c>
      <c r="AR18" s="8">
        <v>4.26</v>
      </c>
      <c r="AS18" s="8">
        <v>5.78</v>
      </c>
      <c r="AT18" s="8">
        <v>4.32</v>
      </c>
      <c r="AU18" s="6">
        <v>3.85</v>
      </c>
      <c r="AV18" s="6">
        <v>4.38</v>
      </c>
      <c r="AW18" s="6">
        <v>5.8</v>
      </c>
      <c r="AX18" s="6">
        <v>4.9000000000000004</v>
      </c>
      <c r="AY18" s="6">
        <v>5.5</v>
      </c>
      <c r="AZ18" s="6">
        <v>5.65</v>
      </c>
      <c r="BA18" s="6">
        <v>6.03</v>
      </c>
      <c r="BB18" s="6">
        <v>5.36</v>
      </c>
      <c r="BC18" s="6">
        <v>4.34</v>
      </c>
      <c r="BD18" s="11">
        <v>5.7</v>
      </c>
      <c r="BE18" s="6">
        <v>4.88</v>
      </c>
      <c r="BF18" s="6">
        <v>6.5</v>
      </c>
      <c r="BG18" s="6">
        <v>3.73</v>
      </c>
      <c r="BH18" s="6">
        <v>6.23</v>
      </c>
      <c r="BI18" s="6">
        <v>4.5</v>
      </c>
      <c r="BJ18" s="6">
        <v>4.8600000000000003</v>
      </c>
      <c r="BK18" s="6">
        <v>4.68</v>
      </c>
      <c r="BL18" s="6">
        <v>4.9000000000000004</v>
      </c>
      <c r="BM18" s="6">
        <v>4.92</v>
      </c>
      <c r="BN18" s="6">
        <v>6.76</v>
      </c>
      <c r="BO18" s="6">
        <v>3.4</v>
      </c>
      <c r="BP18" s="6">
        <v>7.06</v>
      </c>
      <c r="BQ18" s="7">
        <v>4.55</v>
      </c>
      <c r="BR18" s="7">
        <v>5.66</v>
      </c>
      <c r="BS18" s="7">
        <v>6.2</v>
      </c>
      <c r="BT18" s="7">
        <v>4.3</v>
      </c>
      <c r="BU18" s="7">
        <v>6.28</v>
      </c>
      <c r="BV18" s="7">
        <v>5.6</v>
      </c>
      <c r="BW18" s="7">
        <v>5.68</v>
      </c>
      <c r="BX18" s="7">
        <v>5.6</v>
      </c>
      <c r="BY18" s="7">
        <v>6.34</v>
      </c>
      <c r="BZ18" s="7">
        <v>6.68</v>
      </c>
      <c r="CA18" s="7">
        <v>3.46</v>
      </c>
      <c r="CB18" s="7">
        <v>6.5</v>
      </c>
      <c r="CC18" s="6">
        <v>7.68</v>
      </c>
      <c r="CD18" s="7">
        <v>4.74</v>
      </c>
      <c r="CE18" s="7">
        <v>5.0999999999999996</v>
      </c>
      <c r="CF18" s="7">
        <v>4.9400000000000004</v>
      </c>
      <c r="CG18" s="7">
        <v>4.92</v>
      </c>
      <c r="CH18" s="7">
        <v>7.4</v>
      </c>
      <c r="CI18" s="8">
        <v>5.26</v>
      </c>
      <c r="CJ18" s="7">
        <v>4.3</v>
      </c>
      <c r="CK18" s="7">
        <v>5.82</v>
      </c>
      <c r="CL18" s="6">
        <v>7.8</v>
      </c>
      <c r="CM18" s="6">
        <v>4.92</v>
      </c>
      <c r="CN18" s="6">
        <v>6.39</v>
      </c>
      <c r="CO18" s="10">
        <v>5</v>
      </c>
      <c r="CP18" s="10">
        <v>6.32</v>
      </c>
    </row>
    <row r="19" spans="1:94" ht="15.75" x14ac:dyDescent="0.25">
      <c r="A19" s="4">
        <v>18</v>
      </c>
      <c r="B19" s="4"/>
      <c r="C19" s="4">
        <v>18</v>
      </c>
      <c r="D19" s="8">
        <v>4.38</v>
      </c>
      <c r="E19" s="8">
        <v>4.42</v>
      </c>
      <c r="F19" s="8">
        <v>5.18</v>
      </c>
      <c r="G19" s="8">
        <v>4.2300000000000004</v>
      </c>
      <c r="H19" s="8">
        <v>6.38</v>
      </c>
      <c r="I19" s="8">
        <v>4.54</v>
      </c>
      <c r="J19" s="8">
        <v>4.9800000000000004</v>
      </c>
      <c r="K19" s="8">
        <v>4.0599999999999996</v>
      </c>
      <c r="L19" s="8">
        <v>6.38</v>
      </c>
      <c r="M19" s="8">
        <v>4.79</v>
      </c>
      <c r="N19" s="8">
        <v>4.5999999999999996</v>
      </c>
      <c r="O19" s="8">
        <v>4.54</v>
      </c>
      <c r="P19" s="8">
        <v>5.66</v>
      </c>
      <c r="Q19" s="8">
        <v>3.78</v>
      </c>
      <c r="R19" s="8">
        <v>3.86</v>
      </c>
      <c r="S19" s="8">
        <v>6.08</v>
      </c>
      <c r="T19" s="8">
        <v>5.21</v>
      </c>
      <c r="U19" s="8">
        <v>5.99</v>
      </c>
      <c r="V19" s="8">
        <v>5.24</v>
      </c>
      <c r="W19" s="8">
        <v>5.58</v>
      </c>
      <c r="X19" s="8">
        <v>6.85</v>
      </c>
      <c r="Y19" s="8">
        <v>5.85</v>
      </c>
      <c r="Z19" s="8">
        <v>5.45</v>
      </c>
      <c r="AA19" s="8">
        <v>4.6500000000000004</v>
      </c>
      <c r="AB19" s="8">
        <v>3.26</v>
      </c>
      <c r="AC19" s="8">
        <v>6.25</v>
      </c>
      <c r="AD19" s="8">
        <v>4.8499999999999996</v>
      </c>
      <c r="AE19" s="8">
        <v>4.7300000000000004</v>
      </c>
      <c r="AF19" s="8">
        <v>4.03</v>
      </c>
      <c r="AG19" s="8">
        <v>3.96</v>
      </c>
      <c r="AH19" s="8">
        <v>4.09</v>
      </c>
      <c r="AI19" s="8">
        <v>5.17</v>
      </c>
      <c r="AJ19" s="8">
        <v>6.25</v>
      </c>
      <c r="AK19" s="8">
        <v>3.87</v>
      </c>
      <c r="AL19" s="8">
        <v>4.07</v>
      </c>
      <c r="AM19" s="8">
        <v>6.87</v>
      </c>
      <c r="AN19" s="8">
        <v>5.73</v>
      </c>
      <c r="AO19" s="8">
        <v>7.48</v>
      </c>
      <c r="AP19" s="8">
        <v>4.42</v>
      </c>
      <c r="AQ19" s="8">
        <v>5.3</v>
      </c>
      <c r="AR19" s="8">
        <v>4.4000000000000004</v>
      </c>
      <c r="AS19" s="8">
        <v>5.69</v>
      </c>
      <c r="AT19" s="8">
        <v>4.2300000000000004</v>
      </c>
      <c r="AU19" s="6">
        <v>3.75</v>
      </c>
      <c r="AV19" s="6">
        <v>4.26</v>
      </c>
      <c r="AW19" s="6">
        <v>5.67</v>
      </c>
      <c r="AX19" s="6">
        <v>4.76</v>
      </c>
      <c r="AY19" s="6">
        <v>5.4</v>
      </c>
      <c r="AZ19" s="6">
        <v>5.55</v>
      </c>
      <c r="BA19" s="6">
        <v>5.96</v>
      </c>
      <c r="BB19" s="6">
        <v>5.17</v>
      </c>
      <c r="BC19" s="6">
        <v>4.26</v>
      </c>
      <c r="BD19" s="11">
        <v>5.61</v>
      </c>
      <c r="BE19" s="6">
        <v>4.76</v>
      </c>
      <c r="BF19" s="6">
        <v>6.5</v>
      </c>
      <c r="BG19" s="6">
        <v>3.79</v>
      </c>
      <c r="BH19" s="6">
        <v>6.09</v>
      </c>
      <c r="BI19" s="6">
        <v>4.45</v>
      </c>
      <c r="BJ19" s="6">
        <v>4.8600000000000003</v>
      </c>
      <c r="BK19" s="6">
        <v>4.62</v>
      </c>
      <c r="BL19" s="6">
        <v>4.8</v>
      </c>
      <c r="BM19" s="6">
        <v>4.88</v>
      </c>
      <c r="BN19" s="6">
        <v>6.62</v>
      </c>
      <c r="BO19" s="6">
        <v>3.38</v>
      </c>
      <c r="BP19" s="6">
        <v>6.9</v>
      </c>
      <c r="BQ19" s="7">
        <v>4.54</v>
      </c>
      <c r="BR19" s="7">
        <v>5.54</v>
      </c>
      <c r="BS19" s="7">
        <v>6</v>
      </c>
      <c r="BT19" s="7">
        <v>4.22</v>
      </c>
      <c r="BU19" s="7">
        <v>6</v>
      </c>
      <c r="BV19" s="7">
        <v>5.58</v>
      </c>
      <c r="BW19" s="7">
        <v>5.62</v>
      </c>
      <c r="BX19" s="7">
        <v>5.5</v>
      </c>
      <c r="BY19" s="7">
        <v>6.18</v>
      </c>
      <c r="BZ19" s="7">
        <v>6.68</v>
      </c>
      <c r="CA19" s="7">
        <v>3.32</v>
      </c>
      <c r="CB19" s="7">
        <v>6.46</v>
      </c>
      <c r="CC19" s="6">
        <v>7.56</v>
      </c>
      <c r="CD19" s="7">
        <v>4.7</v>
      </c>
      <c r="CE19" s="7">
        <v>5.0199999999999996</v>
      </c>
      <c r="CF19" s="7">
        <v>4.9000000000000004</v>
      </c>
      <c r="CG19" s="7">
        <v>4.8600000000000003</v>
      </c>
      <c r="CH19" s="7">
        <v>7.25</v>
      </c>
      <c r="CI19" s="8">
        <v>5.26</v>
      </c>
      <c r="CJ19" s="7">
        <v>4.3</v>
      </c>
      <c r="CK19" s="7">
        <v>5.7</v>
      </c>
      <c r="CL19" s="6">
        <v>7.74</v>
      </c>
      <c r="CM19" s="6">
        <v>4.8</v>
      </c>
      <c r="CN19" s="6">
        <v>6.32</v>
      </c>
      <c r="CO19" s="10">
        <v>4.9400000000000004</v>
      </c>
      <c r="CP19" s="10">
        <v>6.27</v>
      </c>
    </row>
    <row r="20" spans="1:94" ht="15.75" x14ac:dyDescent="0.25">
      <c r="A20" s="4">
        <v>19</v>
      </c>
      <c r="B20" s="4"/>
      <c r="C20" s="4">
        <v>19</v>
      </c>
      <c r="D20" s="8">
        <v>4.33</v>
      </c>
      <c r="E20" s="8">
        <v>4.38</v>
      </c>
      <c r="F20" s="8">
        <v>5.16</v>
      </c>
      <c r="G20" s="8">
        <v>4.13</v>
      </c>
      <c r="H20" s="8">
        <v>6.33</v>
      </c>
      <c r="I20" s="8">
        <v>4.4800000000000004</v>
      </c>
      <c r="J20" s="8">
        <v>4.92</v>
      </c>
      <c r="K20" s="8">
        <v>3.95</v>
      </c>
      <c r="L20" s="8">
        <v>6.38</v>
      </c>
      <c r="M20" s="8">
        <v>4.6900000000000004</v>
      </c>
      <c r="N20" s="8">
        <v>4.5</v>
      </c>
      <c r="O20" s="8">
        <v>4.5199999999999996</v>
      </c>
      <c r="P20" s="8">
        <v>5.62</v>
      </c>
      <c r="Q20" s="8">
        <v>3.74</v>
      </c>
      <c r="R20" s="8">
        <v>3.79</v>
      </c>
      <c r="S20" s="8">
        <v>5.99</v>
      </c>
      <c r="T20" s="8">
        <v>5.13</v>
      </c>
      <c r="U20" s="8">
        <v>5.88</v>
      </c>
      <c r="V20" s="8">
        <v>5.16</v>
      </c>
      <c r="W20" s="8">
        <v>5.53</v>
      </c>
      <c r="X20" s="8">
        <v>6.68</v>
      </c>
      <c r="Y20" s="8">
        <v>5.75</v>
      </c>
      <c r="Z20" s="8">
        <v>5.29</v>
      </c>
      <c r="AA20" s="8">
        <v>4.59</v>
      </c>
      <c r="AB20" s="8">
        <v>3.17</v>
      </c>
      <c r="AC20" s="8">
        <v>6.21</v>
      </c>
      <c r="AD20" s="8">
        <v>4.71</v>
      </c>
      <c r="AE20" s="8">
        <v>4.63</v>
      </c>
      <c r="AF20" s="8">
        <v>4.01</v>
      </c>
      <c r="AG20" s="8">
        <v>3.86</v>
      </c>
      <c r="AH20" s="8">
        <v>4.08</v>
      </c>
      <c r="AI20" s="8">
        <v>5.09</v>
      </c>
      <c r="AJ20" s="8">
        <v>6.26</v>
      </c>
      <c r="AK20" s="8">
        <v>3.83</v>
      </c>
      <c r="AL20" s="8">
        <v>4.1100000000000003</v>
      </c>
      <c r="AM20" s="8">
        <v>6.85</v>
      </c>
      <c r="AN20" s="8">
        <v>5.62</v>
      </c>
      <c r="AO20" s="8">
        <v>7.43</v>
      </c>
      <c r="AP20" s="8">
        <v>4.34</v>
      </c>
      <c r="AQ20" s="8">
        <v>5.18</v>
      </c>
      <c r="AR20" s="8">
        <v>4.5</v>
      </c>
      <c r="AS20" s="8">
        <v>5.6</v>
      </c>
      <c r="AT20" s="8">
        <v>4.13</v>
      </c>
      <c r="AU20" s="6">
        <v>3.77</v>
      </c>
      <c r="AV20" s="6">
        <v>4.1100000000000003</v>
      </c>
      <c r="AW20" s="6">
        <v>5.53</v>
      </c>
      <c r="AX20" s="6">
        <v>4.6500000000000004</v>
      </c>
      <c r="AY20" s="6">
        <v>5.32</v>
      </c>
      <c r="AZ20" s="6">
        <v>5.46</v>
      </c>
      <c r="BA20" s="6">
        <v>5.9</v>
      </c>
      <c r="BB20" s="6">
        <v>5.01</v>
      </c>
      <c r="BC20" s="6">
        <v>4.1900000000000004</v>
      </c>
      <c r="BD20" s="11">
        <v>5.54</v>
      </c>
      <c r="BE20" s="6">
        <v>4.63</v>
      </c>
      <c r="BF20" s="6">
        <v>6.51</v>
      </c>
      <c r="BG20" s="6">
        <v>3.79</v>
      </c>
      <c r="BH20" s="6">
        <v>5.9</v>
      </c>
      <c r="BI20" s="6">
        <v>4.4000000000000004</v>
      </c>
      <c r="BJ20" s="6">
        <v>4.83</v>
      </c>
      <c r="BK20" s="6">
        <v>4.58</v>
      </c>
      <c r="BL20" s="6">
        <v>4.7</v>
      </c>
      <c r="BM20" s="6">
        <v>4.8</v>
      </c>
      <c r="BN20" s="6">
        <v>6.52</v>
      </c>
      <c r="BO20" s="6">
        <v>3.34</v>
      </c>
      <c r="BP20" s="6">
        <v>6.64</v>
      </c>
      <c r="BQ20" s="7">
        <v>4.5</v>
      </c>
      <c r="BR20" s="7">
        <v>5.34</v>
      </c>
      <c r="BS20" s="7">
        <v>5.76</v>
      </c>
      <c r="BT20" s="7">
        <v>4.1500000000000004</v>
      </c>
      <c r="BU20" s="7">
        <v>5.85</v>
      </c>
      <c r="BV20" s="7">
        <v>5.62</v>
      </c>
      <c r="BW20" s="7">
        <v>5.58</v>
      </c>
      <c r="BX20" s="7">
        <v>5.4</v>
      </c>
      <c r="BY20" s="7">
        <v>6</v>
      </c>
      <c r="BZ20" s="7">
        <v>6.6</v>
      </c>
      <c r="CA20" s="7">
        <v>3.26</v>
      </c>
      <c r="CB20" s="7">
        <v>6.42</v>
      </c>
      <c r="CC20" s="6">
        <v>7.4</v>
      </c>
      <c r="CD20" s="7">
        <v>4.5999999999999996</v>
      </c>
      <c r="CE20" s="7">
        <v>4.9800000000000004</v>
      </c>
      <c r="CF20" s="7">
        <v>4.8</v>
      </c>
      <c r="CG20" s="7">
        <v>4.74</v>
      </c>
      <c r="CH20" s="7">
        <v>7.1</v>
      </c>
      <c r="CI20" s="8">
        <v>5.22</v>
      </c>
      <c r="CJ20" s="7">
        <v>4.38</v>
      </c>
      <c r="CK20" s="7">
        <v>5.62</v>
      </c>
      <c r="CL20" s="6">
        <v>7.34</v>
      </c>
      <c r="CM20" s="6">
        <v>4.7</v>
      </c>
      <c r="CN20" s="6">
        <v>6.25</v>
      </c>
      <c r="CO20" s="10">
        <v>4.9000000000000004</v>
      </c>
      <c r="CP20" s="10">
        <v>6.22</v>
      </c>
    </row>
    <row r="21" spans="1:94" ht="15.75" customHeight="1" x14ac:dyDescent="0.25">
      <c r="A21" s="4">
        <v>20</v>
      </c>
      <c r="B21" s="4"/>
      <c r="C21" s="4">
        <v>20</v>
      </c>
      <c r="D21" s="8">
        <v>4.2300000000000004</v>
      </c>
      <c r="E21" s="8">
        <v>4.34</v>
      </c>
      <c r="F21" s="8">
        <v>5.12</v>
      </c>
      <c r="G21" s="8">
        <v>4.08</v>
      </c>
      <c r="H21" s="8">
        <v>6.28</v>
      </c>
      <c r="I21" s="8">
        <v>4.42</v>
      </c>
      <c r="J21" s="8">
        <v>4.83</v>
      </c>
      <c r="K21" s="8">
        <v>3.88</v>
      </c>
      <c r="L21" s="8">
        <v>6.38</v>
      </c>
      <c r="M21" s="8">
        <v>4.6399999999999997</v>
      </c>
      <c r="N21" s="8">
        <v>4.42</v>
      </c>
      <c r="O21" s="8">
        <v>4.46</v>
      </c>
      <c r="P21" s="8">
        <v>5.57</v>
      </c>
      <c r="Q21" s="8">
        <v>3.68</v>
      </c>
      <c r="R21" s="8">
        <v>3.73</v>
      </c>
      <c r="S21" s="8">
        <v>5.89</v>
      </c>
      <c r="T21" s="8">
        <v>5.03</v>
      </c>
      <c r="U21" s="8">
        <v>5.76</v>
      </c>
      <c r="V21" s="8">
        <v>5.09</v>
      </c>
      <c r="W21" s="8">
        <v>5.58</v>
      </c>
      <c r="X21" s="8">
        <v>6.52</v>
      </c>
      <c r="Y21" s="8">
        <v>5.71</v>
      </c>
      <c r="Z21" s="8">
        <v>5.13</v>
      </c>
      <c r="AA21" s="8">
        <v>4.53</v>
      </c>
      <c r="AB21" s="8">
        <v>3.07</v>
      </c>
      <c r="AC21" s="8">
        <v>6.16</v>
      </c>
      <c r="AD21" s="8">
        <v>4.57</v>
      </c>
      <c r="AE21" s="8">
        <v>4.53</v>
      </c>
      <c r="AF21" s="8">
        <v>3.97</v>
      </c>
      <c r="AG21" s="8">
        <v>3.76</v>
      </c>
      <c r="AH21" s="8">
        <v>4.07</v>
      </c>
      <c r="AI21" s="8">
        <v>5.05</v>
      </c>
      <c r="AJ21" s="8">
        <v>6.23</v>
      </c>
      <c r="AK21" s="8">
        <v>3.81</v>
      </c>
      <c r="AL21" s="8">
        <v>4.1900000000000004</v>
      </c>
      <c r="AM21" s="8">
        <v>6.81</v>
      </c>
      <c r="AN21" s="8">
        <v>5.55</v>
      </c>
      <c r="AO21" s="8">
        <v>7.39</v>
      </c>
      <c r="AP21" s="8">
        <v>4.26</v>
      </c>
      <c r="AQ21" s="8">
        <v>5.08</v>
      </c>
      <c r="AR21" s="8">
        <v>4.4800000000000004</v>
      </c>
      <c r="AS21" s="8">
        <v>5.57</v>
      </c>
      <c r="AT21" s="8">
        <v>4.03</v>
      </c>
      <c r="AU21" s="6">
        <v>3.68</v>
      </c>
      <c r="AV21" s="6">
        <v>4</v>
      </c>
      <c r="AW21" s="6">
        <v>5.4</v>
      </c>
      <c r="AX21" s="6">
        <v>4.55</v>
      </c>
      <c r="AY21" s="6">
        <v>5.19</v>
      </c>
      <c r="AZ21" s="6">
        <v>5.38</v>
      </c>
      <c r="BA21" s="6">
        <v>5.82</v>
      </c>
      <c r="BB21" s="6">
        <v>4.88</v>
      </c>
      <c r="BC21" s="6">
        <v>4.1500000000000004</v>
      </c>
      <c r="BD21" s="11">
        <v>5.53</v>
      </c>
      <c r="BE21" s="6">
        <v>4.53</v>
      </c>
      <c r="BF21" s="6">
        <v>6.57</v>
      </c>
      <c r="BG21" s="6">
        <v>3.85</v>
      </c>
      <c r="BH21" s="6">
        <v>5.75</v>
      </c>
      <c r="BI21" s="6">
        <v>4.3499999999999996</v>
      </c>
      <c r="BJ21" s="6">
        <v>4.82</v>
      </c>
      <c r="BK21" s="6">
        <v>4.5199999999999996</v>
      </c>
      <c r="BL21" s="6">
        <v>4.58</v>
      </c>
      <c r="BM21" s="6">
        <v>4.7300000000000004</v>
      </c>
      <c r="BN21" s="6">
        <v>6.48</v>
      </c>
      <c r="BO21" s="6">
        <v>3.22</v>
      </c>
      <c r="BP21" s="6">
        <v>6.52</v>
      </c>
      <c r="BQ21" s="18">
        <v>4.97</v>
      </c>
      <c r="BR21" s="7">
        <v>5.0199999999999996</v>
      </c>
      <c r="BS21" s="7">
        <v>5.56</v>
      </c>
      <c r="BT21" s="7">
        <v>4.08</v>
      </c>
      <c r="BU21" s="7">
        <v>5.74</v>
      </c>
      <c r="BV21" s="18">
        <v>5.64</v>
      </c>
      <c r="BW21" s="7">
        <v>5.54</v>
      </c>
      <c r="BX21" s="7">
        <v>5.32</v>
      </c>
      <c r="BY21" s="7">
        <v>5.94</v>
      </c>
      <c r="BZ21" s="7">
        <v>6.52</v>
      </c>
      <c r="CA21" s="7">
        <v>3.22</v>
      </c>
      <c r="CB21" s="7">
        <v>6.4</v>
      </c>
      <c r="CC21" s="6">
        <v>7.22</v>
      </c>
      <c r="CD21" s="7">
        <v>4.5</v>
      </c>
      <c r="CE21" s="7">
        <v>4.9400000000000004</v>
      </c>
      <c r="CF21" s="7">
        <v>4.74</v>
      </c>
      <c r="CG21" s="7">
        <v>4.66</v>
      </c>
      <c r="CH21" s="7">
        <v>7</v>
      </c>
      <c r="CI21" s="8">
        <v>5.2</v>
      </c>
      <c r="CJ21" s="7">
        <v>4.2</v>
      </c>
      <c r="CK21" s="7">
        <v>5.5</v>
      </c>
      <c r="CL21" s="6">
        <v>7.26</v>
      </c>
      <c r="CM21" s="6">
        <v>4.62</v>
      </c>
      <c r="CN21" s="6">
        <v>6.19</v>
      </c>
      <c r="CO21" s="10">
        <v>4.79</v>
      </c>
      <c r="CP21" s="10">
        <v>6.14</v>
      </c>
    </row>
    <row r="22" spans="1:94" ht="15.75" customHeight="1" x14ac:dyDescent="0.25">
      <c r="A22" s="4">
        <v>21</v>
      </c>
      <c r="B22" s="4"/>
      <c r="C22" s="4">
        <v>21</v>
      </c>
      <c r="D22" s="8">
        <v>4.17</v>
      </c>
      <c r="E22" s="8">
        <v>4.3</v>
      </c>
      <c r="F22" s="8">
        <v>5.08</v>
      </c>
      <c r="G22" s="8">
        <v>4</v>
      </c>
      <c r="H22" s="8">
        <v>6.23</v>
      </c>
      <c r="I22" s="8">
        <v>4.3600000000000003</v>
      </c>
      <c r="J22" s="8">
        <v>4.7300000000000004</v>
      </c>
      <c r="K22" s="8">
        <v>3.78</v>
      </c>
      <c r="L22" s="8">
        <v>6.38</v>
      </c>
      <c r="M22" s="8">
        <v>4.6100000000000003</v>
      </c>
      <c r="N22" s="8">
        <v>4.3499999999999996</v>
      </c>
      <c r="O22" s="8">
        <v>4.42</v>
      </c>
      <c r="P22" s="8">
        <v>5.51</v>
      </c>
      <c r="Q22" s="8">
        <v>3.61</v>
      </c>
      <c r="R22" s="8">
        <v>3.65</v>
      </c>
      <c r="S22" s="8">
        <v>5.83</v>
      </c>
      <c r="T22" s="8">
        <v>4.96</v>
      </c>
      <c r="U22" s="8">
        <v>5.63</v>
      </c>
      <c r="V22" s="8">
        <v>4.9400000000000004</v>
      </c>
      <c r="W22" s="8">
        <v>5.66</v>
      </c>
      <c r="X22" s="8">
        <v>6.38</v>
      </c>
      <c r="Y22" s="8">
        <v>5.69</v>
      </c>
      <c r="Z22" s="8">
        <v>5</v>
      </c>
      <c r="AA22" s="8">
        <v>4.51</v>
      </c>
      <c r="AB22" s="8">
        <v>3.03</v>
      </c>
      <c r="AC22" s="8">
        <v>6.11</v>
      </c>
      <c r="AD22" s="8">
        <v>4.46</v>
      </c>
      <c r="AE22" s="8">
        <v>4.42</v>
      </c>
      <c r="AF22" s="8">
        <v>3.95</v>
      </c>
      <c r="AG22" s="8">
        <v>3.66</v>
      </c>
      <c r="AH22" s="8">
        <v>4.07</v>
      </c>
      <c r="AI22" s="8">
        <v>4.9800000000000004</v>
      </c>
      <c r="AJ22" s="8">
        <v>6.16</v>
      </c>
      <c r="AK22" s="8">
        <v>3.78</v>
      </c>
      <c r="AL22" s="8">
        <v>4.29</v>
      </c>
      <c r="AM22" s="8">
        <v>6.75</v>
      </c>
      <c r="AN22" s="8">
        <v>5.43</v>
      </c>
      <c r="AO22" s="8">
        <v>7.37</v>
      </c>
      <c r="AP22" s="8">
        <v>4.1900000000000004</v>
      </c>
      <c r="AQ22" s="8">
        <v>4.9800000000000004</v>
      </c>
      <c r="AR22" s="8">
        <v>4.38</v>
      </c>
      <c r="AS22" s="8">
        <v>5.53</v>
      </c>
      <c r="AT22" s="8">
        <v>3.93</v>
      </c>
      <c r="AU22" s="6">
        <v>3.59</v>
      </c>
      <c r="AV22" s="6">
        <v>3.9</v>
      </c>
      <c r="AW22" s="6">
        <v>5.26</v>
      </c>
      <c r="AX22" s="6">
        <v>4.46</v>
      </c>
      <c r="AY22" s="6">
        <v>5.09</v>
      </c>
      <c r="AZ22" s="6">
        <v>5.32</v>
      </c>
      <c r="BA22" s="6">
        <v>5.75</v>
      </c>
      <c r="BB22" s="6">
        <v>4.76</v>
      </c>
      <c r="BC22" s="6">
        <v>4.09</v>
      </c>
      <c r="BD22" s="11">
        <v>5.53</v>
      </c>
      <c r="BE22" s="6">
        <v>4.4400000000000004</v>
      </c>
      <c r="BF22" s="6">
        <v>6.57</v>
      </c>
      <c r="BG22" s="6">
        <v>3.85</v>
      </c>
      <c r="BH22" s="6">
        <v>5.59</v>
      </c>
      <c r="BI22" s="6">
        <v>4.3</v>
      </c>
      <c r="BJ22" s="6">
        <v>4.79</v>
      </c>
      <c r="BK22" s="6">
        <v>4.4800000000000004</v>
      </c>
      <c r="BL22" s="6">
        <v>4.4800000000000004</v>
      </c>
      <c r="BM22" s="6">
        <v>4.6399999999999997</v>
      </c>
      <c r="BN22" s="6">
        <v>6.4</v>
      </c>
      <c r="BO22" s="6">
        <v>3.18</v>
      </c>
      <c r="BP22" s="6">
        <v>6.34</v>
      </c>
      <c r="BQ22" s="7">
        <v>4.4000000000000004</v>
      </c>
      <c r="BR22" s="7">
        <v>4.9000000000000004</v>
      </c>
      <c r="BS22" s="7">
        <v>5.36</v>
      </c>
      <c r="BT22" s="7">
        <v>3.98</v>
      </c>
      <c r="BU22" s="7">
        <v>5.64</v>
      </c>
      <c r="BV22" s="7">
        <v>5.62</v>
      </c>
      <c r="BW22" s="7">
        <v>5.58</v>
      </c>
      <c r="BX22" s="7">
        <v>5.26</v>
      </c>
      <c r="BY22" s="7">
        <v>5.88</v>
      </c>
      <c r="BZ22" s="7">
        <v>6.46</v>
      </c>
      <c r="CA22" s="7">
        <v>3.1</v>
      </c>
      <c r="CB22" s="7">
        <v>6.36</v>
      </c>
      <c r="CC22" s="6">
        <v>7.06</v>
      </c>
      <c r="CD22" s="7">
        <v>4.42</v>
      </c>
      <c r="CE22" s="7">
        <v>4.8</v>
      </c>
      <c r="CF22" s="7">
        <v>4.66</v>
      </c>
      <c r="CG22" s="7">
        <v>4.5999999999999996</v>
      </c>
      <c r="CH22" s="7">
        <v>6.96</v>
      </c>
      <c r="CI22" s="8">
        <v>5.15</v>
      </c>
      <c r="CJ22" s="7">
        <v>4.2</v>
      </c>
      <c r="CK22" s="7">
        <v>5.4</v>
      </c>
      <c r="CL22" s="6">
        <v>7.18</v>
      </c>
      <c r="CM22" s="6">
        <v>4.54</v>
      </c>
      <c r="CN22" s="6">
        <v>6.16</v>
      </c>
      <c r="CO22" s="10">
        <v>4.68</v>
      </c>
      <c r="CP22" s="10">
        <v>6.02</v>
      </c>
    </row>
    <row r="23" spans="1:94" ht="15.75" customHeight="1" x14ac:dyDescent="0.25">
      <c r="A23" s="4">
        <v>22</v>
      </c>
      <c r="B23" s="4"/>
      <c r="C23" s="4">
        <v>22</v>
      </c>
      <c r="D23" s="8">
        <v>4.08</v>
      </c>
      <c r="E23" s="8">
        <v>4.26</v>
      </c>
      <c r="F23" s="8">
        <v>5.04</v>
      </c>
      <c r="G23" s="8">
        <v>3.96</v>
      </c>
      <c r="H23" s="8">
        <v>6.18</v>
      </c>
      <c r="I23" s="8">
        <v>4.28</v>
      </c>
      <c r="J23" s="8">
        <v>4.63</v>
      </c>
      <c r="K23" s="8">
        <v>3.68</v>
      </c>
      <c r="L23" s="8">
        <v>6.38</v>
      </c>
      <c r="M23" s="8">
        <v>4.58</v>
      </c>
      <c r="N23" s="8">
        <v>4.25</v>
      </c>
      <c r="O23" s="8">
        <v>4.38</v>
      </c>
      <c r="P23" s="8">
        <v>5.44</v>
      </c>
      <c r="Q23" s="8">
        <v>3.54</v>
      </c>
      <c r="R23" s="8">
        <v>3.58</v>
      </c>
      <c r="S23" s="8">
        <v>5.74</v>
      </c>
      <c r="T23" s="8">
        <v>4.8600000000000003</v>
      </c>
      <c r="U23" s="8">
        <v>5.58</v>
      </c>
      <c r="V23" s="8">
        <v>4.79</v>
      </c>
      <c r="W23" s="8">
        <v>5.75</v>
      </c>
      <c r="X23" s="8">
        <v>6.28</v>
      </c>
      <c r="Y23" s="8">
        <v>5.62</v>
      </c>
      <c r="Z23" s="8">
        <v>4.8499999999999996</v>
      </c>
      <c r="AA23" s="8">
        <v>4.46</v>
      </c>
      <c r="AB23" s="8">
        <v>2.97</v>
      </c>
      <c r="AC23" s="8">
        <v>6.03</v>
      </c>
      <c r="AD23" s="8">
        <v>4.3600000000000003</v>
      </c>
      <c r="AE23" s="8">
        <v>4.3099999999999996</v>
      </c>
      <c r="AF23" s="8">
        <v>3.94</v>
      </c>
      <c r="AG23" s="8">
        <v>3.54</v>
      </c>
      <c r="AH23" s="8">
        <v>4.07</v>
      </c>
      <c r="AI23" s="8">
        <v>4.9400000000000004</v>
      </c>
      <c r="AJ23" s="8">
        <v>6.04</v>
      </c>
      <c r="AK23" s="8">
        <v>3.74</v>
      </c>
      <c r="AL23" s="8">
        <v>4.3499999999999996</v>
      </c>
      <c r="AM23" s="8">
        <v>6.81</v>
      </c>
      <c r="AN23" s="8">
        <v>5.3</v>
      </c>
      <c r="AO23" s="8">
        <v>7.38</v>
      </c>
      <c r="AP23" s="8">
        <v>4.1399999999999997</v>
      </c>
      <c r="AQ23" s="8">
        <v>4.9000000000000004</v>
      </c>
      <c r="AR23" s="8">
        <v>4.26</v>
      </c>
      <c r="AS23" s="8">
        <v>5.45</v>
      </c>
      <c r="AT23" s="8">
        <v>3.83</v>
      </c>
      <c r="AU23" s="6">
        <v>3.53</v>
      </c>
      <c r="AV23" s="6">
        <v>3.85</v>
      </c>
      <c r="AW23" s="6">
        <v>5.15</v>
      </c>
      <c r="AX23" s="6">
        <v>4.38</v>
      </c>
      <c r="AY23" s="6">
        <v>4.9800000000000004</v>
      </c>
      <c r="AZ23" s="6">
        <v>5.28</v>
      </c>
      <c r="BA23" s="6">
        <v>5.69</v>
      </c>
      <c r="BB23" s="6">
        <v>4.67</v>
      </c>
      <c r="BC23" s="6">
        <v>4.05</v>
      </c>
      <c r="BD23" s="11">
        <v>5.56</v>
      </c>
      <c r="BE23" s="6">
        <v>4.34</v>
      </c>
      <c r="BF23" s="6">
        <v>6.57</v>
      </c>
      <c r="BG23" s="6">
        <v>3.81</v>
      </c>
      <c r="BH23" s="6">
        <v>5.44</v>
      </c>
      <c r="BI23" s="6">
        <v>4.26</v>
      </c>
      <c r="BJ23" s="6">
        <v>4.72</v>
      </c>
      <c r="BK23" s="6">
        <v>4.4000000000000004</v>
      </c>
      <c r="BL23" s="6">
        <v>4.4000000000000004</v>
      </c>
      <c r="BM23" s="6">
        <v>4.5599999999999996</v>
      </c>
      <c r="BN23" s="6">
        <v>6.3</v>
      </c>
      <c r="BO23" s="6">
        <v>3.16</v>
      </c>
      <c r="BP23" s="6">
        <v>6.3</v>
      </c>
      <c r="BQ23" s="7">
        <v>4.28</v>
      </c>
      <c r="BR23" s="7">
        <v>4.8</v>
      </c>
      <c r="BS23" s="7">
        <v>5.19</v>
      </c>
      <c r="BT23" s="7">
        <v>3.82</v>
      </c>
      <c r="BU23" s="7">
        <v>5.58</v>
      </c>
      <c r="BV23" s="7">
        <v>5.54</v>
      </c>
      <c r="BW23" s="7">
        <v>5.64</v>
      </c>
      <c r="BX23" s="7">
        <v>5.2</v>
      </c>
      <c r="BY23" s="7">
        <v>5.78</v>
      </c>
      <c r="BZ23" s="7">
        <v>6.36</v>
      </c>
      <c r="CA23" s="7">
        <v>3.06</v>
      </c>
      <c r="CB23" s="7">
        <v>6.32</v>
      </c>
      <c r="CC23" s="6">
        <v>6.86</v>
      </c>
      <c r="CD23" s="7">
        <v>4.3600000000000003</v>
      </c>
      <c r="CE23" s="7">
        <v>4.78</v>
      </c>
      <c r="CF23" s="7">
        <v>4.5999999999999996</v>
      </c>
      <c r="CG23" s="7">
        <v>4.58</v>
      </c>
      <c r="CH23" s="7">
        <v>6.82</v>
      </c>
      <c r="CI23" s="8">
        <v>5.12</v>
      </c>
      <c r="CJ23" s="7">
        <v>4.1500000000000004</v>
      </c>
      <c r="CK23" s="7">
        <v>5.36</v>
      </c>
      <c r="CL23" s="6">
        <v>6.96</v>
      </c>
      <c r="CM23" s="6">
        <v>4.5199999999999996</v>
      </c>
      <c r="CN23" s="6">
        <v>6.13</v>
      </c>
      <c r="CO23" s="10">
        <v>4.58</v>
      </c>
      <c r="CP23" s="10">
        <v>5.87</v>
      </c>
    </row>
    <row r="24" spans="1:94" ht="15.75" customHeight="1" x14ac:dyDescent="0.25">
      <c r="A24" s="4">
        <v>23</v>
      </c>
      <c r="B24" s="4"/>
      <c r="C24" s="4">
        <v>23</v>
      </c>
      <c r="D24" s="8">
        <v>4.03</v>
      </c>
      <c r="E24" s="8">
        <v>4.21</v>
      </c>
      <c r="F24" s="8">
        <v>5</v>
      </c>
      <c r="G24" s="8">
        <v>3.92</v>
      </c>
      <c r="H24" s="8">
        <v>6.13</v>
      </c>
      <c r="I24" s="8">
        <v>4.17</v>
      </c>
      <c r="J24" s="8">
        <v>4.58</v>
      </c>
      <c r="K24" s="8">
        <v>3.58</v>
      </c>
      <c r="L24" s="8">
        <v>6.38</v>
      </c>
      <c r="M24" s="8">
        <v>4.57</v>
      </c>
      <c r="N24" s="8">
        <v>4.17</v>
      </c>
      <c r="O24" s="8">
        <v>4.3499999999999996</v>
      </c>
      <c r="P24" s="8">
        <v>5.37</v>
      </c>
      <c r="Q24" s="8">
        <v>3.48</v>
      </c>
      <c r="R24" s="8">
        <v>3.51</v>
      </c>
      <c r="S24" s="8">
        <v>5.63</v>
      </c>
      <c r="T24" s="8">
        <v>4.8600000000000003</v>
      </c>
      <c r="U24" s="8">
        <v>5.51</v>
      </c>
      <c r="V24" s="8">
        <v>4.6900000000000004</v>
      </c>
      <c r="W24" s="8">
        <v>5.81</v>
      </c>
      <c r="X24" s="8">
        <v>6.17</v>
      </c>
      <c r="Y24" s="8">
        <v>5.53</v>
      </c>
      <c r="Z24" s="8">
        <v>4.6900000000000004</v>
      </c>
      <c r="AA24" s="8">
        <v>4.41</v>
      </c>
      <c r="AB24" s="8">
        <v>2.92</v>
      </c>
      <c r="AC24" s="8">
        <v>5.95</v>
      </c>
      <c r="AD24" s="8">
        <v>4.26</v>
      </c>
      <c r="AE24" s="8">
        <v>4.21</v>
      </c>
      <c r="AF24" s="8">
        <v>3.92</v>
      </c>
      <c r="AG24" s="8">
        <v>3.48</v>
      </c>
      <c r="AH24" s="8">
        <v>4.04</v>
      </c>
      <c r="AI24" s="8">
        <v>4.9000000000000004</v>
      </c>
      <c r="AJ24" s="8">
        <v>5.91</v>
      </c>
      <c r="AK24" s="8">
        <v>3.68</v>
      </c>
      <c r="AL24" s="8">
        <v>4.33</v>
      </c>
      <c r="AM24" s="8">
        <v>6.83</v>
      </c>
      <c r="AN24" s="8">
        <v>5.23</v>
      </c>
      <c r="AO24" s="8">
        <v>7.37</v>
      </c>
      <c r="AP24" s="8">
        <v>4.0599999999999996</v>
      </c>
      <c r="AQ24" s="8">
        <v>4.8</v>
      </c>
      <c r="AR24" s="8">
        <v>4.1100000000000003</v>
      </c>
      <c r="AS24" s="8">
        <v>5.31</v>
      </c>
      <c r="AT24" s="8">
        <v>3.72</v>
      </c>
      <c r="AU24" s="6">
        <v>3.5</v>
      </c>
      <c r="AV24" s="6">
        <v>3.77</v>
      </c>
      <c r="AW24" s="6">
        <v>5.03</v>
      </c>
      <c r="AX24" s="6">
        <v>4.3</v>
      </c>
      <c r="AY24" s="6">
        <v>4.88</v>
      </c>
      <c r="AZ24" s="6">
        <v>5.25</v>
      </c>
      <c r="BA24" s="6">
        <v>5.69</v>
      </c>
      <c r="BB24" s="6">
        <v>4.57</v>
      </c>
      <c r="BC24" s="6">
        <v>4.01</v>
      </c>
      <c r="BD24" s="11">
        <v>5.51</v>
      </c>
      <c r="BE24" s="6">
        <v>4.25</v>
      </c>
      <c r="BF24" s="6">
        <v>6.48</v>
      </c>
      <c r="BG24" s="6">
        <v>3.73</v>
      </c>
      <c r="BH24" s="6">
        <v>5.28</v>
      </c>
      <c r="BI24" s="6">
        <v>4.2</v>
      </c>
      <c r="BJ24" s="6">
        <v>4.68</v>
      </c>
      <c r="BK24" s="6">
        <v>4.34</v>
      </c>
      <c r="BL24" s="6">
        <v>4.32</v>
      </c>
      <c r="BM24" s="6">
        <v>4.4400000000000004</v>
      </c>
      <c r="BN24" s="6">
        <v>6.18</v>
      </c>
      <c r="BO24" s="6">
        <v>3.1</v>
      </c>
      <c r="BP24" s="6">
        <v>6.08</v>
      </c>
      <c r="BQ24" s="7">
        <v>4.24</v>
      </c>
      <c r="BR24" s="7">
        <v>4.72</v>
      </c>
      <c r="BS24" s="7">
        <v>5.05</v>
      </c>
      <c r="BT24" s="7">
        <v>3.8</v>
      </c>
      <c r="BU24" s="7">
        <v>5.5</v>
      </c>
      <c r="BV24" s="7">
        <v>5.44</v>
      </c>
      <c r="BW24" s="7">
        <v>5.68</v>
      </c>
      <c r="BX24" s="7">
        <v>5.0199999999999996</v>
      </c>
      <c r="BY24" s="7">
        <v>5.7</v>
      </c>
      <c r="BZ24" s="7">
        <v>6.32</v>
      </c>
      <c r="CA24" s="7">
        <v>3.02</v>
      </c>
      <c r="CB24" s="7">
        <v>6.22</v>
      </c>
      <c r="CC24" s="6">
        <v>6.76</v>
      </c>
      <c r="CD24" s="7">
        <v>4.26</v>
      </c>
      <c r="CE24" s="7">
        <v>4.74</v>
      </c>
      <c r="CF24" s="7">
        <v>4.54</v>
      </c>
      <c r="CG24" s="7">
        <v>4.54</v>
      </c>
      <c r="CH24" s="7">
        <v>6.7</v>
      </c>
      <c r="CI24" s="8">
        <v>5.12</v>
      </c>
      <c r="CJ24" s="7">
        <v>4.0999999999999996</v>
      </c>
      <c r="CK24" s="7">
        <v>5.26</v>
      </c>
      <c r="CL24" s="6">
        <v>6.88</v>
      </c>
      <c r="CM24" s="6">
        <v>4.5199999999999996</v>
      </c>
      <c r="CN24" s="6">
        <v>6.15</v>
      </c>
      <c r="CO24" s="10">
        <v>4.49</v>
      </c>
      <c r="CP24" s="10">
        <v>5.7</v>
      </c>
    </row>
    <row r="25" spans="1:94" ht="15.75" customHeight="1" x14ac:dyDescent="0.25">
      <c r="A25" s="4">
        <v>24</v>
      </c>
      <c r="B25" s="4"/>
      <c r="C25" s="4">
        <v>24</v>
      </c>
      <c r="D25" s="8">
        <v>3.98</v>
      </c>
      <c r="E25" s="8">
        <v>4.1900000000000004</v>
      </c>
      <c r="F25" s="8">
        <v>4.9800000000000004</v>
      </c>
      <c r="G25" s="8">
        <v>3.88</v>
      </c>
      <c r="H25" s="8">
        <v>6.08</v>
      </c>
      <c r="I25" s="8">
        <v>4.12</v>
      </c>
      <c r="J25" s="8">
        <v>4.53</v>
      </c>
      <c r="K25" s="8">
        <v>3.51</v>
      </c>
      <c r="L25" s="8">
        <v>6.38</v>
      </c>
      <c r="M25" s="8">
        <v>4.57</v>
      </c>
      <c r="N25" s="8">
        <v>4.13</v>
      </c>
      <c r="O25" s="8">
        <v>4.33</v>
      </c>
      <c r="P25" s="8">
        <v>5.3</v>
      </c>
      <c r="Q25" s="8">
        <v>3.44</v>
      </c>
      <c r="R25" s="8">
        <v>3.44</v>
      </c>
      <c r="S25" s="8">
        <v>5.55</v>
      </c>
      <c r="T25" s="8">
        <v>4.96</v>
      </c>
      <c r="U25" s="8">
        <v>5.43</v>
      </c>
      <c r="V25" s="8">
        <v>4.59</v>
      </c>
      <c r="W25" s="8">
        <v>5.78</v>
      </c>
      <c r="X25" s="8">
        <v>6.1</v>
      </c>
      <c r="Y25" s="8">
        <v>5.43</v>
      </c>
      <c r="Z25" s="8">
        <v>4.55</v>
      </c>
      <c r="AA25" s="8">
        <v>4.3499999999999996</v>
      </c>
      <c r="AB25" s="8">
        <v>2.87</v>
      </c>
      <c r="AC25" s="8">
        <v>5.85</v>
      </c>
      <c r="AD25" s="8">
        <v>4.17</v>
      </c>
      <c r="AE25" s="8">
        <v>4.12</v>
      </c>
      <c r="AF25" s="8">
        <v>3.9</v>
      </c>
      <c r="AG25" s="8">
        <v>3.4</v>
      </c>
      <c r="AH25" s="8">
        <v>4.05</v>
      </c>
      <c r="AI25" s="8">
        <v>4.8499999999999996</v>
      </c>
      <c r="AJ25" s="8">
        <v>5.79</v>
      </c>
      <c r="AK25" s="8">
        <v>3.64</v>
      </c>
      <c r="AL25" s="8">
        <v>4.28</v>
      </c>
      <c r="AM25" s="8">
        <v>6.8</v>
      </c>
      <c r="AN25" s="8">
        <v>5.16</v>
      </c>
      <c r="AO25" s="8">
        <v>7.37</v>
      </c>
      <c r="AP25" s="8">
        <v>4</v>
      </c>
      <c r="AQ25" s="8">
        <v>4.71</v>
      </c>
      <c r="AR25" s="8">
        <v>4</v>
      </c>
      <c r="AS25" s="8">
        <v>5.23</v>
      </c>
      <c r="AT25" s="8">
        <v>3.61</v>
      </c>
      <c r="AU25" s="6">
        <v>3.42</v>
      </c>
      <c r="AV25" s="6">
        <v>3.71</v>
      </c>
      <c r="AW25" s="6">
        <v>4.92</v>
      </c>
      <c r="AX25" s="6">
        <v>4.21</v>
      </c>
      <c r="AY25" s="6">
        <v>4.78</v>
      </c>
      <c r="AZ25" s="6">
        <v>5.21</v>
      </c>
      <c r="BA25" s="6">
        <v>5.69</v>
      </c>
      <c r="BB25" s="6">
        <v>4.5</v>
      </c>
      <c r="BC25" s="6">
        <v>3.88</v>
      </c>
      <c r="BD25" s="11">
        <v>5.42</v>
      </c>
      <c r="BE25" s="6">
        <v>4.1500000000000004</v>
      </c>
      <c r="BF25" s="6">
        <v>6.36</v>
      </c>
      <c r="BG25" s="6">
        <v>3.68</v>
      </c>
      <c r="BH25" s="6">
        <v>5.13</v>
      </c>
      <c r="BI25" s="6">
        <v>4.12</v>
      </c>
      <c r="BJ25" s="6">
        <v>4.62</v>
      </c>
      <c r="BK25" s="6">
        <v>4.28</v>
      </c>
      <c r="BL25" s="6">
        <v>4.26</v>
      </c>
      <c r="BM25" s="6">
        <v>4.3499999999999996</v>
      </c>
      <c r="BN25" s="6">
        <v>6.05</v>
      </c>
      <c r="BO25" s="6">
        <v>3.08</v>
      </c>
      <c r="BP25" s="6">
        <v>6.04</v>
      </c>
      <c r="BQ25" s="7">
        <v>4.18</v>
      </c>
      <c r="BR25" s="7">
        <v>4.66</v>
      </c>
      <c r="BS25" s="7">
        <v>4.9000000000000004</v>
      </c>
      <c r="BT25" s="7">
        <v>3.72</v>
      </c>
      <c r="BU25" s="7">
        <v>5.36</v>
      </c>
      <c r="BV25" s="7">
        <v>5.38</v>
      </c>
      <c r="BW25" s="7">
        <v>5.55</v>
      </c>
      <c r="BX25" s="7">
        <v>5</v>
      </c>
      <c r="BY25" s="7">
        <v>5.64</v>
      </c>
      <c r="BZ25" s="7">
        <v>6.22</v>
      </c>
      <c r="CA25" s="7">
        <v>2.96</v>
      </c>
      <c r="CB25" s="7">
        <v>6.1</v>
      </c>
      <c r="CC25" s="6">
        <v>6.62</v>
      </c>
      <c r="CD25" s="7">
        <v>4.22</v>
      </c>
      <c r="CE25" s="7">
        <v>4.7</v>
      </c>
      <c r="CF25" s="7">
        <v>4.4000000000000004</v>
      </c>
      <c r="CG25" s="7">
        <v>4.5</v>
      </c>
      <c r="CH25" s="7">
        <v>6.6</v>
      </c>
      <c r="CI25" s="8">
        <v>5.0999999999999996</v>
      </c>
      <c r="CJ25" s="7">
        <v>4.0999999999999996</v>
      </c>
      <c r="CK25" s="7">
        <v>5.14</v>
      </c>
      <c r="CL25" s="6">
        <v>6.78</v>
      </c>
      <c r="CM25" s="6">
        <v>4.4800000000000004</v>
      </c>
      <c r="CN25" s="6">
        <v>6.17</v>
      </c>
      <c r="CO25" s="10">
        <v>4.42</v>
      </c>
      <c r="CP25" s="10">
        <v>5.56</v>
      </c>
    </row>
    <row r="26" spans="1:94" ht="15.75" customHeight="1" x14ac:dyDescent="0.25">
      <c r="A26" s="4">
        <v>25</v>
      </c>
      <c r="B26" s="4"/>
      <c r="C26" s="4">
        <v>25</v>
      </c>
      <c r="D26" s="8">
        <v>3.88</v>
      </c>
      <c r="E26" s="8">
        <v>4.17</v>
      </c>
      <c r="F26" s="8">
        <v>5</v>
      </c>
      <c r="G26" s="8">
        <v>3.86</v>
      </c>
      <c r="H26" s="8">
        <v>6.03</v>
      </c>
      <c r="I26" s="8">
        <v>4.0599999999999996</v>
      </c>
      <c r="J26" s="8">
        <v>4.4800000000000004</v>
      </c>
      <c r="K26" s="8">
        <v>3.44</v>
      </c>
      <c r="L26" s="8">
        <v>6.28</v>
      </c>
      <c r="M26" s="8">
        <v>4.5599999999999996</v>
      </c>
      <c r="N26" s="8">
        <v>4.08</v>
      </c>
      <c r="O26" s="8">
        <v>4.32</v>
      </c>
      <c r="P26" s="8">
        <v>5.23</v>
      </c>
      <c r="Q26" s="8">
        <v>3.4</v>
      </c>
      <c r="R26" s="8">
        <v>3.37</v>
      </c>
      <c r="S26" s="8">
        <v>5.43</v>
      </c>
      <c r="T26" s="8">
        <v>5.0599999999999996</v>
      </c>
      <c r="U26" s="8">
        <v>5.26</v>
      </c>
      <c r="V26" s="8">
        <v>4.54</v>
      </c>
      <c r="W26" s="8">
        <v>5.73</v>
      </c>
      <c r="X26" s="8">
        <v>6.05</v>
      </c>
      <c r="Y26" s="8">
        <v>5.35</v>
      </c>
      <c r="Z26" s="8">
        <v>4.42</v>
      </c>
      <c r="AA26" s="8">
        <v>4.25</v>
      </c>
      <c r="AB26" s="8">
        <v>2.82</v>
      </c>
      <c r="AC26" s="8">
        <v>5.75</v>
      </c>
      <c r="AD26" s="8">
        <v>4.09</v>
      </c>
      <c r="AE26" s="8">
        <v>4.04</v>
      </c>
      <c r="AF26" s="8">
        <v>3.87</v>
      </c>
      <c r="AG26" s="8">
        <v>3.32</v>
      </c>
      <c r="AH26" s="8">
        <v>4.07</v>
      </c>
      <c r="AI26" s="8">
        <v>4.8099999999999996</v>
      </c>
      <c r="AJ26" s="8">
        <v>5.71</v>
      </c>
      <c r="AK26" s="8">
        <v>3.61</v>
      </c>
      <c r="AL26" s="8">
        <v>4.2300000000000004</v>
      </c>
      <c r="AM26" s="8">
        <v>6.8</v>
      </c>
      <c r="AN26" s="8">
        <v>5.09</v>
      </c>
      <c r="AO26" s="8">
        <v>7.36</v>
      </c>
      <c r="AP26" s="8">
        <v>3.93</v>
      </c>
      <c r="AQ26" s="8">
        <v>4.5999999999999996</v>
      </c>
      <c r="AR26" s="8">
        <v>3.92</v>
      </c>
      <c r="AS26" s="8">
        <v>5.14</v>
      </c>
      <c r="AT26" s="8">
        <v>3.51</v>
      </c>
      <c r="AU26" s="6">
        <v>3.33</v>
      </c>
      <c r="AV26" s="6">
        <v>3.64</v>
      </c>
      <c r="AW26" s="6">
        <v>4.8</v>
      </c>
      <c r="AX26" s="6">
        <v>4.1100000000000003</v>
      </c>
      <c r="AY26" s="6">
        <v>4.71</v>
      </c>
      <c r="AZ26" s="6">
        <v>5.15</v>
      </c>
      <c r="BA26" s="6">
        <v>5.67</v>
      </c>
      <c r="BB26" s="6">
        <v>4.4000000000000004</v>
      </c>
      <c r="BC26" s="6">
        <v>3.82</v>
      </c>
      <c r="BD26" s="11">
        <v>5.34</v>
      </c>
      <c r="BE26" s="6">
        <v>4.05</v>
      </c>
      <c r="BF26" s="6">
        <v>6.32</v>
      </c>
      <c r="BG26" s="6">
        <v>3.64</v>
      </c>
      <c r="BH26" s="6">
        <v>4.9800000000000004</v>
      </c>
      <c r="BI26" s="6">
        <v>4.0599999999999996</v>
      </c>
      <c r="BJ26" s="6">
        <v>4.59</v>
      </c>
      <c r="BK26" s="6">
        <v>4.2</v>
      </c>
      <c r="BL26" s="6">
        <v>4.22</v>
      </c>
      <c r="BM26" s="6">
        <v>4.28</v>
      </c>
      <c r="BN26" s="6">
        <v>5.92</v>
      </c>
      <c r="BO26" s="6">
        <v>3.02</v>
      </c>
      <c r="BP26" s="6">
        <v>6.1</v>
      </c>
      <c r="BQ26" s="7">
        <v>4.08</v>
      </c>
      <c r="BR26" s="7">
        <v>4.5599999999999996</v>
      </c>
      <c r="BS26" s="7">
        <v>4.78</v>
      </c>
      <c r="BT26" s="7">
        <v>3.66</v>
      </c>
      <c r="BU26" s="7">
        <v>5.26</v>
      </c>
      <c r="BV26" s="7">
        <v>5.3</v>
      </c>
      <c r="BW26" s="7">
        <v>5.6</v>
      </c>
      <c r="BX26" s="7">
        <v>4.96</v>
      </c>
      <c r="BY26" s="7">
        <v>5.5</v>
      </c>
      <c r="BZ26" s="7">
        <v>6.14</v>
      </c>
      <c r="CA26" s="7">
        <v>2.9</v>
      </c>
      <c r="CB26" s="7">
        <v>5.9</v>
      </c>
      <c r="CC26" s="6">
        <v>6.48</v>
      </c>
      <c r="CD26" s="7">
        <v>4.1399999999999997</v>
      </c>
      <c r="CE26" s="7">
        <v>4.68</v>
      </c>
      <c r="CF26" s="7">
        <v>4.4000000000000004</v>
      </c>
      <c r="CG26" s="7">
        <v>4.4400000000000004</v>
      </c>
      <c r="CH26" s="7">
        <v>6.48</v>
      </c>
      <c r="CI26" s="8">
        <v>5.08</v>
      </c>
      <c r="CJ26" s="7">
        <v>4.0999999999999996</v>
      </c>
      <c r="CK26" s="7">
        <v>5.0599999999999996</v>
      </c>
      <c r="CL26" s="6">
        <v>6.68</v>
      </c>
      <c r="CM26" s="6">
        <v>4.42</v>
      </c>
      <c r="CN26" s="6">
        <v>6.15</v>
      </c>
      <c r="CO26" s="10">
        <v>4.34</v>
      </c>
      <c r="CP26" s="10">
        <v>5.38</v>
      </c>
    </row>
    <row r="27" spans="1:94" ht="15.75" customHeight="1" x14ac:dyDescent="0.25">
      <c r="A27" s="4">
        <v>26</v>
      </c>
      <c r="B27" s="4"/>
      <c r="C27" s="4">
        <v>26</v>
      </c>
      <c r="D27" s="8">
        <v>3.82</v>
      </c>
      <c r="E27" s="8">
        <v>4.16</v>
      </c>
      <c r="F27" s="8">
        <v>5.0199999999999996</v>
      </c>
      <c r="G27" s="8">
        <v>3.84</v>
      </c>
      <c r="H27" s="8">
        <v>5.98</v>
      </c>
      <c r="I27" s="8">
        <v>3.98</v>
      </c>
      <c r="J27" s="8">
        <v>4.46</v>
      </c>
      <c r="K27" s="8">
        <v>3.36</v>
      </c>
      <c r="L27" s="8">
        <v>6.23</v>
      </c>
      <c r="M27" s="8">
        <v>4.53</v>
      </c>
      <c r="N27" s="8">
        <v>4.0599999999999996</v>
      </c>
      <c r="O27" s="8">
        <v>4.3</v>
      </c>
      <c r="P27" s="8">
        <v>5.17</v>
      </c>
      <c r="Q27" s="8">
        <v>3.34</v>
      </c>
      <c r="R27" s="8">
        <v>3.37</v>
      </c>
      <c r="S27" s="8">
        <v>5.34</v>
      </c>
      <c r="T27" s="8">
        <v>5.1100000000000003</v>
      </c>
      <c r="U27" s="8">
        <v>5.16</v>
      </c>
      <c r="V27" s="8">
        <v>4.59</v>
      </c>
      <c r="W27" s="8">
        <v>5.59</v>
      </c>
      <c r="X27" s="8">
        <v>6</v>
      </c>
      <c r="Y27" s="8">
        <v>5.33</v>
      </c>
      <c r="Z27" s="8">
        <v>4.3099999999999996</v>
      </c>
      <c r="AA27" s="8">
        <v>4.16</v>
      </c>
      <c r="AB27" s="8">
        <v>2.77</v>
      </c>
      <c r="AC27" s="8">
        <v>5.67</v>
      </c>
      <c r="AD27" s="8">
        <v>4.01</v>
      </c>
      <c r="AE27" s="8">
        <v>3.95</v>
      </c>
      <c r="AF27" s="8">
        <v>3.84</v>
      </c>
      <c r="AG27" s="8">
        <v>3.27</v>
      </c>
      <c r="AH27" s="8">
        <v>4.0999999999999996</v>
      </c>
      <c r="AI27" s="8">
        <v>4.7699999999999996</v>
      </c>
      <c r="AJ27" s="8">
        <v>5.67</v>
      </c>
      <c r="AK27" s="8">
        <v>3.58</v>
      </c>
      <c r="AL27" s="8">
        <v>4.21</v>
      </c>
      <c r="AM27" s="8">
        <v>6.88</v>
      </c>
      <c r="AN27" s="8">
        <v>5.07</v>
      </c>
      <c r="AO27" s="8">
        <v>7.36</v>
      </c>
      <c r="AP27" s="8">
        <v>3.86</v>
      </c>
      <c r="AQ27" s="8">
        <v>4.4800000000000004</v>
      </c>
      <c r="AR27" s="8">
        <v>3.91</v>
      </c>
      <c r="AS27" s="8">
        <v>5.05</v>
      </c>
      <c r="AT27" s="8">
        <v>3.37</v>
      </c>
      <c r="AU27" s="6">
        <v>3.31</v>
      </c>
      <c r="AV27" s="6">
        <v>3.59</v>
      </c>
      <c r="AW27" s="6">
        <v>4.7300000000000004</v>
      </c>
      <c r="AX27" s="6">
        <v>4.01</v>
      </c>
      <c r="AY27" s="6">
        <v>4.63</v>
      </c>
      <c r="AZ27" s="6">
        <v>5.09</v>
      </c>
      <c r="BA27" s="6">
        <v>5.65</v>
      </c>
      <c r="BB27" s="6">
        <v>4.3</v>
      </c>
      <c r="BC27" s="6">
        <v>3.77</v>
      </c>
      <c r="BD27" s="11">
        <v>5.28</v>
      </c>
      <c r="BE27" s="6">
        <v>3.96</v>
      </c>
      <c r="BF27" s="6">
        <v>6.28</v>
      </c>
      <c r="BG27" s="6">
        <v>3.69</v>
      </c>
      <c r="BH27" s="6">
        <v>4.82</v>
      </c>
      <c r="BI27" s="6">
        <v>3.98</v>
      </c>
      <c r="BJ27" s="6">
        <v>4.54</v>
      </c>
      <c r="BK27" s="6">
        <v>4.18</v>
      </c>
      <c r="BL27" s="6">
        <v>4.16</v>
      </c>
      <c r="BM27" s="6">
        <v>4.18</v>
      </c>
      <c r="BN27" s="6">
        <v>5.8</v>
      </c>
      <c r="BO27" s="6">
        <v>3.02</v>
      </c>
      <c r="BP27" s="6">
        <v>6.2</v>
      </c>
      <c r="BQ27" s="7">
        <v>4.04</v>
      </c>
      <c r="BR27" s="7">
        <v>4.5199999999999996</v>
      </c>
      <c r="BS27" s="7">
        <v>4.72</v>
      </c>
      <c r="BT27" s="7">
        <v>3.6</v>
      </c>
      <c r="BU27" s="7">
        <v>5.0999999999999996</v>
      </c>
      <c r="BV27" s="7">
        <v>5.24</v>
      </c>
      <c r="BW27" s="7">
        <v>5.56</v>
      </c>
      <c r="BX27" s="7">
        <v>4.9400000000000004</v>
      </c>
      <c r="BY27" s="7">
        <v>5.38</v>
      </c>
      <c r="BZ27" s="7">
        <v>6.08</v>
      </c>
      <c r="CA27" s="7">
        <v>2.8</v>
      </c>
      <c r="CB27" s="7">
        <v>5.86</v>
      </c>
      <c r="CC27" s="6">
        <v>6.34</v>
      </c>
      <c r="CD27" s="7">
        <v>4</v>
      </c>
      <c r="CE27" s="7">
        <v>4.5999999999999996</v>
      </c>
      <c r="CF27" s="7">
        <v>4.4000000000000004</v>
      </c>
      <c r="CG27" s="7">
        <v>4.4000000000000004</v>
      </c>
      <c r="CH27" s="7">
        <v>6.38</v>
      </c>
      <c r="CI27" s="8">
        <v>5.08</v>
      </c>
      <c r="CJ27" s="7">
        <v>4.0599999999999996</v>
      </c>
      <c r="CK27" s="7">
        <v>5</v>
      </c>
      <c r="CL27" s="6">
        <v>6.6</v>
      </c>
      <c r="CM27" s="6">
        <v>4.38</v>
      </c>
      <c r="CN27" s="6">
        <v>6.14</v>
      </c>
      <c r="CO27" s="10">
        <v>4.28</v>
      </c>
      <c r="CP27" s="10">
        <v>5.35</v>
      </c>
    </row>
    <row r="28" spans="1:94" ht="15.75" customHeight="1" x14ac:dyDescent="0.25">
      <c r="A28" s="4">
        <v>27</v>
      </c>
      <c r="B28" s="4"/>
      <c r="C28" s="4">
        <v>27</v>
      </c>
      <c r="D28" s="8">
        <v>3.76</v>
      </c>
      <c r="E28" s="8">
        <v>4.1399999999999997</v>
      </c>
      <c r="F28" s="8">
        <v>5.0599999999999996</v>
      </c>
      <c r="G28" s="8">
        <v>3.8</v>
      </c>
      <c r="H28" s="8">
        <v>5.93</v>
      </c>
      <c r="I28" s="8">
        <v>3.88</v>
      </c>
      <c r="J28" s="8">
        <v>4.4400000000000004</v>
      </c>
      <c r="K28" s="8">
        <v>3.29</v>
      </c>
      <c r="L28" s="8">
        <v>6.18</v>
      </c>
      <c r="M28" s="8">
        <v>4.5</v>
      </c>
      <c r="N28" s="8">
        <v>4.03</v>
      </c>
      <c r="O28" s="8">
        <v>4.29</v>
      </c>
      <c r="P28" s="8">
        <v>5.0999999999999996</v>
      </c>
      <c r="Q28" s="8">
        <v>3.27</v>
      </c>
      <c r="R28" s="8">
        <v>3.33</v>
      </c>
      <c r="S28" s="8">
        <v>5.25</v>
      </c>
      <c r="T28" s="8">
        <v>5.1100000000000003</v>
      </c>
      <c r="U28" s="8">
        <v>5.04</v>
      </c>
      <c r="V28" s="8">
        <v>4.6900000000000004</v>
      </c>
      <c r="W28" s="8">
        <v>5.39</v>
      </c>
      <c r="X28" s="8">
        <v>5.95</v>
      </c>
      <c r="Y28" s="8">
        <v>5.33</v>
      </c>
      <c r="Z28" s="8">
        <v>4.21</v>
      </c>
      <c r="AA28" s="8">
        <v>4.07</v>
      </c>
      <c r="AB28" s="8">
        <v>2.71</v>
      </c>
      <c r="AC28" s="8">
        <v>5.61</v>
      </c>
      <c r="AD28" s="8">
        <v>3.97</v>
      </c>
      <c r="AE28" s="8">
        <v>3.84</v>
      </c>
      <c r="AF28" s="8">
        <v>3.77</v>
      </c>
      <c r="AG28" s="8">
        <v>3.22</v>
      </c>
      <c r="AH28" s="8">
        <v>4.12</v>
      </c>
      <c r="AI28" s="8">
        <v>4.71</v>
      </c>
      <c r="AJ28" s="8">
        <v>5.64</v>
      </c>
      <c r="AK28" s="8">
        <v>3.66</v>
      </c>
      <c r="AL28" s="8">
        <v>4.25</v>
      </c>
      <c r="AM28" s="8">
        <v>6.87</v>
      </c>
      <c r="AN28" s="8">
        <v>5.0199999999999996</v>
      </c>
      <c r="AO28" s="8">
        <v>7.35</v>
      </c>
      <c r="AP28" s="8">
        <v>3.8</v>
      </c>
      <c r="AQ28" s="8">
        <v>4.38</v>
      </c>
      <c r="AR28" s="8">
        <v>3.91</v>
      </c>
      <c r="AS28" s="8">
        <v>5.01</v>
      </c>
      <c r="AT28" s="8">
        <v>3.33</v>
      </c>
      <c r="AU28" s="6">
        <v>3.27</v>
      </c>
      <c r="AV28" s="6">
        <v>3.55</v>
      </c>
      <c r="AW28" s="6">
        <v>4.67</v>
      </c>
      <c r="AX28" s="6">
        <v>3.93</v>
      </c>
      <c r="AY28" s="6">
        <v>4.55</v>
      </c>
      <c r="AZ28" s="6">
        <v>4.9800000000000004</v>
      </c>
      <c r="BA28" s="6">
        <v>5.63</v>
      </c>
      <c r="BB28" s="6">
        <v>4.2300000000000004</v>
      </c>
      <c r="BC28" s="6">
        <v>3.75</v>
      </c>
      <c r="BD28" s="11">
        <v>5.23</v>
      </c>
      <c r="BE28" s="6">
        <v>3.88</v>
      </c>
      <c r="BF28" s="6">
        <v>6.26</v>
      </c>
      <c r="BG28" s="6">
        <v>3.88</v>
      </c>
      <c r="BH28" s="6">
        <v>4.67</v>
      </c>
      <c r="BI28" s="6">
        <v>3.88</v>
      </c>
      <c r="BJ28" s="6">
        <v>4.4800000000000004</v>
      </c>
      <c r="BK28" s="6">
        <v>4.12</v>
      </c>
      <c r="BL28" s="6">
        <v>4.0999999999999996</v>
      </c>
      <c r="BM28" s="6">
        <v>4.0999999999999996</v>
      </c>
      <c r="BN28" s="6">
        <v>5.68</v>
      </c>
      <c r="BO28" s="6">
        <v>3</v>
      </c>
      <c r="BP28" s="6">
        <v>6.2</v>
      </c>
      <c r="BQ28" s="7">
        <v>3.98</v>
      </c>
      <c r="BR28" s="7">
        <v>4.38</v>
      </c>
      <c r="BS28" s="7">
        <v>4.62</v>
      </c>
      <c r="BT28" s="7">
        <v>3.52</v>
      </c>
      <c r="BU28" s="7">
        <v>5</v>
      </c>
      <c r="BV28" s="7">
        <v>5.24</v>
      </c>
      <c r="BW28" s="7">
        <v>5.48</v>
      </c>
      <c r="BX28" s="7">
        <v>4.8</v>
      </c>
      <c r="BY28" s="7">
        <v>5.26</v>
      </c>
      <c r="BZ28" s="7">
        <v>5.98</v>
      </c>
      <c r="CA28" s="7">
        <v>2.7</v>
      </c>
      <c r="CB28" s="7">
        <v>5.82</v>
      </c>
      <c r="CC28" s="6">
        <v>6.2</v>
      </c>
      <c r="CD28" s="18">
        <v>3.92</v>
      </c>
      <c r="CE28" s="7">
        <v>4.5999999999999996</v>
      </c>
      <c r="CF28" s="7">
        <v>4.3499999999999996</v>
      </c>
      <c r="CG28" s="7">
        <v>4.2</v>
      </c>
      <c r="CH28" s="7">
        <v>6.22</v>
      </c>
      <c r="CI28" s="8">
        <v>5.08</v>
      </c>
      <c r="CJ28" s="7">
        <v>4</v>
      </c>
      <c r="CK28" s="7">
        <v>4.8600000000000003</v>
      </c>
      <c r="CL28" s="6">
        <v>6.48</v>
      </c>
      <c r="CM28" s="6">
        <v>4.3600000000000003</v>
      </c>
      <c r="CN28" s="6">
        <v>6.1</v>
      </c>
      <c r="CO28" s="10">
        <v>4.22</v>
      </c>
      <c r="CP28" s="10">
        <v>5.12</v>
      </c>
    </row>
    <row r="29" spans="1:94" ht="15.75" customHeight="1" x14ac:dyDescent="0.25">
      <c r="A29" s="4">
        <v>28</v>
      </c>
      <c r="B29" s="4"/>
      <c r="C29" s="4">
        <v>28</v>
      </c>
      <c r="D29" s="8">
        <v>3.7</v>
      </c>
      <c r="E29" s="8">
        <v>4.12</v>
      </c>
      <c r="F29" s="8">
        <v>5.08</v>
      </c>
      <c r="G29" s="8">
        <v>3.78</v>
      </c>
      <c r="H29" s="8">
        <v>5.88</v>
      </c>
      <c r="I29" s="8">
        <v>3.78</v>
      </c>
      <c r="J29" s="8">
        <v>4.42</v>
      </c>
      <c r="K29" s="8">
        <v>3.27</v>
      </c>
      <c r="L29" s="8">
        <v>6.13</v>
      </c>
      <c r="M29" s="8">
        <v>4.42</v>
      </c>
      <c r="N29" s="8">
        <v>4.03</v>
      </c>
      <c r="O29" s="8">
        <v>4.2300000000000004</v>
      </c>
      <c r="P29" s="8">
        <v>5</v>
      </c>
      <c r="Q29" s="8">
        <v>3.23</v>
      </c>
      <c r="R29" s="8">
        <v>3.33</v>
      </c>
      <c r="S29" s="8">
        <v>5.16</v>
      </c>
      <c r="T29" s="8">
        <v>5.16</v>
      </c>
      <c r="U29" s="8">
        <v>4.96</v>
      </c>
      <c r="V29" s="8">
        <v>4.84</v>
      </c>
      <c r="W29" s="8">
        <v>5.16</v>
      </c>
      <c r="X29" s="8">
        <v>5.87</v>
      </c>
      <c r="Y29" s="8">
        <v>5.35</v>
      </c>
      <c r="Z29" s="8">
        <v>4.12</v>
      </c>
      <c r="AA29" s="8">
        <v>3.95</v>
      </c>
      <c r="AB29" s="8">
        <v>2.65</v>
      </c>
      <c r="AC29" s="8">
        <v>5.53</v>
      </c>
      <c r="AD29" s="8">
        <v>3.93</v>
      </c>
      <c r="AE29" s="8">
        <v>3.77</v>
      </c>
      <c r="AF29" s="8">
        <v>3.71</v>
      </c>
      <c r="AG29" s="8">
        <v>3.18</v>
      </c>
      <c r="AH29" s="8">
        <v>4.12</v>
      </c>
      <c r="AI29" s="8">
        <v>4.67</v>
      </c>
      <c r="AJ29" s="8">
        <v>5.64</v>
      </c>
      <c r="AK29" s="8">
        <v>3.61</v>
      </c>
      <c r="AL29" s="8">
        <v>4.29</v>
      </c>
      <c r="AM29" s="8">
        <v>6.81</v>
      </c>
      <c r="AN29" s="8">
        <v>4.9400000000000004</v>
      </c>
      <c r="AO29" s="8">
        <v>7.36</v>
      </c>
      <c r="AP29" s="8">
        <v>3.74</v>
      </c>
      <c r="AQ29" s="8">
        <v>4.32</v>
      </c>
      <c r="AR29" s="8">
        <v>3.86</v>
      </c>
      <c r="AS29" s="8">
        <v>5.01</v>
      </c>
      <c r="AT29" s="8">
        <v>3.25</v>
      </c>
      <c r="AU29" s="6">
        <v>3.16</v>
      </c>
      <c r="AV29" s="6">
        <v>3.5</v>
      </c>
      <c r="AW29" s="6">
        <v>4.6100000000000003</v>
      </c>
      <c r="AX29" s="6">
        <v>3.89</v>
      </c>
      <c r="AY29" s="6">
        <v>4.46</v>
      </c>
      <c r="AZ29" s="6">
        <v>4.88</v>
      </c>
      <c r="BA29" s="6">
        <v>5.63</v>
      </c>
      <c r="BB29" s="6">
        <v>4.13</v>
      </c>
      <c r="BC29" s="6">
        <v>3.73</v>
      </c>
      <c r="BD29" s="11">
        <v>5.22</v>
      </c>
      <c r="BE29" s="6">
        <v>3.81</v>
      </c>
      <c r="BF29" s="6">
        <v>6.19</v>
      </c>
      <c r="BG29" s="6">
        <v>3.75</v>
      </c>
      <c r="BH29" s="6">
        <v>4.53</v>
      </c>
      <c r="BI29" s="6">
        <v>3.8</v>
      </c>
      <c r="BJ29" s="6">
        <v>4.4000000000000004</v>
      </c>
      <c r="BK29" s="6">
        <v>4.0599999999999996</v>
      </c>
      <c r="BL29" s="6">
        <v>4.09</v>
      </c>
      <c r="BM29" s="6">
        <v>4</v>
      </c>
      <c r="BN29" s="6">
        <v>5.6</v>
      </c>
      <c r="BO29" s="6">
        <v>2.98</v>
      </c>
      <c r="BP29" s="6">
        <v>6.08</v>
      </c>
      <c r="BQ29" s="7">
        <v>3.92</v>
      </c>
      <c r="BR29" s="7">
        <v>4.3</v>
      </c>
      <c r="BS29" s="7">
        <v>4.4400000000000004</v>
      </c>
      <c r="BT29" s="7">
        <v>3.4830000000000001</v>
      </c>
      <c r="BU29" s="7">
        <v>4.84</v>
      </c>
      <c r="BV29" s="7">
        <v>5.18</v>
      </c>
      <c r="BW29" s="7">
        <v>5.48</v>
      </c>
      <c r="BX29" s="7">
        <v>4.74</v>
      </c>
      <c r="BY29" s="7">
        <v>5.2</v>
      </c>
      <c r="BZ29" s="7">
        <v>5.8</v>
      </c>
      <c r="CA29" s="7">
        <v>2.66</v>
      </c>
      <c r="CB29" s="7">
        <v>5.56</v>
      </c>
      <c r="CC29" s="6">
        <v>6.1</v>
      </c>
      <c r="CD29" s="7">
        <v>3.92</v>
      </c>
      <c r="CE29" s="7">
        <v>4.4000000000000004</v>
      </c>
      <c r="CF29" s="7">
        <v>4.38</v>
      </c>
      <c r="CG29" s="7">
        <v>3.93</v>
      </c>
      <c r="CH29" s="7">
        <v>6.1</v>
      </c>
      <c r="CI29" s="8">
        <v>5</v>
      </c>
      <c r="CJ29" s="7">
        <v>3.98</v>
      </c>
      <c r="CK29" s="7">
        <v>4.8</v>
      </c>
      <c r="CL29" s="6">
        <v>6.3</v>
      </c>
      <c r="CM29" s="6">
        <v>4.34</v>
      </c>
      <c r="CN29" s="6">
        <v>6.07</v>
      </c>
      <c r="CO29" s="10">
        <v>4.0999999999999996</v>
      </c>
      <c r="CP29" s="10">
        <v>5</v>
      </c>
    </row>
    <row r="30" spans="1:94" ht="15.75" customHeight="1" x14ac:dyDescent="0.25">
      <c r="A30" s="4">
        <v>29</v>
      </c>
      <c r="B30" s="4"/>
      <c r="C30" s="4">
        <v>29</v>
      </c>
      <c r="D30" s="8">
        <v>3.64</v>
      </c>
      <c r="E30" s="8">
        <v>4.0999999999999996</v>
      </c>
      <c r="F30" s="8">
        <v>5.13</v>
      </c>
      <c r="G30" s="8">
        <v>3.76</v>
      </c>
      <c r="H30" s="8">
        <v>5.83</v>
      </c>
      <c r="I30" s="8">
        <v>3.68</v>
      </c>
      <c r="J30" s="8">
        <v>4.4000000000000004</v>
      </c>
      <c r="K30" s="8">
        <v>3.26</v>
      </c>
      <c r="L30" s="8">
        <v>6.08</v>
      </c>
      <c r="M30" s="8">
        <v>4.3499999999999996</v>
      </c>
      <c r="N30" s="8">
        <v>4.07</v>
      </c>
      <c r="O30" s="8">
        <v>4.1900000000000004</v>
      </c>
      <c r="P30" s="8">
        <v>4.8899999999999997</v>
      </c>
      <c r="Q30" s="8">
        <v>3.18</v>
      </c>
      <c r="R30" s="8">
        <v>3.29</v>
      </c>
      <c r="S30" s="8">
        <v>5.08</v>
      </c>
      <c r="T30" s="8">
        <v>5.0599999999999996</v>
      </c>
      <c r="U30" s="8">
        <v>4.8899999999999997</v>
      </c>
      <c r="V30" s="8">
        <v>5.01</v>
      </c>
      <c r="W30" s="8">
        <v>5.0999999999999996</v>
      </c>
      <c r="X30" s="8">
        <v>5.79</v>
      </c>
      <c r="Y30" s="8">
        <v>5.35</v>
      </c>
      <c r="Z30" s="8">
        <v>4.03</v>
      </c>
      <c r="AA30" s="8">
        <v>3.85</v>
      </c>
      <c r="AB30" s="8">
        <v>2.61</v>
      </c>
      <c r="AC30" s="8">
        <v>5.44</v>
      </c>
      <c r="AD30" s="8">
        <v>3.88</v>
      </c>
      <c r="AE30" s="8">
        <v>3.7</v>
      </c>
      <c r="AF30" s="8">
        <v>3.59</v>
      </c>
      <c r="AG30" s="8">
        <v>3.12</v>
      </c>
      <c r="AH30" s="8">
        <v>4.08</v>
      </c>
      <c r="AI30" s="8">
        <v>4.63</v>
      </c>
      <c r="AJ30" s="8">
        <v>5.68</v>
      </c>
      <c r="AK30" s="8">
        <v>3.59</v>
      </c>
      <c r="AL30" s="8">
        <v>4.32</v>
      </c>
      <c r="AM30" s="8">
        <v>6.73</v>
      </c>
      <c r="AN30" s="8">
        <v>4.92</v>
      </c>
      <c r="AO30" s="8">
        <v>7.43</v>
      </c>
      <c r="AP30" s="8">
        <v>3.68</v>
      </c>
      <c r="AQ30" s="8">
        <v>4.1900000000000004</v>
      </c>
      <c r="AR30" s="8">
        <v>3.78</v>
      </c>
      <c r="AS30" s="8">
        <v>4.9800000000000004</v>
      </c>
      <c r="AT30" s="8">
        <v>3.2</v>
      </c>
      <c r="AU30" s="6">
        <v>3.03</v>
      </c>
      <c r="AV30" s="6">
        <v>3.44</v>
      </c>
      <c r="AW30" s="6">
        <v>4.55</v>
      </c>
      <c r="AX30" s="6">
        <v>3.84</v>
      </c>
      <c r="AY30" s="6">
        <v>4.3600000000000003</v>
      </c>
      <c r="AZ30" s="6">
        <v>4.76</v>
      </c>
      <c r="BA30" s="6">
        <v>5.63</v>
      </c>
      <c r="BB30" s="6">
        <v>4</v>
      </c>
      <c r="BC30" s="6">
        <v>3.69</v>
      </c>
      <c r="BD30" s="11">
        <v>5.2</v>
      </c>
      <c r="BE30" s="6">
        <v>3.77</v>
      </c>
      <c r="BF30" s="6">
        <v>6.11</v>
      </c>
      <c r="BG30" s="6">
        <v>4.05</v>
      </c>
      <c r="BH30" s="6">
        <v>4.42</v>
      </c>
      <c r="BI30" s="6">
        <v>3.73</v>
      </c>
      <c r="BJ30" s="6">
        <v>4.32</v>
      </c>
      <c r="BK30" s="6">
        <v>4</v>
      </c>
      <c r="BL30" s="6">
        <v>4.0599999999999996</v>
      </c>
      <c r="BM30" s="6">
        <v>3.9</v>
      </c>
      <c r="BN30" s="6">
        <v>5.5</v>
      </c>
      <c r="BO30" s="6">
        <v>2.96</v>
      </c>
      <c r="BP30" s="6">
        <v>6</v>
      </c>
      <c r="BQ30" s="7">
        <v>3.88</v>
      </c>
      <c r="BR30" s="7">
        <v>4.22</v>
      </c>
      <c r="BS30" s="7">
        <v>4.4000000000000004</v>
      </c>
      <c r="BT30" s="7">
        <v>3.42</v>
      </c>
      <c r="BU30" s="7">
        <v>4.58</v>
      </c>
      <c r="BV30" s="7">
        <v>5.18</v>
      </c>
      <c r="BW30" s="7">
        <v>5.62</v>
      </c>
      <c r="BX30" s="7">
        <v>4.66</v>
      </c>
      <c r="BY30" s="7">
        <v>5.18</v>
      </c>
      <c r="BZ30" s="7">
        <v>5.8</v>
      </c>
      <c r="CA30" s="7">
        <v>2.62</v>
      </c>
      <c r="CB30" s="7">
        <v>5.4</v>
      </c>
      <c r="CC30" s="6">
        <v>5.98</v>
      </c>
      <c r="CD30" s="7">
        <v>3.82</v>
      </c>
      <c r="CE30" s="7">
        <v>4.3600000000000003</v>
      </c>
      <c r="CF30" s="7">
        <v>4.38</v>
      </c>
      <c r="CG30" s="7">
        <v>3.82</v>
      </c>
      <c r="CH30" s="7">
        <v>6</v>
      </c>
      <c r="CI30" s="8">
        <v>5</v>
      </c>
      <c r="CJ30" s="8">
        <v>3.9</v>
      </c>
      <c r="CK30" s="7">
        <v>4.7</v>
      </c>
      <c r="CL30" s="6">
        <v>6.22</v>
      </c>
      <c r="CM30" s="6">
        <v>4.3</v>
      </c>
      <c r="CN30" s="6">
        <v>6.03</v>
      </c>
      <c r="CO30" s="10">
        <v>4.0199999999999996</v>
      </c>
      <c r="CP30" s="10">
        <v>4.97</v>
      </c>
    </row>
    <row r="31" spans="1:94" ht="15.75" customHeight="1" x14ac:dyDescent="0.25">
      <c r="A31" s="4">
        <v>30</v>
      </c>
      <c r="B31" s="4"/>
      <c r="C31" s="4">
        <v>30</v>
      </c>
      <c r="D31" s="8">
        <v>3.6</v>
      </c>
      <c r="E31" s="8">
        <v>4.0999999999999996</v>
      </c>
      <c r="F31" s="8">
        <v>5.18</v>
      </c>
      <c r="G31" s="8">
        <v>3.72</v>
      </c>
      <c r="H31" s="8">
        <v>5.78</v>
      </c>
      <c r="I31" s="8">
        <v>3.58</v>
      </c>
      <c r="J31" s="8">
        <v>4.38</v>
      </c>
      <c r="K31" s="8">
        <v>3.23</v>
      </c>
      <c r="L31" s="8">
        <v>5.98</v>
      </c>
      <c r="M31" s="8">
        <v>4.28</v>
      </c>
      <c r="N31" s="8">
        <v>4.1100000000000003</v>
      </c>
      <c r="O31" s="8">
        <v>4.1399999999999997</v>
      </c>
      <c r="P31" s="8">
        <v>4.75</v>
      </c>
      <c r="Q31" s="8">
        <v>3.12</v>
      </c>
      <c r="R31" s="8">
        <v>3.26</v>
      </c>
      <c r="S31" s="8">
        <v>5.0199999999999996</v>
      </c>
      <c r="T31" s="8">
        <v>5.0599999999999996</v>
      </c>
      <c r="U31" s="8">
        <v>4.82</v>
      </c>
      <c r="V31" s="8">
        <v>5.1100000000000003</v>
      </c>
      <c r="W31" s="8">
        <v>5.0599999999999996</v>
      </c>
      <c r="X31" s="8">
        <v>5.7</v>
      </c>
      <c r="Y31" s="8">
        <v>5.29</v>
      </c>
      <c r="Z31" s="8">
        <v>3.95</v>
      </c>
      <c r="AA31" s="8">
        <v>3.79</v>
      </c>
      <c r="AB31" s="8">
        <v>2.5499999999999998</v>
      </c>
      <c r="AC31" s="8">
        <v>5.35</v>
      </c>
      <c r="AD31" s="8">
        <v>3.83</v>
      </c>
      <c r="AE31" s="8">
        <v>3.68</v>
      </c>
      <c r="AF31" s="8">
        <v>3.5</v>
      </c>
      <c r="AG31" s="8">
        <v>3.05</v>
      </c>
      <c r="AH31" s="8">
        <v>4.0199999999999996</v>
      </c>
      <c r="AI31" s="8">
        <v>4.6100000000000003</v>
      </c>
      <c r="AJ31" s="8">
        <v>5.68</v>
      </c>
      <c r="AK31" s="8">
        <v>3.56</v>
      </c>
      <c r="AL31" s="8">
        <v>4.3499999999999996</v>
      </c>
      <c r="AM31" s="8">
        <v>6.61</v>
      </c>
      <c r="AN31" s="8">
        <v>4.82</v>
      </c>
      <c r="AO31" s="8">
        <v>7.47</v>
      </c>
      <c r="AP31" s="8">
        <v>3.62</v>
      </c>
      <c r="AQ31" s="8">
        <v>4.1399999999999997</v>
      </c>
      <c r="AR31" s="8">
        <v>3.68</v>
      </c>
      <c r="AS31" s="8">
        <v>4.9800000000000004</v>
      </c>
      <c r="AT31" s="8">
        <v>3.15</v>
      </c>
      <c r="AU31" s="6">
        <v>3.01</v>
      </c>
      <c r="AV31" s="6">
        <v>3.38</v>
      </c>
      <c r="AW31" s="6">
        <v>4.46</v>
      </c>
      <c r="AX31" s="6">
        <v>3.74</v>
      </c>
      <c r="AY31" s="6">
        <v>4.26</v>
      </c>
      <c r="AZ31" s="6">
        <v>4.67</v>
      </c>
      <c r="BA31" s="6">
        <v>5.69</v>
      </c>
      <c r="BB31" s="6">
        <v>3.89</v>
      </c>
      <c r="BC31" s="6">
        <v>3.66</v>
      </c>
      <c r="BD31" s="11">
        <v>5.18</v>
      </c>
      <c r="BE31" s="6">
        <v>3.75</v>
      </c>
      <c r="BF31" s="6">
        <v>6.05</v>
      </c>
      <c r="BG31" s="6">
        <v>4.1900000000000004</v>
      </c>
      <c r="BH31" s="6">
        <v>4.34</v>
      </c>
      <c r="BI31" s="6">
        <v>3.66</v>
      </c>
      <c r="BJ31" s="6">
        <v>4.3</v>
      </c>
      <c r="BK31" s="6">
        <v>3.94</v>
      </c>
      <c r="BL31" s="6">
        <v>4.04</v>
      </c>
      <c r="BM31" s="6">
        <v>3.91</v>
      </c>
      <c r="BN31" s="6">
        <v>5.4</v>
      </c>
      <c r="BO31" s="6">
        <v>2.94</v>
      </c>
      <c r="BP31" s="6">
        <v>5.94</v>
      </c>
      <c r="BQ31" s="7">
        <v>3.84</v>
      </c>
      <c r="BR31" s="7">
        <v>4.1399999999999997</v>
      </c>
      <c r="BS31" s="7">
        <v>4.38</v>
      </c>
      <c r="BT31" s="7">
        <v>3.36</v>
      </c>
      <c r="BU31" s="7">
        <v>4.5199999999999996</v>
      </c>
      <c r="BV31" s="7">
        <v>5.18</v>
      </c>
      <c r="BW31" s="7">
        <v>5.78</v>
      </c>
      <c r="BX31" s="7">
        <v>4.5999999999999996</v>
      </c>
      <c r="BY31" s="7">
        <v>5.14</v>
      </c>
      <c r="BZ31" s="7">
        <v>5.7</v>
      </c>
      <c r="CA31" s="7">
        <v>2.6</v>
      </c>
      <c r="CB31" s="7">
        <v>5.2</v>
      </c>
      <c r="CC31" s="6">
        <v>5.9</v>
      </c>
      <c r="CD31" s="7">
        <v>3.7</v>
      </c>
      <c r="CE31" s="7">
        <v>4.18</v>
      </c>
      <c r="CF31" s="7">
        <v>4.3600000000000003</v>
      </c>
      <c r="CG31" s="7">
        <v>3.6</v>
      </c>
      <c r="CH31" s="7">
        <v>5.88</v>
      </c>
      <c r="CI31" s="8">
        <v>4.9800000000000004</v>
      </c>
      <c r="CJ31" s="8">
        <v>3.98</v>
      </c>
      <c r="CK31" s="7">
        <v>4.62</v>
      </c>
      <c r="CL31" s="6">
        <v>6.1</v>
      </c>
      <c r="CM31" s="6">
        <v>4.26</v>
      </c>
      <c r="CN31" s="6">
        <v>5.97</v>
      </c>
      <c r="CO31" s="10">
        <v>3.96</v>
      </c>
      <c r="CP31" s="10">
        <v>4.96</v>
      </c>
    </row>
    <row r="32" spans="1:94" ht="15.75" customHeight="1" x14ac:dyDescent="0.25">
      <c r="A32" s="4">
        <v>31</v>
      </c>
      <c r="B32" s="4"/>
      <c r="C32" s="4">
        <v>31</v>
      </c>
      <c r="D32" s="8">
        <v>3.58</v>
      </c>
      <c r="E32" s="8">
        <v>4.08</v>
      </c>
      <c r="F32" s="8">
        <v>5.23</v>
      </c>
      <c r="G32" s="8">
        <v>3.68</v>
      </c>
      <c r="H32" s="8">
        <v>5.73</v>
      </c>
      <c r="I32" s="8">
        <v>3.48</v>
      </c>
      <c r="J32" s="8">
        <v>4.4000000000000004</v>
      </c>
      <c r="K32" s="8">
        <v>3.21</v>
      </c>
      <c r="L32" s="8">
        <v>5.88</v>
      </c>
      <c r="M32" s="8">
        <v>4.1900000000000004</v>
      </c>
      <c r="N32" s="8">
        <v>4.1500000000000004</v>
      </c>
      <c r="O32" s="8">
        <v>4.07</v>
      </c>
      <c r="P32" s="8">
        <v>4.63</v>
      </c>
      <c r="Q32" s="8">
        <v>3.06</v>
      </c>
      <c r="R32" s="8">
        <v>3.22</v>
      </c>
      <c r="S32" s="8">
        <v>4.96</v>
      </c>
      <c r="T32" s="8">
        <v>4.91</v>
      </c>
      <c r="U32" s="8">
        <v>4.71</v>
      </c>
      <c r="V32" s="8">
        <v>5.17</v>
      </c>
      <c r="W32" s="8">
        <v>5.0999999999999996</v>
      </c>
      <c r="X32" s="8">
        <v>5.61</v>
      </c>
      <c r="Y32" s="8">
        <v>5.21</v>
      </c>
      <c r="Z32" s="8">
        <v>3.89</v>
      </c>
      <c r="AA32" s="8">
        <v>3.71</v>
      </c>
      <c r="AB32" s="8">
        <v>2.4900000000000002</v>
      </c>
      <c r="AC32" s="8">
        <v>5.25</v>
      </c>
      <c r="AD32" s="8">
        <v>3.79</v>
      </c>
      <c r="AE32" s="8">
        <v>3.66</v>
      </c>
      <c r="AF32" s="8">
        <v>3.44</v>
      </c>
      <c r="AG32" s="8">
        <v>3.02</v>
      </c>
      <c r="AH32" s="8">
        <v>3.96</v>
      </c>
      <c r="AI32" s="8">
        <v>4.57</v>
      </c>
      <c r="AJ32" s="8">
        <v>5.66</v>
      </c>
      <c r="AK32" s="8">
        <v>3.51</v>
      </c>
      <c r="AL32" s="8">
        <v>4.37</v>
      </c>
      <c r="AM32" s="8">
        <v>6.47</v>
      </c>
      <c r="AN32" s="8">
        <v>4.76</v>
      </c>
      <c r="AO32" s="8">
        <v>7.41</v>
      </c>
      <c r="AP32" s="8">
        <v>3.57</v>
      </c>
      <c r="AQ32" s="8">
        <v>4.04</v>
      </c>
      <c r="AR32" s="8">
        <v>3.58</v>
      </c>
      <c r="AS32" s="8">
        <v>4.96</v>
      </c>
      <c r="AT32" s="8">
        <v>3.09</v>
      </c>
      <c r="AU32" s="6">
        <v>2.98</v>
      </c>
      <c r="AV32" s="6">
        <v>3.35</v>
      </c>
      <c r="AW32" s="6">
        <v>4.4000000000000004</v>
      </c>
      <c r="AX32" s="6">
        <v>3.61</v>
      </c>
      <c r="AY32" s="6">
        <v>4.13</v>
      </c>
      <c r="AZ32" s="6">
        <v>4.57</v>
      </c>
      <c r="BA32" s="6">
        <v>5.76</v>
      </c>
      <c r="BB32" s="6">
        <v>3.76</v>
      </c>
      <c r="BC32" s="6">
        <v>3.63</v>
      </c>
      <c r="BD32" s="11">
        <v>5.14</v>
      </c>
      <c r="BE32" s="6">
        <v>3.74</v>
      </c>
      <c r="BF32" s="6">
        <v>6.01</v>
      </c>
      <c r="BG32" s="6">
        <v>4.09</v>
      </c>
      <c r="BH32" s="6">
        <v>4.26</v>
      </c>
      <c r="BI32" s="6">
        <v>3.6</v>
      </c>
      <c r="BJ32" s="6">
        <v>4.24</v>
      </c>
      <c r="BK32" s="6">
        <v>3.9</v>
      </c>
      <c r="BL32" s="6">
        <v>4</v>
      </c>
      <c r="BM32" s="6">
        <v>3.86</v>
      </c>
      <c r="BN32" s="6">
        <v>5.3</v>
      </c>
      <c r="BO32" s="6">
        <v>2.9</v>
      </c>
      <c r="BP32" s="6">
        <v>5.9</v>
      </c>
      <c r="BQ32" s="7">
        <v>3.78</v>
      </c>
      <c r="BR32" s="7">
        <v>4.08</v>
      </c>
      <c r="BS32" s="7">
        <v>4.3600000000000003</v>
      </c>
      <c r="BT32" s="7">
        <v>3.3</v>
      </c>
      <c r="BU32" s="7">
        <v>4.4000000000000004</v>
      </c>
      <c r="BV32" s="7">
        <v>5.16</v>
      </c>
      <c r="BW32" s="7">
        <v>5.9</v>
      </c>
      <c r="BX32" s="7">
        <v>4.5</v>
      </c>
      <c r="BY32" s="7">
        <v>5.04</v>
      </c>
      <c r="BZ32" s="7">
        <v>5.7</v>
      </c>
      <c r="CA32" s="7">
        <v>2.5</v>
      </c>
      <c r="CB32" s="7">
        <v>5.16</v>
      </c>
      <c r="CC32" s="6">
        <v>5.82</v>
      </c>
      <c r="CD32" s="7">
        <v>3.72</v>
      </c>
      <c r="CE32" s="7">
        <v>4.08</v>
      </c>
      <c r="CF32" s="7">
        <v>4.3</v>
      </c>
      <c r="CG32" s="7">
        <v>3.5</v>
      </c>
      <c r="CH32" s="7">
        <v>5.8</v>
      </c>
      <c r="CI32" s="8">
        <v>4.9400000000000004</v>
      </c>
      <c r="CJ32" s="8">
        <v>3.84</v>
      </c>
      <c r="CK32" s="7">
        <v>4.54</v>
      </c>
      <c r="CL32" s="6">
        <v>6.02</v>
      </c>
      <c r="CM32" s="6">
        <v>4.2</v>
      </c>
      <c r="CN32" s="6">
        <v>5.92</v>
      </c>
      <c r="CO32" s="10">
        <v>3.9</v>
      </c>
      <c r="CP32" s="10">
        <v>4.95</v>
      </c>
    </row>
    <row r="33" spans="1:94" ht="15.75" customHeight="1" x14ac:dyDescent="0.25">
      <c r="A33" s="4">
        <v>32</v>
      </c>
      <c r="B33" s="5" t="s">
        <v>4</v>
      </c>
      <c r="C33" s="4">
        <v>1</v>
      </c>
      <c r="D33" s="8">
        <v>3.53</v>
      </c>
      <c r="E33" s="8">
        <v>4.03</v>
      </c>
      <c r="F33" s="8">
        <v>5.28</v>
      </c>
      <c r="G33" s="8">
        <v>3.66</v>
      </c>
      <c r="H33" s="8">
        <v>5.63</v>
      </c>
      <c r="I33" s="8">
        <v>3.38</v>
      </c>
      <c r="J33" s="8">
        <v>4.4000000000000004</v>
      </c>
      <c r="K33" s="8">
        <v>3.18</v>
      </c>
      <c r="L33" s="8">
        <v>5.78</v>
      </c>
      <c r="M33" s="8">
        <v>4.13</v>
      </c>
      <c r="N33" s="8">
        <v>4.1399999999999997</v>
      </c>
      <c r="O33" s="8">
        <v>4.07</v>
      </c>
      <c r="P33" s="8">
        <v>4.51</v>
      </c>
      <c r="Q33" s="8">
        <v>2.99</v>
      </c>
      <c r="R33" s="8">
        <v>3.18</v>
      </c>
      <c r="S33" s="8">
        <v>4.91</v>
      </c>
      <c r="T33" s="8">
        <v>4.91</v>
      </c>
      <c r="U33" s="8">
        <v>4.62</v>
      </c>
      <c r="V33" s="8">
        <v>5.29</v>
      </c>
      <c r="W33" s="8">
        <v>5.0999999999999996</v>
      </c>
      <c r="X33" s="8">
        <v>5.5</v>
      </c>
      <c r="Y33" s="8">
        <v>5.16</v>
      </c>
      <c r="Z33" s="8">
        <v>3.84</v>
      </c>
      <c r="AA33" s="8">
        <v>3.61</v>
      </c>
      <c r="AB33" s="8">
        <v>2.4500000000000002</v>
      </c>
      <c r="AC33" s="8">
        <v>5.13</v>
      </c>
      <c r="AD33" s="8">
        <v>3.81</v>
      </c>
      <c r="AE33" s="8">
        <v>3.64</v>
      </c>
      <c r="AF33" s="8">
        <v>3.38</v>
      </c>
      <c r="AG33" s="8">
        <v>2.99</v>
      </c>
      <c r="AH33" s="8">
        <v>3.9</v>
      </c>
      <c r="AI33" s="8">
        <v>4.55</v>
      </c>
      <c r="AJ33" s="8">
        <v>5.54</v>
      </c>
      <c r="AK33" s="8">
        <v>3.47</v>
      </c>
      <c r="AL33" s="8">
        <v>4.3899999999999997</v>
      </c>
      <c r="AM33" s="8">
        <v>6.31</v>
      </c>
      <c r="AN33" s="8">
        <v>4.6900000000000004</v>
      </c>
      <c r="AO33" s="8">
        <v>7.27</v>
      </c>
      <c r="AP33" s="8">
        <v>3.51</v>
      </c>
      <c r="AQ33" s="8">
        <v>4</v>
      </c>
      <c r="AR33" s="8">
        <v>3.5</v>
      </c>
      <c r="AS33" s="8">
        <v>4.9400000000000004</v>
      </c>
      <c r="AT33" s="8">
        <v>3.03</v>
      </c>
      <c r="AU33" s="6">
        <v>2.96</v>
      </c>
      <c r="AV33" s="6">
        <v>3.33</v>
      </c>
      <c r="AW33" s="6">
        <v>4.42</v>
      </c>
      <c r="AX33" s="6">
        <v>3.51</v>
      </c>
      <c r="AY33" s="6">
        <v>4.01</v>
      </c>
      <c r="AZ33" s="6">
        <v>4.46</v>
      </c>
      <c r="BA33" s="6">
        <v>5.82</v>
      </c>
      <c r="BB33" s="6">
        <v>3.71</v>
      </c>
      <c r="BC33" s="6">
        <v>3.57</v>
      </c>
      <c r="BD33" s="11">
        <v>5.08</v>
      </c>
      <c r="BE33" s="6">
        <v>3.72</v>
      </c>
      <c r="BF33" s="6">
        <v>5.98</v>
      </c>
      <c r="BG33" s="6">
        <v>4.1100000000000003</v>
      </c>
      <c r="BH33" s="6">
        <v>4.1500000000000004</v>
      </c>
      <c r="BI33" s="6">
        <v>3.54</v>
      </c>
      <c r="BJ33" s="6">
        <v>4.22</v>
      </c>
      <c r="BK33" s="6">
        <v>3.8</v>
      </c>
      <c r="BL33" s="6">
        <v>4</v>
      </c>
      <c r="BM33" s="6">
        <v>3.72</v>
      </c>
      <c r="BN33" s="6">
        <v>5.22</v>
      </c>
      <c r="BO33" s="6">
        <v>2.88</v>
      </c>
      <c r="BP33" s="6">
        <v>5.92</v>
      </c>
      <c r="BQ33" s="7">
        <v>3.74</v>
      </c>
      <c r="BR33" s="7">
        <v>4</v>
      </c>
      <c r="BS33" s="7">
        <v>4.3</v>
      </c>
      <c r="BT33" s="7">
        <v>3.24</v>
      </c>
      <c r="BU33" s="7">
        <v>4.3600000000000003</v>
      </c>
      <c r="BV33" s="7">
        <v>5</v>
      </c>
      <c r="BW33" s="7">
        <v>5.96</v>
      </c>
      <c r="BX33" s="7">
        <v>4.4000000000000004</v>
      </c>
      <c r="BY33" s="7">
        <v>4.84</v>
      </c>
      <c r="BZ33" s="7">
        <v>5.5</v>
      </c>
      <c r="CA33" s="7">
        <v>2.4</v>
      </c>
      <c r="CB33" s="7">
        <v>5.0199999999999996</v>
      </c>
      <c r="CC33" s="6">
        <v>5.68</v>
      </c>
      <c r="CD33" s="7">
        <v>3.68</v>
      </c>
      <c r="CE33" s="7">
        <v>4.0199999999999996</v>
      </c>
      <c r="CF33" s="7">
        <v>4.28</v>
      </c>
      <c r="CG33" s="7">
        <v>3.38</v>
      </c>
      <c r="CH33" s="7">
        <v>5.7</v>
      </c>
      <c r="CI33" s="8">
        <v>5.04</v>
      </c>
      <c r="CJ33" s="8">
        <v>3.8</v>
      </c>
      <c r="CK33" s="7">
        <v>4.54</v>
      </c>
      <c r="CL33" s="6">
        <v>6</v>
      </c>
      <c r="CM33" s="6">
        <v>4.16</v>
      </c>
      <c r="CN33" s="6">
        <v>5.83</v>
      </c>
      <c r="CO33" s="10">
        <v>3.8</v>
      </c>
      <c r="CP33" s="10">
        <v>4.9000000000000004</v>
      </c>
    </row>
    <row r="34" spans="1:94" ht="15.75" customHeight="1" x14ac:dyDescent="0.25">
      <c r="A34" s="4">
        <v>33</v>
      </c>
      <c r="B34" s="4"/>
      <c r="C34" s="4">
        <v>2</v>
      </c>
      <c r="D34" s="8">
        <v>3.48</v>
      </c>
      <c r="E34" s="8">
        <v>3.98</v>
      </c>
      <c r="F34" s="8">
        <v>5.3</v>
      </c>
      <c r="G34" s="8">
        <v>3.62</v>
      </c>
      <c r="H34" s="8">
        <v>5.53</v>
      </c>
      <c r="I34" s="8">
        <v>3.33</v>
      </c>
      <c r="J34" s="8">
        <v>4.42</v>
      </c>
      <c r="K34" s="8">
        <v>3.16</v>
      </c>
      <c r="L34" s="8">
        <v>5.68</v>
      </c>
      <c r="M34" s="8">
        <v>4.07</v>
      </c>
      <c r="N34" s="8">
        <v>4.1100000000000003</v>
      </c>
      <c r="O34" s="8">
        <v>4.0199999999999996</v>
      </c>
      <c r="P34" s="8">
        <v>4.4000000000000004</v>
      </c>
      <c r="Q34" s="8">
        <v>2.96</v>
      </c>
      <c r="R34" s="8">
        <v>3.09</v>
      </c>
      <c r="S34" s="8">
        <v>4.8499999999999996</v>
      </c>
      <c r="T34" s="8">
        <v>4.96</v>
      </c>
      <c r="U34" s="8">
        <v>4.55</v>
      </c>
      <c r="V34" s="8">
        <v>5.41</v>
      </c>
      <c r="W34" s="8">
        <v>5.03</v>
      </c>
      <c r="X34" s="8">
        <v>5.37</v>
      </c>
      <c r="Y34" s="8">
        <v>5.13</v>
      </c>
      <c r="Z34" s="8">
        <v>3.8</v>
      </c>
      <c r="AA34" s="8">
        <v>3.56</v>
      </c>
      <c r="AB34" s="8">
        <v>2.41</v>
      </c>
      <c r="AC34" s="8">
        <v>5.01</v>
      </c>
      <c r="AD34" s="8">
        <v>3.71</v>
      </c>
      <c r="AE34" s="8">
        <v>3.62</v>
      </c>
      <c r="AF34" s="8">
        <v>3.33</v>
      </c>
      <c r="AG34" s="8">
        <v>2.91</v>
      </c>
      <c r="AH34" s="8">
        <v>3.86</v>
      </c>
      <c r="AI34" s="8">
        <v>4.51</v>
      </c>
      <c r="AJ34" s="8">
        <v>5.41</v>
      </c>
      <c r="AK34" s="8">
        <v>3.45</v>
      </c>
      <c r="AL34" s="8">
        <v>4.3600000000000003</v>
      </c>
      <c r="AM34" s="8">
        <v>6.17</v>
      </c>
      <c r="AN34" s="8">
        <v>4.63</v>
      </c>
      <c r="AO34" s="8">
        <v>7.14</v>
      </c>
      <c r="AP34" s="8">
        <v>3.45</v>
      </c>
      <c r="AQ34" s="8">
        <v>3.92</v>
      </c>
      <c r="AR34" s="8">
        <v>3.42</v>
      </c>
      <c r="AS34" s="8">
        <v>4.92</v>
      </c>
      <c r="AT34" s="8">
        <v>2.99</v>
      </c>
      <c r="AU34" s="6">
        <v>2.94</v>
      </c>
      <c r="AV34" s="6">
        <v>3.3</v>
      </c>
      <c r="AW34" s="6">
        <v>4.26</v>
      </c>
      <c r="AX34" s="6">
        <v>3.48</v>
      </c>
      <c r="AY34" s="6">
        <v>3.95</v>
      </c>
      <c r="AZ34" s="6">
        <v>4.3600000000000003</v>
      </c>
      <c r="BA34" s="6">
        <v>5.86</v>
      </c>
      <c r="BB34" s="6">
        <v>3.65</v>
      </c>
      <c r="BC34" s="6">
        <v>3.58</v>
      </c>
      <c r="BD34" s="11">
        <v>5</v>
      </c>
      <c r="BE34" s="6">
        <v>3.69</v>
      </c>
      <c r="BF34" s="6">
        <v>5.92</v>
      </c>
      <c r="BG34" s="6">
        <v>4.1500000000000004</v>
      </c>
      <c r="BH34" s="6">
        <v>4.07</v>
      </c>
      <c r="BI34" s="6">
        <v>3.5</v>
      </c>
      <c r="BJ34" s="6">
        <v>4.2</v>
      </c>
      <c r="BK34" s="6">
        <v>3.8</v>
      </c>
      <c r="BL34" s="6">
        <v>3.98</v>
      </c>
      <c r="BM34" s="6">
        <v>3.64</v>
      </c>
      <c r="BN34" s="6">
        <v>5.08</v>
      </c>
      <c r="BO34" s="6">
        <v>2.8</v>
      </c>
      <c r="BP34" s="6">
        <v>5.98</v>
      </c>
      <c r="BQ34" s="7">
        <v>3.74</v>
      </c>
      <c r="BR34" s="7">
        <v>3.96</v>
      </c>
      <c r="BS34" s="7">
        <v>4.3</v>
      </c>
      <c r="BT34" s="7">
        <v>3.2</v>
      </c>
      <c r="BU34" s="7">
        <v>4.28</v>
      </c>
      <c r="BV34" s="7">
        <v>4.82</v>
      </c>
      <c r="BW34" s="7">
        <v>6.1</v>
      </c>
      <c r="BX34" s="7">
        <v>4.4000000000000004</v>
      </c>
      <c r="BY34" s="7">
        <v>4.72</v>
      </c>
      <c r="BZ34" s="7">
        <v>5.42</v>
      </c>
      <c r="CA34" s="7">
        <v>2.36</v>
      </c>
      <c r="CB34" s="7">
        <v>4.9000000000000004</v>
      </c>
      <c r="CC34" s="6">
        <v>5.62</v>
      </c>
      <c r="CD34" s="7">
        <v>3.54</v>
      </c>
      <c r="CE34" s="7">
        <v>4.0199999999999996</v>
      </c>
      <c r="CF34" s="7">
        <v>4.26</v>
      </c>
      <c r="CG34" s="7">
        <v>3.36</v>
      </c>
      <c r="CH34" s="7">
        <v>5.68</v>
      </c>
      <c r="CI34" s="8">
        <v>5.4</v>
      </c>
      <c r="CJ34" s="8">
        <v>3.8</v>
      </c>
      <c r="CK34" s="7">
        <v>4.54</v>
      </c>
      <c r="CL34" s="6">
        <v>5.9</v>
      </c>
      <c r="CM34" s="6">
        <v>4.12</v>
      </c>
      <c r="CN34" s="6">
        <v>5.75</v>
      </c>
      <c r="CO34" s="10">
        <v>3.74</v>
      </c>
      <c r="CP34" s="10">
        <v>4.82</v>
      </c>
    </row>
    <row r="35" spans="1:94" ht="15.75" customHeight="1" x14ac:dyDescent="0.25">
      <c r="A35" s="4">
        <v>34</v>
      </c>
      <c r="B35" s="4"/>
      <c r="C35" s="4">
        <v>3</v>
      </c>
      <c r="D35" s="8">
        <v>3.43</v>
      </c>
      <c r="E35" s="8">
        <v>3.93</v>
      </c>
      <c r="F35" s="8">
        <v>5.3</v>
      </c>
      <c r="G35" s="8">
        <v>3.58</v>
      </c>
      <c r="H35" s="8">
        <v>5.43</v>
      </c>
      <c r="I35" s="8">
        <v>3.28</v>
      </c>
      <c r="J35" s="8">
        <v>4.4400000000000004</v>
      </c>
      <c r="K35" s="8">
        <v>3.14</v>
      </c>
      <c r="L35" s="8">
        <v>5.58</v>
      </c>
      <c r="M35" s="8">
        <v>4</v>
      </c>
      <c r="N35" s="8">
        <v>4.0999999999999996</v>
      </c>
      <c r="O35" s="8">
        <v>3.95</v>
      </c>
      <c r="P35" s="8">
        <v>4.3</v>
      </c>
      <c r="Q35" s="8">
        <v>2.91</v>
      </c>
      <c r="R35" s="8">
        <v>3.01</v>
      </c>
      <c r="S35" s="8">
        <v>4.7300000000000004</v>
      </c>
      <c r="T35" s="8">
        <v>5.01</v>
      </c>
      <c r="U35" s="8">
        <v>4.46</v>
      </c>
      <c r="V35" s="8">
        <v>5.57</v>
      </c>
      <c r="W35" s="8">
        <v>4.92</v>
      </c>
      <c r="X35" s="8">
        <v>5.25</v>
      </c>
      <c r="Y35" s="8">
        <v>5.09</v>
      </c>
      <c r="Z35" s="8">
        <v>3.79</v>
      </c>
      <c r="AA35" s="8">
        <v>3.51</v>
      </c>
      <c r="AB35" s="8">
        <v>2.34</v>
      </c>
      <c r="AC35" s="8">
        <v>4.87</v>
      </c>
      <c r="AD35" s="8">
        <v>3.65</v>
      </c>
      <c r="AE35" s="8">
        <v>3.6</v>
      </c>
      <c r="AF35" s="8">
        <v>3.26</v>
      </c>
      <c r="AG35" s="8">
        <v>2.82</v>
      </c>
      <c r="AH35" s="8">
        <v>3.8</v>
      </c>
      <c r="AI35" s="8">
        <v>4.46</v>
      </c>
      <c r="AJ35" s="8">
        <v>5.32</v>
      </c>
      <c r="AK35" s="8">
        <v>3.39</v>
      </c>
      <c r="AL35" s="8">
        <v>4.3600000000000003</v>
      </c>
      <c r="AM35" s="8">
        <v>6.02</v>
      </c>
      <c r="AN35" s="8">
        <v>4.57</v>
      </c>
      <c r="AO35" s="8">
        <v>7.05</v>
      </c>
      <c r="AP35" s="8">
        <v>3.4</v>
      </c>
      <c r="AQ35" s="8">
        <v>3.92</v>
      </c>
      <c r="AR35" s="8">
        <v>3.35</v>
      </c>
      <c r="AS35" s="8">
        <v>4.8099999999999996</v>
      </c>
      <c r="AT35" s="8">
        <v>2.95</v>
      </c>
      <c r="AU35" s="6">
        <v>2.92</v>
      </c>
      <c r="AV35" s="6">
        <v>3.26</v>
      </c>
      <c r="AW35" s="6">
        <v>4.1900000000000004</v>
      </c>
      <c r="AX35" s="6">
        <v>3.4</v>
      </c>
      <c r="AY35" s="6">
        <v>3.89</v>
      </c>
      <c r="AZ35" s="6">
        <v>4.32</v>
      </c>
      <c r="BA35" s="6">
        <v>5.86</v>
      </c>
      <c r="BB35" s="6">
        <v>3.56</v>
      </c>
      <c r="BC35" s="6">
        <v>3.59</v>
      </c>
      <c r="BD35" s="11">
        <v>4.93</v>
      </c>
      <c r="BE35" s="6">
        <v>3.67</v>
      </c>
      <c r="BF35" s="6">
        <v>5.84</v>
      </c>
      <c r="BG35" s="6">
        <v>4.1500000000000004</v>
      </c>
      <c r="BH35" s="6">
        <v>4.01</v>
      </c>
      <c r="BI35" s="6">
        <v>3.44</v>
      </c>
      <c r="BJ35" s="6">
        <v>4.2</v>
      </c>
      <c r="BK35" s="6">
        <v>3.72</v>
      </c>
      <c r="BL35" s="6">
        <v>4</v>
      </c>
      <c r="BM35" s="6">
        <v>3.61</v>
      </c>
      <c r="BN35" s="6">
        <v>4.9800000000000004</v>
      </c>
      <c r="BO35" s="6">
        <v>2.76</v>
      </c>
      <c r="BP35" s="6">
        <v>6.02</v>
      </c>
      <c r="BQ35" s="7">
        <v>3.82</v>
      </c>
      <c r="BR35" s="7">
        <v>3.88</v>
      </c>
      <c r="BS35" s="7">
        <v>4.3</v>
      </c>
      <c r="BT35" s="7">
        <v>3.15</v>
      </c>
      <c r="BU35" s="7">
        <v>4.16</v>
      </c>
      <c r="BV35" s="7">
        <v>4.72</v>
      </c>
      <c r="BW35" s="7">
        <v>6.3</v>
      </c>
      <c r="BX35" s="7">
        <v>4.32</v>
      </c>
      <c r="BY35" s="7">
        <v>4.6399999999999997</v>
      </c>
      <c r="BZ35" s="7">
        <v>5.36</v>
      </c>
      <c r="CA35" s="7">
        <v>2.4</v>
      </c>
      <c r="CB35" s="7">
        <v>4.82</v>
      </c>
      <c r="CC35" s="6">
        <v>5.5</v>
      </c>
      <c r="CD35" s="7">
        <v>3.58</v>
      </c>
      <c r="CE35" s="7">
        <v>4</v>
      </c>
      <c r="CF35" s="7">
        <v>4.2</v>
      </c>
      <c r="CG35" s="7">
        <v>3.34</v>
      </c>
      <c r="CH35" s="7">
        <v>5.42</v>
      </c>
      <c r="CI35" s="8">
        <v>5.2</v>
      </c>
      <c r="CJ35" s="8">
        <v>3.8</v>
      </c>
      <c r="CK35" s="7">
        <v>4.5199999999999996</v>
      </c>
      <c r="CL35" s="6">
        <v>5.66</v>
      </c>
      <c r="CM35" s="6">
        <v>4.08</v>
      </c>
      <c r="CN35" s="6">
        <v>5.66</v>
      </c>
      <c r="CO35" s="10">
        <v>3.7</v>
      </c>
      <c r="CP35" s="10">
        <v>4.72</v>
      </c>
    </row>
    <row r="36" spans="1:94" ht="15.75" customHeight="1" x14ac:dyDescent="0.25">
      <c r="A36" s="4">
        <v>35</v>
      </c>
      <c r="B36" s="4"/>
      <c r="C36" s="4">
        <v>4</v>
      </c>
      <c r="D36" s="8">
        <v>3.38</v>
      </c>
      <c r="E36" s="8">
        <v>3.83</v>
      </c>
      <c r="F36" s="8">
        <v>5.28</v>
      </c>
      <c r="G36" s="8">
        <v>3.53</v>
      </c>
      <c r="H36" s="8">
        <v>5.33</v>
      </c>
      <c r="I36" s="8">
        <v>3.23</v>
      </c>
      <c r="J36" s="8">
        <v>4.46</v>
      </c>
      <c r="K36" s="8">
        <v>3.1</v>
      </c>
      <c r="L36" s="8">
        <v>5.48</v>
      </c>
      <c r="M36" s="8">
        <v>3.93</v>
      </c>
      <c r="N36" s="8">
        <v>4.07</v>
      </c>
      <c r="O36" s="8">
        <v>3.87</v>
      </c>
      <c r="P36" s="8">
        <v>4.21</v>
      </c>
      <c r="Q36" s="8">
        <v>2.88</v>
      </c>
      <c r="R36" s="8">
        <v>2.96</v>
      </c>
      <c r="S36" s="8">
        <v>4.6500000000000004</v>
      </c>
      <c r="T36" s="8">
        <v>4.96</v>
      </c>
      <c r="U36" s="8">
        <v>4.3099999999999996</v>
      </c>
      <c r="V36" s="8">
        <v>5.67</v>
      </c>
      <c r="W36" s="8">
        <v>4.78</v>
      </c>
      <c r="X36" s="8">
        <v>5.14</v>
      </c>
      <c r="Y36" s="8">
        <v>5.07</v>
      </c>
      <c r="Z36" s="8">
        <v>3.73</v>
      </c>
      <c r="AA36" s="8">
        <v>3.51</v>
      </c>
      <c r="AB36" s="8">
        <v>2.33</v>
      </c>
      <c r="AC36" s="8">
        <v>4.7300000000000004</v>
      </c>
      <c r="AD36" s="8">
        <v>3.59</v>
      </c>
      <c r="AE36" s="8">
        <v>3.56</v>
      </c>
      <c r="AF36" s="8">
        <v>3.22</v>
      </c>
      <c r="AG36" s="8">
        <v>2.76</v>
      </c>
      <c r="AH36" s="8">
        <v>3.78</v>
      </c>
      <c r="AI36" s="8">
        <v>4.42</v>
      </c>
      <c r="AJ36" s="8">
        <v>5.22</v>
      </c>
      <c r="AK36" s="8">
        <v>3.34</v>
      </c>
      <c r="AL36" s="8">
        <v>4.34</v>
      </c>
      <c r="AM36" s="8">
        <v>5.86</v>
      </c>
      <c r="AN36" s="8">
        <v>4.5199999999999996</v>
      </c>
      <c r="AO36" s="8">
        <v>7.01</v>
      </c>
      <c r="AP36" s="8">
        <v>3.34</v>
      </c>
      <c r="AQ36" s="8">
        <v>3.88</v>
      </c>
      <c r="AR36" s="8">
        <v>3.3</v>
      </c>
      <c r="AS36" s="8">
        <v>4.6900000000000004</v>
      </c>
      <c r="AT36" s="8">
        <v>2.9</v>
      </c>
      <c r="AU36" s="6">
        <v>2.9</v>
      </c>
      <c r="AV36" s="6">
        <v>3.22</v>
      </c>
      <c r="AW36" s="6">
        <v>4.09</v>
      </c>
      <c r="AX36" s="6">
        <v>3.4</v>
      </c>
      <c r="AY36" s="6">
        <v>3.82</v>
      </c>
      <c r="AZ36" s="6">
        <v>4.1900000000000004</v>
      </c>
      <c r="BA36" s="6">
        <v>5.94</v>
      </c>
      <c r="BB36" s="6">
        <v>3.5</v>
      </c>
      <c r="BC36" s="6">
        <v>3.59</v>
      </c>
      <c r="BD36" s="11">
        <v>4.8499999999999996</v>
      </c>
      <c r="BE36" s="6">
        <v>3.65</v>
      </c>
      <c r="BF36" s="6">
        <v>5.78</v>
      </c>
      <c r="BG36" s="6">
        <v>4.05</v>
      </c>
      <c r="BH36" s="6">
        <v>3.92</v>
      </c>
      <c r="BI36" s="6">
        <v>3.38</v>
      </c>
      <c r="BJ36" s="6">
        <v>4.2</v>
      </c>
      <c r="BK36" s="6">
        <v>3.68</v>
      </c>
      <c r="BL36" s="6">
        <v>4</v>
      </c>
      <c r="BM36" s="6">
        <v>3.6</v>
      </c>
      <c r="BN36" s="6">
        <v>4.8600000000000003</v>
      </c>
      <c r="BO36" s="6">
        <v>2.7</v>
      </c>
      <c r="BP36" s="6">
        <v>6.04</v>
      </c>
      <c r="BQ36" s="7">
        <v>3.92</v>
      </c>
      <c r="BR36" s="7">
        <v>3.84</v>
      </c>
      <c r="BS36" s="7">
        <v>4.3</v>
      </c>
      <c r="BT36" s="7">
        <v>3.14</v>
      </c>
      <c r="BU36" s="7">
        <v>4.08</v>
      </c>
      <c r="BV36" s="7">
        <v>4.62</v>
      </c>
      <c r="BW36" s="7">
        <v>6.5</v>
      </c>
      <c r="BX36" s="7">
        <v>4.26</v>
      </c>
      <c r="BY36" s="7">
        <v>4.5</v>
      </c>
      <c r="BZ36" s="7">
        <v>5.32</v>
      </c>
      <c r="CA36" s="7">
        <v>2.44</v>
      </c>
      <c r="CB36" s="7">
        <v>4.82</v>
      </c>
      <c r="CC36" s="6">
        <v>5.42</v>
      </c>
      <c r="CD36" s="7">
        <v>3.56</v>
      </c>
      <c r="CE36" s="7">
        <v>3.96</v>
      </c>
      <c r="CF36" s="7">
        <v>4.3</v>
      </c>
      <c r="CG36" s="7">
        <v>3.2</v>
      </c>
      <c r="CH36" s="7">
        <v>5.32</v>
      </c>
      <c r="CI36" s="8">
        <v>5.0599999999999996</v>
      </c>
      <c r="CJ36" s="8">
        <v>3.78</v>
      </c>
      <c r="CK36" s="7">
        <v>4.4800000000000004</v>
      </c>
      <c r="CL36" s="6">
        <v>5.58</v>
      </c>
      <c r="CM36" s="6">
        <v>4.0599999999999996</v>
      </c>
      <c r="CN36" s="6">
        <v>5.55</v>
      </c>
      <c r="CO36" s="10">
        <v>3.63</v>
      </c>
      <c r="CP36" s="10">
        <v>4.6399999999999997</v>
      </c>
    </row>
    <row r="37" spans="1:94" ht="15.75" customHeight="1" x14ac:dyDescent="0.25">
      <c r="A37" s="4">
        <v>36</v>
      </c>
      <c r="B37" s="4"/>
      <c r="C37" s="4">
        <v>5</v>
      </c>
      <c r="D37" s="8">
        <v>3.33</v>
      </c>
      <c r="E37" s="8">
        <v>3.78</v>
      </c>
      <c r="F37" s="8">
        <v>5.26</v>
      </c>
      <c r="G37" s="8">
        <v>3.48</v>
      </c>
      <c r="H37" s="8">
        <v>5.23</v>
      </c>
      <c r="I37" s="8">
        <v>3.18</v>
      </c>
      <c r="J37" s="8">
        <v>4.4800000000000004</v>
      </c>
      <c r="K37" s="8">
        <v>3.05</v>
      </c>
      <c r="L37" s="8">
        <v>5.43</v>
      </c>
      <c r="M37" s="8">
        <v>3.85</v>
      </c>
      <c r="N37" s="8">
        <v>4.0199999999999996</v>
      </c>
      <c r="O37" s="8">
        <v>3.77</v>
      </c>
      <c r="P37" s="8">
        <v>4.1399999999999997</v>
      </c>
      <c r="Q37" s="8">
        <v>2.84</v>
      </c>
      <c r="R37" s="8">
        <v>2.86</v>
      </c>
      <c r="S37" s="8">
        <v>4.55</v>
      </c>
      <c r="T37" s="8">
        <v>5.01</v>
      </c>
      <c r="U37" s="8">
        <v>4.2300000000000004</v>
      </c>
      <c r="V37" s="8">
        <v>5.79</v>
      </c>
      <c r="W37" s="8">
        <v>4.6500000000000004</v>
      </c>
      <c r="X37" s="8">
        <v>5.03</v>
      </c>
      <c r="Y37" s="8">
        <v>5.05</v>
      </c>
      <c r="Z37" s="8">
        <v>3.68</v>
      </c>
      <c r="AA37" s="8">
        <v>3.51</v>
      </c>
      <c r="AB37" s="8">
        <v>2.31</v>
      </c>
      <c r="AC37" s="8">
        <v>4.5999999999999996</v>
      </c>
      <c r="AD37" s="8">
        <v>3.53</v>
      </c>
      <c r="AE37" s="8">
        <v>3.52</v>
      </c>
      <c r="AF37" s="8">
        <v>3.18</v>
      </c>
      <c r="AG37" s="8">
        <v>2.72</v>
      </c>
      <c r="AH37" s="8">
        <v>3.78</v>
      </c>
      <c r="AI37" s="8">
        <v>4.3899999999999997</v>
      </c>
      <c r="AJ37" s="8">
        <v>5.09</v>
      </c>
      <c r="AK37" s="8">
        <v>3.34</v>
      </c>
      <c r="AL37" s="8">
        <v>4.34</v>
      </c>
      <c r="AM37" s="8">
        <v>5.69</v>
      </c>
      <c r="AN37" s="8">
        <v>4.46</v>
      </c>
      <c r="AO37" s="8">
        <v>6.96</v>
      </c>
      <c r="AP37" s="8">
        <v>3.26</v>
      </c>
      <c r="AQ37" s="8">
        <v>3.84</v>
      </c>
      <c r="AR37" s="8">
        <v>3.26</v>
      </c>
      <c r="AS37" s="8">
        <v>4.58</v>
      </c>
      <c r="AT37" s="8">
        <v>2.86</v>
      </c>
      <c r="AU37" s="6">
        <v>2.88</v>
      </c>
      <c r="AV37" s="6">
        <v>3.17</v>
      </c>
      <c r="AW37" s="6">
        <v>4.01</v>
      </c>
      <c r="AX37" s="6">
        <v>3.4</v>
      </c>
      <c r="AY37" s="6">
        <v>3.75</v>
      </c>
      <c r="AZ37" s="6">
        <v>4.07</v>
      </c>
      <c r="BA37" s="6">
        <v>6.01</v>
      </c>
      <c r="BB37" s="6">
        <v>3.47</v>
      </c>
      <c r="BC37" s="6">
        <v>3.57</v>
      </c>
      <c r="BD37" s="11">
        <v>4.74</v>
      </c>
      <c r="BE37" s="6">
        <v>3.63</v>
      </c>
      <c r="BF37" s="6">
        <v>5.69</v>
      </c>
      <c r="BG37" s="6">
        <v>4.07</v>
      </c>
      <c r="BH37" s="6">
        <v>3.82</v>
      </c>
      <c r="BI37" s="6">
        <v>3.38</v>
      </c>
      <c r="BJ37" s="6">
        <v>4.1399999999999997</v>
      </c>
      <c r="BK37" s="6">
        <v>3.6</v>
      </c>
      <c r="BL37" s="6">
        <v>3.98</v>
      </c>
      <c r="BM37" s="6">
        <v>3.62</v>
      </c>
      <c r="BN37" s="6">
        <v>4.78</v>
      </c>
      <c r="BO37" s="6">
        <v>2.7</v>
      </c>
      <c r="BP37" s="6">
        <v>6.02</v>
      </c>
      <c r="BQ37" s="7">
        <v>4.0999999999999996</v>
      </c>
      <c r="BR37" s="7">
        <v>3.76</v>
      </c>
      <c r="BS37" s="7">
        <v>4.34</v>
      </c>
      <c r="BT37" s="7">
        <v>3.12</v>
      </c>
      <c r="BU37" s="7">
        <v>4</v>
      </c>
      <c r="BV37" s="7">
        <v>4.5599999999999996</v>
      </c>
      <c r="BW37" s="7">
        <v>6.54</v>
      </c>
      <c r="BX37" s="7">
        <v>4.18</v>
      </c>
      <c r="BY37" s="7">
        <v>4.4000000000000004</v>
      </c>
      <c r="BZ37" s="7">
        <v>5.3</v>
      </c>
      <c r="CA37" s="7">
        <v>2.44</v>
      </c>
      <c r="CB37" s="7">
        <v>4.7</v>
      </c>
      <c r="CC37" s="6">
        <v>5.4</v>
      </c>
      <c r="CD37" s="7">
        <v>3.5</v>
      </c>
      <c r="CE37" s="7">
        <v>3.82</v>
      </c>
      <c r="CF37" s="7">
        <v>4.38</v>
      </c>
      <c r="CG37" s="7">
        <v>3.12</v>
      </c>
      <c r="CH37" s="7">
        <v>5.24</v>
      </c>
      <c r="CI37" s="8">
        <v>4.88</v>
      </c>
      <c r="CJ37" s="8">
        <v>3.78</v>
      </c>
      <c r="CK37" s="7">
        <v>4.4000000000000004</v>
      </c>
      <c r="CL37" s="6">
        <v>5.46</v>
      </c>
      <c r="CM37" s="6">
        <v>4.04</v>
      </c>
      <c r="CN37" s="6">
        <v>5.44</v>
      </c>
      <c r="CO37" s="10">
        <v>3.52</v>
      </c>
      <c r="CP37" s="10">
        <v>4.5999999999999996</v>
      </c>
    </row>
    <row r="38" spans="1:94" ht="15.75" customHeight="1" x14ac:dyDescent="0.25">
      <c r="A38" s="4">
        <v>37</v>
      </c>
      <c r="B38" s="4"/>
      <c r="C38" s="4">
        <v>6</v>
      </c>
      <c r="D38" s="8">
        <v>3.28</v>
      </c>
      <c r="E38" s="8">
        <v>3.68</v>
      </c>
      <c r="F38" s="8">
        <v>5.26</v>
      </c>
      <c r="G38" s="8">
        <v>3.43</v>
      </c>
      <c r="H38" s="8">
        <v>5.13</v>
      </c>
      <c r="I38" s="8">
        <v>3.13</v>
      </c>
      <c r="J38" s="8">
        <v>4.4800000000000004</v>
      </c>
      <c r="K38" s="8">
        <v>3.04</v>
      </c>
      <c r="L38" s="8">
        <v>5.38</v>
      </c>
      <c r="M38" s="8">
        <v>3.78</v>
      </c>
      <c r="N38" s="8">
        <v>3.98</v>
      </c>
      <c r="O38" s="8">
        <v>3.69</v>
      </c>
      <c r="P38" s="8">
        <v>4.08</v>
      </c>
      <c r="Q38" s="8">
        <v>2.79</v>
      </c>
      <c r="R38" s="8">
        <v>2.82</v>
      </c>
      <c r="S38" s="8">
        <v>4.4400000000000004</v>
      </c>
      <c r="T38" s="8">
        <v>4.96</v>
      </c>
      <c r="U38" s="8">
        <v>4.16</v>
      </c>
      <c r="V38" s="8">
        <v>5.89</v>
      </c>
      <c r="W38" s="8">
        <v>4.53</v>
      </c>
      <c r="X38" s="8">
        <v>4.91</v>
      </c>
      <c r="Y38" s="8">
        <v>5.0199999999999996</v>
      </c>
      <c r="Z38" s="8">
        <v>3.62</v>
      </c>
      <c r="AA38" s="8">
        <v>3.49</v>
      </c>
      <c r="AB38" s="8">
        <v>2.31</v>
      </c>
      <c r="AC38" s="8">
        <v>4.4400000000000004</v>
      </c>
      <c r="AD38" s="8">
        <v>3.45</v>
      </c>
      <c r="AE38" s="8">
        <v>3.49</v>
      </c>
      <c r="AF38" s="8">
        <v>3.18</v>
      </c>
      <c r="AG38" s="8">
        <v>2.66</v>
      </c>
      <c r="AH38" s="8">
        <v>3.8</v>
      </c>
      <c r="AI38" s="8">
        <v>4.3499999999999996</v>
      </c>
      <c r="AJ38" s="8">
        <v>5.01</v>
      </c>
      <c r="AK38" s="8">
        <v>3.39</v>
      </c>
      <c r="AL38" s="8">
        <v>4.34</v>
      </c>
      <c r="AM38" s="8">
        <v>5.54</v>
      </c>
      <c r="AN38" s="8">
        <v>4.42</v>
      </c>
      <c r="AO38" s="8">
        <v>6.84</v>
      </c>
      <c r="AP38" s="8">
        <v>3.23</v>
      </c>
      <c r="AQ38" s="8">
        <v>3.81</v>
      </c>
      <c r="AR38" s="8">
        <v>3.21</v>
      </c>
      <c r="AS38" s="8">
        <v>4.4800000000000004</v>
      </c>
      <c r="AT38" s="8">
        <v>2.81</v>
      </c>
      <c r="AU38" s="6">
        <v>2.85</v>
      </c>
      <c r="AV38" s="6">
        <v>3.05</v>
      </c>
      <c r="AW38" s="6">
        <v>3.97</v>
      </c>
      <c r="AX38" s="6">
        <v>3.4</v>
      </c>
      <c r="AY38" s="6">
        <v>3.69</v>
      </c>
      <c r="AZ38" s="6">
        <v>3.98</v>
      </c>
      <c r="BA38" s="6">
        <v>6</v>
      </c>
      <c r="BB38" s="6">
        <v>3.41</v>
      </c>
      <c r="BC38" s="6">
        <v>3.54</v>
      </c>
      <c r="BD38" s="11">
        <v>4.63</v>
      </c>
      <c r="BE38" s="6">
        <v>3.6</v>
      </c>
      <c r="BF38" s="6">
        <v>5.61</v>
      </c>
      <c r="BG38" s="6">
        <v>4.3</v>
      </c>
      <c r="BH38" s="6">
        <v>3.75</v>
      </c>
      <c r="BI38" s="6">
        <v>3.28</v>
      </c>
      <c r="BJ38" s="6">
        <v>4.0999999999999996</v>
      </c>
      <c r="BK38" s="6">
        <v>3.56</v>
      </c>
      <c r="BL38" s="6">
        <v>3.98</v>
      </c>
      <c r="BM38" s="6">
        <v>3.5</v>
      </c>
      <c r="BN38" s="6">
        <v>4.7</v>
      </c>
      <c r="BO38" s="6">
        <v>2.68</v>
      </c>
      <c r="BP38" s="6">
        <v>6.06</v>
      </c>
      <c r="BQ38" s="7">
        <v>4.2</v>
      </c>
      <c r="BR38" s="7">
        <v>3.71</v>
      </c>
      <c r="BS38" s="7">
        <v>4.3600000000000003</v>
      </c>
      <c r="BT38" s="7">
        <v>2.96</v>
      </c>
      <c r="BU38" s="7">
        <v>3.9</v>
      </c>
      <c r="BV38" s="7">
        <v>4.5</v>
      </c>
      <c r="BW38" s="7">
        <v>6.58</v>
      </c>
      <c r="BX38" s="7">
        <v>4.1399999999999997</v>
      </c>
      <c r="BY38" s="7">
        <v>4.34</v>
      </c>
      <c r="BZ38" s="7">
        <v>5.28</v>
      </c>
      <c r="CA38" s="7">
        <v>2.44</v>
      </c>
      <c r="CB38" s="7">
        <v>4.5199999999999996</v>
      </c>
      <c r="CC38" s="6">
        <v>5.4</v>
      </c>
      <c r="CD38" s="7">
        <v>3.48</v>
      </c>
      <c r="CE38" s="7">
        <v>3.76</v>
      </c>
      <c r="CF38" s="7">
        <v>4.4000000000000004</v>
      </c>
      <c r="CG38" s="7">
        <v>3.04</v>
      </c>
      <c r="CH38" s="7">
        <v>5.0999999999999996</v>
      </c>
      <c r="CI38" s="8">
        <v>4.8</v>
      </c>
      <c r="CJ38" s="8">
        <v>3.74</v>
      </c>
      <c r="CK38" s="7">
        <v>4.4000000000000004</v>
      </c>
      <c r="CL38" s="6">
        <v>5.42</v>
      </c>
      <c r="CM38" s="6">
        <v>4</v>
      </c>
      <c r="CN38" s="6">
        <v>5.33</v>
      </c>
      <c r="CO38" s="10">
        <v>3.46</v>
      </c>
      <c r="CP38" s="10">
        <v>4.5599999999999996</v>
      </c>
    </row>
    <row r="39" spans="1:94" ht="15.75" customHeight="1" x14ac:dyDescent="0.25">
      <c r="A39" s="4">
        <v>38</v>
      </c>
      <c r="B39" s="4"/>
      <c r="C39" s="4">
        <v>7</v>
      </c>
      <c r="D39" s="8">
        <v>3.23</v>
      </c>
      <c r="E39" s="8">
        <v>3.63</v>
      </c>
      <c r="F39" s="8">
        <v>5.28</v>
      </c>
      <c r="G39" s="8">
        <v>3.38</v>
      </c>
      <c r="H39" s="8">
        <v>5.03</v>
      </c>
      <c r="I39" s="8">
        <v>3.08</v>
      </c>
      <c r="J39" s="8">
        <v>4.4400000000000004</v>
      </c>
      <c r="K39" s="8">
        <v>3.03</v>
      </c>
      <c r="L39" s="8">
        <v>5.34</v>
      </c>
      <c r="M39" s="8">
        <v>3.74</v>
      </c>
      <c r="N39" s="8">
        <v>3.97</v>
      </c>
      <c r="O39" s="8">
        <v>3.53</v>
      </c>
      <c r="P39" s="8">
        <v>4.01</v>
      </c>
      <c r="Q39" s="8">
        <v>2.78</v>
      </c>
      <c r="R39" s="8">
        <v>2.77</v>
      </c>
      <c r="S39" s="8">
        <v>4.3600000000000003</v>
      </c>
      <c r="T39" s="8">
        <v>4.91</v>
      </c>
      <c r="U39" s="8">
        <v>4.05</v>
      </c>
      <c r="V39" s="8">
        <v>5.99</v>
      </c>
      <c r="W39" s="8">
        <v>4.4800000000000004</v>
      </c>
      <c r="X39" s="8">
        <v>4.8099999999999996</v>
      </c>
      <c r="Y39" s="8">
        <v>4.9800000000000004</v>
      </c>
      <c r="Z39" s="8">
        <v>3.57</v>
      </c>
      <c r="AA39" s="8">
        <v>3.45</v>
      </c>
      <c r="AB39" s="8">
        <v>2.31</v>
      </c>
      <c r="AC39" s="8">
        <v>4.33</v>
      </c>
      <c r="AD39" s="8">
        <v>3.4</v>
      </c>
      <c r="AE39" s="8">
        <v>3.43</v>
      </c>
      <c r="AF39" s="8">
        <v>3.12</v>
      </c>
      <c r="AG39" s="8">
        <v>2.6</v>
      </c>
      <c r="AH39" s="8">
        <v>3.81</v>
      </c>
      <c r="AI39" s="8">
        <v>4.3099999999999996</v>
      </c>
      <c r="AJ39" s="8">
        <v>4.96</v>
      </c>
      <c r="AK39" s="8">
        <v>3.48</v>
      </c>
      <c r="AL39" s="8">
        <v>4.3099999999999996</v>
      </c>
      <c r="AM39" s="8">
        <v>5.37</v>
      </c>
      <c r="AN39" s="8">
        <v>4.4000000000000004</v>
      </c>
      <c r="AO39" s="8">
        <v>6.64</v>
      </c>
      <c r="AP39" s="8">
        <v>3.16</v>
      </c>
      <c r="AQ39" s="8">
        <v>3.77</v>
      </c>
      <c r="AR39" s="8">
        <v>3.15</v>
      </c>
      <c r="AS39" s="8">
        <v>4.42</v>
      </c>
      <c r="AT39" s="8">
        <v>2.76</v>
      </c>
      <c r="AU39" s="6">
        <v>2.81</v>
      </c>
      <c r="AV39" s="6">
        <v>3</v>
      </c>
      <c r="AW39" s="6">
        <v>3.9</v>
      </c>
      <c r="AX39" s="6">
        <v>3.4</v>
      </c>
      <c r="AY39" s="6">
        <v>3.65</v>
      </c>
      <c r="AZ39" s="6">
        <v>3.88</v>
      </c>
      <c r="BA39" s="6">
        <v>5.92</v>
      </c>
      <c r="BB39" s="6">
        <v>3.34</v>
      </c>
      <c r="BC39" s="6">
        <v>3.5</v>
      </c>
      <c r="BD39" s="11">
        <v>4.54</v>
      </c>
      <c r="BE39" s="6">
        <v>3.56</v>
      </c>
      <c r="BF39" s="6">
        <v>5.51</v>
      </c>
      <c r="BG39" s="6">
        <v>4.3</v>
      </c>
      <c r="BH39" s="6">
        <v>3.67</v>
      </c>
      <c r="BI39" s="6">
        <v>3.2</v>
      </c>
      <c r="BJ39" s="6">
        <v>4.03</v>
      </c>
      <c r="BK39" s="6">
        <v>3.5</v>
      </c>
      <c r="BL39" s="6">
        <v>3.92</v>
      </c>
      <c r="BM39" s="6">
        <v>3.58</v>
      </c>
      <c r="BN39" s="6">
        <v>4.68</v>
      </c>
      <c r="BO39" s="6">
        <v>2.67</v>
      </c>
      <c r="BP39" s="6">
        <v>6.08</v>
      </c>
      <c r="BQ39" s="7">
        <v>4.2300000000000004</v>
      </c>
      <c r="BR39" s="7">
        <v>3.68</v>
      </c>
      <c r="BS39" s="7">
        <v>4.32</v>
      </c>
      <c r="BT39" s="7">
        <v>2.9</v>
      </c>
      <c r="BU39" s="7">
        <v>3.82</v>
      </c>
      <c r="BV39" s="7">
        <v>4.4000000000000004</v>
      </c>
      <c r="BW39" s="7">
        <v>6.58</v>
      </c>
      <c r="BX39" s="7">
        <v>4.0999999999999996</v>
      </c>
      <c r="BY39" s="7">
        <v>4.3</v>
      </c>
      <c r="BZ39" s="7">
        <v>5.22</v>
      </c>
      <c r="CA39" s="7">
        <v>2.44</v>
      </c>
      <c r="CB39" s="7">
        <v>4.4800000000000004</v>
      </c>
      <c r="CC39" s="6">
        <v>5.44</v>
      </c>
      <c r="CD39" s="7">
        <v>3.46</v>
      </c>
      <c r="CE39" s="7">
        <v>3.7</v>
      </c>
      <c r="CF39" s="7">
        <v>4.5</v>
      </c>
      <c r="CG39" s="7">
        <v>3.02</v>
      </c>
      <c r="CH39" s="7">
        <v>5.08</v>
      </c>
      <c r="CI39" s="8">
        <v>4.74</v>
      </c>
      <c r="CJ39" s="8">
        <v>3.74</v>
      </c>
      <c r="CK39" s="7">
        <v>4.38</v>
      </c>
      <c r="CL39" s="6">
        <v>5.3</v>
      </c>
      <c r="CM39" s="6">
        <v>3.94</v>
      </c>
      <c r="CN39" s="6">
        <v>5.22</v>
      </c>
      <c r="CO39" s="10">
        <v>3.4</v>
      </c>
      <c r="CP39" s="10">
        <v>4.5199999999999996</v>
      </c>
    </row>
    <row r="40" spans="1:94" ht="15.75" customHeight="1" x14ac:dyDescent="0.25">
      <c r="A40" s="4">
        <v>39</v>
      </c>
      <c r="B40" s="4"/>
      <c r="C40" s="4">
        <v>8</v>
      </c>
      <c r="D40" s="8">
        <v>3.13</v>
      </c>
      <c r="E40" s="8">
        <v>3.58</v>
      </c>
      <c r="F40" s="8">
        <v>5.33</v>
      </c>
      <c r="G40" s="8">
        <v>3.33</v>
      </c>
      <c r="H40" s="8">
        <v>4.92</v>
      </c>
      <c r="I40" s="8">
        <v>3.03</v>
      </c>
      <c r="J40" s="8">
        <v>4.4000000000000004</v>
      </c>
      <c r="K40" s="8">
        <v>3.02</v>
      </c>
      <c r="L40" s="8">
        <v>5.32</v>
      </c>
      <c r="M40" s="8">
        <v>3.74</v>
      </c>
      <c r="N40" s="8">
        <v>3.97</v>
      </c>
      <c r="O40" s="8">
        <v>3.43</v>
      </c>
      <c r="P40" s="8">
        <v>3.96</v>
      </c>
      <c r="Q40" s="8">
        <v>2.76</v>
      </c>
      <c r="R40" s="8">
        <v>2.7</v>
      </c>
      <c r="S40" s="8">
        <v>4.3099999999999996</v>
      </c>
      <c r="T40" s="8">
        <v>4.8099999999999996</v>
      </c>
      <c r="U40" s="8">
        <v>4.05</v>
      </c>
      <c r="V40" s="8">
        <v>6.03</v>
      </c>
      <c r="W40" s="8">
        <v>4.38</v>
      </c>
      <c r="X40" s="8">
        <v>4.7300000000000004</v>
      </c>
      <c r="Y40" s="8">
        <v>4.9800000000000004</v>
      </c>
      <c r="Z40" s="8">
        <v>3.54</v>
      </c>
      <c r="AA40" s="8">
        <v>3.35</v>
      </c>
      <c r="AB40" s="8">
        <v>2.31</v>
      </c>
      <c r="AC40" s="8">
        <v>4.21</v>
      </c>
      <c r="AD40" s="8">
        <v>3.35</v>
      </c>
      <c r="AE40" s="8">
        <v>3.39</v>
      </c>
      <c r="AF40" s="8">
        <v>3.06</v>
      </c>
      <c r="AG40" s="8">
        <v>2.56</v>
      </c>
      <c r="AH40" s="8">
        <v>3.82</v>
      </c>
      <c r="AI40" s="8">
        <v>4.25</v>
      </c>
      <c r="AJ40" s="8">
        <v>4.92</v>
      </c>
      <c r="AK40" s="8">
        <v>3.51</v>
      </c>
      <c r="AL40" s="8">
        <v>4.26</v>
      </c>
      <c r="AM40" s="8">
        <v>5.2</v>
      </c>
      <c r="AN40" s="8">
        <v>4.3899999999999997</v>
      </c>
      <c r="AO40" s="8">
        <v>6.46</v>
      </c>
      <c r="AP40" s="8">
        <v>3.16</v>
      </c>
      <c r="AQ40" s="8">
        <v>3.73</v>
      </c>
      <c r="AR40" s="8">
        <v>3.1</v>
      </c>
      <c r="AS40" s="8">
        <v>4.3600000000000003</v>
      </c>
      <c r="AT40" s="8">
        <v>2.71</v>
      </c>
      <c r="AU40" s="6">
        <v>2.81</v>
      </c>
      <c r="AV40" s="6">
        <v>2.94</v>
      </c>
      <c r="AW40" s="6">
        <v>3.72</v>
      </c>
      <c r="AX40" s="6">
        <v>3.4</v>
      </c>
      <c r="AY40" s="6">
        <v>3.66</v>
      </c>
      <c r="AZ40" s="6">
        <v>3.77</v>
      </c>
      <c r="BA40" s="6">
        <v>5.78</v>
      </c>
      <c r="BB40" s="6">
        <v>3.33</v>
      </c>
      <c r="BC40" s="6">
        <v>3.47</v>
      </c>
      <c r="BD40" s="11">
        <v>4.45</v>
      </c>
      <c r="BE40" s="6">
        <v>3.5</v>
      </c>
      <c r="BF40" s="6">
        <v>5.4</v>
      </c>
      <c r="BG40" s="6">
        <v>4.34</v>
      </c>
      <c r="BH40" s="6">
        <v>3.58</v>
      </c>
      <c r="BI40" s="6">
        <v>3.18</v>
      </c>
      <c r="BJ40" s="6">
        <v>4</v>
      </c>
      <c r="BK40" s="6">
        <v>3.48</v>
      </c>
      <c r="BL40" s="6">
        <v>3.8</v>
      </c>
      <c r="BM40" s="6">
        <v>3.52</v>
      </c>
      <c r="BN40" s="6">
        <v>4.5999999999999996</v>
      </c>
      <c r="BO40" s="6">
        <v>2.64</v>
      </c>
      <c r="BP40" s="6">
        <v>6.08</v>
      </c>
      <c r="BQ40" s="7">
        <v>4.18</v>
      </c>
      <c r="BR40" s="7">
        <v>3.62</v>
      </c>
      <c r="BS40" s="7">
        <v>4.28</v>
      </c>
      <c r="BT40" s="7">
        <v>2.86</v>
      </c>
      <c r="BU40" s="7">
        <v>3.76</v>
      </c>
      <c r="BV40" s="7">
        <v>4.32</v>
      </c>
      <c r="BW40" s="7">
        <v>6.58</v>
      </c>
      <c r="BX40" s="7">
        <v>4</v>
      </c>
      <c r="BY40" s="7">
        <v>4.2</v>
      </c>
      <c r="BZ40" s="7">
        <v>5.16</v>
      </c>
      <c r="CA40" s="7">
        <v>2.44</v>
      </c>
      <c r="CB40" s="7">
        <v>4.4000000000000004</v>
      </c>
      <c r="CC40" s="6">
        <v>5.44</v>
      </c>
      <c r="CD40" s="7">
        <v>3.4</v>
      </c>
      <c r="CE40" s="7">
        <v>3.62</v>
      </c>
      <c r="CF40" s="7">
        <v>4.54</v>
      </c>
      <c r="CG40" s="7">
        <v>3</v>
      </c>
      <c r="CH40" s="7">
        <v>4.96</v>
      </c>
      <c r="CI40" s="8">
        <v>4.58</v>
      </c>
      <c r="CJ40" s="8">
        <v>3.72</v>
      </c>
      <c r="CK40" s="7">
        <v>4.3600000000000003</v>
      </c>
      <c r="CL40" s="6">
        <v>5.28</v>
      </c>
      <c r="CM40" s="6">
        <v>3.9</v>
      </c>
      <c r="CN40" s="6">
        <v>5.12</v>
      </c>
      <c r="CO40" s="10">
        <v>3.38</v>
      </c>
      <c r="CP40" s="10">
        <v>4.5</v>
      </c>
    </row>
    <row r="41" spans="1:94" ht="15.75" customHeight="1" x14ac:dyDescent="0.25">
      <c r="A41" s="4">
        <v>40</v>
      </c>
      <c r="B41" s="4"/>
      <c r="C41" s="4">
        <v>9</v>
      </c>
      <c r="D41" s="8">
        <v>3.08</v>
      </c>
      <c r="E41" s="8">
        <v>3.58</v>
      </c>
      <c r="F41" s="8">
        <v>5.43</v>
      </c>
      <c r="G41" s="8">
        <v>3.28</v>
      </c>
      <c r="H41" s="8">
        <v>4.83</v>
      </c>
      <c r="I41" s="8">
        <v>2.98</v>
      </c>
      <c r="J41" s="8">
        <v>4.3600000000000003</v>
      </c>
      <c r="K41" s="8">
        <v>3.01</v>
      </c>
      <c r="L41" s="8">
        <v>5.3</v>
      </c>
      <c r="M41" s="8">
        <v>3.74</v>
      </c>
      <c r="N41" s="8">
        <v>3.98</v>
      </c>
      <c r="O41" s="8">
        <v>3.37</v>
      </c>
      <c r="P41" s="8">
        <v>3.91</v>
      </c>
      <c r="Q41" s="8">
        <v>2.7</v>
      </c>
      <c r="R41" s="8">
        <v>2.76</v>
      </c>
      <c r="S41" s="8">
        <v>4.3099999999999996</v>
      </c>
      <c r="T41" s="8">
        <v>4.8099999999999996</v>
      </c>
      <c r="U41" s="8">
        <v>4</v>
      </c>
      <c r="V41" s="8">
        <v>6.01</v>
      </c>
      <c r="W41" s="8">
        <v>4.28</v>
      </c>
      <c r="X41" s="8">
        <v>4.67</v>
      </c>
      <c r="Y41" s="8">
        <v>4.9800000000000004</v>
      </c>
      <c r="Z41" s="8">
        <v>3.48</v>
      </c>
      <c r="AA41" s="8">
        <v>3.25</v>
      </c>
      <c r="AB41" s="8">
        <v>2.31</v>
      </c>
      <c r="AC41" s="8">
        <v>4.09</v>
      </c>
      <c r="AD41" s="8">
        <v>3.29</v>
      </c>
      <c r="AE41" s="8">
        <v>3.33</v>
      </c>
      <c r="AF41" s="8">
        <v>3.01</v>
      </c>
      <c r="AG41" s="8">
        <v>2.5299999999999998</v>
      </c>
      <c r="AH41" s="8">
        <v>3.78</v>
      </c>
      <c r="AI41" s="8">
        <v>4.1900000000000004</v>
      </c>
      <c r="AJ41" s="8">
        <v>4.8899999999999997</v>
      </c>
      <c r="AK41" s="8">
        <v>3.53</v>
      </c>
      <c r="AL41" s="8">
        <v>4.17</v>
      </c>
      <c r="AM41" s="8">
        <v>5.04</v>
      </c>
      <c r="AN41" s="8">
        <v>4.3600000000000003</v>
      </c>
      <c r="AO41" s="8">
        <v>6.27</v>
      </c>
      <c r="AP41" s="8">
        <v>3.06</v>
      </c>
      <c r="AQ41" s="8">
        <v>3.67</v>
      </c>
      <c r="AR41" s="8">
        <v>3.05</v>
      </c>
      <c r="AS41" s="8">
        <v>4.29</v>
      </c>
      <c r="AT41" s="8">
        <v>2.63</v>
      </c>
      <c r="AU41" s="6">
        <v>2.81</v>
      </c>
      <c r="AV41" s="6">
        <v>2.89</v>
      </c>
      <c r="AW41" s="6">
        <v>3.7</v>
      </c>
      <c r="AX41" s="6">
        <v>3.35</v>
      </c>
      <c r="AY41" s="6">
        <v>3.74</v>
      </c>
      <c r="AZ41" s="6">
        <v>3.68</v>
      </c>
      <c r="BA41" s="6">
        <v>5.65</v>
      </c>
      <c r="BB41" s="6">
        <v>3.29</v>
      </c>
      <c r="BC41" s="6">
        <v>3.44</v>
      </c>
      <c r="BD41" s="11">
        <v>4.37</v>
      </c>
      <c r="BE41" s="6">
        <v>3.47</v>
      </c>
      <c r="BF41" s="6">
        <v>5.3</v>
      </c>
      <c r="BG41" s="6">
        <v>4.59</v>
      </c>
      <c r="BH41" s="6">
        <v>3.52</v>
      </c>
      <c r="BI41" s="6">
        <v>3.12</v>
      </c>
      <c r="BJ41" s="6">
        <v>3.97</v>
      </c>
      <c r="BK41" s="6">
        <v>3.44</v>
      </c>
      <c r="BL41" s="6">
        <v>3.78</v>
      </c>
      <c r="BM41" s="6">
        <v>3.7</v>
      </c>
      <c r="BN41" s="6">
        <v>4.5</v>
      </c>
      <c r="BO41" s="6">
        <v>2.6</v>
      </c>
      <c r="BP41" s="6">
        <v>6.07</v>
      </c>
      <c r="BQ41" s="7">
        <v>4.0999999999999996</v>
      </c>
      <c r="BR41" s="7">
        <v>3.58</v>
      </c>
      <c r="BS41" s="7">
        <v>4.18</v>
      </c>
      <c r="BT41" s="7">
        <v>2.82</v>
      </c>
      <c r="BU41" s="7">
        <v>3.76</v>
      </c>
      <c r="BV41" s="7">
        <v>4.3</v>
      </c>
      <c r="BW41" s="7">
        <v>6.6</v>
      </c>
      <c r="BX41" s="7">
        <v>3.98</v>
      </c>
      <c r="BY41" s="7">
        <v>4.16</v>
      </c>
      <c r="BZ41" s="7">
        <v>5.16</v>
      </c>
      <c r="CA41" s="7">
        <v>2.42</v>
      </c>
      <c r="CB41" s="7">
        <v>4.3</v>
      </c>
      <c r="CC41" s="6">
        <v>5.64</v>
      </c>
      <c r="CD41" s="7">
        <v>3.34</v>
      </c>
      <c r="CE41" s="7">
        <v>3.56</v>
      </c>
      <c r="CF41" s="7">
        <v>4.5999999999999996</v>
      </c>
      <c r="CG41" s="7">
        <v>2.96</v>
      </c>
      <c r="CH41" s="7">
        <v>4.9000000000000004</v>
      </c>
      <c r="CI41" s="8">
        <v>4.54</v>
      </c>
      <c r="CJ41" s="8">
        <v>3.7</v>
      </c>
      <c r="CK41" s="7">
        <v>4.32</v>
      </c>
      <c r="CL41" s="6">
        <v>5.28</v>
      </c>
      <c r="CM41" s="6">
        <v>3.86</v>
      </c>
      <c r="CN41" s="6">
        <v>5.0199999999999996</v>
      </c>
      <c r="CO41" s="10">
        <v>3.39</v>
      </c>
      <c r="CP41" s="10">
        <v>4.47</v>
      </c>
    </row>
    <row r="42" spans="1:94" ht="15.75" customHeight="1" x14ac:dyDescent="0.25">
      <c r="A42" s="4">
        <v>41</v>
      </c>
      <c r="B42" s="4"/>
      <c r="C42" s="4">
        <v>10</v>
      </c>
      <c r="D42" s="8">
        <v>3.03</v>
      </c>
      <c r="E42" s="8">
        <v>3.56</v>
      </c>
      <c r="F42" s="8">
        <v>5.53</v>
      </c>
      <c r="G42" s="8">
        <v>3.23</v>
      </c>
      <c r="H42" s="8">
        <v>4.67</v>
      </c>
      <c r="I42" s="8">
        <v>2.93</v>
      </c>
      <c r="J42" s="8">
        <v>4.32</v>
      </c>
      <c r="K42" s="8">
        <v>3.01</v>
      </c>
      <c r="L42" s="8">
        <v>5.28</v>
      </c>
      <c r="M42" s="8">
        <v>3.71</v>
      </c>
      <c r="N42" s="8">
        <v>3.98</v>
      </c>
      <c r="O42" s="8">
        <v>3.35</v>
      </c>
      <c r="P42" s="8">
        <v>3.83</v>
      </c>
      <c r="Q42" s="8">
        <v>2.7</v>
      </c>
      <c r="R42" s="8">
        <v>2.68</v>
      </c>
      <c r="S42" s="8">
        <v>4.2300000000000004</v>
      </c>
      <c r="T42" s="8">
        <v>4.7300000000000004</v>
      </c>
      <c r="U42" s="8">
        <v>3.94</v>
      </c>
      <c r="V42" s="8">
        <v>5.97</v>
      </c>
      <c r="W42" s="8">
        <v>4.17</v>
      </c>
      <c r="X42" s="8">
        <v>4.62</v>
      </c>
      <c r="Y42" s="8">
        <v>5.03</v>
      </c>
      <c r="Z42" s="8">
        <v>3.43</v>
      </c>
      <c r="AA42" s="8">
        <v>3.15</v>
      </c>
      <c r="AB42" s="8">
        <v>2.29</v>
      </c>
      <c r="AC42" s="8">
        <v>3.97</v>
      </c>
      <c r="AD42" s="8">
        <v>3.24</v>
      </c>
      <c r="AE42" s="8">
        <v>3.28</v>
      </c>
      <c r="AF42" s="8">
        <v>2.99</v>
      </c>
      <c r="AG42" s="8">
        <v>2.5</v>
      </c>
      <c r="AH42" s="8">
        <v>3.67</v>
      </c>
      <c r="AI42" s="8">
        <v>4.1399999999999997</v>
      </c>
      <c r="AJ42" s="8">
        <v>4.84</v>
      </c>
      <c r="AK42" s="8">
        <v>3.51</v>
      </c>
      <c r="AL42" s="8">
        <v>4.12</v>
      </c>
      <c r="AM42" s="8">
        <v>4.91</v>
      </c>
      <c r="AN42" s="8">
        <v>4.3</v>
      </c>
      <c r="AO42" s="8">
        <v>6.12</v>
      </c>
      <c r="AP42" s="8">
        <v>3.03</v>
      </c>
      <c r="AQ42" s="8">
        <v>3.59</v>
      </c>
      <c r="AR42" s="8">
        <v>3</v>
      </c>
      <c r="AS42" s="8">
        <v>4.1900000000000004</v>
      </c>
      <c r="AT42" s="8">
        <v>2.61</v>
      </c>
      <c r="AU42" s="6">
        <v>2.81</v>
      </c>
      <c r="AV42" s="6">
        <v>2.86</v>
      </c>
      <c r="AW42" s="6">
        <v>3.7</v>
      </c>
      <c r="AX42" s="6">
        <v>3.2</v>
      </c>
      <c r="AY42" s="6">
        <v>3.73</v>
      </c>
      <c r="AZ42" s="6">
        <v>3.59</v>
      </c>
      <c r="BA42" s="6">
        <v>5.51</v>
      </c>
      <c r="BB42" s="6">
        <v>3.23</v>
      </c>
      <c r="BC42" s="6">
        <v>3.44</v>
      </c>
      <c r="BD42" s="11">
        <v>4.3099999999999996</v>
      </c>
      <c r="BE42" s="6">
        <v>3.44</v>
      </c>
      <c r="BF42" s="6">
        <v>5.25</v>
      </c>
      <c r="BG42" s="6">
        <v>4.84</v>
      </c>
      <c r="BH42" s="6">
        <v>3.43</v>
      </c>
      <c r="BI42" s="6">
        <v>3.04</v>
      </c>
      <c r="BJ42" s="6">
        <v>3.9</v>
      </c>
      <c r="BK42" s="6">
        <v>3.52</v>
      </c>
      <c r="BL42" s="6">
        <v>3.7</v>
      </c>
      <c r="BM42" s="6">
        <v>3.9</v>
      </c>
      <c r="BN42" s="6">
        <v>4.4800000000000004</v>
      </c>
      <c r="BO42" s="6">
        <v>2.54</v>
      </c>
      <c r="BP42" s="6">
        <v>6</v>
      </c>
      <c r="BQ42" s="7">
        <v>3.98</v>
      </c>
      <c r="BR42" s="7">
        <v>3.52</v>
      </c>
      <c r="BS42" s="7">
        <v>4.18</v>
      </c>
      <c r="BT42" s="7">
        <v>2.78</v>
      </c>
      <c r="BU42" s="7">
        <v>3.6</v>
      </c>
      <c r="BV42" s="7">
        <v>4.2</v>
      </c>
      <c r="BW42" s="7">
        <v>6.6</v>
      </c>
      <c r="BX42" s="7">
        <v>3.94</v>
      </c>
      <c r="BY42" s="7">
        <v>4.04</v>
      </c>
      <c r="BZ42" s="7">
        <v>5.3</v>
      </c>
      <c r="CA42" s="7">
        <v>2.38</v>
      </c>
      <c r="CB42" s="7">
        <v>4.28</v>
      </c>
      <c r="CC42" s="6">
        <v>5.64</v>
      </c>
      <c r="CD42" s="7">
        <v>3.34</v>
      </c>
      <c r="CE42" s="7">
        <v>3.5</v>
      </c>
      <c r="CF42" s="7">
        <v>4.5999999999999996</v>
      </c>
      <c r="CG42" s="7">
        <v>2.92</v>
      </c>
      <c r="CH42" s="7">
        <v>4.9000000000000004</v>
      </c>
      <c r="CI42" s="8">
        <v>4.4000000000000004</v>
      </c>
      <c r="CJ42" s="8">
        <v>3.7</v>
      </c>
      <c r="CK42" s="7">
        <v>4.24</v>
      </c>
      <c r="CL42" s="6">
        <v>5.24</v>
      </c>
      <c r="CM42" s="6">
        <v>3.76</v>
      </c>
      <c r="CN42" s="6">
        <v>4.92</v>
      </c>
      <c r="CO42" s="10">
        <v>3.4</v>
      </c>
      <c r="CP42" s="10">
        <v>4.4400000000000004</v>
      </c>
    </row>
    <row r="43" spans="1:94" ht="15.75" customHeight="1" x14ac:dyDescent="0.25">
      <c r="A43" s="4">
        <v>42</v>
      </c>
      <c r="B43" s="4"/>
      <c r="C43" s="4">
        <v>11</v>
      </c>
      <c r="D43" s="8">
        <v>2.98</v>
      </c>
      <c r="E43" s="8">
        <v>3.52</v>
      </c>
      <c r="F43" s="8">
        <v>5.63</v>
      </c>
      <c r="G43" s="8">
        <v>3.13</v>
      </c>
      <c r="H43" s="8">
        <v>4.58</v>
      </c>
      <c r="I43" s="8">
        <v>2.88</v>
      </c>
      <c r="J43" s="8">
        <v>4.26</v>
      </c>
      <c r="K43" s="8">
        <v>3</v>
      </c>
      <c r="L43" s="8">
        <v>5.23</v>
      </c>
      <c r="M43" s="8">
        <v>3.65</v>
      </c>
      <c r="N43" s="8">
        <v>3.96</v>
      </c>
      <c r="O43" s="8">
        <v>3.33</v>
      </c>
      <c r="P43" s="8">
        <v>3.8</v>
      </c>
      <c r="Q43" s="8">
        <v>2.7</v>
      </c>
      <c r="R43" s="8">
        <v>2.66</v>
      </c>
      <c r="S43" s="8">
        <v>4.29</v>
      </c>
      <c r="T43" s="8">
        <v>4.8099999999999996</v>
      </c>
      <c r="U43" s="8">
        <v>3.86</v>
      </c>
      <c r="V43" s="8">
        <v>5.89</v>
      </c>
      <c r="W43" s="8">
        <v>4.08</v>
      </c>
      <c r="X43" s="8">
        <v>4.55</v>
      </c>
      <c r="Y43" s="8">
        <v>5.05</v>
      </c>
      <c r="Z43" s="8">
        <v>3.4</v>
      </c>
      <c r="AA43" s="8">
        <v>3.05</v>
      </c>
      <c r="AB43" s="8">
        <v>2.27</v>
      </c>
      <c r="AC43" s="8">
        <v>3.87</v>
      </c>
      <c r="AD43" s="8">
        <v>3.17</v>
      </c>
      <c r="AE43" s="8">
        <v>3.22</v>
      </c>
      <c r="AF43" s="8">
        <v>2.97</v>
      </c>
      <c r="AG43" s="8">
        <v>2.48</v>
      </c>
      <c r="AH43" s="8">
        <v>3.55</v>
      </c>
      <c r="AI43" s="8">
        <v>4.09</v>
      </c>
      <c r="AJ43" s="8">
        <v>4.7699999999999996</v>
      </c>
      <c r="AK43" s="8">
        <v>3.48</v>
      </c>
      <c r="AL43" s="8">
        <v>4.1100000000000003</v>
      </c>
      <c r="AM43" s="8">
        <v>4.78</v>
      </c>
      <c r="AN43" s="8">
        <v>4.2300000000000004</v>
      </c>
      <c r="AO43" s="8">
        <v>6</v>
      </c>
      <c r="AP43" s="8">
        <v>2.95</v>
      </c>
      <c r="AQ43" s="8">
        <v>3.61</v>
      </c>
      <c r="AR43" s="8">
        <v>2.95</v>
      </c>
      <c r="AS43" s="8">
        <v>4.09</v>
      </c>
      <c r="AT43" s="8">
        <v>2.56</v>
      </c>
      <c r="AU43" s="6">
        <v>2.81</v>
      </c>
      <c r="AV43" s="6">
        <v>2.83</v>
      </c>
      <c r="AW43" s="6">
        <v>3.7</v>
      </c>
      <c r="AX43" s="6">
        <v>3.2</v>
      </c>
      <c r="AY43" s="6">
        <v>3.71</v>
      </c>
      <c r="AZ43" s="6">
        <v>3.55</v>
      </c>
      <c r="BA43" s="6">
        <v>5.42</v>
      </c>
      <c r="BB43" s="6">
        <v>3.14</v>
      </c>
      <c r="BC43" s="6">
        <v>3.4</v>
      </c>
      <c r="BD43" s="11">
        <v>4.28</v>
      </c>
      <c r="BE43" s="6">
        <v>3.39</v>
      </c>
      <c r="BF43" s="6">
        <v>5.26</v>
      </c>
      <c r="BG43" s="6">
        <v>4.9000000000000004</v>
      </c>
      <c r="BH43" s="6">
        <v>3.38</v>
      </c>
      <c r="BI43" s="6">
        <v>3</v>
      </c>
      <c r="BJ43" s="6">
        <v>3.88</v>
      </c>
      <c r="BK43" s="6">
        <v>3.54</v>
      </c>
      <c r="BL43" s="6">
        <v>3.62</v>
      </c>
      <c r="BM43" s="6">
        <v>3.92</v>
      </c>
      <c r="BN43" s="6">
        <v>4.4800000000000004</v>
      </c>
      <c r="BO43" s="6">
        <v>2.48</v>
      </c>
      <c r="BP43" s="6">
        <v>5.9</v>
      </c>
      <c r="BQ43" s="7">
        <v>3.88</v>
      </c>
      <c r="BR43" s="7">
        <v>3.49</v>
      </c>
      <c r="BS43" s="7">
        <v>4</v>
      </c>
      <c r="BT43" s="7">
        <v>2.78</v>
      </c>
      <c r="BU43" s="7">
        <v>3.58</v>
      </c>
      <c r="BV43" s="7">
        <v>4.2</v>
      </c>
      <c r="BW43" s="7">
        <v>6.6</v>
      </c>
      <c r="BX43" s="7">
        <v>3.8</v>
      </c>
      <c r="BY43" s="7">
        <v>4</v>
      </c>
      <c r="BZ43" s="7">
        <v>5.26</v>
      </c>
      <c r="CA43" s="7">
        <v>2.38</v>
      </c>
      <c r="CB43" s="7">
        <v>4.16</v>
      </c>
      <c r="CC43" s="6">
        <v>5.68</v>
      </c>
      <c r="CD43" s="7">
        <v>3.4</v>
      </c>
      <c r="CE43" s="7">
        <v>3.48</v>
      </c>
      <c r="CF43" s="7">
        <v>4.62</v>
      </c>
      <c r="CG43" s="7">
        <v>2.9</v>
      </c>
      <c r="CH43" s="7">
        <v>4.88</v>
      </c>
      <c r="CI43" s="8">
        <v>4.3</v>
      </c>
      <c r="CJ43" s="8">
        <v>3.7</v>
      </c>
      <c r="CK43" s="7">
        <v>4.16</v>
      </c>
      <c r="CL43" s="6">
        <v>5.18</v>
      </c>
      <c r="CM43" s="6">
        <v>3.7</v>
      </c>
      <c r="CN43" s="6">
        <v>4.8</v>
      </c>
      <c r="CO43" s="10">
        <v>3.42</v>
      </c>
      <c r="CP43" s="10">
        <v>4.41</v>
      </c>
    </row>
    <row r="44" spans="1:94" ht="15.75" customHeight="1" x14ac:dyDescent="0.25">
      <c r="A44" s="4">
        <v>43</v>
      </c>
      <c r="B44" s="4"/>
      <c r="C44" s="4">
        <v>12</v>
      </c>
      <c r="D44" s="8">
        <v>2.93</v>
      </c>
      <c r="E44" s="8">
        <v>3.48</v>
      </c>
      <c r="F44" s="8">
        <v>5.68</v>
      </c>
      <c r="G44" s="8">
        <v>3.12</v>
      </c>
      <c r="H44" s="8">
        <v>4.4800000000000004</v>
      </c>
      <c r="I44" s="8">
        <v>2.83</v>
      </c>
      <c r="J44" s="8">
        <v>4.17</v>
      </c>
      <c r="K44" s="8">
        <v>2.99</v>
      </c>
      <c r="L44" s="8">
        <v>5.18</v>
      </c>
      <c r="M44" s="8">
        <v>3.56</v>
      </c>
      <c r="N44" s="8">
        <v>3.92</v>
      </c>
      <c r="O44" s="8">
        <v>3.31</v>
      </c>
      <c r="P44" s="8">
        <v>3.74</v>
      </c>
      <c r="Q44" s="8">
        <v>2.7</v>
      </c>
      <c r="R44" s="8">
        <v>2.61</v>
      </c>
      <c r="S44" s="8">
        <v>4.38</v>
      </c>
      <c r="T44" s="8">
        <v>4.8099999999999996</v>
      </c>
      <c r="U44" s="8">
        <v>3.79</v>
      </c>
      <c r="V44" s="8">
        <v>5.77</v>
      </c>
      <c r="W44" s="8">
        <v>4.03</v>
      </c>
      <c r="X44" s="8">
        <v>4.4400000000000004</v>
      </c>
      <c r="Y44" s="8">
        <v>5.09</v>
      </c>
      <c r="Z44" s="8">
        <v>3.35</v>
      </c>
      <c r="AA44" s="8">
        <v>2.99</v>
      </c>
      <c r="AB44" s="8">
        <v>2.23</v>
      </c>
      <c r="AC44" s="8">
        <v>3.75</v>
      </c>
      <c r="AD44" s="8">
        <v>3.13</v>
      </c>
      <c r="AE44" s="8">
        <v>3.15</v>
      </c>
      <c r="AF44" s="8">
        <v>2.94</v>
      </c>
      <c r="AG44" s="8">
        <v>2.46</v>
      </c>
      <c r="AH44" s="8">
        <v>3.38</v>
      </c>
      <c r="AI44" s="8">
        <v>4.03</v>
      </c>
      <c r="AJ44" s="8">
        <v>4.75</v>
      </c>
      <c r="AK44" s="8">
        <v>3.54</v>
      </c>
      <c r="AL44" s="8">
        <v>4.13</v>
      </c>
      <c r="AM44" s="8">
        <v>4.67</v>
      </c>
      <c r="AN44" s="8">
        <v>4.17</v>
      </c>
      <c r="AO44" s="8">
        <v>5.94</v>
      </c>
      <c r="AP44" s="8">
        <v>2.99</v>
      </c>
      <c r="AQ44" s="8">
        <v>3.59</v>
      </c>
      <c r="AR44" s="8">
        <v>2.9</v>
      </c>
      <c r="AS44" s="8">
        <v>4.01</v>
      </c>
      <c r="AT44" s="8">
        <v>2.54</v>
      </c>
      <c r="AU44" s="6">
        <v>2.81</v>
      </c>
      <c r="AV44" s="6">
        <v>2.83</v>
      </c>
      <c r="AW44" s="6">
        <v>3.7</v>
      </c>
      <c r="AX44" s="6">
        <v>3.2</v>
      </c>
      <c r="AY44" s="6">
        <v>3.68</v>
      </c>
      <c r="AZ44" s="6">
        <v>3.48</v>
      </c>
      <c r="BA44" s="6">
        <v>5.38</v>
      </c>
      <c r="BB44" s="6">
        <v>3.08</v>
      </c>
      <c r="BC44" s="6">
        <v>3.35</v>
      </c>
      <c r="BD44" s="11">
        <v>4.26</v>
      </c>
      <c r="BE44" s="6">
        <v>3.35</v>
      </c>
      <c r="BF44" s="6">
        <v>5.25</v>
      </c>
      <c r="BG44" s="6">
        <v>5.01</v>
      </c>
      <c r="BH44" s="6">
        <v>3.31</v>
      </c>
      <c r="BI44" s="6">
        <v>2.97</v>
      </c>
      <c r="BJ44" s="6">
        <v>3.89</v>
      </c>
      <c r="BK44" s="6">
        <v>3.5</v>
      </c>
      <c r="BL44" s="6">
        <v>3.6</v>
      </c>
      <c r="BM44" s="6">
        <v>3.96</v>
      </c>
      <c r="BN44" s="6">
        <v>4.46</v>
      </c>
      <c r="BO44" s="6">
        <v>2.44</v>
      </c>
      <c r="BP44" s="6">
        <v>5.86</v>
      </c>
      <c r="BQ44" s="7">
        <v>3.85</v>
      </c>
      <c r="BR44" s="7">
        <v>3.4</v>
      </c>
      <c r="BS44" s="7">
        <v>3.94</v>
      </c>
      <c r="BT44" s="7">
        <v>2.74</v>
      </c>
      <c r="BU44" s="7">
        <v>3.5</v>
      </c>
      <c r="BV44" s="7">
        <v>4.1500000000000004</v>
      </c>
      <c r="BW44" s="7">
        <v>6.7</v>
      </c>
      <c r="BX44" s="7">
        <v>3.7</v>
      </c>
      <c r="BY44" s="7">
        <v>3.96</v>
      </c>
      <c r="BZ44" s="7">
        <v>5.3</v>
      </c>
      <c r="CA44" s="7">
        <v>2.36</v>
      </c>
      <c r="CB44" s="7">
        <v>4.0999999999999996</v>
      </c>
      <c r="CC44" s="6">
        <v>5.7</v>
      </c>
      <c r="CD44" s="7">
        <v>3.38</v>
      </c>
      <c r="CE44" s="7">
        <v>3.44</v>
      </c>
      <c r="CF44" s="7">
        <v>4.5999999999999996</v>
      </c>
      <c r="CG44" s="7">
        <v>2.88</v>
      </c>
      <c r="CH44" s="7">
        <v>4.84</v>
      </c>
      <c r="CI44" s="8">
        <v>4.22</v>
      </c>
      <c r="CJ44" s="8">
        <v>3.7</v>
      </c>
      <c r="CK44" s="7">
        <v>4.0999999999999996</v>
      </c>
      <c r="CL44" s="6">
        <v>5.08</v>
      </c>
      <c r="CM44" s="6">
        <v>3.6</v>
      </c>
      <c r="CN44" s="6">
        <v>4.7</v>
      </c>
      <c r="CO44" s="10">
        <v>3.45</v>
      </c>
      <c r="CP44" s="10">
        <v>4.38</v>
      </c>
    </row>
    <row r="45" spans="1:94" ht="15.75" customHeight="1" x14ac:dyDescent="0.25">
      <c r="A45" s="4">
        <v>44</v>
      </c>
      <c r="B45" s="4"/>
      <c r="C45" s="4">
        <v>13</v>
      </c>
      <c r="D45" s="8">
        <v>2.88</v>
      </c>
      <c r="E45" s="8">
        <v>3.44</v>
      </c>
      <c r="F45" s="8">
        <v>5.7</v>
      </c>
      <c r="G45" s="8">
        <v>3.14</v>
      </c>
      <c r="H45" s="8">
        <v>4.38</v>
      </c>
      <c r="I45" s="8">
        <v>2.78</v>
      </c>
      <c r="J45" s="8">
        <v>4.0999999999999996</v>
      </c>
      <c r="K45" s="8">
        <v>2.99</v>
      </c>
      <c r="L45" s="8">
        <v>5.08</v>
      </c>
      <c r="M45" s="8">
        <v>3.49</v>
      </c>
      <c r="N45" s="8">
        <v>3.84</v>
      </c>
      <c r="O45" s="8">
        <v>3.27</v>
      </c>
      <c r="P45" s="8">
        <v>3.65</v>
      </c>
      <c r="Q45" s="8">
        <v>2.73</v>
      </c>
      <c r="R45" s="8">
        <v>2.59</v>
      </c>
      <c r="S45" s="8">
        <v>4.5</v>
      </c>
      <c r="T45" s="8">
        <v>4.91</v>
      </c>
      <c r="U45" s="8">
        <v>3.79</v>
      </c>
      <c r="V45" s="8">
        <v>5.67</v>
      </c>
      <c r="W45" s="8">
        <v>3.97</v>
      </c>
      <c r="X45" s="8">
        <v>4.3600000000000003</v>
      </c>
      <c r="Y45" s="8">
        <v>5.13</v>
      </c>
      <c r="Z45" s="8">
        <v>3.32</v>
      </c>
      <c r="AA45" s="8">
        <v>2.95</v>
      </c>
      <c r="AB45" s="8">
        <v>2.23</v>
      </c>
      <c r="AC45" s="8">
        <v>3.67</v>
      </c>
      <c r="AD45" s="8">
        <v>3.09</v>
      </c>
      <c r="AE45" s="8">
        <v>3.09</v>
      </c>
      <c r="AF45" s="8">
        <v>2.91</v>
      </c>
      <c r="AG45" s="8">
        <v>2.44</v>
      </c>
      <c r="AH45" s="8">
        <v>3.27</v>
      </c>
      <c r="AI45" s="8">
        <v>3.98</v>
      </c>
      <c r="AJ45" s="8">
        <v>4.6900000000000004</v>
      </c>
      <c r="AK45" s="8">
        <v>3.6</v>
      </c>
      <c r="AL45" s="8">
        <v>4.17</v>
      </c>
      <c r="AM45" s="8">
        <v>4.58</v>
      </c>
      <c r="AN45" s="8">
        <v>4.13</v>
      </c>
      <c r="AO45" s="8">
        <v>5.9</v>
      </c>
      <c r="AP45" s="8">
        <v>3.02</v>
      </c>
      <c r="AQ45" s="8">
        <v>3.55</v>
      </c>
      <c r="AR45" s="8">
        <v>2.85</v>
      </c>
      <c r="AS45" s="8">
        <v>3.93</v>
      </c>
      <c r="AT45" s="8">
        <v>2.52</v>
      </c>
      <c r="AU45" s="6">
        <v>2.88</v>
      </c>
      <c r="AV45" s="6">
        <v>2.81</v>
      </c>
      <c r="AW45" s="6">
        <v>3.67</v>
      </c>
      <c r="AX45" s="6">
        <v>3.18</v>
      </c>
      <c r="AY45" s="6">
        <v>3.61</v>
      </c>
      <c r="AZ45" s="6">
        <v>3.41</v>
      </c>
      <c r="BA45" s="6">
        <v>5.36</v>
      </c>
      <c r="BB45" s="6">
        <v>3.02</v>
      </c>
      <c r="BC45" s="6">
        <v>3.29</v>
      </c>
      <c r="BD45" s="11">
        <v>4.2</v>
      </c>
      <c r="BE45" s="6">
        <v>3.41</v>
      </c>
      <c r="BF45" s="6">
        <v>5.17</v>
      </c>
      <c r="BG45" s="6">
        <v>5.01</v>
      </c>
      <c r="BH45" s="6">
        <v>3.28</v>
      </c>
      <c r="BI45" s="6">
        <v>2.96</v>
      </c>
      <c r="BJ45" s="6">
        <v>3.9</v>
      </c>
      <c r="BK45" s="6">
        <v>3.48</v>
      </c>
      <c r="BL45" s="6">
        <v>3.53</v>
      </c>
      <c r="BM45" s="6">
        <v>3.9</v>
      </c>
      <c r="BN45" s="6">
        <v>4.46</v>
      </c>
      <c r="BO45" s="6">
        <v>2.4</v>
      </c>
      <c r="BP45" s="6">
        <v>5.78</v>
      </c>
      <c r="BQ45" s="7">
        <v>3.8</v>
      </c>
      <c r="BR45" s="7">
        <v>3.36</v>
      </c>
      <c r="BS45" s="7">
        <v>3.88</v>
      </c>
      <c r="BT45" s="7">
        <v>2.74</v>
      </c>
      <c r="BU45" s="7">
        <v>3.48</v>
      </c>
      <c r="BV45" s="7">
        <v>4.12</v>
      </c>
      <c r="BW45" s="7">
        <v>6.7</v>
      </c>
      <c r="BX45" s="7">
        <v>3.7</v>
      </c>
      <c r="BY45" s="7">
        <v>3.86</v>
      </c>
      <c r="BZ45" s="7">
        <v>5.4</v>
      </c>
      <c r="CA45" s="7">
        <v>2.38</v>
      </c>
      <c r="CB45" s="7">
        <v>4</v>
      </c>
      <c r="CC45" s="6">
        <v>5.7</v>
      </c>
      <c r="CD45" s="7">
        <v>3.76</v>
      </c>
      <c r="CE45" s="7">
        <v>3.4</v>
      </c>
      <c r="CF45" s="7">
        <v>4.5999999999999996</v>
      </c>
      <c r="CG45" s="7">
        <v>2.87</v>
      </c>
      <c r="CH45" s="7">
        <v>4.8</v>
      </c>
      <c r="CI45" s="8">
        <v>4.16</v>
      </c>
      <c r="CJ45" s="8">
        <v>3.7</v>
      </c>
      <c r="CK45" s="7">
        <v>4.08</v>
      </c>
      <c r="CL45" s="6">
        <v>5</v>
      </c>
      <c r="CM45" s="6">
        <v>3.6</v>
      </c>
      <c r="CN45" s="6">
        <v>4.59</v>
      </c>
      <c r="CO45" s="10">
        <v>3.48</v>
      </c>
      <c r="CP45" s="10">
        <v>4.34</v>
      </c>
    </row>
    <row r="46" spans="1:94" ht="15.75" customHeight="1" x14ac:dyDescent="0.25">
      <c r="A46" s="4">
        <v>45</v>
      </c>
      <c r="B46" s="4"/>
      <c r="C46" s="4">
        <v>14</v>
      </c>
      <c r="D46" s="8">
        <v>2.88</v>
      </c>
      <c r="E46" s="8">
        <v>3.4</v>
      </c>
      <c r="F46" s="8">
        <v>5.68</v>
      </c>
      <c r="G46" s="8">
        <v>3.16</v>
      </c>
      <c r="H46" s="8">
        <v>4.28</v>
      </c>
      <c r="I46" s="8">
        <v>2.73</v>
      </c>
      <c r="J46" s="8">
        <v>4.04</v>
      </c>
      <c r="K46" s="8">
        <v>2.99</v>
      </c>
      <c r="L46" s="8">
        <v>5.03</v>
      </c>
      <c r="M46" s="8">
        <v>3.47</v>
      </c>
      <c r="N46" s="8">
        <v>3.78</v>
      </c>
      <c r="O46" s="8">
        <v>3.21</v>
      </c>
      <c r="P46" s="8">
        <v>3.58</v>
      </c>
      <c r="Q46" s="8">
        <v>2.69</v>
      </c>
      <c r="R46" s="8">
        <v>2.62</v>
      </c>
      <c r="S46" s="8">
        <v>4.59</v>
      </c>
      <c r="T46" s="8">
        <v>5.01</v>
      </c>
      <c r="U46" s="8">
        <v>3.9</v>
      </c>
      <c r="V46" s="8">
        <v>5.61</v>
      </c>
      <c r="W46" s="8">
        <v>4.01</v>
      </c>
      <c r="X46" s="8">
        <v>4.28</v>
      </c>
      <c r="Y46" s="8">
        <v>5.15</v>
      </c>
      <c r="Z46" s="8">
        <v>3.27</v>
      </c>
      <c r="AA46" s="8">
        <v>2.9</v>
      </c>
      <c r="AB46" s="8">
        <v>2.21</v>
      </c>
      <c r="AC46" s="8">
        <v>3.57</v>
      </c>
      <c r="AD46" s="8">
        <v>3.07</v>
      </c>
      <c r="AE46" s="8">
        <v>3.01</v>
      </c>
      <c r="AF46" s="8">
        <v>2.9</v>
      </c>
      <c r="AG46" s="8">
        <v>2.42</v>
      </c>
      <c r="AH46" s="8">
        <v>3.22</v>
      </c>
      <c r="AI46" s="8">
        <v>3.92</v>
      </c>
      <c r="AJ46" s="8">
        <v>4.6100000000000003</v>
      </c>
      <c r="AK46" s="8">
        <v>3.64</v>
      </c>
      <c r="AL46" s="8">
        <v>4.16</v>
      </c>
      <c r="AM46" s="8">
        <v>4.51</v>
      </c>
      <c r="AN46" s="8">
        <v>4.08</v>
      </c>
      <c r="AO46" s="8">
        <v>5.86</v>
      </c>
      <c r="AP46" s="8">
        <v>2.92</v>
      </c>
      <c r="AQ46" s="8">
        <v>3.5</v>
      </c>
      <c r="AR46" s="8">
        <v>2.8</v>
      </c>
      <c r="AS46" s="8">
        <v>3.86</v>
      </c>
      <c r="AT46" s="8">
        <v>2.4900000000000002</v>
      </c>
      <c r="AU46" s="6">
        <v>3</v>
      </c>
      <c r="AV46" s="6">
        <v>2.76</v>
      </c>
      <c r="AW46" s="6">
        <v>3.59</v>
      </c>
      <c r="AX46" s="6">
        <v>3.11</v>
      </c>
      <c r="AY46" s="6">
        <v>3.59</v>
      </c>
      <c r="AZ46" s="6">
        <v>3.34</v>
      </c>
      <c r="BA46" s="6">
        <v>5.32</v>
      </c>
      <c r="BB46" s="6">
        <v>2.98</v>
      </c>
      <c r="BC46" s="6">
        <v>3.24</v>
      </c>
      <c r="BD46" s="11">
        <v>4.1399999999999997</v>
      </c>
      <c r="BE46" s="6">
        <v>3.46</v>
      </c>
      <c r="BF46" s="6">
        <v>5.03</v>
      </c>
      <c r="BG46" s="6">
        <v>5.05</v>
      </c>
      <c r="BH46" s="6">
        <v>3.25</v>
      </c>
      <c r="BI46" s="6">
        <v>2.94</v>
      </c>
      <c r="BJ46" s="6">
        <v>3.85</v>
      </c>
      <c r="BK46" s="6">
        <v>3.39</v>
      </c>
      <c r="BL46" s="6">
        <v>3.46</v>
      </c>
      <c r="BM46" s="6">
        <v>3.9</v>
      </c>
      <c r="BN46" s="6">
        <v>4.5</v>
      </c>
      <c r="BO46" s="6">
        <v>2.38</v>
      </c>
      <c r="BP46" s="6">
        <v>5.72</v>
      </c>
      <c r="BQ46" s="7">
        <v>3.8</v>
      </c>
      <c r="BR46" s="7">
        <v>3.3</v>
      </c>
      <c r="BS46" s="7">
        <v>3.86</v>
      </c>
      <c r="BT46" s="7">
        <v>2.72</v>
      </c>
      <c r="BU46" s="7">
        <v>3.4</v>
      </c>
      <c r="BV46" s="7">
        <v>4.2</v>
      </c>
      <c r="BW46" s="7">
        <v>6.7</v>
      </c>
      <c r="BX46" s="7">
        <v>3.64</v>
      </c>
      <c r="BY46" s="7">
        <v>3.8</v>
      </c>
      <c r="BZ46" s="7">
        <v>5.4</v>
      </c>
      <c r="CA46" s="7">
        <v>2.2999999999999998</v>
      </c>
      <c r="CB46" s="7">
        <v>3.9</v>
      </c>
      <c r="CC46" s="6">
        <v>5.7</v>
      </c>
      <c r="CD46" s="7">
        <v>3.8</v>
      </c>
      <c r="CE46" s="7">
        <v>3.4</v>
      </c>
      <c r="CF46" s="7">
        <v>4.5999999999999996</v>
      </c>
      <c r="CG46" s="7">
        <v>2.86</v>
      </c>
      <c r="CH46" s="7">
        <v>4.78</v>
      </c>
      <c r="CI46" s="8">
        <v>4.04</v>
      </c>
      <c r="CJ46" s="8">
        <v>3.68</v>
      </c>
      <c r="CK46" s="7">
        <v>4</v>
      </c>
      <c r="CL46" s="6">
        <v>4.92</v>
      </c>
      <c r="CM46" s="6">
        <v>3.5</v>
      </c>
      <c r="CN46" s="6">
        <v>4.49</v>
      </c>
      <c r="CO46" s="10">
        <v>3.5</v>
      </c>
      <c r="CP46" s="10">
        <v>4.3</v>
      </c>
    </row>
    <row r="47" spans="1:94" ht="15.75" customHeight="1" x14ac:dyDescent="0.25">
      <c r="A47" s="4">
        <v>46</v>
      </c>
      <c r="B47" s="4"/>
      <c r="C47" s="4">
        <v>15</v>
      </c>
      <c r="D47" s="8">
        <v>2.88</v>
      </c>
      <c r="E47" s="8">
        <v>3.36</v>
      </c>
      <c r="F47" s="8">
        <v>5.66</v>
      </c>
      <c r="G47" s="8">
        <v>3.18</v>
      </c>
      <c r="H47" s="8">
        <v>4.17</v>
      </c>
      <c r="I47" s="8">
        <v>2.68</v>
      </c>
      <c r="J47" s="8">
        <v>3.98</v>
      </c>
      <c r="K47" s="8">
        <v>2.99</v>
      </c>
      <c r="L47" s="8">
        <v>4.92</v>
      </c>
      <c r="M47" s="8">
        <v>3.46</v>
      </c>
      <c r="N47" s="8">
        <v>3.69</v>
      </c>
      <c r="O47" s="8">
        <v>3.18</v>
      </c>
      <c r="P47" s="8">
        <v>3.5</v>
      </c>
      <c r="Q47" s="8">
        <v>2.68</v>
      </c>
      <c r="R47" s="8">
        <v>2.57</v>
      </c>
      <c r="S47" s="8">
        <v>4.59</v>
      </c>
      <c r="T47" s="8">
        <v>5.1100000000000003</v>
      </c>
      <c r="U47" s="8">
        <v>4.04</v>
      </c>
      <c r="V47" s="8">
        <v>5.54</v>
      </c>
      <c r="W47" s="8">
        <v>4.01</v>
      </c>
      <c r="X47" s="8">
        <v>4.21</v>
      </c>
      <c r="Y47" s="8">
        <v>5.15</v>
      </c>
      <c r="Z47" s="8">
        <v>3.27</v>
      </c>
      <c r="AA47" s="8">
        <v>2.85</v>
      </c>
      <c r="AB47" s="8">
        <v>2.1800000000000002</v>
      </c>
      <c r="AC47" s="8">
        <v>3.47</v>
      </c>
      <c r="AD47" s="8">
        <v>3.05</v>
      </c>
      <c r="AE47" s="8">
        <v>2.97</v>
      </c>
      <c r="AF47" s="8">
        <v>2.89</v>
      </c>
      <c r="AG47" s="8">
        <v>2.4</v>
      </c>
      <c r="AH47" s="8">
        <v>3.17</v>
      </c>
      <c r="AI47" s="8">
        <v>3.83</v>
      </c>
      <c r="AJ47" s="8">
        <v>4.53</v>
      </c>
      <c r="AK47" s="8">
        <v>3.63</v>
      </c>
      <c r="AL47" s="8">
        <v>4.1500000000000004</v>
      </c>
      <c r="AM47" s="8">
        <v>4.51</v>
      </c>
      <c r="AN47" s="8">
        <v>4.04</v>
      </c>
      <c r="AO47" s="8">
        <v>5.86</v>
      </c>
      <c r="AP47" s="8">
        <v>2.9</v>
      </c>
      <c r="AQ47" s="8">
        <v>3.41</v>
      </c>
      <c r="AR47" s="8">
        <v>2.76</v>
      </c>
      <c r="AS47" s="8">
        <v>3.79</v>
      </c>
      <c r="AT47" s="8">
        <v>2.4900000000000002</v>
      </c>
      <c r="AU47" s="6">
        <v>3.07</v>
      </c>
      <c r="AV47" s="6">
        <v>2.72</v>
      </c>
      <c r="AW47" s="6">
        <v>3.51</v>
      </c>
      <c r="AX47" s="6">
        <v>3.07</v>
      </c>
      <c r="AY47" s="6">
        <v>3.6</v>
      </c>
      <c r="AZ47" s="6">
        <v>3.28</v>
      </c>
      <c r="BA47" s="6">
        <v>5.3</v>
      </c>
      <c r="BB47" s="6">
        <v>2.92</v>
      </c>
      <c r="BC47" s="6">
        <v>3.19</v>
      </c>
      <c r="BD47" s="11">
        <v>4.0599999999999996</v>
      </c>
      <c r="BE47" s="6">
        <v>3.5</v>
      </c>
      <c r="BF47" s="6">
        <v>4.92</v>
      </c>
      <c r="BG47" s="6">
        <v>5.07</v>
      </c>
      <c r="BH47" s="6">
        <v>3.23</v>
      </c>
      <c r="BI47" s="6">
        <v>2.9</v>
      </c>
      <c r="BJ47" s="6">
        <v>3.86</v>
      </c>
      <c r="BK47" s="6">
        <v>3.34</v>
      </c>
      <c r="BL47" s="6">
        <v>3.42</v>
      </c>
      <c r="BM47" s="6">
        <v>4.0599999999999996</v>
      </c>
      <c r="BN47" s="6">
        <v>4.5999999999999996</v>
      </c>
      <c r="BO47" s="6">
        <v>2.38</v>
      </c>
      <c r="BP47" s="6">
        <v>5.68</v>
      </c>
      <c r="BQ47" s="7">
        <v>3.8</v>
      </c>
      <c r="BR47" s="7">
        <v>3.24</v>
      </c>
      <c r="BS47" s="7">
        <v>3.86</v>
      </c>
      <c r="BT47" s="7">
        <v>2.72</v>
      </c>
      <c r="BU47" s="7">
        <v>3.36</v>
      </c>
      <c r="BV47" s="7">
        <v>4.2</v>
      </c>
      <c r="BW47" s="7">
        <v>6.68</v>
      </c>
      <c r="BX47" s="7">
        <v>3.54</v>
      </c>
      <c r="BY47" s="7">
        <v>3.84</v>
      </c>
      <c r="BZ47" s="7">
        <v>5.4</v>
      </c>
      <c r="CA47" s="7">
        <v>2.2999999999999998</v>
      </c>
      <c r="CB47" s="7">
        <v>3.92</v>
      </c>
      <c r="CC47" s="6">
        <v>5.7</v>
      </c>
      <c r="CD47" s="7">
        <v>3.78</v>
      </c>
      <c r="CE47" s="7">
        <v>3.36</v>
      </c>
      <c r="CF47" s="7">
        <v>4.62</v>
      </c>
      <c r="CG47" s="7">
        <v>2.86</v>
      </c>
      <c r="CH47" s="7">
        <v>4.74</v>
      </c>
      <c r="CI47" s="8">
        <v>3.98</v>
      </c>
      <c r="CJ47" s="8">
        <v>3.68</v>
      </c>
      <c r="CK47" s="7">
        <v>3.96</v>
      </c>
      <c r="CL47" s="6">
        <v>4.82</v>
      </c>
      <c r="CM47" s="6">
        <v>3.45</v>
      </c>
      <c r="CN47" s="6">
        <v>4.4000000000000004</v>
      </c>
      <c r="CO47" s="10">
        <v>3.54</v>
      </c>
      <c r="CP47" s="10">
        <v>4.26</v>
      </c>
    </row>
    <row r="48" spans="1:94" ht="15.75" customHeight="1" x14ac:dyDescent="0.25">
      <c r="A48" s="4">
        <v>47</v>
      </c>
      <c r="B48" s="4"/>
      <c r="C48" s="4">
        <v>16</v>
      </c>
      <c r="D48" s="8">
        <v>2.88</v>
      </c>
      <c r="E48" s="8">
        <v>3.28</v>
      </c>
      <c r="F48" s="8">
        <v>5.64</v>
      </c>
      <c r="G48" s="8">
        <v>3.2</v>
      </c>
      <c r="H48" s="8">
        <v>4.08</v>
      </c>
      <c r="I48" s="8">
        <v>2.66</v>
      </c>
      <c r="J48" s="8">
        <v>3.92</v>
      </c>
      <c r="K48" s="8">
        <v>2.99</v>
      </c>
      <c r="L48" s="8">
        <v>4.88</v>
      </c>
      <c r="M48" s="8">
        <v>3.49</v>
      </c>
      <c r="N48" s="8">
        <v>3.58</v>
      </c>
      <c r="O48" s="8">
        <v>3.14</v>
      </c>
      <c r="P48" s="8">
        <v>3.43</v>
      </c>
      <c r="Q48" s="8">
        <v>2.67</v>
      </c>
      <c r="R48" s="8">
        <v>2.57</v>
      </c>
      <c r="S48" s="8">
        <v>4.57</v>
      </c>
      <c r="T48" s="8">
        <v>5.21</v>
      </c>
      <c r="U48" s="8">
        <v>4.04</v>
      </c>
      <c r="V48" s="8">
        <v>5.64</v>
      </c>
      <c r="W48" s="8">
        <v>4.01</v>
      </c>
      <c r="X48" s="8">
        <v>4.1500000000000004</v>
      </c>
      <c r="Y48" s="8">
        <v>5.15</v>
      </c>
      <c r="Z48" s="8">
        <v>3.24</v>
      </c>
      <c r="AA48" s="8">
        <v>2.82</v>
      </c>
      <c r="AB48" s="8">
        <v>2.14</v>
      </c>
      <c r="AC48" s="8">
        <v>3.39</v>
      </c>
      <c r="AD48" s="8">
        <v>3.05</v>
      </c>
      <c r="AE48" s="8">
        <v>2.93</v>
      </c>
      <c r="AF48" s="8">
        <v>2.89</v>
      </c>
      <c r="AG48" s="8">
        <v>2.36</v>
      </c>
      <c r="AH48" s="8">
        <v>3.12</v>
      </c>
      <c r="AI48" s="8">
        <v>3.73</v>
      </c>
      <c r="AJ48" s="8">
        <v>4.4400000000000004</v>
      </c>
      <c r="AK48" s="8">
        <v>3.6</v>
      </c>
      <c r="AL48" s="8">
        <v>4.1399999999999997</v>
      </c>
      <c r="AM48" s="8">
        <v>4.53</v>
      </c>
      <c r="AN48" s="8">
        <v>4</v>
      </c>
      <c r="AO48" s="8">
        <v>5.78</v>
      </c>
      <c r="AP48" s="8">
        <v>2.88</v>
      </c>
      <c r="AQ48" s="8">
        <v>3.31</v>
      </c>
      <c r="AR48" s="8">
        <v>2.71</v>
      </c>
      <c r="AS48" s="8">
        <v>3.71</v>
      </c>
      <c r="AT48" s="8">
        <v>2.4900000000000002</v>
      </c>
      <c r="AU48" s="6">
        <v>3.14</v>
      </c>
      <c r="AV48" s="11">
        <v>2.71</v>
      </c>
      <c r="AW48" s="6">
        <v>3.42</v>
      </c>
      <c r="AX48" s="6">
        <v>3.07</v>
      </c>
      <c r="AY48" s="6">
        <v>3.65</v>
      </c>
      <c r="AZ48" s="6">
        <v>3.24</v>
      </c>
      <c r="BA48" s="6">
        <v>5.26</v>
      </c>
      <c r="BB48" s="6">
        <v>2.89</v>
      </c>
      <c r="BC48" s="6">
        <v>3.18</v>
      </c>
      <c r="BD48" s="11">
        <v>4</v>
      </c>
      <c r="BE48" s="6">
        <v>3.5</v>
      </c>
      <c r="BF48" s="6">
        <v>4.96</v>
      </c>
      <c r="BG48" s="6">
        <v>5.1100000000000003</v>
      </c>
      <c r="BH48" s="6">
        <v>3.19</v>
      </c>
      <c r="BI48" s="6">
        <v>2.87</v>
      </c>
      <c r="BJ48" s="6">
        <v>3.86</v>
      </c>
      <c r="BK48" s="6">
        <v>3.3</v>
      </c>
      <c r="BL48" s="6">
        <v>3.4</v>
      </c>
      <c r="BM48" s="6">
        <v>4.2</v>
      </c>
      <c r="BN48" s="6">
        <v>4.72</v>
      </c>
      <c r="BO48" s="6">
        <v>2.38</v>
      </c>
      <c r="BP48" s="6">
        <v>5.66</v>
      </c>
      <c r="BQ48" s="7">
        <v>3.7</v>
      </c>
      <c r="BR48" s="7">
        <v>3.2</v>
      </c>
      <c r="BS48" s="7">
        <v>3.8</v>
      </c>
      <c r="BT48" s="7">
        <v>2.74</v>
      </c>
      <c r="BU48" s="7">
        <v>3.22</v>
      </c>
      <c r="BV48" s="7">
        <v>4.28</v>
      </c>
      <c r="BW48" s="7">
        <v>6.3</v>
      </c>
      <c r="BX48" s="7">
        <v>3.5</v>
      </c>
      <c r="BY48" s="7">
        <v>3.82</v>
      </c>
      <c r="BZ48" s="7">
        <v>5.5</v>
      </c>
      <c r="CA48" s="7">
        <v>2.2999999999999998</v>
      </c>
      <c r="CB48" s="7">
        <v>3.8</v>
      </c>
      <c r="CC48" s="6">
        <v>5.68</v>
      </c>
      <c r="CD48" s="7">
        <v>3.66</v>
      </c>
      <c r="CE48" s="7">
        <v>3.34</v>
      </c>
      <c r="CF48" s="7">
        <v>4.62</v>
      </c>
      <c r="CG48" s="7">
        <v>2.86</v>
      </c>
      <c r="CH48" s="7">
        <v>4.7</v>
      </c>
      <c r="CI48" s="8">
        <v>3.86</v>
      </c>
      <c r="CJ48" s="8">
        <v>3.66</v>
      </c>
      <c r="CK48" s="7">
        <v>3.96</v>
      </c>
      <c r="CL48" s="6">
        <v>4.78</v>
      </c>
      <c r="CM48" s="6">
        <v>3.4</v>
      </c>
      <c r="CN48" s="6">
        <v>4.3600000000000003</v>
      </c>
      <c r="CO48" s="10">
        <v>3.59</v>
      </c>
      <c r="CP48" s="10">
        <v>4.22</v>
      </c>
    </row>
    <row r="49" spans="1:94" ht="15.75" customHeight="1" x14ac:dyDescent="0.25">
      <c r="A49" s="4">
        <v>48</v>
      </c>
      <c r="B49" s="4"/>
      <c r="C49" s="4">
        <v>17</v>
      </c>
      <c r="D49" s="8">
        <v>2.83</v>
      </c>
      <c r="E49" s="8">
        <v>3.18</v>
      </c>
      <c r="F49" s="8">
        <v>5.62</v>
      </c>
      <c r="G49" s="8">
        <v>3.22</v>
      </c>
      <c r="H49" s="8">
        <v>3.98</v>
      </c>
      <c r="I49" s="8">
        <v>2.64</v>
      </c>
      <c r="J49" s="8">
        <v>3.84</v>
      </c>
      <c r="K49" s="8">
        <v>2.99</v>
      </c>
      <c r="L49" s="8">
        <v>4.83</v>
      </c>
      <c r="M49" s="8">
        <v>3.51</v>
      </c>
      <c r="N49" s="8">
        <v>3.48</v>
      </c>
      <c r="O49" s="8">
        <v>3.11</v>
      </c>
      <c r="P49" s="8">
        <v>3.4</v>
      </c>
      <c r="Q49" s="8">
        <v>2.65</v>
      </c>
      <c r="R49" s="8">
        <v>2.5099999999999998</v>
      </c>
      <c r="S49" s="8">
        <v>4.5599999999999996</v>
      </c>
      <c r="T49" s="8">
        <v>5.31</v>
      </c>
      <c r="U49" s="8">
        <v>4.04</v>
      </c>
      <c r="V49" s="8">
        <v>5.61</v>
      </c>
      <c r="W49" s="8">
        <v>3.91</v>
      </c>
      <c r="X49" s="8">
        <v>4.1100000000000003</v>
      </c>
      <c r="Y49" s="8">
        <v>5.1100000000000003</v>
      </c>
      <c r="Z49" s="8">
        <v>3.24</v>
      </c>
      <c r="AA49" s="8">
        <v>2.79</v>
      </c>
      <c r="AB49" s="8">
        <v>2.09</v>
      </c>
      <c r="AC49" s="8">
        <v>3.33</v>
      </c>
      <c r="AD49" s="8">
        <v>3.11</v>
      </c>
      <c r="AE49" s="8">
        <v>2.89</v>
      </c>
      <c r="AF49" s="8">
        <v>2.89</v>
      </c>
      <c r="AG49" s="8">
        <v>2.33</v>
      </c>
      <c r="AH49" s="8">
        <v>3.11</v>
      </c>
      <c r="AI49" s="8">
        <v>3.65</v>
      </c>
      <c r="AJ49" s="8">
        <v>4.3600000000000003</v>
      </c>
      <c r="AK49" s="8">
        <v>3.54</v>
      </c>
      <c r="AL49" s="8">
        <v>4.13</v>
      </c>
      <c r="AM49" s="8">
        <v>4.54</v>
      </c>
      <c r="AN49" s="8">
        <v>3.97</v>
      </c>
      <c r="AO49" s="8">
        <v>5.69</v>
      </c>
      <c r="AP49" s="8">
        <v>2.88</v>
      </c>
      <c r="AQ49" s="8">
        <v>3.21</v>
      </c>
      <c r="AR49" s="8">
        <v>2.67</v>
      </c>
      <c r="AS49" s="8">
        <v>3.65</v>
      </c>
      <c r="AT49" s="8">
        <v>2.4900000000000002</v>
      </c>
      <c r="AU49" s="6">
        <v>3.18</v>
      </c>
      <c r="AV49" s="11">
        <v>2.65</v>
      </c>
      <c r="AW49" s="6">
        <v>3.33</v>
      </c>
      <c r="AX49" s="6">
        <v>3.05</v>
      </c>
      <c r="AY49" s="6">
        <v>3.65</v>
      </c>
      <c r="AZ49" s="6">
        <v>3.19</v>
      </c>
      <c r="BA49" s="6">
        <v>5.19</v>
      </c>
      <c r="BB49" s="6">
        <v>2.88</v>
      </c>
      <c r="BC49" s="6">
        <v>3.17</v>
      </c>
      <c r="BD49" s="11">
        <v>3.93</v>
      </c>
      <c r="BE49" s="6">
        <v>3.48</v>
      </c>
      <c r="BF49" s="6">
        <v>4.6900000000000004</v>
      </c>
      <c r="BG49" s="6">
        <v>5.19</v>
      </c>
      <c r="BH49" s="6">
        <v>3.16</v>
      </c>
      <c r="BI49" s="6">
        <v>2.8</v>
      </c>
      <c r="BJ49" s="6">
        <v>3.8</v>
      </c>
      <c r="BK49" s="6">
        <v>3.3</v>
      </c>
      <c r="BL49" s="6">
        <v>3.36</v>
      </c>
      <c r="BM49" s="6">
        <v>4.34</v>
      </c>
      <c r="BN49" s="6">
        <v>4.9000000000000004</v>
      </c>
      <c r="BO49" s="6">
        <v>2.36</v>
      </c>
      <c r="BP49" s="6">
        <v>5.6</v>
      </c>
      <c r="BQ49" s="7">
        <v>3.8</v>
      </c>
      <c r="BR49" s="7">
        <v>3.14</v>
      </c>
      <c r="BS49" s="7">
        <v>3.75</v>
      </c>
      <c r="BT49" s="7">
        <v>2.7429999999999999</v>
      </c>
      <c r="BU49" s="7">
        <v>3.16</v>
      </c>
      <c r="BV49" s="7">
        <v>4.28</v>
      </c>
      <c r="BW49" s="7">
        <v>6.24</v>
      </c>
      <c r="BX49" s="7">
        <v>3.4</v>
      </c>
      <c r="BY49" s="7">
        <v>3.76</v>
      </c>
      <c r="BZ49" s="7">
        <v>5.68</v>
      </c>
      <c r="CA49" s="7">
        <v>2.2999999999999998</v>
      </c>
      <c r="CB49" s="7">
        <v>3.78</v>
      </c>
      <c r="CC49" s="6">
        <v>5.56</v>
      </c>
      <c r="CD49" s="7">
        <v>3.58</v>
      </c>
      <c r="CE49" s="7">
        <v>3.34</v>
      </c>
      <c r="CF49" s="7">
        <v>4.62</v>
      </c>
      <c r="CG49" s="7">
        <v>2.86</v>
      </c>
      <c r="CH49" s="7">
        <v>4.66</v>
      </c>
      <c r="CI49" s="8">
        <v>3.7</v>
      </c>
      <c r="CJ49" s="8">
        <v>3.66</v>
      </c>
      <c r="CK49" s="7">
        <v>3.92</v>
      </c>
      <c r="CL49" s="6">
        <v>4.7</v>
      </c>
      <c r="CM49" s="6">
        <v>3.36</v>
      </c>
      <c r="CN49" s="6">
        <v>4.32</v>
      </c>
      <c r="CO49" s="10">
        <v>3.62</v>
      </c>
      <c r="CP49" s="10">
        <v>4.0999999999999996</v>
      </c>
    </row>
    <row r="50" spans="1:94" ht="15.75" customHeight="1" x14ac:dyDescent="0.25">
      <c r="A50" s="4">
        <v>49</v>
      </c>
      <c r="B50" s="4"/>
      <c r="C50" s="4">
        <v>18</v>
      </c>
      <c r="D50" s="8">
        <v>2.78</v>
      </c>
      <c r="E50" s="8">
        <v>3.08</v>
      </c>
      <c r="F50" s="8">
        <v>5.6</v>
      </c>
      <c r="G50" s="8">
        <v>3.24</v>
      </c>
      <c r="H50" s="8">
        <v>3.88</v>
      </c>
      <c r="I50" s="8">
        <v>2.62</v>
      </c>
      <c r="J50" s="8">
        <v>3.78</v>
      </c>
      <c r="K50" s="8">
        <v>2.99</v>
      </c>
      <c r="L50" s="8">
        <v>4.78</v>
      </c>
      <c r="M50" s="8">
        <v>3.54</v>
      </c>
      <c r="N50" s="8">
        <v>3.39</v>
      </c>
      <c r="O50" s="8">
        <v>3.09</v>
      </c>
      <c r="P50" s="8">
        <v>3.36</v>
      </c>
      <c r="Q50" s="8">
        <v>2.59</v>
      </c>
      <c r="R50" s="8">
        <v>2.42</v>
      </c>
      <c r="S50" s="8">
        <v>4.5199999999999996</v>
      </c>
      <c r="T50" s="8">
        <v>5.51</v>
      </c>
      <c r="U50" s="8">
        <v>3.99</v>
      </c>
      <c r="V50" s="8">
        <v>5.61</v>
      </c>
      <c r="W50" s="8">
        <v>3.81</v>
      </c>
      <c r="X50" s="8">
        <v>4.09</v>
      </c>
      <c r="Y50" s="8">
        <v>5.07</v>
      </c>
      <c r="Z50" s="8">
        <v>3.24</v>
      </c>
      <c r="AA50" s="8">
        <v>2.75</v>
      </c>
      <c r="AB50" s="8">
        <v>2.09</v>
      </c>
      <c r="AC50" s="8">
        <v>3.29</v>
      </c>
      <c r="AD50" s="8">
        <v>3.15</v>
      </c>
      <c r="AE50" s="8">
        <v>2.85</v>
      </c>
      <c r="AF50" s="8">
        <v>2.87</v>
      </c>
      <c r="AG50" s="8">
        <v>2.2999999999999998</v>
      </c>
      <c r="AH50" s="8">
        <v>3.06</v>
      </c>
      <c r="AI50" s="8">
        <v>3.53</v>
      </c>
      <c r="AJ50" s="8">
        <v>4.32</v>
      </c>
      <c r="AK50" s="8">
        <v>3.47</v>
      </c>
      <c r="AL50" s="8">
        <v>4.16</v>
      </c>
      <c r="AM50" s="8">
        <v>4.58</v>
      </c>
      <c r="AN50" s="8">
        <v>3.91</v>
      </c>
      <c r="AO50" s="8">
        <v>5.63</v>
      </c>
      <c r="AP50" s="8">
        <v>2.85</v>
      </c>
      <c r="AQ50" s="8">
        <v>3.17</v>
      </c>
      <c r="AR50" s="8">
        <v>2.63</v>
      </c>
      <c r="AS50" s="8">
        <v>3.59</v>
      </c>
      <c r="AT50" s="8">
        <v>2.4700000000000002</v>
      </c>
      <c r="AU50" s="6">
        <v>3.18</v>
      </c>
      <c r="AV50" s="11">
        <v>2.6</v>
      </c>
      <c r="AW50" s="6">
        <v>3.29</v>
      </c>
      <c r="AX50" s="6">
        <v>3</v>
      </c>
      <c r="AY50" s="6">
        <v>3.66</v>
      </c>
      <c r="AZ50" s="6">
        <v>3.13</v>
      </c>
      <c r="BA50" s="6">
        <v>5.13</v>
      </c>
      <c r="BB50" s="6">
        <v>2.84</v>
      </c>
      <c r="BC50" s="6">
        <v>3.09</v>
      </c>
      <c r="BD50" s="11">
        <v>3.87</v>
      </c>
      <c r="BE50" s="6">
        <v>3.49</v>
      </c>
      <c r="BF50" s="6">
        <v>4.6100000000000003</v>
      </c>
      <c r="BG50" s="6">
        <v>5.3</v>
      </c>
      <c r="BH50" s="6">
        <v>3.13</v>
      </c>
      <c r="BI50" s="6">
        <v>2.88</v>
      </c>
      <c r="BJ50" s="6">
        <v>3.8</v>
      </c>
      <c r="BK50" s="6">
        <v>3.25</v>
      </c>
      <c r="BL50" s="6">
        <v>3.28</v>
      </c>
      <c r="BM50" s="6">
        <v>4.4400000000000004</v>
      </c>
      <c r="BN50" s="6">
        <v>5.08</v>
      </c>
      <c r="BO50" s="6">
        <v>2.36</v>
      </c>
      <c r="BP50" s="6">
        <v>5.54</v>
      </c>
      <c r="BQ50" s="7">
        <v>3.75</v>
      </c>
      <c r="BR50" s="7">
        <v>3.12</v>
      </c>
      <c r="BS50" s="7">
        <v>3.7</v>
      </c>
      <c r="BT50" s="7">
        <v>2.71</v>
      </c>
      <c r="BU50" s="7">
        <v>3.1</v>
      </c>
      <c r="BV50" s="7">
        <v>4.33</v>
      </c>
      <c r="BW50" s="7">
        <v>6.2</v>
      </c>
      <c r="BX50" s="7">
        <v>3.38</v>
      </c>
      <c r="BY50" s="7">
        <v>3.7</v>
      </c>
      <c r="BZ50" s="7">
        <v>5.58</v>
      </c>
      <c r="CA50" s="7">
        <v>2.2799999999999998</v>
      </c>
      <c r="CB50" s="7">
        <v>3.78</v>
      </c>
      <c r="CC50" s="6">
        <v>5.2</v>
      </c>
      <c r="CD50" s="7">
        <v>3.54</v>
      </c>
      <c r="CE50" s="7">
        <v>3.32</v>
      </c>
      <c r="CF50" s="7">
        <v>4.68</v>
      </c>
      <c r="CG50" s="7">
        <v>2.84</v>
      </c>
      <c r="CH50" s="7">
        <v>4.62</v>
      </c>
      <c r="CI50" s="8">
        <v>3.64</v>
      </c>
      <c r="CJ50" s="8">
        <v>3.66</v>
      </c>
      <c r="CK50" s="7">
        <v>3.88</v>
      </c>
      <c r="CL50" s="6">
        <v>4.7</v>
      </c>
      <c r="CM50" s="6">
        <v>3.32</v>
      </c>
      <c r="CN50" s="6">
        <v>4.29</v>
      </c>
      <c r="CO50" s="10">
        <v>3.68</v>
      </c>
      <c r="CP50" s="10">
        <v>4.0199999999999996</v>
      </c>
    </row>
    <row r="51" spans="1:94" ht="15.75" customHeight="1" x14ac:dyDescent="0.25">
      <c r="A51" s="4">
        <v>50</v>
      </c>
      <c r="B51" s="4"/>
      <c r="C51" s="4">
        <v>19</v>
      </c>
      <c r="D51" s="8">
        <v>2.73</v>
      </c>
      <c r="E51" s="8">
        <v>3.03</v>
      </c>
      <c r="F51" s="8">
        <v>5.58</v>
      </c>
      <c r="G51" s="8">
        <v>3.26</v>
      </c>
      <c r="H51" s="8">
        <v>3.83</v>
      </c>
      <c r="I51" s="8">
        <v>2.6</v>
      </c>
      <c r="J51" s="8">
        <v>3.72</v>
      </c>
      <c r="K51" s="8">
        <v>2.99</v>
      </c>
      <c r="L51" s="8">
        <v>4.7300000000000004</v>
      </c>
      <c r="M51" s="8">
        <v>3.56</v>
      </c>
      <c r="N51" s="8">
        <v>3.33</v>
      </c>
      <c r="O51" s="8">
        <v>3.02</v>
      </c>
      <c r="P51" s="8">
        <v>3.3</v>
      </c>
      <c r="Q51" s="8">
        <v>2.52</v>
      </c>
      <c r="R51" s="8">
        <v>2.42</v>
      </c>
      <c r="S51" s="8">
        <v>4.5199999999999996</v>
      </c>
      <c r="T51" s="8">
        <v>5.66</v>
      </c>
      <c r="U51" s="8">
        <v>3.94</v>
      </c>
      <c r="V51" s="8">
        <v>5.59</v>
      </c>
      <c r="W51" s="8">
        <v>3.71</v>
      </c>
      <c r="X51" s="8">
        <v>4.05</v>
      </c>
      <c r="Y51" s="8">
        <v>5.05</v>
      </c>
      <c r="Z51" s="8">
        <v>3.24</v>
      </c>
      <c r="AA51" s="8">
        <v>2.71</v>
      </c>
      <c r="AB51" s="8">
        <v>2.06</v>
      </c>
      <c r="AC51" s="8">
        <v>3.27</v>
      </c>
      <c r="AD51" s="8">
        <v>3.15</v>
      </c>
      <c r="AE51" s="8">
        <v>2.81</v>
      </c>
      <c r="AF51" s="8">
        <v>2.87</v>
      </c>
      <c r="AG51" s="8">
        <v>2.2799999999999998</v>
      </c>
      <c r="AH51" s="8">
        <v>3.01</v>
      </c>
      <c r="AI51" s="8">
        <v>3.43</v>
      </c>
      <c r="AJ51" s="8">
        <v>4.1900000000000004</v>
      </c>
      <c r="AK51" s="8">
        <v>3.38</v>
      </c>
      <c r="AL51" s="8">
        <v>4.1900000000000004</v>
      </c>
      <c r="AM51" s="8">
        <v>4.6399999999999997</v>
      </c>
      <c r="AN51" s="8">
        <v>3.83</v>
      </c>
      <c r="AO51" s="8">
        <v>5.6</v>
      </c>
      <c r="AP51" s="8">
        <v>2.84</v>
      </c>
      <c r="AQ51" s="8">
        <v>3.15</v>
      </c>
      <c r="AR51" s="8">
        <v>2.59</v>
      </c>
      <c r="AS51" s="8">
        <v>3.53</v>
      </c>
      <c r="AT51" s="8">
        <v>2.4500000000000002</v>
      </c>
      <c r="AU51" s="6">
        <v>3.18</v>
      </c>
      <c r="AV51" s="11">
        <v>2.5499999999999998</v>
      </c>
      <c r="AW51" s="6">
        <v>3.29</v>
      </c>
      <c r="AX51" s="6">
        <v>2.89</v>
      </c>
      <c r="AY51" s="6">
        <v>3.69</v>
      </c>
      <c r="AZ51" s="6">
        <v>3.08</v>
      </c>
      <c r="BA51" s="6">
        <v>5.05</v>
      </c>
      <c r="BB51" s="6">
        <v>2.8</v>
      </c>
      <c r="BC51" s="6">
        <v>2.96</v>
      </c>
      <c r="BD51" s="11">
        <v>3.8</v>
      </c>
      <c r="BE51" s="6">
        <v>3.5</v>
      </c>
      <c r="BF51" s="6">
        <v>4.55</v>
      </c>
      <c r="BG51" s="6">
        <v>5.38</v>
      </c>
      <c r="BH51" s="6">
        <v>3.08</v>
      </c>
      <c r="BI51" s="6">
        <v>2.86</v>
      </c>
      <c r="BJ51" s="6">
        <v>3.9</v>
      </c>
      <c r="BK51" s="6">
        <v>3.22</v>
      </c>
      <c r="BL51" s="6">
        <v>3.22</v>
      </c>
      <c r="BM51" s="6">
        <v>4.4800000000000004</v>
      </c>
      <c r="BN51" s="6">
        <v>5.18</v>
      </c>
      <c r="BO51" s="6">
        <v>2.38</v>
      </c>
      <c r="BP51" s="6">
        <v>5.48</v>
      </c>
      <c r="BQ51" s="7">
        <v>3.72</v>
      </c>
      <c r="BR51" s="7">
        <v>3.1</v>
      </c>
      <c r="BS51" s="7">
        <v>3.66</v>
      </c>
      <c r="BT51" s="7">
        <v>2.71</v>
      </c>
      <c r="BU51" s="7">
        <v>3.14</v>
      </c>
      <c r="BV51" s="7">
        <v>4.38</v>
      </c>
      <c r="BW51" s="7">
        <v>6.14</v>
      </c>
      <c r="BX51" s="7">
        <v>3.3</v>
      </c>
      <c r="BY51" s="7">
        <v>3.82</v>
      </c>
      <c r="BZ51" s="7">
        <v>5.5</v>
      </c>
      <c r="CA51" s="7">
        <v>2.2999999999999998</v>
      </c>
      <c r="CB51" s="7">
        <v>3.72</v>
      </c>
      <c r="CC51" s="6">
        <v>5.2</v>
      </c>
      <c r="CD51" s="7">
        <v>3.56</v>
      </c>
      <c r="CE51" s="7">
        <v>3.24</v>
      </c>
      <c r="CF51" s="7">
        <v>4.68</v>
      </c>
      <c r="CG51" s="7">
        <v>2.8</v>
      </c>
      <c r="CH51" s="7">
        <v>4.54</v>
      </c>
      <c r="CI51" s="8">
        <v>3.6</v>
      </c>
      <c r="CJ51" s="8">
        <v>3.64</v>
      </c>
      <c r="CK51" s="7">
        <v>3.82</v>
      </c>
      <c r="CL51" s="6">
        <v>4.5999999999999996</v>
      </c>
      <c r="CM51" s="6">
        <v>3.28</v>
      </c>
      <c r="CN51" s="6">
        <v>4.26</v>
      </c>
      <c r="CO51" s="10">
        <v>3.74</v>
      </c>
      <c r="CP51" s="10">
        <v>3.94</v>
      </c>
    </row>
    <row r="52" spans="1:94" ht="15.75" customHeight="1" x14ac:dyDescent="0.25">
      <c r="A52" s="4">
        <v>51</v>
      </c>
      <c r="B52" s="4"/>
      <c r="C52" s="4">
        <v>20</v>
      </c>
      <c r="D52" s="8">
        <v>2.68</v>
      </c>
      <c r="E52" s="8">
        <v>2.98</v>
      </c>
      <c r="F52" s="8">
        <v>5.56</v>
      </c>
      <c r="G52" s="8">
        <v>3.28</v>
      </c>
      <c r="H52" s="8">
        <v>3.73</v>
      </c>
      <c r="I52" s="8">
        <v>2.58</v>
      </c>
      <c r="J52" s="8">
        <v>3.63</v>
      </c>
      <c r="K52" s="8">
        <v>2.99</v>
      </c>
      <c r="L52" s="8">
        <v>4.6900000000000004</v>
      </c>
      <c r="M52" s="8">
        <v>3.54</v>
      </c>
      <c r="N52" s="8">
        <v>3.38</v>
      </c>
      <c r="O52" s="8">
        <v>3</v>
      </c>
      <c r="P52" s="8">
        <v>3.24</v>
      </c>
      <c r="Q52" s="8">
        <v>2.4900000000000002</v>
      </c>
      <c r="R52" s="8">
        <v>2.35</v>
      </c>
      <c r="S52" s="8">
        <v>4.5199999999999996</v>
      </c>
      <c r="T52" s="8">
        <v>5.81</v>
      </c>
      <c r="U52" s="8">
        <v>3.92</v>
      </c>
      <c r="V52" s="8">
        <v>5.59</v>
      </c>
      <c r="W52" s="8">
        <v>3.61</v>
      </c>
      <c r="X52" s="8">
        <v>4.01</v>
      </c>
      <c r="Y52" s="8">
        <v>5.03</v>
      </c>
      <c r="Z52" s="8">
        <v>3.24</v>
      </c>
      <c r="AA52" s="8">
        <v>2.67</v>
      </c>
      <c r="AB52" s="8">
        <v>2.06</v>
      </c>
      <c r="AC52" s="8">
        <v>3.27</v>
      </c>
      <c r="AD52" s="8">
        <v>3.09</v>
      </c>
      <c r="AE52" s="8">
        <v>2.77</v>
      </c>
      <c r="AF52" s="8">
        <v>2.87</v>
      </c>
      <c r="AG52" s="8">
        <v>2.2400000000000002</v>
      </c>
      <c r="AH52" s="8">
        <v>2.99</v>
      </c>
      <c r="AI52" s="8">
        <v>3.33</v>
      </c>
      <c r="AJ52" s="8">
        <v>4.12</v>
      </c>
      <c r="AK52" s="8">
        <v>3.29</v>
      </c>
      <c r="AL52" s="8">
        <v>4.1900000000000004</v>
      </c>
      <c r="AM52" s="8">
        <v>4.71</v>
      </c>
      <c r="AN52" s="8">
        <v>3.78</v>
      </c>
      <c r="AO52" s="8">
        <v>5.58</v>
      </c>
      <c r="AP52" s="8">
        <v>2.83</v>
      </c>
      <c r="AQ52" s="8">
        <v>3.11</v>
      </c>
      <c r="AR52" s="8">
        <v>2.5499999999999998</v>
      </c>
      <c r="AS52" s="8">
        <v>3.5</v>
      </c>
      <c r="AT52" s="8">
        <v>2.42</v>
      </c>
      <c r="AU52" s="6">
        <v>3.18</v>
      </c>
      <c r="AV52" s="11">
        <v>2.4500000000000002</v>
      </c>
      <c r="AW52" s="6">
        <v>3.27</v>
      </c>
      <c r="AX52" s="6">
        <v>2.99</v>
      </c>
      <c r="AY52" s="6">
        <v>3.69</v>
      </c>
      <c r="AZ52" s="6">
        <v>3.02</v>
      </c>
      <c r="BA52" s="6">
        <v>4.9800000000000004</v>
      </c>
      <c r="BB52" s="6">
        <v>2.78</v>
      </c>
      <c r="BC52" s="6">
        <v>2.9</v>
      </c>
      <c r="BD52" s="11">
        <v>3.76</v>
      </c>
      <c r="BE52" s="6">
        <v>3.49</v>
      </c>
      <c r="BF52" s="6">
        <v>4.46</v>
      </c>
      <c r="BG52" s="6">
        <v>5.44</v>
      </c>
      <c r="BH52" s="6">
        <v>3.05</v>
      </c>
      <c r="BI52" s="6">
        <v>2.84</v>
      </c>
      <c r="BJ52" s="6">
        <v>3.75</v>
      </c>
      <c r="BK52" s="6">
        <v>3.2</v>
      </c>
      <c r="BL52" s="6">
        <v>3.13</v>
      </c>
      <c r="BM52" s="6">
        <v>4.5199999999999996</v>
      </c>
      <c r="BN52" s="6">
        <v>5.28</v>
      </c>
      <c r="BO52" s="6">
        <v>2.36</v>
      </c>
      <c r="BP52" s="6">
        <v>5.44</v>
      </c>
      <c r="BQ52" s="7">
        <v>3.65</v>
      </c>
      <c r="BR52" s="7">
        <v>3.05</v>
      </c>
      <c r="BS52" s="7">
        <v>3.6</v>
      </c>
      <c r="BT52" s="7">
        <v>2.7</v>
      </c>
      <c r="BU52" s="7">
        <v>3.08</v>
      </c>
      <c r="BV52" s="7">
        <v>4.4000000000000004</v>
      </c>
      <c r="BW52" s="7">
        <v>5.98</v>
      </c>
      <c r="BX52" s="7">
        <v>3.28</v>
      </c>
      <c r="BY52" s="7">
        <v>3.8</v>
      </c>
      <c r="BZ52" s="7">
        <v>5.4</v>
      </c>
      <c r="CA52" s="7">
        <v>2.2999999999999998</v>
      </c>
      <c r="CB52" s="7">
        <v>3.72</v>
      </c>
      <c r="CC52" s="6">
        <v>5.14</v>
      </c>
      <c r="CD52" s="7">
        <v>3.54</v>
      </c>
      <c r="CE52" s="7">
        <v>3.24</v>
      </c>
      <c r="CF52" s="7">
        <v>4.68</v>
      </c>
      <c r="CG52" s="7">
        <v>2.7</v>
      </c>
      <c r="CH52" s="7">
        <v>4.46</v>
      </c>
      <c r="CI52" s="8">
        <v>3.58</v>
      </c>
      <c r="CJ52" s="8">
        <v>3.64</v>
      </c>
      <c r="CK52" s="7">
        <v>3.76</v>
      </c>
      <c r="CL52" s="6">
        <v>4.5199999999999996</v>
      </c>
      <c r="CM52" s="6">
        <v>3.28</v>
      </c>
      <c r="CN52" s="6">
        <v>4.26</v>
      </c>
      <c r="CO52" s="10">
        <v>3.79</v>
      </c>
      <c r="CP52" s="10">
        <v>3.91</v>
      </c>
    </row>
    <row r="53" spans="1:94" ht="15.75" customHeight="1" x14ac:dyDescent="0.25">
      <c r="A53" s="4">
        <v>52</v>
      </c>
      <c r="B53" s="4"/>
      <c r="C53" s="4">
        <v>21</v>
      </c>
      <c r="D53" s="8">
        <v>2.63</v>
      </c>
      <c r="E53" s="8">
        <v>2.93</v>
      </c>
      <c r="F53" s="8">
        <v>5.54</v>
      </c>
      <c r="G53" s="8">
        <v>3.28</v>
      </c>
      <c r="H53" s="8">
        <v>3.68</v>
      </c>
      <c r="I53" s="8">
        <v>2.56</v>
      </c>
      <c r="J53" s="8">
        <v>3.53</v>
      </c>
      <c r="K53" s="8">
        <v>2.99</v>
      </c>
      <c r="L53" s="8">
        <v>4.66</v>
      </c>
      <c r="M53" s="8">
        <v>3.49</v>
      </c>
      <c r="N53" s="8">
        <v>3.32</v>
      </c>
      <c r="O53" s="8">
        <v>2.96</v>
      </c>
      <c r="P53" s="8">
        <v>3.14</v>
      </c>
      <c r="Q53" s="8">
        <v>2.4500000000000002</v>
      </c>
      <c r="R53" s="8">
        <v>2.33</v>
      </c>
      <c r="S53" s="8">
        <v>4.6100000000000003</v>
      </c>
      <c r="T53" s="8">
        <v>5.96</v>
      </c>
      <c r="U53" s="8">
        <v>3.92</v>
      </c>
      <c r="V53" s="8">
        <v>5.55</v>
      </c>
      <c r="W53" s="8">
        <v>3.51</v>
      </c>
      <c r="X53" s="8">
        <v>3.95</v>
      </c>
      <c r="Y53" s="8">
        <v>5.01</v>
      </c>
      <c r="Z53" s="8">
        <v>3.23</v>
      </c>
      <c r="AA53" s="8">
        <v>2.63</v>
      </c>
      <c r="AB53" s="8">
        <v>2.0299999999999998</v>
      </c>
      <c r="AC53" s="8">
        <v>3.22</v>
      </c>
      <c r="AD53" s="8">
        <v>3.01</v>
      </c>
      <c r="AE53" s="8">
        <v>2.73</v>
      </c>
      <c r="AF53" s="8">
        <v>2.87</v>
      </c>
      <c r="AG53" s="8">
        <v>2.2000000000000002</v>
      </c>
      <c r="AH53" s="8">
        <v>2.99</v>
      </c>
      <c r="AI53" s="8">
        <v>3.24</v>
      </c>
      <c r="AJ53" s="8">
        <v>4.03</v>
      </c>
      <c r="AK53" s="8">
        <v>3.21</v>
      </c>
      <c r="AL53" s="8">
        <v>4.17</v>
      </c>
      <c r="AM53" s="8">
        <v>4.78</v>
      </c>
      <c r="AN53" s="8">
        <v>3.71</v>
      </c>
      <c r="AO53" s="8">
        <v>5.58</v>
      </c>
      <c r="AP53" s="8">
        <v>2.74</v>
      </c>
      <c r="AQ53" s="8">
        <v>3.11</v>
      </c>
      <c r="AR53" s="8">
        <v>2.52</v>
      </c>
      <c r="AS53" s="8">
        <v>3.43</v>
      </c>
      <c r="AT53" s="8">
        <v>2.39</v>
      </c>
      <c r="AU53" s="6">
        <v>3.21</v>
      </c>
      <c r="AV53" s="11">
        <v>2.4500000000000002</v>
      </c>
      <c r="AW53" s="6">
        <v>3.2</v>
      </c>
      <c r="AX53" s="6">
        <v>3</v>
      </c>
      <c r="AY53" s="6">
        <v>3.68</v>
      </c>
      <c r="AZ53" s="6">
        <v>2.94</v>
      </c>
      <c r="BA53" s="6">
        <v>4.9400000000000004</v>
      </c>
      <c r="BB53" s="6">
        <v>2.78</v>
      </c>
      <c r="BC53" s="6">
        <v>2.89</v>
      </c>
      <c r="BD53" s="11">
        <v>3.74</v>
      </c>
      <c r="BE53" s="6">
        <v>3.5</v>
      </c>
      <c r="BF53" s="6">
        <v>4.3600000000000003</v>
      </c>
      <c r="BG53" s="6">
        <v>5.46</v>
      </c>
      <c r="BH53" s="6">
        <v>3.01</v>
      </c>
      <c r="BI53" s="6">
        <v>2.72</v>
      </c>
      <c r="BJ53" s="6">
        <v>3.68</v>
      </c>
      <c r="BK53" s="6">
        <v>3.16</v>
      </c>
      <c r="BL53" s="6">
        <v>3.1</v>
      </c>
      <c r="BM53" s="6">
        <v>4.54</v>
      </c>
      <c r="BN53" s="6">
        <v>5.32</v>
      </c>
      <c r="BO53" s="6">
        <v>2.34</v>
      </c>
      <c r="BP53" s="6">
        <v>5.49</v>
      </c>
      <c r="BQ53" s="7">
        <v>3.55</v>
      </c>
      <c r="BR53" s="7">
        <v>3.04</v>
      </c>
      <c r="BS53" s="7">
        <v>3.54</v>
      </c>
      <c r="BT53" s="7">
        <v>2.72</v>
      </c>
      <c r="BU53" s="7">
        <v>3.1</v>
      </c>
      <c r="BV53" s="7">
        <v>4.46</v>
      </c>
      <c r="BW53" s="7">
        <v>5.79</v>
      </c>
      <c r="BX53" s="7">
        <v>3.2</v>
      </c>
      <c r="BY53" s="7">
        <v>3.8</v>
      </c>
      <c r="BZ53" s="7">
        <v>5.5</v>
      </c>
      <c r="CA53" s="7">
        <v>2.2599999999999998</v>
      </c>
      <c r="CB53" s="7">
        <v>3.7</v>
      </c>
      <c r="CC53" s="6">
        <v>5.14</v>
      </c>
      <c r="CD53" s="7">
        <v>3.62</v>
      </c>
      <c r="CE53" s="7">
        <v>3.22</v>
      </c>
      <c r="CF53" s="7">
        <v>4.62</v>
      </c>
      <c r="CG53" s="7">
        <v>2.7</v>
      </c>
      <c r="CH53" s="7">
        <v>4.46</v>
      </c>
      <c r="CI53" s="8">
        <v>3.5</v>
      </c>
      <c r="CJ53" s="8">
        <v>3.62</v>
      </c>
      <c r="CK53" s="7">
        <v>3.76</v>
      </c>
      <c r="CL53" s="6">
        <v>4.5</v>
      </c>
      <c r="CM53" s="6">
        <v>3.29</v>
      </c>
      <c r="CN53" s="6">
        <v>4.3</v>
      </c>
      <c r="CO53" s="10">
        <v>3.82</v>
      </c>
      <c r="CP53" s="10">
        <v>3.88</v>
      </c>
    </row>
    <row r="54" spans="1:94" ht="15.75" customHeight="1" x14ac:dyDescent="0.25">
      <c r="A54" s="4">
        <v>53</v>
      </c>
      <c r="B54" s="4"/>
      <c r="C54" s="4">
        <v>22</v>
      </c>
      <c r="D54" s="8">
        <v>2.58</v>
      </c>
      <c r="E54" s="8">
        <v>2.88</v>
      </c>
      <c r="F54" s="8">
        <v>5.52</v>
      </c>
      <c r="G54" s="8">
        <v>3.28</v>
      </c>
      <c r="H54" s="8">
        <v>3.58</v>
      </c>
      <c r="I54" s="8">
        <v>2.52</v>
      </c>
      <c r="J54" s="8">
        <v>3.43</v>
      </c>
      <c r="K54" s="8">
        <v>2.99</v>
      </c>
      <c r="L54" s="8">
        <v>4.6399999999999997</v>
      </c>
      <c r="M54" s="8">
        <v>3.43</v>
      </c>
      <c r="N54" s="8">
        <v>3.3</v>
      </c>
      <c r="O54" s="8">
        <v>2.91</v>
      </c>
      <c r="P54" s="8">
        <v>3.1</v>
      </c>
      <c r="Q54" s="8">
        <v>2.42</v>
      </c>
      <c r="R54" s="8">
        <v>2.2799999999999998</v>
      </c>
      <c r="S54" s="8">
        <v>4.7300000000000004</v>
      </c>
      <c r="T54" s="8">
        <v>6.16</v>
      </c>
      <c r="U54" s="8">
        <v>3.9</v>
      </c>
      <c r="V54" s="8">
        <v>5.5</v>
      </c>
      <c r="W54" s="8">
        <v>3.41</v>
      </c>
      <c r="X54" s="8">
        <v>3.9</v>
      </c>
      <c r="Y54" s="8">
        <v>4.96</v>
      </c>
      <c r="Z54" s="8">
        <v>3.1</v>
      </c>
      <c r="AA54" s="8">
        <v>2.61</v>
      </c>
      <c r="AB54" s="8">
        <v>2.0099999999999998</v>
      </c>
      <c r="AC54" s="8">
        <v>3.14</v>
      </c>
      <c r="AD54" s="8">
        <v>2.93</v>
      </c>
      <c r="AE54" s="8">
        <v>2.69</v>
      </c>
      <c r="AF54" s="8">
        <v>2.91</v>
      </c>
      <c r="AG54" s="8">
        <v>2.16</v>
      </c>
      <c r="AH54" s="8">
        <v>3.01</v>
      </c>
      <c r="AI54" s="8">
        <v>3.15</v>
      </c>
      <c r="AJ54" s="8">
        <v>3.95</v>
      </c>
      <c r="AK54" s="8">
        <v>3.12</v>
      </c>
      <c r="AL54" s="8">
        <v>4.0999999999999996</v>
      </c>
      <c r="AM54" s="8">
        <v>4.83</v>
      </c>
      <c r="AN54" s="8">
        <v>3.65</v>
      </c>
      <c r="AO54" s="8">
        <v>5.58</v>
      </c>
      <c r="AP54" s="8">
        <v>2.69</v>
      </c>
      <c r="AQ54" s="8">
        <v>3.11</v>
      </c>
      <c r="AR54" s="8">
        <v>2.48</v>
      </c>
      <c r="AS54" s="8">
        <v>3.36</v>
      </c>
      <c r="AT54" s="8">
        <v>2.36</v>
      </c>
      <c r="AU54" s="6">
        <v>3.15</v>
      </c>
      <c r="AV54" s="11">
        <v>2.41</v>
      </c>
      <c r="AW54" s="6">
        <v>3.15</v>
      </c>
      <c r="AX54" s="6">
        <v>2.99</v>
      </c>
      <c r="AY54" s="6">
        <v>3.67</v>
      </c>
      <c r="AZ54" s="6">
        <v>2.85</v>
      </c>
      <c r="BA54" s="6">
        <v>4.88</v>
      </c>
      <c r="BB54" s="6">
        <v>2.77</v>
      </c>
      <c r="BC54" s="6">
        <v>2.9</v>
      </c>
      <c r="BD54" s="11">
        <v>3.76</v>
      </c>
      <c r="BE54" s="6">
        <v>3.53</v>
      </c>
      <c r="BF54" s="6">
        <v>4.3</v>
      </c>
      <c r="BG54" s="6">
        <v>5.46</v>
      </c>
      <c r="BH54" s="6">
        <v>2.97</v>
      </c>
      <c r="BI54" s="6">
        <v>2.78</v>
      </c>
      <c r="BJ54" s="6">
        <v>3.7</v>
      </c>
      <c r="BK54" s="6">
        <v>3.12</v>
      </c>
      <c r="BL54" s="6">
        <v>3.05</v>
      </c>
      <c r="BM54" s="6">
        <v>4.5999999999999996</v>
      </c>
      <c r="BN54" s="6">
        <v>5.36</v>
      </c>
      <c r="BO54" s="6">
        <v>2.7</v>
      </c>
      <c r="BP54" s="6">
        <v>5.39</v>
      </c>
      <c r="BQ54" s="7">
        <v>3.42</v>
      </c>
      <c r="BR54" s="7">
        <v>3.08</v>
      </c>
      <c r="BS54" s="7">
        <v>3.48</v>
      </c>
      <c r="BT54" s="7">
        <v>2.63</v>
      </c>
      <c r="BU54" s="7">
        <v>3.06</v>
      </c>
      <c r="BV54" s="7">
        <v>4.5</v>
      </c>
      <c r="BW54" s="7">
        <v>5.62</v>
      </c>
      <c r="BX54" s="7">
        <v>3.14</v>
      </c>
      <c r="BY54" s="7">
        <v>3.78</v>
      </c>
      <c r="BZ54" s="7">
        <v>5.68</v>
      </c>
      <c r="CA54" s="7">
        <v>2.2000000000000002</v>
      </c>
      <c r="CB54" s="7">
        <v>3.72</v>
      </c>
      <c r="CC54" s="6">
        <v>5.12</v>
      </c>
      <c r="CD54" s="7">
        <v>3.72</v>
      </c>
      <c r="CE54" s="7">
        <v>3.18</v>
      </c>
      <c r="CF54" s="7">
        <v>4.58</v>
      </c>
      <c r="CG54" s="7">
        <v>2.7</v>
      </c>
      <c r="CH54" s="7">
        <v>4.34</v>
      </c>
      <c r="CI54" s="8">
        <v>3.46</v>
      </c>
      <c r="CJ54" s="8">
        <v>3.6</v>
      </c>
      <c r="CK54" s="7">
        <v>3.62</v>
      </c>
      <c r="CL54" s="6">
        <v>4.5</v>
      </c>
      <c r="CM54" s="6">
        <v>3.2</v>
      </c>
      <c r="CN54" s="6">
        <v>4.34</v>
      </c>
      <c r="CO54" s="10">
        <v>3.84</v>
      </c>
      <c r="CP54" s="10">
        <v>3.92</v>
      </c>
    </row>
    <row r="55" spans="1:94" ht="15.75" customHeight="1" x14ac:dyDescent="0.25">
      <c r="A55" s="4">
        <v>54</v>
      </c>
      <c r="B55" s="4"/>
      <c r="C55" s="4">
        <v>23</v>
      </c>
      <c r="D55" s="8">
        <v>2.5299999999999998</v>
      </c>
      <c r="E55" s="8">
        <v>2.83</v>
      </c>
      <c r="F55" s="8">
        <v>5.48</v>
      </c>
      <c r="G55" s="8">
        <v>3.28</v>
      </c>
      <c r="H55" s="8">
        <v>3.48</v>
      </c>
      <c r="I55" s="8">
        <v>2.48</v>
      </c>
      <c r="J55" s="8">
        <v>3.38</v>
      </c>
      <c r="K55" s="8">
        <v>2.96</v>
      </c>
      <c r="L55" s="8">
        <v>4.62</v>
      </c>
      <c r="M55" s="8">
        <v>3.36</v>
      </c>
      <c r="N55" s="8">
        <v>3.3</v>
      </c>
      <c r="O55" s="8">
        <v>2.85</v>
      </c>
      <c r="P55" s="8">
        <v>3.08</v>
      </c>
      <c r="Q55" s="8">
        <v>2.41</v>
      </c>
      <c r="R55" s="8">
        <v>2.2999999999999998</v>
      </c>
      <c r="S55" s="8">
        <v>4.8099999999999996</v>
      </c>
      <c r="T55" s="8">
        <v>6.33</v>
      </c>
      <c r="U55" s="8">
        <v>3.86</v>
      </c>
      <c r="V55" s="8">
        <v>5.45</v>
      </c>
      <c r="W55" s="8">
        <v>3.35</v>
      </c>
      <c r="X55" s="8">
        <v>3.85</v>
      </c>
      <c r="Y55" s="8">
        <v>4.92</v>
      </c>
      <c r="Z55" s="8">
        <v>3.05</v>
      </c>
      <c r="AA55" s="8">
        <v>2.56</v>
      </c>
      <c r="AB55" s="8">
        <v>1.99</v>
      </c>
      <c r="AC55" s="8">
        <v>3.14</v>
      </c>
      <c r="AD55" s="8">
        <v>2.87</v>
      </c>
      <c r="AE55" s="8">
        <v>2.65</v>
      </c>
      <c r="AF55" s="8">
        <v>2.96</v>
      </c>
      <c r="AG55" s="8">
        <v>2.13</v>
      </c>
      <c r="AH55" s="8">
        <v>2.95</v>
      </c>
      <c r="AI55" s="8">
        <v>3.1</v>
      </c>
      <c r="AJ55" s="8">
        <v>3.84</v>
      </c>
      <c r="AK55" s="8">
        <v>3.05</v>
      </c>
      <c r="AL55" s="8">
        <v>4.03</v>
      </c>
      <c r="AM55" s="8">
        <v>4.84</v>
      </c>
      <c r="AN55" s="8">
        <v>3.64</v>
      </c>
      <c r="AO55" s="8">
        <v>5.49</v>
      </c>
      <c r="AP55" s="8">
        <v>2.66</v>
      </c>
      <c r="AQ55" s="8">
        <v>3.05</v>
      </c>
      <c r="AR55" s="8">
        <v>2.4500000000000002</v>
      </c>
      <c r="AS55" s="8">
        <v>3.29</v>
      </c>
      <c r="AT55" s="8">
        <v>2.34</v>
      </c>
      <c r="AU55" s="6">
        <v>3.11</v>
      </c>
      <c r="AV55" s="11">
        <v>2.41</v>
      </c>
      <c r="AW55" s="6">
        <v>3.09</v>
      </c>
      <c r="AX55" s="6">
        <v>2.91</v>
      </c>
      <c r="AY55" s="6">
        <v>3.7</v>
      </c>
      <c r="AZ55" s="6">
        <v>2.77</v>
      </c>
      <c r="BA55" s="6">
        <v>4.82</v>
      </c>
      <c r="BB55" s="6">
        <v>2.69</v>
      </c>
      <c r="BC55" s="6">
        <v>2.89</v>
      </c>
      <c r="BD55" s="11">
        <v>3.8</v>
      </c>
      <c r="BE55" s="6">
        <v>3.51</v>
      </c>
      <c r="BF55" s="6">
        <v>4.28</v>
      </c>
      <c r="BG55" s="6">
        <v>5.4</v>
      </c>
      <c r="BH55" s="6">
        <v>2.94</v>
      </c>
      <c r="BI55" s="6">
        <v>2.76</v>
      </c>
      <c r="BJ55" s="6">
        <v>3.6</v>
      </c>
      <c r="BK55" s="6">
        <v>3.13</v>
      </c>
      <c r="BL55" s="6">
        <v>3</v>
      </c>
      <c r="BM55" s="6">
        <v>4.5999999999999996</v>
      </c>
      <c r="BN55" s="6">
        <v>5.38</v>
      </c>
      <c r="BO55" s="6">
        <v>2.9</v>
      </c>
      <c r="BP55" s="6">
        <v>5.4</v>
      </c>
      <c r="BQ55" s="7">
        <v>3.37</v>
      </c>
      <c r="BR55" s="7">
        <v>3.08</v>
      </c>
      <c r="BS55" s="7">
        <v>3.4</v>
      </c>
      <c r="BT55" s="7">
        <v>2.64</v>
      </c>
      <c r="BU55" s="7">
        <v>2.94</v>
      </c>
      <c r="BV55" s="7">
        <v>4.6100000000000003</v>
      </c>
      <c r="BW55" s="7">
        <v>5.56</v>
      </c>
      <c r="BX55" s="7">
        <v>3.1</v>
      </c>
      <c r="BY55" s="7">
        <v>3.82</v>
      </c>
      <c r="BZ55" s="7">
        <v>5.58</v>
      </c>
      <c r="CA55" s="7">
        <v>2.1800000000000002</v>
      </c>
      <c r="CB55" s="7">
        <v>3.8</v>
      </c>
      <c r="CC55" s="6">
        <v>5.0599999999999996</v>
      </c>
      <c r="CD55" s="7">
        <v>3.82</v>
      </c>
      <c r="CE55" s="7">
        <v>3.16</v>
      </c>
      <c r="CF55" s="7">
        <v>4.5599999999999996</v>
      </c>
      <c r="CG55" s="7">
        <v>2.68</v>
      </c>
      <c r="CH55" s="7">
        <v>4.3</v>
      </c>
      <c r="CI55" s="8">
        <v>3.4</v>
      </c>
      <c r="CJ55" s="8">
        <v>3.6</v>
      </c>
      <c r="CK55" s="7">
        <v>3.56</v>
      </c>
      <c r="CL55" s="6">
        <v>4.46</v>
      </c>
      <c r="CM55" s="6">
        <v>3.19</v>
      </c>
      <c r="CN55" s="6">
        <v>4.34</v>
      </c>
      <c r="CO55" s="10">
        <v>3.82</v>
      </c>
      <c r="CP55" s="10">
        <v>3.96</v>
      </c>
    </row>
    <row r="56" spans="1:94" ht="15.75" customHeight="1" x14ac:dyDescent="0.25">
      <c r="A56" s="4">
        <v>55</v>
      </c>
      <c r="B56" s="4"/>
      <c r="C56" s="4">
        <v>24</v>
      </c>
      <c r="D56" s="8">
        <v>2.48</v>
      </c>
      <c r="E56" s="8">
        <v>2.78</v>
      </c>
      <c r="F56" s="8">
        <v>5.38</v>
      </c>
      <c r="G56" s="8">
        <v>3.28</v>
      </c>
      <c r="H56" s="8">
        <v>3.38</v>
      </c>
      <c r="I56" s="8">
        <v>2.44</v>
      </c>
      <c r="J56" s="8">
        <v>3.33</v>
      </c>
      <c r="K56" s="8">
        <v>2.88</v>
      </c>
      <c r="L56" s="8">
        <v>4.5999999999999996</v>
      </c>
      <c r="M56" s="8">
        <v>3.32</v>
      </c>
      <c r="N56" s="8">
        <v>3.41</v>
      </c>
      <c r="O56" s="8">
        <v>2.81</v>
      </c>
      <c r="P56" s="8">
        <v>3.06</v>
      </c>
      <c r="Q56" s="8">
        <v>2.4</v>
      </c>
      <c r="R56" s="8">
        <v>2.29</v>
      </c>
      <c r="S56" s="8">
        <v>4.82</v>
      </c>
      <c r="T56" s="8">
        <v>6.41</v>
      </c>
      <c r="U56" s="8">
        <v>3.86</v>
      </c>
      <c r="V56" s="8">
        <v>5.41</v>
      </c>
      <c r="W56" s="8">
        <v>3.28</v>
      </c>
      <c r="X56" s="8">
        <v>3.85</v>
      </c>
      <c r="Y56" s="8">
        <v>4.8899999999999997</v>
      </c>
      <c r="Z56" s="8">
        <v>3.05</v>
      </c>
      <c r="AA56" s="8">
        <v>2.5099999999999998</v>
      </c>
      <c r="AB56" s="8">
        <v>1.95</v>
      </c>
      <c r="AC56" s="8">
        <v>3.18</v>
      </c>
      <c r="AD56" s="8">
        <v>2.81</v>
      </c>
      <c r="AE56" s="8">
        <v>2.61</v>
      </c>
      <c r="AF56" s="8">
        <v>3.09</v>
      </c>
      <c r="AG56" s="8">
        <v>2.1</v>
      </c>
      <c r="AH56" s="8">
        <v>2.88</v>
      </c>
      <c r="AI56" s="8">
        <v>3.03</v>
      </c>
      <c r="AJ56" s="8">
        <v>3.76</v>
      </c>
      <c r="AK56" s="8">
        <v>2.98</v>
      </c>
      <c r="AL56" s="8">
        <v>3.95</v>
      </c>
      <c r="AM56" s="8">
        <v>4.83</v>
      </c>
      <c r="AN56" s="8">
        <v>3.56</v>
      </c>
      <c r="AO56" s="8">
        <v>5.4</v>
      </c>
      <c r="AP56" s="8">
        <v>2.62</v>
      </c>
      <c r="AQ56" s="8">
        <v>3.07</v>
      </c>
      <c r="AR56" s="8">
        <v>2.42</v>
      </c>
      <c r="AS56" s="8">
        <v>3.29</v>
      </c>
      <c r="AT56" s="8">
        <v>2.33</v>
      </c>
      <c r="AU56" s="6">
        <v>3.11</v>
      </c>
      <c r="AV56" s="11">
        <v>2.36</v>
      </c>
      <c r="AW56" s="6">
        <v>3.06</v>
      </c>
      <c r="AX56" s="6">
        <v>2.9</v>
      </c>
      <c r="AY56" s="6">
        <v>3.78</v>
      </c>
      <c r="AZ56" s="6">
        <v>2.88</v>
      </c>
      <c r="BA56" s="6">
        <v>4.8</v>
      </c>
      <c r="BB56" s="6">
        <v>2.64</v>
      </c>
      <c r="BC56" s="6">
        <v>2.93</v>
      </c>
      <c r="BD56" s="11">
        <v>3.86</v>
      </c>
      <c r="BE56" s="6">
        <v>3.5</v>
      </c>
      <c r="BF56" s="6">
        <v>4.2300000000000004</v>
      </c>
      <c r="BG56" s="6">
        <v>5.34</v>
      </c>
      <c r="BH56" s="6">
        <v>2.91</v>
      </c>
      <c r="BI56" s="6">
        <v>2.74</v>
      </c>
      <c r="BJ56" s="6">
        <v>3.7</v>
      </c>
      <c r="BK56" s="6">
        <v>3.14</v>
      </c>
      <c r="BL56" s="6">
        <v>3</v>
      </c>
      <c r="BM56" s="6">
        <v>4.63</v>
      </c>
      <c r="BN56" s="6">
        <v>5.4</v>
      </c>
      <c r="BO56" s="6">
        <v>2.9</v>
      </c>
      <c r="BP56" s="6">
        <v>5.44</v>
      </c>
      <c r="BQ56" s="7">
        <v>3.25</v>
      </c>
      <c r="BR56" s="7">
        <v>3</v>
      </c>
      <c r="BS56" s="7">
        <v>3.34</v>
      </c>
      <c r="BT56" s="7">
        <v>2.6</v>
      </c>
      <c r="BU56" s="7">
        <v>2.9</v>
      </c>
      <c r="BV56" s="7">
        <v>4.7</v>
      </c>
      <c r="BW56" s="7">
        <v>5.5</v>
      </c>
      <c r="BX56" s="7">
        <v>3.04</v>
      </c>
      <c r="BY56" s="7">
        <v>3.9</v>
      </c>
      <c r="BZ56" s="7">
        <v>5.5</v>
      </c>
      <c r="CA56" s="7">
        <v>2.1800000000000002</v>
      </c>
      <c r="CB56" s="7">
        <v>3.82</v>
      </c>
      <c r="CC56" s="6">
        <v>5.0599999999999996</v>
      </c>
      <c r="CD56" s="7">
        <v>3.82</v>
      </c>
      <c r="CE56" s="7">
        <v>3.24</v>
      </c>
      <c r="CF56" s="7">
        <v>4.5</v>
      </c>
      <c r="CG56" s="7">
        <v>2.66</v>
      </c>
      <c r="CH56" s="7">
        <v>4.22</v>
      </c>
      <c r="CI56" s="8">
        <v>3.26</v>
      </c>
      <c r="CJ56" s="8">
        <v>3.6</v>
      </c>
      <c r="CK56" s="7">
        <v>3.46</v>
      </c>
      <c r="CL56" s="6">
        <v>4.4000000000000004</v>
      </c>
      <c r="CM56" s="6">
        <v>3.18</v>
      </c>
      <c r="CN56" s="6">
        <v>4.3099999999999996</v>
      </c>
      <c r="CO56" s="10">
        <v>3.78</v>
      </c>
      <c r="CP56" s="10">
        <v>3.98</v>
      </c>
    </row>
    <row r="57" spans="1:94" ht="15.75" customHeight="1" x14ac:dyDescent="0.25">
      <c r="A57" s="4">
        <v>56</v>
      </c>
      <c r="B57" s="4"/>
      <c r="C57" s="4">
        <v>25</v>
      </c>
      <c r="D57" s="8">
        <v>2.4300000000000002</v>
      </c>
      <c r="E57" s="8">
        <v>2.73</v>
      </c>
      <c r="F57" s="8">
        <v>5.23</v>
      </c>
      <c r="G57" s="8">
        <v>3.3</v>
      </c>
      <c r="H57" s="8">
        <v>3.28</v>
      </c>
      <c r="I57" s="8">
        <v>2.4</v>
      </c>
      <c r="J57" s="8">
        <v>3.28</v>
      </c>
      <c r="K57" s="8">
        <v>2.78</v>
      </c>
      <c r="L57" s="8">
        <v>4.58</v>
      </c>
      <c r="M57" s="8">
        <v>3.26</v>
      </c>
      <c r="N57" s="8">
        <v>3.55</v>
      </c>
      <c r="O57" s="8">
        <v>2.8</v>
      </c>
      <c r="P57" s="8">
        <v>3.01</v>
      </c>
      <c r="Q57" s="8">
        <v>2.39</v>
      </c>
      <c r="R57" s="8">
        <v>2.3199999999999998</v>
      </c>
      <c r="S57" s="8">
        <v>4.8099999999999996</v>
      </c>
      <c r="T57" s="8">
        <v>6.49</v>
      </c>
      <c r="U57" s="8">
        <v>3.79</v>
      </c>
      <c r="V57" s="8">
        <v>5.29</v>
      </c>
      <c r="W57" s="8">
        <v>3.23</v>
      </c>
      <c r="X57" s="8">
        <v>3.87</v>
      </c>
      <c r="Y57" s="8">
        <v>4.87</v>
      </c>
      <c r="Z57" s="8">
        <v>3.05</v>
      </c>
      <c r="AA57" s="8">
        <v>2.48</v>
      </c>
      <c r="AB57" s="8">
        <v>1.95</v>
      </c>
      <c r="AC57" s="8">
        <v>3.27</v>
      </c>
      <c r="AD57" s="8">
        <v>2.74</v>
      </c>
      <c r="AE57" s="8">
        <v>2.56</v>
      </c>
      <c r="AF57" s="8">
        <v>3.18</v>
      </c>
      <c r="AG57" s="8">
        <v>2.08</v>
      </c>
      <c r="AH57" s="8">
        <v>2.82</v>
      </c>
      <c r="AI57" s="8">
        <v>2.94</v>
      </c>
      <c r="AJ57" s="8">
        <v>3.7</v>
      </c>
      <c r="AK57" s="8">
        <v>2.91</v>
      </c>
      <c r="AL57" s="8">
        <v>3.85</v>
      </c>
      <c r="AM57" s="8">
        <v>4.79</v>
      </c>
      <c r="AN57" s="8">
        <v>3.5</v>
      </c>
      <c r="AO57" s="8">
        <v>5.3</v>
      </c>
      <c r="AP57" s="8">
        <v>2.6</v>
      </c>
      <c r="AQ57" s="8">
        <v>3.05</v>
      </c>
      <c r="AR57" s="8">
        <v>2.39</v>
      </c>
      <c r="AS57" s="8">
        <v>3.33</v>
      </c>
      <c r="AT57" s="8">
        <v>2.31</v>
      </c>
      <c r="AU57" s="6">
        <v>3.08</v>
      </c>
      <c r="AV57" s="11">
        <v>2.34</v>
      </c>
      <c r="AW57" s="6">
        <v>2.95</v>
      </c>
      <c r="AX57" s="6">
        <v>2.9</v>
      </c>
      <c r="AY57" s="6">
        <v>3.86</v>
      </c>
      <c r="AZ57" s="6">
        <v>2.83</v>
      </c>
      <c r="BA57" s="6">
        <v>4.7300000000000004</v>
      </c>
      <c r="BB57" s="6">
        <v>2.61</v>
      </c>
      <c r="BC57" s="6">
        <v>2.95</v>
      </c>
      <c r="BD57" s="11">
        <v>3.96</v>
      </c>
      <c r="BE57" s="6">
        <v>3.46</v>
      </c>
      <c r="BF57" s="6">
        <v>4.17</v>
      </c>
      <c r="BG57" s="6">
        <v>5.23</v>
      </c>
      <c r="BH57" s="6">
        <v>2.89</v>
      </c>
      <c r="BI57" s="6">
        <v>2.74</v>
      </c>
      <c r="BJ57" s="6">
        <v>3.5</v>
      </c>
      <c r="BK57" s="6">
        <v>3.12</v>
      </c>
      <c r="BL57" s="6">
        <v>2.88</v>
      </c>
      <c r="BM57" s="6">
        <v>4.66</v>
      </c>
      <c r="BN57" s="6">
        <v>5.46</v>
      </c>
      <c r="BO57" s="6">
        <v>2.9</v>
      </c>
      <c r="BP57" s="6">
        <v>5.54</v>
      </c>
      <c r="BQ57" s="7">
        <v>3.18</v>
      </c>
      <c r="BR57" s="7">
        <v>3</v>
      </c>
      <c r="BS57" s="7">
        <v>3.26</v>
      </c>
      <c r="BT57" s="7">
        <v>2.58</v>
      </c>
      <c r="BU57" s="7">
        <v>2.88</v>
      </c>
      <c r="BV57" s="7">
        <v>4.8</v>
      </c>
      <c r="BW57" s="7">
        <v>5.36</v>
      </c>
      <c r="BX57" s="7">
        <v>2.98</v>
      </c>
      <c r="BY57" s="7">
        <v>3.94</v>
      </c>
      <c r="BZ57" s="7">
        <v>5.5</v>
      </c>
      <c r="CA57" s="7">
        <v>2.16</v>
      </c>
      <c r="CB57" s="7">
        <v>3.7</v>
      </c>
      <c r="CC57" s="6">
        <v>5.04</v>
      </c>
      <c r="CD57" s="7">
        <v>3.82</v>
      </c>
      <c r="CE57" s="7">
        <v>3.08</v>
      </c>
      <c r="CF57" s="7">
        <v>4.4800000000000004</v>
      </c>
      <c r="CG57" s="7">
        <v>2.64</v>
      </c>
      <c r="CH57" s="7">
        <v>4.2</v>
      </c>
      <c r="CI57" s="8">
        <v>3.32</v>
      </c>
      <c r="CJ57" s="8">
        <v>3.6</v>
      </c>
      <c r="CK57" s="7">
        <v>3.32</v>
      </c>
      <c r="CL57" s="6">
        <v>4.3600000000000003</v>
      </c>
      <c r="CM57" s="6">
        <v>3.17</v>
      </c>
      <c r="CN57" s="6">
        <v>4.26</v>
      </c>
      <c r="CO57" s="10">
        <v>3.73</v>
      </c>
      <c r="CP57" s="10"/>
    </row>
    <row r="58" spans="1:94" ht="15.75" customHeight="1" x14ac:dyDescent="0.25">
      <c r="A58" s="4">
        <v>57</v>
      </c>
      <c r="B58" s="4"/>
      <c r="C58" s="4">
        <v>26</v>
      </c>
      <c r="D58" s="8">
        <v>2.38</v>
      </c>
      <c r="E58" s="8">
        <v>2.68</v>
      </c>
      <c r="F58" s="8">
        <v>5.08</v>
      </c>
      <c r="G58" s="8">
        <v>3.32</v>
      </c>
      <c r="H58" s="8">
        <v>3.18</v>
      </c>
      <c r="I58" s="8">
        <v>2.34</v>
      </c>
      <c r="J58" s="8">
        <v>3.23</v>
      </c>
      <c r="K58" s="8">
        <v>2.7</v>
      </c>
      <c r="L58" s="8">
        <v>4.4800000000000004</v>
      </c>
      <c r="M58" s="8">
        <v>3.22</v>
      </c>
      <c r="N58" s="8">
        <v>3.64</v>
      </c>
      <c r="O58" s="8">
        <v>2.76</v>
      </c>
      <c r="P58" s="8">
        <v>2.96</v>
      </c>
      <c r="Q58" s="8">
        <v>2.33</v>
      </c>
      <c r="R58" s="8">
        <v>2.33</v>
      </c>
      <c r="S58" s="8">
        <v>4.78</v>
      </c>
      <c r="T58" s="8">
        <v>6.53</v>
      </c>
      <c r="U58" s="8">
        <v>3.73</v>
      </c>
      <c r="V58" s="8">
        <v>5.2</v>
      </c>
      <c r="W58" s="8">
        <v>3.18</v>
      </c>
      <c r="X58" s="8">
        <v>3.87</v>
      </c>
      <c r="Y58" s="8">
        <v>4.82</v>
      </c>
      <c r="Z58" s="8">
        <v>3.09</v>
      </c>
      <c r="AA58" s="8">
        <v>2.48</v>
      </c>
      <c r="AB58" s="8">
        <v>1.91</v>
      </c>
      <c r="AC58" s="8">
        <v>3.37</v>
      </c>
      <c r="AD58" s="8">
        <v>2.7</v>
      </c>
      <c r="AE58" s="8">
        <v>2.61</v>
      </c>
      <c r="AF58" s="8">
        <v>3.2</v>
      </c>
      <c r="AG58" s="8">
        <v>2.06</v>
      </c>
      <c r="AH58" s="8">
        <v>2.76</v>
      </c>
      <c r="AI58" s="8">
        <v>2.87</v>
      </c>
      <c r="AJ58" s="8">
        <v>3.62</v>
      </c>
      <c r="AK58" s="8">
        <v>2.85</v>
      </c>
      <c r="AL58" s="8">
        <v>3.81</v>
      </c>
      <c r="AM58" s="8">
        <v>4.76</v>
      </c>
      <c r="AN58" s="8">
        <v>3.5</v>
      </c>
      <c r="AO58" s="8">
        <v>5.22</v>
      </c>
      <c r="AP58" s="8">
        <v>2.52</v>
      </c>
      <c r="AQ58" s="8">
        <v>3.05</v>
      </c>
      <c r="AR58" s="8">
        <v>2.35</v>
      </c>
      <c r="AS58" s="8">
        <v>3.35</v>
      </c>
      <c r="AT58" s="8">
        <v>2.33</v>
      </c>
      <c r="AU58" s="6">
        <v>3.03</v>
      </c>
      <c r="AV58" s="11">
        <v>2.34</v>
      </c>
      <c r="AW58" s="6">
        <v>2.86</v>
      </c>
      <c r="AX58" s="6">
        <v>2.9</v>
      </c>
      <c r="AY58" s="6">
        <v>3.91</v>
      </c>
      <c r="AZ58" s="6">
        <v>2.79</v>
      </c>
      <c r="BA58" s="6">
        <v>4.71</v>
      </c>
      <c r="BB58" s="6">
        <v>2.59</v>
      </c>
      <c r="BC58" s="6">
        <v>2.93</v>
      </c>
      <c r="BD58" s="11">
        <v>4.0599999999999996</v>
      </c>
      <c r="BE58" s="6">
        <v>3.39</v>
      </c>
      <c r="BF58" s="6">
        <v>4.13</v>
      </c>
      <c r="BG58" s="6">
        <v>5.1100000000000003</v>
      </c>
      <c r="BH58" s="6">
        <v>2.86</v>
      </c>
      <c r="BI58" s="6">
        <v>2.68</v>
      </c>
      <c r="BJ58" s="6">
        <v>3.38</v>
      </c>
      <c r="BK58" s="6">
        <v>3.1</v>
      </c>
      <c r="BL58" s="6">
        <v>2.86</v>
      </c>
      <c r="BM58" s="6">
        <v>4.5999999999999996</v>
      </c>
      <c r="BN58" s="6">
        <v>5.52</v>
      </c>
      <c r="BO58" s="6">
        <v>2.9</v>
      </c>
      <c r="BP58" s="6">
        <v>5.7</v>
      </c>
      <c r="BQ58" s="7">
        <v>3.15</v>
      </c>
      <c r="BR58" s="7">
        <v>2.98</v>
      </c>
      <c r="BS58" s="7">
        <v>3.22</v>
      </c>
      <c r="BT58" s="7">
        <v>2.54</v>
      </c>
      <c r="BU58" s="7">
        <v>2.86</v>
      </c>
      <c r="BV58" s="7">
        <v>4.82</v>
      </c>
      <c r="BW58" s="7">
        <v>5.3</v>
      </c>
      <c r="BX58" s="7">
        <v>2.98</v>
      </c>
      <c r="BY58" s="7">
        <v>3.96</v>
      </c>
      <c r="BZ58" s="7">
        <v>5.12</v>
      </c>
      <c r="CA58" s="7">
        <v>2.16</v>
      </c>
      <c r="CB58" s="7">
        <v>3.7</v>
      </c>
      <c r="CC58" s="6">
        <v>4.96</v>
      </c>
      <c r="CD58" s="7">
        <v>3.78</v>
      </c>
      <c r="CE58" s="7">
        <v>3.08</v>
      </c>
      <c r="CF58" s="7">
        <v>4.3600000000000003</v>
      </c>
      <c r="CG58" s="7">
        <v>2.6</v>
      </c>
      <c r="CH58" s="7">
        <v>4.16</v>
      </c>
      <c r="CI58" s="8">
        <v>3.3</v>
      </c>
      <c r="CJ58" s="8">
        <v>3.58</v>
      </c>
      <c r="CK58" s="7">
        <v>3.2</v>
      </c>
      <c r="CL58" s="6">
        <v>4.3</v>
      </c>
      <c r="CM58" s="6">
        <v>3.18</v>
      </c>
      <c r="CN58" s="6">
        <v>4.21</v>
      </c>
      <c r="CO58" s="10">
        <v>3.68</v>
      </c>
      <c r="CP58" s="10"/>
    </row>
    <row r="59" spans="1:94" ht="15.75" customHeight="1" x14ac:dyDescent="0.25">
      <c r="A59" s="4">
        <v>58</v>
      </c>
      <c r="B59" s="4"/>
      <c r="C59" s="4">
        <v>27</v>
      </c>
      <c r="D59" s="8">
        <v>2.33</v>
      </c>
      <c r="E59" s="8">
        <v>2.63</v>
      </c>
      <c r="F59" s="8">
        <v>4.78</v>
      </c>
      <c r="G59" s="8">
        <v>3.34</v>
      </c>
      <c r="H59" s="8">
        <v>3.08</v>
      </c>
      <c r="I59" s="8">
        <v>2.3199999999999998</v>
      </c>
      <c r="J59" s="8">
        <v>3.18</v>
      </c>
      <c r="K59" s="8">
        <v>2.66</v>
      </c>
      <c r="L59" s="8">
        <v>4.33</v>
      </c>
      <c r="M59" s="8">
        <v>3.16</v>
      </c>
      <c r="N59" s="8">
        <v>3.62</v>
      </c>
      <c r="O59" s="8">
        <v>2.72</v>
      </c>
      <c r="P59" s="8">
        <v>2.86</v>
      </c>
      <c r="Q59" s="8">
        <v>2.33</v>
      </c>
      <c r="R59" s="8">
        <v>2.34</v>
      </c>
      <c r="S59" s="8">
        <v>4.71</v>
      </c>
      <c r="T59" s="8">
        <v>6.56</v>
      </c>
      <c r="U59" s="8">
        <v>3.65</v>
      </c>
      <c r="V59" s="8">
        <v>5.0999999999999996</v>
      </c>
      <c r="W59" s="8">
        <v>3.13</v>
      </c>
      <c r="X59" s="8">
        <v>3.87</v>
      </c>
      <c r="Y59" s="8">
        <v>4.7699999999999996</v>
      </c>
      <c r="Z59" s="8">
        <v>3.13</v>
      </c>
      <c r="AA59" s="8">
        <v>2.48</v>
      </c>
      <c r="AB59" s="8">
        <v>1.87</v>
      </c>
      <c r="AC59" s="8">
        <v>3.41</v>
      </c>
      <c r="AD59" s="8">
        <v>2.65</v>
      </c>
      <c r="AE59" s="8">
        <v>2.57</v>
      </c>
      <c r="AF59" s="8">
        <v>3.18</v>
      </c>
      <c r="AG59" s="8">
        <v>2.06</v>
      </c>
      <c r="AH59" s="8">
        <v>2.7</v>
      </c>
      <c r="AI59" s="8">
        <v>2.8</v>
      </c>
      <c r="AJ59" s="8">
        <v>3.59</v>
      </c>
      <c r="AK59" s="8">
        <v>2.79</v>
      </c>
      <c r="AL59" s="8">
        <v>3.81</v>
      </c>
      <c r="AM59" s="8">
        <v>4.71</v>
      </c>
      <c r="AN59" s="8">
        <v>3.46</v>
      </c>
      <c r="AO59" s="8">
        <v>5.14</v>
      </c>
      <c r="AP59" s="8">
        <v>2.44</v>
      </c>
      <c r="AQ59" s="8">
        <v>3.03</v>
      </c>
      <c r="AR59" s="8">
        <v>2.33</v>
      </c>
      <c r="AS59" s="8">
        <v>3.51</v>
      </c>
      <c r="AT59" s="8">
        <v>2.34</v>
      </c>
      <c r="AU59" s="6">
        <v>3</v>
      </c>
      <c r="AV59" s="11">
        <v>2.34</v>
      </c>
      <c r="AW59" s="6">
        <v>2.76</v>
      </c>
      <c r="AX59" s="6">
        <v>2.9</v>
      </c>
      <c r="AY59" s="6">
        <v>4</v>
      </c>
      <c r="AZ59" s="6">
        <v>2.79</v>
      </c>
      <c r="BA59" s="6">
        <v>4.7300000000000004</v>
      </c>
      <c r="BB59" s="6">
        <v>2.57</v>
      </c>
      <c r="BC59" s="6">
        <v>2.91</v>
      </c>
      <c r="BD59" s="11">
        <v>4.1399999999999997</v>
      </c>
      <c r="BE59" s="6">
        <v>3.31</v>
      </c>
      <c r="BF59" s="6">
        <v>4.01</v>
      </c>
      <c r="BG59" s="6">
        <v>5</v>
      </c>
      <c r="BH59" s="6">
        <v>2.9</v>
      </c>
      <c r="BI59" s="6">
        <v>2.66</v>
      </c>
      <c r="BJ59" s="6">
        <v>3.32</v>
      </c>
      <c r="BK59" s="6">
        <v>3.08</v>
      </c>
      <c r="BL59" s="6">
        <v>2.8</v>
      </c>
      <c r="BM59" s="6">
        <v>4.68</v>
      </c>
      <c r="BN59" s="6">
        <v>5.56</v>
      </c>
      <c r="BO59" s="6">
        <v>2.94</v>
      </c>
      <c r="BP59" s="6">
        <v>5.92</v>
      </c>
      <c r="BQ59" s="7">
        <v>3.08</v>
      </c>
      <c r="BR59" s="7">
        <v>2.94</v>
      </c>
      <c r="BS59" s="7">
        <v>3.18</v>
      </c>
      <c r="BT59" s="7">
        <v>2.52</v>
      </c>
      <c r="BU59" s="7">
        <v>2.82</v>
      </c>
      <c r="BV59" s="7">
        <v>4.7</v>
      </c>
      <c r="BW59" s="7">
        <v>5.0999999999999996</v>
      </c>
      <c r="BX59" s="7">
        <v>2.94</v>
      </c>
      <c r="BY59" s="7">
        <v>4</v>
      </c>
      <c r="BZ59" s="7">
        <v>5.0599999999999996</v>
      </c>
      <c r="CA59" s="7">
        <v>2.14</v>
      </c>
      <c r="CB59" s="7">
        <v>3.7</v>
      </c>
      <c r="CC59" s="6">
        <v>4.8</v>
      </c>
      <c r="CD59" s="7">
        <v>3.74</v>
      </c>
      <c r="CE59" s="7">
        <v>3.04</v>
      </c>
      <c r="CF59" s="7">
        <v>4.3</v>
      </c>
      <c r="CG59" s="7">
        <v>2.6</v>
      </c>
      <c r="CH59" s="7">
        <v>4.1399999999999997</v>
      </c>
      <c r="CI59" s="8">
        <v>3.24</v>
      </c>
      <c r="CJ59" s="8">
        <v>3.54</v>
      </c>
      <c r="CK59" s="7">
        <v>3.18</v>
      </c>
      <c r="CL59" s="6">
        <v>4.28</v>
      </c>
      <c r="CM59" s="6">
        <v>3.2</v>
      </c>
      <c r="CN59" s="6">
        <v>4.1900000000000004</v>
      </c>
      <c r="CO59" s="10">
        <v>3.63</v>
      </c>
      <c r="CP59" s="10"/>
    </row>
    <row r="60" spans="1:94" ht="15.75" customHeight="1" x14ac:dyDescent="0.25">
      <c r="A60" s="4">
        <v>59</v>
      </c>
      <c r="B60" s="4"/>
      <c r="C60" s="4">
        <v>28</v>
      </c>
      <c r="D60" s="8">
        <v>2.33</v>
      </c>
      <c r="E60" s="8">
        <v>2.58</v>
      </c>
      <c r="F60" s="8">
        <v>4.4800000000000004</v>
      </c>
      <c r="G60" s="8">
        <v>3.38</v>
      </c>
      <c r="H60" s="8">
        <v>2.98</v>
      </c>
      <c r="I60" s="8">
        <v>2.2799999999999998</v>
      </c>
      <c r="J60" s="8">
        <v>3.17</v>
      </c>
      <c r="K60" s="8">
        <v>2.63</v>
      </c>
      <c r="L60" s="8">
        <v>4.17</v>
      </c>
      <c r="M60" s="8">
        <v>3.07</v>
      </c>
      <c r="N60" s="8">
        <v>3.53</v>
      </c>
      <c r="O60" s="8">
        <v>2.7</v>
      </c>
      <c r="P60" s="8">
        <v>2.84</v>
      </c>
      <c r="Q60" s="8">
        <v>2.31</v>
      </c>
      <c r="R60" s="8">
        <v>2.5</v>
      </c>
      <c r="S60" s="8">
        <v>4.67</v>
      </c>
      <c r="T60" s="8">
        <v>6.56</v>
      </c>
      <c r="U60" s="8">
        <v>3.59</v>
      </c>
      <c r="V60" s="8">
        <v>5.05</v>
      </c>
      <c r="W60" s="8">
        <v>3.08</v>
      </c>
      <c r="X60" s="8">
        <v>3.91</v>
      </c>
      <c r="Y60" s="8">
        <v>4.75</v>
      </c>
      <c r="Z60" s="8">
        <v>3.15</v>
      </c>
      <c r="AA60" s="8">
        <v>2.4500000000000002</v>
      </c>
      <c r="AB60" s="8">
        <v>1.82</v>
      </c>
      <c r="AC60" s="8">
        <v>3.41</v>
      </c>
      <c r="AD60" s="8">
        <v>2.59</v>
      </c>
      <c r="AE60" s="8">
        <v>2.5499999999999998</v>
      </c>
      <c r="AF60" s="8">
        <v>3.07</v>
      </c>
      <c r="AG60" s="8">
        <v>2.06</v>
      </c>
      <c r="AH60" s="8">
        <v>2.69</v>
      </c>
      <c r="AI60" s="8">
        <v>2.75</v>
      </c>
      <c r="AJ60" s="8">
        <v>3.52</v>
      </c>
      <c r="AK60" s="8">
        <v>2.73</v>
      </c>
      <c r="AL60" s="8">
        <v>3.77</v>
      </c>
      <c r="AM60" s="8">
        <v>4.6900000000000004</v>
      </c>
      <c r="AN60" s="8">
        <v>3.44</v>
      </c>
      <c r="AO60" s="8">
        <v>5.0199999999999996</v>
      </c>
      <c r="AP60" s="8">
        <v>2.38</v>
      </c>
      <c r="AQ60" s="8">
        <v>3.05</v>
      </c>
      <c r="AR60" s="8">
        <v>2.31</v>
      </c>
      <c r="AS60" s="8">
        <v>3.48</v>
      </c>
      <c r="AT60" s="8">
        <v>2.36</v>
      </c>
      <c r="AU60" s="6">
        <v>2.94</v>
      </c>
      <c r="AV60" s="11">
        <v>2.33</v>
      </c>
      <c r="AW60" s="6">
        <v>2.78</v>
      </c>
      <c r="AX60" s="6">
        <v>2.9</v>
      </c>
      <c r="AY60" s="6">
        <v>4.05</v>
      </c>
      <c r="AZ60" s="6">
        <v>2.79</v>
      </c>
      <c r="BA60" s="6">
        <v>4.76</v>
      </c>
      <c r="BB60" s="6">
        <v>2.54</v>
      </c>
      <c r="BC60" s="6">
        <v>2.96</v>
      </c>
      <c r="BD60" s="11">
        <v>4.16</v>
      </c>
      <c r="BE60" s="6">
        <v>3.24</v>
      </c>
      <c r="BF60" s="6">
        <v>3.91</v>
      </c>
      <c r="BG60" s="6">
        <v>4.9000000000000004</v>
      </c>
      <c r="BH60" s="6">
        <v>2.92</v>
      </c>
      <c r="BI60" s="6">
        <v>2.64</v>
      </c>
      <c r="BJ60" s="6">
        <v>3.28</v>
      </c>
      <c r="BK60" s="6">
        <v>3.06</v>
      </c>
      <c r="BL60" s="6">
        <v>2.78</v>
      </c>
      <c r="BM60" s="6">
        <v>4.7</v>
      </c>
      <c r="BN60" s="6">
        <v>5.6</v>
      </c>
      <c r="BO60" s="6">
        <v>3.06</v>
      </c>
      <c r="BP60" s="6">
        <v>6.04</v>
      </c>
      <c r="BQ60" s="7">
        <v>3.08</v>
      </c>
      <c r="BR60" s="7">
        <v>2.9</v>
      </c>
      <c r="BS60" s="7">
        <v>3.1</v>
      </c>
      <c r="BT60" s="7">
        <v>2.52</v>
      </c>
      <c r="BU60" s="7">
        <v>2.8</v>
      </c>
      <c r="BV60" s="7">
        <v>4.7</v>
      </c>
      <c r="BW60" s="7">
        <v>4.9800000000000004</v>
      </c>
      <c r="BX60" s="7">
        <v>2.88</v>
      </c>
      <c r="BY60" s="7">
        <v>4</v>
      </c>
      <c r="BZ60" s="7">
        <v>4.92</v>
      </c>
      <c r="CA60" s="7">
        <v>2.14</v>
      </c>
      <c r="CB60" s="7">
        <v>3.66</v>
      </c>
      <c r="CC60" s="6">
        <v>4.8</v>
      </c>
      <c r="CD60" s="7">
        <v>3.72</v>
      </c>
      <c r="CE60" s="7">
        <v>3</v>
      </c>
      <c r="CF60" s="7">
        <v>4.26</v>
      </c>
      <c r="CG60" s="7">
        <v>2.6</v>
      </c>
      <c r="CH60" s="7">
        <v>4.12</v>
      </c>
      <c r="CI60" s="8">
        <v>3.2</v>
      </c>
      <c r="CJ60" s="8">
        <v>3.51</v>
      </c>
      <c r="CK60" s="7">
        <v>3.16</v>
      </c>
      <c r="CL60" s="6">
        <v>4.28</v>
      </c>
      <c r="CM60" s="6">
        <v>3.25</v>
      </c>
      <c r="CN60" s="6">
        <v>4.18</v>
      </c>
      <c r="CO60" s="10">
        <v>3.58</v>
      </c>
      <c r="CP60" s="10"/>
    </row>
    <row r="61" spans="1:94" ht="15.75" customHeight="1" x14ac:dyDescent="0.25">
      <c r="A61" s="4">
        <v>60</v>
      </c>
      <c r="B61" s="5"/>
      <c r="C61" s="4">
        <v>29</v>
      </c>
      <c r="D61" s="8"/>
      <c r="E61" s="8">
        <v>2.5299999999999998</v>
      </c>
      <c r="F61" s="8"/>
      <c r="G61" s="8"/>
      <c r="H61" s="8"/>
      <c r="I61" s="8">
        <v>2.2599999999999998</v>
      </c>
      <c r="J61" s="8"/>
      <c r="K61" s="8"/>
      <c r="L61" s="8"/>
      <c r="M61" s="8">
        <v>2.99</v>
      </c>
      <c r="N61" s="8"/>
      <c r="O61" s="8"/>
      <c r="P61" s="8"/>
      <c r="Q61" s="8">
        <v>2.2599999999999998</v>
      </c>
      <c r="R61" s="8"/>
      <c r="S61" s="8"/>
      <c r="T61" s="8"/>
      <c r="U61" s="8">
        <v>3.51</v>
      </c>
      <c r="V61" s="8"/>
      <c r="W61" s="8"/>
      <c r="X61" s="8"/>
      <c r="Y61" s="8">
        <v>4.7300000000000004</v>
      </c>
      <c r="Z61" s="8"/>
      <c r="AA61" s="8"/>
      <c r="AB61" s="8"/>
      <c r="AC61" s="8">
        <v>3.41</v>
      </c>
      <c r="AD61" s="8"/>
      <c r="AE61" s="8"/>
      <c r="AF61" s="8"/>
      <c r="AG61" s="8">
        <v>2.06</v>
      </c>
      <c r="AH61" s="8"/>
      <c r="AI61" s="8"/>
      <c r="AJ61" s="8"/>
      <c r="AK61" s="8">
        <v>2.69</v>
      </c>
      <c r="AL61" s="8"/>
      <c r="AM61" s="8"/>
      <c r="AN61" s="8"/>
      <c r="AO61" s="8">
        <v>4.92</v>
      </c>
      <c r="AP61" s="8"/>
      <c r="AQ61" s="8"/>
      <c r="AR61" s="8"/>
      <c r="AS61" s="8">
        <v>3.45</v>
      </c>
      <c r="AT61" s="8"/>
      <c r="AU61" s="6" t="s">
        <v>6</v>
      </c>
      <c r="AV61" s="6"/>
      <c r="AW61" s="6">
        <v>2.77</v>
      </c>
      <c r="AX61" s="6"/>
      <c r="AY61" s="6"/>
      <c r="AZ61" s="6"/>
      <c r="BA61" s="6">
        <v>4.8</v>
      </c>
      <c r="BB61" s="6"/>
      <c r="BC61" s="6"/>
      <c r="BD61" s="4"/>
      <c r="BE61" s="6">
        <v>3.12</v>
      </c>
      <c r="BF61" s="6"/>
      <c r="BG61" s="6"/>
      <c r="BH61" s="6"/>
      <c r="BI61" s="6">
        <v>2.62</v>
      </c>
      <c r="BJ61" s="6"/>
      <c r="BK61" s="6"/>
      <c r="BL61" s="6"/>
      <c r="BM61" s="6">
        <v>4.6900000000000004</v>
      </c>
      <c r="BN61" s="6"/>
      <c r="BO61" s="6"/>
      <c r="BP61" s="6"/>
      <c r="BQ61" s="7">
        <v>3.08</v>
      </c>
      <c r="BR61" s="7"/>
      <c r="BS61" s="7"/>
      <c r="BT61" s="7"/>
      <c r="BU61" s="7">
        <v>2.7</v>
      </c>
      <c r="BV61" s="7"/>
      <c r="BW61" s="7"/>
      <c r="BX61" s="7"/>
      <c r="BY61" s="7">
        <v>4.0599999999999996</v>
      </c>
      <c r="BZ61" s="7"/>
      <c r="CA61" s="7"/>
      <c r="CB61" s="7"/>
      <c r="CC61" s="6">
        <v>4.78</v>
      </c>
      <c r="CD61" s="7"/>
      <c r="CE61" s="7"/>
      <c r="CF61" s="7"/>
      <c r="CG61" s="7">
        <v>2.54</v>
      </c>
      <c r="CH61" s="7"/>
      <c r="CI61" s="4"/>
      <c r="CJ61" s="7"/>
      <c r="CK61" s="7">
        <v>3.1</v>
      </c>
      <c r="CL61" s="20"/>
      <c r="CM61" s="20"/>
      <c r="CN61" s="20"/>
      <c r="CO61" s="10">
        <v>3.54</v>
      </c>
      <c r="CP61" s="10"/>
    </row>
    <row r="62" spans="1:94" ht="15.75" customHeight="1" x14ac:dyDescent="0.25">
      <c r="A62" s="4">
        <v>61</v>
      </c>
      <c r="B62" s="5" t="s">
        <v>5</v>
      </c>
      <c r="C62" s="4">
        <v>1</v>
      </c>
      <c r="D62" s="8">
        <v>2.38</v>
      </c>
      <c r="E62" s="8">
        <v>2.48</v>
      </c>
      <c r="F62" s="8">
        <v>4.28</v>
      </c>
      <c r="G62" s="8">
        <v>3.48</v>
      </c>
      <c r="H62" s="8">
        <v>2.96</v>
      </c>
      <c r="I62" s="8">
        <v>2.2200000000000002</v>
      </c>
      <c r="J62" s="8">
        <v>3.17</v>
      </c>
      <c r="K62" s="8">
        <v>2.61</v>
      </c>
      <c r="L62" s="8">
        <v>4.08</v>
      </c>
      <c r="M62" s="8">
        <v>2.92</v>
      </c>
      <c r="N62" s="8">
        <v>3.43</v>
      </c>
      <c r="O62" s="8">
        <v>2.66</v>
      </c>
      <c r="P62" s="8">
        <v>2.81</v>
      </c>
      <c r="Q62" s="8">
        <v>2.2200000000000002</v>
      </c>
      <c r="R62" s="8">
        <v>2.56</v>
      </c>
      <c r="S62" s="8">
        <v>4.66</v>
      </c>
      <c r="T62" s="8">
        <v>6.56</v>
      </c>
      <c r="U62" s="8">
        <v>3.41</v>
      </c>
      <c r="V62" s="8">
        <v>5</v>
      </c>
      <c r="W62" s="8">
        <v>3.08</v>
      </c>
      <c r="X62" s="8">
        <v>4</v>
      </c>
      <c r="Y62" s="8">
        <v>4.71</v>
      </c>
      <c r="Z62" s="8">
        <v>3.11</v>
      </c>
      <c r="AA62" s="8">
        <v>2.41</v>
      </c>
      <c r="AB62" s="8">
        <v>1.76</v>
      </c>
      <c r="AC62" s="8">
        <v>3.41</v>
      </c>
      <c r="AD62" s="8">
        <v>2.5299999999999998</v>
      </c>
      <c r="AE62" s="8">
        <v>2.5499999999999998</v>
      </c>
      <c r="AF62" s="8">
        <v>3</v>
      </c>
      <c r="AG62" s="8">
        <v>2.06</v>
      </c>
      <c r="AH62" s="8">
        <v>2.68</v>
      </c>
      <c r="AI62" s="8">
        <v>2.68</v>
      </c>
      <c r="AJ62" s="8">
        <v>3.45</v>
      </c>
      <c r="AK62" s="8">
        <v>2.65</v>
      </c>
      <c r="AL62" s="8">
        <v>3.72</v>
      </c>
      <c r="AM62" s="8">
        <v>4.6500000000000004</v>
      </c>
      <c r="AN62" s="8">
        <v>3.4</v>
      </c>
      <c r="AO62" s="8">
        <v>4.82</v>
      </c>
      <c r="AP62" s="8">
        <v>2.34</v>
      </c>
      <c r="AQ62" s="8">
        <v>3.03</v>
      </c>
      <c r="AR62" s="8">
        <v>2.29</v>
      </c>
      <c r="AS62" s="8">
        <v>3.41</v>
      </c>
      <c r="AT62" s="8">
        <v>2.39</v>
      </c>
      <c r="AU62" s="6">
        <v>2.84</v>
      </c>
      <c r="AV62" s="11">
        <v>2.33</v>
      </c>
      <c r="AW62" s="6">
        <v>2.73</v>
      </c>
      <c r="AX62" s="6">
        <v>2.9</v>
      </c>
      <c r="AY62" s="6">
        <v>4.1100000000000003</v>
      </c>
      <c r="AZ62" s="6">
        <v>2.81</v>
      </c>
      <c r="BA62" s="6">
        <v>4.82</v>
      </c>
      <c r="BB62" s="6">
        <v>2.5099999999999998</v>
      </c>
      <c r="BC62" s="6">
        <v>3.01</v>
      </c>
      <c r="BD62" s="11">
        <v>4.18</v>
      </c>
      <c r="BE62" s="6">
        <v>3.09</v>
      </c>
      <c r="BF62" s="6">
        <v>3.82</v>
      </c>
      <c r="BG62" s="6">
        <v>4.6900000000000004</v>
      </c>
      <c r="BH62" s="6">
        <v>2.93</v>
      </c>
      <c r="BI62" s="6">
        <v>2.6</v>
      </c>
      <c r="BJ62" s="6">
        <v>3.1</v>
      </c>
      <c r="BK62" s="6">
        <v>3.04</v>
      </c>
      <c r="BL62" s="6">
        <v>2.75</v>
      </c>
      <c r="BM62" s="6">
        <v>4.68</v>
      </c>
      <c r="BN62" s="6">
        <v>5.63</v>
      </c>
      <c r="BO62" s="6">
        <v>3.12</v>
      </c>
      <c r="BP62" s="6">
        <v>6.06</v>
      </c>
      <c r="BQ62" s="7">
        <v>3.08</v>
      </c>
      <c r="BR62" s="7">
        <v>2.8</v>
      </c>
      <c r="BS62" s="7">
        <v>3.04</v>
      </c>
      <c r="BT62" s="7">
        <v>2.54</v>
      </c>
      <c r="BU62" s="7">
        <v>2.66</v>
      </c>
      <c r="BV62" s="7">
        <v>4.68</v>
      </c>
      <c r="BW62" s="7">
        <v>4.8</v>
      </c>
      <c r="BX62" s="7">
        <v>2.86</v>
      </c>
      <c r="BY62" s="7">
        <v>4.08</v>
      </c>
      <c r="BZ62" s="7">
        <v>4.8</v>
      </c>
      <c r="CA62" s="7">
        <v>2.2000000000000002</v>
      </c>
      <c r="CB62" s="7">
        <v>3.72</v>
      </c>
      <c r="CC62" s="6">
        <v>4.78</v>
      </c>
      <c r="CD62" s="7">
        <v>3.7</v>
      </c>
      <c r="CE62" s="7">
        <v>2.86</v>
      </c>
      <c r="CF62" s="7">
        <v>4.24</v>
      </c>
      <c r="CG62" s="7">
        <v>2.52</v>
      </c>
      <c r="CH62" s="7">
        <v>4.08</v>
      </c>
      <c r="CI62" s="8">
        <v>3.26</v>
      </c>
      <c r="CJ62" s="7">
        <v>3.48</v>
      </c>
      <c r="CK62" s="7">
        <v>3.1</v>
      </c>
      <c r="CL62" s="6">
        <v>4.24</v>
      </c>
      <c r="CM62" s="6">
        <v>3.34</v>
      </c>
      <c r="CN62" s="6">
        <v>4.1500000000000004</v>
      </c>
      <c r="CO62" s="10">
        <v>3.53</v>
      </c>
      <c r="CP62" s="10"/>
    </row>
    <row r="63" spans="1:94" ht="15.75" customHeight="1" x14ac:dyDescent="0.25">
      <c r="A63" s="4">
        <v>62</v>
      </c>
      <c r="B63" s="4"/>
      <c r="C63" s="4">
        <v>2</v>
      </c>
      <c r="D63" s="8">
        <v>2.5299999999999998</v>
      </c>
      <c r="E63" s="8">
        <v>2.44</v>
      </c>
      <c r="F63" s="8">
        <v>4.13</v>
      </c>
      <c r="G63" s="8">
        <v>3.53</v>
      </c>
      <c r="H63" s="8">
        <v>2.94</v>
      </c>
      <c r="I63" s="8">
        <v>2.1800000000000002</v>
      </c>
      <c r="J63" s="8">
        <v>3.16</v>
      </c>
      <c r="K63" s="8">
        <v>2.59</v>
      </c>
      <c r="L63" s="8">
        <v>4.07</v>
      </c>
      <c r="M63" s="8">
        <v>2.85</v>
      </c>
      <c r="N63" s="8">
        <v>3.33</v>
      </c>
      <c r="O63" s="8">
        <v>2.62</v>
      </c>
      <c r="P63" s="8">
        <v>2.79</v>
      </c>
      <c r="Q63" s="8">
        <v>2.21</v>
      </c>
      <c r="R63" s="8">
        <v>2.62</v>
      </c>
      <c r="S63" s="8">
        <v>4.63</v>
      </c>
      <c r="T63" s="8">
        <v>6.56</v>
      </c>
      <c r="U63" s="8">
        <v>3.36</v>
      </c>
      <c r="V63" s="8">
        <v>4.9400000000000004</v>
      </c>
      <c r="W63" s="8">
        <v>3.08</v>
      </c>
      <c r="X63" s="8">
        <v>4.1500000000000004</v>
      </c>
      <c r="Y63" s="8">
        <v>4.71</v>
      </c>
      <c r="Z63" s="8">
        <v>3.07</v>
      </c>
      <c r="AA63" s="8">
        <v>2.41</v>
      </c>
      <c r="AB63" s="8">
        <v>1.73</v>
      </c>
      <c r="AC63" s="8">
        <v>3.38</v>
      </c>
      <c r="AD63" s="8">
        <v>2.4700000000000002</v>
      </c>
      <c r="AE63" s="8">
        <v>2.5299999999999998</v>
      </c>
      <c r="AF63" s="8">
        <v>2.94</v>
      </c>
      <c r="AG63" s="8">
        <v>2.06</v>
      </c>
      <c r="AH63" s="8">
        <v>2.7</v>
      </c>
      <c r="AI63" s="8">
        <v>2.66</v>
      </c>
      <c r="AJ63" s="8">
        <v>3.37</v>
      </c>
      <c r="AK63" s="8">
        <v>2.59</v>
      </c>
      <c r="AL63" s="8">
        <v>3.67</v>
      </c>
      <c r="AM63" s="8">
        <v>4.59</v>
      </c>
      <c r="AN63" s="8">
        <v>3.38</v>
      </c>
      <c r="AO63" s="8">
        <v>4.71</v>
      </c>
      <c r="AP63" s="8">
        <v>2.35</v>
      </c>
      <c r="AQ63" s="8">
        <v>3.01</v>
      </c>
      <c r="AR63" s="8">
        <v>2.2799999999999998</v>
      </c>
      <c r="AS63" s="8">
        <v>3.35</v>
      </c>
      <c r="AT63" s="8">
        <v>2.41</v>
      </c>
      <c r="AU63" s="6">
        <v>2.77</v>
      </c>
      <c r="AV63" s="11">
        <v>2.31</v>
      </c>
      <c r="AW63" s="6">
        <v>2.78</v>
      </c>
      <c r="AX63" s="6">
        <v>2.9</v>
      </c>
      <c r="AY63" s="6">
        <v>4.1500000000000004</v>
      </c>
      <c r="AZ63" s="6">
        <v>2.9</v>
      </c>
      <c r="BA63" s="6">
        <v>4.8</v>
      </c>
      <c r="BB63" s="6">
        <v>2.48</v>
      </c>
      <c r="BC63" s="6">
        <v>3.03</v>
      </c>
      <c r="BD63" s="11">
        <v>4.2</v>
      </c>
      <c r="BE63" s="6">
        <v>3.06</v>
      </c>
      <c r="BF63" s="6">
        <v>3.76</v>
      </c>
      <c r="BG63" s="6">
        <v>4.6100000000000003</v>
      </c>
      <c r="BH63" s="6">
        <v>2.92</v>
      </c>
      <c r="BI63" s="6">
        <v>2.58</v>
      </c>
      <c r="BJ63" s="6">
        <v>3.12</v>
      </c>
      <c r="BK63" s="6">
        <v>3</v>
      </c>
      <c r="BL63" s="6">
        <v>2.7</v>
      </c>
      <c r="BM63" s="6">
        <v>4.68</v>
      </c>
      <c r="BN63" s="6">
        <v>5.68</v>
      </c>
      <c r="BO63" s="6">
        <v>3.2</v>
      </c>
      <c r="BP63" s="6">
        <v>6.17</v>
      </c>
      <c r="BQ63" s="7">
        <v>3.06</v>
      </c>
      <c r="BR63" s="7">
        <v>2.74</v>
      </c>
      <c r="BS63" s="7">
        <v>3.04</v>
      </c>
      <c r="BT63" s="7">
        <v>2.52</v>
      </c>
      <c r="BU63" s="7">
        <v>2.66</v>
      </c>
      <c r="BV63" s="7">
        <v>4.46</v>
      </c>
      <c r="BW63" s="7">
        <v>4.76</v>
      </c>
      <c r="BX63" s="7">
        <v>2.82</v>
      </c>
      <c r="BY63" s="7">
        <v>4.08</v>
      </c>
      <c r="BZ63" s="7">
        <v>4.76</v>
      </c>
      <c r="CA63" s="7">
        <v>2.2200000000000002</v>
      </c>
      <c r="CB63" s="7">
        <v>3.76</v>
      </c>
      <c r="CC63" s="6">
        <v>4.78</v>
      </c>
      <c r="CD63" s="7">
        <v>3.7</v>
      </c>
      <c r="CE63" s="7">
        <v>2.86</v>
      </c>
      <c r="CF63" s="7">
        <v>4.24</v>
      </c>
      <c r="CG63" s="7">
        <v>2.5</v>
      </c>
      <c r="CH63" s="7">
        <v>4.08</v>
      </c>
      <c r="CI63" s="8">
        <v>3.12</v>
      </c>
      <c r="CJ63" s="7">
        <v>3.48</v>
      </c>
      <c r="CK63" s="7">
        <v>3.08</v>
      </c>
      <c r="CL63" s="6">
        <v>4.18</v>
      </c>
      <c r="CM63" s="6">
        <v>3.43</v>
      </c>
      <c r="CN63" s="6">
        <v>4.1399999999999997</v>
      </c>
      <c r="CO63" s="10">
        <v>3.5</v>
      </c>
      <c r="CP63" s="10"/>
    </row>
    <row r="64" spans="1:94" ht="15.75" customHeight="1" x14ac:dyDescent="0.25">
      <c r="A64" s="4">
        <v>63</v>
      </c>
      <c r="B64" s="4"/>
      <c r="C64" s="4">
        <v>3</v>
      </c>
      <c r="D64" s="8">
        <v>2.73</v>
      </c>
      <c r="E64" s="8">
        <v>2.42</v>
      </c>
      <c r="F64" s="8">
        <v>4.03</v>
      </c>
      <c r="G64" s="8">
        <v>3.58</v>
      </c>
      <c r="H64" s="8">
        <v>2.92</v>
      </c>
      <c r="I64" s="8">
        <v>2.16</v>
      </c>
      <c r="J64" s="8">
        <v>3.16</v>
      </c>
      <c r="K64" s="8">
        <v>2.5499999999999998</v>
      </c>
      <c r="L64" s="8">
        <v>4.0599999999999996</v>
      </c>
      <c r="M64" s="8">
        <v>2.78</v>
      </c>
      <c r="N64" s="8">
        <v>3.23</v>
      </c>
      <c r="O64" s="8">
        <v>2.58</v>
      </c>
      <c r="P64" s="8">
        <v>2.77</v>
      </c>
      <c r="Q64" s="8">
        <v>2.1800000000000002</v>
      </c>
      <c r="R64" s="8">
        <v>2.68</v>
      </c>
      <c r="S64" s="8">
        <v>4.6100000000000003</v>
      </c>
      <c r="T64" s="8">
        <v>6.53</v>
      </c>
      <c r="U64" s="8">
        <v>3.23</v>
      </c>
      <c r="V64" s="8">
        <v>4.92</v>
      </c>
      <c r="W64" s="8">
        <v>3.18</v>
      </c>
      <c r="X64" s="8">
        <v>4.29</v>
      </c>
      <c r="Y64" s="8">
        <v>4.6900000000000004</v>
      </c>
      <c r="Z64" s="8">
        <v>3.01</v>
      </c>
      <c r="AA64" s="8">
        <v>2.41</v>
      </c>
      <c r="AB64" s="8">
        <v>1.71</v>
      </c>
      <c r="AC64" s="8">
        <v>3.38</v>
      </c>
      <c r="AD64" s="8">
        <v>2.41</v>
      </c>
      <c r="AE64" s="8">
        <v>2.5299999999999998</v>
      </c>
      <c r="AF64" s="8">
        <v>2.92</v>
      </c>
      <c r="AG64" s="8">
        <v>2.06</v>
      </c>
      <c r="AH64" s="8">
        <v>2.73</v>
      </c>
      <c r="AI64" s="8">
        <v>2.62</v>
      </c>
      <c r="AJ64" s="8">
        <v>3.31</v>
      </c>
      <c r="AK64" s="8">
        <v>2.54</v>
      </c>
      <c r="AL64" s="8">
        <v>3.61</v>
      </c>
      <c r="AM64" s="8">
        <v>4.55</v>
      </c>
      <c r="AN64" s="8">
        <v>3.37</v>
      </c>
      <c r="AO64" s="8">
        <v>4.66</v>
      </c>
      <c r="AP64" s="8">
        <v>2.33</v>
      </c>
      <c r="AQ64" s="8">
        <v>3.03</v>
      </c>
      <c r="AR64" s="8">
        <v>2.2599999999999998</v>
      </c>
      <c r="AS64" s="8">
        <v>3.27</v>
      </c>
      <c r="AT64" s="8">
        <v>2.4300000000000002</v>
      </c>
      <c r="AU64" s="6">
        <v>2.72</v>
      </c>
      <c r="AV64" s="11">
        <v>2.31</v>
      </c>
      <c r="AW64" s="6">
        <v>2.79</v>
      </c>
      <c r="AX64" s="6">
        <v>2.9</v>
      </c>
      <c r="AY64" s="6">
        <v>4.1900000000000004</v>
      </c>
      <c r="AZ64" s="6">
        <v>2.9</v>
      </c>
      <c r="BA64" s="6">
        <v>4.8</v>
      </c>
      <c r="BB64" s="6">
        <v>2.46</v>
      </c>
      <c r="BC64" s="6">
        <v>3.08</v>
      </c>
      <c r="BD64" s="11">
        <v>4.21</v>
      </c>
      <c r="BE64" s="6">
        <v>2.99</v>
      </c>
      <c r="BF64" s="6">
        <v>3.74</v>
      </c>
      <c r="BG64" s="6">
        <v>4.5</v>
      </c>
      <c r="BH64" s="6">
        <v>2.9</v>
      </c>
      <c r="BI64" s="6">
        <v>2.56</v>
      </c>
      <c r="BJ64" s="6">
        <v>3.18</v>
      </c>
      <c r="BK64" s="6">
        <v>2.96</v>
      </c>
      <c r="BL64" s="6">
        <v>2.72</v>
      </c>
      <c r="BM64" s="6">
        <v>4.6900000000000004</v>
      </c>
      <c r="BN64" s="6">
        <v>5.72</v>
      </c>
      <c r="BO64" s="6">
        <v>3.26</v>
      </c>
      <c r="BP64" s="6">
        <v>6.16</v>
      </c>
      <c r="BQ64" s="7">
        <v>3.03</v>
      </c>
      <c r="BR64" s="7">
        <v>2.68</v>
      </c>
      <c r="BS64" s="7">
        <v>3</v>
      </c>
      <c r="BT64" s="7">
        <v>2.48</v>
      </c>
      <c r="BU64" s="7">
        <v>2.68</v>
      </c>
      <c r="BV64" s="7">
        <v>4.4000000000000004</v>
      </c>
      <c r="BW64" s="7">
        <v>4.7</v>
      </c>
      <c r="BX64" s="7">
        <v>2.8</v>
      </c>
      <c r="BY64" s="7">
        <v>4.04</v>
      </c>
      <c r="BZ64" s="7">
        <v>4.7</v>
      </c>
      <c r="CA64" s="7">
        <v>2.2799999999999998</v>
      </c>
      <c r="CB64" s="7">
        <v>3.78</v>
      </c>
      <c r="CC64" s="6">
        <v>4.76</v>
      </c>
      <c r="CD64" s="7">
        <v>3.72</v>
      </c>
      <c r="CE64" s="7">
        <v>2.84</v>
      </c>
      <c r="CF64" s="7">
        <v>4</v>
      </c>
      <c r="CG64" s="7">
        <v>2.48</v>
      </c>
      <c r="CH64" s="7">
        <v>4.12</v>
      </c>
      <c r="CI64" s="8">
        <v>3.07</v>
      </c>
      <c r="CJ64" s="7">
        <v>3.42</v>
      </c>
      <c r="CK64" s="7">
        <v>3.04</v>
      </c>
      <c r="CL64" s="6">
        <v>4.0999999999999996</v>
      </c>
      <c r="CM64" s="6">
        <v>3.52</v>
      </c>
      <c r="CN64" s="6">
        <v>4.0999999999999996</v>
      </c>
      <c r="CO64" s="10">
        <v>3.46</v>
      </c>
      <c r="CP64" s="10"/>
    </row>
    <row r="65" spans="1:94" ht="15.75" customHeight="1" x14ac:dyDescent="0.25">
      <c r="A65" s="4">
        <v>64</v>
      </c>
      <c r="B65" s="4"/>
      <c r="C65" s="4">
        <v>4</v>
      </c>
      <c r="D65" s="8">
        <v>2.98</v>
      </c>
      <c r="E65" s="8">
        <v>2.4</v>
      </c>
      <c r="F65" s="8">
        <v>3.93</v>
      </c>
      <c r="G65" s="8">
        <v>3.68</v>
      </c>
      <c r="H65" s="8">
        <v>2.94</v>
      </c>
      <c r="I65" s="8">
        <v>2.14</v>
      </c>
      <c r="J65" s="8">
        <v>3.16</v>
      </c>
      <c r="K65" s="8">
        <v>2.5</v>
      </c>
      <c r="L65" s="8">
        <v>4.05</v>
      </c>
      <c r="M65" s="8">
        <v>2.75</v>
      </c>
      <c r="N65" s="8">
        <v>3.15</v>
      </c>
      <c r="O65" s="8">
        <v>2.54</v>
      </c>
      <c r="P65" s="8">
        <v>2.74</v>
      </c>
      <c r="Q65" s="8">
        <v>2.2000000000000002</v>
      </c>
      <c r="R65" s="8">
        <v>2.68</v>
      </c>
      <c r="S65" s="8">
        <v>4.58</v>
      </c>
      <c r="T65" s="8">
        <v>6.53</v>
      </c>
      <c r="U65" s="8">
        <v>3.13</v>
      </c>
      <c r="V65" s="8">
        <v>4.91</v>
      </c>
      <c r="W65" s="8">
        <v>3.36</v>
      </c>
      <c r="X65" s="8">
        <v>4.3499999999999996</v>
      </c>
      <c r="Y65" s="8">
        <v>4.6500000000000004</v>
      </c>
      <c r="Z65" s="8">
        <v>2.95</v>
      </c>
      <c r="AA65" s="8">
        <v>2.41</v>
      </c>
      <c r="AB65" s="8">
        <v>1.71</v>
      </c>
      <c r="AC65" s="8">
        <v>3.42</v>
      </c>
      <c r="AD65" s="8">
        <v>2.36</v>
      </c>
      <c r="AE65" s="8">
        <v>2.5299999999999998</v>
      </c>
      <c r="AF65" s="8">
        <v>2.92</v>
      </c>
      <c r="AG65" s="8">
        <v>2.06</v>
      </c>
      <c r="AH65" s="8">
        <v>2.75</v>
      </c>
      <c r="AI65" s="8">
        <v>2.59</v>
      </c>
      <c r="AJ65" s="8">
        <v>3.26</v>
      </c>
      <c r="AK65" s="8">
        <v>2.5</v>
      </c>
      <c r="AL65" s="8">
        <v>3.61</v>
      </c>
      <c r="AM65" s="8">
        <v>4.46</v>
      </c>
      <c r="AN65" s="8">
        <v>3.38</v>
      </c>
      <c r="AO65" s="8">
        <v>4.6900000000000004</v>
      </c>
      <c r="AP65" s="8">
        <v>2.2799999999999998</v>
      </c>
      <c r="AQ65" s="8">
        <v>3.01</v>
      </c>
      <c r="AR65" s="8">
        <v>2.25</v>
      </c>
      <c r="AS65" s="8">
        <v>3.23</v>
      </c>
      <c r="AT65" s="8">
        <v>2.4500000000000002</v>
      </c>
      <c r="AU65" s="6">
        <v>2.64</v>
      </c>
      <c r="AV65" s="11">
        <v>2.29</v>
      </c>
      <c r="AW65" s="6">
        <v>2.75</v>
      </c>
      <c r="AX65" s="6">
        <v>3.03</v>
      </c>
      <c r="AY65" s="6">
        <v>4.13</v>
      </c>
      <c r="AZ65" s="6">
        <v>3</v>
      </c>
      <c r="BA65" s="6">
        <v>4.82</v>
      </c>
      <c r="BB65" s="6">
        <v>2.46</v>
      </c>
      <c r="BC65" s="6">
        <v>3.13</v>
      </c>
      <c r="BD65" s="11">
        <v>4.2300000000000004</v>
      </c>
      <c r="BE65" s="6">
        <v>2.93</v>
      </c>
      <c r="BF65" s="6">
        <v>3.75</v>
      </c>
      <c r="BG65" s="6">
        <v>4.34</v>
      </c>
      <c r="BH65" s="6">
        <v>2.89</v>
      </c>
      <c r="BI65" s="6">
        <v>2.56</v>
      </c>
      <c r="BJ65" s="6">
        <v>3.06</v>
      </c>
      <c r="BK65" s="6">
        <v>2.94</v>
      </c>
      <c r="BL65" s="6">
        <v>2.7</v>
      </c>
      <c r="BM65" s="6">
        <v>4.67</v>
      </c>
      <c r="BN65" s="6">
        <v>5.54</v>
      </c>
      <c r="BO65" s="6">
        <v>3.3</v>
      </c>
      <c r="BP65" s="6">
        <v>6.18</v>
      </c>
      <c r="BQ65" s="7">
        <v>3.02</v>
      </c>
      <c r="BR65" s="6">
        <v>2.64</v>
      </c>
      <c r="BS65" s="6">
        <v>2.84</v>
      </c>
      <c r="BT65" s="6">
        <v>2.48</v>
      </c>
      <c r="BU65" s="6">
        <v>2.68</v>
      </c>
      <c r="BV65" s="6">
        <v>4.24</v>
      </c>
      <c r="BW65" s="6">
        <v>4.5599999999999996</v>
      </c>
      <c r="BX65" s="6">
        <v>2.72</v>
      </c>
      <c r="BY65" s="6">
        <v>4.04</v>
      </c>
      <c r="BZ65" s="7">
        <v>4.62</v>
      </c>
      <c r="CA65" s="7">
        <v>2.3199999999999998</v>
      </c>
      <c r="CB65" s="7">
        <v>3.8</v>
      </c>
      <c r="CC65" s="6">
        <v>4.76</v>
      </c>
      <c r="CD65" s="7">
        <v>3.78</v>
      </c>
      <c r="CE65" s="7">
        <v>2.84</v>
      </c>
      <c r="CF65" s="7">
        <v>4</v>
      </c>
      <c r="CG65" s="7">
        <v>2.44</v>
      </c>
      <c r="CH65" s="7">
        <v>4.12</v>
      </c>
      <c r="CI65" s="8">
        <v>3.04</v>
      </c>
      <c r="CJ65" s="7">
        <v>3.42</v>
      </c>
      <c r="CK65" s="7">
        <v>2.98</v>
      </c>
      <c r="CL65" s="6">
        <v>4.04</v>
      </c>
      <c r="CM65" s="6">
        <v>3.61</v>
      </c>
      <c r="CN65" s="6">
        <v>4.07</v>
      </c>
      <c r="CO65" s="10">
        <v>3.39</v>
      </c>
      <c r="CP65" s="10"/>
    </row>
    <row r="66" spans="1:94" ht="15.75" customHeight="1" x14ac:dyDescent="0.25">
      <c r="A66" s="4">
        <v>65</v>
      </c>
      <c r="B66" s="4"/>
      <c r="C66" s="4">
        <v>5</v>
      </c>
      <c r="D66" s="8">
        <v>3.23</v>
      </c>
      <c r="E66" s="8">
        <v>2.38</v>
      </c>
      <c r="F66" s="8">
        <v>3.83</v>
      </c>
      <c r="G66" s="8">
        <v>3.78</v>
      </c>
      <c r="H66" s="8">
        <v>2.96</v>
      </c>
      <c r="I66" s="8">
        <v>2.14</v>
      </c>
      <c r="J66" s="8">
        <v>3.16</v>
      </c>
      <c r="K66" s="8">
        <v>2.44</v>
      </c>
      <c r="L66" s="8">
        <v>4.0599999999999996</v>
      </c>
      <c r="M66" s="8">
        <v>2.69</v>
      </c>
      <c r="N66" s="8">
        <v>3.08</v>
      </c>
      <c r="O66" s="8">
        <v>2.5</v>
      </c>
      <c r="P66" s="8">
        <v>2.74</v>
      </c>
      <c r="Q66" s="8">
        <v>2.21</v>
      </c>
      <c r="R66" s="8">
        <v>2.68</v>
      </c>
      <c r="S66" s="8">
        <v>4.57</v>
      </c>
      <c r="T66" s="8">
        <v>6.53</v>
      </c>
      <c r="U66" s="8">
        <v>3.03</v>
      </c>
      <c r="V66" s="8">
        <v>4.8499999999999996</v>
      </c>
      <c r="W66" s="8">
        <v>3.56</v>
      </c>
      <c r="X66" s="8">
        <v>4.3</v>
      </c>
      <c r="Y66" s="8">
        <v>4.6500000000000004</v>
      </c>
      <c r="Z66" s="8">
        <v>2.9</v>
      </c>
      <c r="AA66" s="8">
        <v>2.41</v>
      </c>
      <c r="AB66" s="8">
        <v>1.71</v>
      </c>
      <c r="AC66" s="8">
        <v>3.44</v>
      </c>
      <c r="AD66" s="8">
        <v>2.33</v>
      </c>
      <c r="AE66" s="8">
        <v>2.57</v>
      </c>
      <c r="AF66" s="8">
        <v>2.93</v>
      </c>
      <c r="AG66" s="8">
        <v>2.06</v>
      </c>
      <c r="AH66" s="8">
        <v>2.73</v>
      </c>
      <c r="AI66" s="8">
        <v>2.59</v>
      </c>
      <c r="AJ66" s="8">
        <v>3.22</v>
      </c>
      <c r="AK66" s="8">
        <v>2.4500000000000002</v>
      </c>
      <c r="AL66" s="8">
        <v>3.64</v>
      </c>
      <c r="AM66" s="8">
        <v>4.37</v>
      </c>
      <c r="AN66" s="8">
        <v>3.4</v>
      </c>
      <c r="AO66" s="8">
        <v>4.5999999999999996</v>
      </c>
      <c r="AP66" s="8">
        <v>2.21</v>
      </c>
      <c r="AQ66" s="8">
        <v>2.99</v>
      </c>
      <c r="AR66" s="8">
        <v>2.25</v>
      </c>
      <c r="AS66" s="8">
        <v>3.23</v>
      </c>
      <c r="AT66" s="8">
        <v>2.4700000000000002</v>
      </c>
      <c r="AU66" s="6">
        <v>2.56</v>
      </c>
      <c r="AV66" s="11">
        <v>2.29</v>
      </c>
      <c r="AW66" s="6">
        <v>2.59</v>
      </c>
      <c r="AX66" s="6">
        <v>3.56</v>
      </c>
      <c r="AY66" s="6">
        <v>4.05</v>
      </c>
      <c r="AZ66" s="6">
        <v>3.2</v>
      </c>
      <c r="BA66" s="6">
        <v>4.88</v>
      </c>
      <c r="BB66" s="6">
        <v>2.46</v>
      </c>
      <c r="BC66" s="6">
        <v>3.18</v>
      </c>
      <c r="BD66" s="11">
        <v>4.2</v>
      </c>
      <c r="BE66" s="6">
        <v>2.88</v>
      </c>
      <c r="BF66" s="6">
        <v>3.79</v>
      </c>
      <c r="BG66" s="6">
        <v>4.1900000000000004</v>
      </c>
      <c r="BH66" s="6">
        <v>2.91</v>
      </c>
      <c r="BI66" s="6">
        <v>2.56</v>
      </c>
      <c r="BJ66" s="6">
        <v>3.1</v>
      </c>
      <c r="BK66" s="6">
        <v>2.92</v>
      </c>
      <c r="BL66" s="6">
        <v>2.7</v>
      </c>
      <c r="BM66" s="6">
        <v>4.7300000000000004</v>
      </c>
      <c r="BN66" s="6">
        <v>5.4</v>
      </c>
      <c r="BO66" s="6">
        <v>3.28</v>
      </c>
      <c r="BP66" s="6">
        <v>6.2</v>
      </c>
      <c r="BQ66" s="7">
        <v>3</v>
      </c>
      <c r="BR66" s="6">
        <v>2.62</v>
      </c>
      <c r="BS66" s="6">
        <v>2.82</v>
      </c>
      <c r="BT66" s="6">
        <v>2.48</v>
      </c>
      <c r="BU66" s="6">
        <v>2.72</v>
      </c>
      <c r="BV66" s="6">
        <v>4.18</v>
      </c>
      <c r="BW66" s="6">
        <v>4.4400000000000004</v>
      </c>
      <c r="BX66" s="6">
        <v>2.72</v>
      </c>
      <c r="BY66" s="6">
        <v>4</v>
      </c>
      <c r="BZ66" s="7">
        <v>4.5599999999999996</v>
      </c>
      <c r="CA66" s="7">
        <v>2.3199999999999998</v>
      </c>
      <c r="CB66" s="7">
        <v>3.82</v>
      </c>
      <c r="CC66" s="6">
        <v>4.62</v>
      </c>
      <c r="CD66" s="7">
        <v>3.8</v>
      </c>
      <c r="CE66" s="7">
        <v>2.84</v>
      </c>
      <c r="CF66" s="7">
        <v>3.84</v>
      </c>
      <c r="CG66" s="7">
        <v>2.42</v>
      </c>
      <c r="CH66" s="7">
        <v>3.98</v>
      </c>
      <c r="CI66" s="8">
        <v>3.02</v>
      </c>
      <c r="CJ66" s="7">
        <v>3.3</v>
      </c>
      <c r="CK66" s="7">
        <v>2.98</v>
      </c>
      <c r="CL66" s="6">
        <v>4</v>
      </c>
      <c r="CM66" s="6">
        <v>3.7</v>
      </c>
      <c r="CN66" s="6">
        <v>4.03</v>
      </c>
      <c r="CO66" s="10">
        <v>3.33</v>
      </c>
      <c r="CP66" s="10"/>
    </row>
    <row r="67" spans="1:94" ht="15.75" customHeight="1" x14ac:dyDescent="0.25">
      <c r="A67" s="4">
        <v>66</v>
      </c>
      <c r="B67" s="4"/>
      <c r="C67" s="4">
        <v>6</v>
      </c>
      <c r="D67" s="8">
        <v>3.33</v>
      </c>
      <c r="E67" s="8">
        <v>2.33</v>
      </c>
      <c r="F67" s="8">
        <v>3.73</v>
      </c>
      <c r="G67" s="8">
        <v>3.88</v>
      </c>
      <c r="H67" s="8">
        <v>2.98</v>
      </c>
      <c r="I67" s="8">
        <v>2.14</v>
      </c>
      <c r="J67" s="8">
        <v>3.14</v>
      </c>
      <c r="K67" s="8">
        <v>2.4</v>
      </c>
      <c r="L67" s="8">
        <v>4.07</v>
      </c>
      <c r="M67" s="8">
        <v>2.68</v>
      </c>
      <c r="N67" s="8">
        <v>3.05</v>
      </c>
      <c r="O67" s="8">
        <v>2.4700000000000002</v>
      </c>
      <c r="P67" s="8">
        <v>2.71</v>
      </c>
      <c r="Q67" s="8">
        <v>2.2400000000000002</v>
      </c>
      <c r="R67" s="8">
        <v>2.68</v>
      </c>
      <c r="S67" s="8">
        <v>4.53</v>
      </c>
      <c r="T67" s="8">
        <v>6.51</v>
      </c>
      <c r="U67" s="8">
        <v>2.96</v>
      </c>
      <c r="V67" s="8">
        <v>4.7300000000000004</v>
      </c>
      <c r="W67" s="8">
        <v>3.56</v>
      </c>
      <c r="X67" s="8">
        <v>4.2300000000000004</v>
      </c>
      <c r="Y67" s="8">
        <v>4.6500000000000004</v>
      </c>
      <c r="Z67" s="8">
        <v>2.85</v>
      </c>
      <c r="AA67" s="8">
        <v>2.41</v>
      </c>
      <c r="AB67" s="8">
        <v>1.73</v>
      </c>
      <c r="AC67" s="8">
        <v>3.44</v>
      </c>
      <c r="AD67" s="8">
        <v>2.2999999999999998</v>
      </c>
      <c r="AE67" s="8">
        <v>2.57</v>
      </c>
      <c r="AF67" s="8">
        <v>3</v>
      </c>
      <c r="AG67" s="8">
        <v>2.02</v>
      </c>
      <c r="AH67" s="8">
        <v>2.71</v>
      </c>
      <c r="AI67" s="8">
        <v>2.59</v>
      </c>
      <c r="AJ67" s="8">
        <v>3.21</v>
      </c>
      <c r="AK67" s="8">
        <v>2.4500000000000002</v>
      </c>
      <c r="AL67" s="8">
        <v>3.69</v>
      </c>
      <c r="AM67" s="8">
        <v>4.2699999999999996</v>
      </c>
      <c r="AN67" s="8">
        <v>3.44</v>
      </c>
      <c r="AO67" s="8">
        <v>4.46</v>
      </c>
      <c r="AP67" s="8">
        <v>2.1800000000000002</v>
      </c>
      <c r="AQ67" s="8">
        <v>2.97</v>
      </c>
      <c r="AR67" s="8">
        <v>2.27</v>
      </c>
      <c r="AS67" s="8">
        <v>3.34</v>
      </c>
      <c r="AT67" s="8">
        <v>2.4900000000000002</v>
      </c>
      <c r="AU67" s="6">
        <v>2.5099999999999998</v>
      </c>
      <c r="AV67" s="11">
        <v>2.21</v>
      </c>
      <c r="AW67" s="6">
        <v>2.5</v>
      </c>
      <c r="AX67" s="6">
        <v>3.84</v>
      </c>
      <c r="AY67" s="6">
        <v>3.98</v>
      </c>
      <c r="AZ67" s="6">
        <v>3.29</v>
      </c>
      <c r="BA67" s="6">
        <v>4.92</v>
      </c>
      <c r="BB67" s="6">
        <v>2.4500000000000002</v>
      </c>
      <c r="BC67" s="6">
        <v>3.2</v>
      </c>
      <c r="BD67" s="11">
        <v>4.21</v>
      </c>
      <c r="BE67" s="6">
        <v>2.8</v>
      </c>
      <c r="BF67" s="6">
        <v>3.81</v>
      </c>
      <c r="BG67" s="6">
        <v>4</v>
      </c>
      <c r="BH67" s="6">
        <v>2.9</v>
      </c>
      <c r="BI67" s="6">
        <v>2.56</v>
      </c>
      <c r="BJ67" s="6">
        <v>3</v>
      </c>
      <c r="BK67" s="6">
        <v>2.9</v>
      </c>
      <c r="BL67" s="6">
        <v>2.6</v>
      </c>
      <c r="BM67" s="6">
        <v>4.6900000000000004</v>
      </c>
      <c r="BN67" s="6">
        <v>5.3</v>
      </c>
      <c r="BO67" s="6">
        <v>3.28</v>
      </c>
      <c r="BP67" s="6">
        <v>6.28</v>
      </c>
      <c r="BQ67" s="7">
        <v>3</v>
      </c>
      <c r="BR67" s="6">
        <v>2.5499999999999998</v>
      </c>
      <c r="BS67" s="6">
        <v>2.74</v>
      </c>
      <c r="BT67" s="6">
        <v>2.4</v>
      </c>
      <c r="BU67" s="6">
        <v>2.72</v>
      </c>
      <c r="BV67" s="6">
        <v>4.12</v>
      </c>
      <c r="BW67" s="6">
        <v>4.38</v>
      </c>
      <c r="BX67" s="6">
        <v>2.7</v>
      </c>
      <c r="BY67" s="6">
        <v>3.9</v>
      </c>
      <c r="BZ67" s="7">
        <v>4.5</v>
      </c>
      <c r="CA67" s="7">
        <v>2.2999999999999998</v>
      </c>
      <c r="CB67" s="7">
        <v>3.82</v>
      </c>
      <c r="CC67" s="6">
        <v>4.5999999999999996</v>
      </c>
      <c r="CD67" s="7">
        <v>4.0999999999999996</v>
      </c>
      <c r="CE67" s="7">
        <v>2.8</v>
      </c>
      <c r="CF67" s="7">
        <v>3.8</v>
      </c>
      <c r="CG67" s="7">
        <v>2.4</v>
      </c>
      <c r="CH67" s="7">
        <v>3.9</v>
      </c>
      <c r="CI67" s="8">
        <v>3.02</v>
      </c>
      <c r="CJ67" s="7">
        <v>3.2</v>
      </c>
      <c r="CK67" s="7">
        <v>2.98</v>
      </c>
      <c r="CL67" s="6">
        <v>3.96</v>
      </c>
      <c r="CM67" s="6">
        <v>3.79</v>
      </c>
      <c r="CN67" s="6">
        <v>4</v>
      </c>
      <c r="CO67" s="10">
        <v>3.29</v>
      </c>
      <c r="CP67" s="10"/>
    </row>
    <row r="68" spans="1:94" ht="15.75" customHeight="1" x14ac:dyDescent="0.25">
      <c r="A68" s="4">
        <v>67</v>
      </c>
      <c r="B68" s="4"/>
      <c r="C68" s="4">
        <v>7</v>
      </c>
      <c r="D68" s="8">
        <v>3.38</v>
      </c>
      <c r="E68" s="8">
        <v>2.2799999999999998</v>
      </c>
      <c r="F68" s="8">
        <v>3.63</v>
      </c>
      <c r="G68" s="8">
        <v>3.94</v>
      </c>
      <c r="H68" s="8">
        <v>3.03</v>
      </c>
      <c r="I68" s="8">
        <v>2.1</v>
      </c>
      <c r="J68" s="8">
        <v>3.15</v>
      </c>
      <c r="K68" s="8">
        <v>2.34</v>
      </c>
      <c r="L68" s="8">
        <v>4.07</v>
      </c>
      <c r="M68" s="8">
        <v>2.67</v>
      </c>
      <c r="N68" s="8">
        <v>3.01</v>
      </c>
      <c r="O68" s="8">
        <v>2.44</v>
      </c>
      <c r="P68" s="8">
        <v>2.68</v>
      </c>
      <c r="Q68" s="8">
        <v>2.2000000000000002</v>
      </c>
      <c r="R68" s="8">
        <v>2.68</v>
      </c>
      <c r="S68" s="8">
        <v>4.4400000000000004</v>
      </c>
      <c r="T68" s="8">
        <v>6.41</v>
      </c>
      <c r="U68" s="8">
        <v>2.91</v>
      </c>
      <c r="V68" s="8">
        <v>4.55</v>
      </c>
      <c r="W68" s="8">
        <v>3.52</v>
      </c>
      <c r="X68" s="8">
        <v>4.17</v>
      </c>
      <c r="Y68" s="8">
        <v>4.67</v>
      </c>
      <c r="Z68" s="8">
        <v>2.83</v>
      </c>
      <c r="AA68" s="8">
        <v>2.4500000000000002</v>
      </c>
      <c r="AB68" s="8">
        <v>1.73</v>
      </c>
      <c r="AC68" s="8">
        <v>3.44</v>
      </c>
      <c r="AD68" s="8">
        <v>2.21</v>
      </c>
      <c r="AE68" s="8">
        <v>2.57</v>
      </c>
      <c r="AF68" s="8">
        <v>3.06</v>
      </c>
      <c r="AG68" s="8">
        <v>2</v>
      </c>
      <c r="AH68" s="8">
        <v>2.68</v>
      </c>
      <c r="AI68" s="8">
        <v>2.59</v>
      </c>
      <c r="AJ68" s="8">
        <v>3.21</v>
      </c>
      <c r="AK68" s="8">
        <v>2.29</v>
      </c>
      <c r="AL68" s="8">
        <v>3.74</v>
      </c>
      <c r="AM68" s="8">
        <v>4.21</v>
      </c>
      <c r="AN68" s="8">
        <v>3.53</v>
      </c>
      <c r="AO68" s="8">
        <v>4.34</v>
      </c>
      <c r="AP68" s="8">
        <v>2.16</v>
      </c>
      <c r="AQ68" s="8">
        <v>2.99</v>
      </c>
      <c r="AR68" s="8">
        <v>2.29</v>
      </c>
      <c r="AS68" s="8">
        <v>3.45</v>
      </c>
      <c r="AT68" s="8">
        <v>2.5099999999999998</v>
      </c>
      <c r="AU68" s="6">
        <v>2.48</v>
      </c>
      <c r="AV68" s="11">
        <v>2.13</v>
      </c>
      <c r="AW68" s="6">
        <v>2.5</v>
      </c>
      <c r="AX68" s="6">
        <v>4.1100000000000003</v>
      </c>
      <c r="AY68" s="6">
        <v>3.89</v>
      </c>
      <c r="AZ68" s="6">
        <v>3.3</v>
      </c>
      <c r="BA68" s="6">
        <v>5.01</v>
      </c>
      <c r="BB68" s="6">
        <v>2.4700000000000002</v>
      </c>
      <c r="BC68" s="6">
        <v>3.2</v>
      </c>
      <c r="BD68" s="11">
        <v>4.16</v>
      </c>
      <c r="BE68" s="6">
        <v>2.74</v>
      </c>
      <c r="BF68" s="6">
        <v>3.86</v>
      </c>
      <c r="BG68" s="6">
        <v>3.85</v>
      </c>
      <c r="BH68" s="6">
        <v>2.88</v>
      </c>
      <c r="BI68" s="6">
        <v>2.56</v>
      </c>
      <c r="BJ68" s="6">
        <v>2.97</v>
      </c>
      <c r="BK68" s="6">
        <v>2.84</v>
      </c>
      <c r="BL68" s="6">
        <v>2.58</v>
      </c>
      <c r="BM68" s="6">
        <v>4.5999999999999996</v>
      </c>
      <c r="BN68" s="6">
        <v>5.2</v>
      </c>
      <c r="BO68" s="6">
        <v>3.2</v>
      </c>
      <c r="BP68" s="6">
        <v>6.35</v>
      </c>
      <c r="BQ68" s="7">
        <v>3.02</v>
      </c>
      <c r="BR68" s="6">
        <v>2.5299999999999998</v>
      </c>
      <c r="BS68" s="6">
        <v>2.7</v>
      </c>
      <c r="BT68" s="6">
        <v>2.36</v>
      </c>
      <c r="BU68" s="6">
        <v>2.74</v>
      </c>
      <c r="BV68" s="6">
        <v>4.0999999999999996</v>
      </c>
      <c r="BW68" s="6">
        <v>4.3</v>
      </c>
      <c r="BX68" s="6">
        <v>2.68</v>
      </c>
      <c r="BY68" s="6">
        <v>3.9</v>
      </c>
      <c r="BZ68" s="7">
        <v>4.46</v>
      </c>
      <c r="CA68" s="7">
        <v>2.2799999999999998</v>
      </c>
      <c r="CB68" s="7">
        <v>3.78</v>
      </c>
      <c r="CC68" s="6">
        <v>4.5599999999999996</v>
      </c>
      <c r="CD68" s="7">
        <v>4.26</v>
      </c>
      <c r="CE68" s="7">
        <v>2.8</v>
      </c>
      <c r="CF68" s="7">
        <v>3.78</v>
      </c>
      <c r="CG68" s="7">
        <v>2.4</v>
      </c>
      <c r="CH68" s="7">
        <v>3.88</v>
      </c>
      <c r="CI68" s="8">
        <v>2.96</v>
      </c>
      <c r="CJ68" s="7">
        <v>3.12</v>
      </c>
      <c r="CK68" s="7">
        <v>2.96</v>
      </c>
      <c r="CL68" s="6">
        <v>3.9</v>
      </c>
      <c r="CM68" s="6">
        <v>3.87</v>
      </c>
      <c r="CN68" s="6">
        <v>4</v>
      </c>
      <c r="CO68" s="10">
        <v>3.24</v>
      </c>
      <c r="CP68" s="10"/>
    </row>
    <row r="69" spans="1:94" ht="15.75" customHeight="1" x14ac:dyDescent="0.25">
      <c r="A69" s="4">
        <v>68</v>
      </c>
      <c r="B69" s="4"/>
      <c r="C69" s="4">
        <v>8</v>
      </c>
      <c r="D69" s="8">
        <v>3.4</v>
      </c>
      <c r="E69" s="8">
        <v>2.2400000000000002</v>
      </c>
      <c r="F69" s="8">
        <v>3.58</v>
      </c>
      <c r="G69" s="8">
        <v>3.96</v>
      </c>
      <c r="H69" s="8">
        <v>3.08</v>
      </c>
      <c r="I69" s="8">
        <v>2.08</v>
      </c>
      <c r="J69" s="8">
        <v>3.1</v>
      </c>
      <c r="K69" s="8">
        <v>2.2799999999999998</v>
      </c>
      <c r="L69" s="8">
        <v>4.07</v>
      </c>
      <c r="M69" s="8">
        <v>2.68</v>
      </c>
      <c r="N69" s="8">
        <v>2.97</v>
      </c>
      <c r="O69" s="8">
        <v>2.41</v>
      </c>
      <c r="P69" s="8">
        <v>2.66</v>
      </c>
      <c r="Q69" s="8">
        <v>2.29</v>
      </c>
      <c r="R69" s="8">
        <v>2.65</v>
      </c>
      <c r="S69" s="8">
        <v>4.3899999999999997</v>
      </c>
      <c r="T69" s="8">
        <v>6.36</v>
      </c>
      <c r="U69" s="8">
        <v>2.88</v>
      </c>
      <c r="V69" s="8">
        <v>4.4000000000000004</v>
      </c>
      <c r="W69" s="8">
        <v>3.46</v>
      </c>
      <c r="X69" s="8">
        <v>4.1500000000000004</v>
      </c>
      <c r="Y69" s="8">
        <v>4.71</v>
      </c>
      <c r="Z69" s="8">
        <v>2.79</v>
      </c>
      <c r="AA69" s="8">
        <v>2.48</v>
      </c>
      <c r="AB69" s="8">
        <v>1.73</v>
      </c>
      <c r="AC69" s="8">
        <v>3.4</v>
      </c>
      <c r="AD69" s="8">
        <v>2.15</v>
      </c>
      <c r="AE69" s="8">
        <v>2.5499999999999998</v>
      </c>
      <c r="AF69" s="8">
        <v>3.11</v>
      </c>
      <c r="AG69" s="8">
        <v>2</v>
      </c>
      <c r="AH69" s="8">
        <v>2.61</v>
      </c>
      <c r="AI69" s="8">
        <v>2.59</v>
      </c>
      <c r="AJ69" s="8">
        <v>3.19</v>
      </c>
      <c r="AK69" s="8">
        <v>2.29</v>
      </c>
      <c r="AL69" s="8">
        <v>3.81</v>
      </c>
      <c r="AM69" s="8">
        <v>4.1900000000000004</v>
      </c>
      <c r="AN69" s="8">
        <v>3.62</v>
      </c>
      <c r="AO69" s="8">
        <v>4.2300000000000004</v>
      </c>
      <c r="AP69" s="8">
        <v>2.13</v>
      </c>
      <c r="AQ69" s="8">
        <v>2.97</v>
      </c>
      <c r="AR69" s="8">
        <v>2.2999999999999998</v>
      </c>
      <c r="AS69" s="8">
        <v>3.57</v>
      </c>
      <c r="AT69" s="8">
        <v>2.5099999999999998</v>
      </c>
      <c r="AU69" s="6">
        <v>2.48</v>
      </c>
      <c r="AV69" s="11">
        <v>2.0499999999999998</v>
      </c>
      <c r="AW69" s="6">
        <v>2.4700000000000002</v>
      </c>
      <c r="AX69" s="6">
        <v>4.38</v>
      </c>
      <c r="AY69" s="6">
        <v>3.8</v>
      </c>
      <c r="AZ69" s="6">
        <v>3.28</v>
      </c>
      <c r="BA69" s="6">
        <v>5.07</v>
      </c>
      <c r="BB69" s="6">
        <v>2.48</v>
      </c>
      <c r="BC69" s="6">
        <v>3.2</v>
      </c>
      <c r="BD69" s="11">
        <v>4.13</v>
      </c>
      <c r="BE69" s="6">
        <v>2.67</v>
      </c>
      <c r="BF69" s="6">
        <v>3.93</v>
      </c>
      <c r="BG69" s="6">
        <v>3.75</v>
      </c>
      <c r="BH69" s="6">
        <v>2.9</v>
      </c>
      <c r="BI69" s="6">
        <v>2.56</v>
      </c>
      <c r="BJ69" s="6">
        <v>2.97</v>
      </c>
      <c r="BK69" s="6">
        <v>2.92</v>
      </c>
      <c r="BL69" s="6">
        <v>2.56</v>
      </c>
      <c r="BM69" s="6">
        <v>4.5199999999999996</v>
      </c>
      <c r="BN69" s="6">
        <v>5.12</v>
      </c>
      <c r="BO69" s="6">
        <v>3.13</v>
      </c>
      <c r="BP69" s="6">
        <v>6.34</v>
      </c>
      <c r="BQ69" s="7">
        <v>3.04</v>
      </c>
      <c r="BR69" s="6">
        <v>2.5299999999999998</v>
      </c>
      <c r="BS69" s="6">
        <v>2.7</v>
      </c>
      <c r="BT69" s="6">
        <v>2.3199999999999998</v>
      </c>
      <c r="BU69" s="6">
        <v>2.76</v>
      </c>
      <c r="BV69" s="6">
        <v>3.8</v>
      </c>
      <c r="BW69" s="6">
        <v>4.2</v>
      </c>
      <c r="BX69" s="6">
        <v>2.66</v>
      </c>
      <c r="BY69" s="6">
        <v>3.8</v>
      </c>
      <c r="BZ69" s="7">
        <v>4.38</v>
      </c>
      <c r="CA69" s="7">
        <v>2.2799999999999998</v>
      </c>
      <c r="CB69" s="7">
        <v>3.8</v>
      </c>
      <c r="CC69" s="6">
        <v>4.5199999999999996</v>
      </c>
      <c r="CD69" s="7">
        <v>4.0999999999999996</v>
      </c>
      <c r="CE69" s="7">
        <v>2.8</v>
      </c>
      <c r="CF69" s="7">
        <v>3.74</v>
      </c>
      <c r="CG69" s="7">
        <v>2.5</v>
      </c>
      <c r="CH69" s="7">
        <v>3.86</v>
      </c>
      <c r="CI69" s="8">
        <v>2.96</v>
      </c>
      <c r="CJ69" s="7">
        <v>3.1</v>
      </c>
      <c r="CK69" s="7">
        <v>2.96</v>
      </c>
      <c r="CL69" s="6">
        <v>3.8</v>
      </c>
      <c r="CM69" s="6">
        <v>3.96</v>
      </c>
      <c r="CN69" s="6">
        <v>3.98</v>
      </c>
      <c r="CO69" s="10">
        <v>3.21</v>
      </c>
      <c r="CP69" s="10"/>
    </row>
    <row r="70" spans="1:94" ht="15.75" customHeight="1" x14ac:dyDescent="0.25">
      <c r="A70" s="4">
        <v>69</v>
      </c>
      <c r="B70" s="4"/>
      <c r="C70" s="4">
        <v>9</v>
      </c>
      <c r="D70" s="8">
        <v>3.42</v>
      </c>
      <c r="E70" s="8">
        <v>2.2000000000000002</v>
      </c>
      <c r="F70" s="8">
        <v>3.48</v>
      </c>
      <c r="G70" s="8">
        <v>3.98</v>
      </c>
      <c r="H70" s="8">
        <v>3.13</v>
      </c>
      <c r="I70" s="8">
        <v>2.08</v>
      </c>
      <c r="J70" s="8">
        <v>3.06</v>
      </c>
      <c r="K70" s="8">
        <v>2.2400000000000002</v>
      </c>
      <c r="L70" s="8">
        <v>4.07</v>
      </c>
      <c r="M70" s="8">
        <v>2.71</v>
      </c>
      <c r="N70" s="8">
        <v>2.94</v>
      </c>
      <c r="O70" s="8">
        <v>2.38</v>
      </c>
      <c r="P70" s="8">
        <v>2.63</v>
      </c>
      <c r="Q70" s="8">
        <v>2.33</v>
      </c>
      <c r="R70" s="8">
        <v>2.6</v>
      </c>
      <c r="S70" s="8">
        <v>4.3</v>
      </c>
      <c r="T70" s="8">
        <v>6.26</v>
      </c>
      <c r="U70" s="8">
        <v>2.86</v>
      </c>
      <c r="V70" s="8">
        <v>4.25</v>
      </c>
      <c r="W70" s="8">
        <v>3.36</v>
      </c>
      <c r="X70" s="8">
        <v>4.13</v>
      </c>
      <c r="Y70" s="8">
        <v>4.75</v>
      </c>
      <c r="Z70" s="8">
        <v>2.77</v>
      </c>
      <c r="AA70" s="8">
        <v>2.5099999999999998</v>
      </c>
      <c r="AB70" s="8">
        <v>1.73</v>
      </c>
      <c r="AC70" s="8">
        <v>3.36</v>
      </c>
      <c r="AD70" s="8">
        <v>2.1</v>
      </c>
      <c r="AE70" s="8">
        <v>2.5099999999999998</v>
      </c>
      <c r="AF70" s="8">
        <v>3.13</v>
      </c>
      <c r="AG70" s="8">
        <v>2</v>
      </c>
      <c r="AH70" s="8">
        <v>2.56</v>
      </c>
      <c r="AI70" s="8">
        <v>2.59</v>
      </c>
      <c r="AJ70" s="8">
        <v>3.16</v>
      </c>
      <c r="AK70" s="8">
        <v>2.2799999999999998</v>
      </c>
      <c r="AL70" s="8">
        <v>3.86</v>
      </c>
      <c r="AM70" s="8">
        <v>4.0999999999999996</v>
      </c>
      <c r="AN70" s="8">
        <v>3.72</v>
      </c>
      <c r="AO70" s="8">
        <v>4.1500000000000004</v>
      </c>
      <c r="AP70" s="8">
        <v>2.11</v>
      </c>
      <c r="AQ70" s="8">
        <v>2.99</v>
      </c>
      <c r="AR70" s="8">
        <v>2.33</v>
      </c>
      <c r="AS70" s="8">
        <v>3.72</v>
      </c>
      <c r="AT70" s="8">
        <v>2.48</v>
      </c>
      <c r="AU70" s="11">
        <v>2.2999999999999998</v>
      </c>
      <c r="AV70" s="11">
        <v>2.0499999999999998</v>
      </c>
      <c r="AW70" s="6">
        <v>2.41</v>
      </c>
      <c r="AX70" s="6">
        <v>4.6100000000000003</v>
      </c>
      <c r="AY70" s="6">
        <v>3.75</v>
      </c>
      <c r="AZ70" s="6">
        <v>3.25</v>
      </c>
      <c r="BA70" s="6">
        <v>5.07</v>
      </c>
      <c r="BB70" s="6">
        <v>2.46</v>
      </c>
      <c r="BC70" s="6">
        <v>3.2</v>
      </c>
      <c r="BD70" s="11">
        <v>4.09</v>
      </c>
      <c r="BE70" s="6">
        <v>2.6</v>
      </c>
      <c r="BF70" s="6">
        <v>4.1100000000000003</v>
      </c>
      <c r="BG70" s="6">
        <v>3.68</v>
      </c>
      <c r="BH70" s="6">
        <v>2.95</v>
      </c>
      <c r="BI70" s="6">
        <v>2.52</v>
      </c>
      <c r="BJ70" s="6">
        <v>2.97</v>
      </c>
      <c r="BK70" s="6">
        <v>2.99</v>
      </c>
      <c r="BL70" s="6">
        <v>2.54</v>
      </c>
      <c r="BM70" s="6">
        <v>4.5</v>
      </c>
      <c r="BN70" s="6">
        <v>5.07</v>
      </c>
      <c r="BO70" s="6">
        <v>3.06</v>
      </c>
      <c r="BP70" s="6">
        <v>6.32</v>
      </c>
      <c r="BQ70" s="7">
        <v>3.08</v>
      </c>
      <c r="BR70" s="6">
        <v>2.46</v>
      </c>
      <c r="BS70" s="6">
        <v>2.76</v>
      </c>
      <c r="BT70" s="6">
        <v>2.2999999999999998</v>
      </c>
      <c r="BU70" s="6">
        <v>2.84</v>
      </c>
      <c r="BV70" s="6">
        <v>3.8</v>
      </c>
      <c r="BW70" s="6">
        <v>4.12</v>
      </c>
      <c r="BX70" s="6">
        <v>2.66</v>
      </c>
      <c r="BY70" s="6">
        <v>3.76</v>
      </c>
      <c r="BZ70" s="7">
        <v>4.32</v>
      </c>
      <c r="CA70" s="7">
        <v>2.2799999999999998</v>
      </c>
      <c r="CB70" s="7">
        <v>3.82</v>
      </c>
      <c r="CC70" s="6">
        <v>4.5</v>
      </c>
      <c r="CD70" s="7">
        <v>4.0599999999999996</v>
      </c>
      <c r="CE70" s="7">
        <v>2.8</v>
      </c>
      <c r="CF70" s="7">
        <v>3.7</v>
      </c>
      <c r="CG70" s="7">
        <v>2.5</v>
      </c>
      <c r="CH70" s="7">
        <v>4</v>
      </c>
      <c r="CI70" s="8">
        <v>2.98</v>
      </c>
      <c r="CJ70" s="7">
        <v>3.1</v>
      </c>
      <c r="CK70" s="7">
        <v>2.96</v>
      </c>
      <c r="CL70" s="6">
        <v>3.7</v>
      </c>
      <c r="CM70" s="6">
        <v>4.05</v>
      </c>
      <c r="CN70" s="6">
        <v>4</v>
      </c>
      <c r="CO70" s="10">
        <v>3.19</v>
      </c>
      <c r="CP70" s="10"/>
    </row>
    <row r="71" spans="1:94" ht="15.75" customHeight="1" x14ac:dyDescent="0.25">
      <c r="A71" s="4">
        <v>70</v>
      </c>
      <c r="B71" s="4"/>
      <c r="C71" s="4">
        <v>10</v>
      </c>
      <c r="D71" s="8">
        <v>3.42</v>
      </c>
      <c r="E71" s="8">
        <v>2.16</v>
      </c>
      <c r="F71" s="8">
        <v>3.38</v>
      </c>
      <c r="G71" s="8">
        <v>3.96</v>
      </c>
      <c r="H71" s="8">
        <v>3.23</v>
      </c>
      <c r="I71" s="8">
        <v>2.06</v>
      </c>
      <c r="J71" s="8">
        <v>2.99</v>
      </c>
      <c r="K71" s="8">
        <v>2.19</v>
      </c>
      <c r="L71" s="8">
        <v>4.07</v>
      </c>
      <c r="M71" s="8">
        <v>2.74</v>
      </c>
      <c r="N71" s="8">
        <v>2.91</v>
      </c>
      <c r="O71" s="8">
        <v>2.33</v>
      </c>
      <c r="P71" s="8">
        <v>2.6</v>
      </c>
      <c r="Q71" s="8">
        <v>2.33</v>
      </c>
      <c r="R71" s="8">
        <v>2.5</v>
      </c>
      <c r="S71" s="8">
        <v>4.2300000000000004</v>
      </c>
      <c r="T71" s="8">
        <v>6.16</v>
      </c>
      <c r="U71" s="8">
        <v>2.84</v>
      </c>
      <c r="V71" s="8">
        <v>4.1500000000000004</v>
      </c>
      <c r="W71" s="8">
        <v>3.3</v>
      </c>
      <c r="X71" s="8">
        <v>4.0999999999999996</v>
      </c>
      <c r="Y71" s="8">
        <v>4.8099999999999996</v>
      </c>
      <c r="Z71" s="8">
        <v>2.76</v>
      </c>
      <c r="AA71" s="8">
        <v>2.54</v>
      </c>
      <c r="AB71" s="8">
        <v>1.73</v>
      </c>
      <c r="AC71" s="8">
        <v>3.3</v>
      </c>
      <c r="AD71" s="8">
        <v>2.08</v>
      </c>
      <c r="AE71" s="8">
        <v>2.5099999999999998</v>
      </c>
      <c r="AF71" s="8">
        <v>3.13</v>
      </c>
      <c r="AG71" s="8">
        <v>2</v>
      </c>
      <c r="AH71" s="8">
        <v>2.5</v>
      </c>
      <c r="AI71" s="8">
        <v>2.59</v>
      </c>
      <c r="AJ71" s="8">
        <v>3.12</v>
      </c>
      <c r="AK71" s="8">
        <v>2.25</v>
      </c>
      <c r="AL71" s="8">
        <v>3.91</v>
      </c>
      <c r="AM71" s="8">
        <v>4.0599999999999996</v>
      </c>
      <c r="AN71" s="8">
        <v>3.82</v>
      </c>
      <c r="AO71" s="8">
        <v>4.12</v>
      </c>
      <c r="AP71" s="8">
        <v>2.04</v>
      </c>
      <c r="AQ71" s="8">
        <v>3.01</v>
      </c>
      <c r="AR71" s="8">
        <v>2.35</v>
      </c>
      <c r="AS71" s="8">
        <v>3.84</v>
      </c>
      <c r="AT71" s="8">
        <v>2.4300000000000002</v>
      </c>
      <c r="AU71" s="11">
        <v>2.27</v>
      </c>
      <c r="AV71" s="11">
        <v>2.0499999999999998</v>
      </c>
      <c r="AW71" s="6">
        <v>2.33</v>
      </c>
      <c r="AX71" s="6">
        <v>4.78</v>
      </c>
      <c r="AY71" s="6">
        <v>3.72</v>
      </c>
      <c r="AZ71" s="6">
        <v>3.21</v>
      </c>
      <c r="BA71" s="6">
        <v>5.03</v>
      </c>
      <c r="BB71" s="6">
        <v>2.44</v>
      </c>
      <c r="BC71" s="6">
        <v>3.24</v>
      </c>
      <c r="BD71" s="11">
        <v>4.04</v>
      </c>
      <c r="BE71" s="6">
        <v>2.56</v>
      </c>
      <c r="BF71" s="6">
        <v>4.26</v>
      </c>
      <c r="BG71" s="6">
        <v>3.57</v>
      </c>
      <c r="BH71" s="6">
        <v>2.98</v>
      </c>
      <c r="BI71" s="6">
        <v>2.52</v>
      </c>
      <c r="BJ71" s="6">
        <v>2.94</v>
      </c>
      <c r="BK71" s="6">
        <v>3</v>
      </c>
      <c r="BL71" s="6">
        <v>2.56</v>
      </c>
      <c r="BM71" s="6">
        <v>4.4400000000000004</v>
      </c>
      <c r="BN71" s="6">
        <v>5</v>
      </c>
      <c r="BO71" s="6">
        <v>3.02</v>
      </c>
      <c r="BP71" s="6">
        <v>6.24</v>
      </c>
      <c r="BQ71" s="7">
        <v>3.12</v>
      </c>
      <c r="BR71" s="6">
        <v>2.4300000000000002</v>
      </c>
      <c r="BS71" s="6">
        <v>2.84</v>
      </c>
      <c r="BT71" s="6">
        <v>2.2799999999999998</v>
      </c>
      <c r="BU71" s="6">
        <v>2.9</v>
      </c>
      <c r="BV71" s="6">
        <v>3.78</v>
      </c>
      <c r="BW71" s="6">
        <v>4.04</v>
      </c>
      <c r="BX71" s="6">
        <v>2.64</v>
      </c>
      <c r="BY71" s="6">
        <v>3.68</v>
      </c>
      <c r="BZ71" s="7">
        <v>4.32</v>
      </c>
      <c r="CA71" s="7">
        <v>2.2799999999999998</v>
      </c>
      <c r="CB71" s="7">
        <v>3.82</v>
      </c>
      <c r="CC71" s="6">
        <v>4.46</v>
      </c>
      <c r="CD71" s="7">
        <v>3.94</v>
      </c>
      <c r="CE71" s="7">
        <v>2.8</v>
      </c>
      <c r="CF71" s="7">
        <v>3.64</v>
      </c>
      <c r="CG71" s="7">
        <v>2.56</v>
      </c>
      <c r="CH71" s="7">
        <v>4.12</v>
      </c>
      <c r="CI71" s="8">
        <v>2.8</v>
      </c>
      <c r="CJ71" s="7">
        <v>3.06</v>
      </c>
      <c r="CK71" s="7">
        <v>2.96</v>
      </c>
      <c r="CL71" s="6">
        <v>3.62</v>
      </c>
      <c r="CM71" s="6">
        <v>4.0999999999999996</v>
      </c>
      <c r="CN71" s="6">
        <v>3.98</v>
      </c>
      <c r="CO71" s="10">
        <v>3.14</v>
      </c>
      <c r="CP71" s="10"/>
    </row>
    <row r="72" spans="1:94" ht="15.75" customHeight="1" x14ac:dyDescent="0.25">
      <c r="A72" s="4">
        <v>71</v>
      </c>
      <c r="B72" s="4"/>
      <c r="C72" s="4">
        <v>11</v>
      </c>
      <c r="D72" s="8">
        <v>3.4</v>
      </c>
      <c r="E72" s="8">
        <v>2.1</v>
      </c>
      <c r="F72" s="8">
        <v>3.33</v>
      </c>
      <c r="G72" s="8">
        <v>3.94</v>
      </c>
      <c r="H72" s="8">
        <v>3.28</v>
      </c>
      <c r="I72" s="8">
        <v>2.04</v>
      </c>
      <c r="J72" s="8">
        <v>2.98</v>
      </c>
      <c r="K72" s="8">
        <v>2.14</v>
      </c>
      <c r="L72" s="8">
        <v>4.03</v>
      </c>
      <c r="M72" s="8">
        <v>2.78</v>
      </c>
      <c r="N72" s="8">
        <v>2.88</v>
      </c>
      <c r="O72" s="8">
        <v>2.3199999999999998</v>
      </c>
      <c r="P72" s="8">
        <v>2.57</v>
      </c>
      <c r="Q72" s="8">
        <v>2.33</v>
      </c>
      <c r="R72" s="8">
        <v>2.54</v>
      </c>
      <c r="S72" s="8">
        <v>4.16</v>
      </c>
      <c r="T72" s="8">
        <v>6.06</v>
      </c>
      <c r="U72" s="8">
        <v>2.82</v>
      </c>
      <c r="V72" s="8">
        <v>4.09</v>
      </c>
      <c r="W72" s="8">
        <v>3.28</v>
      </c>
      <c r="X72" s="8">
        <v>4.08</v>
      </c>
      <c r="Y72" s="8">
        <v>4.8099999999999996</v>
      </c>
      <c r="Z72" s="8">
        <v>2.75</v>
      </c>
      <c r="AA72" s="8">
        <v>2.59</v>
      </c>
      <c r="AB72" s="8">
        <v>1.75</v>
      </c>
      <c r="AC72" s="8">
        <v>3.26</v>
      </c>
      <c r="AD72" s="8">
        <v>2.06</v>
      </c>
      <c r="AE72" s="8">
        <v>2.4</v>
      </c>
      <c r="AF72" s="8">
        <v>3.1</v>
      </c>
      <c r="AG72" s="8">
        <v>2</v>
      </c>
      <c r="AH72" s="8">
        <v>2.48</v>
      </c>
      <c r="AI72" s="8">
        <v>2.5499999999999998</v>
      </c>
      <c r="AJ72" s="8">
        <v>3.07</v>
      </c>
      <c r="AK72" s="8">
        <v>2.25</v>
      </c>
      <c r="AL72" s="8">
        <v>3.93</v>
      </c>
      <c r="AM72" s="8">
        <v>4</v>
      </c>
      <c r="AN72" s="8">
        <v>3.92</v>
      </c>
      <c r="AO72" s="8">
        <v>4.1100000000000003</v>
      </c>
      <c r="AP72" s="8">
        <v>2.02</v>
      </c>
      <c r="AQ72" s="8">
        <v>3.01</v>
      </c>
      <c r="AR72" s="8">
        <v>2.4</v>
      </c>
      <c r="AS72" s="8">
        <v>3.94</v>
      </c>
      <c r="AT72" s="8">
        <v>2.4</v>
      </c>
      <c r="AU72" s="11">
        <v>2.25</v>
      </c>
      <c r="AV72" s="11">
        <v>2.0499999999999998</v>
      </c>
      <c r="AW72" s="6">
        <v>2.33</v>
      </c>
      <c r="AX72" s="6">
        <v>4.9000000000000004</v>
      </c>
      <c r="AY72" s="6">
        <v>3.7</v>
      </c>
      <c r="AZ72" s="6">
        <v>3.25</v>
      </c>
      <c r="BA72" s="6">
        <v>4.96</v>
      </c>
      <c r="BB72" s="6">
        <v>2.4</v>
      </c>
      <c r="BC72" s="6">
        <v>3.29</v>
      </c>
      <c r="BD72" s="11">
        <v>4.01</v>
      </c>
      <c r="BE72" s="6">
        <v>2.5099999999999998</v>
      </c>
      <c r="BF72" s="6">
        <v>4.32</v>
      </c>
      <c r="BG72" s="6">
        <v>3.48</v>
      </c>
      <c r="BH72" s="6">
        <v>3</v>
      </c>
      <c r="BI72" s="6">
        <v>2.56</v>
      </c>
      <c r="BJ72" s="6">
        <v>3.05</v>
      </c>
      <c r="BK72" s="6">
        <v>3.02</v>
      </c>
      <c r="BL72" s="6">
        <v>2.56</v>
      </c>
      <c r="BM72" s="6">
        <v>4.42</v>
      </c>
      <c r="BN72" s="6">
        <v>4.9800000000000004</v>
      </c>
      <c r="BO72" s="6">
        <v>3</v>
      </c>
      <c r="BP72" s="6">
        <v>6.14</v>
      </c>
      <c r="BQ72" s="7">
        <v>3.16</v>
      </c>
      <c r="BR72" s="6">
        <v>2.4</v>
      </c>
      <c r="BS72" s="6">
        <v>2.88</v>
      </c>
      <c r="BT72" s="6">
        <v>2.34</v>
      </c>
      <c r="BU72" s="6">
        <v>2.98</v>
      </c>
      <c r="BV72" s="6">
        <v>3.7</v>
      </c>
      <c r="BW72" s="6">
        <v>4.04</v>
      </c>
      <c r="BX72" s="6">
        <v>2.64</v>
      </c>
      <c r="BY72" s="6">
        <v>3.64</v>
      </c>
      <c r="BZ72" s="7">
        <v>4.3</v>
      </c>
      <c r="CA72" s="7">
        <v>2.2799999999999998</v>
      </c>
      <c r="CB72" s="7">
        <v>3.9</v>
      </c>
      <c r="CC72" s="6">
        <v>4.42</v>
      </c>
      <c r="CD72" s="7">
        <v>3.94</v>
      </c>
      <c r="CE72" s="7">
        <v>2.8</v>
      </c>
      <c r="CF72" s="7">
        <v>3.57</v>
      </c>
      <c r="CG72" s="7">
        <v>2.58</v>
      </c>
      <c r="CH72" s="7">
        <v>4.1399999999999997</v>
      </c>
      <c r="CI72" s="8">
        <v>2.8</v>
      </c>
      <c r="CJ72" s="7">
        <v>3.06</v>
      </c>
      <c r="CK72" s="7">
        <v>2.94</v>
      </c>
      <c r="CL72" s="6">
        <v>3.56</v>
      </c>
      <c r="CM72" s="6">
        <v>4.3</v>
      </c>
      <c r="CN72" s="6">
        <v>3.96</v>
      </c>
      <c r="CO72" s="10">
        <v>3.11</v>
      </c>
      <c r="CP72" s="10"/>
    </row>
    <row r="73" spans="1:94" ht="15.75" customHeight="1" x14ac:dyDescent="0.25">
      <c r="A73" s="4">
        <v>72</v>
      </c>
      <c r="B73" s="4"/>
      <c r="C73" s="4">
        <v>12</v>
      </c>
      <c r="D73" s="8">
        <v>3.38</v>
      </c>
      <c r="E73" s="8">
        <v>2.08</v>
      </c>
      <c r="F73" s="8">
        <v>3.28</v>
      </c>
      <c r="G73" s="8">
        <v>3.92</v>
      </c>
      <c r="H73" s="8">
        <v>3.32</v>
      </c>
      <c r="I73" s="8">
        <v>2.02</v>
      </c>
      <c r="J73" s="8">
        <v>2.96</v>
      </c>
      <c r="K73" s="8">
        <v>2.08</v>
      </c>
      <c r="L73" s="8">
        <v>3.98</v>
      </c>
      <c r="M73" s="8">
        <v>2.82</v>
      </c>
      <c r="N73" s="8">
        <v>2.86</v>
      </c>
      <c r="O73" s="8">
        <v>2.2999999999999998</v>
      </c>
      <c r="P73" s="8">
        <v>2.5499999999999998</v>
      </c>
      <c r="Q73" s="8">
        <v>2.33</v>
      </c>
      <c r="R73" s="8">
        <v>2.56</v>
      </c>
      <c r="S73" s="8">
        <v>4.03</v>
      </c>
      <c r="T73" s="8">
        <v>5.96</v>
      </c>
      <c r="U73" s="8">
        <v>2.79</v>
      </c>
      <c r="V73" s="8">
        <v>4.05</v>
      </c>
      <c r="W73" s="8">
        <v>3.28</v>
      </c>
      <c r="X73" s="8">
        <v>4.0599999999999996</v>
      </c>
      <c r="Y73" s="8">
        <v>4.79</v>
      </c>
      <c r="Z73" s="8">
        <v>2.73</v>
      </c>
      <c r="AA73" s="8">
        <v>2.64</v>
      </c>
      <c r="AB73" s="8">
        <v>1.75</v>
      </c>
      <c r="AC73" s="8">
        <v>3.26</v>
      </c>
      <c r="AD73" s="8">
        <v>2.06</v>
      </c>
      <c r="AE73" s="8">
        <v>2.33</v>
      </c>
      <c r="AF73" s="8">
        <v>3.03</v>
      </c>
      <c r="AG73" s="8">
        <v>2</v>
      </c>
      <c r="AH73" s="8">
        <v>2.4300000000000002</v>
      </c>
      <c r="AI73" s="8">
        <v>2.5099999999999998</v>
      </c>
      <c r="AJ73" s="8">
        <v>3.01</v>
      </c>
      <c r="AK73" s="8">
        <v>2.27</v>
      </c>
      <c r="AL73" s="8">
        <v>3.91</v>
      </c>
      <c r="AM73" s="8">
        <v>3.96</v>
      </c>
      <c r="AN73" s="8">
        <v>4.03</v>
      </c>
      <c r="AO73" s="8">
        <v>4.1399999999999997</v>
      </c>
      <c r="AP73" s="8">
        <v>1.99</v>
      </c>
      <c r="AQ73" s="8">
        <v>3.03</v>
      </c>
      <c r="AR73" s="8">
        <v>2.4300000000000002</v>
      </c>
      <c r="AS73" s="8">
        <v>4.03</v>
      </c>
      <c r="AT73" s="8">
        <v>2.38</v>
      </c>
      <c r="AU73" s="11">
        <v>2.2400000000000002</v>
      </c>
      <c r="AV73" s="11">
        <v>2.0499999999999998</v>
      </c>
      <c r="AW73" s="6">
        <v>2.4</v>
      </c>
      <c r="AX73" s="6">
        <v>5</v>
      </c>
      <c r="AY73" s="6">
        <v>3.68</v>
      </c>
      <c r="AZ73" s="6">
        <v>3.31</v>
      </c>
      <c r="BA73" s="6">
        <v>4.88</v>
      </c>
      <c r="BB73" s="6">
        <v>2.35</v>
      </c>
      <c r="BC73" s="6">
        <v>3.38</v>
      </c>
      <c r="BD73" s="11">
        <v>3.99</v>
      </c>
      <c r="BE73" s="6">
        <v>2.48</v>
      </c>
      <c r="BF73" s="6">
        <v>4.38</v>
      </c>
      <c r="BG73" s="6">
        <v>3.42</v>
      </c>
      <c r="BH73" s="6">
        <v>3.06</v>
      </c>
      <c r="BI73" s="6">
        <v>2.58</v>
      </c>
      <c r="BJ73" s="6">
        <v>3.02</v>
      </c>
      <c r="BK73" s="6">
        <v>3</v>
      </c>
      <c r="BL73" s="6">
        <v>2.57</v>
      </c>
      <c r="BM73" s="6">
        <v>4.3499999999999996</v>
      </c>
      <c r="BN73" s="6">
        <v>4.92</v>
      </c>
      <c r="BO73" s="6">
        <v>2.98</v>
      </c>
      <c r="BP73" s="6">
        <v>6</v>
      </c>
      <c r="BQ73" s="7">
        <v>3.18</v>
      </c>
      <c r="BR73" s="6">
        <v>2.4</v>
      </c>
      <c r="BS73" s="6">
        <v>2.88</v>
      </c>
      <c r="BT73" s="6">
        <v>2.2999999999999998</v>
      </c>
      <c r="BU73" s="6">
        <v>3</v>
      </c>
      <c r="BV73" s="6">
        <v>3.64</v>
      </c>
      <c r="BW73" s="6">
        <v>3.9</v>
      </c>
      <c r="BX73" s="6">
        <v>2.6</v>
      </c>
      <c r="BY73" s="6">
        <v>3.6</v>
      </c>
      <c r="BZ73" s="6">
        <v>4.2</v>
      </c>
      <c r="CA73" s="6">
        <v>2.36</v>
      </c>
      <c r="CB73" s="6">
        <v>4.1399999999999997</v>
      </c>
      <c r="CC73" s="6">
        <v>4.38</v>
      </c>
      <c r="CD73" s="6">
        <v>3.96</v>
      </c>
      <c r="CE73" s="6">
        <v>2.8</v>
      </c>
      <c r="CF73" s="6">
        <v>3.5</v>
      </c>
      <c r="CG73" s="6">
        <v>2.6</v>
      </c>
      <c r="CH73" s="6">
        <v>4.18</v>
      </c>
      <c r="CI73" s="8">
        <v>2.8</v>
      </c>
      <c r="CJ73" s="6">
        <v>3.06</v>
      </c>
      <c r="CK73" s="6">
        <v>2.94</v>
      </c>
      <c r="CL73" s="6">
        <v>3.56</v>
      </c>
      <c r="CM73" s="6">
        <v>4.46</v>
      </c>
      <c r="CN73" s="6">
        <v>3.96</v>
      </c>
      <c r="CO73" s="10">
        <v>3.07</v>
      </c>
      <c r="CP73" s="10"/>
    </row>
    <row r="74" spans="1:94" ht="15.75" customHeight="1" x14ac:dyDescent="0.25">
      <c r="A74" s="4">
        <v>73</v>
      </c>
      <c r="B74" s="4"/>
      <c r="C74" s="4">
        <v>13</v>
      </c>
      <c r="D74" s="8">
        <v>3.33</v>
      </c>
      <c r="E74" s="8">
        <v>2.06</v>
      </c>
      <c r="F74" s="8">
        <v>3.24</v>
      </c>
      <c r="G74" s="8">
        <v>3.88</v>
      </c>
      <c r="H74" s="8">
        <v>3.34</v>
      </c>
      <c r="I74" s="8">
        <v>2</v>
      </c>
      <c r="J74" s="8">
        <v>2.93</v>
      </c>
      <c r="K74" s="8">
        <v>2.08</v>
      </c>
      <c r="L74" s="8">
        <v>3.93</v>
      </c>
      <c r="M74" s="8">
        <v>2.85</v>
      </c>
      <c r="N74" s="8">
        <v>2.83</v>
      </c>
      <c r="O74" s="8">
        <v>2.2799999999999998</v>
      </c>
      <c r="P74" s="8">
        <v>2.5099999999999998</v>
      </c>
      <c r="Q74" s="8">
        <v>2.31</v>
      </c>
      <c r="R74" s="8">
        <v>2.56</v>
      </c>
      <c r="S74" s="8">
        <v>3.92</v>
      </c>
      <c r="T74" s="8">
        <v>5.93</v>
      </c>
      <c r="U74" s="8">
        <v>2.76</v>
      </c>
      <c r="V74" s="8">
        <v>4.05</v>
      </c>
      <c r="W74" s="8">
        <v>3.28</v>
      </c>
      <c r="X74" s="8">
        <v>4.01</v>
      </c>
      <c r="Y74" s="8">
        <v>4.7300000000000004</v>
      </c>
      <c r="Z74" s="8">
        <v>2.71</v>
      </c>
      <c r="AA74" s="8">
        <v>2.64</v>
      </c>
      <c r="AB74" s="8">
        <v>1.75</v>
      </c>
      <c r="AC74" s="8">
        <v>3.26</v>
      </c>
      <c r="AD74" s="8">
        <v>2.0299999999999998</v>
      </c>
      <c r="AE74" s="8">
        <v>2.36</v>
      </c>
      <c r="AF74" s="8">
        <v>2.97</v>
      </c>
      <c r="AG74" s="8">
        <v>2</v>
      </c>
      <c r="AH74" s="8">
        <v>2.4</v>
      </c>
      <c r="AI74" s="8">
        <v>2.46</v>
      </c>
      <c r="AJ74" s="8">
        <v>2.94</v>
      </c>
      <c r="AK74" s="8">
        <v>2.2799999999999998</v>
      </c>
      <c r="AL74" s="8">
        <v>3.93</v>
      </c>
      <c r="AM74" s="8">
        <v>3.89</v>
      </c>
      <c r="AN74" s="8">
        <v>4.1500000000000004</v>
      </c>
      <c r="AO74" s="8">
        <v>4.1900000000000004</v>
      </c>
      <c r="AP74" s="8">
        <v>1.94</v>
      </c>
      <c r="AQ74" s="8">
        <v>3.01</v>
      </c>
      <c r="AR74" s="8">
        <v>2.48</v>
      </c>
      <c r="AS74" s="8">
        <v>4.13</v>
      </c>
      <c r="AT74" s="8">
        <v>2.35</v>
      </c>
      <c r="AU74" s="11">
        <v>2.2200000000000002</v>
      </c>
      <c r="AV74" s="11">
        <v>2.09</v>
      </c>
      <c r="AW74" s="6">
        <v>2.39</v>
      </c>
      <c r="AX74" s="6">
        <v>5.1100000000000003</v>
      </c>
      <c r="AY74" s="6">
        <v>3.67</v>
      </c>
      <c r="AZ74" s="6">
        <v>3.41</v>
      </c>
      <c r="BA74" s="6">
        <v>4.8</v>
      </c>
      <c r="BB74" s="6">
        <v>2.39</v>
      </c>
      <c r="BC74" s="6">
        <v>3.44</v>
      </c>
      <c r="BD74" s="11">
        <v>3.99</v>
      </c>
      <c r="BE74" s="6">
        <v>2.42</v>
      </c>
      <c r="BF74" s="6">
        <v>4.38</v>
      </c>
      <c r="BG74" s="6">
        <v>3.32</v>
      </c>
      <c r="BH74" s="6">
        <v>3.24</v>
      </c>
      <c r="BI74" s="6">
        <v>2.58</v>
      </c>
      <c r="BJ74" s="6">
        <v>3.04</v>
      </c>
      <c r="BK74" s="6">
        <v>3</v>
      </c>
      <c r="BL74" s="6">
        <v>2.56</v>
      </c>
      <c r="BM74" s="6">
        <v>4.3</v>
      </c>
      <c r="BN74" s="6">
        <v>4.84</v>
      </c>
      <c r="BO74" s="6">
        <v>2.92</v>
      </c>
      <c r="BP74" s="6">
        <v>5.9</v>
      </c>
      <c r="BQ74" s="7">
        <v>3.19</v>
      </c>
      <c r="BR74" s="6">
        <v>2.4</v>
      </c>
      <c r="BS74" s="6">
        <v>2.86</v>
      </c>
      <c r="BT74" s="6">
        <v>2.3199999999999998</v>
      </c>
      <c r="BU74" s="6">
        <v>3.02</v>
      </c>
      <c r="BV74" s="6">
        <v>3.64</v>
      </c>
      <c r="BW74" s="6">
        <v>3.9</v>
      </c>
      <c r="BX74" s="6">
        <v>2.6</v>
      </c>
      <c r="BY74" s="6">
        <v>3.62</v>
      </c>
      <c r="BZ74" s="6">
        <v>4.16</v>
      </c>
      <c r="CA74" s="6">
        <v>2.4</v>
      </c>
      <c r="CB74" s="6">
        <v>4.28</v>
      </c>
      <c r="CC74" s="6">
        <v>4.26</v>
      </c>
      <c r="CD74" s="6">
        <v>4.0199999999999996</v>
      </c>
      <c r="CE74" s="6">
        <v>2.92</v>
      </c>
      <c r="CF74" s="6">
        <v>3.52</v>
      </c>
      <c r="CG74" s="6">
        <v>2.64</v>
      </c>
      <c r="CH74" s="6">
        <v>4.0999999999999996</v>
      </c>
      <c r="CI74" s="11">
        <v>2.9</v>
      </c>
      <c r="CJ74" s="6">
        <v>3</v>
      </c>
      <c r="CK74" s="6">
        <v>2.94</v>
      </c>
      <c r="CL74" s="6">
        <v>3.42</v>
      </c>
      <c r="CM74" s="6">
        <v>4.58</v>
      </c>
      <c r="CN74" s="6">
        <v>3.9</v>
      </c>
      <c r="CO74" s="10">
        <v>3.03</v>
      </c>
      <c r="CP74" s="10"/>
    </row>
    <row r="75" spans="1:94" ht="15.75" customHeight="1" x14ac:dyDescent="0.25">
      <c r="A75" s="4">
        <v>74</v>
      </c>
      <c r="B75" s="4"/>
      <c r="C75" s="4">
        <v>14</v>
      </c>
      <c r="D75" s="8">
        <v>3.28</v>
      </c>
      <c r="E75" s="8">
        <v>2.08</v>
      </c>
      <c r="F75" s="8">
        <v>3.22</v>
      </c>
      <c r="G75" s="8">
        <v>3.78</v>
      </c>
      <c r="H75" s="8">
        <v>3.32</v>
      </c>
      <c r="I75" s="8">
        <v>1.98</v>
      </c>
      <c r="J75" s="8">
        <v>2.88</v>
      </c>
      <c r="K75" s="8">
        <v>2.09</v>
      </c>
      <c r="L75" s="8">
        <v>3.88</v>
      </c>
      <c r="M75" s="8">
        <v>2.87</v>
      </c>
      <c r="N75" s="8">
        <v>2.8</v>
      </c>
      <c r="O75" s="8">
        <v>2.2799999999999998</v>
      </c>
      <c r="P75" s="8">
        <v>2.46</v>
      </c>
      <c r="Q75" s="8">
        <v>2.2599999999999998</v>
      </c>
      <c r="R75" s="8">
        <v>2.52</v>
      </c>
      <c r="S75" s="8">
        <v>3.83</v>
      </c>
      <c r="T75" s="8">
        <v>5.93</v>
      </c>
      <c r="U75" s="8">
        <v>2.75</v>
      </c>
      <c r="V75" s="8">
        <v>4.09</v>
      </c>
      <c r="W75" s="8">
        <v>3.28</v>
      </c>
      <c r="X75" s="8">
        <v>3.95</v>
      </c>
      <c r="Y75" s="8">
        <v>4.6500000000000004</v>
      </c>
      <c r="Z75" s="8">
        <v>2.71</v>
      </c>
      <c r="AA75" s="8">
        <v>2.64</v>
      </c>
      <c r="AB75" s="8">
        <v>1.73</v>
      </c>
      <c r="AC75" s="8">
        <v>3.23</v>
      </c>
      <c r="AD75" s="8">
        <v>2.0099999999999998</v>
      </c>
      <c r="AE75" s="8">
        <v>2.42</v>
      </c>
      <c r="AF75" s="8">
        <v>2.94</v>
      </c>
      <c r="AG75" s="8">
        <v>2</v>
      </c>
      <c r="AH75" s="8">
        <v>2.38</v>
      </c>
      <c r="AI75" s="8">
        <v>2.41</v>
      </c>
      <c r="AJ75" s="8">
        <v>2.89</v>
      </c>
      <c r="AK75" s="8">
        <v>2.31</v>
      </c>
      <c r="AL75" s="8">
        <v>3.95</v>
      </c>
      <c r="AM75" s="8">
        <v>3.93</v>
      </c>
      <c r="AN75" s="8">
        <v>4.2300000000000004</v>
      </c>
      <c r="AO75" s="8">
        <v>4.25</v>
      </c>
      <c r="AP75" s="8">
        <v>1.91</v>
      </c>
      <c r="AQ75" s="8">
        <v>2.99</v>
      </c>
      <c r="AR75" s="8">
        <v>2.54</v>
      </c>
      <c r="AS75" s="8">
        <v>4.2300000000000004</v>
      </c>
      <c r="AT75" s="8">
        <v>2.33</v>
      </c>
      <c r="AU75" s="11">
        <v>2.1800000000000002</v>
      </c>
      <c r="AV75" s="11">
        <v>2.09</v>
      </c>
      <c r="AW75" s="6">
        <v>2.34</v>
      </c>
      <c r="AX75" s="6">
        <v>5.26</v>
      </c>
      <c r="AY75" s="6">
        <v>3.58</v>
      </c>
      <c r="AZ75" s="6">
        <v>3.48</v>
      </c>
      <c r="BA75" s="6">
        <v>4.7300000000000004</v>
      </c>
      <c r="BB75" s="6">
        <v>2.4300000000000002</v>
      </c>
      <c r="BC75" s="6">
        <v>3.49</v>
      </c>
      <c r="BD75" s="11">
        <v>3.92</v>
      </c>
      <c r="BE75" s="6">
        <v>2.4</v>
      </c>
      <c r="BF75" s="6">
        <v>4.38</v>
      </c>
      <c r="BG75" s="6">
        <v>3.29</v>
      </c>
      <c r="BH75" s="6">
        <v>3.42</v>
      </c>
      <c r="BI75" s="6">
        <v>2.74</v>
      </c>
      <c r="BJ75" s="6">
        <v>3.15</v>
      </c>
      <c r="BK75" s="6">
        <v>3</v>
      </c>
      <c r="BL75" s="6">
        <v>2.66</v>
      </c>
      <c r="BM75" s="6">
        <v>4.2300000000000004</v>
      </c>
      <c r="BN75" s="6">
        <v>4.75</v>
      </c>
      <c r="BO75" s="6">
        <v>2.9</v>
      </c>
      <c r="BP75" s="6">
        <v>5.78</v>
      </c>
      <c r="BQ75" s="7">
        <v>3.2</v>
      </c>
      <c r="BR75" s="6">
        <v>2.36</v>
      </c>
      <c r="BS75" s="6">
        <v>2.8</v>
      </c>
      <c r="BT75" s="6">
        <v>2.3199999999999998</v>
      </c>
      <c r="BU75" s="6">
        <v>3.08</v>
      </c>
      <c r="BV75" s="6">
        <v>3.6</v>
      </c>
      <c r="BW75" s="6">
        <v>3.8</v>
      </c>
      <c r="BX75" s="6">
        <v>2.6</v>
      </c>
      <c r="BY75" s="6">
        <v>3.62</v>
      </c>
      <c r="BZ75" s="6">
        <v>4.28</v>
      </c>
      <c r="CA75" s="6">
        <v>2.46</v>
      </c>
      <c r="CB75" s="6">
        <v>4.66</v>
      </c>
      <c r="CC75" s="6">
        <v>4.22</v>
      </c>
      <c r="CD75" s="6">
        <v>4.0599999999999996</v>
      </c>
      <c r="CE75" s="6">
        <v>2.98</v>
      </c>
      <c r="CF75" s="6">
        <v>3.52</v>
      </c>
      <c r="CG75" s="6">
        <v>2.66</v>
      </c>
      <c r="CH75" s="6">
        <v>4.0999999999999996</v>
      </c>
      <c r="CI75" s="11">
        <v>2.88</v>
      </c>
      <c r="CJ75" s="6">
        <v>2.96</v>
      </c>
      <c r="CK75" s="6">
        <v>2.92</v>
      </c>
      <c r="CL75" s="6">
        <v>3.38</v>
      </c>
      <c r="CM75" s="6">
        <v>4.74</v>
      </c>
      <c r="CN75" s="6">
        <v>3.98</v>
      </c>
      <c r="CO75" s="10">
        <v>3.01</v>
      </c>
      <c r="CP75" s="10"/>
    </row>
    <row r="76" spans="1:94" ht="15.75" customHeight="1" x14ac:dyDescent="0.25">
      <c r="A76" s="4">
        <v>75</v>
      </c>
      <c r="B76" s="4"/>
      <c r="C76" s="4">
        <v>15</v>
      </c>
      <c r="D76" s="8">
        <v>3.23</v>
      </c>
      <c r="E76" s="8">
        <v>2.08</v>
      </c>
      <c r="F76" s="8">
        <v>3.2</v>
      </c>
      <c r="G76" s="8">
        <v>3.73</v>
      </c>
      <c r="H76" s="8">
        <v>3.3</v>
      </c>
      <c r="I76" s="8">
        <v>1.96</v>
      </c>
      <c r="J76" s="8">
        <v>2.86</v>
      </c>
      <c r="K76" s="8">
        <v>2.08</v>
      </c>
      <c r="L76" s="8">
        <v>3.83</v>
      </c>
      <c r="M76" s="8">
        <v>2.86</v>
      </c>
      <c r="N76" s="8">
        <v>2.77</v>
      </c>
      <c r="O76" s="8">
        <v>2.2799999999999998</v>
      </c>
      <c r="P76" s="8">
        <v>2.41</v>
      </c>
      <c r="Q76" s="8">
        <v>2.31</v>
      </c>
      <c r="R76" s="8">
        <v>2.58</v>
      </c>
      <c r="S76" s="8">
        <v>3.79</v>
      </c>
      <c r="T76" s="8">
        <v>6.03</v>
      </c>
      <c r="U76" s="8">
        <v>2.72</v>
      </c>
      <c r="V76" s="8">
        <v>4.17</v>
      </c>
      <c r="W76" s="8">
        <v>3.36</v>
      </c>
      <c r="X76" s="8">
        <v>3.85</v>
      </c>
      <c r="Y76" s="8">
        <v>4.53</v>
      </c>
      <c r="Z76" s="8">
        <v>2.69</v>
      </c>
      <c r="AA76" s="8">
        <v>2.64</v>
      </c>
      <c r="AB76" s="8">
        <v>1.68</v>
      </c>
      <c r="AC76" s="8">
        <v>3.19</v>
      </c>
      <c r="AD76" s="8">
        <v>2.0099999999999998</v>
      </c>
      <c r="AE76" s="8">
        <v>2.48</v>
      </c>
      <c r="AF76" s="8">
        <v>2.95</v>
      </c>
      <c r="AG76" s="8">
        <v>2</v>
      </c>
      <c r="AH76" s="8">
        <v>2.4</v>
      </c>
      <c r="AI76" s="8">
        <v>2.34</v>
      </c>
      <c r="AJ76" s="8">
        <v>2.83</v>
      </c>
      <c r="AK76" s="8">
        <v>2.33</v>
      </c>
      <c r="AL76" s="8">
        <v>3.95</v>
      </c>
      <c r="AM76" s="8">
        <v>4.03</v>
      </c>
      <c r="AN76" s="8">
        <v>4.28</v>
      </c>
      <c r="AO76" s="8">
        <v>4.3099999999999996</v>
      </c>
      <c r="AP76" s="8">
        <v>1.91</v>
      </c>
      <c r="AQ76" s="8">
        <v>2.99</v>
      </c>
      <c r="AR76" s="8">
        <v>2.6</v>
      </c>
      <c r="AS76" s="8">
        <v>4.33</v>
      </c>
      <c r="AT76" s="8">
        <v>2.3199999999999998</v>
      </c>
      <c r="AU76" s="11">
        <v>2.15</v>
      </c>
      <c r="AV76" s="11">
        <v>2.09</v>
      </c>
      <c r="AW76" s="6">
        <v>2.29</v>
      </c>
      <c r="AX76" s="6">
        <v>5.4</v>
      </c>
      <c r="AY76" s="6">
        <v>3.49</v>
      </c>
      <c r="AZ76" s="6">
        <v>3.5</v>
      </c>
      <c r="BA76" s="6">
        <v>4.67</v>
      </c>
      <c r="BB76" s="6">
        <v>2.44</v>
      </c>
      <c r="BC76" s="6">
        <v>3.55</v>
      </c>
      <c r="BD76" s="11">
        <v>3.86</v>
      </c>
      <c r="BE76" s="6">
        <v>2.39</v>
      </c>
      <c r="BF76" s="6">
        <v>4.3600000000000003</v>
      </c>
      <c r="BG76" s="6">
        <v>3.33</v>
      </c>
      <c r="BH76" s="6">
        <v>3.48</v>
      </c>
      <c r="BI76" s="6">
        <v>2.86</v>
      </c>
      <c r="BJ76" s="6">
        <v>3.15</v>
      </c>
      <c r="BK76" s="6">
        <v>2.96</v>
      </c>
      <c r="BL76" s="6">
        <v>2.72</v>
      </c>
      <c r="BM76" s="6">
        <v>4.18</v>
      </c>
      <c r="BN76" s="6">
        <v>4.6500000000000004</v>
      </c>
      <c r="BO76" s="6">
        <v>2.88</v>
      </c>
      <c r="BP76" s="6">
        <v>5.62</v>
      </c>
      <c r="BQ76" s="7">
        <v>3.21</v>
      </c>
      <c r="BR76" s="6">
        <v>2.34</v>
      </c>
      <c r="BS76" s="6">
        <v>2.76</v>
      </c>
      <c r="BT76" s="6">
        <v>2.38</v>
      </c>
      <c r="BU76" s="6">
        <v>3.1</v>
      </c>
      <c r="BV76" s="6">
        <v>3.54</v>
      </c>
      <c r="BW76" s="6">
        <v>3.72</v>
      </c>
      <c r="BX76" s="6">
        <v>2.6</v>
      </c>
      <c r="BY76" s="6">
        <v>3.76</v>
      </c>
      <c r="BZ76" s="6">
        <v>4.25</v>
      </c>
      <c r="CA76" s="6">
        <v>2.48</v>
      </c>
      <c r="CB76" s="6">
        <v>4.8</v>
      </c>
      <c r="CC76" s="6">
        <v>4.2</v>
      </c>
      <c r="CD76" s="6">
        <v>4.0599999999999996</v>
      </c>
      <c r="CE76" s="6">
        <v>3.02</v>
      </c>
      <c r="CF76" s="6">
        <v>3.54</v>
      </c>
      <c r="CG76" s="6">
        <v>2.66</v>
      </c>
      <c r="CH76" s="6">
        <v>4.0199999999999996</v>
      </c>
      <c r="CI76" s="11">
        <v>2.88</v>
      </c>
      <c r="CJ76" s="6">
        <v>2.92</v>
      </c>
      <c r="CK76" s="6">
        <v>2.92</v>
      </c>
      <c r="CL76" s="6">
        <v>3.34</v>
      </c>
      <c r="CM76" s="6">
        <v>4.9400000000000004</v>
      </c>
      <c r="CN76" s="6">
        <v>3.98</v>
      </c>
      <c r="CO76" s="10">
        <v>3</v>
      </c>
      <c r="CP76" s="10"/>
    </row>
    <row r="77" spans="1:94" ht="15.75" customHeight="1" x14ac:dyDescent="0.25">
      <c r="A77" s="4">
        <v>76</v>
      </c>
      <c r="B77" s="4"/>
      <c r="C77" s="4">
        <v>16</v>
      </c>
      <c r="D77" s="8">
        <v>3.13</v>
      </c>
      <c r="E77" s="8">
        <v>2.1800000000000002</v>
      </c>
      <c r="F77" s="8">
        <v>3.18</v>
      </c>
      <c r="G77" s="8">
        <v>3.68</v>
      </c>
      <c r="H77" s="8">
        <v>3.28</v>
      </c>
      <c r="I77" s="8">
        <v>1.96</v>
      </c>
      <c r="J77" s="8">
        <v>2.84</v>
      </c>
      <c r="K77" s="8">
        <v>2.08</v>
      </c>
      <c r="L77" s="8">
        <v>3.78</v>
      </c>
      <c r="M77" s="8">
        <v>2.86</v>
      </c>
      <c r="N77" s="8">
        <v>2.75</v>
      </c>
      <c r="O77" s="8">
        <v>2.29</v>
      </c>
      <c r="P77" s="8">
        <v>2.34</v>
      </c>
      <c r="Q77" s="8">
        <v>2.2799999999999998</v>
      </c>
      <c r="R77" s="8">
        <v>2.6</v>
      </c>
      <c r="S77" s="8">
        <v>3.73</v>
      </c>
      <c r="T77" s="8">
        <v>6.03</v>
      </c>
      <c r="U77" s="8">
        <v>2.69</v>
      </c>
      <c r="V77" s="8">
        <v>4.17</v>
      </c>
      <c r="W77" s="8">
        <v>3.36</v>
      </c>
      <c r="X77" s="8">
        <v>3.75</v>
      </c>
      <c r="Y77" s="8">
        <v>4.4400000000000004</v>
      </c>
      <c r="Z77" s="8">
        <v>2.65</v>
      </c>
      <c r="AA77" s="8">
        <v>2.67</v>
      </c>
      <c r="AB77" s="8">
        <v>1.63</v>
      </c>
      <c r="AC77" s="8">
        <v>3.13</v>
      </c>
      <c r="AD77" s="8">
        <v>2.0099999999999998</v>
      </c>
      <c r="AE77" s="8">
        <v>2.5099999999999998</v>
      </c>
      <c r="AF77" s="8">
        <v>3</v>
      </c>
      <c r="AG77" s="8">
        <v>2</v>
      </c>
      <c r="AH77" s="8">
        <v>2.42</v>
      </c>
      <c r="AI77" s="8">
        <v>2.31</v>
      </c>
      <c r="AJ77" s="8">
        <v>2.78</v>
      </c>
      <c r="AK77" s="8">
        <v>2.39</v>
      </c>
      <c r="AL77" s="8">
        <v>3.98</v>
      </c>
      <c r="AM77" s="8">
        <v>4.04</v>
      </c>
      <c r="AN77" s="8">
        <v>4.32</v>
      </c>
      <c r="AO77" s="8">
        <v>4.37</v>
      </c>
      <c r="AP77" s="8">
        <v>1.9</v>
      </c>
      <c r="AQ77" s="8">
        <v>2.97</v>
      </c>
      <c r="AR77" s="8">
        <v>2.62</v>
      </c>
      <c r="AS77" s="8">
        <v>4.51</v>
      </c>
      <c r="AT77" s="8">
        <v>2.3199999999999998</v>
      </c>
      <c r="AU77" s="11">
        <v>2.15</v>
      </c>
      <c r="AV77" s="11">
        <v>2.15</v>
      </c>
      <c r="AW77" s="6">
        <v>2.2599999999999998</v>
      </c>
      <c r="AX77" s="6">
        <v>5.48</v>
      </c>
      <c r="AY77" s="6">
        <v>3.4</v>
      </c>
      <c r="AZ77" s="6">
        <v>3.48</v>
      </c>
      <c r="BA77" s="6">
        <v>4.63</v>
      </c>
      <c r="BB77" s="6">
        <v>2.44</v>
      </c>
      <c r="BC77" s="6">
        <v>3.59</v>
      </c>
      <c r="BD77" s="11">
        <v>3.82</v>
      </c>
      <c r="BE77" s="6">
        <v>2.42</v>
      </c>
      <c r="BF77" s="6">
        <v>4.38</v>
      </c>
      <c r="BG77" s="6">
        <v>3.48</v>
      </c>
      <c r="BH77" s="6">
        <v>3.5</v>
      </c>
      <c r="BI77" s="6">
        <v>2.96</v>
      </c>
      <c r="BJ77" s="6">
        <v>3.25</v>
      </c>
      <c r="BK77" s="6">
        <v>2.94</v>
      </c>
      <c r="BL77" s="6">
        <v>2.76</v>
      </c>
      <c r="BM77" s="6">
        <v>4.16</v>
      </c>
      <c r="BN77" s="6">
        <v>4.5</v>
      </c>
      <c r="BO77" s="6">
        <v>2.85</v>
      </c>
      <c r="BP77" s="6">
        <v>5.5</v>
      </c>
      <c r="BQ77" s="7">
        <v>3.24</v>
      </c>
      <c r="BR77" s="6">
        <v>2.34</v>
      </c>
      <c r="BS77" s="6">
        <v>2.67</v>
      </c>
      <c r="BT77" s="6">
        <v>2.4</v>
      </c>
      <c r="BU77" s="6">
        <v>3.14</v>
      </c>
      <c r="BV77" s="6">
        <v>3.5</v>
      </c>
      <c r="BW77" s="6">
        <v>3.82</v>
      </c>
      <c r="BX77" s="6">
        <v>2.64</v>
      </c>
      <c r="BY77" s="6">
        <v>3.76</v>
      </c>
      <c r="BZ77" s="6">
        <v>4.2</v>
      </c>
      <c r="CA77" s="6">
        <v>2.54</v>
      </c>
      <c r="CB77" s="6">
        <v>4.8600000000000003</v>
      </c>
      <c r="CC77" s="6">
        <v>4.2</v>
      </c>
      <c r="CD77" s="6">
        <v>4.16</v>
      </c>
      <c r="CE77" s="6">
        <v>3.12</v>
      </c>
      <c r="CF77" s="6">
        <v>3.58</v>
      </c>
      <c r="CG77" s="6">
        <v>2.6</v>
      </c>
      <c r="CH77" s="6">
        <v>4.0199999999999996</v>
      </c>
      <c r="CI77" s="11">
        <v>2.86</v>
      </c>
      <c r="CJ77" s="6">
        <v>2.9</v>
      </c>
      <c r="CK77" s="6">
        <v>2.88</v>
      </c>
      <c r="CL77" s="6">
        <v>3.4</v>
      </c>
      <c r="CM77" s="6">
        <v>5.12</v>
      </c>
      <c r="CN77" s="6">
        <v>4.0599999999999996</v>
      </c>
      <c r="CO77" s="10">
        <v>3</v>
      </c>
      <c r="CP77" s="10"/>
    </row>
    <row r="78" spans="1:94" ht="15.75" customHeight="1" x14ac:dyDescent="0.25">
      <c r="A78" s="4">
        <v>77</v>
      </c>
      <c r="B78" s="4"/>
      <c r="C78" s="4">
        <v>17</v>
      </c>
      <c r="D78" s="8">
        <v>3.08</v>
      </c>
      <c r="E78" s="8">
        <v>2.2799999999999998</v>
      </c>
      <c r="F78" s="8">
        <v>3.16</v>
      </c>
      <c r="G78" s="8">
        <v>3.63</v>
      </c>
      <c r="H78" s="8">
        <v>3.24</v>
      </c>
      <c r="I78" s="8">
        <v>1.98</v>
      </c>
      <c r="J78" s="8">
        <v>2.83</v>
      </c>
      <c r="K78" s="8">
        <v>2.08</v>
      </c>
      <c r="L78" s="8">
        <v>3.73</v>
      </c>
      <c r="M78" s="8">
        <v>2.91</v>
      </c>
      <c r="N78" s="8">
        <v>2.73</v>
      </c>
      <c r="O78" s="8">
        <v>2.2999999999999998</v>
      </c>
      <c r="P78" s="8">
        <v>2.33</v>
      </c>
      <c r="Q78" s="8">
        <v>2.2599999999999998</v>
      </c>
      <c r="R78" s="8">
        <v>2.58</v>
      </c>
      <c r="S78" s="8">
        <v>3.7</v>
      </c>
      <c r="T78" s="8">
        <v>5.99</v>
      </c>
      <c r="U78" s="8">
        <v>2.6</v>
      </c>
      <c r="V78" s="8">
        <v>4.13</v>
      </c>
      <c r="W78" s="8">
        <v>3.36</v>
      </c>
      <c r="X78" s="8">
        <v>3.68</v>
      </c>
      <c r="Y78" s="8">
        <v>4.37</v>
      </c>
      <c r="Z78" s="8">
        <v>2.62</v>
      </c>
      <c r="AA78" s="8">
        <v>2.7</v>
      </c>
      <c r="AB78" s="8">
        <v>1.58</v>
      </c>
      <c r="AC78" s="8">
        <v>3.05</v>
      </c>
      <c r="AD78" s="8">
        <v>2.0099999999999998</v>
      </c>
      <c r="AE78" s="8">
        <v>2.5</v>
      </c>
      <c r="AF78" s="8">
        <v>3.02</v>
      </c>
      <c r="AG78" s="8">
        <v>1.98</v>
      </c>
      <c r="AH78" s="8">
        <v>2.42</v>
      </c>
      <c r="AI78" s="8">
        <v>2.25</v>
      </c>
      <c r="AJ78" s="8">
        <v>2.74</v>
      </c>
      <c r="AK78" s="8">
        <v>2.4300000000000002</v>
      </c>
      <c r="AL78" s="8">
        <v>3.98</v>
      </c>
      <c r="AM78" s="8">
        <v>3.95</v>
      </c>
      <c r="AN78" s="8">
        <v>4.37</v>
      </c>
      <c r="AO78" s="8">
        <v>4.38</v>
      </c>
      <c r="AP78" s="8">
        <v>1.82</v>
      </c>
      <c r="AQ78" s="8">
        <v>2.97</v>
      </c>
      <c r="AR78" s="8">
        <v>2.64</v>
      </c>
      <c r="AS78" s="8">
        <v>4.6500000000000004</v>
      </c>
      <c r="AT78" s="8">
        <v>2.2999999999999998</v>
      </c>
      <c r="AU78" s="11">
        <v>2.19</v>
      </c>
      <c r="AV78" s="11">
        <v>2.25</v>
      </c>
      <c r="AW78" s="6">
        <v>2.2000000000000002</v>
      </c>
      <c r="AX78" s="6">
        <v>5.53</v>
      </c>
      <c r="AY78" s="6">
        <v>3.33</v>
      </c>
      <c r="AZ78" s="6">
        <v>3.4</v>
      </c>
      <c r="BA78" s="6">
        <v>4.57</v>
      </c>
      <c r="BB78" s="6">
        <v>2.4300000000000002</v>
      </c>
      <c r="BC78" s="6">
        <v>3.61</v>
      </c>
      <c r="BD78" s="11">
        <v>3.76</v>
      </c>
      <c r="BE78" s="6">
        <v>2.41</v>
      </c>
      <c r="BF78" s="6">
        <v>4.3</v>
      </c>
      <c r="BG78" s="6">
        <v>3.59</v>
      </c>
      <c r="BH78" s="6">
        <v>3.54</v>
      </c>
      <c r="BI78" s="6">
        <v>3.04</v>
      </c>
      <c r="BJ78" s="6">
        <v>3.3</v>
      </c>
      <c r="BK78" s="6">
        <v>2.92</v>
      </c>
      <c r="BL78" s="6">
        <v>2.84</v>
      </c>
      <c r="BM78" s="6">
        <v>4.1399999999999997</v>
      </c>
      <c r="BN78" s="6">
        <v>4.3899999999999997</v>
      </c>
      <c r="BO78" s="6">
        <v>2.8</v>
      </c>
      <c r="BP78" s="6">
        <v>5.37</v>
      </c>
      <c r="BQ78" s="7">
        <v>3.3</v>
      </c>
      <c r="BR78" s="6">
        <v>2.38</v>
      </c>
      <c r="BS78" s="6">
        <v>2.66</v>
      </c>
      <c r="BT78" s="6">
        <v>2.4</v>
      </c>
      <c r="BU78" s="6">
        <v>3.16</v>
      </c>
      <c r="BV78" s="6">
        <v>3.5</v>
      </c>
      <c r="BW78" s="6">
        <v>3.9</v>
      </c>
      <c r="BX78" s="6">
        <v>2.7</v>
      </c>
      <c r="BY78" s="6">
        <v>3.76</v>
      </c>
      <c r="BZ78" s="6">
        <v>4.16</v>
      </c>
      <c r="CA78" s="6">
        <v>2.56</v>
      </c>
      <c r="CB78" s="6">
        <v>4.8</v>
      </c>
      <c r="CC78" s="6">
        <v>4.5</v>
      </c>
      <c r="CD78" s="6">
        <v>4.0999999999999996</v>
      </c>
      <c r="CE78" s="6">
        <v>3.16</v>
      </c>
      <c r="CF78" s="6">
        <v>3.54</v>
      </c>
      <c r="CG78" s="6">
        <v>2.6</v>
      </c>
      <c r="CH78" s="6">
        <v>4</v>
      </c>
      <c r="CI78" s="11">
        <v>2.88</v>
      </c>
      <c r="CJ78" s="6">
        <v>2.9</v>
      </c>
      <c r="CK78" s="6">
        <v>2.88</v>
      </c>
      <c r="CL78" s="6">
        <v>3.52</v>
      </c>
      <c r="CM78" s="6">
        <v>5.22</v>
      </c>
      <c r="CN78" s="6">
        <v>4.0999999999999996</v>
      </c>
      <c r="CO78" s="10">
        <v>2.92</v>
      </c>
      <c r="CP78" s="10"/>
    </row>
    <row r="79" spans="1:94" ht="15.75" customHeight="1" x14ac:dyDescent="0.25">
      <c r="A79" s="4">
        <v>78</v>
      </c>
      <c r="B79" s="4"/>
      <c r="C79" s="4">
        <v>18</v>
      </c>
      <c r="D79" s="8">
        <v>3.03</v>
      </c>
      <c r="E79" s="8">
        <v>2.38</v>
      </c>
      <c r="F79" s="8">
        <v>3.18</v>
      </c>
      <c r="G79" s="8">
        <v>3.58</v>
      </c>
      <c r="H79" s="8">
        <v>3.2</v>
      </c>
      <c r="I79" s="8">
        <v>2</v>
      </c>
      <c r="J79" s="8">
        <v>2.76</v>
      </c>
      <c r="K79" s="8">
        <v>2.08</v>
      </c>
      <c r="L79" s="8">
        <v>3.68</v>
      </c>
      <c r="M79" s="8">
        <v>3.02</v>
      </c>
      <c r="N79" s="8">
        <v>2.71</v>
      </c>
      <c r="O79" s="8">
        <v>2.31</v>
      </c>
      <c r="P79" s="8">
        <v>2.3199999999999998</v>
      </c>
      <c r="Q79" s="8">
        <v>2.2200000000000002</v>
      </c>
      <c r="R79" s="8">
        <v>2.56</v>
      </c>
      <c r="S79" s="8">
        <v>3.65</v>
      </c>
      <c r="T79" s="8">
        <v>5.91</v>
      </c>
      <c r="U79" s="8">
        <v>2.5499999999999998</v>
      </c>
      <c r="V79" s="8">
        <v>4.05</v>
      </c>
      <c r="W79" s="8">
        <v>3.31</v>
      </c>
      <c r="X79" s="8">
        <v>3.58</v>
      </c>
      <c r="Y79" s="8">
        <v>4.3499999999999996</v>
      </c>
      <c r="Z79" s="8">
        <v>2.59</v>
      </c>
      <c r="AA79" s="8">
        <v>2.79</v>
      </c>
      <c r="AB79" s="8">
        <v>1.58</v>
      </c>
      <c r="AC79" s="8">
        <v>2.95</v>
      </c>
      <c r="AD79" s="8">
        <v>2.0099999999999998</v>
      </c>
      <c r="AE79" s="8">
        <v>2.5299999999999998</v>
      </c>
      <c r="AF79" s="8">
        <v>2.98</v>
      </c>
      <c r="AG79" s="8">
        <v>1.94</v>
      </c>
      <c r="AH79" s="8">
        <v>2.48</v>
      </c>
      <c r="AI79" s="8">
        <v>2.25</v>
      </c>
      <c r="AJ79" s="8">
        <v>2.71</v>
      </c>
      <c r="AK79" s="8">
        <v>2.4500000000000002</v>
      </c>
      <c r="AL79" s="8">
        <v>3.99</v>
      </c>
      <c r="AM79" s="8">
        <v>3.74</v>
      </c>
      <c r="AN79" s="8">
        <v>4.37</v>
      </c>
      <c r="AO79" s="8">
        <v>4.4000000000000004</v>
      </c>
      <c r="AP79" s="8">
        <v>1.84</v>
      </c>
      <c r="AQ79" s="8">
        <v>2.93</v>
      </c>
      <c r="AR79" s="8">
        <v>2.65</v>
      </c>
      <c r="AS79" s="8">
        <v>4.7699999999999996</v>
      </c>
      <c r="AT79" s="8">
        <v>2.33</v>
      </c>
      <c r="AU79" s="11">
        <v>2.19</v>
      </c>
      <c r="AV79" s="11">
        <v>2.27</v>
      </c>
      <c r="AW79" s="6">
        <v>2.19</v>
      </c>
      <c r="AX79" s="6">
        <v>5.51</v>
      </c>
      <c r="AY79" s="6">
        <v>3.27</v>
      </c>
      <c r="AZ79" s="6">
        <v>3.29</v>
      </c>
      <c r="BA79" s="6">
        <v>4.53</v>
      </c>
      <c r="BB79" s="6">
        <v>2.39</v>
      </c>
      <c r="BC79" s="6">
        <v>3.58</v>
      </c>
      <c r="BD79" s="11">
        <v>3.69</v>
      </c>
      <c r="BE79" s="6">
        <v>2.36</v>
      </c>
      <c r="BF79" s="6">
        <v>4.28</v>
      </c>
      <c r="BG79" s="6">
        <v>3.66</v>
      </c>
      <c r="BH79" s="6">
        <v>3.56</v>
      </c>
      <c r="BI79" s="6">
        <v>3.08</v>
      </c>
      <c r="BJ79" s="6">
        <v>3.36</v>
      </c>
      <c r="BK79" s="6">
        <v>2.88</v>
      </c>
      <c r="BL79" s="6">
        <v>2.95</v>
      </c>
      <c r="BM79" s="6">
        <v>4.16</v>
      </c>
      <c r="BN79" s="6">
        <v>4.34</v>
      </c>
      <c r="BO79" s="6">
        <v>2.75</v>
      </c>
      <c r="BP79" s="6">
        <v>5.15</v>
      </c>
      <c r="BQ79" s="7">
        <v>3.3</v>
      </c>
      <c r="BR79" s="6">
        <v>2.42</v>
      </c>
      <c r="BS79" s="6">
        <v>2.62</v>
      </c>
      <c r="BT79" s="6">
        <v>2.3199999999999998</v>
      </c>
      <c r="BU79" s="6">
        <v>3.18</v>
      </c>
      <c r="BV79" s="6">
        <v>3.48</v>
      </c>
      <c r="BW79" s="6">
        <v>3.96</v>
      </c>
      <c r="BX79" s="6">
        <v>2.74</v>
      </c>
      <c r="BY79" s="6">
        <v>3.8</v>
      </c>
      <c r="BZ79" s="6">
        <v>4.0999999999999996</v>
      </c>
      <c r="CA79" s="6">
        <v>2.6</v>
      </c>
      <c r="CB79" s="6">
        <v>4.76</v>
      </c>
      <c r="CC79" s="6">
        <v>4.54</v>
      </c>
      <c r="CD79" s="6">
        <v>4.0999999999999996</v>
      </c>
      <c r="CE79" s="6">
        <v>3.16</v>
      </c>
      <c r="CF79" s="6">
        <v>3.5</v>
      </c>
      <c r="CG79" s="6">
        <v>2.54</v>
      </c>
      <c r="CH79" s="6">
        <v>4.2</v>
      </c>
      <c r="CI79" s="11">
        <v>2.9</v>
      </c>
      <c r="CJ79" s="6">
        <v>2.88</v>
      </c>
      <c r="CK79" s="6">
        <v>2.88</v>
      </c>
      <c r="CL79" s="6">
        <v>3.6</v>
      </c>
      <c r="CM79" s="6">
        <v>5.25</v>
      </c>
      <c r="CN79" s="6">
        <v>4.12</v>
      </c>
      <c r="CO79" s="10">
        <v>2.89</v>
      </c>
      <c r="CP79" s="10"/>
    </row>
    <row r="80" spans="1:94" ht="15.75" customHeight="1" x14ac:dyDescent="0.25">
      <c r="A80" s="4">
        <v>79</v>
      </c>
      <c r="B80" s="4"/>
      <c r="C80" s="4">
        <v>19</v>
      </c>
      <c r="D80" s="8">
        <v>2.93</v>
      </c>
      <c r="E80" s="8">
        <v>2.48</v>
      </c>
      <c r="F80" s="8">
        <v>3.2</v>
      </c>
      <c r="G80" s="8">
        <v>3.56</v>
      </c>
      <c r="H80" s="8">
        <v>3.16</v>
      </c>
      <c r="I80" s="8">
        <v>2.02</v>
      </c>
      <c r="J80" s="8">
        <v>2.68</v>
      </c>
      <c r="K80" s="8">
        <v>2.04</v>
      </c>
      <c r="L80" s="8">
        <v>3.64</v>
      </c>
      <c r="M80" s="8">
        <v>3.07</v>
      </c>
      <c r="N80" s="8">
        <v>2.68</v>
      </c>
      <c r="O80" s="8">
        <v>2.3199999999999998</v>
      </c>
      <c r="P80" s="8">
        <v>2.3199999999999998</v>
      </c>
      <c r="Q80" s="8">
        <v>2.17</v>
      </c>
      <c r="R80" s="8">
        <v>2.52</v>
      </c>
      <c r="S80" s="8">
        <v>3.62</v>
      </c>
      <c r="T80" s="8">
        <v>5.83</v>
      </c>
      <c r="U80" s="8">
        <v>2.5299999999999998</v>
      </c>
      <c r="V80" s="8">
        <v>3.93</v>
      </c>
      <c r="W80" s="8">
        <v>3.26</v>
      </c>
      <c r="X80" s="8">
        <v>3.51</v>
      </c>
      <c r="Y80" s="8">
        <v>4.41</v>
      </c>
      <c r="Z80" s="8">
        <v>2.5499999999999998</v>
      </c>
      <c r="AA80" s="8">
        <v>2.88</v>
      </c>
      <c r="AB80" s="8">
        <v>1.61</v>
      </c>
      <c r="AC80" s="8">
        <v>2.87</v>
      </c>
      <c r="AD80" s="8">
        <v>1.98</v>
      </c>
      <c r="AE80" s="8">
        <v>2.57</v>
      </c>
      <c r="AF80" s="8">
        <v>2.92</v>
      </c>
      <c r="AG80" s="8">
        <v>1.9</v>
      </c>
      <c r="AH80" s="8">
        <v>2.52</v>
      </c>
      <c r="AI80" s="8">
        <v>2.23</v>
      </c>
      <c r="AJ80" s="8">
        <v>2.72</v>
      </c>
      <c r="AK80" s="8">
        <v>2.42</v>
      </c>
      <c r="AL80" s="8">
        <v>3.96</v>
      </c>
      <c r="AM80" s="8">
        <v>3.59</v>
      </c>
      <c r="AN80" s="8">
        <v>4.32</v>
      </c>
      <c r="AO80" s="8">
        <v>4.38</v>
      </c>
      <c r="AP80" s="8">
        <v>1.82</v>
      </c>
      <c r="AQ80" s="8">
        <v>2.93</v>
      </c>
      <c r="AR80" s="8">
        <v>2.65</v>
      </c>
      <c r="AS80" s="8">
        <v>4.82</v>
      </c>
      <c r="AT80" s="8">
        <v>2.33</v>
      </c>
      <c r="AU80" s="11">
        <v>2.19</v>
      </c>
      <c r="AV80" s="11">
        <v>2.2999999999999998</v>
      </c>
      <c r="AW80" s="6">
        <v>2.1800000000000002</v>
      </c>
      <c r="AX80" s="6">
        <v>5.44</v>
      </c>
      <c r="AY80" s="6">
        <v>3.19</v>
      </c>
      <c r="AZ80" s="6">
        <v>3.2</v>
      </c>
      <c r="BA80" s="6">
        <v>4.4800000000000004</v>
      </c>
      <c r="BB80" s="6">
        <v>2.35</v>
      </c>
      <c r="BC80" s="6">
        <v>3.52</v>
      </c>
      <c r="BD80" s="11">
        <v>3.63</v>
      </c>
      <c r="BE80" s="6">
        <v>2.33</v>
      </c>
      <c r="BF80" s="6">
        <v>4.26</v>
      </c>
      <c r="BG80" s="6">
        <v>3.61</v>
      </c>
      <c r="BH80" s="6">
        <v>3.59</v>
      </c>
      <c r="BI80" s="6">
        <v>3.12</v>
      </c>
      <c r="BJ80" s="6">
        <v>3.42</v>
      </c>
      <c r="BK80" s="6">
        <v>2.82</v>
      </c>
      <c r="BL80" s="6">
        <v>3.14</v>
      </c>
      <c r="BM80" s="6">
        <v>4.17</v>
      </c>
      <c r="BN80" s="6">
        <v>4.38</v>
      </c>
      <c r="BO80" s="6">
        <v>2.68</v>
      </c>
      <c r="BP80" s="6">
        <v>5.14</v>
      </c>
      <c r="BQ80" s="7">
        <v>3.32</v>
      </c>
      <c r="BR80" s="6">
        <v>2.46</v>
      </c>
      <c r="BS80" s="6">
        <v>2.58</v>
      </c>
      <c r="BT80" s="6">
        <v>2.38</v>
      </c>
      <c r="BU80" s="6">
        <v>3.2</v>
      </c>
      <c r="BV80" s="6">
        <v>3.5</v>
      </c>
      <c r="BW80" s="6">
        <v>3.98</v>
      </c>
      <c r="BX80" s="6">
        <v>2.74</v>
      </c>
      <c r="BY80" s="6">
        <v>3.82</v>
      </c>
      <c r="BZ80" s="6">
        <v>4.0999999999999996</v>
      </c>
      <c r="CA80" s="6">
        <v>2.62</v>
      </c>
      <c r="CB80" s="6">
        <v>4.74</v>
      </c>
      <c r="CC80" s="6">
        <v>4.5199999999999996</v>
      </c>
      <c r="CD80" s="6">
        <v>4.0999999999999996</v>
      </c>
      <c r="CE80" s="6">
        <v>3.19</v>
      </c>
      <c r="CF80" s="6">
        <v>3.48</v>
      </c>
      <c r="CG80" s="6">
        <v>2.52</v>
      </c>
      <c r="CH80" s="6">
        <v>4.28</v>
      </c>
      <c r="CI80" s="11">
        <v>2.92</v>
      </c>
      <c r="CJ80" s="6">
        <v>2.88</v>
      </c>
      <c r="CK80" s="6">
        <v>2.86</v>
      </c>
      <c r="CL80" s="6">
        <v>3.72</v>
      </c>
      <c r="CM80" s="6">
        <v>5.26</v>
      </c>
      <c r="CN80" s="6">
        <v>4.1500000000000004</v>
      </c>
      <c r="CO80" s="10">
        <v>2.89</v>
      </c>
      <c r="CP80" s="10"/>
    </row>
    <row r="81" spans="1:94" ht="15.75" customHeight="1" x14ac:dyDescent="0.25">
      <c r="A81" s="4">
        <v>80</v>
      </c>
      <c r="B81" s="4"/>
      <c r="C81" s="4">
        <v>20</v>
      </c>
      <c r="D81" s="8">
        <v>2.88</v>
      </c>
      <c r="E81" s="8">
        <v>2.58</v>
      </c>
      <c r="F81" s="8">
        <v>3.22</v>
      </c>
      <c r="G81" s="8">
        <v>3.54</v>
      </c>
      <c r="H81" s="8">
        <v>3.12</v>
      </c>
      <c r="I81" s="8">
        <v>2.04</v>
      </c>
      <c r="J81" s="8">
        <v>2.59</v>
      </c>
      <c r="K81" s="8">
        <v>2.0099999999999998</v>
      </c>
      <c r="L81" s="8">
        <v>3.6</v>
      </c>
      <c r="M81" s="8">
        <v>3.13</v>
      </c>
      <c r="N81" s="8">
        <v>2.66</v>
      </c>
      <c r="O81" s="8">
        <v>2.33</v>
      </c>
      <c r="P81" s="8">
        <v>2.3199999999999998</v>
      </c>
      <c r="Q81" s="8">
        <v>2.17</v>
      </c>
      <c r="R81" s="8">
        <v>2.44</v>
      </c>
      <c r="S81" s="8">
        <v>3.59</v>
      </c>
      <c r="T81" s="8">
        <v>5.79</v>
      </c>
      <c r="U81" s="8">
        <v>2.5</v>
      </c>
      <c r="V81" s="8">
        <v>3.85</v>
      </c>
      <c r="W81" s="8">
        <v>3.26</v>
      </c>
      <c r="X81" s="8">
        <v>3.51</v>
      </c>
      <c r="Y81" s="8">
        <v>4.46</v>
      </c>
      <c r="Z81" s="8">
        <v>2.5</v>
      </c>
      <c r="AA81" s="8">
        <v>2.98</v>
      </c>
      <c r="AB81" s="8">
        <v>1.67</v>
      </c>
      <c r="AC81" s="8">
        <v>2.76</v>
      </c>
      <c r="AD81" s="8">
        <v>1.95</v>
      </c>
      <c r="AE81" s="8">
        <v>2.57</v>
      </c>
      <c r="AF81" s="8">
        <v>2.86</v>
      </c>
      <c r="AG81" s="8">
        <v>1.86</v>
      </c>
      <c r="AH81" s="8">
        <v>2.52</v>
      </c>
      <c r="AI81" s="8">
        <v>2.23</v>
      </c>
      <c r="AJ81" s="8">
        <v>2.76</v>
      </c>
      <c r="AK81" s="8">
        <v>2.36</v>
      </c>
      <c r="AL81" s="8">
        <v>3.9</v>
      </c>
      <c r="AM81" s="8">
        <v>3.5</v>
      </c>
      <c r="AN81" s="8">
        <v>4.16</v>
      </c>
      <c r="AO81" s="8">
        <v>4.42</v>
      </c>
      <c r="AP81" s="8">
        <v>1.83</v>
      </c>
      <c r="AQ81" s="8">
        <v>2.89</v>
      </c>
      <c r="AR81" s="8">
        <v>2.64</v>
      </c>
      <c r="AS81" s="8">
        <v>4.79</v>
      </c>
      <c r="AT81" s="8">
        <v>2.33</v>
      </c>
      <c r="AU81" s="11">
        <v>2.21</v>
      </c>
      <c r="AV81" s="11">
        <v>2.34</v>
      </c>
      <c r="AW81" s="6">
        <v>2.1800000000000002</v>
      </c>
      <c r="AX81" s="6">
        <v>5.34</v>
      </c>
      <c r="AY81" s="6">
        <v>3.15</v>
      </c>
      <c r="AZ81" s="6">
        <v>3.14</v>
      </c>
      <c r="BA81" s="6">
        <v>4.42</v>
      </c>
      <c r="BB81" s="6">
        <v>2.35</v>
      </c>
      <c r="BC81" s="6">
        <v>3.47</v>
      </c>
      <c r="BD81" s="11">
        <v>3.57</v>
      </c>
      <c r="BE81" s="6">
        <v>2.29</v>
      </c>
      <c r="BF81" s="6">
        <v>4.25</v>
      </c>
      <c r="BG81" s="6">
        <v>3.58</v>
      </c>
      <c r="BH81" s="6">
        <v>3.64</v>
      </c>
      <c r="BI81" s="6">
        <v>3.16</v>
      </c>
      <c r="BJ81" s="6">
        <v>3.48</v>
      </c>
      <c r="BK81" s="6">
        <v>2.79</v>
      </c>
      <c r="BL81" s="6">
        <v>3.18</v>
      </c>
      <c r="BM81" s="6">
        <v>4.18</v>
      </c>
      <c r="BN81" s="6">
        <v>4.4000000000000004</v>
      </c>
      <c r="BO81" s="6">
        <v>2.64</v>
      </c>
      <c r="BP81" s="6">
        <v>5.0599999999999996</v>
      </c>
      <c r="BQ81" s="6">
        <v>3.34</v>
      </c>
      <c r="BR81" s="6">
        <v>2.4</v>
      </c>
      <c r="BS81" s="6">
        <v>2.54</v>
      </c>
      <c r="BT81" s="6">
        <v>2.44</v>
      </c>
      <c r="BU81" s="6">
        <v>3.22</v>
      </c>
      <c r="BV81" s="6">
        <v>3.5</v>
      </c>
      <c r="BW81" s="6">
        <v>4</v>
      </c>
      <c r="BX81" s="6">
        <v>2.76</v>
      </c>
      <c r="BY81" s="6">
        <v>3.86</v>
      </c>
      <c r="BZ81" s="6">
        <v>4.0599999999999996</v>
      </c>
      <c r="CA81" s="6">
        <v>2.64</v>
      </c>
      <c r="CB81" s="6">
        <v>4.68</v>
      </c>
      <c r="CC81" s="6">
        <v>4.4800000000000004</v>
      </c>
      <c r="CD81" s="6">
        <v>4.0599999999999996</v>
      </c>
      <c r="CE81" s="6">
        <v>3.19</v>
      </c>
      <c r="CF81" s="6">
        <v>3.46</v>
      </c>
      <c r="CG81" s="6">
        <v>2.5</v>
      </c>
      <c r="CH81" s="6">
        <v>4.38</v>
      </c>
      <c r="CI81" s="11">
        <v>2.92</v>
      </c>
      <c r="CJ81" s="6">
        <v>2.88</v>
      </c>
      <c r="CK81" s="6">
        <v>2.86</v>
      </c>
      <c r="CL81" s="6">
        <v>3.88</v>
      </c>
      <c r="CM81" s="6">
        <v>5.3</v>
      </c>
      <c r="CN81" s="6">
        <v>4.1900000000000004</v>
      </c>
      <c r="CO81" s="10">
        <v>2.84</v>
      </c>
      <c r="CP81" s="10"/>
    </row>
    <row r="82" spans="1:94" ht="15.75" customHeight="1" x14ac:dyDescent="0.25">
      <c r="A82" s="4">
        <v>81</v>
      </c>
      <c r="B82" s="4"/>
      <c r="C82" s="4">
        <v>21</v>
      </c>
      <c r="D82" s="8">
        <v>2.78</v>
      </c>
      <c r="E82" s="8">
        <v>2.68</v>
      </c>
      <c r="F82" s="8">
        <v>3.24</v>
      </c>
      <c r="G82" s="8">
        <v>3.56</v>
      </c>
      <c r="H82" s="8">
        <v>3.08</v>
      </c>
      <c r="I82" s="8">
        <v>2.08</v>
      </c>
      <c r="J82" s="8">
        <v>2.5099999999999998</v>
      </c>
      <c r="K82" s="8">
        <v>1.96</v>
      </c>
      <c r="L82" s="8">
        <v>3.58</v>
      </c>
      <c r="M82" s="8">
        <v>3.18</v>
      </c>
      <c r="N82" s="8">
        <v>2.63</v>
      </c>
      <c r="O82" s="8">
        <v>2.33</v>
      </c>
      <c r="P82" s="8">
        <v>2.31</v>
      </c>
      <c r="Q82" s="8">
        <v>2.1</v>
      </c>
      <c r="R82" s="8">
        <v>2.38</v>
      </c>
      <c r="S82" s="8">
        <v>3.59</v>
      </c>
      <c r="T82" s="8">
        <v>5.76</v>
      </c>
      <c r="U82" s="8">
        <v>2.4700000000000002</v>
      </c>
      <c r="V82" s="8">
        <v>3.77</v>
      </c>
      <c r="W82" s="8">
        <v>3.2</v>
      </c>
      <c r="X82" s="8">
        <v>3.63</v>
      </c>
      <c r="Y82" s="8">
        <v>4.63</v>
      </c>
      <c r="Z82" s="8">
        <v>2.46</v>
      </c>
      <c r="AA82" s="8">
        <v>3.06</v>
      </c>
      <c r="AB82" s="8">
        <v>1.67</v>
      </c>
      <c r="AC82" s="8">
        <v>2.65</v>
      </c>
      <c r="AD82" s="8">
        <v>1.91</v>
      </c>
      <c r="AE82" s="8">
        <v>2.6</v>
      </c>
      <c r="AF82" s="8">
        <v>2.87</v>
      </c>
      <c r="AG82" s="8">
        <v>1.82</v>
      </c>
      <c r="AH82" s="8">
        <v>2.5299999999999998</v>
      </c>
      <c r="AI82" s="8">
        <v>2.23</v>
      </c>
      <c r="AJ82" s="8">
        <v>2.8</v>
      </c>
      <c r="AK82" s="8">
        <v>2.34</v>
      </c>
      <c r="AL82" s="8">
        <v>3.83</v>
      </c>
      <c r="AM82" s="8">
        <v>3.4</v>
      </c>
      <c r="AN82" s="8">
        <v>4.0199999999999996</v>
      </c>
      <c r="AO82" s="8">
        <v>4.4400000000000004</v>
      </c>
      <c r="AP82" s="8">
        <v>1.84</v>
      </c>
      <c r="AQ82" s="8">
        <v>2.85</v>
      </c>
      <c r="AR82" s="8">
        <v>2.62</v>
      </c>
      <c r="AS82" s="8">
        <v>4.76</v>
      </c>
      <c r="AT82" s="8">
        <v>2.33</v>
      </c>
      <c r="AU82" s="11">
        <v>2.23</v>
      </c>
      <c r="AV82" s="11">
        <v>2.36</v>
      </c>
      <c r="AW82" s="6">
        <v>2.17</v>
      </c>
      <c r="AX82" s="6">
        <v>5.26</v>
      </c>
      <c r="AY82" s="6">
        <v>3.13</v>
      </c>
      <c r="AZ82" s="6">
        <v>3.07</v>
      </c>
      <c r="BA82" s="6">
        <v>4.34</v>
      </c>
      <c r="BB82" s="6">
        <v>2.34</v>
      </c>
      <c r="BC82" s="6">
        <v>3.38</v>
      </c>
      <c r="BD82" s="11">
        <v>3.52</v>
      </c>
      <c r="BE82" s="6">
        <v>2.25</v>
      </c>
      <c r="BF82" s="6">
        <v>4.2300000000000004</v>
      </c>
      <c r="BG82" s="6">
        <v>3.63</v>
      </c>
      <c r="BH82" s="6">
        <v>3.66</v>
      </c>
      <c r="BI82" s="6">
        <v>3.12</v>
      </c>
      <c r="BJ82" s="6">
        <v>3.57</v>
      </c>
      <c r="BK82" s="6">
        <v>2.72</v>
      </c>
      <c r="BL82" s="6">
        <v>3.24</v>
      </c>
      <c r="BM82" s="6">
        <v>4.0999999999999996</v>
      </c>
      <c r="BN82" s="6">
        <v>4.4000000000000004</v>
      </c>
      <c r="BO82" s="6">
        <v>2.62</v>
      </c>
      <c r="BP82" s="6">
        <v>4.9000000000000004</v>
      </c>
      <c r="BQ82" s="6">
        <v>3.28</v>
      </c>
      <c r="BR82" s="6">
        <v>2.4</v>
      </c>
      <c r="BS82" s="6">
        <v>2.58</v>
      </c>
      <c r="BT82" s="6">
        <v>2.42</v>
      </c>
      <c r="BU82" s="6">
        <v>3.24</v>
      </c>
      <c r="BV82" s="6">
        <v>3.5</v>
      </c>
      <c r="BW82" s="6">
        <v>4.08</v>
      </c>
      <c r="BX82" s="6">
        <v>2.76</v>
      </c>
      <c r="BY82" s="6">
        <v>3.88</v>
      </c>
      <c r="BZ82" s="6">
        <v>4.08</v>
      </c>
      <c r="CA82" s="6">
        <v>2.66</v>
      </c>
      <c r="CB82" s="6">
        <v>4.8</v>
      </c>
      <c r="CC82" s="6">
        <v>4.4400000000000004</v>
      </c>
      <c r="CD82" s="6">
        <v>4.08</v>
      </c>
      <c r="CE82" s="6">
        <v>3.2</v>
      </c>
      <c r="CF82" s="6">
        <v>3.5</v>
      </c>
      <c r="CG82" s="6">
        <v>2.5</v>
      </c>
      <c r="CH82" s="6">
        <v>4.42</v>
      </c>
      <c r="CI82" s="11">
        <v>2.94</v>
      </c>
      <c r="CJ82" s="6">
        <v>2.88</v>
      </c>
      <c r="CK82" s="6">
        <v>2.86</v>
      </c>
      <c r="CL82" s="6">
        <v>4.0599999999999996</v>
      </c>
      <c r="CM82" s="6">
        <v>5.45</v>
      </c>
      <c r="CN82" s="6">
        <v>4.24</v>
      </c>
      <c r="CO82" s="10">
        <v>2.82</v>
      </c>
      <c r="CP82" s="10"/>
    </row>
    <row r="83" spans="1:94" ht="15.75" customHeight="1" x14ac:dyDescent="0.25">
      <c r="A83" s="4">
        <v>82</v>
      </c>
      <c r="B83" s="4"/>
      <c r="C83" s="4">
        <v>22</v>
      </c>
      <c r="D83" s="8">
        <v>2.73</v>
      </c>
      <c r="E83" s="8">
        <v>2.78</v>
      </c>
      <c r="F83" s="8">
        <v>3.26</v>
      </c>
      <c r="G83" s="8">
        <v>3.58</v>
      </c>
      <c r="H83" s="8">
        <v>3.04</v>
      </c>
      <c r="I83" s="8">
        <v>2.13</v>
      </c>
      <c r="J83" s="8">
        <v>2.4300000000000002</v>
      </c>
      <c r="K83" s="8">
        <v>1.91</v>
      </c>
      <c r="L83" s="8">
        <v>3.56</v>
      </c>
      <c r="M83" s="8">
        <v>3.2</v>
      </c>
      <c r="N83" s="8">
        <v>2.6</v>
      </c>
      <c r="O83" s="8">
        <v>2.35</v>
      </c>
      <c r="P83" s="8">
        <v>2.31</v>
      </c>
      <c r="Q83" s="8">
        <v>2.14</v>
      </c>
      <c r="R83" s="8">
        <v>2.2999999999999998</v>
      </c>
      <c r="S83" s="8">
        <v>3.56</v>
      </c>
      <c r="T83" s="8">
        <v>5.66</v>
      </c>
      <c r="U83" s="8">
        <v>2.4300000000000002</v>
      </c>
      <c r="V83" s="8">
        <v>3.73</v>
      </c>
      <c r="W83" s="8">
        <v>3.15</v>
      </c>
      <c r="X83" s="8">
        <v>3.83</v>
      </c>
      <c r="Y83" s="8">
        <v>4.7300000000000004</v>
      </c>
      <c r="Z83" s="8">
        <v>2.4</v>
      </c>
      <c r="AA83" s="8">
        <v>3.1</v>
      </c>
      <c r="AB83" s="8">
        <v>1.69</v>
      </c>
      <c r="AC83" s="8">
        <v>2.57</v>
      </c>
      <c r="AD83" s="8">
        <v>1.86</v>
      </c>
      <c r="AE83" s="8">
        <v>2.66</v>
      </c>
      <c r="AF83" s="8">
        <v>2.92</v>
      </c>
      <c r="AG83" s="8">
        <v>1.78</v>
      </c>
      <c r="AH83" s="8">
        <v>2.5299999999999998</v>
      </c>
      <c r="AI83" s="8">
        <v>2.21</v>
      </c>
      <c r="AJ83" s="8">
        <v>2.84</v>
      </c>
      <c r="AK83" s="8">
        <v>2.33</v>
      </c>
      <c r="AL83" s="8">
        <v>3.74</v>
      </c>
      <c r="AM83" s="8">
        <v>3.42</v>
      </c>
      <c r="AN83" s="8">
        <v>3.91</v>
      </c>
      <c r="AO83" s="8">
        <v>4.4400000000000004</v>
      </c>
      <c r="AP83" s="8">
        <v>1.87</v>
      </c>
      <c r="AQ83" s="8">
        <v>2.81</v>
      </c>
      <c r="AR83" s="8">
        <v>2.58</v>
      </c>
      <c r="AS83" s="8">
        <v>4.7300000000000004</v>
      </c>
      <c r="AT83" s="8">
        <v>2.31</v>
      </c>
      <c r="AU83" s="11">
        <v>2.2599999999999998</v>
      </c>
      <c r="AV83" s="11">
        <v>2.4</v>
      </c>
      <c r="AW83" s="6">
        <v>2.14</v>
      </c>
      <c r="AX83" s="6">
        <v>5.17</v>
      </c>
      <c r="AY83" s="6">
        <v>3.21</v>
      </c>
      <c r="AZ83" s="6">
        <v>3.03</v>
      </c>
      <c r="BA83" s="6">
        <v>4.26</v>
      </c>
      <c r="BB83" s="6">
        <v>2.34</v>
      </c>
      <c r="BC83" s="6">
        <v>3.31</v>
      </c>
      <c r="BD83" s="11">
        <v>3.47</v>
      </c>
      <c r="BE83" s="6">
        <v>2.19</v>
      </c>
      <c r="BF83" s="6">
        <v>4.21</v>
      </c>
      <c r="BG83" s="6">
        <v>3.72</v>
      </c>
      <c r="BH83" s="6">
        <v>3.72</v>
      </c>
      <c r="BI83" s="6">
        <v>3.12</v>
      </c>
      <c r="BJ83" s="6">
        <v>3.74</v>
      </c>
      <c r="BK83" s="6">
        <v>2.73</v>
      </c>
      <c r="BL83" s="6">
        <v>3.22</v>
      </c>
      <c r="BM83" s="6">
        <v>4.08</v>
      </c>
      <c r="BN83" s="6">
        <v>4.4000000000000004</v>
      </c>
      <c r="BO83" s="6">
        <v>2.6</v>
      </c>
      <c r="BP83" s="6">
        <v>4.8</v>
      </c>
      <c r="BQ83" s="6">
        <v>3.22</v>
      </c>
      <c r="BR83" s="6">
        <v>2.44</v>
      </c>
      <c r="BS83" s="6">
        <v>2.56</v>
      </c>
      <c r="BT83" s="6">
        <v>2.42</v>
      </c>
      <c r="BU83" s="6">
        <v>3.12</v>
      </c>
      <c r="BV83" s="6">
        <v>3.54</v>
      </c>
      <c r="BW83" s="6">
        <v>4.16</v>
      </c>
      <c r="BX83" s="6">
        <v>2.76</v>
      </c>
      <c r="BY83" s="6">
        <v>3.9</v>
      </c>
      <c r="BZ83" s="6">
        <v>4.0999999999999996</v>
      </c>
      <c r="CA83" s="6">
        <v>2.68</v>
      </c>
      <c r="CB83" s="6">
        <v>4.9000000000000004</v>
      </c>
      <c r="CC83" s="6">
        <v>4.4400000000000004</v>
      </c>
      <c r="CD83" s="6">
        <v>4.08</v>
      </c>
      <c r="CE83" s="6">
        <v>3.18</v>
      </c>
      <c r="CF83" s="6">
        <v>3.45</v>
      </c>
      <c r="CG83" s="6">
        <v>2.5</v>
      </c>
      <c r="CH83" s="6">
        <v>4.4800000000000004</v>
      </c>
      <c r="CI83" s="11">
        <v>2.94</v>
      </c>
      <c r="CJ83" s="6">
        <v>2.88</v>
      </c>
      <c r="CK83" s="6">
        <v>2.8</v>
      </c>
      <c r="CL83" s="6">
        <v>4.1399999999999997</v>
      </c>
      <c r="CM83" s="6">
        <v>5.56</v>
      </c>
      <c r="CN83" s="6">
        <v>4.29</v>
      </c>
      <c r="CO83" s="10">
        <v>2.82</v>
      </c>
      <c r="CP83" s="10"/>
    </row>
    <row r="84" spans="1:94" ht="15.75" customHeight="1" x14ac:dyDescent="0.25">
      <c r="A84" s="4">
        <v>83</v>
      </c>
      <c r="B84" s="4"/>
      <c r="C84" s="4">
        <v>23</v>
      </c>
      <c r="D84" s="8">
        <v>2.68</v>
      </c>
      <c r="E84" s="8">
        <v>2.88</v>
      </c>
      <c r="F84" s="8">
        <v>3.28</v>
      </c>
      <c r="G84" s="8">
        <v>3.63</v>
      </c>
      <c r="H84" s="8">
        <v>3</v>
      </c>
      <c r="I84" s="8">
        <v>2.1800000000000002</v>
      </c>
      <c r="J84" s="8">
        <v>2.38</v>
      </c>
      <c r="K84" s="8">
        <v>1.86</v>
      </c>
      <c r="L84" s="8">
        <v>3.52</v>
      </c>
      <c r="M84" s="8">
        <v>3.18</v>
      </c>
      <c r="N84" s="8">
        <v>2.58</v>
      </c>
      <c r="O84" s="8">
        <v>2.4</v>
      </c>
      <c r="P84" s="8">
        <v>2.31</v>
      </c>
      <c r="Q84" s="8">
        <v>2.14</v>
      </c>
      <c r="R84" s="8">
        <v>2.23</v>
      </c>
      <c r="S84" s="8">
        <v>3.53</v>
      </c>
      <c r="T84" s="8">
        <v>5.5</v>
      </c>
      <c r="U84" s="8">
        <v>2.4500000000000002</v>
      </c>
      <c r="V84" s="8">
        <v>3.73</v>
      </c>
      <c r="W84" s="8">
        <v>3.11</v>
      </c>
      <c r="X84" s="8">
        <v>3.95</v>
      </c>
      <c r="Y84" s="8">
        <v>4.79</v>
      </c>
      <c r="Z84" s="8">
        <v>2.34</v>
      </c>
      <c r="AA84" s="8">
        <v>3.13</v>
      </c>
      <c r="AB84" s="8">
        <v>1.71</v>
      </c>
      <c r="AC84" s="8">
        <v>2.54</v>
      </c>
      <c r="AD84" s="8">
        <v>1.81</v>
      </c>
      <c r="AE84" s="8">
        <v>2.72</v>
      </c>
      <c r="AF84" s="8">
        <v>2.98</v>
      </c>
      <c r="AG84" s="8">
        <v>1.74</v>
      </c>
      <c r="AH84" s="8">
        <v>2.52</v>
      </c>
      <c r="AI84" s="8">
        <v>2.21</v>
      </c>
      <c r="AJ84" s="8">
        <v>2.85</v>
      </c>
      <c r="AK84" s="8">
        <v>2.36</v>
      </c>
      <c r="AL84" s="8">
        <v>3.66</v>
      </c>
      <c r="AM84" s="8">
        <v>3.42</v>
      </c>
      <c r="AN84" s="8">
        <v>3.94</v>
      </c>
      <c r="AO84" s="8">
        <v>4.41</v>
      </c>
      <c r="AP84" s="8">
        <v>1.87</v>
      </c>
      <c r="AQ84" s="8">
        <v>2.79</v>
      </c>
      <c r="AR84" s="8">
        <v>2.5499999999999998</v>
      </c>
      <c r="AS84" s="8">
        <v>4.71</v>
      </c>
      <c r="AT84" s="8">
        <v>2.31</v>
      </c>
      <c r="AU84" s="11">
        <v>2.2400000000000002</v>
      </c>
      <c r="AV84" s="11">
        <v>2.5</v>
      </c>
      <c r="AW84" s="6">
        <v>2.09</v>
      </c>
      <c r="AX84" s="6">
        <v>5.07</v>
      </c>
      <c r="AY84" s="6">
        <v>3.31</v>
      </c>
      <c r="AZ84" s="6">
        <v>2.96</v>
      </c>
      <c r="BA84" s="6">
        <v>4.1100000000000003</v>
      </c>
      <c r="BB84" s="6">
        <v>2.3199999999999998</v>
      </c>
      <c r="BC84" s="6">
        <v>3.3</v>
      </c>
      <c r="BD84" s="11">
        <v>3.41</v>
      </c>
      <c r="BE84" s="6">
        <v>2.15</v>
      </c>
      <c r="BF84" s="6">
        <v>4.1900000000000004</v>
      </c>
      <c r="BG84" s="6">
        <v>3.79</v>
      </c>
      <c r="BH84" s="6">
        <v>3.8</v>
      </c>
      <c r="BI84" s="6">
        <v>3.08</v>
      </c>
      <c r="BJ84" s="6">
        <v>3.9</v>
      </c>
      <c r="BK84" s="6">
        <v>2.77</v>
      </c>
      <c r="BL84" s="6">
        <v>3.2</v>
      </c>
      <c r="BM84" s="6">
        <v>4</v>
      </c>
      <c r="BN84" s="6">
        <v>4.26</v>
      </c>
      <c r="BO84" s="6">
        <v>2.6</v>
      </c>
      <c r="BP84" s="6">
        <v>4.8</v>
      </c>
      <c r="BQ84" s="6">
        <v>3.18</v>
      </c>
      <c r="BR84" s="6">
        <v>2.5</v>
      </c>
      <c r="BS84" s="6">
        <v>2.54</v>
      </c>
      <c r="BT84" s="6">
        <v>2.36</v>
      </c>
      <c r="BU84" s="6">
        <v>3.1</v>
      </c>
      <c r="BV84" s="6">
        <v>3.45</v>
      </c>
      <c r="BW84" s="6">
        <v>4.22</v>
      </c>
      <c r="BX84" s="6">
        <v>2.72</v>
      </c>
      <c r="BY84" s="6">
        <v>3.78</v>
      </c>
      <c r="BZ84" s="6">
        <v>4.0999999999999996</v>
      </c>
      <c r="CA84" s="6">
        <v>2.78</v>
      </c>
      <c r="CB84" s="6">
        <v>4.96</v>
      </c>
      <c r="CC84" s="6">
        <v>4.42</v>
      </c>
      <c r="CD84" s="6">
        <v>4</v>
      </c>
      <c r="CE84" s="6">
        <v>3.18</v>
      </c>
      <c r="CF84" s="6">
        <v>3.4</v>
      </c>
      <c r="CG84" s="6">
        <v>2.5</v>
      </c>
      <c r="CH84" s="6">
        <v>4.54</v>
      </c>
      <c r="CI84" s="11">
        <v>2.94</v>
      </c>
      <c r="CJ84" s="6">
        <v>2.88</v>
      </c>
      <c r="CK84" s="6">
        <v>2.8</v>
      </c>
      <c r="CL84" s="6">
        <v>4.32</v>
      </c>
      <c r="CM84" s="6">
        <v>5.66</v>
      </c>
      <c r="CN84" s="6">
        <v>4.4000000000000004</v>
      </c>
      <c r="CO84" s="10">
        <v>2.84</v>
      </c>
      <c r="CP84" s="10"/>
    </row>
    <row r="85" spans="1:94" ht="15.75" customHeight="1" x14ac:dyDescent="0.25">
      <c r="A85" s="4">
        <v>84</v>
      </c>
      <c r="B85" s="4"/>
      <c r="C85" s="4">
        <v>24</v>
      </c>
      <c r="D85" s="8">
        <v>2.63</v>
      </c>
      <c r="E85" s="8">
        <v>2.98</v>
      </c>
      <c r="F85" s="8">
        <v>3.3</v>
      </c>
      <c r="G85" s="8">
        <v>3.68</v>
      </c>
      <c r="H85" s="8">
        <v>2.96</v>
      </c>
      <c r="I85" s="8">
        <v>2.23</v>
      </c>
      <c r="J85" s="8">
        <v>2.33</v>
      </c>
      <c r="K85" s="8">
        <v>1.81</v>
      </c>
      <c r="L85" s="8">
        <v>3.48</v>
      </c>
      <c r="M85" s="8">
        <v>3.13</v>
      </c>
      <c r="N85" s="8">
        <v>2.57</v>
      </c>
      <c r="O85" s="8">
        <v>2.44</v>
      </c>
      <c r="P85" s="8">
        <v>2.31</v>
      </c>
      <c r="Q85" s="8">
        <v>2.1</v>
      </c>
      <c r="R85" s="8">
        <v>2.2000000000000002</v>
      </c>
      <c r="S85" s="8">
        <v>3.53</v>
      </c>
      <c r="T85" s="8">
        <v>5.36</v>
      </c>
      <c r="U85" s="8">
        <v>2.4700000000000002</v>
      </c>
      <c r="V85" s="8">
        <v>3.68</v>
      </c>
      <c r="W85" s="8">
        <v>3.13</v>
      </c>
      <c r="X85" s="8">
        <v>4.01</v>
      </c>
      <c r="Y85" s="8">
        <v>4.8099999999999996</v>
      </c>
      <c r="Z85" s="8">
        <v>2.31</v>
      </c>
      <c r="AA85" s="8">
        <v>3.16</v>
      </c>
      <c r="AB85" s="8">
        <v>1.73</v>
      </c>
      <c r="AC85" s="8">
        <v>2.5099999999999998</v>
      </c>
      <c r="AD85" s="8">
        <v>1.77</v>
      </c>
      <c r="AE85" s="8">
        <v>2.79</v>
      </c>
      <c r="AF85" s="8">
        <v>3.01</v>
      </c>
      <c r="AG85" s="8">
        <v>1.74</v>
      </c>
      <c r="AH85" s="8">
        <v>2.5</v>
      </c>
      <c r="AI85" s="8">
        <v>2.21</v>
      </c>
      <c r="AJ85" s="8">
        <v>2.85</v>
      </c>
      <c r="AK85" s="8">
        <v>2.4700000000000002</v>
      </c>
      <c r="AL85" s="8">
        <v>3.58</v>
      </c>
      <c r="AM85" s="8">
        <v>3.41</v>
      </c>
      <c r="AN85" s="8">
        <v>3.96</v>
      </c>
      <c r="AO85" s="8">
        <v>4.4400000000000004</v>
      </c>
      <c r="AP85" s="8">
        <v>1.86</v>
      </c>
      <c r="AQ85" s="8">
        <v>2.75</v>
      </c>
      <c r="AR85" s="8">
        <v>2.5299999999999998</v>
      </c>
      <c r="AS85" s="8">
        <v>4.6900000000000004</v>
      </c>
      <c r="AT85" s="8">
        <v>2.31</v>
      </c>
      <c r="AU85" s="11">
        <v>2.2200000000000002</v>
      </c>
      <c r="AV85" s="11">
        <v>2.5499999999999998</v>
      </c>
      <c r="AW85" s="6">
        <v>2.09</v>
      </c>
      <c r="AX85" s="6">
        <v>4.9800000000000004</v>
      </c>
      <c r="AY85" s="6">
        <v>3.42</v>
      </c>
      <c r="AZ85" s="6">
        <v>2.92</v>
      </c>
      <c r="BA85" s="6">
        <v>3.85</v>
      </c>
      <c r="BB85" s="6">
        <v>2.29</v>
      </c>
      <c r="BC85" s="6">
        <v>3.3</v>
      </c>
      <c r="BD85" s="11">
        <v>3.38</v>
      </c>
      <c r="BE85" s="6">
        <v>2.1</v>
      </c>
      <c r="BF85" s="6">
        <v>4.17</v>
      </c>
      <c r="BG85" s="6">
        <v>3.9</v>
      </c>
      <c r="BH85" s="6">
        <v>3.85</v>
      </c>
      <c r="BI85" s="6">
        <v>3.12</v>
      </c>
      <c r="BJ85" s="6">
        <v>4.0199999999999996</v>
      </c>
      <c r="BK85" s="6">
        <v>2.82</v>
      </c>
      <c r="BL85" s="6">
        <v>3.2</v>
      </c>
      <c r="BM85" s="6">
        <v>3.96</v>
      </c>
      <c r="BN85" s="6">
        <v>4.2</v>
      </c>
      <c r="BO85" s="6">
        <v>2.58</v>
      </c>
      <c r="BP85" s="6">
        <v>4.75</v>
      </c>
      <c r="BQ85" s="6">
        <v>3.14</v>
      </c>
      <c r="BR85" s="6">
        <v>2.5</v>
      </c>
      <c r="BS85" s="6">
        <v>2.64</v>
      </c>
      <c r="BT85" s="6">
        <v>2.36</v>
      </c>
      <c r="BU85" s="6">
        <v>3.08</v>
      </c>
      <c r="BV85" s="6">
        <v>3.44</v>
      </c>
      <c r="BW85" s="6">
        <v>4.22</v>
      </c>
      <c r="BX85" s="6">
        <v>2.72</v>
      </c>
      <c r="BY85" s="6">
        <v>3.8</v>
      </c>
      <c r="BZ85" s="6">
        <v>4.3</v>
      </c>
      <c r="CA85" s="6">
        <v>2.84</v>
      </c>
      <c r="CB85" s="6">
        <v>4.9000000000000004</v>
      </c>
      <c r="CC85" s="6">
        <v>4.4000000000000004</v>
      </c>
      <c r="CD85" s="6">
        <v>3.94</v>
      </c>
      <c r="CE85" s="6">
        <v>3.2</v>
      </c>
      <c r="CF85" s="6">
        <v>3.46</v>
      </c>
      <c r="CG85" s="6">
        <v>2.48</v>
      </c>
      <c r="CH85" s="6">
        <v>4.62</v>
      </c>
      <c r="CI85" s="11">
        <v>2.96</v>
      </c>
      <c r="CJ85" s="6">
        <v>2.88</v>
      </c>
      <c r="CK85" s="6">
        <v>2.8</v>
      </c>
      <c r="CL85" s="6">
        <v>4.5</v>
      </c>
      <c r="CM85" s="6">
        <v>5.72</v>
      </c>
      <c r="CN85" s="6">
        <v>4.29</v>
      </c>
      <c r="CO85" s="10">
        <v>2.88</v>
      </c>
      <c r="CP85" s="10"/>
    </row>
    <row r="86" spans="1:94" ht="15.75" customHeight="1" x14ac:dyDescent="0.25">
      <c r="A86" s="4">
        <v>85</v>
      </c>
      <c r="B86" s="4"/>
      <c r="C86" s="4">
        <v>25</v>
      </c>
      <c r="D86" s="8">
        <v>2.58</v>
      </c>
      <c r="E86" s="8">
        <v>3.08</v>
      </c>
      <c r="F86" s="8">
        <v>3.32</v>
      </c>
      <c r="G86" s="8">
        <v>3.73</v>
      </c>
      <c r="H86" s="8">
        <v>2.94</v>
      </c>
      <c r="I86" s="8">
        <v>2.1800000000000002</v>
      </c>
      <c r="J86" s="8">
        <v>2.2999999999999998</v>
      </c>
      <c r="K86" s="8">
        <v>1.8</v>
      </c>
      <c r="L86" s="8">
        <v>3.48</v>
      </c>
      <c r="M86" s="8">
        <v>3.09</v>
      </c>
      <c r="N86" s="8">
        <v>2.56</v>
      </c>
      <c r="O86" s="8">
        <v>2.48</v>
      </c>
      <c r="P86" s="8">
        <v>2.31</v>
      </c>
      <c r="Q86" s="8">
        <v>2.08</v>
      </c>
      <c r="R86" s="8">
        <v>2.2000000000000002</v>
      </c>
      <c r="S86" s="8">
        <v>3.47</v>
      </c>
      <c r="T86" s="8">
        <v>5.27</v>
      </c>
      <c r="U86" s="8">
        <v>2.4700000000000002</v>
      </c>
      <c r="V86" s="8">
        <v>3.73</v>
      </c>
      <c r="W86" s="8">
        <v>3.17</v>
      </c>
      <c r="X86" s="8">
        <v>4.05</v>
      </c>
      <c r="Y86" s="8">
        <v>4.78</v>
      </c>
      <c r="Z86" s="8">
        <v>2.27</v>
      </c>
      <c r="AA86" s="8">
        <v>3.19</v>
      </c>
      <c r="AB86" s="8">
        <v>1.73</v>
      </c>
      <c r="AC86" s="8">
        <v>2.4700000000000002</v>
      </c>
      <c r="AD86" s="8">
        <v>1.73</v>
      </c>
      <c r="AE86" s="8">
        <v>2.79</v>
      </c>
      <c r="AF86" s="8">
        <v>3.06</v>
      </c>
      <c r="AG86" s="8">
        <v>1.74</v>
      </c>
      <c r="AH86" s="8">
        <v>2.48</v>
      </c>
      <c r="AI86" s="8">
        <v>2.21</v>
      </c>
      <c r="AJ86" s="8">
        <v>2.84</v>
      </c>
      <c r="AK86" s="8">
        <v>2.63</v>
      </c>
      <c r="AL86" s="8">
        <v>3.48</v>
      </c>
      <c r="AM86" s="8">
        <v>3.4</v>
      </c>
      <c r="AN86" s="8">
        <v>4.03</v>
      </c>
      <c r="AO86" s="8">
        <v>4.33</v>
      </c>
      <c r="AP86" s="8">
        <v>1.85</v>
      </c>
      <c r="AQ86" s="8">
        <v>2.71</v>
      </c>
      <c r="AR86" s="8">
        <v>2.5099999999999998</v>
      </c>
      <c r="AS86" s="8">
        <v>4.71</v>
      </c>
      <c r="AT86" s="8">
        <v>2.31</v>
      </c>
      <c r="AU86" s="11">
        <v>2.2000000000000002</v>
      </c>
      <c r="AV86" s="11">
        <v>2.65</v>
      </c>
      <c r="AW86" s="6">
        <v>2.09</v>
      </c>
      <c r="AX86" s="6">
        <v>4.88</v>
      </c>
      <c r="AY86" s="6">
        <v>3.5</v>
      </c>
      <c r="AZ86" s="6">
        <v>2.92</v>
      </c>
      <c r="BA86" s="6">
        <v>3.75</v>
      </c>
      <c r="BB86" s="6">
        <v>2.25</v>
      </c>
      <c r="BC86" s="6">
        <v>3.29</v>
      </c>
      <c r="BD86" s="11">
        <v>3.39</v>
      </c>
      <c r="BE86" s="6">
        <v>2.09</v>
      </c>
      <c r="BF86" s="6">
        <v>4.13</v>
      </c>
      <c r="BG86" s="6">
        <v>4</v>
      </c>
      <c r="BH86" s="6">
        <v>3.92</v>
      </c>
      <c r="BI86" s="6">
        <v>3.12</v>
      </c>
      <c r="BJ86" s="6">
        <v>4.12</v>
      </c>
      <c r="BK86" s="6">
        <v>2.86</v>
      </c>
      <c r="BL86" s="6">
        <v>3.22</v>
      </c>
      <c r="BM86" s="6">
        <v>3.88</v>
      </c>
      <c r="BN86" s="6">
        <v>4.16</v>
      </c>
      <c r="BO86" s="6">
        <v>2.6</v>
      </c>
      <c r="BP86" s="6">
        <v>4.71</v>
      </c>
      <c r="BQ86" s="6">
        <v>3.1</v>
      </c>
      <c r="BR86" s="6">
        <v>2.48</v>
      </c>
      <c r="BS86" s="6">
        <v>2.76</v>
      </c>
      <c r="BT86" s="6">
        <v>2.2999999999999998</v>
      </c>
      <c r="BU86" s="6">
        <v>3.12</v>
      </c>
      <c r="BV86" s="6">
        <v>3.52</v>
      </c>
      <c r="BW86" s="6">
        <v>4.22</v>
      </c>
      <c r="BX86" s="6">
        <v>2.72</v>
      </c>
      <c r="BY86" s="6">
        <v>3.88</v>
      </c>
      <c r="BZ86" s="6">
        <v>4.3</v>
      </c>
      <c r="CA86" s="6">
        <v>2.94</v>
      </c>
      <c r="CB86" s="6">
        <v>4.9000000000000004</v>
      </c>
      <c r="CC86" s="6">
        <v>4.5</v>
      </c>
      <c r="CD86" s="6">
        <v>3.94</v>
      </c>
      <c r="CE86" s="6">
        <v>3.24</v>
      </c>
      <c r="CF86" s="6">
        <v>3.44</v>
      </c>
      <c r="CG86" s="6">
        <v>2.5</v>
      </c>
      <c r="CH86" s="6">
        <v>4.68</v>
      </c>
      <c r="CI86" s="11">
        <v>2.96</v>
      </c>
      <c r="CJ86" s="6">
        <v>2.86</v>
      </c>
      <c r="CK86" s="6">
        <v>2.78</v>
      </c>
      <c r="CL86" s="6">
        <v>4.5999999999999996</v>
      </c>
      <c r="CM86" s="6">
        <v>5.74</v>
      </c>
      <c r="CN86" s="6">
        <v>4.58</v>
      </c>
      <c r="CO86" s="10">
        <v>2.88</v>
      </c>
      <c r="CP86" s="10"/>
    </row>
    <row r="87" spans="1:94" ht="15.75" customHeight="1" x14ac:dyDescent="0.25">
      <c r="A87" s="4">
        <v>86</v>
      </c>
      <c r="B87" s="4"/>
      <c r="C87" s="4">
        <v>26</v>
      </c>
      <c r="D87" s="8">
        <v>2.6</v>
      </c>
      <c r="E87" s="8">
        <v>3.23</v>
      </c>
      <c r="F87" s="8">
        <v>3.34</v>
      </c>
      <c r="G87" s="8">
        <v>3.78</v>
      </c>
      <c r="H87" s="8">
        <v>2.92</v>
      </c>
      <c r="I87" s="8">
        <v>2.08</v>
      </c>
      <c r="J87" s="8">
        <v>2.2599999999999998</v>
      </c>
      <c r="K87" s="8">
        <v>1.74</v>
      </c>
      <c r="L87" s="8">
        <v>3.5</v>
      </c>
      <c r="M87" s="8">
        <v>3.03</v>
      </c>
      <c r="N87" s="8">
        <v>2.5499999999999998</v>
      </c>
      <c r="O87" s="8">
        <v>2.5299999999999998</v>
      </c>
      <c r="P87" s="8">
        <v>2.25</v>
      </c>
      <c r="Q87" s="8">
        <v>2.04</v>
      </c>
      <c r="R87" s="8">
        <v>2.19</v>
      </c>
      <c r="S87" s="8">
        <v>3.42</v>
      </c>
      <c r="T87" s="8">
        <v>5.17</v>
      </c>
      <c r="U87" s="8">
        <v>2.4700000000000002</v>
      </c>
      <c r="V87" s="8">
        <v>3.81</v>
      </c>
      <c r="W87" s="8">
        <v>3.21</v>
      </c>
      <c r="X87" s="8">
        <v>4.1100000000000003</v>
      </c>
      <c r="Y87" s="8">
        <v>4.6900000000000004</v>
      </c>
      <c r="Z87" s="8">
        <v>2.25</v>
      </c>
      <c r="AA87" s="8">
        <v>3.19</v>
      </c>
      <c r="AB87" s="8">
        <v>1.78</v>
      </c>
      <c r="AC87" s="8">
        <v>2.4500000000000002</v>
      </c>
      <c r="AD87" s="8">
        <v>1.73</v>
      </c>
      <c r="AE87" s="8">
        <v>2.79</v>
      </c>
      <c r="AF87" s="8">
        <v>3.07</v>
      </c>
      <c r="AG87" s="8">
        <v>1.76</v>
      </c>
      <c r="AH87" s="8">
        <v>2.46</v>
      </c>
      <c r="AI87" s="8">
        <v>2.21</v>
      </c>
      <c r="AJ87" s="8">
        <v>2.82</v>
      </c>
      <c r="AK87" s="8">
        <v>2.64</v>
      </c>
      <c r="AL87" s="8">
        <v>3.38</v>
      </c>
      <c r="AM87" s="8">
        <v>3.35</v>
      </c>
      <c r="AN87" s="8">
        <v>4.08</v>
      </c>
      <c r="AO87" s="8">
        <v>4.25</v>
      </c>
      <c r="AP87" s="8">
        <v>1.84</v>
      </c>
      <c r="AQ87" s="8">
        <v>2.67</v>
      </c>
      <c r="AR87" s="8">
        <v>2.5</v>
      </c>
      <c r="AS87" s="8">
        <v>4.8</v>
      </c>
      <c r="AT87" s="8">
        <v>2.34</v>
      </c>
      <c r="AU87" s="11">
        <v>2.17</v>
      </c>
      <c r="AV87" s="11">
        <v>2.75</v>
      </c>
      <c r="AW87" s="6">
        <v>2.06</v>
      </c>
      <c r="AX87" s="6">
        <v>4.78</v>
      </c>
      <c r="AY87" s="6">
        <v>3.5</v>
      </c>
      <c r="AZ87" s="6">
        <v>2.94</v>
      </c>
      <c r="BA87" s="6">
        <v>3.74</v>
      </c>
      <c r="BB87" s="6">
        <v>2.21</v>
      </c>
      <c r="BC87" s="6">
        <v>3.28</v>
      </c>
      <c r="BD87" s="11">
        <v>3.41</v>
      </c>
      <c r="BE87" s="6">
        <v>2.06</v>
      </c>
      <c r="BF87" s="6">
        <v>4.09</v>
      </c>
      <c r="BG87" s="6">
        <v>4.07</v>
      </c>
      <c r="BH87" s="6">
        <v>4</v>
      </c>
      <c r="BI87" s="6">
        <v>3.12</v>
      </c>
      <c r="BJ87" s="6">
        <v>4.2</v>
      </c>
      <c r="BK87" s="6">
        <v>2.9</v>
      </c>
      <c r="BL87" s="6">
        <v>3.24</v>
      </c>
      <c r="BM87" s="6">
        <v>3.91</v>
      </c>
      <c r="BN87" s="6">
        <v>4.13</v>
      </c>
      <c r="BO87" s="6">
        <v>2.5</v>
      </c>
      <c r="BP87" s="6">
        <v>4.7</v>
      </c>
      <c r="BQ87" s="6">
        <v>3.1</v>
      </c>
      <c r="BR87" s="6">
        <v>2.4</v>
      </c>
      <c r="BS87" s="6">
        <v>2.94</v>
      </c>
      <c r="BT87" s="6">
        <v>2.2799999999999998</v>
      </c>
      <c r="BU87" s="6">
        <v>3.14</v>
      </c>
      <c r="BV87" s="6">
        <v>3.4</v>
      </c>
      <c r="BW87" s="6">
        <v>4.26</v>
      </c>
      <c r="BX87" s="6">
        <v>2.72</v>
      </c>
      <c r="BY87" s="6">
        <v>3.88</v>
      </c>
      <c r="BZ87" s="6">
        <v>4.3600000000000003</v>
      </c>
      <c r="CA87" s="6">
        <v>3.06</v>
      </c>
      <c r="CB87" s="6">
        <v>4.78</v>
      </c>
      <c r="CC87" s="6">
        <v>4.5199999999999996</v>
      </c>
      <c r="CD87" s="6">
        <v>4</v>
      </c>
      <c r="CE87" s="6">
        <v>3.26</v>
      </c>
      <c r="CF87" s="6">
        <v>3.4</v>
      </c>
      <c r="CG87" s="6">
        <v>2.52</v>
      </c>
      <c r="CH87" s="6">
        <v>4.74</v>
      </c>
      <c r="CI87" s="11">
        <v>2.96</v>
      </c>
      <c r="CJ87" s="6">
        <v>2.86</v>
      </c>
      <c r="CK87" s="6">
        <v>2.78</v>
      </c>
      <c r="CL87" s="6">
        <v>4.5999999999999996</v>
      </c>
      <c r="CM87" s="6">
        <v>5.78</v>
      </c>
      <c r="CN87" s="6">
        <v>4.6399999999999997</v>
      </c>
      <c r="CO87" s="10">
        <v>2.9</v>
      </c>
      <c r="CP87" s="10"/>
    </row>
    <row r="88" spans="1:94" ht="15.75" customHeight="1" x14ac:dyDescent="0.25">
      <c r="A88" s="4">
        <v>87</v>
      </c>
      <c r="B88" s="4"/>
      <c r="C88" s="4">
        <v>27</v>
      </c>
      <c r="D88" s="8">
        <v>2.62</v>
      </c>
      <c r="E88" s="8">
        <v>3.43</v>
      </c>
      <c r="F88" s="8">
        <v>3.34</v>
      </c>
      <c r="G88" s="8">
        <v>3.88</v>
      </c>
      <c r="H88" s="8">
        <v>2.88</v>
      </c>
      <c r="I88" s="8">
        <v>2.0299999999999998</v>
      </c>
      <c r="J88" s="8">
        <v>2.2599999999999998</v>
      </c>
      <c r="K88" s="8">
        <v>1.81</v>
      </c>
      <c r="L88" s="8">
        <v>3.52</v>
      </c>
      <c r="M88" s="8">
        <v>2.98</v>
      </c>
      <c r="N88" s="8">
        <v>2.54</v>
      </c>
      <c r="O88" s="8">
        <v>2.58</v>
      </c>
      <c r="P88" s="8">
        <v>2.25</v>
      </c>
      <c r="Q88" s="8">
        <v>2.02</v>
      </c>
      <c r="R88" s="8">
        <v>2.19</v>
      </c>
      <c r="S88" s="8">
        <v>3.36</v>
      </c>
      <c r="T88" s="8">
        <v>5.0599999999999996</v>
      </c>
      <c r="U88" s="8">
        <v>2.4500000000000002</v>
      </c>
      <c r="V88" s="8">
        <v>3.87</v>
      </c>
      <c r="W88" s="8">
        <v>3.23</v>
      </c>
      <c r="X88" s="8">
        <v>4.17</v>
      </c>
      <c r="Y88" s="8">
        <v>4.63</v>
      </c>
      <c r="Z88" s="8">
        <v>2.23</v>
      </c>
      <c r="AA88" s="8">
        <v>3.18</v>
      </c>
      <c r="AB88" s="8">
        <v>1.82</v>
      </c>
      <c r="AC88" s="8">
        <v>2.4300000000000002</v>
      </c>
      <c r="AD88" s="8">
        <v>1.73</v>
      </c>
      <c r="AE88" s="8">
        <v>2.79</v>
      </c>
      <c r="AF88" s="8">
        <v>3.06</v>
      </c>
      <c r="AG88" s="8">
        <v>1.78</v>
      </c>
      <c r="AH88" s="8">
        <v>2.46</v>
      </c>
      <c r="AI88" s="8">
        <v>2.21</v>
      </c>
      <c r="AJ88" s="8">
        <v>2.8</v>
      </c>
      <c r="AK88" s="8">
        <v>2.72</v>
      </c>
      <c r="AL88" s="8">
        <v>3.3</v>
      </c>
      <c r="AM88" s="8">
        <v>3.29</v>
      </c>
      <c r="AN88" s="8">
        <v>4.12</v>
      </c>
      <c r="AO88" s="8">
        <v>4.2300000000000004</v>
      </c>
      <c r="AP88" s="8">
        <v>1.85</v>
      </c>
      <c r="AQ88" s="8">
        <v>2.63</v>
      </c>
      <c r="AR88" s="8">
        <v>2.4900000000000002</v>
      </c>
      <c r="AS88" s="8">
        <v>4.83</v>
      </c>
      <c r="AT88" s="8">
        <v>2.4</v>
      </c>
      <c r="AU88" s="11">
        <v>2.14</v>
      </c>
      <c r="AV88" s="11">
        <v>2.75</v>
      </c>
      <c r="AW88" s="6">
        <v>2.06</v>
      </c>
      <c r="AX88" s="6">
        <v>4.6500000000000004</v>
      </c>
      <c r="AY88" s="6">
        <v>3.5</v>
      </c>
      <c r="AZ88" s="6">
        <v>3.1</v>
      </c>
      <c r="BA88" s="6">
        <v>3.7</v>
      </c>
      <c r="BB88" s="6">
        <v>2.16</v>
      </c>
      <c r="BC88" s="6">
        <v>3.26</v>
      </c>
      <c r="BD88" s="11">
        <v>3.47</v>
      </c>
      <c r="BE88" s="6">
        <v>2.04</v>
      </c>
      <c r="BF88" s="6">
        <v>4.05</v>
      </c>
      <c r="BG88" s="6">
        <v>4.07</v>
      </c>
      <c r="BH88" s="6">
        <v>4.01</v>
      </c>
      <c r="BI88" s="6">
        <v>3.08</v>
      </c>
      <c r="BJ88" s="6">
        <v>4.3</v>
      </c>
      <c r="BK88" s="6">
        <v>2.93</v>
      </c>
      <c r="BL88" s="6">
        <v>3.28</v>
      </c>
      <c r="BM88" s="6">
        <v>3.8</v>
      </c>
      <c r="BN88" s="6">
        <v>4.0999999999999996</v>
      </c>
      <c r="BO88" s="6">
        <v>2.48</v>
      </c>
      <c r="BP88" s="6">
        <v>4.6900000000000004</v>
      </c>
      <c r="BQ88" s="6">
        <v>3.08</v>
      </c>
      <c r="BR88" s="6">
        <v>2.52</v>
      </c>
      <c r="BS88" s="6">
        <v>3.06</v>
      </c>
      <c r="BT88" s="6">
        <v>2.2599999999999998</v>
      </c>
      <c r="BU88" s="6">
        <v>3.1</v>
      </c>
      <c r="BV88" s="6">
        <v>3.43</v>
      </c>
      <c r="BW88" s="6">
        <v>4.3</v>
      </c>
      <c r="BX88" s="6">
        <v>2.74</v>
      </c>
      <c r="BY88" s="6">
        <v>3.9</v>
      </c>
      <c r="BZ88" s="6">
        <v>4.5599999999999996</v>
      </c>
      <c r="CA88" s="6">
        <v>3.08</v>
      </c>
      <c r="CB88" s="6">
        <v>4.7</v>
      </c>
      <c r="CC88" s="6">
        <v>4.74</v>
      </c>
      <c r="CD88" s="6">
        <v>4</v>
      </c>
      <c r="CE88" s="6">
        <v>3.28</v>
      </c>
      <c r="CF88" s="6">
        <v>3.48</v>
      </c>
      <c r="CG88" s="6">
        <v>2.46</v>
      </c>
      <c r="CH88" s="6">
        <v>4.84</v>
      </c>
      <c r="CI88" s="11">
        <v>2.98</v>
      </c>
      <c r="CJ88" s="6">
        <v>2.82</v>
      </c>
      <c r="CK88" s="6">
        <v>2.78</v>
      </c>
      <c r="CL88" s="6">
        <v>4.5599999999999996</v>
      </c>
      <c r="CM88" s="6">
        <v>5.88</v>
      </c>
      <c r="CN88" s="6">
        <v>4.6399999999999997</v>
      </c>
      <c r="CO88" s="10">
        <v>2.96</v>
      </c>
      <c r="CP88" s="10"/>
    </row>
    <row r="89" spans="1:94" ht="15.75" customHeight="1" x14ac:dyDescent="0.25">
      <c r="A89" s="4">
        <v>88</v>
      </c>
      <c r="B89" s="4"/>
      <c r="C89" s="4">
        <v>28</v>
      </c>
      <c r="D89" s="8">
        <v>2.66</v>
      </c>
      <c r="E89" s="8">
        <v>3.68</v>
      </c>
      <c r="F89" s="8">
        <v>3.32</v>
      </c>
      <c r="G89" s="8">
        <v>4.03</v>
      </c>
      <c r="H89" s="8">
        <v>2.84</v>
      </c>
      <c r="I89" s="8">
        <v>1.98</v>
      </c>
      <c r="J89" s="8">
        <v>2.23</v>
      </c>
      <c r="K89" s="8">
        <v>1.84</v>
      </c>
      <c r="L89" s="8">
        <v>3.54</v>
      </c>
      <c r="M89" s="8">
        <v>2.95</v>
      </c>
      <c r="N89" s="8">
        <v>2.54</v>
      </c>
      <c r="O89" s="8">
        <v>2.64</v>
      </c>
      <c r="P89" s="8">
        <v>2.23</v>
      </c>
      <c r="Q89" s="8">
        <v>1.99</v>
      </c>
      <c r="R89" s="8">
        <v>2.25</v>
      </c>
      <c r="S89" s="8">
        <v>3.27</v>
      </c>
      <c r="T89" s="8">
        <v>4.9800000000000004</v>
      </c>
      <c r="U89" s="8">
        <v>2.4700000000000002</v>
      </c>
      <c r="V89" s="8">
        <v>3.89</v>
      </c>
      <c r="W89" s="8">
        <v>3.28</v>
      </c>
      <c r="X89" s="8">
        <v>4.2699999999999996</v>
      </c>
      <c r="Y89" s="8">
        <v>4.6100000000000003</v>
      </c>
      <c r="Z89" s="8">
        <v>2.23</v>
      </c>
      <c r="AA89" s="8">
        <v>3.15</v>
      </c>
      <c r="AB89" s="8">
        <v>1.82</v>
      </c>
      <c r="AC89" s="8">
        <v>2.41</v>
      </c>
      <c r="AD89" s="8">
        <v>1.73</v>
      </c>
      <c r="AE89" s="8">
        <v>2.75</v>
      </c>
      <c r="AF89" s="8">
        <v>3.02</v>
      </c>
      <c r="AG89" s="8">
        <v>1.82</v>
      </c>
      <c r="AH89" s="8">
        <v>2.46</v>
      </c>
      <c r="AI89" s="8">
        <v>2.21</v>
      </c>
      <c r="AJ89" s="8">
        <v>2.78</v>
      </c>
      <c r="AK89" s="8">
        <v>2.7</v>
      </c>
      <c r="AL89" s="8">
        <v>3.24</v>
      </c>
      <c r="AM89" s="8">
        <v>3.23</v>
      </c>
      <c r="AN89" s="8">
        <v>4.16</v>
      </c>
      <c r="AO89" s="8">
        <v>4.17</v>
      </c>
      <c r="AP89" s="8">
        <v>1.89</v>
      </c>
      <c r="AQ89" s="8">
        <v>2.61</v>
      </c>
      <c r="AR89" s="8">
        <v>2.4900000000000002</v>
      </c>
      <c r="AS89" s="8">
        <v>4.87</v>
      </c>
      <c r="AT89" s="8">
        <v>2.4500000000000002</v>
      </c>
      <c r="AU89" s="11">
        <v>2.1</v>
      </c>
      <c r="AV89" s="11">
        <v>2.75</v>
      </c>
      <c r="AW89" s="6">
        <v>2.0699999999999998</v>
      </c>
      <c r="AX89" s="6">
        <v>4.53</v>
      </c>
      <c r="AY89" s="6">
        <v>3.5</v>
      </c>
      <c r="AZ89" s="6">
        <v>3.22</v>
      </c>
      <c r="BA89" s="6">
        <v>3.66</v>
      </c>
      <c r="BB89" s="6">
        <v>2.11</v>
      </c>
      <c r="BC89" s="6">
        <v>3.25</v>
      </c>
      <c r="BD89" s="11">
        <v>3.54</v>
      </c>
      <c r="BE89" s="6">
        <v>2.0299999999999998</v>
      </c>
      <c r="BF89" s="6">
        <v>4.03</v>
      </c>
      <c r="BG89" s="6">
        <v>4.07</v>
      </c>
      <c r="BH89" s="6">
        <v>4.01</v>
      </c>
      <c r="BI89" s="6">
        <v>3.04</v>
      </c>
      <c r="BJ89" s="6">
        <v>4.38</v>
      </c>
      <c r="BK89" s="6">
        <v>2.93</v>
      </c>
      <c r="BL89" s="6">
        <v>3.3</v>
      </c>
      <c r="BM89" s="6">
        <v>3.72</v>
      </c>
      <c r="BN89" s="6">
        <v>4.0999999999999996</v>
      </c>
      <c r="BO89" s="6">
        <v>2.44</v>
      </c>
      <c r="BP89" s="6">
        <v>4.68</v>
      </c>
      <c r="BQ89" s="6">
        <v>3.08</v>
      </c>
      <c r="BR89" s="6">
        <v>2.54</v>
      </c>
      <c r="BS89" s="6">
        <v>3.18</v>
      </c>
      <c r="BT89" s="6">
        <v>2.2599999999999998</v>
      </c>
      <c r="BU89" s="6">
        <v>3.16</v>
      </c>
      <c r="BV89" s="6">
        <v>3.42</v>
      </c>
      <c r="BW89" s="6">
        <v>4.28</v>
      </c>
      <c r="BX89" s="6">
        <v>2.74</v>
      </c>
      <c r="BY89" s="6">
        <v>3.98</v>
      </c>
      <c r="BZ89" s="6">
        <v>4.7</v>
      </c>
      <c r="CA89" s="6">
        <v>3.06</v>
      </c>
      <c r="CB89" s="6">
        <v>4.7</v>
      </c>
      <c r="CC89" s="6">
        <v>4.4800000000000004</v>
      </c>
      <c r="CD89" s="6">
        <v>4.0999999999999996</v>
      </c>
      <c r="CE89" s="6">
        <v>3.26</v>
      </c>
      <c r="CF89" s="6">
        <v>3.5</v>
      </c>
      <c r="CG89" s="6">
        <v>2.4</v>
      </c>
      <c r="CH89" s="6">
        <v>4.82</v>
      </c>
      <c r="CI89" s="11">
        <v>2.98</v>
      </c>
      <c r="CJ89" s="6">
        <v>2.82</v>
      </c>
      <c r="CK89" s="6">
        <v>2.78</v>
      </c>
      <c r="CL89" s="6">
        <v>4.46</v>
      </c>
      <c r="CM89" s="6">
        <v>5.94</v>
      </c>
      <c r="CN89" s="6">
        <v>4.62</v>
      </c>
      <c r="CO89" s="10">
        <v>2.98</v>
      </c>
      <c r="CP89" s="10"/>
    </row>
    <row r="90" spans="1:94" ht="15.75" customHeight="1" x14ac:dyDescent="0.25">
      <c r="A90" s="4">
        <v>89</v>
      </c>
      <c r="B90" s="4"/>
      <c r="C90" s="4">
        <v>29</v>
      </c>
      <c r="D90" s="8">
        <v>2.7</v>
      </c>
      <c r="E90" s="8">
        <v>4.03</v>
      </c>
      <c r="F90" s="8">
        <v>3.3</v>
      </c>
      <c r="G90" s="8">
        <v>4.13</v>
      </c>
      <c r="H90" s="8">
        <v>2.8</v>
      </c>
      <c r="I90" s="8">
        <v>1.93</v>
      </c>
      <c r="J90" s="8">
        <v>2.21</v>
      </c>
      <c r="K90" s="8">
        <v>1.91</v>
      </c>
      <c r="L90" s="8">
        <v>3.56</v>
      </c>
      <c r="M90" s="8">
        <v>2.94</v>
      </c>
      <c r="N90" s="8">
        <v>2.5299999999999998</v>
      </c>
      <c r="O90" s="8">
        <v>2.71</v>
      </c>
      <c r="P90" s="8">
        <v>2.17</v>
      </c>
      <c r="Q90" s="8">
        <v>1.93</v>
      </c>
      <c r="R90" s="8">
        <v>2.29</v>
      </c>
      <c r="S90" s="8">
        <v>3.18</v>
      </c>
      <c r="T90" s="8">
        <v>4.91</v>
      </c>
      <c r="U90" s="8">
        <v>2.4500000000000002</v>
      </c>
      <c r="V90" s="8">
        <v>3.9</v>
      </c>
      <c r="W90" s="8">
        <v>3.3</v>
      </c>
      <c r="X90" s="8">
        <v>4.37</v>
      </c>
      <c r="Y90" s="8">
        <v>4.6100000000000003</v>
      </c>
      <c r="Z90" s="8">
        <v>2.23</v>
      </c>
      <c r="AA90" s="8">
        <v>3.15</v>
      </c>
      <c r="AB90" s="8">
        <v>1.82</v>
      </c>
      <c r="AC90" s="8">
        <v>2.39</v>
      </c>
      <c r="AD90" s="8">
        <v>1.73</v>
      </c>
      <c r="AE90" s="8">
        <v>2.73</v>
      </c>
      <c r="AF90" s="8">
        <v>2.99</v>
      </c>
      <c r="AG90" s="8">
        <v>1.86</v>
      </c>
      <c r="AH90" s="8">
        <v>2.4700000000000002</v>
      </c>
      <c r="AI90" s="8">
        <v>2.25</v>
      </c>
      <c r="AJ90" s="8">
        <v>2.76</v>
      </c>
      <c r="AK90" s="8">
        <v>2.64</v>
      </c>
      <c r="AL90" s="8">
        <v>3.2</v>
      </c>
      <c r="AM90" s="8">
        <v>3.17</v>
      </c>
      <c r="AN90" s="8">
        <v>4.2300000000000004</v>
      </c>
      <c r="AO90" s="8">
        <v>4.2300000000000004</v>
      </c>
      <c r="AP90" s="8">
        <v>1.97</v>
      </c>
      <c r="AQ90" s="8">
        <v>2.57</v>
      </c>
      <c r="AR90" s="8">
        <v>2.4900000000000002</v>
      </c>
      <c r="AS90" s="8">
        <v>4.91</v>
      </c>
      <c r="AT90" s="8">
        <v>2.4900000000000002</v>
      </c>
      <c r="AU90" s="11">
        <v>2.0699999999999998</v>
      </c>
      <c r="AV90" s="11">
        <v>2.75</v>
      </c>
      <c r="AW90" s="6">
        <v>2.04</v>
      </c>
      <c r="AX90" s="6">
        <v>4.3600000000000003</v>
      </c>
      <c r="AY90" s="6">
        <v>3.47</v>
      </c>
      <c r="AZ90" s="6">
        <v>3.27</v>
      </c>
      <c r="BA90" s="6">
        <v>3.59</v>
      </c>
      <c r="BB90" s="6">
        <v>2.09</v>
      </c>
      <c r="BC90" s="6">
        <v>3.24</v>
      </c>
      <c r="BD90" s="11">
        <v>3.68</v>
      </c>
      <c r="BE90" s="6">
        <v>2.04</v>
      </c>
      <c r="BF90" s="6">
        <v>3.99</v>
      </c>
      <c r="BG90" s="6">
        <v>4.1500000000000004</v>
      </c>
      <c r="BH90" s="6">
        <v>4.01</v>
      </c>
      <c r="BI90" s="6">
        <v>3.02</v>
      </c>
      <c r="BJ90" s="6">
        <v>4.42</v>
      </c>
      <c r="BK90" s="6">
        <v>2.96</v>
      </c>
      <c r="BL90" s="6">
        <v>3.31</v>
      </c>
      <c r="BM90" s="6">
        <v>3.68</v>
      </c>
      <c r="BN90" s="6">
        <v>4.09</v>
      </c>
      <c r="BO90" s="6">
        <v>2.44</v>
      </c>
      <c r="BP90" s="6">
        <v>4.66</v>
      </c>
      <c r="BQ90" s="6">
        <v>3.12</v>
      </c>
      <c r="BR90" s="6">
        <v>2.52</v>
      </c>
      <c r="BS90" s="6">
        <v>3.28</v>
      </c>
      <c r="BT90" s="6">
        <v>2.4</v>
      </c>
      <c r="BU90" s="6">
        <v>3.14</v>
      </c>
      <c r="BV90" s="6">
        <v>3.44</v>
      </c>
      <c r="BW90" s="6">
        <v>4.28</v>
      </c>
      <c r="BX90" s="6">
        <v>2.7</v>
      </c>
      <c r="BY90" s="6">
        <v>3.98</v>
      </c>
      <c r="BZ90" s="6">
        <v>4.84</v>
      </c>
      <c r="CA90" s="6">
        <v>3</v>
      </c>
      <c r="CB90" s="6">
        <v>4.6399999999999997</v>
      </c>
      <c r="CC90" s="6">
        <v>4.96</v>
      </c>
      <c r="CD90" s="6">
        <v>4.12</v>
      </c>
      <c r="CE90" s="6">
        <v>3.28</v>
      </c>
      <c r="CF90" s="6">
        <v>3.5</v>
      </c>
      <c r="CG90" s="6">
        <v>2.4</v>
      </c>
      <c r="CH90" s="6">
        <v>4.9400000000000004</v>
      </c>
      <c r="CI90" s="11">
        <v>2.96</v>
      </c>
      <c r="CJ90" s="11">
        <v>2.86</v>
      </c>
      <c r="CK90" s="6">
        <v>2.78</v>
      </c>
      <c r="CL90" s="6">
        <v>4.46</v>
      </c>
      <c r="CM90" s="6">
        <v>5.98</v>
      </c>
      <c r="CN90" s="6">
        <v>4.54</v>
      </c>
      <c r="CO90" s="10">
        <v>2.96</v>
      </c>
      <c r="CP90" s="10"/>
    </row>
    <row r="91" spans="1:94" ht="15.75" customHeight="1" x14ac:dyDescent="0.25">
      <c r="A91" s="4">
        <v>90</v>
      </c>
      <c r="B91" s="4"/>
      <c r="C91" s="4">
        <v>30</v>
      </c>
      <c r="D91" s="8">
        <v>2.72</v>
      </c>
      <c r="E91" s="8">
        <v>4.53</v>
      </c>
      <c r="F91" s="8">
        <v>3.3</v>
      </c>
      <c r="G91" s="8">
        <v>4.28</v>
      </c>
      <c r="H91" s="8">
        <v>2.76</v>
      </c>
      <c r="I91" s="8">
        <v>1.88</v>
      </c>
      <c r="J91" s="8">
        <v>2.21</v>
      </c>
      <c r="K91" s="8">
        <v>1.99</v>
      </c>
      <c r="L91" s="8">
        <v>3.57</v>
      </c>
      <c r="M91" s="8">
        <v>2.95</v>
      </c>
      <c r="N91" s="8">
        <v>2.5299999999999998</v>
      </c>
      <c r="O91" s="8">
        <v>2.77</v>
      </c>
      <c r="P91" s="8">
        <v>2.16</v>
      </c>
      <c r="Q91" s="8">
        <v>1.92</v>
      </c>
      <c r="R91" s="8">
        <v>2.35</v>
      </c>
      <c r="S91" s="8">
        <v>3.18</v>
      </c>
      <c r="T91" s="8">
        <v>4.8499999999999996</v>
      </c>
      <c r="U91" s="8">
        <v>2.42</v>
      </c>
      <c r="V91" s="8">
        <v>3.9</v>
      </c>
      <c r="W91" s="8">
        <v>3.38</v>
      </c>
      <c r="X91" s="8">
        <v>4.4400000000000004</v>
      </c>
      <c r="Y91" s="8">
        <v>4.67</v>
      </c>
      <c r="Z91" s="8">
        <v>2.23</v>
      </c>
      <c r="AA91" s="8">
        <v>3.15</v>
      </c>
      <c r="AB91" s="8">
        <v>1.82</v>
      </c>
      <c r="AC91" s="8">
        <v>2.36</v>
      </c>
      <c r="AD91" s="8">
        <v>1.76</v>
      </c>
      <c r="AE91" s="8">
        <v>2.73</v>
      </c>
      <c r="AF91" s="8">
        <v>2.95</v>
      </c>
      <c r="AG91" s="8">
        <v>1.9</v>
      </c>
      <c r="AH91" s="8">
        <v>2.48</v>
      </c>
      <c r="AI91" s="8">
        <v>2.29</v>
      </c>
      <c r="AJ91" s="8">
        <v>2.72</v>
      </c>
      <c r="AK91" s="8">
        <v>2.58</v>
      </c>
      <c r="AL91" s="8">
        <v>3.16</v>
      </c>
      <c r="AM91" s="8">
        <v>3.15</v>
      </c>
      <c r="AN91" s="8">
        <v>4.3</v>
      </c>
      <c r="AO91" s="8">
        <v>4.2300000000000004</v>
      </c>
      <c r="AP91" s="8">
        <v>2.04</v>
      </c>
      <c r="AQ91" s="8">
        <v>2.5499999999999998</v>
      </c>
      <c r="AR91" s="8">
        <v>2.5</v>
      </c>
      <c r="AS91" s="8">
        <v>4.92</v>
      </c>
      <c r="AT91" s="8">
        <v>2.59</v>
      </c>
      <c r="AU91" s="11">
        <v>2.0099999999999998</v>
      </c>
      <c r="AV91" s="11">
        <v>2.8</v>
      </c>
      <c r="AW91" s="6">
        <v>1.97</v>
      </c>
      <c r="AX91" s="6">
        <v>4.17</v>
      </c>
      <c r="AY91" s="6">
        <v>3.42</v>
      </c>
      <c r="AZ91" s="6">
        <v>3.27</v>
      </c>
      <c r="BA91" s="6">
        <v>3.54</v>
      </c>
      <c r="BB91" s="6">
        <v>2.06</v>
      </c>
      <c r="BC91" s="6">
        <v>3.22</v>
      </c>
      <c r="BD91" s="11">
        <v>3.85</v>
      </c>
      <c r="BE91" s="6">
        <v>2.06</v>
      </c>
      <c r="BF91" s="6">
        <v>3.96</v>
      </c>
      <c r="BG91" s="6">
        <v>4.25</v>
      </c>
      <c r="BH91" s="6">
        <v>3.94</v>
      </c>
      <c r="BI91" s="6">
        <v>3.08</v>
      </c>
      <c r="BJ91" s="6">
        <v>4.58</v>
      </c>
      <c r="BK91" s="6">
        <v>2.96</v>
      </c>
      <c r="BL91" s="6">
        <v>3.29</v>
      </c>
      <c r="BM91" s="6">
        <v>3.68</v>
      </c>
      <c r="BN91" s="6">
        <v>4.03</v>
      </c>
      <c r="BO91" s="6">
        <v>2.44</v>
      </c>
      <c r="BP91" s="6">
        <v>4.6100000000000003</v>
      </c>
      <c r="BQ91" s="6">
        <v>3.15</v>
      </c>
      <c r="BR91" s="6">
        <v>2.54</v>
      </c>
      <c r="BS91" s="6">
        <v>3.24</v>
      </c>
      <c r="BT91" s="6">
        <v>2.4</v>
      </c>
      <c r="BU91" s="6">
        <v>2.92</v>
      </c>
      <c r="BV91" s="6">
        <v>3.4</v>
      </c>
      <c r="BW91" s="6">
        <v>4.3</v>
      </c>
      <c r="BX91" s="6">
        <v>2.74</v>
      </c>
      <c r="BY91" s="6">
        <v>3.98</v>
      </c>
      <c r="BZ91" s="6">
        <v>4.92</v>
      </c>
      <c r="CA91" s="6">
        <v>2.98</v>
      </c>
      <c r="CB91" s="6">
        <v>4.62</v>
      </c>
      <c r="CC91" s="6">
        <v>5</v>
      </c>
      <c r="CD91" s="6">
        <v>4.2</v>
      </c>
      <c r="CE91" s="6">
        <v>3.28</v>
      </c>
      <c r="CF91" s="6">
        <v>3.52</v>
      </c>
      <c r="CG91" s="6">
        <v>2.38</v>
      </c>
      <c r="CH91" s="6">
        <v>4.8600000000000003</v>
      </c>
      <c r="CI91" s="11">
        <v>2.96</v>
      </c>
      <c r="CJ91" s="6">
        <v>2.84</v>
      </c>
      <c r="CK91" s="6">
        <v>2.78</v>
      </c>
      <c r="CL91" s="6">
        <v>4.76</v>
      </c>
      <c r="CM91" s="6">
        <v>5.98</v>
      </c>
      <c r="CN91" s="6">
        <v>4.49</v>
      </c>
      <c r="CO91" s="22">
        <v>2.96</v>
      </c>
      <c r="CP91" s="22"/>
    </row>
    <row r="92" spans="1:94" ht="15.75" customHeight="1" x14ac:dyDescent="0.25">
      <c r="A92" s="4">
        <v>91</v>
      </c>
      <c r="B92" s="4"/>
      <c r="C92" s="4">
        <v>31</v>
      </c>
      <c r="D92" s="8">
        <v>2.73</v>
      </c>
      <c r="E92" s="8">
        <v>4.88</v>
      </c>
      <c r="F92" s="8">
        <v>3.28</v>
      </c>
      <c r="G92" s="8">
        <v>4.38</v>
      </c>
      <c r="H92" s="8">
        <v>2.74</v>
      </c>
      <c r="I92" s="8">
        <v>1.83</v>
      </c>
      <c r="J92" s="8">
        <v>2.21</v>
      </c>
      <c r="K92" s="8">
        <v>2.0299999999999998</v>
      </c>
      <c r="L92" s="8">
        <v>3.58</v>
      </c>
      <c r="M92" s="8">
        <v>2.96</v>
      </c>
      <c r="N92" s="8">
        <v>2.52</v>
      </c>
      <c r="O92" s="8">
        <v>2.83</v>
      </c>
      <c r="P92" s="8">
        <v>2.14</v>
      </c>
      <c r="Q92" s="8">
        <v>1.89</v>
      </c>
      <c r="R92" s="8">
        <v>2.4500000000000002</v>
      </c>
      <c r="S92" s="8">
        <v>3.16</v>
      </c>
      <c r="T92" s="8">
        <v>4.75</v>
      </c>
      <c r="U92" s="8">
        <v>2.35</v>
      </c>
      <c r="V92" s="8">
        <v>3.96</v>
      </c>
      <c r="W92" s="8">
        <v>3.43</v>
      </c>
      <c r="X92" s="8">
        <v>4.5</v>
      </c>
      <c r="Y92" s="8">
        <v>4.7300000000000004</v>
      </c>
      <c r="Z92" s="8">
        <v>2.23</v>
      </c>
      <c r="AA92" s="8">
        <v>3.17</v>
      </c>
      <c r="AB92" s="8">
        <v>1.84</v>
      </c>
      <c r="AC92" s="8">
        <v>2.34</v>
      </c>
      <c r="AD92" s="8">
        <v>1.79</v>
      </c>
      <c r="AE92" s="8">
        <v>2.73</v>
      </c>
      <c r="AF92" s="8">
        <v>2.92</v>
      </c>
      <c r="AG92" s="8">
        <v>1.9</v>
      </c>
      <c r="AH92" s="8">
        <v>2.48</v>
      </c>
      <c r="AI92" s="8">
        <v>2.34</v>
      </c>
      <c r="AJ92" s="8">
        <v>2.72</v>
      </c>
      <c r="AK92" s="8">
        <v>2.54</v>
      </c>
      <c r="AL92" s="8">
        <v>3.14</v>
      </c>
      <c r="AM92" s="8">
        <v>3.17</v>
      </c>
      <c r="AN92" s="8">
        <v>4.38</v>
      </c>
      <c r="AO92" s="8">
        <v>4.46</v>
      </c>
      <c r="AP92" s="8">
        <v>2.14</v>
      </c>
      <c r="AQ92" s="8">
        <v>2.5299999999999998</v>
      </c>
      <c r="AR92" s="8">
        <v>2.5</v>
      </c>
      <c r="AS92" s="8">
        <v>4.9400000000000004</v>
      </c>
      <c r="AT92" s="8">
        <v>2.69</v>
      </c>
      <c r="AU92" s="11">
        <v>1.97</v>
      </c>
      <c r="AV92" s="11">
        <v>2.8</v>
      </c>
      <c r="AW92" s="6">
        <v>1.88</v>
      </c>
      <c r="AX92" s="6">
        <v>3.99</v>
      </c>
      <c r="AY92" s="6">
        <v>3.33</v>
      </c>
      <c r="AZ92" s="6">
        <v>3.25</v>
      </c>
      <c r="BA92" s="6">
        <v>3.47</v>
      </c>
      <c r="BB92" s="6">
        <v>2.0299999999999998</v>
      </c>
      <c r="BC92" s="6">
        <v>3.18</v>
      </c>
      <c r="BD92" s="11">
        <v>3.96</v>
      </c>
      <c r="BE92" s="6">
        <v>2.0299999999999998</v>
      </c>
      <c r="BF92" s="6">
        <v>3.95</v>
      </c>
      <c r="BG92" s="6">
        <v>4.34</v>
      </c>
      <c r="BH92" s="6">
        <v>3.79</v>
      </c>
      <c r="BI92" s="6">
        <v>3.06</v>
      </c>
      <c r="BJ92" s="6">
        <v>4.7</v>
      </c>
      <c r="BK92" s="6">
        <v>3.03</v>
      </c>
      <c r="BL92" s="6">
        <v>3.27</v>
      </c>
      <c r="BM92" s="6">
        <v>3.64</v>
      </c>
      <c r="BN92" s="6">
        <v>4</v>
      </c>
      <c r="BO92" s="6">
        <v>2.48</v>
      </c>
      <c r="BP92" s="6">
        <v>4.54</v>
      </c>
      <c r="BQ92" s="6">
        <v>3.18</v>
      </c>
      <c r="BR92" s="6">
        <v>2.54</v>
      </c>
      <c r="BS92" s="6">
        <v>3.42</v>
      </c>
      <c r="BT92" s="6">
        <v>2.4</v>
      </c>
      <c r="BU92" s="6">
        <v>2.9</v>
      </c>
      <c r="BV92" s="6">
        <v>3.38</v>
      </c>
      <c r="BW92" s="6">
        <v>4.34</v>
      </c>
      <c r="BX92" s="6">
        <v>2.88</v>
      </c>
      <c r="BY92" s="6">
        <v>3.88</v>
      </c>
      <c r="BZ92" s="6">
        <v>4.8</v>
      </c>
      <c r="CA92" s="6">
        <v>2.98</v>
      </c>
      <c r="CB92" s="6">
        <v>4.62</v>
      </c>
      <c r="CC92" s="6">
        <v>5</v>
      </c>
      <c r="CD92" s="6">
        <v>4.28</v>
      </c>
      <c r="CE92" s="6">
        <v>3.28</v>
      </c>
      <c r="CF92" s="6">
        <v>3.52</v>
      </c>
      <c r="CG92" s="6">
        <v>2.38</v>
      </c>
      <c r="CH92" s="6">
        <v>4.82</v>
      </c>
      <c r="CI92" s="11">
        <v>2.94</v>
      </c>
      <c r="CJ92" s="6">
        <v>2.82</v>
      </c>
      <c r="CK92" s="6">
        <v>2.78</v>
      </c>
      <c r="CL92" s="6">
        <v>4.9800000000000004</v>
      </c>
      <c r="CM92" s="6">
        <v>5.98</v>
      </c>
      <c r="CN92" s="6">
        <v>4.45</v>
      </c>
      <c r="CO92" s="22">
        <v>2.97</v>
      </c>
      <c r="CP92" s="22"/>
    </row>
    <row r="93" spans="1:94" ht="15.75" customHeight="1" x14ac:dyDescent="0.25">
      <c r="A93" s="4">
        <v>92</v>
      </c>
      <c r="B93" s="5" t="s">
        <v>7</v>
      </c>
      <c r="C93" s="4">
        <v>1</v>
      </c>
      <c r="D93" s="8">
        <v>2.72</v>
      </c>
      <c r="E93" s="8">
        <v>5.18</v>
      </c>
      <c r="F93" s="8">
        <v>3.26</v>
      </c>
      <c r="G93" s="8">
        <v>4.53</v>
      </c>
      <c r="H93" s="8">
        <v>2.72</v>
      </c>
      <c r="I93" s="8">
        <v>1.83</v>
      </c>
      <c r="J93" s="8">
        <v>2.23</v>
      </c>
      <c r="K93" s="8">
        <v>2.09</v>
      </c>
      <c r="L93" s="8">
        <v>3.63</v>
      </c>
      <c r="M93" s="8">
        <v>2.99</v>
      </c>
      <c r="N93" s="8">
        <v>2.52</v>
      </c>
      <c r="O93" s="8">
        <v>2.88</v>
      </c>
      <c r="P93" s="8">
        <v>2.16</v>
      </c>
      <c r="Q93" s="8">
        <v>1.87</v>
      </c>
      <c r="R93" s="8">
        <v>2.48</v>
      </c>
      <c r="S93" s="8">
        <v>3.16</v>
      </c>
      <c r="T93" s="8">
        <v>4.6399999999999997</v>
      </c>
      <c r="U93" s="8">
        <v>2.33</v>
      </c>
      <c r="V93" s="8">
        <v>4.13</v>
      </c>
      <c r="W93" s="8">
        <v>3.5</v>
      </c>
      <c r="X93" s="8">
        <v>4.5</v>
      </c>
      <c r="Y93" s="8">
        <v>4.7699999999999996</v>
      </c>
      <c r="Z93" s="8">
        <v>2.25</v>
      </c>
      <c r="AA93" s="8">
        <v>3.23</v>
      </c>
      <c r="AB93" s="8">
        <v>1.84</v>
      </c>
      <c r="AC93" s="8">
        <v>2.33</v>
      </c>
      <c r="AD93" s="8">
        <v>1.83</v>
      </c>
      <c r="AE93" s="8">
        <v>2.85</v>
      </c>
      <c r="AF93" s="8">
        <v>2.89</v>
      </c>
      <c r="AG93" s="8">
        <v>1.9</v>
      </c>
      <c r="AH93" s="8">
        <v>2.5</v>
      </c>
      <c r="AI93" s="8">
        <v>2.41</v>
      </c>
      <c r="AJ93" s="8">
        <v>2.69</v>
      </c>
      <c r="AK93" s="8">
        <v>2.52</v>
      </c>
      <c r="AL93" s="8">
        <v>3.14</v>
      </c>
      <c r="AM93" s="8">
        <v>3.2</v>
      </c>
      <c r="AN93" s="8">
        <v>4.4800000000000004</v>
      </c>
      <c r="AO93" s="8">
        <v>4.66</v>
      </c>
      <c r="AP93" s="8">
        <v>2.2000000000000002</v>
      </c>
      <c r="AQ93" s="8">
        <v>2.4700000000000002</v>
      </c>
      <c r="AR93" s="8">
        <v>2.59</v>
      </c>
      <c r="AS93" s="8">
        <v>5</v>
      </c>
      <c r="AT93" s="8">
        <v>2.85</v>
      </c>
      <c r="AU93" s="11">
        <v>1.98</v>
      </c>
      <c r="AV93" s="6">
        <v>2.84</v>
      </c>
      <c r="AW93" s="6">
        <v>1.88</v>
      </c>
      <c r="AX93" s="6">
        <v>3.88</v>
      </c>
      <c r="AY93" s="6">
        <v>3.31</v>
      </c>
      <c r="AZ93" s="6">
        <v>3.18</v>
      </c>
      <c r="BA93" s="6">
        <v>3.41</v>
      </c>
      <c r="BB93" s="6">
        <v>2.02</v>
      </c>
      <c r="BC93" s="6">
        <v>3.14</v>
      </c>
      <c r="BD93" s="11">
        <v>4.0199999999999996</v>
      </c>
      <c r="BE93" s="6">
        <v>2.06</v>
      </c>
      <c r="BF93" s="6">
        <v>3.92</v>
      </c>
      <c r="BG93" s="6">
        <v>4.3600000000000003</v>
      </c>
      <c r="BH93" s="6">
        <v>3.68</v>
      </c>
      <c r="BI93" s="6">
        <v>3.04</v>
      </c>
      <c r="BJ93" s="6">
        <v>4.78</v>
      </c>
      <c r="BK93" s="6">
        <v>3.06</v>
      </c>
      <c r="BL93" s="6">
        <v>3.27</v>
      </c>
      <c r="BM93" s="6">
        <v>3.62</v>
      </c>
      <c r="BN93" s="6">
        <v>3.9</v>
      </c>
      <c r="BO93" s="6">
        <v>2.5</v>
      </c>
      <c r="BP93" s="6">
        <v>4.46</v>
      </c>
      <c r="BQ93" s="6">
        <v>3.22</v>
      </c>
      <c r="BR93" s="6">
        <v>2.5299999999999998</v>
      </c>
      <c r="BS93" s="6">
        <v>3.5</v>
      </c>
      <c r="BT93" s="6">
        <v>2.42</v>
      </c>
      <c r="BU93" s="6">
        <v>2.9</v>
      </c>
      <c r="BV93" s="6">
        <v>3.36</v>
      </c>
      <c r="BW93" s="6">
        <v>4.4000000000000004</v>
      </c>
      <c r="BX93" s="6">
        <v>2.88</v>
      </c>
      <c r="BY93" s="6">
        <v>3.8</v>
      </c>
      <c r="BZ93" s="6">
        <v>4.9000000000000004</v>
      </c>
      <c r="CA93" s="6">
        <v>2.96</v>
      </c>
      <c r="CB93" s="6">
        <v>4.62</v>
      </c>
      <c r="CC93" s="6">
        <v>5</v>
      </c>
      <c r="CD93" s="6">
        <v>4.26</v>
      </c>
      <c r="CE93" s="6">
        <v>3.1</v>
      </c>
      <c r="CF93" s="6">
        <v>3.5</v>
      </c>
      <c r="CG93" s="6">
        <v>2.38</v>
      </c>
      <c r="CH93" s="6">
        <v>4.8600000000000003</v>
      </c>
      <c r="CI93" s="11">
        <v>2.94</v>
      </c>
      <c r="CJ93" s="6">
        <v>2.82</v>
      </c>
      <c r="CK93" s="6">
        <v>2.78</v>
      </c>
      <c r="CL93" s="9">
        <v>5.08</v>
      </c>
      <c r="CM93" s="9">
        <v>6</v>
      </c>
      <c r="CN93" s="9">
        <v>4.41</v>
      </c>
      <c r="CO93" s="22">
        <v>2.99</v>
      </c>
      <c r="CP93" s="22"/>
    </row>
    <row r="94" spans="1:94" ht="15.75" customHeight="1" x14ac:dyDescent="0.25">
      <c r="A94" s="4">
        <v>93</v>
      </c>
      <c r="B94" s="4"/>
      <c r="C94" s="4">
        <v>2</v>
      </c>
      <c r="D94" s="8">
        <v>2.71</v>
      </c>
      <c r="E94" s="8">
        <v>5.48</v>
      </c>
      <c r="F94" s="8">
        <v>3.24</v>
      </c>
      <c r="G94" s="8">
        <v>4.67</v>
      </c>
      <c r="H94" s="8">
        <v>2.7</v>
      </c>
      <c r="I94" s="8">
        <v>1.86</v>
      </c>
      <c r="J94" s="8">
        <v>2.23</v>
      </c>
      <c r="K94" s="8">
        <v>2.15</v>
      </c>
      <c r="L94" s="8">
        <v>3.68</v>
      </c>
      <c r="M94" s="8">
        <v>3.05</v>
      </c>
      <c r="N94" s="8">
        <v>2.5</v>
      </c>
      <c r="O94" s="8">
        <v>2.93</v>
      </c>
      <c r="P94" s="8">
        <v>2.2000000000000002</v>
      </c>
      <c r="Q94" s="8">
        <v>1.85</v>
      </c>
      <c r="R94" s="8">
        <v>2.5</v>
      </c>
      <c r="S94" s="8">
        <v>3.24</v>
      </c>
      <c r="T94" s="8">
        <v>4.5199999999999996</v>
      </c>
      <c r="U94" s="8">
        <v>2.31</v>
      </c>
      <c r="V94" s="8">
        <v>4.3099999999999996</v>
      </c>
      <c r="W94" s="8">
        <v>3.58</v>
      </c>
      <c r="X94" s="8">
        <v>4.5</v>
      </c>
      <c r="Y94" s="8">
        <v>4.79</v>
      </c>
      <c r="Z94" s="8">
        <v>2.2799999999999998</v>
      </c>
      <c r="AA94" s="8">
        <v>3.31</v>
      </c>
      <c r="AB94" s="8">
        <v>1.86</v>
      </c>
      <c r="AC94" s="8">
        <v>2.31</v>
      </c>
      <c r="AD94" s="8">
        <v>1.87</v>
      </c>
      <c r="AE94" s="8">
        <v>2.95</v>
      </c>
      <c r="AF94" s="8">
        <v>2.84</v>
      </c>
      <c r="AG94" s="8">
        <v>1.9</v>
      </c>
      <c r="AH94" s="8">
        <v>2.5</v>
      </c>
      <c r="AI94" s="8">
        <v>2.5</v>
      </c>
      <c r="AJ94" s="8">
        <v>2.65</v>
      </c>
      <c r="AK94" s="8">
        <v>2.52</v>
      </c>
      <c r="AL94" s="8">
        <v>3.13</v>
      </c>
      <c r="AM94" s="8">
        <v>3.23</v>
      </c>
      <c r="AN94" s="8">
        <v>4.5599999999999996</v>
      </c>
      <c r="AO94" s="8">
        <v>4.7699999999999996</v>
      </c>
      <c r="AP94" s="8">
        <v>2.2400000000000002</v>
      </c>
      <c r="AQ94" s="8">
        <v>2.4500000000000002</v>
      </c>
      <c r="AR94" s="8">
        <v>2.67</v>
      </c>
      <c r="AS94" s="8">
        <v>5.0599999999999996</v>
      </c>
      <c r="AT94" s="8">
        <v>2.97</v>
      </c>
      <c r="AU94" s="11">
        <v>2</v>
      </c>
      <c r="AV94" s="6">
        <v>2.84</v>
      </c>
      <c r="AW94" s="6">
        <v>2</v>
      </c>
      <c r="AX94" s="6">
        <v>3.79</v>
      </c>
      <c r="AY94" s="6">
        <v>3.33</v>
      </c>
      <c r="AZ94" s="6">
        <v>3.09</v>
      </c>
      <c r="BA94" s="6">
        <v>3.35</v>
      </c>
      <c r="BB94" s="6">
        <v>2.02</v>
      </c>
      <c r="BC94" s="6">
        <v>3.09</v>
      </c>
      <c r="BD94" s="11">
        <v>4.0199999999999996</v>
      </c>
      <c r="BE94" s="6">
        <v>2.0499999999999998</v>
      </c>
      <c r="BF94" s="6">
        <v>3.9</v>
      </c>
      <c r="BG94" s="6">
        <v>4.3600000000000003</v>
      </c>
      <c r="BH94" s="6">
        <v>3.57</v>
      </c>
      <c r="BI94" s="6">
        <v>3.04</v>
      </c>
      <c r="BJ94" s="6">
        <v>4.8</v>
      </c>
      <c r="BK94" s="6">
        <v>3.08</v>
      </c>
      <c r="BL94" s="6">
        <v>3.18</v>
      </c>
      <c r="BM94" s="6">
        <v>3.56</v>
      </c>
      <c r="BN94" s="6">
        <v>3.92</v>
      </c>
      <c r="BO94" s="6">
        <v>2.62</v>
      </c>
      <c r="BP94" s="6">
        <v>4.4000000000000004</v>
      </c>
      <c r="BQ94" s="6">
        <v>3.3</v>
      </c>
      <c r="BR94" s="6">
        <v>2.5499999999999998</v>
      </c>
      <c r="BS94" s="6">
        <v>3.62</v>
      </c>
      <c r="BT94" s="6">
        <v>2.44</v>
      </c>
      <c r="BU94" s="6">
        <v>2.86</v>
      </c>
      <c r="BV94" s="6">
        <v>3.3</v>
      </c>
      <c r="BW94" s="6">
        <v>4.5</v>
      </c>
      <c r="BX94" s="6">
        <v>2.94</v>
      </c>
      <c r="BY94" s="6">
        <v>3.76</v>
      </c>
      <c r="BZ94" s="6">
        <v>4.76</v>
      </c>
      <c r="CA94" s="6">
        <v>2.9</v>
      </c>
      <c r="CB94" s="6">
        <v>4.5999999999999996</v>
      </c>
      <c r="CC94" s="6">
        <v>5.16</v>
      </c>
      <c r="CD94" s="6">
        <v>4.3</v>
      </c>
      <c r="CE94" s="6">
        <v>3.08</v>
      </c>
      <c r="CF94" s="6">
        <v>3.54</v>
      </c>
      <c r="CG94" s="6">
        <v>2.4</v>
      </c>
      <c r="CH94" s="6">
        <v>4.8600000000000003</v>
      </c>
      <c r="CI94" s="11">
        <v>2.9</v>
      </c>
      <c r="CJ94" s="11">
        <v>2.82</v>
      </c>
      <c r="CK94" s="6">
        <v>2.78</v>
      </c>
      <c r="CL94" s="9">
        <v>5.0999999999999996</v>
      </c>
      <c r="CM94" s="9">
        <v>6.02</v>
      </c>
      <c r="CN94" s="9">
        <v>4.38</v>
      </c>
      <c r="CO94" s="10">
        <v>2.98</v>
      </c>
      <c r="CP94" s="10"/>
    </row>
    <row r="95" spans="1:94" ht="15.75" customHeight="1" x14ac:dyDescent="0.25">
      <c r="A95" s="4">
        <v>94</v>
      </c>
      <c r="B95" s="4"/>
      <c r="C95" s="4">
        <v>3</v>
      </c>
      <c r="D95" s="8">
        <v>2.7</v>
      </c>
      <c r="E95" s="8">
        <v>5.88</v>
      </c>
      <c r="F95" s="8">
        <v>3.22</v>
      </c>
      <c r="G95" s="8">
        <v>4.83</v>
      </c>
      <c r="H95" s="8">
        <v>2.72</v>
      </c>
      <c r="I95" s="8">
        <v>1.88</v>
      </c>
      <c r="J95" s="8">
        <v>2.23</v>
      </c>
      <c r="K95" s="8">
        <v>2.16</v>
      </c>
      <c r="L95" s="8">
        <v>3.76</v>
      </c>
      <c r="M95" s="8">
        <v>3.22</v>
      </c>
      <c r="N95" s="8">
        <v>2.48</v>
      </c>
      <c r="O95" s="8">
        <v>2.98</v>
      </c>
      <c r="P95" s="8">
        <v>2.2599999999999998</v>
      </c>
      <c r="Q95" s="8">
        <v>1.84</v>
      </c>
      <c r="R95" s="8">
        <v>2.5</v>
      </c>
      <c r="S95" s="8">
        <v>3.28</v>
      </c>
      <c r="T95" s="8">
        <v>4.41</v>
      </c>
      <c r="U95" s="8">
        <v>2.27</v>
      </c>
      <c r="V95" s="8">
        <v>4.41</v>
      </c>
      <c r="W95" s="8">
        <v>3.66</v>
      </c>
      <c r="X95" s="8">
        <v>4.5</v>
      </c>
      <c r="Y95" s="8">
        <v>4.79</v>
      </c>
      <c r="Z95" s="8">
        <v>2.3199999999999998</v>
      </c>
      <c r="AA95" s="8">
        <v>3.49</v>
      </c>
      <c r="AB95" s="8">
        <v>1.86</v>
      </c>
      <c r="AC95" s="8">
        <v>2.31</v>
      </c>
      <c r="AD95" s="8">
        <v>1.91</v>
      </c>
      <c r="AE95" s="8">
        <v>3.05</v>
      </c>
      <c r="AF95" s="8">
        <v>2.79</v>
      </c>
      <c r="AG95" s="8">
        <v>1.9</v>
      </c>
      <c r="AH95" s="8">
        <v>2.48</v>
      </c>
      <c r="AI95" s="8">
        <v>2.59</v>
      </c>
      <c r="AJ95" s="8">
        <v>2.58</v>
      </c>
      <c r="AK95" s="8">
        <v>2.5</v>
      </c>
      <c r="AL95" s="8">
        <v>3.11</v>
      </c>
      <c r="AM95" s="8">
        <v>3.28</v>
      </c>
      <c r="AN95" s="8">
        <v>4.6100000000000003</v>
      </c>
      <c r="AO95" s="8">
        <v>4.82</v>
      </c>
      <c r="AP95" s="8">
        <v>2.2999999999999998</v>
      </c>
      <c r="AQ95" s="8">
        <v>2.39</v>
      </c>
      <c r="AR95" s="8">
        <v>2.73</v>
      </c>
      <c r="AS95" s="8">
        <v>5.14</v>
      </c>
      <c r="AT95" s="8">
        <v>3.1</v>
      </c>
      <c r="AU95" s="11">
        <v>2.02</v>
      </c>
      <c r="AV95" s="6">
        <v>2.84</v>
      </c>
      <c r="AW95" s="6">
        <v>2.1800000000000002</v>
      </c>
      <c r="AX95" s="6">
        <v>3.73</v>
      </c>
      <c r="AY95" s="6">
        <v>3.44</v>
      </c>
      <c r="AZ95" s="6">
        <v>3.01</v>
      </c>
      <c r="BA95" s="6">
        <v>3.3</v>
      </c>
      <c r="BB95" s="6">
        <v>2.04</v>
      </c>
      <c r="BC95" s="6">
        <v>3.06</v>
      </c>
      <c r="BD95" s="11">
        <v>4.04</v>
      </c>
      <c r="BE95" s="6">
        <v>2.06</v>
      </c>
      <c r="BF95" s="6">
        <v>3.88</v>
      </c>
      <c r="BG95" s="6">
        <v>4.3600000000000003</v>
      </c>
      <c r="BH95" s="6">
        <v>3.48</v>
      </c>
      <c r="BI95" s="6">
        <v>3.06</v>
      </c>
      <c r="BJ95" s="6">
        <v>4.8499999999999996</v>
      </c>
      <c r="BK95" s="6">
        <v>3.14</v>
      </c>
      <c r="BL95" s="6">
        <v>3.15</v>
      </c>
      <c r="BM95" s="6">
        <v>3.48</v>
      </c>
      <c r="BN95" s="6">
        <v>3.8</v>
      </c>
      <c r="BO95" s="6">
        <v>2.6</v>
      </c>
      <c r="BP95" s="6">
        <v>4.3600000000000003</v>
      </c>
      <c r="BQ95" s="6">
        <v>3.36</v>
      </c>
      <c r="BR95" s="6">
        <v>2.54</v>
      </c>
      <c r="BS95" s="6">
        <v>3.72</v>
      </c>
      <c r="BT95" s="6">
        <v>2.46</v>
      </c>
      <c r="BU95" s="6">
        <v>2.86</v>
      </c>
      <c r="BV95" s="6">
        <v>3.3</v>
      </c>
      <c r="BW95" s="6">
        <v>4.5999999999999996</v>
      </c>
      <c r="BX95" s="6">
        <v>3.04</v>
      </c>
      <c r="BY95" s="6">
        <v>3.7</v>
      </c>
      <c r="BZ95" s="6">
        <v>4.6399999999999997</v>
      </c>
      <c r="CA95" s="6">
        <v>2.9</v>
      </c>
      <c r="CB95" s="6">
        <v>4.58</v>
      </c>
      <c r="CC95" s="6">
        <v>5.2</v>
      </c>
      <c r="CD95" s="6">
        <v>4.32</v>
      </c>
      <c r="CE95" s="6">
        <v>3.08</v>
      </c>
      <c r="CF95" s="6">
        <v>3.76</v>
      </c>
      <c r="CG95" s="6">
        <v>2.4700000000000002</v>
      </c>
      <c r="CH95" s="6">
        <v>4.88</v>
      </c>
      <c r="CI95" s="11">
        <v>2.9</v>
      </c>
      <c r="CJ95" s="11">
        <v>2.78</v>
      </c>
      <c r="CK95" s="6">
        <v>2.78</v>
      </c>
      <c r="CL95" s="9">
        <v>5.2</v>
      </c>
      <c r="CM95" s="9">
        <v>6</v>
      </c>
      <c r="CN95" s="9">
        <v>4.37</v>
      </c>
      <c r="CO95" s="10">
        <v>2.98</v>
      </c>
      <c r="CP95" s="10"/>
    </row>
    <row r="96" spans="1:94" ht="15.75" customHeight="1" x14ac:dyDescent="0.25">
      <c r="A96" s="4">
        <v>95</v>
      </c>
      <c r="B96" s="4"/>
      <c r="C96" s="4">
        <v>4</v>
      </c>
      <c r="D96" s="8">
        <v>2.69</v>
      </c>
      <c r="E96" s="8">
        <v>6.18</v>
      </c>
      <c r="F96" s="8">
        <v>3.2</v>
      </c>
      <c r="G96" s="8">
        <v>4.9800000000000004</v>
      </c>
      <c r="H96" s="8">
        <v>2.74</v>
      </c>
      <c r="I96" s="8">
        <v>1.9</v>
      </c>
      <c r="J96" s="8">
        <v>2.23</v>
      </c>
      <c r="K96" s="8">
        <v>2.13</v>
      </c>
      <c r="L96" s="8">
        <v>3.84</v>
      </c>
      <c r="M96" s="8">
        <v>3.36</v>
      </c>
      <c r="N96" s="8">
        <v>2.48</v>
      </c>
      <c r="O96" s="8">
        <v>3.03</v>
      </c>
      <c r="P96" s="8">
        <v>2.1800000000000002</v>
      </c>
      <c r="Q96" s="8">
        <v>1.87</v>
      </c>
      <c r="R96" s="8">
        <v>2.46</v>
      </c>
      <c r="S96" s="8">
        <v>3.28</v>
      </c>
      <c r="T96" s="8">
        <v>4.2300000000000004</v>
      </c>
      <c r="U96" s="8">
        <v>2.2400000000000002</v>
      </c>
      <c r="V96" s="8">
        <v>4.42</v>
      </c>
      <c r="W96" s="8">
        <v>3.69</v>
      </c>
      <c r="X96" s="8">
        <v>4.5199999999999996</v>
      </c>
      <c r="Y96" s="8">
        <v>4.7699999999999996</v>
      </c>
      <c r="Z96" s="8">
        <v>2.34</v>
      </c>
      <c r="AA96" s="8">
        <v>3.67</v>
      </c>
      <c r="AB96" s="8">
        <v>1.91</v>
      </c>
      <c r="AC96" s="8">
        <v>2.31</v>
      </c>
      <c r="AD96" s="8">
        <v>1.93</v>
      </c>
      <c r="AE96" s="8">
        <v>3.12</v>
      </c>
      <c r="AF96" s="8">
        <v>2.79</v>
      </c>
      <c r="AG96" s="8">
        <v>1.85</v>
      </c>
      <c r="AH96" s="8">
        <v>2.4500000000000002</v>
      </c>
      <c r="AI96" s="8">
        <v>2.71</v>
      </c>
      <c r="AJ96" s="8">
        <v>2.56</v>
      </c>
      <c r="AK96" s="8">
        <v>2.52</v>
      </c>
      <c r="AL96" s="8">
        <v>3.07</v>
      </c>
      <c r="AM96" s="8">
        <v>3.33</v>
      </c>
      <c r="AN96" s="8">
        <v>4.6500000000000004</v>
      </c>
      <c r="AO96" s="8">
        <v>4.8099999999999996</v>
      </c>
      <c r="AP96" s="8">
        <v>2.38</v>
      </c>
      <c r="AQ96" s="8">
        <v>2.34</v>
      </c>
      <c r="AR96" s="8">
        <v>2.77</v>
      </c>
      <c r="AS96" s="8">
        <v>5.22</v>
      </c>
      <c r="AT96" s="8">
        <v>3.23</v>
      </c>
      <c r="AU96" s="11">
        <v>2.08</v>
      </c>
      <c r="AV96" s="6">
        <v>2.84</v>
      </c>
      <c r="AW96" s="6">
        <v>2.2000000000000002</v>
      </c>
      <c r="AX96" s="6">
        <v>3.67</v>
      </c>
      <c r="AY96" s="6">
        <v>3.63</v>
      </c>
      <c r="AZ96" s="6">
        <v>2.95</v>
      </c>
      <c r="BA96" s="6">
        <v>3.31</v>
      </c>
      <c r="BB96" s="6">
        <v>2.0499999999999998</v>
      </c>
      <c r="BC96" s="6">
        <v>3</v>
      </c>
      <c r="BD96" s="11">
        <v>3.99</v>
      </c>
      <c r="BE96" s="6">
        <v>2.06</v>
      </c>
      <c r="BF96" s="6">
        <v>3.9</v>
      </c>
      <c r="BG96" s="6">
        <v>4.3600000000000003</v>
      </c>
      <c r="BH96" s="6">
        <v>3.4</v>
      </c>
      <c r="BI96" s="6">
        <v>2.98</v>
      </c>
      <c r="BJ96" s="6">
        <v>4.9000000000000004</v>
      </c>
      <c r="BK96" s="6">
        <v>3.26</v>
      </c>
      <c r="BL96" s="6">
        <v>3.09</v>
      </c>
      <c r="BM96" s="6">
        <v>3.51</v>
      </c>
      <c r="BN96" s="6">
        <v>3.69</v>
      </c>
      <c r="BO96" s="6">
        <v>2.58</v>
      </c>
      <c r="BP96" s="6">
        <v>4.34</v>
      </c>
      <c r="BQ96" s="6">
        <v>3.4</v>
      </c>
      <c r="BR96" s="6">
        <v>2.52</v>
      </c>
      <c r="BS96" s="6">
        <v>3.86</v>
      </c>
      <c r="BT96" s="6">
        <v>2.48</v>
      </c>
      <c r="BU96" s="6">
        <v>2.84</v>
      </c>
      <c r="BV96" s="6">
        <v>3.3</v>
      </c>
      <c r="BW96" s="6">
        <v>4.72</v>
      </c>
      <c r="BX96" s="6">
        <v>3.02</v>
      </c>
      <c r="BY96" s="6">
        <v>3.6</v>
      </c>
      <c r="BZ96" s="6">
        <v>4.74</v>
      </c>
      <c r="CA96" s="6">
        <v>2.92</v>
      </c>
      <c r="CB96" s="6">
        <v>4.5599999999999996</v>
      </c>
      <c r="CC96" s="6">
        <v>5.32</v>
      </c>
      <c r="CD96" s="6">
        <v>4.5599999999999996</v>
      </c>
      <c r="CE96" s="6">
        <v>3.12</v>
      </c>
      <c r="CF96" s="6">
        <v>3.72</v>
      </c>
      <c r="CG96" s="6">
        <v>2.54</v>
      </c>
      <c r="CH96" s="6">
        <v>4.9000000000000004</v>
      </c>
      <c r="CI96" s="11">
        <v>2.9</v>
      </c>
      <c r="CJ96" s="11">
        <v>2.8</v>
      </c>
      <c r="CK96" s="6">
        <v>2.78</v>
      </c>
      <c r="CL96" s="9">
        <v>5.22</v>
      </c>
      <c r="CM96" s="9">
        <v>6</v>
      </c>
      <c r="CN96" s="9">
        <v>4.3899999999999997</v>
      </c>
      <c r="CO96" s="10">
        <v>3</v>
      </c>
      <c r="CP96" s="10"/>
    </row>
    <row r="97" spans="1:94" ht="15.75" customHeight="1" x14ac:dyDescent="0.25">
      <c r="A97" s="4">
        <v>96</v>
      </c>
      <c r="B97" s="4"/>
      <c r="C97" s="4">
        <v>5</v>
      </c>
      <c r="D97" s="8">
        <v>2.68</v>
      </c>
      <c r="E97" s="8">
        <v>6.28</v>
      </c>
      <c r="F97" s="8">
        <v>3.18</v>
      </c>
      <c r="G97" s="8">
        <v>5.08</v>
      </c>
      <c r="H97" s="8">
        <v>2.76</v>
      </c>
      <c r="I97" s="8">
        <v>1.94</v>
      </c>
      <c r="J97" s="8">
        <v>2.23</v>
      </c>
      <c r="K97" s="8">
        <v>2.1</v>
      </c>
      <c r="L97" s="8">
        <v>3.9</v>
      </c>
      <c r="M97" s="8">
        <v>3.49</v>
      </c>
      <c r="N97" s="8">
        <v>2.5</v>
      </c>
      <c r="O97" s="8">
        <v>3.08</v>
      </c>
      <c r="P97" s="8">
        <v>2.19</v>
      </c>
      <c r="Q97" s="8">
        <v>1.93</v>
      </c>
      <c r="R97" s="8">
        <v>2.57</v>
      </c>
      <c r="S97" s="8">
        <v>3.25</v>
      </c>
      <c r="T97" s="8">
        <v>4.13</v>
      </c>
      <c r="U97" s="8">
        <v>2.2400000000000002</v>
      </c>
      <c r="V97" s="8">
        <v>4.3899999999999997</v>
      </c>
      <c r="W97" s="8">
        <v>3.72</v>
      </c>
      <c r="X97" s="8">
        <v>4.59</v>
      </c>
      <c r="Y97" s="8">
        <v>4.75</v>
      </c>
      <c r="Z97" s="8">
        <v>2.38</v>
      </c>
      <c r="AA97" s="8">
        <v>3.85</v>
      </c>
      <c r="AB97" s="8">
        <v>1.99</v>
      </c>
      <c r="AC97" s="8">
        <v>2.29</v>
      </c>
      <c r="AD97" s="8">
        <v>1.95</v>
      </c>
      <c r="AE97" s="8">
        <v>3.19</v>
      </c>
      <c r="AF97" s="8">
        <v>2.78</v>
      </c>
      <c r="AG97" s="8">
        <v>1.82</v>
      </c>
      <c r="AH97" s="8">
        <v>2.42</v>
      </c>
      <c r="AI97" s="8">
        <v>2.87</v>
      </c>
      <c r="AJ97" s="8">
        <v>2.57</v>
      </c>
      <c r="AK97" s="8">
        <v>2.5</v>
      </c>
      <c r="AL97" s="8">
        <v>3.05</v>
      </c>
      <c r="AM97" s="8">
        <v>3.45</v>
      </c>
      <c r="AN97" s="8">
        <v>4.67</v>
      </c>
      <c r="AO97" s="8">
        <v>4.75</v>
      </c>
      <c r="AP97" s="8">
        <v>2.44</v>
      </c>
      <c r="AQ97" s="8">
        <v>2.29</v>
      </c>
      <c r="AR97" s="8">
        <v>2.85</v>
      </c>
      <c r="AS97" s="8">
        <v>5.31</v>
      </c>
      <c r="AT97" s="8">
        <v>3.25</v>
      </c>
      <c r="AU97" s="11">
        <v>2.1800000000000002</v>
      </c>
      <c r="AV97" s="6">
        <v>2.88</v>
      </c>
      <c r="AW97" s="6">
        <v>2.2000000000000002</v>
      </c>
      <c r="AX97" s="6">
        <v>3.59</v>
      </c>
      <c r="AY97" s="6">
        <v>3.78</v>
      </c>
      <c r="AZ97" s="6">
        <v>2.95</v>
      </c>
      <c r="BA97" s="6">
        <v>3.35</v>
      </c>
      <c r="BB97" s="6">
        <v>2.0499999999999998</v>
      </c>
      <c r="BC97" s="6">
        <v>2.97</v>
      </c>
      <c r="BD97" s="11">
        <v>3.94</v>
      </c>
      <c r="BE97" s="6">
        <v>2.0499999999999998</v>
      </c>
      <c r="BF97" s="6">
        <v>3.92</v>
      </c>
      <c r="BG97" s="6">
        <v>4.42</v>
      </c>
      <c r="BH97" s="6">
        <v>3.3</v>
      </c>
      <c r="BI97" s="6">
        <v>2.96</v>
      </c>
      <c r="BJ97" s="6">
        <v>4.9400000000000004</v>
      </c>
      <c r="BK97" s="6">
        <v>3.4</v>
      </c>
      <c r="BL97" s="6">
        <v>3.1</v>
      </c>
      <c r="BM97" s="6">
        <v>3.56</v>
      </c>
      <c r="BN97" s="6">
        <v>3.6</v>
      </c>
      <c r="BO97" s="6">
        <v>2.58</v>
      </c>
      <c r="BP97" s="6">
        <v>4.42</v>
      </c>
      <c r="BQ97" s="6">
        <v>3.4</v>
      </c>
      <c r="BR97" s="6">
        <v>2.68</v>
      </c>
      <c r="BS97" s="6">
        <v>3.98</v>
      </c>
      <c r="BT97" s="6">
        <v>2.5</v>
      </c>
      <c r="BU97" s="6">
        <v>2.88</v>
      </c>
      <c r="BV97" s="6">
        <v>3.3</v>
      </c>
      <c r="BW97" s="6">
        <v>4.84</v>
      </c>
      <c r="BX97" s="6">
        <v>3.04</v>
      </c>
      <c r="BY97" s="6">
        <v>3.5</v>
      </c>
      <c r="BZ97" s="6">
        <v>4.82</v>
      </c>
      <c r="CA97" s="6">
        <v>2.92</v>
      </c>
      <c r="CB97" s="6">
        <v>4.58</v>
      </c>
      <c r="CC97" s="6">
        <v>5.56</v>
      </c>
      <c r="CD97" s="6">
        <v>4.58</v>
      </c>
      <c r="CE97" s="6">
        <v>3.12</v>
      </c>
      <c r="CF97" s="6">
        <v>3.72</v>
      </c>
      <c r="CG97" s="6">
        <v>2.56</v>
      </c>
      <c r="CH97" s="6">
        <v>5.18</v>
      </c>
      <c r="CI97" s="11">
        <v>2.74</v>
      </c>
      <c r="CJ97" s="11">
        <v>2.8</v>
      </c>
      <c r="CK97" s="6">
        <v>2.78</v>
      </c>
      <c r="CL97" s="9">
        <v>5.24</v>
      </c>
      <c r="CM97" s="9">
        <v>6</v>
      </c>
      <c r="CN97" s="9">
        <v>4.38</v>
      </c>
      <c r="CO97" s="10">
        <v>3</v>
      </c>
      <c r="CP97" s="10"/>
    </row>
    <row r="98" spans="1:94" ht="15.75" customHeight="1" x14ac:dyDescent="0.25">
      <c r="A98" s="4">
        <v>97</v>
      </c>
      <c r="B98" s="4"/>
      <c r="C98" s="4">
        <v>6</v>
      </c>
      <c r="D98" s="8">
        <v>2.64</v>
      </c>
      <c r="E98" s="8">
        <v>6.3</v>
      </c>
      <c r="F98" s="8">
        <v>3.16</v>
      </c>
      <c r="G98" s="8">
        <v>5.13</v>
      </c>
      <c r="H98" s="8">
        <v>2.78</v>
      </c>
      <c r="I98" s="8">
        <v>1.98</v>
      </c>
      <c r="J98" s="8">
        <v>2.23</v>
      </c>
      <c r="K98" s="8">
        <v>2.1</v>
      </c>
      <c r="L98" s="8">
        <v>3.98</v>
      </c>
      <c r="M98" s="8">
        <v>3.55</v>
      </c>
      <c r="N98" s="8">
        <v>2.5299999999999998</v>
      </c>
      <c r="O98" s="8">
        <v>3.14</v>
      </c>
      <c r="P98" s="8">
        <v>2.3199999999999998</v>
      </c>
      <c r="Q98" s="8">
        <v>2.02</v>
      </c>
      <c r="R98" s="8">
        <v>2.58</v>
      </c>
      <c r="S98" s="8">
        <v>3.2</v>
      </c>
      <c r="T98" s="8">
        <v>4.03</v>
      </c>
      <c r="U98" s="8">
        <v>2.2799999999999998</v>
      </c>
      <c r="V98" s="8">
        <v>4.3600000000000003</v>
      </c>
      <c r="W98" s="8">
        <v>3.68</v>
      </c>
      <c r="X98" s="8">
        <v>4.6900000000000004</v>
      </c>
      <c r="Y98" s="8">
        <v>4.7699999999999996</v>
      </c>
      <c r="Z98" s="8">
        <v>2.41</v>
      </c>
      <c r="AA98" s="8">
        <v>3.79</v>
      </c>
      <c r="AB98" s="8">
        <v>2.06</v>
      </c>
      <c r="AC98" s="8">
        <v>2.25</v>
      </c>
      <c r="AD98" s="8">
        <v>2.0499999999999998</v>
      </c>
      <c r="AE98" s="8">
        <v>3.33</v>
      </c>
      <c r="AF98" s="8">
        <v>2.78</v>
      </c>
      <c r="AG98" s="8">
        <v>1.78</v>
      </c>
      <c r="AH98" s="8">
        <v>2.38</v>
      </c>
      <c r="AI98" s="8">
        <v>3.01</v>
      </c>
      <c r="AJ98" s="8">
        <v>2.57</v>
      </c>
      <c r="AK98" s="8">
        <v>2.46</v>
      </c>
      <c r="AL98" s="8">
        <v>3.01</v>
      </c>
      <c r="AM98" s="8">
        <v>3.63</v>
      </c>
      <c r="AN98" s="8">
        <v>4.67</v>
      </c>
      <c r="AO98" s="8">
        <v>4.76</v>
      </c>
      <c r="AP98" s="8">
        <v>2.4700000000000002</v>
      </c>
      <c r="AQ98" s="8">
        <v>2.25</v>
      </c>
      <c r="AR98" s="8">
        <v>2.94</v>
      </c>
      <c r="AS98" s="8">
        <v>5.31</v>
      </c>
      <c r="AT98" s="8">
        <v>3.25</v>
      </c>
      <c r="AU98" s="11">
        <v>2.29</v>
      </c>
      <c r="AV98" s="6">
        <v>2.9</v>
      </c>
      <c r="AW98" s="6">
        <v>2.23</v>
      </c>
      <c r="AX98" s="6">
        <v>3.49</v>
      </c>
      <c r="AY98" s="6">
        <v>3.96</v>
      </c>
      <c r="AZ98" s="6">
        <v>2.95</v>
      </c>
      <c r="BA98" s="6">
        <v>3.34</v>
      </c>
      <c r="BB98" s="6">
        <v>2.11</v>
      </c>
      <c r="BC98" s="6">
        <v>2.97</v>
      </c>
      <c r="BD98" s="11">
        <v>3.88</v>
      </c>
      <c r="BE98" s="6">
        <v>2.0299999999999998</v>
      </c>
      <c r="BF98" s="6">
        <v>3.93</v>
      </c>
      <c r="BG98" s="6">
        <v>4.4800000000000004</v>
      </c>
      <c r="BH98" s="6">
        <v>3.22</v>
      </c>
      <c r="BI98" s="6">
        <v>2.84</v>
      </c>
      <c r="BJ98" s="6">
        <v>4.9800000000000004</v>
      </c>
      <c r="BK98" s="6">
        <v>3.54</v>
      </c>
      <c r="BL98" s="6">
        <v>3.1</v>
      </c>
      <c r="BM98" s="6">
        <v>3.52</v>
      </c>
      <c r="BN98" s="6">
        <v>3.54</v>
      </c>
      <c r="BO98" s="6">
        <v>2.54</v>
      </c>
      <c r="BP98" s="6">
        <v>4.51</v>
      </c>
      <c r="BQ98" s="6">
        <v>3.43</v>
      </c>
      <c r="BR98" s="6">
        <v>2.76</v>
      </c>
      <c r="BS98" s="6">
        <v>4.04</v>
      </c>
      <c r="BT98" s="6">
        <v>2.5</v>
      </c>
      <c r="BU98" s="6">
        <v>2.9</v>
      </c>
      <c r="BV98" s="6">
        <v>3.3</v>
      </c>
      <c r="BW98" s="6">
        <v>5</v>
      </c>
      <c r="BX98" s="6">
        <v>3.04</v>
      </c>
      <c r="BY98" s="6">
        <v>3.44</v>
      </c>
      <c r="BZ98" s="6">
        <v>4.9000000000000004</v>
      </c>
      <c r="CA98" s="6">
        <v>2.9</v>
      </c>
      <c r="CB98" s="6">
        <v>4.62</v>
      </c>
      <c r="CC98" s="6">
        <v>5.6</v>
      </c>
      <c r="CD98" s="6">
        <v>4.78</v>
      </c>
      <c r="CE98" s="6">
        <v>3.2</v>
      </c>
      <c r="CF98" s="6">
        <v>3.72</v>
      </c>
      <c r="CG98" s="6">
        <v>2.58</v>
      </c>
      <c r="CH98" s="6">
        <v>5.3</v>
      </c>
      <c r="CI98" s="11">
        <v>2.7</v>
      </c>
      <c r="CJ98" s="11">
        <v>2.84</v>
      </c>
      <c r="CK98" s="6">
        <v>2.78</v>
      </c>
      <c r="CL98" s="9">
        <v>5.24</v>
      </c>
      <c r="CM98" s="9">
        <v>5.95</v>
      </c>
      <c r="CN98" s="9">
        <v>4.3600000000000003</v>
      </c>
      <c r="CO98" s="10">
        <v>3.04</v>
      </c>
      <c r="CP98" s="10"/>
    </row>
    <row r="99" spans="1:94" ht="15.75" customHeight="1" x14ac:dyDescent="0.25">
      <c r="A99" s="4">
        <v>98</v>
      </c>
      <c r="B99" s="4"/>
      <c r="C99" s="4">
        <v>7</v>
      </c>
      <c r="D99" s="8">
        <v>2.6</v>
      </c>
      <c r="E99" s="8">
        <v>6.28</v>
      </c>
      <c r="F99" s="8">
        <v>3.14</v>
      </c>
      <c r="G99" s="8">
        <v>5.23</v>
      </c>
      <c r="H99" s="8">
        <v>2.83</v>
      </c>
      <c r="I99" s="8">
        <v>2.0299999999999998</v>
      </c>
      <c r="J99" s="8">
        <v>2.23</v>
      </c>
      <c r="K99" s="8">
        <v>2.14</v>
      </c>
      <c r="L99" s="8">
        <v>4.08</v>
      </c>
      <c r="M99" s="8">
        <v>3.57</v>
      </c>
      <c r="N99" s="8">
        <v>2.5299999999999998</v>
      </c>
      <c r="O99" s="8">
        <v>3.2</v>
      </c>
      <c r="P99" s="8">
        <v>2.33</v>
      </c>
      <c r="Q99" s="8">
        <v>2.19</v>
      </c>
      <c r="R99" s="8">
        <v>2.63</v>
      </c>
      <c r="S99" s="8">
        <v>3.14</v>
      </c>
      <c r="T99" s="8">
        <v>4.01</v>
      </c>
      <c r="U99" s="8">
        <v>2.33</v>
      </c>
      <c r="V99" s="8">
        <v>4.3600000000000003</v>
      </c>
      <c r="W99" s="8">
        <v>3.64</v>
      </c>
      <c r="X99" s="8">
        <v>4.79</v>
      </c>
      <c r="Y99" s="8">
        <v>4.7300000000000004</v>
      </c>
      <c r="Z99" s="8">
        <v>2.41</v>
      </c>
      <c r="AA99" s="8">
        <v>3.73</v>
      </c>
      <c r="AB99" s="8">
        <v>2.15</v>
      </c>
      <c r="AC99" s="8">
        <v>2.25</v>
      </c>
      <c r="AD99" s="8">
        <v>2.15</v>
      </c>
      <c r="AE99" s="8">
        <v>3.43</v>
      </c>
      <c r="AF99" s="8">
        <v>2.78</v>
      </c>
      <c r="AG99" s="8">
        <v>1.8</v>
      </c>
      <c r="AH99" s="8">
        <v>2.34</v>
      </c>
      <c r="AI99" s="8">
        <v>3.12</v>
      </c>
      <c r="AJ99" s="8">
        <v>2.56</v>
      </c>
      <c r="AK99" s="8">
        <v>2.4</v>
      </c>
      <c r="AL99" s="8">
        <v>2.99</v>
      </c>
      <c r="AM99" s="8">
        <v>3.79</v>
      </c>
      <c r="AN99" s="8">
        <v>4.67</v>
      </c>
      <c r="AO99" s="8">
        <v>4.84</v>
      </c>
      <c r="AP99" s="8">
        <v>2.52</v>
      </c>
      <c r="AQ99" s="8">
        <v>2.25</v>
      </c>
      <c r="AR99" s="8">
        <v>3.02</v>
      </c>
      <c r="AS99" s="8">
        <v>5.32</v>
      </c>
      <c r="AT99" s="8">
        <v>3.25</v>
      </c>
      <c r="AU99" s="11">
        <v>2.4</v>
      </c>
      <c r="AV99" s="6">
        <v>2.92</v>
      </c>
      <c r="AW99" s="6">
        <v>2.2400000000000002</v>
      </c>
      <c r="AX99" s="6">
        <v>3.29</v>
      </c>
      <c r="AY99" s="6">
        <v>4.07</v>
      </c>
      <c r="AZ99" s="6">
        <v>2.95</v>
      </c>
      <c r="BA99" s="6">
        <v>3.34</v>
      </c>
      <c r="BB99" s="6">
        <v>2.14</v>
      </c>
      <c r="BC99" s="6">
        <v>2.99</v>
      </c>
      <c r="BD99" s="11">
        <v>3.82</v>
      </c>
      <c r="BE99" s="6">
        <v>2</v>
      </c>
      <c r="BF99" s="6">
        <v>3.92</v>
      </c>
      <c r="BG99" s="6">
        <v>4.57</v>
      </c>
      <c r="BH99" s="6">
        <v>3.14</v>
      </c>
      <c r="BI99" s="6">
        <v>2.76</v>
      </c>
      <c r="BJ99" s="6">
        <v>5.0199999999999996</v>
      </c>
      <c r="BK99" s="6">
        <v>3.66</v>
      </c>
      <c r="BL99" s="6">
        <v>3.08</v>
      </c>
      <c r="BM99" s="6">
        <v>3.68</v>
      </c>
      <c r="BN99" s="6">
        <v>3.5</v>
      </c>
      <c r="BO99" s="6">
        <v>2.7</v>
      </c>
      <c r="BP99" s="6">
        <v>4.7</v>
      </c>
      <c r="BQ99" s="6">
        <v>3.5</v>
      </c>
      <c r="BR99" s="6">
        <v>2.76</v>
      </c>
      <c r="BS99" s="6">
        <v>4.08</v>
      </c>
      <c r="BT99" s="6">
        <v>2.46</v>
      </c>
      <c r="BU99" s="6">
        <v>2.94</v>
      </c>
      <c r="BV99" s="6">
        <v>3.28</v>
      </c>
      <c r="BW99" s="6">
        <v>5.2</v>
      </c>
      <c r="BX99" s="6">
        <v>3.14</v>
      </c>
      <c r="BY99" s="6">
        <v>3.38</v>
      </c>
      <c r="BZ99" s="6">
        <v>4.9400000000000004</v>
      </c>
      <c r="CA99" s="6">
        <v>2.88</v>
      </c>
      <c r="CB99" s="6">
        <v>4.76</v>
      </c>
      <c r="CC99" s="6">
        <v>5.74</v>
      </c>
      <c r="CD99" s="6">
        <v>4.84</v>
      </c>
      <c r="CE99" s="6">
        <v>3.26</v>
      </c>
      <c r="CF99" s="6">
        <v>3.7</v>
      </c>
      <c r="CG99" s="6">
        <v>2.6</v>
      </c>
      <c r="CH99" s="6">
        <v>5.4</v>
      </c>
      <c r="CI99" s="11">
        <v>2.7</v>
      </c>
      <c r="CJ99" s="11">
        <v>2.86</v>
      </c>
      <c r="CK99" s="6">
        <v>2.78</v>
      </c>
      <c r="CL99" s="9">
        <v>5.26</v>
      </c>
      <c r="CM99" s="9">
        <v>5.92</v>
      </c>
      <c r="CN99" s="9">
        <v>4.3600000000000003</v>
      </c>
      <c r="CO99" s="10">
        <v>3.06</v>
      </c>
      <c r="CP99" s="10"/>
    </row>
    <row r="100" spans="1:94" ht="15.75" customHeight="1" x14ac:dyDescent="0.25">
      <c r="A100" s="4">
        <v>99</v>
      </c>
      <c r="B100" s="4"/>
      <c r="C100" s="4">
        <v>8</v>
      </c>
      <c r="D100" s="8">
        <v>2.56</v>
      </c>
      <c r="E100" s="8">
        <v>6.24</v>
      </c>
      <c r="F100" s="8">
        <v>3.16</v>
      </c>
      <c r="G100" s="8">
        <v>5.28</v>
      </c>
      <c r="H100" s="8">
        <v>2.88</v>
      </c>
      <c r="I100" s="8">
        <v>2.08</v>
      </c>
      <c r="J100" s="8">
        <v>2.23</v>
      </c>
      <c r="K100" s="8">
        <v>2.16</v>
      </c>
      <c r="L100" s="8">
        <v>4.17</v>
      </c>
      <c r="M100" s="8">
        <v>3.61</v>
      </c>
      <c r="N100" s="8">
        <v>2.52</v>
      </c>
      <c r="O100" s="8">
        <v>3.26</v>
      </c>
      <c r="P100" s="8">
        <v>2.34</v>
      </c>
      <c r="Q100" s="8">
        <v>2.29</v>
      </c>
      <c r="R100" s="8">
        <v>2.67</v>
      </c>
      <c r="S100" s="8">
        <v>3.09</v>
      </c>
      <c r="T100" s="8">
        <v>4.04</v>
      </c>
      <c r="U100" s="8">
        <v>2.38</v>
      </c>
      <c r="V100" s="8">
        <v>4.42</v>
      </c>
      <c r="W100" s="8">
        <v>3.6</v>
      </c>
      <c r="X100" s="8">
        <v>4.8899999999999997</v>
      </c>
      <c r="Y100" s="8">
        <v>4.6900000000000004</v>
      </c>
      <c r="Z100" s="8">
        <v>2.41</v>
      </c>
      <c r="AA100" s="8">
        <v>3.67</v>
      </c>
      <c r="AB100" s="8">
        <v>2.25</v>
      </c>
      <c r="AC100" s="8">
        <v>2.2999999999999998</v>
      </c>
      <c r="AD100" s="8">
        <v>2.25</v>
      </c>
      <c r="AE100" s="8">
        <v>3.49</v>
      </c>
      <c r="AF100" s="8">
        <v>2.79</v>
      </c>
      <c r="AG100" s="8">
        <v>1.76</v>
      </c>
      <c r="AH100" s="8">
        <v>2.34</v>
      </c>
      <c r="AI100" s="8">
        <v>3.2</v>
      </c>
      <c r="AJ100" s="8">
        <v>2.56</v>
      </c>
      <c r="AK100" s="8">
        <v>2.38</v>
      </c>
      <c r="AL100" s="8">
        <v>2.98</v>
      </c>
      <c r="AM100" s="8">
        <v>3.99</v>
      </c>
      <c r="AN100" s="8">
        <v>4.6500000000000004</v>
      </c>
      <c r="AO100" s="8">
        <v>4.92</v>
      </c>
      <c r="AP100" s="8">
        <v>2.5499999999999998</v>
      </c>
      <c r="AQ100" s="8">
        <v>2.25</v>
      </c>
      <c r="AR100" s="8">
        <v>3.13</v>
      </c>
      <c r="AS100" s="8">
        <v>5.33</v>
      </c>
      <c r="AT100" s="8">
        <v>3.25</v>
      </c>
      <c r="AU100" s="11">
        <v>2.5499999999999998</v>
      </c>
      <c r="AV100" s="6">
        <v>2.95</v>
      </c>
      <c r="AW100" s="6">
        <v>2.2799999999999998</v>
      </c>
      <c r="AX100" s="6">
        <v>3.17</v>
      </c>
      <c r="AY100" s="6">
        <v>4.1900000000000004</v>
      </c>
      <c r="AZ100" s="6">
        <v>2.95</v>
      </c>
      <c r="BA100" s="6">
        <v>3.3</v>
      </c>
      <c r="BB100" s="6">
        <v>2.17</v>
      </c>
      <c r="BC100" s="6">
        <v>3</v>
      </c>
      <c r="BD100" s="11">
        <v>3.74</v>
      </c>
      <c r="BE100" s="6">
        <v>1.98</v>
      </c>
      <c r="BF100" s="6">
        <v>3.9</v>
      </c>
      <c r="BG100" s="6">
        <v>4.6900000000000004</v>
      </c>
      <c r="BH100" s="6">
        <v>3.07</v>
      </c>
      <c r="BI100" s="6">
        <v>2.72</v>
      </c>
      <c r="BJ100" s="6">
        <v>5.05</v>
      </c>
      <c r="BK100" s="6">
        <v>3.78</v>
      </c>
      <c r="BL100" s="6">
        <v>3.08</v>
      </c>
      <c r="BM100" s="6">
        <v>3.68</v>
      </c>
      <c r="BN100" s="6">
        <v>3.52</v>
      </c>
      <c r="BO100" s="6">
        <v>2.74</v>
      </c>
      <c r="BP100" s="6">
        <v>4.82</v>
      </c>
      <c r="BQ100" s="6">
        <v>3.48</v>
      </c>
      <c r="BR100" s="6">
        <v>2.82</v>
      </c>
      <c r="BS100" s="6">
        <v>4.08</v>
      </c>
      <c r="BT100" s="6">
        <v>2.48</v>
      </c>
      <c r="BU100" s="6">
        <v>2.98</v>
      </c>
      <c r="BV100" s="6">
        <v>3.2</v>
      </c>
      <c r="BW100" s="6">
        <v>5.26</v>
      </c>
      <c r="BX100" s="6">
        <v>3.34</v>
      </c>
      <c r="BY100" s="6">
        <v>3.32</v>
      </c>
      <c r="BZ100" s="6">
        <v>5</v>
      </c>
      <c r="CA100" s="6">
        <v>2.9</v>
      </c>
      <c r="CB100" s="6">
        <v>4.78</v>
      </c>
      <c r="CC100" s="6">
        <v>5.84</v>
      </c>
      <c r="CD100" s="6">
        <v>4.8</v>
      </c>
      <c r="CE100" s="6">
        <v>3.32</v>
      </c>
      <c r="CF100" s="6">
        <v>3.68</v>
      </c>
      <c r="CG100" s="6">
        <v>2.7</v>
      </c>
      <c r="CH100" s="6">
        <v>5.48</v>
      </c>
      <c r="CI100" s="11">
        <v>2.66</v>
      </c>
      <c r="CJ100" s="11">
        <v>2.88</v>
      </c>
      <c r="CK100" s="6">
        <v>2.78</v>
      </c>
      <c r="CL100" s="6">
        <v>5.34</v>
      </c>
      <c r="CM100" s="6">
        <v>5.92</v>
      </c>
      <c r="CN100" s="6">
        <v>4.38</v>
      </c>
      <c r="CO100" s="10">
        <v>3.1</v>
      </c>
      <c r="CP100" s="10"/>
    </row>
    <row r="101" spans="1:94" ht="15.75" customHeight="1" x14ac:dyDescent="0.25">
      <c r="A101" s="4">
        <v>100</v>
      </c>
      <c r="B101" s="4"/>
      <c r="C101" s="4">
        <v>9</v>
      </c>
      <c r="D101" s="8">
        <v>2.52</v>
      </c>
      <c r="E101" s="8">
        <v>6.2</v>
      </c>
      <c r="F101" s="8">
        <v>3.18</v>
      </c>
      <c r="G101" s="8">
        <v>5.33</v>
      </c>
      <c r="H101" s="8">
        <v>2.93</v>
      </c>
      <c r="I101" s="8">
        <v>2.1</v>
      </c>
      <c r="J101" s="8">
        <v>2.29</v>
      </c>
      <c r="K101" s="8">
        <v>2.21</v>
      </c>
      <c r="L101" s="8">
        <v>4.28</v>
      </c>
      <c r="M101" s="8">
        <v>3.68</v>
      </c>
      <c r="N101" s="8">
        <v>2.58</v>
      </c>
      <c r="O101" s="8">
        <v>3.32</v>
      </c>
      <c r="P101" s="8">
        <v>2.4</v>
      </c>
      <c r="Q101" s="8">
        <v>2.34</v>
      </c>
      <c r="R101" s="8">
        <v>2.74</v>
      </c>
      <c r="S101" s="8">
        <v>3.04</v>
      </c>
      <c r="T101" s="8">
        <v>4.1500000000000004</v>
      </c>
      <c r="U101" s="8">
        <v>2.46</v>
      </c>
      <c r="V101" s="8">
        <v>4.5599999999999996</v>
      </c>
      <c r="W101" s="8">
        <v>3.53</v>
      </c>
      <c r="X101" s="8">
        <v>4.96</v>
      </c>
      <c r="Y101" s="8">
        <v>4.63</v>
      </c>
      <c r="Z101" s="8">
        <v>2.4300000000000002</v>
      </c>
      <c r="AA101" s="8">
        <v>3.67</v>
      </c>
      <c r="AB101" s="8">
        <v>2.2999999999999998</v>
      </c>
      <c r="AC101" s="8">
        <v>2.34</v>
      </c>
      <c r="AD101" s="8">
        <v>2.35</v>
      </c>
      <c r="AE101" s="8">
        <v>3.54</v>
      </c>
      <c r="AF101" s="8">
        <v>2.82</v>
      </c>
      <c r="AG101" s="8">
        <v>1.76</v>
      </c>
      <c r="AH101" s="8">
        <v>2.3199999999999998</v>
      </c>
      <c r="AI101" s="8">
        <v>3.29</v>
      </c>
      <c r="AJ101" s="8">
        <v>2.59</v>
      </c>
      <c r="AK101" s="8">
        <v>2.39</v>
      </c>
      <c r="AL101" s="8">
        <v>3.01</v>
      </c>
      <c r="AM101" s="8">
        <v>4.21</v>
      </c>
      <c r="AN101" s="8">
        <v>4.63</v>
      </c>
      <c r="AO101" s="8">
        <v>4.9800000000000004</v>
      </c>
      <c r="AP101" s="8">
        <v>2.62</v>
      </c>
      <c r="AQ101" s="8">
        <v>2.27</v>
      </c>
      <c r="AR101" s="8">
        <v>3.17</v>
      </c>
      <c r="AS101" s="8">
        <v>5.38</v>
      </c>
      <c r="AT101" s="8">
        <v>3.25</v>
      </c>
      <c r="AU101" s="11">
        <v>2.7</v>
      </c>
      <c r="AV101" s="6">
        <v>3</v>
      </c>
      <c r="AW101" s="6">
        <v>2.39</v>
      </c>
      <c r="AX101" s="6">
        <v>3.29</v>
      </c>
      <c r="AY101" s="6">
        <v>4.34</v>
      </c>
      <c r="AZ101" s="6">
        <v>2.95</v>
      </c>
      <c r="BA101" s="6">
        <v>3.24</v>
      </c>
      <c r="BB101" s="6">
        <v>2.2000000000000002</v>
      </c>
      <c r="BC101" s="6">
        <v>2.97</v>
      </c>
      <c r="BD101" s="11">
        <v>3.7</v>
      </c>
      <c r="BE101" s="6">
        <v>1.95</v>
      </c>
      <c r="BF101" s="6">
        <v>3.9</v>
      </c>
      <c r="BG101" s="6">
        <v>4.76</v>
      </c>
      <c r="BH101" s="6">
        <v>3.05</v>
      </c>
      <c r="BI101" s="6">
        <v>2.66</v>
      </c>
      <c r="BJ101" s="6">
        <v>5.0599999999999996</v>
      </c>
      <c r="BK101" s="6">
        <v>3.91</v>
      </c>
      <c r="BL101" s="6">
        <v>3.04</v>
      </c>
      <c r="BM101" s="6">
        <v>3.7</v>
      </c>
      <c r="BN101" s="6">
        <v>3.4</v>
      </c>
      <c r="BO101" s="6">
        <v>2.82</v>
      </c>
      <c r="BP101" s="6">
        <v>5</v>
      </c>
      <c r="BQ101" s="6">
        <v>3.65</v>
      </c>
      <c r="BR101" s="6">
        <v>2.82</v>
      </c>
      <c r="BS101" s="6">
        <v>4.0999999999999996</v>
      </c>
      <c r="BT101" s="6">
        <v>2.52</v>
      </c>
      <c r="BU101" s="6">
        <v>3</v>
      </c>
      <c r="BV101" s="6">
        <v>3.3</v>
      </c>
      <c r="BW101" s="6">
        <v>5.34</v>
      </c>
      <c r="BX101" s="6">
        <v>3.36</v>
      </c>
      <c r="BY101" s="6">
        <v>3.3</v>
      </c>
      <c r="BZ101" s="6">
        <v>5</v>
      </c>
      <c r="CA101" s="6">
        <v>2.9</v>
      </c>
      <c r="CB101" s="6">
        <v>4.78</v>
      </c>
      <c r="CC101" s="6">
        <v>6.02</v>
      </c>
      <c r="CD101" s="6">
        <v>4.8</v>
      </c>
      <c r="CE101" s="6">
        <v>3.42</v>
      </c>
      <c r="CF101" s="6">
        <v>3.66</v>
      </c>
      <c r="CG101" s="6">
        <v>2.72</v>
      </c>
      <c r="CH101" s="6">
        <v>5.54</v>
      </c>
      <c r="CI101" s="11">
        <v>2.68</v>
      </c>
      <c r="CJ101" s="11">
        <v>2.88</v>
      </c>
      <c r="CK101" s="6">
        <v>2.78</v>
      </c>
      <c r="CL101" s="6">
        <v>5.46</v>
      </c>
      <c r="CM101" s="6">
        <v>5.98</v>
      </c>
      <c r="CN101" s="6">
        <v>4.37</v>
      </c>
      <c r="CO101" s="10">
        <v>3.17</v>
      </c>
      <c r="CP101" s="10"/>
    </row>
    <row r="102" spans="1:94" ht="15.75" customHeight="1" x14ac:dyDescent="0.25">
      <c r="A102" s="4">
        <v>101</v>
      </c>
      <c r="B102" s="4"/>
      <c r="C102" s="4">
        <v>10</v>
      </c>
      <c r="D102" s="8">
        <v>2.48</v>
      </c>
      <c r="E102" s="8">
        <v>6.18</v>
      </c>
      <c r="F102" s="8">
        <v>3.2</v>
      </c>
      <c r="G102" s="8">
        <v>5.38</v>
      </c>
      <c r="H102" s="8">
        <v>2.98</v>
      </c>
      <c r="I102" s="8">
        <v>2.14</v>
      </c>
      <c r="J102" s="8">
        <v>2.3199999999999998</v>
      </c>
      <c r="K102" s="8">
        <v>2.2400000000000002</v>
      </c>
      <c r="L102" s="8">
        <v>4.38</v>
      </c>
      <c r="M102" s="8">
        <v>3.81</v>
      </c>
      <c r="N102" s="8">
        <v>2.68</v>
      </c>
      <c r="O102" s="8">
        <v>3.38</v>
      </c>
      <c r="P102" s="8">
        <v>2.4300000000000002</v>
      </c>
      <c r="Q102" s="8">
        <v>2.6</v>
      </c>
      <c r="R102" s="8">
        <v>2.77</v>
      </c>
      <c r="S102" s="8">
        <v>3.02</v>
      </c>
      <c r="T102" s="8">
        <v>4.2300000000000004</v>
      </c>
      <c r="U102" s="8">
        <v>2.56</v>
      </c>
      <c r="V102" s="8">
        <v>4.76</v>
      </c>
      <c r="W102" s="8">
        <v>3.48</v>
      </c>
      <c r="X102" s="8">
        <v>5.0199999999999996</v>
      </c>
      <c r="Y102" s="8">
        <v>4.53</v>
      </c>
      <c r="Z102" s="8">
        <v>2.4500000000000002</v>
      </c>
      <c r="AA102" s="8">
        <v>3.79</v>
      </c>
      <c r="AB102" s="8">
        <v>2.35</v>
      </c>
      <c r="AC102" s="8">
        <v>2.34</v>
      </c>
      <c r="AD102" s="8">
        <v>2.4700000000000002</v>
      </c>
      <c r="AE102" s="8">
        <v>3.6</v>
      </c>
      <c r="AF102" s="8">
        <v>2.87</v>
      </c>
      <c r="AG102" s="8">
        <v>1.82</v>
      </c>
      <c r="AH102" s="8">
        <v>2.2999999999999998</v>
      </c>
      <c r="AI102" s="8">
        <v>3.4</v>
      </c>
      <c r="AJ102" s="8">
        <v>2.62</v>
      </c>
      <c r="AK102" s="8">
        <v>2.39</v>
      </c>
      <c r="AL102" s="8">
        <v>3.08</v>
      </c>
      <c r="AM102" s="8">
        <v>4.3899999999999997</v>
      </c>
      <c r="AN102" s="8">
        <v>4.6100000000000003</v>
      </c>
      <c r="AO102" s="8">
        <v>5.0599999999999996</v>
      </c>
      <c r="AP102" s="8">
        <v>2.67</v>
      </c>
      <c r="AQ102" s="8">
        <v>2.27</v>
      </c>
      <c r="AR102" s="8">
        <v>3.23</v>
      </c>
      <c r="AS102" s="8">
        <v>5.43</v>
      </c>
      <c r="AT102" s="8">
        <v>3.25</v>
      </c>
      <c r="AU102" s="11">
        <v>2.85</v>
      </c>
      <c r="AV102" s="6">
        <v>3.09</v>
      </c>
      <c r="AW102" s="6">
        <v>2.42</v>
      </c>
      <c r="AX102" s="6">
        <v>3.27</v>
      </c>
      <c r="AY102" s="6">
        <v>4.57</v>
      </c>
      <c r="AZ102" s="6">
        <v>2.95</v>
      </c>
      <c r="BA102" s="6">
        <v>3.2</v>
      </c>
      <c r="BB102" s="6">
        <v>2.2400000000000002</v>
      </c>
      <c r="BC102" s="6">
        <v>2.99</v>
      </c>
      <c r="BD102" s="11">
        <v>3.7</v>
      </c>
      <c r="BE102" s="6">
        <v>1.94</v>
      </c>
      <c r="BF102" s="6">
        <v>3.88</v>
      </c>
      <c r="BG102" s="6">
        <v>4.76</v>
      </c>
      <c r="BH102" s="6">
        <v>3.05</v>
      </c>
      <c r="BI102" s="6">
        <v>2.66</v>
      </c>
      <c r="BJ102" s="6">
        <v>4.9800000000000004</v>
      </c>
      <c r="BK102" s="6">
        <v>4.05</v>
      </c>
      <c r="BL102" s="6">
        <v>3</v>
      </c>
      <c r="BM102" s="6">
        <v>3.8</v>
      </c>
      <c r="BN102" s="6">
        <v>3.45</v>
      </c>
      <c r="BO102" s="6">
        <v>2.84</v>
      </c>
      <c r="BP102" s="6">
        <v>5.43</v>
      </c>
      <c r="BQ102" s="6">
        <v>3.68</v>
      </c>
      <c r="BR102" s="6">
        <v>2.82</v>
      </c>
      <c r="BS102" s="6">
        <v>4.12</v>
      </c>
      <c r="BT102" s="6">
        <v>2.56</v>
      </c>
      <c r="BU102" s="6">
        <v>3.1</v>
      </c>
      <c r="BV102" s="6">
        <v>3.3</v>
      </c>
      <c r="BW102" s="6">
        <v>5.38</v>
      </c>
      <c r="BX102" s="6">
        <v>3.8</v>
      </c>
      <c r="BY102" s="6">
        <v>3.2</v>
      </c>
      <c r="BZ102" s="6">
        <v>5.0199999999999996</v>
      </c>
      <c r="CA102" s="6">
        <v>2.88</v>
      </c>
      <c r="CB102" s="6">
        <v>4.8</v>
      </c>
      <c r="CC102" s="6">
        <v>6.2</v>
      </c>
      <c r="CD102" s="6">
        <v>4.82</v>
      </c>
      <c r="CE102" s="6">
        <v>3.62</v>
      </c>
      <c r="CF102" s="6">
        <v>3.66</v>
      </c>
      <c r="CG102" s="6">
        <v>2.72</v>
      </c>
      <c r="CH102" s="6">
        <v>5.36</v>
      </c>
      <c r="CI102" s="11">
        <v>2.68</v>
      </c>
      <c r="CJ102" s="11">
        <v>2.88</v>
      </c>
      <c r="CK102" s="6">
        <v>2.78</v>
      </c>
      <c r="CL102" s="6">
        <v>5.64</v>
      </c>
      <c r="CM102" s="6">
        <v>6.1</v>
      </c>
      <c r="CN102" s="6">
        <v>4.3499999999999996</v>
      </c>
      <c r="CO102" s="10">
        <v>3.26</v>
      </c>
      <c r="CP102" s="10"/>
    </row>
    <row r="103" spans="1:94" ht="15.75" customHeight="1" x14ac:dyDescent="0.25">
      <c r="A103" s="4">
        <v>102</v>
      </c>
      <c r="B103" s="4"/>
      <c r="C103" s="4">
        <v>11</v>
      </c>
      <c r="D103" s="8">
        <v>2.44</v>
      </c>
      <c r="E103" s="8">
        <v>6.16</v>
      </c>
      <c r="F103" s="8">
        <v>3.22</v>
      </c>
      <c r="G103" s="8">
        <v>5.38</v>
      </c>
      <c r="H103" s="8">
        <v>3.03</v>
      </c>
      <c r="I103" s="8">
        <v>2.16</v>
      </c>
      <c r="J103" s="8">
        <v>2.39</v>
      </c>
      <c r="K103" s="8">
        <v>2.35</v>
      </c>
      <c r="L103" s="8">
        <v>4.58</v>
      </c>
      <c r="M103" s="8">
        <v>3.92</v>
      </c>
      <c r="N103" s="8">
        <v>2.76</v>
      </c>
      <c r="O103" s="8">
        <v>3.45</v>
      </c>
      <c r="P103" s="8">
        <v>2.4300000000000002</v>
      </c>
      <c r="Q103" s="8">
        <v>2.96</v>
      </c>
      <c r="R103" s="8">
        <v>2.8</v>
      </c>
      <c r="S103" s="8">
        <v>3.02</v>
      </c>
      <c r="T103" s="8">
        <v>4.29</v>
      </c>
      <c r="U103" s="8">
        <v>2.71</v>
      </c>
      <c r="V103" s="8">
        <v>5.08</v>
      </c>
      <c r="W103" s="8">
        <v>3.45</v>
      </c>
      <c r="X103" s="8">
        <v>5.0199999999999996</v>
      </c>
      <c r="Y103" s="8">
        <v>4.4400000000000004</v>
      </c>
      <c r="Z103" s="8">
        <v>2.4700000000000002</v>
      </c>
      <c r="AA103" s="8">
        <v>3.97</v>
      </c>
      <c r="AB103" s="8">
        <v>2.4</v>
      </c>
      <c r="AC103" s="8">
        <v>2.34</v>
      </c>
      <c r="AD103" s="8">
        <v>2.5499999999999998</v>
      </c>
      <c r="AE103" s="8">
        <v>3.63</v>
      </c>
      <c r="AF103" s="8">
        <v>2.91</v>
      </c>
      <c r="AG103" s="8">
        <v>1.88</v>
      </c>
      <c r="AH103" s="8">
        <v>2.2999999999999998</v>
      </c>
      <c r="AI103" s="8">
        <v>3.49</v>
      </c>
      <c r="AJ103" s="8">
        <v>2.62</v>
      </c>
      <c r="AK103" s="8">
        <v>2.46</v>
      </c>
      <c r="AL103" s="8">
        <v>3.13</v>
      </c>
      <c r="AM103" s="8">
        <v>4.51</v>
      </c>
      <c r="AN103" s="8">
        <v>4.57</v>
      </c>
      <c r="AO103" s="8">
        <v>5.14</v>
      </c>
      <c r="AP103" s="8">
        <v>2.71</v>
      </c>
      <c r="AQ103" s="8">
        <v>2.31</v>
      </c>
      <c r="AR103" s="8">
        <v>3.26</v>
      </c>
      <c r="AS103" s="8">
        <v>5.49</v>
      </c>
      <c r="AT103" s="8">
        <v>3.25</v>
      </c>
      <c r="AU103" s="11">
        <v>3.08</v>
      </c>
      <c r="AV103" s="6">
        <v>3.17</v>
      </c>
      <c r="AW103" s="6">
        <v>2.5</v>
      </c>
      <c r="AX103" s="6">
        <v>3.25</v>
      </c>
      <c r="AY103" s="6">
        <v>4.84</v>
      </c>
      <c r="AZ103" s="6">
        <v>2.95</v>
      </c>
      <c r="BA103" s="6">
        <v>3.22</v>
      </c>
      <c r="BB103" s="6">
        <v>2.27</v>
      </c>
      <c r="BC103" s="6">
        <v>3.01</v>
      </c>
      <c r="BD103" s="11">
        <v>3.62</v>
      </c>
      <c r="BE103" s="6">
        <v>1.96</v>
      </c>
      <c r="BF103" s="6">
        <v>3.83</v>
      </c>
      <c r="BG103" s="6">
        <v>4.7300000000000004</v>
      </c>
      <c r="BH103" s="6">
        <v>3.09</v>
      </c>
      <c r="BI103" s="6">
        <v>2.59</v>
      </c>
      <c r="BJ103" s="6">
        <v>4.93</v>
      </c>
      <c r="BK103" s="6">
        <v>4.2</v>
      </c>
      <c r="BL103" s="6">
        <v>2.95</v>
      </c>
      <c r="BM103" s="6">
        <v>3.68</v>
      </c>
      <c r="BN103" s="6">
        <v>3.3</v>
      </c>
      <c r="BO103" s="6">
        <v>2.85</v>
      </c>
      <c r="BP103" s="6">
        <v>5.78</v>
      </c>
      <c r="BQ103" s="6">
        <v>3.72</v>
      </c>
      <c r="BR103" s="6">
        <v>2.9</v>
      </c>
      <c r="BS103" s="6">
        <v>4.16</v>
      </c>
      <c r="BT103" s="6">
        <v>2.58</v>
      </c>
      <c r="BU103" s="6">
        <v>3.1</v>
      </c>
      <c r="BV103" s="6">
        <v>3.3</v>
      </c>
      <c r="BW103" s="6">
        <v>5.42</v>
      </c>
      <c r="BX103" s="6">
        <v>4.0999999999999996</v>
      </c>
      <c r="BY103" s="6">
        <v>3.12</v>
      </c>
      <c r="BZ103" s="6">
        <v>5.0199999999999996</v>
      </c>
      <c r="CA103" s="6">
        <v>2.82</v>
      </c>
      <c r="CB103" s="6">
        <v>4.8</v>
      </c>
      <c r="CC103" s="6">
        <v>6.64</v>
      </c>
      <c r="CD103" s="6">
        <v>4.8</v>
      </c>
      <c r="CE103" s="6">
        <v>3.72</v>
      </c>
      <c r="CF103" s="6">
        <v>3.66</v>
      </c>
      <c r="CG103" s="6">
        <v>2.72</v>
      </c>
      <c r="CH103" s="6">
        <v>5.56</v>
      </c>
      <c r="CI103" s="11">
        <v>2.68</v>
      </c>
      <c r="CJ103" s="11">
        <v>2.88</v>
      </c>
      <c r="CK103" s="6">
        <v>2.78</v>
      </c>
      <c r="CL103" s="6">
        <v>5.86</v>
      </c>
      <c r="CM103" s="6">
        <v>6.16</v>
      </c>
      <c r="CN103" s="6">
        <v>4.32</v>
      </c>
      <c r="CO103" s="10">
        <v>3.32</v>
      </c>
      <c r="CP103" s="10"/>
    </row>
    <row r="104" spans="1:94" ht="15.75" customHeight="1" x14ac:dyDescent="0.25">
      <c r="A104" s="4">
        <v>103</v>
      </c>
      <c r="B104" s="4"/>
      <c r="C104" s="4">
        <v>12</v>
      </c>
      <c r="D104" s="8">
        <v>2.42</v>
      </c>
      <c r="E104" s="8">
        <v>6.18</v>
      </c>
      <c r="F104" s="8">
        <v>3.24</v>
      </c>
      <c r="G104" s="8">
        <v>5.38</v>
      </c>
      <c r="H104" s="8">
        <v>3.13</v>
      </c>
      <c r="I104" s="8">
        <v>2.1800000000000002</v>
      </c>
      <c r="J104" s="8">
        <v>2.46</v>
      </c>
      <c r="K104" s="8">
        <v>2.5099999999999998</v>
      </c>
      <c r="L104" s="8">
        <v>4.78</v>
      </c>
      <c r="M104" s="8">
        <v>3.99</v>
      </c>
      <c r="N104" s="8">
        <v>2.8</v>
      </c>
      <c r="O104" s="8">
        <v>3.52</v>
      </c>
      <c r="P104" s="8">
        <v>2.4500000000000002</v>
      </c>
      <c r="Q104" s="8">
        <v>3.1</v>
      </c>
      <c r="R104" s="8">
        <v>2.83</v>
      </c>
      <c r="S104" s="8">
        <v>3.02</v>
      </c>
      <c r="T104" s="8">
        <v>4.29</v>
      </c>
      <c r="U104" s="8">
        <v>2.78</v>
      </c>
      <c r="V104" s="8">
        <v>5.21</v>
      </c>
      <c r="W104" s="8">
        <v>3.33</v>
      </c>
      <c r="X104" s="8">
        <v>5.05</v>
      </c>
      <c r="Y104" s="8">
        <v>4.3499999999999996</v>
      </c>
      <c r="Z104" s="8">
        <v>2.4700000000000002</v>
      </c>
      <c r="AA104" s="8">
        <v>4.1100000000000003</v>
      </c>
      <c r="AB104" s="8">
        <v>2.4500000000000002</v>
      </c>
      <c r="AC104" s="8">
        <v>2.33</v>
      </c>
      <c r="AD104" s="8">
        <v>2.67</v>
      </c>
      <c r="AE104" s="8">
        <v>3.66</v>
      </c>
      <c r="AF104" s="8">
        <v>2.94</v>
      </c>
      <c r="AG104" s="8">
        <v>1.96</v>
      </c>
      <c r="AH104" s="8">
        <v>2.31</v>
      </c>
      <c r="AI104" s="8">
        <v>3.56</v>
      </c>
      <c r="AJ104" s="8">
        <v>2.64</v>
      </c>
      <c r="AK104" s="8">
        <v>2.5099999999999998</v>
      </c>
      <c r="AL104" s="8">
        <v>3.16</v>
      </c>
      <c r="AM104" s="8">
        <v>4.67</v>
      </c>
      <c r="AN104" s="8">
        <v>4.54</v>
      </c>
      <c r="AO104" s="8">
        <v>5.22</v>
      </c>
      <c r="AP104" s="8">
        <v>2.76</v>
      </c>
      <c r="AQ104" s="8">
        <v>2.39</v>
      </c>
      <c r="AR104" s="8">
        <v>3.28</v>
      </c>
      <c r="AS104" s="8">
        <v>5.55</v>
      </c>
      <c r="AT104" s="8">
        <v>3.29</v>
      </c>
      <c r="AU104" s="11">
        <v>3.35</v>
      </c>
      <c r="AV104" s="6">
        <v>3.18</v>
      </c>
      <c r="AW104" s="6">
        <v>2.52</v>
      </c>
      <c r="AX104" s="6">
        <v>3.25</v>
      </c>
      <c r="AY104" s="6">
        <v>5.05</v>
      </c>
      <c r="AZ104" s="6">
        <v>2.96</v>
      </c>
      <c r="BA104" s="6">
        <v>3.21</v>
      </c>
      <c r="BB104" s="6">
        <v>2.2799999999999998</v>
      </c>
      <c r="BC104" s="6">
        <v>3.15</v>
      </c>
      <c r="BD104" s="11">
        <v>3.6</v>
      </c>
      <c r="BE104" s="6">
        <v>2</v>
      </c>
      <c r="BF104" s="6">
        <v>3.8</v>
      </c>
      <c r="BG104" s="6">
        <v>4.67</v>
      </c>
      <c r="BH104" s="6">
        <v>3.14</v>
      </c>
      <c r="BI104" s="6">
        <v>2.56</v>
      </c>
      <c r="BJ104" s="6">
        <v>4.9000000000000004</v>
      </c>
      <c r="BK104" s="6">
        <v>4.34</v>
      </c>
      <c r="BL104" s="6">
        <v>2.92</v>
      </c>
      <c r="BM104" s="6">
        <v>3.68</v>
      </c>
      <c r="BN104" s="6">
        <v>3.4</v>
      </c>
      <c r="BO104" s="6">
        <v>3.1</v>
      </c>
      <c r="BP104" s="6">
        <v>6.08</v>
      </c>
      <c r="BQ104" s="6">
        <v>3.7</v>
      </c>
      <c r="BR104" s="6">
        <v>2.88</v>
      </c>
      <c r="BS104" s="6">
        <v>4.3</v>
      </c>
      <c r="BT104" s="6">
        <v>2.7</v>
      </c>
      <c r="BU104" s="6">
        <v>3.18</v>
      </c>
      <c r="BV104" s="6">
        <v>3.3</v>
      </c>
      <c r="BW104" s="6">
        <v>5.42</v>
      </c>
      <c r="BX104" s="6">
        <v>4.38</v>
      </c>
      <c r="BY104" s="6">
        <v>3.08</v>
      </c>
      <c r="BZ104" s="6">
        <v>5</v>
      </c>
      <c r="CA104" s="6">
        <v>2.9</v>
      </c>
      <c r="CB104" s="6">
        <v>4.78</v>
      </c>
      <c r="CC104" s="6">
        <v>7</v>
      </c>
      <c r="CD104" s="6">
        <v>4.7</v>
      </c>
      <c r="CE104" s="6">
        <v>3.52</v>
      </c>
      <c r="CF104" s="6">
        <v>3.68</v>
      </c>
      <c r="CG104" s="6">
        <v>2.72</v>
      </c>
      <c r="CH104" s="6">
        <v>5.6</v>
      </c>
      <c r="CI104" s="11">
        <v>2.76</v>
      </c>
      <c r="CJ104" s="11">
        <v>2.9</v>
      </c>
      <c r="CK104" s="6">
        <v>2.78</v>
      </c>
      <c r="CL104" s="6">
        <v>5.94</v>
      </c>
      <c r="CM104" s="6">
        <v>6.16</v>
      </c>
      <c r="CN104" s="6">
        <v>4.32</v>
      </c>
      <c r="CO104" s="10">
        <v>3.35</v>
      </c>
      <c r="CP104" s="10"/>
    </row>
    <row r="105" spans="1:94" ht="15.75" customHeight="1" x14ac:dyDescent="0.25">
      <c r="A105" s="4">
        <v>104</v>
      </c>
      <c r="B105" s="4"/>
      <c r="C105" s="4">
        <v>13</v>
      </c>
      <c r="D105" s="8">
        <v>2.44</v>
      </c>
      <c r="E105" s="8">
        <v>6.2</v>
      </c>
      <c r="F105" s="8">
        <v>3.24</v>
      </c>
      <c r="G105" s="8">
        <v>5.38</v>
      </c>
      <c r="H105" s="8">
        <v>3.23</v>
      </c>
      <c r="I105" s="8">
        <v>2.2200000000000002</v>
      </c>
      <c r="J105" s="8">
        <v>2.54</v>
      </c>
      <c r="K105" s="8">
        <v>2.57</v>
      </c>
      <c r="L105" s="8">
        <v>4.88</v>
      </c>
      <c r="M105" s="8">
        <v>4.0199999999999996</v>
      </c>
      <c r="N105" s="8">
        <v>2.88</v>
      </c>
      <c r="O105" s="8">
        <v>3.59</v>
      </c>
      <c r="P105" s="8">
        <v>2.42</v>
      </c>
      <c r="Q105" s="8">
        <v>3.32</v>
      </c>
      <c r="R105" s="8">
        <v>2.83</v>
      </c>
      <c r="S105" s="8">
        <v>3.02</v>
      </c>
      <c r="T105" s="8">
        <v>4.2300000000000004</v>
      </c>
      <c r="U105" s="8">
        <v>2.88</v>
      </c>
      <c r="V105" s="8">
        <v>5.36</v>
      </c>
      <c r="W105" s="8">
        <v>3.28</v>
      </c>
      <c r="X105" s="8">
        <v>5.1100000000000003</v>
      </c>
      <c r="Y105" s="8">
        <v>4.2699999999999996</v>
      </c>
      <c r="Z105" s="8">
        <v>2.4700000000000002</v>
      </c>
      <c r="AA105" s="8">
        <v>4.21</v>
      </c>
      <c r="AB105" s="8">
        <v>2.5499999999999998</v>
      </c>
      <c r="AC105" s="8">
        <v>2.29</v>
      </c>
      <c r="AD105" s="8">
        <v>2.74</v>
      </c>
      <c r="AE105" s="8">
        <v>3.66</v>
      </c>
      <c r="AF105" s="8">
        <v>2.98</v>
      </c>
      <c r="AG105" s="8">
        <v>2.04</v>
      </c>
      <c r="AH105" s="8">
        <v>2.3199999999999998</v>
      </c>
      <c r="AI105" s="8">
        <v>3.61</v>
      </c>
      <c r="AJ105" s="8">
        <v>2.71</v>
      </c>
      <c r="AK105" s="8">
        <v>2.56</v>
      </c>
      <c r="AL105" s="8">
        <v>3.18</v>
      </c>
      <c r="AM105" s="8">
        <v>4.92</v>
      </c>
      <c r="AN105" s="8">
        <v>4.55</v>
      </c>
      <c r="AO105" s="8">
        <v>5.27</v>
      </c>
      <c r="AP105" s="8">
        <v>2.77</v>
      </c>
      <c r="AQ105" s="8">
        <v>2.5099999999999998</v>
      </c>
      <c r="AR105" s="8">
        <v>3.3</v>
      </c>
      <c r="AS105" s="8">
        <v>5.63</v>
      </c>
      <c r="AT105" s="8">
        <v>3.29</v>
      </c>
      <c r="AU105" s="11">
        <v>3.57</v>
      </c>
      <c r="AV105" s="6">
        <v>3.2</v>
      </c>
      <c r="AW105" s="6">
        <v>2.56</v>
      </c>
      <c r="AX105" s="6">
        <v>3.27</v>
      </c>
      <c r="AY105" s="6">
        <v>5.26</v>
      </c>
      <c r="AZ105" s="6">
        <v>3</v>
      </c>
      <c r="BA105" s="6">
        <v>3.24</v>
      </c>
      <c r="BB105" s="6">
        <v>2.31</v>
      </c>
      <c r="BC105" s="6">
        <v>3.25</v>
      </c>
      <c r="BD105" s="11">
        <v>3.62</v>
      </c>
      <c r="BE105" s="6">
        <v>2.06</v>
      </c>
      <c r="BF105" s="6">
        <v>3.78</v>
      </c>
      <c r="BG105" s="6">
        <v>4.6100000000000003</v>
      </c>
      <c r="BH105" s="6">
        <v>3.19</v>
      </c>
      <c r="BI105" s="6">
        <v>2.54</v>
      </c>
      <c r="BJ105" s="6">
        <v>4.9000000000000004</v>
      </c>
      <c r="BK105" s="6">
        <v>4.46</v>
      </c>
      <c r="BL105" s="6">
        <v>2.9</v>
      </c>
      <c r="BM105" s="6">
        <v>3.8</v>
      </c>
      <c r="BN105" s="6">
        <v>3.4</v>
      </c>
      <c r="BO105" s="6">
        <v>3.16</v>
      </c>
      <c r="BP105" s="6">
        <v>6.35</v>
      </c>
      <c r="BQ105" s="6">
        <v>3.72</v>
      </c>
      <c r="BR105" s="6">
        <v>2.88</v>
      </c>
      <c r="BS105" s="6">
        <v>4.5</v>
      </c>
      <c r="BT105" s="6">
        <v>2.74</v>
      </c>
      <c r="BU105" s="6">
        <v>3.28</v>
      </c>
      <c r="BV105" s="6">
        <v>3.34</v>
      </c>
      <c r="BW105" s="6">
        <v>5.46</v>
      </c>
      <c r="BX105" s="6">
        <v>4.66</v>
      </c>
      <c r="BY105" s="6">
        <v>3.06</v>
      </c>
      <c r="BZ105" s="6">
        <v>5</v>
      </c>
      <c r="CA105" s="6">
        <v>3.08</v>
      </c>
      <c r="CB105" s="6">
        <v>4.82</v>
      </c>
      <c r="CC105" s="6">
        <v>7.3</v>
      </c>
      <c r="CD105" s="6">
        <v>4.68</v>
      </c>
      <c r="CE105" s="6">
        <v>3.66</v>
      </c>
      <c r="CF105" s="6">
        <v>3.68</v>
      </c>
      <c r="CG105" s="6">
        <v>2.72</v>
      </c>
      <c r="CH105" s="6">
        <v>5.62</v>
      </c>
      <c r="CI105" s="11">
        <v>3</v>
      </c>
      <c r="CJ105" s="11">
        <v>2.9</v>
      </c>
      <c r="CK105" s="6">
        <v>2.82</v>
      </c>
      <c r="CL105" s="6">
        <v>6.18</v>
      </c>
      <c r="CM105" s="6">
        <v>6.14</v>
      </c>
      <c r="CN105" s="6">
        <v>4.3099999999999996</v>
      </c>
      <c r="CO105" s="10">
        <v>3.36</v>
      </c>
      <c r="CP105" s="10"/>
    </row>
    <row r="106" spans="1:94" ht="15.75" customHeight="1" x14ac:dyDescent="0.25">
      <c r="A106" s="4">
        <v>105</v>
      </c>
      <c r="B106" s="4"/>
      <c r="C106" s="4">
        <v>14</v>
      </c>
      <c r="D106" s="8">
        <v>2.46</v>
      </c>
      <c r="E106" s="8">
        <v>6.24</v>
      </c>
      <c r="F106" s="8">
        <v>3.22</v>
      </c>
      <c r="G106" s="8">
        <v>5.38</v>
      </c>
      <c r="H106" s="8">
        <v>3.33</v>
      </c>
      <c r="I106" s="8">
        <v>2.2599999999999998</v>
      </c>
      <c r="J106" s="8">
        <v>2.62</v>
      </c>
      <c r="K106" s="8">
        <v>2.83</v>
      </c>
      <c r="L106" s="8">
        <v>4.9800000000000004</v>
      </c>
      <c r="M106" s="8">
        <v>4.03</v>
      </c>
      <c r="N106" s="8">
        <v>3.04</v>
      </c>
      <c r="O106" s="8">
        <v>3.66</v>
      </c>
      <c r="P106" s="8">
        <v>2.4</v>
      </c>
      <c r="Q106" s="8">
        <v>3.51</v>
      </c>
      <c r="R106" s="8">
        <v>2.89</v>
      </c>
      <c r="S106" s="8">
        <v>3.08</v>
      </c>
      <c r="T106" s="8">
        <v>4.2300000000000004</v>
      </c>
      <c r="U106" s="8">
        <v>2.93</v>
      </c>
      <c r="V106" s="8">
        <v>5.39</v>
      </c>
      <c r="W106" s="8">
        <v>3.33</v>
      </c>
      <c r="X106" s="8">
        <v>5.31</v>
      </c>
      <c r="Y106" s="8">
        <v>4.21</v>
      </c>
      <c r="Z106" s="8">
        <v>2.4700000000000002</v>
      </c>
      <c r="AA106" s="8">
        <v>4.33</v>
      </c>
      <c r="AB106" s="8">
        <v>2.63</v>
      </c>
      <c r="AC106" s="8">
        <v>2.25</v>
      </c>
      <c r="AD106" s="8">
        <v>2.81</v>
      </c>
      <c r="AE106" s="8">
        <v>3.66</v>
      </c>
      <c r="AF106" s="8">
        <v>3.03</v>
      </c>
      <c r="AG106" s="8">
        <v>2.08</v>
      </c>
      <c r="AH106" s="8">
        <v>2.34</v>
      </c>
      <c r="AI106" s="8">
        <v>3.64</v>
      </c>
      <c r="AJ106" s="8">
        <v>2.79</v>
      </c>
      <c r="AK106" s="8">
        <v>2.68</v>
      </c>
      <c r="AL106" s="8">
        <v>3.2</v>
      </c>
      <c r="AM106" s="8">
        <v>5.16</v>
      </c>
      <c r="AN106" s="8">
        <v>4.6100000000000003</v>
      </c>
      <c r="AO106" s="8">
        <v>5.32</v>
      </c>
      <c r="AP106" s="8">
        <v>2.8</v>
      </c>
      <c r="AQ106" s="8">
        <v>2.63</v>
      </c>
      <c r="AR106" s="8">
        <v>3.31</v>
      </c>
      <c r="AS106" s="8">
        <v>5.75</v>
      </c>
      <c r="AT106" s="8">
        <v>3.23</v>
      </c>
      <c r="AU106" s="11">
        <v>3.77</v>
      </c>
      <c r="AV106" s="6">
        <v>3.29</v>
      </c>
      <c r="AW106" s="6">
        <v>2.7</v>
      </c>
      <c r="AX106" s="6">
        <v>3.41</v>
      </c>
      <c r="AY106" s="6">
        <v>5.46</v>
      </c>
      <c r="AZ106" s="6">
        <v>3.01</v>
      </c>
      <c r="BA106" s="6">
        <v>3.26</v>
      </c>
      <c r="BB106" s="6">
        <v>2.34</v>
      </c>
      <c r="BC106" s="6">
        <v>3.33</v>
      </c>
      <c r="BD106" s="11">
        <v>3.64</v>
      </c>
      <c r="BE106" s="6">
        <v>2.1800000000000002</v>
      </c>
      <c r="BF106" s="6">
        <v>3.77</v>
      </c>
      <c r="BG106" s="6">
        <v>4.59</v>
      </c>
      <c r="BH106" s="6">
        <v>3.21</v>
      </c>
      <c r="BI106" s="6">
        <v>2.6</v>
      </c>
      <c r="BJ106" s="6">
        <v>4.9000000000000004</v>
      </c>
      <c r="BK106" s="6">
        <v>4.57</v>
      </c>
      <c r="BL106" s="6">
        <v>2.86</v>
      </c>
      <c r="BM106" s="6">
        <v>3.8</v>
      </c>
      <c r="BN106" s="6">
        <v>3.36</v>
      </c>
      <c r="BO106" s="6">
        <v>3.42</v>
      </c>
      <c r="BP106" s="6">
        <v>6.54</v>
      </c>
      <c r="BQ106" s="6">
        <v>3.74</v>
      </c>
      <c r="BR106" s="6">
        <v>2.88</v>
      </c>
      <c r="BS106" s="6">
        <v>4.84</v>
      </c>
      <c r="BT106" s="6">
        <v>2.8</v>
      </c>
      <c r="BU106" s="6">
        <v>3.38</v>
      </c>
      <c r="BV106" s="6">
        <v>3.64</v>
      </c>
      <c r="BW106" s="6">
        <v>5.5</v>
      </c>
      <c r="BX106" s="6">
        <v>4.88</v>
      </c>
      <c r="BY106" s="6">
        <v>3</v>
      </c>
      <c r="BZ106" s="6">
        <v>5</v>
      </c>
      <c r="CA106" s="6">
        <v>3.3</v>
      </c>
      <c r="CB106" s="6">
        <v>4.82</v>
      </c>
      <c r="CC106" s="6">
        <v>7.56</v>
      </c>
      <c r="CD106" s="6">
        <v>4.5999999999999996</v>
      </c>
      <c r="CE106" s="6">
        <v>3.72</v>
      </c>
      <c r="CF106" s="6">
        <v>3.7</v>
      </c>
      <c r="CG106" s="6">
        <v>2.7</v>
      </c>
      <c r="CH106" s="6">
        <v>5.36</v>
      </c>
      <c r="CI106" s="11">
        <v>3.2</v>
      </c>
      <c r="CJ106" s="11">
        <v>3.14</v>
      </c>
      <c r="CK106" s="6">
        <v>2.84</v>
      </c>
      <c r="CL106" s="6">
        <v>6.3</v>
      </c>
      <c r="CM106" s="6">
        <v>6.08</v>
      </c>
      <c r="CN106" s="6">
        <v>4.33</v>
      </c>
      <c r="CO106" s="10">
        <v>3.36</v>
      </c>
      <c r="CP106" s="10"/>
    </row>
    <row r="107" spans="1:94" ht="15.75" customHeight="1" x14ac:dyDescent="0.25">
      <c r="A107" s="4">
        <v>106</v>
      </c>
      <c r="B107" s="4"/>
      <c r="C107" s="4">
        <v>15</v>
      </c>
      <c r="D107" s="8">
        <v>2.48</v>
      </c>
      <c r="E107" s="8">
        <v>6.33</v>
      </c>
      <c r="F107" s="8">
        <v>3.2</v>
      </c>
      <c r="G107" s="8">
        <v>5.38</v>
      </c>
      <c r="H107" s="8">
        <v>3.43</v>
      </c>
      <c r="I107" s="8">
        <v>2.2999999999999998</v>
      </c>
      <c r="J107" s="8">
        <v>2.66</v>
      </c>
      <c r="K107" s="8">
        <v>2.95</v>
      </c>
      <c r="L107" s="8">
        <v>5.13</v>
      </c>
      <c r="M107" s="8">
        <v>4.0599999999999996</v>
      </c>
      <c r="N107" s="8">
        <v>3.18</v>
      </c>
      <c r="O107" s="8">
        <v>3.73</v>
      </c>
      <c r="P107" s="8">
        <v>2.34</v>
      </c>
      <c r="Q107" s="8">
        <v>3.73</v>
      </c>
      <c r="R107" s="8">
        <v>2.96</v>
      </c>
      <c r="S107" s="8">
        <v>3.12</v>
      </c>
      <c r="T107" s="8">
        <v>4.3099999999999996</v>
      </c>
      <c r="U107" s="8">
        <v>2.99</v>
      </c>
      <c r="V107" s="8">
        <v>5.49</v>
      </c>
      <c r="W107" s="8">
        <v>3.48</v>
      </c>
      <c r="X107" s="8">
        <v>5.47</v>
      </c>
      <c r="Y107" s="8">
        <v>4.21</v>
      </c>
      <c r="Z107" s="8">
        <v>2.4500000000000002</v>
      </c>
      <c r="AA107" s="8">
        <v>4.37</v>
      </c>
      <c r="AB107" s="8">
        <v>2.69</v>
      </c>
      <c r="AC107" s="8">
        <v>2.2000000000000002</v>
      </c>
      <c r="AD107" s="8">
        <v>2.87</v>
      </c>
      <c r="AE107" s="8">
        <v>3.66</v>
      </c>
      <c r="AF107" s="8">
        <v>3.2</v>
      </c>
      <c r="AG107" s="8">
        <v>2.12</v>
      </c>
      <c r="AH107" s="8">
        <v>2.35</v>
      </c>
      <c r="AI107" s="8">
        <v>3.64</v>
      </c>
      <c r="AJ107" s="8">
        <v>2.89</v>
      </c>
      <c r="AK107" s="8">
        <v>2.89</v>
      </c>
      <c r="AL107" s="8">
        <v>3.27</v>
      </c>
      <c r="AM107" s="8">
        <v>5.31</v>
      </c>
      <c r="AN107" s="8">
        <v>4.67</v>
      </c>
      <c r="AO107" s="8">
        <v>5.34</v>
      </c>
      <c r="AP107" s="8">
        <v>2.83</v>
      </c>
      <c r="AQ107" s="8">
        <v>2.77</v>
      </c>
      <c r="AR107" s="8">
        <v>3.32</v>
      </c>
      <c r="AS107" s="8">
        <v>5.79</v>
      </c>
      <c r="AT107" s="8">
        <v>3.19</v>
      </c>
      <c r="AU107" s="6">
        <v>4.09</v>
      </c>
      <c r="AV107" s="6">
        <v>3.54</v>
      </c>
      <c r="AW107" s="6">
        <v>2.98</v>
      </c>
      <c r="AX107" s="6">
        <v>3.6</v>
      </c>
      <c r="AY107" s="6">
        <v>5.65</v>
      </c>
      <c r="AZ107" s="6">
        <v>3.04</v>
      </c>
      <c r="BA107" s="6">
        <v>3.29</v>
      </c>
      <c r="BB107" s="6">
        <v>2.39</v>
      </c>
      <c r="BC107" s="6">
        <v>3.4</v>
      </c>
      <c r="BD107" s="11">
        <v>3.68</v>
      </c>
      <c r="BE107" s="6">
        <v>2.2599999999999998</v>
      </c>
      <c r="BF107" s="6">
        <v>3.77</v>
      </c>
      <c r="BG107" s="6">
        <v>4.59</v>
      </c>
      <c r="BH107" s="6">
        <v>3.18</v>
      </c>
      <c r="BI107" s="6">
        <v>2.7</v>
      </c>
      <c r="BJ107" s="6">
        <v>4.9800000000000004</v>
      </c>
      <c r="BK107" s="6">
        <v>4.5999999999999996</v>
      </c>
      <c r="BL107" s="6">
        <v>2.8</v>
      </c>
      <c r="BM107" s="6">
        <v>3.9</v>
      </c>
      <c r="BN107" s="6">
        <v>3.72</v>
      </c>
      <c r="BO107" s="6">
        <v>3.68</v>
      </c>
      <c r="BP107" s="6">
        <v>6.66</v>
      </c>
      <c r="BQ107" s="6">
        <v>3.76</v>
      </c>
      <c r="BR107" s="6">
        <v>2.88</v>
      </c>
      <c r="BS107" s="6">
        <v>4.9800000000000004</v>
      </c>
      <c r="BT107" s="6">
        <v>2.88</v>
      </c>
      <c r="BU107" s="6">
        <v>3.42</v>
      </c>
      <c r="BV107" s="6">
        <v>3.82</v>
      </c>
      <c r="BW107" s="6">
        <v>5.36</v>
      </c>
      <c r="BX107" s="6">
        <v>5.0599999999999996</v>
      </c>
      <c r="BY107" s="6">
        <v>2.98</v>
      </c>
      <c r="BZ107" s="6">
        <v>5</v>
      </c>
      <c r="CA107" s="6">
        <v>3.62</v>
      </c>
      <c r="CB107" s="6">
        <v>4.84</v>
      </c>
      <c r="CC107" s="6">
        <v>7.78</v>
      </c>
      <c r="CD107" s="6">
        <v>4.5</v>
      </c>
      <c r="CE107" s="6">
        <v>3.72</v>
      </c>
      <c r="CF107" s="6">
        <v>3.78</v>
      </c>
      <c r="CG107" s="6">
        <v>2.85</v>
      </c>
      <c r="CH107" s="6">
        <v>5.16</v>
      </c>
      <c r="CI107" s="11">
        <v>3.4</v>
      </c>
      <c r="CJ107" s="11">
        <v>3.34</v>
      </c>
      <c r="CK107" s="6">
        <v>2.88</v>
      </c>
      <c r="CL107" s="6">
        <v>6.4</v>
      </c>
      <c r="CM107" s="6">
        <v>6.05</v>
      </c>
      <c r="CN107" s="6">
        <v>4.3899999999999997</v>
      </c>
      <c r="CO107" s="10">
        <v>3.39</v>
      </c>
      <c r="CP107" s="10"/>
    </row>
    <row r="108" spans="1:94" ht="15.75" customHeight="1" x14ac:dyDescent="0.25">
      <c r="A108" s="4">
        <v>107</v>
      </c>
      <c r="B108" s="4"/>
      <c r="C108" s="4">
        <v>16</v>
      </c>
      <c r="D108" s="8">
        <v>2.52</v>
      </c>
      <c r="E108" s="8">
        <v>6.53</v>
      </c>
      <c r="F108" s="8">
        <v>3.24</v>
      </c>
      <c r="G108" s="8">
        <v>5.38</v>
      </c>
      <c r="H108" s="8">
        <v>3.53</v>
      </c>
      <c r="I108" s="8">
        <v>2.34</v>
      </c>
      <c r="J108" s="8">
        <v>2.68</v>
      </c>
      <c r="K108" s="8">
        <v>3.03</v>
      </c>
      <c r="L108" s="8">
        <v>5.23</v>
      </c>
      <c r="M108" s="8">
        <v>4.08</v>
      </c>
      <c r="N108" s="8">
        <v>3.3</v>
      </c>
      <c r="O108" s="8">
        <v>3.8</v>
      </c>
      <c r="P108" s="8">
        <v>2.33</v>
      </c>
      <c r="Q108" s="8">
        <v>3.98</v>
      </c>
      <c r="R108" s="8">
        <v>3.03</v>
      </c>
      <c r="S108" s="8">
        <v>3.22</v>
      </c>
      <c r="T108" s="8">
        <v>4.42</v>
      </c>
      <c r="U108" s="8">
        <v>3.04</v>
      </c>
      <c r="V108" s="8">
        <v>5.66</v>
      </c>
      <c r="W108" s="8">
        <v>3.63</v>
      </c>
      <c r="X108" s="8">
        <v>5.52</v>
      </c>
      <c r="Y108" s="8">
        <v>4.2300000000000004</v>
      </c>
      <c r="Z108" s="8">
        <v>2.4500000000000002</v>
      </c>
      <c r="AA108" s="8">
        <v>4.41</v>
      </c>
      <c r="AB108" s="8">
        <v>2.69</v>
      </c>
      <c r="AC108" s="8">
        <v>2.2000000000000002</v>
      </c>
      <c r="AD108" s="8">
        <v>2.9</v>
      </c>
      <c r="AE108" s="8">
        <v>3.66</v>
      </c>
      <c r="AF108" s="8">
        <v>3.37</v>
      </c>
      <c r="AG108" s="8">
        <v>2.14</v>
      </c>
      <c r="AH108" s="8">
        <v>2.38</v>
      </c>
      <c r="AI108" s="8">
        <v>3.61</v>
      </c>
      <c r="AJ108" s="8">
        <v>2.97</v>
      </c>
      <c r="AK108" s="8">
        <v>3.25</v>
      </c>
      <c r="AL108" s="8">
        <v>3.34</v>
      </c>
      <c r="AM108" s="8">
        <v>5.39</v>
      </c>
      <c r="AN108" s="8">
        <v>4.67</v>
      </c>
      <c r="AO108" s="8">
        <v>5.3</v>
      </c>
      <c r="AP108" s="8">
        <v>2.86</v>
      </c>
      <c r="AQ108" s="8">
        <v>2.93</v>
      </c>
      <c r="AR108" s="8">
        <v>3.33</v>
      </c>
      <c r="AS108" s="8">
        <v>5.83</v>
      </c>
      <c r="AT108" s="8">
        <v>3.19</v>
      </c>
      <c r="AU108" s="6">
        <v>4.28</v>
      </c>
      <c r="AV108" s="6">
        <v>3.7</v>
      </c>
      <c r="AW108" s="6">
        <v>3</v>
      </c>
      <c r="AX108" s="6">
        <v>3.78</v>
      </c>
      <c r="AY108" s="6">
        <v>5.84</v>
      </c>
      <c r="AZ108" s="6">
        <v>3.08</v>
      </c>
      <c r="BA108" s="6">
        <v>3.3</v>
      </c>
      <c r="BB108" s="6">
        <v>2.42</v>
      </c>
      <c r="BC108" s="6">
        <v>3.46</v>
      </c>
      <c r="BD108" s="11">
        <v>3.76</v>
      </c>
      <c r="BE108" s="6">
        <v>2.35</v>
      </c>
      <c r="BF108" s="6">
        <v>3.8</v>
      </c>
      <c r="BG108" s="6">
        <v>4.6500000000000004</v>
      </c>
      <c r="BH108" s="6">
        <v>3.19</v>
      </c>
      <c r="BI108" s="6">
        <v>2.78</v>
      </c>
      <c r="BJ108" s="6">
        <v>5.0599999999999996</v>
      </c>
      <c r="BK108" s="6">
        <v>4.68</v>
      </c>
      <c r="BL108" s="6">
        <v>2.8</v>
      </c>
      <c r="BM108" s="6">
        <v>3.94</v>
      </c>
      <c r="BN108" s="6">
        <v>3.86</v>
      </c>
      <c r="BO108" s="6">
        <v>4</v>
      </c>
      <c r="BP108" s="6">
        <v>6.74</v>
      </c>
      <c r="BQ108" s="6">
        <v>3.76</v>
      </c>
      <c r="BR108" s="6">
        <v>2.88</v>
      </c>
      <c r="BS108" s="6">
        <v>5.18</v>
      </c>
      <c r="BT108" s="6">
        <v>2.92</v>
      </c>
      <c r="BU108" s="6">
        <v>3.55</v>
      </c>
      <c r="BV108" s="6">
        <v>4.08</v>
      </c>
      <c r="BW108" s="6">
        <v>5.34</v>
      </c>
      <c r="BX108" s="6">
        <v>5.32</v>
      </c>
      <c r="BY108" s="6">
        <v>3</v>
      </c>
      <c r="BZ108" s="6">
        <v>5.0599999999999996</v>
      </c>
      <c r="CA108" s="6">
        <v>3.92</v>
      </c>
      <c r="CB108" s="6">
        <v>4.88</v>
      </c>
      <c r="CC108" s="6">
        <v>7.9</v>
      </c>
      <c r="CD108" s="6">
        <v>4.5199999999999996</v>
      </c>
      <c r="CE108" s="6">
        <v>3.82</v>
      </c>
      <c r="CF108" s="6">
        <v>3.88</v>
      </c>
      <c r="CG108" s="6">
        <v>2.98</v>
      </c>
      <c r="CH108" s="6">
        <v>5.3</v>
      </c>
      <c r="CI108" s="11">
        <v>3.5</v>
      </c>
      <c r="CJ108" s="11">
        <v>3.5</v>
      </c>
      <c r="CK108" s="6">
        <v>2.92</v>
      </c>
      <c r="CL108" s="6">
        <v>6.54</v>
      </c>
      <c r="CM108" s="6">
        <v>6.06</v>
      </c>
      <c r="CN108" s="6">
        <v>4.46</v>
      </c>
      <c r="CO108" s="10">
        <v>3.45</v>
      </c>
      <c r="CP108" s="10"/>
    </row>
    <row r="109" spans="1:94" ht="15.75" customHeight="1" x14ac:dyDescent="0.25">
      <c r="A109" s="4">
        <v>108</v>
      </c>
      <c r="B109" s="4"/>
      <c r="C109" s="4">
        <v>17</v>
      </c>
      <c r="D109" s="8">
        <v>2.56</v>
      </c>
      <c r="E109" s="8">
        <v>6.73</v>
      </c>
      <c r="F109" s="8">
        <v>3.28</v>
      </c>
      <c r="G109" s="8">
        <v>5.38</v>
      </c>
      <c r="H109" s="8">
        <v>3.68</v>
      </c>
      <c r="I109" s="8">
        <v>2.42</v>
      </c>
      <c r="J109" s="8">
        <v>2.68</v>
      </c>
      <c r="K109" s="8">
        <v>3.09</v>
      </c>
      <c r="L109" s="8">
        <v>5.38</v>
      </c>
      <c r="M109" s="8">
        <v>4.12</v>
      </c>
      <c r="N109" s="8">
        <v>3.36</v>
      </c>
      <c r="O109" s="8">
        <v>3.87</v>
      </c>
      <c r="P109" s="8">
        <v>2.33</v>
      </c>
      <c r="Q109" s="8">
        <v>4.25</v>
      </c>
      <c r="R109" s="8">
        <v>3.11</v>
      </c>
      <c r="S109" s="8">
        <v>3.36</v>
      </c>
      <c r="T109" s="8">
        <v>4.5599999999999996</v>
      </c>
      <c r="U109" s="8">
        <v>3.15</v>
      </c>
      <c r="V109" s="8">
        <v>5.71</v>
      </c>
      <c r="W109" s="8">
        <v>3.88</v>
      </c>
      <c r="X109" s="8">
        <v>5.52</v>
      </c>
      <c r="Y109" s="8">
        <v>4.3</v>
      </c>
      <c r="Z109" s="8">
        <v>2.4500000000000002</v>
      </c>
      <c r="AA109" s="8">
        <v>4.4400000000000004</v>
      </c>
      <c r="AB109" s="8">
        <v>2.69</v>
      </c>
      <c r="AC109" s="8">
        <v>2.1800000000000002</v>
      </c>
      <c r="AD109" s="8">
        <v>2.92</v>
      </c>
      <c r="AE109" s="8">
        <v>3.74</v>
      </c>
      <c r="AF109" s="8">
        <v>3.52</v>
      </c>
      <c r="AG109" s="8">
        <v>2.23</v>
      </c>
      <c r="AH109" s="8">
        <v>2.4</v>
      </c>
      <c r="AI109" s="8">
        <v>3.55</v>
      </c>
      <c r="AJ109" s="8">
        <v>3.03</v>
      </c>
      <c r="AK109" s="8">
        <v>3.67</v>
      </c>
      <c r="AL109" s="8">
        <v>3.5</v>
      </c>
      <c r="AM109" s="8">
        <v>5.48</v>
      </c>
      <c r="AN109" s="8">
        <v>4.6100000000000003</v>
      </c>
      <c r="AO109" s="8">
        <v>5.25</v>
      </c>
      <c r="AP109" s="8">
        <v>2.87</v>
      </c>
      <c r="AQ109" s="8">
        <v>3.13</v>
      </c>
      <c r="AR109" s="8">
        <v>3.33</v>
      </c>
      <c r="AS109" s="8">
        <v>5.87</v>
      </c>
      <c r="AT109" s="8">
        <v>3.19</v>
      </c>
      <c r="AU109" s="6">
        <v>4.53</v>
      </c>
      <c r="AV109" s="6">
        <v>3.79</v>
      </c>
      <c r="AW109" s="6">
        <v>3</v>
      </c>
      <c r="AX109" s="6">
        <v>4.03</v>
      </c>
      <c r="AY109" s="6">
        <v>6.01</v>
      </c>
      <c r="AZ109" s="6">
        <v>3.19</v>
      </c>
      <c r="BA109" s="6">
        <v>3.26</v>
      </c>
      <c r="BB109" s="6">
        <v>2.46</v>
      </c>
      <c r="BC109" s="6">
        <v>3.52</v>
      </c>
      <c r="BD109" s="11">
        <v>3.8</v>
      </c>
      <c r="BE109" s="6">
        <v>2.4500000000000002</v>
      </c>
      <c r="BF109" s="6">
        <v>3.83</v>
      </c>
      <c r="BG109" s="6">
        <v>4.76</v>
      </c>
      <c r="BH109" s="6">
        <v>3.23</v>
      </c>
      <c r="BI109" s="6">
        <v>2.78</v>
      </c>
      <c r="BJ109" s="6">
        <v>5.14</v>
      </c>
      <c r="BK109" s="6">
        <v>4.74</v>
      </c>
      <c r="BL109" s="6">
        <v>2.8</v>
      </c>
      <c r="BM109" s="6">
        <v>3.96</v>
      </c>
      <c r="BN109" s="6">
        <v>3.9</v>
      </c>
      <c r="BO109" s="6">
        <v>4.34</v>
      </c>
      <c r="BP109" s="6">
        <v>6.9</v>
      </c>
      <c r="BQ109" s="6">
        <v>4.0599999999999996</v>
      </c>
      <c r="BR109" s="6">
        <v>2.92</v>
      </c>
      <c r="BS109" s="6">
        <v>5.3</v>
      </c>
      <c r="BT109" s="6">
        <v>2.96</v>
      </c>
      <c r="BU109" s="6">
        <v>3.66</v>
      </c>
      <c r="BV109" s="6">
        <v>4.3600000000000003</v>
      </c>
      <c r="BW109" s="6">
        <v>5.34</v>
      </c>
      <c r="BX109" s="6">
        <v>5.4</v>
      </c>
      <c r="BY109" s="6">
        <v>3.08</v>
      </c>
      <c r="BZ109" s="6">
        <v>5.0999999999999996</v>
      </c>
      <c r="CA109" s="6">
        <v>4.32</v>
      </c>
      <c r="CB109" s="6">
        <v>4.88</v>
      </c>
      <c r="CC109" s="6">
        <v>8.2799999999999994</v>
      </c>
      <c r="CD109" s="6">
        <v>4.4000000000000004</v>
      </c>
      <c r="CE109" s="6">
        <v>3.9</v>
      </c>
      <c r="CF109" s="6">
        <v>3.98</v>
      </c>
      <c r="CG109" s="6">
        <v>3.3</v>
      </c>
      <c r="CH109" s="6">
        <v>5.2</v>
      </c>
      <c r="CI109" s="11">
        <v>3.6</v>
      </c>
      <c r="CJ109" s="11">
        <v>3.52</v>
      </c>
      <c r="CK109" s="6">
        <v>2.94</v>
      </c>
      <c r="CL109" s="6">
        <v>6.7</v>
      </c>
      <c r="CM109" s="6">
        <v>6.08</v>
      </c>
      <c r="CN109" s="6">
        <v>4.4800000000000004</v>
      </c>
      <c r="CO109" s="10">
        <v>3.52</v>
      </c>
      <c r="CP109" s="10"/>
    </row>
    <row r="110" spans="1:94" ht="15.75" customHeight="1" x14ac:dyDescent="0.25">
      <c r="A110" s="4">
        <v>109</v>
      </c>
      <c r="B110" s="4"/>
      <c r="C110" s="4">
        <v>18</v>
      </c>
      <c r="D110" s="8">
        <v>2.6</v>
      </c>
      <c r="E110" s="8">
        <v>6.88</v>
      </c>
      <c r="F110" s="8">
        <v>3.33</v>
      </c>
      <c r="G110" s="8">
        <v>5.38</v>
      </c>
      <c r="H110" s="8">
        <v>3.83</v>
      </c>
      <c r="I110" s="8">
        <v>2.48</v>
      </c>
      <c r="J110" s="8">
        <v>2.7</v>
      </c>
      <c r="K110" s="8">
        <v>3.14</v>
      </c>
      <c r="L110" s="8">
        <v>5.53</v>
      </c>
      <c r="M110" s="8">
        <v>4.16</v>
      </c>
      <c r="N110" s="8">
        <v>3.39</v>
      </c>
      <c r="O110" s="8">
        <v>3.94</v>
      </c>
      <c r="P110" s="8">
        <v>2.33</v>
      </c>
      <c r="Q110" s="8">
        <v>4.57</v>
      </c>
      <c r="R110" s="8">
        <v>3.22</v>
      </c>
      <c r="S110" s="8">
        <v>3.41</v>
      </c>
      <c r="T110" s="8">
        <v>4.7300000000000004</v>
      </c>
      <c r="U110" s="8">
        <v>3.31</v>
      </c>
      <c r="V110" s="8">
        <v>5.71</v>
      </c>
      <c r="W110" s="8">
        <v>4.1500000000000004</v>
      </c>
      <c r="X110" s="8">
        <v>5.48</v>
      </c>
      <c r="Y110" s="8">
        <v>4.3499999999999996</v>
      </c>
      <c r="Z110" s="8">
        <v>2.54</v>
      </c>
      <c r="AA110" s="8">
        <v>4.53</v>
      </c>
      <c r="AB110" s="8">
        <v>2.69</v>
      </c>
      <c r="AC110" s="8">
        <v>2.15</v>
      </c>
      <c r="AD110" s="8">
        <v>2.92</v>
      </c>
      <c r="AE110" s="8">
        <v>3.74</v>
      </c>
      <c r="AF110" s="8">
        <v>3.66</v>
      </c>
      <c r="AG110" s="8">
        <v>2.37</v>
      </c>
      <c r="AH110" s="8">
        <v>2.4300000000000002</v>
      </c>
      <c r="AI110" s="8">
        <v>3.53</v>
      </c>
      <c r="AJ110" s="8">
        <v>3.07</v>
      </c>
      <c r="AK110" s="8">
        <v>4.09</v>
      </c>
      <c r="AL110" s="8">
        <v>3.74</v>
      </c>
      <c r="AM110" s="8">
        <v>5.57</v>
      </c>
      <c r="AN110" s="8">
        <v>4.57</v>
      </c>
      <c r="AO110" s="8">
        <v>5.24</v>
      </c>
      <c r="AP110" s="8">
        <v>2.84</v>
      </c>
      <c r="AQ110" s="8">
        <v>3.33</v>
      </c>
      <c r="AR110" s="8">
        <v>3.32</v>
      </c>
      <c r="AS110" s="8">
        <v>5.91</v>
      </c>
      <c r="AT110" s="8">
        <v>3.21</v>
      </c>
      <c r="AU110" s="6">
        <v>4.76</v>
      </c>
      <c r="AV110" s="6">
        <v>3.9</v>
      </c>
      <c r="AW110" s="6">
        <v>2.98</v>
      </c>
      <c r="AX110" s="6">
        <v>4.32</v>
      </c>
      <c r="AY110" s="6">
        <v>6.19</v>
      </c>
      <c r="AZ110" s="6">
        <v>3.3</v>
      </c>
      <c r="BA110" s="6">
        <v>3.28</v>
      </c>
      <c r="BB110" s="6">
        <v>2.5</v>
      </c>
      <c r="BC110" s="6">
        <v>3.64</v>
      </c>
      <c r="BD110" s="11">
        <v>3.92</v>
      </c>
      <c r="BE110" s="6">
        <v>2.5099999999999998</v>
      </c>
      <c r="BF110" s="6">
        <v>3.89</v>
      </c>
      <c r="BG110" s="6">
        <v>4.96</v>
      </c>
      <c r="BH110" s="6">
        <v>3.27</v>
      </c>
      <c r="BI110" s="6">
        <v>2.78</v>
      </c>
      <c r="BJ110" s="6">
        <v>5.2</v>
      </c>
      <c r="BK110" s="6">
        <v>4.8</v>
      </c>
      <c r="BL110" s="6">
        <v>2.82</v>
      </c>
      <c r="BM110" s="6">
        <v>4</v>
      </c>
      <c r="BN110" s="6">
        <v>3.82</v>
      </c>
      <c r="BO110" s="6">
        <v>4.5199999999999996</v>
      </c>
      <c r="BP110" s="6">
        <v>7.05</v>
      </c>
      <c r="BQ110" s="6">
        <v>4.3499999999999996</v>
      </c>
      <c r="BR110" s="6">
        <v>3</v>
      </c>
      <c r="BS110" s="6">
        <v>5.4</v>
      </c>
      <c r="BT110" s="6">
        <v>3.06</v>
      </c>
      <c r="BU110" s="6">
        <v>3.72</v>
      </c>
      <c r="BV110" s="6">
        <v>4.66</v>
      </c>
      <c r="BW110" s="6">
        <v>5.3</v>
      </c>
      <c r="BX110" s="6">
        <v>5.58</v>
      </c>
      <c r="BY110" s="6">
        <v>3.1</v>
      </c>
      <c r="BZ110" s="6">
        <v>5.08</v>
      </c>
      <c r="CA110" s="6">
        <v>4.58</v>
      </c>
      <c r="CB110" s="6">
        <v>5.0199999999999996</v>
      </c>
      <c r="CC110" s="6">
        <v>8.3000000000000007</v>
      </c>
      <c r="CD110" s="6">
        <v>4.24</v>
      </c>
      <c r="CE110" s="6">
        <v>3.94</v>
      </c>
      <c r="CF110" s="6">
        <v>4.0199999999999996</v>
      </c>
      <c r="CG110" s="6">
        <v>3.6</v>
      </c>
      <c r="CH110" s="6">
        <v>5.16</v>
      </c>
      <c r="CI110" s="11">
        <v>4.16</v>
      </c>
      <c r="CJ110" s="11">
        <v>3.52</v>
      </c>
      <c r="CK110" s="6">
        <v>2.96</v>
      </c>
      <c r="CL110" s="6">
        <v>6.82</v>
      </c>
      <c r="CM110" s="6">
        <v>6.06</v>
      </c>
      <c r="CN110" s="6">
        <v>4.5</v>
      </c>
      <c r="CO110" s="10">
        <v>3.59</v>
      </c>
      <c r="CP110" s="10"/>
    </row>
    <row r="111" spans="1:94" ht="15.75" customHeight="1" x14ac:dyDescent="0.25">
      <c r="A111" s="4">
        <v>110</v>
      </c>
      <c r="B111" s="4"/>
      <c r="C111" s="4">
        <v>19</v>
      </c>
      <c r="D111" s="8">
        <v>2.68</v>
      </c>
      <c r="E111" s="8">
        <v>7.03</v>
      </c>
      <c r="F111" s="8">
        <v>3.38</v>
      </c>
      <c r="G111" s="8">
        <v>5.4</v>
      </c>
      <c r="H111" s="8">
        <v>3.98</v>
      </c>
      <c r="I111" s="8">
        <v>2.5299999999999998</v>
      </c>
      <c r="J111" s="8">
        <v>2.8</v>
      </c>
      <c r="K111" s="8">
        <v>3.2</v>
      </c>
      <c r="L111" s="8">
        <v>5.63</v>
      </c>
      <c r="M111" s="8">
        <v>4.21</v>
      </c>
      <c r="N111" s="8">
        <v>3.54</v>
      </c>
      <c r="O111" s="8">
        <v>4.01</v>
      </c>
      <c r="P111" s="8">
        <v>2.33</v>
      </c>
      <c r="Q111" s="8">
        <v>4.92</v>
      </c>
      <c r="R111" s="8">
        <v>3.31</v>
      </c>
      <c r="S111" s="8">
        <v>3.46</v>
      </c>
      <c r="T111" s="8">
        <v>4.88</v>
      </c>
      <c r="U111" s="8">
        <v>3.41</v>
      </c>
      <c r="V111" s="8">
        <v>6.01</v>
      </c>
      <c r="W111" s="8">
        <v>4.42</v>
      </c>
      <c r="X111" s="8">
        <v>5.43</v>
      </c>
      <c r="Y111" s="8">
        <v>4.37</v>
      </c>
      <c r="Z111" s="8">
        <v>2.59</v>
      </c>
      <c r="AA111" s="8">
        <v>4.6100000000000003</v>
      </c>
      <c r="AB111" s="8">
        <v>2.72</v>
      </c>
      <c r="AC111" s="8">
        <v>2.15</v>
      </c>
      <c r="AD111" s="8">
        <v>2.87</v>
      </c>
      <c r="AE111" s="8">
        <v>3.75</v>
      </c>
      <c r="AF111" s="8">
        <v>3.81</v>
      </c>
      <c r="AG111" s="8">
        <v>2.46</v>
      </c>
      <c r="AH111" s="8">
        <v>2.46</v>
      </c>
      <c r="AI111" s="8">
        <v>3.43</v>
      </c>
      <c r="AJ111" s="8">
        <v>3.09</v>
      </c>
      <c r="AK111" s="8">
        <v>4.4400000000000004</v>
      </c>
      <c r="AL111" s="8">
        <v>3.95</v>
      </c>
      <c r="AM111" s="8">
        <v>5.7</v>
      </c>
      <c r="AN111" s="8">
        <v>4.51</v>
      </c>
      <c r="AO111" s="8">
        <v>5.33</v>
      </c>
      <c r="AP111" s="8">
        <v>2.8</v>
      </c>
      <c r="AQ111" s="8">
        <v>3.39</v>
      </c>
      <c r="AR111" s="8">
        <v>3.28</v>
      </c>
      <c r="AS111" s="8">
        <v>5.95</v>
      </c>
      <c r="AT111" s="8">
        <v>3.21</v>
      </c>
      <c r="AU111" s="6">
        <v>4.9800000000000004</v>
      </c>
      <c r="AV111" s="6">
        <v>4.09</v>
      </c>
      <c r="AW111" s="6">
        <v>2.9</v>
      </c>
      <c r="AX111" s="6">
        <v>4.6100000000000003</v>
      </c>
      <c r="AY111" s="6">
        <v>6.36</v>
      </c>
      <c r="AZ111" s="6">
        <v>3.47</v>
      </c>
      <c r="BA111" s="6">
        <v>3.34</v>
      </c>
      <c r="BB111" s="6">
        <v>2.5099999999999998</v>
      </c>
      <c r="BC111" s="6">
        <v>3.76</v>
      </c>
      <c r="BD111" s="11">
        <v>4.03</v>
      </c>
      <c r="BE111" s="6">
        <v>2.57</v>
      </c>
      <c r="BF111" s="6">
        <v>3.93</v>
      </c>
      <c r="BG111" s="6">
        <v>5.19</v>
      </c>
      <c r="BH111" s="6">
        <v>3.32</v>
      </c>
      <c r="BI111" s="6">
        <v>2.82</v>
      </c>
      <c r="BJ111" s="6">
        <v>5.25</v>
      </c>
      <c r="BK111" s="6">
        <v>4.8</v>
      </c>
      <c r="BL111" s="6">
        <v>2.82</v>
      </c>
      <c r="BM111" s="6">
        <v>4.05</v>
      </c>
      <c r="BN111" s="6">
        <v>3.7</v>
      </c>
      <c r="BO111" s="6">
        <v>4.62</v>
      </c>
      <c r="BP111" s="6">
        <v>7.34</v>
      </c>
      <c r="BQ111" s="6">
        <v>4.66</v>
      </c>
      <c r="BR111" s="6">
        <v>3.02</v>
      </c>
      <c r="BS111" s="6">
        <v>5.48</v>
      </c>
      <c r="BT111" s="6">
        <v>3.18</v>
      </c>
      <c r="BU111" s="6">
        <v>3.76</v>
      </c>
      <c r="BV111" s="6">
        <v>5.04</v>
      </c>
      <c r="BW111" s="6">
        <v>5.28</v>
      </c>
      <c r="BX111" s="6">
        <v>5.72</v>
      </c>
      <c r="BY111" s="6">
        <v>3.16</v>
      </c>
      <c r="BZ111" s="6">
        <v>5.0599999999999996</v>
      </c>
      <c r="CA111" s="6">
        <v>4.8</v>
      </c>
      <c r="CB111" s="6">
        <v>5.04</v>
      </c>
      <c r="CC111" s="6">
        <v>8.5</v>
      </c>
      <c r="CD111" s="6">
        <v>4.18</v>
      </c>
      <c r="CE111" s="6">
        <v>3.94</v>
      </c>
      <c r="CF111" s="6">
        <v>4.0999999999999996</v>
      </c>
      <c r="CG111" s="6">
        <v>3.9</v>
      </c>
      <c r="CH111" s="6">
        <v>5.12</v>
      </c>
      <c r="CI111" s="11">
        <v>4.3</v>
      </c>
      <c r="CJ111" s="11">
        <v>3.6</v>
      </c>
      <c r="CK111" s="6">
        <v>2.98</v>
      </c>
      <c r="CL111" s="6">
        <v>7.26</v>
      </c>
      <c r="CM111" s="6">
        <v>6.06</v>
      </c>
      <c r="CN111" s="6">
        <v>4.5199999999999996</v>
      </c>
      <c r="CO111" s="10">
        <v>3.7</v>
      </c>
      <c r="CP111" s="10"/>
    </row>
    <row r="112" spans="1:94" ht="15.75" customHeight="1" x14ac:dyDescent="0.25">
      <c r="A112" s="4">
        <v>111</v>
      </c>
      <c r="B112" s="4"/>
      <c r="C112" s="4">
        <v>20</v>
      </c>
      <c r="D112" s="8">
        <v>2.78</v>
      </c>
      <c r="E112" s="8">
        <v>7.13</v>
      </c>
      <c r="F112" s="8">
        <v>3.43</v>
      </c>
      <c r="G112" s="8">
        <v>5.42</v>
      </c>
      <c r="H112" s="8">
        <v>4.13</v>
      </c>
      <c r="I112" s="8">
        <v>2.63</v>
      </c>
      <c r="J112" s="8">
        <v>2.88</v>
      </c>
      <c r="K112" s="8">
        <v>3.24</v>
      </c>
      <c r="L112" s="8">
        <v>5.68</v>
      </c>
      <c r="M112" s="8">
        <v>4.2699999999999996</v>
      </c>
      <c r="N112" s="8">
        <v>3.77</v>
      </c>
      <c r="O112" s="8">
        <v>4.08</v>
      </c>
      <c r="P112" s="8">
        <v>2.35</v>
      </c>
      <c r="Q112" s="8">
        <v>5.18</v>
      </c>
      <c r="R112" s="8">
        <v>3.36</v>
      </c>
      <c r="S112" s="8">
        <v>3.46</v>
      </c>
      <c r="T112" s="8">
        <v>4.9800000000000004</v>
      </c>
      <c r="U112" s="8">
        <v>3.61</v>
      </c>
      <c r="V112" s="8">
        <v>6.11</v>
      </c>
      <c r="W112" s="8">
        <v>4.67</v>
      </c>
      <c r="X112" s="8">
        <v>5.37</v>
      </c>
      <c r="Y112" s="8">
        <v>4.41</v>
      </c>
      <c r="Z112" s="8">
        <v>2.63</v>
      </c>
      <c r="AA112" s="8">
        <v>4.71</v>
      </c>
      <c r="AB112" s="8">
        <v>2.75</v>
      </c>
      <c r="AC112" s="8">
        <v>2.15</v>
      </c>
      <c r="AD112" s="8">
        <v>2.81</v>
      </c>
      <c r="AE112" s="8">
        <v>3.76</v>
      </c>
      <c r="AF112" s="8">
        <v>3.92</v>
      </c>
      <c r="AG112" s="8">
        <v>2.56</v>
      </c>
      <c r="AH112" s="8">
        <v>2.4900000000000002</v>
      </c>
      <c r="AI112" s="8">
        <v>3.37</v>
      </c>
      <c r="AJ112" s="8">
        <v>3.11</v>
      </c>
      <c r="AK112" s="8">
        <v>4.76</v>
      </c>
      <c r="AL112" s="8">
        <v>4.13</v>
      </c>
      <c r="AM112" s="8">
        <v>5.88</v>
      </c>
      <c r="AN112" s="8">
        <v>4.4400000000000004</v>
      </c>
      <c r="AO112" s="8">
        <v>5.29</v>
      </c>
      <c r="AP112" s="8">
        <v>2.74</v>
      </c>
      <c r="AQ112" s="8">
        <v>3.45</v>
      </c>
      <c r="AR112" s="8">
        <v>3.22</v>
      </c>
      <c r="AS112" s="8">
        <v>6.08</v>
      </c>
      <c r="AT112" s="8">
        <v>3.23</v>
      </c>
      <c r="AU112" s="6">
        <v>5.23</v>
      </c>
      <c r="AV112" s="6">
        <v>4.3</v>
      </c>
      <c r="AW112" s="6">
        <v>2.83</v>
      </c>
      <c r="AX112" s="6">
        <v>4.9000000000000004</v>
      </c>
      <c r="AY112" s="6">
        <v>6.53</v>
      </c>
      <c r="AZ112" s="6">
        <v>3.66</v>
      </c>
      <c r="BA112" s="6">
        <v>3.4</v>
      </c>
      <c r="BB112" s="6">
        <v>2.5099999999999998</v>
      </c>
      <c r="BC112" s="6">
        <v>3.9</v>
      </c>
      <c r="BD112" s="11">
        <v>4.18</v>
      </c>
      <c r="BE112" s="6">
        <v>2.66</v>
      </c>
      <c r="BF112" s="6">
        <v>3.99</v>
      </c>
      <c r="BG112" s="6">
        <v>5.38</v>
      </c>
      <c r="BH112" s="6">
        <v>3.4</v>
      </c>
      <c r="BI112" s="6">
        <v>2.82</v>
      </c>
      <c r="BJ112" s="6">
        <v>5.51</v>
      </c>
      <c r="BK112" s="6">
        <v>4.82</v>
      </c>
      <c r="BL112" s="6">
        <v>2.82</v>
      </c>
      <c r="BM112" s="6">
        <v>4.0599999999999996</v>
      </c>
      <c r="BN112" s="6">
        <v>3.76</v>
      </c>
      <c r="BO112" s="6">
        <v>4.7</v>
      </c>
      <c r="BP112" s="6">
        <v>7.6</v>
      </c>
      <c r="BQ112" s="6">
        <v>4.88</v>
      </c>
      <c r="BR112" s="6">
        <v>3.06</v>
      </c>
      <c r="BS112" s="6">
        <v>5.54</v>
      </c>
      <c r="BT112" s="6">
        <v>3.14</v>
      </c>
      <c r="BU112" s="6">
        <v>3.8</v>
      </c>
      <c r="BV112" s="6">
        <v>5.36</v>
      </c>
      <c r="BW112" s="6">
        <v>5.32</v>
      </c>
      <c r="BX112" s="6">
        <v>5.84</v>
      </c>
      <c r="BY112" s="6">
        <v>3.28</v>
      </c>
      <c r="BZ112" s="6">
        <v>5.04</v>
      </c>
      <c r="CA112" s="6">
        <v>5.3</v>
      </c>
      <c r="CB112" s="24">
        <v>5.0999999999999996</v>
      </c>
      <c r="CC112" s="6">
        <v>8.64</v>
      </c>
      <c r="CD112" s="6">
        <v>4.1399999999999997</v>
      </c>
      <c r="CE112" s="6">
        <v>3.96</v>
      </c>
      <c r="CF112" s="6">
        <v>4.1399999999999997</v>
      </c>
      <c r="CG112" s="6">
        <v>4.18</v>
      </c>
      <c r="CH112" s="6">
        <v>5.08</v>
      </c>
      <c r="CI112" s="11">
        <v>4.4400000000000004</v>
      </c>
      <c r="CJ112" s="11">
        <v>3.7</v>
      </c>
      <c r="CK112" s="6">
        <v>3</v>
      </c>
      <c r="CL112" s="6">
        <v>7.56</v>
      </c>
      <c r="CM112" s="6">
        <v>6.1</v>
      </c>
      <c r="CN112" s="6">
        <v>4.5199999999999996</v>
      </c>
      <c r="CO112" s="10">
        <v>3.82</v>
      </c>
      <c r="CP112" s="10"/>
    </row>
    <row r="113" spans="1:94" ht="15.75" customHeight="1" x14ac:dyDescent="0.25">
      <c r="A113" s="4">
        <v>112</v>
      </c>
      <c r="B113" s="4"/>
      <c r="C113" s="4">
        <v>21</v>
      </c>
      <c r="D113" s="8">
        <v>2.88</v>
      </c>
      <c r="E113" s="8">
        <v>7.23</v>
      </c>
      <c r="F113" s="8">
        <v>3.48</v>
      </c>
      <c r="G113" s="8">
        <v>5.48</v>
      </c>
      <c r="H113" s="8">
        <v>4.33</v>
      </c>
      <c r="I113" s="8">
        <v>2.73</v>
      </c>
      <c r="J113" s="8">
        <v>2.96</v>
      </c>
      <c r="K113" s="8">
        <v>3.26</v>
      </c>
      <c r="L113" s="8">
        <v>5.78</v>
      </c>
      <c r="M113" s="8">
        <v>4.3099999999999996</v>
      </c>
      <c r="N113" s="8">
        <v>4.1399999999999997</v>
      </c>
      <c r="O113" s="8">
        <v>4.17</v>
      </c>
      <c r="P113" s="8">
        <v>2.41</v>
      </c>
      <c r="Q113" s="8">
        <v>5.33</v>
      </c>
      <c r="R113" s="8">
        <v>3.43</v>
      </c>
      <c r="S113" s="8">
        <v>3.46</v>
      </c>
      <c r="T113" s="8">
        <v>5.0599999999999996</v>
      </c>
      <c r="U113" s="8">
        <v>3.73</v>
      </c>
      <c r="V113" s="8">
        <v>6.06</v>
      </c>
      <c r="W113" s="8">
        <v>4.88</v>
      </c>
      <c r="X113" s="8">
        <v>5.35</v>
      </c>
      <c r="Y113" s="8">
        <v>4.4800000000000004</v>
      </c>
      <c r="Z113" s="8">
        <v>2.73</v>
      </c>
      <c r="AA113" s="8">
        <v>4.87</v>
      </c>
      <c r="AB113" s="8">
        <v>2.85</v>
      </c>
      <c r="AC113" s="8">
        <v>2.25</v>
      </c>
      <c r="AD113" s="8">
        <v>2.78</v>
      </c>
      <c r="AE113" s="8">
        <v>3.77</v>
      </c>
      <c r="AF113" s="8">
        <v>4.03</v>
      </c>
      <c r="AG113" s="8">
        <v>2.61</v>
      </c>
      <c r="AH113" s="8">
        <v>2.5299999999999998</v>
      </c>
      <c r="AI113" s="8">
        <v>3.34</v>
      </c>
      <c r="AJ113" s="8">
        <v>3.17</v>
      </c>
      <c r="AK113" s="8">
        <v>4.9400000000000004</v>
      </c>
      <c r="AL113" s="8">
        <v>4.29</v>
      </c>
      <c r="AM113" s="8">
        <v>6.13</v>
      </c>
      <c r="AN113" s="8">
        <v>4.41</v>
      </c>
      <c r="AO113" s="8">
        <v>5.4</v>
      </c>
      <c r="AP113" s="8">
        <v>2.66</v>
      </c>
      <c r="AQ113" s="8">
        <v>3.51</v>
      </c>
      <c r="AR113" s="8">
        <v>3.16</v>
      </c>
      <c r="AS113" s="8">
        <v>6.22</v>
      </c>
      <c r="AT113" s="8">
        <v>3.25</v>
      </c>
      <c r="AU113" s="6">
        <v>5.44</v>
      </c>
      <c r="AV113" s="6">
        <v>4.51</v>
      </c>
      <c r="AW113" s="6">
        <v>2.78</v>
      </c>
      <c r="AX113" s="6">
        <v>5.09</v>
      </c>
      <c r="AY113" s="6">
        <v>6.65</v>
      </c>
      <c r="AZ113" s="6">
        <v>3.94</v>
      </c>
      <c r="BA113" s="6">
        <v>3.45</v>
      </c>
      <c r="BB113" s="6">
        <v>2.5099999999999998</v>
      </c>
      <c r="BC113" s="6">
        <v>4.01</v>
      </c>
      <c r="BD113" s="11">
        <v>4.3</v>
      </c>
      <c r="BE113" s="6">
        <v>2.72</v>
      </c>
      <c r="BF113" s="6">
        <v>4.01</v>
      </c>
      <c r="BG113" s="6">
        <v>5.42</v>
      </c>
      <c r="BH113" s="6">
        <v>3.5</v>
      </c>
      <c r="BI113" s="6">
        <v>2.84</v>
      </c>
      <c r="BJ113" s="6">
        <v>5.68</v>
      </c>
      <c r="BK113" s="6">
        <v>4.8600000000000003</v>
      </c>
      <c r="BL113" s="6">
        <v>2.82</v>
      </c>
      <c r="BM113" s="6">
        <v>4.0999999999999996</v>
      </c>
      <c r="BN113" s="6">
        <v>3.96</v>
      </c>
      <c r="BO113" s="6">
        <v>4.74</v>
      </c>
      <c r="BP113" s="6">
        <v>7.84</v>
      </c>
      <c r="BQ113" s="6">
        <v>5.0599999999999996</v>
      </c>
      <c r="BR113" s="6">
        <v>3.14</v>
      </c>
      <c r="BS113" s="6">
        <v>5.64</v>
      </c>
      <c r="BT113" s="6">
        <v>3.2</v>
      </c>
      <c r="BU113" s="6">
        <v>3.88</v>
      </c>
      <c r="BV113" s="6">
        <v>5.6</v>
      </c>
      <c r="BW113" s="6">
        <v>5.34</v>
      </c>
      <c r="BX113" s="6">
        <v>5.9</v>
      </c>
      <c r="BY113" s="6">
        <v>3.34</v>
      </c>
      <c r="BZ113" s="6">
        <v>4.96</v>
      </c>
      <c r="CA113" s="6">
        <v>5.84</v>
      </c>
      <c r="CB113" s="6">
        <v>5.2</v>
      </c>
      <c r="CC113" s="6">
        <v>8.8000000000000007</v>
      </c>
      <c r="CD113" s="6">
        <v>4.08</v>
      </c>
      <c r="CE113" s="6">
        <v>4.2</v>
      </c>
      <c r="CF113" s="6">
        <v>4.24</v>
      </c>
      <c r="CG113" s="6">
        <v>4.3</v>
      </c>
      <c r="CH113" s="6">
        <v>5.08</v>
      </c>
      <c r="CI113" s="11">
        <v>4.55</v>
      </c>
      <c r="CJ113" s="11">
        <v>3.76</v>
      </c>
      <c r="CK113" s="6">
        <v>3.18</v>
      </c>
      <c r="CL113" s="6">
        <v>7.7</v>
      </c>
      <c r="CM113" s="6">
        <v>6.16</v>
      </c>
      <c r="CN113" s="6">
        <v>4.53</v>
      </c>
      <c r="CO113" s="10">
        <v>3.91</v>
      </c>
      <c r="CP113" s="10"/>
    </row>
    <row r="114" spans="1:94" ht="15.75" customHeight="1" x14ac:dyDescent="0.25">
      <c r="A114" s="4">
        <v>113</v>
      </c>
      <c r="B114" s="4"/>
      <c r="C114" s="4">
        <v>22</v>
      </c>
      <c r="D114" s="8">
        <v>2.96</v>
      </c>
      <c r="E114" s="8">
        <v>7.28</v>
      </c>
      <c r="F114" s="8">
        <v>3.58</v>
      </c>
      <c r="G114" s="8">
        <v>5.53</v>
      </c>
      <c r="H114" s="8">
        <v>4.4800000000000004</v>
      </c>
      <c r="I114" s="8">
        <v>2.78</v>
      </c>
      <c r="J114" s="8">
        <v>3.06</v>
      </c>
      <c r="K114" s="8">
        <v>3.35</v>
      </c>
      <c r="L114" s="8">
        <v>5.88</v>
      </c>
      <c r="M114" s="8">
        <v>4.3499999999999996</v>
      </c>
      <c r="N114" s="8">
        <v>4.4800000000000004</v>
      </c>
      <c r="O114" s="8">
        <v>4.28</v>
      </c>
      <c r="P114" s="8">
        <v>2.46</v>
      </c>
      <c r="Q114" s="8">
        <v>5.51</v>
      </c>
      <c r="R114" s="8">
        <v>3.46</v>
      </c>
      <c r="S114" s="8">
        <v>3.51</v>
      </c>
      <c r="T114" s="8">
        <v>5.09</v>
      </c>
      <c r="U114" s="8">
        <v>3.81</v>
      </c>
      <c r="V114" s="8">
        <v>6.06</v>
      </c>
      <c r="W114" s="8">
        <v>5.08</v>
      </c>
      <c r="X114" s="8">
        <v>5.4</v>
      </c>
      <c r="Y114" s="8">
        <v>4.59</v>
      </c>
      <c r="Z114" s="8">
        <v>2.83</v>
      </c>
      <c r="AA114" s="8">
        <v>5.07</v>
      </c>
      <c r="AB114" s="8">
        <v>3.01</v>
      </c>
      <c r="AC114" s="8">
        <v>2.34</v>
      </c>
      <c r="AD114" s="8">
        <v>2.74</v>
      </c>
      <c r="AE114" s="8">
        <v>3.78</v>
      </c>
      <c r="AF114" s="8">
        <v>4.1100000000000003</v>
      </c>
      <c r="AG114" s="8">
        <v>2.7</v>
      </c>
      <c r="AH114" s="8">
        <v>2.56</v>
      </c>
      <c r="AI114" s="8">
        <v>3.28</v>
      </c>
      <c r="AJ114" s="8">
        <v>3.32</v>
      </c>
      <c r="AK114" s="8">
        <v>5.0999999999999996</v>
      </c>
      <c r="AL114" s="8">
        <v>4.5</v>
      </c>
      <c r="AM114" s="8">
        <v>6.41</v>
      </c>
      <c r="AN114" s="8">
        <v>4.51</v>
      </c>
      <c r="AO114" s="8">
        <v>5.59</v>
      </c>
      <c r="AP114" s="8">
        <v>2.58</v>
      </c>
      <c r="AQ114" s="8">
        <v>3.57</v>
      </c>
      <c r="AR114" s="8">
        <v>3.1</v>
      </c>
      <c r="AS114" s="8">
        <v>6.39</v>
      </c>
      <c r="AT114" s="8">
        <v>3.25</v>
      </c>
      <c r="AU114" s="6">
        <v>5.71</v>
      </c>
      <c r="AV114" s="6">
        <v>4.8</v>
      </c>
      <c r="AW114" s="6">
        <v>2.75</v>
      </c>
      <c r="AX114" s="6">
        <v>5.26</v>
      </c>
      <c r="AY114" s="6">
        <v>6.75</v>
      </c>
      <c r="AZ114" s="6">
        <v>4.21</v>
      </c>
      <c r="BA114" s="6">
        <v>3.54</v>
      </c>
      <c r="BB114" s="6">
        <v>2.5</v>
      </c>
      <c r="BC114" s="6">
        <v>4.1500000000000004</v>
      </c>
      <c r="BD114" s="11">
        <v>4.45</v>
      </c>
      <c r="BE114" s="6">
        <v>2.8</v>
      </c>
      <c r="BF114" s="6">
        <v>4.03</v>
      </c>
      <c r="BG114" s="6">
        <v>5.5</v>
      </c>
      <c r="BH114" s="6">
        <v>3.59</v>
      </c>
      <c r="BI114" s="6">
        <v>2.9</v>
      </c>
      <c r="BJ114" s="6">
        <v>5.85</v>
      </c>
      <c r="BK114" s="6">
        <v>4.8600000000000003</v>
      </c>
      <c r="BL114" s="6">
        <v>2.88</v>
      </c>
      <c r="BM114" s="6">
        <v>4.0599999999999996</v>
      </c>
      <c r="BN114" s="6">
        <v>4.0599999999999996</v>
      </c>
      <c r="BO114" s="6">
        <v>4.82</v>
      </c>
      <c r="BP114" s="6">
        <v>8.0399999999999991</v>
      </c>
      <c r="BQ114" s="6">
        <v>5.12</v>
      </c>
      <c r="BR114" s="6">
        <v>3.2</v>
      </c>
      <c r="BS114" s="6">
        <v>5.7</v>
      </c>
      <c r="BT114" s="6">
        <v>3.32</v>
      </c>
      <c r="BU114" s="6">
        <v>3.92</v>
      </c>
      <c r="BV114" s="6">
        <v>5.92</v>
      </c>
      <c r="BW114" s="6">
        <v>5.36</v>
      </c>
      <c r="BX114" s="6">
        <v>6</v>
      </c>
      <c r="BY114" s="6">
        <v>3.4</v>
      </c>
      <c r="BZ114" s="6">
        <v>5</v>
      </c>
      <c r="CA114" s="6">
        <v>6.28</v>
      </c>
      <c r="CB114" s="6">
        <v>5.32</v>
      </c>
      <c r="CC114" s="6">
        <v>9</v>
      </c>
      <c r="CD114" s="6">
        <v>4.12</v>
      </c>
      <c r="CE114" s="6">
        <v>4.3</v>
      </c>
      <c r="CF114" s="6">
        <v>4.5</v>
      </c>
      <c r="CG114" s="6">
        <v>4.4800000000000004</v>
      </c>
      <c r="CH114" s="6">
        <v>5.08</v>
      </c>
      <c r="CI114" s="11">
        <v>4.66</v>
      </c>
      <c r="CJ114" s="11">
        <v>3.76</v>
      </c>
      <c r="CK114" s="6">
        <v>3.38</v>
      </c>
      <c r="CL114" s="6">
        <v>8.0399999999999991</v>
      </c>
      <c r="CM114" s="6">
        <v>6.18</v>
      </c>
      <c r="CN114" s="6">
        <v>4.57</v>
      </c>
      <c r="CO114" s="10">
        <v>3.94</v>
      </c>
      <c r="CP114" s="10"/>
    </row>
    <row r="115" spans="1:94" ht="15.75" customHeight="1" x14ac:dyDescent="0.25">
      <c r="A115" s="4">
        <v>114</v>
      </c>
      <c r="B115" s="4"/>
      <c r="C115" s="4">
        <v>23</v>
      </c>
      <c r="D115" s="8">
        <v>3.04</v>
      </c>
      <c r="E115" s="8">
        <v>7.33</v>
      </c>
      <c r="F115" s="8">
        <v>3.68</v>
      </c>
      <c r="G115" s="8">
        <v>5.63</v>
      </c>
      <c r="H115" s="8">
        <v>4.67</v>
      </c>
      <c r="I115" s="8">
        <v>2.88</v>
      </c>
      <c r="J115" s="8">
        <v>3.14</v>
      </c>
      <c r="K115" s="8">
        <v>3.48</v>
      </c>
      <c r="L115" s="8">
        <v>5.98</v>
      </c>
      <c r="M115" s="8">
        <v>4.37</v>
      </c>
      <c r="N115" s="8">
        <v>4.6900000000000004</v>
      </c>
      <c r="O115" s="8">
        <v>4.38</v>
      </c>
      <c r="P115" s="8">
        <v>2.4900000000000002</v>
      </c>
      <c r="Q115" s="8">
        <v>5.72</v>
      </c>
      <c r="R115" s="8">
        <v>3.51</v>
      </c>
      <c r="S115" s="8">
        <v>3.61</v>
      </c>
      <c r="T115" s="8">
        <v>5.09</v>
      </c>
      <c r="U115" s="8">
        <v>3.86</v>
      </c>
      <c r="V115" s="8">
        <v>6.06</v>
      </c>
      <c r="W115" s="8">
        <v>5.26</v>
      </c>
      <c r="X115" s="8">
        <v>5.51</v>
      </c>
      <c r="Y115" s="8">
        <v>4.7300000000000004</v>
      </c>
      <c r="Z115" s="8">
        <v>2.95</v>
      </c>
      <c r="AA115" s="8">
        <v>5.23</v>
      </c>
      <c r="AB115" s="8">
        <v>3.25</v>
      </c>
      <c r="AC115" s="8">
        <v>2.5099999999999998</v>
      </c>
      <c r="AD115" s="8">
        <v>2.74</v>
      </c>
      <c r="AE115" s="8">
        <v>3.79</v>
      </c>
      <c r="AF115" s="8">
        <v>4.13</v>
      </c>
      <c r="AG115" s="8">
        <v>2.87</v>
      </c>
      <c r="AH115" s="8">
        <v>2.59</v>
      </c>
      <c r="AI115" s="8">
        <v>3.25</v>
      </c>
      <c r="AJ115" s="8">
        <v>3.53</v>
      </c>
      <c r="AK115" s="8">
        <v>5.26</v>
      </c>
      <c r="AL115" s="8">
        <v>4.6900000000000004</v>
      </c>
      <c r="AM115" s="8">
        <v>6.63</v>
      </c>
      <c r="AN115" s="8">
        <v>4.63</v>
      </c>
      <c r="AO115" s="8">
        <v>5.87</v>
      </c>
      <c r="AP115" s="8">
        <v>2.57</v>
      </c>
      <c r="AQ115" s="8">
        <v>3.63</v>
      </c>
      <c r="AR115" s="8">
        <v>3.04</v>
      </c>
      <c r="AS115" s="8">
        <v>6.51</v>
      </c>
      <c r="AT115" s="8">
        <v>3.29</v>
      </c>
      <c r="AU115" s="6">
        <v>5.98</v>
      </c>
      <c r="AV115" s="6">
        <v>5.15</v>
      </c>
      <c r="AW115" s="6">
        <v>2.79</v>
      </c>
      <c r="AX115" s="6">
        <v>5.67</v>
      </c>
      <c r="AY115" s="6">
        <v>6.84</v>
      </c>
      <c r="AZ115" s="6">
        <v>4.51</v>
      </c>
      <c r="BA115" s="6">
        <v>3.64</v>
      </c>
      <c r="BB115" s="6">
        <v>2.46</v>
      </c>
      <c r="BC115" s="6">
        <v>4.3</v>
      </c>
      <c r="BD115" s="11">
        <v>4.57</v>
      </c>
      <c r="BE115" s="6">
        <v>2.9</v>
      </c>
      <c r="BF115" s="6">
        <v>4.01</v>
      </c>
      <c r="BG115" s="6">
        <v>5.44</v>
      </c>
      <c r="BH115" s="6">
        <v>3.72</v>
      </c>
      <c r="BI115" s="6">
        <v>2.96</v>
      </c>
      <c r="BJ115" s="6">
        <v>6.08</v>
      </c>
      <c r="BK115" s="6">
        <v>4.88</v>
      </c>
      <c r="BL115" s="6">
        <v>2.92</v>
      </c>
      <c r="BM115" s="6">
        <v>4.08</v>
      </c>
      <c r="BN115" s="6">
        <v>4.26</v>
      </c>
      <c r="BO115" s="6">
        <v>5</v>
      </c>
      <c r="BP115" s="6">
        <v>8.14</v>
      </c>
      <c r="BQ115" s="6">
        <v>5.2</v>
      </c>
      <c r="BR115" s="6">
        <v>3.28</v>
      </c>
      <c r="BS115" s="6">
        <v>5.74</v>
      </c>
      <c r="BT115" s="6">
        <v>3.42</v>
      </c>
      <c r="BU115" s="6">
        <v>4</v>
      </c>
      <c r="BV115" s="6">
        <v>6.3</v>
      </c>
      <c r="BW115" s="6">
        <v>5.38</v>
      </c>
      <c r="BX115" s="6">
        <v>6.04</v>
      </c>
      <c r="BY115" s="6">
        <v>3.44</v>
      </c>
      <c r="BZ115" s="6">
        <v>5.0199999999999996</v>
      </c>
      <c r="CA115" s="6">
        <v>6.68</v>
      </c>
      <c r="CB115" s="6">
        <v>5.48</v>
      </c>
      <c r="CC115" s="6">
        <v>9.1</v>
      </c>
      <c r="CD115" s="6">
        <v>4.34</v>
      </c>
      <c r="CE115" s="6">
        <v>4.4000000000000004</v>
      </c>
      <c r="CF115" s="6">
        <v>4.54</v>
      </c>
      <c r="CG115" s="6">
        <v>4.66</v>
      </c>
      <c r="CH115" s="6">
        <v>5.22</v>
      </c>
      <c r="CI115" s="11">
        <v>4.76</v>
      </c>
      <c r="CJ115" s="11">
        <v>3.76</v>
      </c>
      <c r="CK115" s="6">
        <v>3.48</v>
      </c>
      <c r="CL115" s="9">
        <v>8.3000000000000007</v>
      </c>
      <c r="CM115" s="9">
        <v>6.2</v>
      </c>
      <c r="CN115" s="9">
        <v>4.6900000000000004</v>
      </c>
      <c r="CO115" s="10">
        <v>3.94</v>
      </c>
      <c r="CP115" s="10"/>
    </row>
    <row r="116" spans="1:94" ht="15.75" customHeight="1" x14ac:dyDescent="0.25">
      <c r="A116" s="4">
        <v>115</v>
      </c>
      <c r="B116" s="4"/>
      <c r="C116" s="4">
        <v>24</v>
      </c>
      <c r="D116" s="8">
        <v>3.13</v>
      </c>
      <c r="E116" s="8">
        <v>7.38</v>
      </c>
      <c r="F116" s="8">
        <v>3.83</v>
      </c>
      <c r="G116" s="8">
        <v>5.78</v>
      </c>
      <c r="H116" s="8">
        <v>4.92</v>
      </c>
      <c r="I116" s="8">
        <v>3.03</v>
      </c>
      <c r="J116" s="8">
        <v>3.21</v>
      </c>
      <c r="K116" s="8">
        <v>3.58</v>
      </c>
      <c r="L116" s="8">
        <v>6.13</v>
      </c>
      <c r="M116" s="8">
        <v>4.41</v>
      </c>
      <c r="N116" s="8">
        <v>4.83</v>
      </c>
      <c r="O116" s="8">
        <v>4.4800000000000004</v>
      </c>
      <c r="P116" s="8">
        <v>2.5099999999999998</v>
      </c>
      <c r="Q116" s="8">
        <v>5.94</v>
      </c>
      <c r="R116" s="8">
        <v>3.62</v>
      </c>
      <c r="S116" s="8">
        <v>3.61</v>
      </c>
      <c r="T116" s="8">
        <v>5.07</v>
      </c>
      <c r="U116" s="8">
        <v>3.91</v>
      </c>
      <c r="V116" s="8">
        <v>5.91</v>
      </c>
      <c r="W116" s="8">
        <v>5.41</v>
      </c>
      <c r="X116" s="8">
        <v>5.6</v>
      </c>
      <c r="Y116" s="8">
        <v>4.92</v>
      </c>
      <c r="Z116" s="8">
        <v>3.1</v>
      </c>
      <c r="AA116" s="8">
        <v>5.37</v>
      </c>
      <c r="AB116" s="8">
        <v>3.49</v>
      </c>
      <c r="AC116" s="8">
        <v>2.65</v>
      </c>
      <c r="AD116" s="8">
        <v>2.74</v>
      </c>
      <c r="AE116" s="8">
        <v>3.81</v>
      </c>
      <c r="AF116" s="8">
        <v>4.1500000000000004</v>
      </c>
      <c r="AG116" s="8">
        <v>3.05</v>
      </c>
      <c r="AH116" s="8">
        <v>2.62</v>
      </c>
      <c r="AI116" s="8">
        <v>3.27</v>
      </c>
      <c r="AJ116" s="8">
        <v>3.79</v>
      </c>
      <c r="AK116" s="8">
        <v>5.43</v>
      </c>
      <c r="AL116" s="8">
        <v>4.9000000000000004</v>
      </c>
      <c r="AM116" s="8">
        <v>6.77</v>
      </c>
      <c r="AN116" s="8">
        <v>4.75</v>
      </c>
      <c r="AO116" s="8">
        <v>6.13</v>
      </c>
      <c r="AP116" s="8">
        <v>2.5499999999999998</v>
      </c>
      <c r="AQ116" s="8">
        <v>3.69</v>
      </c>
      <c r="AR116" s="8">
        <v>2.98</v>
      </c>
      <c r="AS116" s="8">
        <v>6.59</v>
      </c>
      <c r="AT116" s="8">
        <v>3.33</v>
      </c>
      <c r="AU116" s="6">
        <v>6.3</v>
      </c>
      <c r="AV116" s="6">
        <v>5.48</v>
      </c>
      <c r="AW116" s="6">
        <v>2.81</v>
      </c>
      <c r="AX116" s="6">
        <v>6.13</v>
      </c>
      <c r="AY116" s="6">
        <v>6.9</v>
      </c>
      <c r="AZ116" s="6">
        <v>4.92</v>
      </c>
      <c r="BA116" s="6">
        <v>3.66</v>
      </c>
      <c r="BB116" s="6">
        <v>2.41</v>
      </c>
      <c r="BC116" s="6">
        <v>4.38</v>
      </c>
      <c r="BD116" s="11">
        <v>4.7</v>
      </c>
      <c r="BE116" s="6">
        <v>2.98</v>
      </c>
      <c r="BF116" s="6">
        <v>3.95</v>
      </c>
      <c r="BG116" s="6">
        <v>5.38</v>
      </c>
      <c r="BH116" s="6">
        <v>3.9</v>
      </c>
      <c r="BI116" s="6">
        <v>3.04</v>
      </c>
      <c r="BJ116" s="6">
        <v>6.22</v>
      </c>
      <c r="BK116" s="6">
        <v>4.9000000000000004</v>
      </c>
      <c r="BL116" s="6">
        <v>2.98</v>
      </c>
      <c r="BM116" s="6">
        <v>4.0599999999999996</v>
      </c>
      <c r="BN116" s="6">
        <v>4.5</v>
      </c>
      <c r="BO116" s="6">
        <v>5.15</v>
      </c>
      <c r="BP116" s="6">
        <v>8.26</v>
      </c>
      <c r="BQ116" s="6">
        <v>5.26</v>
      </c>
      <c r="BR116" s="6">
        <v>3.36</v>
      </c>
      <c r="BS116" s="6">
        <v>5.78</v>
      </c>
      <c r="BT116" s="6">
        <v>3.52</v>
      </c>
      <c r="BU116" s="6">
        <v>4.0999999999999996</v>
      </c>
      <c r="BV116" s="6">
        <v>6.68</v>
      </c>
      <c r="BW116" s="6">
        <v>5.36</v>
      </c>
      <c r="BX116" s="6">
        <v>6.06</v>
      </c>
      <c r="BY116" s="6">
        <v>3.58</v>
      </c>
      <c r="BZ116" s="6">
        <v>5.22</v>
      </c>
      <c r="CA116" s="6">
        <v>6.94</v>
      </c>
      <c r="CB116" s="6">
        <v>5.88</v>
      </c>
      <c r="CC116" s="6">
        <v>9.3000000000000007</v>
      </c>
      <c r="CD116" s="6">
        <v>4.4400000000000004</v>
      </c>
      <c r="CE116" s="6">
        <v>4.5999999999999996</v>
      </c>
      <c r="CF116" s="6">
        <v>4.6399999999999997</v>
      </c>
      <c r="CG116" s="6">
        <v>4.8</v>
      </c>
      <c r="CH116" s="6">
        <v>5.32</v>
      </c>
      <c r="CI116" s="11">
        <v>4.78</v>
      </c>
      <c r="CJ116" s="11">
        <v>3.76</v>
      </c>
      <c r="CK116" s="6">
        <v>3.68</v>
      </c>
      <c r="CL116" s="9">
        <v>8.44</v>
      </c>
      <c r="CM116" s="9">
        <v>6.08</v>
      </c>
      <c r="CN116" s="9">
        <v>4.83</v>
      </c>
      <c r="CO116" s="10">
        <v>3.96</v>
      </c>
      <c r="CP116" s="10"/>
    </row>
    <row r="117" spans="1:94" ht="15.75" customHeight="1" x14ac:dyDescent="0.25">
      <c r="A117" s="4">
        <v>116</v>
      </c>
      <c r="B117" s="4"/>
      <c r="C117" s="4">
        <v>25</v>
      </c>
      <c r="D117" s="8">
        <v>3.23</v>
      </c>
      <c r="E117" s="8">
        <v>7.43</v>
      </c>
      <c r="F117" s="8">
        <v>3.98</v>
      </c>
      <c r="G117" s="8">
        <v>5.93</v>
      </c>
      <c r="H117" s="8">
        <v>5.08</v>
      </c>
      <c r="I117" s="8">
        <v>3.13</v>
      </c>
      <c r="J117" s="8">
        <v>3.29</v>
      </c>
      <c r="K117" s="8">
        <v>3.69</v>
      </c>
      <c r="L117" s="8">
        <v>6.28</v>
      </c>
      <c r="M117" s="8">
        <v>4.46</v>
      </c>
      <c r="N117" s="8">
        <v>4.96</v>
      </c>
      <c r="O117" s="8">
        <v>4.58</v>
      </c>
      <c r="P117" s="8">
        <v>2.54</v>
      </c>
      <c r="Q117" s="8">
        <v>6.23</v>
      </c>
      <c r="R117" s="8">
        <v>3.82</v>
      </c>
      <c r="S117" s="8">
        <v>3.61</v>
      </c>
      <c r="T117" s="8">
        <v>5.04</v>
      </c>
      <c r="U117" s="8">
        <v>3.99</v>
      </c>
      <c r="V117" s="8">
        <v>6.01</v>
      </c>
      <c r="W117" s="8">
        <v>5.63</v>
      </c>
      <c r="X117" s="8">
        <v>5.68</v>
      </c>
      <c r="Y117" s="8">
        <v>5.15</v>
      </c>
      <c r="Z117" s="8">
        <v>3.24</v>
      </c>
      <c r="AA117" s="8">
        <v>5.45</v>
      </c>
      <c r="AB117" s="8">
        <v>3.67</v>
      </c>
      <c r="AC117" s="8">
        <v>2.75</v>
      </c>
      <c r="AD117" s="8">
        <v>2.73</v>
      </c>
      <c r="AE117" s="8">
        <v>3.84</v>
      </c>
      <c r="AF117" s="8">
        <v>4.1500000000000004</v>
      </c>
      <c r="AG117" s="8">
        <v>3.2</v>
      </c>
      <c r="AH117" s="8">
        <v>2.67</v>
      </c>
      <c r="AI117" s="8">
        <v>3.28</v>
      </c>
      <c r="AJ117" s="8">
        <v>4.13</v>
      </c>
      <c r="AK117" s="8">
        <v>5.68</v>
      </c>
      <c r="AL117" s="8">
        <v>5.12</v>
      </c>
      <c r="AM117" s="8">
        <v>6.85</v>
      </c>
      <c r="AN117" s="8">
        <v>4.83</v>
      </c>
      <c r="AO117" s="8">
        <v>6.39</v>
      </c>
      <c r="AP117" s="8">
        <v>2.52</v>
      </c>
      <c r="AQ117" s="8">
        <v>3.75</v>
      </c>
      <c r="AR117" s="8">
        <v>2.94</v>
      </c>
      <c r="AS117" s="8">
        <v>6.67</v>
      </c>
      <c r="AT117" s="8">
        <v>3.37</v>
      </c>
      <c r="AU117" s="6">
        <v>6.53</v>
      </c>
      <c r="AV117" s="6">
        <v>5.82</v>
      </c>
      <c r="AW117" s="6">
        <v>2.88</v>
      </c>
      <c r="AX117" s="6">
        <v>6.5</v>
      </c>
      <c r="AY117" s="6">
        <v>6.96</v>
      </c>
      <c r="AZ117" s="6">
        <v>5.34</v>
      </c>
      <c r="BA117" s="6">
        <v>3.75</v>
      </c>
      <c r="BB117" s="6">
        <v>2.35</v>
      </c>
      <c r="BC117" s="6">
        <v>4.46</v>
      </c>
      <c r="BD117" s="11">
        <v>4.8</v>
      </c>
      <c r="BE117" s="6">
        <v>3.03</v>
      </c>
      <c r="BF117" s="6">
        <v>3.9</v>
      </c>
      <c r="BG117" s="6">
        <v>5.34</v>
      </c>
      <c r="BH117" s="6">
        <v>4.03</v>
      </c>
      <c r="BI117" s="6">
        <v>3.06</v>
      </c>
      <c r="BJ117" s="6">
        <v>6.34</v>
      </c>
      <c r="BK117" s="6">
        <v>4.9400000000000004</v>
      </c>
      <c r="BL117" s="6">
        <v>3</v>
      </c>
      <c r="BM117" s="6">
        <v>4.03</v>
      </c>
      <c r="BN117" s="6">
        <v>4.8</v>
      </c>
      <c r="BO117" s="6">
        <v>5.38</v>
      </c>
      <c r="BP117" s="6">
        <v>8.3800000000000008</v>
      </c>
      <c r="BQ117" s="6">
        <v>5.36</v>
      </c>
      <c r="BR117" s="6">
        <v>3.48</v>
      </c>
      <c r="BS117" s="6">
        <v>5.8</v>
      </c>
      <c r="BT117" s="6">
        <v>3.72</v>
      </c>
      <c r="BU117" s="6">
        <v>4.18</v>
      </c>
      <c r="BV117" s="6">
        <v>7.02</v>
      </c>
      <c r="BW117" s="6">
        <v>5.34</v>
      </c>
      <c r="BX117" s="6">
        <v>6.06</v>
      </c>
      <c r="BY117" s="6">
        <v>3.69</v>
      </c>
      <c r="BZ117" s="6">
        <v>5.32</v>
      </c>
      <c r="CA117" s="6">
        <v>7.1</v>
      </c>
      <c r="CB117" s="6">
        <v>6.14</v>
      </c>
      <c r="CC117" s="6">
        <v>9.4</v>
      </c>
      <c r="CD117" s="6">
        <v>4.6399999999999997</v>
      </c>
      <c r="CE117" s="6">
        <v>4.7</v>
      </c>
      <c r="CF117" s="6">
        <v>4.74</v>
      </c>
      <c r="CG117" s="6">
        <v>4.9000000000000004</v>
      </c>
      <c r="CH117" s="6">
        <v>5.4</v>
      </c>
      <c r="CI117" s="11">
        <v>4.9000000000000004</v>
      </c>
      <c r="CJ117" s="11">
        <v>3.7</v>
      </c>
      <c r="CK117" s="6">
        <v>3.8</v>
      </c>
      <c r="CL117" s="6">
        <v>8.58</v>
      </c>
      <c r="CM117" s="6">
        <v>6.02</v>
      </c>
      <c r="CN117" s="6">
        <v>4.93</v>
      </c>
      <c r="CO117" s="10">
        <v>3.94</v>
      </c>
      <c r="CP117" s="10"/>
    </row>
    <row r="118" spans="1:94" ht="15.75" customHeight="1" x14ac:dyDescent="0.25">
      <c r="A118" s="4">
        <v>117</v>
      </c>
      <c r="B118" s="4"/>
      <c r="C118" s="4">
        <v>26</v>
      </c>
      <c r="D118" s="8">
        <v>3.28</v>
      </c>
      <c r="E118" s="8">
        <v>7.48</v>
      </c>
      <c r="F118" s="8">
        <v>4.13</v>
      </c>
      <c r="G118" s="8">
        <v>6.08</v>
      </c>
      <c r="H118" s="8">
        <v>5.23</v>
      </c>
      <c r="I118" s="8">
        <v>3.33</v>
      </c>
      <c r="J118" s="8">
        <v>3.36</v>
      </c>
      <c r="K118" s="8">
        <v>3.86</v>
      </c>
      <c r="L118" s="8">
        <v>6.48</v>
      </c>
      <c r="M118" s="8">
        <v>4.4800000000000004</v>
      </c>
      <c r="N118" s="8">
        <v>5.1100000000000003</v>
      </c>
      <c r="O118" s="8">
        <v>4.7300000000000004</v>
      </c>
      <c r="P118" s="8">
        <v>2.58</v>
      </c>
      <c r="Q118" s="8">
        <v>6.19</v>
      </c>
      <c r="R118" s="8">
        <v>3.95</v>
      </c>
      <c r="S118" s="8">
        <v>3.66</v>
      </c>
      <c r="T118" s="8">
        <v>5.04</v>
      </c>
      <c r="U118" s="8">
        <v>4.1399999999999997</v>
      </c>
      <c r="V118" s="8">
        <v>6.06</v>
      </c>
      <c r="W118" s="8">
        <v>5.81</v>
      </c>
      <c r="X118" s="8">
        <v>5.73</v>
      </c>
      <c r="Y118" s="8">
        <v>5.39</v>
      </c>
      <c r="Z118" s="8">
        <v>3.4</v>
      </c>
      <c r="AA118" s="8">
        <v>5.51</v>
      </c>
      <c r="AB118" s="8">
        <v>3.85</v>
      </c>
      <c r="AC118" s="8">
        <v>2.91</v>
      </c>
      <c r="AD118" s="8">
        <v>2.73</v>
      </c>
      <c r="AE118" s="8">
        <v>3.86</v>
      </c>
      <c r="AF118" s="8">
        <v>4.1500000000000004</v>
      </c>
      <c r="AG118" s="8">
        <v>3.31</v>
      </c>
      <c r="AH118" s="8">
        <v>2.73</v>
      </c>
      <c r="AI118" s="8">
        <v>3.28</v>
      </c>
      <c r="AJ118" s="8">
        <v>4.5</v>
      </c>
      <c r="AK118" s="8">
        <v>6.01</v>
      </c>
      <c r="AL118" s="8">
        <v>5.41</v>
      </c>
      <c r="AM118" s="8">
        <v>6.89</v>
      </c>
      <c r="AN118" s="8">
        <v>4.8899999999999997</v>
      </c>
      <c r="AO118" s="8">
        <v>6.63</v>
      </c>
      <c r="AP118" s="8">
        <v>2.52</v>
      </c>
      <c r="AQ118" s="8">
        <v>3.81</v>
      </c>
      <c r="AR118" s="8">
        <v>2.9</v>
      </c>
      <c r="AS118" s="8">
        <v>6.75</v>
      </c>
      <c r="AT118" s="8">
        <v>3.43</v>
      </c>
      <c r="AU118" s="6">
        <v>6.69</v>
      </c>
      <c r="AV118" s="6">
        <v>6.11</v>
      </c>
      <c r="AW118" s="6">
        <v>2.98</v>
      </c>
      <c r="AX118" s="6">
        <v>6.76</v>
      </c>
      <c r="AY118" s="6">
        <v>7.01</v>
      </c>
      <c r="AZ118" s="6">
        <v>5.73</v>
      </c>
      <c r="BA118" s="6">
        <v>3.9</v>
      </c>
      <c r="BB118" s="6">
        <v>2.31</v>
      </c>
      <c r="BC118" s="6">
        <v>4.51</v>
      </c>
      <c r="BD118" s="11">
        <v>4.9000000000000004</v>
      </c>
      <c r="BE118" s="6">
        <v>3.06</v>
      </c>
      <c r="BF118" s="6">
        <v>3.82</v>
      </c>
      <c r="BG118" s="6">
        <v>5.5</v>
      </c>
      <c r="BH118" s="6">
        <v>4.1900000000000004</v>
      </c>
      <c r="BI118" s="6">
        <v>3.1</v>
      </c>
      <c r="BJ118" s="6">
        <v>6.4</v>
      </c>
      <c r="BK118" s="6">
        <v>5.0199999999999996</v>
      </c>
      <c r="BL118" s="6">
        <v>3.1</v>
      </c>
      <c r="BM118" s="6">
        <v>4.0199999999999996</v>
      </c>
      <c r="BN118" s="6">
        <v>5.08</v>
      </c>
      <c r="BO118" s="6">
        <v>5.54</v>
      </c>
      <c r="BP118" s="6">
        <v>8.5</v>
      </c>
      <c r="BQ118" s="6">
        <v>5.56</v>
      </c>
      <c r="BR118" s="6">
        <v>3.54</v>
      </c>
      <c r="BS118" s="6">
        <v>5.86</v>
      </c>
      <c r="BT118" s="6">
        <v>3.96</v>
      </c>
      <c r="BU118" s="6">
        <v>4.28</v>
      </c>
      <c r="BV118" s="6">
        <v>7.3</v>
      </c>
      <c r="BW118" s="6">
        <v>5.36</v>
      </c>
      <c r="BX118" s="6">
        <v>6.02</v>
      </c>
      <c r="BY118" s="6">
        <v>3.8</v>
      </c>
      <c r="BZ118" s="6">
        <v>5.42</v>
      </c>
      <c r="CA118" s="6">
        <v>7.26</v>
      </c>
      <c r="CB118" s="6">
        <v>6.36</v>
      </c>
      <c r="CC118" s="6">
        <v>9.5</v>
      </c>
      <c r="CD118" s="6">
        <v>4.9000000000000004</v>
      </c>
      <c r="CE118" s="6">
        <v>4.78</v>
      </c>
      <c r="CF118" s="6">
        <v>4.8600000000000003</v>
      </c>
      <c r="CG118" s="6">
        <v>5.0199999999999996</v>
      </c>
      <c r="CH118" s="6">
        <v>5.46</v>
      </c>
      <c r="CI118" s="11">
        <v>5.0999999999999996</v>
      </c>
      <c r="CJ118" s="11">
        <v>3.76</v>
      </c>
      <c r="CK118" s="6">
        <v>3.84</v>
      </c>
      <c r="CL118" s="6">
        <v>8.7200000000000006</v>
      </c>
      <c r="CM118" s="6">
        <v>6.04</v>
      </c>
      <c r="CN118" s="6">
        <v>5</v>
      </c>
      <c r="CO118" s="10">
        <v>3.93</v>
      </c>
      <c r="CP118" s="10"/>
    </row>
    <row r="119" spans="1:94" ht="15.75" customHeight="1" x14ac:dyDescent="0.25">
      <c r="A119" s="4">
        <v>118</v>
      </c>
      <c r="B119" s="4"/>
      <c r="C119" s="4">
        <v>27</v>
      </c>
      <c r="D119" s="8">
        <v>3.38</v>
      </c>
      <c r="E119" s="8">
        <v>7.5</v>
      </c>
      <c r="F119" s="8">
        <v>4.2300000000000004</v>
      </c>
      <c r="G119" s="8">
        <v>6.33</v>
      </c>
      <c r="H119" s="8">
        <v>5.43</v>
      </c>
      <c r="I119" s="8">
        <v>3.48</v>
      </c>
      <c r="J119" s="8">
        <v>3.51</v>
      </c>
      <c r="K119" s="8">
        <v>4.0999999999999996</v>
      </c>
      <c r="L119" s="8">
        <v>6.63</v>
      </c>
      <c r="M119" s="8">
        <v>4.58</v>
      </c>
      <c r="N119" s="8">
        <v>5.26</v>
      </c>
      <c r="O119" s="8">
        <v>4.88</v>
      </c>
      <c r="P119" s="8">
        <v>2.65</v>
      </c>
      <c r="Q119" s="8">
        <v>6.22</v>
      </c>
      <c r="R119" s="8">
        <v>4.0599999999999996</v>
      </c>
      <c r="S119" s="8">
        <v>3.66</v>
      </c>
      <c r="T119" s="8">
        <v>5.04</v>
      </c>
      <c r="U119" s="8">
        <v>4.41</v>
      </c>
      <c r="V119" s="8">
        <v>6.14</v>
      </c>
      <c r="W119" s="8">
        <v>6.01</v>
      </c>
      <c r="X119" s="8">
        <v>5.77</v>
      </c>
      <c r="Y119" s="8">
        <v>5.67</v>
      </c>
      <c r="Z119" s="8">
        <v>3.56</v>
      </c>
      <c r="AA119" s="8">
        <v>5.55</v>
      </c>
      <c r="AB119" s="8">
        <v>4.01</v>
      </c>
      <c r="AC119" s="8">
        <v>3.13</v>
      </c>
      <c r="AD119" s="8">
        <v>2.73</v>
      </c>
      <c r="AE119" s="8">
        <v>3.88</v>
      </c>
      <c r="AF119" s="8">
        <v>4.17</v>
      </c>
      <c r="AG119" s="8">
        <v>3.42</v>
      </c>
      <c r="AH119" s="8">
        <v>2.8</v>
      </c>
      <c r="AI119" s="8">
        <v>3.27</v>
      </c>
      <c r="AJ119" s="8">
        <v>4.8899999999999997</v>
      </c>
      <c r="AK119" s="8">
        <v>6.33</v>
      </c>
      <c r="AL119" s="8">
        <v>5.77</v>
      </c>
      <c r="AM119" s="8">
        <v>6.92</v>
      </c>
      <c r="AN119" s="8">
        <v>4.9400000000000004</v>
      </c>
      <c r="AO119" s="8">
        <v>6.95</v>
      </c>
      <c r="AP119" s="8">
        <v>2.54</v>
      </c>
      <c r="AQ119" s="8">
        <v>3.87</v>
      </c>
      <c r="AR119" s="8">
        <v>2.89</v>
      </c>
      <c r="AS119" s="8">
        <v>6.91</v>
      </c>
      <c r="AT119" s="8">
        <v>3.48</v>
      </c>
      <c r="AU119" s="6">
        <v>6.82</v>
      </c>
      <c r="AV119" s="6">
        <v>6.34</v>
      </c>
      <c r="AW119" s="6">
        <v>3.25</v>
      </c>
      <c r="AX119" s="6">
        <v>7.03</v>
      </c>
      <c r="AY119" s="6">
        <v>7.07</v>
      </c>
      <c r="AZ119" s="6">
        <v>6.13</v>
      </c>
      <c r="BA119" s="6">
        <v>3.91</v>
      </c>
      <c r="BB119" s="6">
        <v>2.2799999999999998</v>
      </c>
      <c r="BC119" s="6">
        <v>4.57</v>
      </c>
      <c r="BD119" s="11">
        <v>4.99</v>
      </c>
      <c r="BE119" s="6">
        <v>3.1</v>
      </c>
      <c r="BF119" s="6">
        <v>3.81</v>
      </c>
      <c r="BG119" s="6">
        <v>5.69</v>
      </c>
      <c r="BH119" s="6">
        <v>4.38</v>
      </c>
      <c r="BI119" s="6">
        <v>3.16</v>
      </c>
      <c r="BJ119" s="6">
        <v>6.5</v>
      </c>
      <c r="BK119" s="6">
        <v>5.08</v>
      </c>
      <c r="BL119" s="6">
        <v>3.22</v>
      </c>
      <c r="BM119" s="6">
        <v>4.04</v>
      </c>
      <c r="BN119" s="6">
        <v>5.24</v>
      </c>
      <c r="BO119" s="6">
        <v>5.58</v>
      </c>
      <c r="BP119" s="6">
        <v>8.6199999999999992</v>
      </c>
      <c r="BQ119" s="6">
        <v>5.66</v>
      </c>
      <c r="BR119" s="6">
        <v>3.65</v>
      </c>
      <c r="BS119" s="6">
        <v>5.95</v>
      </c>
      <c r="BT119" s="6">
        <v>4.18</v>
      </c>
      <c r="BU119" s="6">
        <v>4.42</v>
      </c>
      <c r="BV119" s="6">
        <v>7.5</v>
      </c>
      <c r="BW119" s="6">
        <v>5.4</v>
      </c>
      <c r="BX119" s="6">
        <v>6.06</v>
      </c>
      <c r="BY119" s="6">
        <v>3.97</v>
      </c>
      <c r="BZ119" s="6">
        <v>5.46</v>
      </c>
      <c r="CA119" s="6">
        <v>7.38</v>
      </c>
      <c r="CB119" s="6">
        <v>6.5</v>
      </c>
      <c r="CC119" s="6">
        <v>9.6199999999999992</v>
      </c>
      <c r="CD119" s="6">
        <v>5.2</v>
      </c>
      <c r="CE119" s="6">
        <v>4.79</v>
      </c>
      <c r="CF119" s="6">
        <v>5.14</v>
      </c>
      <c r="CG119" s="6">
        <v>5.22</v>
      </c>
      <c r="CH119" s="6">
        <v>5.58</v>
      </c>
      <c r="CI119" s="11">
        <v>5.2</v>
      </c>
      <c r="CJ119" s="11">
        <v>3.76</v>
      </c>
      <c r="CK119" s="6">
        <v>3.84</v>
      </c>
      <c r="CL119" s="6">
        <v>8.9</v>
      </c>
      <c r="CM119" s="6">
        <v>6.14</v>
      </c>
      <c r="CN119" s="6">
        <v>5.18</v>
      </c>
      <c r="CO119" s="10">
        <v>3.96</v>
      </c>
      <c r="CP119" s="10"/>
    </row>
    <row r="120" spans="1:94" ht="15.75" customHeight="1" x14ac:dyDescent="0.25">
      <c r="A120" s="4">
        <v>119</v>
      </c>
      <c r="B120" s="4"/>
      <c r="C120" s="4">
        <v>28</v>
      </c>
      <c r="D120" s="8">
        <v>3.48</v>
      </c>
      <c r="E120" s="8">
        <v>7.52</v>
      </c>
      <c r="F120" s="8">
        <v>4.38</v>
      </c>
      <c r="G120" s="8">
        <v>6.53</v>
      </c>
      <c r="H120" s="8">
        <v>5.58</v>
      </c>
      <c r="I120" s="8">
        <v>3.68</v>
      </c>
      <c r="J120" s="8">
        <v>3.66</v>
      </c>
      <c r="K120" s="8">
        <v>4.34</v>
      </c>
      <c r="L120" s="8">
        <v>6.83</v>
      </c>
      <c r="M120" s="8">
        <v>4.67</v>
      </c>
      <c r="N120" s="8">
        <v>5.42</v>
      </c>
      <c r="O120" s="8">
        <v>5.03</v>
      </c>
      <c r="P120" s="8">
        <v>2.73</v>
      </c>
      <c r="Q120" s="8">
        <v>6.22</v>
      </c>
      <c r="R120" s="8">
        <v>4.1900000000000004</v>
      </c>
      <c r="S120" s="8">
        <v>3.66</v>
      </c>
      <c r="T120" s="8">
        <v>5.21</v>
      </c>
      <c r="U120" s="8">
        <v>4.67</v>
      </c>
      <c r="V120" s="8">
        <v>6.21</v>
      </c>
      <c r="W120" s="8">
        <v>6.43</v>
      </c>
      <c r="X120" s="8">
        <v>5.79</v>
      </c>
      <c r="Y120" s="8">
        <v>5.85</v>
      </c>
      <c r="Z120" s="8">
        <v>3.68</v>
      </c>
      <c r="AA120" s="8">
        <v>5.59</v>
      </c>
      <c r="AB120" s="8">
        <v>4.1900000000000004</v>
      </c>
      <c r="AC120" s="8">
        <v>3.31</v>
      </c>
      <c r="AD120" s="8">
        <v>2.75</v>
      </c>
      <c r="AE120" s="8">
        <v>3.93</v>
      </c>
      <c r="AF120" s="8">
        <v>4.1900000000000004</v>
      </c>
      <c r="AG120" s="8">
        <v>3.54</v>
      </c>
      <c r="AH120" s="8">
        <v>2.89</v>
      </c>
      <c r="AI120" s="8">
        <v>3.29</v>
      </c>
      <c r="AJ120" s="8">
        <v>5.24</v>
      </c>
      <c r="AK120" s="8">
        <v>6.55</v>
      </c>
      <c r="AL120" s="8">
        <v>6.18</v>
      </c>
      <c r="AM120" s="8">
        <v>6.94</v>
      </c>
      <c r="AN120" s="8">
        <v>4.96</v>
      </c>
      <c r="AO120" s="8">
        <v>7.4</v>
      </c>
      <c r="AP120" s="8">
        <v>2.62</v>
      </c>
      <c r="AQ120" s="8">
        <v>3.93</v>
      </c>
      <c r="AR120" s="8">
        <v>2.88</v>
      </c>
      <c r="AS120" s="8">
        <v>7.13</v>
      </c>
      <c r="AT120" s="8">
        <v>3.52</v>
      </c>
      <c r="AU120" s="6">
        <v>6.92</v>
      </c>
      <c r="AV120" s="6">
        <v>6.5</v>
      </c>
      <c r="AW120" s="6">
        <v>3.5</v>
      </c>
      <c r="AX120" s="6">
        <v>7.26</v>
      </c>
      <c r="AY120" s="6">
        <v>7.15</v>
      </c>
      <c r="AZ120" s="6">
        <v>6.48</v>
      </c>
      <c r="BA120" s="6">
        <v>3.92</v>
      </c>
      <c r="BB120" s="6">
        <v>2.27</v>
      </c>
      <c r="BC120" s="6">
        <v>4.6500000000000004</v>
      </c>
      <c r="BD120" s="11">
        <v>5.0999999999999996</v>
      </c>
      <c r="BE120" s="6">
        <v>3.11</v>
      </c>
      <c r="BF120" s="6">
        <v>3.85</v>
      </c>
      <c r="BG120" s="6">
        <v>5.9</v>
      </c>
      <c r="BH120" s="6">
        <v>4.53</v>
      </c>
      <c r="BI120" s="6">
        <v>3.22</v>
      </c>
      <c r="BJ120" s="6">
        <v>6.6</v>
      </c>
      <c r="BK120" s="6">
        <v>5.14</v>
      </c>
      <c r="BL120" s="6">
        <v>3.43</v>
      </c>
      <c r="BM120" s="6">
        <v>4.04</v>
      </c>
      <c r="BN120" s="6">
        <v>5.45</v>
      </c>
      <c r="BO120" s="6">
        <v>5.75</v>
      </c>
      <c r="BP120" s="6">
        <v>8.6999999999999993</v>
      </c>
      <c r="BQ120" s="6">
        <v>5.78</v>
      </c>
      <c r="BR120" s="6">
        <v>3.74</v>
      </c>
      <c r="BS120" s="6">
        <v>6.02</v>
      </c>
      <c r="BT120" s="6">
        <v>4.38</v>
      </c>
      <c r="BU120" s="6">
        <v>4.5</v>
      </c>
      <c r="BV120" s="6">
        <v>7.8</v>
      </c>
      <c r="BW120" s="6">
        <v>5.46</v>
      </c>
      <c r="BX120" s="6">
        <v>6.12</v>
      </c>
      <c r="BY120" s="6">
        <v>4.12</v>
      </c>
      <c r="BZ120" s="6">
        <v>5.5</v>
      </c>
      <c r="CA120" s="6">
        <v>7.58</v>
      </c>
      <c r="CB120" s="6">
        <v>6.72</v>
      </c>
      <c r="CC120" s="6">
        <v>9.64</v>
      </c>
      <c r="CD120" s="6">
        <v>5.48</v>
      </c>
      <c r="CE120" s="6">
        <v>4.8</v>
      </c>
      <c r="CF120" s="6">
        <v>5.3</v>
      </c>
      <c r="CG120" s="6">
        <v>5.36</v>
      </c>
      <c r="CH120" s="6">
        <v>5.28</v>
      </c>
      <c r="CI120" s="11">
        <v>5.2</v>
      </c>
      <c r="CJ120" s="11">
        <v>3.98</v>
      </c>
      <c r="CK120" s="6">
        <v>3.8</v>
      </c>
      <c r="CL120" s="6">
        <v>8.9</v>
      </c>
      <c r="CM120" s="6">
        <v>6.22</v>
      </c>
      <c r="CN120" s="6">
        <v>5.31</v>
      </c>
      <c r="CO120" s="10">
        <v>3.98</v>
      </c>
      <c r="CP120" s="10"/>
    </row>
    <row r="121" spans="1:94" ht="15.75" customHeight="1" x14ac:dyDescent="0.25">
      <c r="A121" s="4">
        <v>120</v>
      </c>
      <c r="B121" s="4"/>
      <c r="C121" s="4">
        <v>29</v>
      </c>
      <c r="D121" s="8">
        <v>3.58</v>
      </c>
      <c r="E121" s="8">
        <v>7.5</v>
      </c>
      <c r="F121" s="8">
        <v>4.53</v>
      </c>
      <c r="G121" s="8">
        <v>6.78</v>
      </c>
      <c r="H121" s="8">
        <v>5.78</v>
      </c>
      <c r="I121" s="8">
        <v>3.88</v>
      </c>
      <c r="J121" s="8">
        <v>3.86</v>
      </c>
      <c r="K121" s="8">
        <v>4.5599999999999996</v>
      </c>
      <c r="L121" s="8">
        <v>7.03</v>
      </c>
      <c r="M121" s="8">
        <v>4.8</v>
      </c>
      <c r="N121" s="8">
        <v>5.65</v>
      </c>
      <c r="O121" s="8">
        <v>5.18</v>
      </c>
      <c r="P121" s="8">
        <v>2.81</v>
      </c>
      <c r="Q121" s="8">
        <v>6.18</v>
      </c>
      <c r="R121" s="8">
        <v>4.3499999999999996</v>
      </c>
      <c r="S121" s="8">
        <v>3.61</v>
      </c>
      <c r="T121" s="8">
        <v>5.41</v>
      </c>
      <c r="U121" s="8">
        <v>4.96</v>
      </c>
      <c r="V121" s="8">
        <v>6.29</v>
      </c>
      <c r="W121" s="8">
        <v>6.88</v>
      </c>
      <c r="X121" s="8">
        <v>5.83</v>
      </c>
      <c r="Y121" s="8">
        <v>5.93</v>
      </c>
      <c r="Z121" s="8">
        <v>3.79</v>
      </c>
      <c r="AA121" s="8">
        <v>5.71</v>
      </c>
      <c r="AB121" s="8">
        <v>4.3899999999999997</v>
      </c>
      <c r="AC121" s="8">
        <v>3.47</v>
      </c>
      <c r="AD121" s="8">
        <v>2.83</v>
      </c>
      <c r="AE121" s="8">
        <v>3.95</v>
      </c>
      <c r="AF121" s="8">
        <v>4.25</v>
      </c>
      <c r="AG121" s="8">
        <v>3.64</v>
      </c>
      <c r="AH121" s="8">
        <v>2.97</v>
      </c>
      <c r="AI121" s="8">
        <v>3.36</v>
      </c>
      <c r="AJ121" s="8">
        <v>5.51</v>
      </c>
      <c r="AK121" s="8">
        <v>6.74</v>
      </c>
      <c r="AL121" s="8">
        <v>6.55</v>
      </c>
      <c r="AM121" s="8">
        <v>6.93</v>
      </c>
      <c r="AN121" s="8">
        <v>4.92</v>
      </c>
      <c r="AO121" s="8">
        <v>7.86</v>
      </c>
      <c r="AP121" s="8">
        <v>2.67</v>
      </c>
      <c r="AQ121" s="8">
        <v>3.99</v>
      </c>
      <c r="AR121" s="8">
        <v>2.88</v>
      </c>
      <c r="AS121" s="8">
        <v>7.35</v>
      </c>
      <c r="AT121" s="8">
        <v>3.52</v>
      </c>
      <c r="AU121" s="6">
        <v>7.03</v>
      </c>
      <c r="AV121" s="6">
        <v>6.65</v>
      </c>
      <c r="AW121" s="6">
        <v>3.64</v>
      </c>
      <c r="AX121" s="6">
        <v>7.53</v>
      </c>
      <c r="AY121" s="6">
        <v>7.28</v>
      </c>
      <c r="AZ121" s="6">
        <v>6.61</v>
      </c>
      <c r="BA121" s="6">
        <v>3.95</v>
      </c>
      <c r="BB121" s="6">
        <v>2.2799999999999998</v>
      </c>
      <c r="BC121" s="6">
        <v>4.67</v>
      </c>
      <c r="BD121" s="11">
        <v>5.28</v>
      </c>
      <c r="BE121" s="6">
        <v>3.1</v>
      </c>
      <c r="BF121" s="6">
        <v>3.9</v>
      </c>
      <c r="BG121" s="6">
        <v>6.09</v>
      </c>
      <c r="BH121" s="6">
        <v>4.78</v>
      </c>
      <c r="BI121" s="6">
        <v>3.26</v>
      </c>
      <c r="BJ121" s="6">
        <v>6.77</v>
      </c>
      <c r="BK121" s="6">
        <v>5.2</v>
      </c>
      <c r="BL121" s="6">
        <v>3.7</v>
      </c>
      <c r="BM121" s="6">
        <v>4</v>
      </c>
      <c r="BN121" s="6">
        <v>5.42</v>
      </c>
      <c r="BO121" s="6">
        <v>6</v>
      </c>
      <c r="BP121" s="6">
        <v>8.8000000000000007</v>
      </c>
      <c r="BQ121" s="6">
        <v>5.88</v>
      </c>
      <c r="BR121" s="6">
        <v>3.8</v>
      </c>
      <c r="BS121" s="6">
        <v>6.08</v>
      </c>
      <c r="BT121" s="6">
        <v>4.5999999999999996</v>
      </c>
      <c r="BU121" s="6">
        <v>4.72</v>
      </c>
      <c r="BV121" s="6">
        <v>7.9</v>
      </c>
      <c r="BW121" s="6">
        <v>5.52</v>
      </c>
      <c r="BX121" s="6">
        <v>6.26</v>
      </c>
      <c r="BY121" s="6">
        <v>4.3</v>
      </c>
      <c r="BZ121" s="6">
        <v>5.54</v>
      </c>
      <c r="CA121" s="6">
        <v>7.78</v>
      </c>
      <c r="CB121" s="6">
        <v>6.92</v>
      </c>
      <c r="CC121" s="6">
        <v>9.6999999999999993</v>
      </c>
      <c r="CD121" s="6">
        <v>5.88</v>
      </c>
      <c r="CE121" s="6">
        <v>4.8499999999999996</v>
      </c>
      <c r="CF121" s="6">
        <v>5.38</v>
      </c>
      <c r="CG121" s="6">
        <v>5.52</v>
      </c>
      <c r="CH121" s="6">
        <v>5.72</v>
      </c>
      <c r="CI121" s="11">
        <v>5.34</v>
      </c>
      <c r="CJ121" s="11">
        <v>4.1399999999999997</v>
      </c>
      <c r="CK121" s="6">
        <v>3.76</v>
      </c>
      <c r="CL121" s="6">
        <v>8.9</v>
      </c>
      <c r="CM121" s="6">
        <v>6.34</v>
      </c>
      <c r="CN121" s="6">
        <v>5.45</v>
      </c>
      <c r="CO121" s="10">
        <v>3.99</v>
      </c>
      <c r="CP121" s="10"/>
    </row>
    <row r="122" spans="1:94" ht="15.75" customHeight="1" x14ac:dyDescent="0.25">
      <c r="A122" s="4">
        <v>121</v>
      </c>
      <c r="B122" s="4"/>
      <c r="C122" s="4">
        <v>30</v>
      </c>
      <c r="D122" s="8">
        <v>3.63</v>
      </c>
      <c r="E122" s="8">
        <v>7.48</v>
      </c>
      <c r="F122" s="8">
        <v>4.7300000000000004</v>
      </c>
      <c r="G122" s="8">
        <v>7.13</v>
      </c>
      <c r="H122" s="8">
        <v>5.93</v>
      </c>
      <c r="I122" s="8">
        <v>4.13</v>
      </c>
      <c r="J122" s="8">
        <v>4.0599999999999996</v>
      </c>
      <c r="K122" s="8">
        <v>4.76</v>
      </c>
      <c r="L122" s="8">
        <v>7.23</v>
      </c>
      <c r="M122" s="8">
        <v>5</v>
      </c>
      <c r="N122" s="8">
        <v>5.9</v>
      </c>
      <c r="O122" s="8">
        <v>5.33</v>
      </c>
      <c r="P122" s="8">
        <v>2.89</v>
      </c>
      <c r="Q122" s="8">
        <v>6.23</v>
      </c>
      <c r="R122" s="8">
        <v>4.51</v>
      </c>
      <c r="S122" s="8">
        <v>3.61</v>
      </c>
      <c r="T122" s="8">
        <v>5.63</v>
      </c>
      <c r="U122" s="8">
        <v>5.24</v>
      </c>
      <c r="V122" s="8">
        <v>6.35</v>
      </c>
      <c r="W122" s="8">
        <v>7.23</v>
      </c>
      <c r="X122" s="8">
        <v>5.87</v>
      </c>
      <c r="Y122" s="8">
        <v>5.97</v>
      </c>
      <c r="Z122" s="8">
        <v>3.9</v>
      </c>
      <c r="AA122" s="8">
        <v>5.85</v>
      </c>
      <c r="AB122" s="8">
        <v>4.55</v>
      </c>
      <c r="AC122" s="8">
        <v>3.65</v>
      </c>
      <c r="AD122" s="8">
        <v>2.92</v>
      </c>
      <c r="AE122" s="8">
        <v>4.07</v>
      </c>
      <c r="AF122" s="8">
        <v>4.32</v>
      </c>
      <c r="AG122" s="8">
        <v>3.74</v>
      </c>
      <c r="AH122" s="8">
        <v>3.07</v>
      </c>
      <c r="AI122" s="8">
        <v>3.41</v>
      </c>
      <c r="AJ122" s="8">
        <v>5.68</v>
      </c>
      <c r="AK122" s="8">
        <v>6.83</v>
      </c>
      <c r="AL122" s="8">
        <v>6.86</v>
      </c>
      <c r="AM122" s="8">
        <v>6.92</v>
      </c>
      <c r="AN122" s="8">
        <v>4.9400000000000004</v>
      </c>
      <c r="AO122" s="8">
        <v>8.16</v>
      </c>
      <c r="AP122" s="8">
        <v>2.77</v>
      </c>
      <c r="AQ122" s="8">
        <v>4.1100000000000003</v>
      </c>
      <c r="AR122" s="8">
        <v>2.9</v>
      </c>
      <c r="AS122" s="8">
        <v>7.55</v>
      </c>
      <c r="AT122" s="8">
        <v>3.52</v>
      </c>
      <c r="AU122" s="6">
        <v>7.17</v>
      </c>
      <c r="AV122" s="6">
        <v>6.8</v>
      </c>
      <c r="AW122" s="6">
        <v>3.9</v>
      </c>
      <c r="AX122" s="6">
        <v>7.88</v>
      </c>
      <c r="AY122" s="6">
        <v>7.42</v>
      </c>
      <c r="AZ122" s="6">
        <v>7.09</v>
      </c>
      <c r="BA122" s="6">
        <v>3.97</v>
      </c>
      <c r="BB122" s="6">
        <v>2.36</v>
      </c>
      <c r="BC122" s="6">
        <v>4.7300000000000004</v>
      </c>
      <c r="BD122" s="11">
        <v>5.54</v>
      </c>
      <c r="BE122" s="6">
        <v>3.1</v>
      </c>
      <c r="BF122" s="6">
        <v>3.89</v>
      </c>
      <c r="BG122" s="6">
        <v>6.19</v>
      </c>
      <c r="BH122" s="6">
        <v>4.8600000000000003</v>
      </c>
      <c r="BI122" s="6">
        <v>3.36</v>
      </c>
      <c r="BJ122" s="6">
        <v>6.8</v>
      </c>
      <c r="BK122" s="6">
        <v>5.3</v>
      </c>
      <c r="BL122" s="6">
        <v>4</v>
      </c>
      <c r="BM122" s="6">
        <v>4</v>
      </c>
      <c r="BN122" s="6">
        <v>5.52</v>
      </c>
      <c r="BO122" s="6">
        <v>6.26</v>
      </c>
      <c r="BP122" s="6">
        <v>8.8000000000000007</v>
      </c>
      <c r="BQ122" s="6">
        <v>5.92</v>
      </c>
      <c r="BR122" s="6">
        <v>3.82</v>
      </c>
      <c r="BS122" s="6">
        <v>6.1</v>
      </c>
      <c r="BT122" s="6">
        <v>4.88</v>
      </c>
      <c r="BU122" s="6">
        <v>4.84</v>
      </c>
      <c r="BV122" s="6">
        <v>8.06</v>
      </c>
      <c r="BW122" s="6">
        <v>5.62</v>
      </c>
      <c r="BX122" s="6">
        <v>6.34</v>
      </c>
      <c r="BY122" s="6">
        <v>4.54</v>
      </c>
      <c r="BZ122" s="6">
        <v>5.7</v>
      </c>
      <c r="CA122" s="6">
        <v>8</v>
      </c>
      <c r="CB122" s="6">
        <v>7.18</v>
      </c>
      <c r="CC122" s="6">
        <v>9.8000000000000007</v>
      </c>
      <c r="CD122" s="6">
        <v>6.16</v>
      </c>
      <c r="CE122" s="6">
        <v>5.2</v>
      </c>
      <c r="CF122" s="6">
        <v>5.72</v>
      </c>
      <c r="CG122" s="6">
        <v>5.72</v>
      </c>
      <c r="CH122" s="6">
        <v>5.9</v>
      </c>
      <c r="CI122" s="11">
        <v>5.5</v>
      </c>
      <c r="CJ122" s="11">
        <v>4.4000000000000004</v>
      </c>
      <c r="CK122" s="6">
        <v>3.76</v>
      </c>
      <c r="CL122" s="6">
        <v>8.92</v>
      </c>
      <c r="CM122" s="6">
        <v>6.48</v>
      </c>
      <c r="CN122" s="6">
        <v>5.65</v>
      </c>
      <c r="CO122" s="10">
        <v>4.03</v>
      </c>
      <c r="CP122" s="10"/>
    </row>
    <row r="123" spans="1:94" ht="15.75" customHeight="1" x14ac:dyDescent="0.25">
      <c r="A123" s="4">
        <v>122</v>
      </c>
      <c r="B123" s="5" t="s">
        <v>8</v>
      </c>
      <c r="C123" s="4">
        <v>1</v>
      </c>
      <c r="D123" s="8">
        <v>3.68</v>
      </c>
      <c r="E123" s="8">
        <v>7.46</v>
      </c>
      <c r="F123" s="8">
        <v>4.83</v>
      </c>
      <c r="G123" s="8">
        <v>7.38</v>
      </c>
      <c r="H123" s="8">
        <v>6.13</v>
      </c>
      <c r="I123" s="8">
        <v>4.42</v>
      </c>
      <c r="J123" s="8">
        <v>4.17</v>
      </c>
      <c r="K123" s="8">
        <v>4.9400000000000004</v>
      </c>
      <c r="L123" s="8">
        <v>7.33</v>
      </c>
      <c r="M123" s="8">
        <v>5.27</v>
      </c>
      <c r="N123" s="8">
        <v>6.17</v>
      </c>
      <c r="O123" s="8">
        <v>5.48</v>
      </c>
      <c r="P123" s="8">
        <v>3</v>
      </c>
      <c r="Q123" s="8">
        <v>6.26</v>
      </c>
      <c r="R123" s="8">
        <v>4.7300000000000004</v>
      </c>
      <c r="S123" s="8">
        <v>3.66</v>
      </c>
      <c r="T123" s="8">
        <v>5.99</v>
      </c>
      <c r="U123" s="8">
        <v>5.48</v>
      </c>
      <c r="V123" s="8">
        <v>6.41</v>
      </c>
      <c r="W123" s="8">
        <v>7.48</v>
      </c>
      <c r="X123" s="8">
        <v>5.95</v>
      </c>
      <c r="Y123" s="8">
        <v>5.93</v>
      </c>
      <c r="Z123" s="8">
        <v>4.05</v>
      </c>
      <c r="AA123" s="8">
        <v>6.04</v>
      </c>
      <c r="AB123" s="8">
        <v>4.63</v>
      </c>
      <c r="AC123" s="8">
        <v>3.9</v>
      </c>
      <c r="AD123" s="8">
        <v>2.99</v>
      </c>
      <c r="AE123" s="8">
        <v>4.1900000000000004</v>
      </c>
      <c r="AF123" s="8">
        <v>4.3899999999999997</v>
      </c>
      <c r="AG123" s="8">
        <v>3.88</v>
      </c>
      <c r="AH123" s="8">
        <v>3.1</v>
      </c>
      <c r="AI123" s="8">
        <v>3.47</v>
      </c>
      <c r="AJ123" s="8">
        <v>5.87</v>
      </c>
      <c r="AK123" s="8">
        <v>6.84</v>
      </c>
      <c r="AL123" s="8">
        <v>7.1</v>
      </c>
      <c r="AM123" s="8">
        <v>6.95</v>
      </c>
      <c r="AN123" s="8">
        <v>5.0199999999999996</v>
      </c>
      <c r="AO123" s="8">
        <v>8.4600000000000009</v>
      </c>
      <c r="AP123" s="8">
        <v>2.82</v>
      </c>
      <c r="AQ123" s="8">
        <v>4.17</v>
      </c>
      <c r="AR123" s="8">
        <v>2.96</v>
      </c>
      <c r="AS123" s="8">
        <v>7.75</v>
      </c>
      <c r="AT123" s="8">
        <v>3.52</v>
      </c>
      <c r="AU123" s="6">
        <v>7.34</v>
      </c>
      <c r="AV123" s="6">
        <v>6.88</v>
      </c>
      <c r="AW123" s="6">
        <v>4.1900000000000004</v>
      </c>
      <c r="AX123" s="6">
        <v>8.2200000000000006</v>
      </c>
      <c r="AY123" s="6">
        <v>7.67</v>
      </c>
      <c r="AZ123" s="6">
        <v>7.38</v>
      </c>
      <c r="BA123" s="6">
        <v>3.99</v>
      </c>
      <c r="BB123" s="6">
        <v>2.4700000000000002</v>
      </c>
      <c r="BC123" s="6">
        <v>4.75</v>
      </c>
      <c r="BD123" s="11">
        <v>5.9</v>
      </c>
      <c r="BE123" s="6">
        <v>3.08</v>
      </c>
      <c r="BF123" s="6">
        <v>3.88</v>
      </c>
      <c r="BG123" s="6">
        <v>6.48</v>
      </c>
      <c r="BH123" s="6">
        <v>5</v>
      </c>
      <c r="BI123" s="6">
        <v>3.38</v>
      </c>
      <c r="BJ123" s="6">
        <v>6.9</v>
      </c>
      <c r="BK123" s="6">
        <v>5.45</v>
      </c>
      <c r="BL123" s="6">
        <v>4.24</v>
      </c>
      <c r="BM123" s="6">
        <v>4.09</v>
      </c>
      <c r="BN123" s="6">
        <v>5.66</v>
      </c>
      <c r="BO123" s="6">
        <v>6.48</v>
      </c>
      <c r="BP123" s="6">
        <v>8.8000000000000007</v>
      </c>
      <c r="BQ123" s="6">
        <v>5.92</v>
      </c>
      <c r="BR123" s="6">
        <v>3.88</v>
      </c>
      <c r="BS123" s="6">
        <v>6.26</v>
      </c>
      <c r="BT123" s="6">
        <v>5.0599999999999996</v>
      </c>
      <c r="BU123" s="6">
        <v>5.0999999999999996</v>
      </c>
      <c r="BV123" s="6">
        <v>8.1999999999999993</v>
      </c>
      <c r="BW123" s="6">
        <v>5.74</v>
      </c>
      <c r="BX123" s="6">
        <v>6.46</v>
      </c>
      <c r="BY123" s="6">
        <v>4.5999999999999996</v>
      </c>
      <c r="BZ123" s="6">
        <v>5.86</v>
      </c>
      <c r="CA123" s="6">
        <v>8.32</v>
      </c>
      <c r="CB123" s="6">
        <v>7.38</v>
      </c>
      <c r="CC123" s="6">
        <v>9.8800000000000008</v>
      </c>
      <c r="CD123" s="6">
        <v>6.6</v>
      </c>
      <c r="CE123" s="6">
        <v>5.48</v>
      </c>
      <c r="CF123" s="6">
        <v>5.94</v>
      </c>
      <c r="CG123" s="6">
        <v>5.86</v>
      </c>
      <c r="CH123" s="6">
        <v>6</v>
      </c>
      <c r="CI123" s="11">
        <v>6</v>
      </c>
      <c r="CJ123" s="11">
        <v>4.5999999999999996</v>
      </c>
      <c r="CK123" s="6">
        <v>3.7</v>
      </c>
      <c r="CL123" s="25">
        <v>8.6999999999999993</v>
      </c>
      <c r="CM123" s="25">
        <v>6.74</v>
      </c>
      <c r="CN123" s="25">
        <v>5.85</v>
      </c>
      <c r="CO123" s="10">
        <v>4.1399999999999997</v>
      </c>
      <c r="CP123" s="10"/>
    </row>
    <row r="124" spans="1:94" ht="15.75" customHeight="1" x14ac:dyDescent="0.25">
      <c r="A124" s="4">
        <v>123</v>
      </c>
      <c r="B124" s="4"/>
      <c r="C124" s="4">
        <v>2</v>
      </c>
      <c r="D124" s="8">
        <v>3.78</v>
      </c>
      <c r="E124" s="8">
        <v>7.4</v>
      </c>
      <c r="F124" s="8">
        <v>4.92</v>
      </c>
      <c r="G124" s="8">
        <v>7.68</v>
      </c>
      <c r="H124" s="8">
        <v>6.38</v>
      </c>
      <c r="I124" s="8">
        <v>4.67</v>
      </c>
      <c r="J124" s="8">
        <v>4.28</v>
      </c>
      <c r="K124" s="8">
        <v>5.04</v>
      </c>
      <c r="L124" s="8">
        <v>7.48</v>
      </c>
      <c r="M124" s="8">
        <v>5.57</v>
      </c>
      <c r="N124" s="8">
        <v>6.38</v>
      </c>
      <c r="O124" s="8">
        <v>5.63</v>
      </c>
      <c r="P124" s="8">
        <v>3.13</v>
      </c>
      <c r="Q124" s="8">
        <v>6.36</v>
      </c>
      <c r="R124" s="8">
        <v>4.9400000000000004</v>
      </c>
      <c r="S124" s="8">
        <v>3.79</v>
      </c>
      <c r="T124" s="8">
        <v>6.31</v>
      </c>
      <c r="U124" s="8">
        <v>5.69</v>
      </c>
      <c r="V124" s="8">
        <v>6.51</v>
      </c>
      <c r="W124" s="8">
        <v>7.73</v>
      </c>
      <c r="X124" s="8">
        <v>6.02</v>
      </c>
      <c r="Y124" s="8">
        <v>5.89</v>
      </c>
      <c r="Z124" s="8">
        <v>4.16</v>
      </c>
      <c r="AA124" s="8">
        <v>6.23</v>
      </c>
      <c r="AB124" s="8">
        <v>4.71</v>
      </c>
      <c r="AC124" s="8">
        <v>4.1500000000000004</v>
      </c>
      <c r="AD124" s="8">
        <v>3.07</v>
      </c>
      <c r="AE124" s="8">
        <v>4.33</v>
      </c>
      <c r="AF124" s="8">
        <v>4.42</v>
      </c>
      <c r="AG124" s="8">
        <v>4.04</v>
      </c>
      <c r="AH124" s="8">
        <v>3.21</v>
      </c>
      <c r="AI124" s="8">
        <v>3.57</v>
      </c>
      <c r="AJ124" s="8">
        <v>6</v>
      </c>
      <c r="AK124" s="8">
        <v>6.8</v>
      </c>
      <c r="AL124" s="8">
        <v>7.31</v>
      </c>
      <c r="AM124" s="8">
        <v>7</v>
      </c>
      <c r="AN124" s="8">
        <v>5.19</v>
      </c>
      <c r="AO124" s="8">
        <v>8.82</v>
      </c>
      <c r="AP124" s="8">
        <v>2.86</v>
      </c>
      <c r="AQ124" s="8">
        <v>4.2300000000000004</v>
      </c>
      <c r="AR124" s="8">
        <v>3.05</v>
      </c>
      <c r="AS124" s="8">
        <v>8</v>
      </c>
      <c r="AT124" s="8">
        <v>3.49</v>
      </c>
      <c r="AU124" s="6">
        <v>7.48</v>
      </c>
      <c r="AV124" s="6">
        <v>7.05</v>
      </c>
      <c r="AW124" s="6">
        <v>4.46</v>
      </c>
      <c r="AX124" s="6">
        <v>8.56</v>
      </c>
      <c r="AY124" s="6">
        <v>8.02</v>
      </c>
      <c r="AZ124" s="6">
        <v>7.5</v>
      </c>
      <c r="BA124" s="6">
        <v>4</v>
      </c>
      <c r="BB124" s="6">
        <v>2.5299999999999998</v>
      </c>
      <c r="BC124" s="6">
        <v>4.76</v>
      </c>
      <c r="BD124" s="11">
        <v>6.16</v>
      </c>
      <c r="BE124" s="6">
        <v>3.09</v>
      </c>
      <c r="BF124" s="6">
        <v>3.85</v>
      </c>
      <c r="BG124" s="6">
        <v>6.53</v>
      </c>
      <c r="BH124" s="6">
        <v>5.15</v>
      </c>
      <c r="BI124" s="6">
        <v>3.66</v>
      </c>
      <c r="BJ124" s="6">
        <v>6.98</v>
      </c>
      <c r="BK124" s="6">
        <v>5.62</v>
      </c>
      <c r="BL124" s="6">
        <v>4.42</v>
      </c>
      <c r="BM124" s="6">
        <v>4.1399999999999997</v>
      </c>
      <c r="BN124" s="6">
        <v>5.82</v>
      </c>
      <c r="BO124" s="6">
        <v>6.88</v>
      </c>
      <c r="BP124" s="6">
        <v>8.8000000000000007</v>
      </c>
      <c r="BQ124" s="6">
        <v>5.93</v>
      </c>
      <c r="BR124" s="6">
        <v>4.0199999999999996</v>
      </c>
      <c r="BS124" s="6">
        <v>6.34</v>
      </c>
      <c r="BT124" s="6">
        <v>5.2</v>
      </c>
      <c r="BU124" s="6">
        <v>5.36</v>
      </c>
      <c r="BV124" s="6">
        <v>8.3000000000000007</v>
      </c>
      <c r="BW124" s="6">
        <v>5.74</v>
      </c>
      <c r="BX124" s="6">
        <v>6.52</v>
      </c>
      <c r="BY124" s="6">
        <v>4.66</v>
      </c>
      <c r="BZ124" s="6">
        <v>6</v>
      </c>
      <c r="CA124" s="6">
        <v>8.5</v>
      </c>
      <c r="CB124" s="6">
        <v>7.5</v>
      </c>
      <c r="CC124" s="6">
        <v>10</v>
      </c>
      <c r="CD124" s="6">
        <v>6.92</v>
      </c>
      <c r="CE124" s="6">
        <v>5.6</v>
      </c>
      <c r="CF124" s="6">
        <v>6.1</v>
      </c>
      <c r="CG124" s="6">
        <v>6.44</v>
      </c>
      <c r="CH124" s="6">
        <v>6.1</v>
      </c>
      <c r="CI124" s="11">
        <v>6.22</v>
      </c>
      <c r="CJ124" s="11">
        <v>4.84</v>
      </c>
      <c r="CK124" s="6">
        <v>3.74</v>
      </c>
      <c r="CL124" s="25">
        <v>8.64</v>
      </c>
      <c r="CM124" s="25">
        <v>6.96</v>
      </c>
      <c r="CN124" s="25">
        <v>5.95</v>
      </c>
      <c r="CO124" s="10">
        <v>4.2300000000000004</v>
      </c>
      <c r="CP124" s="10"/>
    </row>
    <row r="125" spans="1:94" ht="15.75" customHeight="1" x14ac:dyDescent="0.25">
      <c r="A125" s="4">
        <v>124</v>
      </c>
      <c r="B125" s="4"/>
      <c r="C125" s="4">
        <v>3</v>
      </c>
      <c r="D125" s="8">
        <v>3.88</v>
      </c>
      <c r="E125" s="8">
        <v>7.34</v>
      </c>
      <c r="F125" s="8">
        <v>5.03</v>
      </c>
      <c r="G125" s="8">
        <v>7.98</v>
      </c>
      <c r="H125" s="8">
        <v>6.58</v>
      </c>
      <c r="I125" s="8">
        <v>4.88</v>
      </c>
      <c r="J125" s="8">
        <v>4.4000000000000004</v>
      </c>
      <c r="K125" s="8">
        <v>5.28</v>
      </c>
      <c r="L125" s="8">
        <v>7.58</v>
      </c>
      <c r="M125" s="8">
        <v>5.94</v>
      </c>
      <c r="N125" s="8">
        <v>6.41</v>
      </c>
      <c r="O125" s="8">
        <v>5.78</v>
      </c>
      <c r="P125" s="8">
        <v>3.27</v>
      </c>
      <c r="Q125" s="8">
        <v>6.49</v>
      </c>
      <c r="R125" s="8">
        <v>5.22</v>
      </c>
      <c r="S125" s="8">
        <v>3.85</v>
      </c>
      <c r="T125" s="8">
        <v>6.56</v>
      </c>
      <c r="U125" s="8">
        <v>5.93</v>
      </c>
      <c r="V125" s="8">
        <v>6.61</v>
      </c>
      <c r="W125" s="8">
        <v>7.93</v>
      </c>
      <c r="X125" s="8">
        <v>6.15</v>
      </c>
      <c r="Y125" s="8">
        <v>5.85</v>
      </c>
      <c r="Z125" s="8">
        <v>4.3</v>
      </c>
      <c r="AA125" s="8">
        <v>6.41</v>
      </c>
      <c r="AB125" s="8">
        <v>4.7300000000000004</v>
      </c>
      <c r="AC125" s="8">
        <v>4.42</v>
      </c>
      <c r="AD125" s="8">
        <v>3.15</v>
      </c>
      <c r="AE125" s="8">
        <v>4.4800000000000004</v>
      </c>
      <c r="AF125" s="8">
        <v>4.4400000000000004</v>
      </c>
      <c r="AG125" s="8">
        <v>4.12</v>
      </c>
      <c r="AH125" s="8">
        <v>3.25</v>
      </c>
      <c r="AI125" s="8">
        <v>3.67</v>
      </c>
      <c r="AJ125" s="8">
        <v>6.07</v>
      </c>
      <c r="AK125" s="8">
        <v>6.73</v>
      </c>
      <c r="AL125" s="8">
        <v>7.49</v>
      </c>
      <c r="AM125" s="8">
        <v>7.07</v>
      </c>
      <c r="AN125" s="8">
        <v>5.41</v>
      </c>
      <c r="AO125" s="8">
        <v>9.02</v>
      </c>
      <c r="AP125" s="8">
        <v>2.95</v>
      </c>
      <c r="AQ125" s="8">
        <v>4.2699999999999996</v>
      </c>
      <c r="AR125" s="8">
        <v>3.13</v>
      </c>
      <c r="AS125" s="8">
        <v>8.25</v>
      </c>
      <c r="AT125" s="8">
        <v>3.53</v>
      </c>
      <c r="AU125" s="6">
        <v>7.57</v>
      </c>
      <c r="AV125" s="6">
        <v>7.23</v>
      </c>
      <c r="AW125" s="6">
        <v>4.71</v>
      </c>
      <c r="AX125" s="6">
        <v>8.84</v>
      </c>
      <c r="AY125" s="6">
        <v>8.34</v>
      </c>
      <c r="AZ125" s="6">
        <v>7.84</v>
      </c>
      <c r="BA125" s="6">
        <v>4.03</v>
      </c>
      <c r="BB125" s="6">
        <v>2.7</v>
      </c>
      <c r="BC125" s="6">
        <v>4.8</v>
      </c>
      <c r="BD125" s="11">
        <v>6.34</v>
      </c>
      <c r="BE125" s="6">
        <v>3.0960000000000001</v>
      </c>
      <c r="BF125" s="6">
        <v>3.81</v>
      </c>
      <c r="BG125" s="6">
        <v>6.69</v>
      </c>
      <c r="BH125" s="6">
        <v>5.32</v>
      </c>
      <c r="BI125" s="6">
        <v>3.86</v>
      </c>
      <c r="BJ125" s="6">
        <v>7.1</v>
      </c>
      <c r="BK125" s="6">
        <v>5.85</v>
      </c>
      <c r="BL125" s="6">
        <v>4.5999999999999996</v>
      </c>
      <c r="BM125" s="6">
        <v>4.26</v>
      </c>
      <c r="BN125" s="6">
        <v>6.06</v>
      </c>
      <c r="BO125" s="6">
        <v>7.1</v>
      </c>
      <c r="BP125" s="6">
        <v>8.84</v>
      </c>
      <c r="BQ125" s="6">
        <v>6</v>
      </c>
      <c r="BR125" s="6">
        <v>4.0199999999999996</v>
      </c>
      <c r="BS125" s="6">
        <v>6.4</v>
      </c>
      <c r="BT125" s="6">
        <v>5.36</v>
      </c>
      <c r="BU125" s="6">
        <v>5.56</v>
      </c>
      <c r="BV125" s="6">
        <v>8.4</v>
      </c>
      <c r="BW125" s="6">
        <v>5.98</v>
      </c>
      <c r="BX125" s="6">
        <v>6.56</v>
      </c>
      <c r="BY125" s="6">
        <v>4.76</v>
      </c>
      <c r="BZ125" s="6">
        <v>6.18</v>
      </c>
      <c r="CA125" s="6">
        <v>8.66</v>
      </c>
      <c r="CB125" s="6">
        <v>7.7</v>
      </c>
      <c r="CC125" s="6">
        <v>10.18</v>
      </c>
      <c r="CD125" s="6">
        <v>7.12</v>
      </c>
      <c r="CE125" s="6">
        <v>5.78</v>
      </c>
      <c r="CF125" s="6">
        <v>6.24</v>
      </c>
      <c r="CG125" s="6">
        <v>6.72</v>
      </c>
      <c r="CH125" s="6">
        <v>6.2</v>
      </c>
      <c r="CI125" s="11">
        <v>6.42</v>
      </c>
      <c r="CJ125" s="11">
        <v>5.04</v>
      </c>
      <c r="CK125" s="6">
        <v>3.78</v>
      </c>
      <c r="CL125" s="25">
        <v>8.58</v>
      </c>
      <c r="CM125" s="25">
        <v>7.06</v>
      </c>
      <c r="CN125" s="25">
        <v>6.04</v>
      </c>
      <c r="CO125" s="10">
        <v>4.34</v>
      </c>
      <c r="CP125" s="10"/>
    </row>
    <row r="126" spans="1:94" ht="15.75" customHeight="1" x14ac:dyDescent="0.25">
      <c r="A126" s="4">
        <v>125</v>
      </c>
      <c r="B126" s="4"/>
      <c r="C126" s="4">
        <v>4</v>
      </c>
      <c r="D126" s="8">
        <v>3.98</v>
      </c>
      <c r="E126" s="8">
        <v>7.28</v>
      </c>
      <c r="F126" s="8">
        <v>5.13</v>
      </c>
      <c r="G126" s="8">
        <v>8.2799999999999994</v>
      </c>
      <c r="H126" s="8">
        <v>6.78</v>
      </c>
      <c r="I126" s="8">
        <v>5.0199999999999996</v>
      </c>
      <c r="J126" s="8">
        <v>4.5</v>
      </c>
      <c r="K126" s="8">
        <v>5.42</v>
      </c>
      <c r="L126" s="8">
        <v>7.68</v>
      </c>
      <c r="M126" s="8">
        <v>6.19</v>
      </c>
      <c r="N126" s="8">
        <v>6.5</v>
      </c>
      <c r="O126" s="8">
        <v>5.93</v>
      </c>
      <c r="P126" s="8">
        <v>3.36</v>
      </c>
      <c r="Q126" s="8">
        <v>6.53</v>
      </c>
      <c r="R126" s="8">
        <v>5.48</v>
      </c>
      <c r="S126" s="8">
        <v>3.91</v>
      </c>
      <c r="T126" s="8">
        <v>6.79</v>
      </c>
      <c r="U126" s="8">
        <v>6.17</v>
      </c>
      <c r="V126" s="8">
        <v>6.83</v>
      </c>
      <c r="W126" s="8">
        <v>8.1300000000000008</v>
      </c>
      <c r="X126" s="8">
        <v>6.35</v>
      </c>
      <c r="Y126" s="8">
        <v>5.79</v>
      </c>
      <c r="Z126" s="8">
        <v>4.46</v>
      </c>
      <c r="AA126" s="8">
        <v>6.61</v>
      </c>
      <c r="AB126" s="8">
        <v>4.7699999999999996</v>
      </c>
      <c r="AC126" s="8">
        <v>4.6900000000000004</v>
      </c>
      <c r="AD126" s="8">
        <v>3.25</v>
      </c>
      <c r="AE126" s="8">
        <v>4.63</v>
      </c>
      <c r="AF126" s="8">
        <v>4.46</v>
      </c>
      <c r="AG126" s="8">
        <v>4.2</v>
      </c>
      <c r="AH126" s="8">
        <v>3.29</v>
      </c>
      <c r="AI126" s="8">
        <v>3.78</v>
      </c>
      <c r="AJ126" s="8">
        <v>6.17</v>
      </c>
      <c r="AK126" s="8">
        <v>6.72</v>
      </c>
      <c r="AL126" s="8">
        <v>7.65</v>
      </c>
      <c r="AM126" s="8">
        <v>7.14</v>
      </c>
      <c r="AN126" s="8">
        <v>5.64</v>
      </c>
      <c r="AO126" s="8">
        <v>9.2200000000000006</v>
      </c>
      <c r="AP126" s="8">
        <v>3.02</v>
      </c>
      <c r="AQ126" s="8">
        <v>4.3099999999999996</v>
      </c>
      <c r="AR126" s="8">
        <v>3.22</v>
      </c>
      <c r="AS126" s="8">
        <v>8.4499999999999993</v>
      </c>
      <c r="AT126" s="8">
        <v>3.56</v>
      </c>
      <c r="AU126" s="6">
        <v>7.65</v>
      </c>
      <c r="AV126" s="6">
        <v>7.42</v>
      </c>
      <c r="AW126" s="6">
        <v>5.03</v>
      </c>
      <c r="AX126" s="6">
        <v>9.07</v>
      </c>
      <c r="AY126" s="6">
        <v>8.68</v>
      </c>
      <c r="AZ126" s="6">
        <v>8.15</v>
      </c>
      <c r="BA126" s="6">
        <v>4.07</v>
      </c>
      <c r="BB126" s="6">
        <v>2.88</v>
      </c>
      <c r="BC126" s="6">
        <v>4.84</v>
      </c>
      <c r="BD126" s="11">
        <v>6.5</v>
      </c>
      <c r="BE126" s="6">
        <v>3.1</v>
      </c>
      <c r="BF126" s="6">
        <v>3.8</v>
      </c>
      <c r="BG126" s="6">
        <v>6.88</v>
      </c>
      <c r="BH126" s="6">
        <v>5.51</v>
      </c>
      <c r="BI126" s="6">
        <v>4.1100000000000003</v>
      </c>
      <c r="BJ126" s="6">
        <v>7.26</v>
      </c>
      <c r="BK126" s="6">
        <v>6.08</v>
      </c>
      <c r="BL126" s="6">
        <v>4.82</v>
      </c>
      <c r="BM126" s="6">
        <v>4.4000000000000004</v>
      </c>
      <c r="BN126" s="6">
        <v>6.19</v>
      </c>
      <c r="BO126" s="6">
        <v>7.23</v>
      </c>
      <c r="BP126" s="6">
        <v>8.9</v>
      </c>
      <c r="BQ126" s="6">
        <v>6.01</v>
      </c>
      <c r="BR126" s="6">
        <v>4.04</v>
      </c>
      <c r="BS126" s="6">
        <v>6.5</v>
      </c>
      <c r="BT126" s="6">
        <v>5.56</v>
      </c>
      <c r="BU126" s="6">
        <v>5.82</v>
      </c>
      <c r="BV126" s="6">
        <v>8.48</v>
      </c>
      <c r="BW126" s="6">
        <v>6.02</v>
      </c>
      <c r="BX126" s="6">
        <v>6.56</v>
      </c>
      <c r="BY126" s="6">
        <v>4.8</v>
      </c>
      <c r="BZ126" s="6">
        <v>6.36</v>
      </c>
      <c r="CA126" s="6">
        <v>8.8000000000000007</v>
      </c>
      <c r="CB126" s="6">
        <v>7.96</v>
      </c>
      <c r="CC126" s="6">
        <v>10.4</v>
      </c>
      <c r="CD126" s="6">
        <v>7.36</v>
      </c>
      <c r="CE126" s="6">
        <v>5.88</v>
      </c>
      <c r="CF126" s="6">
        <v>6.34</v>
      </c>
      <c r="CG126" s="6">
        <v>6.96</v>
      </c>
      <c r="CH126" s="6">
        <v>6.32</v>
      </c>
      <c r="CI126" s="11">
        <v>6.6</v>
      </c>
      <c r="CJ126" s="11">
        <v>5.18</v>
      </c>
      <c r="CK126" s="6">
        <v>3.8</v>
      </c>
      <c r="CL126" s="25">
        <v>8.7200000000000006</v>
      </c>
      <c r="CM126" s="25">
        <v>7.16</v>
      </c>
      <c r="CN126" s="25">
        <v>6.13</v>
      </c>
      <c r="CO126" s="10">
        <v>4.46</v>
      </c>
      <c r="CP126" s="10"/>
    </row>
    <row r="127" spans="1:94" ht="15.75" customHeight="1" x14ac:dyDescent="0.25">
      <c r="A127" s="4">
        <v>126</v>
      </c>
      <c r="B127" s="4"/>
      <c r="C127" s="4">
        <v>5</v>
      </c>
      <c r="D127" s="8">
        <v>4.03</v>
      </c>
      <c r="E127" s="8">
        <v>7.26</v>
      </c>
      <c r="F127" s="8">
        <v>5.28</v>
      </c>
      <c r="G127" s="8">
        <v>8.5299999999999994</v>
      </c>
      <c r="H127" s="8">
        <v>6.93</v>
      </c>
      <c r="I127" s="8">
        <v>5.04</v>
      </c>
      <c r="J127" s="8">
        <v>4.6100000000000003</v>
      </c>
      <c r="K127" s="8">
        <v>5.59</v>
      </c>
      <c r="L127" s="8">
        <v>7.78</v>
      </c>
      <c r="M127" s="8">
        <v>6.41</v>
      </c>
      <c r="N127" s="8">
        <v>6.6</v>
      </c>
      <c r="O127" s="8">
        <v>6.08</v>
      </c>
      <c r="P127" s="8">
        <v>3.53</v>
      </c>
      <c r="Q127" s="8">
        <v>6.59</v>
      </c>
      <c r="R127" s="8">
        <v>5.71</v>
      </c>
      <c r="S127" s="8">
        <v>4.01</v>
      </c>
      <c r="T127" s="8">
        <v>7.05</v>
      </c>
      <c r="U127" s="8">
        <v>6.41</v>
      </c>
      <c r="V127" s="8">
        <v>7.13</v>
      </c>
      <c r="W127" s="8">
        <v>8.31</v>
      </c>
      <c r="X127" s="8">
        <v>6.53</v>
      </c>
      <c r="Y127" s="8">
        <v>5.75</v>
      </c>
      <c r="Z127" s="8">
        <v>4.67</v>
      </c>
      <c r="AA127" s="8">
        <v>6.81</v>
      </c>
      <c r="AB127" s="8">
        <v>4.84</v>
      </c>
      <c r="AC127" s="8">
        <v>4.92</v>
      </c>
      <c r="AD127" s="8">
        <v>3.35</v>
      </c>
      <c r="AE127" s="8">
        <v>4.7699999999999996</v>
      </c>
      <c r="AF127" s="8">
        <v>4.5199999999999996</v>
      </c>
      <c r="AG127" s="8">
        <v>4.2699999999999996</v>
      </c>
      <c r="AH127" s="8">
        <v>3.35</v>
      </c>
      <c r="AI127" s="8">
        <v>3.93</v>
      </c>
      <c r="AJ127" s="8">
        <v>6.29</v>
      </c>
      <c r="AK127" s="8">
        <v>6.76</v>
      </c>
      <c r="AL127" s="8">
        <v>7.81</v>
      </c>
      <c r="AM127" s="8">
        <v>7.14</v>
      </c>
      <c r="AN127" s="8">
        <v>5.84</v>
      </c>
      <c r="AO127" s="8">
        <v>9.43</v>
      </c>
      <c r="AP127" s="8">
        <v>3.11</v>
      </c>
      <c r="AQ127" s="8">
        <v>4.3499999999999996</v>
      </c>
      <c r="AR127" s="8">
        <v>3.33</v>
      </c>
      <c r="AS127" s="8">
        <v>8.64</v>
      </c>
      <c r="AT127" s="8">
        <v>3.6</v>
      </c>
      <c r="AU127" s="6">
        <v>7.73</v>
      </c>
      <c r="AV127" s="6">
        <v>7.55</v>
      </c>
      <c r="AW127" s="6">
        <v>5.32</v>
      </c>
      <c r="AX127" s="6">
        <v>9.35</v>
      </c>
      <c r="AY127" s="6">
        <v>8.93</v>
      </c>
      <c r="AZ127" s="6">
        <v>8.5</v>
      </c>
      <c r="BA127" s="6">
        <v>4.25</v>
      </c>
      <c r="BB127" s="6">
        <v>3</v>
      </c>
      <c r="BC127" s="6">
        <v>4.8600000000000003</v>
      </c>
      <c r="BD127" s="11">
        <v>6.74</v>
      </c>
      <c r="BE127" s="6">
        <v>3.08</v>
      </c>
      <c r="BF127" s="6">
        <v>3.91</v>
      </c>
      <c r="BG127" s="6">
        <v>7.11</v>
      </c>
      <c r="BH127" s="6">
        <v>5.76</v>
      </c>
      <c r="BI127" s="6">
        <v>4.3600000000000003</v>
      </c>
      <c r="BJ127" s="6">
        <v>7.43</v>
      </c>
      <c r="BK127" s="6">
        <v>6.29</v>
      </c>
      <c r="BL127" s="6">
        <v>5.08</v>
      </c>
      <c r="BM127" s="6">
        <v>4.5599999999999996</v>
      </c>
      <c r="BN127" s="6">
        <v>6.28</v>
      </c>
      <c r="BO127" s="6">
        <v>7.4</v>
      </c>
      <c r="BP127" s="6">
        <v>8.98</v>
      </c>
      <c r="BQ127" s="6">
        <v>6.08</v>
      </c>
      <c r="BR127" s="6">
        <v>4.08</v>
      </c>
      <c r="BS127" s="6">
        <v>6.56</v>
      </c>
      <c r="BT127" s="6">
        <v>5.7430000000000003</v>
      </c>
      <c r="BU127" s="6">
        <v>6.1</v>
      </c>
      <c r="BV127" s="6">
        <v>8.56</v>
      </c>
      <c r="BW127" s="6">
        <v>6.1</v>
      </c>
      <c r="BX127" s="6">
        <v>6.56</v>
      </c>
      <c r="BY127" s="6">
        <v>4.8</v>
      </c>
      <c r="BZ127" s="6">
        <v>6.44</v>
      </c>
      <c r="CA127" s="6">
        <v>8.86</v>
      </c>
      <c r="CB127" s="6">
        <v>8.1</v>
      </c>
      <c r="CC127" s="6">
        <v>10.52</v>
      </c>
      <c r="CD127" s="6">
        <v>7.44</v>
      </c>
      <c r="CE127" s="6">
        <v>5.94</v>
      </c>
      <c r="CF127" s="6">
        <v>6.49</v>
      </c>
      <c r="CG127" s="6">
        <v>7.16</v>
      </c>
      <c r="CH127" s="6">
        <v>6.45</v>
      </c>
      <c r="CI127" s="11">
        <v>6.98</v>
      </c>
      <c r="CJ127" s="11">
        <v>5.3</v>
      </c>
      <c r="CK127" s="6">
        <v>3.88</v>
      </c>
      <c r="CL127" s="25">
        <v>8.7799999999999994</v>
      </c>
      <c r="CM127" s="25">
        <v>7.34</v>
      </c>
      <c r="CN127" s="25">
        <v>6.24</v>
      </c>
      <c r="CO127" s="10">
        <v>4.5999999999999996</v>
      </c>
      <c r="CP127" s="10"/>
    </row>
    <row r="128" spans="1:94" ht="15.75" customHeight="1" x14ac:dyDescent="0.25">
      <c r="A128" s="4">
        <v>127</v>
      </c>
      <c r="B128" s="4"/>
      <c r="C128" s="4">
        <v>6</v>
      </c>
      <c r="D128" s="8">
        <v>4.13</v>
      </c>
      <c r="E128" s="8">
        <v>7.24</v>
      </c>
      <c r="F128" s="8">
        <v>5.43</v>
      </c>
      <c r="G128" s="8">
        <v>8.7799999999999994</v>
      </c>
      <c r="H128" s="8">
        <v>6.98</v>
      </c>
      <c r="I128" s="8">
        <v>5.0199999999999996</v>
      </c>
      <c r="J128" s="8">
        <v>4.76</v>
      </c>
      <c r="K128" s="8">
        <v>5.81</v>
      </c>
      <c r="L128" s="8">
        <v>7.88</v>
      </c>
      <c r="M128" s="8">
        <v>6.49</v>
      </c>
      <c r="N128" s="8">
        <v>6.72</v>
      </c>
      <c r="O128" s="8">
        <v>6.23</v>
      </c>
      <c r="P128" s="8">
        <v>3.7</v>
      </c>
      <c r="Q128" s="8">
        <v>6.66</v>
      </c>
      <c r="R128" s="8">
        <v>5.89</v>
      </c>
      <c r="S128" s="8">
        <v>4.16</v>
      </c>
      <c r="T128" s="8">
        <v>7.36</v>
      </c>
      <c r="U128" s="8">
        <v>6.66</v>
      </c>
      <c r="V128" s="8">
        <v>7.41</v>
      </c>
      <c r="W128" s="8">
        <v>8.4700000000000006</v>
      </c>
      <c r="X128" s="8">
        <v>6.65</v>
      </c>
      <c r="Y128" s="8">
        <v>5.71</v>
      </c>
      <c r="Z128" s="8">
        <v>4.8499999999999996</v>
      </c>
      <c r="AA128" s="8">
        <v>7.01</v>
      </c>
      <c r="AB128" s="8">
        <v>4.91</v>
      </c>
      <c r="AC128" s="8">
        <v>5.13</v>
      </c>
      <c r="AD128" s="8">
        <v>3.45</v>
      </c>
      <c r="AE128" s="8">
        <v>4.92</v>
      </c>
      <c r="AF128" s="8">
        <v>4.5999999999999996</v>
      </c>
      <c r="AG128" s="8">
        <v>4.3600000000000003</v>
      </c>
      <c r="AH128" s="8">
        <v>3.36</v>
      </c>
      <c r="AI128" s="8">
        <v>4.1100000000000003</v>
      </c>
      <c r="AJ128" s="8">
        <v>6.41</v>
      </c>
      <c r="AK128" s="8">
        <v>6.85</v>
      </c>
      <c r="AL128" s="8">
        <v>7.88</v>
      </c>
      <c r="AM128" s="8">
        <v>7.11</v>
      </c>
      <c r="AN128" s="8">
        <v>6.04</v>
      </c>
      <c r="AO128" s="8">
        <v>9.6199999999999992</v>
      </c>
      <c r="AP128" s="8">
        <v>3.24</v>
      </c>
      <c r="AQ128" s="8">
        <v>4.3899999999999997</v>
      </c>
      <c r="AR128" s="8">
        <v>3.47</v>
      </c>
      <c r="AS128" s="8">
        <v>8.8699999999999992</v>
      </c>
      <c r="AT128" s="8">
        <v>3.6</v>
      </c>
      <c r="AU128" s="6">
        <v>7.82</v>
      </c>
      <c r="AV128" s="6">
        <v>7.67</v>
      </c>
      <c r="AW128" s="6">
        <v>5.53</v>
      </c>
      <c r="AX128" s="6">
        <v>9.61</v>
      </c>
      <c r="AY128" s="6">
        <v>9.18</v>
      </c>
      <c r="AZ128" s="6">
        <v>8.81</v>
      </c>
      <c r="BA128" s="6">
        <v>4.4400000000000004</v>
      </c>
      <c r="BB128" s="6">
        <v>3.16</v>
      </c>
      <c r="BC128" s="6">
        <v>4.88</v>
      </c>
      <c r="BD128" s="11">
        <v>7.02</v>
      </c>
      <c r="BE128" s="6">
        <v>3.07</v>
      </c>
      <c r="BF128" s="6">
        <v>4.01</v>
      </c>
      <c r="BG128" s="6">
        <v>7.34</v>
      </c>
      <c r="BH128" s="6">
        <v>5.98</v>
      </c>
      <c r="BI128" s="6">
        <v>4.5999999999999996</v>
      </c>
      <c r="BJ128" s="6">
        <v>7.56</v>
      </c>
      <c r="BK128" s="6">
        <v>6.5</v>
      </c>
      <c r="BL128" s="6">
        <v>5.38</v>
      </c>
      <c r="BM128" s="6">
        <v>4.76</v>
      </c>
      <c r="BN128" s="6">
        <v>6.31</v>
      </c>
      <c r="BO128" s="6">
        <v>7.68</v>
      </c>
      <c r="BP128" s="6">
        <v>9.02</v>
      </c>
      <c r="BQ128" s="6">
        <v>6.17</v>
      </c>
      <c r="BR128" s="6">
        <v>4.08</v>
      </c>
      <c r="BS128" s="6">
        <v>6.66</v>
      </c>
      <c r="BT128" s="6">
        <v>6</v>
      </c>
      <c r="BU128" s="6">
        <v>6.3</v>
      </c>
      <c r="BV128" s="6">
        <v>8.64</v>
      </c>
      <c r="BW128" s="6">
        <v>6.2</v>
      </c>
      <c r="BX128" s="6">
        <v>6.54</v>
      </c>
      <c r="BY128" s="6">
        <v>4.8</v>
      </c>
      <c r="BZ128" s="6">
        <v>6.5</v>
      </c>
      <c r="CA128" s="6">
        <v>8.9</v>
      </c>
      <c r="CB128" s="6">
        <v>8.3000000000000007</v>
      </c>
      <c r="CC128" s="6">
        <v>10.62</v>
      </c>
      <c r="CD128" s="6">
        <v>7.5</v>
      </c>
      <c r="CE128" s="6">
        <v>6.14</v>
      </c>
      <c r="CF128" s="6">
        <v>6.54</v>
      </c>
      <c r="CG128" s="6">
        <v>7.38</v>
      </c>
      <c r="CH128" s="6">
        <v>6.64</v>
      </c>
      <c r="CI128" s="11">
        <v>7.26</v>
      </c>
      <c r="CJ128" s="11">
        <v>5.44</v>
      </c>
      <c r="CK128" s="6">
        <v>3.88</v>
      </c>
      <c r="CL128" s="25">
        <v>8.9</v>
      </c>
      <c r="CM128" s="25">
        <v>7.5</v>
      </c>
      <c r="CN128" s="25">
        <v>6.39</v>
      </c>
      <c r="CO128" s="10">
        <v>4.7300000000000004</v>
      </c>
      <c r="CP128" s="10"/>
    </row>
    <row r="129" spans="1:94" ht="15.75" customHeight="1" x14ac:dyDescent="0.25">
      <c r="A129" s="4">
        <v>128</v>
      </c>
      <c r="B129" s="4"/>
      <c r="C129" s="4">
        <v>7</v>
      </c>
      <c r="D129" s="8">
        <v>4.2300000000000004</v>
      </c>
      <c r="E129" s="8">
        <v>7.22</v>
      </c>
      <c r="F129" s="8">
        <v>5.58</v>
      </c>
      <c r="G129" s="8">
        <v>8.8800000000000008</v>
      </c>
      <c r="H129" s="8">
        <v>7.08</v>
      </c>
      <c r="I129" s="8">
        <v>5</v>
      </c>
      <c r="J129" s="8">
        <v>4.92</v>
      </c>
      <c r="K129" s="8">
        <v>6.01</v>
      </c>
      <c r="L129" s="8">
        <v>7.98</v>
      </c>
      <c r="M129" s="8">
        <v>6.6</v>
      </c>
      <c r="N129" s="8">
        <v>6.87</v>
      </c>
      <c r="O129" s="8">
        <v>6.38</v>
      </c>
      <c r="P129" s="8">
        <v>3.95</v>
      </c>
      <c r="Q129" s="8">
        <v>6.74</v>
      </c>
      <c r="R129" s="8">
        <v>6.04</v>
      </c>
      <c r="S129" s="8">
        <v>4.33</v>
      </c>
      <c r="T129" s="8">
        <v>7.64</v>
      </c>
      <c r="U129" s="8">
        <v>7.01</v>
      </c>
      <c r="V129" s="8">
        <v>7.76</v>
      </c>
      <c r="W129" s="8">
        <v>8.6300000000000008</v>
      </c>
      <c r="X129" s="8">
        <v>6.7</v>
      </c>
      <c r="Y129" s="8">
        <v>5.67</v>
      </c>
      <c r="Z129" s="8">
        <v>5</v>
      </c>
      <c r="AA129" s="8">
        <v>7.21</v>
      </c>
      <c r="AB129" s="8">
        <v>4.9800000000000004</v>
      </c>
      <c r="AC129" s="8">
        <v>5.35</v>
      </c>
      <c r="AD129" s="8">
        <v>3.55</v>
      </c>
      <c r="AE129" s="8">
        <v>5.0999999999999996</v>
      </c>
      <c r="AF129" s="8">
        <v>4.7699999999999996</v>
      </c>
      <c r="AG129" s="8">
        <v>4.45</v>
      </c>
      <c r="AH129" s="8">
        <v>3.37</v>
      </c>
      <c r="AI129" s="8">
        <v>4.29</v>
      </c>
      <c r="AJ129" s="8">
        <v>6.59</v>
      </c>
      <c r="AK129" s="8">
        <v>6.97</v>
      </c>
      <c r="AL129" s="8">
        <v>7.95</v>
      </c>
      <c r="AM129" s="8">
        <v>7.12</v>
      </c>
      <c r="AN129" s="8">
        <v>6.17</v>
      </c>
      <c r="AO129" s="8">
        <v>9.83</v>
      </c>
      <c r="AP129" s="8">
        <v>3.4</v>
      </c>
      <c r="AQ129" s="8">
        <v>4.3899999999999997</v>
      </c>
      <c r="AR129" s="8">
        <v>3.65</v>
      </c>
      <c r="AS129" s="8">
        <v>9.09</v>
      </c>
      <c r="AT129" s="8">
        <v>3.62</v>
      </c>
      <c r="AU129" s="6">
        <v>7.9</v>
      </c>
      <c r="AV129" s="6">
        <v>7.76</v>
      </c>
      <c r="AW129" s="6">
        <v>5.78</v>
      </c>
      <c r="AX129" s="6">
        <v>9.82</v>
      </c>
      <c r="AY129" s="6">
        <v>9.4700000000000006</v>
      </c>
      <c r="AZ129" s="6">
        <v>9.11</v>
      </c>
      <c r="BA129" s="6">
        <v>4.57</v>
      </c>
      <c r="BB129" s="6">
        <v>3.42</v>
      </c>
      <c r="BC129" s="6">
        <v>5.01</v>
      </c>
      <c r="BD129" s="11">
        <v>7.19</v>
      </c>
      <c r="BE129" s="6">
        <v>3.08</v>
      </c>
      <c r="BF129" s="6">
        <v>4.13</v>
      </c>
      <c r="BG129" s="6">
        <v>7.59</v>
      </c>
      <c r="BH129" s="6">
        <v>6.15</v>
      </c>
      <c r="BI129" s="6">
        <v>4.7</v>
      </c>
      <c r="BJ129" s="6">
        <v>7.6</v>
      </c>
      <c r="BK129" s="6">
        <v>6.75</v>
      </c>
      <c r="BL129" s="6">
        <v>5.66</v>
      </c>
      <c r="BM129" s="6">
        <v>4.9400000000000004</v>
      </c>
      <c r="BN129" s="6">
        <v>6.36</v>
      </c>
      <c r="BO129" s="6">
        <v>8</v>
      </c>
      <c r="BP129" s="6">
        <v>9.1</v>
      </c>
      <c r="BQ129" s="6">
        <v>6.28</v>
      </c>
      <c r="BR129" s="6">
        <v>4.08</v>
      </c>
      <c r="BS129" s="6">
        <v>6.76</v>
      </c>
      <c r="BT129" s="6">
        <v>6.22</v>
      </c>
      <c r="BU129" s="6">
        <v>6.55</v>
      </c>
      <c r="BV129" s="6">
        <v>8.7200000000000006</v>
      </c>
      <c r="BW129" s="6">
        <v>6.38</v>
      </c>
      <c r="BX129" s="6">
        <v>6.54</v>
      </c>
      <c r="BY129" s="6">
        <v>4.8600000000000003</v>
      </c>
      <c r="BZ129" s="6">
        <v>6.54</v>
      </c>
      <c r="CA129" s="6">
        <v>8.94</v>
      </c>
      <c r="CB129" s="6">
        <v>8.44</v>
      </c>
      <c r="CC129" s="6">
        <v>10.72</v>
      </c>
      <c r="CD129" s="6">
        <v>7.7</v>
      </c>
      <c r="CE129" s="6">
        <v>6.3</v>
      </c>
      <c r="CF129" s="6">
        <v>6.48</v>
      </c>
      <c r="CG129" s="6">
        <v>7.84</v>
      </c>
      <c r="CH129" s="6">
        <v>6.84</v>
      </c>
      <c r="CI129" s="11">
        <v>7.5</v>
      </c>
      <c r="CJ129" s="11">
        <v>5.56</v>
      </c>
      <c r="CK129" s="6">
        <v>4.04</v>
      </c>
      <c r="CL129" s="25">
        <v>9.0399999999999991</v>
      </c>
      <c r="CM129" s="25">
        <v>7.64</v>
      </c>
      <c r="CN129" s="25">
        <v>6.53</v>
      </c>
      <c r="CO129" s="10">
        <v>4.87</v>
      </c>
      <c r="CP129" s="10"/>
    </row>
    <row r="130" spans="1:94" ht="15.75" customHeight="1" x14ac:dyDescent="0.25">
      <c r="A130" s="4">
        <v>129</v>
      </c>
      <c r="B130" s="4"/>
      <c r="C130" s="4">
        <v>8</v>
      </c>
      <c r="D130" s="8">
        <v>4.38</v>
      </c>
      <c r="E130" s="8">
        <v>7.2</v>
      </c>
      <c r="F130" s="8">
        <v>5.78</v>
      </c>
      <c r="G130" s="8">
        <v>9.1300000000000008</v>
      </c>
      <c r="H130" s="8">
        <v>7.12</v>
      </c>
      <c r="I130" s="8">
        <v>4.96</v>
      </c>
      <c r="J130" s="8">
        <v>5.1100000000000003</v>
      </c>
      <c r="K130" s="8">
        <v>6.19</v>
      </c>
      <c r="L130" s="8">
        <v>8.08</v>
      </c>
      <c r="M130" s="8">
        <v>6.93</v>
      </c>
      <c r="N130" s="8">
        <v>7.01</v>
      </c>
      <c r="O130" s="8">
        <v>6.53</v>
      </c>
      <c r="P130" s="8">
        <v>4.21</v>
      </c>
      <c r="Q130" s="8">
        <v>6.89</v>
      </c>
      <c r="R130" s="8">
        <v>6.24</v>
      </c>
      <c r="S130" s="8">
        <v>4.41</v>
      </c>
      <c r="T130" s="8">
        <v>7.94</v>
      </c>
      <c r="U130" s="8">
        <v>7.46</v>
      </c>
      <c r="V130" s="8">
        <v>7.93</v>
      </c>
      <c r="W130" s="8">
        <v>8.81</v>
      </c>
      <c r="X130" s="8">
        <v>6.7</v>
      </c>
      <c r="Y130" s="8">
        <v>5.65</v>
      </c>
      <c r="Z130" s="8">
        <v>5.18</v>
      </c>
      <c r="AA130" s="8">
        <v>7.31</v>
      </c>
      <c r="AB130" s="8">
        <v>5.07</v>
      </c>
      <c r="AC130" s="8">
        <v>5.5</v>
      </c>
      <c r="AD130" s="8">
        <v>3.65</v>
      </c>
      <c r="AE130" s="8">
        <v>5.31</v>
      </c>
      <c r="AF130" s="8">
        <v>4.92</v>
      </c>
      <c r="AG130" s="8">
        <v>4.55</v>
      </c>
      <c r="AH130" s="8">
        <v>3.38</v>
      </c>
      <c r="AI130" s="8">
        <v>4.4800000000000004</v>
      </c>
      <c r="AJ130" s="8">
        <v>6.77</v>
      </c>
      <c r="AK130" s="8">
        <v>7.07</v>
      </c>
      <c r="AL130" s="8">
        <v>8.01</v>
      </c>
      <c r="AM130" s="8">
        <v>7.18</v>
      </c>
      <c r="AN130" s="8">
        <v>6.29</v>
      </c>
      <c r="AO130" s="8">
        <v>10</v>
      </c>
      <c r="AP130" s="8">
        <v>3.57</v>
      </c>
      <c r="AQ130" s="8">
        <v>4.51</v>
      </c>
      <c r="AR130" s="8">
        <v>3.87</v>
      </c>
      <c r="AS130" s="8">
        <v>9.18</v>
      </c>
      <c r="AT130" s="8">
        <v>3.65</v>
      </c>
      <c r="AU130" s="6">
        <v>7.98</v>
      </c>
      <c r="AV130" s="6">
        <v>7.84</v>
      </c>
      <c r="AW130" s="6">
        <v>6.01</v>
      </c>
      <c r="AX130" s="6">
        <v>9.92</v>
      </c>
      <c r="AY130" s="6">
        <v>9.7799999999999994</v>
      </c>
      <c r="AZ130" s="6">
        <v>9.39</v>
      </c>
      <c r="BA130" s="6">
        <v>4.71</v>
      </c>
      <c r="BB130" s="6">
        <v>3.74</v>
      </c>
      <c r="BC130" s="6">
        <v>5.1100000000000003</v>
      </c>
      <c r="BD130" s="11">
        <v>7.26</v>
      </c>
      <c r="BE130" s="6">
        <v>3.1</v>
      </c>
      <c r="BF130" s="6">
        <v>4.17</v>
      </c>
      <c r="BG130" s="6">
        <v>7.78</v>
      </c>
      <c r="BH130" s="6">
        <v>6.3</v>
      </c>
      <c r="BI130" s="6">
        <v>4.9000000000000004</v>
      </c>
      <c r="BJ130" s="6">
        <v>7.89</v>
      </c>
      <c r="BK130" s="6">
        <v>7.06</v>
      </c>
      <c r="BL130" s="6">
        <v>5.92</v>
      </c>
      <c r="BM130" s="6">
        <v>5.17</v>
      </c>
      <c r="BN130" s="6">
        <v>6.4</v>
      </c>
      <c r="BO130" s="6">
        <v>8.2799999999999994</v>
      </c>
      <c r="BP130" s="6">
        <v>9.1999999999999993</v>
      </c>
      <c r="BQ130" s="6">
        <v>6.38</v>
      </c>
      <c r="BR130" s="6">
        <v>4.18</v>
      </c>
      <c r="BS130" s="6">
        <v>6.84</v>
      </c>
      <c r="BT130" s="6">
        <v>6.48</v>
      </c>
      <c r="BU130" s="6">
        <v>6.75</v>
      </c>
      <c r="BV130" s="6">
        <v>8.7200000000000006</v>
      </c>
      <c r="BW130" s="6">
        <v>6.52</v>
      </c>
      <c r="BX130" s="6">
        <v>6.58</v>
      </c>
      <c r="BY130" s="6">
        <v>4.92</v>
      </c>
      <c r="BZ130" s="6">
        <v>6.64</v>
      </c>
      <c r="CA130" s="6">
        <v>8.94</v>
      </c>
      <c r="CB130" s="6">
        <v>8.64</v>
      </c>
      <c r="CC130" s="6">
        <v>10.82</v>
      </c>
      <c r="CD130" s="6">
        <v>7.8</v>
      </c>
      <c r="CE130" s="6">
        <v>6.4</v>
      </c>
      <c r="CF130" s="6">
        <v>6.56</v>
      </c>
      <c r="CG130" s="6">
        <v>7.92</v>
      </c>
      <c r="CH130" s="6">
        <v>7</v>
      </c>
      <c r="CI130" s="11">
        <v>7.8</v>
      </c>
      <c r="CJ130" s="11">
        <v>5.7</v>
      </c>
      <c r="CK130" s="6">
        <v>4.0599999999999996</v>
      </c>
      <c r="CL130" s="25">
        <v>9.2799999999999994</v>
      </c>
      <c r="CM130" s="25">
        <v>7.76</v>
      </c>
      <c r="CN130" s="25">
        <v>6.65</v>
      </c>
      <c r="CO130" s="10">
        <v>4.9800000000000004</v>
      </c>
      <c r="CP130" s="10"/>
    </row>
    <row r="131" spans="1:94" ht="15.75" customHeight="1" x14ac:dyDescent="0.25">
      <c r="A131" s="4">
        <v>130</v>
      </c>
      <c r="B131" s="4"/>
      <c r="C131" s="4">
        <v>9</v>
      </c>
      <c r="D131" s="8">
        <v>4.53</v>
      </c>
      <c r="E131" s="8">
        <v>7.2</v>
      </c>
      <c r="F131" s="8">
        <v>6.03</v>
      </c>
      <c r="G131" s="8">
        <v>9.33</v>
      </c>
      <c r="H131" s="8">
        <v>7.16</v>
      </c>
      <c r="I131" s="8">
        <v>4.92</v>
      </c>
      <c r="J131" s="8">
        <v>5.26</v>
      </c>
      <c r="K131" s="8">
        <v>6.33</v>
      </c>
      <c r="L131" s="8">
        <v>8.18</v>
      </c>
      <c r="M131" s="8">
        <v>7.25</v>
      </c>
      <c r="N131" s="8">
        <v>7.12</v>
      </c>
      <c r="O131" s="8">
        <v>6.68</v>
      </c>
      <c r="P131" s="8">
        <v>4.46</v>
      </c>
      <c r="Q131" s="8">
        <v>7.08</v>
      </c>
      <c r="R131" s="8">
        <v>6.52</v>
      </c>
      <c r="S131" s="8">
        <v>4.55</v>
      </c>
      <c r="T131" s="8">
        <v>8.1</v>
      </c>
      <c r="U131" s="8">
        <v>7.96</v>
      </c>
      <c r="V131" s="8">
        <v>8</v>
      </c>
      <c r="W131" s="8">
        <v>8.9499999999999993</v>
      </c>
      <c r="X131" s="8">
        <v>6.69</v>
      </c>
      <c r="Y131" s="8">
        <v>5.67</v>
      </c>
      <c r="Z131" s="8">
        <v>5.35</v>
      </c>
      <c r="AA131" s="8">
        <v>7.34</v>
      </c>
      <c r="AB131" s="8">
        <v>5.23</v>
      </c>
      <c r="AC131" s="8">
        <v>5.65</v>
      </c>
      <c r="AD131" s="8">
        <v>3.75</v>
      </c>
      <c r="AE131" s="8">
        <v>5.44</v>
      </c>
      <c r="AF131" s="8">
        <v>5.14</v>
      </c>
      <c r="AG131" s="8">
        <v>4.6500000000000004</v>
      </c>
      <c r="AH131" s="8">
        <v>3.42</v>
      </c>
      <c r="AI131" s="8">
        <v>4.6500000000000004</v>
      </c>
      <c r="AJ131" s="8">
        <v>6.97</v>
      </c>
      <c r="AK131" s="8">
        <v>7.17</v>
      </c>
      <c r="AL131" s="8">
        <v>8.02</v>
      </c>
      <c r="AM131" s="8">
        <v>7.26</v>
      </c>
      <c r="AN131" s="8">
        <v>6.39</v>
      </c>
      <c r="AO131" s="8">
        <v>10.17</v>
      </c>
      <c r="AP131" s="8">
        <v>3.74</v>
      </c>
      <c r="AQ131" s="8">
        <v>4.57</v>
      </c>
      <c r="AR131" s="8">
        <v>4.17</v>
      </c>
      <c r="AS131" s="8">
        <v>9.27</v>
      </c>
      <c r="AT131" s="8">
        <v>3.68</v>
      </c>
      <c r="AU131" s="6">
        <v>8.06</v>
      </c>
      <c r="AV131" s="6">
        <v>7.92</v>
      </c>
      <c r="AW131" s="6">
        <v>6.13</v>
      </c>
      <c r="AX131" s="6">
        <v>9.9700000000000006</v>
      </c>
      <c r="AY131" s="6">
        <v>10.02</v>
      </c>
      <c r="AZ131" s="6">
        <v>9.65</v>
      </c>
      <c r="BA131" s="6">
        <v>4.9400000000000004</v>
      </c>
      <c r="BB131" s="6">
        <v>3.94</v>
      </c>
      <c r="BC131" s="6">
        <v>5.21</v>
      </c>
      <c r="BD131" s="11">
        <v>7.26</v>
      </c>
      <c r="BE131" s="6">
        <v>3.15</v>
      </c>
      <c r="BF131" s="6">
        <v>4.26</v>
      </c>
      <c r="BG131" s="6">
        <v>7.98</v>
      </c>
      <c r="BH131" s="6">
        <v>6.38</v>
      </c>
      <c r="BI131" s="6">
        <v>5.14</v>
      </c>
      <c r="BJ131" s="6">
        <v>8</v>
      </c>
      <c r="BK131" s="6">
        <v>7.3</v>
      </c>
      <c r="BL131" s="6">
        <v>6.15</v>
      </c>
      <c r="BM131" s="6">
        <v>5.4</v>
      </c>
      <c r="BN131" s="6">
        <v>6.46</v>
      </c>
      <c r="BO131" s="6">
        <v>8.3800000000000008</v>
      </c>
      <c r="BP131" s="6">
        <v>9.32</v>
      </c>
      <c r="BQ131" s="6">
        <v>6.52</v>
      </c>
      <c r="BR131" s="6">
        <v>4.32</v>
      </c>
      <c r="BS131" s="6">
        <v>6.82</v>
      </c>
      <c r="BT131" s="6">
        <v>6.72</v>
      </c>
      <c r="BU131" s="6">
        <v>6.93</v>
      </c>
      <c r="BV131" s="6">
        <v>8.8000000000000007</v>
      </c>
      <c r="BW131" s="6">
        <v>6.72</v>
      </c>
      <c r="BX131" s="6">
        <v>6.58</v>
      </c>
      <c r="BY131" s="6">
        <v>5.18</v>
      </c>
      <c r="BZ131" s="6">
        <v>6.65</v>
      </c>
      <c r="CA131" s="6">
        <v>8.9</v>
      </c>
      <c r="CB131" s="6">
        <v>8.6999999999999993</v>
      </c>
      <c r="CC131" s="6">
        <v>11</v>
      </c>
      <c r="CD131" s="6">
        <v>7.9</v>
      </c>
      <c r="CE131" s="6">
        <v>6.6</v>
      </c>
      <c r="CF131" s="6">
        <v>6.66</v>
      </c>
      <c r="CG131" s="6">
        <v>8.1199999999999992</v>
      </c>
      <c r="CH131" s="6">
        <v>7.3</v>
      </c>
      <c r="CI131" s="11">
        <v>8.06</v>
      </c>
      <c r="CJ131" s="11">
        <v>5.8</v>
      </c>
      <c r="CK131" s="6">
        <v>4.0599999999999996</v>
      </c>
      <c r="CL131" s="25">
        <v>9.5399999999999991</v>
      </c>
      <c r="CM131" s="25">
        <v>7.9</v>
      </c>
      <c r="CN131" s="25">
        <v>6.72</v>
      </c>
      <c r="CO131" s="10">
        <v>5.12</v>
      </c>
      <c r="CP131" s="10"/>
    </row>
    <row r="132" spans="1:94" ht="15.75" customHeight="1" x14ac:dyDescent="0.25">
      <c r="A132" s="4">
        <v>131</v>
      </c>
      <c r="B132" s="4"/>
      <c r="C132" s="4">
        <v>10</v>
      </c>
      <c r="D132" s="8">
        <v>4.67</v>
      </c>
      <c r="E132" s="8">
        <v>7.23</v>
      </c>
      <c r="F132" s="8">
        <v>6.28</v>
      </c>
      <c r="G132" s="8">
        <v>9.5299999999999994</v>
      </c>
      <c r="H132" s="8">
        <v>7.18</v>
      </c>
      <c r="I132" s="8">
        <v>4.8600000000000003</v>
      </c>
      <c r="J132" s="8">
        <v>5.38</v>
      </c>
      <c r="K132" s="8">
        <v>6.51</v>
      </c>
      <c r="L132" s="8">
        <v>8.33</v>
      </c>
      <c r="M132" s="8">
        <v>7.48</v>
      </c>
      <c r="N132" s="8">
        <v>7.21</v>
      </c>
      <c r="O132" s="8">
        <v>6.83</v>
      </c>
      <c r="P132" s="8">
        <v>4.67</v>
      </c>
      <c r="Q132" s="8">
        <v>7.16</v>
      </c>
      <c r="R132" s="8">
        <v>6.7</v>
      </c>
      <c r="S132" s="8">
        <v>4.6900000000000004</v>
      </c>
      <c r="T132" s="8">
        <v>8.31</v>
      </c>
      <c r="U132" s="8">
        <v>8.35</v>
      </c>
      <c r="V132" s="8">
        <v>8.35</v>
      </c>
      <c r="W132" s="8">
        <v>9.08</v>
      </c>
      <c r="X132" s="8">
        <v>6.7</v>
      </c>
      <c r="Y132" s="8">
        <v>5.69</v>
      </c>
      <c r="Z132" s="8">
        <v>5.49</v>
      </c>
      <c r="AA132" s="8">
        <v>7.34</v>
      </c>
      <c r="AB132" s="8">
        <v>5.4</v>
      </c>
      <c r="AC132" s="8">
        <v>5.71</v>
      </c>
      <c r="AD132" s="8">
        <v>3.85</v>
      </c>
      <c r="AE132" s="8">
        <v>5.58</v>
      </c>
      <c r="AF132" s="8">
        <v>5.38</v>
      </c>
      <c r="AG132" s="8">
        <v>4.75</v>
      </c>
      <c r="AH132" s="8">
        <v>3.49</v>
      </c>
      <c r="AI132" s="8">
        <v>4.79</v>
      </c>
      <c r="AJ132" s="8">
        <v>7.27</v>
      </c>
      <c r="AK132" s="8">
        <v>7.24</v>
      </c>
      <c r="AL132" s="8">
        <v>8.02</v>
      </c>
      <c r="AM132" s="8">
        <v>7.4</v>
      </c>
      <c r="AN132" s="8">
        <v>6.5</v>
      </c>
      <c r="AO132" s="8">
        <v>10.32</v>
      </c>
      <c r="AP132" s="8">
        <v>3.91</v>
      </c>
      <c r="AQ132" s="8">
        <v>4.67</v>
      </c>
      <c r="AR132" s="8">
        <v>4.5199999999999996</v>
      </c>
      <c r="AS132" s="8">
        <v>9.3699999999999992</v>
      </c>
      <c r="AT132" s="8">
        <v>3.71</v>
      </c>
      <c r="AU132" s="6">
        <v>8.15</v>
      </c>
      <c r="AV132" s="6">
        <v>8.01</v>
      </c>
      <c r="AW132" s="6">
        <v>6.38</v>
      </c>
      <c r="AX132" s="6">
        <v>10.07</v>
      </c>
      <c r="AY132" s="6">
        <v>10.210000000000001</v>
      </c>
      <c r="AZ132" s="6">
        <v>9.89</v>
      </c>
      <c r="BA132" s="6">
        <v>5.09</v>
      </c>
      <c r="BB132" s="6">
        <v>4.09</v>
      </c>
      <c r="BC132" s="6">
        <v>5.4</v>
      </c>
      <c r="BD132" s="11">
        <v>7.25</v>
      </c>
      <c r="BE132" s="6">
        <v>3.23</v>
      </c>
      <c r="BF132" s="6">
        <v>4.3600000000000003</v>
      </c>
      <c r="BG132" s="6">
        <v>8.17</v>
      </c>
      <c r="BH132" s="6">
        <v>6.44</v>
      </c>
      <c r="BI132" s="6">
        <v>5.34</v>
      </c>
      <c r="BJ132" s="6">
        <v>8.1</v>
      </c>
      <c r="BK132" s="6">
        <v>7.55</v>
      </c>
      <c r="BL132" s="6">
        <v>6.35</v>
      </c>
      <c r="BM132" s="6">
        <v>5.62</v>
      </c>
      <c r="BN132" s="6">
        <v>6.46</v>
      </c>
      <c r="BO132" s="6">
        <v>8.4</v>
      </c>
      <c r="BP132" s="6">
        <v>9.43</v>
      </c>
      <c r="BQ132" s="6">
        <v>6.66</v>
      </c>
      <c r="BR132" s="6">
        <v>4.5</v>
      </c>
      <c r="BS132" s="6">
        <v>6.9</v>
      </c>
      <c r="BT132" s="6">
        <v>6.82</v>
      </c>
      <c r="BU132" s="6">
        <v>7.09</v>
      </c>
      <c r="BV132" s="6">
        <v>8.84</v>
      </c>
      <c r="BW132" s="6">
        <v>7</v>
      </c>
      <c r="BX132" s="6">
        <v>6.68</v>
      </c>
      <c r="BY132" s="6">
        <v>5.4</v>
      </c>
      <c r="BZ132" s="6">
        <v>6.67</v>
      </c>
      <c r="CA132" s="6">
        <v>8.9</v>
      </c>
      <c r="CB132" s="6">
        <v>8.84</v>
      </c>
      <c r="CC132" s="6">
        <v>11.16</v>
      </c>
      <c r="CD132" s="6">
        <v>7.96</v>
      </c>
      <c r="CE132" s="6">
        <v>6.7</v>
      </c>
      <c r="CF132" s="6">
        <v>6.58</v>
      </c>
      <c r="CG132" s="6">
        <v>8.18</v>
      </c>
      <c r="CH132" s="6">
        <v>7.58</v>
      </c>
      <c r="CI132" s="11">
        <v>8.3000000000000007</v>
      </c>
      <c r="CJ132" s="11">
        <v>5.88</v>
      </c>
      <c r="CK132" s="6">
        <v>4.0999999999999996</v>
      </c>
      <c r="CL132" s="25">
        <v>9.8000000000000007</v>
      </c>
      <c r="CM132" s="25">
        <v>8.1999999999999993</v>
      </c>
      <c r="CN132" s="25">
        <v>6.79</v>
      </c>
      <c r="CO132" s="10">
        <v>5.35</v>
      </c>
      <c r="CP132" s="10"/>
    </row>
    <row r="133" spans="1:94" ht="15.75" customHeight="1" x14ac:dyDescent="0.25">
      <c r="A133" s="4">
        <v>132</v>
      </c>
      <c r="B133" s="4"/>
      <c r="C133" s="4">
        <v>11</v>
      </c>
      <c r="D133" s="8">
        <v>4.88</v>
      </c>
      <c r="E133" s="8">
        <v>7.28</v>
      </c>
      <c r="F133" s="8">
        <v>6.58</v>
      </c>
      <c r="G133" s="8">
        <v>9.7799999999999994</v>
      </c>
      <c r="H133" s="8">
        <v>7.23</v>
      </c>
      <c r="I133" s="8">
        <v>4.8</v>
      </c>
      <c r="J133" s="8">
        <v>5.52</v>
      </c>
      <c r="K133" s="8">
        <v>6.61</v>
      </c>
      <c r="L133" s="8">
        <v>8.5299999999999994</v>
      </c>
      <c r="M133" s="8">
        <v>7.69</v>
      </c>
      <c r="N133" s="8">
        <v>7.29</v>
      </c>
      <c r="O133" s="8">
        <v>6.98</v>
      </c>
      <c r="P133" s="8">
        <v>4.82</v>
      </c>
      <c r="Q133" s="8">
        <v>7.25</v>
      </c>
      <c r="R133" s="8">
        <v>6.82</v>
      </c>
      <c r="S133" s="8">
        <v>4.91</v>
      </c>
      <c r="T133" s="8">
        <v>8.4600000000000009</v>
      </c>
      <c r="U133" s="8">
        <v>8.66</v>
      </c>
      <c r="V133" s="8">
        <v>8.42</v>
      </c>
      <c r="W133" s="8">
        <v>9.18</v>
      </c>
      <c r="X133" s="8">
        <v>6.78</v>
      </c>
      <c r="Y133" s="8">
        <v>5.77</v>
      </c>
      <c r="Z133" s="8">
        <v>5.67</v>
      </c>
      <c r="AA133" s="8">
        <v>7.41</v>
      </c>
      <c r="AB133" s="8">
        <v>5.57</v>
      </c>
      <c r="AC133" s="8">
        <v>5.76</v>
      </c>
      <c r="AD133" s="8">
        <v>3.9</v>
      </c>
      <c r="AE133" s="8">
        <v>5.77</v>
      </c>
      <c r="AF133" s="8">
        <v>5.62</v>
      </c>
      <c r="AG133" s="8">
        <v>4.8499999999999996</v>
      </c>
      <c r="AH133" s="8">
        <v>3.65</v>
      </c>
      <c r="AI133" s="8">
        <v>4.8899999999999997</v>
      </c>
      <c r="AJ133" s="8">
        <v>7.55</v>
      </c>
      <c r="AK133" s="8">
        <v>7.27</v>
      </c>
      <c r="AL133" s="8">
        <v>7.98</v>
      </c>
      <c r="AM133" s="8">
        <v>7.52</v>
      </c>
      <c r="AN133" s="8">
        <v>6.61</v>
      </c>
      <c r="AO133" s="8">
        <v>10.47</v>
      </c>
      <c r="AP133" s="8">
        <v>4.0599999999999996</v>
      </c>
      <c r="AQ133" s="8">
        <v>4.79</v>
      </c>
      <c r="AR133" s="8">
        <v>4.82</v>
      </c>
      <c r="AS133" s="8">
        <v>9.4600000000000009</v>
      </c>
      <c r="AT133" s="8">
        <v>3.79</v>
      </c>
      <c r="AU133" s="6">
        <v>8.23</v>
      </c>
      <c r="AV133" s="6">
        <v>8.06</v>
      </c>
      <c r="AW133" s="6">
        <v>6.51</v>
      </c>
      <c r="AX133" s="6">
        <v>10.19</v>
      </c>
      <c r="AY133" s="6">
        <v>10.38</v>
      </c>
      <c r="AZ133" s="6">
        <v>10.1</v>
      </c>
      <c r="BA133" s="6">
        <v>5.23</v>
      </c>
      <c r="BB133" s="6">
        <v>4.21</v>
      </c>
      <c r="BC133" s="6">
        <v>5.55</v>
      </c>
      <c r="BD133" s="11">
        <v>7.22</v>
      </c>
      <c r="BE133" s="6">
        <v>3.32</v>
      </c>
      <c r="BF133" s="6">
        <v>4.4800000000000004</v>
      </c>
      <c r="BG133" s="6">
        <v>8.39</v>
      </c>
      <c r="BH133" s="6">
        <v>6.51</v>
      </c>
      <c r="BI133" s="6">
        <v>5.44</v>
      </c>
      <c r="BJ133" s="6">
        <v>8.1999999999999993</v>
      </c>
      <c r="BK133" s="6">
        <v>7.8</v>
      </c>
      <c r="BL133" s="6">
        <v>6.54</v>
      </c>
      <c r="BM133" s="6">
        <v>5.84</v>
      </c>
      <c r="BN133" s="6">
        <v>6.49</v>
      </c>
      <c r="BO133" s="6">
        <v>8.4</v>
      </c>
      <c r="BP133" s="6">
        <v>9.5</v>
      </c>
      <c r="BQ133" s="6">
        <v>6.72</v>
      </c>
      <c r="BR133" s="6">
        <v>4.7</v>
      </c>
      <c r="BS133" s="6">
        <v>6.9</v>
      </c>
      <c r="BT133" s="6">
        <v>7</v>
      </c>
      <c r="BU133" s="6">
        <v>7.2</v>
      </c>
      <c r="BV133" s="6">
        <v>8.9</v>
      </c>
      <c r="BW133" s="6">
        <v>7.22</v>
      </c>
      <c r="BX133" s="6">
        <v>6.82</v>
      </c>
      <c r="BY133" s="6">
        <v>5.46</v>
      </c>
      <c r="BZ133" s="6">
        <v>6.7</v>
      </c>
      <c r="CA133" s="6">
        <v>8.9</v>
      </c>
      <c r="CB133" s="6">
        <v>8.98</v>
      </c>
      <c r="CC133" s="6">
        <v>11.36</v>
      </c>
      <c r="CD133" s="6">
        <v>8.1</v>
      </c>
      <c r="CE133" s="6">
        <v>6.78</v>
      </c>
      <c r="CF133" s="6">
        <v>6.56</v>
      </c>
      <c r="CG133" s="6">
        <v>8.26</v>
      </c>
      <c r="CH133" s="6">
        <v>7.8</v>
      </c>
      <c r="CI133" s="11">
        <v>8.36</v>
      </c>
      <c r="CJ133" s="11">
        <v>5.98</v>
      </c>
      <c r="CK133" s="6">
        <v>4.0999999999999996</v>
      </c>
      <c r="CL133" s="25">
        <v>9.9600000000000009</v>
      </c>
      <c r="CM133" s="25">
        <v>8.58</v>
      </c>
      <c r="CN133" s="25">
        <v>6.79</v>
      </c>
      <c r="CO133" s="10">
        <v>5.67</v>
      </c>
      <c r="CP133" s="10"/>
    </row>
    <row r="134" spans="1:94" ht="15.75" customHeight="1" x14ac:dyDescent="0.25">
      <c r="A134" s="4">
        <v>133</v>
      </c>
      <c r="B134" s="4"/>
      <c r="C134" s="4">
        <v>12</v>
      </c>
      <c r="D134" s="8">
        <v>5.13</v>
      </c>
      <c r="E134" s="8">
        <v>7.38</v>
      </c>
      <c r="F134" s="8">
        <v>6.93</v>
      </c>
      <c r="G134" s="8">
        <v>9.8800000000000008</v>
      </c>
      <c r="H134" s="8">
        <v>7.28</v>
      </c>
      <c r="I134" s="8">
        <v>4.78</v>
      </c>
      <c r="J134" s="8">
        <v>5.66</v>
      </c>
      <c r="K134" s="8">
        <v>6.75</v>
      </c>
      <c r="L134" s="8">
        <v>8.83</v>
      </c>
      <c r="M134" s="8">
        <v>7.91</v>
      </c>
      <c r="N134" s="8">
        <v>7.4</v>
      </c>
      <c r="O134" s="8">
        <v>7.13</v>
      </c>
      <c r="P134" s="8">
        <v>4.9400000000000004</v>
      </c>
      <c r="Q134" s="8">
        <v>7.35</v>
      </c>
      <c r="R134" s="8">
        <v>6.95</v>
      </c>
      <c r="S134" s="8">
        <v>5.21</v>
      </c>
      <c r="T134" s="8">
        <v>8.59</v>
      </c>
      <c r="U134" s="8">
        <v>8.91</v>
      </c>
      <c r="V134" s="8">
        <v>8.6</v>
      </c>
      <c r="W134" s="8">
        <v>9.2100000000000009</v>
      </c>
      <c r="X134" s="8">
        <v>6.88</v>
      </c>
      <c r="Y134" s="8">
        <v>5.87</v>
      </c>
      <c r="Z134" s="8">
        <v>5.97</v>
      </c>
      <c r="AA134" s="8">
        <v>7.49</v>
      </c>
      <c r="AB134" s="8">
        <v>5.69</v>
      </c>
      <c r="AC134" s="8">
        <v>5.85</v>
      </c>
      <c r="AD134" s="8">
        <v>3.93</v>
      </c>
      <c r="AE134" s="8">
        <v>5.95</v>
      </c>
      <c r="AF134" s="8">
        <v>5.96</v>
      </c>
      <c r="AG134" s="8">
        <v>4.9400000000000004</v>
      </c>
      <c r="AH134" s="8">
        <v>3.79</v>
      </c>
      <c r="AI134" s="8">
        <v>4.96</v>
      </c>
      <c r="AJ134" s="8">
        <v>7.85</v>
      </c>
      <c r="AK134" s="8">
        <v>7.28</v>
      </c>
      <c r="AL134" s="8">
        <v>7.95</v>
      </c>
      <c r="AM134" s="8">
        <v>7.62</v>
      </c>
      <c r="AN134" s="8">
        <v>6.71</v>
      </c>
      <c r="AO134" s="8">
        <v>10.58</v>
      </c>
      <c r="AP134" s="8">
        <v>4.17</v>
      </c>
      <c r="AQ134" s="8">
        <v>4.92</v>
      </c>
      <c r="AR134" s="8">
        <v>5.07</v>
      </c>
      <c r="AS134" s="8">
        <v>9.56</v>
      </c>
      <c r="AT134" s="8">
        <v>3.91</v>
      </c>
      <c r="AU134" s="6">
        <v>8.31</v>
      </c>
      <c r="AV134" s="6">
        <v>8.1</v>
      </c>
      <c r="AW134" s="6">
        <v>6.71</v>
      </c>
      <c r="AX134" s="6">
        <v>10.35</v>
      </c>
      <c r="AY134" s="6">
        <v>10.52</v>
      </c>
      <c r="AZ134" s="6">
        <v>10.3</v>
      </c>
      <c r="BA134" s="6">
        <v>5.38</v>
      </c>
      <c r="BB134" s="6">
        <v>4.26</v>
      </c>
      <c r="BC134" s="6">
        <v>5.69</v>
      </c>
      <c r="BD134" s="11">
        <v>7.25</v>
      </c>
      <c r="BE134" s="6">
        <v>3.4</v>
      </c>
      <c r="BF134" s="6">
        <v>4.6900000000000004</v>
      </c>
      <c r="BG134" s="6">
        <v>8.6</v>
      </c>
      <c r="BH134" s="6">
        <v>6.57</v>
      </c>
      <c r="BI134" s="6">
        <v>5.46</v>
      </c>
      <c r="BJ134" s="6">
        <v>8.36</v>
      </c>
      <c r="BK134" s="6">
        <v>8.06</v>
      </c>
      <c r="BL134" s="6">
        <v>6.64</v>
      </c>
      <c r="BM134" s="6">
        <v>6.04</v>
      </c>
      <c r="BN134" s="6">
        <v>6.47</v>
      </c>
      <c r="BO134" s="6">
        <v>8.4600000000000009</v>
      </c>
      <c r="BP134" s="6">
        <v>9.5399999999999991</v>
      </c>
      <c r="BQ134" s="6">
        <v>6.76</v>
      </c>
      <c r="BR134" s="6">
        <v>4.9000000000000004</v>
      </c>
      <c r="BS134" s="6">
        <v>6.92</v>
      </c>
      <c r="BT134" s="6">
        <v>7.09</v>
      </c>
      <c r="BU134" s="6">
        <v>7.38</v>
      </c>
      <c r="BV134" s="6">
        <v>9</v>
      </c>
      <c r="BW134" s="6">
        <v>7.8</v>
      </c>
      <c r="BX134" s="6">
        <v>7</v>
      </c>
      <c r="BY134" s="6">
        <v>5.56</v>
      </c>
      <c r="BZ134" s="6">
        <v>6.72</v>
      </c>
      <c r="CA134" s="6">
        <v>8.9</v>
      </c>
      <c r="CB134" s="6">
        <v>9.1</v>
      </c>
      <c r="CC134" s="6">
        <v>11.6</v>
      </c>
      <c r="CD134" s="6">
        <v>8.1999999999999993</v>
      </c>
      <c r="CE134" s="6">
        <v>6.86</v>
      </c>
      <c r="CF134" s="6">
        <v>6.58</v>
      </c>
      <c r="CG134" s="6">
        <v>8.66</v>
      </c>
      <c r="CH134" s="6">
        <v>8.1</v>
      </c>
      <c r="CI134" s="11">
        <v>8.4</v>
      </c>
      <c r="CJ134" s="11">
        <v>6.12</v>
      </c>
      <c r="CK134" s="6">
        <v>4.2</v>
      </c>
      <c r="CL134" s="25">
        <v>10.24</v>
      </c>
      <c r="CM134" s="25">
        <v>8.8800000000000008</v>
      </c>
      <c r="CN134" s="25">
        <v>6.79</v>
      </c>
      <c r="CO134" s="10">
        <v>5.96</v>
      </c>
      <c r="CP134" s="10"/>
    </row>
    <row r="135" spans="1:94" ht="15.75" customHeight="1" x14ac:dyDescent="0.25">
      <c r="A135" s="4">
        <v>134</v>
      </c>
      <c r="B135" s="4"/>
      <c r="C135" s="4">
        <v>13</v>
      </c>
      <c r="D135" s="8">
        <v>5.38</v>
      </c>
      <c r="E135" s="8">
        <v>7.53</v>
      </c>
      <c r="F135" s="8">
        <v>7.13</v>
      </c>
      <c r="G135" s="8">
        <v>10.08</v>
      </c>
      <c r="H135" s="8">
        <v>7.33</v>
      </c>
      <c r="I135" s="8">
        <v>4.76</v>
      </c>
      <c r="J135" s="8">
        <v>5.81</v>
      </c>
      <c r="K135" s="8">
        <v>6.85</v>
      </c>
      <c r="L135" s="8">
        <v>9.08</v>
      </c>
      <c r="M135" s="8">
        <v>8.1</v>
      </c>
      <c r="N135" s="8">
        <v>7.52</v>
      </c>
      <c r="O135" s="8">
        <v>7.28</v>
      </c>
      <c r="P135" s="8">
        <v>5.05</v>
      </c>
      <c r="Q135" s="8">
        <v>7.44</v>
      </c>
      <c r="R135" s="8">
        <v>7.08</v>
      </c>
      <c r="S135" s="8">
        <v>5.51</v>
      </c>
      <c r="T135" s="8">
        <v>8.68</v>
      </c>
      <c r="U135" s="8">
        <v>9.1</v>
      </c>
      <c r="V135" s="8">
        <v>8.8000000000000007</v>
      </c>
      <c r="W135" s="8">
        <v>9.2100000000000009</v>
      </c>
      <c r="X135" s="8">
        <v>6.98</v>
      </c>
      <c r="Y135" s="8">
        <v>5.95</v>
      </c>
      <c r="Z135" s="8">
        <v>6.19</v>
      </c>
      <c r="AA135" s="8">
        <v>7.61</v>
      </c>
      <c r="AB135" s="8">
        <v>5.89</v>
      </c>
      <c r="AC135" s="8">
        <v>5.99</v>
      </c>
      <c r="AD135" s="8">
        <v>3.93</v>
      </c>
      <c r="AE135" s="8">
        <v>6.12</v>
      </c>
      <c r="AF135" s="8">
        <v>6.32</v>
      </c>
      <c r="AG135" s="8">
        <v>4.96</v>
      </c>
      <c r="AH135" s="8">
        <v>3.95</v>
      </c>
      <c r="AI135" s="8">
        <v>5.0599999999999996</v>
      </c>
      <c r="AJ135" s="8">
        <v>8.14</v>
      </c>
      <c r="AK135" s="8">
        <v>7.29</v>
      </c>
      <c r="AL135" s="8">
        <v>7.92</v>
      </c>
      <c r="AM135" s="8">
        <v>7.7</v>
      </c>
      <c r="AN135" s="8">
        <v>6.82</v>
      </c>
      <c r="AO135" s="8">
        <v>10.68</v>
      </c>
      <c r="AP135" s="8">
        <v>4.2699999999999996</v>
      </c>
      <c r="AQ135" s="8">
        <v>5.07</v>
      </c>
      <c r="AR135" s="8">
        <v>5.3</v>
      </c>
      <c r="AS135" s="8">
        <v>9.64</v>
      </c>
      <c r="AT135" s="8">
        <v>4.03</v>
      </c>
      <c r="AU135" s="6">
        <v>8.39</v>
      </c>
      <c r="AV135" s="6">
        <v>8.15</v>
      </c>
      <c r="AW135" s="6">
        <v>6.92</v>
      </c>
      <c r="AX135" s="6">
        <v>10.47</v>
      </c>
      <c r="AY135" s="6">
        <v>10.63</v>
      </c>
      <c r="AZ135" s="6">
        <v>10.46</v>
      </c>
      <c r="BA135" s="6">
        <v>5.53</v>
      </c>
      <c r="BB135" s="6">
        <v>4.34</v>
      </c>
      <c r="BC135" s="6">
        <v>5.92</v>
      </c>
      <c r="BD135" s="11">
        <v>7.36</v>
      </c>
      <c r="BE135" s="6">
        <v>3.5</v>
      </c>
      <c r="BF135" s="6">
        <v>4.9400000000000004</v>
      </c>
      <c r="BG135" s="6">
        <v>8.7200000000000006</v>
      </c>
      <c r="BH135" s="6">
        <v>6.69</v>
      </c>
      <c r="BI135" s="6">
        <v>5.46</v>
      </c>
      <c r="BJ135" s="6">
        <v>8.48</v>
      </c>
      <c r="BK135" s="6">
        <v>8.27</v>
      </c>
      <c r="BL135" s="6">
        <v>6.7</v>
      </c>
      <c r="BM135" s="6">
        <v>6.28</v>
      </c>
      <c r="BN135" s="6">
        <v>6.52</v>
      </c>
      <c r="BO135" s="6">
        <v>8.56</v>
      </c>
      <c r="BP135" s="6">
        <v>9.58</v>
      </c>
      <c r="BQ135" s="6">
        <v>6.82</v>
      </c>
      <c r="BR135" s="6">
        <v>5.3</v>
      </c>
      <c r="BS135" s="6">
        <v>7</v>
      </c>
      <c r="BT135" s="6">
        <v>7.24</v>
      </c>
      <c r="BU135" s="6">
        <v>7.54</v>
      </c>
      <c r="BV135" s="6">
        <v>9.1999999999999993</v>
      </c>
      <c r="BW135" s="6">
        <v>7.8</v>
      </c>
      <c r="BX135" s="6">
        <v>7.12</v>
      </c>
      <c r="BY135" s="6">
        <v>6</v>
      </c>
      <c r="BZ135" s="6">
        <v>6.8</v>
      </c>
      <c r="CA135" s="6">
        <v>9.02</v>
      </c>
      <c r="CB135" s="6">
        <v>9.1999999999999993</v>
      </c>
      <c r="CC135" s="6">
        <v>11.8</v>
      </c>
      <c r="CD135" s="6">
        <v>8.2799999999999994</v>
      </c>
      <c r="CE135" s="6">
        <v>6.94</v>
      </c>
      <c r="CF135" s="6">
        <v>6.44</v>
      </c>
      <c r="CG135" s="6">
        <v>8.86</v>
      </c>
      <c r="CH135" s="6">
        <v>8.4600000000000009</v>
      </c>
      <c r="CI135" s="11">
        <v>8.4</v>
      </c>
      <c r="CJ135" s="11">
        <v>6.22</v>
      </c>
      <c r="CK135" s="6">
        <v>4.3</v>
      </c>
      <c r="CL135" s="25">
        <v>10.42</v>
      </c>
      <c r="CM135" s="25">
        <v>9.08</v>
      </c>
      <c r="CN135" s="25">
        <v>6.76</v>
      </c>
      <c r="CO135" s="10">
        <v>6.34</v>
      </c>
      <c r="CP135" s="10"/>
    </row>
    <row r="136" spans="1:94" ht="15.75" customHeight="1" x14ac:dyDescent="0.25">
      <c r="A136" s="4">
        <v>135</v>
      </c>
      <c r="B136" s="4"/>
      <c r="C136" s="4">
        <v>14</v>
      </c>
      <c r="D136" s="8">
        <v>5.68</v>
      </c>
      <c r="E136" s="8">
        <v>7.68</v>
      </c>
      <c r="F136" s="8">
        <v>7.33</v>
      </c>
      <c r="G136" s="8">
        <v>10.18</v>
      </c>
      <c r="H136" s="8">
        <v>7.38</v>
      </c>
      <c r="I136" s="8">
        <v>4.7300000000000004</v>
      </c>
      <c r="J136" s="8">
        <v>5.82</v>
      </c>
      <c r="K136" s="8">
        <v>6.96</v>
      </c>
      <c r="L136" s="8">
        <v>9.3800000000000008</v>
      </c>
      <c r="M136" s="8">
        <v>8.2899999999999991</v>
      </c>
      <c r="N136" s="8">
        <v>7.63</v>
      </c>
      <c r="O136" s="8">
        <v>7.48</v>
      </c>
      <c r="P136" s="8">
        <v>5.12</v>
      </c>
      <c r="Q136" s="8">
        <v>7.55</v>
      </c>
      <c r="R136" s="8">
        <v>7.21</v>
      </c>
      <c r="S136" s="8">
        <v>5.96</v>
      </c>
      <c r="T136" s="8">
        <v>8.7899999999999991</v>
      </c>
      <c r="U136" s="8">
        <v>9.31</v>
      </c>
      <c r="V136" s="8">
        <v>9.16</v>
      </c>
      <c r="W136" s="8">
        <v>9.18</v>
      </c>
      <c r="X136" s="8">
        <v>7.11</v>
      </c>
      <c r="Y136" s="8">
        <v>6.02</v>
      </c>
      <c r="Z136" s="8">
        <v>6.41</v>
      </c>
      <c r="AA136" s="8">
        <v>7.73</v>
      </c>
      <c r="AB136" s="8">
        <v>6.15</v>
      </c>
      <c r="AC136" s="8">
        <v>6.13</v>
      </c>
      <c r="AD136" s="8">
        <v>3.93</v>
      </c>
      <c r="AE136" s="8">
        <v>6.28</v>
      </c>
      <c r="AF136" s="8">
        <v>6.62</v>
      </c>
      <c r="AG136" s="8">
        <v>5</v>
      </c>
      <c r="AH136" s="8">
        <v>4.1399999999999997</v>
      </c>
      <c r="AI136" s="8">
        <v>5.16</v>
      </c>
      <c r="AJ136" s="8">
        <v>8.2799999999999994</v>
      </c>
      <c r="AK136" s="8">
        <v>7.3</v>
      </c>
      <c r="AL136" s="8">
        <v>7.99</v>
      </c>
      <c r="AM136" s="8">
        <v>7.8</v>
      </c>
      <c r="AN136" s="8">
        <v>6.93</v>
      </c>
      <c r="AO136" s="8">
        <v>10.77</v>
      </c>
      <c r="AP136" s="8">
        <v>4.32</v>
      </c>
      <c r="AQ136" s="8">
        <v>5.33</v>
      </c>
      <c r="AR136" s="8">
        <v>5.5</v>
      </c>
      <c r="AS136" s="8">
        <v>9.77</v>
      </c>
      <c r="AT136" s="8">
        <v>4.0999999999999996</v>
      </c>
      <c r="AU136" s="6">
        <v>8.5</v>
      </c>
      <c r="AV136" s="6">
        <v>8.15</v>
      </c>
      <c r="AW136" s="6">
        <v>7.15</v>
      </c>
      <c r="AX136" s="6">
        <v>10.56</v>
      </c>
      <c r="AY136" s="6">
        <v>10.73</v>
      </c>
      <c r="AZ136" s="6">
        <v>10.6</v>
      </c>
      <c r="BA136" s="6">
        <v>5.67</v>
      </c>
      <c r="BB136" s="6">
        <v>4.5</v>
      </c>
      <c r="BC136" s="6">
        <v>6.07</v>
      </c>
      <c r="BD136" s="11">
        <v>7.52</v>
      </c>
      <c r="BE136" s="6">
        <v>3.64</v>
      </c>
      <c r="BF136" s="6">
        <v>5.15</v>
      </c>
      <c r="BG136" s="6">
        <v>8.82</v>
      </c>
      <c r="BH136" s="6">
        <v>6.82</v>
      </c>
      <c r="BI136" s="6">
        <v>5.51</v>
      </c>
      <c r="BJ136" s="6">
        <v>8.65</v>
      </c>
      <c r="BK136" s="6">
        <v>8.35</v>
      </c>
      <c r="BL136" s="6">
        <v>6.73</v>
      </c>
      <c r="BM136" s="6">
        <v>6.58</v>
      </c>
      <c r="BN136" s="6">
        <v>6.6</v>
      </c>
      <c r="BO136" s="6">
        <v>8.6</v>
      </c>
      <c r="BP136" s="6">
        <v>9.64</v>
      </c>
      <c r="BQ136" s="6">
        <v>6.9</v>
      </c>
      <c r="BR136" s="6">
        <v>5.5</v>
      </c>
      <c r="BS136" s="6">
        <v>7.16</v>
      </c>
      <c r="BT136" s="6">
        <v>7.45</v>
      </c>
      <c r="BU136" s="6">
        <v>7.8</v>
      </c>
      <c r="BV136" s="6">
        <v>9.32</v>
      </c>
      <c r="BW136" s="6">
        <v>7.92</v>
      </c>
      <c r="BX136" s="6">
        <v>7.32</v>
      </c>
      <c r="BY136" s="6">
        <v>6.16</v>
      </c>
      <c r="BZ136" s="6">
        <v>6.86</v>
      </c>
      <c r="CA136" s="6">
        <v>9.1</v>
      </c>
      <c r="CB136" s="6">
        <v>9.48</v>
      </c>
      <c r="CC136" s="6">
        <v>11.96</v>
      </c>
      <c r="CD136" s="6">
        <v>8.5399999999999991</v>
      </c>
      <c r="CE136" s="6">
        <v>7</v>
      </c>
      <c r="CF136" s="6">
        <v>6.4</v>
      </c>
      <c r="CG136" s="6">
        <v>9.1199999999999992</v>
      </c>
      <c r="CH136" s="6">
        <v>8.8000000000000007</v>
      </c>
      <c r="CI136" s="11">
        <v>8.6999999999999993</v>
      </c>
      <c r="CJ136" s="11">
        <v>6.4</v>
      </c>
      <c r="CK136" s="6">
        <v>4.5</v>
      </c>
      <c r="CL136" s="25">
        <v>10.48</v>
      </c>
      <c r="CM136" s="25">
        <v>9.1999999999999993</v>
      </c>
      <c r="CN136" s="25">
        <v>6.7</v>
      </c>
      <c r="CO136" s="10">
        <v>6.61</v>
      </c>
      <c r="CP136" s="10"/>
    </row>
    <row r="137" spans="1:94" ht="15.75" customHeight="1" x14ac:dyDescent="0.25">
      <c r="A137" s="4">
        <v>136</v>
      </c>
      <c r="B137" s="4"/>
      <c r="C137" s="4">
        <v>15</v>
      </c>
      <c r="D137" s="8">
        <v>6.08</v>
      </c>
      <c r="E137" s="8">
        <v>7.83</v>
      </c>
      <c r="F137" s="8">
        <v>7.58</v>
      </c>
      <c r="G137" s="8">
        <v>10.28</v>
      </c>
      <c r="H137" s="8">
        <v>7.48</v>
      </c>
      <c r="I137" s="8">
        <v>4.76</v>
      </c>
      <c r="J137" s="8">
        <v>5.99</v>
      </c>
      <c r="K137" s="8">
        <v>7.14</v>
      </c>
      <c r="L137" s="8">
        <v>9.83</v>
      </c>
      <c r="M137" s="8">
        <v>8.4600000000000009</v>
      </c>
      <c r="N137" s="8">
        <v>7.73</v>
      </c>
      <c r="O137" s="8">
        <v>7.68</v>
      </c>
      <c r="P137" s="8">
        <v>5.16</v>
      </c>
      <c r="Q137" s="8">
        <v>7.65</v>
      </c>
      <c r="R137" s="8">
        <v>7.35</v>
      </c>
      <c r="S137" s="8">
        <v>6.31</v>
      </c>
      <c r="T137" s="8">
        <v>8.8800000000000008</v>
      </c>
      <c r="U137" s="8">
        <v>9.4600000000000009</v>
      </c>
      <c r="V137" s="8">
        <v>9.31</v>
      </c>
      <c r="W137" s="8">
        <v>9.16</v>
      </c>
      <c r="X137" s="8">
        <v>7.23</v>
      </c>
      <c r="Y137" s="8">
        <v>6.17</v>
      </c>
      <c r="Z137" s="8">
        <v>6.62</v>
      </c>
      <c r="AA137" s="8">
        <v>8.06</v>
      </c>
      <c r="AB137" s="8">
        <v>6.39</v>
      </c>
      <c r="AC137" s="8">
        <v>6.22</v>
      </c>
      <c r="AD137" s="8">
        <v>3.93</v>
      </c>
      <c r="AE137" s="8">
        <v>6.33</v>
      </c>
      <c r="AF137" s="8">
        <v>6.85</v>
      </c>
      <c r="AG137" s="8">
        <v>5</v>
      </c>
      <c r="AH137" s="8">
        <v>4.37</v>
      </c>
      <c r="AI137" s="8">
        <v>5.26</v>
      </c>
      <c r="AJ137" s="8">
        <v>8.41</v>
      </c>
      <c r="AK137" s="8">
        <v>7.32</v>
      </c>
      <c r="AL137" s="8">
        <v>8.06</v>
      </c>
      <c r="AM137" s="8">
        <v>7.93</v>
      </c>
      <c r="AN137" s="8">
        <v>7.03</v>
      </c>
      <c r="AO137" s="8">
        <v>10.89</v>
      </c>
      <c r="AP137" s="8">
        <v>4.33</v>
      </c>
      <c r="AQ137" s="8">
        <v>5.53</v>
      </c>
      <c r="AR137" s="8">
        <v>5.72</v>
      </c>
      <c r="AS137" s="8">
        <v>9.89</v>
      </c>
      <c r="AT137" s="8">
        <v>4.17</v>
      </c>
      <c r="AU137" s="6">
        <v>8.6</v>
      </c>
      <c r="AV137" s="6">
        <v>8.14</v>
      </c>
      <c r="AW137" s="6">
        <v>7.38</v>
      </c>
      <c r="AX137" s="6">
        <v>10.64</v>
      </c>
      <c r="AY137" s="6">
        <v>10.81</v>
      </c>
      <c r="AZ137" s="6">
        <v>10.69</v>
      </c>
      <c r="BA137" s="6">
        <v>5.76</v>
      </c>
      <c r="BB137" s="6">
        <v>4.7300000000000004</v>
      </c>
      <c r="BC137" s="6">
        <v>6.21</v>
      </c>
      <c r="BD137" s="6">
        <v>5.32</v>
      </c>
      <c r="BE137" s="6">
        <v>3.82</v>
      </c>
      <c r="BF137" s="6">
        <v>5.36</v>
      </c>
      <c r="BG137" s="6">
        <v>8.9700000000000006</v>
      </c>
      <c r="BH137" s="6">
        <v>6.92</v>
      </c>
      <c r="BI137" s="6">
        <v>5.63</v>
      </c>
      <c r="BJ137" s="6">
        <v>8.83</v>
      </c>
      <c r="BK137" s="6">
        <v>8.4700000000000006</v>
      </c>
      <c r="BL137" s="6">
        <v>6.76</v>
      </c>
      <c r="BM137" s="6">
        <v>6.86</v>
      </c>
      <c r="BN137" s="6">
        <v>6.68</v>
      </c>
      <c r="BO137" s="6">
        <v>8.86</v>
      </c>
      <c r="BP137" s="6">
        <v>9.6999999999999993</v>
      </c>
      <c r="BQ137" s="6">
        <v>7.02</v>
      </c>
      <c r="BR137" s="6">
        <v>5.72</v>
      </c>
      <c r="BS137" s="6">
        <v>7.2</v>
      </c>
      <c r="BT137" s="6">
        <v>7.64</v>
      </c>
      <c r="BU137" s="6">
        <v>8.02</v>
      </c>
      <c r="BV137" s="6">
        <v>9.42</v>
      </c>
      <c r="BW137" s="6">
        <v>8.1999999999999993</v>
      </c>
      <c r="BX137" s="6">
        <v>7.38</v>
      </c>
      <c r="BY137" s="6">
        <v>6.26</v>
      </c>
      <c r="BZ137" s="6">
        <v>6.89</v>
      </c>
      <c r="CA137" s="6">
        <v>9.1999999999999993</v>
      </c>
      <c r="CB137" s="6">
        <v>9.8000000000000007</v>
      </c>
      <c r="CC137" s="6">
        <v>12.04</v>
      </c>
      <c r="CD137" s="6">
        <v>8.58</v>
      </c>
      <c r="CE137" s="6">
        <v>7.14</v>
      </c>
      <c r="CF137" s="6">
        <v>6.42</v>
      </c>
      <c r="CG137" s="6">
        <v>9.24</v>
      </c>
      <c r="CH137" s="6">
        <v>9</v>
      </c>
      <c r="CI137" s="11">
        <v>9.4</v>
      </c>
      <c r="CJ137" s="11">
        <v>6.5</v>
      </c>
      <c r="CK137" s="6">
        <v>4.5999999999999996</v>
      </c>
      <c r="CL137" s="25">
        <v>10.6</v>
      </c>
      <c r="CM137" s="25">
        <v>9.26</v>
      </c>
      <c r="CN137" s="25">
        <v>6.7</v>
      </c>
      <c r="CO137" s="10">
        <v>6.9</v>
      </c>
      <c r="CP137" s="10"/>
    </row>
    <row r="138" spans="1:94" ht="15.75" customHeight="1" x14ac:dyDescent="0.25">
      <c r="A138" s="4">
        <v>137</v>
      </c>
      <c r="B138" s="4"/>
      <c r="C138" s="4">
        <v>16</v>
      </c>
      <c r="D138" s="8">
        <v>6.48</v>
      </c>
      <c r="E138" s="8">
        <v>8.0299999999999994</v>
      </c>
      <c r="F138" s="8">
        <v>7.83</v>
      </c>
      <c r="G138" s="8">
        <v>10.38</v>
      </c>
      <c r="H138" s="8">
        <v>7.58</v>
      </c>
      <c r="I138" s="8">
        <v>4.78</v>
      </c>
      <c r="J138" s="8">
        <v>6.06</v>
      </c>
      <c r="K138" s="8">
        <v>7.36</v>
      </c>
      <c r="L138" s="8">
        <v>10.18</v>
      </c>
      <c r="M138" s="8">
        <v>8.6</v>
      </c>
      <c r="N138" s="8">
        <v>7.81</v>
      </c>
      <c r="O138" s="8">
        <v>7.93</v>
      </c>
      <c r="P138" s="8">
        <v>5.26</v>
      </c>
      <c r="Q138" s="8">
        <v>7.8</v>
      </c>
      <c r="R138" s="8">
        <v>7.51</v>
      </c>
      <c r="S138" s="8">
        <v>6.56</v>
      </c>
      <c r="T138" s="8">
        <v>8.9600000000000009</v>
      </c>
      <c r="U138" s="8">
        <v>9.5399999999999991</v>
      </c>
      <c r="V138" s="8">
        <v>9.66</v>
      </c>
      <c r="W138" s="8">
        <v>9.2200000000000006</v>
      </c>
      <c r="X138" s="8">
        <v>7.32</v>
      </c>
      <c r="Y138" s="8">
        <v>6.55</v>
      </c>
      <c r="Z138" s="8">
        <v>6.92</v>
      </c>
      <c r="AA138" s="8">
        <v>8.2899999999999991</v>
      </c>
      <c r="AB138" s="8">
        <v>6.63</v>
      </c>
      <c r="AC138" s="8">
        <v>6.31</v>
      </c>
      <c r="AD138" s="8">
        <v>3.85</v>
      </c>
      <c r="AE138" s="8">
        <v>6.43</v>
      </c>
      <c r="AF138" s="8">
        <v>7.06</v>
      </c>
      <c r="AG138" s="8">
        <v>5.04</v>
      </c>
      <c r="AH138" s="8">
        <v>4.6100000000000003</v>
      </c>
      <c r="AI138" s="8">
        <v>5.36</v>
      </c>
      <c r="AJ138" s="8">
        <v>8.5500000000000007</v>
      </c>
      <c r="AK138" s="8">
        <v>7.34</v>
      </c>
      <c r="AL138" s="8">
        <v>8.14</v>
      </c>
      <c r="AM138" s="8">
        <v>8.14</v>
      </c>
      <c r="AN138" s="8">
        <v>7.17</v>
      </c>
      <c r="AO138" s="8">
        <v>10.99</v>
      </c>
      <c r="AP138" s="8">
        <v>4.3600000000000003</v>
      </c>
      <c r="AQ138" s="8">
        <v>5.71</v>
      </c>
      <c r="AR138" s="8">
        <v>5.89</v>
      </c>
      <c r="AS138" s="8">
        <v>10.02</v>
      </c>
      <c r="AT138" s="8">
        <v>4.25</v>
      </c>
      <c r="AU138" s="6">
        <v>8.68</v>
      </c>
      <c r="AV138" s="6">
        <v>8.1300000000000008</v>
      </c>
      <c r="AW138" s="6">
        <v>7.61</v>
      </c>
      <c r="AX138" s="6">
        <v>10.73</v>
      </c>
      <c r="AY138" s="6">
        <v>10.89</v>
      </c>
      <c r="AZ138" s="6">
        <v>10.77</v>
      </c>
      <c r="BA138" s="6">
        <v>5.84</v>
      </c>
      <c r="BB138" s="6">
        <v>4.92</v>
      </c>
      <c r="BC138" s="6">
        <v>6.34</v>
      </c>
      <c r="BD138" s="6">
        <v>5.55</v>
      </c>
      <c r="BE138" s="6">
        <v>4.05</v>
      </c>
      <c r="BF138" s="6">
        <v>5.61</v>
      </c>
      <c r="BG138" s="6">
        <v>9.1300000000000008</v>
      </c>
      <c r="BH138" s="6">
        <v>6.98</v>
      </c>
      <c r="BI138" s="6">
        <v>5.68</v>
      </c>
      <c r="BJ138" s="6">
        <v>9.08</v>
      </c>
      <c r="BK138" s="6">
        <v>8.6</v>
      </c>
      <c r="BL138" s="6">
        <v>6.78</v>
      </c>
      <c r="BM138" s="6">
        <v>7.06</v>
      </c>
      <c r="BN138" s="6">
        <v>6.9</v>
      </c>
      <c r="BO138" s="6">
        <v>9</v>
      </c>
      <c r="BP138" s="6">
        <v>9.8000000000000007</v>
      </c>
      <c r="BQ138" s="6">
        <v>7.22</v>
      </c>
      <c r="BR138" s="6">
        <v>6</v>
      </c>
      <c r="BS138" s="6">
        <v>7.4</v>
      </c>
      <c r="BT138" s="6">
        <v>7.8</v>
      </c>
      <c r="BU138" s="6">
        <v>8.1999999999999993</v>
      </c>
      <c r="BV138" s="6">
        <v>9.5</v>
      </c>
      <c r="BW138" s="6">
        <v>8.3000000000000007</v>
      </c>
      <c r="BX138" s="6">
        <v>7.68</v>
      </c>
      <c r="BY138" s="6">
        <v>6.38</v>
      </c>
      <c r="BZ138" s="6">
        <v>6.96</v>
      </c>
      <c r="CA138" s="6">
        <v>9.26</v>
      </c>
      <c r="CB138" s="6">
        <v>10.1</v>
      </c>
      <c r="CC138" s="6">
        <v>12.08</v>
      </c>
      <c r="CD138" s="6">
        <v>8.68</v>
      </c>
      <c r="CE138" s="6">
        <v>7.24</v>
      </c>
      <c r="CF138" s="6">
        <v>6.28</v>
      </c>
      <c r="CG138" s="6">
        <v>9.42</v>
      </c>
      <c r="CH138" s="6">
        <v>9.16</v>
      </c>
      <c r="CI138" s="11">
        <v>9.6999999999999993</v>
      </c>
      <c r="CJ138" s="11">
        <v>6.66</v>
      </c>
      <c r="CK138" s="6">
        <v>4.8</v>
      </c>
      <c r="CL138" s="25">
        <v>10.69</v>
      </c>
      <c r="CM138" s="25">
        <v>9.36</v>
      </c>
      <c r="CN138" s="25">
        <v>6.79</v>
      </c>
      <c r="CO138" s="10">
        <v>7.2</v>
      </c>
      <c r="CP138" s="10"/>
    </row>
    <row r="139" spans="1:94" ht="15.75" customHeight="1" x14ac:dyDescent="0.25">
      <c r="A139" s="4">
        <v>138</v>
      </c>
      <c r="B139" s="4"/>
      <c r="C139" s="4">
        <v>17</v>
      </c>
      <c r="D139" s="8">
        <v>6.98</v>
      </c>
      <c r="E139" s="8">
        <v>8.1300000000000008</v>
      </c>
      <c r="F139" s="8">
        <v>7.93</v>
      </c>
      <c r="G139" s="8">
        <v>10.48</v>
      </c>
      <c r="H139" s="8">
        <v>7.68</v>
      </c>
      <c r="I139" s="8">
        <v>4.83</v>
      </c>
      <c r="J139" s="8">
        <v>6.14</v>
      </c>
      <c r="K139" s="8">
        <v>7.56</v>
      </c>
      <c r="L139" s="8">
        <v>10.56</v>
      </c>
      <c r="M139" s="8">
        <v>8.7899999999999991</v>
      </c>
      <c r="N139" s="8">
        <v>7.89</v>
      </c>
      <c r="O139" s="8">
        <v>8.18</v>
      </c>
      <c r="P139" s="8">
        <v>5.32</v>
      </c>
      <c r="Q139" s="8">
        <v>8</v>
      </c>
      <c r="R139" s="8">
        <v>7.67</v>
      </c>
      <c r="S139" s="8">
        <v>6.86</v>
      </c>
      <c r="T139" s="8">
        <v>9.0399999999999991</v>
      </c>
      <c r="U139" s="8">
        <v>9.6</v>
      </c>
      <c r="V139" s="8">
        <v>9.81</v>
      </c>
      <c r="W139" s="8">
        <v>9.3000000000000007</v>
      </c>
      <c r="X139" s="8">
        <v>7.43</v>
      </c>
      <c r="Y139" s="8">
        <v>6.91</v>
      </c>
      <c r="Z139" s="8">
        <v>7.28</v>
      </c>
      <c r="AA139" s="8">
        <v>8.43</v>
      </c>
      <c r="AB139" s="8">
        <v>6.77</v>
      </c>
      <c r="AC139" s="8">
        <v>6.47</v>
      </c>
      <c r="AD139" s="8">
        <v>3.81</v>
      </c>
      <c r="AE139" s="8">
        <v>6.55</v>
      </c>
      <c r="AF139" s="8">
        <v>7.31</v>
      </c>
      <c r="AG139" s="8">
        <v>5.12</v>
      </c>
      <c r="AH139" s="8">
        <v>4.8099999999999996</v>
      </c>
      <c r="AI139" s="8">
        <v>5.45</v>
      </c>
      <c r="AJ139" s="8">
        <v>8.59</v>
      </c>
      <c r="AK139" s="8">
        <v>7.36</v>
      </c>
      <c r="AL139" s="8">
        <v>8.24</v>
      </c>
      <c r="AM139" s="8">
        <v>8.3699999999999992</v>
      </c>
      <c r="AN139" s="8">
        <v>7.35</v>
      </c>
      <c r="AO139" s="8">
        <v>11.14</v>
      </c>
      <c r="AP139" s="8">
        <v>4.4400000000000004</v>
      </c>
      <c r="AQ139" s="8">
        <v>5.95</v>
      </c>
      <c r="AR139" s="8">
        <v>6.07</v>
      </c>
      <c r="AS139" s="8">
        <v>10.14</v>
      </c>
      <c r="AT139" s="8">
        <v>4.33</v>
      </c>
      <c r="AU139" s="6">
        <v>8.76</v>
      </c>
      <c r="AV139" s="6">
        <v>8.11</v>
      </c>
      <c r="AW139" s="6">
        <v>7.92</v>
      </c>
      <c r="AX139" s="6">
        <v>10.8</v>
      </c>
      <c r="AY139" s="6">
        <v>11.03</v>
      </c>
      <c r="AZ139" s="6">
        <v>10.85</v>
      </c>
      <c r="BA139" s="6">
        <v>5.9</v>
      </c>
      <c r="BB139" s="6">
        <v>5.21</v>
      </c>
      <c r="BC139" s="6">
        <v>6.5</v>
      </c>
      <c r="BD139" s="6">
        <v>5.82</v>
      </c>
      <c r="BE139" s="6">
        <v>4.3</v>
      </c>
      <c r="BF139" s="6">
        <v>5.92</v>
      </c>
      <c r="BG139" s="6">
        <v>9.2200000000000006</v>
      </c>
      <c r="BH139" s="6">
        <v>7.01</v>
      </c>
      <c r="BI139" s="6">
        <v>5.7</v>
      </c>
      <c r="BJ139" s="6">
        <v>9.26</v>
      </c>
      <c r="BK139" s="6">
        <v>8.74</v>
      </c>
      <c r="BL139" s="6">
        <v>6.8</v>
      </c>
      <c r="BM139" s="6">
        <v>7.28</v>
      </c>
      <c r="BN139" s="6">
        <v>7.12</v>
      </c>
      <c r="BO139" s="6">
        <v>9.1300000000000008</v>
      </c>
      <c r="BP139" s="6">
        <v>9.8800000000000008</v>
      </c>
      <c r="BQ139" s="6">
        <v>7.42</v>
      </c>
      <c r="BR139" s="6">
        <v>6.28</v>
      </c>
      <c r="BS139" s="6">
        <v>7.5</v>
      </c>
      <c r="BT139" s="6">
        <v>7.93</v>
      </c>
      <c r="BU139" s="6">
        <v>8.48</v>
      </c>
      <c r="BV139" s="6">
        <v>9.5</v>
      </c>
      <c r="BW139" s="6">
        <v>8.4</v>
      </c>
      <c r="BX139" s="6">
        <v>7.96</v>
      </c>
      <c r="BY139" s="6">
        <v>6.54</v>
      </c>
      <c r="BZ139" s="6">
        <v>7.1</v>
      </c>
      <c r="CA139" s="6">
        <v>9.5</v>
      </c>
      <c r="CB139" s="6">
        <v>10.199999999999999</v>
      </c>
      <c r="CC139" s="6">
        <v>12.08</v>
      </c>
      <c r="CD139" s="6">
        <v>8.68</v>
      </c>
      <c r="CE139" s="6">
        <v>7.34</v>
      </c>
      <c r="CF139" s="6">
        <v>6.2</v>
      </c>
      <c r="CG139" s="6">
        <v>9.56</v>
      </c>
      <c r="CH139" s="6">
        <v>9.36</v>
      </c>
      <c r="CI139" s="11">
        <v>9.94</v>
      </c>
      <c r="CJ139" s="11">
        <v>6.84</v>
      </c>
      <c r="CK139" s="6">
        <v>5</v>
      </c>
      <c r="CL139" s="6">
        <v>10.82</v>
      </c>
      <c r="CM139" s="6">
        <v>9.4600000000000009</v>
      </c>
      <c r="CN139" s="6">
        <v>6.9</v>
      </c>
      <c r="CO139" s="10">
        <v>7.49</v>
      </c>
      <c r="CP139" s="10"/>
    </row>
    <row r="140" spans="1:94" ht="15.75" customHeight="1" x14ac:dyDescent="0.25">
      <c r="A140" s="4">
        <v>139</v>
      </c>
      <c r="B140" s="4"/>
      <c r="C140" s="4">
        <v>18</v>
      </c>
      <c r="D140" s="8">
        <v>7.43</v>
      </c>
      <c r="E140" s="8">
        <v>8.33</v>
      </c>
      <c r="F140" s="8">
        <v>8.08</v>
      </c>
      <c r="G140" s="8">
        <v>10.63</v>
      </c>
      <c r="H140" s="8">
        <v>7.78</v>
      </c>
      <c r="I140" s="8">
        <v>4.88</v>
      </c>
      <c r="J140" s="8">
        <v>6.22</v>
      </c>
      <c r="K140" s="8">
        <v>7.68</v>
      </c>
      <c r="L140" s="8">
        <v>10.78</v>
      </c>
      <c r="M140" s="8">
        <v>8.99</v>
      </c>
      <c r="N140" s="8">
        <v>7.95</v>
      </c>
      <c r="O140" s="8">
        <v>8.43</v>
      </c>
      <c r="P140" s="8">
        <v>5.43</v>
      </c>
      <c r="Q140" s="8">
        <v>8.26</v>
      </c>
      <c r="R140" s="8">
        <v>7.79</v>
      </c>
      <c r="S140" s="8">
        <v>7.16</v>
      </c>
      <c r="T140" s="8">
        <v>9.14</v>
      </c>
      <c r="U140" s="8">
        <v>9.66</v>
      </c>
      <c r="V140" s="8">
        <v>10.01</v>
      </c>
      <c r="W140" s="8">
        <v>9.41</v>
      </c>
      <c r="X140" s="8">
        <v>7.56</v>
      </c>
      <c r="Y140" s="8">
        <v>7.19</v>
      </c>
      <c r="Z140" s="8">
        <v>7.56</v>
      </c>
      <c r="AA140" s="8">
        <v>8.51</v>
      </c>
      <c r="AB140" s="8">
        <v>6.91</v>
      </c>
      <c r="AC140" s="8">
        <v>6.63</v>
      </c>
      <c r="AD140" s="8">
        <v>3.81</v>
      </c>
      <c r="AE140" s="8">
        <v>6.68</v>
      </c>
      <c r="AF140" s="8">
        <v>7.56</v>
      </c>
      <c r="AG140" s="8">
        <v>5.2</v>
      </c>
      <c r="AH140" s="8">
        <v>4.99</v>
      </c>
      <c r="AI140" s="8">
        <v>5.57</v>
      </c>
      <c r="AJ140" s="8">
        <v>8.66</v>
      </c>
      <c r="AK140" s="8">
        <v>7.4</v>
      </c>
      <c r="AL140" s="8">
        <v>8.35</v>
      </c>
      <c r="AM140" s="8">
        <v>8.5399999999999991</v>
      </c>
      <c r="AN140" s="8">
        <v>7.61</v>
      </c>
      <c r="AO140" s="8">
        <v>11.35</v>
      </c>
      <c r="AP140" s="8">
        <v>4.71</v>
      </c>
      <c r="AQ140" s="8">
        <v>6.15</v>
      </c>
      <c r="AR140" s="8">
        <v>6.16</v>
      </c>
      <c r="AS140" s="8">
        <v>10.25</v>
      </c>
      <c r="AT140" s="8">
        <v>4.4400000000000004</v>
      </c>
      <c r="AU140" s="6">
        <v>8.85</v>
      </c>
      <c r="AV140" s="6">
        <v>8.15</v>
      </c>
      <c r="AW140" s="6">
        <v>8.27</v>
      </c>
      <c r="AX140" s="6">
        <v>10.84</v>
      </c>
      <c r="AY140" s="6">
        <v>11.17</v>
      </c>
      <c r="AZ140" s="6">
        <v>10.92</v>
      </c>
      <c r="BA140" s="6">
        <v>5.94</v>
      </c>
      <c r="BB140" s="6">
        <v>5.53</v>
      </c>
      <c r="BC140" s="6">
        <v>6.67</v>
      </c>
      <c r="BD140" s="6">
        <v>6.15</v>
      </c>
      <c r="BE140" s="6">
        <v>4.4800000000000004</v>
      </c>
      <c r="BF140" s="6">
        <v>6.25</v>
      </c>
      <c r="BG140" s="6">
        <v>9.27</v>
      </c>
      <c r="BH140" s="6">
        <v>7.11</v>
      </c>
      <c r="BI140" s="6">
        <v>5.7</v>
      </c>
      <c r="BJ140" s="6">
        <v>9.4</v>
      </c>
      <c r="BK140" s="6">
        <v>8.86</v>
      </c>
      <c r="BL140" s="6">
        <v>6.88</v>
      </c>
      <c r="BM140" s="6">
        <v>7.41</v>
      </c>
      <c r="BN140" s="6">
        <v>7.34</v>
      </c>
      <c r="BO140" s="6">
        <v>9.26</v>
      </c>
      <c r="BP140" s="6">
        <v>9.98</v>
      </c>
      <c r="BQ140" s="6">
        <v>7.65</v>
      </c>
      <c r="BR140" s="6">
        <v>6.48</v>
      </c>
      <c r="BS140" s="6">
        <v>7.6</v>
      </c>
      <c r="BT140" s="6">
        <v>8.07</v>
      </c>
      <c r="BU140" s="6">
        <v>8.6</v>
      </c>
      <c r="BV140" s="6">
        <v>9.6999999999999993</v>
      </c>
      <c r="BW140" s="6">
        <v>9.1</v>
      </c>
      <c r="BX140" s="6">
        <v>8.1199999999999992</v>
      </c>
      <c r="BY140" s="6">
        <v>6.74</v>
      </c>
      <c r="BZ140" s="6">
        <v>7.12</v>
      </c>
      <c r="CA140" s="6">
        <v>9.6999999999999993</v>
      </c>
      <c r="CB140" s="6">
        <v>10.38</v>
      </c>
      <c r="CC140" s="6">
        <v>12.1</v>
      </c>
      <c r="CD140" s="6">
        <v>8.6999999999999993</v>
      </c>
      <c r="CE140" s="6">
        <v>7.38</v>
      </c>
      <c r="CF140" s="6">
        <v>6.16</v>
      </c>
      <c r="CG140" s="6">
        <v>9.58</v>
      </c>
      <c r="CH140" s="6">
        <v>9.6999999999999993</v>
      </c>
      <c r="CI140" s="11">
        <v>10</v>
      </c>
      <c r="CJ140" s="11">
        <v>7</v>
      </c>
      <c r="CK140" s="6">
        <v>5.2</v>
      </c>
      <c r="CL140" s="6">
        <v>10.92</v>
      </c>
      <c r="CM140" s="6">
        <v>9.6</v>
      </c>
      <c r="CN140" s="6">
        <v>7.01</v>
      </c>
      <c r="CO140" s="10">
        <v>7.71</v>
      </c>
      <c r="CP140" s="10"/>
    </row>
    <row r="141" spans="1:94" ht="15.75" customHeight="1" x14ac:dyDescent="0.25">
      <c r="A141" s="4">
        <v>140</v>
      </c>
      <c r="B141" s="4"/>
      <c r="C141" s="4">
        <v>19</v>
      </c>
      <c r="D141" s="8">
        <v>7.78</v>
      </c>
      <c r="E141" s="8">
        <v>8.4700000000000006</v>
      </c>
      <c r="F141" s="8">
        <v>8.18</v>
      </c>
      <c r="G141" s="8">
        <v>10.73</v>
      </c>
      <c r="H141" s="8">
        <v>7.88</v>
      </c>
      <c r="I141" s="8">
        <v>4.9800000000000004</v>
      </c>
      <c r="J141" s="8">
        <v>6.29</v>
      </c>
      <c r="K141" s="8">
        <v>7.76</v>
      </c>
      <c r="L141" s="8">
        <v>10.94</v>
      </c>
      <c r="M141" s="8">
        <v>9.17</v>
      </c>
      <c r="N141" s="8">
        <v>7.99</v>
      </c>
      <c r="O141" s="8">
        <v>8.68</v>
      </c>
      <c r="P141" s="8">
        <v>5.53</v>
      </c>
      <c r="Q141" s="8">
        <v>8.4700000000000006</v>
      </c>
      <c r="R141" s="8">
        <v>7.91</v>
      </c>
      <c r="S141" s="8">
        <v>7.36</v>
      </c>
      <c r="T141" s="8">
        <v>9.26</v>
      </c>
      <c r="U141" s="8">
        <v>9.6999999999999993</v>
      </c>
      <c r="V141" s="8">
        <v>10.130000000000001</v>
      </c>
      <c r="W141" s="8">
        <v>9.56</v>
      </c>
      <c r="X141" s="8">
        <v>7.75</v>
      </c>
      <c r="Y141" s="8">
        <v>7.47</v>
      </c>
      <c r="Z141" s="8">
        <v>7.75</v>
      </c>
      <c r="AA141" s="8">
        <v>8.5299999999999994</v>
      </c>
      <c r="AB141" s="8">
        <v>7.01</v>
      </c>
      <c r="AC141" s="8">
        <v>6.77</v>
      </c>
      <c r="AD141" s="8">
        <v>3.83</v>
      </c>
      <c r="AE141" s="8">
        <v>6.83</v>
      </c>
      <c r="AF141" s="8">
        <v>7.89</v>
      </c>
      <c r="AG141" s="8">
        <v>5.3</v>
      </c>
      <c r="AH141" s="8">
        <v>5.15</v>
      </c>
      <c r="AI141" s="8">
        <v>5.75</v>
      </c>
      <c r="AJ141" s="8">
        <v>8.7200000000000006</v>
      </c>
      <c r="AK141" s="8">
        <v>7.48</v>
      </c>
      <c r="AL141" s="8">
        <v>8.4600000000000009</v>
      </c>
      <c r="AM141" s="8">
        <v>8.68</v>
      </c>
      <c r="AN141" s="8">
        <v>7.87</v>
      </c>
      <c r="AO141" s="8">
        <v>11.5</v>
      </c>
      <c r="AP141" s="8">
        <v>5.07</v>
      </c>
      <c r="AQ141" s="8">
        <v>6.23</v>
      </c>
      <c r="AR141" s="8">
        <v>6.27</v>
      </c>
      <c r="AS141" s="8">
        <v>10.33</v>
      </c>
      <c r="AT141" s="8">
        <v>4.62</v>
      </c>
      <c r="AU141" s="6">
        <v>8.93</v>
      </c>
      <c r="AV141" s="6">
        <v>8.2200000000000006</v>
      </c>
      <c r="AW141" s="6">
        <v>8.64</v>
      </c>
      <c r="AX141" s="6">
        <v>10.92</v>
      </c>
      <c r="AY141" s="6">
        <v>11.3</v>
      </c>
      <c r="AZ141" s="6">
        <v>11.01</v>
      </c>
      <c r="BA141" s="6">
        <v>6.03</v>
      </c>
      <c r="BB141" s="6">
        <v>5.8</v>
      </c>
      <c r="BC141" s="6">
        <v>6.82</v>
      </c>
      <c r="BD141" s="6">
        <v>6.54</v>
      </c>
      <c r="BE141" s="6">
        <v>4.6100000000000003</v>
      </c>
      <c r="BF141" s="6">
        <v>6.61</v>
      </c>
      <c r="BG141" s="6">
        <v>9.31</v>
      </c>
      <c r="BH141" s="6">
        <v>7.34</v>
      </c>
      <c r="BI141" s="6">
        <v>5.8</v>
      </c>
      <c r="BJ141" s="6">
        <v>9.5399999999999991</v>
      </c>
      <c r="BK141" s="6">
        <v>9</v>
      </c>
      <c r="BL141" s="6">
        <v>6.88</v>
      </c>
      <c r="BM141" s="6">
        <v>7.64</v>
      </c>
      <c r="BN141" s="6">
        <v>7.52</v>
      </c>
      <c r="BO141" s="6">
        <v>9.4600000000000009</v>
      </c>
      <c r="BP141" s="6">
        <v>10.08</v>
      </c>
      <c r="BQ141" s="6">
        <v>7.9</v>
      </c>
      <c r="BR141" s="6">
        <v>6.66</v>
      </c>
      <c r="BS141" s="6">
        <v>7.76</v>
      </c>
      <c r="BT141" s="6">
        <v>8.26</v>
      </c>
      <c r="BU141" s="6">
        <v>9</v>
      </c>
      <c r="BV141" s="6">
        <v>9.9</v>
      </c>
      <c r="BW141" s="6">
        <v>9.5</v>
      </c>
      <c r="BX141" s="6">
        <v>8.1199999999999992</v>
      </c>
      <c r="BY141" s="6">
        <v>6.88</v>
      </c>
      <c r="BZ141" s="6">
        <v>7.18</v>
      </c>
      <c r="CA141" s="6">
        <v>9.92</v>
      </c>
      <c r="CB141" s="6">
        <v>10.52</v>
      </c>
      <c r="CC141" s="6">
        <v>12.08</v>
      </c>
      <c r="CD141" s="6">
        <v>8.7799999999999994</v>
      </c>
      <c r="CE141" s="6">
        <v>7.48</v>
      </c>
      <c r="CF141" s="6">
        <v>6.2</v>
      </c>
      <c r="CG141" s="6">
        <v>9.7799999999999994</v>
      </c>
      <c r="CH141" s="6">
        <v>9.7799999999999994</v>
      </c>
      <c r="CI141" s="6">
        <v>10.06</v>
      </c>
      <c r="CJ141" s="11">
        <v>7.22</v>
      </c>
      <c r="CK141" s="6">
        <v>5.5</v>
      </c>
      <c r="CL141" s="6">
        <v>11</v>
      </c>
      <c r="CM141" s="6">
        <v>9.7799999999999994</v>
      </c>
      <c r="CN141" s="6">
        <v>7.11</v>
      </c>
      <c r="CO141" s="10">
        <v>7.86</v>
      </c>
      <c r="CP141" s="10"/>
    </row>
    <row r="142" spans="1:94" ht="15.75" customHeight="1" x14ac:dyDescent="0.25">
      <c r="A142" s="4">
        <v>141</v>
      </c>
      <c r="B142" s="4"/>
      <c r="C142" s="4">
        <v>20</v>
      </c>
      <c r="D142" s="8">
        <v>8.08</v>
      </c>
      <c r="E142" s="8">
        <v>8.58</v>
      </c>
      <c r="F142" s="8">
        <v>8.2799999999999994</v>
      </c>
      <c r="G142" s="8">
        <v>10.88</v>
      </c>
      <c r="H142" s="8">
        <v>7.98</v>
      </c>
      <c r="I142" s="8">
        <v>5.08</v>
      </c>
      <c r="J142" s="8">
        <v>6.36</v>
      </c>
      <c r="K142" s="8">
        <v>7.77</v>
      </c>
      <c r="L142" s="8">
        <v>11.02</v>
      </c>
      <c r="M142" s="8">
        <v>9.35</v>
      </c>
      <c r="N142" s="8">
        <v>8.08</v>
      </c>
      <c r="O142" s="8">
        <v>8.9700000000000006</v>
      </c>
      <c r="P142" s="8">
        <v>5.63</v>
      </c>
      <c r="Q142" s="8">
        <v>8.74</v>
      </c>
      <c r="R142" s="8">
        <v>8.08</v>
      </c>
      <c r="S142" s="8">
        <v>7.64</v>
      </c>
      <c r="T142" s="8">
        <v>9.35</v>
      </c>
      <c r="U142" s="8">
        <v>9.6999999999999993</v>
      </c>
      <c r="V142" s="8">
        <v>10.210000000000001</v>
      </c>
      <c r="W142" s="8">
        <v>9.68</v>
      </c>
      <c r="X142" s="8">
        <v>7.98</v>
      </c>
      <c r="Y142" s="8">
        <v>7.71</v>
      </c>
      <c r="Z142" s="8">
        <v>7.85</v>
      </c>
      <c r="AA142" s="8">
        <v>8.5500000000000007</v>
      </c>
      <c r="AB142" s="8">
        <v>7.09</v>
      </c>
      <c r="AC142" s="8">
        <v>6.89</v>
      </c>
      <c r="AD142" s="8">
        <v>3.85</v>
      </c>
      <c r="AE142" s="8">
        <v>6.97</v>
      </c>
      <c r="AF142" s="8">
        <v>8.2200000000000006</v>
      </c>
      <c r="AG142" s="8">
        <v>5.4</v>
      </c>
      <c r="AH142" s="8">
        <v>5.3</v>
      </c>
      <c r="AI142" s="8">
        <v>5.92</v>
      </c>
      <c r="AJ142" s="8">
        <v>8.7899999999999991</v>
      </c>
      <c r="AK142" s="8">
        <v>7.57</v>
      </c>
      <c r="AL142" s="8">
        <v>8.6199999999999992</v>
      </c>
      <c r="AM142" s="8">
        <v>8.7899999999999991</v>
      </c>
      <c r="AN142" s="8">
        <v>8.1199999999999992</v>
      </c>
      <c r="AO142" s="8">
        <v>11.64</v>
      </c>
      <c r="AP142" s="8">
        <v>5.41</v>
      </c>
      <c r="AQ142" s="8">
        <v>6.31</v>
      </c>
      <c r="AR142" s="8">
        <v>6.28</v>
      </c>
      <c r="AS142" s="8">
        <v>10.42</v>
      </c>
      <c r="AT142" s="8">
        <v>4.78</v>
      </c>
      <c r="AU142" s="6">
        <v>8.9700000000000006</v>
      </c>
      <c r="AV142" s="6">
        <v>8.27</v>
      </c>
      <c r="AW142" s="6">
        <v>8.89</v>
      </c>
      <c r="AX142" s="6">
        <v>11.02</v>
      </c>
      <c r="AY142" s="6">
        <v>11.4</v>
      </c>
      <c r="AZ142" s="6">
        <v>11.14</v>
      </c>
      <c r="BA142" s="6">
        <v>6.09</v>
      </c>
      <c r="BB142" s="6">
        <v>6.03</v>
      </c>
      <c r="BC142" s="6">
        <v>7.01</v>
      </c>
      <c r="BD142" s="6">
        <v>6.98</v>
      </c>
      <c r="BE142" s="6">
        <v>4.71</v>
      </c>
      <c r="BF142" s="6">
        <v>7.03</v>
      </c>
      <c r="BG142" s="6">
        <v>9.43</v>
      </c>
      <c r="BH142" s="6">
        <v>7.63</v>
      </c>
      <c r="BI142" s="6">
        <v>5.94</v>
      </c>
      <c r="BJ142" s="6">
        <v>9.66</v>
      </c>
      <c r="BK142" s="6">
        <v>9.1199999999999992</v>
      </c>
      <c r="BL142" s="6">
        <v>6.9</v>
      </c>
      <c r="BM142" s="6">
        <v>7.92</v>
      </c>
      <c r="BN142" s="6">
        <v>7.71</v>
      </c>
      <c r="BO142" s="6">
        <v>9.56</v>
      </c>
      <c r="BP142" s="6">
        <v>10.18</v>
      </c>
      <c r="BQ142" s="6">
        <v>8.1999999999999993</v>
      </c>
      <c r="BR142" s="6">
        <v>7</v>
      </c>
      <c r="BS142" s="6">
        <v>7.86</v>
      </c>
      <c r="BT142" s="6">
        <v>8.5</v>
      </c>
      <c r="BU142" s="6">
        <v>9.2200000000000006</v>
      </c>
      <c r="BV142" s="6">
        <v>10.08</v>
      </c>
      <c r="BW142" s="6">
        <v>9.8000000000000007</v>
      </c>
      <c r="BX142" s="6">
        <v>8.56</v>
      </c>
      <c r="BY142" s="6">
        <v>7.02</v>
      </c>
      <c r="BZ142" s="6">
        <v>7.18</v>
      </c>
      <c r="CA142" s="6">
        <v>10.06</v>
      </c>
      <c r="CB142" s="6">
        <v>10.78</v>
      </c>
      <c r="CC142" s="6">
        <v>12.02</v>
      </c>
      <c r="CD142" s="6">
        <v>8.8800000000000008</v>
      </c>
      <c r="CE142" s="6">
        <v>7.58</v>
      </c>
      <c r="CF142" s="6">
        <v>6.4</v>
      </c>
      <c r="CG142" s="6">
        <v>9.84</v>
      </c>
      <c r="CH142" s="6">
        <v>9.9600000000000009</v>
      </c>
      <c r="CI142" s="6">
        <v>10.220000000000001</v>
      </c>
      <c r="CJ142" s="11">
        <v>7.44</v>
      </c>
      <c r="CK142" s="6">
        <v>5.7</v>
      </c>
      <c r="CL142" s="6">
        <v>11.1</v>
      </c>
      <c r="CM142" s="6">
        <v>9.94</v>
      </c>
      <c r="CN142" s="6">
        <v>7.24</v>
      </c>
      <c r="CO142" s="10">
        <v>8.0299999999999994</v>
      </c>
      <c r="CP142" s="10"/>
    </row>
    <row r="143" spans="1:94" ht="15.75" customHeight="1" x14ac:dyDescent="0.25">
      <c r="A143" s="4">
        <v>142</v>
      </c>
      <c r="B143" s="4"/>
      <c r="C143" s="4">
        <v>21</v>
      </c>
      <c r="D143" s="8">
        <v>8.2799999999999994</v>
      </c>
      <c r="E143" s="8">
        <v>8.7799999999999994</v>
      </c>
      <c r="F143" s="8">
        <v>8.33</v>
      </c>
      <c r="G143" s="8">
        <v>11.03</v>
      </c>
      <c r="H143" s="8">
        <v>8.08</v>
      </c>
      <c r="I143" s="8">
        <v>5.18</v>
      </c>
      <c r="J143" s="8">
        <v>6.5</v>
      </c>
      <c r="K143" s="8">
        <v>7.77</v>
      </c>
      <c r="L143" s="8">
        <v>11.16</v>
      </c>
      <c r="M143" s="8">
        <v>9.56</v>
      </c>
      <c r="N143" s="8">
        <v>8.2100000000000009</v>
      </c>
      <c r="O143" s="8">
        <v>9.2799999999999994</v>
      </c>
      <c r="P143" s="8">
        <v>5.7</v>
      </c>
      <c r="Q143" s="8">
        <v>8.9499999999999993</v>
      </c>
      <c r="R143" s="8">
        <v>8.31</v>
      </c>
      <c r="S143" s="8">
        <v>7.86</v>
      </c>
      <c r="T143" s="8">
        <v>9.51</v>
      </c>
      <c r="U143" s="8">
        <v>9.6999999999999993</v>
      </c>
      <c r="V143" s="8">
        <v>10.29</v>
      </c>
      <c r="W143" s="8">
        <v>9.8000000000000007</v>
      </c>
      <c r="X143" s="8">
        <v>8.17</v>
      </c>
      <c r="Y143" s="8">
        <v>7.85</v>
      </c>
      <c r="Z143" s="8">
        <v>7.97</v>
      </c>
      <c r="AA143" s="8">
        <v>8.57</v>
      </c>
      <c r="AB143" s="8">
        <v>7.19</v>
      </c>
      <c r="AC143" s="8">
        <v>7.05</v>
      </c>
      <c r="AD143" s="8">
        <v>3.88</v>
      </c>
      <c r="AE143" s="8">
        <v>7.11</v>
      </c>
      <c r="AF143" s="8">
        <v>8.51</v>
      </c>
      <c r="AG143" s="8">
        <v>5.5</v>
      </c>
      <c r="AH143" s="8">
        <v>5.53</v>
      </c>
      <c r="AI143" s="8">
        <v>6.07</v>
      </c>
      <c r="AJ143" s="8">
        <v>8.89</v>
      </c>
      <c r="AK143" s="8">
        <v>7.62</v>
      </c>
      <c r="AL143" s="8">
        <v>8.83</v>
      </c>
      <c r="AM143" s="8">
        <v>8.89</v>
      </c>
      <c r="AN143" s="8">
        <v>8.32</v>
      </c>
      <c r="AO143" s="8">
        <v>11.75</v>
      </c>
      <c r="AP143" s="8">
        <v>5.71</v>
      </c>
      <c r="AQ143" s="8">
        <v>6.37</v>
      </c>
      <c r="AR143" s="8">
        <v>6.33</v>
      </c>
      <c r="AS143" s="8">
        <v>10.55</v>
      </c>
      <c r="AT143" s="8">
        <v>4.9400000000000004</v>
      </c>
      <c r="AU143" s="6">
        <v>8.98</v>
      </c>
      <c r="AV143" s="6">
        <v>8.2799999999999994</v>
      </c>
      <c r="AW143" s="6">
        <v>9.09</v>
      </c>
      <c r="AX143" s="6">
        <v>11.1</v>
      </c>
      <c r="AY143" s="6">
        <v>11.52</v>
      </c>
      <c r="AZ143" s="6">
        <v>11.27</v>
      </c>
      <c r="BA143" s="6">
        <v>6.17</v>
      </c>
      <c r="BB143" s="6">
        <v>6.28</v>
      </c>
      <c r="BC143" s="6">
        <v>7.13</v>
      </c>
      <c r="BD143" s="6">
        <v>7.32</v>
      </c>
      <c r="BE143" s="6">
        <v>4.82</v>
      </c>
      <c r="BF143" s="6">
        <v>7.42</v>
      </c>
      <c r="BG143" s="6">
        <v>9.5500000000000007</v>
      </c>
      <c r="BH143" s="6">
        <v>7.9</v>
      </c>
      <c r="BI143" s="6">
        <v>6.16</v>
      </c>
      <c r="BJ143" s="6">
        <v>9.75</v>
      </c>
      <c r="BK143" s="6">
        <v>9.3000000000000007</v>
      </c>
      <c r="BL143" s="6">
        <v>6.94</v>
      </c>
      <c r="BM143" s="6">
        <v>8.23</v>
      </c>
      <c r="BN143" s="6">
        <v>7.92</v>
      </c>
      <c r="BO143" s="6">
        <v>9.66</v>
      </c>
      <c r="BP143" s="6">
        <v>10.199999999999999</v>
      </c>
      <c r="BQ143" s="6">
        <v>8.42</v>
      </c>
      <c r="BR143" s="6">
        <v>7.32</v>
      </c>
      <c r="BS143" s="6">
        <v>8.0399999999999991</v>
      </c>
      <c r="BT143" s="6">
        <v>8.6</v>
      </c>
      <c r="BU143" s="6">
        <v>9.5</v>
      </c>
      <c r="BV143" s="6">
        <v>10.199999999999999</v>
      </c>
      <c r="BW143" s="6">
        <v>10</v>
      </c>
      <c r="BX143" s="6">
        <v>8.6999999999999993</v>
      </c>
      <c r="BY143" s="6">
        <v>7.14</v>
      </c>
      <c r="BZ143" s="6">
        <v>7.18</v>
      </c>
      <c r="CA143" s="6">
        <v>10.199999999999999</v>
      </c>
      <c r="CB143" s="6">
        <v>10.96</v>
      </c>
      <c r="CC143" s="6">
        <v>12.04</v>
      </c>
      <c r="CD143" s="6">
        <v>8.94</v>
      </c>
      <c r="CE143" s="6">
        <v>7.82</v>
      </c>
      <c r="CF143" s="6">
        <v>6.66</v>
      </c>
      <c r="CG143" s="6">
        <v>9.92</v>
      </c>
      <c r="CH143" s="6">
        <v>10.199999999999999</v>
      </c>
      <c r="CI143" s="6">
        <v>10.3</v>
      </c>
      <c r="CJ143" s="11">
        <v>7.66</v>
      </c>
      <c r="CK143" s="6">
        <v>6.02</v>
      </c>
      <c r="CL143" s="6">
        <v>11.2</v>
      </c>
      <c r="CM143" s="6">
        <v>10.14</v>
      </c>
      <c r="CN143" s="6">
        <v>7.48</v>
      </c>
      <c r="CO143" s="10">
        <v>8.23</v>
      </c>
      <c r="CP143" s="10"/>
    </row>
    <row r="144" spans="1:94" ht="15.75" customHeight="1" x14ac:dyDescent="0.25">
      <c r="A144" s="4">
        <v>143</v>
      </c>
      <c r="B144" s="4"/>
      <c r="C144" s="4">
        <v>22</v>
      </c>
      <c r="D144" s="8">
        <v>8.4700000000000006</v>
      </c>
      <c r="E144" s="8">
        <v>8.93</v>
      </c>
      <c r="F144" s="8">
        <v>8.3800000000000008</v>
      </c>
      <c r="G144" s="8">
        <v>11.23</v>
      </c>
      <c r="H144" s="8">
        <v>8.1300000000000008</v>
      </c>
      <c r="I144" s="8">
        <v>5.28</v>
      </c>
      <c r="J144" s="8">
        <v>6.66</v>
      </c>
      <c r="K144" s="8">
        <v>7.85</v>
      </c>
      <c r="L144" s="8">
        <v>11.24</v>
      </c>
      <c r="M144" s="8">
        <v>9.7100000000000009</v>
      </c>
      <c r="N144" s="8">
        <v>8.3800000000000008</v>
      </c>
      <c r="O144" s="8">
        <v>9.58</v>
      </c>
      <c r="P144" s="8">
        <v>5.76</v>
      </c>
      <c r="Q144" s="8">
        <v>9.18</v>
      </c>
      <c r="R144" s="8">
        <v>8.4600000000000009</v>
      </c>
      <c r="S144" s="8">
        <v>8.1300000000000008</v>
      </c>
      <c r="T144" s="8">
        <v>9.56</v>
      </c>
      <c r="U144" s="8">
        <v>9.7899999999999991</v>
      </c>
      <c r="V144" s="8">
        <v>10.46</v>
      </c>
      <c r="W144" s="8">
        <v>9.8800000000000008</v>
      </c>
      <c r="X144" s="8">
        <v>8.31</v>
      </c>
      <c r="Y144" s="8">
        <v>8.01</v>
      </c>
      <c r="Z144" s="8">
        <v>8.1300000000000008</v>
      </c>
      <c r="AA144" s="8">
        <v>8.57</v>
      </c>
      <c r="AB144" s="8">
        <v>7.29</v>
      </c>
      <c r="AC144" s="8">
        <v>7.22</v>
      </c>
      <c r="AD144" s="8">
        <v>3.91</v>
      </c>
      <c r="AE144" s="8">
        <v>7.25</v>
      </c>
      <c r="AF144" s="8">
        <v>8.7899999999999991</v>
      </c>
      <c r="AG144" s="8">
        <v>5.58</v>
      </c>
      <c r="AH144" s="8">
        <v>5.77</v>
      </c>
      <c r="AI144" s="8">
        <v>6.21</v>
      </c>
      <c r="AJ144" s="8">
        <v>8.9700000000000006</v>
      </c>
      <c r="AK144" s="8">
        <v>7.64</v>
      </c>
      <c r="AL144" s="8">
        <v>9.0399999999999991</v>
      </c>
      <c r="AM144" s="8">
        <v>9.0500000000000007</v>
      </c>
      <c r="AN144" s="8">
        <v>8.49</v>
      </c>
      <c r="AO144" s="8">
        <v>11.82</v>
      </c>
      <c r="AP144" s="8">
        <v>5.99</v>
      </c>
      <c r="AQ144" s="8">
        <v>6.37</v>
      </c>
      <c r="AR144" s="8">
        <v>6.36</v>
      </c>
      <c r="AS144" s="8">
        <v>10.71</v>
      </c>
      <c r="AT144" s="8">
        <v>5.12</v>
      </c>
      <c r="AU144" s="6">
        <v>9.09</v>
      </c>
      <c r="AV144" s="6">
        <v>8.3000000000000007</v>
      </c>
      <c r="AW144" s="6">
        <v>9.23</v>
      </c>
      <c r="AX144" s="6">
        <v>11.19</v>
      </c>
      <c r="AY144" s="6">
        <v>11.6</v>
      </c>
      <c r="AZ144" s="6">
        <v>11.43</v>
      </c>
      <c r="BA144" s="6">
        <v>6.21</v>
      </c>
      <c r="BB144" s="6">
        <v>6.48</v>
      </c>
      <c r="BC144" s="6">
        <v>7.25</v>
      </c>
      <c r="BD144" s="6">
        <v>7.6</v>
      </c>
      <c r="BE144" s="6">
        <v>4.9400000000000004</v>
      </c>
      <c r="BF144" s="6">
        <v>7.65</v>
      </c>
      <c r="BG144" s="6">
        <v>9.69</v>
      </c>
      <c r="BH144" s="6">
        <v>8.11</v>
      </c>
      <c r="BI144" s="6">
        <v>6.42</v>
      </c>
      <c r="BJ144" s="6">
        <v>9.82</v>
      </c>
      <c r="BK144" s="6">
        <v>9.44</v>
      </c>
      <c r="BL144" s="6">
        <v>6.98</v>
      </c>
      <c r="BM144" s="6">
        <v>8.5</v>
      </c>
      <c r="BN144" s="6">
        <v>8.06</v>
      </c>
      <c r="BO144" s="6">
        <v>9.8000000000000007</v>
      </c>
      <c r="BP144" s="6">
        <v>10.24</v>
      </c>
      <c r="BQ144" s="6">
        <v>8.6</v>
      </c>
      <c r="BR144" s="6">
        <v>7.54</v>
      </c>
      <c r="BS144" s="6">
        <v>8.26</v>
      </c>
      <c r="BT144" s="6">
        <v>9.08</v>
      </c>
      <c r="BU144" s="6">
        <v>9.68</v>
      </c>
      <c r="BV144" s="6">
        <v>10.36</v>
      </c>
      <c r="BW144" s="6">
        <v>10.1</v>
      </c>
      <c r="BX144" s="6">
        <v>8.9600000000000009</v>
      </c>
      <c r="BY144" s="6">
        <v>7.26</v>
      </c>
      <c r="BZ144" s="6">
        <v>7.18</v>
      </c>
      <c r="CA144" s="6">
        <v>10.3</v>
      </c>
      <c r="CB144" s="6">
        <v>11.14</v>
      </c>
      <c r="CC144" s="6">
        <v>12.1</v>
      </c>
      <c r="CD144" s="6">
        <v>9.1</v>
      </c>
      <c r="CE144" s="6">
        <v>7.92</v>
      </c>
      <c r="CF144" s="6">
        <v>6.86</v>
      </c>
      <c r="CG144" s="6">
        <v>10.06</v>
      </c>
      <c r="CH144" s="6">
        <v>10.34</v>
      </c>
      <c r="CI144" s="6">
        <v>10.42</v>
      </c>
      <c r="CJ144" s="11">
        <v>7.88</v>
      </c>
      <c r="CK144" s="6">
        <v>6.32</v>
      </c>
      <c r="CL144" s="6">
        <v>11.3</v>
      </c>
      <c r="CM144" s="6">
        <v>10.28</v>
      </c>
      <c r="CN144" s="6">
        <v>7.79</v>
      </c>
      <c r="CO144" s="10">
        <v>8.48</v>
      </c>
      <c r="CP144" s="10"/>
    </row>
    <row r="145" spans="1:94" ht="15.75" customHeight="1" x14ac:dyDescent="0.25">
      <c r="A145" s="4">
        <v>144</v>
      </c>
      <c r="B145" s="4"/>
      <c r="C145" s="4">
        <v>23</v>
      </c>
      <c r="D145" s="8">
        <v>8.58</v>
      </c>
      <c r="E145" s="8">
        <v>9.08</v>
      </c>
      <c r="F145" s="8">
        <v>8.4700000000000006</v>
      </c>
      <c r="G145" s="8">
        <v>11.38</v>
      </c>
      <c r="H145" s="8">
        <v>8.18</v>
      </c>
      <c r="I145" s="8">
        <v>5.38</v>
      </c>
      <c r="J145" s="8">
        <v>6.84</v>
      </c>
      <c r="K145" s="8">
        <v>7.93</v>
      </c>
      <c r="L145" s="8">
        <v>11.32</v>
      </c>
      <c r="M145" s="8">
        <v>9.85</v>
      </c>
      <c r="N145" s="8">
        <v>8.52</v>
      </c>
      <c r="O145" s="8">
        <v>9.8800000000000008</v>
      </c>
      <c r="P145" s="8">
        <v>5.78</v>
      </c>
      <c r="Q145" s="8">
        <v>9.5299999999999994</v>
      </c>
      <c r="R145" s="8">
        <v>8.56</v>
      </c>
      <c r="S145" s="8">
        <v>8.3699999999999992</v>
      </c>
      <c r="T145" s="8">
        <v>9.64</v>
      </c>
      <c r="U145" s="8">
        <v>9.89</v>
      </c>
      <c r="V145" s="8">
        <v>10.61</v>
      </c>
      <c r="W145" s="8">
        <v>9.9600000000000009</v>
      </c>
      <c r="X145" s="8">
        <v>8.42</v>
      </c>
      <c r="Y145" s="8">
        <v>8.2200000000000006</v>
      </c>
      <c r="Z145" s="8">
        <v>8.32</v>
      </c>
      <c r="AA145" s="8">
        <v>8.6</v>
      </c>
      <c r="AB145" s="8">
        <v>7.47</v>
      </c>
      <c r="AC145" s="8">
        <v>7.33</v>
      </c>
      <c r="AD145" s="8">
        <v>3.99</v>
      </c>
      <c r="AE145" s="8">
        <v>7.42</v>
      </c>
      <c r="AF145" s="8">
        <v>9.01</v>
      </c>
      <c r="AG145" s="8">
        <v>5.64</v>
      </c>
      <c r="AH145" s="8">
        <v>6.01</v>
      </c>
      <c r="AI145" s="8">
        <v>6.33</v>
      </c>
      <c r="AJ145" s="8">
        <v>9.07</v>
      </c>
      <c r="AK145" s="8">
        <v>7.68</v>
      </c>
      <c r="AL145" s="8">
        <v>9.1999999999999993</v>
      </c>
      <c r="AM145" s="8">
        <v>9.16</v>
      </c>
      <c r="AN145" s="8">
        <v>8.64</v>
      </c>
      <c r="AO145" s="8">
        <v>11.89</v>
      </c>
      <c r="AP145" s="8">
        <v>6.25</v>
      </c>
      <c r="AQ145" s="8">
        <v>6.39</v>
      </c>
      <c r="AR145" s="8">
        <v>6.4</v>
      </c>
      <c r="AS145" s="8">
        <v>10.88</v>
      </c>
      <c r="AT145" s="8">
        <v>5.29</v>
      </c>
      <c r="AU145" s="6">
        <v>9.25</v>
      </c>
      <c r="AV145" s="6">
        <v>8.35</v>
      </c>
      <c r="AW145" s="6">
        <v>9.39</v>
      </c>
      <c r="AX145" s="6">
        <v>11.28</v>
      </c>
      <c r="AY145" s="6">
        <v>11.67</v>
      </c>
      <c r="AZ145" s="6">
        <v>11.55</v>
      </c>
      <c r="BA145" s="6">
        <v>6.26</v>
      </c>
      <c r="BB145" s="6">
        <v>6.63</v>
      </c>
      <c r="BC145" s="6">
        <v>7.36</v>
      </c>
      <c r="BD145" s="6">
        <v>7.82</v>
      </c>
      <c r="BE145" s="6">
        <v>5.1100000000000003</v>
      </c>
      <c r="BF145" s="6">
        <v>7.84</v>
      </c>
      <c r="BG145" s="6">
        <v>9.92</v>
      </c>
      <c r="BH145" s="6">
        <v>8.25</v>
      </c>
      <c r="BI145" s="6">
        <v>6.7</v>
      </c>
      <c r="BJ145" s="6">
        <v>9.92</v>
      </c>
      <c r="BK145" s="6">
        <v>9.57</v>
      </c>
      <c r="BL145" s="6">
        <v>7.04</v>
      </c>
      <c r="BM145" s="6">
        <v>8.66</v>
      </c>
      <c r="BN145" s="6">
        <v>8.1999999999999993</v>
      </c>
      <c r="BO145" s="6">
        <v>10.039999999999999</v>
      </c>
      <c r="BP145" s="6">
        <v>10.28</v>
      </c>
      <c r="BQ145" s="6">
        <v>8.75</v>
      </c>
      <c r="BR145" s="6">
        <v>7.64</v>
      </c>
      <c r="BS145" s="6">
        <v>8.48</v>
      </c>
      <c r="BT145" s="6">
        <v>9.4</v>
      </c>
      <c r="BU145" s="6">
        <v>9.83</v>
      </c>
      <c r="BV145" s="6">
        <v>10.5</v>
      </c>
      <c r="BW145" s="6">
        <v>10.3</v>
      </c>
      <c r="BX145" s="6">
        <v>9.06</v>
      </c>
      <c r="BY145" s="6">
        <v>7.32</v>
      </c>
      <c r="BZ145" s="6">
        <v>7.14</v>
      </c>
      <c r="CA145" s="6">
        <v>10.4</v>
      </c>
      <c r="CB145" s="6">
        <v>11.26</v>
      </c>
      <c r="CC145" s="6">
        <v>12.2</v>
      </c>
      <c r="CD145" s="6">
        <v>9.1999999999999993</v>
      </c>
      <c r="CE145" s="6">
        <v>8</v>
      </c>
      <c r="CF145" s="6">
        <v>6.98</v>
      </c>
      <c r="CG145" s="6">
        <v>10.14</v>
      </c>
      <c r="CH145" s="6">
        <v>10.48</v>
      </c>
      <c r="CI145" s="6">
        <v>10.42</v>
      </c>
      <c r="CJ145" s="11">
        <v>8.08</v>
      </c>
      <c r="CK145" s="6">
        <v>6.5</v>
      </c>
      <c r="CL145" s="6">
        <v>11.38</v>
      </c>
      <c r="CM145" s="6">
        <v>10.4</v>
      </c>
      <c r="CN145" s="6">
        <v>8</v>
      </c>
      <c r="CO145" s="10">
        <v>8.73</v>
      </c>
      <c r="CP145" s="10"/>
    </row>
    <row r="146" spans="1:94" ht="15.75" customHeight="1" x14ac:dyDescent="0.25">
      <c r="A146" s="4">
        <v>145</v>
      </c>
      <c r="B146" s="4"/>
      <c r="C146" s="4">
        <v>24</v>
      </c>
      <c r="D146" s="8">
        <v>8.7200000000000006</v>
      </c>
      <c r="E146" s="8">
        <v>9.2799999999999994</v>
      </c>
      <c r="F146" s="8">
        <v>8.58</v>
      </c>
      <c r="G146" s="8">
        <v>11.63</v>
      </c>
      <c r="H146" s="8">
        <v>8.2799999999999994</v>
      </c>
      <c r="I146" s="8">
        <v>5.53</v>
      </c>
      <c r="J146" s="8">
        <v>7.01</v>
      </c>
      <c r="K146" s="8">
        <v>8.01</v>
      </c>
      <c r="L146" s="8">
        <v>11.43</v>
      </c>
      <c r="M146" s="8">
        <v>10.07</v>
      </c>
      <c r="N146" s="8">
        <v>8.76</v>
      </c>
      <c r="O146" s="8">
        <v>10.28</v>
      </c>
      <c r="P146" s="8">
        <v>5.87</v>
      </c>
      <c r="Q146" s="8">
        <v>9.85</v>
      </c>
      <c r="R146" s="8">
        <v>8.6300000000000008</v>
      </c>
      <c r="S146" s="8">
        <v>8.6300000000000008</v>
      </c>
      <c r="T146" s="8">
        <v>9.7200000000000006</v>
      </c>
      <c r="U146" s="8">
        <v>9.89</v>
      </c>
      <c r="V146" s="8">
        <v>10.79</v>
      </c>
      <c r="W146" s="8">
        <v>10.029999999999999</v>
      </c>
      <c r="X146" s="8">
        <v>8.4700000000000006</v>
      </c>
      <c r="Y146" s="8">
        <v>8.5</v>
      </c>
      <c r="Z146" s="8">
        <v>8.51</v>
      </c>
      <c r="AA146" s="8">
        <v>8.68</v>
      </c>
      <c r="AB146" s="8">
        <v>7.55</v>
      </c>
      <c r="AC146" s="8">
        <v>7.45</v>
      </c>
      <c r="AD146" s="8">
        <v>4.12</v>
      </c>
      <c r="AE146" s="8">
        <v>7.59</v>
      </c>
      <c r="AF146" s="8">
        <v>9.2799999999999994</v>
      </c>
      <c r="AG146" s="8">
        <v>5.66</v>
      </c>
      <c r="AH146" s="8">
        <v>6.29</v>
      </c>
      <c r="AI146" s="8">
        <v>6.49</v>
      </c>
      <c r="AJ146" s="8">
        <v>9.18</v>
      </c>
      <c r="AK146" s="8">
        <v>7.87</v>
      </c>
      <c r="AL146" s="8">
        <v>9.35</v>
      </c>
      <c r="AM146" s="8">
        <v>9.27</v>
      </c>
      <c r="AN146" s="8">
        <v>8.7899999999999991</v>
      </c>
      <c r="AO146" s="8">
        <v>11.9</v>
      </c>
      <c r="AP146" s="8">
        <v>6.49</v>
      </c>
      <c r="AQ146" s="8">
        <v>6.45</v>
      </c>
      <c r="AR146" s="8">
        <v>6.53</v>
      </c>
      <c r="AS146" s="8">
        <v>11.05</v>
      </c>
      <c r="AT146" s="8">
        <v>5.47</v>
      </c>
      <c r="AU146" s="6">
        <v>9.42</v>
      </c>
      <c r="AV146" s="6">
        <v>8.48</v>
      </c>
      <c r="AW146" s="6">
        <v>9.48</v>
      </c>
      <c r="AX146" s="6">
        <v>11.36</v>
      </c>
      <c r="AY146" s="6">
        <v>11.8</v>
      </c>
      <c r="AZ146" s="6">
        <v>11.64</v>
      </c>
      <c r="BA146" s="6">
        <v>6.3</v>
      </c>
      <c r="BB146" s="6">
        <v>6.76</v>
      </c>
      <c r="BC146" s="6">
        <v>7.48</v>
      </c>
      <c r="BD146" s="6">
        <v>8.0399999999999991</v>
      </c>
      <c r="BE146" s="6">
        <v>5.32</v>
      </c>
      <c r="BF146" s="6">
        <v>8.06</v>
      </c>
      <c r="BG146" s="6">
        <v>10.1</v>
      </c>
      <c r="BH146" s="6">
        <v>8.36</v>
      </c>
      <c r="BI146" s="6">
        <v>6.92</v>
      </c>
      <c r="BJ146" s="6">
        <v>10</v>
      </c>
      <c r="BK146" s="6">
        <v>9.6999999999999993</v>
      </c>
      <c r="BL146" s="6">
        <v>7.14</v>
      </c>
      <c r="BM146" s="6">
        <v>8.7799999999999994</v>
      </c>
      <c r="BN146" s="6">
        <v>8.3000000000000007</v>
      </c>
      <c r="BO146" s="6">
        <v>10.199999999999999</v>
      </c>
      <c r="BP146" s="6">
        <v>10.3</v>
      </c>
      <c r="BQ146" s="6">
        <v>9.01</v>
      </c>
      <c r="BR146" s="6">
        <v>7.68</v>
      </c>
      <c r="BS146" s="6">
        <v>8.6999999999999993</v>
      </c>
      <c r="BT146" s="6">
        <v>9.6999999999999993</v>
      </c>
      <c r="BU146" s="6">
        <v>9.9499999999999993</v>
      </c>
      <c r="BV146" s="6">
        <v>10.62</v>
      </c>
      <c r="BW146" s="6">
        <v>10.36</v>
      </c>
      <c r="BX146" s="6">
        <v>9.2200000000000006</v>
      </c>
      <c r="BY146" s="6">
        <v>7.38</v>
      </c>
      <c r="BZ146" s="6">
        <v>7.1</v>
      </c>
      <c r="CA146" s="6">
        <v>10.46</v>
      </c>
      <c r="CB146" s="6">
        <v>11.48</v>
      </c>
      <c r="CC146" s="6">
        <v>12.26</v>
      </c>
      <c r="CD146" s="6">
        <v>9.3000000000000007</v>
      </c>
      <c r="CE146" s="6">
        <v>8.1</v>
      </c>
      <c r="CF146" s="6">
        <v>7.08</v>
      </c>
      <c r="CG146" s="6">
        <v>10.199999999999999</v>
      </c>
      <c r="CH146" s="6">
        <v>10.6</v>
      </c>
      <c r="CI146" s="6">
        <v>10.5</v>
      </c>
      <c r="CJ146" s="11">
        <v>8.18</v>
      </c>
      <c r="CK146" s="6">
        <v>6.88</v>
      </c>
      <c r="CL146" s="6">
        <v>11.46</v>
      </c>
      <c r="CM146" s="6">
        <v>10.54</v>
      </c>
      <c r="CN146" s="6">
        <v>8.26</v>
      </c>
      <c r="CO146" s="10">
        <v>8.9</v>
      </c>
      <c r="CP146" s="10"/>
    </row>
    <row r="147" spans="1:94" ht="15.75" customHeight="1" x14ac:dyDescent="0.25">
      <c r="A147" s="4">
        <v>146</v>
      </c>
      <c r="B147" s="4"/>
      <c r="C147" s="4">
        <v>25</v>
      </c>
      <c r="D147" s="8">
        <v>8.83</v>
      </c>
      <c r="E147" s="8">
        <v>9.43</v>
      </c>
      <c r="F147" s="8">
        <v>8.7200000000000006</v>
      </c>
      <c r="G147" s="8">
        <v>11.83</v>
      </c>
      <c r="H147" s="8">
        <v>8.33</v>
      </c>
      <c r="I147" s="8">
        <v>5.68</v>
      </c>
      <c r="J147" s="8">
        <v>7.14</v>
      </c>
      <c r="K147" s="8">
        <v>8.16</v>
      </c>
      <c r="L147" s="8">
        <v>11.48</v>
      </c>
      <c r="M147" s="8">
        <v>10.32</v>
      </c>
      <c r="N147" s="8">
        <v>9.02</v>
      </c>
      <c r="O147" s="8">
        <v>10.68</v>
      </c>
      <c r="P147" s="8">
        <v>5.88</v>
      </c>
      <c r="Q147" s="8">
        <v>10.1</v>
      </c>
      <c r="R147" s="8">
        <v>8.7100000000000009</v>
      </c>
      <c r="S147" s="8">
        <v>8.91</v>
      </c>
      <c r="T147" s="8">
        <v>9.85</v>
      </c>
      <c r="U147" s="8">
        <v>9.85</v>
      </c>
      <c r="V147" s="8">
        <v>10.99</v>
      </c>
      <c r="W147" s="8">
        <v>10.1</v>
      </c>
      <c r="X147" s="8">
        <v>8.5299999999999994</v>
      </c>
      <c r="Y147" s="8">
        <v>8.8000000000000007</v>
      </c>
      <c r="Z147" s="8">
        <v>8.68</v>
      </c>
      <c r="AA147" s="8">
        <v>8.75</v>
      </c>
      <c r="AB147" s="8">
        <v>7.62</v>
      </c>
      <c r="AC147" s="8">
        <v>7.57</v>
      </c>
      <c r="AD147" s="8">
        <v>4.29</v>
      </c>
      <c r="AE147" s="8">
        <v>7.76</v>
      </c>
      <c r="AF147" s="8">
        <v>9.56</v>
      </c>
      <c r="AG147" s="8">
        <v>5.68</v>
      </c>
      <c r="AH147" s="8">
        <v>6.6</v>
      </c>
      <c r="AI147" s="8">
        <v>6.59</v>
      </c>
      <c r="AJ147" s="8">
        <v>9.2899999999999991</v>
      </c>
      <c r="AK147" s="8">
        <v>8.09</v>
      </c>
      <c r="AL147" s="8">
        <v>9.5</v>
      </c>
      <c r="AM147" s="8">
        <v>9.3699999999999992</v>
      </c>
      <c r="AN147" s="8">
        <v>9.02</v>
      </c>
      <c r="AO147" s="8">
        <v>11.92</v>
      </c>
      <c r="AP147" s="8">
        <v>6.75</v>
      </c>
      <c r="AQ147" s="8">
        <v>6.51</v>
      </c>
      <c r="AR147" s="8">
        <v>6.68</v>
      </c>
      <c r="AS147" s="8">
        <v>11.19</v>
      </c>
      <c r="AT147" s="8">
        <v>5.73</v>
      </c>
      <c r="AU147" s="6">
        <v>9.5299999999999994</v>
      </c>
      <c r="AV147" s="6">
        <v>8.6</v>
      </c>
      <c r="AW147" s="6">
        <v>9.6</v>
      </c>
      <c r="AX147" s="6">
        <v>11.43</v>
      </c>
      <c r="AY147" s="6">
        <v>11.86</v>
      </c>
      <c r="AZ147" s="6">
        <v>11.69</v>
      </c>
      <c r="BA147" s="6">
        <v>6.36</v>
      </c>
      <c r="BB147" s="6">
        <v>6.88</v>
      </c>
      <c r="BC147" s="6">
        <v>7.55</v>
      </c>
      <c r="BD147" s="6">
        <v>8.26</v>
      </c>
      <c r="BE147" s="6">
        <v>5.5</v>
      </c>
      <c r="BF147" s="6">
        <v>8.3000000000000007</v>
      </c>
      <c r="BG147" s="6">
        <v>10.31</v>
      </c>
      <c r="BH147" s="6">
        <v>8.4700000000000006</v>
      </c>
      <c r="BI147" s="6">
        <v>7.08</v>
      </c>
      <c r="BJ147" s="6">
        <v>10.14</v>
      </c>
      <c r="BK147" s="6">
        <v>9.8000000000000007</v>
      </c>
      <c r="BL147" s="6">
        <v>7.26</v>
      </c>
      <c r="BM147" s="6">
        <v>8.8800000000000008</v>
      </c>
      <c r="BN147" s="6">
        <v>8.4700000000000006</v>
      </c>
      <c r="BO147" s="6">
        <v>10.36</v>
      </c>
      <c r="BP147" s="6">
        <v>10.35</v>
      </c>
      <c r="BQ147" s="7">
        <v>9.18</v>
      </c>
      <c r="BR147" s="7">
        <v>7.7</v>
      </c>
      <c r="BS147" s="7">
        <v>8.92</v>
      </c>
      <c r="BT147" s="7">
        <v>9.92</v>
      </c>
      <c r="BU147" s="7">
        <v>10.199999999999999</v>
      </c>
      <c r="BV147" s="7">
        <v>10.76</v>
      </c>
      <c r="BW147" s="7">
        <v>10.4</v>
      </c>
      <c r="BX147" s="7">
        <v>9.3000000000000007</v>
      </c>
      <c r="BY147" s="7">
        <v>7.44</v>
      </c>
      <c r="BZ147" s="7">
        <v>7.1</v>
      </c>
      <c r="CA147" s="7">
        <v>10.54</v>
      </c>
      <c r="CB147" s="7">
        <v>11.6</v>
      </c>
      <c r="CC147" s="6">
        <v>12.34</v>
      </c>
      <c r="CD147" s="7">
        <v>9.3800000000000008</v>
      </c>
      <c r="CE147" s="7">
        <v>8.18</v>
      </c>
      <c r="CF147" s="7">
        <v>7.18</v>
      </c>
      <c r="CG147" s="7">
        <v>10.28</v>
      </c>
      <c r="CH147" s="7">
        <v>10.8</v>
      </c>
      <c r="CI147" s="7">
        <v>10.44</v>
      </c>
      <c r="CJ147" s="8">
        <v>8.3000000000000007</v>
      </c>
      <c r="CK147" s="7">
        <v>7.1</v>
      </c>
      <c r="CL147" s="7">
        <v>11.54</v>
      </c>
      <c r="CM147" s="7">
        <v>10.74</v>
      </c>
      <c r="CN147" s="7">
        <v>8.43</v>
      </c>
      <c r="CO147" s="10">
        <v>8.9600000000000009</v>
      </c>
      <c r="CP147" s="10"/>
    </row>
    <row r="148" spans="1:94" ht="15.75" customHeight="1" x14ac:dyDescent="0.25">
      <c r="A148" s="4">
        <v>147</v>
      </c>
      <c r="B148" s="4"/>
      <c r="C148" s="4">
        <v>26</v>
      </c>
      <c r="D148" s="8">
        <v>8.93</v>
      </c>
      <c r="E148" s="8">
        <v>9.58</v>
      </c>
      <c r="F148" s="8">
        <v>8.8800000000000008</v>
      </c>
      <c r="G148" s="8">
        <v>12.03</v>
      </c>
      <c r="H148" s="8">
        <v>8.3800000000000008</v>
      </c>
      <c r="I148" s="8">
        <v>5.78</v>
      </c>
      <c r="J148" s="8">
        <v>7.28</v>
      </c>
      <c r="K148" s="8">
        <v>8.39</v>
      </c>
      <c r="L148" s="8">
        <v>11.58</v>
      </c>
      <c r="M148" s="8">
        <v>10.61</v>
      </c>
      <c r="N148" s="8">
        <v>9.31</v>
      </c>
      <c r="O148" s="8">
        <v>11.08</v>
      </c>
      <c r="P148" s="8">
        <v>5.95</v>
      </c>
      <c r="Q148" s="8">
        <v>10.24</v>
      </c>
      <c r="R148" s="8">
        <v>8.82</v>
      </c>
      <c r="S148" s="8">
        <v>9.1300000000000008</v>
      </c>
      <c r="T148" s="8">
        <v>9.9600000000000009</v>
      </c>
      <c r="U148" s="8">
        <v>9.7899999999999991</v>
      </c>
      <c r="V148" s="8">
        <v>11.16</v>
      </c>
      <c r="W148" s="8">
        <v>10.210000000000001</v>
      </c>
      <c r="X148" s="8">
        <v>8.64</v>
      </c>
      <c r="Y148" s="8">
        <v>9.1300000000000008</v>
      </c>
      <c r="Z148" s="8">
        <v>8.85</v>
      </c>
      <c r="AA148" s="8">
        <v>8.7899999999999991</v>
      </c>
      <c r="AB148" s="8">
        <v>7.71</v>
      </c>
      <c r="AC148" s="8">
        <v>7.8</v>
      </c>
      <c r="AD148" s="8">
        <v>4.46</v>
      </c>
      <c r="AE148" s="8">
        <v>7.93</v>
      </c>
      <c r="AF148" s="8">
        <v>9.7799999999999994</v>
      </c>
      <c r="AG148" s="8">
        <v>5.7</v>
      </c>
      <c r="AH148" s="8">
        <v>6.83</v>
      </c>
      <c r="AI148" s="8">
        <v>6.62</v>
      </c>
      <c r="AJ148" s="8">
        <v>9.2899999999999991</v>
      </c>
      <c r="AK148" s="8">
        <v>8.32</v>
      </c>
      <c r="AL148" s="8">
        <v>9.64</v>
      </c>
      <c r="AM148" s="8">
        <v>9.41</v>
      </c>
      <c r="AN148" s="8">
        <v>9.27</v>
      </c>
      <c r="AO148" s="8">
        <v>11.96</v>
      </c>
      <c r="AP148" s="8">
        <v>7.05</v>
      </c>
      <c r="AQ148" s="8">
        <v>6.55</v>
      </c>
      <c r="AR148" s="8">
        <v>6.83</v>
      </c>
      <c r="AS148" s="8">
        <v>11.29</v>
      </c>
      <c r="AT148" s="8">
        <v>5.98</v>
      </c>
      <c r="AU148" s="6">
        <v>9.6</v>
      </c>
      <c r="AV148" s="6">
        <v>8.68</v>
      </c>
      <c r="AW148" s="6">
        <v>9.7100000000000009</v>
      </c>
      <c r="AX148" s="6">
        <v>11.56</v>
      </c>
      <c r="AY148" s="6">
        <v>11.93</v>
      </c>
      <c r="AZ148" s="6">
        <v>11.76</v>
      </c>
      <c r="BA148" s="6">
        <v>6.42</v>
      </c>
      <c r="BB148" s="6">
        <v>6.94</v>
      </c>
      <c r="BC148" s="6">
        <v>7.63</v>
      </c>
      <c r="BD148" s="6">
        <v>8.4700000000000006</v>
      </c>
      <c r="BE148" s="6">
        <v>5.57</v>
      </c>
      <c r="BF148" s="6">
        <v>8.52</v>
      </c>
      <c r="BG148" s="6">
        <v>10.56</v>
      </c>
      <c r="BH148" s="6">
        <v>8.5299999999999994</v>
      </c>
      <c r="BI148" s="6">
        <v>7.2</v>
      </c>
      <c r="BJ148" s="6">
        <v>10.18</v>
      </c>
      <c r="BK148" s="6">
        <v>9.9600000000000009</v>
      </c>
      <c r="BL148" s="6">
        <v>7.37</v>
      </c>
      <c r="BM148" s="6">
        <v>9.08</v>
      </c>
      <c r="BN148" s="6">
        <v>8.6999999999999993</v>
      </c>
      <c r="BO148" s="6">
        <v>10.49</v>
      </c>
      <c r="BP148" s="6">
        <v>10.4</v>
      </c>
      <c r="BQ148" s="7">
        <v>9.3800000000000008</v>
      </c>
      <c r="BR148" s="7">
        <v>7.78</v>
      </c>
      <c r="BS148" s="7">
        <v>9.16</v>
      </c>
      <c r="BT148" s="7">
        <v>10.08</v>
      </c>
      <c r="BU148" s="7">
        <v>10.4</v>
      </c>
      <c r="BV148" s="7">
        <v>10.84</v>
      </c>
      <c r="BW148" s="7">
        <v>10.4</v>
      </c>
      <c r="BX148" s="7">
        <v>9.42</v>
      </c>
      <c r="BY148" s="7">
        <v>7.5</v>
      </c>
      <c r="BZ148" s="7">
        <v>7.06</v>
      </c>
      <c r="CA148" s="7">
        <v>10.7</v>
      </c>
      <c r="CB148" s="7">
        <v>11.86</v>
      </c>
      <c r="CC148" s="6">
        <v>12.4</v>
      </c>
      <c r="CD148" s="7">
        <v>9.56</v>
      </c>
      <c r="CE148" s="7">
        <v>8.24</v>
      </c>
      <c r="CF148" s="7">
        <v>7.22</v>
      </c>
      <c r="CG148" s="7">
        <v>10.36</v>
      </c>
      <c r="CH148" s="7">
        <v>10.74</v>
      </c>
      <c r="CI148" s="7">
        <v>10.54</v>
      </c>
      <c r="CJ148" s="8">
        <v>8.44</v>
      </c>
      <c r="CK148" s="7">
        <v>7.2</v>
      </c>
      <c r="CL148" s="7">
        <v>11.58</v>
      </c>
      <c r="CM148" s="7">
        <v>10.9</v>
      </c>
      <c r="CN148" s="7">
        <v>8.5500000000000007</v>
      </c>
      <c r="CO148" s="10">
        <v>9.08</v>
      </c>
      <c r="CP148" s="10"/>
    </row>
    <row r="149" spans="1:94" ht="15.75" customHeight="1" x14ac:dyDescent="0.25">
      <c r="A149" s="4">
        <v>148</v>
      </c>
      <c r="B149" s="4"/>
      <c r="C149" s="4">
        <v>27</v>
      </c>
      <c r="D149" s="8">
        <v>9.08</v>
      </c>
      <c r="E149" s="8">
        <v>9.68</v>
      </c>
      <c r="F149" s="8">
        <v>9.0299999999999994</v>
      </c>
      <c r="G149" s="8">
        <v>12.13</v>
      </c>
      <c r="H149" s="8">
        <v>8.4700000000000006</v>
      </c>
      <c r="I149" s="8">
        <v>5.88</v>
      </c>
      <c r="J149" s="8">
        <v>7.32</v>
      </c>
      <c r="K149" s="8">
        <v>8.64</v>
      </c>
      <c r="L149" s="8">
        <v>11.73</v>
      </c>
      <c r="M149" s="8">
        <v>10.88</v>
      </c>
      <c r="N149" s="8">
        <v>9.52</v>
      </c>
      <c r="O149" s="8">
        <v>11.48</v>
      </c>
      <c r="P149" s="8">
        <v>6.07</v>
      </c>
      <c r="Q149" s="8">
        <v>10.36</v>
      </c>
      <c r="R149" s="8">
        <v>8.99</v>
      </c>
      <c r="S149" s="8">
        <v>9.31</v>
      </c>
      <c r="T149" s="8">
        <v>10.01</v>
      </c>
      <c r="U149" s="8">
        <v>9.7799999999999994</v>
      </c>
      <c r="V149" s="8">
        <v>11.29</v>
      </c>
      <c r="W149" s="8">
        <v>10.35</v>
      </c>
      <c r="X149" s="8">
        <v>8.7799999999999994</v>
      </c>
      <c r="Y149" s="8">
        <v>9.4499999999999993</v>
      </c>
      <c r="Z149" s="8">
        <v>9.0299999999999994</v>
      </c>
      <c r="AA149" s="8">
        <v>8.83</v>
      </c>
      <c r="AB149" s="8">
        <v>7.83</v>
      </c>
      <c r="AC149" s="8">
        <v>8.0299999999999994</v>
      </c>
      <c r="AD149" s="8">
        <v>4.67</v>
      </c>
      <c r="AE149" s="8">
        <v>8.18</v>
      </c>
      <c r="AF149" s="8">
        <v>10.02</v>
      </c>
      <c r="AG149" s="8">
        <v>5.7</v>
      </c>
      <c r="AH149" s="8">
        <v>7.11</v>
      </c>
      <c r="AI149" s="8">
        <v>6.78</v>
      </c>
      <c r="AJ149" s="8">
        <v>9.2899999999999991</v>
      </c>
      <c r="AK149" s="8">
        <v>8.5</v>
      </c>
      <c r="AL149" s="8">
        <v>9.77</v>
      </c>
      <c r="AM149" s="8">
        <v>9.43</v>
      </c>
      <c r="AN149" s="8">
        <v>9.3699999999999992</v>
      </c>
      <c r="AO149" s="8">
        <v>12.11</v>
      </c>
      <c r="AP149" s="8">
        <v>7.35</v>
      </c>
      <c r="AQ149" s="8">
        <v>6.59</v>
      </c>
      <c r="AR149" s="8">
        <v>6.99</v>
      </c>
      <c r="AS149" s="8">
        <v>11.47</v>
      </c>
      <c r="AT149" s="8">
        <v>6.28</v>
      </c>
      <c r="AU149" s="6">
        <v>9.65</v>
      </c>
      <c r="AV149" s="6">
        <v>8.8000000000000007</v>
      </c>
      <c r="AW149" s="6">
        <v>9.8000000000000007</v>
      </c>
      <c r="AX149" s="6">
        <v>11.6</v>
      </c>
      <c r="AY149" s="6">
        <v>12.01</v>
      </c>
      <c r="AZ149" s="6">
        <v>11.85</v>
      </c>
      <c r="BA149" s="6">
        <v>6.5</v>
      </c>
      <c r="BB149" s="6">
        <v>7.03</v>
      </c>
      <c r="BC149" s="6">
        <v>7.8</v>
      </c>
      <c r="BD149" s="6">
        <v>8.68</v>
      </c>
      <c r="BE149" s="6">
        <v>5.63</v>
      </c>
      <c r="BF149" s="6">
        <v>8.7200000000000006</v>
      </c>
      <c r="BG149" s="6">
        <v>10.81</v>
      </c>
      <c r="BH149" s="6">
        <v>8.6</v>
      </c>
      <c r="BI149" s="6">
        <v>7.2</v>
      </c>
      <c r="BJ149" s="6">
        <v>10.3</v>
      </c>
      <c r="BK149" s="6">
        <v>10.02</v>
      </c>
      <c r="BL149" s="6">
        <v>7.46</v>
      </c>
      <c r="BM149" s="6">
        <v>9.26</v>
      </c>
      <c r="BN149" s="6">
        <v>8.92</v>
      </c>
      <c r="BO149" s="6">
        <v>10.62</v>
      </c>
      <c r="BP149" s="6">
        <v>10.46</v>
      </c>
      <c r="BQ149" s="7">
        <v>9.56</v>
      </c>
      <c r="BR149" s="7">
        <v>7.88</v>
      </c>
      <c r="BS149" s="7">
        <v>9.36</v>
      </c>
      <c r="BT149" s="7">
        <v>10.16</v>
      </c>
      <c r="BU149" s="7">
        <v>10.52</v>
      </c>
      <c r="BV149" s="7">
        <v>10.85</v>
      </c>
      <c r="BW149" s="7">
        <v>10.4</v>
      </c>
      <c r="BX149" s="7">
        <v>9.5399999999999991</v>
      </c>
      <c r="BY149" s="7">
        <v>7.64</v>
      </c>
      <c r="BZ149" s="7">
        <v>7.09</v>
      </c>
      <c r="CA149" s="7">
        <v>10.8</v>
      </c>
      <c r="CB149" s="7">
        <v>12.02</v>
      </c>
      <c r="CC149" s="6">
        <v>12.5</v>
      </c>
      <c r="CD149" s="7">
        <v>9.66</v>
      </c>
      <c r="CE149" s="7">
        <v>8.2799999999999994</v>
      </c>
      <c r="CF149" s="7">
        <v>7.26</v>
      </c>
      <c r="CG149" s="7">
        <v>10.4</v>
      </c>
      <c r="CH149" s="7">
        <v>10.8</v>
      </c>
      <c r="CI149" s="7">
        <v>10.68</v>
      </c>
      <c r="CJ149" s="8">
        <v>8.68</v>
      </c>
      <c r="CK149" s="7">
        <v>7.34</v>
      </c>
      <c r="CL149" s="7">
        <v>11.68</v>
      </c>
      <c r="CM149" s="7">
        <v>11.06</v>
      </c>
      <c r="CN149" s="7">
        <v>8.68</v>
      </c>
      <c r="CO149" s="10">
        <v>9.27</v>
      </c>
      <c r="CP149" s="10"/>
    </row>
    <row r="150" spans="1:94" ht="15.75" customHeight="1" x14ac:dyDescent="0.25">
      <c r="A150" s="4">
        <v>149</v>
      </c>
      <c r="B150" s="4"/>
      <c r="C150" s="4">
        <v>28</v>
      </c>
      <c r="D150" s="8">
        <v>9.2200000000000006</v>
      </c>
      <c r="E150" s="8">
        <v>9.7799999999999994</v>
      </c>
      <c r="F150" s="8">
        <v>9.18</v>
      </c>
      <c r="G150" s="8">
        <v>12.23</v>
      </c>
      <c r="H150" s="8">
        <v>8.58</v>
      </c>
      <c r="I150" s="8">
        <v>5.93</v>
      </c>
      <c r="J150" s="8">
        <v>7.38</v>
      </c>
      <c r="K150" s="8">
        <v>8.93</v>
      </c>
      <c r="L150" s="8">
        <v>11.88</v>
      </c>
      <c r="M150" s="8">
        <v>11.17</v>
      </c>
      <c r="N150" s="8">
        <v>9.7899999999999991</v>
      </c>
      <c r="O150" s="8">
        <v>11.78</v>
      </c>
      <c r="P150" s="8">
        <v>6.21</v>
      </c>
      <c r="Q150" s="8">
        <v>10.43</v>
      </c>
      <c r="R150" s="8">
        <v>9.18</v>
      </c>
      <c r="S150" s="8">
        <v>9.4600000000000009</v>
      </c>
      <c r="T150" s="8">
        <v>10.029999999999999</v>
      </c>
      <c r="U150" s="8">
        <v>9.81</v>
      </c>
      <c r="V150" s="8">
        <v>11.39</v>
      </c>
      <c r="W150" s="8">
        <v>10.47</v>
      </c>
      <c r="X150" s="8">
        <v>8.9700000000000006</v>
      </c>
      <c r="Y150" s="8">
        <v>9.6</v>
      </c>
      <c r="Z150" s="8">
        <v>9.1300000000000008</v>
      </c>
      <c r="AA150" s="8">
        <v>8.8699999999999992</v>
      </c>
      <c r="AB150" s="8">
        <v>7.95</v>
      </c>
      <c r="AC150" s="8">
        <v>8.27</v>
      </c>
      <c r="AD150" s="8">
        <v>4.87</v>
      </c>
      <c r="AE150" s="8">
        <v>8.43</v>
      </c>
      <c r="AF150" s="8">
        <v>10.28</v>
      </c>
      <c r="AG150" s="8">
        <v>5.72</v>
      </c>
      <c r="AH150" s="8">
        <v>7.39</v>
      </c>
      <c r="AI150" s="8">
        <v>6.9</v>
      </c>
      <c r="AJ150" s="8">
        <v>9.2200000000000006</v>
      </c>
      <c r="AK150" s="8">
        <v>8.68</v>
      </c>
      <c r="AL150" s="8">
        <v>9.8699999999999992</v>
      </c>
      <c r="AM150" s="8">
        <v>9.51</v>
      </c>
      <c r="AN150" s="8">
        <v>9.35</v>
      </c>
      <c r="AO150" s="8">
        <v>12.18</v>
      </c>
      <c r="AP150" s="8">
        <v>7.55</v>
      </c>
      <c r="AQ150" s="8">
        <v>6.57</v>
      </c>
      <c r="AR150" s="8">
        <v>7.15</v>
      </c>
      <c r="AS150" s="8">
        <v>11.66</v>
      </c>
      <c r="AT150" s="8">
        <v>6.59</v>
      </c>
      <c r="AU150" s="6">
        <v>9.7799999999999994</v>
      </c>
      <c r="AV150" s="6">
        <v>8.89</v>
      </c>
      <c r="AW150" s="6">
        <v>9.93</v>
      </c>
      <c r="AX150" s="6">
        <v>11.72</v>
      </c>
      <c r="AY150" s="6">
        <v>12.1</v>
      </c>
      <c r="AZ150" s="6">
        <v>11.92</v>
      </c>
      <c r="BA150" s="6">
        <v>6.63</v>
      </c>
      <c r="BB150" s="6">
        <v>7.11</v>
      </c>
      <c r="BC150" s="6">
        <v>7.98</v>
      </c>
      <c r="BD150" s="6">
        <v>8.84</v>
      </c>
      <c r="BE150" s="6">
        <v>5.69</v>
      </c>
      <c r="BF150" s="6">
        <v>8.8800000000000008</v>
      </c>
      <c r="BG150" s="6">
        <v>11.02</v>
      </c>
      <c r="BH150" s="6">
        <v>8.68</v>
      </c>
      <c r="BI150" s="6">
        <v>7.45</v>
      </c>
      <c r="BJ150" s="6">
        <v>10.38</v>
      </c>
      <c r="BK150" s="6">
        <v>10.1</v>
      </c>
      <c r="BL150" s="6">
        <v>7.56</v>
      </c>
      <c r="BM150" s="6">
        <v>9.42</v>
      </c>
      <c r="BN150" s="6">
        <v>9.11</v>
      </c>
      <c r="BO150" s="6">
        <v>10.76</v>
      </c>
      <c r="BP150" s="6">
        <v>10.5</v>
      </c>
      <c r="BQ150" s="7">
        <v>9.74</v>
      </c>
      <c r="BR150" s="7">
        <v>7.92</v>
      </c>
      <c r="BS150" s="7">
        <v>9.6999999999999993</v>
      </c>
      <c r="BT150" s="7">
        <v>10.24</v>
      </c>
      <c r="BU150" s="7">
        <v>10.6</v>
      </c>
      <c r="BV150" s="7">
        <v>10.9</v>
      </c>
      <c r="BW150" s="7">
        <v>10.38</v>
      </c>
      <c r="BX150" s="7">
        <v>9.6</v>
      </c>
      <c r="BY150" s="7">
        <v>7.82</v>
      </c>
      <c r="BZ150" s="7">
        <v>7</v>
      </c>
      <c r="CA150" s="7">
        <v>10.9</v>
      </c>
      <c r="CB150" s="7">
        <v>12.18</v>
      </c>
      <c r="CC150" s="6">
        <v>12.48</v>
      </c>
      <c r="CD150" s="7">
        <v>9.7200000000000006</v>
      </c>
      <c r="CE150" s="7">
        <v>8.3000000000000007</v>
      </c>
      <c r="CF150" s="7">
        <v>7.5</v>
      </c>
      <c r="CG150" s="7">
        <v>10.4</v>
      </c>
      <c r="CH150" s="7">
        <v>10.88</v>
      </c>
      <c r="CI150" s="7">
        <v>10.8</v>
      </c>
      <c r="CJ150" s="8">
        <v>8.9</v>
      </c>
      <c r="CK150" s="7">
        <v>7.46</v>
      </c>
      <c r="CL150" s="7">
        <v>11.78</v>
      </c>
      <c r="CM150" s="7">
        <v>11.22</v>
      </c>
      <c r="CN150" s="7">
        <v>8.7799999999999994</v>
      </c>
      <c r="CO150" s="10">
        <v>9.42</v>
      </c>
      <c r="CP150" s="10"/>
    </row>
    <row r="151" spans="1:94" ht="15.75" customHeight="1" x14ac:dyDescent="0.25">
      <c r="A151" s="4">
        <v>150</v>
      </c>
      <c r="B151" s="4"/>
      <c r="C151" s="4">
        <v>29</v>
      </c>
      <c r="D151" s="8">
        <v>9.33</v>
      </c>
      <c r="E151" s="8">
        <v>9.8800000000000008</v>
      </c>
      <c r="F151" s="8">
        <v>9.33</v>
      </c>
      <c r="G151" s="8">
        <v>12.33</v>
      </c>
      <c r="H151" s="8">
        <v>8.68</v>
      </c>
      <c r="I151" s="8">
        <v>5.98</v>
      </c>
      <c r="J151" s="8">
        <v>7.46</v>
      </c>
      <c r="K151" s="8">
        <v>9.2799999999999994</v>
      </c>
      <c r="L151" s="8">
        <v>12.03</v>
      </c>
      <c r="M151" s="8">
        <v>11.39</v>
      </c>
      <c r="N151" s="8">
        <v>10.01</v>
      </c>
      <c r="O151" s="8">
        <v>12.08</v>
      </c>
      <c r="P151" s="8">
        <v>6.37</v>
      </c>
      <c r="Q151" s="8">
        <v>10.53</v>
      </c>
      <c r="R151" s="8">
        <v>9.35</v>
      </c>
      <c r="S151" s="8">
        <v>9.6</v>
      </c>
      <c r="T151" s="8">
        <v>10.06</v>
      </c>
      <c r="U151" s="8">
        <v>9.8800000000000008</v>
      </c>
      <c r="V151" s="8">
        <v>11.43</v>
      </c>
      <c r="W151" s="8">
        <v>10.59</v>
      </c>
      <c r="X151" s="8">
        <v>9.1</v>
      </c>
      <c r="Y151" s="8">
        <v>9.75</v>
      </c>
      <c r="Z151" s="8">
        <v>9.25</v>
      </c>
      <c r="AA151" s="8">
        <v>8.89</v>
      </c>
      <c r="AB151" s="8">
        <v>8.0500000000000007</v>
      </c>
      <c r="AC151" s="8">
        <v>8.5</v>
      </c>
      <c r="AD151" s="8">
        <v>5.05</v>
      </c>
      <c r="AE151" s="8">
        <v>8.6199999999999992</v>
      </c>
      <c r="AF151" s="8">
        <v>10.46</v>
      </c>
      <c r="AG151" s="8">
        <v>5.9</v>
      </c>
      <c r="AH151" s="8">
        <v>7.67</v>
      </c>
      <c r="AI151" s="8">
        <v>7.12</v>
      </c>
      <c r="AJ151" s="8">
        <v>9.17</v>
      </c>
      <c r="AK151" s="8">
        <v>8.81</v>
      </c>
      <c r="AL151" s="8">
        <v>9.9499999999999993</v>
      </c>
      <c r="AM151" s="8">
        <v>9.58</v>
      </c>
      <c r="AN151" s="8">
        <v>9.3699999999999992</v>
      </c>
      <c r="AO151" s="8">
        <v>12.31</v>
      </c>
      <c r="AP151" s="8">
        <v>7.75</v>
      </c>
      <c r="AQ151" s="8">
        <v>6.57</v>
      </c>
      <c r="AR151" s="8">
        <v>7.31</v>
      </c>
      <c r="AS151" s="8">
        <v>11.75</v>
      </c>
      <c r="AT151" s="8">
        <v>6.9</v>
      </c>
      <c r="AU151" s="6">
        <v>10</v>
      </c>
      <c r="AV151" s="6">
        <v>9.01</v>
      </c>
      <c r="AW151" s="6">
        <v>10.050000000000001</v>
      </c>
      <c r="AX151" s="6">
        <v>11.84</v>
      </c>
      <c r="AY151" s="6">
        <v>12.21</v>
      </c>
      <c r="AZ151" s="6">
        <v>11.97</v>
      </c>
      <c r="BA151" s="6">
        <v>6.82</v>
      </c>
      <c r="BB151" s="6">
        <v>7.21</v>
      </c>
      <c r="BC151" s="6">
        <v>8.11</v>
      </c>
      <c r="BD151" s="6">
        <v>9</v>
      </c>
      <c r="BE151" s="6">
        <v>5.8</v>
      </c>
      <c r="BF151" s="6">
        <v>8.98</v>
      </c>
      <c r="BG151" s="6">
        <v>11.18</v>
      </c>
      <c r="BH151" s="6">
        <v>8.77</v>
      </c>
      <c r="BI151" s="6">
        <v>7.56</v>
      </c>
      <c r="BJ151" s="6">
        <v>10.52</v>
      </c>
      <c r="BK151" s="6">
        <v>10.16</v>
      </c>
      <c r="BL151" s="6">
        <v>7.76</v>
      </c>
      <c r="BM151" s="6">
        <v>9.6199999999999992</v>
      </c>
      <c r="BN151" s="6">
        <v>9.32</v>
      </c>
      <c r="BO151" s="6">
        <v>10.84</v>
      </c>
      <c r="BP151" s="6">
        <v>10.5</v>
      </c>
      <c r="BQ151" s="7">
        <v>9.8800000000000008</v>
      </c>
      <c r="BR151" s="7">
        <v>8</v>
      </c>
      <c r="BS151" s="7">
        <v>9.82</v>
      </c>
      <c r="BT151" s="7">
        <v>10.3</v>
      </c>
      <c r="BU151" s="7">
        <v>10.72</v>
      </c>
      <c r="BV151" s="7">
        <v>10.96</v>
      </c>
      <c r="BW151" s="7">
        <v>10.44</v>
      </c>
      <c r="BX151" s="7">
        <v>9.6999999999999993</v>
      </c>
      <c r="BY151" s="7">
        <v>8.02</v>
      </c>
      <c r="BZ151" s="7">
        <v>7.02</v>
      </c>
      <c r="CA151" s="7">
        <v>10.98</v>
      </c>
      <c r="CB151" s="7">
        <v>12.28</v>
      </c>
      <c r="CC151" s="6">
        <v>12.5</v>
      </c>
      <c r="CD151" s="7">
        <v>9.84</v>
      </c>
      <c r="CE151" s="7">
        <v>8.4</v>
      </c>
      <c r="CF151" s="7">
        <v>7.58</v>
      </c>
      <c r="CG151" s="7">
        <v>10.54</v>
      </c>
      <c r="CH151" s="7">
        <v>10.9</v>
      </c>
      <c r="CI151" s="7">
        <v>10.9</v>
      </c>
      <c r="CJ151" s="8">
        <v>9.08</v>
      </c>
      <c r="CK151" s="7">
        <v>7.6</v>
      </c>
      <c r="CL151" s="7">
        <v>11.86</v>
      </c>
      <c r="CM151" s="7">
        <v>11.41</v>
      </c>
      <c r="CN151" s="7">
        <v>8.86</v>
      </c>
      <c r="CO151" s="10">
        <v>9.5299999999999994</v>
      </c>
      <c r="CP151" s="10"/>
    </row>
    <row r="152" spans="1:94" ht="15.75" customHeight="1" x14ac:dyDescent="0.25">
      <c r="A152" s="4">
        <v>151</v>
      </c>
      <c r="B152" s="4"/>
      <c r="C152" s="4">
        <v>30</v>
      </c>
      <c r="D152" s="8">
        <v>9.4700000000000006</v>
      </c>
      <c r="E152" s="8">
        <v>9.9700000000000006</v>
      </c>
      <c r="F152" s="8">
        <v>9.5299999999999994</v>
      </c>
      <c r="G152" s="8">
        <v>12.43</v>
      </c>
      <c r="H152" s="8">
        <v>8.7799999999999994</v>
      </c>
      <c r="I152" s="8">
        <v>6.03</v>
      </c>
      <c r="J152" s="8">
        <v>7.56</v>
      </c>
      <c r="K152" s="8">
        <v>9.6199999999999992</v>
      </c>
      <c r="L152" s="8">
        <v>12.18</v>
      </c>
      <c r="M152" s="8">
        <v>11.56</v>
      </c>
      <c r="N152" s="8">
        <v>10.210000000000001</v>
      </c>
      <c r="O152" s="8">
        <v>12.38</v>
      </c>
      <c r="P152" s="8">
        <v>6.51</v>
      </c>
      <c r="Q152" s="8">
        <v>10.62</v>
      </c>
      <c r="R152" s="8">
        <v>9.4499999999999993</v>
      </c>
      <c r="S152" s="8">
        <v>9.76</v>
      </c>
      <c r="T152" s="8">
        <v>10.1</v>
      </c>
      <c r="U152" s="8">
        <v>9.9499999999999993</v>
      </c>
      <c r="V152" s="8">
        <v>11.51</v>
      </c>
      <c r="W152" s="8">
        <v>10.7</v>
      </c>
      <c r="X152" s="8">
        <v>9.25</v>
      </c>
      <c r="Y152" s="8">
        <v>9.84</v>
      </c>
      <c r="Z152" s="8">
        <v>9.33</v>
      </c>
      <c r="AA152" s="8">
        <v>8.91</v>
      </c>
      <c r="AB152" s="8">
        <v>8.14</v>
      </c>
      <c r="AC152" s="8">
        <v>8.7200000000000006</v>
      </c>
      <c r="AD152" s="8">
        <v>5.25</v>
      </c>
      <c r="AE152" s="8">
        <v>8.93</v>
      </c>
      <c r="AF152" s="8">
        <v>10.71</v>
      </c>
      <c r="AG152" s="8">
        <v>6.1</v>
      </c>
      <c r="AH152" s="8">
        <v>7.95</v>
      </c>
      <c r="AI152" s="8">
        <v>7.3</v>
      </c>
      <c r="AJ152" s="8">
        <v>9.2200000000000006</v>
      </c>
      <c r="AK152" s="8">
        <v>8.92</v>
      </c>
      <c r="AL152" s="8">
        <v>10.029999999999999</v>
      </c>
      <c r="AM152" s="8">
        <v>9.67</v>
      </c>
      <c r="AN152" s="8">
        <v>9.4499999999999993</v>
      </c>
      <c r="AO152" s="8">
        <v>12.41</v>
      </c>
      <c r="AP152" s="8">
        <v>7.89</v>
      </c>
      <c r="AQ152" s="8">
        <v>6.57</v>
      </c>
      <c r="AR152" s="8">
        <v>7.47</v>
      </c>
      <c r="AS152" s="8">
        <v>11.85</v>
      </c>
      <c r="AT152" s="8">
        <v>7.21</v>
      </c>
      <c r="AU152" s="6">
        <v>10.14</v>
      </c>
      <c r="AV152" s="6">
        <v>9.11</v>
      </c>
      <c r="AW152" s="6">
        <v>10.14</v>
      </c>
      <c r="AX152" s="6">
        <v>11.97</v>
      </c>
      <c r="AY152" s="6">
        <v>12.25</v>
      </c>
      <c r="AZ152" s="6">
        <v>12.02</v>
      </c>
      <c r="BA152" s="6">
        <v>7.07</v>
      </c>
      <c r="BB152" s="6">
        <v>7.3</v>
      </c>
      <c r="BC152" s="6">
        <v>8.2200000000000006</v>
      </c>
      <c r="BD152" s="6">
        <v>9.2799999999999994</v>
      </c>
      <c r="BE152" s="6">
        <v>5.94</v>
      </c>
      <c r="BF152" s="6">
        <v>9.14</v>
      </c>
      <c r="BG152" s="6">
        <v>11.31</v>
      </c>
      <c r="BH152" s="6">
        <v>8.86</v>
      </c>
      <c r="BI152" s="6">
        <v>7.64</v>
      </c>
      <c r="BJ152" s="6">
        <v>10.64</v>
      </c>
      <c r="BK152" s="6">
        <v>10.28</v>
      </c>
      <c r="BL152" s="6">
        <v>7.82</v>
      </c>
      <c r="BM152" s="6">
        <v>9.7799999999999994</v>
      </c>
      <c r="BN152" s="6">
        <v>9.49</v>
      </c>
      <c r="BO152" s="6">
        <v>10.94</v>
      </c>
      <c r="BP152" s="6">
        <v>10.52</v>
      </c>
      <c r="BQ152" s="7">
        <v>10.14</v>
      </c>
      <c r="BR152" s="7">
        <v>8.1</v>
      </c>
      <c r="BS152" s="7">
        <v>9.98</v>
      </c>
      <c r="BT152" s="7">
        <v>10.36</v>
      </c>
      <c r="BU152" s="7">
        <v>10.869</v>
      </c>
      <c r="BV152" s="7">
        <v>11</v>
      </c>
      <c r="BW152" s="7">
        <v>10.52</v>
      </c>
      <c r="BX152" s="7">
        <v>9.74</v>
      </c>
      <c r="BY152" s="7">
        <v>8.3000000000000007</v>
      </c>
      <c r="BZ152" s="7">
        <v>7.06</v>
      </c>
      <c r="CA152" s="7">
        <v>11.16</v>
      </c>
      <c r="CB152" s="7">
        <v>12.38</v>
      </c>
      <c r="CC152" s="6">
        <v>12.5</v>
      </c>
      <c r="CD152" s="7">
        <v>9.92</v>
      </c>
      <c r="CE152" s="7">
        <v>8.4</v>
      </c>
      <c r="CF152" s="7">
        <v>7.76</v>
      </c>
      <c r="CG152" s="7">
        <v>10.68</v>
      </c>
      <c r="CH152" s="7">
        <v>10.9</v>
      </c>
      <c r="CI152" s="7">
        <v>11</v>
      </c>
      <c r="CJ152" s="8">
        <v>9.18</v>
      </c>
      <c r="CK152" s="7">
        <v>7.75</v>
      </c>
      <c r="CL152" s="7">
        <v>12</v>
      </c>
      <c r="CM152" s="7">
        <v>11.58</v>
      </c>
      <c r="CN152" s="7">
        <v>9.0399999999999991</v>
      </c>
      <c r="CO152" s="10">
        <v>9.6300000000000008</v>
      </c>
      <c r="CP152" s="10"/>
    </row>
    <row r="153" spans="1:94" ht="15.75" customHeight="1" x14ac:dyDescent="0.25">
      <c r="A153" s="4">
        <v>152</v>
      </c>
      <c r="B153" s="4"/>
      <c r="C153" s="4">
        <v>31</v>
      </c>
      <c r="D153" s="8">
        <v>9.68</v>
      </c>
      <c r="E153" s="8">
        <v>10.08</v>
      </c>
      <c r="F153" s="8">
        <v>9.7799999999999994</v>
      </c>
      <c r="G153" s="8">
        <v>12.48</v>
      </c>
      <c r="H153" s="8">
        <v>9.08</v>
      </c>
      <c r="I153" s="8">
        <v>6.08</v>
      </c>
      <c r="J153" s="8">
        <v>7.78</v>
      </c>
      <c r="K153" s="8">
        <v>9.99</v>
      </c>
      <c r="L153" s="8">
        <v>12.28</v>
      </c>
      <c r="M153" s="8">
        <v>11.75</v>
      </c>
      <c r="N153" s="8">
        <v>10.41</v>
      </c>
      <c r="O153" s="8">
        <v>12.46</v>
      </c>
      <c r="P153" s="8">
        <v>6.64</v>
      </c>
      <c r="Q153" s="8">
        <v>10.69</v>
      </c>
      <c r="R153" s="8">
        <v>9.56</v>
      </c>
      <c r="S153" s="8">
        <v>9.91</v>
      </c>
      <c r="T153" s="8">
        <v>10.14</v>
      </c>
      <c r="U153" s="8">
        <v>10.02</v>
      </c>
      <c r="V153" s="8">
        <v>11.54</v>
      </c>
      <c r="W153" s="8">
        <v>10.78</v>
      </c>
      <c r="X153" s="8">
        <v>9.3699999999999992</v>
      </c>
      <c r="Y153" s="8">
        <v>9.9499999999999993</v>
      </c>
      <c r="Z153" s="8">
        <v>9.35</v>
      </c>
      <c r="AA153" s="8">
        <v>9.01</v>
      </c>
      <c r="AB153" s="8">
        <v>8.3000000000000007</v>
      </c>
      <c r="AC153" s="8">
        <v>8.9499999999999993</v>
      </c>
      <c r="AD153" s="8">
        <v>5.42</v>
      </c>
      <c r="AE153" s="8">
        <v>9.1199999999999992</v>
      </c>
      <c r="AF153" s="8">
        <v>10.88</v>
      </c>
      <c r="AG153" s="8">
        <v>6.26</v>
      </c>
      <c r="AH153" s="8">
        <v>8.19</v>
      </c>
      <c r="AI153" s="8">
        <v>7.56</v>
      </c>
      <c r="AJ153" s="8">
        <v>9.32</v>
      </c>
      <c r="AK153" s="8">
        <v>9.01</v>
      </c>
      <c r="AL153" s="8">
        <v>10.06</v>
      </c>
      <c r="AM153" s="8">
        <v>9.77</v>
      </c>
      <c r="AN153" s="8">
        <v>9.64</v>
      </c>
      <c r="AO153" s="8">
        <v>12.5</v>
      </c>
      <c r="AP153" s="8">
        <v>8</v>
      </c>
      <c r="AQ153" s="8">
        <v>6.55</v>
      </c>
      <c r="AR153" s="8">
        <v>7.64</v>
      </c>
      <c r="AS153" s="8">
        <v>11.95</v>
      </c>
      <c r="AT153" s="8">
        <v>7.45</v>
      </c>
      <c r="AU153" s="6">
        <v>10.26</v>
      </c>
      <c r="AV153" s="6">
        <v>9.27</v>
      </c>
      <c r="AW153" s="6">
        <v>10.220000000000001</v>
      </c>
      <c r="AX153" s="6">
        <v>12.1</v>
      </c>
      <c r="AY153" s="6">
        <v>12.34</v>
      </c>
      <c r="AZ153" s="6">
        <v>12.02</v>
      </c>
      <c r="BA153" s="6">
        <v>7.34</v>
      </c>
      <c r="BB153" s="6">
        <v>7.46</v>
      </c>
      <c r="BC153" s="6">
        <v>8.32</v>
      </c>
      <c r="BD153" s="6">
        <v>9.36</v>
      </c>
      <c r="BE153" s="6">
        <v>6.09</v>
      </c>
      <c r="BF153" s="6">
        <v>9.31</v>
      </c>
      <c r="BG153" s="6">
        <v>11.46</v>
      </c>
      <c r="BH153" s="6">
        <v>8.93</v>
      </c>
      <c r="BI153" s="6">
        <v>7.78</v>
      </c>
      <c r="BJ153" s="6">
        <v>10.74</v>
      </c>
      <c r="BK153" s="6">
        <v>10.44</v>
      </c>
      <c r="BL153" s="6">
        <v>8.06</v>
      </c>
      <c r="BM153" s="6">
        <v>9.9600000000000009</v>
      </c>
      <c r="BN153" s="6">
        <v>9.58</v>
      </c>
      <c r="BO153" s="6">
        <v>11.02</v>
      </c>
      <c r="BP153" s="6">
        <v>10.5</v>
      </c>
      <c r="BQ153" s="7">
        <v>10.26</v>
      </c>
      <c r="BR153" s="7">
        <v>8.2200000000000006</v>
      </c>
      <c r="BS153" s="7">
        <v>10.1</v>
      </c>
      <c r="BT153" s="7">
        <v>10.44</v>
      </c>
      <c r="BU153" s="7">
        <v>11.1</v>
      </c>
      <c r="BV153" s="7">
        <v>11.06</v>
      </c>
      <c r="BW153" s="7">
        <v>10.6</v>
      </c>
      <c r="BX153" s="7">
        <v>9.76</v>
      </c>
      <c r="BY153" s="7">
        <v>8.5</v>
      </c>
      <c r="BZ153" s="7">
        <v>7.12</v>
      </c>
      <c r="CA153" s="7">
        <v>11.22</v>
      </c>
      <c r="CB153" s="7">
        <v>12.46</v>
      </c>
      <c r="CC153" s="6">
        <v>12.54</v>
      </c>
      <c r="CD153" s="7">
        <v>10.14</v>
      </c>
      <c r="CE153" s="7">
        <v>8.4</v>
      </c>
      <c r="CF153" s="7">
        <v>7.92</v>
      </c>
      <c r="CG153" s="7">
        <v>10.66</v>
      </c>
      <c r="CH153" s="7">
        <v>10.82</v>
      </c>
      <c r="CI153" s="7">
        <v>11.1</v>
      </c>
      <c r="CJ153" s="8">
        <v>9.26</v>
      </c>
      <c r="CK153" s="8">
        <v>8</v>
      </c>
      <c r="CL153" s="7">
        <v>12.12</v>
      </c>
      <c r="CM153" s="7">
        <v>11.68</v>
      </c>
      <c r="CN153" s="7">
        <v>9.31</v>
      </c>
      <c r="CO153" s="10">
        <v>9.73</v>
      </c>
      <c r="CP153" s="10"/>
    </row>
    <row r="154" spans="1:94" ht="15.75" customHeight="1" x14ac:dyDescent="0.25">
      <c r="A154" s="4">
        <v>153</v>
      </c>
      <c r="B154" s="5" t="s">
        <v>9</v>
      </c>
      <c r="C154" s="4">
        <v>1</v>
      </c>
      <c r="D154" s="8">
        <v>9.83</v>
      </c>
      <c r="E154" s="8">
        <v>10.18</v>
      </c>
      <c r="F154" s="8">
        <v>9.93</v>
      </c>
      <c r="G154" s="8">
        <v>12.53</v>
      </c>
      <c r="H154" s="8">
        <v>9.18</v>
      </c>
      <c r="I154" s="8">
        <v>6.13</v>
      </c>
      <c r="J154" s="8">
        <v>7.98</v>
      </c>
      <c r="K154" s="8">
        <v>10.35</v>
      </c>
      <c r="L154" s="8">
        <v>12.43</v>
      </c>
      <c r="M154" s="8">
        <v>11.94</v>
      </c>
      <c r="N154" s="8">
        <v>10.51</v>
      </c>
      <c r="O154" s="8">
        <v>12.48</v>
      </c>
      <c r="P154" s="8">
        <v>6.99</v>
      </c>
      <c r="Q154" s="8">
        <v>10.79</v>
      </c>
      <c r="R154" s="8">
        <v>9.6199999999999992</v>
      </c>
      <c r="S154" s="8">
        <v>10.01</v>
      </c>
      <c r="T154" s="8">
        <v>10.14</v>
      </c>
      <c r="U154" s="8">
        <v>10.1</v>
      </c>
      <c r="V154" s="8">
        <v>11.57</v>
      </c>
      <c r="W154" s="8">
        <v>10.84</v>
      </c>
      <c r="X154" s="8">
        <v>9.4700000000000006</v>
      </c>
      <c r="Y154" s="8">
        <v>10.050000000000001</v>
      </c>
      <c r="Z154" s="8">
        <v>9.3699999999999992</v>
      </c>
      <c r="AA154" s="8">
        <v>9.14</v>
      </c>
      <c r="AB154" s="8">
        <v>8.4499999999999993</v>
      </c>
      <c r="AC154" s="8">
        <v>9.14</v>
      </c>
      <c r="AD154" s="8">
        <v>5.62</v>
      </c>
      <c r="AE154" s="8">
        <v>9.3000000000000007</v>
      </c>
      <c r="AF154" s="8">
        <v>11.09</v>
      </c>
      <c r="AG154" s="8">
        <v>6.42</v>
      </c>
      <c r="AH154" s="8">
        <v>8.3699999999999992</v>
      </c>
      <c r="AI154" s="8">
        <v>7.73</v>
      </c>
      <c r="AJ154" s="8">
        <v>9.49</v>
      </c>
      <c r="AK154" s="8">
        <v>9.1300000000000008</v>
      </c>
      <c r="AL154" s="8">
        <v>10.14</v>
      </c>
      <c r="AM154" s="8">
        <v>9.8699999999999992</v>
      </c>
      <c r="AN154" s="8">
        <v>9.7899999999999991</v>
      </c>
      <c r="AO154" s="8">
        <v>12.58</v>
      </c>
      <c r="AP154" s="8">
        <v>8.06</v>
      </c>
      <c r="AQ154" s="8">
        <v>6.55</v>
      </c>
      <c r="AR154" s="8">
        <v>7.81</v>
      </c>
      <c r="AS154" s="8">
        <v>12.02</v>
      </c>
      <c r="AT154" s="8">
        <v>7.75</v>
      </c>
      <c r="AU154" s="6">
        <v>10.36</v>
      </c>
      <c r="AV154" s="6">
        <v>9.51</v>
      </c>
      <c r="AW154" s="6">
        <v>10.27</v>
      </c>
      <c r="AX154" s="6">
        <v>12.23</v>
      </c>
      <c r="AY154" s="6">
        <v>12.43</v>
      </c>
      <c r="AZ154" s="6">
        <v>12.02</v>
      </c>
      <c r="BA154" s="6">
        <v>7.57</v>
      </c>
      <c r="BB154" s="6">
        <v>7.59</v>
      </c>
      <c r="BC154" s="6">
        <v>8.5</v>
      </c>
      <c r="BD154" s="6">
        <v>9.6</v>
      </c>
      <c r="BE154" s="6">
        <v>6.23</v>
      </c>
      <c r="BF154" s="6">
        <v>9.57</v>
      </c>
      <c r="BG154" s="6">
        <v>11.6</v>
      </c>
      <c r="BH154" s="6">
        <v>8.98</v>
      </c>
      <c r="BI154" s="6">
        <v>7.87</v>
      </c>
      <c r="BJ154" s="6">
        <v>10.88</v>
      </c>
      <c r="BK154" s="6">
        <v>10.54</v>
      </c>
      <c r="BL154" s="6">
        <v>8.34</v>
      </c>
      <c r="BM154" s="6">
        <v>10.06</v>
      </c>
      <c r="BN154" s="6">
        <v>9.7200000000000006</v>
      </c>
      <c r="BO154" s="6">
        <v>11.1</v>
      </c>
      <c r="BP154" s="6">
        <v>10.52</v>
      </c>
      <c r="BQ154" s="7">
        <v>10.44</v>
      </c>
      <c r="BR154" s="7">
        <v>8.3800000000000008</v>
      </c>
      <c r="BS154" s="7">
        <v>10.26</v>
      </c>
      <c r="BT154" s="7">
        <v>10.54</v>
      </c>
      <c r="BU154" s="7">
        <v>11.38</v>
      </c>
      <c r="BV154" s="7">
        <v>11.1</v>
      </c>
      <c r="BW154" s="7">
        <v>10.62</v>
      </c>
      <c r="BX154" s="7">
        <v>10</v>
      </c>
      <c r="BY154" s="7">
        <v>8.64</v>
      </c>
      <c r="BZ154" s="7">
        <v>7.2</v>
      </c>
      <c r="CA154" s="7">
        <v>11.32</v>
      </c>
      <c r="CB154" s="7">
        <v>12.48</v>
      </c>
      <c r="CC154" s="6">
        <v>12.56</v>
      </c>
      <c r="CD154" s="7">
        <v>10.34</v>
      </c>
      <c r="CE154" s="7">
        <v>8.4600000000000009</v>
      </c>
      <c r="CF154" s="7">
        <v>8.14</v>
      </c>
      <c r="CG154" s="7">
        <v>10.8</v>
      </c>
      <c r="CH154" s="7">
        <v>10.71</v>
      </c>
      <c r="CI154" s="7">
        <v>11.18</v>
      </c>
      <c r="CJ154" s="8">
        <v>9.3863674521571117</v>
      </c>
      <c r="CK154" s="7">
        <v>8.1199999999999992</v>
      </c>
      <c r="CL154" s="7">
        <v>12.28</v>
      </c>
      <c r="CM154" s="7">
        <v>11.76</v>
      </c>
      <c r="CN154" s="7">
        <v>9.59</v>
      </c>
      <c r="CO154" s="10">
        <v>9.9</v>
      </c>
      <c r="CP154" s="10"/>
    </row>
    <row r="155" spans="1:94" ht="15.75" customHeight="1" x14ac:dyDescent="0.25">
      <c r="A155" s="4">
        <v>154</v>
      </c>
      <c r="B155" s="4"/>
      <c r="C155" s="4">
        <v>2</v>
      </c>
      <c r="D155" s="8">
        <v>10.029999999999999</v>
      </c>
      <c r="E155" s="8">
        <v>10.220000000000001</v>
      </c>
      <c r="F155" s="8">
        <v>10.029999999999999</v>
      </c>
      <c r="G155" s="8">
        <v>12.58</v>
      </c>
      <c r="H155" s="8">
        <v>9.2200000000000006</v>
      </c>
      <c r="I155" s="8">
        <v>6.18</v>
      </c>
      <c r="J155" s="8">
        <v>8.16</v>
      </c>
      <c r="K155" s="8">
        <v>10.69</v>
      </c>
      <c r="L155" s="8">
        <v>12.58</v>
      </c>
      <c r="M155" s="8">
        <v>12.07</v>
      </c>
      <c r="N155" s="8">
        <v>10.58</v>
      </c>
      <c r="O155" s="8">
        <v>12.49</v>
      </c>
      <c r="P155" s="8">
        <v>7.4</v>
      </c>
      <c r="Q155" s="8">
        <v>10.92</v>
      </c>
      <c r="R155" s="8">
        <v>9.7200000000000006</v>
      </c>
      <c r="S155" s="8">
        <v>10.1</v>
      </c>
      <c r="T155" s="8">
        <v>10.16</v>
      </c>
      <c r="U155" s="8">
        <v>10.18</v>
      </c>
      <c r="V155" s="8">
        <v>11.73</v>
      </c>
      <c r="W155" s="8">
        <v>10.92</v>
      </c>
      <c r="X155" s="8">
        <v>9.59</v>
      </c>
      <c r="Y155" s="8">
        <v>10.199999999999999</v>
      </c>
      <c r="Z155" s="8">
        <v>9.4499999999999993</v>
      </c>
      <c r="AA155" s="8">
        <v>9.2899999999999991</v>
      </c>
      <c r="AB155" s="8">
        <v>8.7100000000000009</v>
      </c>
      <c r="AC155" s="8">
        <v>9.35</v>
      </c>
      <c r="AD155" s="8">
        <v>5.83</v>
      </c>
      <c r="AE155" s="8">
        <v>9.4600000000000009</v>
      </c>
      <c r="AF155" s="8">
        <v>11.32</v>
      </c>
      <c r="AG155" s="8">
        <v>6.6</v>
      </c>
      <c r="AH155" s="8">
        <v>8.57</v>
      </c>
      <c r="AI155" s="8">
        <v>7.9</v>
      </c>
      <c r="AJ155" s="8">
        <v>9.7100000000000009</v>
      </c>
      <c r="AK155" s="8">
        <v>9.2200000000000006</v>
      </c>
      <c r="AL155" s="8">
        <v>10.25</v>
      </c>
      <c r="AM155" s="8">
        <v>9.9499999999999993</v>
      </c>
      <c r="AN155" s="8">
        <v>9.91</v>
      </c>
      <c r="AO155" s="8">
        <v>12.62</v>
      </c>
      <c r="AP155" s="8">
        <v>8.09</v>
      </c>
      <c r="AQ155" s="8">
        <v>6.55</v>
      </c>
      <c r="AR155" s="8">
        <v>7.99</v>
      </c>
      <c r="AS155" s="8">
        <v>12.07</v>
      </c>
      <c r="AT155" s="8">
        <v>8.0500000000000007</v>
      </c>
      <c r="AU155" s="6">
        <v>10.52</v>
      </c>
      <c r="AV155" s="6">
        <v>9.7200000000000006</v>
      </c>
      <c r="AW155" s="6">
        <v>10.34</v>
      </c>
      <c r="AX155" s="6">
        <v>12.39</v>
      </c>
      <c r="AY155" s="6">
        <v>12.53</v>
      </c>
      <c r="AZ155" s="6">
        <v>12.02</v>
      </c>
      <c r="BA155" s="6">
        <v>7.8</v>
      </c>
      <c r="BB155" s="6">
        <v>7.69</v>
      </c>
      <c r="BC155" s="6">
        <v>8.65</v>
      </c>
      <c r="BD155" s="6">
        <v>9.7200000000000006</v>
      </c>
      <c r="BE155" s="6">
        <v>6.4</v>
      </c>
      <c r="BF155" s="6">
        <v>9.69</v>
      </c>
      <c r="BG155" s="6">
        <v>11.69</v>
      </c>
      <c r="BH155" s="6">
        <v>9.02</v>
      </c>
      <c r="BI155" s="6">
        <v>8</v>
      </c>
      <c r="BJ155" s="6">
        <v>11</v>
      </c>
      <c r="BK155" s="6">
        <v>10.7</v>
      </c>
      <c r="BL155" s="6">
        <v>8.6</v>
      </c>
      <c r="BM155" s="6">
        <v>10.199999999999999</v>
      </c>
      <c r="BN155" s="6">
        <v>9.84</v>
      </c>
      <c r="BO155" s="6">
        <v>11.26</v>
      </c>
      <c r="BP155" s="6">
        <v>10.58</v>
      </c>
      <c r="BQ155" s="7">
        <v>10.64</v>
      </c>
      <c r="BR155" s="7">
        <v>8.5</v>
      </c>
      <c r="BS155" s="7">
        <v>10.52</v>
      </c>
      <c r="BT155" s="7">
        <v>10.62</v>
      </c>
      <c r="BU155" s="7">
        <v>11.6</v>
      </c>
      <c r="BV155" s="7">
        <v>11.14</v>
      </c>
      <c r="BW155" s="7">
        <v>10.62</v>
      </c>
      <c r="BX155" s="7">
        <v>10.199999999999999</v>
      </c>
      <c r="BY155" s="7">
        <v>8.76</v>
      </c>
      <c r="BZ155" s="7">
        <v>7.28</v>
      </c>
      <c r="CA155" s="7">
        <v>11.56</v>
      </c>
      <c r="CB155" s="7">
        <v>12.52</v>
      </c>
      <c r="CC155" s="6">
        <v>12.68</v>
      </c>
      <c r="CD155" s="7">
        <v>10.48</v>
      </c>
      <c r="CE155" s="7">
        <v>8.4600000000000009</v>
      </c>
      <c r="CF155" s="7">
        <v>8.26</v>
      </c>
      <c r="CG155" s="7">
        <v>10.9</v>
      </c>
      <c r="CH155" s="7">
        <v>10.71</v>
      </c>
      <c r="CI155" s="7">
        <v>11.24</v>
      </c>
      <c r="CJ155" s="8">
        <v>9.491375895950231</v>
      </c>
      <c r="CK155" s="7">
        <v>8.1999999999999993</v>
      </c>
      <c r="CL155" s="7">
        <v>12.42</v>
      </c>
      <c r="CM155" s="7">
        <v>11.76</v>
      </c>
      <c r="CN155" s="7">
        <v>9.81</v>
      </c>
      <c r="CO155" s="10">
        <v>10.09</v>
      </c>
      <c r="CP155" s="10"/>
    </row>
    <row r="156" spans="1:94" ht="15.75" customHeight="1" x14ac:dyDescent="0.25">
      <c r="A156" s="4">
        <v>155</v>
      </c>
      <c r="B156" s="4"/>
      <c r="C156" s="4">
        <v>3</v>
      </c>
      <c r="D156" s="8">
        <v>10.220000000000001</v>
      </c>
      <c r="E156" s="8">
        <v>10.53</v>
      </c>
      <c r="F156" s="8">
        <v>10.08</v>
      </c>
      <c r="G156" s="8">
        <v>12.73</v>
      </c>
      <c r="H156" s="8">
        <v>9.2799999999999994</v>
      </c>
      <c r="I156" s="8">
        <v>6.23</v>
      </c>
      <c r="J156" s="8">
        <v>8.35</v>
      </c>
      <c r="K156" s="8">
        <v>11.01</v>
      </c>
      <c r="L156" s="8">
        <v>12.73</v>
      </c>
      <c r="M156" s="8">
        <v>12.17</v>
      </c>
      <c r="N156" s="8">
        <v>10.54</v>
      </c>
      <c r="O156" s="8">
        <v>12.51</v>
      </c>
      <c r="P156" s="8">
        <v>7.81</v>
      </c>
      <c r="Q156" s="8">
        <v>11.03</v>
      </c>
      <c r="R156" s="8">
        <v>9.83</v>
      </c>
      <c r="S156" s="8">
        <v>10.16</v>
      </c>
      <c r="T156" s="8">
        <v>10.210000000000001</v>
      </c>
      <c r="U156" s="8">
        <v>10.25</v>
      </c>
      <c r="V156" s="8">
        <v>11.91</v>
      </c>
      <c r="W156" s="8">
        <v>11.03</v>
      </c>
      <c r="X156" s="8">
        <v>9.67</v>
      </c>
      <c r="Y156" s="8">
        <v>10.35</v>
      </c>
      <c r="Z156" s="8">
        <v>9.57</v>
      </c>
      <c r="AA156" s="8">
        <v>9.35</v>
      </c>
      <c r="AB156" s="8">
        <v>8.9700000000000006</v>
      </c>
      <c r="AC156" s="8">
        <v>9.6</v>
      </c>
      <c r="AD156" s="8">
        <v>6</v>
      </c>
      <c r="AE156" s="8">
        <v>9.6300000000000008</v>
      </c>
      <c r="AF156" s="8">
        <v>11.53</v>
      </c>
      <c r="AG156" s="8">
        <v>6.74</v>
      </c>
      <c r="AH156" s="8">
        <v>8.77</v>
      </c>
      <c r="AI156" s="8">
        <v>8.1999999999999993</v>
      </c>
      <c r="AJ156" s="8">
        <v>9.93</v>
      </c>
      <c r="AK156" s="8">
        <v>9.3699999999999992</v>
      </c>
      <c r="AL156" s="8">
        <v>10.51</v>
      </c>
      <c r="AM156" s="8">
        <v>9.9700000000000006</v>
      </c>
      <c r="AN156" s="8">
        <v>10.01</v>
      </c>
      <c r="AO156" s="8">
        <v>12.68</v>
      </c>
      <c r="AP156" s="8">
        <v>8.1</v>
      </c>
      <c r="AQ156" s="8">
        <v>6.59</v>
      </c>
      <c r="AR156" s="8">
        <v>8.14</v>
      </c>
      <c r="AS156" s="8">
        <v>12.13</v>
      </c>
      <c r="AT156" s="8">
        <v>8.39</v>
      </c>
      <c r="AU156" s="6">
        <v>10.69</v>
      </c>
      <c r="AV156" s="6">
        <v>9.94</v>
      </c>
      <c r="AW156" s="6">
        <v>10.44</v>
      </c>
      <c r="AX156" s="6">
        <v>12.6</v>
      </c>
      <c r="AY156" s="6">
        <v>12.65</v>
      </c>
      <c r="AZ156" s="6">
        <v>12.06</v>
      </c>
      <c r="BA156" s="6">
        <v>8.02</v>
      </c>
      <c r="BB156" s="6">
        <v>7.78</v>
      </c>
      <c r="BC156" s="6">
        <v>8.85</v>
      </c>
      <c r="BD156" s="6">
        <v>9.7799999999999994</v>
      </c>
      <c r="BE156" s="6">
        <v>6.59</v>
      </c>
      <c r="BF156" s="6">
        <v>9.77</v>
      </c>
      <c r="BG156" s="6">
        <v>11.76</v>
      </c>
      <c r="BH156" s="6">
        <v>9.06</v>
      </c>
      <c r="BI156" s="6">
        <v>8.1</v>
      </c>
      <c r="BJ156" s="6">
        <v>11.08</v>
      </c>
      <c r="BK156" s="6">
        <v>10.78</v>
      </c>
      <c r="BL156" s="6">
        <v>8.84</v>
      </c>
      <c r="BM156" s="6">
        <v>10.3</v>
      </c>
      <c r="BN156" s="6">
        <v>9.9600000000000009</v>
      </c>
      <c r="BO156" s="6">
        <v>11.36</v>
      </c>
      <c r="BP156" s="6">
        <v>10.64</v>
      </c>
      <c r="BQ156" s="7">
        <v>10.88</v>
      </c>
      <c r="BR156" s="7">
        <v>8.6</v>
      </c>
      <c r="BS156" s="7">
        <v>10.72</v>
      </c>
      <c r="BT156" s="7">
        <v>10.72</v>
      </c>
      <c r="BU156" s="7">
        <v>11.74</v>
      </c>
      <c r="BV156" s="7">
        <v>11.18</v>
      </c>
      <c r="BW156" s="7">
        <v>10.66</v>
      </c>
      <c r="BX156" s="7">
        <v>10.28</v>
      </c>
      <c r="BY156" s="7">
        <v>8.8800000000000008</v>
      </c>
      <c r="BZ156" s="7">
        <v>7.3</v>
      </c>
      <c r="CA156" s="7">
        <v>11.68</v>
      </c>
      <c r="CB156" s="7">
        <v>12.68</v>
      </c>
      <c r="CC156" s="6">
        <v>12.7</v>
      </c>
      <c r="CD156" s="7">
        <v>10.58</v>
      </c>
      <c r="CE156" s="7">
        <v>8.48</v>
      </c>
      <c r="CF156" s="7">
        <v>8.4</v>
      </c>
      <c r="CG156" s="7">
        <v>11.08</v>
      </c>
      <c r="CH156" s="7">
        <v>10.8</v>
      </c>
      <c r="CI156" s="7">
        <v>11.26</v>
      </c>
      <c r="CJ156" s="8">
        <v>9.4600000000000009</v>
      </c>
      <c r="CK156" s="7">
        <v>8.32</v>
      </c>
      <c r="CL156" s="7">
        <v>12.6</v>
      </c>
      <c r="CM156" s="7">
        <v>11.8</v>
      </c>
      <c r="CN156" s="7">
        <v>9.98</v>
      </c>
      <c r="CO156" s="10">
        <v>10.28</v>
      </c>
      <c r="CP156" s="10"/>
    </row>
    <row r="157" spans="1:94" ht="15.75" customHeight="1" x14ac:dyDescent="0.25">
      <c r="A157" s="4">
        <v>156</v>
      </c>
      <c r="B157" s="4"/>
      <c r="C157" s="4">
        <v>4</v>
      </c>
      <c r="D157" s="8">
        <v>10.43</v>
      </c>
      <c r="E157" s="8">
        <v>10.73</v>
      </c>
      <c r="F157" s="8">
        <v>10.18</v>
      </c>
      <c r="G157" s="8">
        <v>12.78</v>
      </c>
      <c r="H157" s="8">
        <v>9.32</v>
      </c>
      <c r="I157" s="8">
        <v>6.28</v>
      </c>
      <c r="J157" s="8">
        <v>8.6199999999999992</v>
      </c>
      <c r="K157" s="8">
        <v>11.23</v>
      </c>
      <c r="L157" s="8">
        <v>12.88</v>
      </c>
      <c r="M157" s="8">
        <v>12.3</v>
      </c>
      <c r="N157" s="8">
        <v>10.53</v>
      </c>
      <c r="O157" s="8">
        <v>12.56</v>
      </c>
      <c r="P157" s="8">
        <v>8.1300000000000008</v>
      </c>
      <c r="Q157" s="8">
        <v>11.14</v>
      </c>
      <c r="R157" s="8">
        <v>9.91</v>
      </c>
      <c r="S157" s="8">
        <v>10.210000000000001</v>
      </c>
      <c r="T157" s="8">
        <v>10.26</v>
      </c>
      <c r="U157" s="8">
        <v>10.32</v>
      </c>
      <c r="V157" s="8">
        <v>12.06</v>
      </c>
      <c r="W157" s="8">
        <v>11.1</v>
      </c>
      <c r="X157" s="8">
        <v>9.75</v>
      </c>
      <c r="Y157" s="8">
        <v>10.52</v>
      </c>
      <c r="Z157" s="8">
        <v>9.7100000000000009</v>
      </c>
      <c r="AA157" s="8">
        <v>9.4499999999999993</v>
      </c>
      <c r="AB157" s="8">
        <v>9.18</v>
      </c>
      <c r="AC157" s="8">
        <v>9.85</v>
      </c>
      <c r="AD157" s="8">
        <v>6.09</v>
      </c>
      <c r="AE157" s="8">
        <v>9.7899999999999991</v>
      </c>
      <c r="AF157" s="8">
        <v>11.81</v>
      </c>
      <c r="AG157" s="8">
        <v>7.12</v>
      </c>
      <c r="AH157" s="8">
        <v>9.01</v>
      </c>
      <c r="AI157" s="8">
        <v>8.59</v>
      </c>
      <c r="AJ157" s="8">
        <v>10.14</v>
      </c>
      <c r="AK157" s="8">
        <v>9.4700000000000006</v>
      </c>
      <c r="AL157" s="8">
        <v>10.75</v>
      </c>
      <c r="AM157" s="8">
        <v>10.01</v>
      </c>
      <c r="AN157" s="8">
        <v>10.199999999999999</v>
      </c>
      <c r="AO157" s="8">
        <v>12.74</v>
      </c>
      <c r="AP157" s="8">
        <v>8.1</v>
      </c>
      <c r="AQ157" s="8">
        <v>6.65</v>
      </c>
      <c r="AR157" s="8">
        <v>8.4499999999999993</v>
      </c>
      <c r="AS157" s="8">
        <v>12.17</v>
      </c>
      <c r="AT157" s="8">
        <v>8.6199999999999992</v>
      </c>
      <c r="AU157" s="6">
        <v>10.82</v>
      </c>
      <c r="AV157" s="6">
        <v>10.11</v>
      </c>
      <c r="AW157" s="6">
        <v>10.52</v>
      </c>
      <c r="AX157" s="6">
        <v>12.81</v>
      </c>
      <c r="AY157" s="6">
        <v>12.77</v>
      </c>
      <c r="AZ157" s="6">
        <v>12.07</v>
      </c>
      <c r="BA157" s="6">
        <v>8.23</v>
      </c>
      <c r="BB157" s="6">
        <v>7.88</v>
      </c>
      <c r="BC157" s="6">
        <v>9.06</v>
      </c>
      <c r="BD157" s="6">
        <v>9.8800000000000008</v>
      </c>
      <c r="BE157" s="6">
        <v>6.8</v>
      </c>
      <c r="BF157" s="6">
        <v>9.8800000000000008</v>
      </c>
      <c r="BG157" s="6">
        <v>11.8</v>
      </c>
      <c r="BH157" s="6">
        <v>9.14</v>
      </c>
      <c r="BI157" s="6">
        <v>8.25</v>
      </c>
      <c r="BJ157" s="6">
        <v>11.16</v>
      </c>
      <c r="BK157" s="6">
        <v>10.84</v>
      </c>
      <c r="BL157" s="6">
        <v>9.0399999999999991</v>
      </c>
      <c r="BM157" s="6">
        <v>10.4</v>
      </c>
      <c r="BN157" s="6">
        <v>10.02</v>
      </c>
      <c r="BO157" s="6">
        <v>11.44</v>
      </c>
      <c r="BP157" s="6">
        <v>10.66</v>
      </c>
      <c r="BQ157" s="7">
        <v>11.08</v>
      </c>
      <c r="BR157" s="7">
        <v>8.64</v>
      </c>
      <c r="BS157" s="7">
        <v>10.9</v>
      </c>
      <c r="BT157" s="7">
        <v>10.84</v>
      </c>
      <c r="BU157" s="7">
        <v>11.86</v>
      </c>
      <c r="BV157" s="7">
        <v>11.24</v>
      </c>
      <c r="BW157" s="7">
        <v>10.68</v>
      </c>
      <c r="BX157" s="7">
        <v>10.56</v>
      </c>
      <c r="BY157" s="7">
        <v>9</v>
      </c>
      <c r="BZ157" s="7">
        <v>7.3</v>
      </c>
      <c r="CA157" s="7">
        <v>11.8</v>
      </c>
      <c r="CB157" s="7">
        <v>12.84</v>
      </c>
      <c r="CC157" s="6">
        <v>12.78</v>
      </c>
      <c r="CD157" s="7">
        <v>10.78</v>
      </c>
      <c r="CE157" s="7">
        <v>8.56</v>
      </c>
      <c r="CF157" s="7">
        <v>8.48</v>
      </c>
      <c r="CG157" s="7">
        <v>11.17</v>
      </c>
      <c r="CH157" s="7">
        <v>10.8</v>
      </c>
      <c r="CI157" s="7">
        <v>11.4</v>
      </c>
      <c r="CJ157" s="8">
        <v>9.5399999999999991</v>
      </c>
      <c r="CK157" s="7">
        <v>8.48</v>
      </c>
      <c r="CL157" s="7">
        <v>12.76</v>
      </c>
      <c r="CM157" s="7">
        <v>11.88</v>
      </c>
      <c r="CN157" s="7">
        <v>10.08</v>
      </c>
      <c r="CO157" s="10">
        <v>10.49</v>
      </c>
      <c r="CP157" s="10"/>
    </row>
    <row r="158" spans="1:94" ht="15.75" customHeight="1" x14ac:dyDescent="0.25">
      <c r="A158" s="4">
        <v>157</v>
      </c>
      <c r="B158" s="4"/>
      <c r="C158" s="4">
        <v>5</v>
      </c>
      <c r="D158" s="8">
        <v>10.68</v>
      </c>
      <c r="E158" s="8">
        <v>10.93</v>
      </c>
      <c r="F158" s="8">
        <v>10.28</v>
      </c>
      <c r="G158" s="8">
        <v>12.83</v>
      </c>
      <c r="H158" s="8">
        <v>9.35</v>
      </c>
      <c r="I158" s="8">
        <v>6.33</v>
      </c>
      <c r="J158" s="8">
        <v>8.85</v>
      </c>
      <c r="K158" s="8">
        <v>11.39</v>
      </c>
      <c r="L158" s="8">
        <v>13.03</v>
      </c>
      <c r="M158" s="8">
        <v>12.4</v>
      </c>
      <c r="N158" s="8">
        <v>10.5</v>
      </c>
      <c r="O158" s="8">
        <v>12.63</v>
      </c>
      <c r="P158" s="8">
        <v>8.39</v>
      </c>
      <c r="Q158" s="8">
        <v>11.26</v>
      </c>
      <c r="R158" s="8">
        <v>9.99</v>
      </c>
      <c r="S158" s="8">
        <v>10.26</v>
      </c>
      <c r="T158" s="8">
        <v>10.41</v>
      </c>
      <c r="U158" s="8">
        <v>10.45</v>
      </c>
      <c r="V158" s="8">
        <v>12.18</v>
      </c>
      <c r="W158" s="8">
        <v>11.14</v>
      </c>
      <c r="X158" s="8">
        <v>9.91</v>
      </c>
      <c r="Y158" s="8">
        <v>10.72</v>
      </c>
      <c r="Z158" s="8">
        <v>9.8699999999999992</v>
      </c>
      <c r="AA158" s="8">
        <v>9.57</v>
      </c>
      <c r="AB158" s="8">
        <v>9.3699999999999992</v>
      </c>
      <c r="AC158" s="8">
        <v>10.09</v>
      </c>
      <c r="AD158" s="8">
        <v>6.18</v>
      </c>
      <c r="AE158" s="8">
        <v>9.99</v>
      </c>
      <c r="AF158" s="8">
        <v>11.97</v>
      </c>
      <c r="AG158" s="8">
        <v>7.38</v>
      </c>
      <c r="AH158" s="8">
        <v>9.23</v>
      </c>
      <c r="AI158" s="8">
        <v>8.9499999999999993</v>
      </c>
      <c r="AJ158" s="8">
        <v>10.37</v>
      </c>
      <c r="AK158" s="8">
        <v>9.6</v>
      </c>
      <c r="AL158" s="8">
        <v>10.92</v>
      </c>
      <c r="AM158" s="8">
        <v>10.06</v>
      </c>
      <c r="AN158" s="8">
        <v>10.39</v>
      </c>
      <c r="AO158" s="8">
        <v>12.81</v>
      </c>
      <c r="AP158" s="8">
        <v>8.1</v>
      </c>
      <c r="AQ158" s="8">
        <v>6.73</v>
      </c>
      <c r="AR158" s="8">
        <v>8.7100000000000009</v>
      </c>
      <c r="AS158" s="8">
        <v>12.24</v>
      </c>
      <c r="AT158" s="8">
        <v>8.85</v>
      </c>
      <c r="AU158" s="6">
        <v>10.94</v>
      </c>
      <c r="AV158" s="6">
        <v>10.31</v>
      </c>
      <c r="AW158" s="6">
        <v>10.59</v>
      </c>
      <c r="AX158" s="6">
        <v>12.93</v>
      </c>
      <c r="AY158" s="6">
        <v>12.88</v>
      </c>
      <c r="AZ158" s="6">
        <v>12.13</v>
      </c>
      <c r="BA158" s="6">
        <v>8.42</v>
      </c>
      <c r="BB158" s="6">
        <v>8.0500000000000007</v>
      </c>
      <c r="BC158" s="6">
        <v>9.31</v>
      </c>
      <c r="BD158" s="6">
        <v>9.98</v>
      </c>
      <c r="BE158" s="6">
        <v>7.01</v>
      </c>
      <c r="BF158" s="6">
        <v>9.94</v>
      </c>
      <c r="BG158" s="6">
        <v>11.88</v>
      </c>
      <c r="BH158" s="6">
        <v>9.26</v>
      </c>
      <c r="BI158" s="6">
        <v>8.42</v>
      </c>
      <c r="BJ158" s="6">
        <v>11.24</v>
      </c>
      <c r="BK158" s="6">
        <v>10.92</v>
      </c>
      <c r="BL158" s="6">
        <v>9.16</v>
      </c>
      <c r="BM158" s="6">
        <v>10.56</v>
      </c>
      <c r="BN158" s="6">
        <v>10.3</v>
      </c>
      <c r="BO158" s="6">
        <v>11.5</v>
      </c>
      <c r="BP158" s="6">
        <v>10.66</v>
      </c>
      <c r="BQ158" s="7">
        <v>11.26</v>
      </c>
      <c r="BR158" s="7">
        <v>8.74</v>
      </c>
      <c r="BS158" s="7">
        <v>11.03</v>
      </c>
      <c r="BT158" s="7">
        <v>10.94</v>
      </c>
      <c r="BU158" s="7">
        <v>12</v>
      </c>
      <c r="BV158" s="7">
        <v>11.3</v>
      </c>
      <c r="BW158" s="7">
        <v>10.7</v>
      </c>
      <c r="BX158" s="7">
        <v>10.6</v>
      </c>
      <c r="BY158" s="7">
        <v>9.1999999999999993</v>
      </c>
      <c r="BZ158" s="7">
        <v>7.2</v>
      </c>
      <c r="CA158" s="7">
        <v>11.82</v>
      </c>
      <c r="CB158" s="7">
        <v>13.06</v>
      </c>
      <c r="CC158" s="6">
        <v>12.82</v>
      </c>
      <c r="CD158" s="7">
        <v>10.94</v>
      </c>
      <c r="CE158" s="7">
        <v>8.58</v>
      </c>
      <c r="CF158" s="7">
        <v>8.8800000000000008</v>
      </c>
      <c r="CG158" s="7">
        <v>11.22</v>
      </c>
      <c r="CH158" s="7">
        <v>10.88</v>
      </c>
      <c r="CI158" s="7">
        <v>11.48</v>
      </c>
      <c r="CJ158" s="8">
        <v>9.68</v>
      </c>
      <c r="CK158" s="7">
        <v>8.64</v>
      </c>
      <c r="CL158" s="7">
        <v>12.94</v>
      </c>
      <c r="CM158" s="7">
        <v>11.96</v>
      </c>
      <c r="CN158" s="7">
        <v>10.18</v>
      </c>
      <c r="CO158" s="10">
        <v>10.7</v>
      </c>
      <c r="CP158" s="10"/>
    </row>
    <row r="159" spans="1:94" ht="15.75" customHeight="1" x14ac:dyDescent="0.25">
      <c r="A159" s="4">
        <v>158</v>
      </c>
      <c r="B159" s="4"/>
      <c r="C159" s="4">
        <v>6</v>
      </c>
      <c r="D159" s="8">
        <v>10.93</v>
      </c>
      <c r="E159" s="8">
        <v>11.13</v>
      </c>
      <c r="F159" s="8">
        <v>10.38</v>
      </c>
      <c r="G159" s="8">
        <v>12.88</v>
      </c>
      <c r="H159" s="8">
        <v>9.39</v>
      </c>
      <c r="I159" s="8">
        <v>6.38</v>
      </c>
      <c r="J159" s="8">
        <v>9.08</v>
      </c>
      <c r="K159" s="8">
        <v>11.53</v>
      </c>
      <c r="L159" s="8">
        <v>13.11</v>
      </c>
      <c r="M159" s="8">
        <v>12.48</v>
      </c>
      <c r="N159" s="8">
        <v>10.48</v>
      </c>
      <c r="O159" s="8">
        <v>12.7</v>
      </c>
      <c r="P159" s="8">
        <v>8.6</v>
      </c>
      <c r="Q159" s="8">
        <v>11.34</v>
      </c>
      <c r="R159" s="8">
        <v>10.06</v>
      </c>
      <c r="S159" s="8">
        <v>10.36</v>
      </c>
      <c r="T159" s="8">
        <v>10.61</v>
      </c>
      <c r="U159" s="8">
        <v>10.53</v>
      </c>
      <c r="V159" s="8">
        <v>12.28</v>
      </c>
      <c r="W159" s="8">
        <v>11.17</v>
      </c>
      <c r="X159" s="8">
        <v>10.1</v>
      </c>
      <c r="Y159" s="8">
        <v>10.93</v>
      </c>
      <c r="Z159" s="8">
        <v>9.9700000000000006</v>
      </c>
      <c r="AA159" s="8">
        <v>9.67</v>
      </c>
      <c r="AB159" s="8">
        <v>9.49</v>
      </c>
      <c r="AC159" s="8">
        <v>10.35</v>
      </c>
      <c r="AD159" s="8">
        <v>6.26</v>
      </c>
      <c r="AE159" s="8">
        <v>10.16</v>
      </c>
      <c r="AF159" s="8">
        <v>12.19</v>
      </c>
      <c r="AG159" s="8">
        <v>7.62</v>
      </c>
      <c r="AH159" s="8">
        <v>9.39</v>
      </c>
      <c r="AI159" s="8">
        <v>9.2200000000000006</v>
      </c>
      <c r="AJ159" s="8">
        <v>10.61</v>
      </c>
      <c r="AK159" s="8">
        <v>9.68</v>
      </c>
      <c r="AL159" s="8">
        <v>11.08</v>
      </c>
      <c r="AM159" s="8">
        <v>10.17</v>
      </c>
      <c r="AN159" s="8">
        <v>10.48</v>
      </c>
      <c r="AO159" s="8">
        <v>12.86</v>
      </c>
      <c r="AP159" s="8">
        <v>8.1</v>
      </c>
      <c r="AQ159" s="8">
        <v>6.81</v>
      </c>
      <c r="AR159" s="8">
        <v>8.85</v>
      </c>
      <c r="AS159" s="8">
        <v>12.31</v>
      </c>
      <c r="AT159" s="8">
        <v>9.09</v>
      </c>
      <c r="AU159" s="6">
        <v>11.13</v>
      </c>
      <c r="AV159" s="6">
        <v>10.6</v>
      </c>
      <c r="AW159" s="6">
        <v>10.67</v>
      </c>
      <c r="AX159" s="6">
        <v>13.02</v>
      </c>
      <c r="AY159" s="6">
        <v>12.97</v>
      </c>
      <c r="AZ159" s="6">
        <v>12.18</v>
      </c>
      <c r="BA159" s="6">
        <v>8.61</v>
      </c>
      <c r="BB159" s="6">
        <v>8.31</v>
      </c>
      <c r="BC159" s="6">
        <v>9.5299999999999994</v>
      </c>
      <c r="BD159" s="6">
        <v>10.06</v>
      </c>
      <c r="BE159" s="6">
        <v>7.17</v>
      </c>
      <c r="BF159" s="6">
        <v>10.050000000000001</v>
      </c>
      <c r="BG159" s="6">
        <v>11.98</v>
      </c>
      <c r="BH159" s="6">
        <v>9.39</v>
      </c>
      <c r="BI159" s="6">
        <v>8.5</v>
      </c>
      <c r="BJ159" s="6">
        <v>11.28</v>
      </c>
      <c r="BK159" s="6">
        <v>11.01</v>
      </c>
      <c r="BL159" s="6">
        <v>9.27</v>
      </c>
      <c r="BM159" s="6">
        <v>10.72</v>
      </c>
      <c r="BN159" s="6">
        <v>10.48</v>
      </c>
      <c r="BO159" s="6">
        <v>11.56</v>
      </c>
      <c r="BP159" s="6">
        <v>10.58</v>
      </c>
      <c r="BQ159" s="7">
        <v>11.4</v>
      </c>
      <c r="BR159" s="7">
        <v>8.9</v>
      </c>
      <c r="BS159" s="7">
        <v>11.12</v>
      </c>
      <c r="BT159" s="7">
        <v>11.02</v>
      </c>
      <c r="BU159" s="7">
        <v>12.08</v>
      </c>
      <c r="BV159" s="7">
        <v>11.46</v>
      </c>
      <c r="BW159" s="7">
        <v>10.78</v>
      </c>
      <c r="BX159" s="7">
        <v>10.86</v>
      </c>
      <c r="BY159" s="7">
        <v>9.3000000000000007</v>
      </c>
      <c r="BZ159" s="7">
        <v>7.1</v>
      </c>
      <c r="CA159" s="7">
        <v>11.88</v>
      </c>
      <c r="CB159" s="7">
        <v>13.38</v>
      </c>
      <c r="CC159" s="6">
        <v>12.84</v>
      </c>
      <c r="CD159" s="7">
        <v>11.1</v>
      </c>
      <c r="CE159" s="7">
        <v>8.64</v>
      </c>
      <c r="CF159" s="7">
        <v>9.14</v>
      </c>
      <c r="CG159" s="7">
        <v>11.52</v>
      </c>
      <c r="CH159" s="7">
        <v>10.88</v>
      </c>
      <c r="CI159" s="7">
        <v>11.48</v>
      </c>
      <c r="CJ159" s="8">
        <v>9.8000000000000007</v>
      </c>
      <c r="CK159" s="7">
        <v>8.8000000000000007</v>
      </c>
      <c r="CL159" s="7">
        <v>13.08</v>
      </c>
      <c r="CM159" s="7">
        <v>12</v>
      </c>
      <c r="CN159" s="7">
        <v>10.31</v>
      </c>
      <c r="CO159" s="10">
        <v>10.95</v>
      </c>
      <c r="CP159" s="10"/>
    </row>
    <row r="160" spans="1:94" ht="15.75" customHeight="1" x14ac:dyDescent="0.25">
      <c r="A160" s="4">
        <v>159</v>
      </c>
      <c r="B160" s="4"/>
      <c r="C160" s="4">
        <v>7</v>
      </c>
      <c r="D160" s="8">
        <v>11.08</v>
      </c>
      <c r="E160" s="8">
        <v>11.28</v>
      </c>
      <c r="F160" s="8">
        <v>10.48</v>
      </c>
      <c r="G160" s="8">
        <v>12.92</v>
      </c>
      <c r="H160" s="8">
        <v>9.43</v>
      </c>
      <c r="I160" s="8">
        <v>6.48</v>
      </c>
      <c r="J160" s="8">
        <v>9.26</v>
      </c>
      <c r="K160" s="8">
        <v>11.63</v>
      </c>
      <c r="L160" s="8">
        <v>13.18</v>
      </c>
      <c r="M160" s="8">
        <v>12.53</v>
      </c>
      <c r="N160" s="8">
        <v>10.48</v>
      </c>
      <c r="O160" s="8">
        <v>12.83</v>
      </c>
      <c r="P160" s="8">
        <v>8.81</v>
      </c>
      <c r="Q160" s="8">
        <v>11.39</v>
      </c>
      <c r="R160" s="8">
        <v>10.119999999999999</v>
      </c>
      <c r="S160" s="8">
        <v>10.51</v>
      </c>
      <c r="T160" s="8">
        <v>10.81</v>
      </c>
      <c r="U160" s="8">
        <v>10.6</v>
      </c>
      <c r="V160" s="8">
        <v>12.36</v>
      </c>
      <c r="W160" s="8">
        <v>11.18</v>
      </c>
      <c r="X160" s="8">
        <v>10.32</v>
      </c>
      <c r="Y160" s="8">
        <v>11.14</v>
      </c>
      <c r="Z160" s="8">
        <v>10</v>
      </c>
      <c r="AA160" s="8">
        <v>9.83</v>
      </c>
      <c r="AB160" s="8">
        <v>9.6</v>
      </c>
      <c r="AC160" s="8">
        <v>10.57</v>
      </c>
      <c r="AD160" s="8">
        <v>6.36</v>
      </c>
      <c r="AE160" s="8">
        <v>10.34</v>
      </c>
      <c r="AF160" s="8">
        <v>12.41</v>
      </c>
      <c r="AG160" s="8">
        <v>7.98</v>
      </c>
      <c r="AH160" s="8">
        <v>9.57</v>
      </c>
      <c r="AI160" s="8">
        <v>9.43</v>
      </c>
      <c r="AJ160" s="8">
        <v>10.81</v>
      </c>
      <c r="AK160" s="8">
        <v>9.82</v>
      </c>
      <c r="AL160" s="8">
        <v>11.21</v>
      </c>
      <c r="AM160" s="8">
        <v>10.27</v>
      </c>
      <c r="AN160" s="8">
        <v>10.6</v>
      </c>
      <c r="AO160" s="8">
        <v>12.91</v>
      </c>
      <c r="AP160" s="8">
        <v>8.1</v>
      </c>
      <c r="AQ160" s="8">
        <v>6.83</v>
      </c>
      <c r="AR160" s="8">
        <v>9.01</v>
      </c>
      <c r="AS160" s="8">
        <v>12.39</v>
      </c>
      <c r="AT160" s="8">
        <v>9.2899999999999991</v>
      </c>
      <c r="AU160" s="6">
        <v>11.23</v>
      </c>
      <c r="AV160" s="6">
        <v>10.89</v>
      </c>
      <c r="AW160" s="6">
        <v>10.73</v>
      </c>
      <c r="AX160" s="6">
        <v>13.13</v>
      </c>
      <c r="AY160" s="6">
        <v>13.07</v>
      </c>
      <c r="AZ160" s="6">
        <v>12.26</v>
      </c>
      <c r="BA160" s="6">
        <v>8.84</v>
      </c>
      <c r="BB160" s="6">
        <v>8.61</v>
      </c>
      <c r="BC160" s="6">
        <v>9.68</v>
      </c>
      <c r="BD160" s="6">
        <v>10.16</v>
      </c>
      <c r="BE160" s="6">
        <v>7.3</v>
      </c>
      <c r="BF160" s="6">
        <v>10.18</v>
      </c>
      <c r="BG160" s="6">
        <v>12.07</v>
      </c>
      <c r="BH160" s="6">
        <v>9.4700000000000006</v>
      </c>
      <c r="BI160" s="6">
        <v>8.58</v>
      </c>
      <c r="BJ160" s="6">
        <v>11.3</v>
      </c>
      <c r="BK160" s="6">
        <v>11.06</v>
      </c>
      <c r="BL160" s="6">
        <v>9.5</v>
      </c>
      <c r="BM160" s="6">
        <v>10.96</v>
      </c>
      <c r="BN160" s="6">
        <v>10.64</v>
      </c>
      <c r="BO160" s="6">
        <v>11.63</v>
      </c>
      <c r="BP160" s="6">
        <v>10.58</v>
      </c>
      <c r="BQ160" s="7">
        <v>11.52</v>
      </c>
      <c r="BR160" s="7">
        <v>9.06</v>
      </c>
      <c r="BS160" s="7">
        <v>11.18</v>
      </c>
      <c r="BT160" s="7">
        <v>11.09</v>
      </c>
      <c r="BU160" s="7">
        <v>12.14</v>
      </c>
      <c r="BV160" s="7">
        <v>11.5</v>
      </c>
      <c r="BW160" s="7">
        <v>10.82</v>
      </c>
      <c r="BX160" s="7">
        <v>10.9</v>
      </c>
      <c r="BY160" s="7">
        <v>9.5</v>
      </c>
      <c r="BZ160" s="7">
        <v>7.04</v>
      </c>
      <c r="CA160" s="7">
        <v>11.94</v>
      </c>
      <c r="CB160" s="7">
        <v>13.5</v>
      </c>
      <c r="CC160" s="6">
        <v>12.82</v>
      </c>
      <c r="CD160" s="7">
        <v>11.2</v>
      </c>
      <c r="CE160" s="7">
        <v>8.6999999999999993</v>
      </c>
      <c r="CF160" s="7">
        <v>9.34</v>
      </c>
      <c r="CG160" s="7">
        <v>11.6</v>
      </c>
      <c r="CH160" s="7">
        <v>10.84</v>
      </c>
      <c r="CI160" s="8">
        <v>11.52</v>
      </c>
      <c r="CJ160" s="8">
        <v>9.92</v>
      </c>
      <c r="CK160" s="7">
        <v>8.94</v>
      </c>
      <c r="CL160" s="7">
        <v>13.22</v>
      </c>
      <c r="CM160" s="7">
        <v>12.18</v>
      </c>
      <c r="CN160" s="7">
        <v>10.47</v>
      </c>
      <c r="CO160" s="10">
        <v>11.17</v>
      </c>
      <c r="CP160" s="10"/>
    </row>
    <row r="161" spans="1:94" ht="15.75" customHeight="1" x14ac:dyDescent="0.25">
      <c r="A161" s="4">
        <v>160</v>
      </c>
      <c r="B161" s="4"/>
      <c r="C161" s="4">
        <v>8</v>
      </c>
      <c r="D161" s="8">
        <v>11.18</v>
      </c>
      <c r="E161" s="8">
        <v>11.38</v>
      </c>
      <c r="F161" s="8">
        <v>10.58</v>
      </c>
      <c r="G161" s="8">
        <v>12.96</v>
      </c>
      <c r="H161" s="8">
        <v>9.4700000000000006</v>
      </c>
      <c r="I161" s="8">
        <v>6.58</v>
      </c>
      <c r="J161" s="8">
        <v>9.43</v>
      </c>
      <c r="K161" s="8">
        <v>11.71</v>
      </c>
      <c r="L161" s="8">
        <v>13.23</v>
      </c>
      <c r="M161" s="8">
        <v>12.58</v>
      </c>
      <c r="N161" s="8">
        <v>10.46</v>
      </c>
      <c r="O161" s="8">
        <v>12.91</v>
      </c>
      <c r="P161" s="8">
        <v>9.0500000000000007</v>
      </c>
      <c r="Q161" s="8">
        <v>11.45</v>
      </c>
      <c r="R161" s="8">
        <v>10.18</v>
      </c>
      <c r="S161" s="8">
        <v>10.66</v>
      </c>
      <c r="T161" s="8">
        <v>11.01</v>
      </c>
      <c r="U161" s="8">
        <v>10.68</v>
      </c>
      <c r="V161" s="8">
        <v>12.43</v>
      </c>
      <c r="W161" s="8">
        <v>11.2</v>
      </c>
      <c r="X161" s="8">
        <v>10.51</v>
      </c>
      <c r="Y161" s="8">
        <v>11.32</v>
      </c>
      <c r="Z161" s="8">
        <v>9.9499999999999993</v>
      </c>
      <c r="AA161" s="8">
        <v>9.99</v>
      </c>
      <c r="AB161" s="8">
        <v>9.7100000000000009</v>
      </c>
      <c r="AC161" s="8">
        <v>10.73</v>
      </c>
      <c r="AD161" s="8">
        <v>6.5</v>
      </c>
      <c r="AE161" s="8">
        <v>10.51</v>
      </c>
      <c r="AF161" s="8">
        <v>12.59</v>
      </c>
      <c r="AG161" s="8">
        <v>8.34</v>
      </c>
      <c r="AH161" s="8">
        <v>9.77</v>
      </c>
      <c r="AI161" s="8">
        <v>9.6199999999999992</v>
      </c>
      <c r="AJ161" s="8">
        <v>11.05</v>
      </c>
      <c r="AK161" s="8">
        <v>9.9499999999999993</v>
      </c>
      <c r="AL161" s="8">
        <v>11.32</v>
      </c>
      <c r="AM161" s="8">
        <v>10.35</v>
      </c>
      <c r="AN161" s="8">
        <v>10.7</v>
      </c>
      <c r="AO161" s="8">
        <v>12.95</v>
      </c>
      <c r="AP161" s="8">
        <v>8.1</v>
      </c>
      <c r="AQ161" s="8">
        <v>6.87</v>
      </c>
      <c r="AR161" s="8">
        <v>9.14</v>
      </c>
      <c r="AS161" s="8">
        <v>12.5</v>
      </c>
      <c r="AT161" s="8">
        <v>9.5500000000000007</v>
      </c>
      <c r="AU161" s="6">
        <v>11.35</v>
      </c>
      <c r="AV161" s="6">
        <v>11.09</v>
      </c>
      <c r="AW161" s="6">
        <v>10.81</v>
      </c>
      <c r="AX161" s="6">
        <v>13.22</v>
      </c>
      <c r="AY161" s="6">
        <v>13.19</v>
      </c>
      <c r="AZ161" s="6">
        <v>12.42</v>
      </c>
      <c r="BA161" s="6">
        <v>9.0299999999999994</v>
      </c>
      <c r="BB161" s="6">
        <v>8.93</v>
      </c>
      <c r="BC161" s="6">
        <v>9.77</v>
      </c>
      <c r="BD161" s="6">
        <v>10.28</v>
      </c>
      <c r="BE161" s="6">
        <v>7.44</v>
      </c>
      <c r="BF161" s="6">
        <v>10.3</v>
      </c>
      <c r="BG161" s="6">
        <v>12.14</v>
      </c>
      <c r="BH161" s="6">
        <v>9.52</v>
      </c>
      <c r="BI161" s="6">
        <v>8.52</v>
      </c>
      <c r="BJ161" s="6">
        <v>11.34</v>
      </c>
      <c r="BK161" s="6">
        <v>11.16</v>
      </c>
      <c r="BL161" s="6">
        <v>9.66</v>
      </c>
      <c r="BM161" s="6">
        <v>11.1</v>
      </c>
      <c r="BN161" s="6">
        <v>10.8</v>
      </c>
      <c r="BO161" s="6">
        <v>11.78</v>
      </c>
      <c r="BP161" s="6">
        <v>10.58</v>
      </c>
      <c r="BQ161" s="7">
        <v>11.7</v>
      </c>
      <c r="BR161" s="7">
        <v>9.16</v>
      </c>
      <c r="BS161" s="7">
        <v>11.24</v>
      </c>
      <c r="BT161" s="7">
        <v>11.1</v>
      </c>
      <c r="BU161" s="7">
        <v>12.2</v>
      </c>
      <c r="BV161" s="7">
        <v>11.5</v>
      </c>
      <c r="BW161" s="7">
        <v>10.88</v>
      </c>
      <c r="BX161" s="7">
        <v>10.96</v>
      </c>
      <c r="BY161" s="7">
        <v>9.64</v>
      </c>
      <c r="BZ161" s="7">
        <v>7.08</v>
      </c>
      <c r="CA161" s="7">
        <v>12.04</v>
      </c>
      <c r="CB161" s="7">
        <v>13.64</v>
      </c>
      <c r="CC161" s="6">
        <v>12.82</v>
      </c>
      <c r="CD161" s="7">
        <v>11.3</v>
      </c>
      <c r="CE161" s="7">
        <v>8.8000000000000007</v>
      </c>
      <c r="CF161" s="7">
        <v>9.48</v>
      </c>
      <c r="CG161" s="7">
        <v>11.6</v>
      </c>
      <c r="CH161" s="7">
        <v>10.88</v>
      </c>
      <c r="CI161" s="8">
        <v>11.6</v>
      </c>
      <c r="CJ161" s="8">
        <v>10.039999999999999</v>
      </c>
      <c r="CK161" s="7">
        <v>9.0399999999999991</v>
      </c>
      <c r="CL161" s="7">
        <v>13.38</v>
      </c>
      <c r="CM161" s="7">
        <v>12.32</v>
      </c>
      <c r="CN161" s="7">
        <v>10.64</v>
      </c>
      <c r="CO161" s="10">
        <v>11.36</v>
      </c>
      <c r="CP161" s="10"/>
    </row>
    <row r="162" spans="1:94" ht="15.75" customHeight="1" x14ac:dyDescent="0.25">
      <c r="A162" s="4">
        <v>161</v>
      </c>
      <c r="B162" s="4"/>
      <c r="C162" s="4">
        <v>9</v>
      </c>
      <c r="D162" s="8">
        <v>11.28</v>
      </c>
      <c r="E162" s="8">
        <v>11.43</v>
      </c>
      <c r="F162" s="8">
        <v>10.73</v>
      </c>
      <c r="G162" s="8">
        <v>13</v>
      </c>
      <c r="H162" s="8">
        <v>9.58</v>
      </c>
      <c r="I162" s="8">
        <v>6.68</v>
      </c>
      <c r="J162" s="8">
        <v>9.6199999999999992</v>
      </c>
      <c r="K162" s="8">
        <v>11.88</v>
      </c>
      <c r="L162" s="8">
        <v>13.28</v>
      </c>
      <c r="M162" s="8">
        <v>12.61</v>
      </c>
      <c r="N162" s="8">
        <v>10.57</v>
      </c>
      <c r="O162" s="8">
        <v>13</v>
      </c>
      <c r="P162" s="8">
        <v>9.2799999999999994</v>
      </c>
      <c r="Q162" s="8">
        <v>11.48</v>
      </c>
      <c r="R162" s="8">
        <v>10.28</v>
      </c>
      <c r="S162" s="8">
        <v>10.86</v>
      </c>
      <c r="T162" s="8">
        <v>11.06</v>
      </c>
      <c r="U162" s="8">
        <v>10.75</v>
      </c>
      <c r="V162" s="8">
        <v>12.47</v>
      </c>
      <c r="W162" s="8">
        <v>11.22</v>
      </c>
      <c r="X162" s="8">
        <v>10.69</v>
      </c>
      <c r="Y162" s="8">
        <v>11.49</v>
      </c>
      <c r="Z162" s="8">
        <v>9.92</v>
      </c>
      <c r="AA162" s="8">
        <v>10.1</v>
      </c>
      <c r="AB162" s="8">
        <v>9.83</v>
      </c>
      <c r="AC162" s="8">
        <v>10.87</v>
      </c>
      <c r="AD162" s="8">
        <v>6.66</v>
      </c>
      <c r="AE162" s="8">
        <v>10.66</v>
      </c>
      <c r="AF162" s="8">
        <v>12.75</v>
      </c>
      <c r="AG162" s="8">
        <v>8.74</v>
      </c>
      <c r="AH162" s="8">
        <v>9.9700000000000006</v>
      </c>
      <c r="AI162" s="8">
        <v>9.83</v>
      </c>
      <c r="AJ162" s="8">
        <v>11.27</v>
      </c>
      <c r="AK162" s="8">
        <v>10.07</v>
      </c>
      <c r="AL162" s="8">
        <v>11.42</v>
      </c>
      <c r="AM162" s="8">
        <v>10.41</v>
      </c>
      <c r="AN162" s="8">
        <v>10.82</v>
      </c>
      <c r="AO162" s="8">
        <v>12.97</v>
      </c>
      <c r="AP162" s="8">
        <v>8.08</v>
      </c>
      <c r="AQ162" s="8">
        <v>6.99</v>
      </c>
      <c r="AR162" s="8">
        <v>9.24</v>
      </c>
      <c r="AS162" s="8">
        <v>12.61</v>
      </c>
      <c r="AT162" s="8">
        <v>9.77</v>
      </c>
      <c r="AU162" s="6">
        <v>11.43</v>
      </c>
      <c r="AV162" s="6">
        <v>11.26</v>
      </c>
      <c r="AW162" s="6">
        <v>10.92</v>
      </c>
      <c r="AX162" s="6">
        <v>13.27</v>
      </c>
      <c r="AY162" s="6">
        <v>13.3</v>
      </c>
      <c r="AZ162" s="6">
        <v>12.56</v>
      </c>
      <c r="BA162" s="6">
        <v>9.17</v>
      </c>
      <c r="BB162" s="6">
        <v>9.25</v>
      </c>
      <c r="BC162" s="6">
        <v>9.85</v>
      </c>
      <c r="BD162" s="6">
        <v>10.38</v>
      </c>
      <c r="BE162" s="6">
        <v>7.57</v>
      </c>
      <c r="BF162" s="6">
        <v>10.39</v>
      </c>
      <c r="BG162" s="6">
        <v>12.15</v>
      </c>
      <c r="BH162" s="6">
        <v>9.52</v>
      </c>
      <c r="BI162" s="6">
        <v>8.4</v>
      </c>
      <c r="BJ162" s="6">
        <v>11.4</v>
      </c>
      <c r="BK162" s="6">
        <v>11.3</v>
      </c>
      <c r="BL162" s="6">
        <v>9.84</v>
      </c>
      <c r="BM162" s="6">
        <v>11.26</v>
      </c>
      <c r="BN162" s="6">
        <v>10.93</v>
      </c>
      <c r="BO162" s="6">
        <v>11.88</v>
      </c>
      <c r="BP162" s="6">
        <v>10.68</v>
      </c>
      <c r="BQ162" s="7">
        <v>11.84</v>
      </c>
      <c r="BR162" s="7">
        <v>9.2200000000000006</v>
      </c>
      <c r="BS162" s="7">
        <v>11.3</v>
      </c>
      <c r="BT162" s="7">
        <v>11.12</v>
      </c>
      <c r="BU162" s="7">
        <v>12.3</v>
      </c>
      <c r="BV162" s="7">
        <v>11.55</v>
      </c>
      <c r="BW162" s="7">
        <v>10.96</v>
      </c>
      <c r="BX162" s="7">
        <v>11</v>
      </c>
      <c r="BY162" s="7">
        <v>9.84</v>
      </c>
      <c r="BZ162" s="7">
        <v>7.1</v>
      </c>
      <c r="CA162" s="7">
        <v>12.14</v>
      </c>
      <c r="CB162" s="7">
        <v>13.7</v>
      </c>
      <c r="CC162" s="6">
        <v>12.76</v>
      </c>
      <c r="CD162" s="7">
        <v>11.38</v>
      </c>
      <c r="CE162" s="7">
        <v>8.8000000000000007</v>
      </c>
      <c r="CF162" s="7">
        <v>9.6</v>
      </c>
      <c r="CG162" s="7">
        <v>11.7</v>
      </c>
      <c r="CH162" s="7">
        <v>10.88</v>
      </c>
      <c r="CI162" s="8">
        <v>11.7</v>
      </c>
      <c r="CJ162" s="8">
        <v>10.16</v>
      </c>
      <c r="CK162" s="7">
        <v>9.08</v>
      </c>
      <c r="CL162" s="7">
        <v>13.5</v>
      </c>
      <c r="CM162" s="7">
        <v>12.38</v>
      </c>
      <c r="CN162" s="7">
        <v>10.78</v>
      </c>
      <c r="CO162" s="10">
        <v>11.56</v>
      </c>
      <c r="CP162" s="10"/>
    </row>
    <row r="163" spans="1:94" ht="15.75" customHeight="1" x14ac:dyDescent="0.25">
      <c r="A163" s="4">
        <v>162</v>
      </c>
      <c r="B163" s="4"/>
      <c r="C163" s="4">
        <v>10</v>
      </c>
      <c r="D163" s="8">
        <v>11.38</v>
      </c>
      <c r="E163" s="8">
        <v>11.53</v>
      </c>
      <c r="F163" s="8">
        <v>10.88</v>
      </c>
      <c r="G163" s="8">
        <v>13.04</v>
      </c>
      <c r="H163" s="8">
        <v>9.68</v>
      </c>
      <c r="I163" s="8">
        <v>6.83</v>
      </c>
      <c r="J163" s="8">
        <v>9.7799999999999994</v>
      </c>
      <c r="K163" s="8">
        <v>11.92</v>
      </c>
      <c r="L163" s="8">
        <v>13.38</v>
      </c>
      <c r="M163" s="8">
        <v>12.72</v>
      </c>
      <c r="N163" s="8">
        <v>10.79</v>
      </c>
      <c r="O163" s="8">
        <v>13.04</v>
      </c>
      <c r="P163" s="8">
        <v>9.49</v>
      </c>
      <c r="Q163" s="8">
        <v>11.49</v>
      </c>
      <c r="R163" s="8">
        <v>10.4</v>
      </c>
      <c r="S163" s="8">
        <v>11.01</v>
      </c>
      <c r="T163" s="8">
        <v>11.18</v>
      </c>
      <c r="U163" s="8">
        <v>10.85</v>
      </c>
      <c r="V163" s="8">
        <v>12.51</v>
      </c>
      <c r="W163" s="8">
        <v>11.26</v>
      </c>
      <c r="X163" s="8">
        <v>10.79</v>
      </c>
      <c r="Y163" s="8">
        <v>11.61</v>
      </c>
      <c r="Z163" s="8">
        <v>9.89</v>
      </c>
      <c r="AA163" s="8">
        <v>10.29</v>
      </c>
      <c r="AB163" s="8">
        <v>9.9600000000000009</v>
      </c>
      <c r="AC163" s="8">
        <v>10.95</v>
      </c>
      <c r="AD163" s="8">
        <v>6.88</v>
      </c>
      <c r="AE163" s="8">
        <v>10.81</v>
      </c>
      <c r="AF163" s="8">
        <v>12.92</v>
      </c>
      <c r="AG163" s="8">
        <v>9.1</v>
      </c>
      <c r="AH163" s="8">
        <v>10.17</v>
      </c>
      <c r="AI163" s="8">
        <v>9.9499999999999993</v>
      </c>
      <c r="AJ163" s="8">
        <v>11.48</v>
      </c>
      <c r="AK163" s="8">
        <v>10.18</v>
      </c>
      <c r="AL163" s="8">
        <v>11.47</v>
      </c>
      <c r="AM163" s="8">
        <v>10.54</v>
      </c>
      <c r="AN163" s="8">
        <v>10.96</v>
      </c>
      <c r="AO163" s="8">
        <v>13.01</v>
      </c>
      <c r="AP163" s="8">
        <v>8.0299999999999994</v>
      </c>
      <c r="AQ163" s="8">
        <v>7.15</v>
      </c>
      <c r="AR163" s="8">
        <v>9.32</v>
      </c>
      <c r="AS163" s="8">
        <v>12.71</v>
      </c>
      <c r="AT163" s="8">
        <v>9.9499999999999993</v>
      </c>
      <c r="AU163" s="6">
        <v>11.51</v>
      </c>
      <c r="AV163" s="6">
        <v>11.43</v>
      </c>
      <c r="AW163" s="6">
        <v>11.06</v>
      </c>
      <c r="AX163" s="6">
        <v>13.34</v>
      </c>
      <c r="AY163" s="6">
        <v>13.39</v>
      </c>
      <c r="AZ163" s="6">
        <v>12.68</v>
      </c>
      <c r="BA163" s="6">
        <v>9.26</v>
      </c>
      <c r="BB163" s="6">
        <v>9.5299999999999994</v>
      </c>
      <c r="BC163" s="6">
        <v>9.93</v>
      </c>
      <c r="BD163" s="6">
        <v>10.52</v>
      </c>
      <c r="BE163" s="6">
        <v>7.71</v>
      </c>
      <c r="BF163" s="6">
        <v>10.52</v>
      </c>
      <c r="BG163" s="6">
        <v>12.25</v>
      </c>
      <c r="BH163" s="6">
        <v>9.51</v>
      </c>
      <c r="BI163" s="6">
        <v>8.3000000000000007</v>
      </c>
      <c r="BJ163" s="6">
        <v>11.46</v>
      </c>
      <c r="BK163" s="6">
        <v>11.37</v>
      </c>
      <c r="BL163" s="6">
        <v>10</v>
      </c>
      <c r="BM163" s="6">
        <v>11.44</v>
      </c>
      <c r="BN163" s="6">
        <v>11.08</v>
      </c>
      <c r="BO163" s="6">
        <v>12</v>
      </c>
      <c r="BP163" s="6">
        <v>10.76</v>
      </c>
      <c r="BQ163" s="7">
        <v>12.05</v>
      </c>
      <c r="BR163" s="7">
        <v>9.3000000000000007</v>
      </c>
      <c r="BS163" s="7">
        <v>11.42</v>
      </c>
      <c r="BT163" s="7">
        <v>11.2</v>
      </c>
      <c r="BU163" s="7">
        <v>12.38</v>
      </c>
      <c r="BV163" s="7">
        <v>11.6</v>
      </c>
      <c r="BW163" s="7">
        <v>11</v>
      </c>
      <c r="BX163" s="7">
        <v>11.02</v>
      </c>
      <c r="BY163" s="7">
        <v>9.94</v>
      </c>
      <c r="BZ163" s="7">
        <v>7.18</v>
      </c>
      <c r="CA163" s="7">
        <v>12.24</v>
      </c>
      <c r="CB163" s="7">
        <v>13.76</v>
      </c>
      <c r="CC163" s="6">
        <v>12.72</v>
      </c>
      <c r="CD163" s="7">
        <v>11.46</v>
      </c>
      <c r="CE163" s="7">
        <v>8.86</v>
      </c>
      <c r="CF163" s="7">
        <v>9.64</v>
      </c>
      <c r="CG163" s="7">
        <v>11.74</v>
      </c>
      <c r="CH163" s="7">
        <v>10.88</v>
      </c>
      <c r="CI163" s="8">
        <v>11.78</v>
      </c>
      <c r="CJ163" s="8">
        <v>10.26</v>
      </c>
      <c r="CK163" s="7">
        <v>9.14</v>
      </c>
      <c r="CL163" s="7">
        <v>13.66</v>
      </c>
      <c r="CM163" s="7">
        <v>12.52</v>
      </c>
      <c r="CN163" s="7">
        <v>10.96</v>
      </c>
      <c r="CO163" s="10">
        <v>11.7</v>
      </c>
      <c r="CP163" s="10"/>
    </row>
    <row r="164" spans="1:94" ht="15.75" customHeight="1" x14ac:dyDescent="0.25">
      <c r="A164" s="4">
        <v>163</v>
      </c>
      <c r="B164" s="4"/>
      <c r="C164" s="4">
        <v>11</v>
      </c>
      <c r="D164" s="8">
        <v>11.43</v>
      </c>
      <c r="E164" s="8">
        <v>11.58</v>
      </c>
      <c r="F164" s="8">
        <v>11.08</v>
      </c>
      <c r="G164" s="8">
        <v>13.08</v>
      </c>
      <c r="H164" s="8">
        <v>9.7200000000000006</v>
      </c>
      <c r="I164" s="8">
        <v>6.98</v>
      </c>
      <c r="J164" s="8">
        <v>9.8800000000000008</v>
      </c>
      <c r="K164" s="8">
        <v>12.17</v>
      </c>
      <c r="L164" s="8">
        <v>13.48</v>
      </c>
      <c r="M164" s="8">
        <v>12.89</v>
      </c>
      <c r="N164" s="8">
        <v>11.06</v>
      </c>
      <c r="O164" s="8">
        <v>13.07</v>
      </c>
      <c r="P164" s="8">
        <v>9.59</v>
      </c>
      <c r="Q164" s="8">
        <v>11.51</v>
      </c>
      <c r="R164" s="8">
        <v>10.49</v>
      </c>
      <c r="S164" s="8">
        <v>11.11</v>
      </c>
      <c r="T164" s="8">
        <v>11.28</v>
      </c>
      <c r="U164" s="8">
        <v>11</v>
      </c>
      <c r="V164" s="8">
        <v>12.54</v>
      </c>
      <c r="W164" s="8">
        <v>11.35</v>
      </c>
      <c r="X164" s="8">
        <v>10.82</v>
      </c>
      <c r="Y164" s="8">
        <v>11.73</v>
      </c>
      <c r="Z164" s="8">
        <v>9.91</v>
      </c>
      <c r="AA164" s="8">
        <v>10.43</v>
      </c>
      <c r="AB164" s="8">
        <v>10.039999999999999</v>
      </c>
      <c r="AC164" s="8">
        <v>11.01</v>
      </c>
      <c r="AD164" s="8">
        <v>7.11</v>
      </c>
      <c r="AE164" s="8">
        <v>10.96</v>
      </c>
      <c r="AF164" s="8">
        <v>13.06</v>
      </c>
      <c r="AG164" s="8">
        <v>9.4</v>
      </c>
      <c r="AH164" s="8">
        <v>10.27</v>
      </c>
      <c r="AI164" s="8">
        <v>10.01</v>
      </c>
      <c r="AJ164" s="8">
        <v>11.65</v>
      </c>
      <c r="AK164" s="8">
        <v>10.36</v>
      </c>
      <c r="AL164" s="8">
        <v>11.49</v>
      </c>
      <c r="AM164" s="8">
        <v>10.67</v>
      </c>
      <c r="AN164" s="8">
        <v>11.11</v>
      </c>
      <c r="AO164" s="8">
        <v>13.06</v>
      </c>
      <c r="AP164" s="8">
        <v>7.99</v>
      </c>
      <c r="AQ164" s="8">
        <v>7.31</v>
      </c>
      <c r="AR164" s="8">
        <v>9.4499999999999993</v>
      </c>
      <c r="AS164" s="8">
        <v>12.81</v>
      </c>
      <c r="AT164" s="8">
        <v>10.039999999999999</v>
      </c>
      <c r="AU164" s="6">
        <v>11.61</v>
      </c>
      <c r="AV164" s="6">
        <v>11.53</v>
      </c>
      <c r="AW164" s="6">
        <v>11.25</v>
      </c>
      <c r="AX164" s="6">
        <v>13.39</v>
      </c>
      <c r="AY164" s="6">
        <v>13.5</v>
      </c>
      <c r="AZ164" s="6">
        <v>12.84</v>
      </c>
      <c r="BA164" s="6">
        <v>9.32</v>
      </c>
      <c r="BB164" s="6">
        <v>9.8000000000000007</v>
      </c>
      <c r="BC164" s="6">
        <v>10.102</v>
      </c>
      <c r="BD164" s="6">
        <v>10.64</v>
      </c>
      <c r="BE164" s="6">
        <v>7.86</v>
      </c>
      <c r="BF164" s="6">
        <v>10.63</v>
      </c>
      <c r="BG164" s="6">
        <v>12.3</v>
      </c>
      <c r="BH164" s="6">
        <v>9.57</v>
      </c>
      <c r="BI164" s="6">
        <v>8.24</v>
      </c>
      <c r="BJ164" s="6">
        <v>11.5</v>
      </c>
      <c r="BK164" s="6">
        <v>11.48</v>
      </c>
      <c r="BL164" s="6">
        <v>10.199999999999999</v>
      </c>
      <c r="BM164" s="6">
        <v>11.6</v>
      </c>
      <c r="BN164" s="6">
        <v>11.14</v>
      </c>
      <c r="BO164" s="6">
        <v>12.06</v>
      </c>
      <c r="BP164" s="6">
        <v>10.82</v>
      </c>
      <c r="BQ164" s="7">
        <v>12.25</v>
      </c>
      <c r="BR164" s="7">
        <v>9.3800000000000008</v>
      </c>
      <c r="BS164" s="7">
        <v>11.52</v>
      </c>
      <c r="BT164" s="7">
        <v>11.26</v>
      </c>
      <c r="BU164" s="7">
        <v>12.48</v>
      </c>
      <c r="BV164" s="7">
        <v>11.7</v>
      </c>
      <c r="BW164" s="7">
        <v>11.08</v>
      </c>
      <c r="BX164" s="7">
        <v>11.12</v>
      </c>
      <c r="BY164" s="7">
        <v>10</v>
      </c>
      <c r="BZ164" s="7">
        <v>7.24</v>
      </c>
      <c r="CA164" s="7">
        <v>12.3</v>
      </c>
      <c r="CB164" s="7">
        <v>13.82</v>
      </c>
      <c r="CC164" s="6">
        <v>12.7</v>
      </c>
      <c r="CD164" s="7">
        <v>11.52</v>
      </c>
      <c r="CE164" s="7">
        <v>9</v>
      </c>
      <c r="CF164" s="7">
        <v>9.7200000000000006</v>
      </c>
      <c r="CG164" s="7">
        <v>11.78</v>
      </c>
      <c r="CH164" s="7">
        <v>11</v>
      </c>
      <c r="CI164" s="8">
        <v>11.9</v>
      </c>
      <c r="CJ164" s="8">
        <v>10.38</v>
      </c>
      <c r="CK164" s="7">
        <v>9.18</v>
      </c>
      <c r="CL164" s="7">
        <v>13.76</v>
      </c>
      <c r="CM164" s="7">
        <v>12.6</v>
      </c>
      <c r="CN164" s="7">
        <v>11.1</v>
      </c>
      <c r="CO164" s="10">
        <v>11.84</v>
      </c>
      <c r="CP164" s="10"/>
    </row>
    <row r="165" spans="1:94" ht="15.75" customHeight="1" x14ac:dyDescent="0.25">
      <c r="A165" s="4">
        <v>164</v>
      </c>
      <c r="B165" s="4"/>
      <c r="C165" s="4">
        <v>12</v>
      </c>
      <c r="D165" s="8">
        <v>11.48</v>
      </c>
      <c r="E165" s="8">
        <v>11.68</v>
      </c>
      <c r="F165" s="8">
        <v>11.28</v>
      </c>
      <c r="G165" s="8">
        <v>13.13</v>
      </c>
      <c r="H165" s="8">
        <v>9.83</v>
      </c>
      <c r="I165" s="8">
        <v>7.18</v>
      </c>
      <c r="J165" s="8">
        <v>9.9700000000000006</v>
      </c>
      <c r="K165" s="8">
        <v>12.27</v>
      </c>
      <c r="L165" s="8">
        <v>13.56</v>
      </c>
      <c r="M165" s="8">
        <v>13.08</v>
      </c>
      <c r="N165" s="8">
        <v>11.33</v>
      </c>
      <c r="O165" s="8">
        <v>13.13</v>
      </c>
      <c r="P165" s="8">
        <v>9.76</v>
      </c>
      <c r="Q165" s="8">
        <v>11.57</v>
      </c>
      <c r="R165" s="8">
        <v>10.58</v>
      </c>
      <c r="S165" s="8">
        <v>11.21</v>
      </c>
      <c r="T165" s="8">
        <v>11.37</v>
      </c>
      <c r="U165" s="8">
        <v>11.16</v>
      </c>
      <c r="V165" s="8">
        <v>12.56</v>
      </c>
      <c r="W165" s="8">
        <v>11.48</v>
      </c>
      <c r="X165" s="8">
        <v>10.84</v>
      </c>
      <c r="Y165" s="8">
        <v>11.85</v>
      </c>
      <c r="Z165" s="8">
        <v>9.9700000000000006</v>
      </c>
      <c r="AA165" s="8">
        <v>10.57</v>
      </c>
      <c r="AB165" s="8">
        <v>10.14</v>
      </c>
      <c r="AC165" s="8">
        <v>11.05</v>
      </c>
      <c r="AD165" s="8">
        <v>7.25</v>
      </c>
      <c r="AE165" s="8">
        <v>11.11</v>
      </c>
      <c r="AF165" s="8">
        <v>13.12</v>
      </c>
      <c r="AG165" s="8">
        <v>9.6199999999999992</v>
      </c>
      <c r="AH165" s="8">
        <v>10.37</v>
      </c>
      <c r="AI165" s="8">
        <v>10.029999999999999</v>
      </c>
      <c r="AJ165" s="8">
        <v>11.8</v>
      </c>
      <c r="AK165" s="8">
        <v>10.53</v>
      </c>
      <c r="AL165" s="8">
        <v>11.51</v>
      </c>
      <c r="AM165" s="8">
        <v>10.81</v>
      </c>
      <c r="AN165" s="8">
        <v>11.3</v>
      </c>
      <c r="AO165" s="8">
        <v>13.11</v>
      </c>
      <c r="AP165" s="8">
        <v>8</v>
      </c>
      <c r="AQ165" s="8">
        <v>7.39</v>
      </c>
      <c r="AR165" s="8">
        <v>9.5500000000000007</v>
      </c>
      <c r="AS165" s="8">
        <v>12.9</v>
      </c>
      <c r="AT165" s="8">
        <v>10.130000000000001</v>
      </c>
      <c r="AU165" s="6">
        <v>11.76</v>
      </c>
      <c r="AV165" s="6">
        <v>11.61</v>
      </c>
      <c r="AW165" s="6">
        <v>11.43</v>
      </c>
      <c r="AX165" s="6">
        <v>13.43</v>
      </c>
      <c r="AY165" s="6">
        <v>13.61</v>
      </c>
      <c r="AZ165" s="6">
        <v>12.92</v>
      </c>
      <c r="BA165" s="6">
        <v>9.43</v>
      </c>
      <c r="BB165" s="6">
        <v>10</v>
      </c>
      <c r="BC165" s="6">
        <v>10.11</v>
      </c>
      <c r="BD165" s="6">
        <v>10.72</v>
      </c>
      <c r="BE165" s="6">
        <v>7.98</v>
      </c>
      <c r="BF165" s="6">
        <v>10.71</v>
      </c>
      <c r="BG165" s="6">
        <v>12.39</v>
      </c>
      <c r="BH165" s="6">
        <v>9.64</v>
      </c>
      <c r="BI165" s="6">
        <v>8.3000000000000007</v>
      </c>
      <c r="BJ165" s="6">
        <v>11.62</v>
      </c>
      <c r="BK165" s="6">
        <v>11.56</v>
      </c>
      <c r="BL165" s="6">
        <v>10.38</v>
      </c>
      <c r="BM165" s="6">
        <v>11.87</v>
      </c>
      <c r="BN165" s="6">
        <v>11.24</v>
      </c>
      <c r="BO165" s="6">
        <v>12.19</v>
      </c>
      <c r="BP165" s="6">
        <v>10.9</v>
      </c>
      <c r="BQ165" s="7">
        <v>12.5</v>
      </c>
      <c r="BR165" s="7">
        <v>9.4440000000000008</v>
      </c>
      <c r="BS165" s="7">
        <v>11.64</v>
      </c>
      <c r="BT165" s="7">
        <v>11.3</v>
      </c>
      <c r="BU165" s="7">
        <v>12.58</v>
      </c>
      <c r="BV165" s="7">
        <v>11.8</v>
      </c>
      <c r="BW165" s="7">
        <v>11.14</v>
      </c>
      <c r="BX165" s="7">
        <v>11.18</v>
      </c>
      <c r="BY165" s="7">
        <v>10.08</v>
      </c>
      <c r="BZ165" s="7">
        <v>7.5</v>
      </c>
      <c r="CA165" s="7">
        <v>12.36</v>
      </c>
      <c r="CB165" s="7">
        <v>13.86</v>
      </c>
      <c r="CC165" s="6">
        <v>12.7</v>
      </c>
      <c r="CD165" s="7">
        <v>11.6</v>
      </c>
      <c r="CE165" s="7">
        <v>9.1</v>
      </c>
      <c r="CF165" s="7">
        <v>9.7799999999999994</v>
      </c>
      <c r="CG165" s="7">
        <v>11.8</v>
      </c>
      <c r="CH165" s="7">
        <v>11.08</v>
      </c>
      <c r="CI165" s="8">
        <v>11.96</v>
      </c>
      <c r="CJ165" s="8">
        <v>10.46</v>
      </c>
      <c r="CK165" s="7">
        <v>9.4</v>
      </c>
      <c r="CL165" s="15">
        <v>13.84</v>
      </c>
      <c r="CM165" s="15">
        <v>12.68</v>
      </c>
      <c r="CN165" s="15">
        <v>11.25</v>
      </c>
      <c r="CO165" s="10">
        <v>11.98</v>
      </c>
      <c r="CP165" s="10"/>
    </row>
    <row r="166" spans="1:94" ht="15.75" customHeight="1" x14ac:dyDescent="0.25">
      <c r="A166" s="4">
        <v>165</v>
      </c>
      <c r="B166" s="4"/>
      <c r="C166" s="4">
        <v>13</v>
      </c>
      <c r="D166" s="8">
        <v>11.52</v>
      </c>
      <c r="E166" s="8">
        <v>11.78</v>
      </c>
      <c r="F166" s="8">
        <v>11.38</v>
      </c>
      <c r="G166" s="8">
        <v>13.18</v>
      </c>
      <c r="H166" s="8">
        <v>10.029999999999999</v>
      </c>
      <c r="I166" s="8">
        <v>7.33</v>
      </c>
      <c r="J166" s="8">
        <v>10.16</v>
      </c>
      <c r="K166" s="8">
        <v>12.37</v>
      </c>
      <c r="L166" s="8">
        <v>13.62</v>
      </c>
      <c r="M166" s="8">
        <v>13.33</v>
      </c>
      <c r="N166" s="8">
        <v>11.65</v>
      </c>
      <c r="O166" s="8">
        <v>13.21</v>
      </c>
      <c r="P166" s="8">
        <v>9.93</v>
      </c>
      <c r="Q166" s="8">
        <v>11.62</v>
      </c>
      <c r="R166" s="8">
        <v>10.73</v>
      </c>
      <c r="S166" s="8">
        <v>11.31</v>
      </c>
      <c r="T166" s="8">
        <v>11.47</v>
      </c>
      <c r="U166" s="8">
        <v>11.33</v>
      </c>
      <c r="V166" s="8">
        <v>12.59</v>
      </c>
      <c r="W166" s="8">
        <v>11.6</v>
      </c>
      <c r="X166" s="8">
        <v>10.87</v>
      </c>
      <c r="Y166" s="8">
        <v>11.97</v>
      </c>
      <c r="Z166" s="8">
        <v>10.050000000000001</v>
      </c>
      <c r="AA166" s="8">
        <v>10.73</v>
      </c>
      <c r="AB166" s="8">
        <v>10.25</v>
      </c>
      <c r="AC166" s="8">
        <v>11.09</v>
      </c>
      <c r="AD166" s="8">
        <v>7.51</v>
      </c>
      <c r="AE166" s="8">
        <v>11.31</v>
      </c>
      <c r="AF166" s="8">
        <v>13.15</v>
      </c>
      <c r="AG166" s="8">
        <v>9.7799999999999994</v>
      </c>
      <c r="AH166" s="8">
        <v>10.46</v>
      </c>
      <c r="AI166" s="8">
        <v>10.02</v>
      </c>
      <c r="AJ166" s="8">
        <v>11.9</v>
      </c>
      <c r="AK166" s="8">
        <v>10.66</v>
      </c>
      <c r="AL166" s="8">
        <v>11.56</v>
      </c>
      <c r="AM166" s="8">
        <v>10.95</v>
      </c>
      <c r="AN166" s="8">
        <v>11.39</v>
      </c>
      <c r="AO166" s="8">
        <v>13.16</v>
      </c>
      <c r="AP166" s="8">
        <v>8.06</v>
      </c>
      <c r="AQ166" s="8">
        <v>7.45</v>
      </c>
      <c r="AR166" s="8">
        <v>9.6</v>
      </c>
      <c r="AS166" s="8">
        <v>12.99</v>
      </c>
      <c r="AT166" s="8">
        <v>10.220000000000001</v>
      </c>
      <c r="AU166" s="6">
        <v>11.9</v>
      </c>
      <c r="AV166" s="6">
        <v>11.68</v>
      </c>
      <c r="AW166" s="6">
        <v>11.6</v>
      </c>
      <c r="AX166" s="6">
        <v>13.5</v>
      </c>
      <c r="AY166" s="6">
        <v>13.72</v>
      </c>
      <c r="AZ166" s="6">
        <v>13.02</v>
      </c>
      <c r="BA166" s="6">
        <v>9.56</v>
      </c>
      <c r="BB166" s="6">
        <v>10.26</v>
      </c>
      <c r="BC166" s="6">
        <v>10.25</v>
      </c>
      <c r="BD166" s="6">
        <v>10.8</v>
      </c>
      <c r="BE166" s="6">
        <v>8.1</v>
      </c>
      <c r="BF166" s="6">
        <v>10.81</v>
      </c>
      <c r="BG166" s="6">
        <v>12.55</v>
      </c>
      <c r="BH166" s="6">
        <v>9.69</v>
      </c>
      <c r="BI166" s="6">
        <v>8.44</v>
      </c>
      <c r="BJ166" s="6">
        <v>11.64</v>
      </c>
      <c r="BK166" s="6">
        <v>11.62</v>
      </c>
      <c r="BL166" s="6">
        <v>10.58</v>
      </c>
      <c r="BM166" s="6">
        <v>12</v>
      </c>
      <c r="BN166" s="6">
        <v>11.32</v>
      </c>
      <c r="BO166" s="6">
        <v>12.28</v>
      </c>
      <c r="BP166" s="6">
        <v>10.98</v>
      </c>
      <c r="BQ166" s="7">
        <v>12.6</v>
      </c>
      <c r="BR166" s="7">
        <v>9.56</v>
      </c>
      <c r="BS166" s="7">
        <v>11.7</v>
      </c>
      <c r="BT166" s="7">
        <v>11.4</v>
      </c>
      <c r="BU166" s="7">
        <v>12.68</v>
      </c>
      <c r="BV166" s="7">
        <v>11.86</v>
      </c>
      <c r="BW166" s="7">
        <v>11.26</v>
      </c>
      <c r="BX166" s="7">
        <v>11.26</v>
      </c>
      <c r="BY166" s="7">
        <v>10.18</v>
      </c>
      <c r="BZ166" s="7">
        <v>7.78</v>
      </c>
      <c r="CA166" s="7">
        <v>12.46</v>
      </c>
      <c r="CB166" s="7">
        <v>13.9</v>
      </c>
      <c r="CC166" s="6">
        <v>12.8</v>
      </c>
      <c r="CD166" s="7">
        <v>11.64</v>
      </c>
      <c r="CE166" s="7">
        <v>9.1999999999999993</v>
      </c>
      <c r="CF166" s="7">
        <v>9.8000000000000007</v>
      </c>
      <c r="CG166" s="7">
        <v>11.84</v>
      </c>
      <c r="CH166" s="7">
        <v>11.26</v>
      </c>
      <c r="CI166" s="8">
        <v>12.1</v>
      </c>
      <c r="CJ166" s="8">
        <v>10.54</v>
      </c>
      <c r="CK166" s="7">
        <v>9.5399999999999991</v>
      </c>
      <c r="CL166" s="15">
        <v>13.88</v>
      </c>
      <c r="CM166" s="15">
        <v>12.8</v>
      </c>
      <c r="CN166" s="15">
        <v>11.39</v>
      </c>
      <c r="CO166" s="10">
        <v>12.11</v>
      </c>
      <c r="CP166" s="10"/>
    </row>
    <row r="167" spans="1:94" ht="15.75" customHeight="1" x14ac:dyDescent="0.25">
      <c r="A167" s="4">
        <v>166</v>
      </c>
      <c r="B167" s="4"/>
      <c r="C167" s="4">
        <v>14</v>
      </c>
      <c r="D167" s="8">
        <v>11.56</v>
      </c>
      <c r="E167" s="8">
        <v>11.88</v>
      </c>
      <c r="F167" s="8">
        <v>11.48</v>
      </c>
      <c r="G167" s="8">
        <v>13.23</v>
      </c>
      <c r="H167" s="8">
        <v>10.08</v>
      </c>
      <c r="I167" s="8">
        <v>7.48</v>
      </c>
      <c r="J167" s="8">
        <v>10.32</v>
      </c>
      <c r="K167" s="8">
        <v>12.47</v>
      </c>
      <c r="L167" s="8">
        <v>13.73</v>
      </c>
      <c r="M167" s="8">
        <v>13.51</v>
      </c>
      <c r="N167" s="8">
        <v>11.86</v>
      </c>
      <c r="O167" s="8">
        <v>13.29</v>
      </c>
      <c r="P167" s="8">
        <v>10.08</v>
      </c>
      <c r="Q167" s="8">
        <v>11.68</v>
      </c>
      <c r="R167" s="8">
        <v>10.9</v>
      </c>
      <c r="S167" s="8">
        <v>11.36</v>
      </c>
      <c r="T167" s="8">
        <v>11.56</v>
      </c>
      <c r="U167" s="8">
        <v>11.47</v>
      </c>
      <c r="V167" s="8">
        <v>12.63</v>
      </c>
      <c r="W167" s="8">
        <v>11.7</v>
      </c>
      <c r="X167" s="8">
        <v>10.92</v>
      </c>
      <c r="Y167" s="8">
        <v>12.05</v>
      </c>
      <c r="Z167" s="8">
        <v>10.119999999999999</v>
      </c>
      <c r="AA167" s="8">
        <v>10.89</v>
      </c>
      <c r="AB167" s="8">
        <v>10.36</v>
      </c>
      <c r="AC167" s="8">
        <v>11.13</v>
      </c>
      <c r="AD167" s="8">
        <v>7.66</v>
      </c>
      <c r="AE167" s="8">
        <v>11.55</v>
      </c>
      <c r="AF167" s="8">
        <v>13.17</v>
      </c>
      <c r="AG167" s="8">
        <v>9.85</v>
      </c>
      <c r="AH167" s="8">
        <v>10.55</v>
      </c>
      <c r="AI167" s="8">
        <v>10.039999999999999</v>
      </c>
      <c r="AJ167" s="8">
        <v>11.96</v>
      </c>
      <c r="AK167" s="8">
        <v>10.75</v>
      </c>
      <c r="AL167" s="8">
        <v>11.61</v>
      </c>
      <c r="AM167" s="8">
        <v>11.09</v>
      </c>
      <c r="AN167" s="8">
        <v>11.48</v>
      </c>
      <c r="AO167" s="8">
        <v>13.2</v>
      </c>
      <c r="AP167" s="8">
        <v>8.1300000000000008</v>
      </c>
      <c r="AQ167" s="8">
        <v>7.47</v>
      </c>
      <c r="AR167" s="8">
        <v>9.6</v>
      </c>
      <c r="AS167" s="8">
        <v>13.09</v>
      </c>
      <c r="AT167" s="8">
        <v>10.29</v>
      </c>
      <c r="AU167" s="6">
        <v>12.1</v>
      </c>
      <c r="AV167" s="6">
        <v>11.72</v>
      </c>
      <c r="AW167" s="6">
        <v>11.77</v>
      </c>
      <c r="AX167" s="6">
        <v>13.63</v>
      </c>
      <c r="AY167" s="6">
        <v>13.85</v>
      </c>
      <c r="AZ167" s="6">
        <v>13.14</v>
      </c>
      <c r="BA167" s="6">
        <v>9.7200000000000006</v>
      </c>
      <c r="BB167" s="6">
        <v>10.55</v>
      </c>
      <c r="BC167" s="6">
        <v>10.39</v>
      </c>
      <c r="BD167" s="6">
        <v>10.92</v>
      </c>
      <c r="BE167" s="6">
        <v>8.3000000000000007</v>
      </c>
      <c r="BF167" s="6">
        <v>10.93</v>
      </c>
      <c r="BG167" s="6">
        <v>12.69</v>
      </c>
      <c r="BH167" s="6">
        <v>9.77</v>
      </c>
      <c r="BI167" s="6">
        <v>8.58</v>
      </c>
      <c r="BJ167" s="6">
        <v>11.71</v>
      </c>
      <c r="BK167" s="6">
        <v>11.66</v>
      </c>
      <c r="BL167" s="6">
        <v>10.74</v>
      </c>
      <c r="BM167" s="6">
        <v>12.1</v>
      </c>
      <c r="BN167" s="6">
        <v>11.4</v>
      </c>
      <c r="BO167" s="6">
        <v>12.46</v>
      </c>
      <c r="BP167" s="6">
        <v>11</v>
      </c>
      <c r="BQ167" s="7">
        <v>12.7</v>
      </c>
      <c r="BR167" s="7">
        <v>9.66</v>
      </c>
      <c r="BS167" s="7">
        <v>11.72</v>
      </c>
      <c r="BT167" s="7">
        <v>11.48</v>
      </c>
      <c r="BU167" s="7">
        <v>12.78</v>
      </c>
      <c r="BV167" s="7">
        <v>11.92</v>
      </c>
      <c r="BW167" s="7">
        <v>11.4</v>
      </c>
      <c r="BX167" s="7">
        <v>11.32</v>
      </c>
      <c r="BY167" s="7">
        <v>10.48</v>
      </c>
      <c r="BZ167" s="7">
        <v>7.92</v>
      </c>
      <c r="CA167" s="7">
        <v>12.56</v>
      </c>
      <c r="CB167" s="7">
        <v>13.94</v>
      </c>
      <c r="CC167" s="6">
        <v>12.82</v>
      </c>
      <c r="CD167" s="7">
        <v>11.8</v>
      </c>
      <c r="CE167" s="7">
        <v>9.34</v>
      </c>
      <c r="CF167" s="7">
        <v>9.86</v>
      </c>
      <c r="CG167" s="7">
        <v>12.04</v>
      </c>
      <c r="CH167" s="7">
        <v>11.5</v>
      </c>
      <c r="CI167" s="8">
        <v>12.14</v>
      </c>
      <c r="CJ167" s="8">
        <v>10.68</v>
      </c>
      <c r="CK167" s="7">
        <v>9.6</v>
      </c>
      <c r="CL167" s="7">
        <v>13.88</v>
      </c>
      <c r="CM167" s="7">
        <v>12.94</v>
      </c>
      <c r="CN167" s="7">
        <v>11.54</v>
      </c>
      <c r="CO167" s="10">
        <v>12.26</v>
      </c>
      <c r="CP167" s="10"/>
    </row>
    <row r="168" spans="1:94" ht="15.75" customHeight="1" x14ac:dyDescent="0.25">
      <c r="A168" s="4">
        <v>167</v>
      </c>
      <c r="B168" s="4"/>
      <c r="C168" s="4">
        <v>15</v>
      </c>
      <c r="D168" s="8">
        <v>11.54</v>
      </c>
      <c r="E168" s="8">
        <v>11.98</v>
      </c>
      <c r="F168" s="8">
        <v>11.58</v>
      </c>
      <c r="G168" s="8">
        <v>13.33</v>
      </c>
      <c r="H168" s="8">
        <v>10.18</v>
      </c>
      <c r="I168" s="8">
        <v>7.63</v>
      </c>
      <c r="J168" s="8">
        <v>10.43</v>
      </c>
      <c r="K168" s="8">
        <v>12.56</v>
      </c>
      <c r="L168" s="8">
        <v>13.78</v>
      </c>
      <c r="M168" s="8">
        <v>13.7</v>
      </c>
      <c r="N168" s="8">
        <v>12.19</v>
      </c>
      <c r="O168" s="8">
        <v>13.35</v>
      </c>
      <c r="P168" s="8">
        <v>10.18</v>
      </c>
      <c r="Q168" s="8">
        <v>11.75</v>
      </c>
      <c r="R168" s="8">
        <v>11.03</v>
      </c>
      <c r="S168" s="8">
        <v>11.41</v>
      </c>
      <c r="T168" s="8">
        <v>11.66</v>
      </c>
      <c r="U168" s="8">
        <v>11.57</v>
      </c>
      <c r="V168" s="8">
        <v>12.67</v>
      </c>
      <c r="W168" s="8">
        <v>11.76</v>
      </c>
      <c r="X168" s="8">
        <v>10.96</v>
      </c>
      <c r="Y168" s="8">
        <v>12.11</v>
      </c>
      <c r="Z168" s="8">
        <v>10.220000000000001</v>
      </c>
      <c r="AA168" s="8">
        <v>11.04</v>
      </c>
      <c r="AB168" s="8">
        <v>10.47</v>
      </c>
      <c r="AC168" s="8">
        <v>11.21</v>
      </c>
      <c r="AD168" s="8">
        <v>7.81</v>
      </c>
      <c r="AE168" s="8">
        <v>11.69</v>
      </c>
      <c r="AF168" s="8">
        <v>13.19</v>
      </c>
      <c r="AG168" s="8">
        <v>9.92</v>
      </c>
      <c r="AH168" s="8">
        <v>10.59</v>
      </c>
      <c r="AI168" s="8">
        <v>10.08</v>
      </c>
      <c r="AJ168" s="8">
        <v>11.97</v>
      </c>
      <c r="AK168" s="8">
        <v>10.83</v>
      </c>
      <c r="AL168" s="8">
        <v>11.69</v>
      </c>
      <c r="AM168" s="8">
        <v>11.27</v>
      </c>
      <c r="AN168" s="8">
        <v>11.57</v>
      </c>
      <c r="AO168" s="8">
        <v>13.28</v>
      </c>
      <c r="AP168" s="8">
        <v>8.18</v>
      </c>
      <c r="AQ168" s="8">
        <v>7.47</v>
      </c>
      <c r="AR168" s="8">
        <v>9.64</v>
      </c>
      <c r="AS168" s="8">
        <v>13.19</v>
      </c>
      <c r="AT168" s="8">
        <v>10.39</v>
      </c>
      <c r="AU168" s="6">
        <v>12.25</v>
      </c>
      <c r="AV168" s="6">
        <v>11.82</v>
      </c>
      <c r="AW168" s="6">
        <v>11.97</v>
      </c>
      <c r="AX168" s="6">
        <v>13.75</v>
      </c>
      <c r="AY168" s="6">
        <v>13.93</v>
      </c>
      <c r="AZ168" s="6">
        <v>13.34</v>
      </c>
      <c r="BA168" s="6">
        <v>9.8800000000000008</v>
      </c>
      <c r="BB168" s="6">
        <v>10.8</v>
      </c>
      <c r="BC168" s="6">
        <v>10.48</v>
      </c>
      <c r="BD168" s="6">
        <v>11.02</v>
      </c>
      <c r="BE168" s="6">
        <v>8.5299999999999994</v>
      </c>
      <c r="BF168" s="6">
        <v>11.02</v>
      </c>
      <c r="BG168" s="6">
        <v>12.78</v>
      </c>
      <c r="BH168" s="6">
        <v>9.89</v>
      </c>
      <c r="BI168" s="6">
        <v>8.6999999999999993</v>
      </c>
      <c r="BJ168" s="6">
        <v>11.86</v>
      </c>
      <c r="BK168" s="6">
        <v>11.7</v>
      </c>
      <c r="BL168" s="6">
        <v>10.82</v>
      </c>
      <c r="BM168" s="6">
        <v>12.18</v>
      </c>
      <c r="BN168" s="6">
        <v>11.46</v>
      </c>
      <c r="BO168" s="6">
        <v>12.67</v>
      </c>
      <c r="BP168" s="6">
        <v>11.11</v>
      </c>
      <c r="BQ168" s="6">
        <v>12.86</v>
      </c>
      <c r="BR168" s="6">
        <v>9.74</v>
      </c>
      <c r="BS168" s="6">
        <v>11.76</v>
      </c>
      <c r="BT168" s="6">
        <v>11.54</v>
      </c>
      <c r="BU168" s="6">
        <v>12.9</v>
      </c>
      <c r="BV168" s="6">
        <v>12</v>
      </c>
      <c r="BW168" s="6">
        <v>11.52</v>
      </c>
      <c r="BX168" s="6">
        <v>11.38</v>
      </c>
      <c r="BY168" s="6">
        <v>10.6</v>
      </c>
      <c r="BZ168" s="6">
        <v>8.1</v>
      </c>
      <c r="CA168" s="6">
        <v>12.68</v>
      </c>
      <c r="CB168" s="6">
        <v>13.92</v>
      </c>
      <c r="CC168" s="6">
        <v>13.08</v>
      </c>
      <c r="CD168" s="6">
        <v>11.9</v>
      </c>
      <c r="CE168" s="6">
        <v>9.4600000000000009</v>
      </c>
      <c r="CF168" s="6">
        <v>10</v>
      </c>
      <c r="CG168" s="6">
        <v>12.1</v>
      </c>
      <c r="CH168" s="6">
        <v>11.68</v>
      </c>
      <c r="CI168" s="6">
        <v>12.2</v>
      </c>
      <c r="CJ168" s="11">
        <v>10.8</v>
      </c>
      <c r="CK168" s="6">
        <v>9.64</v>
      </c>
      <c r="CL168" s="6">
        <v>13.92</v>
      </c>
      <c r="CM168" s="6">
        <v>13</v>
      </c>
      <c r="CN168" s="6">
        <v>11.65</v>
      </c>
      <c r="CO168" s="10">
        <v>12.41</v>
      </c>
      <c r="CP168" s="10"/>
    </row>
    <row r="169" spans="1:94" ht="15.75" customHeight="1" x14ac:dyDescent="0.25">
      <c r="A169" s="4">
        <v>168</v>
      </c>
      <c r="B169" s="4"/>
      <c r="C169" s="4">
        <v>16</v>
      </c>
      <c r="D169" s="8">
        <v>11.52</v>
      </c>
      <c r="E169" s="8">
        <v>12.13</v>
      </c>
      <c r="F169" s="8">
        <v>11.68</v>
      </c>
      <c r="G169" s="8">
        <v>13.43</v>
      </c>
      <c r="H169" s="8">
        <v>10.28</v>
      </c>
      <c r="I169" s="8">
        <v>7.83</v>
      </c>
      <c r="J169" s="8">
        <v>10.55</v>
      </c>
      <c r="K169" s="8">
        <v>12.66</v>
      </c>
      <c r="L169" s="8">
        <v>13.88</v>
      </c>
      <c r="M169" s="8">
        <v>13.88</v>
      </c>
      <c r="N169" s="8">
        <v>12.42</v>
      </c>
      <c r="O169" s="8">
        <v>13.44</v>
      </c>
      <c r="P169" s="8">
        <v>10.29</v>
      </c>
      <c r="Q169" s="8">
        <v>11.83</v>
      </c>
      <c r="R169" s="8">
        <v>11.13</v>
      </c>
      <c r="S169" s="8">
        <v>11.56</v>
      </c>
      <c r="T169" s="8">
        <v>11.74</v>
      </c>
      <c r="U169" s="8">
        <v>11.67</v>
      </c>
      <c r="V169" s="8">
        <v>12.7</v>
      </c>
      <c r="W169" s="8">
        <v>11.82</v>
      </c>
      <c r="X169" s="8">
        <v>11.04</v>
      </c>
      <c r="Y169" s="8">
        <v>12.15</v>
      </c>
      <c r="Z169" s="8">
        <v>10.31</v>
      </c>
      <c r="AA169" s="8">
        <v>11.19</v>
      </c>
      <c r="AB169" s="8">
        <v>10.7</v>
      </c>
      <c r="AC169" s="8">
        <v>11.37</v>
      </c>
      <c r="AD169" s="8">
        <v>8.09</v>
      </c>
      <c r="AE169" s="8">
        <v>11.81</v>
      </c>
      <c r="AF169" s="8">
        <v>13.21</v>
      </c>
      <c r="AG169" s="8">
        <v>10</v>
      </c>
      <c r="AH169" s="8">
        <v>10.63</v>
      </c>
      <c r="AI169" s="8">
        <v>10.119999999999999</v>
      </c>
      <c r="AJ169" s="8">
        <v>11.98</v>
      </c>
      <c r="AK169" s="8">
        <v>10.9</v>
      </c>
      <c r="AL169" s="8">
        <v>11.74</v>
      </c>
      <c r="AM169" s="8">
        <v>11.35</v>
      </c>
      <c r="AN169" s="8">
        <v>11.67</v>
      </c>
      <c r="AO169" s="8">
        <v>13.35</v>
      </c>
      <c r="AP169" s="8">
        <v>8.25</v>
      </c>
      <c r="AQ169" s="8">
        <v>7.45</v>
      </c>
      <c r="AR169" s="8">
        <v>9.68</v>
      </c>
      <c r="AS169" s="8">
        <v>13.29</v>
      </c>
      <c r="AT169" s="8">
        <v>10.51</v>
      </c>
      <c r="AU169" s="6">
        <v>12.38</v>
      </c>
      <c r="AV169" s="6">
        <v>11.94</v>
      </c>
      <c r="AW169" s="6">
        <v>12.18</v>
      </c>
      <c r="AX169" s="6">
        <v>13.85</v>
      </c>
      <c r="AY169" s="6">
        <v>14.02</v>
      </c>
      <c r="AZ169" s="6">
        <v>13.5</v>
      </c>
      <c r="BA169" s="6">
        <v>10.029999999999999</v>
      </c>
      <c r="BB169" s="6">
        <v>11.02</v>
      </c>
      <c r="BC169" s="6">
        <v>10.57</v>
      </c>
      <c r="BD169" s="6">
        <v>11.15</v>
      </c>
      <c r="BE169" s="6">
        <v>8.8000000000000007</v>
      </c>
      <c r="BF169" s="6">
        <v>11.14</v>
      </c>
      <c r="BG169" s="6">
        <v>12.85</v>
      </c>
      <c r="BH169" s="6">
        <v>9.9700000000000006</v>
      </c>
      <c r="BI169" s="6">
        <v>8.82</v>
      </c>
      <c r="BJ169" s="6">
        <v>12</v>
      </c>
      <c r="BK169" s="6">
        <v>11.74</v>
      </c>
      <c r="BL169" s="6">
        <v>10.95</v>
      </c>
      <c r="BM169" s="6">
        <v>12.28</v>
      </c>
      <c r="BN169" s="6">
        <v>11.5</v>
      </c>
      <c r="BO169" s="6">
        <v>12.86</v>
      </c>
      <c r="BP169" s="6">
        <v>11.2</v>
      </c>
      <c r="BQ169" s="6">
        <v>12.96</v>
      </c>
      <c r="BR169" s="6">
        <v>9.7799999999999994</v>
      </c>
      <c r="BS169" s="6">
        <v>11.8</v>
      </c>
      <c r="BT169" s="6">
        <v>11.62</v>
      </c>
      <c r="BU169" s="6">
        <v>13.05</v>
      </c>
      <c r="BV169" s="6">
        <v>12.02</v>
      </c>
      <c r="BW169" s="6">
        <v>11.62</v>
      </c>
      <c r="BX169" s="6">
        <v>11.4</v>
      </c>
      <c r="BY169" s="6">
        <v>10.7</v>
      </c>
      <c r="BZ169" s="6">
        <v>8.3000000000000007</v>
      </c>
      <c r="CA169" s="6">
        <v>12.78</v>
      </c>
      <c r="CB169" s="6">
        <v>13.92</v>
      </c>
      <c r="CC169" s="6">
        <v>13.22</v>
      </c>
      <c r="CD169" s="6">
        <v>12.06</v>
      </c>
      <c r="CE169" s="6">
        <v>9.58</v>
      </c>
      <c r="CF169" s="6">
        <v>10.119999999999999</v>
      </c>
      <c r="CG169" s="6">
        <v>12.14</v>
      </c>
      <c r="CH169" s="6">
        <v>11.88</v>
      </c>
      <c r="CI169" s="6">
        <v>12.35</v>
      </c>
      <c r="CJ169" s="11">
        <v>10.92</v>
      </c>
      <c r="CK169" s="6">
        <v>9.6999999999999993</v>
      </c>
      <c r="CL169" s="6">
        <v>13.98</v>
      </c>
      <c r="CM169" s="6">
        <v>13.1</v>
      </c>
      <c r="CN169" s="6">
        <v>11.74</v>
      </c>
      <c r="CO169" s="10">
        <v>12.56</v>
      </c>
      <c r="CP169" s="10"/>
    </row>
    <row r="170" spans="1:94" ht="15.75" customHeight="1" x14ac:dyDescent="0.25">
      <c r="A170" s="4">
        <v>169</v>
      </c>
      <c r="B170" s="4"/>
      <c r="C170" s="4">
        <v>17</v>
      </c>
      <c r="D170" s="8">
        <v>11.54</v>
      </c>
      <c r="E170" s="8">
        <v>12.28</v>
      </c>
      <c r="F170" s="8">
        <v>11.78</v>
      </c>
      <c r="G170" s="8">
        <v>13.58</v>
      </c>
      <c r="H170" s="8">
        <v>10.38</v>
      </c>
      <c r="I170" s="8">
        <v>8.08</v>
      </c>
      <c r="J170" s="8">
        <v>10.65</v>
      </c>
      <c r="K170" s="8">
        <v>12.71</v>
      </c>
      <c r="L170" s="8">
        <v>13.98</v>
      </c>
      <c r="M170" s="8">
        <v>14.04</v>
      </c>
      <c r="N170" s="8">
        <v>12.57</v>
      </c>
      <c r="O170" s="8">
        <v>13.51</v>
      </c>
      <c r="P170" s="8">
        <v>10.44</v>
      </c>
      <c r="Q170" s="8">
        <v>11.9</v>
      </c>
      <c r="R170" s="8">
        <v>11.27</v>
      </c>
      <c r="S170" s="8">
        <v>11.71</v>
      </c>
      <c r="T170" s="8">
        <v>11.81</v>
      </c>
      <c r="U170" s="8">
        <v>11.77</v>
      </c>
      <c r="V170" s="8">
        <v>12.79</v>
      </c>
      <c r="W170" s="8">
        <v>11.88</v>
      </c>
      <c r="X170" s="8">
        <v>11.12</v>
      </c>
      <c r="Y170" s="8">
        <v>12.21</v>
      </c>
      <c r="Z170" s="8">
        <v>10.41</v>
      </c>
      <c r="AA170" s="8">
        <v>11.31</v>
      </c>
      <c r="AB170" s="8">
        <v>10.87</v>
      </c>
      <c r="AC170" s="8">
        <v>11.53</v>
      </c>
      <c r="AD170" s="8">
        <v>8.41</v>
      </c>
      <c r="AE170" s="8">
        <v>11.91</v>
      </c>
      <c r="AF170" s="8">
        <v>13.24</v>
      </c>
      <c r="AG170" s="8">
        <v>10.06</v>
      </c>
      <c r="AH170" s="8">
        <v>10.67</v>
      </c>
      <c r="AI170" s="8">
        <v>10.14</v>
      </c>
      <c r="AJ170" s="8">
        <v>12.08</v>
      </c>
      <c r="AK170" s="8">
        <v>10.97</v>
      </c>
      <c r="AL170" s="8">
        <v>11.77</v>
      </c>
      <c r="AM170" s="8">
        <v>11.42</v>
      </c>
      <c r="AN170" s="8">
        <v>11.78</v>
      </c>
      <c r="AO170" s="8">
        <v>13.45</v>
      </c>
      <c r="AP170" s="8">
        <v>8.39</v>
      </c>
      <c r="AQ170" s="8">
        <v>7.45</v>
      </c>
      <c r="AR170" s="8">
        <v>9.7799999999999994</v>
      </c>
      <c r="AS170" s="8">
        <v>13.39</v>
      </c>
      <c r="AT170" s="8">
        <v>10.69</v>
      </c>
      <c r="AU170" s="6">
        <v>12.43</v>
      </c>
      <c r="AV170" s="6">
        <v>12.05</v>
      </c>
      <c r="AW170" s="6">
        <v>12.39</v>
      </c>
      <c r="AX170" s="6">
        <v>13.92</v>
      </c>
      <c r="AY170" s="6">
        <v>14.09</v>
      </c>
      <c r="AZ170" s="6">
        <v>13.63</v>
      </c>
      <c r="BA170" s="6">
        <v>10.19</v>
      </c>
      <c r="BB170" s="6">
        <v>11.22</v>
      </c>
      <c r="BC170" s="6">
        <v>10.64</v>
      </c>
      <c r="BD170" s="6">
        <v>11.3</v>
      </c>
      <c r="BE170" s="6">
        <v>9</v>
      </c>
      <c r="BF170" s="6">
        <v>11.27</v>
      </c>
      <c r="BG170" s="6">
        <v>12.93</v>
      </c>
      <c r="BH170" s="6">
        <v>10.06</v>
      </c>
      <c r="BI170" s="6">
        <v>8.9</v>
      </c>
      <c r="BJ170" s="6">
        <v>12.14</v>
      </c>
      <c r="BK170" s="6">
        <v>11.8</v>
      </c>
      <c r="BL170" s="6">
        <v>11.1</v>
      </c>
      <c r="BM170" s="6">
        <v>12.34</v>
      </c>
      <c r="BN170" s="6">
        <v>11.54</v>
      </c>
      <c r="BO170" s="6">
        <v>12.9</v>
      </c>
      <c r="BP170" s="6">
        <v>11.3</v>
      </c>
      <c r="BQ170" s="6">
        <v>13.08</v>
      </c>
      <c r="BR170" s="6">
        <v>9.8000000000000007</v>
      </c>
      <c r="BS170" s="6">
        <v>11.8</v>
      </c>
      <c r="BT170" s="6">
        <v>11.69</v>
      </c>
      <c r="BU170" s="6">
        <v>13.06</v>
      </c>
      <c r="BV170" s="6">
        <v>12.06</v>
      </c>
      <c r="BW170" s="6">
        <v>11.72</v>
      </c>
      <c r="BX170" s="6">
        <v>11.4</v>
      </c>
      <c r="BY170" s="6">
        <v>10.78</v>
      </c>
      <c r="BZ170" s="6">
        <v>8.5</v>
      </c>
      <c r="CA170" s="6">
        <v>12.84</v>
      </c>
      <c r="CB170" s="6">
        <v>13.96</v>
      </c>
      <c r="CC170" s="6">
        <v>13.32</v>
      </c>
      <c r="CD170" s="6">
        <v>12.16</v>
      </c>
      <c r="CE170" s="6">
        <v>9.8000000000000007</v>
      </c>
      <c r="CF170" s="6">
        <v>10.28</v>
      </c>
      <c r="CG170" s="6">
        <v>12.18</v>
      </c>
      <c r="CH170" s="6">
        <v>12.06</v>
      </c>
      <c r="CI170" s="6">
        <v>12.44</v>
      </c>
      <c r="CJ170" s="11">
        <v>11</v>
      </c>
      <c r="CK170" s="6">
        <v>9.7799999999999994</v>
      </c>
      <c r="CL170" s="6">
        <v>14.04</v>
      </c>
      <c r="CM170" s="6">
        <v>13.2</v>
      </c>
      <c r="CN170" s="6">
        <v>11.82</v>
      </c>
      <c r="CO170" s="10">
        <v>12.68</v>
      </c>
      <c r="CP170" s="10"/>
    </row>
    <row r="171" spans="1:94" ht="15.75" customHeight="1" x14ac:dyDescent="0.25">
      <c r="A171" s="4">
        <v>170</v>
      </c>
      <c r="B171" s="4"/>
      <c r="C171" s="4">
        <v>18</v>
      </c>
      <c r="D171" s="8">
        <v>11.56</v>
      </c>
      <c r="E171" s="8">
        <v>12.38</v>
      </c>
      <c r="F171" s="8">
        <v>11.83</v>
      </c>
      <c r="G171" s="8">
        <v>13.78</v>
      </c>
      <c r="H171" s="8">
        <v>10.48</v>
      </c>
      <c r="I171" s="8">
        <v>8.43</v>
      </c>
      <c r="J171" s="8">
        <v>10.75</v>
      </c>
      <c r="K171" s="8">
        <v>12.73</v>
      </c>
      <c r="L171" s="8">
        <v>14.08</v>
      </c>
      <c r="M171" s="8">
        <v>14.15</v>
      </c>
      <c r="N171" s="8">
        <v>12.73</v>
      </c>
      <c r="O171" s="8">
        <v>13.57</v>
      </c>
      <c r="P171" s="8">
        <v>10.52</v>
      </c>
      <c r="Q171" s="8">
        <v>11.94</v>
      </c>
      <c r="R171" s="8">
        <v>11.43</v>
      </c>
      <c r="S171" s="8">
        <v>11.91</v>
      </c>
      <c r="T171" s="8">
        <v>11.94</v>
      </c>
      <c r="U171" s="8">
        <v>11.89</v>
      </c>
      <c r="V171" s="8">
        <v>12.89</v>
      </c>
      <c r="W171" s="8">
        <v>12.08</v>
      </c>
      <c r="X171" s="8">
        <v>11.22</v>
      </c>
      <c r="Y171" s="8">
        <v>12.29</v>
      </c>
      <c r="Z171" s="8">
        <v>10.57</v>
      </c>
      <c r="AA171" s="8">
        <v>11.43</v>
      </c>
      <c r="AB171" s="8">
        <v>11.04</v>
      </c>
      <c r="AC171" s="8">
        <v>11.67</v>
      </c>
      <c r="AD171" s="8">
        <v>8.67</v>
      </c>
      <c r="AE171" s="8">
        <v>12.02</v>
      </c>
      <c r="AF171" s="8">
        <v>13.3</v>
      </c>
      <c r="AG171" s="8">
        <v>10.14</v>
      </c>
      <c r="AH171" s="8">
        <v>10.77</v>
      </c>
      <c r="AI171" s="8">
        <v>10.16</v>
      </c>
      <c r="AJ171" s="8">
        <v>12.18</v>
      </c>
      <c r="AK171" s="8">
        <v>11.14</v>
      </c>
      <c r="AL171" s="8">
        <v>11.82</v>
      </c>
      <c r="AM171" s="8">
        <v>11.47</v>
      </c>
      <c r="AN171" s="8">
        <v>11.89</v>
      </c>
      <c r="AO171" s="8">
        <v>13.54</v>
      </c>
      <c r="AP171" s="8">
        <v>8.57</v>
      </c>
      <c r="AQ171" s="8">
        <v>7.53</v>
      </c>
      <c r="AR171" s="8">
        <v>9.91</v>
      </c>
      <c r="AS171" s="8">
        <v>13.49</v>
      </c>
      <c r="AT171" s="8">
        <v>10.87</v>
      </c>
      <c r="AU171" s="6">
        <v>12.48</v>
      </c>
      <c r="AV171" s="6">
        <v>12.14</v>
      </c>
      <c r="AW171" s="6">
        <v>12.57</v>
      </c>
      <c r="AX171" s="6">
        <v>14.02</v>
      </c>
      <c r="AY171" s="6">
        <v>14.15</v>
      </c>
      <c r="AZ171" s="6">
        <v>13.73</v>
      </c>
      <c r="BA171" s="6">
        <v>10.35</v>
      </c>
      <c r="BB171" s="6">
        <v>11.39</v>
      </c>
      <c r="BC171" s="6">
        <v>10.73</v>
      </c>
      <c r="BD171" s="6">
        <v>11.39</v>
      </c>
      <c r="BE171" s="6">
        <v>9.14</v>
      </c>
      <c r="BF171" s="6">
        <v>11.39</v>
      </c>
      <c r="BG171" s="6">
        <v>13.01</v>
      </c>
      <c r="BH171" s="6">
        <v>10.17</v>
      </c>
      <c r="BI171" s="6">
        <v>8.94</v>
      </c>
      <c r="BJ171" s="6">
        <v>12.3</v>
      </c>
      <c r="BK171" s="6">
        <v>11.88</v>
      </c>
      <c r="BL171" s="6">
        <v>11.22</v>
      </c>
      <c r="BM171" s="6">
        <v>12.4</v>
      </c>
      <c r="BN171" s="6">
        <v>11.58</v>
      </c>
      <c r="BO171" s="6">
        <v>13.02</v>
      </c>
      <c r="BP171" s="6">
        <v>11.44</v>
      </c>
      <c r="BQ171" s="6">
        <v>13.06</v>
      </c>
      <c r="BR171" s="6">
        <v>9.82</v>
      </c>
      <c r="BS171" s="6">
        <v>11.88</v>
      </c>
      <c r="BT171" s="6">
        <v>11.76</v>
      </c>
      <c r="BU171" s="6">
        <v>13.1</v>
      </c>
      <c r="BV171" s="6">
        <v>12.08</v>
      </c>
      <c r="BW171" s="6">
        <v>11.82</v>
      </c>
      <c r="BX171" s="6">
        <v>11.44</v>
      </c>
      <c r="BY171" s="6">
        <v>10.88</v>
      </c>
      <c r="BZ171" s="6">
        <v>8.68</v>
      </c>
      <c r="CA171" s="6">
        <v>13</v>
      </c>
      <c r="CB171" s="6">
        <v>14</v>
      </c>
      <c r="CC171" s="6">
        <v>13.54</v>
      </c>
      <c r="CD171" s="6">
        <v>12.28</v>
      </c>
      <c r="CE171" s="6">
        <v>9.9600000000000009</v>
      </c>
      <c r="CF171" s="6">
        <v>10.42</v>
      </c>
      <c r="CG171" s="6">
        <v>12.26</v>
      </c>
      <c r="CH171" s="6">
        <v>12.2</v>
      </c>
      <c r="CI171" s="6">
        <v>12.6</v>
      </c>
      <c r="CJ171" s="11">
        <v>11.08</v>
      </c>
      <c r="CK171" s="6">
        <v>9.8800000000000008</v>
      </c>
      <c r="CL171" s="6">
        <v>14.12</v>
      </c>
      <c r="CM171" s="6">
        <v>13.32</v>
      </c>
      <c r="CN171" s="6">
        <v>11.95</v>
      </c>
      <c r="CO171" s="10">
        <v>12.82</v>
      </c>
      <c r="CP171" s="10"/>
    </row>
    <row r="172" spans="1:94" ht="15.75" customHeight="1" x14ac:dyDescent="0.25">
      <c r="A172" s="4">
        <v>171</v>
      </c>
      <c r="B172" s="4"/>
      <c r="C172" s="4">
        <v>19</v>
      </c>
      <c r="D172" s="8">
        <v>11.58</v>
      </c>
      <c r="E172" s="8">
        <v>12.48</v>
      </c>
      <c r="F172" s="8">
        <v>11.93</v>
      </c>
      <c r="G172" s="8">
        <v>13.88</v>
      </c>
      <c r="H172" s="8">
        <v>10.68</v>
      </c>
      <c r="I172" s="8">
        <v>8.7799999999999994</v>
      </c>
      <c r="J172" s="8">
        <v>10.85</v>
      </c>
      <c r="K172" s="8">
        <v>12.75</v>
      </c>
      <c r="L172" s="8">
        <v>14.13</v>
      </c>
      <c r="M172" s="8">
        <v>14.22</v>
      </c>
      <c r="N172" s="8">
        <v>12.87</v>
      </c>
      <c r="O172" s="8">
        <v>13.64</v>
      </c>
      <c r="P172" s="8">
        <v>10.66</v>
      </c>
      <c r="Q172" s="8">
        <v>12</v>
      </c>
      <c r="R172" s="8">
        <v>11.55</v>
      </c>
      <c r="S172" s="8">
        <v>12.11</v>
      </c>
      <c r="T172" s="8">
        <v>12.11</v>
      </c>
      <c r="U172" s="8">
        <v>12.02</v>
      </c>
      <c r="V172" s="8">
        <v>13.01</v>
      </c>
      <c r="W172" s="8">
        <v>12.24</v>
      </c>
      <c r="X172" s="8">
        <v>11.28</v>
      </c>
      <c r="Y172" s="8">
        <v>12.44</v>
      </c>
      <c r="Z172" s="8">
        <v>10.73</v>
      </c>
      <c r="AA172" s="8">
        <v>11.53</v>
      </c>
      <c r="AB172" s="8">
        <v>11.27</v>
      </c>
      <c r="AC172" s="8">
        <v>11.81</v>
      </c>
      <c r="AD172" s="8">
        <v>8.89</v>
      </c>
      <c r="AE172" s="8">
        <v>12.23</v>
      </c>
      <c r="AF172" s="8">
        <v>13.34</v>
      </c>
      <c r="AG172" s="8">
        <v>10.220000000000001</v>
      </c>
      <c r="AH172" s="8">
        <v>10.87</v>
      </c>
      <c r="AI172" s="8">
        <v>10.17</v>
      </c>
      <c r="AJ172" s="8">
        <v>12.27</v>
      </c>
      <c r="AK172" s="8">
        <v>11.34</v>
      </c>
      <c r="AL172" s="8">
        <v>11.9</v>
      </c>
      <c r="AM172" s="8">
        <v>11.54</v>
      </c>
      <c r="AN172" s="8">
        <v>11.93</v>
      </c>
      <c r="AO172" s="8">
        <v>13.6</v>
      </c>
      <c r="AP172" s="8">
        <v>8.7200000000000006</v>
      </c>
      <c r="AQ172" s="8">
        <v>7.57</v>
      </c>
      <c r="AR172" s="8">
        <v>10.06</v>
      </c>
      <c r="AS172" s="8">
        <v>13.57</v>
      </c>
      <c r="AT172" s="8">
        <v>11.05</v>
      </c>
      <c r="AU172" s="6">
        <v>12.57</v>
      </c>
      <c r="AV172" s="6">
        <v>12.26</v>
      </c>
      <c r="AW172" s="6">
        <v>12.68</v>
      </c>
      <c r="AX172" s="6">
        <v>14.15</v>
      </c>
      <c r="AY172" s="6">
        <v>14.25</v>
      </c>
      <c r="AZ172" s="6">
        <v>13.82</v>
      </c>
      <c r="BA172" s="6">
        <v>10.5</v>
      </c>
      <c r="BB172" s="6">
        <v>11.52</v>
      </c>
      <c r="BC172" s="6">
        <v>10.88</v>
      </c>
      <c r="BD172" s="6">
        <v>11.48</v>
      </c>
      <c r="BE172" s="6">
        <v>9.31</v>
      </c>
      <c r="BF172" s="6">
        <v>11.47</v>
      </c>
      <c r="BG172" s="6">
        <v>13.07</v>
      </c>
      <c r="BH172" s="6">
        <v>10.27</v>
      </c>
      <c r="BI172" s="6">
        <v>9.0399999999999991</v>
      </c>
      <c r="BJ172" s="6">
        <v>12.4</v>
      </c>
      <c r="BK172" s="6">
        <v>12</v>
      </c>
      <c r="BL172" s="6">
        <v>11.4</v>
      </c>
      <c r="BM172" s="6">
        <v>12.48</v>
      </c>
      <c r="BN172" s="6">
        <v>11.58</v>
      </c>
      <c r="BO172" s="6">
        <v>13.08</v>
      </c>
      <c r="BP172" s="6">
        <v>11.56</v>
      </c>
      <c r="BQ172" s="6">
        <v>13.26</v>
      </c>
      <c r="BR172" s="6">
        <v>9.86</v>
      </c>
      <c r="BS172" s="6">
        <v>12</v>
      </c>
      <c r="BT172" s="6">
        <v>11.82</v>
      </c>
      <c r="BU172" s="6">
        <v>13.15</v>
      </c>
      <c r="BV172" s="6">
        <v>12.18</v>
      </c>
      <c r="BW172" s="6">
        <v>11.9</v>
      </c>
      <c r="BX172" s="6">
        <v>11.5</v>
      </c>
      <c r="BY172" s="6">
        <v>10.97</v>
      </c>
      <c r="BZ172" s="6">
        <v>8.86</v>
      </c>
      <c r="CA172" s="6">
        <v>13.1</v>
      </c>
      <c r="CB172" s="6">
        <v>14.06</v>
      </c>
      <c r="CC172" s="6">
        <v>13.68</v>
      </c>
      <c r="CD172" s="6">
        <v>12.36</v>
      </c>
      <c r="CE172" s="6">
        <v>10.1</v>
      </c>
      <c r="CF172" s="6">
        <v>10.5</v>
      </c>
      <c r="CG172" s="6">
        <v>12.32</v>
      </c>
      <c r="CH172" s="6">
        <v>12.32</v>
      </c>
      <c r="CI172" s="6">
        <v>12.8</v>
      </c>
      <c r="CJ172" s="11">
        <v>11.16</v>
      </c>
      <c r="CK172" s="6">
        <v>10</v>
      </c>
      <c r="CL172" s="6">
        <v>14.2</v>
      </c>
      <c r="CM172" s="6">
        <v>13.42</v>
      </c>
      <c r="CN172" s="6">
        <v>12.1</v>
      </c>
      <c r="CO172" s="10">
        <v>12.96</v>
      </c>
      <c r="CP172" s="10"/>
    </row>
    <row r="173" spans="1:94" ht="15.75" customHeight="1" x14ac:dyDescent="0.25">
      <c r="A173" s="4">
        <v>172</v>
      </c>
      <c r="B173" s="4"/>
      <c r="C173" s="4">
        <v>20</v>
      </c>
      <c r="D173" s="8">
        <v>11.63</v>
      </c>
      <c r="E173" s="8">
        <v>12.53</v>
      </c>
      <c r="F173" s="8">
        <v>11.98</v>
      </c>
      <c r="G173" s="8">
        <v>13.98</v>
      </c>
      <c r="H173" s="8">
        <v>10.88</v>
      </c>
      <c r="I173" s="8">
        <v>9.08</v>
      </c>
      <c r="J173" s="8">
        <v>10.95</v>
      </c>
      <c r="K173" s="8">
        <v>12.81</v>
      </c>
      <c r="L173" s="8">
        <v>14.1</v>
      </c>
      <c r="M173" s="8">
        <v>14.29</v>
      </c>
      <c r="N173" s="8">
        <v>13.04</v>
      </c>
      <c r="O173" s="8">
        <v>13.7</v>
      </c>
      <c r="P173" s="8">
        <v>10.87</v>
      </c>
      <c r="Q173" s="8">
        <v>12.06</v>
      </c>
      <c r="R173" s="8">
        <v>11.63</v>
      </c>
      <c r="S173" s="8">
        <v>12.31</v>
      </c>
      <c r="T173" s="8">
        <v>12.34</v>
      </c>
      <c r="U173" s="8">
        <v>12.16</v>
      </c>
      <c r="V173" s="8">
        <v>13.17</v>
      </c>
      <c r="W173" s="8">
        <v>12.38</v>
      </c>
      <c r="X173" s="8">
        <v>11.33</v>
      </c>
      <c r="Y173" s="8">
        <v>12.54</v>
      </c>
      <c r="Z173" s="8">
        <v>10.99</v>
      </c>
      <c r="AA173" s="8">
        <v>11.63</v>
      </c>
      <c r="AB173" s="8">
        <v>11.41</v>
      </c>
      <c r="AC173" s="8">
        <v>11.95</v>
      </c>
      <c r="AD173" s="8">
        <v>9.1300000000000008</v>
      </c>
      <c r="AE173" s="8">
        <v>12.43</v>
      </c>
      <c r="AF173" s="8">
        <v>13.42</v>
      </c>
      <c r="AG173" s="8">
        <v>10.34</v>
      </c>
      <c r="AH173" s="8">
        <v>10.92</v>
      </c>
      <c r="AI173" s="8">
        <v>10.24</v>
      </c>
      <c r="AJ173" s="8">
        <v>12.33</v>
      </c>
      <c r="AK173" s="8">
        <v>11.5</v>
      </c>
      <c r="AL173" s="8">
        <v>11.97</v>
      </c>
      <c r="AM173" s="8">
        <v>11.58</v>
      </c>
      <c r="AN173" s="8">
        <v>11.97</v>
      </c>
      <c r="AO173" s="8">
        <v>13.65</v>
      </c>
      <c r="AP173" s="8">
        <v>8.8800000000000008</v>
      </c>
      <c r="AQ173" s="8">
        <v>7.69</v>
      </c>
      <c r="AR173" s="8">
        <v>10.24</v>
      </c>
      <c r="AS173" s="8">
        <v>13.65</v>
      </c>
      <c r="AT173" s="8">
        <v>11.23</v>
      </c>
      <c r="AU173" s="6">
        <v>12.67</v>
      </c>
      <c r="AV173" s="6">
        <v>12.39</v>
      </c>
      <c r="AW173" s="6">
        <v>12.77</v>
      </c>
      <c r="AX173" s="6">
        <v>14.27</v>
      </c>
      <c r="AY173" s="6">
        <v>14.34</v>
      </c>
      <c r="AZ173" s="6">
        <v>13.88</v>
      </c>
      <c r="BA173" s="6">
        <v>10.67</v>
      </c>
      <c r="BB173" s="6">
        <v>11.63</v>
      </c>
      <c r="BC173" s="6">
        <v>11.02</v>
      </c>
      <c r="BD173" s="6">
        <v>11.58</v>
      </c>
      <c r="BE173" s="6">
        <v>9.56</v>
      </c>
      <c r="BF173" s="6">
        <v>11.55</v>
      </c>
      <c r="BG173" s="6">
        <v>13.14</v>
      </c>
      <c r="BH173" s="6">
        <v>10.36</v>
      </c>
      <c r="BI173" s="6">
        <v>9.14</v>
      </c>
      <c r="BJ173" s="6">
        <v>12.54</v>
      </c>
      <c r="BK173" s="6">
        <v>12.04</v>
      </c>
      <c r="BL173" s="6">
        <v>11.52</v>
      </c>
      <c r="BM173" s="6">
        <v>12.58</v>
      </c>
      <c r="BN173" s="6">
        <v>11.56</v>
      </c>
      <c r="BO173" s="6">
        <v>13.28</v>
      </c>
      <c r="BP173" s="6">
        <v>11.66</v>
      </c>
      <c r="BQ173" s="6">
        <v>13.32</v>
      </c>
      <c r="BR173" s="6">
        <v>9.8800000000000008</v>
      </c>
      <c r="BS173" s="6">
        <v>12.08</v>
      </c>
      <c r="BT173" s="6">
        <v>11.98</v>
      </c>
      <c r="BU173" s="6">
        <v>13.18</v>
      </c>
      <c r="BV173" s="6">
        <v>12.21</v>
      </c>
      <c r="BW173" s="6">
        <v>11.92</v>
      </c>
      <c r="BX173" s="6">
        <v>11.6</v>
      </c>
      <c r="BY173" s="6">
        <v>10.97</v>
      </c>
      <c r="BZ173" s="6">
        <v>9</v>
      </c>
      <c r="CA173" s="6">
        <v>13.18</v>
      </c>
      <c r="CB173" s="6">
        <v>14.08</v>
      </c>
      <c r="CC173" s="6">
        <v>13.74</v>
      </c>
      <c r="CD173" s="6">
        <v>12.42</v>
      </c>
      <c r="CE173" s="6">
        <v>10.3</v>
      </c>
      <c r="CF173" s="6">
        <v>10.6</v>
      </c>
      <c r="CG173" s="6">
        <v>12.4</v>
      </c>
      <c r="CH173" s="6">
        <v>12.46</v>
      </c>
      <c r="CI173" s="6">
        <v>12.98</v>
      </c>
      <c r="CJ173" s="11">
        <v>11.28</v>
      </c>
      <c r="CK173" s="6">
        <v>10.1</v>
      </c>
      <c r="CL173" s="6">
        <v>14.26</v>
      </c>
      <c r="CM173" s="6">
        <v>13.5</v>
      </c>
      <c r="CN173" s="6">
        <v>12.35</v>
      </c>
      <c r="CO173" s="10">
        <v>13.07</v>
      </c>
      <c r="CP173" s="10"/>
    </row>
    <row r="174" spans="1:94" ht="15.75" customHeight="1" x14ac:dyDescent="0.25">
      <c r="A174" s="4">
        <v>173</v>
      </c>
      <c r="B174" s="4"/>
      <c r="C174" s="4">
        <v>21</v>
      </c>
      <c r="D174" s="8">
        <v>11.73</v>
      </c>
      <c r="E174" s="8">
        <v>12.58</v>
      </c>
      <c r="F174" s="8">
        <v>12.08</v>
      </c>
      <c r="G174" s="8">
        <v>14.03</v>
      </c>
      <c r="H174" s="8">
        <v>10.98</v>
      </c>
      <c r="I174" s="8">
        <v>9.3800000000000008</v>
      </c>
      <c r="J174" s="8">
        <v>11.09</v>
      </c>
      <c r="K174" s="8">
        <v>12.9</v>
      </c>
      <c r="L174" s="8">
        <v>14.07</v>
      </c>
      <c r="M174" s="8">
        <v>14.37</v>
      </c>
      <c r="N174" s="8">
        <v>13.19</v>
      </c>
      <c r="O174" s="8">
        <v>13.78</v>
      </c>
      <c r="P174" s="8">
        <v>11.04</v>
      </c>
      <c r="Q174" s="8">
        <v>12.14</v>
      </c>
      <c r="R174" s="8">
        <v>11.65</v>
      </c>
      <c r="S174" s="8">
        <v>12.45</v>
      </c>
      <c r="T174" s="8">
        <v>12.51</v>
      </c>
      <c r="U174" s="8">
        <v>12.31</v>
      </c>
      <c r="V174" s="8">
        <v>13.31</v>
      </c>
      <c r="W174" s="8">
        <v>12.48</v>
      </c>
      <c r="X174" s="8">
        <v>11.4</v>
      </c>
      <c r="Y174" s="8">
        <v>12.67</v>
      </c>
      <c r="Z174" s="8">
        <v>11.21</v>
      </c>
      <c r="AA174" s="8">
        <v>11.77</v>
      </c>
      <c r="AB174" s="8">
        <v>11.53</v>
      </c>
      <c r="AC174" s="8">
        <v>12.05</v>
      </c>
      <c r="AD174" s="8">
        <v>9.31</v>
      </c>
      <c r="AE174" s="8">
        <v>12.57</v>
      </c>
      <c r="AF174" s="8">
        <v>13.49</v>
      </c>
      <c r="AG174" s="8">
        <v>10.53</v>
      </c>
      <c r="AH174" s="8">
        <v>10.97</v>
      </c>
      <c r="AI174" s="8">
        <v>10.38</v>
      </c>
      <c r="AJ174" s="8">
        <v>12.44</v>
      </c>
      <c r="AK174" s="8">
        <v>11.6</v>
      </c>
      <c r="AL174" s="8">
        <v>12.01</v>
      </c>
      <c r="AM174" s="8">
        <v>11.58</v>
      </c>
      <c r="AN174" s="8">
        <v>12.03</v>
      </c>
      <c r="AO174" s="8">
        <v>13.68</v>
      </c>
      <c r="AP174" s="8">
        <v>9.0299999999999994</v>
      </c>
      <c r="AQ174" s="8">
        <v>7.81</v>
      </c>
      <c r="AR174" s="8">
        <v>10.4</v>
      </c>
      <c r="AS174" s="8">
        <v>13.74</v>
      </c>
      <c r="AT174" s="8">
        <v>11.43</v>
      </c>
      <c r="AU174" s="6">
        <v>12.73</v>
      </c>
      <c r="AV174" s="6">
        <v>12.51</v>
      </c>
      <c r="AW174" s="6">
        <v>12.97</v>
      </c>
      <c r="AX174" s="6">
        <v>14.38</v>
      </c>
      <c r="AY174" s="6">
        <v>14.43</v>
      </c>
      <c r="AZ174" s="6">
        <v>13.93</v>
      </c>
      <c r="BA174" s="6">
        <v>10.78</v>
      </c>
      <c r="BB174" s="6">
        <v>11.711</v>
      </c>
      <c r="BC174" s="6">
        <v>11.118</v>
      </c>
      <c r="BD174" s="6">
        <v>11.62</v>
      </c>
      <c r="BE174" s="6">
        <v>9.77</v>
      </c>
      <c r="BF174" s="6">
        <v>11.63</v>
      </c>
      <c r="BG174" s="6">
        <v>13.22</v>
      </c>
      <c r="BH174" s="6">
        <v>10.5</v>
      </c>
      <c r="BI174" s="6">
        <v>9.3000000000000007</v>
      </c>
      <c r="BJ174" s="6">
        <v>12.64</v>
      </c>
      <c r="BK174" s="6">
        <v>12.1</v>
      </c>
      <c r="BL174" s="6">
        <v>11.68</v>
      </c>
      <c r="BM174" s="6">
        <v>12.62</v>
      </c>
      <c r="BN174" s="6">
        <v>11.54</v>
      </c>
      <c r="BO174" s="6">
        <v>13.4</v>
      </c>
      <c r="BP174" s="6">
        <v>11.68</v>
      </c>
      <c r="BQ174" s="6">
        <v>13.39</v>
      </c>
      <c r="BR174" s="6">
        <v>9.8800000000000008</v>
      </c>
      <c r="BS174" s="6">
        <v>12.18</v>
      </c>
      <c r="BT174" s="6">
        <v>12.04</v>
      </c>
      <c r="BU174" s="6">
        <v>13.26</v>
      </c>
      <c r="BV174" s="6">
        <v>12.26</v>
      </c>
      <c r="BW174" s="6">
        <v>12.02</v>
      </c>
      <c r="BX174" s="6">
        <v>11.7</v>
      </c>
      <c r="BY174" s="6">
        <v>10.97</v>
      </c>
      <c r="BZ174" s="6">
        <v>9.0399999999999991</v>
      </c>
      <c r="CA174" s="6">
        <v>13.34</v>
      </c>
      <c r="CB174" s="6">
        <v>14.06</v>
      </c>
      <c r="CC174" s="6">
        <v>13.84</v>
      </c>
      <c r="CD174" s="6">
        <v>12.5</v>
      </c>
      <c r="CE174" s="6">
        <v>10.6</v>
      </c>
      <c r="CF174" s="6">
        <v>10.72</v>
      </c>
      <c r="CG174" s="6">
        <v>12.46</v>
      </c>
      <c r="CH174" s="6">
        <v>12.54</v>
      </c>
      <c r="CI174" s="6">
        <v>13.18</v>
      </c>
      <c r="CJ174" s="11">
        <v>11.4</v>
      </c>
      <c r="CK174" s="6">
        <v>10.199999999999999</v>
      </c>
      <c r="CL174" s="6">
        <v>14.28</v>
      </c>
      <c r="CM174" s="6">
        <v>13.62</v>
      </c>
      <c r="CN174" s="6">
        <v>12.5</v>
      </c>
      <c r="CO174" s="10">
        <v>13.19</v>
      </c>
      <c r="CP174" s="10"/>
    </row>
    <row r="175" spans="1:94" ht="15.75" customHeight="1" x14ac:dyDescent="0.25">
      <c r="A175" s="4">
        <v>174</v>
      </c>
      <c r="B175" s="4"/>
      <c r="C175" s="4">
        <v>22</v>
      </c>
      <c r="D175" s="8">
        <v>11.83</v>
      </c>
      <c r="E175" s="8">
        <v>12.62</v>
      </c>
      <c r="F175" s="8">
        <v>12.13</v>
      </c>
      <c r="G175" s="8">
        <v>14.08</v>
      </c>
      <c r="H175" s="8">
        <v>11.08</v>
      </c>
      <c r="I175" s="8">
        <v>9.58</v>
      </c>
      <c r="J175" s="8">
        <v>11.24</v>
      </c>
      <c r="K175" s="8">
        <v>12.97</v>
      </c>
      <c r="L175" s="8">
        <v>14.12</v>
      </c>
      <c r="M175" s="8">
        <v>14.44</v>
      </c>
      <c r="N175" s="8">
        <v>13.31</v>
      </c>
      <c r="O175" s="8">
        <v>13.83</v>
      </c>
      <c r="P175" s="8">
        <v>11.16</v>
      </c>
      <c r="Q175" s="8">
        <v>12.26</v>
      </c>
      <c r="R175" s="8">
        <v>11.7</v>
      </c>
      <c r="S175" s="8">
        <v>12.56</v>
      </c>
      <c r="T175" s="8">
        <v>12.63</v>
      </c>
      <c r="U175" s="8">
        <v>12.46</v>
      </c>
      <c r="V175" s="8">
        <v>13.44</v>
      </c>
      <c r="W175" s="8">
        <v>12.63</v>
      </c>
      <c r="X175" s="8">
        <v>11.45</v>
      </c>
      <c r="Y175" s="8">
        <v>12.83</v>
      </c>
      <c r="Z175" s="8">
        <v>11.43</v>
      </c>
      <c r="AA175" s="8">
        <v>11.89</v>
      </c>
      <c r="AB175" s="8">
        <v>11.6</v>
      </c>
      <c r="AC175" s="8">
        <v>12.15</v>
      </c>
      <c r="AD175" s="8">
        <v>9.51</v>
      </c>
      <c r="AE175" s="8">
        <v>12.7</v>
      </c>
      <c r="AF175" s="8">
        <v>13.6</v>
      </c>
      <c r="AG175" s="8">
        <v>10.72</v>
      </c>
      <c r="AH175" s="8">
        <v>10.99</v>
      </c>
      <c r="AI175" s="8">
        <v>10.47</v>
      </c>
      <c r="AJ175" s="8">
        <v>12.52</v>
      </c>
      <c r="AK175" s="8">
        <v>11.7</v>
      </c>
      <c r="AL175" s="8">
        <v>12.11</v>
      </c>
      <c r="AM175" s="8">
        <v>11.6</v>
      </c>
      <c r="AN175" s="8">
        <v>12.06</v>
      </c>
      <c r="AO175" s="8">
        <v>13.7</v>
      </c>
      <c r="AP175" s="8">
        <v>9.16</v>
      </c>
      <c r="AQ175" s="8">
        <v>7.91</v>
      </c>
      <c r="AR175" s="8">
        <v>10.53</v>
      </c>
      <c r="AS175" s="8">
        <v>13.8</v>
      </c>
      <c r="AT175" s="8">
        <v>11.62</v>
      </c>
      <c r="AU175" s="6">
        <v>12.8</v>
      </c>
      <c r="AV175" s="6">
        <v>12.61</v>
      </c>
      <c r="AW175" s="6">
        <v>13.14</v>
      </c>
      <c r="AX175" s="6">
        <v>14.47</v>
      </c>
      <c r="AY175" s="6">
        <v>14.52</v>
      </c>
      <c r="AZ175" s="6">
        <v>13.98</v>
      </c>
      <c r="BA175" s="6">
        <v>10.89</v>
      </c>
      <c r="BB175" s="6">
        <v>11.77</v>
      </c>
      <c r="BC175" s="6">
        <v>11.35</v>
      </c>
      <c r="BD175" s="6">
        <v>11.68</v>
      </c>
      <c r="BE175" s="6">
        <v>10.02</v>
      </c>
      <c r="BF175" s="6">
        <v>11.69</v>
      </c>
      <c r="BG175" s="6">
        <v>13.3</v>
      </c>
      <c r="BH175" s="6">
        <v>10.61</v>
      </c>
      <c r="BI175" s="6">
        <v>9.6</v>
      </c>
      <c r="BJ175" s="6">
        <v>12.76</v>
      </c>
      <c r="BK175" s="6">
        <v>12.2</v>
      </c>
      <c r="BL175" s="6">
        <v>11.82</v>
      </c>
      <c r="BM175" s="6">
        <v>12.7</v>
      </c>
      <c r="BN175" s="6">
        <v>11.56</v>
      </c>
      <c r="BO175" s="6">
        <v>13.5</v>
      </c>
      <c r="BP175" s="6">
        <v>11.68</v>
      </c>
      <c r="BQ175" s="6">
        <v>13.44</v>
      </c>
      <c r="BR175" s="6">
        <v>10</v>
      </c>
      <c r="BS175" s="6">
        <v>12.32</v>
      </c>
      <c r="BT175" s="6">
        <v>12.06</v>
      </c>
      <c r="BU175" s="6">
        <v>13.3</v>
      </c>
      <c r="BV175" s="6">
        <v>12.32</v>
      </c>
      <c r="BW175" s="6">
        <v>12.06</v>
      </c>
      <c r="BX175" s="6">
        <v>11.82</v>
      </c>
      <c r="BY175" s="6">
        <v>10.97</v>
      </c>
      <c r="BZ175" s="6">
        <v>9.1999999999999993</v>
      </c>
      <c r="CA175" s="6">
        <v>13.48</v>
      </c>
      <c r="CB175" s="6">
        <v>14</v>
      </c>
      <c r="CC175" s="6">
        <v>13.88</v>
      </c>
      <c r="CD175" s="6">
        <v>12.56</v>
      </c>
      <c r="CE175" s="6">
        <v>10.8</v>
      </c>
      <c r="CF175" s="6">
        <v>10.78</v>
      </c>
      <c r="CG175" s="6">
        <v>12.58</v>
      </c>
      <c r="CH175" s="6">
        <v>12.6</v>
      </c>
      <c r="CI175" s="6">
        <v>13.32</v>
      </c>
      <c r="CJ175" s="11">
        <v>11.57</v>
      </c>
      <c r="CK175" s="6">
        <v>10.28</v>
      </c>
      <c r="CL175" s="6">
        <v>14.32</v>
      </c>
      <c r="CM175" s="6">
        <v>13.8</v>
      </c>
      <c r="CN175" s="6">
        <v>12.77</v>
      </c>
      <c r="CO175" s="10">
        <v>13.26</v>
      </c>
      <c r="CP175" s="10"/>
    </row>
    <row r="176" spans="1:94" ht="15.75" customHeight="1" x14ac:dyDescent="0.25">
      <c r="A176" s="4">
        <v>175</v>
      </c>
      <c r="B176" s="4"/>
      <c r="C176" s="4">
        <v>23</v>
      </c>
      <c r="D176" s="8">
        <v>11.98</v>
      </c>
      <c r="E176" s="8">
        <v>12.66</v>
      </c>
      <c r="F176" s="8">
        <v>12.23</v>
      </c>
      <c r="G176" s="8">
        <v>14.13</v>
      </c>
      <c r="H176" s="8">
        <v>11.12</v>
      </c>
      <c r="I176" s="8">
        <v>9.68</v>
      </c>
      <c r="J176" s="8">
        <v>11.4</v>
      </c>
      <c r="K176" s="8">
        <v>13.04</v>
      </c>
      <c r="L176" s="8">
        <v>14.2</v>
      </c>
      <c r="M176" s="8">
        <v>14.48</v>
      </c>
      <c r="N176" s="8">
        <v>13.41</v>
      </c>
      <c r="O176" s="8">
        <v>13.87</v>
      </c>
      <c r="P176" s="8">
        <v>11.23</v>
      </c>
      <c r="Q176" s="8">
        <v>12.42</v>
      </c>
      <c r="R176" s="8">
        <v>11.75</v>
      </c>
      <c r="S176" s="8">
        <v>12.61</v>
      </c>
      <c r="T176" s="8">
        <v>12.71</v>
      </c>
      <c r="U176" s="8">
        <v>12.63</v>
      </c>
      <c r="V176" s="8">
        <v>13.53</v>
      </c>
      <c r="W176" s="8">
        <v>12.73</v>
      </c>
      <c r="X176" s="8">
        <v>11.52</v>
      </c>
      <c r="Y176" s="8">
        <v>13.01</v>
      </c>
      <c r="Z176" s="8">
        <v>11.55</v>
      </c>
      <c r="AA176" s="8">
        <v>12.01</v>
      </c>
      <c r="AB176" s="8">
        <v>11.7</v>
      </c>
      <c r="AC176" s="8">
        <v>12.25</v>
      </c>
      <c r="AD176" s="8">
        <v>9.7200000000000006</v>
      </c>
      <c r="AE176" s="8">
        <v>12.89</v>
      </c>
      <c r="AF176" s="8">
        <v>13.72</v>
      </c>
      <c r="AG176" s="8">
        <v>10.9</v>
      </c>
      <c r="AH176" s="8">
        <v>11.01</v>
      </c>
      <c r="AI176" s="8">
        <v>10.49</v>
      </c>
      <c r="AJ176" s="8">
        <v>12.59</v>
      </c>
      <c r="AK176" s="8">
        <v>11.81</v>
      </c>
      <c r="AL176" s="8">
        <v>12.27</v>
      </c>
      <c r="AM176" s="8">
        <v>11.63</v>
      </c>
      <c r="AN176" s="8">
        <v>12.13</v>
      </c>
      <c r="AO176" s="8">
        <v>13.66</v>
      </c>
      <c r="AP176" s="8">
        <v>9.35</v>
      </c>
      <c r="AQ176" s="8">
        <v>8.01</v>
      </c>
      <c r="AR176" s="8">
        <v>10.65</v>
      </c>
      <c r="AS176" s="8">
        <v>13.83</v>
      </c>
      <c r="AT176" s="8">
        <v>11.79</v>
      </c>
      <c r="AU176" s="6">
        <v>12.88</v>
      </c>
      <c r="AV176" s="6">
        <v>12.8</v>
      </c>
      <c r="AW176" s="6">
        <v>13.31</v>
      </c>
      <c r="AX176" s="6">
        <v>14.57</v>
      </c>
      <c r="AY176" s="6">
        <v>14.59</v>
      </c>
      <c r="AZ176" s="6">
        <v>14.03</v>
      </c>
      <c r="BA176" s="6">
        <v>10.96</v>
      </c>
      <c r="BB176" s="6">
        <v>11.811</v>
      </c>
      <c r="BC176" s="6">
        <v>11.47</v>
      </c>
      <c r="BD176" s="6">
        <v>11.74</v>
      </c>
      <c r="BE176" s="6">
        <v>10.220000000000001</v>
      </c>
      <c r="BF176" s="6">
        <v>11.77</v>
      </c>
      <c r="BG176" s="6">
        <v>13.31</v>
      </c>
      <c r="BH176" s="6">
        <v>10.72</v>
      </c>
      <c r="BI176" s="6">
        <v>9.69</v>
      </c>
      <c r="BJ176" s="6">
        <v>12.92</v>
      </c>
      <c r="BK176" s="6">
        <v>12.36</v>
      </c>
      <c r="BL176" s="6">
        <v>12</v>
      </c>
      <c r="BM176" s="6">
        <v>12.8</v>
      </c>
      <c r="BN176" s="6">
        <v>11.59</v>
      </c>
      <c r="BO176" s="6">
        <v>13.62</v>
      </c>
      <c r="BP176" s="6">
        <v>11.73</v>
      </c>
      <c r="BQ176" s="6">
        <v>13.5</v>
      </c>
      <c r="BR176" s="6">
        <v>10.08</v>
      </c>
      <c r="BS176" s="6">
        <v>12.5</v>
      </c>
      <c r="BT176" s="6">
        <v>12.12</v>
      </c>
      <c r="BU176" s="6">
        <v>13.4</v>
      </c>
      <c r="BV176" s="6">
        <v>12.32</v>
      </c>
      <c r="BW176" s="6">
        <v>12.08</v>
      </c>
      <c r="BX176" s="6">
        <v>12.06</v>
      </c>
      <c r="BY176" s="6">
        <v>11</v>
      </c>
      <c r="BZ176" s="6">
        <v>9.5399999999999991</v>
      </c>
      <c r="CA176" s="6">
        <v>13.56</v>
      </c>
      <c r="CB176" s="6">
        <v>14</v>
      </c>
      <c r="CC176" s="6">
        <v>13.9</v>
      </c>
      <c r="CD176" s="6">
        <v>12.62</v>
      </c>
      <c r="CE176" s="6">
        <v>10.9</v>
      </c>
      <c r="CF176" s="6">
        <v>10.86</v>
      </c>
      <c r="CG176" s="6">
        <v>12.72</v>
      </c>
      <c r="CH176" s="6">
        <v>12.7</v>
      </c>
      <c r="CI176" s="6">
        <v>13.5</v>
      </c>
      <c r="CJ176" s="11">
        <v>11.7</v>
      </c>
      <c r="CK176" s="6">
        <v>10.38</v>
      </c>
      <c r="CL176" s="6">
        <v>14.4</v>
      </c>
      <c r="CM176" s="6">
        <v>13.98</v>
      </c>
      <c r="CN176" s="6">
        <v>12.91</v>
      </c>
      <c r="CO176" s="10">
        <v>13.32</v>
      </c>
      <c r="CP176" s="10"/>
    </row>
    <row r="177" spans="1:94" ht="15.75" customHeight="1" x14ac:dyDescent="0.25">
      <c r="A177" s="4">
        <v>176</v>
      </c>
      <c r="B177" s="4"/>
      <c r="C177" s="4">
        <v>24</v>
      </c>
      <c r="D177" s="8">
        <v>12.13</v>
      </c>
      <c r="E177" s="8">
        <v>12.68</v>
      </c>
      <c r="F177" s="8">
        <v>12.28</v>
      </c>
      <c r="G177" s="8">
        <v>14.18</v>
      </c>
      <c r="H177" s="8">
        <v>11.16</v>
      </c>
      <c r="I177" s="8">
        <v>9.7200000000000006</v>
      </c>
      <c r="J177" s="8">
        <v>11.54</v>
      </c>
      <c r="K177" s="8">
        <v>13.11</v>
      </c>
      <c r="L177" s="8">
        <v>14.29</v>
      </c>
      <c r="M177" s="8">
        <v>14.52</v>
      </c>
      <c r="N177" s="8">
        <v>13.48</v>
      </c>
      <c r="O177" s="8">
        <v>13.89</v>
      </c>
      <c r="P177" s="8">
        <v>11.34</v>
      </c>
      <c r="Q177" s="8">
        <v>12.7</v>
      </c>
      <c r="R177" s="8">
        <v>11.81</v>
      </c>
      <c r="S177" s="8">
        <v>12.71</v>
      </c>
      <c r="T177" s="8">
        <v>12.83</v>
      </c>
      <c r="U177" s="8">
        <v>12.79</v>
      </c>
      <c r="V177" s="8">
        <v>13.6</v>
      </c>
      <c r="W177" s="8">
        <v>12.8</v>
      </c>
      <c r="X177" s="8">
        <v>11.61</v>
      </c>
      <c r="Y177" s="8">
        <v>13.13</v>
      </c>
      <c r="Z177" s="8">
        <v>11.68</v>
      </c>
      <c r="AA177" s="8">
        <v>12.15</v>
      </c>
      <c r="AB177" s="8">
        <v>11.81</v>
      </c>
      <c r="AC177" s="8">
        <v>12.35</v>
      </c>
      <c r="AD177" s="8">
        <v>9.89</v>
      </c>
      <c r="AE177" s="8">
        <v>13.03</v>
      </c>
      <c r="AF177" s="8">
        <v>13.83</v>
      </c>
      <c r="AG177" s="8">
        <v>11.08</v>
      </c>
      <c r="AH177" s="8">
        <v>11.07</v>
      </c>
      <c r="AI177" s="8">
        <v>10.45</v>
      </c>
      <c r="AJ177" s="8">
        <v>12.67</v>
      </c>
      <c r="AK177" s="8">
        <v>11.9</v>
      </c>
      <c r="AL177" s="8">
        <v>12.44</v>
      </c>
      <c r="AM177" s="8">
        <v>11.7</v>
      </c>
      <c r="AN177" s="8">
        <v>12.19</v>
      </c>
      <c r="AO177" s="8">
        <v>13.64</v>
      </c>
      <c r="AP177" s="8">
        <v>9.57</v>
      </c>
      <c r="AQ177" s="8">
        <v>8.09</v>
      </c>
      <c r="AR177" s="8">
        <v>10.79</v>
      </c>
      <c r="AS177" s="8">
        <v>13.86</v>
      </c>
      <c r="AT177" s="8">
        <v>11.95</v>
      </c>
      <c r="AU177" s="6">
        <v>12.93</v>
      </c>
      <c r="AV177" s="6">
        <v>13.03</v>
      </c>
      <c r="AW177" s="6">
        <v>13.47</v>
      </c>
      <c r="AX177" s="6">
        <v>14.68</v>
      </c>
      <c r="AY177" s="6">
        <v>14.64</v>
      </c>
      <c r="AZ177" s="6">
        <v>14.06</v>
      </c>
      <c r="BA177" s="6">
        <v>11</v>
      </c>
      <c r="BB177" s="6">
        <v>11.84</v>
      </c>
      <c r="BC177" s="6">
        <v>11.64</v>
      </c>
      <c r="BD177" s="6">
        <v>11.81</v>
      </c>
      <c r="BE177" s="6">
        <v>10.42</v>
      </c>
      <c r="BF177" s="6">
        <v>11.85</v>
      </c>
      <c r="BG177" s="6">
        <v>13.34</v>
      </c>
      <c r="BH177" s="6">
        <v>10.77</v>
      </c>
      <c r="BI177" s="6">
        <v>10.050000000000001</v>
      </c>
      <c r="BJ177" s="6">
        <v>13.06</v>
      </c>
      <c r="BK177" s="6">
        <v>12.38</v>
      </c>
      <c r="BL177" s="6">
        <v>12.12</v>
      </c>
      <c r="BM177" s="6">
        <v>12.9</v>
      </c>
      <c r="BN177" s="6">
        <v>11.62</v>
      </c>
      <c r="BO177" s="6">
        <v>13.76</v>
      </c>
      <c r="BP177" s="6">
        <v>11.86</v>
      </c>
      <c r="BQ177" s="6">
        <v>13.52</v>
      </c>
      <c r="BR177" s="6">
        <v>10.199999999999999</v>
      </c>
      <c r="BS177" s="6">
        <v>12.66</v>
      </c>
      <c r="BT177" s="6">
        <v>12.22</v>
      </c>
      <c r="BU177" s="6">
        <v>13.5</v>
      </c>
      <c r="BV177" s="6">
        <v>12.42</v>
      </c>
      <c r="BW177" s="6">
        <v>12.18</v>
      </c>
      <c r="BX177" s="6">
        <v>12.06</v>
      </c>
      <c r="BY177" s="6">
        <v>11.1</v>
      </c>
      <c r="BZ177" s="6">
        <v>9.6</v>
      </c>
      <c r="CA177" s="6">
        <v>13.66</v>
      </c>
      <c r="CB177" s="6">
        <v>14.06</v>
      </c>
      <c r="CC177" s="6">
        <v>13.9</v>
      </c>
      <c r="CD177" s="6">
        <v>12.68</v>
      </c>
      <c r="CE177" s="6">
        <v>11</v>
      </c>
      <c r="CF177" s="6">
        <v>10.9</v>
      </c>
      <c r="CG177" s="6">
        <v>12.8</v>
      </c>
      <c r="CH177" s="6">
        <v>12.81</v>
      </c>
      <c r="CI177" s="6">
        <v>13.62</v>
      </c>
      <c r="CJ177" s="11">
        <v>11.86</v>
      </c>
      <c r="CK177" s="6">
        <v>10.48</v>
      </c>
      <c r="CL177" s="6">
        <v>14.44</v>
      </c>
      <c r="CM177" s="6">
        <v>14</v>
      </c>
      <c r="CN177" s="6">
        <v>13.09</v>
      </c>
      <c r="CO177" s="10">
        <v>13.4</v>
      </c>
      <c r="CP177" s="10"/>
    </row>
    <row r="178" spans="1:94" ht="15.75" customHeight="1" x14ac:dyDescent="0.25">
      <c r="A178" s="4">
        <v>177</v>
      </c>
      <c r="B178" s="4"/>
      <c r="C178" s="4">
        <v>25</v>
      </c>
      <c r="D178" s="8">
        <v>12.28</v>
      </c>
      <c r="E178" s="8">
        <v>12.73</v>
      </c>
      <c r="F178" s="8">
        <v>12.38</v>
      </c>
      <c r="G178" s="8">
        <v>14.22</v>
      </c>
      <c r="H178" s="8">
        <v>11.2</v>
      </c>
      <c r="I178" s="8">
        <v>9.7799999999999994</v>
      </c>
      <c r="J178" s="8">
        <v>11.68</v>
      </c>
      <c r="K178" s="8">
        <v>13.17</v>
      </c>
      <c r="L178" s="8">
        <v>14.38</v>
      </c>
      <c r="M178" s="8">
        <v>14.56</v>
      </c>
      <c r="N178" s="8">
        <v>13.53</v>
      </c>
      <c r="O178" s="8">
        <v>13.89</v>
      </c>
      <c r="P178" s="8">
        <v>11.44</v>
      </c>
      <c r="Q178" s="8">
        <v>12.97</v>
      </c>
      <c r="R178" s="8">
        <v>11.89</v>
      </c>
      <c r="S178" s="8">
        <v>12.81</v>
      </c>
      <c r="T178" s="8">
        <v>12.97</v>
      </c>
      <c r="U178" s="8">
        <v>12.93</v>
      </c>
      <c r="V178" s="8">
        <v>13.63</v>
      </c>
      <c r="W178" s="8">
        <v>12.9</v>
      </c>
      <c r="X178" s="8">
        <v>11.68</v>
      </c>
      <c r="Y178" s="8">
        <v>13.31</v>
      </c>
      <c r="Z178" s="8">
        <v>11.79</v>
      </c>
      <c r="AA178" s="8">
        <v>12.27</v>
      </c>
      <c r="AB178" s="8">
        <v>11.93</v>
      </c>
      <c r="AC178" s="8">
        <v>12.45</v>
      </c>
      <c r="AD178" s="8">
        <v>10.050000000000001</v>
      </c>
      <c r="AE178" s="8">
        <v>13.17</v>
      </c>
      <c r="AF178" s="8">
        <v>13.91</v>
      </c>
      <c r="AG178" s="8">
        <v>11.24</v>
      </c>
      <c r="AH178" s="8">
        <v>11.13</v>
      </c>
      <c r="AI178" s="8">
        <v>10.5</v>
      </c>
      <c r="AJ178" s="8">
        <v>12.76</v>
      </c>
      <c r="AK178" s="8">
        <v>11.98</v>
      </c>
      <c r="AL178" s="8">
        <v>12.59</v>
      </c>
      <c r="AM178" s="8">
        <v>11.76</v>
      </c>
      <c r="AN178" s="8">
        <v>12.29</v>
      </c>
      <c r="AO178" s="8">
        <v>13.68</v>
      </c>
      <c r="AP178" s="8">
        <v>9.75</v>
      </c>
      <c r="AQ178" s="8">
        <v>8.2200000000000006</v>
      </c>
      <c r="AR178" s="8">
        <v>10.99</v>
      </c>
      <c r="AS178" s="8">
        <v>13.89</v>
      </c>
      <c r="AT178" s="8">
        <v>12.11</v>
      </c>
      <c r="AU178" s="6">
        <v>13.06</v>
      </c>
      <c r="AV178" s="6">
        <v>13.22</v>
      </c>
      <c r="AW178" s="6">
        <v>13.64</v>
      </c>
      <c r="AX178" s="6">
        <v>14.77</v>
      </c>
      <c r="AY178" s="6">
        <v>14.68</v>
      </c>
      <c r="AZ178" s="6">
        <v>14.01</v>
      </c>
      <c r="BA178" s="6">
        <v>11.11</v>
      </c>
      <c r="BB178" s="6">
        <v>11.88</v>
      </c>
      <c r="BC178" s="6">
        <v>11.77</v>
      </c>
      <c r="BD178" s="6">
        <v>11.89</v>
      </c>
      <c r="BE178" s="6">
        <v>10.56</v>
      </c>
      <c r="BF178" s="6">
        <v>11.92</v>
      </c>
      <c r="BG178" s="6">
        <v>13.35</v>
      </c>
      <c r="BH178" s="6">
        <v>10.77</v>
      </c>
      <c r="BI178" s="6">
        <v>10.3</v>
      </c>
      <c r="BJ178" s="6">
        <v>13.2</v>
      </c>
      <c r="BK178" s="6">
        <v>12.46</v>
      </c>
      <c r="BL178" s="6">
        <v>12.22</v>
      </c>
      <c r="BM178" s="6">
        <v>12.98</v>
      </c>
      <c r="BN178" s="6">
        <v>11.66</v>
      </c>
      <c r="BO178" s="6">
        <v>13.86</v>
      </c>
      <c r="BP178" s="6">
        <v>11.8</v>
      </c>
      <c r="BQ178" s="6">
        <v>13.6</v>
      </c>
      <c r="BR178" s="6">
        <v>10.4</v>
      </c>
      <c r="BS178" s="6">
        <v>12.82</v>
      </c>
      <c r="BT178" s="6">
        <v>12.3</v>
      </c>
      <c r="BU178" s="6">
        <v>13.6</v>
      </c>
      <c r="BV178" s="6">
        <v>12.6</v>
      </c>
      <c r="BW178" s="6">
        <v>12.28</v>
      </c>
      <c r="BX178" s="6">
        <v>12.06</v>
      </c>
      <c r="BY178" s="6">
        <v>11.2</v>
      </c>
      <c r="BZ178" s="6">
        <v>9.9</v>
      </c>
      <c r="CA178" s="6">
        <v>13.72</v>
      </c>
      <c r="CB178" s="6">
        <v>14.1</v>
      </c>
      <c r="CC178" s="6">
        <v>13.9</v>
      </c>
      <c r="CD178" s="6">
        <v>12.7</v>
      </c>
      <c r="CE178" s="6">
        <v>11.1</v>
      </c>
      <c r="CF178" s="6">
        <v>10.9</v>
      </c>
      <c r="CG178" s="6">
        <v>12.86</v>
      </c>
      <c r="CH178" s="6">
        <v>12.9</v>
      </c>
      <c r="CI178" s="6">
        <v>13.76</v>
      </c>
      <c r="CJ178" s="11">
        <v>11.96</v>
      </c>
      <c r="CK178" s="6">
        <v>10.6</v>
      </c>
      <c r="CL178" s="6">
        <v>14.5</v>
      </c>
      <c r="CM178" s="6">
        <v>14.16</v>
      </c>
      <c r="CN178" s="6">
        <v>13.24</v>
      </c>
      <c r="CO178" s="10">
        <v>13.48</v>
      </c>
      <c r="CP178" s="10"/>
    </row>
    <row r="179" spans="1:94" ht="15.75" customHeight="1" x14ac:dyDescent="0.25">
      <c r="A179" s="4">
        <v>178</v>
      </c>
      <c r="B179" s="4"/>
      <c r="C179" s="4">
        <v>26</v>
      </c>
      <c r="D179" s="8">
        <v>12.38</v>
      </c>
      <c r="E179" s="8">
        <v>12.78</v>
      </c>
      <c r="F179" s="8">
        <v>12.48</v>
      </c>
      <c r="G179" s="8">
        <v>14.26</v>
      </c>
      <c r="H179" s="8">
        <v>11.22</v>
      </c>
      <c r="I179" s="8">
        <v>9.8000000000000007</v>
      </c>
      <c r="J179" s="8">
        <v>11.86</v>
      </c>
      <c r="K179" s="8">
        <v>13.25</v>
      </c>
      <c r="L179" s="8">
        <v>14.58</v>
      </c>
      <c r="M179" s="8">
        <v>14.6</v>
      </c>
      <c r="N179" s="8">
        <v>13.56</v>
      </c>
      <c r="O179" s="8">
        <v>13.89</v>
      </c>
      <c r="P179" s="8">
        <v>11.56</v>
      </c>
      <c r="Q179" s="8">
        <v>13.2</v>
      </c>
      <c r="R179" s="8">
        <v>11.95</v>
      </c>
      <c r="S179" s="8">
        <v>12.96</v>
      </c>
      <c r="T179" s="8">
        <v>13.06</v>
      </c>
      <c r="U179" s="8">
        <v>13.11</v>
      </c>
      <c r="V179" s="8">
        <v>13.7</v>
      </c>
      <c r="W179" s="8">
        <v>13</v>
      </c>
      <c r="X179" s="8">
        <v>11.79</v>
      </c>
      <c r="Y179" s="8">
        <v>13.31</v>
      </c>
      <c r="Z179" s="8">
        <v>11.91</v>
      </c>
      <c r="AA179" s="8">
        <v>12.43</v>
      </c>
      <c r="AB179" s="8">
        <v>12.03</v>
      </c>
      <c r="AC179" s="8">
        <v>12.57</v>
      </c>
      <c r="AD179" s="8">
        <v>10.25</v>
      </c>
      <c r="AE179" s="8">
        <v>13.3</v>
      </c>
      <c r="AF179" s="8">
        <v>14.01</v>
      </c>
      <c r="AG179" s="8">
        <v>11.34</v>
      </c>
      <c r="AH179" s="8">
        <v>11.17</v>
      </c>
      <c r="AI179" s="8">
        <v>10.6</v>
      </c>
      <c r="AJ179" s="8">
        <v>12.87</v>
      </c>
      <c r="AK179" s="8">
        <v>12.06</v>
      </c>
      <c r="AL179" s="8">
        <v>12.72</v>
      </c>
      <c r="AM179" s="8">
        <v>11.85</v>
      </c>
      <c r="AN179" s="8">
        <v>12.42</v>
      </c>
      <c r="AO179" s="8">
        <v>13.74</v>
      </c>
      <c r="AP179" s="8">
        <v>9.8699999999999992</v>
      </c>
      <c r="AQ179" s="8">
        <v>8.41</v>
      </c>
      <c r="AR179" s="8">
        <v>11.13</v>
      </c>
      <c r="AS179" s="8">
        <v>13.95</v>
      </c>
      <c r="AT179" s="8">
        <v>12.25</v>
      </c>
      <c r="AU179" s="6">
        <v>13.25</v>
      </c>
      <c r="AV179" s="6">
        <v>13.5</v>
      </c>
      <c r="AW179" s="6">
        <v>13.77</v>
      </c>
      <c r="AX179" s="6">
        <v>14.85</v>
      </c>
      <c r="AY179" s="6">
        <v>14.72</v>
      </c>
      <c r="AZ179" s="6">
        <v>14.03</v>
      </c>
      <c r="BA179" s="6">
        <v>11.25</v>
      </c>
      <c r="BB179" s="6">
        <v>11.93</v>
      </c>
      <c r="BC179" s="6">
        <v>11.92</v>
      </c>
      <c r="BD179" s="6">
        <v>11.98</v>
      </c>
      <c r="BE179" s="6">
        <v>10.6</v>
      </c>
      <c r="BF179" s="6">
        <v>12.012</v>
      </c>
      <c r="BG179" s="6">
        <v>13.38</v>
      </c>
      <c r="BH179" s="6">
        <v>10.77</v>
      </c>
      <c r="BI179" s="6">
        <v>10.56</v>
      </c>
      <c r="BJ179" s="6">
        <v>13.32</v>
      </c>
      <c r="BK179" s="6">
        <v>12.56</v>
      </c>
      <c r="BL179" s="6">
        <v>12.32</v>
      </c>
      <c r="BM179" s="6">
        <v>13.08</v>
      </c>
      <c r="BN179" s="6">
        <v>11.7</v>
      </c>
      <c r="BO179" s="6">
        <v>13.96</v>
      </c>
      <c r="BP179" s="6">
        <v>11.84</v>
      </c>
      <c r="BQ179" s="6">
        <v>13.68</v>
      </c>
      <c r="BR179" s="6">
        <v>10.53</v>
      </c>
      <c r="BS179" s="6">
        <v>13</v>
      </c>
      <c r="BT179" s="6">
        <v>12.39</v>
      </c>
      <c r="BU179" s="6">
        <v>13.66</v>
      </c>
      <c r="BV179" s="6">
        <v>12.6</v>
      </c>
      <c r="BW179" s="6">
        <v>12.4</v>
      </c>
      <c r="BX179" s="6">
        <v>12.18</v>
      </c>
      <c r="BY179" s="6">
        <v>11.34</v>
      </c>
      <c r="BZ179" s="6">
        <v>9.9600000000000009</v>
      </c>
      <c r="CA179" s="6">
        <v>13.78</v>
      </c>
      <c r="CB179" s="6">
        <v>14.18</v>
      </c>
      <c r="CC179" s="6">
        <v>13.92</v>
      </c>
      <c r="CD179" s="6">
        <v>12.76</v>
      </c>
      <c r="CE179" s="6">
        <v>11.22</v>
      </c>
      <c r="CF179" s="6">
        <v>11.04</v>
      </c>
      <c r="CG179" s="6">
        <v>12.98</v>
      </c>
      <c r="CH179" s="6">
        <v>13</v>
      </c>
      <c r="CI179" s="6">
        <v>13.88</v>
      </c>
      <c r="CJ179" s="11">
        <v>12.1</v>
      </c>
      <c r="CK179" s="6">
        <v>10.8</v>
      </c>
      <c r="CL179" s="6">
        <v>14.54</v>
      </c>
      <c r="CM179" s="6">
        <v>14.3</v>
      </c>
      <c r="CN179" s="6">
        <v>13.3</v>
      </c>
      <c r="CO179" s="10">
        <v>13.62</v>
      </c>
      <c r="CP179" s="10"/>
    </row>
    <row r="180" spans="1:94" ht="15.75" customHeight="1" x14ac:dyDescent="0.25">
      <c r="A180" s="4">
        <v>179</v>
      </c>
      <c r="B180" s="4"/>
      <c r="C180" s="4">
        <v>27</v>
      </c>
      <c r="D180" s="8">
        <v>12.43</v>
      </c>
      <c r="E180" s="8">
        <v>12.84</v>
      </c>
      <c r="F180" s="8">
        <v>12.53</v>
      </c>
      <c r="G180" s="8">
        <v>14.3</v>
      </c>
      <c r="H180" s="8">
        <v>11.24</v>
      </c>
      <c r="I180" s="8">
        <v>9.82</v>
      </c>
      <c r="J180" s="8">
        <v>12.05</v>
      </c>
      <c r="K180" s="8">
        <v>13.32</v>
      </c>
      <c r="L180" s="8">
        <v>14.71</v>
      </c>
      <c r="M180" s="8">
        <v>14.64</v>
      </c>
      <c r="N180" s="8">
        <v>13.61</v>
      </c>
      <c r="O180" s="8">
        <v>13.94</v>
      </c>
      <c r="P180" s="8">
        <v>11.66</v>
      </c>
      <c r="Q180" s="8">
        <v>13.37</v>
      </c>
      <c r="R180" s="8">
        <v>12.02</v>
      </c>
      <c r="S180" s="8">
        <v>13.11</v>
      </c>
      <c r="T180" s="8">
        <v>13.14</v>
      </c>
      <c r="U180" s="8">
        <v>13.26</v>
      </c>
      <c r="V180" s="8">
        <v>13.81</v>
      </c>
      <c r="W180" s="8">
        <v>13.19</v>
      </c>
      <c r="X180" s="8">
        <v>11.89</v>
      </c>
      <c r="Y180" s="8">
        <v>13.34</v>
      </c>
      <c r="Z180" s="8">
        <v>12.02</v>
      </c>
      <c r="AA180" s="8">
        <v>12.63</v>
      </c>
      <c r="AB180" s="8">
        <v>12.11</v>
      </c>
      <c r="AC180" s="8">
        <v>12.69</v>
      </c>
      <c r="AD180" s="8">
        <v>10.39</v>
      </c>
      <c r="AE180" s="8">
        <v>13.42</v>
      </c>
      <c r="AF180" s="8">
        <v>14.07</v>
      </c>
      <c r="AG180" s="8">
        <v>11.38</v>
      </c>
      <c r="AH180" s="8">
        <v>11.29</v>
      </c>
      <c r="AI180" s="8">
        <v>10.84</v>
      </c>
      <c r="AJ180" s="8">
        <v>13.01</v>
      </c>
      <c r="AK180" s="8">
        <v>12.12</v>
      </c>
      <c r="AL180" s="8">
        <v>12.82</v>
      </c>
      <c r="AM180" s="8">
        <v>11.97</v>
      </c>
      <c r="AN180" s="8">
        <v>12.54</v>
      </c>
      <c r="AO180" s="8">
        <v>13.78</v>
      </c>
      <c r="AP180" s="8">
        <v>10.039999999999999</v>
      </c>
      <c r="AQ180" s="8">
        <v>8.5299999999999994</v>
      </c>
      <c r="AR180" s="8">
        <v>11.24</v>
      </c>
      <c r="AS180" s="8">
        <v>14.01</v>
      </c>
      <c r="AT180" s="8">
        <v>12.35</v>
      </c>
      <c r="AU180" s="6">
        <v>13.43</v>
      </c>
      <c r="AV180" s="6">
        <v>13.69</v>
      </c>
      <c r="AW180" s="6">
        <v>13.92</v>
      </c>
      <c r="AX180" s="6">
        <v>14.92</v>
      </c>
      <c r="AY180" s="6">
        <v>14.75</v>
      </c>
      <c r="AZ180" s="6">
        <v>14.1</v>
      </c>
      <c r="BA180" s="6">
        <v>11.35</v>
      </c>
      <c r="BB180" s="6">
        <v>12.03</v>
      </c>
      <c r="BC180" s="6">
        <v>12.03</v>
      </c>
      <c r="BD180" s="6">
        <v>12.06</v>
      </c>
      <c r="BE180" s="6">
        <v>10.65</v>
      </c>
      <c r="BF180" s="6">
        <v>12.11</v>
      </c>
      <c r="BG180" s="6">
        <v>13.43</v>
      </c>
      <c r="BH180" s="6">
        <v>10.84</v>
      </c>
      <c r="BI180" s="6">
        <v>10.78</v>
      </c>
      <c r="BJ180" s="6">
        <v>13.4</v>
      </c>
      <c r="BK180" s="6">
        <v>12.58</v>
      </c>
      <c r="BL180" s="6">
        <v>12.38</v>
      </c>
      <c r="BM180" s="6">
        <v>13.18</v>
      </c>
      <c r="BN180" s="6">
        <v>11.72</v>
      </c>
      <c r="BO180" s="6">
        <v>14.06</v>
      </c>
      <c r="BP180" s="6">
        <v>11.9</v>
      </c>
      <c r="BQ180" s="6">
        <v>13.78</v>
      </c>
      <c r="BR180" s="6">
        <v>10.7</v>
      </c>
      <c r="BS180" s="6">
        <v>13.12</v>
      </c>
      <c r="BT180" s="6">
        <v>12.48</v>
      </c>
      <c r="BU180" s="6">
        <v>13.7</v>
      </c>
      <c r="BV180" s="6">
        <v>12.66</v>
      </c>
      <c r="BW180" s="6">
        <v>12.58</v>
      </c>
      <c r="BX180" s="6">
        <v>12.26</v>
      </c>
      <c r="BY180" s="6">
        <v>11.48</v>
      </c>
      <c r="BZ180" s="6">
        <v>10.06</v>
      </c>
      <c r="CA180" s="6">
        <v>13.82</v>
      </c>
      <c r="CB180" s="6">
        <v>14.3</v>
      </c>
      <c r="CC180" s="6">
        <v>13.8</v>
      </c>
      <c r="CD180" s="6">
        <v>12.82</v>
      </c>
      <c r="CE180" s="6">
        <v>11.42</v>
      </c>
      <c r="CF180" s="6">
        <v>11.1</v>
      </c>
      <c r="CG180" s="6">
        <v>13.22</v>
      </c>
      <c r="CH180" s="6">
        <v>13.1</v>
      </c>
      <c r="CI180" s="6">
        <v>14</v>
      </c>
      <c r="CJ180" s="11">
        <v>12.22</v>
      </c>
      <c r="CK180" s="6">
        <v>10.84</v>
      </c>
      <c r="CL180" s="6">
        <v>14.56</v>
      </c>
      <c r="CM180" s="6">
        <v>14.444000000000001</v>
      </c>
      <c r="CN180" s="6">
        <v>13.37</v>
      </c>
      <c r="CO180" s="10">
        <v>13.73</v>
      </c>
      <c r="CP180" s="10"/>
    </row>
    <row r="181" spans="1:94" ht="15.75" customHeight="1" x14ac:dyDescent="0.25">
      <c r="A181" s="4">
        <v>180</v>
      </c>
      <c r="B181" s="4"/>
      <c r="C181" s="4">
        <v>28</v>
      </c>
      <c r="D181" s="8">
        <v>12.53</v>
      </c>
      <c r="E181" s="8">
        <v>12.9</v>
      </c>
      <c r="F181" s="8">
        <v>12.63</v>
      </c>
      <c r="G181" s="8">
        <v>14.34</v>
      </c>
      <c r="H181" s="8">
        <v>11.28</v>
      </c>
      <c r="I181" s="8">
        <v>9.84</v>
      </c>
      <c r="J181" s="8">
        <v>12.13</v>
      </c>
      <c r="K181" s="8">
        <v>13.4</v>
      </c>
      <c r="L181" s="8">
        <v>14.76</v>
      </c>
      <c r="M181" s="8">
        <v>14.73</v>
      </c>
      <c r="N181" s="8">
        <v>13.64</v>
      </c>
      <c r="O181" s="8">
        <v>14</v>
      </c>
      <c r="P181" s="8">
        <v>11.8</v>
      </c>
      <c r="Q181" s="8">
        <v>13.57</v>
      </c>
      <c r="R181" s="8">
        <v>12.03</v>
      </c>
      <c r="S181" s="8">
        <v>13.26</v>
      </c>
      <c r="T181" s="8">
        <v>13.2</v>
      </c>
      <c r="U181" s="8">
        <v>13.38</v>
      </c>
      <c r="V181" s="8">
        <v>13.98</v>
      </c>
      <c r="W181" s="8">
        <v>13.37</v>
      </c>
      <c r="X181" s="8">
        <v>12.04</v>
      </c>
      <c r="Y181" s="8">
        <v>13.36</v>
      </c>
      <c r="Z181" s="8">
        <v>12.11</v>
      </c>
      <c r="AA181" s="8">
        <v>12.79</v>
      </c>
      <c r="AB181" s="8">
        <v>12.18</v>
      </c>
      <c r="AC181" s="8">
        <v>12.75</v>
      </c>
      <c r="AD181" s="8">
        <v>10.53</v>
      </c>
      <c r="AE181" s="8">
        <v>13.52</v>
      </c>
      <c r="AF181" s="8">
        <v>14.21</v>
      </c>
      <c r="AG181" s="8">
        <v>11.45</v>
      </c>
      <c r="AH181" s="8">
        <v>11.41</v>
      </c>
      <c r="AI181" s="8">
        <v>11.1</v>
      </c>
      <c r="AJ181" s="8">
        <v>13.15</v>
      </c>
      <c r="AK181" s="8">
        <v>12.25</v>
      </c>
      <c r="AL181" s="8">
        <v>12.94</v>
      </c>
      <c r="AM181" s="8">
        <v>12.07</v>
      </c>
      <c r="AN181" s="8">
        <v>12.67</v>
      </c>
      <c r="AO181" s="8">
        <v>13.84</v>
      </c>
      <c r="AP181" s="8">
        <v>10.18</v>
      </c>
      <c r="AQ181" s="8">
        <v>8.67</v>
      </c>
      <c r="AR181" s="8">
        <v>11.33</v>
      </c>
      <c r="AS181" s="8">
        <v>14.08</v>
      </c>
      <c r="AT181" s="8">
        <v>12.49</v>
      </c>
      <c r="AU181" s="6">
        <v>13.6</v>
      </c>
      <c r="AV181" s="6">
        <v>13.88</v>
      </c>
      <c r="AW181" s="6">
        <v>14.01</v>
      </c>
      <c r="AX181" s="6">
        <v>15</v>
      </c>
      <c r="AY181" s="6">
        <v>14.77</v>
      </c>
      <c r="AZ181" s="6">
        <v>14.14</v>
      </c>
      <c r="BA181" s="6">
        <v>11.47</v>
      </c>
      <c r="BB181" s="6">
        <v>12.14</v>
      </c>
      <c r="BC181" s="6">
        <v>12.18</v>
      </c>
      <c r="BD181" s="6">
        <v>12.18</v>
      </c>
      <c r="BE181" s="6">
        <v>10.76</v>
      </c>
      <c r="BF181" s="6">
        <v>12.1212</v>
      </c>
      <c r="BG181" s="6">
        <v>13.47</v>
      </c>
      <c r="BH181" s="6">
        <v>10.96</v>
      </c>
      <c r="BI181" s="6">
        <v>10.98</v>
      </c>
      <c r="BJ181" s="6">
        <v>13.5</v>
      </c>
      <c r="BK181" s="6">
        <v>12.64</v>
      </c>
      <c r="BL181" s="6">
        <v>12.4</v>
      </c>
      <c r="BM181" s="6">
        <v>13.3</v>
      </c>
      <c r="BN181" s="6">
        <v>11.82</v>
      </c>
      <c r="BO181" s="6">
        <v>14.18</v>
      </c>
      <c r="BP181" s="6">
        <v>12</v>
      </c>
      <c r="BQ181" s="6">
        <v>13.86</v>
      </c>
      <c r="BR181" s="6">
        <v>10.84</v>
      </c>
      <c r="BS181" s="6">
        <v>13.26</v>
      </c>
      <c r="BT181" s="6">
        <v>12.56</v>
      </c>
      <c r="BU181" s="6">
        <v>13.72</v>
      </c>
      <c r="BV181" s="6">
        <v>12.59</v>
      </c>
      <c r="BW181" s="6">
        <v>12.72</v>
      </c>
      <c r="BX181" s="6">
        <v>12.39</v>
      </c>
      <c r="BY181" s="6">
        <v>11.6</v>
      </c>
      <c r="BZ181" s="6">
        <v>10.16</v>
      </c>
      <c r="CA181" s="6">
        <v>13.84</v>
      </c>
      <c r="CB181" s="6">
        <v>14.38</v>
      </c>
      <c r="CC181" s="6">
        <v>13.8</v>
      </c>
      <c r="CD181" s="6">
        <v>12.9</v>
      </c>
      <c r="CE181" s="6">
        <v>11.5</v>
      </c>
      <c r="CF181" s="6">
        <v>11.24</v>
      </c>
      <c r="CG181" s="6">
        <v>13.3</v>
      </c>
      <c r="CH181" s="6">
        <v>13.2</v>
      </c>
      <c r="CI181" s="6">
        <v>14.1</v>
      </c>
      <c r="CJ181" s="11">
        <v>12.32</v>
      </c>
      <c r="CK181" s="6">
        <v>10.92</v>
      </c>
      <c r="CL181" s="6">
        <v>14.6</v>
      </c>
      <c r="CM181" s="6">
        <v>14.64</v>
      </c>
      <c r="CN181" s="6">
        <v>13.38</v>
      </c>
      <c r="CO181" s="10">
        <v>13.83</v>
      </c>
      <c r="CP181" s="10"/>
    </row>
    <row r="182" spans="1:94" ht="15.75" customHeight="1" x14ac:dyDescent="0.25">
      <c r="A182" s="4">
        <v>181</v>
      </c>
      <c r="B182" s="4"/>
      <c r="C182" s="4">
        <v>29</v>
      </c>
      <c r="D182" s="8">
        <v>12.58</v>
      </c>
      <c r="E182" s="8">
        <v>12.98</v>
      </c>
      <c r="F182" s="8">
        <v>12.68</v>
      </c>
      <c r="G182" s="8">
        <v>14.38</v>
      </c>
      <c r="H182" s="8">
        <v>11.32</v>
      </c>
      <c r="I182" s="8">
        <v>9.85</v>
      </c>
      <c r="J182" s="8">
        <v>12.23</v>
      </c>
      <c r="K182" s="8">
        <v>13.49</v>
      </c>
      <c r="L182" s="8">
        <v>14.81</v>
      </c>
      <c r="M182" s="8">
        <v>14.84</v>
      </c>
      <c r="N182" s="8">
        <v>13.67</v>
      </c>
      <c r="O182" s="8">
        <v>14.12</v>
      </c>
      <c r="P182" s="8">
        <v>11.91</v>
      </c>
      <c r="Q182" s="8">
        <v>13.78</v>
      </c>
      <c r="R182" s="8">
        <v>12.12</v>
      </c>
      <c r="S182" s="8">
        <v>13.36</v>
      </c>
      <c r="T182" s="8">
        <v>13.26</v>
      </c>
      <c r="U182" s="8">
        <v>13.46</v>
      </c>
      <c r="V182" s="8">
        <v>14.09</v>
      </c>
      <c r="W182" s="8">
        <v>13.53</v>
      </c>
      <c r="X182" s="8">
        <v>12.22</v>
      </c>
      <c r="Y182" s="8">
        <v>13.39</v>
      </c>
      <c r="Z182" s="8">
        <v>12.2</v>
      </c>
      <c r="AA182" s="8">
        <v>12.9</v>
      </c>
      <c r="AB182" s="8">
        <v>12.33</v>
      </c>
      <c r="AC182" s="8">
        <v>12.83</v>
      </c>
      <c r="AD182" s="8">
        <v>10.65</v>
      </c>
      <c r="AE182" s="8">
        <v>13.6</v>
      </c>
      <c r="AF182" s="8">
        <v>14.33</v>
      </c>
      <c r="AG182" s="8">
        <v>11.52</v>
      </c>
      <c r="AH182" s="8">
        <v>11.57</v>
      </c>
      <c r="AI182" s="8">
        <v>11.33</v>
      </c>
      <c r="AJ182" s="8">
        <v>13.27</v>
      </c>
      <c r="AK182" s="8">
        <v>12.43</v>
      </c>
      <c r="AL182" s="8">
        <v>13.06</v>
      </c>
      <c r="AM182" s="8">
        <v>12.22</v>
      </c>
      <c r="AN182" s="8">
        <v>12.79</v>
      </c>
      <c r="AO182" s="8">
        <v>13.88</v>
      </c>
      <c r="AP182" s="8">
        <v>10.28</v>
      </c>
      <c r="AQ182" s="8">
        <v>8.81</v>
      </c>
      <c r="AR182" s="8">
        <v>11.47</v>
      </c>
      <c r="AS182" s="8">
        <v>14.19</v>
      </c>
      <c r="AT182" s="8">
        <v>12.57</v>
      </c>
      <c r="AU182" s="6">
        <v>13.73</v>
      </c>
      <c r="AV182" s="6">
        <v>14.06</v>
      </c>
      <c r="AW182" s="6">
        <v>14.06</v>
      </c>
      <c r="AX182" s="6">
        <v>15.05</v>
      </c>
      <c r="AY182" s="6">
        <v>14.78</v>
      </c>
      <c r="AZ182" s="6">
        <v>14.18</v>
      </c>
      <c r="BA182" s="6">
        <v>11.6</v>
      </c>
      <c r="BB182" s="6">
        <v>12.1212</v>
      </c>
      <c r="BC182" s="6">
        <v>12.39</v>
      </c>
      <c r="BD182" s="6">
        <v>12.3</v>
      </c>
      <c r="BE182" s="6">
        <v>10.85</v>
      </c>
      <c r="BF182" s="6">
        <v>12.31</v>
      </c>
      <c r="BG182" s="6">
        <v>13.56</v>
      </c>
      <c r="BH182" s="6">
        <v>11.06</v>
      </c>
      <c r="BI182" s="6">
        <v>11.15</v>
      </c>
      <c r="BJ182" s="6">
        <v>13.6</v>
      </c>
      <c r="BK182" s="6">
        <v>12.7</v>
      </c>
      <c r="BL182" s="6">
        <v>12.45</v>
      </c>
      <c r="BM182" s="6">
        <v>13.44</v>
      </c>
      <c r="BN182" s="6">
        <v>11.94</v>
      </c>
      <c r="BO182" s="6">
        <v>14.28</v>
      </c>
      <c r="BP182" s="6">
        <v>12.1</v>
      </c>
      <c r="BQ182" s="6">
        <v>13.9</v>
      </c>
      <c r="BR182" s="6">
        <v>10.96</v>
      </c>
      <c r="BS182" s="6">
        <v>13.38</v>
      </c>
      <c r="BT182" s="6">
        <v>12.62</v>
      </c>
      <c r="BU182" s="6">
        <v>13.76</v>
      </c>
      <c r="BV182" s="6">
        <v>12.62</v>
      </c>
      <c r="BW182" s="6">
        <v>12.88</v>
      </c>
      <c r="BX182" s="6">
        <v>12.56</v>
      </c>
      <c r="BY182" s="6">
        <v>11.72</v>
      </c>
      <c r="BZ182" s="6">
        <v>10.26</v>
      </c>
      <c r="CA182" s="6">
        <v>13.86</v>
      </c>
      <c r="CB182" s="6">
        <v>14.48</v>
      </c>
      <c r="CC182" s="6">
        <v>13.76</v>
      </c>
      <c r="CD182" s="6">
        <v>13</v>
      </c>
      <c r="CE182" s="6">
        <v>11.64</v>
      </c>
      <c r="CF182" s="6">
        <v>11.38</v>
      </c>
      <c r="CG182" s="6">
        <v>13.34</v>
      </c>
      <c r="CH182" s="6">
        <v>13.3</v>
      </c>
      <c r="CI182" s="6">
        <v>14.22</v>
      </c>
      <c r="CJ182" s="11">
        <v>12.44</v>
      </c>
      <c r="CK182" s="6">
        <v>10.98</v>
      </c>
      <c r="CL182" s="6">
        <v>14.64</v>
      </c>
      <c r="CM182" s="6">
        <v>14.76</v>
      </c>
      <c r="CN182" s="6">
        <v>13.4</v>
      </c>
      <c r="CO182" s="10">
        <v>13.94</v>
      </c>
      <c r="CP182" s="10"/>
    </row>
    <row r="183" spans="1:94" ht="15.75" customHeight="1" x14ac:dyDescent="0.25">
      <c r="A183" s="4">
        <v>182</v>
      </c>
      <c r="B183" s="4"/>
      <c r="C183" s="4">
        <v>30</v>
      </c>
      <c r="D183" s="8">
        <v>12.63</v>
      </c>
      <c r="E183" s="8">
        <v>13.03</v>
      </c>
      <c r="F183" s="8">
        <v>12.73</v>
      </c>
      <c r="G183" s="8">
        <v>14.43</v>
      </c>
      <c r="H183" s="8">
        <v>11.36</v>
      </c>
      <c r="I183" s="8">
        <v>9.8800000000000008</v>
      </c>
      <c r="J183" s="8">
        <v>12.36</v>
      </c>
      <c r="K183" s="8">
        <v>13.58</v>
      </c>
      <c r="L183" s="8">
        <v>14.86</v>
      </c>
      <c r="M183" s="8">
        <v>14.94</v>
      </c>
      <c r="N183" s="8">
        <v>13.72</v>
      </c>
      <c r="O183" s="8">
        <v>14.26</v>
      </c>
      <c r="P183" s="8">
        <v>12.06</v>
      </c>
      <c r="Q183" s="8">
        <v>13.98</v>
      </c>
      <c r="R183" s="8">
        <v>12.24</v>
      </c>
      <c r="S183" s="8">
        <v>13.46</v>
      </c>
      <c r="T183" s="8">
        <v>13.31</v>
      </c>
      <c r="U183" s="8">
        <v>13.51</v>
      </c>
      <c r="V183" s="8">
        <v>14.17</v>
      </c>
      <c r="W183" s="8">
        <v>13.68</v>
      </c>
      <c r="X183" s="8">
        <v>12.42</v>
      </c>
      <c r="Y183" s="8">
        <v>13.45</v>
      </c>
      <c r="Z183" s="8">
        <v>12.3</v>
      </c>
      <c r="AA183" s="8">
        <v>13.01</v>
      </c>
      <c r="AB183" s="8">
        <v>12.43</v>
      </c>
      <c r="AC183" s="8">
        <v>12.91</v>
      </c>
      <c r="AD183" s="8">
        <v>10.77</v>
      </c>
      <c r="AE183" s="8">
        <v>13.67</v>
      </c>
      <c r="AF183" s="8">
        <v>14.43</v>
      </c>
      <c r="AG183" s="8">
        <v>11.62</v>
      </c>
      <c r="AH183" s="8">
        <v>11.71</v>
      </c>
      <c r="AI183" s="8">
        <v>11.52</v>
      </c>
      <c r="AJ183" s="8">
        <v>13.39</v>
      </c>
      <c r="AK183" s="8">
        <v>12.62</v>
      </c>
      <c r="AL183" s="8">
        <v>13.15</v>
      </c>
      <c r="AM183" s="8">
        <v>12.34</v>
      </c>
      <c r="AN183" s="8">
        <v>12.89</v>
      </c>
      <c r="AO183" s="8">
        <v>13.91</v>
      </c>
      <c r="AP183" s="8">
        <v>10.34</v>
      </c>
      <c r="AQ183" s="8">
        <v>8.91</v>
      </c>
      <c r="AR183" s="8">
        <v>11.62</v>
      </c>
      <c r="AS183" s="8">
        <v>14.33</v>
      </c>
      <c r="AT183" s="8">
        <v>12.6</v>
      </c>
      <c r="AU183" s="6">
        <v>13.88</v>
      </c>
      <c r="AV183" s="6">
        <v>14.27</v>
      </c>
      <c r="AW183" s="6">
        <v>14.1</v>
      </c>
      <c r="AX183" s="6">
        <v>15.09</v>
      </c>
      <c r="AY183" s="6">
        <v>14.78</v>
      </c>
      <c r="AZ183" s="6">
        <v>14.18</v>
      </c>
      <c r="BA183" s="6">
        <v>11.76</v>
      </c>
      <c r="BB183" s="6">
        <v>12.128</v>
      </c>
      <c r="BC183" s="6">
        <v>12.55</v>
      </c>
      <c r="BD183" s="6">
        <v>12.36</v>
      </c>
      <c r="BE183" s="6">
        <v>10.97</v>
      </c>
      <c r="BF183" s="6">
        <v>12.36</v>
      </c>
      <c r="BG183" s="6">
        <v>13.64</v>
      </c>
      <c r="BH183" s="6">
        <v>11.19</v>
      </c>
      <c r="BI183" s="6">
        <v>11.36</v>
      </c>
      <c r="BJ183" s="6">
        <v>13.7</v>
      </c>
      <c r="BK183" s="6">
        <v>12.8</v>
      </c>
      <c r="BL183" s="6">
        <v>12.51</v>
      </c>
      <c r="BM183" s="6">
        <v>13.54</v>
      </c>
      <c r="BN183" s="6">
        <v>12.06</v>
      </c>
      <c r="BO183" s="6">
        <v>14.39</v>
      </c>
      <c r="BP183" s="6">
        <v>12.24</v>
      </c>
      <c r="BQ183" s="6">
        <v>14.04</v>
      </c>
      <c r="BR183" s="6">
        <v>11.1</v>
      </c>
      <c r="BS183" s="6">
        <v>13.5</v>
      </c>
      <c r="BT183" s="6">
        <v>12.7</v>
      </c>
      <c r="BU183" s="6">
        <v>13.8</v>
      </c>
      <c r="BV183" s="6">
        <v>12.68</v>
      </c>
      <c r="BW183" s="6">
        <v>13.08</v>
      </c>
      <c r="BX183" s="6">
        <v>12.66</v>
      </c>
      <c r="BY183" s="6">
        <v>11.84</v>
      </c>
      <c r="BZ183" s="6">
        <v>10.3</v>
      </c>
      <c r="CA183" s="6">
        <v>13.9</v>
      </c>
      <c r="CB183" s="6">
        <v>14.54</v>
      </c>
      <c r="CC183" s="6">
        <v>13.74</v>
      </c>
      <c r="CD183" s="6">
        <v>13.06</v>
      </c>
      <c r="CE183" s="6">
        <v>11.76</v>
      </c>
      <c r="CF183" s="6">
        <v>11.62</v>
      </c>
      <c r="CG183" s="6">
        <v>13.52</v>
      </c>
      <c r="CH183" s="6">
        <v>13.4</v>
      </c>
      <c r="CI183" s="6">
        <v>14.36</v>
      </c>
      <c r="CJ183" s="11">
        <v>12.54</v>
      </c>
      <c r="CK183" s="6">
        <v>11.08</v>
      </c>
      <c r="CL183" s="6">
        <v>14.66</v>
      </c>
      <c r="CM183" s="6">
        <v>14.9</v>
      </c>
      <c r="CN183" s="6">
        <v>13.45</v>
      </c>
      <c r="CO183" s="10">
        <v>13.98</v>
      </c>
      <c r="CP183" s="10"/>
    </row>
    <row r="184" spans="1:94" ht="15.75" customHeight="1" x14ac:dyDescent="0.25">
      <c r="A184" s="4">
        <v>183</v>
      </c>
      <c r="B184" s="5" t="s">
        <v>10</v>
      </c>
      <c r="C184" s="4">
        <v>1</v>
      </c>
      <c r="D184" s="8">
        <v>12.78</v>
      </c>
      <c r="E184" s="8">
        <v>13.08</v>
      </c>
      <c r="F184" s="8">
        <v>12.78</v>
      </c>
      <c r="G184" s="8">
        <v>14.48</v>
      </c>
      <c r="H184" s="8">
        <v>11.38</v>
      </c>
      <c r="I184" s="8">
        <v>9.93</v>
      </c>
      <c r="J184" s="8">
        <v>12.49</v>
      </c>
      <c r="K184" s="8">
        <v>13.69</v>
      </c>
      <c r="L184" s="8">
        <v>14.88</v>
      </c>
      <c r="M184" s="8">
        <v>14.98</v>
      </c>
      <c r="N184" s="8">
        <v>13.79</v>
      </c>
      <c r="O184" s="8">
        <v>14.36</v>
      </c>
      <c r="P184" s="8">
        <v>12.15</v>
      </c>
      <c r="Q184" s="8">
        <v>13.98</v>
      </c>
      <c r="R184" s="8">
        <v>12.32</v>
      </c>
      <c r="S184" s="8">
        <v>13.51</v>
      </c>
      <c r="T184" s="8">
        <v>13.41</v>
      </c>
      <c r="U184" s="8">
        <v>13.56</v>
      </c>
      <c r="V184" s="8">
        <v>14.24</v>
      </c>
      <c r="W184" s="8">
        <v>13.83</v>
      </c>
      <c r="X184" s="8">
        <v>12.58</v>
      </c>
      <c r="Y184" s="8">
        <v>13.55</v>
      </c>
      <c r="Z184" s="8">
        <v>12.4</v>
      </c>
      <c r="AA184" s="8">
        <v>13.12</v>
      </c>
      <c r="AB184" s="8">
        <v>12.57</v>
      </c>
      <c r="AC184" s="8">
        <v>12.93</v>
      </c>
      <c r="AD184" s="8">
        <v>10.88</v>
      </c>
      <c r="AE184" s="8">
        <v>13.77</v>
      </c>
      <c r="AF184" s="8">
        <v>14.52</v>
      </c>
      <c r="AG184" s="8">
        <v>11.7</v>
      </c>
      <c r="AH184" s="8">
        <v>11.79</v>
      </c>
      <c r="AI184" s="8">
        <v>11.69</v>
      </c>
      <c r="AJ184" s="8">
        <v>13.49</v>
      </c>
      <c r="AK184" s="8">
        <v>12.81</v>
      </c>
      <c r="AL184" s="8">
        <v>13.23</v>
      </c>
      <c r="AM184" s="8">
        <v>12.42</v>
      </c>
      <c r="AN184" s="8">
        <v>13.01</v>
      </c>
      <c r="AO184" s="8">
        <v>13.97</v>
      </c>
      <c r="AP184" s="8">
        <v>10.43</v>
      </c>
      <c r="AQ184" s="8">
        <v>9.0500000000000007</v>
      </c>
      <c r="AR184" s="8">
        <v>11.77</v>
      </c>
      <c r="AS184" s="8">
        <v>14.47</v>
      </c>
      <c r="AT184" s="8">
        <v>12.65</v>
      </c>
      <c r="AU184" s="6">
        <v>14.03</v>
      </c>
      <c r="AV184" s="6">
        <v>14.46</v>
      </c>
      <c r="AW184" s="6">
        <v>14.14</v>
      </c>
      <c r="AX184" s="6">
        <v>15.14</v>
      </c>
      <c r="AY184" s="6">
        <v>14.81</v>
      </c>
      <c r="AZ184" s="6">
        <v>14.21</v>
      </c>
      <c r="BA184" s="6">
        <v>11.92</v>
      </c>
      <c r="BB184" s="6">
        <v>12.36</v>
      </c>
      <c r="BC184" s="6">
        <v>12.69</v>
      </c>
      <c r="BD184" s="6">
        <v>12.38</v>
      </c>
      <c r="BE184" s="6">
        <v>11.14</v>
      </c>
      <c r="BF184" s="6">
        <v>12.4</v>
      </c>
      <c r="BG184" s="6">
        <v>13.76</v>
      </c>
      <c r="BH184" s="6">
        <v>11.35</v>
      </c>
      <c r="BI184" s="6">
        <v>11.54</v>
      </c>
      <c r="BJ184" s="6">
        <v>13.8</v>
      </c>
      <c r="BK184" s="6">
        <v>12.88</v>
      </c>
      <c r="BL184" s="6">
        <v>12.54</v>
      </c>
      <c r="BM184" s="6">
        <v>13.68</v>
      </c>
      <c r="BN184" s="6">
        <v>12.18</v>
      </c>
      <c r="BO184" s="6">
        <v>14.52</v>
      </c>
      <c r="BP184" s="6">
        <v>12.32</v>
      </c>
      <c r="BQ184" s="6">
        <v>14.1</v>
      </c>
      <c r="BR184" s="6">
        <v>11.18</v>
      </c>
      <c r="BS184" s="6">
        <v>13.62</v>
      </c>
      <c r="BT184" s="6">
        <v>12.76</v>
      </c>
      <c r="BU184" s="6">
        <v>13.8</v>
      </c>
      <c r="BV184" s="6">
        <v>12.78</v>
      </c>
      <c r="BW184" s="6">
        <v>13.2</v>
      </c>
      <c r="BX184" s="6">
        <v>12.82</v>
      </c>
      <c r="BY184" s="6">
        <v>11.94</v>
      </c>
      <c r="BZ184" s="6">
        <v>10.3</v>
      </c>
      <c r="CA184" s="6">
        <v>13.98</v>
      </c>
      <c r="CB184" s="6">
        <v>14.6</v>
      </c>
      <c r="CC184" s="6">
        <v>13.76</v>
      </c>
      <c r="CD184" s="6">
        <v>13.12</v>
      </c>
      <c r="CE184" s="6">
        <v>11.9</v>
      </c>
      <c r="CF184" s="6">
        <v>11.98</v>
      </c>
      <c r="CG184" s="6">
        <v>13.62</v>
      </c>
      <c r="CH184" s="6">
        <v>13.46</v>
      </c>
      <c r="CI184" s="6">
        <v>14.48</v>
      </c>
      <c r="CJ184" s="11">
        <v>12.66</v>
      </c>
      <c r="CK184" s="6">
        <v>11.16</v>
      </c>
      <c r="CL184" s="6">
        <v>14.72</v>
      </c>
      <c r="CM184" s="6">
        <v>15</v>
      </c>
      <c r="CN184" s="6">
        <v>13.5</v>
      </c>
      <c r="CO184" s="10">
        <v>14</v>
      </c>
      <c r="CP184" s="10"/>
    </row>
    <row r="185" spans="1:94" ht="15.75" customHeight="1" x14ac:dyDescent="0.25">
      <c r="A185" s="4">
        <v>184</v>
      </c>
      <c r="B185" s="4"/>
      <c r="C185" s="4">
        <v>2</v>
      </c>
      <c r="D185" s="8">
        <v>12.88</v>
      </c>
      <c r="E185" s="8">
        <v>13.18</v>
      </c>
      <c r="F185" s="8">
        <v>12.82</v>
      </c>
      <c r="G185" s="8">
        <v>14.53</v>
      </c>
      <c r="H185" s="8">
        <v>11.42</v>
      </c>
      <c r="I185" s="8">
        <v>9.9700000000000006</v>
      </c>
      <c r="J185" s="8">
        <v>12.64</v>
      </c>
      <c r="K185" s="8">
        <v>13.78</v>
      </c>
      <c r="L185" s="8">
        <v>14.91</v>
      </c>
      <c r="M185" s="8">
        <v>15</v>
      </c>
      <c r="N185" s="8">
        <v>13.95</v>
      </c>
      <c r="O185" s="8">
        <v>14.5</v>
      </c>
      <c r="P185" s="8">
        <v>12.26</v>
      </c>
      <c r="Q185" s="8">
        <v>14.06</v>
      </c>
      <c r="R185" s="8">
        <v>12.39</v>
      </c>
      <c r="S185" s="8">
        <v>13.61</v>
      </c>
      <c r="T185" s="8">
        <v>13.48</v>
      </c>
      <c r="U185" s="8">
        <v>13.63</v>
      </c>
      <c r="V185" s="8">
        <v>14.35</v>
      </c>
      <c r="W185" s="8">
        <v>13.98</v>
      </c>
      <c r="X185" s="8">
        <v>12.7</v>
      </c>
      <c r="Y185" s="8">
        <v>13.67</v>
      </c>
      <c r="Z185" s="8">
        <v>12.51</v>
      </c>
      <c r="AA185" s="8">
        <v>13.23</v>
      </c>
      <c r="AB185" s="8">
        <v>12.73</v>
      </c>
      <c r="AC185" s="8">
        <v>12.97</v>
      </c>
      <c r="AD185" s="8">
        <v>11</v>
      </c>
      <c r="AE185" s="8">
        <v>13.87</v>
      </c>
      <c r="AF185" s="8">
        <v>14.61</v>
      </c>
      <c r="AG185" s="8">
        <v>11.8</v>
      </c>
      <c r="AH185" s="8">
        <v>11.89</v>
      </c>
      <c r="AI185" s="8">
        <v>11.79</v>
      </c>
      <c r="AJ185" s="8">
        <v>13.59</v>
      </c>
      <c r="AK185" s="8">
        <v>12.99</v>
      </c>
      <c r="AL185" s="8">
        <v>13.27</v>
      </c>
      <c r="AM185" s="8">
        <v>12.52</v>
      </c>
      <c r="AN185" s="8">
        <v>13.14</v>
      </c>
      <c r="AO185" s="8">
        <v>14</v>
      </c>
      <c r="AP185" s="8">
        <v>10.51</v>
      </c>
      <c r="AQ185" s="8">
        <v>9.18</v>
      </c>
      <c r="AR185" s="8">
        <v>11.96</v>
      </c>
      <c r="AS185" s="8">
        <v>14.63</v>
      </c>
      <c r="AT185" s="8">
        <v>12.74</v>
      </c>
      <c r="AU185" s="6">
        <v>14.18</v>
      </c>
      <c r="AV185" s="6">
        <v>14.68</v>
      </c>
      <c r="AW185" s="6">
        <v>14.18</v>
      </c>
      <c r="AX185" s="6">
        <v>15.19</v>
      </c>
      <c r="AY185" s="6">
        <v>14.81</v>
      </c>
      <c r="AZ185" s="6">
        <v>14.23</v>
      </c>
      <c r="BA185" s="6">
        <v>12.07</v>
      </c>
      <c r="BB185" s="6">
        <v>12.43</v>
      </c>
      <c r="BC185" s="6">
        <v>12.85</v>
      </c>
      <c r="BD185" s="6">
        <v>12.42</v>
      </c>
      <c r="BE185" s="6">
        <v>11.3</v>
      </c>
      <c r="BF185" s="6">
        <v>12.412000000000001</v>
      </c>
      <c r="BG185" s="6">
        <v>13.89</v>
      </c>
      <c r="BH185" s="6">
        <v>11.5</v>
      </c>
      <c r="BI185" s="6">
        <v>11.68</v>
      </c>
      <c r="BJ185" s="6">
        <v>13.92</v>
      </c>
      <c r="BK185" s="6">
        <v>13</v>
      </c>
      <c r="BL185" s="6">
        <v>12.6</v>
      </c>
      <c r="BM185" s="6">
        <v>13.8</v>
      </c>
      <c r="BN185" s="6">
        <v>12.25</v>
      </c>
      <c r="BO185" s="6">
        <v>14.64</v>
      </c>
      <c r="BP185" s="6">
        <v>12.4</v>
      </c>
      <c r="BQ185" s="6">
        <v>14.14</v>
      </c>
      <c r="BR185" s="6">
        <v>11.28</v>
      </c>
      <c r="BS185" s="6">
        <v>13.74</v>
      </c>
      <c r="BT185" s="6">
        <v>12.82</v>
      </c>
      <c r="BU185" s="6">
        <v>13.88</v>
      </c>
      <c r="BV185" s="6">
        <v>12.9</v>
      </c>
      <c r="BW185" s="6">
        <v>13.3</v>
      </c>
      <c r="BX185" s="6">
        <v>13</v>
      </c>
      <c r="BY185" s="6">
        <v>12.14</v>
      </c>
      <c r="BZ185" s="6">
        <v>10.4</v>
      </c>
      <c r="CA185" s="6">
        <v>14.06</v>
      </c>
      <c r="CB185" s="6">
        <v>14.66</v>
      </c>
      <c r="CC185" s="6">
        <v>13.76</v>
      </c>
      <c r="CD185" s="6">
        <v>13.18</v>
      </c>
      <c r="CE185" s="6">
        <v>12.02</v>
      </c>
      <c r="CF185" s="6">
        <v>12.3</v>
      </c>
      <c r="CG185" s="6">
        <v>13.74</v>
      </c>
      <c r="CH185" s="6">
        <v>13.68</v>
      </c>
      <c r="CI185" s="6">
        <v>14.66</v>
      </c>
      <c r="CJ185" s="11">
        <v>12.76</v>
      </c>
      <c r="CK185" s="6">
        <v>11.28</v>
      </c>
      <c r="CL185" s="6">
        <v>14.78</v>
      </c>
      <c r="CM185" s="6">
        <v>15.08</v>
      </c>
      <c r="CN185" s="6">
        <v>13.56</v>
      </c>
      <c r="CO185" s="10">
        <v>14.04</v>
      </c>
      <c r="CP185" s="10"/>
    </row>
    <row r="186" spans="1:94" ht="15.75" customHeight="1" x14ac:dyDescent="0.25">
      <c r="A186" s="4">
        <v>185</v>
      </c>
      <c r="B186" s="4"/>
      <c r="C186" s="4">
        <v>3</v>
      </c>
      <c r="D186" s="8">
        <v>12.98</v>
      </c>
      <c r="E186" s="8">
        <v>13.28</v>
      </c>
      <c r="F186" s="8">
        <v>12.84</v>
      </c>
      <c r="G186" s="8">
        <v>14.58</v>
      </c>
      <c r="H186" s="8">
        <v>11.46</v>
      </c>
      <c r="I186" s="8">
        <v>10.08</v>
      </c>
      <c r="J186" s="8">
        <v>12.76</v>
      </c>
      <c r="K186" s="8">
        <v>13.83</v>
      </c>
      <c r="L186" s="8">
        <v>14.93</v>
      </c>
      <c r="M186" s="8">
        <v>15.02</v>
      </c>
      <c r="N186" s="8">
        <v>14.09</v>
      </c>
      <c r="O186" s="8">
        <v>14.61</v>
      </c>
      <c r="P186" s="8">
        <v>12.35</v>
      </c>
      <c r="Q186" s="8">
        <v>14.09</v>
      </c>
      <c r="R186" s="8">
        <v>12.45</v>
      </c>
      <c r="S186" s="8">
        <v>13.66</v>
      </c>
      <c r="T186" s="8">
        <v>13.61</v>
      </c>
      <c r="U186" s="8">
        <v>13.67</v>
      </c>
      <c r="V186" s="8">
        <v>14.44</v>
      </c>
      <c r="W186" s="8">
        <v>14.11</v>
      </c>
      <c r="X186" s="8">
        <v>12.81</v>
      </c>
      <c r="Y186" s="8">
        <v>13.77</v>
      </c>
      <c r="Z186" s="8">
        <v>12.61</v>
      </c>
      <c r="AA186" s="8">
        <v>13.33</v>
      </c>
      <c r="AB186" s="8">
        <v>12.87</v>
      </c>
      <c r="AC186" s="8">
        <v>13</v>
      </c>
      <c r="AD186" s="8">
        <v>11.12</v>
      </c>
      <c r="AE186" s="8">
        <v>14.02</v>
      </c>
      <c r="AF186" s="8">
        <v>14.69</v>
      </c>
      <c r="AG186" s="8">
        <v>11.92</v>
      </c>
      <c r="AH186" s="8">
        <v>11.97</v>
      </c>
      <c r="AI186" s="8">
        <v>11.87</v>
      </c>
      <c r="AJ186" s="8">
        <v>13.68</v>
      </c>
      <c r="AK186" s="8">
        <v>13.16</v>
      </c>
      <c r="AL186" s="8">
        <v>13.31</v>
      </c>
      <c r="AM186" s="8">
        <v>12.66</v>
      </c>
      <c r="AN186" s="8">
        <v>13.27</v>
      </c>
      <c r="AO186" s="8">
        <v>14.03</v>
      </c>
      <c r="AP186" s="8">
        <v>10.61</v>
      </c>
      <c r="AQ186" s="8">
        <v>9.2899999999999991</v>
      </c>
      <c r="AR186" s="8">
        <v>12.08</v>
      </c>
      <c r="AS186" s="8">
        <v>14.83</v>
      </c>
      <c r="AT186" s="8">
        <v>12.84</v>
      </c>
      <c r="AU186" s="6">
        <v>14.35</v>
      </c>
      <c r="AV186" s="6">
        <v>14.81</v>
      </c>
      <c r="AW186" s="6">
        <v>14.25</v>
      </c>
      <c r="AX186" s="6">
        <v>15.27</v>
      </c>
      <c r="AY186" s="6">
        <v>14.81</v>
      </c>
      <c r="AZ186" s="6">
        <v>14.26</v>
      </c>
      <c r="BA186" s="6">
        <v>12.22</v>
      </c>
      <c r="BB186" s="6">
        <v>12.47</v>
      </c>
      <c r="BC186" s="6">
        <v>13</v>
      </c>
      <c r="BD186" s="6">
        <v>12.44</v>
      </c>
      <c r="BE186" s="6">
        <v>11.43</v>
      </c>
      <c r="BF186" s="6">
        <v>12.46</v>
      </c>
      <c r="BG186" s="6">
        <v>14</v>
      </c>
      <c r="BH186" s="6">
        <v>11.64</v>
      </c>
      <c r="BI186" s="6">
        <v>11.78</v>
      </c>
      <c r="BJ186" s="6">
        <v>14.06</v>
      </c>
      <c r="BK186" s="6">
        <v>13</v>
      </c>
      <c r="BL186" s="6">
        <v>12.68</v>
      </c>
      <c r="BM186" s="6">
        <v>14.02</v>
      </c>
      <c r="BN186" s="6">
        <v>12.33</v>
      </c>
      <c r="BO186" s="6">
        <v>14.8</v>
      </c>
      <c r="BP186" s="6">
        <v>12.48</v>
      </c>
      <c r="BQ186" s="6">
        <v>14.18</v>
      </c>
      <c r="BR186" s="6">
        <v>11.3</v>
      </c>
      <c r="BS186" s="6">
        <v>13.84</v>
      </c>
      <c r="BT186" s="6">
        <v>12.88</v>
      </c>
      <c r="BU186" s="6">
        <v>13.94</v>
      </c>
      <c r="BV186" s="6">
        <v>13</v>
      </c>
      <c r="BW186" s="6">
        <v>13.4</v>
      </c>
      <c r="BX186" s="6">
        <v>13.3</v>
      </c>
      <c r="BY186" s="6">
        <v>12.34</v>
      </c>
      <c r="BZ186" s="6">
        <v>10.46</v>
      </c>
      <c r="CA186" s="6">
        <v>14.12</v>
      </c>
      <c r="CB186" s="6">
        <v>14.7</v>
      </c>
      <c r="CC186" s="6">
        <v>13.8</v>
      </c>
      <c r="CD186" s="6">
        <v>13.2</v>
      </c>
      <c r="CE186" s="6">
        <v>12.14</v>
      </c>
      <c r="CF186" s="6">
        <v>12.54</v>
      </c>
      <c r="CG186" s="6">
        <v>13.82</v>
      </c>
      <c r="CH186" s="6">
        <v>13.7</v>
      </c>
      <c r="CI186" s="6">
        <v>14.9</v>
      </c>
      <c r="CJ186" s="11">
        <v>12.92</v>
      </c>
      <c r="CK186" s="6">
        <v>11.38</v>
      </c>
      <c r="CL186" s="6">
        <v>14.84</v>
      </c>
      <c r="CM186" s="6">
        <v>15.18</v>
      </c>
      <c r="CN186" s="6">
        <v>13.62</v>
      </c>
      <c r="CO186" s="10">
        <v>14.08</v>
      </c>
      <c r="CP186" s="10"/>
    </row>
    <row r="187" spans="1:94" ht="15.75" customHeight="1" x14ac:dyDescent="0.25">
      <c r="A187" s="4">
        <v>186</v>
      </c>
      <c r="B187" s="4"/>
      <c r="C187" s="4">
        <v>4</v>
      </c>
      <c r="D187" s="8">
        <v>13.08</v>
      </c>
      <c r="E187" s="8">
        <v>13.33</v>
      </c>
      <c r="F187" s="8">
        <v>12.86</v>
      </c>
      <c r="G187" s="8">
        <v>14.63</v>
      </c>
      <c r="H187" s="8">
        <v>11.5</v>
      </c>
      <c r="I187" s="8">
        <v>10.18</v>
      </c>
      <c r="J187" s="8">
        <v>12.86</v>
      </c>
      <c r="K187" s="8">
        <v>13.93</v>
      </c>
      <c r="L187" s="8">
        <v>14.96</v>
      </c>
      <c r="M187" s="8">
        <v>15.01</v>
      </c>
      <c r="N187" s="8">
        <v>14.24</v>
      </c>
      <c r="O187" s="8">
        <v>14.72</v>
      </c>
      <c r="P187" s="8">
        <v>12.51</v>
      </c>
      <c r="Q187" s="8">
        <v>14.13</v>
      </c>
      <c r="R187" s="8">
        <v>12.51</v>
      </c>
      <c r="S187" s="8">
        <v>13.71</v>
      </c>
      <c r="T187" s="8">
        <v>13.76</v>
      </c>
      <c r="U187" s="8">
        <v>13.71</v>
      </c>
      <c r="V187" s="8">
        <v>14.53</v>
      </c>
      <c r="W187" s="8">
        <v>14.25</v>
      </c>
      <c r="X187" s="8">
        <v>12.84</v>
      </c>
      <c r="Y187" s="8">
        <v>13.91</v>
      </c>
      <c r="Z187" s="8">
        <v>12.71</v>
      </c>
      <c r="AA187" s="8">
        <v>13.41</v>
      </c>
      <c r="AB187" s="8">
        <v>12.97</v>
      </c>
      <c r="AC187" s="8">
        <v>13.03</v>
      </c>
      <c r="AD187" s="8">
        <v>11.24</v>
      </c>
      <c r="AE187" s="8">
        <v>14.17</v>
      </c>
      <c r="AF187" s="8">
        <v>14.74</v>
      </c>
      <c r="AG187" s="8">
        <v>12.12</v>
      </c>
      <c r="AH187" s="8">
        <v>12.03</v>
      </c>
      <c r="AI187" s="8">
        <v>11.94</v>
      </c>
      <c r="AJ187" s="8">
        <v>13.78</v>
      </c>
      <c r="AK187" s="8">
        <v>13.32</v>
      </c>
      <c r="AL187" s="8">
        <v>13.37</v>
      </c>
      <c r="AM187" s="8">
        <v>12.82</v>
      </c>
      <c r="AN187" s="8">
        <v>13.39</v>
      </c>
      <c r="AO187" s="8">
        <v>14.07</v>
      </c>
      <c r="AP187" s="8">
        <v>10.59</v>
      </c>
      <c r="AQ187" s="8">
        <v>9.39</v>
      </c>
      <c r="AR187" s="8">
        <v>12.21</v>
      </c>
      <c r="AS187" s="8">
        <v>15.03</v>
      </c>
      <c r="AT187" s="8">
        <v>12.94</v>
      </c>
      <c r="AU187" s="6">
        <v>14.5</v>
      </c>
      <c r="AV187" s="6">
        <v>14.93</v>
      </c>
      <c r="AW187" s="6">
        <v>14.38</v>
      </c>
      <c r="AX187" s="6">
        <v>15.38</v>
      </c>
      <c r="AY187" s="6">
        <v>14.82</v>
      </c>
      <c r="AZ187" s="6">
        <v>14.32</v>
      </c>
      <c r="BA187" s="6">
        <v>12.34</v>
      </c>
      <c r="BB187" s="6">
        <v>12.53</v>
      </c>
      <c r="BC187" s="6">
        <v>13.13</v>
      </c>
      <c r="BD187" s="6">
        <v>12.48</v>
      </c>
      <c r="BE187" s="6">
        <v>11.52</v>
      </c>
      <c r="BF187" s="6">
        <v>12.47</v>
      </c>
      <c r="BG187" s="6">
        <v>14.11</v>
      </c>
      <c r="BH187" s="6">
        <v>11.75</v>
      </c>
      <c r="BI187" s="6">
        <v>11.88</v>
      </c>
      <c r="BJ187" s="6">
        <v>14.15</v>
      </c>
      <c r="BK187" s="6">
        <v>13.1</v>
      </c>
      <c r="BL187" s="6">
        <v>12.76</v>
      </c>
      <c r="BM187" s="6">
        <v>14.18</v>
      </c>
      <c r="BN187" s="6">
        <v>12.38</v>
      </c>
      <c r="BO187" s="6">
        <v>15</v>
      </c>
      <c r="BP187" s="6">
        <v>12.52</v>
      </c>
      <c r="BQ187" s="6">
        <v>14.22</v>
      </c>
      <c r="BR187" s="6">
        <v>11.48</v>
      </c>
      <c r="BS187" s="6">
        <v>13.98</v>
      </c>
      <c r="BT187" s="6">
        <v>12.96</v>
      </c>
      <c r="BU187" s="6">
        <v>14.02</v>
      </c>
      <c r="BV187" s="6">
        <v>13.04</v>
      </c>
      <c r="BW187" s="6">
        <v>13.48</v>
      </c>
      <c r="BX187" s="6">
        <v>13.48</v>
      </c>
      <c r="BY187" s="6">
        <v>12.4</v>
      </c>
      <c r="BZ187" s="6">
        <v>10.65</v>
      </c>
      <c r="CA187" s="6">
        <v>14.22</v>
      </c>
      <c r="CB187" s="6">
        <v>14.73</v>
      </c>
      <c r="CC187" s="6">
        <v>13.9</v>
      </c>
      <c r="CD187" s="6">
        <v>13.2</v>
      </c>
      <c r="CE187" s="6">
        <v>12.22</v>
      </c>
      <c r="CF187" s="6">
        <v>12.6</v>
      </c>
      <c r="CG187" s="6">
        <v>13.92</v>
      </c>
      <c r="CH187" s="6">
        <v>13.7</v>
      </c>
      <c r="CI187" s="6">
        <v>15.14</v>
      </c>
      <c r="CJ187" s="11">
        <v>12.98</v>
      </c>
      <c r="CK187" s="6">
        <v>11.46</v>
      </c>
      <c r="CL187" s="6">
        <v>14.94</v>
      </c>
      <c r="CM187" s="6">
        <v>15.26</v>
      </c>
      <c r="CN187" s="6">
        <v>13.72</v>
      </c>
      <c r="CO187" s="10">
        <v>14.16</v>
      </c>
      <c r="CP187" s="10"/>
    </row>
    <row r="188" spans="1:94" ht="15.75" customHeight="1" x14ac:dyDescent="0.25">
      <c r="A188" s="4">
        <v>187</v>
      </c>
      <c r="B188" s="4"/>
      <c r="C188" s="4">
        <v>5</v>
      </c>
      <c r="D188" s="8">
        <v>13.16</v>
      </c>
      <c r="E188" s="8">
        <v>13.43</v>
      </c>
      <c r="F188" s="8">
        <v>12.88</v>
      </c>
      <c r="G188" s="8">
        <v>14.73</v>
      </c>
      <c r="H188" s="8">
        <v>11.54</v>
      </c>
      <c r="I188" s="8">
        <v>10.33</v>
      </c>
      <c r="J188" s="8">
        <v>12.97</v>
      </c>
      <c r="K188" s="8">
        <v>14.03</v>
      </c>
      <c r="L188" s="8">
        <v>14.98</v>
      </c>
      <c r="M188" s="8">
        <v>15.01</v>
      </c>
      <c r="N188" s="8">
        <v>14.37</v>
      </c>
      <c r="O188" s="8">
        <v>14.8</v>
      </c>
      <c r="P188" s="8">
        <v>12.64</v>
      </c>
      <c r="Q188" s="8">
        <v>14.23</v>
      </c>
      <c r="R188" s="8">
        <v>12.64</v>
      </c>
      <c r="S188" s="8">
        <v>13.76</v>
      </c>
      <c r="T188" s="8">
        <v>13.94</v>
      </c>
      <c r="U188" s="8">
        <v>13.76</v>
      </c>
      <c r="V188" s="8">
        <v>14.61</v>
      </c>
      <c r="W188" s="8">
        <v>14.37</v>
      </c>
      <c r="X188" s="8">
        <v>12.89</v>
      </c>
      <c r="Y188" s="8">
        <v>14.05</v>
      </c>
      <c r="Z188" s="8">
        <v>12.83</v>
      </c>
      <c r="AA188" s="8">
        <v>13.46</v>
      </c>
      <c r="AB188" s="8">
        <v>13.06</v>
      </c>
      <c r="AC188" s="8">
        <v>13.09</v>
      </c>
      <c r="AD188" s="8">
        <v>11.35</v>
      </c>
      <c r="AE188" s="8">
        <v>14.24</v>
      </c>
      <c r="AF188" s="8">
        <v>14.82</v>
      </c>
      <c r="AG188" s="8">
        <v>12.22</v>
      </c>
      <c r="AH188" s="8">
        <v>12.09</v>
      </c>
      <c r="AI188" s="8">
        <v>12.03</v>
      </c>
      <c r="AJ188" s="8">
        <v>13.87</v>
      </c>
      <c r="AK188" s="8">
        <v>13.44</v>
      </c>
      <c r="AL188" s="8">
        <v>13.41</v>
      </c>
      <c r="AM188" s="8">
        <v>12.92</v>
      </c>
      <c r="AN188" s="8">
        <v>13.49</v>
      </c>
      <c r="AO188" s="8">
        <v>14.11</v>
      </c>
      <c r="AP188" s="8">
        <v>10.63</v>
      </c>
      <c r="AQ188" s="8">
        <v>9.5299999999999994</v>
      </c>
      <c r="AR188" s="8">
        <v>12.4</v>
      </c>
      <c r="AS188" s="8">
        <v>15.24</v>
      </c>
      <c r="AT188" s="8">
        <v>13.01</v>
      </c>
      <c r="AU188" s="6">
        <v>14.61</v>
      </c>
      <c r="AV188" s="6">
        <v>15.02</v>
      </c>
      <c r="AW188" s="6">
        <v>14.5</v>
      </c>
      <c r="AX188" s="6">
        <v>15.47</v>
      </c>
      <c r="AY188" s="6">
        <v>14.85</v>
      </c>
      <c r="AZ188" s="6">
        <v>14.4</v>
      </c>
      <c r="BA188" s="6">
        <v>12.47</v>
      </c>
      <c r="BB188" s="6">
        <v>12.59</v>
      </c>
      <c r="BC188" s="6">
        <v>13.21</v>
      </c>
      <c r="BD188" s="6">
        <v>12.5</v>
      </c>
      <c r="BE188" s="6">
        <v>11.6</v>
      </c>
      <c r="BF188" s="6">
        <v>12.512</v>
      </c>
      <c r="BG188" s="6">
        <v>14.26</v>
      </c>
      <c r="BH188" s="6">
        <v>11.85</v>
      </c>
      <c r="BI188" s="6">
        <v>11.94</v>
      </c>
      <c r="BJ188" s="6">
        <v>14.28</v>
      </c>
      <c r="BK188" s="6">
        <v>13.22</v>
      </c>
      <c r="BL188" s="6">
        <v>12.9</v>
      </c>
      <c r="BM188" s="6">
        <v>14.34</v>
      </c>
      <c r="BN188" s="6">
        <v>12.4</v>
      </c>
      <c r="BO188" s="6">
        <v>15.06</v>
      </c>
      <c r="BP188" s="6">
        <v>12.58</v>
      </c>
      <c r="BQ188" s="6">
        <v>14.26</v>
      </c>
      <c r="BR188" s="6">
        <v>11.4</v>
      </c>
      <c r="BS188" s="6">
        <v>14.05</v>
      </c>
      <c r="BT188" s="6">
        <v>13</v>
      </c>
      <c r="BU188" s="6">
        <v>14.18</v>
      </c>
      <c r="BV188" s="6">
        <v>13.08</v>
      </c>
      <c r="BW188" s="6">
        <v>13.6</v>
      </c>
      <c r="BX188" s="6">
        <v>13.6</v>
      </c>
      <c r="BY188" s="6">
        <v>12.56</v>
      </c>
      <c r="BZ188" s="6">
        <v>10.86</v>
      </c>
      <c r="CA188" s="6">
        <v>14.28</v>
      </c>
      <c r="CB188" s="6">
        <v>14.76</v>
      </c>
      <c r="CC188" s="6">
        <v>14</v>
      </c>
      <c r="CD188" s="6">
        <v>13.2</v>
      </c>
      <c r="CE188" s="6">
        <v>12.32</v>
      </c>
      <c r="CF188" s="6">
        <v>12.68</v>
      </c>
      <c r="CG188" s="6">
        <v>14</v>
      </c>
      <c r="CH188" s="6">
        <v>13.9</v>
      </c>
      <c r="CI188" s="6">
        <v>15.3</v>
      </c>
      <c r="CJ188" s="11">
        <v>13.08</v>
      </c>
      <c r="CK188" s="6">
        <v>11.54</v>
      </c>
      <c r="CL188" s="6">
        <v>14.94</v>
      </c>
      <c r="CM188" s="6">
        <v>15.32</v>
      </c>
      <c r="CN188" s="6">
        <v>13.84</v>
      </c>
      <c r="CO188" s="10">
        <v>14.22</v>
      </c>
      <c r="CP188" s="10"/>
    </row>
    <row r="189" spans="1:94" ht="15.75" customHeight="1" x14ac:dyDescent="0.25">
      <c r="A189" s="4">
        <v>188</v>
      </c>
      <c r="B189" s="4"/>
      <c r="C189" s="4">
        <v>6</v>
      </c>
      <c r="D189" s="8">
        <v>13.24</v>
      </c>
      <c r="E189" s="8">
        <v>13.48</v>
      </c>
      <c r="F189" s="8">
        <v>12.9</v>
      </c>
      <c r="G189" s="8">
        <v>14.78</v>
      </c>
      <c r="H189" s="8">
        <v>11.58</v>
      </c>
      <c r="I189" s="8">
        <v>10.48</v>
      </c>
      <c r="J189" s="8">
        <v>13.08</v>
      </c>
      <c r="K189" s="8">
        <v>14.11</v>
      </c>
      <c r="L189" s="8">
        <v>15.01</v>
      </c>
      <c r="M189" s="8">
        <v>15.02</v>
      </c>
      <c r="N189" s="8">
        <v>14.48</v>
      </c>
      <c r="O189" s="8">
        <v>14.87</v>
      </c>
      <c r="P189" s="8">
        <v>12.73</v>
      </c>
      <c r="Q189" s="8">
        <v>14.21</v>
      </c>
      <c r="R189" s="8">
        <v>12.69</v>
      </c>
      <c r="S189" s="8">
        <v>13.76</v>
      </c>
      <c r="T189" s="8">
        <v>14.09</v>
      </c>
      <c r="U189" s="8">
        <v>13.79</v>
      </c>
      <c r="V189" s="8">
        <v>14.71</v>
      </c>
      <c r="W189" s="8">
        <v>14.48</v>
      </c>
      <c r="X189" s="8">
        <v>12.9</v>
      </c>
      <c r="Y189" s="8">
        <v>14.19</v>
      </c>
      <c r="Z189" s="8">
        <v>12.89</v>
      </c>
      <c r="AA189" s="8">
        <v>13.51</v>
      </c>
      <c r="AB189" s="8">
        <v>13.15</v>
      </c>
      <c r="AC189" s="8">
        <v>13.16</v>
      </c>
      <c r="AD189" s="8">
        <v>11.47</v>
      </c>
      <c r="AE189" s="8">
        <v>14.35</v>
      </c>
      <c r="AF189" s="8">
        <v>14.9</v>
      </c>
      <c r="AG189" s="8">
        <v>12.32</v>
      </c>
      <c r="AH189" s="8">
        <v>12.15</v>
      </c>
      <c r="AI189" s="8">
        <v>12.14</v>
      </c>
      <c r="AJ189" s="8">
        <v>13.97</v>
      </c>
      <c r="AK189" s="8">
        <v>13.53</v>
      </c>
      <c r="AL189" s="8">
        <v>13.41</v>
      </c>
      <c r="AM189" s="8">
        <v>12.99</v>
      </c>
      <c r="AN189" s="8">
        <v>13.58</v>
      </c>
      <c r="AO189" s="8">
        <v>14.23</v>
      </c>
      <c r="AP189" s="8">
        <v>10.61</v>
      </c>
      <c r="AQ189" s="8">
        <v>9.6199999999999992</v>
      </c>
      <c r="AR189" s="8">
        <v>12.52</v>
      </c>
      <c r="AS189" s="8">
        <v>15.44</v>
      </c>
      <c r="AT189" s="8">
        <v>13.17</v>
      </c>
      <c r="AU189" s="6">
        <v>14.67</v>
      </c>
      <c r="AV189" s="6">
        <v>15.1</v>
      </c>
      <c r="AW189" s="6">
        <v>14.6</v>
      </c>
      <c r="AX189" s="6">
        <v>15.56</v>
      </c>
      <c r="AY189" s="6">
        <v>14.89</v>
      </c>
      <c r="AZ189" s="6">
        <v>14.5</v>
      </c>
      <c r="BA189" s="6">
        <v>12.6</v>
      </c>
      <c r="BB189" s="6">
        <v>12.67</v>
      </c>
      <c r="BC189" s="6">
        <v>13.28</v>
      </c>
      <c r="BD189" s="6">
        <v>12.56</v>
      </c>
      <c r="BE189" s="6">
        <v>11.68</v>
      </c>
      <c r="BF189" s="6">
        <v>12.56</v>
      </c>
      <c r="BG189" s="6">
        <v>14.39</v>
      </c>
      <c r="BH189" s="6">
        <v>11.93</v>
      </c>
      <c r="BI189" s="6">
        <v>12</v>
      </c>
      <c r="BJ189" s="6">
        <v>14.38</v>
      </c>
      <c r="BK189" s="6">
        <v>13.32</v>
      </c>
      <c r="BL189" s="6">
        <v>13</v>
      </c>
      <c r="BM189" s="6">
        <v>14.48</v>
      </c>
      <c r="BN189" s="6">
        <v>12.38</v>
      </c>
      <c r="BO189" s="6">
        <v>15.14</v>
      </c>
      <c r="BP189" s="6">
        <v>12.56</v>
      </c>
      <c r="BQ189" s="6">
        <v>14.28</v>
      </c>
      <c r="BR189" s="6">
        <v>11.36</v>
      </c>
      <c r="BS189" s="6">
        <v>14.1</v>
      </c>
      <c r="BT189" s="6">
        <v>13.02</v>
      </c>
      <c r="BU189" s="6">
        <v>14.2</v>
      </c>
      <c r="BV189" s="6">
        <v>13.1</v>
      </c>
      <c r="BW189" s="6">
        <v>13.8</v>
      </c>
      <c r="BX189" s="6">
        <v>13.7</v>
      </c>
      <c r="BY189" s="6">
        <v>12.82</v>
      </c>
      <c r="BZ189" s="6">
        <v>11.06</v>
      </c>
      <c r="CA189" s="6">
        <v>14.38</v>
      </c>
      <c r="CB189" s="6">
        <v>14.82</v>
      </c>
      <c r="CC189" s="6">
        <v>14.1</v>
      </c>
      <c r="CD189" s="6">
        <v>13.2</v>
      </c>
      <c r="CE189" s="6">
        <v>12.44</v>
      </c>
      <c r="CF189" s="6">
        <v>12.73</v>
      </c>
      <c r="CG189" s="6">
        <v>14.12</v>
      </c>
      <c r="CH189" s="6">
        <v>14</v>
      </c>
      <c r="CI189" s="6">
        <v>15.5</v>
      </c>
      <c r="CJ189" s="11">
        <v>13.12</v>
      </c>
      <c r="CK189" s="6">
        <v>11.66</v>
      </c>
      <c r="CL189" s="6">
        <v>15</v>
      </c>
      <c r="CM189" s="6">
        <v>15.38</v>
      </c>
      <c r="CN189" s="6">
        <v>13.93</v>
      </c>
      <c r="CO189" s="10">
        <v>14.29</v>
      </c>
      <c r="CP189" s="10"/>
    </row>
    <row r="190" spans="1:94" ht="15.75" customHeight="1" x14ac:dyDescent="0.25">
      <c r="A190" s="4">
        <v>189</v>
      </c>
      <c r="B190" s="4"/>
      <c r="C190" s="4">
        <v>7</v>
      </c>
      <c r="D190" s="8">
        <v>13.32</v>
      </c>
      <c r="E190" s="8">
        <v>13.53</v>
      </c>
      <c r="F190" s="8">
        <v>12.94</v>
      </c>
      <c r="G190" s="8">
        <v>14.88</v>
      </c>
      <c r="H190" s="8">
        <v>11.68</v>
      </c>
      <c r="I190" s="8">
        <v>10.58</v>
      </c>
      <c r="J190" s="8">
        <v>13.17</v>
      </c>
      <c r="K190" s="8">
        <v>14.2</v>
      </c>
      <c r="L190" s="8">
        <v>15.04</v>
      </c>
      <c r="M190" s="8">
        <v>15.05</v>
      </c>
      <c r="N190" s="8">
        <v>14.59</v>
      </c>
      <c r="O190" s="8">
        <v>14.94</v>
      </c>
      <c r="P190" s="8">
        <v>12.8</v>
      </c>
      <c r="Q190" s="8">
        <v>14.23</v>
      </c>
      <c r="R190" s="8">
        <v>12.83</v>
      </c>
      <c r="S190" s="8">
        <v>13.81</v>
      </c>
      <c r="T190" s="8">
        <v>14.24</v>
      </c>
      <c r="U190" s="8">
        <v>13.86</v>
      </c>
      <c r="V190" s="8">
        <v>14.85</v>
      </c>
      <c r="W190" s="8">
        <v>14.55</v>
      </c>
      <c r="X190" s="8">
        <v>12.9</v>
      </c>
      <c r="Y190" s="8">
        <v>14.33</v>
      </c>
      <c r="Z190" s="8">
        <v>12.95</v>
      </c>
      <c r="AA190" s="8">
        <v>13.55</v>
      </c>
      <c r="AB190" s="8">
        <v>13.21</v>
      </c>
      <c r="AC190" s="8">
        <v>13.21</v>
      </c>
      <c r="AD190" s="8">
        <v>11.63</v>
      </c>
      <c r="AE190" s="8">
        <v>14.45</v>
      </c>
      <c r="AF190" s="8">
        <v>14.99</v>
      </c>
      <c r="AG190" s="8">
        <v>12.42</v>
      </c>
      <c r="AH190" s="8">
        <v>12.17</v>
      </c>
      <c r="AI190" s="8">
        <v>12.27</v>
      </c>
      <c r="AJ190" s="8">
        <v>14.06</v>
      </c>
      <c r="AK190" s="8">
        <v>13.62</v>
      </c>
      <c r="AL190" s="8">
        <v>13.39</v>
      </c>
      <c r="AM190" s="8">
        <v>13.07</v>
      </c>
      <c r="AN190" s="8">
        <v>13.67</v>
      </c>
      <c r="AO190" s="8">
        <v>14.28</v>
      </c>
      <c r="AP190" s="8">
        <v>10.69</v>
      </c>
      <c r="AQ190" s="8">
        <v>9.68</v>
      </c>
      <c r="AR190" s="8">
        <v>12.64</v>
      </c>
      <c r="AS190" s="8">
        <v>15.63</v>
      </c>
      <c r="AT190" s="8">
        <v>13.29</v>
      </c>
      <c r="AU190" s="6">
        <v>14.71</v>
      </c>
      <c r="AV190" s="6">
        <v>15.19</v>
      </c>
      <c r="AW190" s="6">
        <v>14.71</v>
      </c>
      <c r="AX190" s="6">
        <v>15.67</v>
      </c>
      <c r="AY190" s="6">
        <v>14.94</v>
      </c>
      <c r="AZ190" s="6">
        <v>14.56</v>
      </c>
      <c r="BA190" s="6">
        <v>12.71</v>
      </c>
      <c r="BB190" s="6">
        <v>12.75</v>
      </c>
      <c r="BC190" s="6">
        <v>13.39</v>
      </c>
      <c r="BD190" s="6">
        <v>12.6</v>
      </c>
      <c r="BE190" s="6">
        <v>11.76</v>
      </c>
      <c r="BF190" s="6">
        <v>12.64</v>
      </c>
      <c r="BG190" s="6">
        <v>14.52</v>
      </c>
      <c r="BH190" s="6">
        <v>12.06</v>
      </c>
      <c r="BI190" s="6">
        <v>11.98</v>
      </c>
      <c r="BJ190" s="6">
        <v>14.45</v>
      </c>
      <c r="BK190" s="6">
        <v>13.42</v>
      </c>
      <c r="BL190" s="6">
        <v>13.02</v>
      </c>
      <c r="BM190" s="6">
        <v>14.58</v>
      </c>
      <c r="BN190" s="6">
        <v>12.34</v>
      </c>
      <c r="BO190" s="6">
        <v>15.26</v>
      </c>
      <c r="BP190" s="6">
        <v>12.61</v>
      </c>
      <c r="BQ190" s="6">
        <v>14.32</v>
      </c>
      <c r="BR190" s="6">
        <v>11.34</v>
      </c>
      <c r="BS190" s="6">
        <v>14.18</v>
      </c>
      <c r="BT190" s="6">
        <v>13.06</v>
      </c>
      <c r="BU190" s="6">
        <v>14.32</v>
      </c>
      <c r="BV190" s="6">
        <v>13.2</v>
      </c>
      <c r="BW190" s="6">
        <v>14.02</v>
      </c>
      <c r="BX190" s="6">
        <v>13.78</v>
      </c>
      <c r="BY190" s="6">
        <v>13.02</v>
      </c>
      <c r="BZ190" s="6">
        <v>11.2</v>
      </c>
      <c r="CA190" s="6">
        <v>14.48</v>
      </c>
      <c r="CB190" s="6">
        <v>14.86</v>
      </c>
      <c r="CC190" s="6">
        <v>14.14</v>
      </c>
      <c r="CD190" s="6">
        <v>13.18</v>
      </c>
      <c r="CE190" s="6">
        <v>12.46</v>
      </c>
      <c r="CF190" s="6">
        <v>12.78</v>
      </c>
      <c r="CG190" s="6">
        <v>14.2</v>
      </c>
      <c r="CH190" s="6">
        <v>14.12</v>
      </c>
      <c r="CI190" s="6">
        <v>15.62</v>
      </c>
      <c r="CJ190" s="11">
        <v>13.24</v>
      </c>
      <c r="CK190" s="6">
        <v>11.76</v>
      </c>
      <c r="CL190" s="6">
        <v>15.02</v>
      </c>
      <c r="CM190" s="6">
        <v>15.42</v>
      </c>
      <c r="CN190" s="6">
        <v>14</v>
      </c>
      <c r="CO190" s="10">
        <v>14.35</v>
      </c>
      <c r="CP190" s="10"/>
    </row>
    <row r="191" spans="1:94" ht="15.75" customHeight="1" x14ac:dyDescent="0.25">
      <c r="A191" s="4">
        <v>190</v>
      </c>
      <c r="B191" s="4"/>
      <c r="C191" s="4">
        <v>8</v>
      </c>
      <c r="D191" s="8">
        <v>13.43</v>
      </c>
      <c r="E191" s="8">
        <v>13.58</v>
      </c>
      <c r="F191" s="8">
        <v>13.03</v>
      </c>
      <c r="G191" s="8">
        <v>14.93</v>
      </c>
      <c r="H191" s="8">
        <v>11.78</v>
      </c>
      <c r="I191" s="8">
        <v>10.73</v>
      </c>
      <c r="J191" s="8">
        <v>13.22</v>
      </c>
      <c r="K191" s="8">
        <v>14.29</v>
      </c>
      <c r="L191" s="8">
        <v>15.06</v>
      </c>
      <c r="M191" s="8">
        <v>15.11</v>
      </c>
      <c r="N191" s="8">
        <v>14.64</v>
      </c>
      <c r="O191" s="8">
        <v>14.98</v>
      </c>
      <c r="P191" s="8">
        <v>12.88</v>
      </c>
      <c r="Q191" s="8">
        <v>14.28</v>
      </c>
      <c r="R191" s="8">
        <v>12.97</v>
      </c>
      <c r="S191" s="8">
        <v>13.86</v>
      </c>
      <c r="T191" s="8">
        <v>14.39</v>
      </c>
      <c r="U191" s="8">
        <v>13.98</v>
      </c>
      <c r="V191" s="8">
        <v>14.96</v>
      </c>
      <c r="W191" s="8">
        <v>14.6</v>
      </c>
      <c r="X191" s="8">
        <v>12.9</v>
      </c>
      <c r="Y191" s="8">
        <v>14.47</v>
      </c>
      <c r="Z191" s="8">
        <v>13.01</v>
      </c>
      <c r="AA191" s="8">
        <v>13.55</v>
      </c>
      <c r="AB191" s="8">
        <v>13.29</v>
      </c>
      <c r="AC191" s="8">
        <v>13.23</v>
      </c>
      <c r="AD191" s="8">
        <v>11.81</v>
      </c>
      <c r="AE191" s="8">
        <v>14.51</v>
      </c>
      <c r="AF191" s="8">
        <v>15.08</v>
      </c>
      <c r="AG191" s="8">
        <v>12.5</v>
      </c>
      <c r="AH191" s="8">
        <v>12.17</v>
      </c>
      <c r="AI191" s="8">
        <v>12.41</v>
      </c>
      <c r="AJ191" s="8">
        <v>14.16</v>
      </c>
      <c r="AK191" s="8">
        <v>13.7</v>
      </c>
      <c r="AL191" s="8">
        <v>13.47</v>
      </c>
      <c r="AM191" s="8">
        <v>13.15</v>
      </c>
      <c r="AN191" s="8">
        <v>13.76</v>
      </c>
      <c r="AO191" s="8">
        <v>14.45</v>
      </c>
      <c r="AP191" s="8">
        <v>10.77</v>
      </c>
      <c r="AQ191" s="8">
        <v>9.74</v>
      </c>
      <c r="AR191" s="8">
        <v>12.72</v>
      </c>
      <c r="AS191" s="8">
        <v>15.8</v>
      </c>
      <c r="AT191" s="8">
        <v>13.39</v>
      </c>
      <c r="AU191" s="6">
        <v>14.75</v>
      </c>
      <c r="AV191" s="6">
        <v>15.3</v>
      </c>
      <c r="AW191" s="6">
        <v>14.81</v>
      </c>
      <c r="AX191" s="6">
        <v>15.78</v>
      </c>
      <c r="AY191" s="6">
        <v>15.02</v>
      </c>
      <c r="AZ191" s="6">
        <v>14.64</v>
      </c>
      <c r="BA191" s="6">
        <v>12.85</v>
      </c>
      <c r="BB191" s="6">
        <v>12.81</v>
      </c>
      <c r="BC191" s="6">
        <v>13.51</v>
      </c>
      <c r="BD191" s="6">
        <v>12.64</v>
      </c>
      <c r="BE191" s="6">
        <v>11.89</v>
      </c>
      <c r="BF191" s="6">
        <v>12.75</v>
      </c>
      <c r="BG191" s="6">
        <v>14.6</v>
      </c>
      <c r="BH191" s="6">
        <v>12.14</v>
      </c>
      <c r="BI191" s="6">
        <v>12.04</v>
      </c>
      <c r="BJ191" s="6">
        <v>14.52</v>
      </c>
      <c r="BK191" s="6">
        <v>13.52</v>
      </c>
      <c r="BL191" s="6">
        <v>13.11</v>
      </c>
      <c r="BM191" s="6">
        <v>14.69</v>
      </c>
      <c r="BN191" s="6">
        <v>12.32</v>
      </c>
      <c r="BO191" s="6">
        <v>15.4</v>
      </c>
      <c r="BP191" s="6">
        <v>12.78</v>
      </c>
      <c r="BQ191" s="6">
        <v>14.34</v>
      </c>
      <c r="BR191" s="6">
        <v>11.34</v>
      </c>
      <c r="BS191" s="6">
        <v>14.3</v>
      </c>
      <c r="BT191" s="6">
        <v>13.12</v>
      </c>
      <c r="BU191" s="6">
        <v>14.44</v>
      </c>
      <c r="BV191" s="6">
        <v>13.3</v>
      </c>
      <c r="BW191" s="6">
        <v>14.12</v>
      </c>
      <c r="BX191" s="6">
        <v>13.84</v>
      </c>
      <c r="BY191" s="6">
        <v>13.08</v>
      </c>
      <c r="BZ191" s="6">
        <v>11.3</v>
      </c>
      <c r="CA191" s="6">
        <v>14.6</v>
      </c>
      <c r="CB191" s="6">
        <v>15.12</v>
      </c>
      <c r="CC191" s="6">
        <v>14.16</v>
      </c>
      <c r="CD191" s="6">
        <v>13.14</v>
      </c>
      <c r="CE191" s="6">
        <v>12.5</v>
      </c>
      <c r="CF191" s="6">
        <v>12.78</v>
      </c>
      <c r="CG191" s="6">
        <v>14.3</v>
      </c>
      <c r="CH191" s="6">
        <v>14.2</v>
      </c>
      <c r="CI191" s="6">
        <v>15.76</v>
      </c>
      <c r="CJ191" s="11">
        <v>13.3</v>
      </c>
      <c r="CK191" s="6">
        <v>11.9</v>
      </c>
      <c r="CL191" s="6">
        <v>15.02</v>
      </c>
      <c r="CM191" s="6">
        <v>15.44</v>
      </c>
      <c r="CN191" s="6">
        <v>14.06</v>
      </c>
      <c r="CO191" s="10">
        <v>14.41</v>
      </c>
      <c r="CP191" s="10"/>
    </row>
    <row r="192" spans="1:94" ht="15.75" customHeight="1" x14ac:dyDescent="0.25">
      <c r="A192" s="4">
        <v>191</v>
      </c>
      <c r="B192" s="4"/>
      <c r="C192" s="4">
        <v>9</v>
      </c>
      <c r="D192" s="8">
        <v>13.58</v>
      </c>
      <c r="E192" s="8">
        <v>13.68</v>
      </c>
      <c r="F192" s="8">
        <v>13.08</v>
      </c>
      <c r="G192" s="8">
        <v>15.03</v>
      </c>
      <c r="H192" s="8">
        <v>11.88</v>
      </c>
      <c r="I192" s="8">
        <v>10.83</v>
      </c>
      <c r="J192" s="8">
        <v>13.36</v>
      </c>
      <c r="K192" s="8">
        <v>14.42</v>
      </c>
      <c r="L192" s="8">
        <v>15.08</v>
      </c>
      <c r="M192" s="8">
        <v>15.19</v>
      </c>
      <c r="N192" s="8">
        <v>14.72</v>
      </c>
      <c r="O192" s="8">
        <v>15.02</v>
      </c>
      <c r="P192" s="8">
        <v>12.98</v>
      </c>
      <c r="Q192" s="8">
        <v>14.38</v>
      </c>
      <c r="R192" s="8">
        <v>13.17</v>
      </c>
      <c r="S192" s="8">
        <v>13.86</v>
      </c>
      <c r="T192" s="8">
        <v>14.54</v>
      </c>
      <c r="U192" s="8">
        <v>14.14</v>
      </c>
      <c r="V192" s="8">
        <v>15.13</v>
      </c>
      <c r="W192" s="8">
        <v>14.7</v>
      </c>
      <c r="X192" s="8">
        <v>12.9</v>
      </c>
      <c r="Y192" s="8">
        <v>14.59</v>
      </c>
      <c r="Z192" s="8">
        <v>13.03</v>
      </c>
      <c r="AA192" s="8">
        <v>13.59</v>
      </c>
      <c r="AB192" s="8">
        <v>13.37</v>
      </c>
      <c r="AC192" s="8">
        <v>13.27</v>
      </c>
      <c r="AD192" s="8">
        <v>12.03</v>
      </c>
      <c r="AE192" s="8">
        <v>14.57</v>
      </c>
      <c r="AF192" s="8">
        <v>15.16</v>
      </c>
      <c r="AG192" s="8">
        <v>12.58</v>
      </c>
      <c r="AH192" s="8">
        <v>12.17</v>
      </c>
      <c r="AI192" s="8">
        <v>12.59</v>
      </c>
      <c r="AJ192" s="8">
        <v>14.25</v>
      </c>
      <c r="AK192" s="8">
        <v>13.77</v>
      </c>
      <c r="AL192" s="8">
        <v>13.53</v>
      </c>
      <c r="AM192" s="8">
        <v>13.27</v>
      </c>
      <c r="AN192" s="8">
        <v>13.83</v>
      </c>
      <c r="AO192" s="8">
        <v>14.59</v>
      </c>
      <c r="AP192" s="8">
        <v>10.82</v>
      </c>
      <c r="AQ192" s="8">
        <v>9.84</v>
      </c>
      <c r="AR192" s="8">
        <v>12.78</v>
      </c>
      <c r="AS192" s="8">
        <v>15.92</v>
      </c>
      <c r="AT192" s="8">
        <v>13.45</v>
      </c>
      <c r="AU192" s="6">
        <v>14.78</v>
      </c>
      <c r="AV192" s="6">
        <v>15.38</v>
      </c>
      <c r="AW192" s="6">
        <v>14.92</v>
      </c>
      <c r="AX192" s="6">
        <v>15.9</v>
      </c>
      <c r="AY192" s="6">
        <v>15.11</v>
      </c>
      <c r="AZ192" s="6">
        <v>14.71</v>
      </c>
      <c r="BA192" s="6">
        <v>12.97</v>
      </c>
      <c r="BB192" s="6">
        <v>12.86</v>
      </c>
      <c r="BC192" s="6">
        <v>13.64</v>
      </c>
      <c r="BD192" s="6">
        <v>12.84</v>
      </c>
      <c r="BE192" s="6">
        <v>12</v>
      </c>
      <c r="BF192" s="6">
        <v>12.86</v>
      </c>
      <c r="BG192" s="6">
        <v>14.65</v>
      </c>
      <c r="BH192" s="6">
        <v>12.25</v>
      </c>
      <c r="BI192" s="6">
        <v>12.1</v>
      </c>
      <c r="BJ192" s="6">
        <v>14.6</v>
      </c>
      <c r="BK192" s="6">
        <v>13.58</v>
      </c>
      <c r="BL192" s="6">
        <v>13.19</v>
      </c>
      <c r="BM192" s="6">
        <v>14.76</v>
      </c>
      <c r="BN192" s="6">
        <v>12.38</v>
      </c>
      <c r="BO192" s="6">
        <v>15.52</v>
      </c>
      <c r="BP192" s="6">
        <v>12.88</v>
      </c>
      <c r="BQ192" s="6">
        <v>14.36</v>
      </c>
      <c r="BR192" s="6">
        <v>11.36</v>
      </c>
      <c r="BS192" s="6">
        <v>14.38</v>
      </c>
      <c r="BT192" s="6">
        <v>13.22</v>
      </c>
      <c r="BU192" s="6">
        <v>14.54</v>
      </c>
      <c r="BV192" s="6">
        <v>13.46</v>
      </c>
      <c r="BW192" s="6">
        <v>14.16</v>
      </c>
      <c r="BX192" s="6">
        <v>13.98</v>
      </c>
      <c r="BY192" s="6">
        <v>13.1</v>
      </c>
      <c r="BZ192" s="6">
        <v>11.52</v>
      </c>
      <c r="CA192" s="6">
        <v>14.7</v>
      </c>
      <c r="CB192" s="6">
        <v>15.2</v>
      </c>
      <c r="CC192" s="6">
        <v>14.36</v>
      </c>
      <c r="CD192" s="6">
        <v>13.12</v>
      </c>
      <c r="CE192" s="6">
        <v>12.56</v>
      </c>
      <c r="CF192" s="6">
        <v>12.86</v>
      </c>
      <c r="CG192" s="6">
        <v>14.42</v>
      </c>
      <c r="CH192" s="6">
        <v>14.26</v>
      </c>
      <c r="CI192" s="6">
        <v>15.88</v>
      </c>
      <c r="CJ192" s="11">
        <v>13.4</v>
      </c>
      <c r="CK192" s="6">
        <v>11.94</v>
      </c>
      <c r="CL192" s="6">
        <v>15.04</v>
      </c>
      <c r="CM192" s="6">
        <v>15.46</v>
      </c>
      <c r="CN192" s="6">
        <v>14.13</v>
      </c>
      <c r="CO192" s="10">
        <v>14.48</v>
      </c>
      <c r="CP192" s="10"/>
    </row>
    <row r="193" spans="1:94" ht="15.75" customHeight="1" x14ac:dyDescent="0.25">
      <c r="A193" s="4">
        <v>192</v>
      </c>
      <c r="B193" s="4"/>
      <c r="C193" s="4">
        <v>10</v>
      </c>
      <c r="D193" s="8">
        <v>13.68</v>
      </c>
      <c r="E193" s="8">
        <v>13.73</v>
      </c>
      <c r="F193" s="8">
        <v>13.18</v>
      </c>
      <c r="G193" s="8">
        <v>15.08</v>
      </c>
      <c r="H193" s="8">
        <v>12.08</v>
      </c>
      <c r="I193" s="8">
        <v>10.93</v>
      </c>
      <c r="J193" s="8">
        <v>13.44</v>
      </c>
      <c r="K193" s="8">
        <v>14.56</v>
      </c>
      <c r="L193" s="8">
        <v>15.16</v>
      </c>
      <c r="M193" s="8">
        <v>15.23</v>
      </c>
      <c r="N193" s="8">
        <v>14.79</v>
      </c>
      <c r="O193" s="8">
        <v>15.06</v>
      </c>
      <c r="P193" s="8">
        <v>13.03</v>
      </c>
      <c r="Q193" s="8">
        <v>14.38</v>
      </c>
      <c r="R193" s="8">
        <v>13.34</v>
      </c>
      <c r="S193" s="8">
        <v>13.91</v>
      </c>
      <c r="T193" s="8">
        <v>14.68</v>
      </c>
      <c r="U193" s="8">
        <v>14.28</v>
      </c>
      <c r="V193" s="8">
        <v>15.25</v>
      </c>
      <c r="W193" s="8">
        <v>14.8</v>
      </c>
      <c r="X193" s="8">
        <v>12.9</v>
      </c>
      <c r="Y193" s="8">
        <v>14.69</v>
      </c>
      <c r="Z193" s="8">
        <v>13.05</v>
      </c>
      <c r="AA193" s="8">
        <v>13.63</v>
      </c>
      <c r="AB193" s="8">
        <v>13.49</v>
      </c>
      <c r="AC193" s="8">
        <v>13.34</v>
      </c>
      <c r="AD193" s="8">
        <v>12.25</v>
      </c>
      <c r="AE193" s="8">
        <v>14.65</v>
      </c>
      <c r="AF193" s="8">
        <v>15.25</v>
      </c>
      <c r="AG193" s="8">
        <v>12.66</v>
      </c>
      <c r="AH193" s="8">
        <v>12.17</v>
      </c>
      <c r="AI193" s="8">
        <v>12.72</v>
      </c>
      <c r="AJ193" s="8">
        <v>14.39</v>
      </c>
      <c r="AK193" s="8">
        <v>13.84</v>
      </c>
      <c r="AL193" s="8">
        <v>13.58</v>
      </c>
      <c r="AM193" s="8">
        <v>13.27</v>
      </c>
      <c r="AN193" s="8">
        <v>13.87</v>
      </c>
      <c r="AO193" s="8">
        <v>14.71</v>
      </c>
      <c r="AP193" s="8">
        <v>10.89</v>
      </c>
      <c r="AQ193" s="8">
        <v>9.92</v>
      </c>
      <c r="AR193" s="8">
        <v>12.85</v>
      </c>
      <c r="AS193" s="8">
        <v>16.03</v>
      </c>
      <c r="AT193" s="8">
        <v>13.58</v>
      </c>
      <c r="AU193" s="6">
        <v>14.82</v>
      </c>
      <c r="AV193" s="6">
        <v>15.47</v>
      </c>
      <c r="AW193" s="6">
        <v>15.05</v>
      </c>
      <c r="AX193" s="6">
        <v>16</v>
      </c>
      <c r="AY193" s="6">
        <v>15.22</v>
      </c>
      <c r="AZ193" s="6">
        <v>14.76</v>
      </c>
      <c r="BA193" s="6">
        <v>13.02</v>
      </c>
      <c r="BB193" s="6">
        <v>12.9</v>
      </c>
      <c r="BC193" s="6">
        <v>13.76</v>
      </c>
      <c r="BD193" s="6">
        <v>12.93</v>
      </c>
      <c r="BE193" s="6">
        <v>12.1</v>
      </c>
      <c r="BF193" s="6">
        <v>12.94</v>
      </c>
      <c r="BG193" s="6">
        <v>14.69</v>
      </c>
      <c r="BH193" s="6">
        <v>12.39</v>
      </c>
      <c r="BI193" s="6">
        <v>12.12</v>
      </c>
      <c r="BJ193" s="6">
        <v>14.68</v>
      </c>
      <c r="BK193" s="6">
        <v>13.69</v>
      </c>
      <c r="BL193" s="6">
        <v>13.38</v>
      </c>
      <c r="BM193" s="6">
        <v>14.82</v>
      </c>
      <c r="BN193" s="6">
        <v>12.48</v>
      </c>
      <c r="BO193" s="6">
        <v>15.67</v>
      </c>
      <c r="BP193" s="6">
        <v>13</v>
      </c>
      <c r="BQ193" s="6">
        <v>14.38</v>
      </c>
      <c r="BR193" s="6">
        <v>11.43</v>
      </c>
      <c r="BS193" s="6">
        <v>14.5</v>
      </c>
      <c r="BT193" s="6">
        <v>13.32</v>
      </c>
      <c r="BU193" s="6">
        <v>14.64</v>
      </c>
      <c r="BV193" s="6">
        <v>13.5</v>
      </c>
      <c r="BW193" s="6">
        <v>14.2</v>
      </c>
      <c r="BX193" s="6">
        <v>14.04</v>
      </c>
      <c r="BY193" s="6">
        <v>13.18</v>
      </c>
      <c r="BZ193" s="6">
        <v>11.7</v>
      </c>
      <c r="CA193" s="6">
        <v>14.84</v>
      </c>
      <c r="CB193" s="6">
        <v>15.28</v>
      </c>
      <c r="CC193" s="6">
        <v>14.38</v>
      </c>
      <c r="CD193" s="6">
        <v>13.14</v>
      </c>
      <c r="CE193" s="6">
        <v>12.62</v>
      </c>
      <c r="CF193" s="6">
        <v>12.9</v>
      </c>
      <c r="CG193" s="6">
        <v>14.54</v>
      </c>
      <c r="CH193" s="6">
        <v>14.36</v>
      </c>
      <c r="CI193" s="6">
        <v>15.98</v>
      </c>
      <c r="CJ193" s="11">
        <v>13.6</v>
      </c>
      <c r="CK193" s="6">
        <v>11.96</v>
      </c>
      <c r="CL193" s="6">
        <v>15.08</v>
      </c>
      <c r="CM193" s="6">
        <v>15.46</v>
      </c>
      <c r="CN193" s="6">
        <v>14.18</v>
      </c>
      <c r="CO193" s="10">
        <v>14.57</v>
      </c>
      <c r="CP193" s="10"/>
    </row>
    <row r="194" spans="1:94" ht="15.75" customHeight="1" x14ac:dyDescent="0.25">
      <c r="A194" s="4">
        <v>193</v>
      </c>
      <c r="B194" s="4"/>
      <c r="C194" s="4">
        <v>11</v>
      </c>
      <c r="D194" s="8">
        <v>13.78</v>
      </c>
      <c r="E194" s="8">
        <v>13.78</v>
      </c>
      <c r="F194" s="8">
        <v>13.28</v>
      </c>
      <c r="G194" s="8">
        <v>15.13</v>
      </c>
      <c r="H194" s="8">
        <v>12.38</v>
      </c>
      <c r="I194" s="8">
        <v>11.03</v>
      </c>
      <c r="J194" s="8">
        <v>13.51</v>
      </c>
      <c r="K194" s="8">
        <v>14.69</v>
      </c>
      <c r="L194" s="8">
        <v>15.24</v>
      </c>
      <c r="M194" s="8">
        <v>15.32</v>
      </c>
      <c r="N194" s="8">
        <v>14.86</v>
      </c>
      <c r="O194" s="8">
        <v>15.1</v>
      </c>
      <c r="P194" s="8">
        <v>13.08</v>
      </c>
      <c r="Q194" s="8">
        <v>14.58</v>
      </c>
      <c r="R194" s="8">
        <v>13.54</v>
      </c>
      <c r="S194" s="8">
        <v>13.96</v>
      </c>
      <c r="T194" s="8">
        <v>14.83</v>
      </c>
      <c r="U194" s="8">
        <v>14.44</v>
      </c>
      <c r="V194" s="8">
        <v>15.34</v>
      </c>
      <c r="W194" s="8">
        <v>14.95</v>
      </c>
      <c r="X194" s="8">
        <v>12.9</v>
      </c>
      <c r="Y194" s="8">
        <v>14.82</v>
      </c>
      <c r="Z194" s="8">
        <v>13.11</v>
      </c>
      <c r="AA194" s="8">
        <v>13.66</v>
      </c>
      <c r="AB194" s="8">
        <v>13.55</v>
      </c>
      <c r="AC194" s="8">
        <v>13.41</v>
      </c>
      <c r="AD194" s="8">
        <v>12.45</v>
      </c>
      <c r="AE194" s="8">
        <v>14.71</v>
      </c>
      <c r="AF194" s="8">
        <v>15.27</v>
      </c>
      <c r="AG194" s="8">
        <v>12.8</v>
      </c>
      <c r="AH194" s="8">
        <v>12.17</v>
      </c>
      <c r="AI194" s="8">
        <v>12.76</v>
      </c>
      <c r="AJ194" s="8">
        <v>14.51</v>
      </c>
      <c r="AK194" s="8">
        <v>13.89</v>
      </c>
      <c r="AL194" s="8">
        <v>13.64</v>
      </c>
      <c r="AM194" s="8">
        <v>13.34</v>
      </c>
      <c r="AN194" s="8">
        <v>13.91</v>
      </c>
      <c r="AO194" s="8">
        <v>14.82</v>
      </c>
      <c r="AP194" s="8">
        <v>10.91</v>
      </c>
      <c r="AQ194" s="8">
        <v>9.9700000000000006</v>
      </c>
      <c r="AR194" s="8">
        <v>12.89</v>
      </c>
      <c r="AS194" s="8">
        <v>16.07</v>
      </c>
      <c r="AT194" s="8">
        <v>13.64</v>
      </c>
      <c r="AU194" s="6">
        <v>14.85</v>
      </c>
      <c r="AV194" s="6">
        <v>15.56</v>
      </c>
      <c r="AW194" s="6">
        <v>15.14</v>
      </c>
      <c r="AX194" s="6">
        <v>16.07</v>
      </c>
      <c r="AY194" s="6">
        <v>15.27</v>
      </c>
      <c r="AZ194" s="6">
        <v>14.78</v>
      </c>
      <c r="BA194" s="6">
        <v>13.07</v>
      </c>
      <c r="BB194" s="6">
        <v>12.94</v>
      </c>
      <c r="BC194" s="6">
        <v>13.86</v>
      </c>
      <c r="BD194" s="6">
        <v>13.02</v>
      </c>
      <c r="BE194" s="6">
        <v>12.22</v>
      </c>
      <c r="BF194" s="6">
        <v>13.02</v>
      </c>
      <c r="BG194" s="6">
        <v>14.73</v>
      </c>
      <c r="BH194" s="6">
        <v>12.52</v>
      </c>
      <c r="BI194" s="6">
        <v>12.2</v>
      </c>
      <c r="BJ194" s="6">
        <v>14.75</v>
      </c>
      <c r="BK194" s="6">
        <v>13.78</v>
      </c>
      <c r="BL194" s="6">
        <v>13.5</v>
      </c>
      <c r="BM194" s="6">
        <v>14.95</v>
      </c>
      <c r="BN194" s="6">
        <v>12.62</v>
      </c>
      <c r="BO194" s="6">
        <v>15.74</v>
      </c>
      <c r="BP194" s="6">
        <v>13.13</v>
      </c>
      <c r="BQ194" s="6">
        <v>14.4</v>
      </c>
      <c r="BR194" s="6">
        <v>11.5</v>
      </c>
      <c r="BS194" s="6">
        <v>14.62</v>
      </c>
      <c r="BT194" s="6">
        <v>13.38</v>
      </c>
      <c r="BU194" s="6">
        <v>14.74</v>
      </c>
      <c r="BV194" s="6">
        <v>13.6</v>
      </c>
      <c r="BW194" s="6">
        <v>14.32</v>
      </c>
      <c r="BX194" s="6">
        <v>14.14</v>
      </c>
      <c r="BY194" s="6">
        <v>13.22</v>
      </c>
      <c r="BZ194" s="6">
        <v>11.8</v>
      </c>
      <c r="CA194" s="6">
        <v>14.96</v>
      </c>
      <c r="CB194" s="6">
        <v>15.3</v>
      </c>
      <c r="CC194" s="6">
        <v>14.4</v>
      </c>
      <c r="CD194" s="6">
        <v>13.14</v>
      </c>
      <c r="CE194" s="6">
        <v>12.7</v>
      </c>
      <c r="CF194" s="6">
        <v>12.92</v>
      </c>
      <c r="CG194" s="6">
        <v>14.66</v>
      </c>
      <c r="CH194" s="6">
        <v>14.42</v>
      </c>
      <c r="CI194" s="6">
        <v>16.079999999999998</v>
      </c>
      <c r="CJ194" s="11">
        <v>13.76</v>
      </c>
      <c r="CK194" s="6">
        <v>12.06</v>
      </c>
      <c r="CL194" s="6">
        <v>15.08</v>
      </c>
      <c r="CM194" s="6">
        <v>15.48</v>
      </c>
      <c r="CN194" s="6">
        <v>14.22</v>
      </c>
      <c r="CO194" s="10">
        <v>14.64</v>
      </c>
      <c r="CP194" s="10"/>
    </row>
    <row r="195" spans="1:94" ht="15.75" customHeight="1" x14ac:dyDescent="0.25">
      <c r="A195" s="4">
        <v>194</v>
      </c>
      <c r="B195" s="4"/>
      <c r="C195" s="4">
        <v>12</v>
      </c>
      <c r="D195" s="8">
        <v>13.93</v>
      </c>
      <c r="E195" s="8">
        <v>13.88</v>
      </c>
      <c r="F195" s="8">
        <v>13.38</v>
      </c>
      <c r="G195" s="8">
        <v>15.18</v>
      </c>
      <c r="H195" s="8">
        <v>12.53</v>
      </c>
      <c r="I195" s="8">
        <v>11.13</v>
      </c>
      <c r="J195" s="8">
        <v>13.6</v>
      </c>
      <c r="K195" s="8">
        <v>14.81</v>
      </c>
      <c r="L195" s="8">
        <v>15.32</v>
      </c>
      <c r="M195" s="8">
        <v>15.43</v>
      </c>
      <c r="N195" s="8">
        <v>14.95</v>
      </c>
      <c r="O195" s="8">
        <v>15.14</v>
      </c>
      <c r="P195" s="8">
        <v>13.12</v>
      </c>
      <c r="Q195" s="8">
        <v>14.64</v>
      </c>
      <c r="R195" s="8">
        <v>13.68</v>
      </c>
      <c r="S195" s="8">
        <v>14.01</v>
      </c>
      <c r="T195" s="8">
        <v>14.96</v>
      </c>
      <c r="U195" s="8">
        <v>14.56</v>
      </c>
      <c r="V195" s="8">
        <v>15.44</v>
      </c>
      <c r="W195" s="8">
        <v>15.05</v>
      </c>
      <c r="X195" s="8">
        <v>12.87</v>
      </c>
      <c r="Y195" s="8">
        <v>14.92</v>
      </c>
      <c r="Z195" s="8">
        <v>13.17</v>
      </c>
      <c r="AA195" s="8">
        <v>13.69</v>
      </c>
      <c r="AB195" s="8">
        <v>13.58</v>
      </c>
      <c r="AC195" s="8">
        <v>13.55</v>
      </c>
      <c r="AD195" s="8">
        <v>12.62</v>
      </c>
      <c r="AE195" s="8">
        <v>14.79</v>
      </c>
      <c r="AF195" s="8">
        <v>15.3</v>
      </c>
      <c r="AG195" s="8">
        <v>12.93</v>
      </c>
      <c r="AH195" s="8">
        <v>12.17</v>
      </c>
      <c r="AI195" s="8">
        <v>12.82</v>
      </c>
      <c r="AJ195" s="8">
        <v>14.62</v>
      </c>
      <c r="AK195" s="8">
        <v>13.93</v>
      </c>
      <c r="AL195" s="8">
        <v>13.71</v>
      </c>
      <c r="AM195" s="8">
        <v>13.49</v>
      </c>
      <c r="AN195" s="8">
        <v>13.98</v>
      </c>
      <c r="AO195" s="8">
        <v>14.93</v>
      </c>
      <c r="AP195" s="8">
        <v>10.96</v>
      </c>
      <c r="AQ195" s="8">
        <v>10.06</v>
      </c>
      <c r="AR195" s="8">
        <v>12.89</v>
      </c>
      <c r="AS195" s="8">
        <v>16.149999999999999</v>
      </c>
      <c r="AT195" s="8">
        <v>13.74</v>
      </c>
      <c r="AU195" s="6">
        <v>14.85</v>
      </c>
      <c r="AV195" s="6">
        <v>15.65</v>
      </c>
      <c r="AW195" s="6">
        <v>15.22</v>
      </c>
      <c r="AX195" s="6">
        <v>16.170000000000002</v>
      </c>
      <c r="AY195" s="6">
        <v>15.32</v>
      </c>
      <c r="AZ195" s="6">
        <v>14.8</v>
      </c>
      <c r="BA195" s="6">
        <v>13.06</v>
      </c>
      <c r="BB195" s="6">
        <v>12.98</v>
      </c>
      <c r="BC195" s="6">
        <v>13.97</v>
      </c>
      <c r="BD195" s="6">
        <v>13.09</v>
      </c>
      <c r="BE195" s="6">
        <v>12.32</v>
      </c>
      <c r="BF195" s="6">
        <v>13.1</v>
      </c>
      <c r="BG195" s="6">
        <v>14.77</v>
      </c>
      <c r="BH195" s="6">
        <v>12.64</v>
      </c>
      <c r="BI195" s="6">
        <v>12.3</v>
      </c>
      <c r="BJ195" s="6">
        <v>14.8</v>
      </c>
      <c r="BK195" s="6">
        <v>13.88</v>
      </c>
      <c r="BL195" s="6">
        <v>13.62</v>
      </c>
      <c r="BM195" s="6">
        <v>15.08</v>
      </c>
      <c r="BN195" s="6">
        <v>12.84</v>
      </c>
      <c r="BO195" s="6">
        <v>15.87</v>
      </c>
      <c r="BP195" s="6">
        <v>13.2</v>
      </c>
      <c r="BQ195" s="6">
        <v>14.42</v>
      </c>
      <c r="BR195" s="6">
        <v>11.58</v>
      </c>
      <c r="BS195" s="6">
        <v>14.77</v>
      </c>
      <c r="BT195" s="6">
        <v>13.46</v>
      </c>
      <c r="BU195" s="6">
        <v>14.84</v>
      </c>
      <c r="BV195" s="6">
        <v>13.67</v>
      </c>
      <c r="BW195" s="6">
        <v>14.46</v>
      </c>
      <c r="BX195" s="6">
        <v>14.22</v>
      </c>
      <c r="BY195" s="6">
        <v>13.32</v>
      </c>
      <c r="BZ195" s="6">
        <v>11.9</v>
      </c>
      <c r="CA195" s="6">
        <v>15</v>
      </c>
      <c r="CB195" s="6">
        <v>15.3</v>
      </c>
      <c r="CC195" s="6">
        <v>14.44</v>
      </c>
      <c r="CD195" s="6">
        <v>13.2</v>
      </c>
      <c r="CE195" s="6">
        <v>12.78</v>
      </c>
      <c r="CF195" s="6">
        <v>12.92</v>
      </c>
      <c r="CG195" s="6">
        <v>14.78</v>
      </c>
      <c r="CH195" s="6">
        <v>14.5</v>
      </c>
      <c r="CI195" s="6">
        <v>16.18</v>
      </c>
      <c r="CJ195" s="11">
        <v>13.86</v>
      </c>
      <c r="CK195" s="6">
        <v>12.16</v>
      </c>
      <c r="CL195" s="6">
        <v>15.1</v>
      </c>
      <c r="CM195" s="6">
        <v>15.48</v>
      </c>
      <c r="CN195" s="6">
        <v>14.28</v>
      </c>
      <c r="CO195" s="10">
        <v>14.72</v>
      </c>
      <c r="CP195" s="10"/>
    </row>
    <row r="196" spans="1:94" ht="15.75" customHeight="1" x14ac:dyDescent="0.25">
      <c r="A196" s="4">
        <v>195</v>
      </c>
      <c r="B196" s="4"/>
      <c r="C196" s="4">
        <v>13</v>
      </c>
      <c r="D196" s="8">
        <v>14.08</v>
      </c>
      <c r="E196" s="8">
        <v>13.93</v>
      </c>
      <c r="F196" s="8">
        <v>13.53</v>
      </c>
      <c r="G196" s="8">
        <v>15.22</v>
      </c>
      <c r="H196" s="8">
        <v>12.58</v>
      </c>
      <c r="I196" s="8">
        <v>11.18</v>
      </c>
      <c r="J196" s="8">
        <v>13.66</v>
      </c>
      <c r="K196" s="8">
        <v>15.01</v>
      </c>
      <c r="L196" s="8">
        <v>15.38</v>
      </c>
      <c r="M196" s="8">
        <v>15.52</v>
      </c>
      <c r="N196" s="8">
        <v>15.07</v>
      </c>
      <c r="O196" s="8">
        <v>15.16</v>
      </c>
      <c r="P196" s="8">
        <v>13.21</v>
      </c>
      <c r="Q196" s="8">
        <v>14.72</v>
      </c>
      <c r="R196" s="8">
        <v>13.83</v>
      </c>
      <c r="S196" s="8">
        <v>14.06</v>
      </c>
      <c r="T196" s="8">
        <v>15.09</v>
      </c>
      <c r="U196" s="8">
        <v>14.64</v>
      </c>
      <c r="V196" s="8">
        <v>15.44</v>
      </c>
      <c r="W196" s="8">
        <v>15.2</v>
      </c>
      <c r="X196" s="8">
        <v>12.84</v>
      </c>
      <c r="Y196" s="8">
        <v>15.02</v>
      </c>
      <c r="Z196" s="8">
        <v>13.31</v>
      </c>
      <c r="AA196" s="8">
        <v>13.71</v>
      </c>
      <c r="AB196" s="8">
        <v>13.61</v>
      </c>
      <c r="AC196" s="8">
        <v>13.68</v>
      </c>
      <c r="AD196" s="8">
        <v>12.73</v>
      </c>
      <c r="AE196" s="8">
        <v>14.85</v>
      </c>
      <c r="AF196" s="8">
        <v>15.33</v>
      </c>
      <c r="AG196" s="8">
        <v>13.06</v>
      </c>
      <c r="AH196" s="8">
        <v>12.17</v>
      </c>
      <c r="AI196" s="8">
        <v>12.88</v>
      </c>
      <c r="AJ196" s="8">
        <v>14.73</v>
      </c>
      <c r="AK196" s="8">
        <v>13.96</v>
      </c>
      <c r="AL196" s="8">
        <v>13.8</v>
      </c>
      <c r="AM196" s="8">
        <v>13.65</v>
      </c>
      <c r="AN196" s="8">
        <v>14.05</v>
      </c>
      <c r="AO196" s="8">
        <v>15</v>
      </c>
      <c r="AP196" s="8">
        <v>11.04</v>
      </c>
      <c r="AQ196" s="8">
        <v>10.18</v>
      </c>
      <c r="AR196" s="8">
        <v>12.97</v>
      </c>
      <c r="AS196" s="8">
        <v>16.2</v>
      </c>
      <c r="AT196" s="8">
        <v>13.83</v>
      </c>
      <c r="AU196" s="6">
        <v>14.88</v>
      </c>
      <c r="AV196" s="6">
        <v>15.72</v>
      </c>
      <c r="AW196" s="6">
        <v>15.34</v>
      </c>
      <c r="AX196" s="6">
        <v>16.25</v>
      </c>
      <c r="AY196" s="6">
        <v>15.39</v>
      </c>
      <c r="AZ196" s="6">
        <v>14.8</v>
      </c>
      <c r="BA196" s="6">
        <v>13.02</v>
      </c>
      <c r="BB196" s="6">
        <v>13.02</v>
      </c>
      <c r="BC196" s="6">
        <v>14.06</v>
      </c>
      <c r="BD196" s="6">
        <v>13.14</v>
      </c>
      <c r="BE196" s="6">
        <v>12.47</v>
      </c>
      <c r="BF196" s="6">
        <v>13.14</v>
      </c>
      <c r="BG196" s="6">
        <v>14.85</v>
      </c>
      <c r="BH196" s="6">
        <v>12.76</v>
      </c>
      <c r="BI196" s="6">
        <v>12.39</v>
      </c>
      <c r="BJ196" s="6">
        <v>14.82</v>
      </c>
      <c r="BK196" s="6">
        <v>14.02</v>
      </c>
      <c r="BL196" s="6">
        <v>13.76</v>
      </c>
      <c r="BM196" s="6">
        <v>15.16</v>
      </c>
      <c r="BN196" s="6">
        <v>12.02</v>
      </c>
      <c r="BO196" s="6">
        <v>16</v>
      </c>
      <c r="BP196" s="6">
        <v>13.28</v>
      </c>
      <c r="BQ196" s="6">
        <v>14.41</v>
      </c>
      <c r="BR196" s="6">
        <v>11.64</v>
      </c>
      <c r="BS196" s="6">
        <v>14.88</v>
      </c>
      <c r="BT196" s="6">
        <v>13.6</v>
      </c>
      <c r="BU196" s="6">
        <v>14.9</v>
      </c>
      <c r="BV196" s="6">
        <v>13.72</v>
      </c>
      <c r="BW196" s="6">
        <v>14.66</v>
      </c>
      <c r="BX196" s="6">
        <v>14.28</v>
      </c>
      <c r="BY196" s="6">
        <v>13.38</v>
      </c>
      <c r="BZ196" s="6">
        <v>12.02</v>
      </c>
      <c r="CA196" s="6">
        <v>15.1</v>
      </c>
      <c r="CB196" s="6">
        <v>15.32</v>
      </c>
      <c r="CC196" s="6">
        <v>14.46</v>
      </c>
      <c r="CD196" s="6">
        <v>13.22</v>
      </c>
      <c r="CE196" s="6">
        <v>12.86</v>
      </c>
      <c r="CF196" s="6">
        <v>12.94</v>
      </c>
      <c r="CG196" s="6">
        <v>14.92</v>
      </c>
      <c r="CH196" s="6">
        <v>14.6</v>
      </c>
      <c r="CI196" s="6">
        <v>16.28</v>
      </c>
      <c r="CJ196" s="11">
        <v>13.86</v>
      </c>
      <c r="CK196" s="6">
        <v>12.24</v>
      </c>
      <c r="CL196" s="6">
        <v>15.14</v>
      </c>
      <c r="CM196" s="6">
        <v>15.48</v>
      </c>
      <c r="CN196" s="6">
        <v>14.34</v>
      </c>
      <c r="CO196" s="10">
        <v>14.79</v>
      </c>
      <c r="CP196" s="10"/>
    </row>
    <row r="197" spans="1:94" ht="15.75" customHeight="1" x14ac:dyDescent="0.25">
      <c r="A197" s="4">
        <v>196</v>
      </c>
      <c r="B197" s="4"/>
      <c r="C197" s="4">
        <v>14</v>
      </c>
      <c r="D197" s="8">
        <v>14.18</v>
      </c>
      <c r="E197" s="8">
        <v>13.98</v>
      </c>
      <c r="F197" s="8">
        <v>13.63</v>
      </c>
      <c r="G197" s="8">
        <v>15.26</v>
      </c>
      <c r="H197" s="8">
        <v>12.63</v>
      </c>
      <c r="I197" s="8">
        <v>11.28</v>
      </c>
      <c r="J197" s="8">
        <v>13.73</v>
      </c>
      <c r="K197" s="8">
        <v>15.13</v>
      </c>
      <c r="L197" s="8">
        <v>15.46</v>
      </c>
      <c r="M197" s="8">
        <v>15.63</v>
      </c>
      <c r="N197" s="8">
        <v>15.19</v>
      </c>
      <c r="O197" s="8">
        <v>15.19</v>
      </c>
      <c r="P197" s="8">
        <v>13.4</v>
      </c>
      <c r="Q197" s="8">
        <v>14.77</v>
      </c>
      <c r="R197" s="8">
        <v>13.94</v>
      </c>
      <c r="S197" s="8">
        <v>14.16</v>
      </c>
      <c r="T197" s="8">
        <v>15.21</v>
      </c>
      <c r="U197" s="8">
        <v>14.71</v>
      </c>
      <c r="V197" s="8">
        <v>15.51</v>
      </c>
      <c r="W197" s="8">
        <v>15.33</v>
      </c>
      <c r="X197" s="8">
        <v>12.87</v>
      </c>
      <c r="Y197" s="8">
        <v>15.11</v>
      </c>
      <c r="Z197" s="8">
        <v>13.45</v>
      </c>
      <c r="AA197" s="8">
        <v>13.71</v>
      </c>
      <c r="AB197" s="8">
        <v>13.65</v>
      </c>
      <c r="AC197" s="8">
        <v>13.77</v>
      </c>
      <c r="AD197" s="8">
        <v>12.82</v>
      </c>
      <c r="AE197" s="8">
        <v>14.89</v>
      </c>
      <c r="AF197" s="8">
        <v>15.35</v>
      </c>
      <c r="AG197" s="8">
        <v>13.16</v>
      </c>
      <c r="AH197" s="8">
        <v>12.21</v>
      </c>
      <c r="AI197" s="8">
        <v>12.95</v>
      </c>
      <c r="AJ197" s="8">
        <v>14.82</v>
      </c>
      <c r="AK197" s="8">
        <v>13.98</v>
      </c>
      <c r="AL197" s="8">
        <v>13.93</v>
      </c>
      <c r="AM197" s="8">
        <v>13.79</v>
      </c>
      <c r="AN197" s="8">
        <v>14.12</v>
      </c>
      <c r="AO197" s="8">
        <v>15.03</v>
      </c>
      <c r="AP197" s="8">
        <v>11.13</v>
      </c>
      <c r="AQ197" s="8">
        <v>10.26</v>
      </c>
      <c r="AR197" s="8">
        <v>13.04</v>
      </c>
      <c r="AS197" s="8">
        <v>16.23</v>
      </c>
      <c r="AT197" s="8">
        <v>13.93</v>
      </c>
      <c r="AU197" s="6">
        <v>14.89</v>
      </c>
      <c r="AV197" s="6">
        <v>15.76</v>
      </c>
      <c r="AW197" s="6">
        <v>15.44</v>
      </c>
      <c r="AX197" s="6">
        <v>16.34</v>
      </c>
      <c r="AY197" s="6">
        <v>15.48</v>
      </c>
      <c r="AZ197" s="6">
        <v>14.78</v>
      </c>
      <c r="BA197" s="6">
        <v>13</v>
      </c>
      <c r="BB197" s="6">
        <v>13.09</v>
      </c>
      <c r="BC197" s="6">
        <v>14.14</v>
      </c>
      <c r="BD197" s="6">
        <v>13.2</v>
      </c>
      <c r="BE197" s="6">
        <v>12.64</v>
      </c>
      <c r="BF197" s="6">
        <v>13.21</v>
      </c>
      <c r="BG197" s="6">
        <v>14.92</v>
      </c>
      <c r="BH197" s="6">
        <v>12.85</v>
      </c>
      <c r="BI197" s="6">
        <v>12.5</v>
      </c>
      <c r="BJ197" s="6">
        <v>14.95</v>
      </c>
      <c r="BK197" s="6">
        <v>14.1</v>
      </c>
      <c r="BL197" s="6">
        <v>13.9</v>
      </c>
      <c r="BM197" s="6">
        <v>15.23</v>
      </c>
      <c r="BN197" s="6">
        <v>13.23</v>
      </c>
      <c r="BO197" s="6">
        <v>16.12</v>
      </c>
      <c r="BP197" s="6">
        <v>13.38</v>
      </c>
      <c r="BQ197" s="6">
        <v>14.42</v>
      </c>
      <c r="BR197" s="6">
        <v>11.7</v>
      </c>
      <c r="BS197" s="6">
        <v>15</v>
      </c>
      <c r="BT197" s="6">
        <v>13.68</v>
      </c>
      <c r="BU197" s="6">
        <v>15</v>
      </c>
      <c r="BV197" s="6">
        <v>13.8</v>
      </c>
      <c r="BW197" s="6">
        <v>14.72</v>
      </c>
      <c r="BX197" s="6">
        <v>14.36</v>
      </c>
      <c r="BY197" s="6">
        <v>13.38</v>
      </c>
      <c r="BZ197" s="6">
        <v>12.12</v>
      </c>
      <c r="CA197" s="6">
        <v>15.14</v>
      </c>
      <c r="CB197" s="6">
        <v>15.34</v>
      </c>
      <c r="CC197" s="6">
        <v>14.5</v>
      </c>
      <c r="CD197" s="6">
        <v>13.26</v>
      </c>
      <c r="CE197" s="6">
        <v>13</v>
      </c>
      <c r="CF197" s="6">
        <v>13.02</v>
      </c>
      <c r="CG197" s="6">
        <v>15</v>
      </c>
      <c r="CH197" s="6">
        <v>14.7</v>
      </c>
      <c r="CI197" s="6">
        <v>16.38</v>
      </c>
      <c r="CJ197" s="11">
        <v>14.06</v>
      </c>
      <c r="CK197" s="6">
        <v>12.3</v>
      </c>
      <c r="CL197" s="6">
        <v>15.18</v>
      </c>
      <c r="CM197" s="6">
        <v>15.45</v>
      </c>
      <c r="CN197" s="6">
        <v>14.4</v>
      </c>
      <c r="CO197" s="10">
        <v>14.85</v>
      </c>
      <c r="CP197" s="10"/>
    </row>
    <row r="198" spans="1:94" ht="15.75" customHeight="1" x14ac:dyDescent="0.25">
      <c r="A198" s="4">
        <v>197</v>
      </c>
      <c r="B198" s="4"/>
      <c r="C198" s="4">
        <v>15</v>
      </c>
      <c r="D198" s="8">
        <v>14.28</v>
      </c>
      <c r="E198" s="8">
        <v>14.02</v>
      </c>
      <c r="F198" s="8">
        <v>13.73</v>
      </c>
      <c r="G198" s="8">
        <v>15.3</v>
      </c>
      <c r="H198" s="8">
        <v>12.68</v>
      </c>
      <c r="I198" s="8">
        <v>11.38</v>
      </c>
      <c r="J198" s="8">
        <v>13.78</v>
      </c>
      <c r="K198" s="8">
        <v>15.23</v>
      </c>
      <c r="L198" s="8">
        <v>15.53</v>
      </c>
      <c r="M198" s="8">
        <v>15.66</v>
      </c>
      <c r="N198" s="8">
        <v>15.25</v>
      </c>
      <c r="O198" s="8">
        <v>15.22</v>
      </c>
      <c r="P198" s="8">
        <v>13.49</v>
      </c>
      <c r="Q198" s="8">
        <v>14.88</v>
      </c>
      <c r="R198" s="8">
        <v>14.02</v>
      </c>
      <c r="S198" s="8">
        <v>14.16</v>
      </c>
      <c r="T198" s="8">
        <v>15.33</v>
      </c>
      <c r="U198" s="8">
        <v>14.78</v>
      </c>
      <c r="V198" s="8">
        <v>15.56</v>
      </c>
      <c r="W198" s="8">
        <v>15.45</v>
      </c>
      <c r="X198" s="8">
        <v>12.92</v>
      </c>
      <c r="Y198" s="8">
        <v>15.21</v>
      </c>
      <c r="Z198" s="8">
        <v>13.55</v>
      </c>
      <c r="AA198" s="8">
        <v>13.71</v>
      </c>
      <c r="AB198" s="8">
        <v>13.71</v>
      </c>
      <c r="AC198" s="8">
        <v>13.87</v>
      </c>
      <c r="AD198" s="8">
        <v>12.9</v>
      </c>
      <c r="AE198" s="8">
        <v>14.93</v>
      </c>
      <c r="AF198" s="8">
        <v>15.36</v>
      </c>
      <c r="AG198" s="8">
        <v>13.24</v>
      </c>
      <c r="AH198" s="8">
        <v>12.25</v>
      </c>
      <c r="AI198" s="8">
        <v>12.98</v>
      </c>
      <c r="AJ198" s="8">
        <v>14.9</v>
      </c>
      <c r="AK198" s="8">
        <v>13.98</v>
      </c>
      <c r="AL198" s="8">
        <v>14.04</v>
      </c>
      <c r="AM198" s="8">
        <v>13.89</v>
      </c>
      <c r="AN198" s="8">
        <v>14.2</v>
      </c>
      <c r="AO198" s="8">
        <v>15.06</v>
      </c>
      <c r="AP198" s="8">
        <v>11.22</v>
      </c>
      <c r="AQ198" s="8">
        <v>10.36</v>
      </c>
      <c r="AR198" s="8">
        <v>13.11</v>
      </c>
      <c r="AS198" s="8">
        <v>16.28</v>
      </c>
      <c r="AT198" s="8">
        <v>14.04</v>
      </c>
      <c r="AU198" s="6">
        <v>14.82</v>
      </c>
      <c r="AV198" s="6">
        <v>15.77</v>
      </c>
      <c r="AW198" s="6">
        <v>15.53</v>
      </c>
      <c r="AX198" s="6">
        <v>16.440000000000001</v>
      </c>
      <c r="AY198" s="6">
        <v>15.56</v>
      </c>
      <c r="AZ198" s="6">
        <v>14.78</v>
      </c>
      <c r="BA198" s="6">
        <v>12.98</v>
      </c>
      <c r="BB198" s="6">
        <v>13.15</v>
      </c>
      <c r="BC198" s="6">
        <v>14.22</v>
      </c>
      <c r="BD198" s="6">
        <v>13.26</v>
      </c>
      <c r="BE198" s="6">
        <v>12.78</v>
      </c>
      <c r="BF198" s="6">
        <v>13.27</v>
      </c>
      <c r="BG198" s="6">
        <v>15.03</v>
      </c>
      <c r="BH198" s="6">
        <v>12.9</v>
      </c>
      <c r="BI198" s="6">
        <v>12.62</v>
      </c>
      <c r="BJ198" s="6">
        <v>15</v>
      </c>
      <c r="BK198" s="6">
        <v>14.2</v>
      </c>
      <c r="BL198" s="6">
        <v>13.96</v>
      </c>
      <c r="BM198" s="6">
        <v>15.34</v>
      </c>
      <c r="BN198" s="6">
        <v>13.42</v>
      </c>
      <c r="BO198" s="6">
        <v>16.260000000000002</v>
      </c>
      <c r="BP198" s="6">
        <v>13.5</v>
      </c>
      <c r="BQ198" s="6">
        <v>14.44</v>
      </c>
      <c r="BR198" s="6">
        <v>11.7</v>
      </c>
      <c r="BS198" s="6">
        <v>15.14</v>
      </c>
      <c r="BT198" s="6">
        <v>13.8</v>
      </c>
      <c r="BU198" s="6">
        <v>15.06</v>
      </c>
      <c r="BV198" s="6">
        <v>13.8</v>
      </c>
      <c r="BW198" s="6">
        <v>14.9</v>
      </c>
      <c r="BX198" s="6">
        <v>14.42</v>
      </c>
      <c r="BY198" s="6">
        <v>13.44</v>
      </c>
      <c r="BZ198" s="6">
        <v>12.2</v>
      </c>
      <c r="CA198" s="6">
        <v>15.2</v>
      </c>
      <c r="CB198" s="6">
        <v>15.38</v>
      </c>
      <c r="CC198" s="6">
        <v>14.54</v>
      </c>
      <c r="CD198" s="6">
        <v>13.28</v>
      </c>
      <c r="CE198" s="6">
        <v>13.08</v>
      </c>
      <c r="CF198" s="6">
        <v>13.1</v>
      </c>
      <c r="CG198" s="6">
        <v>15.12</v>
      </c>
      <c r="CH198" s="6">
        <v>14.8</v>
      </c>
      <c r="CI198" s="6">
        <v>16.440000000000001</v>
      </c>
      <c r="CJ198" s="11">
        <v>14.18</v>
      </c>
      <c r="CK198" s="6">
        <v>12.4</v>
      </c>
      <c r="CL198" s="6">
        <v>15.22</v>
      </c>
      <c r="CM198" s="6">
        <v>15.47</v>
      </c>
      <c r="CN198" s="6">
        <v>14.44</v>
      </c>
      <c r="CO198" s="10">
        <v>14.91</v>
      </c>
      <c r="CP198" s="10"/>
    </row>
    <row r="199" spans="1:94" ht="15.75" customHeight="1" x14ac:dyDescent="0.25">
      <c r="A199" s="4">
        <v>198</v>
      </c>
      <c r="B199" s="4"/>
      <c r="C199" s="4">
        <v>16</v>
      </c>
      <c r="D199" s="8">
        <v>14.38</v>
      </c>
      <c r="E199" s="8">
        <v>14.06</v>
      </c>
      <c r="F199" s="8">
        <v>13.78</v>
      </c>
      <c r="G199" s="8">
        <v>15.34</v>
      </c>
      <c r="H199" s="8">
        <v>12.72</v>
      </c>
      <c r="I199" s="8">
        <v>11.48</v>
      </c>
      <c r="J199" s="8">
        <v>13.82</v>
      </c>
      <c r="K199" s="8">
        <v>15.31</v>
      </c>
      <c r="L199" s="8">
        <v>15.58</v>
      </c>
      <c r="M199" s="8">
        <v>15.66</v>
      </c>
      <c r="N199" s="8">
        <v>15.33</v>
      </c>
      <c r="O199" s="8">
        <v>15.25</v>
      </c>
      <c r="P199" s="8">
        <v>13.58</v>
      </c>
      <c r="Q199" s="8">
        <v>15.08</v>
      </c>
      <c r="R199" s="8">
        <v>14.09</v>
      </c>
      <c r="S199" s="8">
        <v>14.31</v>
      </c>
      <c r="T199" s="8">
        <v>15.48</v>
      </c>
      <c r="U199" s="8">
        <v>14.83</v>
      </c>
      <c r="V199" s="8">
        <v>15.59</v>
      </c>
      <c r="W199" s="8">
        <v>15.55</v>
      </c>
      <c r="X199" s="8">
        <v>13.02</v>
      </c>
      <c r="Y199" s="8">
        <v>15.33</v>
      </c>
      <c r="Z199" s="8">
        <v>13.65</v>
      </c>
      <c r="AA199" s="8">
        <v>13.73</v>
      </c>
      <c r="AB199" s="8">
        <v>13.81</v>
      </c>
      <c r="AC199" s="8">
        <v>13.95</v>
      </c>
      <c r="AD199" s="8">
        <v>12.99</v>
      </c>
      <c r="AE199" s="8">
        <v>14.97</v>
      </c>
      <c r="AF199" s="8">
        <v>15.41</v>
      </c>
      <c r="AG199" s="8">
        <v>13.31</v>
      </c>
      <c r="AH199" s="8">
        <v>12.29</v>
      </c>
      <c r="AI199" s="8">
        <v>12.99</v>
      </c>
      <c r="AJ199" s="8">
        <v>14.99</v>
      </c>
      <c r="AK199" s="8">
        <v>13.99</v>
      </c>
      <c r="AL199" s="8">
        <v>14.22</v>
      </c>
      <c r="AM199" s="8">
        <v>14.01</v>
      </c>
      <c r="AN199" s="8">
        <v>14.31</v>
      </c>
      <c r="AO199" s="8">
        <v>15.1</v>
      </c>
      <c r="AP199" s="8">
        <v>11.37</v>
      </c>
      <c r="AQ199" s="8">
        <v>10.46</v>
      </c>
      <c r="AR199" s="8">
        <v>13.15</v>
      </c>
      <c r="AS199" s="8">
        <v>16.32</v>
      </c>
      <c r="AT199" s="8">
        <v>14.15</v>
      </c>
      <c r="AU199" s="6">
        <v>14.85</v>
      </c>
      <c r="AV199" s="6">
        <v>15.81</v>
      </c>
      <c r="AW199" s="6">
        <v>15.64</v>
      </c>
      <c r="AX199" s="6">
        <v>16.54</v>
      </c>
      <c r="AY199" s="6">
        <v>15.63</v>
      </c>
      <c r="AZ199" s="6">
        <v>14.81</v>
      </c>
      <c r="BA199" s="6">
        <v>13.02</v>
      </c>
      <c r="BB199" s="6">
        <v>13.22</v>
      </c>
      <c r="BC199" s="6">
        <v>14.28</v>
      </c>
      <c r="BD199" s="6">
        <v>13.31</v>
      </c>
      <c r="BE199" s="6">
        <v>12.89</v>
      </c>
      <c r="BF199" s="6">
        <v>13.32</v>
      </c>
      <c r="BG199" s="6">
        <v>15.15</v>
      </c>
      <c r="BH199" s="6">
        <v>13</v>
      </c>
      <c r="BI199" s="6">
        <v>12.73</v>
      </c>
      <c r="BJ199" s="6">
        <v>15.04</v>
      </c>
      <c r="BK199" s="6">
        <v>14.32</v>
      </c>
      <c r="BL199" s="6">
        <v>14.1</v>
      </c>
      <c r="BM199" s="6">
        <v>15.4</v>
      </c>
      <c r="BN199" s="6">
        <v>13.56</v>
      </c>
      <c r="BO199" s="6">
        <v>16.39</v>
      </c>
      <c r="BP199" s="6">
        <v>13.58</v>
      </c>
      <c r="BQ199" s="6">
        <v>14.46</v>
      </c>
      <c r="BR199" s="6">
        <v>11.8</v>
      </c>
      <c r="BS199" s="6">
        <v>15.2</v>
      </c>
      <c r="BT199" s="6">
        <v>13.88</v>
      </c>
      <c r="BU199" s="6">
        <v>15.2</v>
      </c>
      <c r="BV199" s="6">
        <v>13.76</v>
      </c>
      <c r="BW199" s="6">
        <v>15.02</v>
      </c>
      <c r="BX199" s="6">
        <v>14.48</v>
      </c>
      <c r="BY199" s="6">
        <v>13.52</v>
      </c>
      <c r="BZ199" s="6">
        <v>12.3</v>
      </c>
      <c r="CA199" s="6">
        <v>15.24</v>
      </c>
      <c r="CB199" s="6">
        <v>15.38</v>
      </c>
      <c r="CC199" s="6">
        <v>14.58</v>
      </c>
      <c r="CD199" s="6">
        <v>13.28</v>
      </c>
      <c r="CE199" s="6">
        <v>13.18</v>
      </c>
      <c r="CF199" s="6">
        <v>13.16</v>
      </c>
      <c r="CG199" s="6">
        <v>15.22</v>
      </c>
      <c r="CH199" s="6">
        <v>14.88</v>
      </c>
      <c r="CI199" s="6">
        <v>16.52</v>
      </c>
      <c r="CJ199" s="11">
        <v>14.28</v>
      </c>
      <c r="CK199" s="6">
        <v>12.52</v>
      </c>
      <c r="CL199" s="6">
        <v>15.28</v>
      </c>
      <c r="CM199" s="6">
        <v>15.54</v>
      </c>
      <c r="CN199" s="6">
        <v>14.41</v>
      </c>
      <c r="CO199" s="10">
        <v>15.01</v>
      </c>
      <c r="CP199" s="10"/>
    </row>
    <row r="200" spans="1:94" ht="15.75" customHeight="1" x14ac:dyDescent="0.25">
      <c r="A200" s="4">
        <v>199</v>
      </c>
      <c r="B200" s="4"/>
      <c r="C200" s="4">
        <v>17</v>
      </c>
      <c r="D200" s="8">
        <v>14.43</v>
      </c>
      <c r="E200" s="8">
        <v>14.08</v>
      </c>
      <c r="F200" s="8">
        <v>13.82</v>
      </c>
      <c r="G200" s="8">
        <v>15.36</v>
      </c>
      <c r="H200" s="8">
        <v>12.76</v>
      </c>
      <c r="I200" s="8">
        <v>11.53</v>
      </c>
      <c r="J200" s="8">
        <v>13.86</v>
      </c>
      <c r="K200" s="8">
        <v>15.36</v>
      </c>
      <c r="L200" s="8">
        <v>15.63</v>
      </c>
      <c r="M200" s="8">
        <v>15.65</v>
      </c>
      <c r="N200" s="8">
        <v>15.42</v>
      </c>
      <c r="O200" s="8">
        <v>15.29</v>
      </c>
      <c r="P200" s="8">
        <v>13.73</v>
      </c>
      <c r="Q200" s="8">
        <v>15.21</v>
      </c>
      <c r="R200" s="8">
        <v>14.14</v>
      </c>
      <c r="S200" s="8">
        <v>14.38</v>
      </c>
      <c r="T200" s="8">
        <v>15.63</v>
      </c>
      <c r="U200" s="8">
        <v>14.83</v>
      </c>
      <c r="V200" s="8">
        <v>15.59</v>
      </c>
      <c r="W200" s="8">
        <v>15.65</v>
      </c>
      <c r="X200" s="8">
        <v>13.1</v>
      </c>
      <c r="Y200" s="8">
        <v>15.45</v>
      </c>
      <c r="Z200" s="8">
        <v>13.73</v>
      </c>
      <c r="AA200" s="8">
        <v>13.76</v>
      </c>
      <c r="AB200" s="8">
        <v>13.91</v>
      </c>
      <c r="AC200" s="8">
        <v>14.05</v>
      </c>
      <c r="AD200" s="8">
        <v>13.1</v>
      </c>
      <c r="AE200" s="8">
        <v>15.01</v>
      </c>
      <c r="AF200" s="8">
        <v>15.47</v>
      </c>
      <c r="AG200" s="8">
        <v>13.4</v>
      </c>
      <c r="AH200" s="8">
        <v>12.39</v>
      </c>
      <c r="AI200" s="8">
        <v>12.99</v>
      </c>
      <c r="AJ200" s="8">
        <v>15.12</v>
      </c>
      <c r="AK200" s="8">
        <v>14.03</v>
      </c>
      <c r="AL200" s="8">
        <v>14.37</v>
      </c>
      <c r="AM200" s="8">
        <v>14.08</v>
      </c>
      <c r="AN200" s="8">
        <v>14.42</v>
      </c>
      <c r="AO200" s="8">
        <v>15.15</v>
      </c>
      <c r="AP200" s="8">
        <v>11.52</v>
      </c>
      <c r="AQ200" s="8">
        <v>10.6</v>
      </c>
      <c r="AR200" s="8">
        <v>13.21</v>
      </c>
      <c r="AS200" s="8">
        <v>16.36</v>
      </c>
      <c r="AT200" s="8">
        <v>14.23</v>
      </c>
      <c r="AU200" s="6">
        <v>14.89</v>
      </c>
      <c r="AV200" s="6">
        <v>15.88</v>
      </c>
      <c r="AW200" s="6">
        <v>15.77</v>
      </c>
      <c r="AX200" s="6">
        <v>16.600000000000001</v>
      </c>
      <c r="AY200" s="6">
        <v>15.68</v>
      </c>
      <c r="AZ200" s="6">
        <v>14.84</v>
      </c>
      <c r="BA200" s="6">
        <v>13.14</v>
      </c>
      <c r="BB200" s="6">
        <v>13.27</v>
      </c>
      <c r="BC200" s="6">
        <v>14.39</v>
      </c>
      <c r="BD200" s="6">
        <v>13.38</v>
      </c>
      <c r="BE200" s="6">
        <v>12.92</v>
      </c>
      <c r="BF200" s="6">
        <v>13.38</v>
      </c>
      <c r="BG200" s="6">
        <v>15.27</v>
      </c>
      <c r="BH200" s="6">
        <v>13</v>
      </c>
      <c r="BI200" s="6">
        <v>12.86</v>
      </c>
      <c r="BJ200" s="6">
        <v>15.16</v>
      </c>
      <c r="BK200" s="6">
        <v>14.43</v>
      </c>
      <c r="BL200" s="6">
        <v>14.18</v>
      </c>
      <c r="BM200" s="6">
        <v>15.5</v>
      </c>
      <c r="BN200" s="6">
        <v>13.64</v>
      </c>
      <c r="BO200" s="6">
        <v>16.5</v>
      </c>
      <c r="BP200" s="6">
        <v>13.64</v>
      </c>
      <c r="BQ200" s="6">
        <v>14.42</v>
      </c>
      <c r="BR200" s="6">
        <v>11.9</v>
      </c>
      <c r="BS200" s="6">
        <v>15.28</v>
      </c>
      <c r="BT200" s="6">
        <v>14</v>
      </c>
      <c r="BU200" s="6">
        <v>15.2</v>
      </c>
      <c r="BV200" s="6">
        <v>13.76</v>
      </c>
      <c r="BW200" s="6">
        <v>15.12</v>
      </c>
      <c r="BX200" s="6">
        <v>14.52</v>
      </c>
      <c r="BY200" s="6">
        <v>13.6</v>
      </c>
      <c r="BZ200" s="6">
        <v>12.4</v>
      </c>
      <c r="CA200" s="6">
        <v>15.36</v>
      </c>
      <c r="CB200" s="6">
        <v>15.4</v>
      </c>
      <c r="CC200" s="6">
        <v>14.68</v>
      </c>
      <c r="CD200" s="6">
        <v>13.28</v>
      </c>
      <c r="CE200" s="6">
        <v>13.24</v>
      </c>
      <c r="CF200" s="6">
        <v>13.24</v>
      </c>
      <c r="CG200" s="6">
        <v>15.28</v>
      </c>
      <c r="CH200" s="6">
        <v>14.98</v>
      </c>
      <c r="CI200" s="6">
        <v>16.600000000000001</v>
      </c>
      <c r="CJ200" s="11">
        <v>14.36</v>
      </c>
      <c r="CK200" s="6">
        <v>12.62</v>
      </c>
      <c r="CL200" s="6">
        <v>15.32</v>
      </c>
      <c r="CM200" s="6">
        <v>15.59</v>
      </c>
      <c r="CN200" s="6">
        <v>14.4</v>
      </c>
      <c r="CO200" s="10">
        <v>15.1</v>
      </c>
      <c r="CP200" s="10"/>
    </row>
    <row r="201" spans="1:94" ht="15.75" customHeight="1" x14ac:dyDescent="0.25">
      <c r="A201" s="4">
        <v>200</v>
      </c>
      <c r="B201" s="4"/>
      <c r="C201" s="4">
        <v>18</v>
      </c>
      <c r="D201" s="8">
        <v>14.48</v>
      </c>
      <c r="E201" s="8">
        <v>14.13</v>
      </c>
      <c r="F201" s="8">
        <v>13.84</v>
      </c>
      <c r="G201" s="8">
        <v>15.38</v>
      </c>
      <c r="H201" s="8">
        <v>12.8</v>
      </c>
      <c r="I201" s="8">
        <v>11.58</v>
      </c>
      <c r="J201" s="8">
        <v>13.91</v>
      </c>
      <c r="K201" s="8">
        <v>15.41</v>
      </c>
      <c r="L201" s="8">
        <v>15.68</v>
      </c>
      <c r="M201" s="8">
        <v>15.63</v>
      </c>
      <c r="N201" s="8">
        <v>15.47</v>
      </c>
      <c r="O201" s="8">
        <v>15.39</v>
      </c>
      <c r="P201" s="8">
        <v>13.89</v>
      </c>
      <c r="Q201" s="8">
        <v>15.38</v>
      </c>
      <c r="R201" s="8">
        <v>14.18</v>
      </c>
      <c r="S201" s="8">
        <v>14.44</v>
      </c>
      <c r="T201" s="8">
        <v>15.74</v>
      </c>
      <c r="U201" s="8">
        <v>14.86</v>
      </c>
      <c r="V201" s="8">
        <v>15.62</v>
      </c>
      <c r="W201" s="8">
        <v>15.74</v>
      </c>
      <c r="X201" s="8">
        <v>13.19</v>
      </c>
      <c r="Y201" s="8">
        <v>15.54</v>
      </c>
      <c r="Z201" s="8">
        <v>13.79</v>
      </c>
      <c r="AA201" s="8">
        <v>13.8</v>
      </c>
      <c r="AB201" s="8">
        <v>14.03</v>
      </c>
      <c r="AC201" s="8">
        <v>14.15</v>
      </c>
      <c r="AD201" s="8">
        <v>13.18</v>
      </c>
      <c r="AE201" s="8">
        <v>15.09</v>
      </c>
      <c r="AF201" s="8">
        <v>15.54</v>
      </c>
      <c r="AG201" s="8">
        <v>13.5</v>
      </c>
      <c r="AH201" s="8">
        <v>12.49</v>
      </c>
      <c r="AI201" s="8">
        <v>13.01</v>
      </c>
      <c r="AJ201" s="8">
        <v>15.21</v>
      </c>
      <c r="AK201" s="8">
        <v>14.11</v>
      </c>
      <c r="AL201" s="8">
        <v>14.51</v>
      </c>
      <c r="AM201" s="8">
        <v>14.11</v>
      </c>
      <c r="AN201" s="8">
        <v>14.53</v>
      </c>
      <c r="AO201" s="8">
        <v>15.12</v>
      </c>
      <c r="AP201" s="8">
        <v>11.65</v>
      </c>
      <c r="AQ201" s="8">
        <v>10.68</v>
      </c>
      <c r="AR201" s="8">
        <v>13.26</v>
      </c>
      <c r="AS201" s="8">
        <v>16.420000000000002</v>
      </c>
      <c r="AT201" s="8">
        <v>14.34</v>
      </c>
      <c r="AU201" s="6">
        <v>14.97</v>
      </c>
      <c r="AV201" s="6">
        <v>15.89</v>
      </c>
      <c r="AW201" s="6">
        <v>15.88</v>
      </c>
      <c r="AX201" s="6">
        <v>16.670000000000002</v>
      </c>
      <c r="AY201" s="6">
        <v>15.72</v>
      </c>
      <c r="AZ201" s="6">
        <v>14.85</v>
      </c>
      <c r="BA201" s="6">
        <v>13.23</v>
      </c>
      <c r="BB201" s="6">
        <v>13.31</v>
      </c>
      <c r="BC201" s="6">
        <v>14.5</v>
      </c>
      <c r="BD201" s="6">
        <v>13.44</v>
      </c>
      <c r="BE201" s="6">
        <v>12.96</v>
      </c>
      <c r="BF201" s="6">
        <v>13.46</v>
      </c>
      <c r="BG201" s="6">
        <v>15.35</v>
      </c>
      <c r="BH201" s="6">
        <v>13</v>
      </c>
      <c r="BI201" s="6">
        <v>13</v>
      </c>
      <c r="BJ201" s="6">
        <v>15.24</v>
      </c>
      <c r="BK201" s="6">
        <v>14.56</v>
      </c>
      <c r="BL201" s="6">
        <v>14.3</v>
      </c>
      <c r="BM201" s="6">
        <v>15.57</v>
      </c>
      <c r="BN201" s="6">
        <v>13.72</v>
      </c>
      <c r="BO201" s="6">
        <v>16.579999999999998</v>
      </c>
      <c r="BP201" s="6">
        <v>13.69</v>
      </c>
      <c r="BQ201" s="6">
        <v>14.42</v>
      </c>
      <c r="BR201" s="6">
        <v>12</v>
      </c>
      <c r="BS201" s="6">
        <v>15.34</v>
      </c>
      <c r="BT201" s="6">
        <v>14.1</v>
      </c>
      <c r="BU201" s="6">
        <v>15.2</v>
      </c>
      <c r="BV201" s="6">
        <v>13.76</v>
      </c>
      <c r="BW201" s="6">
        <v>15.18</v>
      </c>
      <c r="BX201" s="6">
        <v>14.64</v>
      </c>
      <c r="BY201" s="6">
        <v>13.85</v>
      </c>
      <c r="BZ201" s="6">
        <v>12.58</v>
      </c>
      <c r="CA201" s="6">
        <v>15.38</v>
      </c>
      <c r="CB201" s="6">
        <v>15.4</v>
      </c>
      <c r="CC201" s="6">
        <v>14.76</v>
      </c>
      <c r="CD201" s="6">
        <v>13.3</v>
      </c>
      <c r="CE201" s="6">
        <v>13.28</v>
      </c>
      <c r="CF201" s="6">
        <v>13.36</v>
      </c>
      <c r="CG201" s="6">
        <v>15.32</v>
      </c>
      <c r="CH201" s="6">
        <v>15.02</v>
      </c>
      <c r="CI201" s="6">
        <v>16.66</v>
      </c>
      <c r="CJ201" s="11">
        <v>14.48</v>
      </c>
      <c r="CK201" s="6">
        <v>12.64</v>
      </c>
      <c r="CL201" s="6">
        <v>15.38</v>
      </c>
      <c r="CM201" s="6">
        <v>15.67</v>
      </c>
      <c r="CN201" s="6">
        <v>14.46</v>
      </c>
      <c r="CO201" s="10">
        <v>15.21</v>
      </c>
      <c r="CP201" s="10"/>
    </row>
    <row r="202" spans="1:94" ht="15.75" customHeight="1" x14ac:dyDescent="0.25">
      <c r="A202" s="4">
        <v>201</v>
      </c>
      <c r="B202" s="4"/>
      <c r="C202" s="4">
        <v>19</v>
      </c>
      <c r="D202" s="8">
        <v>14.53</v>
      </c>
      <c r="E202" s="8">
        <v>14.18</v>
      </c>
      <c r="F202" s="8">
        <v>13.86</v>
      </c>
      <c r="G202" s="8">
        <v>15.43</v>
      </c>
      <c r="H202" s="8">
        <v>12.84</v>
      </c>
      <c r="I202" s="8">
        <v>11.63</v>
      </c>
      <c r="J202" s="8">
        <v>13.94</v>
      </c>
      <c r="K202" s="8">
        <v>15.43</v>
      </c>
      <c r="L202" s="8">
        <v>15.78</v>
      </c>
      <c r="M202" s="8">
        <v>15.61</v>
      </c>
      <c r="N202" s="8">
        <v>15.52</v>
      </c>
      <c r="O202" s="8">
        <v>15.45</v>
      </c>
      <c r="P202" s="8">
        <v>14.02</v>
      </c>
      <c r="Q202" s="8">
        <v>15.35</v>
      </c>
      <c r="R202" s="8">
        <v>14.18</v>
      </c>
      <c r="S202" s="8">
        <v>14.56</v>
      </c>
      <c r="T202" s="8">
        <v>15.86</v>
      </c>
      <c r="U202" s="8">
        <v>14.88</v>
      </c>
      <c r="V202" s="8">
        <v>15.65</v>
      </c>
      <c r="W202" s="8">
        <v>15.83</v>
      </c>
      <c r="X202" s="8">
        <v>13.29</v>
      </c>
      <c r="Y202" s="8">
        <v>15.63</v>
      </c>
      <c r="Z202" s="8">
        <v>13.85</v>
      </c>
      <c r="AA202" s="8">
        <v>13.84</v>
      </c>
      <c r="AB202" s="8">
        <v>14.15</v>
      </c>
      <c r="AC202" s="8">
        <v>14.23</v>
      </c>
      <c r="AD202" s="8">
        <v>13.27</v>
      </c>
      <c r="AE202" s="8">
        <v>15.19</v>
      </c>
      <c r="AF202" s="8">
        <v>15.61</v>
      </c>
      <c r="AG202" s="8">
        <v>13.58</v>
      </c>
      <c r="AH202" s="8">
        <v>12.59</v>
      </c>
      <c r="AI202" s="8">
        <v>13.08</v>
      </c>
      <c r="AJ202" s="8">
        <v>15.29</v>
      </c>
      <c r="AK202" s="8">
        <v>14.25</v>
      </c>
      <c r="AL202" s="8">
        <v>14.63</v>
      </c>
      <c r="AM202" s="8">
        <v>14.19</v>
      </c>
      <c r="AN202" s="8">
        <v>14.68</v>
      </c>
      <c r="AO202" s="8">
        <v>15.09</v>
      </c>
      <c r="AP202" s="8">
        <v>11.78</v>
      </c>
      <c r="AQ202" s="8">
        <v>10.72</v>
      </c>
      <c r="AR202" s="8">
        <v>13.33</v>
      </c>
      <c r="AS202" s="8">
        <v>16.45</v>
      </c>
      <c r="AT202" s="8">
        <v>14.43</v>
      </c>
      <c r="AU202" s="6">
        <v>15.05</v>
      </c>
      <c r="AV202" s="6">
        <v>15.93</v>
      </c>
      <c r="AW202" s="6">
        <v>15.98</v>
      </c>
      <c r="AX202" s="6">
        <v>16.71</v>
      </c>
      <c r="AY202" s="6">
        <v>15.73</v>
      </c>
      <c r="AZ202" s="6">
        <v>14.89</v>
      </c>
      <c r="BA202" s="6">
        <v>13.31</v>
      </c>
      <c r="BB202" s="6">
        <v>13.34</v>
      </c>
      <c r="BC202" s="6">
        <v>14.6</v>
      </c>
      <c r="BD202" s="6">
        <v>13.5</v>
      </c>
      <c r="BE202" s="6">
        <v>13.05</v>
      </c>
      <c r="BF202" s="6">
        <v>13.53</v>
      </c>
      <c r="BG202" s="6">
        <v>15.43</v>
      </c>
      <c r="BH202" s="6">
        <v>13.02</v>
      </c>
      <c r="BI202" s="6">
        <v>13.1</v>
      </c>
      <c r="BJ202" s="6">
        <v>15.38</v>
      </c>
      <c r="BK202" s="6">
        <v>14.64</v>
      </c>
      <c r="BL202" s="6">
        <v>14.44</v>
      </c>
      <c r="BM202" s="6">
        <v>15.58</v>
      </c>
      <c r="BN202" s="6">
        <v>13.82</v>
      </c>
      <c r="BO202" s="6">
        <v>16.64</v>
      </c>
      <c r="BP202" s="6">
        <v>13.77</v>
      </c>
      <c r="BQ202" s="6">
        <v>14.44</v>
      </c>
      <c r="BR202" s="6">
        <v>12.1</v>
      </c>
      <c r="BS202" s="6">
        <v>15.42</v>
      </c>
      <c r="BT202" s="6">
        <v>14.26</v>
      </c>
      <c r="BU202" s="6">
        <v>15.35</v>
      </c>
      <c r="BV202" s="6">
        <v>13.76</v>
      </c>
      <c r="BW202" s="6">
        <v>15.38</v>
      </c>
      <c r="BX202" s="6">
        <v>14.74</v>
      </c>
      <c r="BY202" s="6">
        <v>13.88</v>
      </c>
      <c r="BZ202" s="6">
        <v>12.64</v>
      </c>
      <c r="CA202" s="6">
        <v>15.46</v>
      </c>
      <c r="CB202" s="6">
        <v>15.44</v>
      </c>
      <c r="CC202" s="6">
        <v>14.8</v>
      </c>
      <c r="CD202" s="6">
        <v>13.3</v>
      </c>
      <c r="CE202" s="6">
        <v>13.36</v>
      </c>
      <c r="CF202" s="6">
        <v>13.52</v>
      </c>
      <c r="CG202" s="6">
        <v>15.4</v>
      </c>
      <c r="CH202" s="6">
        <v>15.14</v>
      </c>
      <c r="CI202" s="6">
        <v>16.72</v>
      </c>
      <c r="CJ202" s="11">
        <v>14.56</v>
      </c>
      <c r="CK202" s="6">
        <v>12.72</v>
      </c>
      <c r="CL202" s="6">
        <v>15.42</v>
      </c>
      <c r="CM202" s="6">
        <v>15.72</v>
      </c>
      <c r="CN202" s="6">
        <v>14.48</v>
      </c>
      <c r="CO202" s="10">
        <v>15.34</v>
      </c>
      <c r="CP202" s="10"/>
    </row>
    <row r="203" spans="1:94" ht="15.75" customHeight="1" x14ac:dyDescent="0.25">
      <c r="A203" s="4">
        <v>202</v>
      </c>
      <c r="B203" s="4"/>
      <c r="C203" s="4">
        <v>20</v>
      </c>
      <c r="D203" s="8">
        <v>14.58</v>
      </c>
      <c r="E203" s="8">
        <v>14.23</v>
      </c>
      <c r="F203" s="8">
        <v>13.86</v>
      </c>
      <c r="G203" s="8">
        <v>15.48</v>
      </c>
      <c r="H203" s="8">
        <v>12.86</v>
      </c>
      <c r="I203" s="8">
        <v>11.68</v>
      </c>
      <c r="J203" s="8">
        <v>13.96</v>
      </c>
      <c r="K203" s="8">
        <v>15.46</v>
      </c>
      <c r="L203" s="8">
        <v>15.88</v>
      </c>
      <c r="M203" s="8">
        <v>15.65</v>
      </c>
      <c r="N203" s="8">
        <v>15.52</v>
      </c>
      <c r="O203" s="8">
        <v>15.55</v>
      </c>
      <c r="P203" s="8">
        <v>14.21</v>
      </c>
      <c r="Q203" s="8">
        <v>15.41</v>
      </c>
      <c r="R203" s="8">
        <v>14.16</v>
      </c>
      <c r="S203" s="8">
        <v>14.71</v>
      </c>
      <c r="T203" s="8">
        <v>15.98</v>
      </c>
      <c r="U203" s="8">
        <v>14.88</v>
      </c>
      <c r="V203" s="8">
        <v>15.69</v>
      </c>
      <c r="W203" s="8">
        <v>15.93</v>
      </c>
      <c r="X203" s="8">
        <v>13.39</v>
      </c>
      <c r="Y203" s="8">
        <v>15.71</v>
      </c>
      <c r="Z203" s="8">
        <v>13.92</v>
      </c>
      <c r="AA203" s="8">
        <v>13.89</v>
      </c>
      <c r="AB203" s="8">
        <v>14.27</v>
      </c>
      <c r="AC203" s="8">
        <v>14.31</v>
      </c>
      <c r="AD203" s="8">
        <v>13.34</v>
      </c>
      <c r="AE203" s="8">
        <v>15.3</v>
      </c>
      <c r="AF203" s="8">
        <v>15.72</v>
      </c>
      <c r="AG203" s="8">
        <v>13.66</v>
      </c>
      <c r="AH203" s="8">
        <v>12.67</v>
      </c>
      <c r="AI203" s="8">
        <v>13.08</v>
      </c>
      <c r="AJ203" s="8">
        <v>15.35</v>
      </c>
      <c r="AK203" s="8">
        <v>14.37</v>
      </c>
      <c r="AL203" s="8">
        <v>14.73</v>
      </c>
      <c r="AM203" s="8">
        <v>14.33</v>
      </c>
      <c r="AN203" s="8">
        <v>14.79</v>
      </c>
      <c r="AO203" s="8">
        <v>15.06</v>
      </c>
      <c r="AP203" s="8">
        <v>11.9</v>
      </c>
      <c r="AQ203" s="8">
        <v>10.8</v>
      </c>
      <c r="AR203" s="8">
        <v>13.39</v>
      </c>
      <c r="AS203" s="8">
        <v>16.53</v>
      </c>
      <c r="AT203" s="8">
        <v>14.53</v>
      </c>
      <c r="AU203" s="6">
        <v>15.1</v>
      </c>
      <c r="AV203" s="6">
        <v>15.96</v>
      </c>
      <c r="AW203" s="6">
        <v>16.05</v>
      </c>
      <c r="AX203" s="6">
        <v>16.809999999999999</v>
      </c>
      <c r="AY203" s="6">
        <v>15.72</v>
      </c>
      <c r="AZ203" s="6">
        <v>14.93</v>
      </c>
      <c r="BA203" s="6">
        <v>13.39</v>
      </c>
      <c r="BB203" s="6">
        <v>13.39</v>
      </c>
      <c r="BC203" s="6">
        <v>14.72</v>
      </c>
      <c r="BD203" s="6">
        <v>13.58</v>
      </c>
      <c r="BE203" s="6">
        <v>13.19</v>
      </c>
      <c r="BF203" s="6">
        <v>13.6</v>
      </c>
      <c r="BG203" s="6">
        <v>15.47</v>
      </c>
      <c r="BH203" s="6">
        <v>13.08</v>
      </c>
      <c r="BI203" s="6">
        <v>13.2</v>
      </c>
      <c r="BJ203" s="6">
        <v>15.5</v>
      </c>
      <c r="BK203" s="6">
        <v>14.76</v>
      </c>
      <c r="BL203" s="6">
        <v>14.52</v>
      </c>
      <c r="BM203" s="6">
        <v>15.59</v>
      </c>
      <c r="BN203" s="6">
        <v>13.94</v>
      </c>
      <c r="BO203" s="6">
        <v>16.7</v>
      </c>
      <c r="BP203" s="6">
        <v>13.88</v>
      </c>
      <c r="BQ203" s="6">
        <v>14.46</v>
      </c>
      <c r="BR203" s="6">
        <v>12.18</v>
      </c>
      <c r="BS203" s="6">
        <v>15.5</v>
      </c>
      <c r="BT203" s="6">
        <v>14.4</v>
      </c>
      <c r="BU203" s="6">
        <v>15.44</v>
      </c>
      <c r="BV203" s="6">
        <v>13.76</v>
      </c>
      <c r="BW203" s="6">
        <v>15.48</v>
      </c>
      <c r="BX203" s="6">
        <v>14.84</v>
      </c>
      <c r="BY203" s="6">
        <v>14.08</v>
      </c>
      <c r="BZ203" s="6">
        <v>12.74</v>
      </c>
      <c r="CA203" s="6">
        <v>15.5</v>
      </c>
      <c r="CB203" s="6">
        <v>15.46</v>
      </c>
      <c r="CC203" s="6">
        <v>14.96</v>
      </c>
      <c r="CD203" s="6">
        <v>13.32</v>
      </c>
      <c r="CE203" s="6">
        <v>13.4</v>
      </c>
      <c r="CF203" s="6">
        <v>13.68</v>
      </c>
      <c r="CG203" s="6">
        <v>15.44</v>
      </c>
      <c r="CH203" s="6">
        <v>15.32</v>
      </c>
      <c r="CI203" s="6">
        <v>16.72</v>
      </c>
      <c r="CJ203" s="11">
        <v>14.64</v>
      </c>
      <c r="CK203" s="6">
        <v>12.8</v>
      </c>
      <c r="CL203" s="6">
        <v>15.46</v>
      </c>
      <c r="CM203" s="6">
        <v>15.8</v>
      </c>
      <c r="CN203" s="6">
        <v>14.52</v>
      </c>
      <c r="CO203" s="10">
        <v>15.48</v>
      </c>
      <c r="CP203" s="10"/>
    </row>
    <row r="204" spans="1:94" ht="15.75" customHeight="1" x14ac:dyDescent="0.25">
      <c r="A204" s="4">
        <v>203</v>
      </c>
      <c r="B204" s="4"/>
      <c r="C204" s="4">
        <v>21</v>
      </c>
      <c r="D204" s="8">
        <v>14.63</v>
      </c>
      <c r="E204" s="8">
        <v>14.28</v>
      </c>
      <c r="F204" s="8">
        <v>13.88</v>
      </c>
      <c r="G204" s="8">
        <v>15.53</v>
      </c>
      <c r="H204" s="8">
        <v>12.88</v>
      </c>
      <c r="I204" s="8">
        <v>11.73</v>
      </c>
      <c r="J204" s="8">
        <v>13.98</v>
      </c>
      <c r="K204" s="8">
        <v>15.52</v>
      </c>
      <c r="L204" s="8">
        <v>15.98</v>
      </c>
      <c r="M204" s="8">
        <v>15.71</v>
      </c>
      <c r="N204" s="8">
        <v>15.61</v>
      </c>
      <c r="O204" s="8">
        <v>15.69</v>
      </c>
      <c r="P204" s="8">
        <v>14.37</v>
      </c>
      <c r="Q204" s="8">
        <v>15.44</v>
      </c>
      <c r="R204" s="8">
        <v>14.18</v>
      </c>
      <c r="S204" s="8">
        <v>14.81</v>
      </c>
      <c r="T204" s="8">
        <v>16.09</v>
      </c>
      <c r="U204" s="8">
        <v>14.91</v>
      </c>
      <c r="V204" s="8">
        <v>15.81</v>
      </c>
      <c r="W204" s="8">
        <v>16</v>
      </c>
      <c r="X204" s="8">
        <v>13.46</v>
      </c>
      <c r="Y204" s="8">
        <v>15.77</v>
      </c>
      <c r="Z204" s="8">
        <v>14.09</v>
      </c>
      <c r="AA204" s="8">
        <v>13.94</v>
      </c>
      <c r="AB204" s="8">
        <v>14.39</v>
      </c>
      <c r="AC204" s="8">
        <v>14.35</v>
      </c>
      <c r="AD204" s="8">
        <v>13.41</v>
      </c>
      <c r="AE204" s="8">
        <v>15.4</v>
      </c>
      <c r="AF204" s="8">
        <v>15.82</v>
      </c>
      <c r="AG204" s="8">
        <v>13.74</v>
      </c>
      <c r="AH204" s="8">
        <v>12.71</v>
      </c>
      <c r="AI204" s="8">
        <v>13.19</v>
      </c>
      <c r="AJ204" s="8">
        <v>15.42</v>
      </c>
      <c r="AK204" s="8">
        <v>14.48</v>
      </c>
      <c r="AL204" s="8">
        <v>14.81</v>
      </c>
      <c r="AM204" s="8">
        <v>14.51</v>
      </c>
      <c r="AN204" s="8">
        <v>14.88</v>
      </c>
      <c r="AO204" s="8">
        <v>15.04</v>
      </c>
      <c r="AP204" s="8">
        <v>12</v>
      </c>
      <c r="AQ204" s="8">
        <v>10.88</v>
      </c>
      <c r="AR204" s="8">
        <v>13.44</v>
      </c>
      <c r="AS204" s="8">
        <v>16.600000000000001</v>
      </c>
      <c r="AT204" s="8">
        <v>14.66</v>
      </c>
      <c r="AU204" s="6">
        <v>15.14</v>
      </c>
      <c r="AV204" s="6">
        <v>15.97</v>
      </c>
      <c r="AW204" s="6">
        <v>16.12</v>
      </c>
      <c r="AX204" s="6">
        <v>16.899999999999999</v>
      </c>
      <c r="AY204" s="6">
        <v>15.68</v>
      </c>
      <c r="AZ204" s="6">
        <v>15.01</v>
      </c>
      <c r="BA204" s="6">
        <v>13.5</v>
      </c>
      <c r="BB204" s="6">
        <v>13.47</v>
      </c>
      <c r="BC204" s="6">
        <v>14.84</v>
      </c>
      <c r="BD204" s="6">
        <v>13.65</v>
      </c>
      <c r="BE204" s="6">
        <v>13.35</v>
      </c>
      <c r="BF204" s="6">
        <v>13.68</v>
      </c>
      <c r="BG204" s="6">
        <v>15.5</v>
      </c>
      <c r="BH204" s="6">
        <v>13.15</v>
      </c>
      <c r="BI204" s="6">
        <v>13.5</v>
      </c>
      <c r="BJ204" s="6">
        <v>15.62</v>
      </c>
      <c r="BK204" s="6">
        <v>14.86</v>
      </c>
      <c r="BL204" s="6">
        <v>14.6</v>
      </c>
      <c r="BM204" s="6">
        <v>15.6</v>
      </c>
      <c r="BN204" s="6">
        <v>14.04</v>
      </c>
      <c r="BO204" s="6">
        <v>16.760000000000002</v>
      </c>
      <c r="BP204" s="6">
        <v>13.98</v>
      </c>
      <c r="BQ204" s="6">
        <v>14.48</v>
      </c>
      <c r="BR204" s="6">
        <v>12.22</v>
      </c>
      <c r="BS204" s="6">
        <v>15.54</v>
      </c>
      <c r="BT204" s="6">
        <v>14.48</v>
      </c>
      <c r="BU204" s="6">
        <v>15.5</v>
      </c>
      <c r="BV204" s="6">
        <v>13.74</v>
      </c>
      <c r="BW204" s="6">
        <v>15.56</v>
      </c>
      <c r="BX204" s="6">
        <v>14.9</v>
      </c>
      <c r="BY204" s="6">
        <v>14.2</v>
      </c>
      <c r="BZ204" s="6">
        <v>12.86</v>
      </c>
      <c r="CA204" s="6">
        <v>15.58</v>
      </c>
      <c r="CB204" s="6">
        <v>15.5</v>
      </c>
      <c r="CC204" s="6">
        <v>15.06</v>
      </c>
      <c r="CD204" s="6">
        <v>13.34</v>
      </c>
      <c r="CE204" s="6">
        <v>13.5</v>
      </c>
      <c r="CF204" s="6">
        <v>13.86</v>
      </c>
      <c r="CG204" s="6">
        <v>15.58</v>
      </c>
      <c r="CH204" s="6">
        <v>15.52</v>
      </c>
      <c r="CI204" s="6">
        <v>16.760000000000002</v>
      </c>
      <c r="CJ204" s="11">
        <v>14.74</v>
      </c>
      <c r="CK204" s="6">
        <v>12.84</v>
      </c>
      <c r="CL204" s="6">
        <v>15.52</v>
      </c>
      <c r="CM204" s="6">
        <v>15.87</v>
      </c>
      <c r="CN204" s="6">
        <v>14.55</v>
      </c>
      <c r="CO204" s="10">
        <v>15.6</v>
      </c>
      <c r="CP204" s="10"/>
    </row>
    <row r="205" spans="1:94" ht="15.75" customHeight="1" x14ac:dyDescent="0.25">
      <c r="A205" s="4">
        <v>204</v>
      </c>
      <c r="B205" s="4"/>
      <c r="C205" s="4">
        <v>22</v>
      </c>
      <c r="D205" s="8">
        <v>14.68</v>
      </c>
      <c r="E205" s="8">
        <v>14.33</v>
      </c>
      <c r="F205" s="8">
        <v>13.88</v>
      </c>
      <c r="G205" s="8">
        <v>15.58</v>
      </c>
      <c r="H205" s="8">
        <v>12.92</v>
      </c>
      <c r="I205" s="8">
        <v>11.78</v>
      </c>
      <c r="J205" s="8">
        <v>14.01</v>
      </c>
      <c r="K205" s="8">
        <v>15.56</v>
      </c>
      <c r="L205" s="8">
        <v>16.079999999999998</v>
      </c>
      <c r="M205" s="8">
        <v>15.77</v>
      </c>
      <c r="N205" s="8">
        <v>15.61</v>
      </c>
      <c r="O205" s="8">
        <v>15.85</v>
      </c>
      <c r="P205" s="8">
        <v>14.58</v>
      </c>
      <c r="Q205" s="8">
        <v>15.5</v>
      </c>
      <c r="R205" s="8">
        <v>14.19</v>
      </c>
      <c r="S205" s="8">
        <v>14.86</v>
      </c>
      <c r="T205" s="8">
        <v>16.2</v>
      </c>
      <c r="U205" s="8">
        <v>14.93</v>
      </c>
      <c r="V205" s="8">
        <v>15.89</v>
      </c>
      <c r="W205" s="8">
        <v>16.079999999999998</v>
      </c>
      <c r="X205" s="8">
        <v>13.59</v>
      </c>
      <c r="Y205" s="8">
        <v>15.84</v>
      </c>
      <c r="Z205" s="8">
        <v>14.23</v>
      </c>
      <c r="AA205" s="8">
        <v>13.98</v>
      </c>
      <c r="AB205" s="8">
        <v>14.49</v>
      </c>
      <c r="AC205" s="8">
        <v>14.49</v>
      </c>
      <c r="AD205" s="8">
        <v>13.49</v>
      </c>
      <c r="AE205" s="8">
        <v>15.51</v>
      </c>
      <c r="AF205" s="8">
        <v>15.92</v>
      </c>
      <c r="AG205" s="8">
        <v>13.8</v>
      </c>
      <c r="AH205" s="8">
        <v>12.79</v>
      </c>
      <c r="AI205" s="8">
        <v>13.23</v>
      </c>
      <c r="AJ205" s="8">
        <v>15.51</v>
      </c>
      <c r="AK205" s="8">
        <v>14.6</v>
      </c>
      <c r="AL205" s="8">
        <v>14.89</v>
      </c>
      <c r="AM205" s="8">
        <v>14.59</v>
      </c>
      <c r="AN205" s="8">
        <v>14.97</v>
      </c>
      <c r="AO205" s="8">
        <v>15.05</v>
      </c>
      <c r="AP205" s="8">
        <v>12.15</v>
      </c>
      <c r="AQ205" s="8">
        <v>10.94</v>
      </c>
      <c r="AR205" s="8">
        <v>13.5</v>
      </c>
      <c r="AS205" s="8">
        <v>16.7</v>
      </c>
      <c r="AT205" s="8">
        <v>14.78</v>
      </c>
      <c r="AU205" s="6">
        <v>15.17</v>
      </c>
      <c r="AV205" s="6">
        <v>15.98</v>
      </c>
      <c r="AW205" s="6">
        <v>16.149999999999999</v>
      </c>
      <c r="AX205" s="6">
        <v>16.98</v>
      </c>
      <c r="AY205" s="6">
        <v>15.61</v>
      </c>
      <c r="AZ205" s="6">
        <v>15.05</v>
      </c>
      <c r="BA205" s="6">
        <v>13.59</v>
      </c>
      <c r="BB205" s="6">
        <v>13.53</v>
      </c>
      <c r="BC205" s="6">
        <v>14.97</v>
      </c>
      <c r="BD205" s="6">
        <v>13.73</v>
      </c>
      <c r="BE205" s="6">
        <v>13.47</v>
      </c>
      <c r="BF205" s="6">
        <v>13.77</v>
      </c>
      <c r="BG205" s="6">
        <v>15.5</v>
      </c>
      <c r="BH205" s="6">
        <v>13.21</v>
      </c>
      <c r="BI205" s="6">
        <v>13.42</v>
      </c>
      <c r="BJ205" s="6">
        <v>15.72</v>
      </c>
      <c r="BK205" s="6">
        <v>14.94</v>
      </c>
      <c r="BL205" s="6">
        <v>14.66</v>
      </c>
      <c r="BM205" s="6">
        <v>15.62</v>
      </c>
      <c r="BN205" s="6">
        <v>14.18</v>
      </c>
      <c r="BO205" s="6">
        <v>16.8</v>
      </c>
      <c r="BP205" s="6">
        <v>13.98</v>
      </c>
      <c r="BQ205" s="6">
        <v>14.48</v>
      </c>
      <c r="BR205" s="6">
        <v>12.3</v>
      </c>
      <c r="BS205" s="6">
        <v>15.6</v>
      </c>
      <c r="BT205" s="6">
        <v>14.6</v>
      </c>
      <c r="BU205" s="6">
        <v>15.55</v>
      </c>
      <c r="BV205" s="6">
        <v>13.76</v>
      </c>
      <c r="BW205" s="6">
        <v>15.62</v>
      </c>
      <c r="BX205" s="6">
        <v>14.98</v>
      </c>
      <c r="BY205" s="6">
        <v>14.32</v>
      </c>
      <c r="BZ205" s="6">
        <v>13</v>
      </c>
      <c r="CA205" s="6">
        <v>15.62</v>
      </c>
      <c r="CB205" s="6">
        <v>15.52</v>
      </c>
      <c r="CC205" s="6">
        <v>15.2</v>
      </c>
      <c r="CD205" s="6">
        <v>13.38</v>
      </c>
      <c r="CE205" s="6">
        <v>13.68</v>
      </c>
      <c r="CF205" s="6">
        <v>13.98</v>
      </c>
      <c r="CG205" s="6">
        <v>15.68</v>
      </c>
      <c r="CH205" s="6">
        <v>15.74</v>
      </c>
      <c r="CI205" s="6">
        <v>16.84</v>
      </c>
      <c r="CJ205" s="11">
        <v>14.78</v>
      </c>
      <c r="CK205" s="6">
        <v>12.96</v>
      </c>
      <c r="CL205" s="6">
        <v>15.58</v>
      </c>
      <c r="CM205" s="6">
        <v>15.95</v>
      </c>
      <c r="CN205" s="6">
        <v>14.58</v>
      </c>
      <c r="CO205" s="10">
        <v>15.7</v>
      </c>
      <c r="CP205" s="10"/>
    </row>
    <row r="206" spans="1:94" ht="15.75" customHeight="1" x14ac:dyDescent="0.25">
      <c r="A206" s="4">
        <v>205</v>
      </c>
      <c r="B206" s="4"/>
      <c r="C206" s="4">
        <v>23</v>
      </c>
      <c r="D206" s="8">
        <v>14.73</v>
      </c>
      <c r="E206" s="8">
        <v>14.38</v>
      </c>
      <c r="F206" s="8">
        <v>13.88</v>
      </c>
      <c r="G206" s="8">
        <v>15.63</v>
      </c>
      <c r="H206" s="8">
        <v>12.96</v>
      </c>
      <c r="I206" s="8">
        <v>11.83</v>
      </c>
      <c r="J206" s="8">
        <v>14.03</v>
      </c>
      <c r="K206" s="8">
        <v>15.69</v>
      </c>
      <c r="L206" s="8">
        <v>16.23</v>
      </c>
      <c r="M206" s="8">
        <v>15.85</v>
      </c>
      <c r="N206" s="8">
        <v>15.63</v>
      </c>
      <c r="O206" s="8">
        <v>16</v>
      </c>
      <c r="P206" s="8">
        <v>14.78</v>
      </c>
      <c r="Q206" s="8">
        <v>15.58</v>
      </c>
      <c r="R206" s="8">
        <v>14.2</v>
      </c>
      <c r="S206" s="8">
        <v>14.91</v>
      </c>
      <c r="T206" s="8">
        <v>16.29</v>
      </c>
      <c r="U206" s="8">
        <v>14.96</v>
      </c>
      <c r="V206" s="8">
        <v>15.97</v>
      </c>
      <c r="W206" s="8">
        <v>16.149999999999999</v>
      </c>
      <c r="X206" s="8">
        <v>13.74</v>
      </c>
      <c r="Y206" s="8">
        <v>15.92</v>
      </c>
      <c r="Z206" s="8">
        <v>14.45</v>
      </c>
      <c r="AA206" s="8">
        <v>14</v>
      </c>
      <c r="AB206" s="8">
        <v>14.61</v>
      </c>
      <c r="AC206" s="8">
        <v>14.55</v>
      </c>
      <c r="AD206" s="8">
        <v>13.57</v>
      </c>
      <c r="AE206" s="8">
        <v>15.59</v>
      </c>
      <c r="AF206" s="8">
        <v>15.97</v>
      </c>
      <c r="AG206" s="8">
        <v>13.9</v>
      </c>
      <c r="AH206" s="8">
        <v>12.85</v>
      </c>
      <c r="AI206" s="8">
        <v>13.25</v>
      </c>
      <c r="AJ206" s="8">
        <v>15.59</v>
      </c>
      <c r="AK206" s="8">
        <v>14.72</v>
      </c>
      <c r="AL206" s="8">
        <v>14.94</v>
      </c>
      <c r="AM206" s="8">
        <v>14.69</v>
      </c>
      <c r="AN206" s="8">
        <v>15.11</v>
      </c>
      <c r="AO206" s="8">
        <v>15.05</v>
      </c>
      <c r="AP206" s="8">
        <v>12.32</v>
      </c>
      <c r="AQ206" s="8">
        <v>11.02</v>
      </c>
      <c r="AR206" s="8">
        <v>13.6</v>
      </c>
      <c r="AS206" s="8">
        <v>16.829999999999998</v>
      </c>
      <c r="AT206" s="8">
        <v>14.89</v>
      </c>
      <c r="AU206" s="6">
        <v>15.22</v>
      </c>
      <c r="AV206" s="6">
        <v>15.97</v>
      </c>
      <c r="AW206" s="6">
        <v>16.2</v>
      </c>
      <c r="AX206" s="6">
        <v>17.04</v>
      </c>
      <c r="AY206" s="6">
        <v>15.59</v>
      </c>
      <c r="AZ206" s="6">
        <v>15.07</v>
      </c>
      <c r="BA206" s="6">
        <v>13.67</v>
      </c>
      <c r="BB206" s="6">
        <v>13.61</v>
      </c>
      <c r="BC206" s="6">
        <v>15.14</v>
      </c>
      <c r="BD206" s="6">
        <v>13.84</v>
      </c>
      <c r="BE206" s="6">
        <v>13.57</v>
      </c>
      <c r="BF206" s="6">
        <v>13.86</v>
      </c>
      <c r="BG206" s="6">
        <v>15.5</v>
      </c>
      <c r="BH206" s="6">
        <v>13.28</v>
      </c>
      <c r="BI206" s="6">
        <v>13.58</v>
      </c>
      <c r="BJ206" s="6">
        <v>15.82</v>
      </c>
      <c r="BK206" s="6">
        <v>15.04</v>
      </c>
      <c r="BL206" s="6">
        <v>14.74</v>
      </c>
      <c r="BM206" s="6">
        <v>15.66</v>
      </c>
      <c r="BN206" s="6">
        <v>14.29</v>
      </c>
      <c r="BO206" s="6">
        <v>16.82</v>
      </c>
      <c r="BP206" s="6">
        <v>14.02</v>
      </c>
      <c r="BQ206" s="6">
        <v>14.56</v>
      </c>
      <c r="BR206" s="6">
        <v>12.38</v>
      </c>
      <c r="BS206" s="6">
        <v>15.64</v>
      </c>
      <c r="BT206" s="6">
        <v>14.7</v>
      </c>
      <c r="BU206" s="6">
        <v>15.6</v>
      </c>
      <c r="BV206" s="6">
        <v>13.8</v>
      </c>
      <c r="BW206" s="6">
        <v>15.7</v>
      </c>
      <c r="BX206" s="6">
        <v>15.02</v>
      </c>
      <c r="BY206" s="6">
        <v>14.4</v>
      </c>
      <c r="BZ206" s="6">
        <v>13.08</v>
      </c>
      <c r="CA206" s="6">
        <v>15.68</v>
      </c>
      <c r="CB206" s="6">
        <v>15.52</v>
      </c>
      <c r="CC206" s="6">
        <v>15.3</v>
      </c>
      <c r="CD206" s="6">
        <v>13.4</v>
      </c>
      <c r="CE206" s="6">
        <v>13.72</v>
      </c>
      <c r="CF206" s="6">
        <v>14.16</v>
      </c>
      <c r="CG206" s="6">
        <v>15.74</v>
      </c>
      <c r="CH206" s="6">
        <v>15.92</v>
      </c>
      <c r="CI206" s="6">
        <v>16.86</v>
      </c>
      <c r="CJ206" s="11">
        <v>14.78</v>
      </c>
      <c r="CK206" s="6">
        <v>13.16</v>
      </c>
      <c r="CL206" s="6">
        <v>15.6</v>
      </c>
      <c r="CM206" s="6">
        <v>15.99</v>
      </c>
      <c r="CN206" s="6">
        <v>14.62</v>
      </c>
      <c r="CO206" s="10">
        <v>15.84</v>
      </c>
      <c r="CP206" s="10"/>
    </row>
    <row r="207" spans="1:94" ht="15.75" customHeight="1" x14ac:dyDescent="0.25">
      <c r="A207" s="4">
        <v>206</v>
      </c>
      <c r="B207" s="4"/>
      <c r="C207" s="4">
        <v>24</v>
      </c>
      <c r="D207" s="8">
        <v>14.78</v>
      </c>
      <c r="E207" s="8">
        <v>14.4</v>
      </c>
      <c r="F207" s="8">
        <v>13.88</v>
      </c>
      <c r="G207" s="8">
        <v>15.68</v>
      </c>
      <c r="H207" s="8">
        <v>12.98</v>
      </c>
      <c r="I207" s="8">
        <v>11.88</v>
      </c>
      <c r="J207" s="8">
        <v>14.06</v>
      </c>
      <c r="K207" s="8">
        <v>15.76</v>
      </c>
      <c r="L207" s="8">
        <v>16.37</v>
      </c>
      <c r="M207" s="8">
        <v>15.9</v>
      </c>
      <c r="N207" s="8">
        <v>15.66</v>
      </c>
      <c r="O207" s="8">
        <v>16.09</v>
      </c>
      <c r="P207" s="8">
        <v>14.89</v>
      </c>
      <c r="Q207" s="8">
        <v>15.63</v>
      </c>
      <c r="R207" s="8">
        <v>14.26</v>
      </c>
      <c r="S207" s="8">
        <v>14.96</v>
      </c>
      <c r="T207" s="8">
        <v>16.36</v>
      </c>
      <c r="U207" s="8">
        <v>15.01</v>
      </c>
      <c r="V207" s="8">
        <v>16.03</v>
      </c>
      <c r="W207" s="8">
        <v>16.18</v>
      </c>
      <c r="X207" s="8">
        <v>13.89</v>
      </c>
      <c r="Y207" s="8">
        <v>15.99</v>
      </c>
      <c r="Z207" s="8">
        <v>14.61</v>
      </c>
      <c r="AA207" s="8">
        <v>14</v>
      </c>
      <c r="AB207" s="8">
        <v>14.75</v>
      </c>
      <c r="AC207" s="8">
        <v>14.6</v>
      </c>
      <c r="AD207" s="8">
        <v>13.65</v>
      </c>
      <c r="AE207" s="8">
        <v>15.65</v>
      </c>
      <c r="AF207" s="8">
        <v>16.059999999999999</v>
      </c>
      <c r="AG207" s="8">
        <v>14.01</v>
      </c>
      <c r="AH207" s="8">
        <v>12.91</v>
      </c>
      <c r="AI207" s="8">
        <v>13.25</v>
      </c>
      <c r="AJ207" s="8">
        <v>15.65</v>
      </c>
      <c r="AK207" s="8">
        <v>14.81</v>
      </c>
      <c r="AL207" s="8">
        <v>14.98</v>
      </c>
      <c r="AM207" s="8">
        <v>14.8</v>
      </c>
      <c r="AN207" s="8">
        <v>15.23</v>
      </c>
      <c r="AO207" s="8">
        <v>15.08</v>
      </c>
      <c r="AP207" s="8">
        <v>12.5</v>
      </c>
      <c r="AQ207" s="8">
        <v>11.08</v>
      </c>
      <c r="AR207" s="8">
        <v>13.67</v>
      </c>
      <c r="AS207" s="8">
        <v>16.93</v>
      </c>
      <c r="AT207" s="8">
        <v>14.96</v>
      </c>
      <c r="AU207" s="6">
        <v>15.23</v>
      </c>
      <c r="AV207" s="6">
        <v>15.96</v>
      </c>
      <c r="AW207" s="6">
        <v>16.22</v>
      </c>
      <c r="AX207" s="6">
        <v>17.059999999999999</v>
      </c>
      <c r="AY207" s="6">
        <v>15.59</v>
      </c>
      <c r="AZ207" s="6">
        <v>15.1</v>
      </c>
      <c r="BA207" s="6">
        <v>13.73</v>
      </c>
      <c r="BB207" s="6">
        <v>13.69</v>
      </c>
      <c r="BC207" s="6">
        <v>15.27</v>
      </c>
      <c r="BD207" s="6">
        <v>13.9</v>
      </c>
      <c r="BE207" s="6">
        <v>13.64</v>
      </c>
      <c r="BF207" s="6">
        <v>13.94</v>
      </c>
      <c r="BG207" s="6">
        <v>15.56</v>
      </c>
      <c r="BH207" s="6">
        <v>13.43</v>
      </c>
      <c r="BI207" s="6">
        <v>13.64</v>
      </c>
      <c r="BJ207" s="6">
        <v>15.91</v>
      </c>
      <c r="BK207" s="6">
        <v>15.12</v>
      </c>
      <c r="BL207" s="6">
        <v>14.84</v>
      </c>
      <c r="BM207" s="6">
        <v>15.69</v>
      </c>
      <c r="BN207" s="6">
        <v>14.4</v>
      </c>
      <c r="BO207" s="6">
        <v>16.88</v>
      </c>
      <c r="BP207" s="6">
        <v>14.05</v>
      </c>
      <c r="BQ207" s="6">
        <v>14.62</v>
      </c>
      <c r="BR207" s="6">
        <v>12.4</v>
      </c>
      <c r="BS207" s="6">
        <v>15.7</v>
      </c>
      <c r="BT207" s="6">
        <v>14.8</v>
      </c>
      <c r="BU207" s="6">
        <v>15.56</v>
      </c>
      <c r="BV207" s="6">
        <v>13.86</v>
      </c>
      <c r="BW207" s="6">
        <v>15.74</v>
      </c>
      <c r="BX207" s="6">
        <v>15.1</v>
      </c>
      <c r="BY207" s="6">
        <v>14.4</v>
      </c>
      <c r="BZ207" s="6">
        <v>13.2</v>
      </c>
      <c r="CA207" s="6">
        <v>15.7</v>
      </c>
      <c r="CB207" s="6">
        <v>15.56</v>
      </c>
      <c r="CC207" s="6">
        <v>15.32</v>
      </c>
      <c r="CD207" s="6">
        <v>13.44</v>
      </c>
      <c r="CE207" s="6">
        <v>13.8</v>
      </c>
      <c r="CF207" s="6">
        <v>14.3</v>
      </c>
      <c r="CG207" s="6">
        <v>15.82</v>
      </c>
      <c r="CH207" s="6">
        <v>16.04</v>
      </c>
      <c r="CI207" s="6">
        <v>16.86</v>
      </c>
      <c r="CJ207" s="11">
        <v>14.86</v>
      </c>
      <c r="CK207" s="6">
        <v>13.26</v>
      </c>
      <c r="CL207" s="6">
        <v>15.64</v>
      </c>
      <c r="CM207" s="6">
        <v>16.02</v>
      </c>
      <c r="CN207" s="6">
        <v>14.67</v>
      </c>
      <c r="CO207" s="10">
        <v>15.96</v>
      </c>
      <c r="CP207" s="10"/>
    </row>
    <row r="208" spans="1:94" ht="15.75" customHeight="1" x14ac:dyDescent="0.25">
      <c r="A208" s="4">
        <v>207</v>
      </c>
      <c r="B208" s="4"/>
      <c r="C208" s="4">
        <v>25</v>
      </c>
      <c r="D208" s="8">
        <v>14.88</v>
      </c>
      <c r="E208" s="8">
        <v>14.38</v>
      </c>
      <c r="F208" s="8">
        <v>13.94</v>
      </c>
      <c r="G208" s="8">
        <v>15.73</v>
      </c>
      <c r="H208" s="8">
        <v>13.03</v>
      </c>
      <c r="I208" s="8">
        <v>11.93</v>
      </c>
      <c r="J208" s="8">
        <v>14.08</v>
      </c>
      <c r="K208" s="8">
        <v>15.85</v>
      </c>
      <c r="L208" s="8">
        <v>16.53</v>
      </c>
      <c r="M208" s="8">
        <v>15.94</v>
      </c>
      <c r="N208" s="8">
        <v>15.69</v>
      </c>
      <c r="O208" s="8">
        <v>16.2</v>
      </c>
      <c r="P208" s="8">
        <v>15.01</v>
      </c>
      <c r="Q208" s="8">
        <v>15.64</v>
      </c>
      <c r="R208" s="8">
        <v>14.31</v>
      </c>
      <c r="S208" s="8">
        <v>14.96</v>
      </c>
      <c r="T208" s="8">
        <v>16.510000000000002</v>
      </c>
      <c r="U208" s="8">
        <v>15.01</v>
      </c>
      <c r="V208" s="8">
        <v>16.03</v>
      </c>
      <c r="W208" s="8">
        <v>16.28</v>
      </c>
      <c r="X208" s="8">
        <v>14.05</v>
      </c>
      <c r="Y208" s="8">
        <v>16.04</v>
      </c>
      <c r="Z208" s="8">
        <v>14.71</v>
      </c>
      <c r="AA208" s="8">
        <v>14.02</v>
      </c>
      <c r="AB208" s="8">
        <v>14.87</v>
      </c>
      <c r="AC208" s="8">
        <v>14.71</v>
      </c>
      <c r="AD208" s="8">
        <v>13.75</v>
      </c>
      <c r="AE208" s="8">
        <v>15.71</v>
      </c>
      <c r="AF208" s="8">
        <v>16.12</v>
      </c>
      <c r="AG208" s="8">
        <v>14.12</v>
      </c>
      <c r="AH208" s="8">
        <v>12.96</v>
      </c>
      <c r="AI208" s="8">
        <v>13.31</v>
      </c>
      <c r="AJ208" s="8">
        <v>15.69</v>
      </c>
      <c r="AK208" s="8">
        <v>14.92</v>
      </c>
      <c r="AL208" s="8">
        <v>14.96</v>
      </c>
      <c r="AM208" s="8">
        <v>14.95</v>
      </c>
      <c r="AN208" s="8">
        <v>15.32</v>
      </c>
      <c r="AO208" s="8">
        <v>15.13</v>
      </c>
      <c r="AP208" s="8">
        <v>12.67</v>
      </c>
      <c r="AQ208" s="8">
        <v>11.2</v>
      </c>
      <c r="AR208" s="8">
        <v>13.75</v>
      </c>
      <c r="AS208" s="8">
        <v>17.03</v>
      </c>
      <c r="AT208" s="8">
        <v>15.07</v>
      </c>
      <c r="AU208" s="6">
        <v>15.23</v>
      </c>
      <c r="AV208" s="6">
        <v>15.89</v>
      </c>
      <c r="AW208" s="6">
        <v>16.28</v>
      </c>
      <c r="AX208" s="6">
        <v>17.12</v>
      </c>
      <c r="AY208" s="6">
        <v>15.56</v>
      </c>
      <c r="AZ208" s="6">
        <v>15.14</v>
      </c>
      <c r="BA208" s="6">
        <v>13.81</v>
      </c>
      <c r="BB208" s="6">
        <v>13.77</v>
      </c>
      <c r="BC208" s="6">
        <v>15.39</v>
      </c>
      <c r="BD208" s="6">
        <v>14</v>
      </c>
      <c r="BE208" s="6">
        <v>13.72</v>
      </c>
      <c r="BF208" s="6">
        <v>14.02</v>
      </c>
      <c r="BG208" s="6">
        <v>15.63</v>
      </c>
      <c r="BH208" s="6">
        <v>13.56</v>
      </c>
      <c r="BI208" s="6">
        <v>13.73</v>
      </c>
      <c r="BJ208" s="6">
        <v>15.96</v>
      </c>
      <c r="BK208" s="6">
        <v>15.2</v>
      </c>
      <c r="BL208" s="6">
        <v>14.94</v>
      </c>
      <c r="BM208" s="6">
        <v>15.76</v>
      </c>
      <c r="BN208" s="6">
        <v>14.5</v>
      </c>
      <c r="BO208" s="6">
        <v>16.899999999999999</v>
      </c>
      <c r="BP208" s="6">
        <v>14.05</v>
      </c>
      <c r="BQ208" s="6">
        <v>14.66</v>
      </c>
      <c r="BR208" s="6">
        <v>12.53</v>
      </c>
      <c r="BS208" s="6">
        <v>15.74</v>
      </c>
      <c r="BT208" s="6">
        <v>14.9</v>
      </c>
      <c r="BU208" s="6">
        <v>15.66</v>
      </c>
      <c r="BV208" s="6">
        <v>13.9</v>
      </c>
      <c r="BW208" s="6">
        <v>15.8</v>
      </c>
      <c r="BX208" s="6">
        <v>15.14</v>
      </c>
      <c r="BY208" s="6">
        <v>14.6</v>
      </c>
      <c r="BZ208" s="6">
        <v>13.2</v>
      </c>
      <c r="CA208" s="6">
        <v>15.74</v>
      </c>
      <c r="CB208" s="6">
        <v>15.6</v>
      </c>
      <c r="CC208" s="6">
        <v>15.36</v>
      </c>
      <c r="CD208" s="6">
        <v>13.46</v>
      </c>
      <c r="CE208" s="6">
        <v>13.9</v>
      </c>
      <c r="CF208" s="6">
        <v>14.4</v>
      </c>
      <c r="CG208" s="6">
        <v>15.86</v>
      </c>
      <c r="CH208" s="6">
        <v>16.28</v>
      </c>
      <c r="CI208" s="6">
        <v>16.88</v>
      </c>
      <c r="CJ208" s="11">
        <v>14.9</v>
      </c>
      <c r="CK208" s="6">
        <v>13.36</v>
      </c>
      <c r="CL208" s="6">
        <v>15.7</v>
      </c>
      <c r="CM208" s="6">
        <v>16.05</v>
      </c>
      <c r="CN208" s="6">
        <v>14.74</v>
      </c>
      <c r="CO208" s="10">
        <v>16.09</v>
      </c>
      <c r="CP208" s="10"/>
    </row>
    <row r="209" spans="1:94" ht="15.75" customHeight="1" x14ac:dyDescent="0.25">
      <c r="A209" s="4">
        <v>208</v>
      </c>
      <c r="B209" s="4"/>
      <c r="C209" s="4">
        <v>26</v>
      </c>
      <c r="D209" s="8">
        <v>14.93</v>
      </c>
      <c r="E209" s="8">
        <v>14.36</v>
      </c>
      <c r="F209" s="8">
        <v>14</v>
      </c>
      <c r="G209" s="8">
        <v>15.78</v>
      </c>
      <c r="H209" s="8">
        <v>13.08</v>
      </c>
      <c r="I209" s="8">
        <v>11.98</v>
      </c>
      <c r="J209" s="8">
        <v>14.09</v>
      </c>
      <c r="K209" s="8">
        <v>15.89</v>
      </c>
      <c r="L209" s="8">
        <v>16.62</v>
      </c>
      <c r="M209" s="8">
        <v>15.99</v>
      </c>
      <c r="N209" s="8">
        <v>15.76</v>
      </c>
      <c r="O209" s="8">
        <v>16.309999999999999</v>
      </c>
      <c r="P209" s="8">
        <v>15.09</v>
      </c>
      <c r="Q209" s="8">
        <v>15.65</v>
      </c>
      <c r="R209" s="8">
        <v>14.38</v>
      </c>
      <c r="S209" s="8">
        <v>15.01</v>
      </c>
      <c r="T209" s="8">
        <v>16.690000000000001</v>
      </c>
      <c r="U209" s="8">
        <v>15.01</v>
      </c>
      <c r="V209" s="8">
        <v>16.059999999999999</v>
      </c>
      <c r="W209" s="8">
        <v>16.309999999999999</v>
      </c>
      <c r="X209" s="8">
        <v>14.21</v>
      </c>
      <c r="Y209" s="8">
        <v>16.11</v>
      </c>
      <c r="Z209" s="8">
        <v>14.82</v>
      </c>
      <c r="AA209" s="8">
        <v>14.04</v>
      </c>
      <c r="AB209" s="8">
        <v>14.99</v>
      </c>
      <c r="AC209" s="8">
        <v>14.71</v>
      </c>
      <c r="AD209" s="8">
        <v>13.82</v>
      </c>
      <c r="AE209" s="8">
        <v>15.78</v>
      </c>
      <c r="AF209" s="8">
        <v>16.16</v>
      </c>
      <c r="AG209" s="8">
        <v>14.2</v>
      </c>
      <c r="AH209" s="8">
        <v>13.01</v>
      </c>
      <c r="AI209" s="8">
        <v>13.35</v>
      </c>
      <c r="AJ209" s="8">
        <v>15.76</v>
      </c>
      <c r="AK209" s="8">
        <v>15.03</v>
      </c>
      <c r="AL209" s="8">
        <v>14.97</v>
      </c>
      <c r="AM209" s="8">
        <v>14.98</v>
      </c>
      <c r="AN209" s="8">
        <v>15.42</v>
      </c>
      <c r="AO209" s="8">
        <v>15.17</v>
      </c>
      <c r="AP209" s="8">
        <v>12.8</v>
      </c>
      <c r="AQ209" s="8">
        <v>11.34</v>
      </c>
      <c r="AR209" s="8">
        <v>13.76</v>
      </c>
      <c r="AS209" s="8">
        <v>17.12</v>
      </c>
      <c r="AT209" s="8">
        <v>15.13</v>
      </c>
      <c r="AU209" s="6">
        <v>15.22</v>
      </c>
      <c r="AV209" s="6">
        <v>15.81</v>
      </c>
      <c r="AW209" s="6">
        <v>16.34</v>
      </c>
      <c r="AX209" s="6">
        <v>17.18</v>
      </c>
      <c r="AY209" s="6">
        <v>15.56</v>
      </c>
      <c r="AZ209" s="6">
        <v>15.18</v>
      </c>
      <c r="BA209" s="6">
        <v>13.94</v>
      </c>
      <c r="BB209" s="6">
        <v>13.84</v>
      </c>
      <c r="BC209" s="6">
        <v>15.52</v>
      </c>
      <c r="BD209" s="6">
        <v>14.1</v>
      </c>
      <c r="BE209" s="6">
        <v>13.85</v>
      </c>
      <c r="BF209" s="6">
        <v>14.11</v>
      </c>
      <c r="BG209" s="6">
        <v>15.69</v>
      </c>
      <c r="BH209" s="6">
        <v>13.68</v>
      </c>
      <c r="BI209" s="6">
        <v>13.83</v>
      </c>
      <c r="BJ209" s="6">
        <v>16</v>
      </c>
      <c r="BK209" s="6">
        <v>15.25</v>
      </c>
      <c r="BL209" s="6">
        <v>15.04</v>
      </c>
      <c r="BM209" s="6">
        <v>15.8</v>
      </c>
      <c r="BN209" s="6">
        <v>14.6</v>
      </c>
      <c r="BO209" s="6">
        <v>16.86</v>
      </c>
      <c r="BP209" s="6">
        <v>14.06</v>
      </c>
      <c r="BQ209" s="6">
        <v>14.72</v>
      </c>
      <c r="BR209" s="6">
        <v>12.54</v>
      </c>
      <c r="BS209" s="6">
        <v>15.79</v>
      </c>
      <c r="BT209" s="6">
        <v>15</v>
      </c>
      <c r="BU209" s="6">
        <v>15.68</v>
      </c>
      <c r="BV209" s="6">
        <v>14</v>
      </c>
      <c r="BW209" s="6">
        <v>15.84</v>
      </c>
      <c r="BX209" s="6">
        <v>15.2</v>
      </c>
      <c r="BY209" s="6">
        <v>14.7</v>
      </c>
      <c r="BZ209" s="6">
        <v>13.26</v>
      </c>
      <c r="CA209" s="6">
        <v>15.76</v>
      </c>
      <c r="CB209" s="6">
        <v>15.66</v>
      </c>
      <c r="CC209" s="6">
        <v>15.38</v>
      </c>
      <c r="CD209" s="6">
        <v>13.48</v>
      </c>
      <c r="CE209" s="6">
        <v>13.94</v>
      </c>
      <c r="CF209" s="6">
        <v>14.52</v>
      </c>
      <c r="CG209" s="6">
        <v>15.92</v>
      </c>
      <c r="CH209" s="6">
        <v>16.440000000000001</v>
      </c>
      <c r="CI209" s="6">
        <v>16.920000000000002</v>
      </c>
      <c r="CJ209" s="11">
        <v>15.04</v>
      </c>
      <c r="CK209" s="6">
        <v>13.4</v>
      </c>
      <c r="CL209" s="6">
        <v>15.72</v>
      </c>
      <c r="CM209" s="6">
        <v>16.07</v>
      </c>
      <c r="CN209" s="6">
        <v>14.81</v>
      </c>
      <c r="CO209" s="10">
        <v>16.25</v>
      </c>
      <c r="CP209" s="10"/>
    </row>
    <row r="210" spans="1:94" ht="15.75" customHeight="1" x14ac:dyDescent="0.25">
      <c r="A210" s="4">
        <v>209</v>
      </c>
      <c r="B210" s="4"/>
      <c r="C210" s="4">
        <v>27</v>
      </c>
      <c r="D210" s="8">
        <v>15.03</v>
      </c>
      <c r="E210" s="8">
        <v>14.34</v>
      </c>
      <c r="F210" s="8">
        <v>14.08</v>
      </c>
      <c r="G210" s="8">
        <v>15.83</v>
      </c>
      <c r="H210" s="8">
        <v>13.13</v>
      </c>
      <c r="I210" s="8">
        <v>12.03</v>
      </c>
      <c r="J210" s="8">
        <v>14.12</v>
      </c>
      <c r="K210" s="8">
        <v>15.93</v>
      </c>
      <c r="L210" s="8">
        <v>16.78</v>
      </c>
      <c r="M210" s="8">
        <v>16.04</v>
      </c>
      <c r="N210" s="8">
        <v>15.83</v>
      </c>
      <c r="O210" s="8">
        <v>16.41</v>
      </c>
      <c r="P210" s="8">
        <v>15.19</v>
      </c>
      <c r="Q210" s="8">
        <v>15.66</v>
      </c>
      <c r="R210" s="8">
        <v>14.44</v>
      </c>
      <c r="S210" s="8">
        <v>15.01</v>
      </c>
      <c r="T210" s="8">
        <v>16.84</v>
      </c>
      <c r="U210" s="8">
        <v>15.03</v>
      </c>
      <c r="V210" s="8">
        <v>16.12</v>
      </c>
      <c r="W210" s="8">
        <v>16.350000000000001</v>
      </c>
      <c r="X210" s="8">
        <v>14.3</v>
      </c>
      <c r="Y210" s="8">
        <v>16.149999999999999</v>
      </c>
      <c r="Z210" s="8">
        <v>14.94</v>
      </c>
      <c r="AA210" s="8">
        <v>14.04</v>
      </c>
      <c r="AB210" s="8">
        <v>15.09</v>
      </c>
      <c r="AC210" s="8">
        <v>14.75</v>
      </c>
      <c r="AD210" s="8">
        <v>13.89</v>
      </c>
      <c r="AE210" s="8">
        <v>15.89</v>
      </c>
      <c r="AF210" s="8">
        <v>16.2</v>
      </c>
      <c r="AG210" s="8">
        <v>14.28</v>
      </c>
      <c r="AH210" s="8">
        <v>13.07</v>
      </c>
      <c r="AI210" s="8">
        <v>13.43</v>
      </c>
      <c r="AJ210" s="8">
        <v>15.84</v>
      </c>
      <c r="AK210" s="8">
        <v>15.12</v>
      </c>
      <c r="AL210" s="8">
        <v>14.95</v>
      </c>
      <c r="AM210" s="8">
        <v>15.12</v>
      </c>
      <c r="AN210" s="8">
        <v>15.49</v>
      </c>
      <c r="AO210" s="8">
        <v>15.23</v>
      </c>
      <c r="AP210" s="8">
        <v>12.88</v>
      </c>
      <c r="AQ210" s="8">
        <v>11.48</v>
      </c>
      <c r="AR210" s="8">
        <v>13.84</v>
      </c>
      <c r="AS210" s="8">
        <v>17.21</v>
      </c>
      <c r="AT210" s="8">
        <v>15.19</v>
      </c>
      <c r="AU210" s="6">
        <v>15.18</v>
      </c>
      <c r="AV210" s="6">
        <v>15.72</v>
      </c>
      <c r="AW210" s="6">
        <v>16.37</v>
      </c>
      <c r="AX210" s="6">
        <v>17.21</v>
      </c>
      <c r="AY210" s="6">
        <v>15.6</v>
      </c>
      <c r="AZ210" s="6">
        <v>15.26</v>
      </c>
      <c r="BA210" s="6">
        <v>14.06</v>
      </c>
      <c r="BB210" s="6">
        <v>13.89</v>
      </c>
      <c r="BC210" s="6">
        <v>15.67</v>
      </c>
      <c r="BD210" s="6">
        <v>14.2</v>
      </c>
      <c r="BE210" s="6">
        <v>14.03</v>
      </c>
      <c r="BF210" s="6">
        <v>14.19</v>
      </c>
      <c r="BG210" s="6">
        <v>15.81</v>
      </c>
      <c r="BH210" s="6">
        <v>13.78</v>
      </c>
      <c r="BI210" s="6">
        <v>13.9</v>
      </c>
      <c r="BJ210" s="6">
        <v>16.079999999999998</v>
      </c>
      <c r="BK210" s="6">
        <v>15.3</v>
      </c>
      <c r="BL210" s="6">
        <v>15.18</v>
      </c>
      <c r="BM210" s="6">
        <v>15.88</v>
      </c>
      <c r="BN210" s="6">
        <v>14.7</v>
      </c>
      <c r="BO210" s="6">
        <v>16.850000000000001</v>
      </c>
      <c r="BP210" s="6">
        <v>14.04</v>
      </c>
      <c r="BQ210" s="6">
        <v>14.79</v>
      </c>
      <c r="BR210" s="6">
        <v>12.56</v>
      </c>
      <c r="BS210" s="6">
        <v>15.82</v>
      </c>
      <c r="BT210" s="6">
        <v>15.05</v>
      </c>
      <c r="BU210" s="6">
        <v>15.72</v>
      </c>
      <c r="BV210" s="6">
        <v>14</v>
      </c>
      <c r="BW210" s="6">
        <v>15.88</v>
      </c>
      <c r="BX210" s="6">
        <v>15.26</v>
      </c>
      <c r="BY210" s="6">
        <v>14.76</v>
      </c>
      <c r="BZ210" s="6">
        <v>13.28</v>
      </c>
      <c r="CA210" s="6">
        <v>15.78</v>
      </c>
      <c r="CB210" s="6">
        <v>15.7</v>
      </c>
      <c r="CC210" s="6">
        <v>15.4</v>
      </c>
      <c r="CD210" s="6">
        <v>13.5</v>
      </c>
      <c r="CE210" s="6">
        <v>14</v>
      </c>
      <c r="CF210" s="6">
        <v>14.5</v>
      </c>
      <c r="CG210" s="6">
        <v>16</v>
      </c>
      <c r="CH210" s="6">
        <v>16.579999999999998</v>
      </c>
      <c r="CI210" s="6">
        <v>17.04</v>
      </c>
      <c r="CJ210" s="11">
        <v>15.08</v>
      </c>
      <c r="CK210" s="6">
        <v>13.44</v>
      </c>
      <c r="CL210" s="6">
        <v>15.78</v>
      </c>
      <c r="CM210" s="6">
        <v>16.079999999999998</v>
      </c>
      <c r="CN210" s="6">
        <v>14.89</v>
      </c>
      <c r="CO210" s="10">
        <v>16.3</v>
      </c>
      <c r="CP210" s="10"/>
    </row>
    <row r="211" spans="1:94" ht="15.75" customHeight="1" x14ac:dyDescent="0.25">
      <c r="A211" s="4">
        <v>210</v>
      </c>
      <c r="B211" s="4"/>
      <c r="C211" s="4">
        <v>28</v>
      </c>
      <c r="D211" s="8">
        <v>15.08</v>
      </c>
      <c r="E211" s="8">
        <v>14.32</v>
      </c>
      <c r="F211" s="8">
        <v>14.18</v>
      </c>
      <c r="G211" s="8">
        <v>15.88</v>
      </c>
      <c r="H211" s="8">
        <v>13.18</v>
      </c>
      <c r="I211" s="8">
        <v>12.08</v>
      </c>
      <c r="J211" s="8">
        <v>14.15</v>
      </c>
      <c r="K211" s="8">
        <v>15.97</v>
      </c>
      <c r="L211" s="8">
        <v>16.87</v>
      </c>
      <c r="M211" s="8">
        <v>16.11</v>
      </c>
      <c r="N211" s="8">
        <v>15.93</v>
      </c>
      <c r="O211" s="8">
        <v>16.489999999999998</v>
      </c>
      <c r="P211" s="8">
        <v>15.27</v>
      </c>
      <c r="Q211" s="8">
        <v>15.66</v>
      </c>
      <c r="R211" s="8">
        <v>14.52</v>
      </c>
      <c r="S211" s="8">
        <v>15.06</v>
      </c>
      <c r="T211" s="8">
        <v>16.989999999999998</v>
      </c>
      <c r="U211" s="8">
        <v>15.11</v>
      </c>
      <c r="V211" s="8">
        <v>16.170000000000002</v>
      </c>
      <c r="W211" s="8">
        <v>16.39</v>
      </c>
      <c r="X211" s="8">
        <v>14.34</v>
      </c>
      <c r="Y211" s="8">
        <v>16.2</v>
      </c>
      <c r="Z211" s="8">
        <v>15.05</v>
      </c>
      <c r="AA211" s="8">
        <v>14.04</v>
      </c>
      <c r="AB211" s="8">
        <v>15.2</v>
      </c>
      <c r="AC211" s="8">
        <v>14.85</v>
      </c>
      <c r="AD211" s="8">
        <v>13.96</v>
      </c>
      <c r="AE211" s="8">
        <v>15.93</v>
      </c>
      <c r="AF211" s="8">
        <v>16.25</v>
      </c>
      <c r="AG211" s="8">
        <v>14.38</v>
      </c>
      <c r="AH211" s="8">
        <v>13.13</v>
      </c>
      <c r="AI211" s="8">
        <v>13.51</v>
      </c>
      <c r="AJ211" s="8">
        <v>15.91</v>
      </c>
      <c r="AK211" s="8">
        <v>15.21</v>
      </c>
      <c r="AL211" s="8">
        <v>14.98</v>
      </c>
      <c r="AM211" s="8">
        <v>15.16</v>
      </c>
      <c r="AN211" s="8">
        <v>15.53</v>
      </c>
      <c r="AO211" s="8">
        <v>15.31</v>
      </c>
      <c r="AP211" s="8">
        <v>12.93</v>
      </c>
      <c r="AQ211" s="8">
        <v>11.58</v>
      </c>
      <c r="AR211" s="8">
        <v>13.94</v>
      </c>
      <c r="AS211" s="8">
        <v>17.309999999999999</v>
      </c>
      <c r="AT211" s="8">
        <v>15.23</v>
      </c>
      <c r="AU211" s="6">
        <v>15.15</v>
      </c>
      <c r="AV211" s="6">
        <v>15.72</v>
      </c>
      <c r="AW211" s="6">
        <v>16.39</v>
      </c>
      <c r="AX211" s="6">
        <v>17.23</v>
      </c>
      <c r="AY211" s="6">
        <v>15.59</v>
      </c>
      <c r="AZ211" s="6">
        <v>15.31</v>
      </c>
      <c r="BA211" s="6">
        <v>14.14</v>
      </c>
      <c r="BB211" s="6">
        <v>13.97</v>
      </c>
      <c r="BC211" s="6">
        <v>15.78</v>
      </c>
      <c r="BD211" s="6">
        <v>14.28</v>
      </c>
      <c r="BE211" s="6">
        <v>14.15</v>
      </c>
      <c r="BF211" s="6">
        <v>14.3</v>
      </c>
      <c r="BG211" s="6">
        <v>15.89</v>
      </c>
      <c r="BH211" s="6">
        <v>13.88</v>
      </c>
      <c r="BI211" s="6">
        <v>14</v>
      </c>
      <c r="BJ211" s="6">
        <v>16.079999999999998</v>
      </c>
      <c r="BK211" s="6">
        <v>15.34</v>
      </c>
      <c r="BL211" s="6">
        <v>15.28</v>
      </c>
      <c r="BM211" s="6">
        <v>15.92</v>
      </c>
      <c r="BN211" s="6">
        <v>14.8</v>
      </c>
      <c r="BO211" s="6">
        <v>16.84</v>
      </c>
      <c r="BP211" s="6">
        <v>14.18</v>
      </c>
      <c r="BQ211" s="6">
        <v>14.86</v>
      </c>
      <c r="BR211" s="6">
        <v>12.55</v>
      </c>
      <c r="BS211" s="6">
        <v>15.86</v>
      </c>
      <c r="BT211" s="6">
        <v>15.15</v>
      </c>
      <c r="BU211" s="6">
        <v>15.76</v>
      </c>
      <c r="BV211" s="6">
        <v>14.02</v>
      </c>
      <c r="BW211" s="6">
        <v>15.86</v>
      </c>
      <c r="BX211" s="6">
        <v>15.36</v>
      </c>
      <c r="BY211" s="6">
        <v>14.82</v>
      </c>
      <c r="BZ211" s="6">
        <v>13.3</v>
      </c>
      <c r="CA211" s="6">
        <v>15.84</v>
      </c>
      <c r="CB211" s="6">
        <v>15.74</v>
      </c>
      <c r="CC211" s="6">
        <v>15.4</v>
      </c>
      <c r="CD211" s="6">
        <v>13.66</v>
      </c>
      <c r="CE211" s="6">
        <v>14.12</v>
      </c>
      <c r="CF211" s="6">
        <v>14.68</v>
      </c>
      <c r="CG211" s="6">
        <v>16.02</v>
      </c>
      <c r="CH211" s="6">
        <v>16.66</v>
      </c>
      <c r="CI211" s="6">
        <v>17.16</v>
      </c>
      <c r="CJ211" s="11">
        <v>15.12</v>
      </c>
      <c r="CK211" s="6">
        <v>13.5</v>
      </c>
      <c r="CL211" s="6">
        <v>15.82</v>
      </c>
      <c r="CM211" s="6">
        <v>16.09</v>
      </c>
      <c r="CN211" s="6">
        <v>14.98</v>
      </c>
      <c r="CO211" s="10">
        <v>16.36</v>
      </c>
      <c r="CP211" s="10"/>
    </row>
    <row r="212" spans="1:94" ht="15.75" customHeight="1" x14ac:dyDescent="0.25">
      <c r="A212" s="4">
        <v>211</v>
      </c>
      <c r="B212" s="4"/>
      <c r="C212" s="4">
        <v>29</v>
      </c>
      <c r="D212" s="8">
        <v>15.18</v>
      </c>
      <c r="E212" s="8">
        <v>14.3</v>
      </c>
      <c r="F212" s="8">
        <v>14.28</v>
      </c>
      <c r="G212" s="8">
        <v>15.93</v>
      </c>
      <c r="H212" s="8">
        <v>13.23</v>
      </c>
      <c r="I212" s="8">
        <v>12.13</v>
      </c>
      <c r="J212" s="8">
        <v>14.16</v>
      </c>
      <c r="K212" s="8">
        <v>16.010000000000002</v>
      </c>
      <c r="L212" s="8">
        <v>16.98</v>
      </c>
      <c r="M212" s="8">
        <v>16.190000000000001</v>
      </c>
      <c r="N212" s="8">
        <v>16.03</v>
      </c>
      <c r="O212" s="8">
        <v>16.54</v>
      </c>
      <c r="P212" s="8">
        <v>15.38</v>
      </c>
      <c r="Q212" s="8">
        <v>15.67</v>
      </c>
      <c r="R212" s="8">
        <v>14.59</v>
      </c>
      <c r="S212" s="8">
        <v>15.16</v>
      </c>
      <c r="T212" s="8">
        <v>17.100000000000001</v>
      </c>
      <c r="U212" s="8">
        <v>15.21</v>
      </c>
      <c r="V212" s="8">
        <v>16.2</v>
      </c>
      <c r="W212" s="8">
        <v>16.48</v>
      </c>
      <c r="X212" s="8">
        <v>14.42</v>
      </c>
      <c r="Y212" s="8">
        <v>16.27</v>
      </c>
      <c r="Z212" s="8">
        <v>15.15</v>
      </c>
      <c r="AA212" s="8">
        <v>14.02</v>
      </c>
      <c r="AB212" s="8">
        <v>15.25</v>
      </c>
      <c r="AC212" s="8">
        <v>14.93</v>
      </c>
      <c r="AD212" s="8">
        <v>14.03</v>
      </c>
      <c r="AE212" s="8">
        <v>16.04</v>
      </c>
      <c r="AF212" s="8">
        <v>16.27</v>
      </c>
      <c r="AG212" s="8">
        <v>14.48</v>
      </c>
      <c r="AH212" s="8">
        <v>13.19</v>
      </c>
      <c r="AI212" s="8">
        <v>13.55</v>
      </c>
      <c r="AJ212" s="8">
        <v>15.96</v>
      </c>
      <c r="AK212" s="8">
        <v>15.27</v>
      </c>
      <c r="AL212" s="8">
        <v>14.97</v>
      </c>
      <c r="AM212" s="8">
        <v>15.23</v>
      </c>
      <c r="AN212" s="8">
        <v>15.58</v>
      </c>
      <c r="AO212" s="8">
        <v>15.38</v>
      </c>
      <c r="AP212" s="8">
        <v>12.97</v>
      </c>
      <c r="AQ212" s="8">
        <v>11.7</v>
      </c>
      <c r="AR212" s="8">
        <v>13.97</v>
      </c>
      <c r="AS212" s="8">
        <v>17.41</v>
      </c>
      <c r="AT212" s="8">
        <v>15.26</v>
      </c>
      <c r="AU212" s="6">
        <v>15.14</v>
      </c>
      <c r="AV212" s="6">
        <v>15.69</v>
      </c>
      <c r="AW212" s="6">
        <v>16.440000000000001</v>
      </c>
      <c r="AX212" s="6">
        <v>17.23</v>
      </c>
      <c r="AY212" s="6">
        <v>15.61</v>
      </c>
      <c r="AZ212" s="6">
        <v>15.35</v>
      </c>
      <c r="BA212" s="6">
        <v>14.21</v>
      </c>
      <c r="BB212" s="6">
        <v>14.06</v>
      </c>
      <c r="BC212" s="6">
        <v>15.9</v>
      </c>
      <c r="BD212" s="6">
        <v>14.38</v>
      </c>
      <c r="BE212" s="6">
        <v>14.27</v>
      </c>
      <c r="BF212" s="6">
        <v>14.39</v>
      </c>
      <c r="BG212" s="6">
        <v>16</v>
      </c>
      <c r="BH212" s="6">
        <v>13.93</v>
      </c>
      <c r="BI212" s="6">
        <v>14.09</v>
      </c>
      <c r="BJ212" s="6">
        <v>16.079999999999998</v>
      </c>
      <c r="BK212" s="6">
        <v>15.4</v>
      </c>
      <c r="BL212" s="6">
        <v>15.38</v>
      </c>
      <c r="BM212" s="6">
        <v>16</v>
      </c>
      <c r="BN212" s="6">
        <v>14.9</v>
      </c>
      <c r="BO212" s="6">
        <v>16.86</v>
      </c>
      <c r="BP212" s="6">
        <v>14.2</v>
      </c>
      <c r="BQ212" s="6">
        <v>15</v>
      </c>
      <c r="BR212" s="6">
        <v>12.55</v>
      </c>
      <c r="BS212" s="6">
        <v>15.9</v>
      </c>
      <c r="BT212" s="6">
        <v>15.32</v>
      </c>
      <c r="BU212" s="6">
        <v>15.8</v>
      </c>
      <c r="BV212" s="6">
        <v>14.1</v>
      </c>
      <c r="BW212" s="6">
        <v>15.92</v>
      </c>
      <c r="BX212" s="6">
        <v>15.4</v>
      </c>
      <c r="BY212" s="6">
        <v>14.88</v>
      </c>
      <c r="BZ212" s="6">
        <v>13.32</v>
      </c>
      <c r="CA212" s="6">
        <v>15.9</v>
      </c>
      <c r="CB212" s="6">
        <v>15.8</v>
      </c>
      <c r="CC212" s="6">
        <v>15.42</v>
      </c>
      <c r="CD212" s="6">
        <v>13.7</v>
      </c>
      <c r="CE212" s="6">
        <v>14.2</v>
      </c>
      <c r="CF212" s="6">
        <v>14.78</v>
      </c>
      <c r="CG212" s="6">
        <v>16.079999999999998</v>
      </c>
      <c r="CH212" s="6">
        <v>16.760000000000002</v>
      </c>
      <c r="CI212" s="6">
        <v>17.239999999999998</v>
      </c>
      <c r="CJ212" s="11">
        <v>15.22</v>
      </c>
      <c r="CK212" s="6">
        <v>13.58</v>
      </c>
      <c r="CL212" s="6">
        <v>15.88</v>
      </c>
      <c r="CM212" s="6">
        <v>16.100000000000001</v>
      </c>
      <c r="CN212" s="6">
        <v>15.04</v>
      </c>
      <c r="CO212" s="10">
        <v>16.440000000000001</v>
      </c>
      <c r="CP212" s="10"/>
    </row>
    <row r="213" spans="1:94" ht="15.75" customHeight="1" x14ac:dyDescent="0.25">
      <c r="A213" s="4">
        <v>212</v>
      </c>
      <c r="B213" s="4"/>
      <c r="C213" s="4">
        <v>30</v>
      </c>
      <c r="D213" s="8">
        <v>15.23</v>
      </c>
      <c r="E213" s="8">
        <v>14.28</v>
      </c>
      <c r="F213" s="8">
        <v>14.48</v>
      </c>
      <c r="G213" s="8">
        <v>15.98</v>
      </c>
      <c r="H213" s="8">
        <v>13.28</v>
      </c>
      <c r="I213" s="8">
        <v>12.18</v>
      </c>
      <c r="J213" s="8">
        <v>14.16</v>
      </c>
      <c r="K213" s="8">
        <v>16.02</v>
      </c>
      <c r="L213" s="8">
        <v>17.079999999999998</v>
      </c>
      <c r="M213" s="8">
        <v>16.27</v>
      </c>
      <c r="N213" s="8">
        <v>16.12</v>
      </c>
      <c r="O213" s="8">
        <v>16.54</v>
      </c>
      <c r="P213" s="8">
        <v>15.45</v>
      </c>
      <c r="Q213" s="8">
        <v>15.72</v>
      </c>
      <c r="R213" s="8">
        <v>14.65</v>
      </c>
      <c r="S213" s="8">
        <v>15.26</v>
      </c>
      <c r="T213" s="8">
        <v>17.239999999999998</v>
      </c>
      <c r="U213" s="8">
        <v>15.36</v>
      </c>
      <c r="V213" s="8">
        <v>16.23</v>
      </c>
      <c r="W213" s="8">
        <v>16.5</v>
      </c>
      <c r="X213" s="8">
        <v>14.5</v>
      </c>
      <c r="Y213" s="8">
        <v>16.29</v>
      </c>
      <c r="Z213" s="8">
        <v>15.23</v>
      </c>
      <c r="AA213" s="8">
        <v>14.02</v>
      </c>
      <c r="AB213" s="8">
        <v>15.33</v>
      </c>
      <c r="AC213" s="8">
        <v>14.99</v>
      </c>
      <c r="AD213" s="8">
        <v>14.09</v>
      </c>
      <c r="AE213" s="8">
        <v>16.149999999999999</v>
      </c>
      <c r="AF213" s="8">
        <v>16.28</v>
      </c>
      <c r="AG213" s="8">
        <v>14.58</v>
      </c>
      <c r="AH213" s="8">
        <v>13.25</v>
      </c>
      <c r="AI213" s="8">
        <v>13.59</v>
      </c>
      <c r="AJ213" s="8">
        <v>15.98</v>
      </c>
      <c r="AK213" s="8">
        <v>15.32</v>
      </c>
      <c r="AL213" s="8">
        <v>14.93</v>
      </c>
      <c r="AM213" s="8">
        <v>15.28</v>
      </c>
      <c r="AN213" s="8">
        <v>15.61</v>
      </c>
      <c r="AO213" s="8">
        <v>15.48</v>
      </c>
      <c r="AP213" s="8">
        <v>12.98</v>
      </c>
      <c r="AQ213" s="8">
        <v>11.82</v>
      </c>
      <c r="AR213" s="8">
        <v>13.96</v>
      </c>
      <c r="AS213" s="8">
        <v>17.53</v>
      </c>
      <c r="AT213" s="8">
        <v>15.3</v>
      </c>
      <c r="AU213" s="6">
        <v>15.17</v>
      </c>
      <c r="AV213" s="6">
        <v>15.67</v>
      </c>
      <c r="AW213" s="6">
        <v>16.45</v>
      </c>
      <c r="AX213" s="6">
        <v>17.260000000000002</v>
      </c>
      <c r="AY213" s="6">
        <v>15.68</v>
      </c>
      <c r="AZ213" s="6">
        <v>15.38</v>
      </c>
      <c r="BA213" s="6">
        <v>14.27</v>
      </c>
      <c r="BB213" s="6">
        <v>14.11</v>
      </c>
      <c r="BC213" s="6">
        <v>16</v>
      </c>
      <c r="BD213" s="6">
        <v>14.42</v>
      </c>
      <c r="BE213" s="6">
        <v>14.34</v>
      </c>
      <c r="BF213" s="6">
        <v>14.43</v>
      </c>
      <c r="BG213" s="6">
        <v>16.04</v>
      </c>
      <c r="BH213" s="6">
        <v>13.97</v>
      </c>
      <c r="BI213" s="6">
        <v>14.18</v>
      </c>
      <c r="BJ213" s="6">
        <v>16.07</v>
      </c>
      <c r="BK213" s="6">
        <v>15.4</v>
      </c>
      <c r="BL213" s="6">
        <v>15.48</v>
      </c>
      <c r="BM213" s="6">
        <v>16.079999999999998</v>
      </c>
      <c r="BN213" s="6">
        <v>15.02</v>
      </c>
      <c r="BO213" s="6">
        <v>16.899999999999999</v>
      </c>
      <c r="BP213" s="6">
        <v>14.26</v>
      </c>
      <c r="BQ213" s="6">
        <v>15.04</v>
      </c>
      <c r="BR213" s="6">
        <v>12.55</v>
      </c>
      <c r="BS213" s="6">
        <v>15.92</v>
      </c>
      <c r="BT213" s="6">
        <v>15.35</v>
      </c>
      <c r="BU213" s="6">
        <v>15.86</v>
      </c>
      <c r="BV213" s="6">
        <v>14.1</v>
      </c>
      <c r="BW213" s="6">
        <v>15.98</v>
      </c>
      <c r="BX213" s="6">
        <v>15.58</v>
      </c>
      <c r="BY213" s="6">
        <v>15.06</v>
      </c>
      <c r="BZ213" s="6">
        <v>13.36</v>
      </c>
      <c r="CA213" s="6">
        <v>15.95</v>
      </c>
      <c r="CB213" s="6">
        <v>15.84</v>
      </c>
      <c r="CC213" s="6">
        <v>15.4</v>
      </c>
      <c r="CD213" s="6">
        <v>13.9</v>
      </c>
      <c r="CE213" s="6">
        <v>14.3</v>
      </c>
      <c r="CF213" s="6">
        <v>14.86</v>
      </c>
      <c r="CG213" s="6">
        <v>16.18</v>
      </c>
      <c r="CH213" s="6">
        <v>16.86</v>
      </c>
      <c r="CI213" s="6">
        <v>17.3</v>
      </c>
      <c r="CJ213" s="11">
        <v>15.3</v>
      </c>
      <c r="CK213" s="6">
        <v>13.68</v>
      </c>
      <c r="CL213" s="6">
        <v>15.94</v>
      </c>
      <c r="CM213" s="6">
        <v>16.170000000000002</v>
      </c>
      <c r="CN213" s="6">
        <v>15.09</v>
      </c>
      <c r="CO213" s="10">
        <v>16.52</v>
      </c>
      <c r="CP213" s="10"/>
    </row>
    <row r="214" spans="1:94" ht="15.75" customHeight="1" x14ac:dyDescent="0.25">
      <c r="A214" s="4">
        <v>213</v>
      </c>
      <c r="B214" s="4"/>
      <c r="C214" s="4">
        <v>31</v>
      </c>
      <c r="D214" s="8">
        <v>15.28</v>
      </c>
      <c r="E214" s="8">
        <v>14.28</v>
      </c>
      <c r="F214" s="8">
        <v>14.68</v>
      </c>
      <c r="G214" s="8">
        <v>16.03</v>
      </c>
      <c r="H214" s="8">
        <v>13.38</v>
      </c>
      <c r="I214" s="8">
        <v>12.23</v>
      </c>
      <c r="J214" s="8">
        <v>14.17</v>
      </c>
      <c r="K214" s="8">
        <v>15.99</v>
      </c>
      <c r="L214" s="8">
        <v>17.12</v>
      </c>
      <c r="M214" s="8">
        <v>16.32</v>
      </c>
      <c r="N214" s="8">
        <v>16.2</v>
      </c>
      <c r="O214" s="8">
        <v>16.579999999999998</v>
      </c>
      <c r="P214" s="8">
        <v>15.57</v>
      </c>
      <c r="Q214" s="8">
        <v>15.75</v>
      </c>
      <c r="R214" s="8">
        <v>14.71</v>
      </c>
      <c r="S214" s="8">
        <v>15.36</v>
      </c>
      <c r="T214" s="8">
        <v>17.34</v>
      </c>
      <c r="U214" s="8">
        <v>15.45</v>
      </c>
      <c r="V214" s="8">
        <v>16.260000000000002</v>
      </c>
      <c r="W214" s="8">
        <v>16.54</v>
      </c>
      <c r="X214" s="8">
        <v>14.58</v>
      </c>
      <c r="Y214" s="8">
        <v>16.29</v>
      </c>
      <c r="Z214" s="8">
        <v>15.29</v>
      </c>
      <c r="AA214" s="8">
        <v>13.98</v>
      </c>
      <c r="AB214" s="8">
        <v>15.37</v>
      </c>
      <c r="AC214" s="8">
        <v>15.02</v>
      </c>
      <c r="AD214" s="8">
        <v>14.21</v>
      </c>
      <c r="AE214" s="8">
        <v>16.2</v>
      </c>
      <c r="AF214" s="8">
        <v>16.309999999999999</v>
      </c>
      <c r="AG214" s="8">
        <v>14.66</v>
      </c>
      <c r="AH214" s="8">
        <v>13.32</v>
      </c>
      <c r="AI214" s="8">
        <v>13.68</v>
      </c>
      <c r="AJ214" s="8">
        <v>16.02</v>
      </c>
      <c r="AK214" s="8">
        <v>15.4</v>
      </c>
      <c r="AL214" s="8">
        <v>14.91</v>
      </c>
      <c r="AM214" s="8">
        <v>15.31</v>
      </c>
      <c r="AN214" s="8">
        <v>15.64</v>
      </c>
      <c r="AO214" s="8">
        <v>15.58</v>
      </c>
      <c r="AP214" s="8">
        <v>12.96</v>
      </c>
      <c r="AQ214" s="8">
        <v>11.94</v>
      </c>
      <c r="AR214" s="8">
        <v>13.92</v>
      </c>
      <c r="AS214" s="8">
        <v>17.690000000000001</v>
      </c>
      <c r="AT214" s="8">
        <v>15.33</v>
      </c>
      <c r="AU214" s="6">
        <v>15.18</v>
      </c>
      <c r="AV214" s="6">
        <v>15.65</v>
      </c>
      <c r="AW214" s="6">
        <v>16.43</v>
      </c>
      <c r="AX214" s="6">
        <v>17.27</v>
      </c>
      <c r="AY214" s="6">
        <v>15.77</v>
      </c>
      <c r="AZ214" s="6">
        <v>15.36</v>
      </c>
      <c r="BA214" s="6">
        <v>14.35</v>
      </c>
      <c r="BB214" s="6">
        <v>14.19</v>
      </c>
      <c r="BC214" s="6">
        <v>16.07</v>
      </c>
      <c r="BD214" s="6">
        <v>14.48</v>
      </c>
      <c r="BE214" s="6">
        <v>14.36</v>
      </c>
      <c r="BF214" s="6">
        <v>14.46</v>
      </c>
      <c r="BG214" s="6">
        <v>16.12</v>
      </c>
      <c r="BH214" s="6">
        <v>14.02</v>
      </c>
      <c r="BI214" s="6">
        <v>14.29</v>
      </c>
      <c r="BJ214" s="6">
        <v>16.07</v>
      </c>
      <c r="BK214" s="6">
        <v>15.46</v>
      </c>
      <c r="BL214" s="6">
        <v>15.5</v>
      </c>
      <c r="BM214" s="6">
        <v>16.14</v>
      </c>
      <c r="BN214" s="6">
        <v>15.06</v>
      </c>
      <c r="BO214" s="6">
        <v>16.940000000000001</v>
      </c>
      <c r="BP214" s="6">
        <v>14.32</v>
      </c>
      <c r="BQ214" s="6">
        <v>15.15</v>
      </c>
      <c r="BR214" s="6">
        <v>12.56</v>
      </c>
      <c r="BS214" s="6">
        <v>16</v>
      </c>
      <c r="BT214" s="6">
        <v>15.35</v>
      </c>
      <c r="BU214" s="6">
        <v>15.9</v>
      </c>
      <c r="BV214" s="6">
        <v>14.18</v>
      </c>
      <c r="BW214" s="6">
        <v>16.059999999999999</v>
      </c>
      <c r="BX214" s="6">
        <v>15.54</v>
      </c>
      <c r="BY214" s="6">
        <v>15.15</v>
      </c>
      <c r="BZ214" s="6">
        <v>13.38</v>
      </c>
      <c r="CA214" s="6">
        <v>16.02</v>
      </c>
      <c r="CB214" s="6">
        <v>16</v>
      </c>
      <c r="CC214" s="6">
        <v>15.44</v>
      </c>
      <c r="CD214" s="6">
        <v>14</v>
      </c>
      <c r="CE214" s="6">
        <v>14.44</v>
      </c>
      <c r="CF214" s="6">
        <v>14.9</v>
      </c>
      <c r="CG214" s="6">
        <v>16.2</v>
      </c>
      <c r="CH214" s="6">
        <v>16.96</v>
      </c>
      <c r="CI214" s="6">
        <v>17.32</v>
      </c>
      <c r="CJ214" s="11">
        <v>15.38</v>
      </c>
      <c r="CK214" s="6">
        <v>13.74</v>
      </c>
      <c r="CL214" s="6">
        <v>16</v>
      </c>
      <c r="CM214" s="6">
        <v>16.25</v>
      </c>
      <c r="CN214" s="6">
        <v>15.14</v>
      </c>
      <c r="CO214" s="10">
        <v>16.600000000000001</v>
      </c>
      <c r="CP214" s="10"/>
    </row>
    <row r="215" spans="1:94" ht="15.75" customHeight="1" x14ac:dyDescent="0.25">
      <c r="A215" s="4">
        <v>214</v>
      </c>
      <c r="B215" s="5" t="s">
        <v>11</v>
      </c>
      <c r="C215" s="4">
        <v>1</v>
      </c>
      <c r="D215" s="8">
        <v>15.33</v>
      </c>
      <c r="E215" s="8">
        <v>14.28</v>
      </c>
      <c r="F215" s="8">
        <v>14.78</v>
      </c>
      <c r="G215" s="8">
        <v>16.079999999999998</v>
      </c>
      <c r="H215" s="8">
        <v>13.43</v>
      </c>
      <c r="I215" s="8">
        <v>12.28</v>
      </c>
      <c r="J215" s="8">
        <v>14.19</v>
      </c>
      <c r="K215" s="8">
        <v>15.98</v>
      </c>
      <c r="L215" s="8">
        <v>17.23</v>
      </c>
      <c r="M215" s="8">
        <v>16.32</v>
      </c>
      <c r="N215" s="8">
        <v>16.25</v>
      </c>
      <c r="O215" s="8">
        <v>16.61</v>
      </c>
      <c r="P215" s="8">
        <v>15.69</v>
      </c>
      <c r="Q215" s="8">
        <v>15.81</v>
      </c>
      <c r="R215" s="8">
        <v>14.78</v>
      </c>
      <c r="S215" s="8">
        <v>15.51</v>
      </c>
      <c r="T215" s="8">
        <v>17.39</v>
      </c>
      <c r="U215" s="8">
        <v>15.51</v>
      </c>
      <c r="V215" s="8">
        <v>16.32</v>
      </c>
      <c r="W215" s="8">
        <v>16.57</v>
      </c>
      <c r="X215" s="8">
        <v>14.66</v>
      </c>
      <c r="Y215" s="8">
        <v>16.309999999999999</v>
      </c>
      <c r="Z215" s="8">
        <v>15.32</v>
      </c>
      <c r="AA215" s="8">
        <v>13.94</v>
      </c>
      <c r="AB215" s="8">
        <v>15.43</v>
      </c>
      <c r="AC215" s="8">
        <v>15.05</v>
      </c>
      <c r="AD215" s="8">
        <v>14.33</v>
      </c>
      <c r="AE215" s="8">
        <v>16.27</v>
      </c>
      <c r="AF215" s="8">
        <v>16.329999999999998</v>
      </c>
      <c r="AG215" s="8">
        <v>14.72</v>
      </c>
      <c r="AH215" s="8">
        <v>13.39</v>
      </c>
      <c r="AI215" s="8">
        <v>13.79</v>
      </c>
      <c r="AJ215" s="8">
        <v>16.04</v>
      </c>
      <c r="AK215" s="8">
        <v>15.45</v>
      </c>
      <c r="AL215" s="8">
        <v>14.89</v>
      </c>
      <c r="AM215" s="8">
        <v>15.32</v>
      </c>
      <c r="AN215" s="8">
        <v>15.66</v>
      </c>
      <c r="AO215" s="8">
        <v>15.67</v>
      </c>
      <c r="AP215" s="8">
        <v>12.93</v>
      </c>
      <c r="AQ215" s="8">
        <v>12.06</v>
      </c>
      <c r="AR215" s="8">
        <v>13.94</v>
      </c>
      <c r="AS215" s="8">
        <v>17.79</v>
      </c>
      <c r="AT215" s="8">
        <v>15.37</v>
      </c>
      <c r="AU215" s="6">
        <v>15.21</v>
      </c>
      <c r="AV215" s="6">
        <v>15.67</v>
      </c>
      <c r="AW215" s="6">
        <v>16.45</v>
      </c>
      <c r="AX215" s="6">
        <v>17.28</v>
      </c>
      <c r="AY215" s="6">
        <v>15.84</v>
      </c>
      <c r="AZ215" s="6">
        <v>15.39</v>
      </c>
      <c r="BA215" s="6">
        <v>14.43</v>
      </c>
      <c r="BB215" s="6">
        <v>14.25</v>
      </c>
      <c r="BC215" s="6">
        <v>16.149999999999999</v>
      </c>
      <c r="BD215" s="6">
        <v>14.48</v>
      </c>
      <c r="BE215" s="6">
        <v>14.38</v>
      </c>
      <c r="BF215" s="6">
        <v>14.47</v>
      </c>
      <c r="BG215" s="6">
        <v>16.2</v>
      </c>
      <c r="BH215" s="6">
        <v>14.07</v>
      </c>
      <c r="BI215" s="6">
        <v>14.4</v>
      </c>
      <c r="BJ215" s="6">
        <v>16.07</v>
      </c>
      <c r="BK215" s="6">
        <v>15.53</v>
      </c>
      <c r="BL215" s="6">
        <v>15.52</v>
      </c>
      <c r="BM215" s="6">
        <v>16.22</v>
      </c>
      <c r="BN215" s="6">
        <v>15.07</v>
      </c>
      <c r="BO215" s="6">
        <v>16.96</v>
      </c>
      <c r="BP215" s="6">
        <v>14.42</v>
      </c>
      <c r="BQ215" s="6">
        <v>15.24</v>
      </c>
      <c r="BR215" s="6">
        <v>12.6</v>
      </c>
      <c r="BS215" s="6">
        <v>16.04</v>
      </c>
      <c r="BT215" s="6">
        <v>15.46</v>
      </c>
      <c r="BU215" s="6">
        <v>16</v>
      </c>
      <c r="BV215" s="6">
        <v>14.22</v>
      </c>
      <c r="BW215" s="6">
        <v>16.14</v>
      </c>
      <c r="BX215" s="6">
        <v>15.58</v>
      </c>
      <c r="BY215" s="6">
        <v>15.21</v>
      </c>
      <c r="BZ215" s="6">
        <v>13.48</v>
      </c>
      <c r="CA215" s="6">
        <v>16.059999999999999</v>
      </c>
      <c r="CB215" s="6">
        <v>16.100000000000001</v>
      </c>
      <c r="CC215" s="6">
        <v>15.52</v>
      </c>
      <c r="CD215" s="6">
        <v>14.08</v>
      </c>
      <c r="CE215" s="6">
        <v>14.52</v>
      </c>
      <c r="CF215" s="6">
        <v>14.96</v>
      </c>
      <c r="CG215" s="6">
        <v>16.3</v>
      </c>
      <c r="CH215" s="6">
        <v>17.02</v>
      </c>
      <c r="CI215" s="6">
        <v>17.399999999999999</v>
      </c>
      <c r="CJ215" s="11">
        <v>15.4</v>
      </c>
      <c r="CK215" s="6">
        <v>13.84</v>
      </c>
      <c r="CL215" s="6">
        <v>16.059999999999999</v>
      </c>
      <c r="CM215" s="6">
        <v>16.37</v>
      </c>
      <c r="CN215" s="6">
        <v>15.24</v>
      </c>
      <c r="CO215" s="10">
        <v>16.68</v>
      </c>
      <c r="CP215" s="10"/>
    </row>
    <row r="216" spans="1:94" ht="15.75" customHeight="1" x14ac:dyDescent="0.25">
      <c r="A216" s="4">
        <v>215</v>
      </c>
      <c r="B216" s="4"/>
      <c r="C216" s="4">
        <v>2</v>
      </c>
      <c r="D216" s="8">
        <v>15.38</v>
      </c>
      <c r="E216" s="8">
        <v>14.33</v>
      </c>
      <c r="F216" s="8">
        <v>14.83</v>
      </c>
      <c r="G216" s="8">
        <v>16.12</v>
      </c>
      <c r="H216" s="8">
        <v>13.48</v>
      </c>
      <c r="I216" s="8">
        <v>12.38</v>
      </c>
      <c r="J216" s="8">
        <v>14.23</v>
      </c>
      <c r="K216" s="8">
        <v>15.98</v>
      </c>
      <c r="L216" s="8">
        <v>17.28</v>
      </c>
      <c r="M216" s="8">
        <v>16.29</v>
      </c>
      <c r="N216" s="8">
        <v>16.28</v>
      </c>
      <c r="O216" s="8">
        <v>16.64</v>
      </c>
      <c r="P216" s="8">
        <v>15.8</v>
      </c>
      <c r="Q216" s="8">
        <v>15.92</v>
      </c>
      <c r="R216" s="8">
        <v>14.83</v>
      </c>
      <c r="S216" s="8">
        <v>15.61</v>
      </c>
      <c r="T216" s="8">
        <v>17.45</v>
      </c>
      <c r="U216" s="8">
        <v>15.58</v>
      </c>
      <c r="V216" s="8">
        <v>16.37</v>
      </c>
      <c r="W216" s="8">
        <v>16.600000000000001</v>
      </c>
      <c r="X216" s="8">
        <v>14.76</v>
      </c>
      <c r="Y216" s="8">
        <v>16.329999999999998</v>
      </c>
      <c r="Z216" s="8">
        <v>15.32</v>
      </c>
      <c r="AA216" s="8">
        <v>13.94</v>
      </c>
      <c r="AB216" s="8">
        <v>15.48</v>
      </c>
      <c r="AC216" s="8">
        <v>15.05</v>
      </c>
      <c r="AD216" s="8">
        <v>14.43</v>
      </c>
      <c r="AE216" s="8">
        <v>16.32</v>
      </c>
      <c r="AF216" s="8">
        <v>16.39</v>
      </c>
      <c r="AG216" s="8">
        <v>14.75</v>
      </c>
      <c r="AH216" s="8">
        <v>13.45</v>
      </c>
      <c r="AI216" s="8">
        <v>13.85</v>
      </c>
      <c r="AJ216" s="8">
        <v>16.09</v>
      </c>
      <c r="AK216" s="8">
        <v>15.48</v>
      </c>
      <c r="AL216" s="8">
        <v>14.88</v>
      </c>
      <c r="AM216" s="8">
        <v>15.32</v>
      </c>
      <c r="AN216" s="8">
        <v>15.67</v>
      </c>
      <c r="AO216" s="8">
        <v>15.75</v>
      </c>
      <c r="AP216" s="8">
        <v>12.92</v>
      </c>
      <c r="AQ216" s="8">
        <v>12.16</v>
      </c>
      <c r="AR216" s="8">
        <v>14.01</v>
      </c>
      <c r="AS216" s="8">
        <v>17.899999999999999</v>
      </c>
      <c r="AT216" s="8">
        <v>15.4</v>
      </c>
      <c r="AU216" s="6">
        <v>15.26</v>
      </c>
      <c r="AV216" s="6">
        <v>15.65</v>
      </c>
      <c r="AW216" s="6">
        <v>16.47</v>
      </c>
      <c r="AX216" s="6">
        <v>17.3</v>
      </c>
      <c r="AY216" s="6">
        <v>15.94</v>
      </c>
      <c r="AZ216" s="6">
        <v>15.43</v>
      </c>
      <c r="BA216" s="6">
        <v>14.5</v>
      </c>
      <c r="BB216" s="6">
        <v>14.27</v>
      </c>
      <c r="BC216" s="6">
        <v>16.21</v>
      </c>
      <c r="BD216" s="6">
        <v>14.5</v>
      </c>
      <c r="BE216" s="6">
        <v>14.43</v>
      </c>
      <c r="BF216" s="6">
        <v>14.47</v>
      </c>
      <c r="BG216" s="6">
        <v>16.309999999999999</v>
      </c>
      <c r="BH216" s="6">
        <v>14.14</v>
      </c>
      <c r="BI216" s="6">
        <v>14.5</v>
      </c>
      <c r="BJ216" s="6">
        <v>16.04</v>
      </c>
      <c r="BK216" s="6">
        <v>15.62</v>
      </c>
      <c r="BL216" s="6">
        <v>15.56</v>
      </c>
      <c r="BM216" s="6">
        <v>16.3</v>
      </c>
      <c r="BN216" s="6">
        <v>15.11</v>
      </c>
      <c r="BO216" s="6">
        <v>16.96</v>
      </c>
      <c r="BP216" s="6">
        <v>14.5</v>
      </c>
      <c r="BQ216" s="6">
        <v>15.32</v>
      </c>
      <c r="BR216" s="6">
        <v>12.7</v>
      </c>
      <c r="BS216" s="6">
        <v>16.079999999999998</v>
      </c>
      <c r="BT216" s="6">
        <v>15.5</v>
      </c>
      <c r="BU216" s="6">
        <v>16.02</v>
      </c>
      <c r="BV216" s="6">
        <v>14.24</v>
      </c>
      <c r="BW216" s="6">
        <v>16.22</v>
      </c>
      <c r="BX216" s="6">
        <v>15.64</v>
      </c>
      <c r="BY216" s="6">
        <v>15.29</v>
      </c>
      <c r="BZ216" s="6">
        <v>13.52</v>
      </c>
      <c r="CA216" s="6">
        <v>16.100000000000001</v>
      </c>
      <c r="CB216" s="6">
        <v>16.2</v>
      </c>
      <c r="CC216" s="6">
        <v>15.64</v>
      </c>
      <c r="CD216" s="6">
        <v>14.14</v>
      </c>
      <c r="CE216" s="6">
        <v>14.62</v>
      </c>
      <c r="CF216" s="6">
        <v>15</v>
      </c>
      <c r="CG216" s="6">
        <v>16.36</v>
      </c>
      <c r="CH216" s="6">
        <v>17.100000000000001</v>
      </c>
      <c r="CI216" s="6">
        <v>17.46</v>
      </c>
      <c r="CJ216" s="11">
        <v>15.46</v>
      </c>
      <c r="CK216" s="6">
        <v>14.02</v>
      </c>
      <c r="CL216" s="6">
        <v>16.12</v>
      </c>
      <c r="CM216" s="6">
        <v>16.47</v>
      </c>
      <c r="CN216" s="6">
        <v>15.35</v>
      </c>
      <c r="CO216" s="10">
        <v>16.739999999999998</v>
      </c>
      <c r="CP216" s="10"/>
    </row>
    <row r="217" spans="1:94" ht="15.75" customHeight="1" x14ac:dyDescent="0.25">
      <c r="A217" s="4">
        <v>216</v>
      </c>
      <c r="B217" s="4"/>
      <c r="C217" s="4">
        <v>3</v>
      </c>
      <c r="D217" s="8">
        <v>15.43</v>
      </c>
      <c r="E217" s="8">
        <v>14.38</v>
      </c>
      <c r="F217" s="8">
        <v>14.88</v>
      </c>
      <c r="G217" s="8">
        <v>16.18</v>
      </c>
      <c r="H217" s="8">
        <v>13.53</v>
      </c>
      <c r="I217" s="8">
        <v>12.48</v>
      </c>
      <c r="J217" s="8">
        <v>14.25</v>
      </c>
      <c r="K217" s="8">
        <v>16</v>
      </c>
      <c r="L217" s="8">
        <v>17.37</v>
      </c>
      <c r="M217" s="8">
        <v>16.260000000000002</v>
      </c>
      <c r="N217" s="8">
        <v>16.329999999999998</v>
      </c>
      <c r="O217" s="8">
        <v>16.68</v>
      </c>
      <c r="P217" s="8">
        <v>15.88</v>
      </c>
      <c r="Q217" s="8">
        <v>15.88</v>
      </c>
      <c r="R217" s="8">
        <v>14.91</v>
      </c>
      <c r="S217" s="8">
        <v>15.71</v>
      </c>
      <c r="T217" s="8">
        <v>17.489999999999998</v>
      </c>
      <c r="U217" s="8">
        <v>15.61</v>
      </c>
      <c r="V217" s="8">
        <v>16.399999999999999</v>
      </c>
      <c r="W217" s="8">
        <v>16.62</v>
      </c>
      <c r="X217" s="8">
        <v>14.85</v>
      </c>
      <c r="Y217" s="8">
        <v>16.329999999999998</v>
      </c>
      <c r="Z217" s="8">
        <v>15.32</v>
      </c>
      <c r="AA217" s="8">
        <v>13.94</v>
      </c>
      <c r="AB217" s="8">
        <v>15.52</v>
      </c>
      <c r="AC217" s="8">
        <v>15.05</v>
      </c>
      <c r="AD217" s="8">
        <v>14.51</v>
      </c>
      <c r="AE217" s="8">
        <v>16.32</v>
      </c>
      <c r="AF217" s="8">
        <v>16.46</v>
      </c>
      <c r="AG217" s="8">
        <v>14.78</v>
      </c>
      <c r="AH217" s="8">
        <v>13.57</v>
      </c>
      <c r="AI217" s="8">
        <v>13.89</v>
      </c>
      <c r="AJ217" s="8">
        <v>16.14</v>
      </c>
      <c r="AK217" s="8">
        <v>15.51</v>
      </c>
      <c r="AL217" s="8">
        <v>14.87</v>
      </c>
      <c r="AM217" s="8">
        <v>15.35</v>
      </c>
      <c r="AN217" s="8">
        <v>15.67</v>
      </c>
      <c r="AO217" s="8">
        <v>15.78</v>
      </c>
      <c r="AP217" s="8">
        <v>12.9</v>
      </c>
      <c r="AQ217" s="8">
        <v>12.26</v>
      </c>
      <c r="AR217" s="8">
        <v>14.07</v>
      </c>
      <c r="AS217" s="8">
        <v>17.95</v>
      </c>
      <c r="AT217" s="8">
        <v>15.45</v>
      </c>
      <c r="AU217" s="6">
        <v>15.31</v>
      </c>
      <c r="AV217" s="6">
        <v>15.65</v>
      </c>
      <c r="AW217" s="6">
        <v>16.510000000000002</v>
      </c>
      <c r="AX217" s="6">
        <v>17.3</v>
      </c>
      <c r="AY217" s="6">
        <v>16.02</v>
      </c>
      <c r="AZ217" s="6">
        <v>15.47</v>
      </c>
      <c r="BA217" s="6">
        <v>14.56</v>
      </c>
      <c r="BB217" s="6">
        <v>14.3</v>
      </c>
      <c r="BC217" s="6">
        <v>16.27</v>
      </c>
      <c r="BD217" s="6">
        <v>14.49</v>
      </c>
      <c r="BE217" s="6">
        <v>14.48</v>
      </c>
      <c r="BF217" s="6">
        <v>14.48</v>
      </c>
      <c r="BG217" s="6">
        <v>16.38</v>
      </c>
      <c r="BH217" s="6">
        <v>14.31</v>
      </c>
      <c r="BI217" s="6">
        <v>14.62</v>
      </c>
      <c r="BJ217" s="6">
        <v>16.02</v>
      </c>
      <c r="BK217" s="6">
        <v>15.7</v>
      </c>
      <c r="BL217" s="6">
        <v>15.58</v>
      </c>
      <c r="BM217" s="6">
        <v>16.37</v>
      </c>
      <c r="BN217" s="6">
        <v>15.14</v>
      </c>
      <c r="BO217" s="6">
        <v>16.98</v>
      </c>
      <c r="BP217" s="6">
        <v>14.6</v>
      </c>
      <c r="BQ217" s="6">
        <v>15.36</v>
      </c>
      <c r="BR217" s="6">
        <v>12.78</v>
      </c>
      <c r="BS217" s="6">
        <v>16.09</v>
      </c>
      <c r="BT217" s="6">
        <v>15.6</v>
      </c>
      <c r="BU217" s="6">
        <v>16.059999999999999</v>
      </c>
      <c r="BV217" s="6">
        <v>14.28</v>
      </c>
      <c r="BW217" s="6">
        <v>16.3</v>
      </c>
      <c r="BX217" s="6">
        <v>15.68</v>
      </c>
      <c r="BY217" s="6">
        <v>15.4</v>
      </c>
      <c r="BZ217" s="6">
        <v>13.56</v>
      </c>
      <c r="CA217" s="6">
        <v>16.16</v>
      </c>
      <c r="CB217" s="6">
        <v>16.32</v>
      </c>
      <c r="CC217" s="6">
        <v>15.78</v>
      </c>
      <c r="CD217" s="6">
        <v>14.22</v>
      </c>
      <c r="CE217" s="6">
        <v>14.72</v>
      </c>
      <c r="CF217" s="6">
        <v>15</v>
      </c>
      <c r="CG217" s="6">
        <v>16.399999999999999</v>
      </c>
      <c r="CH217" s="6">
        <v>17.16</v>
      </c>
      <c r="CI217" s="6">
        <v>17.52</v>
      </c>
      <c r="CJ217" s="11">
        <v>15.48</v>
      </c>
      <c r="CK217" s="6">
        <v>14.1</v>
      </c>
      <c r="CL217" s="6">
        <v>16.260000000000002</v>
      </c>
      <c r="CM217" s="6">
        <v>16.55</v>
      </c>
      <c r="CN217" s="6">
        <v>15.38</v>
      </c>
      <c r="CO217" s="10">
        <v>16.78</v>
      </c>
      <c r="CP217" s="10"/>
    </row>
    <row r="218" spans="1:94" ht="15.75" customHeight="1" x14ac:dyDescent="0.25">
      <c r="A218" s="4">
        <v>217</v>
      </c>
      <c r="B218" s="4"/>
      <c r="C218" s="4">
        <v>4</v>
      </c>
      <c r="D218" s="8">
        <v>15.46</v>
      </c>
      <c r="E218" s="8">
        <v>14.43</v>
      </c>
      <c r="F218" s="8">
        <v>14.92</v>
      </c>
      <c r="G218" s="8">
        <v>16.23</v>
      </c>
      <c r="H218" s="8">
        <v>13.58</v>
      </c>
      <c r="I218" s="8">
        <v>12.58</v>
      </c>
      <c r="J218" s="8">
        <v>14.28</v>
      </c>
      <c r="K218" s="8">
        <v>16.03</v>
      </c>
      <c r="L218" s="8">
        <v>17.48</v>
      </c>
      <c r="M218" s="8">
        <v>16.23</v>
      </c>
      <c r="N218" s="8">
        <v>16.37</v>
      </c>
      <c r="O218" s="8">
        <v>16.73</v>
      </c>
      <c r="P218" s="8">
        <v>15.93</v>
      </c>
      <c r="Q218" s="8">
        <v>15.9</v>
      </c>
      <c r="R218" s="8">
        <v>14.98</v>
      </c>
      <c r="S218" s="8">
        <v>15.83</v>
      </c>
      <c r="T218" s="8">
        <v>17.489999999999998</v>
      </c>
      <c r="U218" s="8">
        <v>15.69</v>
      </c>
      <c r="V218" s="8">
        <v>16.45</v>
      </c>
      <c r="W218" s="8">
        <v>16.649999999999999</v>
      </c>
      <c r="X218" s="8">
        <v>14.89</v>
      </c>
      <c r="Y218" s="8">
        <v>16.329999999999998</v>
      </c>
      <c r="Z218" s="8">
        <v>15.29</v>
      </c>
      <c r="AA218" s="8">
        <v>13.94</v>
      </c>
      <c r="AB218" s="8">
        <v>15.57</v>
      </c>
      <c r="AC218" s="8">
        <v>15.05</v>
      </c>
      <c r="AD218" s="8">
        <v>14.59</v>
      </c>
      <c r="AE218" s="8">
        <v>16.32</v>
      </c>
      <c r="AF218" s="8">
        <v>16.52</v>
      </c>
      <c r="AG218" s="8">
        <v>14.82</v>
      </c>
      <c r="AH218" s="8">
        <v>13.67</v>
      </c>
      <c r="AI218" s="8">
        <v>13.95</v>
      </c>
      <c r="AJ218" s="8">
        <v>16.2</v>
      </c>
      <c r="AK218" s="8">
        <v>15.58</v>
      </c>
      <c r="AL218" s="8">
        <v>14.87</v>
      </c>
      <c r="AM218" s="8">
        <v>15.43</v>
      </c>
      <c r="AN218" s="8">
        <v>15.72</v>
      </c>
      <c r="AO218" s="8">
        <v>15.79</v>
      </c>
      <c r="AP218" s="8">
        <v>12.9</v>
      </c>
      <c r="AQ218" s="8">
        <v>12.42</v>
      </c>
      <c r="AR218" s="8">
        <v>14.15</v>
      </c>
      <c r="AS218" s="8">
        <v>18</v>
      </c>
      <c r="AT218" s="8">
        <v>15.48</v>
      </c>
      <c r="AU218" s="6">
        <v>15.35</v>
      </c>
      <c r="AV218" s="6">
        <v>15.68</v>
      </c>
      <c r="AW218" s="6">
        <v>16.54</v>
      </c>
      <c r="AX218" s="6">
        <v>17.28</v>
      </c>
      <c r="AY218" s="6">
        <v>16.059999999999999</v>
      </c>
      <c r="AZ218" s="6">
        <v>15.52</v>
      </c>
      <c r="BA218" s="6">
        <v>14.63</v>
      </c>
      <c r="BB218" s="6">
        <v>14.31</v>
      </c>
      <c r="BC218" s="6">
        <v>16.309999999999999</v>
      </c>
      <c r="BD218" s="6">
        <v>14.5</v>
      </c>
      <c r="BE218" s="6">
        <v>14.56</v>
      </c>
      <c r="BF218" s="6">
        <v>14.47</v>
      </c>
      <c r="BG218" s="6">
        <v>16.45</v>
      </c>
      <c r="BH218" s="6">
        <v>14.47</v>
      </c>
      <c r="BI218" s="6">
        <v>14.75</v>
      </c>
      <c r="BJ218" s="6">
        <v>16.079999999999998</v>
      </c>
      <c r="BK218" s="6">
        <v>15.78</v>
      </c>
      <c r="BL218" s="6">
        <v>15.6</v>
      </c>
      <c r="BM218" s="6">
        <v>16.420000000000002</v>
      </c>
      <c r="BN218" s="6">
        <v>15.17</v>
      </c>
      <c r="BO218" s="6">
        <v>17</v>
      </c>
      <c r="BP218" s="6">
        <v>14.72</v>
      </c>
      <c r="BQ218" s="6">
        <v>15.39</v>
      </c>
      <c r="BR218" s="6">
        <v>12.8</v>
      </c>
      <c r="BS218" s="6">
        <v>16.12</v>
      </c>
      <c r="BT218" s="6">
        <v>15.65</v>
      </c>
      <c r="BU218" s="6">
        <v>16.059999999999999</v>
      </c>
      <c r="BV218" s="6">
        <v>14.24</v>
      </c>
      <c r="BW218" s="6">
        <v>16.34</v>
      </c>
      <c r="BX218" s="6">
        <v>15.7</v>
      </c>
      <c r="BY218" s="6">
        <v>15.46</v>
      </c>
      <c r="BZ218" s="6">
        <v>13.66</v>
      </c>
      <c r="CA218" s="6">
        <v>16.2</v>
      </c>
      <c r="CB218" s="6">
        <v>16.36</v>
      </c>
      <c r="CC218" s="6">
        <v>15.9</v>
      </c>
      <c r="CD218" s="6">
        <v>14.28</v>
      </c>
      <c r="CE218" s="6">
        <v>14.8</v>
      </c>
      <c r="CF218" s="6">
        <v>15.06</v>
      </c>
      <c r="CG218" s="6">
        <v>16.440000000000001</v>
      </c>
      <c r="CH218" s="6">
        <v>17.239999999999998</v>
      </c>
      <c r="CI218" s="6">
        <v>17.62</v>
      </c>
      <c r="CJ218" s="11">
        <v>15.56</v>
      </c>
      <c r="CK218" s="6">
        <v>14.18</v>
      </c>
      <c r="CL218" s="6">
        <v>16.399999999999999</v>
      </c>
      <c r="CM218" s="6">
        <v>16.61</v>
      </c>
      <c r="CN218" s="6">
        <v>15.44</v>
      </c>
      <c r="CO218" s="10">
        <v>16.8</v>
      </c>
      <c r="CP218" s="10"/>
    </row>
    <row r="219" spans="1:94" ht="15.75" customHeight="1" x14ac:dyDescent="0.25">
      <c r="A219" s="4">
        <v>218</v>
      </c>
      <c r="B219" s="4"/>
      <c r="C219" s="4">
        <v>5</v>
      </c>
      <c r="D219" s="8">
        <v>15.48</v>
      </c>
      <c r="E219" s="8">
        <v>14.48</v>
      </c>
      <c r="F219" s="8">
        <v>14.96</v>
      </c>
      <c r="G219" s="8">
        <v>16.28</v>
      </c>
      <c r="H219" s="8">
        <v>13.68</v>
      </c>
      <c r="I219" s="8">
        <v>12.68</v>
      </c>
      <c r="J219" s="8">
        <v>14.3</v>
      </c>
      <c r="K219" s="8">
        <v>16.03</v>
      </c>
      <c r="L219" s="8">
        <v>17.53</v>
      </c>
      <c r="M219" s="8">
        <v>16.170000000000002</v>
      </c>
      <c r="N219" s="8">
        <v>16.420000000000002</v>
      </c>
      <c r="O219" s="8">
        <v>16.75</v>
      </c>
      <c r="P219" s="8">
        <v>15.97</v>
      </c>
      <c r="Q219" s="8">
        <v>15.92</v>
      </c>
      <c r="R219" s="8">
        <v>15.04</v>
      </c>
      <c r="S219" s="8">
        <v>15.86</v>
      </c>
      <c r="T219" s="8">
        <v>17.45</v>
      </c>
      <c r="U219" s="8">
        <v>15.76</v>
      </c>
      <c r="V219" s="8">
        <v>16.559999999999999</v>
      </c>
      <c r="W219" s="8">
        <v>16.670000000000002</v>
      </c>
      <c r="X219" s="8">
        <v>14.93</v>
      </c>
      <c r="Y219" s="8">
        <v>16.329999999999998</v>
      </c>
      <c r="Z219" s="8">
        <v>15.29</v>
      </c>
      <c r="AA219" s="8">
        <v>13.94</v>
      </c>
      <c r="AB219" s="8">
        <v>15.6</v>
      </c>
      <c r="AC219" s="8">
        <v>15.05</v>
      </c>
      <c r="AD219" s="8">
        <v>14.69</v>
      </c>
      <c r="AE219" s="8">
        <v>16.32</v>
      </c>
      <c r="AF219" s="8">
        <v>16.53</v>
      </c>
      <c r="AG219" s="8">
        <v>14.82</v>
      </c>
      <c r="AH219" s="8">
        <v>13.73</v>
      </c>
      <c r="AI219" s="8">
        <v>14.02</v>
      </c>
      <c r="AJ219" s="8">
        <v>16.29</v>
      </c>
      <c r="AK219" s="8">
        <v>15.64</v>
      </c>
      <c r="AL219" s="8">
        <v>14.86</v>
      </c>
      <c r="AM219" s="8">
        <v>15.48</v>
      </c>
      <c r="AN219" s="8">
        <v>15.71</v>
      </c>
      <c r="AO219" s="8">
        <v>15.79</v>
      </c>
      <c r="AP219" s="8">
        <v>12.89</v>
      </c>
      <c r="AQ219" s="8">
        <v>12.46</v>
      </c>
      <c r="AR219" s="8">
        <v>14.23</v>
      </c>
      <c r="AS219" s="8">
        <v>18</v>
      </c>
      <c r="AT219" s="8">
        <v>15.52</v>
      </c>
      <c r="AU219" s="6">
        <v>15.38</v>
      </c>
      <c r="AV219" s="6">
        <v>15.72</v>
      </c>
      <c r="AW219" s="6">
        <v>16.53</v>
      </c>
      <c r="AX219" s="6">
        <v>17.29</v>
      </c>
      <c r="AY219" s="6">
        <v>16.149999999999999</v>
      </c>
      <c r="AZ219" s="6">
        <v>15.61</v>
      </c>
      <c r="BA219" s="6">
        <v>14.69</v>
      </c>
      <c r="BB219" s="6">
        <v>14.35</v>
      </c>
      <c r="BC219" s="6">
        <v>16.37</v>
      </c>
      <c r="BD219" s="6">
        <v>14.46</v>
      </c>
      <c r="BE219" s="6">
        <v>14.67</v>
      </c>
      <c r="BF219" s="6">
        <v>14.47</v>
      </c>
      <c r="BG219" s="6">
        <v>16.5</v>
      </c>
      <c r="BH219" s="6">
        <v>14.6</v>
      </c>
      <c r="BI219" s="6">
        <v>14.88</v>
      </c>
      <c r="BJ219" s="6">
        <v>16.14</v>
      </c>
      <c r="BK219" s="6">
        <v>15.85</v>
      </c>
      <c r="BL219" s="6">
        <v>15.62</v>
      </c>
      <c r="BM219" s="6">
        <v>16.489999999999998</v>
      </c>
      <c r="BN219" s="6">
        <v>15.2</v>
      </c>
      <c r="BO219" s="6">
        <v>17.02</v>
      </c>
      <c r="BP219" s="6">
        <v>14.8</v>
      </c>
      <c r="BQ219" s="6">
        <v>15.4</v>
      </c>
      <c r="BR219" s="6">
        <v>12.84</v>
      </c>
      <c r="BS219" s="6">
        <v>16.16</v>
      </c>
      <c r="BT219" s="6">
        <v>15.74</v>
      </c>
      <c r="BU219" s="6">
        <v>16.059999999999999</v>
      </c>
      <c r="BV219" s="6">
        <v>14.26</v>
      </c>
      <c r="BW219" s="6">
        <v>16.38</v>
      </c>
      <c r="BX219" s="6">
        <v>15.72</v>
      </c>
      <c r="BY219" s="6">
        <v>15.58</v>
      </c>
      <c r="BZ219" s="6">
        <v>13.76</v>
      </c>
      <c r="CA219" s="6">
        <v>16.239999999999998</v>
      </c>
      <c r="CB219" s="6">
        <v>16.38</v>
      </c>
      <c r="CC219" s="6">
        <v>16.02</v>
      </c>
      <c r="CD219" s="6">
        <v>14.34</v>
      </c>
      <c r="CE219" s="6">
        <v>14.9</v>
      </c>
      <c r="CF219" s="6">
        <v>15.1</v>
      </c>
      <c r="CG219" s="6">
        <v>16.52</v>
      </c>
      <c r="CH219" s="6">
        <v>17.32</v>
      </c>
      <c r="CI219" s="6">
        <v>17.7</v>
      </c>
      <c r="CJ219" s="11">
        <v>15.64</v>
      </c>
      <c r="CK219" s="6">
        <v>14.28</v>
      </c>
      <c r="CL219" s="6">
        <v>16.54</v>
      </c>
      <c r="CM219" s="6">
        <v>16.649999999999999</v>
      </c>
      <c r="CN219" s="6">
        <v>15.49</v>
      </c>
      <c r="CO219" s="10">
        <v>16.8</v>
      </c>
      <c r="CP219" s="10"/>
    </row>
    <row r="220" spans="1:94" ht="15.75" customHeight="1" x14ac:dyDescent="0.25">
      <c r="A220" s="4">
        <v>219</v>
      </c>
      <c r="B220" s="4"/>
      <c r="C220" s="4">
        <v>6</v>
      </c>
      <c r="D220" s="8">
        <v>15.5</v>
      </c>
      <c r="E220" s="8">
        <v>14.58</v>
      </c>
      <c r="F220" s="8">
        <v>14.98</v>
      </c>
      <c r="G220" s="8">
        <v>16.329999999999998</v>
      </c>
      <c r="H220" s="8">
        <v>13.73</v>
      </c>
      <c r="I220" s="8">
        <v>12.78</v>
      </c>
      <c r="J220" s="8">
        <v>14.33</v>
      </c>
      <c r="K220" s="8">
        <v>16.03</v>
      </c>
      <c r="L220" s="8">
        <v>17.62</v>
      </c>
      <c r="M220" s="8">
        <v>16.12</v>
      </c>
      <c r="N220" s="8">
        <v>16.43</v>
      </c>
      <c r="O220" s="8">
        <v>16.760000000000002</v>
      </c>
      <c r="P220" s="8">
        <v>15.99</v>
      </c>
      <c r="Q220" s="8">
        <v>15.93</v>
      </c>
      <c r="R220" s="8">
        <v>15.09</v>
      </c>
      <c r="S220" s="8">
        <v>15.96</v>
      </c>
      <c r="T220" s="8">
        <v>17.440000000000001</v>
      </c>
      <c r="U220" s="8">
        <v>15.85</v>
      </c>
      <c r="V220" s="8">
        <v>16.62</v>
      </c>
      <c r="W220" s="8">
        <v>16.68</v>
      </c>
      <c r="X220" s="8">
        <v>14.95</v>
      </c>
      <c r="Y220" s="8">
        <v>16.329999999999998</v>
      </c>
      <c r="Z220" s="8">
        <v>15.27</v>
      </c>
      <c r="AA220" s="8">
        <v>13.96</v>
      </c>
      <c r="AB220" s="8">
        <v>15.63</v>
      </c>
      <c r="AC220" s="8">
        <v>15.13</v>
      </c>
      <c r="AD220" s="8">
        <v>14.79</v>
      </c>
      <c r="AE220" s="8">
        <v>16.34</v>
      </c>
      <c r="AF220" s="8">
        <v>16.53</v>
      </c>
      <c r="AG220" s="8">
        <v>14.82</v>
      </c>
      <c r="AH220" s="8">
        <v>13.79</v>
      </c>
      <c r="AI220" s="8">
        <v>14.06</v>
      </c>
      <c r="AJ220" s="8">
        <v>16.45</v>
      </c>
      <c r="AK220" s="8">
        <v>15.7</v>
      </c>
      <c r="AL220" s="8">
        <v>14.87</v>
      </c>
      <c r="AM220" s="8">
        <v>15.55</v>
      </c>
      <c r="AN220" s="8">
        <v>15.71</v>
      </c>
      <c r="AO220" s="8">
        <v>15.76</v>
      </c>
      <c r="AP220" s="8">
        <v>12.94</v>
      </c>
      <c r="AQ220" s="8">
        <v>12.52</v>
      </c>
      <c r="AR220" s="8">
        <v>14.26</v>
      </c>
      <c r="AS220" s="8">
        <v>18</v>
      </c>
      <c r="AT220" s="8">
        <v>15.57</v>
      </c>
      <c r="AU220" s="6">
        <v>15.39</v>
      </c>
      <c r="AV220" s="6">
        <v>15.75</v>
      </c>
      <c r="AW220" s="6">
        <v>16.54</v>
      </c>
      <c r="AX220" s="6">
        <v>17.3</v>
      </c>
      <c r="AY220" s="6">
        <v>16.25</v>
      </c>
      <c r="AZ220" s="6">
        <v>15.73</v>
      </c>
      <c r="BA220" s="6">
        <v>14.73</v>
      </c>
      <c r="BB220" s="6">
        <v>14.39</v>
      </c>
      <c r="BC220" s="6">
        <v>16.43</v>
      </c>
      <c r="BD220" s="6">
        <v>14.46</v>
      </c>
      <c r="BE220" s="6">
        <v>14.78</v>
      </c>
      <c r="BF220" s="6">
        <v>14.44</v>
      </c>
      <c r="BG220" s="6">
        <v>16.52</v>
      </c>
      <c r="BH220" s="6">
        <v>14.72</v>
      </c>
      <c r="BI220" s="6">
        <v>15.02</v>
      </c>
      <c r="BJ220" s="6">
        <v>16.22</v>
      </c>
      <c r="BK220" s="6">
        <v>15.9</v>
      </c>
      <c r="BL220" s="6">
        <v>15.68</v>
      </c>
      <c r="BM220" s="6">
        <v>16.53</v>
      </c>
      <c r="BN220" s="6">
        <v>15.18</v>
      </c>
      <c r="BO220" s="6">
        <v>17.02</v>
      </c>
      <c r="BP220" s="6">
        <v>15</v>
      </c>
      <c r="BQ220" s="6">
        <v>15.4</v>
      </c>
      <c r="BR220" s="6">
        <v>12.9</v>
      </c>
      <c r="BS220" s="6">
        <v>16.2</v>
      </c>
      <c r="BT220" s="6">
        <v>15.8</v>
      </c>
      <c r="BU220" s="6">
        <v>16.05</v>
      </c>
      <c r="BV220" s="6">
        <v>14.24</v>
      </c>
      <c r="BW220" s="6">
        <v>16.399999999999999</v>
      </c>
      <c r="BX220" s="6">
        <v>15.78</v>
      </c>
      <c r="BY220" s="6">
        <v>15.6</v>
      </c>
      <c r="BZ220" s="6">
        <v>13.82</v>
      </c>
      <c r="CA220" s="6">
        <v>16.239999999999998</v>
      </c>
      <c r="CB220" s="6">
        <v>16.399999999999999</v>
      </c>
      <c r="CC220" s="6">
        <v>16.14</v>
      </c>
      <c r="CD220" s="6">
        <v>14.4</v>
      </c>
      <c r="CE220" s="6">
        <v>15</v>
      </c>
      <c r="CF220" s="6">
        <v>15.18</v>
      </c>
      <c r="CG220" s="6">
        <v>16.600000000000001</v>
      </c>
      <c r="CH220" s="6">
        <v>17.34</v>
      </c>
      <c r="CI220" s="6">
        <v>17.760000000000002</v>
      </c>
      <c r="CJ220" s="11">
        <v>15.7</v>
      </c>
      <c r="CK220" s="6">
        <v>14.38</v>
      </c>
      <c r="CL220" s="6">
        <v>16.64</v>
      </c>
      <c r="CM220" s="6">
        <v>16.690000000000001</v>
      </c>
      <c r="CN220" s="6">
        <v>15.56</v>
      </c>
      <c r="CO220" s="10">
        <v>16.8</v>
      </c>
      <c r="CP220" s="10"/>
    </row>
    <row r="221" spans="1:94" ht="15.75" customHeight="1" x14ac:dyDescent="0.25">
      <c r="A221" s="4">
        <v>220</v>
      </c>
      <c r="B221" s="4"/>
      <c r="C221" s="4">
        <v>7</v>
      </c>
      <c r="D221" s="8">
        <v>15.52</v>
      </c>
      <c r="E221" s="8">
        <v>14.68</v>
      </c>
      <c r="F221" s="8">
        <v>15.02</v>
      </c>
      <c r="G221" s="8">
        <v>16.37</v>
      </c>
      <c r="H221" s="8">
        <v>13.78</v>
      </c>
      <c r="I221" s="8">
        <v>12.88</v>
      </c>
      <c r="J221" s="8">
        <v>14.35</v>
      </c>
      <c r="K221" s="8">
        <v>16.059999999999999</v>
      </c>
      <c r="L221" s="8">
        <v>17.73</v>
      </c>
      <c r="M221" s="8">
        <v>16.07</v>
      </c>
      <c r="N221" s="8">
        <v>16.54</v>
      </c>
      <c r="O221" s="8">
        <v>16.78</v>
      </c>
      <c r="P221" s="8">
        <v>16.04</v>
      </c>
      <c r="Q221" s="8">
        <v>15.98</v>
      </c>
      <c r="R221" s="8">
        <v>15.14</v>
      </c>
      <c r="S221" s="8">
        <v>16.059999999999999</v>
      </c>
      <c r="T221" s="8">
        <v>17.440000000000001</v>
      </c>
      <c r="U221" s="8">
        <v>15.91</v>
      </c>
      <c r="V221" s="8">
        <v>16.690000000000001</v>
      </c>
      <c r="W221" s="8">
        <v>16.7</v>
      </c>
      <c r="X221" s="8">
        <v>14.97</v>
      </c>
      <c r="Y221" s="8">
        <v>16.329999999999998</v>
      </c>
      <c r="Z221" s="8">
        <v>15.25</v>
      </c>
      <c r="AA221" s="8">
        <v>14</v>
      </c>
      <c r="AB221" s="8">
        <v>15.63</v>
      </c>
      <c r="AC221" s="8">
        <v>15.22</v>
      </c>
      <c r="AD221" s="8">
        <v>14.91</v>
      </c>
      <c r="AE221" s="8">
        <v>16.39</v>
      </c>
      <c r="AF221" s="8">
        <v>16.53</v>
      </c>
      <c r="AG221" s="8">
        <v>14.86</v>
      </c>
      <c r="AH221" s="8">
        <v>13.85</v>
      </c>
      <c r="AI221" s="8">
        <v>14.12</v>
      </c>
      <c r="AJ221" s="8">
        <v>16.59</v>
      </c>
      <c r="AK221" s="8">
        <v>15.76</v>
      </c>
      <c r="AL221" s="8">
        <v>14.89</v>
      </c>
      <c r="AM221" s="8">
        <v>15.61</v>
      </c>
      <c r="AN221" s="8">
        <v>15.71</v>
      </c>
      <c r="AO221" s="8">
        <v>15.72</v>
      </c>
      <c r="AP221" s="8">
        <v>13.03</v>
      </c>
      <c r="AQ221" s="8">
        <v>12.66</v>
      </c>
      <c r="AR221" s="8">
        <v>14.32</v>
      </c>
      <c r="AS221" s="8">
        <v>17.940000000000001</v>
      </c>
      <c r="AT221" s="8">
        <v>15.62</v>
      </c>
      <c r="AU221" s="6">
        <v>15.43</v>
      </c>
      <c r="AV221" s="6">
        <v>15.8</v>
      </c>
      <c r="AW221" s="6">
        <v>16.54</v>
      </c>
      <c r="AX221" s="6">
        <v>17.29</v>
      </c>
      <c r="AY221" s="6">
        <v>16.32</v>
      </c>
      <c r="AZ221" s="6">
        <v>15.86</v>
      </c>
      <c r="BA221" s="6">
        <v>14.77</v>
      </c>
      <c r="BB221" s="6">
        <v>14.47</v>
      </c>
      <c r="BC221" s="6">
        <v>16.47</v>
      </c>
      <c r="BD221" s="6">
        <v>14.44</v>
      </c>
      <c r="BE221" s="6">
        <v>14.93</v>
      </c>
      <c r="BF221" s="6">
        <v>14.43</v>
      </c>
      <c r="BG221" s="6">
        <v>16.53</v>
      </c>
      <c r="BH221" s="6">
        <v>14.81</v>
      </c>
      <c r="BI221" s="6">
        <v>15.14</v>
      </c>
      <c r="BJ221" s="6">
        <v>16.3</v>
      </c>
      <c r="BK221" s="6">
        <v>15.96</v>
      </c>
      <c r="BL221" s="6">
        <v>15.72</v>
      </c>
      <c r="BM221" s="6">
        <v>16.579999999999998</v>
      </c>
      <c r="BN221" s="6">
        <v>15.18</v>
      </c>
      <c r="BO221" s="6">
        <v>17.02</v>
      </c>
      <c r="BP221" s="6">
        <v>15</v>
      </c>
      <c r="BQ221" s="6">
        <v>15.38</v>
      </c>
      <c r="BR221" s="6">
        <v>13.02</v>
      </c>
      <c r="BS221" s="6">
        <v>16.239999999999998</v>
      </c>
      <c r="BT221" s="6">
        <v>15.82</v>
      </c>
      <c r="BU221" s="6">
        <v>16.02</v>
      </c>
      <c r="BV221" s="6">
        <v>14.28</v>
      </c>
      <c r="BW221" s="6">
        <v>16.48</v>
      </c>
      <c r="BX221" s="6">
        <v>15.78</v>
      </c>
      <c r="BY221" s="6">
        <v>15.62</v>
      </c>
      <c r="BZ221" s="6">
        <v>13.88</v>
      </c>
      <c r="CA221" s="6">
        <v>16.28</v>
      </c>
      <c r="CB221" s="6">
        <v>16.399999999999999</v>
      </c>
      <c r="CC221" s="6">
        <v>16.239999999999998</v>
      </c>
      <c r="CD221" s="6">
        <v>14.44</v>
      </c>
      <c r="CE221" s="6">
        <v>15.04</v>
      </c>
      <c r="CF221" s="6">
        <v>15.2</v>
      </c>
      <c r="CG221" s="6">
        <v>16.66</v>
      </c>
      <c r="CH221" s="6">
        <v>17.38</v>
      </c>
      <c r="CI221" s="6">
        <v>17.78</v>
      </c>
      <c r="CJ221" s="11">
        <v>15.8</v>
      </c>
      <c r="CK221" s="6">
        <v>14.4</v>
      </c>
      <c r="CL221" s="6">
        <v>16.7</v>
      </c>
      <c r="CM221" s="6">
        <v>16.7</v>
      </c>
      <c r="CN221" s="6">
        <v>15.6</v>
      </c>
      <c r="CO221" s="10">
        <v>16.8</v>
      </c>
      <c r="CP221" s="10"/>
    </row>
    <row r="222" spans="1:94" ht="15.75" customHeight="1" x14ac:dyDescent="0.25">
      <c r="A222" s="4">
        <v>221</v>
      </c>
      <c r="B222" s="4"/>
      <c r="C222" s="4">
        <v>8</v>
      </c>
      <c r="D222" s="8">
        <v>15.54</v>
      </c>
      <c r="E222" s="8">
        <v>14.73</v>
      </c>
      <c r="F222" s="8">
        <v>15.06</v>
      </c>
      <c r="G222" s="8">
        <v>16.43</v>
      </c>
      <c r="H222" s="8">
        <v>13.83</v>
      </c>
      <c r="I222" s="8">
        <v>12.98</v>
      </c>
      <c r="J222" s="8">
        <v>14.4</v>
      </c>
      <c r="K222" s="8">
        <v>16.079999999999998</v>
      </c>
      <c r="L222" s="8">
        <v>17.78</v>
      </c>
      <c r="M222" s="8">
        <v>16.03</v>
      </c>
      <c r="N222" s="8">
        <v>16.66</v>
      </c>
      <c r="O222" s="8">
        <v>16.79</v>
      </c>
      <c r="P222" s="8">
        <v>16.04</v>
      </c>
      <c r="Q222" s="8">
        <v>16</v>
      </c>
      <c r="R222" s="8">
        <v>15.22</v>
      </c>
      <c r="S222" s="8">
        <v>16.11</v>
      </c>
      <c r="T222" s="8">
        <v>17.420000000000002</v>
      </c>
      <c r="U222" s="8">
        <v>15.96</v>
      </c>
      <c r="V222" s="8">
        <v>16.78</v>
      </c>
      <c r="W222" s="8">
        <v>16.73</v>
      </c>
      <c r="X222" s="8">
        <v>15</v>
      </c>
      <c r="Y222" s="8">
        <v>16.329999999999998</v>
      </c>
      <c r="Z222" s="8">
        <v>15.27</v>
      </c>
      <c r="AA222" s="8">
        <v>14.04</v>
      </c>
      <c r="AB222" s="8">
        <v>15.63</v>
      </c>
      <c r="AC222" s="8">
        <v>15.31</v>
      </c>
      <c r="AD222" s="8">
        <v>14.95</v>
      </c>
      <c r="AE222" s="8">
        <v>16.420000000000002</v>
      </c>
      <c r="AF222" s="8">
        <v>16.53</v>
      </c>
      <c r="AG222" s="8">
        <v>14.9</v>
      </c>
      <c r="AH222" s="8">
        <v>13.91</v>
      </c>
      <c r="AI222" s="8">
        <v>14.16</v>
      </c>
      <c r="AJ222" s="8">
        <v>16.71</v>
      </c>
      <c r="AK222" s="8">
        <v>15.81</v>
      </c>
      <c r="AL222" s="8">
        <v>14.91</v>
      </c>
      <c r="AM222" s="8">
        <v>15.64</v>
      </c>
      <c r="AN222" s="8">
        <v>15.72</v>
      </c>
      <c r="AO222" s="8">
        <v>15.7</v>
      </c>
      <c r="AP222" s="8">
        <v>13.13</v>
      </c>
      <c r="AQ222" s="8">
        <v>12.74</v>
      </c>
      <c r="AR222" s="8">
        <v>14.32</v>
      </c>
      <c r="AS222" s="8">
        <v>17.89</v>
      </c>
      <c r="AT222" s="8">
        <v>15.68</v>
      </c>
      <c r="AU222" s="6">
        <v>15.52</v>
      </c>
      <c r="AV222" s="6">
        <v>15.8</v>
      </c>
      <c r="AW222" s="6">
        <v>16.54</v>
      </c>
      <c r="AX222" s="6">
        <v>17.27</v>
      </c>
      <c r="AY222" s="6">
        <v>16.37</v>
      </c>
      <c r="AZ222" s="6">
        <v>16</v>
      </c>
      <c r="BA222" s="6">
        <v>14.8</v>
      </c>
      <c r="BB222" s="6">
        <v>14.55</v>
      </c>
      <c r="BC222" s="6">
        <v>16.53</v>
      </c>
      <c r="BD222" s="6">
        <v>14.44</v>
      </c>
      <c r="BE222" s="6">
        <v>15.03</v>
      </c>
      <c r="BF222" s="6">
        <v>14.43</v>
      </c>
      <c r="BG222" s="6">
        <v>16.55</v>
      </c>
      <c r="BH222" s="6">
        <v>14.9</v>
      </c>
      <c r="BI222" s="6">
        <v>15.28</v>
      </c>
      <c r="BJ222" s="6">
        <v>16.38</v>
      </c>
      <c r="BK222" s="6">
        <v>16.05</v>
      </c>
      <c r="BL222" s="6">
        <v>15.74</v>
      </c>
      <c r="BM222" s="6">
        <v>16.600000000000001</v>
      </c>
      <c r="BN222" s="6">
        <v>15.15</v>
      </c>
      <c r="BO222" s="6">
        <v>17.04</v>
      </c>
      <c r="BP222" s="6">
        <v>15.04</v>
      </c>
      <c r="BQ222" s="6">
        <v>15.4</v>
      </c>
      <c r="BR222" s="6">
        <v>13.1</v>
      </c>
      <c r="BS222" s="6">
        <v>16.260000000000002</v>
      </c>
      <c r="BT222" s="6">
        <v>15.9</v>
      </c>
      <c r="BU222" s="6">
        <v>16.02</v>
      </c>
      <c r="BV222" s="6">
        <v>14.28</v>
      </c>
      <c r="BW222" s="6">
        <v>16.48</v>
      </c>
      <c r="BX222" s="6">
        <v>15.8</v>
      </c>
      <c r="BY222" s="6">
        <v>15.68</v>
      </c>
      <c r="BZ222" s="6">
        <v>14</v>
      </c>
      <c r="CA222" s="6">
        <v>16.28</v>
      </c>
      <c r="CB222" s="6">
        <v>16.36</v>
      </c>
      <c r="CC222" s="6">
        <v>16.3</v>
      </c>
      <c r="CD222" s="6">
        <v>14.52</v>
      </c>
      <c r="CE222" s="6">
        <v>15.14</v>
      </c>
      <c r="CF222" s="6">
        <v>15.24</v>
      </c>
      <c r="CG222" s="6">
        <v>16.72</v>
      </c>
      <c r="CH222" s="6">
        <v>17.36</v>
      </c>
      <c r="CI222" s="6">
        <v>17.82</v>
      </c>
      <c r="CJ222" s="11">
        <v>15.88</v>
      </c>
      <c r="CK222" s="6">
        <v>14.42</v>
      </c>
      <c r="CL222" s="6">
        <v>16.72</v>
      </c>
      <c r="CM222" s="6">
        <v>16.7</v>
      </c>
      <c r="CN222" s="6">
        <v>15.67</v>
      </c>
      <c r="CO222" s="10">
        <v>16.760000000000002</v>
      </c>
      <c r="CP222" s="10"/>
    </row>
    <row r="223" spans="1:94" ht="15.75" customHeight="1" x14ac:dyDescent="0.25">
      <c r="A223" s="4">
        <v>222</v>
      </c>
      <c r="B223" s="4"/>
      <c r="C223" s="4">
        <v>9</v>
      </c>
      <c r="D223" s="8">
        <v>15.56</v>
      </c>
      <c r="E223" s="8">
        <v>14.78</v>
      </c>
      <c r="F223" s="8">
        <v>15.1</v>
      </c>
      <c r="G223" s="8">
        <v>16.48</v>
      </c>
      <c r="H223" s="8">
        <v>13.88</v>
      </c>
      <c r="I223" s="8">
        <v>13.08</v>
      </c>
      <c r="J223" s="8">
        <v>14.46</v>
      </c>
      <c r="K223" s="8">
        <v>16.11</v>
      </c>
      <c r="L223" s="8">
        <v>17.82</v>
      </c>
      <c r="M223" s="8">
        <v>15.99</v>
      </c>
      <c r="N223" s="8">
        <v>16.79</v>
      </c>
      <c r="O223" s="8">
        <v>16.84</v>
      </c>
      <c r="P223" s="8">
        <v>16.04</v>
      </c>
      <c r="Q223" s="8">
        <v>16.04</v>
      </c>
      <c r="R223" s="8">
        <v>15.33</v>
      </c>
      <c r="S223" s="8">
        <v>16.16</v>
      </c>
      <c r="T223" s="8">
        <v>17.399999999999999</v>
      </c>
      <c r="U223" s="8">
        <v>16.02</v>
      </c>
      <c r="V223" s="8">
        <v>16.86</v>
      </c>
      <c r="W223" s="8">
        <v>16.75</v>
      </c>
      <c r="X223" s="8">
        <v>15.12</v>
      </c>
      <c r="Y223" s="8">
        <v>16.36</v>
      </c>
      <c r="Z223" s="8">
        <v>15.3</v>
      </c>
      <c r="AA223" s="8">
        <v>14.1</v>
      </c>
      <c r="AB223" s="8">
        <v>15.63</v>
      </c>
      <c r="AC223" s="8">
        <v>15.4</v>
      </c>
      <c r="AD223" s="8">
        <v>15</v>
      </c>
      <c r="AE223" s="8">
        <v>16.48</v>
      </c>
      <c r="AF223" s="8">
        <v>16.54</v>
      </c>
      <c r="AG223" s="8">
        <v>14.93</v>
      </c>
      <c r="AH223" s="8">
        <v>13.97</v>
      </c>
      <c r="AI223" s="8">
        <v>14.23</v>
      </c>
      <c r="AJ223" s="8">
        <v>16.84</v>
      </c>
      <c r="AK223" s="8">
        <v>15.87</v>
      </c>
      <c r="AL223" s="8">
        <v>14.92</v>
      </c>
      <c r="AM223" s="8">
        <v>15.65</v>
      </c>
      <c r="AN223" s="8">
        <v>15.74</v>
      </c>
      <c r="AO223" s="8">
        <v>15.67</v>
      </c>
      <c r="AP223" s="8">
        <v>13.17</v>
      </c>
      <c r="AQ223" s="8">
        <v>12.78</v>
      </c>
      <c r="AR223" s="8">
        <v>14.35</v>
      </c>
      <c r="AS223" s="8">
        <v>17.850000000000001</v>
      </c>
      <c r="AT223" s="8">
        <v>15.76</v>
      </c>
      <c r="AU223" s="6">
        <v>15.63</v>
      </c>
      <c r="AV223" s="6">
        <v>15.85</v>
      </c>
      <c r="AW223" s="6">
        <v>16.57</v>
      </c>
      <c r="AX223" s="6">
        <v>17.25</v>
      </c>
      <c r="AY223" s="6">
        <v>16.39</v>
      </c>
      <c r="AZ223" s="6">
        <v>16.07</v>
      </c>
      <c r="BA223" s="6">
        <v>14.76</v>
      </c>
      <c r="BB223" s="6">
        <v>14.61</v>
      </c>
      <c r="BC223" s="6">
        <v>16.57</v>
      </c>
      <c r="BD223" s="6">
        <v>14.44</v>
      </c>
      <c r="BE223" s="6">
        <v>15.15</v>
      </c>
      <c r="BF223" s="6">
        <v>14.44</v>
      </c>
      <c r="BG223" s="6">
        <v>16.57</v>
      </c>
      <c r="BH223" s="6">
        <v>15</v>
      </c>
      <c r="BI223" s="6">
        <v>15.48</v>
      </c>
      <c r="BJ223" s="6">
        <v>16.399999999999999</v>
      </c>
      <c r="BK223" s="6">
        <v>16.05</v>
      </c>
      <c r="BL223" s="6">
        <v>15.75</v>
      </c>
      <c r="BM223" s="6">
        <v>16.600000000000001</v>
      </c>
      <c r="BN223" s="6">
        <v>15.12</v>
      </c>
      <c r="BO223" s="6">
        <v>17.04</v>
      </c>
      <c r="BP223" s="6">
        <v>15.08</v>
      </c>
      <c r="BQ223" s="6">
        <v>15.42</v>
      </c>
      <c r="BR223" s="6">
        <v>13.28</v>
      </c>
      <c r="BS223" s="6">
        <v>16.3</v>
      </c>
      <c r="BT223" s="6">
        <v>16.02</v>
      </c>
      <c r="BU223" s="6">
        <v>16.059999999999999</v>
      </c>
      <c r="BV223" s="6">
        <v>14.34</v>
      </c>
      <c r="BW223" s="6">
        <v>16.5</v>
      </c>
      <c r="BX223" s="6">
        <v>15.78</v>
      </c>
      <c r="BY223" s="6">
        <v>15.7</v>
      </c>
      <c r="BZ223" s="6">
        <v>14.04</v>
      </c>
      <c r="CA223" s="6">
        <v>16.32</v>
      </c>
      <c r="CB223" s="6">
        <v>16.36</v>
      </c>
      <c r="CC223" s="6">
        <v>16.38</v>
      </c>
      <c r="CD223" s="6">
        <v>14.6</v>
      </c>
      <c r="CE223" s="6">
        <v>15.2</v>
      </c>
      <c r="CF223" s="6">
        <v>15.24</v>
      </c>
      <c r="CG223" s="6">
        <v>16.72</v>
      </c>
      <c r="CH223" s="6">
        <v>17.34</v>
      </c>
      <c r="CI223" s="6">
        <v>17.88</v>
      </c>
      <c r="CJ223" s="11">
        <v>15.98</v>
      </c>
      <c r="CK223" s="6">
        <v>14.48</v>
      </c>
      <c r="CL223" s="6">
        <v>16.72</v>
      </c>
      <c r="CM223" s="6">
        <v>16.7</v>
      </c>
      <c r="CN223" s="6">
        <v>15.64</v>
      </c>
      <c r="CO223" s="10">
        <v>16.760000000000002</v>
      </c>
      <c r="CP223" s="10"/>
    </row>
    <row r="224" spans="1:94" ht="15.75" customHeight="1" x14ac:dyDescent="0.25">
      <c r="A224" s="4">
        <v>223</v>
      </c>
      <c r="B224" s="4"/>
      <c r="C224" s="4">
        <v>10</v>
      </c>
      <c r="D224" s="8">
        <v>15.58</v>
      </c>
      <c r="E224" s="8">
        <v>14.88</v>
      </c>
      <c r="F224" s="8">
        <v>15.12</v>
      </c>
      <c r="G224" s="8">
        <v>16.579999999999998</v>
      </c>
      <c r="H224" s="8">
        <v>13.93</v>
      </c>
      <c r="I224" s="8">
        <v>13.18</v>
      </c>
      <c r="J224" s="8">
        <v>14.48</v>
      </c>
      <c r="K224" s="8">
        <v>16.11</v>
      </c>
      <c r="L224" s="8">
        <v>17.86</v>
      </c>
      <c r="M224" s="8">
        <v>15.95</v>
      </c>
      <c r="N224" s="8">
        <v>16.899999999999999</v>
      </c>
      <c r="O224" s="8">
        <v>16.95</v>
      </c>
      <c r="P224" s="8">
        <v>16.03</v>
      </c>
      <c r="Q224" s="8">
        <v>16.100000000000001</v>
      </c>
      <c r="R224" s="8">
        <v>15.43</v>
      </c>
      <c r="S224" s="8">
        <v>16.190000000000001</v>
      </c>
      <c r="T224" s="8">
        <v>17.37</v>
      </c>
      <c r="U224" s="8">
        <v>16.079999999999998</v>
      </c>
      <c r="V224" s="8">
        <v>16.91</v>
      </c>
      <c r="W224" s="8">
        <v>16.79</v>
      </c>
      <c r="X224" s="8">
        <v>15.2</v>
      </c>
      <c r="Y224" s="8">
        <v>16.37</v>
      </c>
      <c r="Z224" s="8">
        <v>15.33</v>
      </c>
      <c r="AA224" s="8">
        <v>14.16</v>
      </c>
      <c r="AB224" s="8">
        <v>15.63</v>
      </c>
      <c r="AC224" s="8">
        <v>15.52</v>
      </c>
      <c r="AD224" s="8">
        <v>15.04</v>
      </c>
      <c r="AE224" s="8">
        <v>16.52</v>
      </c>
      <c r="AF224" s="8">
        <v>16.600000000000001</v>
      </c>
      <c r="AG224" s="8">
        <v>14.96</v>
      </c>
      <c r="AH224" s="8">
        <v>14.05</v>
      </c>
      <c r="AI224" s="8">
        <v>14.33</v>
      </c>
      <c r="AJ224" s="8">
        <v>16.93</v>
      </c>
      <c r="AK224" s="8">
        <v>15.94</v>
      </c>
      <c r="AL224" s="8">
        <v>14.95</v>
      </c>
      <c r="AM224" s="8">
        <v>15.67</v>
      </c>
      <c r="AN224" s="8">
        <v>15.76</v>
      </c>
      <c r="AO224" s="8">
        <v>15.69</v>
      </c>
      <c r="AP224" s="8">
        <v>13.2</v>
      </c>
      <c r="AQ224" s="8">
        <v>12.86</v>
      </c>
      <c r="AR224" s="8">
        <v>14.4</v>
      </c>
      <c r="AS224" s="8">
        <v>17.829999999999998</v>
      </c>
      <c r="AT224" s="8">
        <v>15.84</v>
      </c>
      <c r="AU224" s="6">
        <v>15.67</v>
      </c>
      <c r="AV224" s="6">
        <v>15.88</v>
      </c>
      <c r="AW224" s="6">
        <v>16.59</v>
      </c>
      <c r="AX224" s="6">
        <v>17.25</v>
      </c>
      <c r="AY224" s="6">
        <v>16.399999999999999</v>
      </c>
      <c r="AZ224" s="6">
        <v>16.149999999999999</v>
      </c>
      <c r="BA224" s="6">
        <v>14.81</v>
      </c>
      <c r="BB224" s="6">
        <v>14.71</v>
      </c>
      <c r="BC224" s="6">
        <v>16.62</v>
      </c>
      <c r="BD224" s="6">
        <v>14.46</v>
      </c>
      <c r="BE224" s="6">
        <v>15.31</v>
      </c>
      <c r="BF224" s="6">
        <v>14.44</v>
      </c>
      <c r="BG224" s="6">
        <v>16.57</v>
      </c>
      <c r="BH224" s="6">
        <v>15.07</v>
      </c>
      <c r="BI224" s="6">
        <v>15.54</v>
      </c>
      <c r="BJ224" s="6">
        <v>16.46</v>
      </c>
      <c r="BK224" s="6">
        <v>16.02</v>
      </c>
      <c r="BL224" s="6">
        <v>15.74</v>
      </c>
      <c r="BM224" s="6">
        <v>16.600000000000001</v>
      </c>
      <c r="BN224" s="6">
        <v>15.12</v>
      </c>
      <c r="BO224" s="6">
        <v>17.05</v>
      </c>
      <c r="BP224" s="6">
        <v>15.12</v>
      </c>
      <c r="BQ224" s="6">
        <v>15.46</v>
      </c>
      <c r="BR224" s="6">
        <v>13.4</v>
      </c>
      <c r="BS224" s="6">
        <v>16.32</v>
      </c>
      <c r="BT224" s="6">
        <v>15.96</v>
      </c>
      <c r="BU224" s="6">
        <v>16.04</v>
      </c>
      <c r="BV224" s="6">
        <v>14.4</v>
      </c>
      <c r="BW224" s="6">
        <v>16.52</v>
      </c>
      <c r="BX224" s="6">
        <v>15.84</v>
      </c>
      <c r="BY224" s="6">
        <v>15.7</v>
      </c>
      <c r="BZ224" s="6">
        <v>14.08</v>
      </c>
      <c r="CA224" s="6">
        <v>16.36</v>
      </c>
      <c r="CB224" s="6">
        <v>16.36</v>
      </c>
      <c r="CC224" s="6">
        <v>16.46</v>
      </c>
      <c r="CD224" s="6">
        <v>14.62</v>
      </c>
      <c r="CE224" s="6">
        <v>15.26</v>
      </c>
      <c r="CF224" s="6">
        <v>15</v>
      </c>
      <c r="CG224" s="6">
        <v>16.760000000000002</v>
      </c>
      <c r="CH224" s="6">
        <v>17.34</v>
      </c>
      <c r="CI224" s="6">
        <v>17.920000000000002</v>
      </c>
      <c r="CJ224" s="11">
        <v>16.04</v>
      </c>
      <c r="CK224" s="6">
        <v>14.54</v>
      </c>
      <c r="CL224" s="6">
        <v>16.760000000000002</v>
      </c>
      <c r="CM224" s="6">
        <v>16.71</v>
      </c>
      <c r="CN224" s="6">
        <v>15.65</v>
      </c>
      <c r="CO224" s="10">
        <v>16.72</v>
      </c>
      <c r="CP224" s="10"/>
    </row>
    <row r="225" spans="1:94" ht="15.75" customHeight="1" x14ac:dyDescent="0.25">
      <c r="A225" s="4">
        <v>224</v>
      </c>
      <c r="B225" s="4"/>
      <c r="C225" s="4">
        <v>11</v>
      </c>
      <c r="D225" s="8">
        <v>15.6</v>
      </c>
      <c r="E225" s="8">
        <v>14.93</v>
      </c>
      <c r="F225" s="8">
        <v>15.14</v>
      </c>
      <c r="G225" s="8">
        <v>16.68</v>
      </c>
      <c r="H225" s="8">
        <v>13.93</v>
      </c>
      <c r="I225" s="8">
        <v>13.28</v>
      </c>
      <c r="J225" s="8">
        <v>14.51</v>
      </c>
      <c r="K225" s="8">
        <v>16.11</v>
      </c>
      <c r="L225" s="8">
        <v>17.899999999999999</v>
      </c>
      <c r="M225" s="8">
        <v>15.92</v>
      </c>
      <c r="N225" s="8">
        <v>16.95</v>
      </c>
      <c r="O225" s="8">
        <v>16.989999999999998</v>
      </c>
      <c r="P225" s="8">
        <v>16.03</v>
      </c>
      <c r="Q225" s="8">
        <v>16.12</v>
      </c>
      <c r="R225" s="8">
        <v>15.49</v>
      </c>
      <c r="S225" s="8">
        <v>16.2</v>
      </c>
      <c r="T225" s="8">
        <v>17.350000000000001</v>
      </c>
      <c r="U225" s="8">
        <v>16.11</v>
      </c>
      <c r="V225" s="8">
        <v>16.93</v>
      </c>
      <c r="W225" s="8">
        <v>16.89</v>
      </c>
      <c r="X225" s="8">
        <v>15.2</v>
      </c>
      <c r="Y225" s="8">
        <v>16.43</v>
      </c>
      <c r="Z225" s="8">
        <v>15.33</v>
      </c>
      <c r="AA225" s="8">
        <v>14.28</v>
      </c>
      <c r="AB225" s="8">
        <v>15.63</v>
      </c>
      <c r="AC225" s="8">
        <v>15.63</v>
      </c>
      <c r="AD225" s="8">
        <v>15.11</v>
      </c>
      <c r="AE225" s="8">
        <v>16.61</v>
      </c>
      <c r="AF225" s="8">
        <v>16.62</v>
      </c>
      <c r="AG225" s="8">
        <v>15</v>
      </c>
      <c r="AH225" s="8">
        <v>14.09</v>
      </c>
      <c r="AI225" s="8">
        <v>14.44</v>
      </c>
      <c r="AJ225" s="8">
        <v>16.98</v>
      </c>
      <c r="AK225" s="8">
        <v>16.010000000000002</v>
      </c>
      <c r="AL225" s="8">
        <v>15.01</v>
      </c>
      <c r="AM225" s="8">
        <v>15.7</v>
      </c>
      <c r="AN225" s="8">
        <v>15.77</v>
      </c>
      <c r="AO225" s="8">
        <v>15.74</v>
      </c>
      <c r="AP225" s="8">
        <v>13.21</v>
      </c>
      <c r="AQ225" s="8">
        <v>13.12</v>
      </c>
      <c r="AR225" s="8">
        <v>14.46</v>
      </c>
      <c r="AS225" s="8">
        <v>17.829999999999998</v>
      </c>
      <c r="AT225" s="8">
        <v>15.93</v>
      </c>
      <c r="AU225" s="6">
        <v>15.69</v>
      </c>
      <c r="AV225" s="6">
        <v>15.93</v>
      </c>
      <c r="AW225" s="6">
        <v>16.62</v>
      </c>
      <c r="AX225" s="6">
        <v>17.22</v>
      </c>
      <c r="AY225" s="6">
        <v>16.440000000000001</v>
      </c>
      <c r="AZ225" s="6">
        <v>16.22</v>
      </c>
      <c r="BA225" s="6">
        <v>14.85</v>
      </c>
      <c r="BB225" s="6">
        <v>14.77</v>
      </c>
      <c r="BC225" s="6">
        <v>16.649999999999999</v>
      </c>
      <c r="BD225" s="6">
        <v>14.46</v>
      </c>
      <c r="BE225" s="6">
        <v>15.42</v>
      </c>
      <c r="BF225" s="6">
        <v>14.46</v>
      </c>
      <c r="BG225" s="6">
        <v>16.600000000000001</v>
      </c>
      <c r="BH225" s="6">
        <v>15.14</v>
      </c>
      <c r="BI225" s="6">
        <v>15.64</v>
      </c>
      <c r="BJ225" s="6">
        <v>16.440000000000001</v>
      </c>
      <c r="BK225" s="6">
        <v>16.059999999999999</v>
      </c>
      <c r="BL225" s="6">
        <v>15.78</v>
      </c>
      <c r="BM225" s="6">
        <v>16.62</v>
      </c>
      <c r="BN225" s="6">
        <v>15.15</v>
      </c>
      <c r="BO225" s="6">
        <v>17.059999999999999</v>
      </c>
      <c r="BP225" s="6">
        <v>15.18</v>
      </c>
      <c r="BQ225" s="6">
        <v>15.5</v>
      </c>
      <c r="BR225" s="6">
        <v>13.5</v>
      </c>
      <c r="BS225" s="6">
        <v>16.36</v>
      </c>
      <c r="BT225" s="6">
        <v>15.94</v>
      </c>
      <c r="BU225" s="6">
        <v>16.11</v>
      </c>
      <c r="BV225" s="6">
        <v>14.5</v>
      </c>
      <c r="BW225" s="6">
        <v>16.559999999999999</v>
      </c>
      <c r="BX225" s="6">
        <v>15.84</v>
      </c>
      <c r="BY225" s="6">
        <v>15.76</v>
      </c>
      <c r="BZ225" s="6">
        <v>14.2</v>
      </c>
      <c r="CA225" s="6">
        <v>16.420000000000002</v>
      </c>
      <c r="CB225" s="6">
        <v>16.32</v>
      </c>
      <c r="CC225" s="6">
        <v>16.52</v>
      </c>
      <c r="CD225" s="6">
        <v>14.66</v>
      </c>
      <c r="CE225" s="6">
        <v>15.32</v>
      </c>
      <c r="CF225" s="6">
        <v>15.26</v>
      </c>
      <c r="CG225" s="6">
        <v>16.78</v>
      </c>
      <c r="CH225" s="6">
        <v>17.28</v>
      </c>
      <c r="CI225" s="6">
        <v>17.98</v>
      </c>
      <c r="CJ225" s="11">
        <v>16.04</v>
      </c>
      <c r="CK225" s="6">
        <v>14.62</v>
      </c>
      <c r="CL225" s="6">
        <v>16.760000000000002</v>
      </c>
      <c r="CM225" s="6">
        <v>16.73</v>
      </c>
      <c r="CN225" s="6">
        <v>15.65</v>
      </c>
      <c r="CO225" s="10">
        <v>16.7</v>
      </c>
      <c r="CP225" s="10"/>
    </row>
    <row r="226" spans="1:94" ht="15.75" customHeight="1" x14ac:dyDescent="0.25">
      <c r="A226" s="4">
        <v>225</v>
      </c>
      <c r="B226" s="4"/>
      <c r="C226" s="4">
        <v>12</v>
      </c>
      <c r="D226" s="8">
        <v>15.62</v>
      </c>
      <c r="E226" s="8">
        <v>14.98</v>
      </c>
      <c r="F226" s="8">
        <v>15.18</v>
      </c>
      <c r="G226" s="8">
        <v>16.78</v>
      </c>
      <c r="H226" s="8">
        <v>13.93</v>
      </c>
      <c r="I226" s="8">
        <v>13.43</v>
      </c>
      <c r="J226" s="8">
        <v>14.55</v>
      </c>
      <c r="K226" s="8">
        <v>16.12</v>
      </c>
      <c r="L226" s="8">
        <v>17.920000000000002</v>
      </c>
      <c r="M226" s="8">
        <v>15.88</v>
      </c>
      <c r="N226" s="8">
        <v>16.95</v>
      </c>
      <c r="O226" s="8">
        <v>17.010000000000002</v>
      </c>
      <c r="P226" s="8">
        <v>16.04</v>
      </c>
      <c r="Q226" s="8">
        <v>16.170000000000002</v>
      </c>
      <c r="R226" s="8">
        <v>15.57</v>
      </c>
      <c r="S226" s="8">
        <v>16.2</v>
      </c>
      <c r="T226" s="8">
        <v>17.350000000000001</v>
      </c>
      <c r="U226" s="8">
        <v>16.16</v>
      </c>
      <c r="V226" s="8">
        <v>16.93</v>
      </c>
      <c r="W226" s="8">
        <v>16.95</v>
      </c>
      <c r="X226" s="8">
        <v>15.2</v>
      </c>
      <c r="Y226" s="8">
        <v>16.46</v>
      </c>
      <c r="Z226" s="8">
        <v>15.35</v>
      </c>
      <c r="AA226" s="8">
        <v>14.42</v>
      </c>
      <c r="AB226" s="8">
        <v>15.63</v>
      </c>
      <c r="AC226" s="8">
        <v>15.75</v>
      </c>
      <c r="AD226" s="8">
        <v>15.17</v>
      </c>
      <c r="AE226" s="8">
        <v>16.7</v>
      </c>
      <c r="AF226" s="8">
        <v>16.649999999999999</v>
      </c>
      <c r="AG226" s="8">
        <v>15.1</v>
      </c>
      <c r="AH226" s="8">
        <v>14.13</v>
      </c>
      <c r="AI226" s="8">
        <v>14.55</v>
      </c>
      <c r="AJ226" s="8">
        <v>17.02</v>
      </c>
      <c r="AK226" s="8">
        <v>16.059999999999999</v>
      </c>
      <c r="AL226" s="8">
        <v>15.1</v>
      </c>
      <c r="AM226" s="8">
        <v>15.72</v>
      </c>
      <c r="AN226" s="8">
        <v>15.78</v>
      </c>
      <c r="AO226" s="8">
        <v>15.79</v>
      </c>
      <c r="AP226" s="8">
        <v>13.21</v>
      </c>
      <c r="AQ226" s="8">
        <v>13.32</v>
      </c>
      <c r="AR226" s="8">
        <v>14.5</v>
      </c>
      <c r="AS226" s="8">
        <v>17.829999999999998</v>
      </c>
      <c r="AT226" s="8">
        <v>16.02</v>
      </c>
      <c r="AU226" s="6">
        <v>15.73</v>
      </c>
      <c r="AV226" s="6">
        <v>16.010000000000002</v>
      </c>
      <c r="AW226" s="6">
        <v>16.68</v>
      </c>
      <c r="AX226" s="6">
        <v>17.22</v>
      </c>
      <c r="AY226" s="6">
        <v>16.46</v>
      </c>
      <c r="AZ226" s="6">
        <v>16.29</v>
      </c>
      <c r="BA226" s="6">
        <v>14.86</v>
      </c>
      <c r="BB226" s="6">
        <v>14.84</v>
      </c>
      <c r="BC226" s="6">
        <v>16.7</v>
      </c>
      <c r="BD226" s="6">
        <v>14.48</v>
      </c>
      <c r="BE226" s="6">
        <v>15.47</v>
      </c>
      <c r="BF226" s="6">
        <v>14.47</v>
      </c>
      <c r="BG226" s="6">
        <v>16.600000000000001</v>
      </c>
      <c r="BH226" s="6">
        <v>15.22</v>
      </c>
      <c r="BI226" s="6">
        <v>15.76</v>
      </c>
      <c r="BJ226" s="6">
        <v>16.45</v>
      </c>
      <c r="BK226" s="6">
        <v>16.059999999999999</v>
      </c>
      <c r="BL226" s="6">
        <v>15.78</v>
      </c>
      <c r="BM226" s="6">
        <v>16.62</v>
      </c>
      <c r="BN226" s="6">
        <v>15.16</v>
      </c>
      <c r="BO226" s="6">
        <v>17.079999999999998</v>
      </c>
      <c r="BP226" s="6">
        <v>15.22</v>
      </c>
      <c r="BQ226" s="6">
        <v>15.54</v>
      </c>
      <c r="BR226" s="6">
        <v>13.6</v>
      </c>
      <c r="BS226" s="6">
        <v>16.36</v>
      </c>
      <c r="BT226" s="6">
        <v>15.96</v>
      </c>
      <c r="BU226" s="6">
        <v>16.12</v>
      </c>
      <c r="BV226" s="6">
        <v>14.6</v>
      </c>
      <c r="BW226" s="6">
        <v>16.579999999999998</v>
      </c>
      <c r="BX226" s="6">
        <v>15.86</v>
      </c>
      <c r="BY226" s="6">
        <v>15.78</v>
      </c>
      <c r="BZ226" s="6">
        <v>14.2</v>
      </c>
      <c r="CA226" s="6">
        <v>16.420000000000002</v>
      </c>
      <c r="CB226" s="6">
        <v>16.3</v>
      </c>
      <c r="CC226" s="6">
        <v>16.66</v>
      </c>
      <c r="CD226" s="6">
        <v>14.66</v>
      </c>
      <c r="CE226" s="6">
        <v>15.4</v>
      </c>
      <c r="CF226" s="6">
        <v>15.28</v>
      </c>
      <c r="CG226" s="6">
        <v>16.8</v>
      </c>
      <c r="CH226" s="6">
        <v>17.22</v>
      </c>
      <c r="CI226" s="11">
        <v>18</v>
      </c>
      <c r="CJ226" s="11">
        <v>16</v>
      </c>
      <c r="CK226" s="6">
        <v>14.72</v>
      </c>
      <c r="CL226" s="6">
        <v>16.78</v>
      </c>
      <c r="CM226" s="6">
        <v>16.73</v>
      </c>
      <c r="CN226" s="6">
        <v>15.67</v>
      </c>
      <c r="CO226" s="10">
        <v>16.690000000000001</v>
      </c>
      <c r="CP226" s="10"/>
    </row>
    <row r="227" spans="1:94" ht="15.75" customHeight="1" x14ac:dyDescent="0.25">
      <c r="A227" s="4">
        <v>226</v>
      </c>
      <c r="B227" s="4"/>
      <c r="C227" s="4">
        <v>13</v>
      </c>
      <c r="D227" s="8">
        <v>15.66</v>
      </c>
      <c r="E227" s="8">
        <v>15.03</v>
      </c>
      <c r="F227" s="8">
        <v>15.23</v>
      </c>
      <c r="G227" s="8">
        <v>16.829999999999998</v>
      </c>
      <c r="H227" s="8">
        <v>13.93</v>
      </c>
      <c r="I227" s="8">
        <v>13.58</v>
      </c>
      <c r="J227" s="8">
        <v>14.59</v>
      </c>
      <c r="K227" s="8">
        <v>16.12</v>
      </c>
      <c r="L227" s="8">
        <v>17.940000000000001</v>
      </c>
      <c r="M227" s="8">
        <v>15.91</v>
      </c>
      <c r="N227" s="8">
        <v>16.93</v>
      </c>
      <c r="O227" s="8">
        <v>17.04</v>
      </c>
      <c r="P227" s="8">
        <v>16.03</v>
      </c>
      <c r="Q227" s="8">
        <v>16.190000000000001</v>
      </c>
      <c r="R227" s="8">
        <v>15.63</v>
      </c>
      <c r="S227" s="8">
        <v>16.2</v>
      </c>
      <c r="T227" s="8">
        <v>17.350000000000001</v>
      </c>
      <c r="U227" s="8">
        <v>16.2</v>
      </c>
      <c r="V227" s="8">
        <v>16.93</v>
      </c>
      <c r="W227" s="8">
        <v>17.02</v>
      </c>
      <c r="X227" s="8">
        <v>15.15</v>
      </c>
      <c r="Y227" s="8">
        <v>16.510000000000002</v>
      </c>
      <c r="Z227" s="8">
        <v>15.35</v>
      </c>
      <c r="AA227" s="8">
        <v>14.51</v>
      </c>
      <c r="AB227" s="8">
        <v>15.63</v>
      </c>
      <c r="AC227" s="8">
        <v>15.83</v>
      </c>
      <c r="AD227" s="8">
        <v>15.23</v>
      </c>
      <c r="AE227" s="8">
        <v>16.79</v>
      </c>
      <c r="AF227" s="8">
        <v>16.649999999999999</v>
      </c>
      <c r="AG227" s="8">
        <v>15.18</v>
      </c>
      <c r="AH227" s="8">
        <v>14.17</v>
      </c>
      <c r="AI227" s="8">
        <v>14.67</v>
      </c>
      <c r="AJ227" s="8">
        <v>17.059999999999999</v>
      </c>
      <c r="AK227" s="8">
        <v>16.11</v>
      </c>
      <c r="AL227" s="8">
        <v>15.16</v>
      </c>
      <c r="AM227" s="8">
        <v>15.75</v>
      </c>
      <c r="AN227" s="8">
        <v>15.83</v>
      </c>
      <c r="AO227" s="8">
        <v>15.82</v>
      </c>
      <c r="AP227" s="8">
        <v>13.21</v>
      </c>
      <c r="AQ227" s="8">
        <v>13.46</v>
      </c>
      <c r="AR227" s="8">
        <v>14.52</v>
      </c>
      <c r="AS227" s="8">
        <v>17.829999999999998</v>
      </c>
      <c r="AT227" s="8">
        <v>16.09</v>
      </c>
      <c r="AU227" s="6">
        <v>15.77</v>
      </c>
      <c r="AV227" s="6">
        <v>16.04</v>
      </c>
      <c r="AW227" s="6">
        <v>16.73</v>
      </c>
      <c r="AX227" s="6">
        <v>17.25</v>
      </c>
      <c r="AY227" s="6">
        <v>16.5</v>
      </c>
      <c r="AZ227" s="6">
        <v>16.37</v>
      </c>
      <c r="BA227" s="6">
        <v>14.89</v>
      </c>
      <c r="BB227" s="6">
        <v>14.89</v>
      </c>
      <c r="BC227" s="6">
        <v>16.760000000000002</v>
      </c>
      <c r="BD227" s="6">
        <v>14.5</v>
      </c>
      <c r="BE227" s="6">
        <v>15.53</v>
      </c>
      <c r="BF227" s="6">
        <v>14.48</v>
      </c>
      <c r="BG227" s="6">
        <v>16.57</v>
      </c>
      <c r="BH227" s="6">
        <v>15.27</v>
      </c>
      <c r="BI227" s="6">
        <v>15.86</v>
      </c>
      <c r="BJ227" s="6">
        <v>16.45</v>
      </c>
      <c r="BK227" s="6">
        <v>16.02</v>
      </c>
      <c r="BL227" s="6">
        <v>15.8</v>
      </c>
      <c r="BM227" s="6">
        <v>16.64</v>
      </c>
      <c r="BN227" s="6">
        <v>15.23</v>
      </c>
      <c r="BO227" s="6">
        <v>17.079999999999998</v>
      </c>
      <c r="BP227" s="6">
        <v>15.32</v>
      </c>
      <c r="BQ227" s="6">
        <v>15.56</v>
      </c>
      <c r="BR227" s="6">
        <v>13.7</v>
      </c>
      <c r="BS227" s="6">
        <v>16.38</v>
      </c>
      <c r="BT227" s="6">
        <v>16</v>
      </c>
      <c r="BU227" s="6">
        <v>16.16</v>
      </c>
      <c r="BV227" s="6">
        <v>14.7</v>
      </c>
      <c r="BW227" s="6">
        <v>16.62</v>
      </c>
      <c r="BX227" s="6">
        <v>15.88</v>
      </c>
      <c r="BY227" s="6">
        <v>15.82</v>
      </c>
      <c r="BZ227" s="6">
        <v>14.3</v>
      </c>
      <c r="CA227" s="6">
        <v>16.46</v>
      </c>
      <c r="CB227" s="6">
        <v>16.260000000000002</v>
      </c>
      <c r="CC227" s="6">
        <v>16.760000000000002</v>
      </c>
      <c r="CD227" s="6">
        <v>14.68</v>
      </c>
      <c r="CE227" s="6">
        <v>15.46</v>
      </c>
      <c r="CF227" s="6">
        <v>15.28</v>
      </c>
      <c r="CG227" s="6">
        <v>16.8</v>
      </c>
      <c r="CH227" s="6">
        <v>17.16</v>
      </c>
      <c r="CI227" s="6">
        <v>18.02</v>
      </c>
      <c r="CJ227" s="11">
        <v>16.02</v>
      </c>
      <c r="CK227" s="6">
        <v>14.76</v>
      </c>
      <c r="CL227" s="6">
        <v>16.8</v>
      </c>
      <c r="CM227" s="6">
        <v>16.71</v>
      </c>
      <c r="CN227" s="6">
        <v>15.66</v>
      </c>
      <c r="CO227" s="10">
        <v>16.690000000000001</v>
      </c>
      <c r="CP227" s="10"/>
    </row>
    <row r="228" spans="1:94" ht="15.75" customHeight="1" x14ac:dyDescent="0.25">
      <c r="A228" s="4">
        <v>227</v>
      </c>
      <c r="B228" s="4"/>
      <c r="C228" s="4">
        <v>14</v>
      </c>
      <c r="D228" s="8">
        <v>15.7</v>
      </c>
      <c r="E228" s="8">
        <v>15.08</v>
      </c>
      <c r="F228" s="8">
        <v>15.28</v>
      </c>
      <c r="G228" s="8">
        <v>16.87</v>
      </c>
      <c r="H228" s="8">
        <v>13.98</v>
      </c>
      <c r="I228" s="8">
        <v>13.68</v>
      </c>
      <c r="J228" s="8">
        <v>14.62</v>
      </c>
      <c r="K228" s="8">
        <v>16.09</v>
      </c>
      <c r="L228" s="8">
        <v>17.95</v>
      </c>
      <c r="M228" s="8">
        <v>15.96</v>
      </c>
      <c r="N228" s="8">
        <v>16.920000000000002</v>
      </c>
      <c r="O228" s="8">
        <v>17.059999999999999</v>
      </c>
      <c r="P228" s="8">
        <v>15.98</v>
      </c>
      <c r="Q228" s="8">
        <v>16.2</v>
      </c>
      <c r="R228" s="8">
        <v>15.69</v>
      </c>
      <c r="S228" s="8">
        <v>16.260000000000002</v>
      </c>
      <c r="T228" s="8">
        <v>17.37</v>
      </c>
      <c r="U228" s="8">
        <v>16.27</v>
      </c>
      <c r="V228" s="8">
        <v>16.93</v>
      </c>
      <c r="W228" s="8">
        <v>17.04</v>
      </c>
      <c r="X228" s="8">
        <v>15.07</v>
      </c>
      <c r="Y228" s="8">
        <v>16.54</v>
      </c>
      <c r="Z228" s="8">
        <v>15.35</v>
      </c>
      <c r="AA228" s="8">
        <v>14.6</v>
      </c>
      <c r="AB228" s="8">
        <v>15.63</v>
      </c>
      <c r="AC228" s="8">
        <v>15.89</v>
      </c>
      <c r="AD228" s="8">
        <v>15.29</v>
      </c>
      <c r="AE228" s="8">
        <v>16.87</v>
      </c>
      <c r="AF228" s="8">
        <v>16.649999999999999</v>
      </c>
      <c r="AG228" s="8">
        <v>15.28</v>
      </c>
      <c r="AH228" s="8">
        <v>14.19</v>
      </c>
      <c r="AI228" s="8">
        <v>14.77</v>
      </c>
      <c r="AJ228" s="8">
        <v>17.09</v>
      </c>
      <c r="AK228" s="8">
        <v>16.12</v>
      </c>
      <c r="AL228" s="8">
        <v>15.19</v>
      </c>
      <c r="AM228" s="8">
        <v>15.8</v>
      </c>
      <c r="AN228" s="8">
        <v>15.9</v>
      </c>
      <c r="AO228" s="8">
        <v>15.85</v>
      </c>
      <c r="AP228" s="8">
        <v>13.2</v>
      </c>
      <c r="AQ228" s="8">
        <v>13.58</v>
      </c>
      <c r="AR228" s="8">
        <v>14.54</v>
      </c>
      <c r="AS228" s="8">
        <v>17.809999999999999</v>
      </c>
      <c r="AT228" s="8">
        <v>16.12</v>
      </c>
      <c r="AU228" s="6">
        <v>15.69</v>
      </c>
      <c r="AV228" s="6">
        <v>16.09</v>
      </c>
      <c r="AW228" s="6">
        <v>16.760000000000002</v>
      </c>
      <c r="AX228" s="6">
        <v>17.29</v>
      </c>
      <c r="AY228" s="6">
        <v>16.52</v>
      </c>
      <c r="AZ228" s="6">
        <v>16.45</v>
      </c>
      <c r="BA228" s="6">
        <v>14.89</v>
      </c>
      <c r="BB228" s="6">
        <v>14.93</v>
      </c>
      <c r="BC228" s="6">
        <v>16.79</v>
      </c>
      <c r="BD228" s="6">
        <v>14.51</v>
      </c>
      <c r="BE228" s="6">
        <v>15.64</v>
      </c>
      <c r="BF228" s="6">
        <v>14.5</v>
      </c>
      <c r="BG228" s="6">
        <v>16.55</v>
      </c>
      <c r="BH228" s="6">
        <v>15.31</v>
      </c>
      <c r="BI228" s="6">
        <v>15.96</v>
      </c>
      <c r="BJ228" s="6">
        <v>16.47</v>
      </c>
      <c r="BK228" s="6">
        <v>16</v>
      </c>
      <c r="BL228" s="6">
        <v>15.8</v>
      </c>
      <c r="BM228" s="6">
        <v>16.66</v>
      </c>
      <c r="BN228" s="6">
        <v>15.3</v>
      </c>
      <c r="BO228" s="6">
        <v>17.04</v>
      </c>
      <c r="BP228" s="6">
        <v>15.35</v>
      </c>
      <c r="BQ228" s="6">
        <v>15.58</v>
      </c>
      <c r="BR228" s="6">
        <v>13.8</v>
      </c>
      <c r="BS228" s="6">
        <v>16.39</v>
      </c>
      <c r="BT228" s="6">
        <v>16.02</v>
      </c>
      <c r="BU228" s="6">
        <v>16.18</v>
      </c>
      <c r="BV228" s="6">
        <v>14.76</v>
      </c>
      <c r="BW228" s="6">
        <v>16.66</v>
      </c>
      <c r="BX228" s="6">
        <v>15.9</v>
      </c>
      <c r="BY228" s="6">
        <v>15.88</v>
      </c>
      <c r="BZ228" s="6">
        <v>14.34</v>
      </c>
      <c r="CA228" s="6">
        <v>16.5</v>
      </c>
      <c r="CB228" s="6">
        <v>16.239999999999998</v>
      </c>
      <c r="CC228" s="6">
        <v>16.8</v>
      </c>
      <c r="CD228" s="6">
        <v>14.7</v>
      </c>
      <c r="CE228" s="6">
        <v>15.5</v>
      </c>
      <c r="CF228" s="6">
        <v>15.28</v>
      </c>
      <c r="CG228" s="6">
        <v>16.8</v>
      </c>
      <c r="CH228" s="6">
        <v>17.12</v>
      </c>
      <c r="CI228" s="6">
        <v>18.04</v>
      </c>
      <c r="CJ228" s="11">
        <v>16.059999999999999</v>
      </c>
      <c r="CK228" s="6">
        <v>14.78</v>
      </c>
      <c r="CL228" s="6">
        <v>16.86</v>
      </c>
      <c r="CM228" s="6">
        <v>16.690000000000001</v>
      </c>
      <c r="CN228" s="6">
        <v>15.64</v>
      </c>
      <c r="CO228" s="10">
        <v>16.68</v>
      </c>
      <c r="CP228" s="10"/>
    </row>
    <row r="229" spans="1:94" ht="15.75" customHeight="1" x14ac:dyDescent="0.25">
      <c r="A229" s="4">
        <v>228</v>
      </c>
      <c r="B229" s="4"/>
      <c r="C229" s="4">
        <v>15</v>
      </c>
      <c r="D229" s="8">
        <v>15.73</v>
      </c>
      <c r="E229" s="8">
        <v>15.12</v>
      </c>
      <c r="F229" s="8">
        <v>15.33</v>
      </c>
      <c r="G229" s="8">
        <v>16.920000000000002</v>
      </c>
      <c r="H229" s="8">
        <v>14.03</v>
      </c>
      <c r="I229" s="8">
        <v>13.73</v>
      </c>
      <c r="J229" s="8">
        <v>14.64</v>
      </c>
      <c r="K229" s="8">
        <v>16.079999999999998</v>
      </c>
      <c r="L229" s="8">
        <v>17.98</v>
      </c>
      <c r="M229" s="8">
        <v>16.010000000000002</v>
      </c>
      <c r="N229" s="8">
        <v>16.91</v>
      </c>
      <c r="O229" s="8">
        <v>17.100000000000001</v>
      </c>
      <c r="P229" s="8">
        <v>15.95</v>
      </c>
      <c r="Q229" s="8">
        <v>16.2</v>
      </c>
      <c r="R229" s="8">
        <v>15.74</v>
      </c>
      <c r="S229" s="8">
        <v>16.309999999999999</v>
      </c>
      <c r="T229" s="8">
        <v>17.45</v>
      </c>
      <c r="U229" s="8">
        <v>16.329999999999998</v>
      </c>
      <c r="V229" s="8">
        <v>16.93</v>
      </c>
      <c r="W229" s="8">
        <v>17.04</v>
      </c>
      <c r="X229" s="8">
        <v>15.03</v>
      </c>
      <c r="Y229" s="8">
        <v>16.54</v>
      </c>
      <c r="Z229" s="8">
        <v>15.33</v>
      </c>
      <c r="AA229" s="8">
        <v>14.66</v>
      </c>
      <c r="AB229" s="8">
        <v>15.71</v>
      </c>
      <c r="AC229" s="8">
        <v>15.95</v>
      </c>
      <c r="AD229" s="8">
        <v>15.36</v>
      </c>
      <c r="AE229" s="8">
        <v>16.96</v>
      </c>
      <c r="AF229" s="8">
        <v>16.62</v>
      </c>
      <c r="AG229" s="8">
        <v>15.34</v>
      </c>
      <c r="AH229" s="8">
        <v>14.22</v>
      </c>
      <c r="AI229" s="8">
        <v>14.85</v>
      </c>
      <c r="AJ229" s="8">
        <v>17.11</v>
      </c>
      <c r="AK229" s="8">
        <v>16.14</v>
      </c>
      <c r="AL229" s="8">
        <v>15.18</v>
      </c>
      <c r="AM229" s="8">
        <v>15.83</v>
      </c>
      <c r="AN229" s="8">
        <v>15.94</v>
      </c>
      <c r="AO229" s="8">
        <v>15.87</v>
      </c>
      <c r="AP229" s="8">
        <v>13.24</v>
      </c>
      <c r="AQ229" s="8">
        <v>13.66</v>
      </c>
      <c r="AR229" s="8">
        <v>14.58</v>
      </c>
      <c r="AS229" s="8">
        <v>17.79</v>
      </c>
      <c r="AT229" s="8">
        <v>16.18</v>
      </c>
      <c r="AU229" s="6">
        <v>15.71</v>
      </c>
      <c r="AV229" s="6">
        <v>16.09</v>
      </c>
      <c r="AW229" s="6">
        <v>16.78</v>
      </c>
      <c r="AX229" s="6">
        <v>17.3</v>
      </c>
      <c r="AY229" s="6">
        <v>16.52</v>
      </c>
      <c r="AZ229" s="6">
        <v>16.5</v>
      </c>
      <c r="BA229" s="6">
        <v>14.9</v>
      </c>
      <c r="BB229" s="6">
        <v>15.01</v>
      </c>
      <c r="BC229" s="6">
        <v>16.84</v>
      </c>
      <c r="BD229" s="6">
        <v>14.5</v>
      </c>
      <c r="BE229" s="6">
        <v>15.73</v>
      </c>
      <c r="BF229" s="6">
        <v>14.5</v>
      </c>
      <c r="BG229" s="6">
        <v>16.52</v>
      </c>
      <c r="BH229" s="6">
        <v>15.36</v>
      </c>
      <c r="BI229" s="6">
        <v>16.02</v>
      </c>
      <c r="BJ229" s="6">
        <v>16.440000000000001</v>
      </c>
      <c r="BK229" s="6">
        <v>16.010000000000002</v>
      </c>
      <c r="BL229" s="6">
        <v>15.8</v>
      </c>
      <c r="BM229" s="6">
        <v>16.7</v>
      </c>
      <c r="BN229" s="6">
        <v>15.36</v>
      </c>
      <c r="BO229" s="6">
        <v>17.03</v>
      </c>
      <c r="BP229" s="6">
        <v>15.42</v>
      </c>
      <c r="BQ229" s="6">
        <v>15.56</v>
      </c>
      <c r="BR229" s="6">
        <v>13.88</v>
      </c>
      <c r="BS229" s="6">
        <v>16.399999999999999</v>
      </c>
      <c r="BT229" s="6">
        <v>16.05</v>
      </c>
      <c r="BU229" s="6">
        <v>16.2</v>
      </c>
      <c r="BV229" s="6">
        <v>14.82</v>
      </c>
      <c r="BW229" s="6">
        <v>16.68</v>
      </c>
      <c r="BX229" s="6">
        <v>15.94</v>
      </c>
      <c r="BY229" s="6">
        <v>15.88</v>
      </c>
      <c r="BZ229" s="6">
        <v>14.46</v>
      </c>
      <c r="CA229" s="6">
        <v>16.559999999999999</v>
      </c>
      <c r="CB229" s="6">
        <v>16.22</v>
      </c>
      <c r="CC229" s="6">
        <v>16.88</v>
      </c>
      <c r="CD229" s="6">
        <v>14.7</v>
      </c>
      <c r="CE229" s="6">
        <v>15.72</v>
      </c>
      <c r="CF229" s="6">
        <v>15.28</v>
      </c>
      <c r="CG229" s="6">
        <v>16.84</v>
      </c>
      <c r="CH229" s="6">
        <v>17.04</v>
      </c>
      <c r="CI229" s="11">
        <v>18.04</v>
      </c>
      <c r="CJ229" s="11">
        <v>16.12</v>
      </c>
      <c r="CK229" s="6">
        <v>14.82</v>
      </c>
      <c r="CL229" s="6">
        <v>16.98</v>
      </c>
      <c r="CM229" s="6">
        <v>16.68</v>
      </c>
      <c r="CN229" s="6">
        <v>15.62</v>
      </c>
      <c r="CO229" s="10">
        <v>16.7</v>
      </c>
      <c r="CP229" s="10"/>
    </row>
    <row r="230" spans="1:94" ht="15.75" customHeight="1" x14ac:dyDescent="0.25">
      <c r="A230" s="4">
        <v>229</v>
      </c>
      <c r="B230" s="4"/>
      <c r="C230" s="4">
        <v>16</v>
      </c>
      <c r="D230" s="8">
        <v>15.83</v>
      </c>
      <c r="E230" s="8">
        <v>15.16</v>
      </c>
      <c r="F230" s="8">
        <v>15.38</v>
      </c>
      <c r="G230" s="8">
        <v>16.95</v>
      </c>
      <c r="H230" s="8">
        <v>14.08</v>
      </c>
      <c r="I230" s="8">
        <v>13.78</v>
      </c>
      <c r="J230" s="8">
        <v>14.64</v>
      </c>
      <c r="K230" s="8">
        <v>16.079999999999998</v>
      </c>
      <c r="L230" s="8">
        <v>18</v>
      </c>
      <c r="M230" s="8">
        <v>16.059999999999999</v>
      </c>
      <c r="N230" s="8">
        <v>16.95</v>
      </c>
      <c r="O230" s="8">
        <v>17.079999999999998</v>
      </c>
      <c r="P230" s="8">
        <v>15.92</v>
      </c>
      <c r="Q230" s="8">
        <v>16.2</v>
      </c>
      <c r="R230" s="8">
        <v>15.87</v>
      </c>
      <c r="S230" s="8">
        <v>16.36</v>
      </c>
      <c r="T230" s="8">
        <v>17.54</v>
      </c>
      <c r="U230" s="8">
        <v>16.41</v>
      </c>
      <c r="V230" s="8">
        <v>16.95</v>
      </c>
      <c r="W230" s="8">
        <v>17.07</v>
      </c>
      <c r="X230" s="8">
        <v>14.97</v>
      </c>
      <c r="Y230" s="8">
        <v>16.54</v>
      </c>
      <c r="Z230" s="8">
        <v>15.31</v>
      </c>
      <c r="AA230" s="8">
        <v>14.7</v>
      </c>
      <c r="AB230" s="8">
        <v>15.78</v>
      </c>
      <c r="AC230" s="8">
        <v>15.99</v>
      </c>
      <c r="AD230" s="8">
        <v>15.42</v>
      </c>
      <c r="AE230" s="8">
        <v>17.010000000000002</v>
      </c>
      <c r="AF230" s="8">
        <v>16.59</v>
      </c>
      <c r="AG230" s="8">
        <v>15.37</v>
      </c>
      <c r="AH230" s="8">
        <v>14.25</v>
      </c>
      <c r="AI230" s="8">
        <v>14.95</v>
      </c>
      <c r="AJ230" s="8">
        <v>17.12</v>
      </c>
      <c r="AK230" s="8">
        <v>16.12</v>
      </c>
      <c r="AL230" s="8">
        <v>15.18</v>
      </c>
      <c r="AM230" s="8">
        <v>15.87</v>
      </c>
      <c r="AN230" s="8">
        <v>16</v>
      </c>
      <c r="AO230" s="8">
        <v>15.88</v>
      </c>
      <c r="AP230" s="8">
        <v>13.25</v>
      </c>
      <c r="AQ230" s="8">
        <v>13.74</v>
      </c>
      <c r="AR230" s="8">
        <v>14.67</v>
      </c>
      <c r="AS230" s="8">
        <v>17.79</v>
      </c>
      <c r="AT230" s="8">
        <v>16.2</v>
      </c>
      <c r="AU230" s="6">
        <v>15.72</v>
      </c>
      <c r="AV230" s="6">
        <v>16.13</v>
      </c>
      <c r="AW230" s="6">
        <v>16.8</v>
      </c>
      <c r="AX230" s="6">
        <v>17.32</v>
      </c>
      <c r="AY230" s="6">
        <v>16.559999999999999</v>
      </c>
      <c r="AZ230" s="6">
        <v>16.54</v>
      </c>
      <c r="BA230" s="6">
        <v>14.93</v>
      </c>
      <c r="BB230" s="6">
        <v>15.11</v>
      </c>
      <c r="BC230" s="6">
        <v>16.86</v>
      </c>
      <c r="BD230" s="6">
        <v>14.5</v>
      </c>
      <c r="BE230" s="6">
        <v>15.8</v>
      </c>
      <c r="BF230" s="6">
        <v>14.47</v>
      </c>
      <c r="BG230" s="6">
        <v>16.5</v>
      </c>
      <c r="BH230" s="6">
        <v>15.44</v>
      </c>
      <c r="BI230" s="6">
        <v>16.02</v>
      </c>
      <c r="BJ230" s="6">
        <v>16.45</v>
      </c>
      <c r="BK230" s="6">
        <v>16</v>
      </c>
      <c r="BL230" s="6">
        <v>15.8</v>
      </c>
      <c r="BM230" s="6">
        <v>16.72</v>
      </c>
      <c r="BN230" s="6">
        <v>15.44</v>
      </c>
      <c r="BO230" s="6">
        <v>17.04</v>
      </c>
      <c r="BP230" s="6">
        <v>15.48</v>
      </c>
      <c r="BQ230" s="6">
        <v>15.57</v>
      </c>
      <c r="BR230" s="6">
        <v>14</v>
      </c>
      <c r="BS230" s="6">
        <v>16.399999999999999</v>
      </c>
      <c r="BT230" s="6">
        <v>16.079999999999998</v>
      </c>
      <c r="BU230" s="6">
        <v>16.260000000000002</v>
      </c>
      <c r="BV230" s="6">
        <v>14.9</v>
      </c>
      <c r="BW230" s="6">
        <v>16.68</v>
      </c>
      <c r="BX230" s="6">
        <v>15.9</v>
      </c>
      <c r="BY230" s="6">
        <v>15.92</v>
      </c>
      <c r="BZ230" s="6">
        <v>14.5</v>
      </c>
      <c r="CA230" s="6">
        <v>16.579999999999998</v>
      </c>
      <c r="CB230" s="6">
        <v>16.2</v>
      </c>
      <c r="CC230" s="6">
        <v>16.88</v>
      </c>
      <c r="CD230" s="6">
        <v>14.7</v>
      </c>
      <c r="CE230" s="6">
        <v>15.7</v>
      </c>
      <c r="CF230" s="6">
        <v>15.28</v>
      </c>
      <c r="CG230" s="6">
        <v>16.88</v>
      </c>
      <c r="CH230" s="6">
        <v>17</v>
      </c>
      <c r="CI230" s="11">
        <v>18.059999999999999</v>
      </c>
      <c r="CJ230" s="11">
        <v>16.239999999999998</v>
      </c>
      <c r="CK230" s="6">
        <v>14.9</v>
      </c>
      <c r="CL230" s="6">
        <v>17.04</v>
      </c>
      <c r="CM230" s="6">
        <v>16.68</v>
      </c>
      <c r="CN230" s="6">
        <v>15.6</v>
      </c>
      <c r="CO230" s="10">
        <v>16.66</v>
      </c>
      <c r="CP230" s="10"/>
    </row>
    <row r="231" spans="1:94" ht="15.75" customHeight="1" x14ac:dyDescent="0.25">
      <c r="A231" s="4">
        <v>230</v>
      </c>
      <c r="B231" s="4"/>
      <c r="C231" s="4">
        <v>17</v>
      </c>
      <c r="D231" s="8">
        <v>15.92</v>
      </c>
      <c r="E231" s="8">
        <v>15.18</v>
      </c>
      <c r="F231" s="8">
        <v>15.43</v>
      </c>
      <c r="G231" s="8">
        <v>16.940000000000001</v>
      </c>
      <c r="H231" s="8">
        <v>14.12</v>
      </c>
      <c r="I231" s="8">
        <v>13.83</v>
      </c>
      <c r="J231" s="8">
        <v>14.66</v>
      </c>
      <c r="K231" s="8">
        <v>16.100000000000001</v>
      </c>
      <c r="L231" s="8">
        <v>18.02</v>
      </c>
      <c r="M231" s="8">
        <v>16.07</v>
      </c>
      <c r="N231" s="8">
        <v>16.98</v>
      </c>
      <c r="O231" s="8">
        <v>17.079999999999998</v>
      </c>
      <c r="P231" s="8">
        <v>15.93</v>
      </c>
      <c r="Q231" s="8">
        <v>16.190000000000001</v>
      </c>
      <c r="R231" s="8">
        <v>15.93</v>
      </c>
      <c r="S231" s="8">
        <v>16.45</v>
      </c>
      <c r="T231" s="8">
        <v>17.62</v>
      </c>
      <c r="U231" s="8">
        <v>16.45</v>
      </c>
      <c r="V231" s="8">
        <v>16.95</v>
      </c>
      <c r="W231" s="8">
        <v>17.04</v>
      </c>
      <c r="X231" s="8">
        <v>14.95</v>
      </c>
      <c r="Y231" s="8">
        <v>16.54</v>
      </c>
      <c r="Z231" s="8">
        <v>15.31</v>
      </c>
      <c r="AA231" s="8">
        <v>14.79</v>
      </c>
      <c r="AB231" s="8">
        <v>15.85</v>
      </c>
      <c r="AC231" s="8">
        <v>16.03</v>
      </c>
      <c r="AD231" s="8">
        <v>15.48</v>
      </c>
      <c r="AE231" s="8">
        <v>17.04</v>
      </c>
      <c r="AF231" s="8">
        <v>16.54</v>
      </c>
      <c r="AG231" s="8">
        <v>15.4</v>
      </c>
      <c r="AH231" s="8">
        <v>14.28</v>
      </c>
      <c r="AI231" s="8">
        <v>15.07</v>
      </c>
      <c r="AJ231" s="8">
        <v>17.170000000000002</v>
      </c>
      <c r="AK231" s="8">
        <v>16.100000000000001</v>
      </c>
      <c r="AL231" s="8">
        <v>15.22</v>
      </c>
      <c r="AM231" s="8">
        <v>15.93</v>
      </c>
      <c r="AN231" s="8">
        <v>16.03</v>
      </c>
      <c r="AO231" s="8">
        <v>15.9</v>
      </c>
      <c r="AP231" s="8">
        <v>13.23</v>
      </c>
      <c r="AQ231" s="8">
        <v>13.8</v>
      </c>
      <c r="AR231" s="8">
        <v>14.77</v>
      </c>
      <c r="AS231" s="8">
        <v>17.77</v>
      </c>
      <c r="AT231" s="8">
        <v>16.21</v>
      </c>
      <c r="AU231" s="6">
        <v>15.72</v>
      </c>
      <c r="AV231" s="6">
        <v>16.13</v>
      </c>
      <c r="AW231" s="6">
        <v>16.82</v>
      </c>
      <c r="AX231" s="6">
        <v>17.32</v>
      </c>
      <c r="AY231" s="6">
        <v>16.62</v>
      </c>
      <c r="AZ231" s="6">
        <v>16.55</v>
      </c>
      <c r="BA231" s="6">
        <v>14.96</v>
      </c>
      <c r="BB231" s="6">
        <v>15.18</v>
      </c>
      <c r="BC231" s="6">
        <v>16.87</v>
      </c>
      <c r="BD231" s="6">
        <v>14.48</v>
      </c>
      <c r="BE231" s="6">
        <v>15.82</v>
      </c>
      <c r="BF231" s="6">
        <v>14.42</v>
      </c>
      <c r="BG231" s="6">
        <v>16.47</v>
      </c>
      <c r="BH231" s="6">
        <v>15.5</v>
      </c>
      <c r="BI231" s="6">
        <v>16.02</v>
      </c>
      <c r="BJ231" s="6">
        <v>16.440000000000001</v>
      </c>
      <c r="BK231" s="6">
        <v>16.05</v>
      </c>
      <c r="BL231" s="6">
        <v>15.79</v>
      </c>
      <c r="BM231" s="6">
        <v>16.739999999999998</v>
      </c>
      <c r="BN231" s="6">
        <v>15.44</v>
      </c>
      <c r="BO231" s="6">
        <v>17.02</v>
      </c>
      <c r="BP231" s="6">
        <v>15.6</v>
      </c>
      <c r="BQ231" s="6">
        <v>15.54</v>
      </c>
      <c r="BR231" s="6">
        <v>13.96</v>
      </c>
      <c r="BS231" s="6">
        <v>16.399999999999999</v>
      </c>
      <c r="BT231" s="6">
        <v>16.100000000000001</v>
      </c>
      <c r="BU231" s="6">
        <v>16.3</v>
      </c>
      <c r="BV231" s="6">
        <v>15</v>
      </c>
      <c r="BW231" s="6">
        <v>16.64</v>
      </c>
      <c r="BX231" s="6">
        <v>15.96</v>
      </c>
      <c r="BY231" s="6">
        <v>15.94</v>
      </c>
      <c r="BZ231" s="6">
        <v>14.5</v>
      </c>
      <c r="CA231" s="6">
        <v>16.600000000000001</v>
      </c>
      <c r="CB231" s="6">
        <v>16.18</v>
      </c>
      <c r="CC231" s="6">
        <v>16.84</v>
      </c>
      <c r="CD231" s="6">
        <v>14.74</v>
      </c>
      <c r="CE231" s="6">
        <v>15.75</v>
      </c>
      <c r="CF231" s="6">
        <v>15.2</v>
      </c>
      <c r="CG231" s="6">
        <v>16.899999999999999</v>
      </c>
      <c r="CH231" s="6">
        <v>16.899999999999999</v>
      </c>
      <c r="CI231" s="11">
        <v>18.04</v>
      </c>
      <c r="CJ231" s="11">
        <v>16.32</v>
      </c>
      <c r="CK231" s="6">
        <v>14.9</v>
      </c>
      <c r="CL231" s="6">
        <v>17.14</v>
      </c>
      <c r="CM231" s="6">
        <v>16.66</v>
      </c>
      <c r="CN231" s="6">
        <v>15.56</v>
      </c>
      <c r="CO231" s="10">
        <v>16.66</v>
      </c>
      <c r="CP231" s="10"/>
    </row>
    <row r="232" spans="1:94" ht="15.75" customHeight="1" x14ac:dyDescent="0.25">
      <c r="A232" s="4">
        <v>231</v>
      </c>
      <c r="B232" s="4"/>
      <c r="C232" s="4">
        <v>18</v>
      </c>
      <c r="D232" s="8">
        <v>15.94</v>
      </c>
      <c r="E232" s="8">
        <v>15.2</v>
      </c>
      <c r="F232" s="8">
        <v>15.43</v>
      </c>
      <c r="G232" s="8">
        <v>16.920000000000002</v>
      </c>
      <c r="H232" s="8">
        <v>14.16</v>
      </c>
      <c r="I232" s="8">
        <v>13.93</v>
      </c>
      <c r="J232" s="8">
        <v>14.68</v>
      </c>
      <c r="K232" s="8">
        <v>16.100000000000001</v>
      </c>
      <c r="L232" s="8">
        <v>18.03</v>
      </c>
      <c r="M232" s="8">
        <v>16.059999999999999</v>
      </c>
      <c r="N232" s="8">
        <v>17.02</v>
      </c>
      <c r="O232" s="8">
        <v>17.12</v>
      </c>
      <c r="P232" s="8">
        <v>15.94</v>
      </c>
      <c r="Q232" s="8">
        <v>16.16</v>
      </c>
      <c r="R232" s="8">
        <v>15.98</v>
      </c>
      <c r="S232" s="8">
        <v>16.559999999999999</v>
      </c>
      <c r="T232" s="8">
        <v>17.670000000000002</v>
      </c>
      <c r="U232" s="8">
        <v>16.510000000000002</v>
      </c>
      <c r="V232" s="8">
        <v>16.95</v>
      </c>
      <c r="W232" s="8">
        <v>17.04</v>
      </c>
      <c r="X232" s="8">
        <v>14.91</v>
      </c>
      <c r="Y232" s="8">
        <v>16.54</v>
      </c>
      <c r="Z232" s="8">
        <v>15.31</v>
      </c>
      <c r="AA232" s="8">
        <v>14.88</v>
      </c>
      <c r="AB232" s="8">
        <v>15.89</v>
      </c>
      <c r="AC232" s="8">
        <v>16.059999999999999</v>
      </c>
      <c r="AD232" s="8">
        <v>15.54</v>
      </c>
      <c r="AE232" s="8">
        <v>17.07</v>
      </c>
      <c r="AF232" s="8">
        <v>16.5</v>
      </c>
      <c r="AG232" s="8">
        <v>15.4</v>
      </c>
      <c r="AH232" s="8">
        <v>14.33</v>
      </c>
      <c r="AI232" s="8">
        <v>15.21</v>
      </c>
      <c r="AJ232" s="8">
        <v>17.2</v>
      </c>
      <c r="AK232" s="8">
        <v>16.09</v>
      </c>
      <c r="AL232" s="8">
        <v>15.29</v>
      </c>
      <c r="AM232" s="8">
        <v>15.99</v>
      </c>
      <c r="AN232" s="8">
        <v>16.09</v>
      </c>
      <c r="AO232" s="8">
        <v>15.88</v>
      </c>
      <c r="AP232" s="8">
        <v>13.21</v>
      </c>
      <c r="AQ232" s="8">
        <v>13.92</v>
      </c>
      <c r="AR232" s="8">
        <v>14.89</v>
      </c>
      <c r="AS232" s="8">
        <v>17.75</v>
      </c>
      <c r="AT232" s="8">
        <v>16.25</v>
      </c>
      <c r="AU232" s="6">
        <v>15.71</v>
      </c>
      <c r="AV232" s="6">
        <v>16.149999999999999</v>
      </c>
      <c r="AW232" s="6">
        <v>16.82</v>
      </c>
      <c r="AX232" s="6">
        <v>17.37</v>
      </c>
      <c r="AY232" s="6">
        <v>16.63</v>
      </c>
      <c r="AZ232" s="6">
        <v>16.54</v>
      </c>
      <c r="BA232" s="6">
        <v>15.03</v>
      </c>
      <c r="BB232" s="6">
        <v>15.23</v>
      </c>
      <c r="BC232" s="6">
        <v>16.87</v>
      </c>
      <c r="BD232" s="6">
        <v>14.48</v>
      </c>
      <c r="BE232" s="6">
        <v>15.85</v>
      </c>
      <c r="BF232" s="6">
        <v>14.39</v>
      </c>
      <c r="BG232" s="6">
        <v>16.440000000000001</v>
      </c>
      <c r="BH232" s="6">
        <v>15.56</v>
      </c>
      <c r="BI232" s="6">
        <v>16.079999999999998</v>
      </c>
      <c r="BJ232" s="6">
        <v>16.43</v>
      </c>
      <c r="BK232" s="6">
        <v>16.100000000000001</v>
      </c>
      <c r="BL232" s="6">
        <v>15.8</v>
      </c>
      <c r="BM232" s="6">
        <v>16.79</v>
      </c>
      <c r="BN232" s="6">
        <v>15.48</v>
      </c>
      <c r="BO232" s="6">
        <v>17</v>
      </c>
      <c r="BP232" s="6">
        <v>15.66</v>
      </c>
      <c r="BQ232" s="6">
        <v>15.52</v>
      </c>
      <c r="BR232" s="6">
        <v>14</v>
      </c>
      <c r="BS232" s="6">
        <v>16.420000000000002</v>
      </c>
      <c r="BT232" s="6">
        <v>16.100000000000001</v>
      </c>
      <c r="BU232" s="6">
        <v>16.3</v>
      </c>
      <c r="BV232" s="6">
        <v>14.92</v>
      </c>
      <c r="BW232" s="6">
        <v>16.68</v>
      </c>
      <c r="BX232" s="6">
        <v>15.96</v>
      </c>
      <c r="BY232" s="6">
        <v>15.94</v>
      </c>
      <c r="BZ232" s="6">
        <v>14.52</v>
      </c>
      <c r="CA232" s="6">
        <v>16.62</v>
      </c>
      <c r="CB232" s="6">
        <v>16.18</v>
      </c>
      <c r="CC232" s="6">
        <v>16.86</v>
      </c>
      <c r="CD232" s="6">
        <v>14.78</v>
      </c>
      <c r="CE232" s="6">
        <v>15.8</v>
      </c>
      <c r="CF232" s="6">
        <v>15.32</v>
      </c>
      <c r="CG232" s="6">
        <v>16.920000000000002</v>
      </c>
      <c r="CH232" s="6">
        <v>16.899999999999999</v>
      </c>
      <c r="CI232" s="11">
        <v>18.100000000000001</v>
      </c>
      <c r="CJ232" s="11">
        <v>16.38</v>
      </c>
      <c r="CK232" s="6">
        <v>14.92</v>
      </c>
      <c r="CL232" s="6">
        <v>17.18</v>
      </c>
      <c r="CM232" s="6">
        <v>16.649999999999999</v>
      </c>
      <c r="CN232" s="6">
        <v>15.55</v>
      </c>
      <c r="CO232" s="10">
        <v>16.63</v>
      </c>
      <c r="CP232" s="10"/>
    </row>
    <row r="233" spans="1:94" ht="15.75" customHeight="1" x14ac:dyDescent="0.25">
      <c r="A233" s="4">
        <v>232</v>
      </c>
      <c r="B233" s="4"/>
      <c r="C233" s="4">
        <v>19</v>
      </c>
      <c r="D233" s="8">
        <v>15.92</v>
      </c>
      <c r="E233" s="8">
        <v>15.18</v>
      </c>
      <c r="F233" s="8">
        <v>15.4</v>
      </c>
      <c r="G233" s="8">
        <v>16.899999999999999</v>
      </c>
      <c r="H233" s="8">
        <v>14.2</v>
      </c>
      <c r="I233" s="8">
        <v>13.98</v>
      </c>
      <c r="J233" s="8">
        <v>14.72</v>
      </c>
      <c r="K233" s="8">
        <v>16.09</v>
      </c>
      <c r="L233" s="8">
        <v>18.010000000000002</v>
      </c>
      <c r="M233" s="8">
        <v>16.07</v>
      </c>
      <c r="N233" s="8">
        <v>17.04</v>
      </c>
      <c r="O233" s="8">
        <v>17.170000000000002</v>
      </c>
      <c r="P233" s="8">
        <v>15.96</v>
      </c>
      <c r="Q233" s="8">
        <v>16.149999999999999</v>
      </c>
      <c r="R233" s="8">
        <v>16</v>
      </c>
      <c r="S233" s="8">
        <v>16.61</v>
      </c>
      <c r="T233" s="8">
        <v>17.7</v>
      </c>
      <c r="U233" s="8">
        <v>16.53</v>
      </c>
      <c r="V233" s="8">
        <v>16.95</v>
      </c>
      <c r="W233" s="8">
        <v>17.04</v>
      </c>
      <c r="X233" s="8">
        <v>14.87</v>
      </c>
      <c r="Y233" s="8">
        <v>16.54</v>
      </c>
      <c r="Z233" s="8">
        <v>15.34</v>
      </c>
      <c r="AA233" s="8">
        <v>14.92</v>
      </c>
      <c r="AB233" s="8">
        <v>15.89</v>
      </c>
      <c r="AC233" s="8">
        <v>16.09</v>
      </c>
      <c r="AD233" s="8">
        <v>15.6</v>
      </c>
      <c r="AE233" s="8">
        <v>17.11</v>
      </c>
      <c r="AF233" s="8">
        <v>16.5</v>
      </c>
      <c r="AG233" s="8">
        <v>15.4</v>
      </c>
      <c r="AH233" s="8">
        <v>14.43</v>
      </c>
      <c r="AI233" s="8">
        <v>15.31</v>
      </c>
      <c r="AJ233" s="8">
        <v>17.25</v>
      </c>
      <c r="AK233" s="8">
        <v>16.079999999999998</v>
      </c>
      <c r="AL233" s="8">
        <v>15.36</v>
      </c>
      <c r="AM233" s="8">
        <v>15.99</v>
      </c>
      <c r="AN233" s="8">
        <v>16.11</v>
      </c>
      <c r="AO233" s="8">
        <v>15.82</v>
      </c>
      <c r="AP233" s="8">
        <v>13.18</v>
      </c>
      <c r="AQ233" s="8">
        <v>14.02</v>
      </c>
      <c r="AR233" s="8">
        <v>14.97</v>
      </c>
      <c r="AS233" s="8">
        <v>17.73</v>
      </c>
      <c r="AT233" s="8">
        <v>16.27</v>
      </c>
      <c r="AU233" s="6">
        <v>15.72</v>
      </c>
      <c r="AV233" s="6">
        <v>16.18</v>
      </c>
      <c r="AW233" s="6">
        <v>16.82</v>
      </c>
      <c r="AX233" s="6">
        <v>17.37</v>
      </c>
      <c r="AY233" s="6">
        <v>16.64</v>
      </c>
      <c r="AZ233" s="6">
        <v>16.52</v>
      </c>
      <c r="BA233" s="6">
        <v>15.11</v>
      </c>
      <c r="BB233" s="6">
        <v>15.27</v>
      </c>
      <c r="BC233" s="6">
        <v>16.88</v>
      </c>
      <c r="BD233" s="6">
        <v>14.44</v>
      </c>
      <c r="BE233" s="6">
        <v>15.85</v>
      </c>
      <c r="BF233" s="6">
        <v>14.39</v>
      </c>
      <c r="BG233" s="6">
        <v>16.39</v>
      </c>
      <c r="BH233" s="6">
        <v>15.64</v>
      </c>
      <c r="BI233" s="6">
        <v>16.100000000000001</v>
      </c>
      <c r="BJ233" s="6">
        <v>16.41</v>
      </c>
      <c r="BK233" s="6">
        <v>16.18</v>
      </c>
      <c r="BL233" s="6">
        <v>15.8</v>
      </c>
      <c r="BM233" s="6">
        <v>16.82</v>
      </c>
      <c r="BN233" s="6">
        <v>15.48</v>
      </c>
      <c r="BO233" s="6">
        <v>17.04</v>
      </c>
      <c r="BP233" s="6">
        <v>15.86</v>
      </c>
      <c r="BQ233" s="6">
        <v>15.48</v>
      </c>
      <c r="BR233" s="6">
        <v>14.06</v>
      </c>
      <c r="BS233" s="6">
        <v>16.420000000000002</v>
      </c>
      <c r="BT233" s="6">
        <v>16.100000000000001</v>
      </c>
      <c r="BU233" s="6">
        <v>16.34</v>
      </c>
      <c r="BV233" s="6">
        <v>14.96</v>
      </c>
      <c r="BW233" s="6">
        <v>16.739999999999998</v>
      </c>
      <c r="BX233" s="6">
        <v>15.96</v>
      </c>
      <c r="BY233" s="6">
        <v>15.9</v>
      </c>
      <c r="BZ233" s="6">
        <v>14.4</v>
      </c>
      <c r="CA233" s="6">
        <v>16.62</v>
      </c>
      <c r="CB233" s="6">
        <v>16.18</v>
      </c>
      <c r="CC233" s="6">
        <v>16.86</v>
      </c>
      <c r="CD233" s="6">
        <v>14.8</v>
      </c>
      <c r="CE233" s="6">
        <v>15.84</v>
      </c>
      <c r="CF233" s="6">
        <v>15.36</v>
      </c>
      <c r="CG233" s="6">
        <v>16.920000000000002</v>
      </c>
      <c r="CH233" s="6">
        <v>16.86</v>
      </c>
      <c r="CI233" s="6">
        <v>18.100000000000001</v>
      </c>
      <c r="CJ233" s="11">
        <v>16.420000000000002</v>
      </c>
      <c r="CK233" s="6">
        <v>14.9</v>
      </c>
      <c r="CL233" s="6">
        <v>17.22</v>
      </c>
      <c r="CM233" s="6">
        <v>16.64</v>
      </c>
      <c r="CN233" s="6">
        <v>15.5</v>
      </c>
      <c r="CO233" s="10">
        <v>16.59</v>
      </c>
      <c r="CP233" s="10"/>
    </row>
    <row r="234" spans="1:94" ht="15.75" customHeight="1" x14ac:dyDescent="0.25">
      <c r="A234" s="4">
        <v>233</v>
      </c>
      <c r="B234" s="4"/>
      <c r="C234" s="4">
        <v>20</v>
      </c>
      <c r="D234" s="8">
        <v>15.9</v>
      </c>
      <c r="E234" s="8">
        <v>15.14</v>
      </c>
      <c r="F234" s="8">
        <v>15.38</v>
      </c>
      <c r="G234" s="8">
        <v>16.87</v>
      </c>
      <c r="H234" s="8">
        <v>14.22</v>
      </c>
      <c r="I234" s="8">
        <v>14</v>
      </c>
      <c r="J234" s="8">
        <v>14.79</v>
      </c>
      <c r="K234" s="8">
        <v>16.04</v>
      </c>
      <c r="L234" s="8">
        <v>17.98</v>
      </c>
      <c r="M234" s="8">
        <v>16.059999999999999</v>
      </c>
      <c r="N234" s="8">
        <v>17.04</v>
      </c>
      <c r="O234" s="8">
        <v>17.2</v>
      </c>
      <c r="P234" s="8">
        <v>15.96</v>
      </c>
      <c r="Q234" s="8">
        <v>16.149999999999999</v>
      </c>
      <c r="R234" s="8">
        <v>16.04</v>
      </c>
      <c r="S234" s="8">
        <v>16.66</v>
      </c>
      <c r="T234" s="8">
        <v>17.73</v>
      </c>
      <c r="U234" s="8">
        <v>16.53</v>
      </c>
      <c r="V234" s="8">
        <v>16.95</v>
      </c>
      <c r="W234" s="8">
        <v>17.04</v>
      </c>
      <c r="X234" s="8">
        <v>14.85</v>
      </c>
      <c r="Y234" s="8">
        <v>16.510000000000002</v>
      </c>
      <c r="Z234" s="8">
        <v>15.36</v>
      </c>
      <c r="AA234" s="8">
        <v>14.96</v>
      </c>
      <c r="AB234" s="8">
        <v>15.91</v>
      </c>
      <c r="AC234" s="8">
        <v>16.11</v>
      </c>
      <c r="AD234" s="8">
        <v>15.67</v>
      </c>
      <c r="AE234" s="8">
        <v>17.149999999999999</v>
      </c>
      <c r="AF234" s="8">
        <v>16.510000000000002</v>
      </c>
      <c r="AG234" s="8">
        <v>15.4</v>
      </c>
      <c r="AH234" s="8">
        <v>14.53</v>
      </c>
      <c r="AI234" s="8">
        <v>15.36</v>
      </c>
      <c r="AJ234" s="8">
        <v>17.28</v>
      </c>
      <c r="AK234" s="8">
        <v>16.059999999999999</v>
      </c>
      <c r="AL234" s="8">
        <v>15.39</v>
      </c>
      <c r="AM234" s="8">
        <v>16.03</v>
      </c>
      <c r="AN234" s="8">
        <v>16.12</v>
      </c>
      <c r="AO234" s="8">
        <v>15.76</v>
      </c>
      <c r="AP234" s="8">
        <v>13.15</v>
      </c>
      <c r="AQ234" s="8">
        <v>14.06</v>
      </c>
      <c r="AR234" s="8">
        <v>15.04</v>
      </c>
      <c r="AS234" s="8">
        <v>17.690000000000001</v>
      </c>
      <c r="AT234" s="8">
        <v>16.29</v>
      </c>
      <c r="AU234" s="6">
        <v>15.73</v>
      </c>
      <c r="AV234" s="6">
        <v>16.12</v>
      </c>
      <c r="AW234" s="6">
        <v>16.8</v>
      </c>
      <c r="AX234" s="6">
        <v>17.32</v>
      </c>
      <c r="AY234" s="6">
        <v>16.670000000000002</v>
      </c>
      <c r="AZ234" s="6">
        <v>16.510000000000002</v>
      </c>
      <c r="BA234" s="6">
        <v>15.14</v>
      </c>
      <c r="BB234" s="6">
        <v>15.32</v>
      </c>
      <c r="BC234" s="6">
        <v>16.87</v>
      </c>
      <c r="BD234" s="6">
        <v>14.44</v>
      </c>
      <c r="BE234" s="6">
        <v>15.88</v>
      </c>
      <c r="BF234" s="6">
        <v>14.4</v>
      </c>
      <c r="BG234" s="6">
        <v>16.37</v>
      </c>
      <c r="BH234" s="6">
        <v>15.72</v>
      </c>
      <c r="BI234" s="6">
        <v>16.100000000000001</v>
      </c>
      <c r="BJ234" s="6">
        <v>16.38</v>
      </c>
      <c r="BK234" s="6">
        <v>16.239999999999998</v>
      </c>
      <c r="BL234" s="6">
        <v>15.82</v>
      </c>
      <c r="BM234" s="6">
        <v>16.82</v>
      </c>
      <c r="BN234" s="6">
        <v>15.45</v>
      </c>
      <c r="BO234" s="6">
        <v>17.04</v>
      </c>
      <c r="BP234" s="6">
        <v>16</v>
      </c>
      <c r="BQ234" s="6">
        <v>15.48</v>
      </c>
      <c r="BR234" s="6">
        <v>14.07</v>
      </c>
      <c r="BS234" s="6">
        <v>16.440000000000001</v>
      </c>
      <c r="BT234" s="6">
        <v>16.100000000000001</v>
      </c>
      <c r="BU234" s="6">
        <v>16.36</v>
      </c>
      <c r="BV234" s="6">
        <v>15</v>
      </c>
      <c r="BW234" s="6">
        <v>16.78</v>
      </c>
      <c r="BX234" s="6">
        <v>16</v>
      </c>
      <c r="BY234" s="6">
        <v>15.86</v>
      </c>
      <c r="BZ234" s="6">
        <v>14.4</v>
      </c>
      <c r="CA234" s="6">
        <v>16.579999999999998</v>
      </c>
      <c r="CB234" s="6">
        <v>16.18</v>
      </c>
      <c r="CC234" s="6">
        <v>16.82</v>
      </c>
      <c r="CD234" s="6">
        <v>14.9</v>
      </c>
      <c r="CE234" s="6">
        <v>15.92</v>
      </c>
      <c r="CF234" s="6">
        <v>15.56</v>
      </c>
      <c r="CG234" s="6">
        <v>16.920000000000002</v>
      </c>
      <c r="CH234" s="6">
        <v>16.84</v>
      </c>
      <c r="CI234" s="6">
        <v>18.100000000000001</v>
      </c>
      <c r="CJ234" s="11">
        <v>16.48</v>
      </c>
      <c r="CK234" s="6">
        <v>14.88</v>
      </c>
      <c r="CL234" s="6">
        <v>17.239999999999998</v>
      </c>
      <c r="CM234" s="6">
        <v>16.579999999999998</v>
      </c>
      <c r="CN234" s="6">
        <v>15.51</v>
      </c>
      <c r="CO234" s="10">
        <v>16.54</v>
      </c>
      <c r="CP234" s="10"/>
    </row>
    <row r="235" spans="1:94" ht="15.75" customHeight="1" x14ac:dyDescent="0.25">
      <c r="A235" s="4">
        <v>234</v>
      </c>
      <c r="B235" s="4"/>
      <c r="C235" s="4">
        <v>21</v>
      </c>
      <c r="D235" s="8">
        <v>15.88</v>
      </c>
      <c r="E235" s="8">
        <v>15.1</v>
      </c>
      <c r="F235" s="8">
        <v>15.34</v>
      </c>
      <c r="G235" s="8">
        <v>16.84</v>
      </c>
      <c r="H235" s="8">
        <v>14.24</v>
      </c>
      <c r="I235" s="8">
        <v>14.02</v>
      </c>
      <c r="J235" s="8">
        <v>14.84</v>
      </c>
      <c r="K235" s="8">
        <v>16.03</v>
      </c>
      <c r="L235" s="8">
        <v>17.940000000000001</v>
      </c>
      <c r="M235" s="8">
        <v>16.079999999999998</v>
      </c>
      <c r="N235" s="8">
        <v>17.010000000000002</v>
      </c>
      <c r="O235" s="8">
        <v>17.28</v>
      </c>
      <c r="P235" s="8">
        <v>15.97</v>
      </c>
      <c r="Q235" s="8">
        <v>16.12</v>
      </c>
      <c r="R235" s="8">
        <v>16.07</v>
      </c>
      <c r="S235" s="8">
        <v>16.66</v>
      </c>
      <c r="T235" s="8">
        <v>17.7</v>
      </c>
      <c r="U235" s="8">
        <v>16.53</v>
      </c>
      <c r="V235" s="8">
        <v>16.95</v>
      </c>
      <c r="W235" s="8">
        <v>17.07</v>
      </c>
      <c r="X235" s="8">
        <v>14.83</v>
      </c>
      <c r="Y235" s="8">
        <v>16.48</v>
      </c>
      <c r="Z235" s="8">
        <v>15.39</v>
      </c>
      <c r="AA235" s="8">
        <v>14.96</v>
      </c>
      <c r="AB235" s="8">
        <v>15.93</v>
      </c>
      <c r="AC235" s="8">
        <v>16.12</v>
      </c>
      <c r="AD235" s="8">
        <v>15.67</v>
      </c>
      <c r="AE235" s="8">
        <v>17.21</v>
      </c>
      <c r="AF235" s="8">
        <v>16.53</v>
      </c>
      <c r="AG235" s="8">
        <v>15.38</v>
      </c>
      <c r="AH235" s="8">
        <v>14.63</v>
      </c>
      <c r="AI235" s="8">
        <v>15.35</v>
      </c>
      <c r="AJ235" s="8">
        <v>17.29</v>
      </c>
      <c r="AK235" s="8">
        <v>16.04</v>
      </c>
      <c r="AL235" s="8">
        <v>15.4</v>
      </c>
      <c r="AM235" s="8">
        <v>16.04</v>
      </c>
      <c r="AN235" s="8">
        <v>16.12</v>
      </c>
      <c r="AO235" s="8">
        <v>15.68</v>
      </c>
      <c r="AP235" s="8">
        <v>13.15</v>
      </c>
      <c r="AQ235" s="8">
        <v>14.06</v>
      </c>
      <c r="AR235" s="8">
        <v>15.15</v>
      </c>
      <c r="AS235" s="8">
        <v>17.690000000000001</v>
      </c>
      <c r="AT235" s="8">
        <v>16.309999999999999</v>
      </c>
      <c r="AU235" s="6">
        <v>15.75</v>
      </c>
      <c r="AV235" s="6">
        <v>16.07</v>
      </c>
      <c r="AW235" s="6">
        <v>16.79</v>
      </c>
      <c r="AX235" s="6">
        <v>17.29</v>
      </c>
      <c r="AY235" s="6">
        <v>16.690000000000001</v>
      </c>
      <c r="AZ235" s="6">
        <v>16.510000000000002</v>
      </c>
      <c r="BA235" s="6">
        <v>15.14</v>
      </c>
      <c r="BB235" s="6">
        <v>15.36</v>
      </c>
      <c r="BC235" s="6">
        <v>16.86</v>
      </c>
      <c r="BD235" s="6">
        <v>14.44</v>
      </c>
      <c r="BE235" s="6">
        <v>15.88</v>
      </c>
      <c r="BF235" s="6">
        <v>14.42</v>
      </c>
      <c r="BG235" s="6">
        <v>16.36</v>
      </c>
      <c r="BH235" s="6">
        <v>15.85</v>
      </c>
      <c r="BI235" s="6">
        <v>16.09</v>
      </c>
      <c r="BJ235" s="6">
        <v>16.38</v>
      </c>
      <c r="BK235" s="6">
        <v>16.260000000000002</v>
      </c>
      <c r="BL235" s="6">
        <v>15.78</v>
      </c>
      <c r="BM235" s="6">
        <v>16.84</v>
      </c>
      <c r="BN235" s="6">
        <v>15.37</v>
      </c>
      <c r="BO235" s="6">
        <v>17.059999999999999</v>
      </c>
      <c r="BP235" s="6">
        <v>16</v>
      </c>
      <c r="BQ235" s="6">
        <v>15.46</v>
      </c>
      <c r="BR235" s="6">
        <v>14.2</v>
      </c>
      <c r="BS235" s="6">
        <v>16.43</v>
      </c>
      <c r="BT235" s="6">
        <v>16.14</v>
      </c>
      <c r="BU235" s="6">
        <v>16.36</v>
      </c>
      <c r="BV235" s="6">
        <v>15.04</v>
      </c>
      <c r="BW235" s="6">
        <v>16.78</v>
      </c>
      <c r="BX235" s="6">
        <v>15.96</v>
      </c>
      <c r="BY235" s="6">
        <v>15.82</v>
      </c>
      <c r="BZ235" s="6">
        <v>14.48</v>
      </c>
      <c r="CA235" s="6">
        <v>16.559999999999999</v>
      </c>
      <c r="CB235" s="6">
        <v>16.18</v>
      </c>
      <c r="CC235" s="6">
        <v>16.78</v>
      </c>
      <c r="CD235" s="6">
        <v>15</v>
      </c>
      <c r="CE235" s="6">
        <v>15.94</v>
      </c>
      <c r="CF235" s="6">
        <v>15.53</v>
      </c>
      <c r="CG235" s="6">
        <v>16.920000000000002</v>
      </c>
      <c r="CH235" s="6">
        <v>16.82</v>
      </c>
      <c r="CI235" s="6">
        <v>18.14</v>
      </c>
      <c r="CJ235" s="11">
        <v>16.52</v>
      </c>
      <c r="CK235" s="6">
        <v>14.82</v>
      </c>
      <c r="CL235" s="6">
        <v>17.260000000000002</v>
      </c>
      <c r="CM235" s="6">
        <v>16.63</v>
      </c>
      <c r="CN235" s="6">
        <v>15.51</v>
      </c>
      <c r="CO235" s="10">
        <v>16.48</v>
      </c>
      <c r="CP235" s="10"/>
    </row>
    <row r="236" spans="1:94" ht="15.75" customHeight="1" x14ac:dyDescent="0.25">
      <c r="A236" s="4">
        <v>235</v>
      </c>
      <c r="B236" s="4"/>
      <c r="C236" s="4">
        <v>22</v>
      </c>
      <c r="D236" s="8">
        <v>15.86</v>
      </c>
      <c r="E236" s="8">
        <v>15.08</v>
      </c>
      <c r="F236" s="8">
        <v>15.3</v>
      </c>
      <c r="G236" s="8">
        <v>16.79</v>
      </c>
      <c r="H236" s="8">
        <v>14.26</v>
      </c>
      <c r="I236" s="8">
        <v>14.04</v>
      </c>
      <c r="J236" s="8">
        <v>14.88</v>
      </c>
      <c r="K236" s="8">
        <v>16.02</v>
      </c>
      <c r="L236" s="8">
        <v>17.899999999999999</v>
      </c>
      <c r="M236" s="8">
        <v>16.09</v>
      </c>
      <c r="N236" s="8">
        <v>17.04</v>
      </c>
      <c r="O236" s="8">
        <v>17.32</v>
      </c>
      <c r="P236" s="8">
        <v>15.97</v>
      </c>
      <c r="Q236" s="8">
        <v>16.149999999999999</v>
      </c>
      <c r="R236" s="8">
        <v>16.09</v>
      </c>
      <c r="S236" s="8">
        <v>16.66</v>
      </c>
      <c r="T236" s="8">
        <v>17.64</v>
      </c>
      <c r="U236" s="8">
        <v>16.559999999999999</v>
      </c>
      <c r="V236" s="8">
        <v>16.95</v>
      </c>
      <c r="W236" s="8">
        <v>17.170000000000002</v>
      </c>
      <c r="X236" s="8">
        <v>14.79</v>
      </c>
      <c r="Y236" s="8">
        <v>16.45</v>
      </c>
      <c r="Z236" s="8">
        <v>15.43</v>
      </c>
      <c r="AA236" s="8">
        <v>14.96</v>
      </c>
      <c r="AB236" s="8">
        <v>15.97</v>
      </c>
      <c r="AC236" s="8">
        <v>16.149999999999999</v>
      </c>
      <c r="AD236" s="8">
        <v>15.67</v>
      </c>
      <c r="AE236" s="8">
        <v>17.25</v>
      </c>
      <c r="AF236" s="8">
        <v>16.54</v>
      </c>
      <c r="AG236" s="8">
        <v>15.36</v>
      </c>
      <c r="AH236" s="8">
        <v>14.69</v>
      </c>
      <c r="AI236" s="8">
        <v>15.32</v>
      </c>
      <c r="AJ236" s="8">
        <v>17.29</v>
      </c>
      <c r="AK236" s="8">
        <v>16.010000000000002</v>
      </c>
      <c r="AL236" s="8">
        <v>15.39</v>
      </c>
      <c r="AM236" s="8">
        <v>16.059999999999999</v>
      </c>
      <c r="AN236" s="8">
        <v>16.12</v>
      </c>
      <c r="AO236" s="8">
        <v>15.65</v>
      </c>
      <c r="AP236" s="8">
        <v>13.18</v>
      </c>
      <c r="AQ236" s="8">
        <v>14.06</v>
      </c>
      <c r="AR236" s="8">
        <v>15.24</v>
      </c>
      <c r="AS236" s="8">
        <v>17.7</v>
      </c>
      <c r="AT236" s="8">
        <v>16.329999999999998</v>
      </c>
      <c r="AU236" s="6">
        <v>15.75</v>
      </c>
      <c r="AV236" s="6">
        <v>16.04</v>
      </c>
      <c r="AW236" s="6">
        <v>16.760000000000002</v>
      </c>
      <c r="AX236" s="6">
        <v>17.21</v>
      </c>
      <c r="AY236" s="6">
        <v>16.7</v>
      </c>
      <c r="AZ236" s="6">
        <v>16.54</v>
      </c>
      <c r="BA236" s="6">
        <v>15.14</v>
      </c>
      <c r="BB236" s="6">
        <v>15.43</v>
      </c>
      <c r="BC236" s="6">
        <v>16.82</v>
      </c>
      <c r="BD236" s="6">
        <v>14.44</v>
      </c>
      <c r="BE236" s="6">
        <v>15.89</v>
      </c>
      <c r="BF236" s="6">
        <v>14.43</v>
      </c>
      <c r="BG236" s="6">
        <v>16.29</v>
      </c>
      <c r="BH236" s="6">
        <v>15.97</v>
      </c>
      <c r="BI236" s="6">
        <v>16.079999999999998</v>
      </c>
      <c r="BJ236" s="6">
        <v>16.37</v>
      </c>
      <c r="BK236" s="6">
        <v>16.29</v>
      </c>
      <c r="BL236" s="6">
        <v>15.78</v>
      </c>
      <c r="BM236" s="6">
        <v>16.88</v>
      </c>
      <c r="BN236" s="6">
        <v>15.3</v>
      </c>
      <c r="BO236" s="6">
        <v>17.059999999999999</v>
      </c>
      <c r="BP236" s="6">
        <v>16.04</v>
      </c>
      <c r="BQ236" s="6">
        <v>15.46</v>
      </c>
      <c r="BR236" s="6">
        <v>14.2</v>
      </c>
      <c r="BS236" s="6">
        <v>16.440000000000001</v>
      </c>
      <c r="BT236" s="6">
        <v>16.14</v>
      </c>
      <c r="BU236" s="6">
        <v>16.38</v>
      </c>
      <c r="BV236" s="6">
        <v>15.1</v>
      </c>
      <c r="BW236" s="6">
        <v>16.87</v>
      </c>
      <c r="BX236" s="6">
        <v>16</v>
      </c>
      <c r="BY236" s="6">
        <v>15.74</v>
      </c>
      <c r="BZ236" s="6">
        <v>14.48</v>
      </c>
      <c r="CA236" s="6">
        <v>16.54</v>
      </c>
      <c r="CB236" s="6">
        <v>16.18</v>
      </c>
      <c r="CC236" s="6">
        <v>16.7</v>
      </c>
      <c r="CD236" s="6">
        <v>15.04</v>
      </c>
      <c r="CE236" s="6">
        <v>16</v>
      </c>
      <c r="CF236" s="6">
        <v>15.62</v>
      </c>
      <c r="CG236" s="6">
        <v>16.899999999999999</v>
      </c>
      <c r="CH236" s="6">
        <v>16.8</v>
      </c>
      <c r="CI236" s="6">
        <v>18.18</v>
      </c>
      <c r="CJ236" s="11">
        <v>16.54</v>
      </c>
      <c r="CK236" s="6">
        <v>14.7</v>
      </c>
      <c r="CL236" s="6">
        <v>17.239999999999998</v>
      </c>
      <c r="CM236" s="6">
        <v>16.62</v>
      </c>
      <c r="CN236" s="6">
        <v>15.54</v>
      </c>
      <c r="CO236" s="10">
        <v>16.38</v>
      </c>
      <c r="CP236" s="10"/>
    </row>
    <row r="237" spans="1:94" ht="15.75" customHeight="1" x14ac:dyDescent="0.25">
      <c r="A237" s="4">
        <v>236</v>
      </c>
      <c r="B237" s="4"/>
      <c r="C237" s="4">
        <v>23</v>
      </c>
      <c r="D237" s="8">
        <v>15.86</v>
      </c>
      <c r="E237" s="8">
        <v>15.03</v>
      </c>
      <c r="F237" s="8">
        <v>15.28</v>
      </c>
      <c r="G237" s="8">
        <v>16.78</v>
      </c>
      <c r="H237" s="8">
        <v>14.28</v>
      </c>
      <c r="I237" s="8">
        <v>14.06</v>
      </c>
      <c r="J237" s="8">
        <v>14.91</v>
      </c>
      <c r="K237" s="8">
        <v>16.04</v>
      </c>
      <c r="L237" s="8">
        <v>17.87</v>
      </c>
      <c r="M237" s="8">
        <v>16.100000000000001</v>
      </c>
      <c r="N237" s="8">
        <v>17.059999999999999</v>
      </c>
      <c r="O237" s="8">
        <v>17.36</v>
      </c>
      <c r="P237" s="8">
        <v>15.98</v>
      </c>
      <c r="Q237" s="8">
        <v>16.16</v>
      </c>
      <c r="R237" s="8">
        <v>16.11</v>
      </c>
      <c r="S237" s="8">
        <v>16.62</v>
      </c>
      <c r="T237" s="8">
        <v>17.579999999999998</v>
      </c>
      <c r="U237" s="8">
        <v>16.559999999999999</v>
      </c>
      <c r="V237" s="8">
        <v>16.95</v>
      </c>
      <c r="W237" s="8">
        <v>17.25</v>
      </c>
      <c r="X237" s="8">
        <v>14.73</v>
      </c>
      <c r="Y237" s="8">
        <v>16.489999999999998</v>
      </c>
      <c r="Z237" s="8">
        <v>15.47</v>
      </c>
      <c r="AA237" s="8">
        <v>14.96</v>
      </c>
      <c r="AB237" s="8">
        <v>15.99</v>
      </c>
      <c r="AC237" s="8">
        <v>16.149999999999999</v>
      </c>
      <c r="AD237" s="8">
        <v>15.61</v>
      </c>
      <c r="AE237" s="8">
        <v>17.27</v>
      </c>
      <c r="AF237" s="8">
        <v>16.510000000000002</v>
      </c>
      <c r="AG237" s="8">
        <v>15.32</v>
      </c>
      <c r="AH237" s="8">
        <v>14.75</v>
      </c>
      <c r="AI237" s="8">
        <v>15.29</v>
      </c>
      <c r="AJ237" s="8">
        <v>17.29</v>
      </c>
      <c r="AK237" s="8">
        <v>15.98</v>
      </c>
      <c r="AL237" s="8">
        <v>15.41</v>
      </c>
      <c r="AM237" s="8">
        <v>16.07</v>
      </c>
      <c r="AN237" s="8">
        <v>16.12</v>
      </c>
      <c r="AO237" s="8">
        <v>15.62</v>
      </c>
      <c r="AP237" s="8">
        <v>13.28</v>
      </c>
      <c r="AQ237" s="8">
        <v>14.04</v>
      </c>
      <c r="AR237" s="8">
        <v>15.3</v>
      </c>
      <c r="AS237" s="8">
        <v>17.7</v>
      </c>
      <c r="AT237" s="8">
        <v>16.34</v>
      </c>
      <c r="AU237" s="6">
        <v>15.76</v>
      </c>
      <c r="AV237" s="6">
        <v>15.97</v>
      </c>
      <c r="AW237" s="6">
        <v>16.75</v>
      </c>
      <c r="AX237" s="6">
        <v>17.149999999999999</v>
      </c>
      <c r="AY237" s="6">
        <v>16.71</v>
      </c>
      <c r="AZ237" s="6">
        <v>16.559999999999999</v>
      </c>
      <c r="BA237" s="6">
        <v>15.14</v>
      </c>
      <c r="BB237" s="6">
        <v>15.53</v>
      </c>
      <c r="BC237" s="6">
        <v>16.8</v>
      </c>
      <c r="BD237" s="6">
        <v>14.4</v>
      </c>
      <c r="BE237" s="6">
        <v>15.93</v>
      </c>
      <c r="BF237" s="6">
        <v>14.4</v>
      </c>
      <c r="BG237" s="6">
        <v>16.23</v>
      </c>
      <c r="BH237" s="6">
        <v>16.059999999999999</v>
      </c>
      <c r="BI237" s="6">
        <v>16.16</v>
      </c>
      <c r="BJ237" s="6">
        <v>16.22</v>
      </c>
      <c r="BK237" s="6">
        <v>16.329999999999998</v>
      </c>
      <c r="BL237" s="6">
        <v>15.78</v>
      </c>
      <c r="BM237" s="6">
        <v>16.899999999999999</v>
      </c>
      <c r="BN237" s="6">
        <v>15.24</v>
      </c>
      <c r="BO237" s="6">
        <v>17.05</v>
      </c>
      <c r="BP237" s="6">
        <v>16.079999999999998</v>
      </c>
      <c r="BQ237" s="6">
        <v>15.46</v>
      </c>
      <c r="BR237" s="6">
        <v>14.26</v>
      </c>
      <c r="BS237" s="6">
        <v>16.440000000000001</v>
      </c>
      <c r="BT237" s="6">
        <v>16.149999999999999</v>
      </c>
      <c r="BU237" s="6">
        <v>16.38</v>
      </c>
      <c r="BV237" s="6">
        <v>15.13</v>
      </c>
      <c r="BW237" s="6">
        <v>16.8</v>
      </c>
      <c r="BX237" s="6">
        <v>16</v>
      </c>
      <c r="BY237" s="6">
        <v>15.74</v>
      </c>
      <c r="BZ237" s="6">
        <v>14.48</v>
      </c>
      <c r="CA237" s="6">
        <v>16.52</v>
      </c>
      <c r="CB237" s="6">
        <v>16.18</v>
      </c>
      <c r="CC237" s="6">
        <v>16.7</v>
      </c>
      <c r="CD237" s="6">
        <v>15.04</v>
      </c>
      <c r="CE237" s="6">
        <v>16.04</v>
      </c>
      <c r="CF237" s="6">
        <v>15.7</v>
      </c>
      <c r="CG237" s="6">
        <v>16.899999999999999</v>
      </c>
      <c r="CH237" s="6">
        <v>16.760000000000002</v>
      </c>
      <c r="CI237" s="6">
        <v>18.22</v>
      </c>
      <c r="CJ237" s="11">
        <v>16.559999999999999</v>
      </c>
      <c r="CK237" s="6">
        <v>14.7</v>
      </c>
      <c r="CL237" s="6">
        <v>17.2</v>
      </c>
      <c r="CM237" s="6">
        <v>16.61</v>
      </c>
      <c r="CN237" s="6">
        <v>15.53</v>
      </c>
      <c r="CO237" s="10">
        <v>16.28</v>
      </c>
      <c r="CP237" s="10"/>
    </row>
    <row r="238" spans="1:94" ht="15.75" customHeight="1" x14ac:dyDescent="0.25">
      <c r="A238" s="4">
        <v>237</v>
      </c>
      <c r="B238" s="4"/>
      <c r="C238" s="4">
        <v>24</v>
      </c>
      <c r="D238" s="8">
        <v>15.88</v>
      </c>
      <c r="E238" s="8">
        <v>14.98</v>
      </c>
      <c r="F238" s="8">
        <v>15.28</v>
      </c>
      <c r="G238" s="8">
        <v>16.78</v>
      </c>
      <c r="H238" s="8">
        <v>14.3</v>
      </c>
      <c r="I238" s="8">
        <v>14.08</v>
      </c>
      <c r="J238" s="8">
        <v>14.97</v>
      </c>
      <c r="K238" s="8">
        <v>16.059999999999999</v>
      </c>
      <c r="L238" s="8">
        <v>17.84</v>
      </c>
      <c r="M238" s="8">
        <v>16.09</v>
      </c>
      <c r="N238" s="8">
        <v>17.07</v>
      </c>
      <c r="O238" s="8">
        <v>17.37</v>
      </c>
      <c r="P238" s="8">
        <v>15.99</v>
      </c>
      <c r="Q238" s="8">
        <v>16.12</v>
      </c>
      <c r="R238" s="8">
        <v>16.12</v>
      </c>
      <c r="S238" s="8">
        <v>16.62</v>
      </c>
      <c r="T238" s="8">
        <v>17.53</v>
      </c>
      <c r="U238" s="8">
        <v>16.559999999999999</v>
      </c>
      <c r="V238" s="8">
        <v>16.95</v>
      </c>
      <c r="W238" s="8">
        <v>17.29</v>
      </c>
      <c r="X238" s="8">
        <v>14.69</v>
      </c>
      <c r="Y238" s="8">
        <v>16.54</v>
      </c>
      <c r="Z238" s="8">
        <v>15.53</v>
      </c>
      <c r="AA238" s="8">
        <v>15.02</v>
      </c>
      <c r="AB238" s="8">
        <v>15.99</v>
      </c>
      <c r="AC238" s="8">
        <v>16.12</v>
      </c>
      <c r="AD238" s="8">
        <v>15.57</v>
      </c>
      <c r="AE238" s="8">
        <v>17.27</v>
      </c>
      <c r="AF238" s="8">
        <v>16.53</v>
      </c>
      <c r="AG238" s="8">
        <v>15.28</v>
      </c>
      <c r="AH238" s="8">
        <v>14.81</v>
      </c>
      <c r="AI238" s="8">
        <v>15.25</v>
      </c>
      <c r="AJ238" s="8">
        <v>17.28</v>
      </c>
      <c r="AK238" s="8">
        <v>15.94</v>
      </c>
      <c r="AL238" s="8">
        <v>15.37</v>
      </c>
      <c r="AM238" s="8">
        <v>16.04</v>
      </c>
      <c r="AN238" s="8">
        <v>16.12</v>
      </c>
      <c r="AO238" s="8">
        <v>15.6</v>
      </c>
      <c r="AP238" s="8">
        <v>13.32</v>
      </c>
      <c r="AQ238" s="8">
        <v>14.06</v>
      </c>
      <c r="AR238" s="8">
        <v>15.39</v>
      </c>
      <c r="AS238" s="8">
        <v>17.7</v>
      </c>
      <c r="AT238" s="8">
        <v>16.309999999999999</v>
      </c>
      <c r="AU238" s="6">
        <v>15.75</v>
      </c>
      <c r="AV238" s="6">
        <v>15.93</v>
      </c>
      <c r="AW238" s="6">
        <v>16.77</v>
      </c>
      <c r="AX238" s="6">
        <v>17.12</v>
      </c>
      <c r="AY238" s="6">
        <v>16.7</v>
      </c>
      <c r="AZ238" s="6">
        <v>16.559999999999999</v>
      </c>
      <c r="BA238" s="6">
        <v>15.15</v>
      </c>
      <c r="BB238" s="6">
        <v>15.61</v>
      </c>
      <c r="BC238" s="6">
        <v>16.78</v>
      </c>
      <c r="BD238" s="6">
        <v>14.39</v>
      </c>
      <c r="BE238" s="6">
        <v>15.92</v>
      </c>
      <c r="BF238" s="6">
        <v>14.35</v>
      </c>
      <c r="BG238" s="6">
        <v>16.21</v>
      </c>
      <c r="BH238" s="6">
        <v>16.170000000000002</v>
      </c>
      <c r="BI238" s="6">
        <v>16.04</v>
      </c>
      <c r="BJ238" s="6">
        <v>16.18</v>
      </c>
      <c r="BK238" s="6">
        <v>16.46</v>
      </c>
      <c r="BL238" s="6">
        <v>15.76</v>
      </c>
      <c r="BM238" s="6">
        <v>16.899999999999999</v>
      </c>
      <c r="BN238" s="6">
        <v>15.14</v>
      </c>
      <c r="BO238" s="6">
        <v>17.02</v>
      </c>
      <c r="BP238" s="6">
        <v>16.12</v>
      </c>
      <c r="BQ238" s="6">
        <v>15.44</v>
      </c>
      <c r="BR238" s="6">
        <v>14.32</v>
      </c>
      <c r="BS238" s="6">
        <v>16.41</v>
      </c>
      <c r="BT238" s="6">
        <v>16.16</v>
      </c>
      <c r="BU238" s="6">
        <v>16.399999999999999</v>
      </c>
      <c r="BV238" s="6">
        <v>15.16</v>
      </c>
      <c r="BW238" s="6">
        <v>16.82</v>
      </c>
      <c r="BX238" s="6">
        <v>16</v>
      </c>
      <c r="BY238" s="6">
        <v>15.68</v>
      </c>
      <c r="BZ238" s="6">
        <v>14.48</v>
      </c>
      <c r="CA238" s="6">
        <v>16.54</v>
      </c>
      <c r="CB238" s="6">
        <v>16.16</v>
      </c>
      <c r="CC238" s="6">
        <v>16.7</v>
      </c>
      <c r="CD238" s="6">
        <v>15.02</v>
      </c>
      <c r="CE238" s="6">
        <v>16.079999999999998</v>
      </c>
      <c r="CF238" s="6">
        <v>15.78</v>
      </c>
      <c r="CG238" s="6">
        <v>16.86</v>
      </c>
      <c r="CH238" s="6">
        <v>16.760000000000002</v>
      </c>
      <c r="CI238" s="6">
        <v>18.3</v>
      </c>
      <c r="CJ238" s="11">
        <v>16.579999999999998</v>
      </c>
      <c r="CK238" s="6">
        <v>14.68</v>
      </c>
      <c r="CL238" s="6">
        <v>17.239999999999998</v>
      </c>
      <c r="CM238" s="6">
        <v>16.600000000000001</v>
      </c>
      <c r="CN238" s="6">
        <v>15.51</v>
      </c>
      <c r="CO238" s="10">
        <v>16.2</v>
      </c>
      <c r="CP238" s="10"/>
    </row>
    <row r="239" spans="1:94" ht="15.75" customHeight="1" x14ac:dyDescent="0.25">
      <c r="A239" s="4">
        <v>238</v>
      </c>
      <c r="B239" s="4"/>
      <c r="C239" s="4">
        <v>25</v>
      </c>
      <c r="D239" s="8">
        <v>15.9</v>
      </c>
      <c r="E239" s="8">
        <v>14.94</v>
      </c>
      <c r="F239" s="8">
        <v>15.28</v>
      </c>
      <c r="G239" s="8">
        <v>16.78</v>
      </c>
      <c r="H239" s="8">
        <v>14.28</v>
      </c>
      <c r="I239" s="8">
        <v>14.1</v>
      </c>
      <c r="J239" s="8">
        <v>15.03</v>
      </c>
      <c r="K239" s="8">
        <v>16.09</v>
      </c>
      <c r="L239" s="8">
        <v>17.79</v>
      </c>
      <c r="M239" s="8">
        <v>16.12</v>
      </c>
      <c r="N239" s="8">
        <v>17.059999999999999</v>
      </c>
      <c r="O239" s="8">
        <v>17.37</v>
      </c>
      <c r="P239" s="8">
        <v>16.03</v>
      </c>
      <c r="Q239" s="8">
        <v>16.100000000000001</v>
      </c>
      <c r="R239" s="8">
        <v>16.12</v>
      </c>
      <c r="S239" s="8">
        <v>16.62</v>
      </c>
      <c r="T239" s="8">
        <v>17.489999999999998</v>
      </c>
      <c r="U239" s="8">
        <v>16.53</v>
      </c>
      <c r="V239" s="8">
        <v>16.95</v>
      </c>
      <c r="W239" s="8">
        <v>17.329999999999998</v>
      </c>
      <c r="X239" s="8">
        <v>14.67</v>
      </c>
      <c r="Y239" s="8">
        <v>16.54</v>
      </c>
      <c r="Z239" s="8">
        <v>15.57</v>
      </c>
      <c r="AA239" s="8">
        <v>15.04</v>
      </c>
      <c r="AB239" s="8">
        <v>15.99</v>
      </c>
      <c r="AC239" s="8">
        <v>16.100000000000001</v>
      </c>
      <c r="AD239" s="8">
        <v>15.53</v>
      </c>
      <c r="AE239" s="8">
        <v>17.27</v>
      </c>
      <c r="AF239" s="8">
        <v>16.53</v>
      </c>
      <c r="AG239" s="8">
        <v>15.24</v>
      </c>
      <c r="AH239" s="8">
        <v>14.85</v>
      </c>
      <c r="AI239" s="8">
        <v>15.21</v>
      </c>
      <c r="AJ239" s="8">
        <v>17.29</v>
      </c>
      <c r="AK239" s="8">
        <v>15.89</v>
      </c>
      <c r="AL239" s="8">
        <v>15.36</v>
      </c>
      <c r="AM239" s="8">
        <v>16.04</v>
      </c>
      <c r="AN239" s="8">
        <v>16.12</v>
      </c>
      <c r="AO239" s="8">
        <v>15.58</v>
      </c>
      <c r="AP239" s="8">
        <v>13.36</v>
      </c>
      <c r="AQ239" s="8">
        <v>14.1</v>
      </c>
      <c r="AR239" s="8">
        <v>15.47</v>
      </c>
      <c r="AS239" s="8">
        <v>17.690000000000001</v>
      </c>
      <c r="AT239" s="8">
        <v>16.309999999999999</v>
      </c>
      <c r="AU239" s="6">
        <v>15.77</v>
      </c>
      <c r="AV239" s="6">
        <v>15.89</v>
      </c>
      <c r="AW239" s="6">
        <v>16.79</v>
      </c>
      <c r="AX239" s="6">
        <v>17.11</v>
      </c>
      <c r="AY239" s="6">
        <v>16.670000000000002</v>
      </c>
      <c r="AZ239" s="6">
        <v>16.59</v>
      </c>
      <c r="BA239" s="6">
        <v>15.15</v>
      </c>
      <c r="BB239" s="6">
        <v>15.68</v>
      </c>
      <c r="BC239" s="6">
        <v>16.760000000000002</v>
      </c>
      <c r="BD239" s="6">
        <v>14.32</v>
      </c>
      <c r="BE239" s="6">
        <v>15.86</v>
      </c>
      <c r="BF239" s="6">
        <v>14.28</v>
      </c>
      <c r="BG239" s="6">
        <v>16.18</v>
      </c>
      <c r="BH239" s="6">
        <v>16.27</v>
      </c>
      <c r="BI239" s="6">
        <v>15.99</v>
      </c>
      <c r="BJ239" s="6">
        <v>16.12</v>
      </c>
      <c r="BK239" s="6">
        <v>16.5</v>
      </c>
      <c r="BL239" s="6">
        <v>15.75</v>
      </c>
      <c r="BM239" s="6">
        <v>16.920000000000002</v>
      </c>
      <c r="BN239" s="6">
        <v>15.08</v>
      </c>
      <c r="BO239" s="6">
        <v>17</v>
      </c>
      <c r="BP239" s="6">
        <v>16.149999999999999</v>
      </c>
      <c r="BQ239" s="6">
        <v>15.42</v>
      </c>
      <c r="BR239" s="6">
        <v>14.39</v>
      </c>
      <c r="BS239" s="6">
        <v>16.38</v>
      </c>
      <c r="BT239" s="6">
        <v>16.16</v>
      </c>
      <c r="BU239" s="6">
        <v>16.420000000000002</v>
      </c>
      <c r="BV239" s="6">
        <v>15.18</v>
      </c>
      <c r="BW239" s="6">
        <v>16.82</v>
      </c>
      <c r="BX239" s="6">
        <v>16.04</v>
      </c>
      <c r="BY239" s="6">
        <v>15.7</v>
      </c>
      <c r="BZ239" s="6">
        <v>14.44</v>
      </c>
      <c r="CA239" s="6">
        <v>16.559999999999999</v>
      </c>
      <c r="CB239" s="6">
        <v>16.2</v>
      </c>
      <c r="CC239" s="6">
        <v>16.68</v>
      </c>
      <c r="CD239" s="6">
        <v>15.04</v>
      </c>
      <c r="CE239" s="6">
        <v>16.16</v>
      </c>
      <c r="CF239" s="6">
        <v>15.84</v>
      </c>
      <c r="CG239" s="6">
        <v>16.84</v>
      </c>
      <c r="CH239" s="6">
        <v>16.68</v>
      </c>
      <c r="CI239" s="6">
        <v>18.34</v>
      </c>
      <c r="CJ239" s="11">
        <v>16.600000000000001</v>
      </c>
      <c r="CK239" s="6">
        <v>14.6</v>
      </c>
      <c r="CL239" s="6">
        <v>17.2</v>
      </c>
      <c r="CM239" s="6">
        <v>16.579999999999998</v>
      </c>
      <c r="CN239" s="6">
        <v>15.5</v>
      </c>
      <c r="CO239" s="10">
        <v>16.100000000000001</v>
      </c>
      <c r="CP239" s="10"/>
    </row>
    <row r="240" spans="1:94" ht="15.75" customHeight="1" x14ac:dyDescent="0.25">
      <c r="A240" s="4">
        <v>239</v>
      </c>
      <c r="B240" s="4"/>
      <c r="C240" s="4">
        <v>26</v>
      </c>
      <c r="D240" s="8">
        <v>15.92</v>
      </c>
      <c r="E240" s="8">
        <v>14.9</v>
      </c>
      <c r="F240" s="8">
        <v>15.28</v>
      </c>
      <c r="G240" s="8">
        <v>16.78</v>
      </c>
      <c r="H240" s="8">
        <v>14.27</v>
      </c>
      <c r="I240" s="8">
        <v>14.14</v>
      </c>
      <c r="J240" s="8">
        <v>15.06</v>
      </c>
      <c r="K240" s="8">
        <v>16.12</v>
      </c>
      <c r="L240" s="8">
        <v>17.739999999999998</v>
      </c>
      <c r="M240" s="8">
        <v>16.149999999999999</v>
      </c>
      <c r="N240" s="8">
        <v>17.04</v>
      </c>
      <c r="O240" s="8">
        <v>17.37</v>
      </c>
      <c r="P240" s="8">
        <v>16.04</v>
      </c>
      <c r="Q240" s="8">
        <v>16.07</v>
      </c>
      <c r="R240" s="8">
        <v>16.12</v>
      </c>
      <c r="S240" s="8">
        <v>16.62</v>
      </c>
      <c r="T240" s="8">
        <v>17.420000000000002</v>
      </c>
      <c r="U240" s="8">
        <v>16.53</v>
      </c>
      <c r="V240" s="8">
        <v>16.95</v>
      </c>
      <c r="W240" s="8">
        <v>17.350000000000001</v>
      </c>
      <c r="X240" s="8">
        <v>14.63</v>
      </c>
      <c r="Y240" s="8">
        <v>16.59</v>
      </c>
      <c r="Z240" s="8">
        <v>15.61</v>
      </c>
      <c r="AA240" s="8">
        <v>15.06</v>
      </c>
      <c r="AB240" s="8">
        <v>15.97</v>
      </c>
      <c r="AC240" s="8">
        <v>16.07</v>
      </c>
      <c r="AD240" s="8">
        <v>15.5</v>
      </c>
      <c r="AE240" s="8">
        <v>17.29</v>
      </c>
      <c r="AF240" s="8">
        <v>16.5</v>
      </c>
      <c r="AG240" s="8">
        <v>15.2</v>
      </c>
      <c r="AH240" s="8">
        <v>14.89</v>
      </c>
      <c r="AI240" s="8">
        <v>15.22</v>
      </c>
      <c r="AJ240" s="8">
        <v>17.29</v>
      </c>
      <c r="AK240" s="8">
        <v>15.84</v>
      </c>
      <c r="AL240" s="8">
        <v>15.38</v>
      </c>
      <c r="AM240" s="8">
        <v>16.07</v>
      </c>
      <c r="AN240" s="8">
        <v>16.12</v>
      </c>
      <c r="AO240" s="8">
        <v>15.56</v>
      </c>
      <c r="AP240" s="8">
        <v>13.38</v>
      </c>
      <c r="AQ240" s="8">
        <v>14.1</v>
      </c>
      <c r="AR240" s="8">
        <v>15.49</v>
      </c>
      <c r="AS240" s="8">
        <v>17.690000000000001</v>
      </c>
      <c r="AT240" s="8">
        <v>16.309999999999999</v>
      </c>
      <c r="AU240" s="6">
        <v>15.8</v>
      </c>
      <c r="AV240" s="6">
        <v>15.88</v>
      </c>
      <c r="AW240" s="6">
        <v>16.78</v>
      </c>
      <c r="AX240" s="6">
        <v>17.059999999999999</v>
      </c>
      <c r="AY240" s="6">
        <v>16.64</v>
      </c>
      <c r="AZ240" s="6">
        <v>16.600000000000001</v>
      </c>
      <c r="BA240" s="6">
        <v>15.15</v>
      </c>
      <c r="BB240" s="6">
        <v>15.71</v>
      </c>
      <c r="BC240" s="6">
        <v>16.71</v>
      </c>
      <c r="BD240" s="6">
        <v>14.26</v>
      </c>
      <c r="BE240" s="6">
        <v>15.82</v>
      </c>
      <c r="BF240" s="6">
        <v>14.23</v>
      </c>
      <c r="BG240" s="6">
        <v>16.13</v>
      </c>
      <c r="BH240" s="6">
        <v>16.34</v>
      </c>
      <c r="BI240" s="6">
        <v>16</v>
      </c>
      <c r="BJ240" s="6">
        <v>16.12</v>
      </c>
      <c r="BK240" s="6">
        <v>16.600000000000001</v>
      </c>
      <c r="BL240" s="6">
        <v>15.74</v>
      </c>
      <c r="BM240" s="6">
        <v>16.899999999999999</v>
      </c>
      <c r="BN240" s="6">
        <v>15.04</v>
      </c>
      <c r="BO240" s="6">
        <v>16.940000000000001</v>
      </c>
      <c r="BP240" s="6">
        <v>16.18</v>
      </c>
      <c r="BQ240" s="6">
        <v>15.4</v>
      </c>
      <c r="BR240" s="6">
        <v>14.44</v>
      </c>
      <c r="BS240" s="6">
        <v>16.399999999999999</v>
      </c>
      <c r="BT240" s="6">
        <v>16.18</v>
      </c>
      <c r="BU240" s="6">
        <v>16.43</v>
      </c>
      <c r="BV240" s="6">
        <v>15.18</v>
      </c>
      <c r="BW240" s="6">
        <v>16.8</v>
      </c>
      <c r="BX240" s="6">
        <v>16.02</v>
      </c>
      <c r="BY240" s="6">
        <v>15.66</v>
      </c>
      <c r="BZ240" s="6">
        <v>14.42</v>
      </c>
      <c r="CA240" s="6">
        <v>16.579999999999998</v>
      </c>
      <c r="CB240" s="6">
        <v>16.22</v>
      </c>
      <c r="CC240" s="6">
        <v>16.7</v>
      </c>
      <c r="CD240" s="6">
        <v>15.04</v>
      </c>
      <c r="CE240" s="6">
        <v>16.14</v>
      </c>
      <c r="CF240" s="6">
        <v>15.98</v>
      </c>
      <c r="CG240" s="6">
        <v>16.8</v>
      </c>
      <c r="CH240" s="6">
        <v>16.62</v>
      </c>
      <c r="CI240" s="6">
        <v>18.34</v>
      </c>
      <c r="CJ240" s="11">
        <v>16.62</v>
      </c>
      <c r="CK240" s="6">
        <v>14.54</v>
      </c>
      <c r="CL240" s="6">
        <v>17.18</v>
      </c>
      <c r="CM240" s="6">
        <v>16.559999999999999</v>
      </c>
      <c r="CN240" s="6">
        <v>15.46</v>
      </c>
      <c r="CO240" s="10">
        <v>15.98</v>
      </c>
      <c r="CP240" s="10"/>
    </row>
    <row r="241" spans="1:94" ht="15.75" customHeight="1" x14ac:dyDescent="0.25">
      <c r="A241" s="4">
        <v>240</v>
      </c>
      <c r="B241" s="4"/>
      <c r="C241" s="4">
        <v>27</v>
      </c>
      <c r="D241" s="8">
        <v>15.94</v>
      </c>
      <c r="E241" s="8">
        <v>14.86</v>
      </c>
      <c r="F241" s="8">
        <v>15.28</v>
      </c>
      <c r="G241" s="8">
        <v>16.78</v>
      </c>
      <c r="H241" s="8">
        <v>14.26</v>
      </c>
      <c r="I241" s="8">
        <v>14.16</v>
      </c>
      <c r="J241" s="8">
        <v>15.08</v>
      </c>
      <c r="K241" s="8">
        <v>16.12</v>
      </c>
      <c r="L241" s="8">
        <v>17.7</v>
      </c>
      <c r="M241" s="8">
        <v>16.18</v>
      </c>
      <c r="N241" s="8">
        <v>17.010000000000002</v>
      </c>
      <c r="O241" s="8">
        <v>17.37</v>
      </c>
      <c r="P241" s="8">
        <v>16.079999999999998</v>
      </c>
      <c r="Q241" s="8">
        <v>16.03</v>
      </c>
      <c r="R241" s="8">
        <v>16.149999999999999</v>
      </c>
      <c r="S241" s="8">
        <v>16.579999999999998</v>
      </c>
      <c r="T241" s="8">
        <v>17.37</v>
      </c>
      <c r="U241" s="8">
        <v>16.53</v>
      </c>
      <c r="V241" s="8">
        <v>16.91</v>
      </c>
      <c r="W241" s="8">
        <v>17.329999999999998</v>
      </c>
      <c r="X241" s="8">
        <v>14.57</v>
      </c>
      <c r="Y241" s="8">
        <v>16.61</v>
      </c>
      <c r="Z241" s="8">
        <v>15.63</v>
      </c>
      <c r="AA241" s="8">
        <v>15.08</v>
      </c>
      <c r="AB241" s="8">
        <v>15.95</v>
      </c>
      <c r="AC241" s="8">
        <v>16.03</v>
      </c>
      <c r="AD241" s="8">
        <v>15.47</v>
      </c>
      <c r="AE241" s="8">
        <v>17.27</v>
      </c>
      <c r="AF241" s="8">
        <v>16.48</v>
      </c>
      <c r="AG241" s="8">
        <v>15.16</v>
      </c>
      <c r="AH241" s="8">
        <v>14.95</v>
      </c>
      <c r="AI241" s="8">
        <v>15.23</v>
      </c>
      <c r="AJ241" s="8">
        <v>17.29</v>
      </c>
      <c r="AK241" s="8">
        <v>15.76</v>
      </c>
      <c r="AL241" s="8">
        <v>15.44</v>
      </c>
      <c r="AM241" s="8">
        <v>16.04</v>
      </c>
      <c r="AN241" s="8">
        <v>16.12</v>
      </c>
      <c r="AO241" s="8">
        <v>15.52</v>
      </c>
      <c r="AP241" s="8">
        <v>13.39</v>
      </c>
      <c r="AQ241" s="8">
        <v>14.12</v>
      </c>
      <c r="AR241" s="8">
        <v>15.48</v>
      </c>
      <c r="AS241" s="8">
        <v>17.670000000000002</v>
      </c>
      <c r="AT241" s="8">
        <v>16.309999999999999</v>
      </c>
      <c r="AU241" s="6">
        <v>15.85</v>
      </c>
      <c r="AV241" s="6">
        <v>15.84</v>
      </c>
      <c r="AW241" s="6">
        <v>16.75</v>
      </c>
      <c r="AX241" s="6">
        <v>17.010000000000002</v>
      </c>
      <c r="AY241" s="6">
        <v>16.62</v>
      </c>
      <c r="AZ241" s="6">
        <v>16.62</v>
      </c>
      <c r="BA241" s="6">
        <v>15.15</v>
      </c>
      <c r="BB241" s="6">
        <v>15.72</v>
      </c>
      <c r="BC241" s="6">
        <v>16.68</v>
      </c>
      <c r="BD241" s="6">
        <v>14.2</v>
      </c>
      <c r="BE241" s="6">
        <v>15.81</v>
      </c>
      <c r="BF241" s="6">
        <v>14.18</v>
      </c>
      <c r="BG241" s="6">
        <v>16.09</v>
      </c>
      <c r="BH241" s="6">
        <v>16.43</v>
      </c>
      <c r="BI241" s="6">
        <v>16</v>
      </c>
      <c r="BJ241" s="6">
        <v>16</v>
      </c>
      <c r="BK241" s="6">
        <v>16.66</v>
      </c>
      <c r="BL241" s="6">
        <v>15.7</v>
      </c>
      <c r="BM241" s="6">
        <v>16.88</v>
      </c>
      <c r="BN241" s="6">
        <v>14.98</v>
      </c>
      <c r="BO241" s="6">
        <v>16.899999999999999</v>
      </c>
      <c r="BP241" s="6">
        <v>16.18</v>
      </c>
      <c r="BQ241" s="6">
        <v>15.38</v>
      </c>
      <c r="BR241" s="6">
        <v>14.46</v>
      </c>
      <c r="BS241" s="6">
        <v>16.36</v>
      </c>
      <c r="BT241" s="6">
        <v>16.18</v>
      </c>
      <c r="BU241" s="6">
        <v>16.38</v>
      </c>
      <c r="BV241" s="6">
        <v>15.2</v>
      </c>
      <c r="BW241" s="6">
        <v>16.78</v>
      </c>
      <c r="BX241" s="6">
        <v>16.059999999999999</v>
      </c>
      <c r="BY241" s="6">
        <v>15.66</v>
      </c>
      <c r="BZ241" s="6">
        <v>14.38</v>
      </c>
      <c r="CA241" s="6">
        <v>16.579999999999998</v>
      </c>
      <c r="CB241" s="6">
        <v>16.22</v>
      </c>
      <c r="CC241" s="6">
        <v>16.66</v>
      </c>
      <c r="CD241" s="6">
        <v>15.02</v>
      </c>
      <c r="CE241" s="6">
        <v>16.100000000000001</v>
      </c>
      <c r="CF241" s="6">
        <v>16.02</v>
      </c>
      <c r="CG241" s="6">
        <v>16.760000000000002</v>
      </c>
      <c r="CH241" s="6">
        <v>16.579999999999998</v>
      </c>
      <c r="CI241" s="6">
        <v>18.32</v>
      </c>
      <c r="CJ241" s="11">
        <v>16.579999999999998</v>
      </c>
      <c r="CK241" s="6">
        <v>14.5</v>
      </c>
      <c r="CL241" s="6">
        <v>17.16</v>
      </c>
      <c r="CM241" s="6">
        <v>16.579999999999998</v>
      </c>
      <c r="CN241" s="6">
        <v>15.44</v>
      </c>
      <c r="CO241" s="10">
        <v>15.9</v>
      </c>
      <c r="CP241" s="10"/>
    </row>
    <row r="242" spans="1:94" ht="15.75" customHeight="1" x14ac:dyDescent="0.25">
      <c r="A242" s="4">
        <v>241</v>
      </c>
      <c r="B242" s="4"/>
      <c r="C242" s="4">
        <v>28</v>
      </c>
      <c r="D242" s="8">
        <v>15.96</v>
      </c>
      <c r="E242" s="8">
        <v>14.8</v>
      </c>
      <c r="F242" s="8">
        <v>15.28</v>
      </c>
      <c r="G242" s="8">
        <v>16.78</v>
      </c>
      <c r="H242" s="8">
        <v>14.25</v>
      </c>
      <c r="I242" s="8">
        <v>14.2</v>
      </c>
      <c r="J242" s="8">
        <v>15.11</v>
      </c>
      <c r="K242" s="8">
        <v>16.12</v>
      </c>
      <c r="L242" s="8">
        <v>17.66</v>
      </c>
      <c r="M242" s="8">
        <v>16.18</v>
      </c>
      <c r="N242" s="8">
        <v>16.95</v>
      </c>
      <c r="O242" s="8">
        <v>17.37</v>
      </c>
      <c r="P242" s="8">
        <v>16.07</v>
      </c>
      <c r="Q242" s="8">
        <v>15.97</v>
      </c>
      <c r="R242" s="8">
        <v>16.149999999999999</v>
      </c>
      <c r="S242" s="8">
        <v>16.559999999999999</v>
      </c>
      <c r="T242" s="8">
        <v>17.36</v>
      </c>
      <c r="U242" s="8">
        <v>16.53</v>
      </c>
      <c r="V242" s="8">
        <v>16.87</v>
      </c>
      <c r="W242" s="8">
        <v>17.329999999999998</v>
      </c>
      <c r="X242" s="8">
        <v>14.51</v>
      </c>
      <c r="Y242" s="8">
        <v>16.61</v>
      </c>
      <c r="Z242" s="8">
        <v>15.65</v>
      </c>
      <c r="AA242" s="8">
        <v>15.08</v>
      </c>
      <c r="AB242" s="8">
        <v>15.95</v>
      </c>
      <c r="AC242" s="8">
        <v>16.03</v>
      </c>
      <c r="AD242" s="8">
        <v>15.43</v>
      </c>
      <c r="AE242" s="8">
        <v>17.27</v>
      </c>
      <c r="AF242" s="8">
        <v>16.45</v>
      </c>
      <c r="AG242" s="8">
        <v>15.16</v>
      </c>
      <c r="AH242" s="8">
        <v>14.99</v>
      </c>
      <c r="AI242" s="8">
        <v>15.27</v>
      </c>
      <c r="AJ242" s="8">
        <v>17.29</v>
      </c>
      <c r="AK242" s="8">
        <v>15.72</v>
      </c>
      <c r="AL242" s="8">
        <v>15.47</v>
      </c>
      <c r="AM242" s="8">
        <v>16.02</v>
      </c>
      <c r="AN242" s="8">
        <v>16.12</v>
      </c>
      <c r="AO242" s="8">
        <v>15.48</v>
      </c>
      <c r="AP242" s="8">
        <v>13.38</v>
      </c>
      <c r="AQ242" s="8">
        <v>14.12</v>
      </c>
      <c r="AR242" s="8">
        <v>15.45</v>
      </c>
      <c r="AS242" s="8">
        <v>17.649999999999999</v>
      </c>
      <c r="AT242" s="8">
        <v>16.29</v>
      </c>
      <c r="AU242" s="6">
        <v>15.88</v>
      </c>
      <c r="AV242" s="6">
        <v>15.8</v>
      </c>
      <c r="AW242" s="6">
        <v>16.7</v>
      </c>
      <c r="AX242" s="6">
        <v>16.96</v>
      </c>
      <c r="AY242" s="6">
        <v>16.55</v>
      </c>
      <c r="AZ242" s="6">
        <v>16.670000000000002</v>
      </c>
      <c r="BA242" s="6">
        <v>15.14</v>
      </c>
      <c r="BB242" s="6">
        <v>15.76</v>
      </c>
      <c r="BC242" s="6">
        <v>16.62</v>
      </c>
      <c r="BD242" s="6">
        <v>14.12</v>
      </c>
      <c r="BE242" s="6">
        <v>15.8</v>
      </c>
      <c r="BF242" s="6">
        <v>14.13</v>
      </c>
      <c r="BG242" s="6">
        <v>16.04</v>
      </c>
      <c r="BH242" s="6">
        <v>16.510000000000002</v>
      </c>
      <c r="BI242" s="6">
        <v>16</v>
      </c>
      <c r="BJ242" s="6">
        <v>15.96</v>
      </c>
      <c r="BK242" s="6">
        <v>16.66</v>
      </c>
      <c r="BL242" s="6">
        <v>15.66</v>
      </c>
      <c r="BM242" s="6">
        <v>16.88</v>
      </c>
      <c r="BN242" s="6">
        <v>14.9</v>
      </c>
      <c r="BO242" s="6">
        <v>16.850000000000001</v>
      </c>
      <c r="BP242" s="6">
        <v>16.170000000000002</v>
      </c>
      <c r="BQ242" s="6">
        <v>15.38</v>
      </c>
      <c r="BR242" s="6">
        <v>14.46</v>
      </c>
      <c r="BS242" s="6">
        <v>16.350000000000001</v>
      </c>
      <c r="BT242" s="6">
        <v>16.2</v>
      </c>
      <c r="BU242" s="6">
        <v>16.399999999999999</v>
      </c>
      <c r="BV242" s="6">
        <v>15.22</v>
      </c>
      <c r="BW242" s="6">
        <v>16.760000000000002</v>
      </c>
      <c r="BX242" s="6">
        <v>16.079999999999998</v>
      </c>
      <c r="BY242" s="6">
        <v>15.64</v>
      </c>
      <c r="BZ242" s="6">
        <v>14.38</v>
      </c>
      <c r="CA242" s="6">
        <v>16.579999999999998</v>
      </c>
      <c r="CB242" s="6">
        <v>16.2</v>
      </c>
      <c r="CC242" s="6">
        <v>16.62</v>
      </c>
      <c r="CD242" s="6">
        <v>15.02</v>
      </c>
      <c r="CE242" s="6">
        <v>16</v>
      </c>
      <c r="CF242" s="6">
        <v>15.98</v>
      </c>
      <c r="CG242" s="6">
        <v>16.72</v>
      </c>
      <c r="CH242" s="6">
        <v>16.579999999999998</v>
      </c>
      <c r="CI242" s="6">
        <v>18.34</v>
      </c>
      <c r="CJ242" s="11">
        <v>16.559999999999999</v>
      </c>
      <c r="CK242" s="6">
        <v>14.46</v>
      </c>
      <c r="CL242" s="6">
        <v>17.12</v>
      </c>
      <c r="CM242" s="6">
        <v>16.61</v>
      </c>
      <c r="CN242" s="6">
        <v>15.4</v>
      </c>
      <c r="CO242" s="10">
        <v>15.8</v>
      </c>
      <c r="CP242" s="10"/>
    </row>
    <row r="243" spans="1:94" ht="15.75" customHeight="1" x14ac:dyDescent="0.25">
      <c r="A243" s="4">
        <v>242</v>
      </c>
      <c r="B243" s="4"/>
      <c r="C243" s="4">
        <v>29</v>
      </c>
      <c r="D243" s="8">
        <v>15.98</v>
      </c>
      <c r="E243" s="8">
        <v>14.76</v>
      </c>
      <c r="F243" s="8">
        <v>15.28</v>
      </c>
      <c r="G243" s="8">
        <v>16.79</v>
      </c>
      <c r="H243" s="8">
        <v>14.24</v>
      </c>
      <c r="I243" s="8">
        <v>14.24</v>
      </c>
      <c r="J243" s="8">
        <v>15.12</v>
      </c>
      <c r="K243" s="8">
        <v>16.100000000000001</v>
      </c>
      <c r="L243" s="8">
        <v>17.62</v>
      </c>
      <c r="M243" s="8">
        <v>16.170000000000002</v>
      </c>
      <c r="N243" s="8">
        <v>17.03</v>
      </c>
      <c r="O243" s="8">
        <v>17.39</v>
      </c>
      <c r="P243" s="8">
        <v>16.04</v>
      </c>
      <c r="Q243" s="8">
        <v>15.92</v>
      </c>
      <c r="R243" s="8">
        <v>16.18</v>
      </c>
      <c r="S243" s="8">
        <v>16.559999999999999</v>
      </c>
      <c r="T243" s="8">
        <v>17.36</v>
      </c>
      <c r="U243" s="8">
        <v>16.57</v>
      </c>
      <c r="V243" s="8">
        <v>16.829999999999998</v>
      </c>
      <c r="W243" s="8">
        <v>17.29</v>
      </c>
      <c r="X243" s="8">
        <v>14.49</v>
      </c>
      <c r="Y243" s="8">
        <v>16.61</v>
      </c>
      <c r="Z243" s="8">
        <v>15.65</v>
      </c>
      <c r="AA243" s="8">
        <v>15.08</v>
      </c>
      <c r="AB243" s="8">
        <v>15.95</v>
      </c>
      <c r="AC243" s="8">
        <v>16.03</v>
      </c>
      <c r="AD243" s="8">
        <v>15.29</v>
      </c>
      <c r="AE243" s="8">
        <v>17.23</v>
      </c>
      <c r="AF243" s="8">
        <v>16.45</v>
      </c>
      <c r="AG243" s="8">
        <v>15.14</v>
      </c>
      <c r="AH243" s="8">
        <v>15.01</v>
      </c>
      <c r="AI243" s="8">
        <v>15.31</v>
      </c>
      <c r="AJ243" s="8">
        <v>17.29</v>
      </c>
      <c r="AK243" s="8">
        <v>15.69</v>
      </c>
      <c r="AL243" s="8">
        <v>15.49</v>
      </c>
      <c r="AM243" s="8">
        <v>16</v>
      </c>
      <c r="AN243" s="8">
        <v>16.12</v>
      </c>
      <c r="AO243" s="8">
        <v>15.42</v>
      </c>
      <c r="AP243" s="8">
        <v>13.39</v>
      </c>
      <c r="AQ243" s="8">
        <v>14.1</v>
      </c>
      <c r="AR243" s="8">
        <v>15.43</v>
      </c>
      <c r="AS243" s="8">
        <v>17.600000000000001</v>
      </c>
      <c r="AT243" s="8">
        <v>16.27</v>
      </c>
      <c r="AU243" s="6">
        <v>15.92</v>
      </c>
      <c r="AV243" s="6">
        <v>15.77</v>
      </c>
      <c r="AW243" s="6">
        <v>16.7</v>
      </c>
      <c r="AX243" s="6">
        <v>16.940000000000001</v>
      </c>
      <c r="AY243" s="6">
        <v>16.52</v>
      </c>
      <c r="AZ243" s="6">
        <v>16.7</v>
      </c>
      <c r="BA243" s="6">
        <v>15.23</v>
      </c>
      <c r="BB243" s="6">
        <v>15.77</v>
      </c>
      <c r="BC243" s="6">
        <v>16.57</v>
      </c>
      <c r="BD243" s="6">
        <v>14.1</v>
      </c>
      <c r="BE243" s="6">
        <v>15.85</v>
      </c>
      <c r="BF243" s="6">
        <v>14.09</v>
      </c>
      <c r="BG243" s="6">
        <v>16.02</v>
      </c>
      <c r="BH243" s="6">
        <v>16.55</v>
      </c>
      <c r="BI243" s="6">
        <v>15.96</v>
      </c>
      <c r="BJ243" s="6">
        <v>15.92</v>
      </c>
      <c r="BK243" s="6">
        <v>16.66</v>
      </c>
      <c r="BL243" s="6">
        <v>15.64</v>
      </c>
      <c r="BM243" s="6">
        <v>16.899999999999999</v>
      </c>
      <c r="BN243" s="6">
        <v>14.86</v>
      </c>
      <c r="BO243" s="6">
        <v>16.82</v>
      </c>
      <c r="BP243" s="6">
        <v>16.12</v>
      </c>
      <c r="BQ243" s="6">
        <v>15.36</v>
      </c>
      <c r="BR243" s="6">
        <v>14.46</v>
      </c>
      <c r="BS243" s="6">
        <v>16.34</v>
      </c>
      <c r="BT243" s="6">
        <v>16.22</v>
      </c>
      <c r="BU243" s="6">
        <v>16.38</v>
      </c>
      <c r="BV243" s="6">
        <v>15.16</v>
      </c>
      <c r="BW243" s="6">
        <v>16.739999999999998</v>
      </c>
      <c r="BX243" s="6">
        <v>16.079999999999998</v>
      </c>
      <c r="BY243" s="6">
        <v>15.62</v>
      </c>
      <c r="BZ243" s="6">
        <v>14.42</v>
      </c>
      <c r="CA243" s="6">
        <v>16.579999999999998</v>
      </c>
      <c r="CB243" s="6">
        <v>16.18</v>
      </c>
      <c r="CC243" s="6">
        <v>16.600000000000001</v>
      </c>
      <c r="CD243" s="6">
        <v>14.98</v>
      </c>
      <c r="CE243" s="6">
        <v>16</v>
      </c>
      <c r="CF243" s="6">
        <v>16</v>
      </c>
      <c r="CG243" s="6">
        <v>16.68</v>
      </c>
      <c r="CH243" s="6">
        <v>16.559999999999999</v>
      </c>
      <c r="CI243" s="6">
        <v>18.3</v>
      </c>
      <c r="CJ243" s="11">
        <v>16.5</v>
      </c>
      <c r="CK243" s="6">
        <v>14.4</v>
      </c>
      <c r="CL243" s="6">
        <v>17.14</v>
      </c>
      <c r="CM243" s="6">
        <v>16.61</v>
      </c>
      <c r="CN243" s="6">
        <v>15.37</v>
      </c>
      <c r="CO243" s="10">
        <v>15.74</v>
      </c>
      <c r="CP243" s="10"/>
    </row>
    <row r="244" spans="1:94" ht="15.75" customHeight="1" x14ac:dyDescent="0.25">
      <c r="A244" s="4">
        <v>243</v>
      </c>
      <c r="B244" s="4"/>
      <c r="C244" s="4">
        <v>30</v>
      </c>
      <c r="D244" s="8">
        <v>16</v>
      </c>
      <c r="E244" s="8">
        <v>14.72</v>
      </c>
      <c r="F244" s="8">
        <v>15.28</v>
      </c>
      <c r="G244" s="8">
        <v>16.79</v>
      </c>
      <c r="H244" s="8">
        <v>14.23</v>
      </c>
      <c r="I244" s="8">
        <v>14.26</v>
      </c>
      <c r="J244" s="8">
        <v>15.13</v>
      </c>
      <c r="K244" s="8">
        <v>16.07</v>
      </c>
      <c r="L244" s="8">
        <v>17.579999999999998</v>
      </c>
      <c r="M244" s="8">
        <v>16.16</v>
      </c>
      <c r="N244" s="8">
        <v>17.03</v>
      </c>
      <c r="O244" s="8">
        <v>17.420000000000002</v>
      </c>
      <c r="P244" s="8">
        <v>16.04</v>
      </c>
      <c r="Q244" s="8">
        <v>15.86</v>
      </c>
      <c r="R244" s="8">
        <v>16.190000000000001</v>
      </c>
      <c r="S244" s="8">
        <v>16.559999999999999</v>
      </c>
      <c r="T244" s="8">
        <v>17.36</v>
      </c>
      <c r="U244" s="8">
        <v>16.59</v>
      </c>
      <c r="V244" s="8">
        <v>16.78</v>
      </c>
      <c r="W244" s="8">
        <v>17.28</v>
      </c>
      <c r="X244" s="8">
        <v>14.45</v>
      </c>
      <c r="Y244" s="8">
        <v>16.61</v>
      </c>
      <c r="Z244" s="8">
        <v>15.65</v>
      </c>
      <c r="AA244" s="8">
        <v>15.06</v>
      </c>
      <c r="AB244" s="8">
        <v>15.95</v>
      </c>
      <c r="AC244" s="8">
        <v>16.03</v>
      </c>
      <c r="AD244" s="8">
        <v>15.23</v>
      </c>
      <c r="AE244" s="8">
        <v>17.170000000000002</v>
      </c>
      <c r="AF244" s="8">
        <v>16.43</v>
      </c>
      <c r="AG244" s="8">
        <v>15.14</v>
      </c>
      <c r="AH244" s="8">
        <v>15.03</v>
      </c>
      <c r="AI244" s="8">
        <v>15.32</v>
      </c>
      <c r="AJ244" s="8">
        <v>17.260000000000002</v>
      </c>
      <c r="AK244" s="8">
        <v>15.69</v>
      </c>
      <c r="AL244" s="8">
        <v>15.51</v>
      </c>
      <c r="AM244" s="8">
        <v>15.99</v>
      </c>
      <c r="AN244" s="8">
        <v>16.12</v>
      </c>
      <c r="AO244" s="8">
        <v>15.36</v>
      </c>
      <c r="AP244" s="8">
        <v>13.42</v>
      </c>
      <c r="AQ244" s="8">
        <v>14.06</v>
      </c>
      <c r="AR244" s="8">
        <v>15.41</v>
      </c>
      <c r="AS244" s="8">
        <v>17.59</v>
      </c>
      <c r="AT244" s="8">
        <v>16.23</v>
      </c>
      <c r="AU244" s="6">
        <v>15.96</v>
      </c>
      <c r="AV244" s="6">
        <v>15.72</v>
      </c>
      <c r="AW244" s="6">
        <v>16.760000000000002</v>
      </c>
      <c r="AX244" s="6">
        <v>16.93</v>
      </c>
      <c r="AY244" s="6">
        <v>16.5</v>
      </c>
      <c r="AZ244" s="6">
        <v>16.690000000000001</v>
      </c>
      <c r="BA244" s="6">
        <v>15.31</v>
      </c>
      <c r="BB244" s="6">
        <v>15.8</v>
      </c>
      <c r="BC244" s="6">
        <v>16.53</v>
      </c>
      <c r="BD244" s="6">
        <v>14.06</v>
      </c>
      <c r="BE244" s="6">
        <v>15.84</v>
      </c>
      <c r="BF244" s="6">
        <v>14.07</v>
      </c>
      <c r="BG244" s="6">
        <v>16</v>
      </c>
      <c r="BH244" s="6">
        <v>16.63</v>
      </c>
      <c r="BI244" s="6">
        <v>15.96</v>
      </c>
      <c r="BJ244" s="6">
        <v>15.9</v>
      </c>
      <c r="BK244" s="6">
        <v>16.66</v>
      </c>
      <c r="BL244" s="6">
        <v>15.6</v>
      </c>
      <c r="BM244" s="6">
        <v>16.940000000000001</v>
      </c>
      <c r="BN244" s="6">
        <v>14.8</v>
      </c>
      <c r="BO244" s="6">
        <v>16.72</v>
      </c>
      <c r="BP244" s="6">
        <v>16.09</v>
      </c>
      <c r="BQ244" s="6">
        <v>15.3</v>
      </c>
      <c r="BR244" s="6">
        <v>14.48</v>
      </c>
      <c r="BS244" s="6">
        <v>16.34</v>
      </c>
      <c r="BT244" s="6">
        <v>16.28</v>
      </c>
      <c r="BU244" s="6">
        <v>16.36</v>
      </c>
      <c r="BV244" s="6">
        <v>15.16</v>
      </c>
      <c r="BW244" s="6">
        <v>16.7</v>
      </c>
      <c r="BX244" s="6">
        <v>16.079999999999998</v>
      </c>
      <c r="BY244" s="6">
        <v>15.6</v>
      </c>
      <c r="BZ244" s="6">
        <v>14.42</v>
      </c>
      <c r="CA244" s="6">
        <v>16.579999999999998</v>
      </c>
      <c r="CB244" s="6">
        <v>16.14</v>
      </c>
      <c r="CC244" s="6">
        <v>16.600000000000001</v>
      </c>
      <c r="CD244" s="6">
        <v>15</v>
      </c>
      <c r="CE244" s="6">
        <v>16</v>
      </c>
      <c r="CF244" s="6">
        <v>16.04</v>
      </c>
      <c r="CG244" s="6">
        <v>16.64</v>
      </c>
      <c r="CH244" s="6">
        <v>16.48</v>
      </c>
      <c r="CI244" s="6">
        <v>18.28</v>
      </c>
      <c r="CJ244" s="11">
        <v>16.5</v>
      </c>
      <c r="CK244" s="6">
        <v>14.34</v>
      </c>
      <c r="CL244" s="6">
        <v>17.12</v>
      </c>
      <c r="CM244" s="6">
        <v>16.64</v>
      </c>
      <c r="CN244" s="6">
        <v>15.3</v>
      </c>
      <c r="CO244" s="10">
        <v>15.64</v>
      </c>
      <c r="CP244" s="10"/>
    </row>
    <row r="245" spans="1:94" ht="15.75" customHeight="1" x14ac:dyDescent="0.25">
      <c r="A245" s="4">
        <v>244</v>
      </c>
      <c r="B245" s="4"/>
      <c r="C245" s="4">
        <v>31</v>
      </c>
      <c r="D245" s="8">
        <v>15.98</v>
      </c>
      <c r="E245" s="8">
        <v>14.68</v>
      </c>
      <c r="F245" s="8">
        <v>15.28</v>
      </c>
      <c r="G245" s="8">
        <v>16.809999999999999</v>
      </c>
      <c r="H245" s="8">
        <v>14.22</v>
      </c>
      <c r="I245" s="8">
        <v>14.28</v>
      </c>
      <c r="J245" s="8">
        <v>15.12</v>
      </c>
      <c r="K245" s="8">
        <v>16.04</v>
      </c>
      <c r="L245" s="8">
        <v>17.559999999999999</v>
      </c>
      <c r="M245" s="8">
        <v>16.170000000000002</v>
      </c>
      <c r="N245" s="8">
        <v>17.02</v>
      </c>
      <c r="O245" s="8">
        <v>17.440000000000001</v>
      </c>
      <c r="P245" s="8">
        <v>16.010000000000002</v>
      </c>
      <c r="Q245" s="8">
        <v>15.79</v>
      </c>
      <c r="R245" s="8">
        <v>16.2</v>
      </c>
      <c r="S245" s="8">
        <v>16.59</v>
      </c>
      <c r="T245" s="8">
        <v>17.399999999999999</v>
      </c>
      <c r="U245" s="8">
        <v>16.61</v>
      </c>
      <c r="V245" s="8">
        <v>16.760000000000002</v>
      </c>
      <c r="W245" s="8">
        <v>17.2</v>
      </c>
      <c r="X245" s="8">
        <v>14.41</v>
      </c>
      <c r="Y245" s="8">
        <v>16.600000000000001</v>
      </c>
      <c r="Z245" s="8">
        <v>15.62</v>
      </c>
      <c r="AA245" s="8">
        <v>15.08</v>
      </c>
      <c r="AB245" s="8">
        <v>15.95</v>
      </c>
      <c r="AC245" s="8">
        <v>16.03</v>
      </c>
      <c r="AD245" s="8">
        <v>15.14</v>
      </c>
      <c r="AE245" s="8">
        <v>17.149999999999999</v>
      </c>
      <c r="AF245" s="8">
        <v>16.41</v>
      </c>
      <c r="AG245" s="8">
        <v>15.14</v>
      </c>
      <c r="AH245" s="8">
        <v>15.03</v>
      </c>
      <c r="AI245" s="8">
        <v>15.31</v>
      </c>
      <c r="AJ245" s="8">
        <v>17.25</v>
      </c>
      <c r="AK245" s="8">
        <v>15.68</v>
      </c>
      <c r="AL245" s="8">
        <v>15.51</v>
      </c>
      <c r="AM245" s="8">
        <v>15.96</v>
      </c>
      <c r="AN245" s="8">
        <v>16.12</v>
      </c>
      <c r="AO245" s="8">
        <v>15.25</v>
      </c>
      <c r="AP245" s="8">
        <v>13.47</v>
      </c>
      <c r="AQ245" s="8">
        <v>14.12</v>
      </c>
      <c r="AR245" s="8">
        <v>15.38</v>
      </c>
      <c r="AS245" s="8">
        <v>17.57</v>
      </c>
      <c r="AT245" s="8">
        <v>16.170000000000002</v>
      </c>
      <c r="AU245" s="6">
        <v>16.010000000000002</v>
      </c>
      <c r="AV245" s="6">
        <v>15.69</v>
      </c>
      <c r="AW245" s="6">
        <v>16.809999999999999</v>
      </c>
      <c r="AX245" s="6">
        <v>16.940000000000001</v>
      </c>
      <c r="AY245" s="6">
        <v>16.45</v>
      </c>
      <c r="AZ245" s="6">
        <v>16.690000000000001</v>
      </c>
      <c r="BA245" s="6">
        <v>15.36</v>
      </c>
      <c r="BB245" s="6">
        <v>15.85</v>
      </c>
      <c r="BC245" s="6">
        <v>16.5</v>
      </c>
      <c r="BD245" s="6">
        <v>14.08</v>
      </c>
      <c r="BE245" s="6">
        <v>15.8</v>
      </c>
      <c r="BF245" s="6">
        <v>14.07</v>
      </c>
      <c r="BG245" s="6">
        <v>15.89</v>
      </c>
      <c r="BH245" s="6">
        <v>16.670000000000002</v>
      </c>
      <c r="BI245" s="6">
        <v>15.96</v>
      </c>
      <c r="BJ245" s="6">
        <v>15.82</v>
      </c>
      <c r="BK245" s="6">
        <v>16.64</v>
      </c>
      <c r="BL245" s="6">
        <v>15.58</v>
      </c>
      <c r="BM245" s="6">
        <v>16.96</v>
      </c>
      <c r="BN245" s="6">
        <v>14.76</v>
      </c>
      <c r="BO245" s="6">
        <v>16.68</v>
      </c>
      <c r="BP245" s="6">
        <v>16</v>
      </c>
      <c r="BQ245" s="6">
        <v>15.28</v>
      </c>
      <c r="BR245" s="6">
        <v>14.48</v>
      </c>
      <c r="BS245" s="6">
        <v>16.350000000000001</v>
      </c>
      <c r="BT245" s="6">
        <v>16.32</v>
      </c>
      <c r="BU245" s="6">
        <v>16.34</v>
      </c>
      <c r="BV245" s="6">
        <v>15.1</v>
      </c>
      <c r="BW245" s="6">
        <v>16.7</v>
      </c>
      <c r="BX245" s="6">
        <v>16.079999999999998</v>
      </c>
      <c r="BY245" s="6">
        <v>15.6</v>
      </c>
      <c r="BZ245" s="6">
        <v>14.38</v>
      </c>
      <c r="CA245" s="6">
        <v>16.579999999999998</v>
      </c>
      <c r="CB245" s="6">
        <v>16.100000000000001</v>
      </c>
      <c r="CC245" s="6">
        <v>16.600000000000001</v>
      </c>
      <c r="CD245" s="6">
        <v>15.1</v>
      </c>
      <c r="CE245" s="6">
        <v>16</v>
      </c>
      <c r="CF245" s="6">
        <v>16.04</v>
      </c>
      <c r="CG245" s="6">
        <v>16.600000000000001</v>
      </c>
      <c r="CH245" s="6">
        <v>16.440000000000001</v>
      </c>
      <c r="CI245" s="6">
        <v>18.28</v>
      </c>
      <c r="CJ245" s="11">
        <v>16.46</v>
      </c>
      <c r="CK245" s="6">
        <v>14.3</v>
      </c>
      <c r="CL245" s="6">
        <v>17.12</v>
      </c>
      <c r="CM245" s="6">
        <v>16.68</v>
      </c>
      <c r="CN245" s="6">
        <v>15.25</v>
      </c>
      <c r="CO245" s="10">
        <v>15.58</v>
      </c>
      <c r="CP245" s="10"/>
    </row>
    <row r="246" spans="1:94" ht="15.75" customHeight="1" x14ac:dyDescent="0.25">
      <c r="A246" s="4">
        <v>245</v>
      </c>
      <c r="B246" s="5" t="s">
        <v>12</v>
      </c>
      <c r="C246" s="4">
        <v>1</v>
      </c>
      <c r="D246" s="8">
        <v>15.96</v>
      </c>
      <c r="E246" s="8">
        <v>14.63</v>
      </c>
      <c r="F246" s="8">
        <v>15.26</v>
      </c>
      <c r="G246" s="8">
        <v>16.79</v>
      </c>
      <c r="H246" s="8">
        <v>14.21</v>
      </c>
      <c r="I246" s="8">
        <v>14.3</v>
      </c>
      <c r="J246" s="8">
        <v>15.09</v>
      </c>
      <c r="K246" s="8">
        <v>15.98</v>
      </c>
      <c r="L246" s="8">
        <v>17.52</v>
      </c>
      <c r="M246" s="8">
        <v>16.2</v>
      </c>
      <c r="N246" s="8">
        <v>16.989999999999998</v>
      </c>
      <c r="O246" s="8">
        <v>17.48</v>
      </c>
      <c r="P246" s="8">
        <v>15.97</v>
      </c>
      <c r="Q246" s="8">
        <v>15.72</v>
      </c>
      <c r="R246" s="8">
        <v>16.239999999999998</v>
      </c>
      <c r="S246" s="8">
        <v>16.57</v>
      </c>
      <c r="T246" s="8">
        <v>17.440000000000001</v>
      </c>
      <c r="U246" s="8">
        <v>16.670000000000002</v>
      </c>
      <c r="V246" s="8">
        <v>16.690000000000001</v>
      </c>
      <c r="W246" s="8">
        <v>17.149999999999999</v>
      </c>
      <c r="X246" s="8">
        <v>14.37</v>
      </c>
      <c r="Y246" s="8">
        <v>16.600000000000001</v>
      </c>
      <c r="Z246" s="8">
        <v>15.62</v>
      </c>
      <c r="AA246" s="8">
        <v>15.12</v>
      </c>
      <c r="AB246" s="8">
        <v>15.95</v>
      </c>
      <c r="AC246" s="8">
        <v>16.03</v>
      </c>
      <c r="AD246" s="8">
        <v>15.07</v>
      </c>
      <c r="AE246" s="8">
        <v>17.09</v>
      </c>
      <c r="AF246" s="8">
        <v>16.37</v>
      </c>
      <c r="AG246" s="8">
        <v>15.18</v>
      </c>
      <c r="AH246" s="8">
        <v>15.05</v>
      </c>
      <c r="AI246" s="8">
        <v>15.28</v>
      </c>
      <c r="AJ246" s="8">
        <v>17.23</v>
      </c>
      <c r="AK246" s="8">
        <v>15.66</v>
      </c>
      <c r="AL246" s="8">
        <v>15.51</v>
      </c>
      <c r="AM246" s="8">
        <v>15.95</v>
      </c>
      <c r="AN246" s="8">
        <v>16.14</v>
      </c>
      <c r="AO246" s="8">
        <v>15.2</v>
      </c>
      <c r="AP246" s="8">
        <v>13.54</v>
      </c>
      <c r="AQ246" s="8">
        <v>14.18</v>
      </c>
      <c r="AR246" s="8">
        <v>15.41</v>
      </c>
      <c r="AS246" s="8">
        <v>17.510000000000002</v>
      </c>
      <c r="AT246" s="8">
        <v>16.11</v>
      </c>
      <c r="AU246" s="6">
        <v>16.04</v>
      </c>
      <c r="AV246" s="6">
        <v>15.65</v>
      </c>
      <c r="AW246" s="6">
        <v>16.850000000000001</v>
      </c>
      <c r="AX246" s="6">
        <v>16.899999999999999</v>
      </c>
      <c r="AY246" s="6">
        <v>16.39</v>
      </c>
      <c r="AZ246" s="6">
        <v>16.7</v>
      </c>
      <c r="BA246" s="6">
        <v>15.4</v>
      </c>
      <c r="BB246" s="6">
        <v>15.89</v>
      </c>
      <c r="BC246" s="11">
        <v>16.45</v>
      </c>
      <c r="BD246" s="6">
        <v>14.08</v>
      </c>
      <c r="BE246" s="6">
        <v>15.78</v>
      </c>
      <c r="BF246" s="6">
        <v>14.06</v>
      </c>
      <c r="BG246" s="6">
        <v>15.84</v>
      </c>
      <c r="BH246" s="6">
        <v>16.68</v>
      </c>
      <c r="BI246" s="6">
        <v>15.94</v>
      </c>
      <c r="BJ246" s="6">
        <v>15.8</v>
      </c>
      <c r="BK246" s="6">
        <v>16.62</v>
      </c>
      <c r="BL246" s="6">
        <v>15.56</v>
      </c>
      <c r="BM246" s="6">
        <v>16.940000000000001</v>
      </c>
      <c r="BN246" s="6">
        <v>14.68</v>
      </c>
      <c r="BO246" s="6">
        <v>16.62</v>
      </c>
      <c r="BP246" s="6">
        <v>15.94</v>
      </c>
      <c r="BQ246" s="6">
        <v>15.26</v>
      </c>
      <c r="BR246" s="6">
        <v>14.46</v>
      </c>
      <c r="BS246" s="6">
        <v>16.34</v>
      </c>
      <c r="BT246" s="6">
        <v>16.32</v>
      </c>
      <c r="BU246" s="6">
        <v>16.34</v>
      </c>
      <c r="BV246" s="6">
        <v>15.04</v>
      </c>
      <c r="BW246" s="6">
        <v>16.68</v>
      </c>
      <c r="BX246" s="6">
        <v>16.079999999999998</v>
      </c>
      <c r="BY246" s="6">
        <v>15.6</v>
      </c>
      <c r="BZ246" s="6">
        <v>14.32</v>
      </c>
      <c r="CA246" s="6">
        <v>16.579999999999998</v>
      </c>
      <c r="CB246" s="6">
        <v>16.04</v>
      </c>
      <c r="CC246" s="6">
        <v>16.600000000000001</v>
      </c>
      <c r="CD246" s="6">
        <v>15.16</v>
      </c>
      <c r="CE246" s="6">
        <v>16</v>
      </c>
      <c r="CF246" s="6">
        <v>16.02</v>
      </c>
      <c r="CG246" s="6">
        <v>16.559999999999999</v>
      </c>
      <c r="CH246" s="6">
        <v>16.399999999999999</v>
      </c>
      <c r="CI246" s="6">
        <v>18.3</v>
      </c>
      <c r="CJ246" s="11">
        <v>16.420000000000002</v>
      </c>
      <c r="CK246" s="6">
        <v>14.16</v>
      </c>
      <c r="CL246" s="6">
        <v>17.079999999999998</v>
      </c>
      <c r="CM246" s="6">
        <v>16.68</v>
      </c>
      <c r="CN246" s="6">
        <v>15.19</v>
      </c>
      <c r="CO246" s="10">
        <v>15.51</v>
      </c>
      <c r="CP246" s="10"/>
    </row>
    <row r="247" spans="1:94" ht="15.75" customHeight="1" x14ac:dyDescent="0.25">
      <c r="A247" s="4">
        <v>246</v>
      </c>
      <c r="B247" s="4"/>
      <c r="C247" s="4">
        <v>2</v>
      </c>
      <c r="D247" s="8">
        <v>15.94</v>
      </c>
      <c r="E247" s="8">
        <v>14.58</v>
      </c>
      <c r="F247" s="8">
        <v>15.26</v>
      </c>
      <c r="G247" s="8">
        <v>16.79</v>
      </c>
      <c r="H247" s="8">
        <v>14.22</v>
      </c>
      <c r="I247" s="8">
        <v>14.36</v>
      </c>
      <c r="J247" s="8">
        <v>15.07</v>
      </c>
      <c r="K247" s="8">
        <v>15.92</v>
      </c>
      <c r="L247" s="8">
        <v>17.5</v>
      </c>
      <c r="M247" s="8">
        <v>16.23</v>
      </c>
      <c r="N247" s="8">
        <v>16.95</v>
      </c>
      <c r="O247" s="8">
        <v>17.5</v>
      </c>
      <c r="P247" s="8">
        <v>15.91</v>
      </c>
      <c r="Q247" s="8">
        <v>15.63</v>
      </c>
      <c r="R247" s="8">
        <v>16.29</v>
      </c>
      <c r="S247" s="8">
        <v>16.52</v>
      </c>
      <c r="T247" s="8">
        <v>17.489999999999998</v>
      </c>
      <c r="U247" s="8">
        <v>16.64</v>
      </c>
      <c r="V247" s="8">
        <v>16.66</v>
      </c>
      <c r="W247" s="8">
        <v>17.079999999999998</v>
      </c>
      <c r="X247" s="8">
        <v>14.32</v>
      </c>
      <c r="Y247" s="8">
        <v>16.600000000000001</v>
      </c>
      <c r="Z247" s="8">
        <v>15.62</v>
      </c>
      <c r="AA247" s="8">
        <v>15.12</v>
      </c>
      <c r="AB247" s="8">
        <v>15.95</v>
      </c>
      <c r="AC247" s="8">
        <v>16.03</v>
      </c>
      <c r="AD247" s="8">
        <v>15.05</v>
      </c>
      <c r="AE247" s="8">
        <v>17.04</v>
      </c>
      <c r="AF247" s="8">
        <v>16.329999999999998</v>
      </c>
      <c r="AG247" s="8">
        <v>15.25</v>
      </c>
      <c r="AH247" s="8">
        <v>15.05</v>
      </c>
      <c r="AI247" s="8">
        <v>15.24</v>
      </c>
      <c r="AJ247" s="8">
        <v>17.2</v>
      </c>
      <c r="AK247" s="8">
        <v>15.64</v>
      </c>
      <c r="AL247" s="8">
        <v>15.54</v>
      </c>
      <c r="AM247" s="8">
        <v>16</v>
      </c>
      <c r="AN247" s="8">
        <v>16.149999999999999</v>
      </c>
      <c r="AO247" s="8">
        <v>15.19</v>
      </c>
      <c r="AP247" s="8">
        <v>13.65</v>
      </c>
      <c r="AQ247" s="8">
        <v>14.22</v>
      </c>
      <c r="AR247" s="8">
        <v>15.44</v>
      </c>
      <c r="AS247" s="8">
        <v>17.45</v>
      </c>
      <c r="AT247" s="8">
        <v>16.03</v>
      </c>
      <c r="AU247" s="6">
        <v>16.100000000000001</v>
      </c>
      <c r="AV247" s="6">
        <v>15.6</v>
      </c>
      <c r="AW247" s="6">
        <v>16.87</v>
      </c>
      <c r="AX247" s="6">
        <v>16.88</v>
      </c>
      <c r="AY247" s="6">
        <v>16.34</v>
      </c>
      <c r="AZ247" s="6">
        <v>16.690000000000001</v>
      </c>
      <c r="BA247" s="6">
        <v>15.46</v>
      </c>
      <c r="BB247" s="6">
        <v>15.968999999999999</v>
      </c>
      <c r="BC247" s="11">
        <v>16.399999999999999</v>
      </c>
      <c r="BD247" s="6">
        <v>14.06</v>
      </c>
      <c r="BE247" s="6">
        <v>15.77</v>
      </c>
      <c r="BF247" s="6">
        <v>14.02</v>
      </c>
      <c r="BG247" s="6">
        <v>15.77</v>
      </c>
      <c r="BH247" s="6">
        <v>16.7</v>
      </c>
      <c r="BI247" s="6">
        <v>15.92</v>
      </c>
      <c r="BJ247" s="6">
        <v>15.76</v>
      </c>
      <c r="BK247" s="6">
        <v>16.61</v>
      </c>
      <c r="BL247" s="6">
        <v>15.53</v>
      </c>
      <c r="BM247" s="6">
        <v>16.940000000000001</v>
      </c>
      <c r="BN247" s="6">
        <v>14.62</v>
      </c>
      <c r="BO247" s="6">
        <v>16.600000000000001</v>
      </c>
      <c r="BP247" s="6">
        <v>15.94</v>
      </c>
      <c r="BQ247" s="6">
        <v>15.2</v>
      </c>
      <c r="BR247" s="6">
        <v>14.46</v>
      </c>
      <c r="BS247" s="6">
        <v>16.3</v>
      </c>
      <c r="BT247" s="6">
        <v>16.36</v>
      </c>
      <c r="BU247" s="6">
        <v>16.32</v>
      </c>
      <c r="BV247" s="6">
        <v>14.98</v>
      </c>
      <c r="BW247" s="6">
        <v>16.68</v>
      </c>
      <c r="BX247" s="6">
        <v>16.079999999999998</v>
      </c>
      <c r="BY247" s="6">
        <v>15.62</v>
      </c>
      <c r="BZ247" s="6">
        <v>14.32</v>
      </c>
      <c r="CA247" s="6">
        <v>16.579999999999998</v>
      </c>
      <c r="CB247" s="6">
        <v>16</v>
      </c>
      <c r="CC247" s="6">
        <v>16.559999999999999</v>
      </c>
      <c r="CD247" s="6">
        <v>15.28</v>
      </c>
      <c r="CE247" s="6">
        <v>16</v>
      </c>
      <c r="CF247" s="6">
        <v>16.02</v>
      </c>
      <c r="CG247" s="6">
        <v>16.559999999999999</v>
      </c>
      <c r="CH247" s="6">
        <v>16.34</v>
      </c>
      <c r="CI247" s="6">
        <v>18.28</v>
      </c>
      <c r="CJ247" s="11">
        <v>16.38</v>
      </c>
      <c r="CK247" s="6">
        <v>14.08</v>
      </c>
      <c r="CL247" s="6">
        <v>17.04</v>
      </c>
      <c r="CM247" s="6">
        <v>16.68</v>
      </c>
      <c r="CN247" s="6">
        <v>15.19</v>
      </c>
      <c r="CO247" s="10">
        <v>15.44</v>
      </c>
      <c r="CP247" s="10"/>
    </row>
    <row r="248" spans="1:94" ht="15.75" customHeight="1" x14ac:dyDescent="0.25">
      <c r="A248" s="4">
        <v>247</v>
      </c>
      <c r="B248" s="4"/>
      <c r="C248" s="4">
        <v>3</v>
      </c>
      <c r="D248" s="8">
        <v>15.92</v>
      </c>
      <c r="E248" s="8">
        <v>14.53</v>
      </c>
      <c r="F248" s="8">
        <v>15.24</v>
      </c>
      <c r="G248" s="8">
        <v>16.78</v>
      </c>
      <c r="H248" s="8">
        <v>14.23</v>
      </c>
      <c r="I248" s="8">
        <v>14.38</v>
      </c>
      <c r="J248" s="8">
        <v>15.05</v>
      </c>
      <c r="K248" s="8">
        <v>15.86</v>
      </c>
      <c r="L248" s="8">
        <v>17.45</v>
      </c>
      <c r="M248" s="8">
        <v>16.239999999999998</v>
      </c>
      <c r="N248" s="8">
        <v>16.920000000000002</v>
      </c>
      <c r="O248" s="8">
        <v>17.5</v>
      </c>
      <c r="P248" s="8">
        <v>15.85</v>
      </c>
      <c r="Q248" s="8">
        <v>15.62</v>
      </c>
      <c r="R248" s="8">
        <v>16.34</v>
      </c>
      <c r="S248" s="8">
        <v>16.52</v>
      </c>
      <c r="T248" s="8">
        <v>17.510000000000002</v>
      </c>
      <c r="U248" s="8">
        <v>16.62</v>
      </c>
      <c r="V248" s="8">
        <v>16.61</v>
      </c>
      <c r="W248" s="8">
        <v>17.04</v>
      </c>
      <c r="X248" s="8">
        <v>14.29</v>
      </c>
      <c r="Y248" s="8">
        <v>16.57</v>
      </c>
      <c r="Z248" s="8">
        <v>15.62</v>
      </c>
      <c r="AA248" s="8">
        <v>15.12</v>
      </c>
      <c r="AB248" s="8">
        <v>15.95</v>
      </c>
      <c r="AC248" s="8">
        <v>16.03</v>
      </c>
      <c r="AD248" s="8">
        <v>15.03</v>
      </c>
      <c r="AE248" s="8">
        <v>17.010000000000002</v>
      </c>
      <c r="AF248" s="8">
        <v>16.29</v>
      </c>
      <c r="AG248" s="8">
        <v>15.25</v>
      </c>
      <c r="AH248" s="8">
        <v>15.12</v>
      </c>
      <c r="AI248" s="8">
        <v>15.23</v>
      </c>
      <c r="AJ248" s="8">
        <v>17.18</v>
      </c>
      <c r="AK248" s="8">
        <v>15.63</v>
      </c>
      <c r="AL248" s="8">
        <v>15.55</v>
      </c>
      <c r="AM248" s="8">
        <v>16.010000000000002</v>
      </c>
      <c r="AN248" s="8">
        <v>16.16</v>
      </c>
      <c r="AO248" s="8">
        <v>15.15</v>
      </c>
      <c r="AP248" s="8">
        <v>13.81</v>
      </c>
      <c r="AQ248" s="8">
        <v>14.22</v>
      </c>
      <c r="AR248" s="8">
        <v>15.47</v>
      </c>
      <c r="AS248" s="8">
        <v>17.39</v>
      </c>
      <c r="AT248" s="8">
        <v>15.96</v>
      </c>
      <c r="AU248" s="6">
        <v>16.11</v>
      </c>
      <c r="AV248" s="6">
        <v>15.56</v>
      </c>
      <c r="AW248" s="6">
        <v>16.899999999999999</v>
      </c>
      <c r="AX248" s="6">
        <v>16.850000000000001</v>
      </c>
      <c r="AY248" s="6">
        <v>16.29</v>
      </c>
      <c r="AZ248" s="6">
        <v>16.649999999999999</v>
      </c>
      <c r="BA248" s="6">
        <v>15.5</v>
      </c>
      <c r="BB248" s="6">
        <v>16.009</v>
      </c>
      <c r="BC248" s="11">
        <v>16.36</v>
      </c>
      <c r="BD248" s="6">
        <v>14</v>
      </c>
      <c r="BE248" s="6">
        <v>15.75</v>
      </c>
      <c r="BF248" s="6">
        <v>13.97</v>
      </c>
      <c r="BG248" s="6">
        <v>15.69</v>
      </c>
      <c r="BH248" s="6">
        <v>16.690000000000001</v>
      </c>
      <c r="BI248" s="6">
        <v>15.94</v>
      </c>
      <c r="BJ248" s="6">
        <v>15.7</v>
      </c>
      <c r="BK248" s="6">
        <v>16.62</v>
      </c>
      <c r="BL248" s="6">
        <v>15.5</v>
      </c>
      <c r="BM248" s="6">
        <v>16.88</v>
      </c>
      <c r="BN248" s="6">
        <v>14.56</v>
      </c>
      <c r="BO248" s="6">
        <v>16.600000000000001</v>
      </c>
      <c r="BP248" s="6">
        <v>15.9</v>
      </c>
      <c r="BQ248" s="6">
        <v>15.18</v>
      </c>
      <c r="BR248" s="6">
        <v>14.4</v>
      </c>
      <c r="BS248" s="6">
        <v>16.260000000000002</v>
      </c>
      <c r="BT248" s="6">
        <v>16.39</v>
      </c>
      <c r="BU248" s="6">
        <v>16.3</v>
      </c>
      <c r="BV248" s="6">
        <v>14.92</v>
      </c>
      <c r="BW248" s="6">
        <v>16.7</v>
      </c>
      <c r="BX248" s="6">
        <v>16.059999999999999</v>
      </c>
      <c r="BY248" s="6">
        <v>15.6</v>
      </c>
      <c r="BZ248" s="6">
        <v>14.32</v>
      </c>
      <c r="CA248" s="6">
        <v>16.5</v>
      </c>
      <c r="CB248" s="6">
        <v>15.92</v>
      </c>
      <c r="CC248" s="6">
        <v>16.52</v>
      </c>
      <c r="CD248" s="6">
        <v>15.3</v>
      </c>
      <c r="CE248" s="6">
        <v>16</v>
      </c>
      <c r="CF248" s="6">
        <v>16</v>
      </c>
      <c r="CG248" s="6">
        <v>16.46</v>
      </c>
      <c r="CH248" s="6">
        <v>16.260000000000002</v>
      </c>
      <c r="CI248" s="6">
        <v>18.260000000000002</v>
      </c>
      <c r="CJ248" s="11">
        <v>16.34</v>
      </c>
      <c r="CK248" s="6">
        <v>14.04</v>
      </c>
      <c r="CL248" s="6">
        <v>17</v>
      </c>
      <c r="CM248" s="6">
        <v>16.690000000000001</v>
      </c>
      <c r="CN248" s="6">
        <v>15.04</v>
      </c>
      <c r="CO248" s="10">
        <v>15.42</v>
      </c>
      <c r="CP248" s="10"/>
    </row>
    <row r="249" spans="1:94" ht="15.75" customHeight="1" x14ac:dyDescent="0.25">
      <c r="A249" s="4">
        <v>248</v>
      </c>
      <c r="B249" s="4"/>
      <c r="C249" s="4">
        <v>4</v>
      </c>
      <c r="D249" s="8">
        <v>15.88</v>
      </c>
      <c r="E249" s="8">
        <v>14.46</v>
      </c>
      <c r="F249" s="8">
        <v>15.22</v>
      </c>
      <c r="G249" s="8">
        <v>16.760000000000002</v>
      </c>
      <c r="H249" s="8">
        <v>14.24</v>
      </c>
      <c r="I249" s="8">
        <v>14.42</v>
      </c>
      <c r="J249" s="8">
        <v>15.01</v>
      </c>
      <c r="K249" s="8">
        <v>15.77</v>
      </c>
      <c r="L249" s="8">
        <v>17.440000000000001</v>
      </c>
      <c r="M249" s="8">
        <v>16.260000000000002</v>
      </c>
      <c r="N249" s="8">
        <v>16.87</v>
      </c>
      <c r="O249" s="8">
        <v>17.5</v>
      </c>
      <c r="P249" s="8">
        <v>15.8</v>
      </c>
      <c r="Q249" s="8">
        <v>15.57</v>
      </c>
      <c r="R249" s="8">
        <v>16.37</v>
      </c>
      <c r="S249" s="8">
        <v>16.45</v>
      </c>
      <c r="T249" s="8">
        <v>17.5</v>
      </c>
      <c r="U249" s="8">
        <v>16.600000000000001</v>
      </c>
      <c r="V249" s="8">
        <v>16.57</v>
      </c>
      <c r="W249" s="8">
        <v>17.010000000000002</v>
      </c>
      <c r="X249" s="8">
        <v>14.25</v>
      </c>
      <c r="Y249" s="8">
        <v>16.510000000000002</v>
      </c>
      <c r="Z249" s="8">
        <v>15.65</v>
      </c>
      <c r="AA249" s="8">
        <v>15.1</v>
      </c>
      <c r="AB249" s="8">
        <v>15.95</v>
      </c>
      <c r="AC249" s="8">
        <v>16.03</v>
      </c>
      <c r="AD249" s="8">
        <v>15.01</v>
      </c>
      <c r="AE249" s="8">
        <v>16.95</v>
      </c>
      <c r="AF249" s="8">
        <v>16.25</v>
      </c>
      <c r="AG249" s="8">
        <v>15.22</v>
      </c>
      <c r="AH249" s="8">
        <v>15.17</v>
      </c>
      <c r="AI249" s="8">
        <v>15.22</v>
      </c>
      <c r="AJ249" s="8">
        <v>17.149999999999999</v>
      </c>
      <c r="AK249" s="8">
        <v>15.63</v>
      </c>
      <c r="AL249" s="8">
        <v>15.53</v>
      </c>
      <c r="AM249" s="8">
        <v>16.03</v>
      </c>
      <c r="AN249" s="8">
        <v>16.16</v>
      </c>
      <c r="AO249" s="8">
        <v>15.19</v>
      </c>
      <c r="AP249" s="8">
        <v>13.99</v>
      </c>
      <c r="AQ249" s="8">
        <v>14.16</v>
      </c>
      <c r="AR249" s="8">
        <v>15.49</v>
      </c>
      <c r="AS249" s="8">
        <v>17.309999999999999</v>
      </c>
      <c r="AT249" s="8">
        <v>15.9</v>
      </c>
      <c r="AU249" s="6">
        <v>16.09</v>
      </c>
      <c r="AV249" s="6">
        <v>15.52</v>
      </c>
      <c r="AW249" s="6">
        <v>16.95</v>
      </c>
      <c r="AX249" s="6">
        <v>16.809999999999999</v>
      </c>
      <c r="AY249" s="6">
        <v>16.260000000000002</v>
      </c>
      <c r="AZ249" s="6">
        <v>16.649999999999999</v>
      </c>
      <c r="BA249" s="6">
        <v>15.52</v>
      </c>
      <c r="BB249" s="6">
        <v>16.04</v>
      </c>
      <c r="BC249" s="11">
        <v>16.32</v>
      </c>
      <c r="BD249" s="6">
        <v>13.98</v>
      </c>
      <c r="BE249" s="6">
        <v>15.73</v>
      </c>
      <c r="BF249" s="6">
        <v>13.93</v>
      </c>
      <c r="BG249" s="6">
        <v>15.64</v>
      </c>
      <c r="BH249" s="6">
        <v>16.649999999999999</v>
      </c>
      <c r="BI249" s="6">
        <v>15.92</v>
      </c>
      <c r="BJ249" s="6">
        <v>15.65</v>
      </c>
      <c r="BK249" s="6">
        <v>16.63</v>
      </c>
      <c r="BL249" s="6">
        <v>15.48</v>
      </c>
      <c r="BM249" s="6">
        <v>16.829999999999998</v>
      </c>
      <c r="BN249" s="6">
        <v>14.5</v>
      </c>
      <c r="BO249" s="6">
        <v>16.66</v>
      </c>
      <c r="BP249" s="6">
        <v>15.86</v>
      </c>
      <c r="BQ249" s="6">
        <v>15.16</v>
      </c>
      <c r="BR249" s="6">
        <v>14.32</v>
      </c>
      <c r="BS249" s="6">
        <v>16.260000000000002</v>
      </c>
      <c r="BT249" s="6">
        <v>16.38</v>
      </c>
      <c r="BU249" s="6">
        <v>16.28</v>
      </c>
      <c r="BV249" s="6">
        <v>14.86</v>
      </c>
      <c r="BW249" s="6">
        <v>16.7</v>
      </c>
      <c r="BX249" s="6">
        <v>16.059999999999999</v>
      </c>
      <c r="BY249" s="6">
        <v>15.57</v>
      </c>
      <c r="BZ249" s="6">
        <v>14.24</v>
      </c>
      <c r="CA249" s="6">
        <v>16.5</v>
      </c>
      <c r="CB249" s="6">
        <v>15.92</v>
      </c>
      <c r="CC249" s="6">
        <v>16.48</v>
      </c>
      <c r="CD249" s="6">
        <v>15.32</v>
      </c>
      <c r="CE249" s="6">
        <v>16</v>
      </c>
      <c r="CF249" s="6">
        <v>15.96</v>
      </c>
      <c r="CG249" s="6">
        <v>16.399999999999999</v>
      </c>
      <c r="CH249" s="6">
        <v>16.2</v>
      </c>
      <c r="CI249" s="6">
        <v>18.2</v>
      </c>
      <c r="CJ249" s="11">
        <v>16.3</v>
      </c>
      <c r="CK249" s="6">
        <v>13.98</v>
      </c>
      <c r="CL249" s="6">
        <v>16.98</v>
      </c>
      <c r="CM249" s="6">
        <v>16.72</v>
      </c>
      <c r="CN249" s="6">
        <v>14.96</v>
      </c>
      <c r="CO249" s="10">
        <v>15.36</v>
      </c>
      <c r="CP249" s="10"/>
    </row>
    <row r="250" spans="1:94" ht="15.75" customHeight="1" x14ac:dyDescent="0.25">
      <c r="A250" s="4">
        <v>249</v>
      </c>
      <c r="B250" s="4"/>
      <c r="C250" s="4">
        <v>5</v>
      </c>
      <c r="D250" s="8">
        <v>15.83</v>
      </c>
      <c r="E250" s="8">
        <v>14.38</v>
      </c>
      <c r="F250" s="8">
        <v>15.2</v>
      </c>
      <c r="G250" s="8">
        <v>16.7</v>
      </c>
      <c r="H250" s="8">
        <v>14.26</v>
      </c>
      <c r="I250" s="8">
        <v>14.46</v>
      </c>
      <c r="J250" s="8">
        <v>14.98</v>
      </c>
      <c r="K250" s="8">
        <v>15.7</v>
      </c>
      <c r="L250" s="8">
        <v>17.420000000000002</v>
      </c>
      <c r="M250" s="8">
        <v>16.27</v>
      </c>
      <c r="N250" s="8">
        <v>16.82</v>
      </c>
      <c r="O250" s="8">
        <v>17.5</v>
      </c>
      <c r="P250" s="8">
        <v>15.7</v>
      </c>
      <c r="Q250" s="8">
        <v>15.51</v>
      </c>
      <c r="R250" s="8">
        <v>16.36</v>
      </c>
      <c r="S250" s="8">
        <v>16.41</v>
      </c>
      <c r="T250" s="8">
        <v>17.489999999999998</v>
      </c>
      <c r="U250" s="8">
        <v>16.559999999999999</v>
      </c>
      <c r="V250" s="8">
        <v>16.57</v>
      </c>
      <c r="W250" s="8">
        <v>16.96</v>
      </c>
      <c r="X250" s="8">
        <v>14.23</v>
      </c>
      <c r="Y250" s="8">
        <v>16.45</v>
      </c>
      <c r="Z250" s="8">
        <v>15.65</v>
      </c>
      <c r="AA250" s="8">
        <v>15.06</v>
      </c>
      <c r="AB250" s="8">
        <v>15.95</v>
      </c>
      <c r="AC250" s="8">
        <v>16.010000000000002</v>
      </c>
      <c r="AD250" s="8">
        <v>14.99</v>
      </c>
      <c r="AE250" s="8">
        <v>16.87</v>
      </c>
      <c r="AF250" s="8">
        <v>16.23</v>
      </c>
      <c r="AG250" s="8">
        <v>15.2</v>
      </c>
      <c r="AH250" s="8">
        <v>15.17</v>
      </c>
      <c r="AI250" s="8">
        <v>15.2</v>
      </c>
      <c r="AJ250" s="8">
        <v>17.12</v>
      </c>
      <c r="AK250" s="8">
        <v>15.63</v>
      </c>
      <c r="AL250" s="8">
        <v>15.51</v>
      </c>
      <c r="AM250" s="8">
        <v>16.059999999999999</v>
      </c>
      <c r="AN250" s="8">
        <v>16.11</v>
      </c>
      <c r="AO250" s="8">
        <v>15.2</v>
      </c>
      <c r="AP250" s="8">
        <v>14.13</v>
      </c>
      <c r="AQ250" s="8">
        <v>14.12</v>
      </c>
      <c r="AR250" s="8">
        <v>15.51</v>
      </c>
      <c r="AS250" s="8">
        <v>17.23</v>
      </c>
      <c r="AT250" s="8">
        <v>15.86</v>
      </c>
      <c r="AU250" s="6">
        <v>16.04</v>
      </c>
      <c r="AV250" s="6">
        <v>15.52</v>
      </c>
      <c r="AW250" s="6">
        <v>16.95</v>
      </c>
      <c r="AX250" s="6">
        <v>16.78</v>
      </c>
      <c r="AY250" s="6">
        <v>16.25</v>
      </c>
      <c r="AZ250" s="6">
        <v>16.62</v>
      </c>
      <c r="BA250" s="6">
        <v>15.53</v>
      </c>
      <c r="BB250" s="6">
        <v>16.05</v>
      </c>
      <c r="BC250" s="11">
        <v>16.28</v>
      </c>
      <c r="BD250" s="6">
        <v>13.92</v>
      </c>
      <c r="BE250" s="6">
        <v>15.72</v>
      </c>
      <c r="BF250" s="6">
        <v>13.9</v>
      </c>
      <c r="BG250" s="6">
        <v>15.53</v>
      </c>
      <c r="BH250" s="6">
        <v>16.63</v>
      </c>
      <c r="BI250" s="6">
        <v>15.9</v>
      </c>
      <c r="BJ250" s="6">
        <v>15.62</v>
      </c>
      <c r="BK250" s="6">
        <v>16.7</v>
      </c>
      <c r="BL250" s="6">
        <v>15.44</v>
      </c>
      <c r="BM250" s="6">
        <v>16.8</v>
      </c>
      <c r="BN250" s="6">
        <v>14.45</v>
      </c>
      <c r="BO250" s="6">
        <v>16.649999999999999</v>
      </c>
      <c r="BP250" s="6">
        <v>15.83</v>
      </c>
      <c r="BQ250" s="6">
        <v>15.14</v>
      </c>
      <c r="BR250" s="6">
        <v>14.3</v>
      </c>
      <c r="BS250" s="6">
        <v>16.239999999999998</v>
      </c>
      <c r="BT250" s="6">
        <v>16.420000000000002</v>
      </c>
      <c r="BU250" s="6">
        <v>16.28</v>
      </c>
      <c r="BV250" s="6">
        <v>14.78</v>
      </c>
      <c r="BW250" s="6">
        <v>16.48</v>
      </c>
      <c r="BX250" s="6">
        <v>16</v>
      </c>
      <c r="BY250" s="6">
        <v>15.5</v>
      </c>
      <c r="BZ250" s="6">
        <v>14.2</v>
      </c>
      <c r="CA250" s="6">
        <v>16.46</v>
      </c>
      <c r="CB250" s="6">
        <v>15.84</v>
      </c>
      <c r="CC250" s="6">
        <v>16.440000000000001</v>
      </c>
      <c r="CD250" s="6">
        <v>15.34</v>
      </c>
      <c r="CE250" s="6">
        <v>15.94</v>
      </c>
      <c r="CF250" s="6">
        <v>15.94</v>
      </c>
      <c r="CG250" s="6">
        <v>16.36</v>
      </c>
      <c r="CH250" s="6">
        <v>16.14</v>
      </c>
      <c r="CI250" s="6">
        <v>18.28</v>
      </c>
      <c r="CJ250" s="11">
        <v>16.260000000000002</v>
      </c>
      <c r="CK250" s="6">
        <v>13.84</v>
      </c>
      <c r="CL250" s="6">
        <v>17</v>
      </c>
      <c r="CM250" s="6">
        <v>16.71</v>
      </c>
      <c r="CN250" s="6">
        <v>14.77</v>
      </c>
      <c r="CO250" s="10">
        <v>15.28</v>
      </c>
      <c r="CP250" s="10"/>
    </row>
    <row r="251" spans="1:94" ht="15.75" customHeight="1" x14ac:dyDescent="0.25">
      <c r="A251" s="4">
        <v>250</v>
      </c>
      <c r="B251" s="4"/>
      <c r="C251" s="4">
        <v>6</v>
      </c>
      <c r="D251" s="8">
        <v>15.78</v>
      </c>
      <c r="E251" s="8">
        <v>14.32</v>
      </c>
      <c r="F251" s="8">
        <v>15.18</v>
      </c>
      <c r="G251" s="8">
        <v>16.68</v>
      </c>
      <c r="H251" s="8">
        <v>14.27</v>
      </c>
      <c r="I251" s="8">
        <v>14.48</v>
      </c>
      <c r="J251" s="8">
        <v>14.96</v>
      </c>
      <c r="K251" s="8">
        <v>15.64</v>
      </c>
      <c r="L251" s="8">
        <v>17.399999999999999</v>
      </c>
      <c r="M251" s="8">
        <v>16.29</v>
      </c>
      <c r="N251" s="8">
        <v>16.739999999999998</v>
      </c>
      <c r="O251" s="8">
        <v>17.48</v>
      </c>
      <c r="P251" s="8">
        <v>15.65</v>
      </c>
      <c r="Q251" s="8">
        <v>15.47</v>
      </c>
      <c r="R251" s="8">
        <v>16.329999999999998</v>
      </c>
      <c r="S251" s="8">
        <v>16.37</v>
      </c>
      <c r="T251" s="8">
        <v>17.5</v>
      </c>
      <c r="U251" s="8">
        <v>16.510000000000002</v>
      </c>
      <c r="V251" s="8">
        <v>16.53</v>
      </c>
      <c r="W251" s="8">
        <v>16.95</v>
      </c>
      <c r="X251" s="8">
        <v>14.23</v>
      </c>
      <c r="Y251" s="8">
        <v>16.41</v>
      </c>
      <c r="Z251" s="8">
        <v>15.61</v>
      </c>
      <c r="AA251" s="8">
        <v>15.02</v>
      </c>
      <c r="AB251" s="8">
        <v>15.95</v>
      </c>
      <c r="AC251" s="8">
        <v>16.010000000000002</v>
      </c>
      <c r="AD251" s="8">
        <v>14.97</v>
      </c>
      <c r="AE251" s="8">
        <v>16.79</v>
      </c>
      <c r="AF251" s="8">
        <v>16.2</v>
      </c>
      <c r="AG251" s="8">
        <v>15.18</v>
      </c>
      <c r="AH251" s="8">
        <v>15.13</v>
      </c>
      <c r="AI251" s="8">
        <v>15.19</v>
      </c>
      <c r="AJ251" s="8">
        <v>17.04</v>
      </c>
      <c r="AK251" s="8">
        <v>15.62</v>
      </c>
      <c r="AL251" s="8">
        <v>15.5</v>
      </c>
      <c r="AM251" s="8">
        <v>16.100000000000001</v>
      </c>
      <c r="AN251" s="8">
        <v>16.14</v>
      </c>
      <c r="AO251" s="8">
        <v>15.22</v>
      </c>
      <c r="AP251" s="8">
        <v>14.23</v>
      </c>
      <c r="AQ251" s="8">
        <v>14.12</v>
      </c>
      <c r="AR251" s="8">
        <v>15.54</v>
      </c>
      <c r="AS251" s="8">
        <v>17.149999999999999</v>
      </c>
      <c r="AT251" s="8">
        <v>15.83</v>
      </c>
      <c r="AU251" s="6">
        <v>15.98</v>
      </c>
      <c r="AV251" s="6">
        <v>15.48</v>
      </c>
      <c r="AW251" s="6">
        <v>16.95</v>
      </c>
      <c r="AX251" s="6">
        <v>16.79</v>
      </c>
      <c r="AY251" s="6">
        <v>16.25</v>
      </c>
      <c r="AZ251" s="6">
        <v>16.559999999999999</v>
      </c>
      <c r="BA251" s="6">
        <v>15.55</v>
      </c>
      <c r="BB251" s="6">
        <v>16.07</v>
      </c>
      <c r="BC251" s="11">
        <v>16.239999999999998</v>
      </c>
      <c r="BD251" s="6">
        <v>13.9</v>
      </c>
      <c r="BE251" s="6">
        <v>15.72</v>
      </c>
      <c r="BF251" s="6">
        <v>13.89</v>
      </c>
      <c r="BG251" s="6">
        <v>15.48</v>
      </c>
      <c r="BH251" s="6">
        <v>16.61</v>
      </c>
      <c r="BI251" s="6">
        <v>15.88</v>
      </c>
      <c r="BJ251" s="6">
        <v>15.56</v>
      </c>
      <c r="BK251" s="6">
        <v>16.72</v>
      </c>
      <c r="BL251" s="6">
        <v>15.44</v>
      </c>
      <c r="BM251" s="6">
        <v>16.73</v>
      </c>
      <c r="BN251" s="6">
        <v>14.38</v>
      </c>
      <c r="BO251" s="6">
        <v>16.62</v>
      </c>
      <c r="BP251" s="6">
        <v>15.8</v>
      </c>
      <c r="BQ251" s="6">
        <v>15.12</v>
      </c>
      <c r="BR251" s="6">
        <v>14.28</v>
      </c>
      <c r="BS251" s="6">
        <v>16.22</v>
      </c>
      <c r="BT251" s="6">
        <v>16.440000000000001</v>
      </c>
      <c r="BU251" s="6">
        <v>16.22</v>
      </c>
      <c r="BV251" s="6">
        <v>14.7</v>
      </c>
      <c r="BW251" s="6">
        <v>16.440000000000001</v>
      </c>
      <c r="BX251" s="6">
        <v>16</v>
      </c>
      <c r="BY251" s="6">
        <v>15.4</v>
      </c>
      <c r="BZ251" s="6">
        <v>14.14</v>
      </c>
      <c r="CA251" s="6">
        <v>16.3</v>
      </c>
      <c r="CB251" s="6">
        <v>15.78</v>
      </c>
      <c r="CC251" s="6">
        <v>16.420000000000002</v>
      </c>
      <c r="CD251" s="6">
        <v>15.32</v>
      </c>
      <c r="CE251" s="6">
        <v>15.9</v>
      </c>
      <c r="CF251" s="6">
        <v>15.92</v>
      </c>
      <c r="CG251" s="6">
        <v>16.32</v>
      </c>
      <c r="CH251" s="6">
        <v>16.079999999999998</v>
      </c>
      <c r="CI251" s="6">
        <v>18.28</v>
      </c>
      <c r="CJ251" s="11">
        <v>16.239999999999998</v>
      </c>
      <c r="CK251" s="6">
        <v>13.84</v>
      </c>
      <c r="CL251" s="6">
        <v>17</v>
      </c>
      <c r="CM251" s="6">
        <v>16.73</v>
      </c>
      <c r="CN251" s="6">
        <v>14.88</v>
      </c>
      <c r="CO251" s="10">
        <v>15.17</v>
      </c>
      <c r="CP251" s="10"/>
    </row>
    <row r="252" spans="1:94" ht="15.75" customHeight="1" x14ac:dyDescent="0.25">
      <c r="A252" s="4">
        <v>251</v>
      </c>
      <c r="B252" s="4"/>
      <c r="C252" s="4">
        <v>7</v>
      </c>
      <c r="D252" s="8">
        <v>15.73</v>
      </c>
      <c r="E252" s="8">
        <v>14.24</v>
      </c>
      <c r="F252" s="8">
        <v>15.16</v>
      </c>
      <c r="G252" s="8">
        <v>16.579999999999998</v>
      </c>
      <c r="H252" s="8">
        <v>14.26</v>
      </c>
      <c r="I252" s="8">
        <v>14.5</v>
      </c>
      <c r="J252" s="8">
        <v>14.93</v>
      </c>
      <c r="K252" s="8">
        <v>15.6</v>
      </c>
      <c r="L252" s="8">
        <v>17.39</v>
      </c>
      <c r="M252" s="8">
        <v>16.32</v>
      </c>
      <c r="N252" s="8">
        <v>16.66</v>
      </c>
      <c r="O252" s="8">
        <v>17.43</v>
      </c>
      <c r="P252" s="8">
        <v>15.59</v>
      </c>
      <c r="Q252" s="8">
        <v>15.4</v>
      </c>
      <c r="R252" s="8">
        <v>16.29</v>
      </c>
      <c r="S252" s="8">
        <v>16.329999999999998</v>
      </c>
      <c r="T252" s="8">
        <v>17.45</v>
      </c>
      <c r="U252" s="8">
        <v>16.45</v>
      </c>
      <c r="V252" s="8">
        <v>16.489999999999998</v>
      </c>
      <c r="W252" s="8">
        <v>16.93</v>
      </c>
      <c r="X252" s="8">
        <v>14.21</v>
      </c>
      <c r="Y252" s="8">
        <v>16.37</v>
      </c>
      <c r="Z252" s="8">
        <v>15.59</v>
      </c>
      <c r="AA252" s="8">
        <v>14.99</v>
      </c>
      <c r="AB252" s="8">
        <v>15.95</v>
      </c>
      <c r="AC252" s="8">
        <v>16.010000000000002</v>
      </c>
      <c r="AD252" s="8">
        <v>14.95</v>
      </c>
      <c r="AE252" s="8">
        <v>16.71</v>
      </c>
      <c r="AF252" s="8">
        <v>16.16</v>
      </c>
      <c r="AG252" s="8">
        <v>15.16</v>
      </c>
      <c r="AH252" s="8">
        <v>15.09</v>
      </c>
      <c r="AI252" s="8">
        <v>15.15</v>
      </c>
      <c r="AJ252" s="8">
        <v>16.989999999999998</v>
      </c>
      <c r="AK252" s="8">
        <v>15.62</v>
      </c>
      <c r="AL252" s="8">
        <v>15.5</v>
      </c>
      <c r="AM252" s="8">
        <v>16.12</v>
      </c>
      <c r="AN252" s="8">
        <v>16.14</v>
      </c>
      <c r="AO252" s="8">
        <v>15.23</v>
      </c>
      <c r="AP252" s="8">
        <v>14.28</v>
      </c>
      <c r="AQ252" s="8">
        <v>14.12</v>
      </c>
      <c r="AR252" s="8">
        <v>15.56</v>
      </c>
      <c r="AS252" s="8">
        <v>17.07</v>
      </c>
      <c r="AT252" s="8">
        <v>15.83</v>
      </c>
      <c r="AU252" s="6">
        <v>15.9</v>
      </c>
      <c r="AV252" s="6">
        <v>15.44</v>
      </c>
      <c r="AW252" s="6">
        <v>16.93</v>
      </c>
      <c r="AX252" s="6">
        <v>16.8</v>
      </c>
      <c r="AY252" s="6">
        <v>16.22</v>
      </c>
      <c r="AZ252" s="6">
        <v>16.54</v>
      </c>
      <c r="BA252" s="6">
        <v>15.56</v>
      </c>
      <c r="BB252" s="6">
        <v>16.07</v>
      </c>
      <c r="BC252" s="11">
        <v>16.2</v>
      </c>
      <c r="BD252" s="6">
        <v>13.88</v>
      </c>
      <c r="BE252" s="6">
        <v>15.71</v>
      </c>
      <c r="BF252" s="6">
        <v>13.85</v>
      </c>
      <c r="BG252" s="6">
        <v>15.43</v>
      </c>
      <c r="BH252" s="6">
        <v>16.600000000000001</v>
      </c>
      <c r="BI252" s="6">
        <v>15.84</v>
      </c>
      <c r="BJ252" s="6">
        <v>15.5</v>
      </c>
      <c r="BK252" s="6">
        <v>16.760000000000002</v>
      </c>
      <c r="BL252" s="6">
        <v>15.42</v>
      </c>
      <c r="BM252" s="6">
        <v>16.66</v>
      </c>
      <c r="BN252" s="6">
        <v>14.3</v>
      </c>
      <c r="BO252" s="6">
        <v>16.600000000000001</v>
      </c>
      <c r="BP252" s="6">
        <v>15.75</v>
      </c>
      <c r="BQ252" s="6">
        <v>15.12</v>
      </c>
      <c r="BR252" s="6">
        <v>14.2</v>
      </c>
      <c r="BS252" s="6">
        <v>16.2</v>
      </c>
      <c r="BT252" s="6">
        <v>16.399999999999999</v>
      </c>
      <c r="BU252" s="6">
        <v>16.22</v>
      </c>
      <c r="BV252" s="6">
        <v>14.7</v>
      </c>
      <c r="BW252" s="6">
        <v>16.38</v>
      </c>
      <c r="BX252" s="6">
        <v>16</v>
      </c>
      <c r="BY252" s="6">
        <v>15.34</v>
      </c>
      <c r="BZ252" s="6">
        <v>14.16</v>
      </c>
      <c r="CA252" s="6">
        <v>16.2</v>
      </c>
      <c r="CB252" s="6">
        <v>15.68</v>
      </c>
      <c r="CC252" s="6">
        <v>16.420000000000002</v>
      </c>
      <c r="CD252" s="6">
        <v>15.3</v>
      </c>
      <c r="CE252" s="6">
        <v>15.86</v>
      </c>
      <c r="CF252" s="6">
        <v>15.9</v>
      </c>
      <c r="CG252" s="6">
        <v>16.32</v>
      </c>
      <c r="CH252" s="6">
        <v>16.02</v>
      </c>
      <c r="CI252" s="6">
        <v>18.3</v>
      </c>
      <c r="CJ252" s="11">
        <v>16.2</v>
      </c>
      <c r="CK252" s="6">
        <v>13.8</v>
      </c>
      <c r="CL252" s="6">
        <v>16.940000000000001</v>
      </c>
      <c r="CM252" s="6">
        <v>16.739999999999998</v>
      </c>
      <c r="CN252" s="6">
        <v>14.69</v>
      </c>
      <c r="CO252" s="10">
        <v>15.08</v>
      </c>
      <c r="CP252" s="10"/>
    </row>
    <row r="253" spans="1:94" ht="15.75" customHeight="1" x14ac:dyDescent="0.25">
      <c r="A253" s="4">
        <v>252</v>
      </c>
      <c r="B253" s="4"/>
      <c r="C253" s="4">
        <v>8</v>
      </c>
      <c r="D253" s="8">
        <v>15.63</v>
      </c>
      <c r="E253" s="8">
        <v>14.18</v>
      </c>
      <c r="F253" s="8">
        <v>15.18</v>
      </c>
      <c r="G253" s="8">
        <v>16.48</v>
      </c>
      <c r="H253" s="8">
        <v>14.25</v>
      </c>
      <c r="I253" s="8">
        <v>14.52</v>
      </c>
      <c r="J253" s="8">
        <v>14.91</v>
      </c>
      <c r="K253" s="8">
        <v>15.53</v>
      </c>
      <c r="L253" s="8">
        <v>17.37</v>
      </c>
      <c r="M253" s="8">
        <v>16.329999999999998</v>
      </c>
      <c r="N253" s="8">
        <v>16.64</v>
      </c>
      <c r="O253" s="8">
        <v>17.399999999999999</v>
      </c>
      <c r="P253" s="8">
        <v>15.54</v>
      </c>
      <c r="Q253" s="8">
        <v>15.38</v>
      </c>
      <c r="R253" s="8">
        <v>16.309999999999999</v>
      </c>
      <c r="S253" s="8">
        <v>16.27</v>
      </c>
      <c r="T253" s="8">
        <v>17.43</v>
      </c>
      <c r="U253" s="8">
        <v>16.399999999999999</v>
      </c>
      <c r="V253" s="8">
        <v>16.440000000000001</v>
      </c>
      <c r="W253" s="8">
        <v>16.93</v>
      </c>
      <c r="X253" s="8">
        <v>14.21</v>
      </c>
      <c r="Y253" s="8">
        <v>16.329999999999998</v>
      </c>
      <c r="Z253" s="8">
        <v>15.56</v>
      </c>
      <c r="AA253" s="8">
        <v>14.96</v>
      </c>
      <c r="AB253" s="8">
        <v>15.95</v>
      </c>
      <c r="AC253" s="8">
        <v>15.99</v>
      </c>
      <c r="AD253" s="8">
        <v>14.93</v>
      </c>
      <c r="AE253" s="8">
        <v>16.62</v>
      </c>
      <c r="AF253" s="8">
        <v>16.11</v>
      </c>
      <c r="AG253" s="8">
        <v>15.1</v>
      </c>
      <c r="AH253" s="8">
        <v>15.03</v>
      </c>
      <c r="AI253" s="8">
        <v>15.1</v>
      </c>
      <c r="AJ253" s="8">
        <v>16.940000000000001</v>
      </c>
      <c r="AK253" s="8">
        <v>15.6</v>
      </c>
      <c r="AL253" s="8">
        <v>15.46</v>
      </c>
      <c r="AM253" s="8">
        <v>16.149999999999999</v>
      </c>
      <c r="AN253" s="8">
        <v>16.11</v>
      </c>
      <c r="AO253" s="8">
        <v>15.24</v>
      </c>
      <c r="AP253" s="8">
        <v>14.33</v>
      </c>
      <c r="AQ253" s="8">
        <v>14.12</v>
      </c>
      <c r="AR253" s="8">
        <v>15.56</v>
      </c>
      <c r="AS253" s="8">
        <v>16.989999999999998</v>
      </c>
      <c r="AT253" s="8">
        <v>15.83</v>
      </c>
      <c r="AU253" s="6">
        <v>15.81</v>
      </c>
      <c r="AV253" s="6">
        <v>15.35</v>
      </c>
      <c r="AW253" s="6">
        <v>16.87</v>
      </c>
      <c r="AX253" s="6">
        <v>16.79</v>
      </c>
      <c r="AY253" s="6">
        <v>16.190000000000001</v>
      </c>
      <c r="AZ253" s="6">
        <v>16.510000000000002</v>
      </c>
      <c r="BA253" s="6">
        <v>15.55</v>
      </c>
      <c r="BB253" s="6">
        <v>16.07</v>
      </c>
      <c r="BC253" s="11">
        <v>16.170000000000002</v>
      </c>
      <c r="BD253" s="6">
        <v>13.84</v>
      </c>
      <c r="BE253" s="6">
        <v>15.68</v>
      </c>
      <c r="BF253" s="6">
        <v>13.81</v>
      </c>
      <c r="BG253" s="6">
        <v>15.38</v>
      </c>
      <c r="BH253" s="6">
        <v>16.55</v>
      </c>
      <c r="BI253" s="6">
        <v>15.8</v>
      </c>
      <c r="BJ253" s="6">
        <v>15.48</v>
      </c>
      <c r="BK253" s="6">
        <v>16.78</v>
      </c>
      <c r="BL253" s="6">
        <v>15.42</v>
      </c>
      <c r="BM253" s="6">
        <v>16.600000000000001</v>
      </c>
      <c r="BN253" s="6">
        <v>14.24</v>
      </c>
      <c r="BO253" s="6">
        <v>16.54</v>
      </c>
      <c r="BP253" s="6">
        <v>15.7</v>
      </c>
      <c r="BQ253" s="6">
        <v>15.14</v>
      </c>
      <c r="BR253" s="6">
        <v>14.32</v>
      </c>
      <c r="BS253" s="6">
        <v>16.18</v>
      </c>
      <c r="BT253" s="6">
        <v>16.36</v>
      </c>
      <c r="BU253" s="6">
        <v>16.149999999999999</v>
      </c>
      <c r="BV253" s="6">
        <v>14.6</v>
      </c>
      <c r="BW253" s="6">
        <v>16.3</v>
      </c>
      <c r="BX253" s="6">
        <v>16</v>
      </c>
      <c r="BY253" s="6">
        <v>15.28</v>
      </c>
      <c r="BZ253" s="6">
        <v>14.06</v>
      </c>
      <c r="CA253" s="6">
        <v>16.16</v>
      </c>
      <c r="CB253" s="6">
        <v>15.6</v>
      </c>
      <c r="CC253" s="6">
        <v>16.399999999999999</v>
      </c>
      <c r="CD253" s="6">
        <v>15.24</v>
      </c>
      <c r="CE253" s="6">
        <v>15.84</v>
      </c>
      <c r="CF253" s="6">
        <v>15.86</v>
      </c>
      <c r="CG253" s="6">
        <v>16.32</v>
      </c>
      <c r="CH253" s="6">
        <v>16</v>
      </c>
      <c r="CI253" s="6">
        <v>18.28</v>
      </c>
      <c r="CJ253" s="11">
        <v>16.18</v>
      </c>
      <c r="CK253" s="6">
        <v>13.74</v>
      </c>
      <c r="CL253" s="6">
        <v>16.84</v>
      </c>
      <c r="CM253" s="6">
        <v>16.75</v>
      </c>
      <c r="CN253" s="6">
        <v>14.6</v>
      </c>
      <c r="CO253" s="10">
        <v>14.96</v>
      </c>
      <c r="CP253" s="10"/>
    </row>
    <row r="254" spans="1:94" ht="15.75" customHeight="1" x14ac:dyDescent="0.25">
      <c r="A254" s="4">
        <v>253</v>
      </c>
      <c r="B254" s="4"/>
      <c r="C254" s="4">
        <v>9</v>
      </c>
      <c r="D254" s="8">
        <v>15.53</v>
      </c>
      <c r="E254" s="8">
        <v>14.12</v>
      </c>
      <c r="F254" s="8">
        <v>15.2</v>
      </c>
      <c r="G254" s="8">
        <v>16.37</v>
      </c>
      <c r="H254" s="8">
        <v>14.24</v>
      </c>
      <c r="I254" s="8">
        <v>14.54</v>
      </c>
      <c r="J254" s="8">
        <v>14.89</v>
      </c>
      <c r="K254" s="8">
        <v>15.51</v>
      </c>
      <c r="L254" s="8">
        <v>17.36</v>
      </c>
      <c r="M254" s="8">
        <v>16.32</v>
      </c>
      <c r="N254" s="8">
        <v>16.600000000000001</v>
      </c>
      <c r="O254" s="8">
        <v>17.36</v>
      </c>
      <c r="P254" s="8">
        <v>15.53</v>
      </c>
      <c r="Q254" s="8">
        <v>15.31</v>
      </c>
      <c r="R254" s="8">
        <v>16.36</v>
      </c>
      <c r="S254" s="8">
        <v>16.23</v>
      </c>
      <c r="T254" s="8">
        <v>17.36</v>
      </c>
      <c r="U254" s="8">
        <v>16.34</v>
      </c>
      <c r="V254" s="8">
        <v>16.39</v>
      </c>
      <c r="W254" s="8">
        <v>16.899999999999999</v>
      </c>
      <c r="X254" s="8">
        <v>14.17</v>
      </c>
      <c r="Y254" s="8">
        <v>16.309999999999999</v>
      </c>
      <c r="Z254" s="8">
        <v>15.53</v>
      </c>
      <c r="AA254" s="8">
        <v>14.92</v>
      </c>
      <c r="AB254" s="8">
        <v>15.91</v>
      </c>
      <c r="AC254" s="8">
        <v>15.97</v>
      </c>
      <c r="AD254" s="8">
        <v>14.91</v>
      </c>
      <c r="AE254" s="8">
        <v>16.54</v>
      </c>
      <c r="AF254" s="8">
        <v>16.04</v>
      </c>
      <c r="AG254" s="8">
        <v>15.04</v>
      </c>
      <c r="AH254" s="8">
        <v>14.99</v>
      </c>
      <c r="AI254" s="8">
        <v>15.05</v>
      </c>
      <c r="AJ254" s="8">
        <v>16.899999999999999</v>
      </c>
      <c r="AK254" s="8">
        <v>15.6</v>
      </c>
      <c r="AL254" s="8">
        <v>15.45</v>
      </c>
      <c r="AM254" s="8">
        <v>16.170000000000002</v>
      </c>
      <c r="AN254" s="8">
        <v>16.02</v>
      </c>
      <c r="AO254" s="8">
        <v>15.24</v>
      </c>
      <c r="AP254" s="8">
        <v>14.37</v>
      </c>
      <c r="AQ254" s="8">
        <v>14.12</v>
      </c>
      <c r="AR254" s="8">
        <v>15.53</v>
      </c>
      <c r="AS254" s="8">
        <v>16.93</v>
      </c>
      <c r="AT254" s="8">
        <v>15.82</v>
      </c>
      <c r="AU254" s="6">
        <v>15.76</v>
      </c>
      <c r="AV254" s="6">
        <v>15.28</v>
      </c>
      <c r="AW254" s="6">
        <v>16.8</v>
      </c>
      <c r="AX254" s="6">
        <v>16.760000000000002</v>
      </c>
      <c r="AY254" s="6">
        <v>16.170000000000002</v>
      </c>
      <c r="AZ254" s="6">
        <v>16.45</v>
      </c>
      <c r="BA254" s="6">
        <v>15.52</v>
      </c>
      <c r="BB254" s="6">
        <v>16.07</v>
      </c>
      <c r="BC254" s="11">
        <v>16.170000000000002</v>
      </c>
      <c r="BD254" s="6">
        <v>13.8</v>
      </c>
      <c r="BE254" s="6">
        <v>15.63</v>
      </c>
      <c r="BF254" s="6">
        <v>13.77</v>
      </c>
      <c r="BG254" s="6">
        <v>15.28</v>
      </c>
      <c r="BH254" s="6">
        <v>16.52</v>
      </c>
      <c r="BI254" s="6">
        <v>15.76</v>
      </c>
      <c r="BJ254" s="6">
        <v>15.46</v>
      </c>
      <c r="BK254" s="6">
        <v>16.739999999999998</v>
      </c>
      <c r="BL254" s="6">
        <v>15.4</v>
      </c>
      <c r="BM254" s="6">
        <v>16.510000000000002</v>
      </c>
      <c r="BN254" s="6">
        <v>14.16</v>
      </c>
      <c r="BO254" s="6">
        <v>16.52</v>
      </c>
      <c r="BP254" s="6">
        <v>15.62</v>
      </c>
      <c r="BQ254" s="6">
        <v>15.14</v>
      </c>
      <c r="BR254" s="6">
        <v>14.3</v>
      </c>
      <c r="BS254" s="6">
        <v>16.12</v>
      </c>
      <c r="BT254" s="6">
        <v>16.32</v>
      </c>
      <c r="BU254" s="6">
        <v>16.12</v>
      </c>
      <c r="BV254" s="6">
        <v>14.5</v>
      </c>
      <c r="BW254" s="6">
        <v>16.2</v>
      </c>
      <c r="BX254" s="6">
        <v>16</v>
      </c>
      <c r="BY254" s="6">
        <v>15.22</v>
      </c>
      <c r="BZ254" s="6">
        <v>14</v>
      </c>
      <c r="CA254" s="6">
        <v>16.14</v>
      </c>
      <c r="CB254" s="6">
        <v>15.5</v>
      </c>
      <c r="CC254" s="6">
        <v>16.399999999999999</v>
      </c>
      <c r="CD254" s="6">
        <v>15.22</v>
      </c>
      <c r="CE254" s="6">
        <v>15.8</v>
      </c>
      <c r="CF254" s="6">
        <v>15.82</v>
      </c>
      <c r="CG254" s="6">
        <v>16.34</v>
      </c>
      <c r="CH254" s="6">
        <v>15.9</v>
      </c>
      <c r="CI254" s="6">
        <v>18.239999999999998</v>
      </c>
      <c r="CJ254" s="11">
        <v>16.14</v>
      </c>
      <c r="CK254" s="6">
        <v>13.72</v>
      </c>
      <c r="CL254" s="6">
        <v>16.72</v>
      </c>
      <c r="CM254" s="6">
        <v>16.760000000000002</v>
      </c>
      <c r="CN254" s="6">
        <v>14.48</v>
      </c>
      <c r="CO254" s="10">
        <v>14.87</v>
      </c>
      <c r="CP254" s="10"/>
    </row>
    <row r="255" spans="1:94" ht="15.75" customHeight="1" x14ac:dyDescent="0.25">
      <c r="A255" s="4">
        <v>254</v>
      </c>
      <c r="B255" s="4"/>
      <c r="C255" s="4">
        <v>10</v>
      </c>
      <c r="D255" s="8">
        <v>15.43</v>
      </c>
      <c r="E255" s="8">
        <v>14.06</v>
      </c>
      <c r="F255" s="8">
        <v>15.22</v>
      </c>
      <c r="G255" s="8">
        <v>16.28</v>
      </c>
      <c r="H255" s="8">
        <v>14.22</v>
      </c>
      <c r="I255" s="8">
        <v>14.56</v>
      </c>
      <c r="J255" s="8">
        <v>14.87</v>
      </c>
      <c r="K255" s="8">
        <v>15.46</v>
      </c>
      <c r="L255" s="8">
        <v>17.34</v>
      </c>
      <c r="M255" s="8">
        <v>16.37</v>
      </c>
      <c r="N255" s="8">
        <v>16.54</v>
      </c>
      <c r="O255" s="8">
        <v>17.32</v>
      </c>
      <c r="P255" s="8">
        <v>15.51</v>
      </c>
      <c r="Q255" s="8">
        <v>15.24</v>
      </c>
      <c r="R255" s="8">
        <v>16.399999999999999</v>
      </c>
      <c r="S255" s="8">
        <v>16.170000000000002</v>
      </c>
      <c r="T255" s="8">
        <v>17.28</v>
      </c>
      <c r="U255" s="8">
        <v>16.260000000000002</v>
      </c>
      <c r="V255" s="8">
        <v>16.309999999999999</v>
      </c>
      <c r="W255" s="8">
        <v>16.89</v>
      </c>
      <c r="X255" s="8">
        <v>14.15</v>
      </c>
      <c r="Y255" s="8">
        <v>16.309999999999999</v>
      </c>
      <c r="Z255" s="8">
        <v>15.47</v>
      </c>
      <c r="AA255" s="8">
        <v>14.88</v>
      </c>
      <c r="AB255" s="8">
        <v>15.87</v>
      </c>
      <c r="AC255" s="8">
        <v>15.95</v>
      </c>
      <c r="AD255" s="8">
        <v>14.81</v>
      </c>
      <c r="AE255" s="8">
        <v>16.46</v>
      </c>
      <c r="AF255" s="8">
        <v>15.98</v>
      </c>
      <c r="AG255" s="8">
        <v>15</v>
      </c>
      <c r="AH255" s="8">
        <v>14.95</v>
      </c>
      <c r="AI255" s="8">
        <v>15.01</v>
      </c>
      <c r="AJ255" s="8">
        <v>16.86</v>
      </c>
      <c r="AK255" s="8">
        <v>15.59</v>
      </c>
      <c r="AL255" s="8">
        <v>15.44</v>
      </c>
      <c r="AM255" s="8">
        <v>16.170000000000002</v>
      </c>
      <c r="AN255" s="8">
        <v>15.95</v>
      </c>
      <c r="AO255" s="8">
        <v>15.25</v>
      </c>
      <c r="AP255" s="8">
        <v>14.45</v>
      </c>
      <c r="AQ255" s="8">
        <v>14.11</v>
      </c>
      <c r="AR255" s="8">
        <v>15.48</v>
      </c>
      <c r="AS255" s="8">
        <v>16.850000000000001</v>
      </c>
      <c r="AT255" s="8">
        <v>15.79</v>
      </c>
      <c r="AU255" s="6">
        <v>15.67</v>
      </c>
      <c r="AV255" s="6">
        <v>15.22</v>
      </c>
      <c r="AW255" s="6">
        <v>16.75</v>
      </c>
      <c r="AX255" s="6">
        <v>16.7</v>
      </c>
      <c r="AY255" s="6">
        <v>16.2</v>
      </c>
      <c r="AZ255" s="6">
        <v>16.420000000000002</v>
      </c>
      <c r="BA255" s="6">
        <v>15.52</v>
      </c>
      <c r="BB255" s="6">
        <v>16.09</v>
      </c>
      <c r="BC255" s="11">
        <v>16.14</v>
      </c>
      <c r="BD255" s="6">
        <v>13.76</v>
      </c>
      <c r="BE255" s="6">
        <v>15.57</v>
      </c>
      <c r="BF255" s="6">
        <v>13.72</v>
      </c>
      <c r="BG255" s="6">
        <v>15.22</v>
      </c>
      <c r="BH255" s="6">
        <v>16.47</v>
      </c>
      <c r="BI255" s="6">
        <v>15.72</v>
      </c>
      <c r="BJ255" s="6">
        <v>15.4</v>
      </c>
      <c r="BK255" s="6">
        <v>16.72</v>
      </c>
      <c r="BL255" s="6">
        <v>15.34</v>
      </c>
      <c r="BM255" s="6">
        <v>16.46</v>
      </c>
      <c r="BN255" s="6">
        <v>14.06</v>
      </c>
      <c r="BO255" s="6">
        <v>16.46</v>
      </c>
      <c r="BP255" s="6">
        <v>15.53</v>
      </c>
      <c r="BQ255" s="6">
        <v>15.2</v>
      </c>
      <c r="BR255" s="6">
        <v>14.08</v>
      </c>
      <c r="BS255" s="6">
        <v>16.100000000000001</v>
      </c>
      <c r="BT255" s="6">
        <v>16.260000000000002</v>
      </c>
      <c r="BU255" s="6">
        <v>16.079999999999998</v>
      </c>
      <c r="BV255" s="6">
        <v>14.5</v>
      </c>
      <c r="BW255" s="6">
        <v>16.100000000000001</v>
      </c>
      <c r="BX255" s="6">
        <v>15.96</v>
      </c>
      <c r="BY255" s="6">
        <v>15.1</v>
      </c>
      <c r="BZ255" s="6">
        <v>13.92</v>
      </c>
      <c r="CA255" s="6">
        <v>16.100000000000001</v>
      </c>
      <c r="CB255" s="6">
        <v>15.42</v>
      </c>
      <c r="CC255" s="6">
        <v>16.32</v>
      </c>
      <c r="CD255" s="6">
        <v>15.02</v>
      </c>
      <c r="CE255" s="6">
        <v>15.76</v>
      </c>
      <c r="CF255" s="6">
        <v>15.82</v>
      </c>
      <c r="CG255" s="6">
        <v>16.3</v>
      </c>
      <c r="CH255" s="6">
        <v>15.86</v>
      </c>
      <c r="CI255" s="6">
        <v>18.22</v>
      </c>
      <c r="CJ255" s="11">
        <v>16.12</v>
      </c>
      <c r="CK255" s="6">
        <v>13.7</v>
      </c>
      <c r="CL255" s="6">
        <v>16.600000000000001</v>
      </c>
      <c r="CM255" s="6">
        <v>16.739999999999998</v>
      </c>
      <c r="CN255" s="6">
        <v>14.35</v>
      </c>
      <c r="CO255" s="10">
        <v>14.75</v>
      </c>
      <c r="CP255" s="10"/>
    </row>
    <row r="256" spans="1:94" ht="15.75" customHeight="1" x14ac:dyDescent="0.25">
      <c r="A256" s="4">
        <v>255</v>
      </c>
      <c r="B256" s="4"/>
      <c r="C256" s="4">
        <v>11</v>
      </c>
      <c r="D256" s="8">
        <v>15.36</v>
      </c>
      <c r="E256" s="8">
        <v>14.02</v>
      </c>
      <c r="F256" s="8">
        <v>15.24</v>
      </c>
      <c r="G256" s="8">
        <v>16.23</v>
      </c>
      <c r="H256" s="8">
        <v>14.2</v>
      </c>
      <c r="I256" s="8">
        <v>14.58</v>
      </c>
      <c r="J256" s="8">
        <v>14.86</v>
      </c>
      <c r="K256" s="8">
        <v>15.48</v>
      </c>
      <c r="L256" s="8">
        <v>17.29</v>
      </c>
      <c r="M256" s="8">
        <v>16.350000000000001</v>
      </c>
      <c r="N256" s="8">
        <v>16.54</v>
      </c>
      <c r="O256" s="8">
        <v>17.260000000000002</v>
      </c>
      <c r="P256" s="8">
        <v>15.48</v>
      </c>
      <c r="Q256" s="8">
        <v>15.15</v>
      </c>
      <c r="R256" s="8">
        <v>16.41</v>
      </c>
      <c r="S256" s="8">
        <v>16.079999999999998</v>
      </c>
      <c r="T256" s="8">
        <v>17.2</v>
      </c>
      <c r="U256" s="8">
        <v>16.16</v>
      </c>
      <c r="V256" s="8">
        <v>16.25</v>
      </c>
      <c r="W256" s="8">
        <v>16.89</v>
      </c>
      <c r="X256" s="8">
        <v>14.13</v>
      </c>
      <c r="Y256" s="8">
        <v>16.309999999999999</v>
      </c>
      <c r="Z256" s="8">
        <v>15.43</v>
      </c>
      <c r="AA256" s="8">
        <v>14.82</v>
      </c>
      <c r="AB256" s="8">
        <v>15.85</v>
      </c>
      <c r="AC256" s="8">
        <v>15.91</v>
      </c>
      <c r="AD256" s="8">
        <v>14.71</v>
      </c>
      <c r="AE256" s="8">
        <v>16.41</v>
      </c>
      <c r="AF256" s="8">
        <v>15.93</v>
      </c>
      <c r="AG256" s="8">
        <v>14.96</v>
      </c>
      <c r="AH256" s="8">
        <v>14.91</v>
      </c>
      <c r="AI256" s="8">
        <v>14.96</v>
      </c>
      <c r="AJ256" s="8">
        <v>16.82</v>
      </c>
      <c r="AK256" s="8">
        <v>15.57</v>
      </c>
      <c r="AL256" s="8">
        <v>15.42</v>
      </c>
      <c r="AM256" s="8">
        <v>16.18</v>
      </c>
      <c r="AN256" s="8">
        <v>15.88</v>
      </c>
      <c r="AO256" s="8">
        <v>15.25</v>
      </c>
      <c r="AP256" s="8">
        <v>14.53</v>
      </c>
      <c r="AQ256" s="8">
        <v>14.1</v>
      </c>
      <c r="AR256" s="8">
        <v>15.46</v>
      </c>
      <c r="AS256" s="8">
        <v>16.75</v>
      </c>
      <c r="AT256" s="8">
        <v>15.73</v>
      </c>
      <c r="AU256" s="6">
        <v>15.59</v>
      </c>
      <c r="AV256" s="6">
        <v>15.18</v>
      </c>
      <c r="AW256" s="6">
        <v>16.690000000000001</v>
      </c>
      <c r="AX256" s="6">
        <v>16.64</v>
      </c>
      <c r="AY256" s="6">
        <v>16.21</v>
      </c>
      <c r="AZ256" s="6">
        <v>16.37</v>
      </c>
      <c r="BA256" s="6">
        <v>15.52</v>
      </c>
      <c r="BB256" s="6">
        <v>16.12</v>
      </c>
      <c r="BC256" s="11">
        <v>16.100000000000001</v>
      </c>
      <c r="BD256" s="6">
        <v>13.68</v>
      </c>
      <c r="BE256" s="6">
        <v>15.52</v>
      </c>
      <c r="BF256" s="6">
        <v>13.65</v>
      </c>
      <c r="BG256" s="6">
        <v>15.18</v>
      </c>
      <c r="BH256" s="6">
        <v>16.420000000000002</v>
      </c>
      <c r="BI256" s="6">
        <v>15.64</v>
      </c>
      <c r="BJ256" s="6">
        <v>15.38</v>
      </c>
      <c r="BK256" s="6">
        <v>16.7</v>
      </c>
      <c r="BL256" s="6">
        <v>15.28</v>
      </c>
      <c r="BM256" s="6">
        <v>16.399999999999999</v>
      </c>
      <c r="BN256" s="6">
        <v>14</v>
      </c>
      <c r="BO256" s="6">
        <v>16.38</v>
      </c>
      <c r="BP256" s="6">
        <v>15.49</v>
      </c>
      <c r="BQ256" s="6">
        <v>15.26</v>
      </c>
      <c r="BR256" s="6">
        <v>14.02</v>
      </c>
      <c r="BS256" s="6">
        <v>16.059999999999999</v>
      </c>
      <c r="BT256" s="6">
        <v>16.2</v>
      </c>
      <c r="BU256" s="6">
        <v>16.059999999999999</v>
      </c>
      <c r="BV256" s="6">
        <v>14.44</v>
      </c>
      <c r="BW256" s="6">
        <v>16.059999999999999</v>
      </c>
      <c r="BX256" s="6">
        <v>15.6</v>
      </c>
      <c r="BY256" s="6">
        <v>15.1</v>
      </c>
      <c r="BZ256" s="6">
        <v>13.86</v>
      </c>
      <c r="CA256" s="6">
        <v>16.02</v>
      </c>
      <c r="CB256" s="6">
        <v>15.34</v>
      </c>
      <c r="CC256" s="6">
        <v>16.260000000000002</v>
      </c>
      <c r="CD256" s="6">
        <v>15.2</v>
      </c>
      <c r="CE256" s="6">
        <v>15.74</v>
      </c>
      <c r="CF256" s="6">
        <v>15.8</v>
      </c>
      <c r="CG256" s="6">
        <v>16.239999999999998</v>
      </c>
      <c r="CH256" s="6">
        <v>15.78</v>
      </c>
      <c r="CI256" s="6">
        <v>18.2</v>
      </c>
      <c r="CJ256" s="11">
        <v>16.12</v>
      </c>
      <c r="CK256" s="6">
        <v>13.7</v>
      </c>
      <c r="CL256" s="6">
        <v>16.52</v>
      </c>
      <c r="CM256" s="6">
        <v>16.739999999999998</v>
      </c>
      <c r="CN256" s="6">
        <v>14.23</v>
      </c>
      <c r="CO256" s="10">
        <v>14.64</v>
      </c>
      <c r="CP256" s="10"/>
    </row>
    <row r="257" spans="1:94" ht="15.75" customHeight="1" x14ac:dyDescent="0.25">
      <c r="A257" s="4">
        <v>256</v>
      </c>
      <c r="B257" s="4"/>
      <c r="C257" s="4">
        <v>12</v>
      </c>
      <c r="D257" s="8">
        <v>15.28</v>
      </c>
      <c r="E257" s="8">
        <v>13.98</v>
      </c>
      <c r="F257" s="8">
        <v>15.26</v>
      </c>
      <c r="G257" s="8">
        <v>16.18</v>
      </c>
      <c r="H257" s="8">
        <v>14.18</v>
      </c>
      <c r="I257" s="8">
        <v>14.56</v>
      </c>
      <c r="J257" s="8">
        <v>14.86</v>
      </c>
      <c r="K257" s="8">
        <v>15.46</v>
      </c>
      <c r="L257" s="8">
        <v>17.260000000000002</v>
      </c>
      <c r="M257" s="8">
        <v>16.309999999999999</v>
      </c>
      <c r="N257" s="8">
        <v>16.54</v>
      </c>
      <c r="O257" s="8">
        <v>17.2</v>
      </c>
      <c r="P257" s="8">
        <v>15.43</v>
      </c>
      <c r="Q257" s="8">
        <v>15.03</v>
      </c>
      <c r="R257" s="8">
        <v>16.399999999999999</v>
      </c>
      <c r="S257" s="8">
        <v>15.97</v>
      </c>
      <c r="T257" s="8">
        <v>17.12</v>
      </c>
      <c r="U257" s="8">
        <v>16.100000000000001</v>
      </c>
      <c r="V257" s="8">
        <v>16.18</v>
      </c>
      <c r="W257" s="8">
        <v>16.809999999999999</v>
      </c>
      <c r="X257" s="8">
        <v>14.13</v>
      </c>
      <c r="Y257" s="8">
        <v>16.350000000000001</v>
      </c>
      <c r="Z257" s="8">
        <v>15.37</v>
      </c>
      <c r="AA257" s="8">
        <v>14.77</v>
      </c>
      <c r="AB257" s="8">
        <v>15.77</v>
      </c>
      <c r="AC257" s="8">
        <v>15.87</v>
      </c>
      <c r="AD257" s="8">
        <v>14.63</v>
      </c>
      <c r="AE257" s="8">
        <v>16.350000000000001</v>
      </c>
      <c r="AF257" s="8">
        <v>15.89</v>
      </c>
      <c r="AG257" s="8">
        <v>14.92</v>
      </c>
      <c r="AH257" s="8">
        <v>14.83</v>
      </c>
      <c r="AI257" s="8">
        <v>14.93</v>
      </c>
      <c r="AJ257" s="8">
        <v>16.79</v>
      </c>
      <c r="AK257" s="8">
        <v>15.55</v>
      </c>
      <c r="AL257" s="8">
        <v>15.4</v>
      </c>
      <c r="AM257" s="8">
        <v>16.18</v>
      </c>
      <c r="AN257" s="8">
        <v>15.81</v>
      </c>
      <c r="AO257" s="8">
        <v>15.22</v>
      </c>
      <c r="AP257" s="8">
        <v>14.61</v>
      </c>
      <c r="AQ257" s="8">
        <v>14.1</v>
      </c>
      <c r="AR257" s="8">
        <v>15.41</v>
      </c>
      <c r="AS257" s="8">
        <v>16.649999999999999</v>
      </c>
      <c r="AT257" s="8">
        <v>15.67</v>
      </c>
      <c r="AU257" s="6">
        <v>15.48</v>
      </c>
      <c r="AV257" s="6">
        <v>15.13</v>
      </c>
      <c r="AW257" s="6">
        <v>16.62</v>
      </c>
      <c r="AX257" s="6">
        <v>16.57</v>
      </c>
      <c r="AY257" s="6">
        <v>16.21</v>
      </c>
      <c r="AZ257" s="6">
        <v>16.350000000000001</v>
      </c>
      <c r="BA257" s="6">
        <v>15.5</v>
      </c>
      <c r="BB257" s="6">
        <v>16.13</v>
      </c>
      <c r="BC257" s="11">
        <v>16.05</v>
      </c>
      <c r="BD257" s="6">
        <v>13.64</v>
      </c>
      <c r="BE257" s="6">
        <v>15.48</v>
      </c>
      <c r="BF257" s="6">
        <v>13.6</v>
      </c>
      <c r="BG257" s="6">
        <v>15.11</v>
      </c>
      <c r="BH257" s="6">
        <v>16.350000000000001</v>
      </c>
      <c r="BI257" s="6">
        <v>15.58</v>
      </c>
      <c r="BJ257" s="6">
        <v>15.36</v>
      </c>
      <c r="BK257" s="6">
        <v>16.690000000000001</v>
      </c>
      <c r="BL257" s="6">
        <v>15.2</v>
      </c>
      <c r="BM257" s="6">
        <v>16.34</v>
      </c>
      <c r="BN257" s="6">
        <v>13.86</v>
      </c>
      <c r="BO257" s="6">
        <v>16.3</v>
      </c>
      <c r="BP257" s="6">
        <v>15.42</v>
      </c>
      <c r="BQ257" s="6">
        <v>15.26</v>
      </c>
      <c r="BR257" s="6">
        <v>13.94</v>
      </c>
      <c r="BS257" s="6">
        <v>16</v>
      </c>
      <c r="BT257" s="6">
        <v>16.16</v>
      </c>
      <c r="BU257" s="6">
        <v>16.04</v>
      </c>
      <c r="BV257" s="6">
        <v>14.44</v>
      </c>
      <c r="BW257" s="6">
        <v>16</v>
      </c>
      <c r="BX257" s="6">
        <v>15.88</v>
      </c>
      <c r="BY257" s="6">
        <v>15</v>
      </c>
      <c r="BZ257" s="6">
        <v>13.8</v>
      </c>
      <c r="CA257" s="6">
        <v>15.96</v>
      </c>
      <c r="CB257" s="6">
        <v>15.28</v>
      </c>
      <c r="CC257" s="6">
        <v>16.22</v>
      </c>
      <c r="CD257" s="6">
        <v>15.2</v>
      </c>
      <c r="CE257" s="6">
        <v>15.68</v>
      </c>
      <c r="CF257" s="6">
        <v>15.74</v>
      </c>
      <c r="CG257" s="6">
        <v>16.22</v>
      </c>
      <c r="CH257" s="6">
        <v>15.68</v>
      </c>
      <c r="CI257" s="6">
        <v>18.18</v>
      </c>
      <c r="CJ257" s="11">
        <v>16.04</v>
      </c>
      <c r="CK257" s="6">
        <v>13.7</v>
      </c>
      <c r="CL257" s="6">
        <v>16.420000000000002</v>
      </c>
      <c r="CM257" s="6">
        <v>16.7</v>
      </c>
      <c r="CN257" s="6">
        <v>14.09</v>
      </c>
      <c r="CO257" s="10">
        <v>14.54</v>
      </c>
      <c r="CP257" s="10"/>
    </row>
    <row r="258" spans="1:94" ht="15.75" customHeight="1" x14ac:dyDescent="0.25">
      <c r="A258" s="4">
        <v>257</v>
      </c>
      <c r="B258" s="4"/>
      <c r="C258" s="4">
        <v>13</v>
      </c>
      <c r="D258" s="8">
        <v>15.23</v>
      </c>
      <c r="E258" s="8">
        <v>13.93</v>
      </c>
      <c r="F258" s="8">
        <v>15.24</v>
      </c>
      <c r="G258" s="8">
        <v>16.12</v>
      </c>
      <c r="H258" s="8">
        <v>14.14</v>
      </c>
      <c r="I258" s="8">
        <v>14.52</v>
      </c>
      <c r="J258" s="8">
        <v>14.86</v>
      </c>
      <c r="K258" s="8">
        <v>15.41</v>
      </c>
      <c r="L258" s="8">
        <v>17.18</v>
      </c>
      <c r="M258" s="8">
        <v>16.25</v>
      </c>
      <c r="N258" s="8">
        <v>16.48</v>
      </c>
      <c r="O258" s="8">
        <v>17.16</v>
      </c>
      <c r="P258" s="8">
        <v>15.38</v>
      </c>
      <c r="Q258" s="8">
        <v>14.89</v>
      </c>
      <c r="R258" s="8">
        <v>16.399999999999999</v>
      </c>
      <c r="S258" s="8">
        <v>15.84</v>
      </c>
      <c r="T258" s="8">
        <v>17.100000000000001</v>
      </c>
      <c r="U258" s="8">
        <v>16.010000000000002</v>
      </c>
      <c r="V258" s="8">
        <v>16.12</v>
      </c>
      <c r="W258" s="8">
        <v>16.73</v>
      </c>
      <c r="X258" s="8">
        <v>14.13</v>
      </c>
      <c r="Y258" s="8">
        <v>16.36</v>
      </c>
      <c r="Z258" s="8">
        <v>15.31</v>
      </c>
      <c r="AA258" s="8">
        <v>14.7</v>
      </c>
      <c r="AB258" s="8">
        <v>15.74</v>
      </c>
      <c r="AC258" s="8">
        <v>15.83</v>
      </c>
      <c r="AD258" s="8">
        <v>14.55</v>
      </c>
      <c r="AE258" s="8">
        <v>16.329999999999998</v>
      </c>
      <c r="AF258" s="8">
        <v>15.84</v>
      </c>
      <c r="AG258" s="8">
        <v>14.9</v>
      </c>
      <c r="AH258" s="8">
        <v>14.75</v>
      </c>
      <c r="AI258" s="8">
        <v>14.91</v>
      </c>
      <c r="AJ258" s="8">
        <v>16.75</v>
      </c>
      <c r="AK258" s="8">
        <v>15.54</v>
      </c>
      <c r="AL258" s="8">
        <v>15.39</v>
      </c>
      <c r="AM258" s="8">
        <v>16.190000000000001</v>
      </c>
      <c r="AN258" s="8">
        <v>15.73</v>
      </c>
      <c r="AO258" s="8">
        <v>15.18</v>
      </c>
      <c r="AP258" s="8">
        <v>14.66</v>
      </c>
      <c r="AQ258" s="8">
        <v>14.08</v>
      </c>
      <c r="AR258" s="8">
        <v>15.39</v>
      </c>
      <c r="AS258" s="8">
        <v>16.54</v>
      </c>
      <c r="AT258" s="8">
        <v>15.63</v>
      </c>
      <c r="AU258" s="6">
        <v>15.42</v>
      </c>
      <c r="AV258" s="6">
        <v>15.06</v>
      </c>
      <c r="AW258" s="6">
        <v>16.559999999999999</v>
      </c>
      <c r="AX258" s="6">
        <v>16.52</v>
      </c>
      <c r="AY258" s="6">
        <v>16.190000000000001</v>
      </c>
      <c r="AZ258" s="6">
        <v>16.34</v>
      </c>
      <c r="BA258" s="6">
        <v>15.46</v>
      </c>
      <c r="BB258" s="6">
        <v>16.14</v>
      </c>
      <c r="BC258" s="11">
        <v>16</v>
      </c>
      <c r="BD258" s="6">
        <v>13.58</v>
      </c>
      <c r="BE258" s="6">
        <v>15.47</v>
      </c>
      <c r="BF258" s="6">
        <v>13.53</v>
      </c>
      <c r="BG258" s="6">
        <v>15.06</v>
      </c>
      <c r="BH258" s="6">
        <v>16.29</v>
      </c>
      <c r="BI258" s="6">
        <v>15.52</v>
      </c>
      <c r="BJ258" s="6">
        <v>15.34</v>
      </c>
      <c r="BK258" s="6">
        <v>16.62</v>
      </c>
      <c r="BL258" s="6">
        <v>15.12</v>
      </c>
      <c r="BM258" s="6">
        <v>16.3</v>
      </c>
      <c r="BN258" s="6">
        <v>13.8</v>
      </c>
      <c r="BO258" s="6">
        <v>16.239999999999998</v>
      </c>
      <c r="BP258" s="6">
        <v>15.36</v>
      </c>
      <c r="BQ258" s="6">
        <v>15.28</v>
      </c>
      <c r="BR258" s="6">
        <v>13.9</v>
      </c>
      <c r="BS258" s="6">
        <v>15.98</v>
      </c>
      <c r="BT258" s="6">
        <v>16.100000000000001</v>
      </c>
      <c r="BU258" s="6">
        <v>16</v>
      </c>
      <c r="BV258" s="6">
        <v>14.3</v>
      </c>
      <c r="BW258" s="6">
        <v>15.96</v>
      </c>
      <c r="BX258" s="6">
        <v>15.82</v>
      </c>
      <c r="BY258" s="6">
        <v>14.96</v>
      </c>
      <c r="BZ258" s="6">
        <v>13.72</v>
      </c>
      <c r="CA258" s="6">
        <v>15.9</v>
      </c>
      <c r="CB258" s="6">
        <v>15.22</v>
      </c>
      <c r="CC258" s="6">
        <v>16.18</v>
      </c>
      <c r="CD258" s="6">
        <v>15.26</v>
      </c>
      <c r="CE258" s="6">
        <v>15.62</v>
      </c>
      <c r="CF258" s="6">
        <v>15.68</v>
      </c>
      <c r="CG258" s="6">
        <v>16.2</v>
      </c>
      <c r="CH258" s="6">
        <v>15.6</v>
      </c>
      <c r="CI258" s="6">
        <v>18.16</v>
      </c>
      <c r="CJ258" s="11">
        <v>16.04</v>
      </c>
      <c r="CK258" s="6">
        <v>13.68</v>
      </c>
      <c r="CL258" s="6">
        <v>16.32</v>
      </c>
      <c r="CM258" s="6">
        <v>16.670000000000002</v>
      </c>
      <c r="CN258" s="6">
        <v>13.95</v>
      </c>
      <c r="CO258" s="10">
        <v>14.42</v>
      </c>
      <c r="CP258" s="10"/>
    </row>
    <row r="259" spans="1:94" ht="15.75" customHeight="1" x14ac:dyDescent="0.25">
      <c r="A259" s="4">
        <v>258</v>
      </c>
      <c r="B259" s="4"/>
      <c r="C259" s="4">
        <v>14</v>
      </c>
      <c r="D259" s="8">
        <v>15.13</v>
      </c>
      <c r="E259" s="8">
        <v>13.88</v>
      </c>
      <c r="F259" s="8">
        <v>15.18</v>
      </c>
      <c r="G259" s="8">
        <v>16.079999999999998</v>
      </c>
      <c r="H259" s="8">
        <v>14.12</v>
      </c>
      <c r="I259" s="8">
        <v>14.48</v>
      </c>
      <c r="J259" s="8">
        <v>14.87</v>
      </c>
      <c r="K259" s="8">
        <v>15.37</v>
      </c>
      <c r="L259" s="8">
        <v>17.079999999999998</v>
      </c>
      <c r="M259" s="8">
        <v>16.190000000000001</v>
      </c>
      <c r="N259" s="8">
        <v>16.440000000000001</v>
      </c>
      <c r="O259" s="8">
        <v>17.079999999999998</v>
      </c>
      <c r="P259" s="8">
        <v>15.34</v>
      </c>
      <c r="Q259" s="8">
        <v>14.87</v>
      </c>
      <c r="R259" s="8">
        <v>16.41</v>
      </c>
      <c r="S259" s="8">
        <v>15.76</v>
      </c>
      <c r="T259" s="8">
        <v>17.03</v>
      </c>
      <c r="U259" s="8">
        <v>15.94</v>
      </c>
      <c r="V259" s="8">
        <v>16.07</v>
      </c>
      <c r="W259" s="8">
        <v>16.7</v>
      </c>
      <c r="X259" s="8">
        <v>14.13</v>
      </c>
      <c r="Y259" s="8">
        <v>16.36</v>
      </c>
      <c r="Z259" s="8">
        <v>15.24</v>
      </c>
      <c r="AA259" s="8">
        <v>14.62</v>
      </c>
      <c r="AB259" s="8">
        <v>15.71</v>
      </c>
      <c r="AC259" s="8">
        <v>15.79</v>
      </c>
      <c r="AD259" s="8">
        <v>14.45</v>
      </c>
      <c r="AE259" s="8">
        <v>16.309999999999999</v>
      </c>
      <c r="AF259" s="8">
        <v>15.84</v>
      </c>
      <c r="AG259" s="8">
        <v>14.88</v>
      </c>
      <c r="AH259" s="8">
        <v>14.69</v>
      </c>
      <c r="AI259" s="8">
        <v>14.88</v>
      </c>
      <c r="AJ259" s="8">
        <v>16.690000000000001</v>
      </c>
      <c r="AK259" s="8">
        <v>15.52</v>
      </c>
      <c r="AL259" s="8">
        <v>15.38</v>
      </c>
      <c r="AM259" s="8">
        <v>16.12</v>
      </c>
      <c r="AN259" s="8">
        <v>15.65</v>
      </c>
      <c r="AO259" s="8">
        <v>15.15</v>
      </c>
      <c r="AP259" s="8">
        <v>14.68</v>
      </c>
      <c r="AQ259" s="8">
        <v>14.07</v>
      </c>
      <c r="AR259" s="8">
        <v>15.37</v>
      </c>
      <c r="AS259" s="8">
        <v>16.45</v>
      </c>
      <c r="AT259" s="8">
        <v>15.57</v>
      </c>
      <c r="AU259" s="6">
        <v>15.35</v>
      </c>
      <c r="AV259" s="6">
        <v>15</v>
      </c>
      <c r="AW259" s="6">
        <v>16.510000000000002</v>
      </c>
      <c r="AX259" s="6">
        <v>16.440000000000001</v>
      </c>
      <c r="AY259" s="6">
        <v>16.13</v>
      </c>
      <c r="AZ259" s="6">
        <v>16.309999999999999</v>
      </c>
      <c r="BA259" s="6">
        <v>15.43</v>
      </c>
      <c r="BB259" s="6">
        <v>16.13</v>
      </c>
      <c r="BC259" s="11">
        <v>15.95</v>
      </c>
      <c r="BD259" s="6">
        <v>13.52</v>
      </c>
      <c r="BE259" s="6">
        <v>15.46</v>
      </c>
      <c r="BF259" s="6">
        <v>13.47</v>
      </c>
      <c r="BG259" s="6">
        <v>15</v>
      </c>
      <c r="BH259" s="6">
        <v>16.25</v>
      </c>
      <c r="BI259" s="6">
        <v>15.45</v>
      </c>
      <c r="BJ259" s="6">
        <v>15.33</v>
      </c>
      <c r="BK259" s="6">
        <v>16.7</v>
      </c>
      <c r="BL259" s="6">
        <v>15.04</v>
      </c>
      <c r="BM259" s="6">
        <v>16.23</v>
      </c>
      <c r="BN259" s="6">
        <v>13.66</v>
      </c>
      <c r="BO259" s="6">
        <v>16.18</v>
      </c>
      <c r="BP259" s="6">
        <v>15.33</v>
      </c>
      <c r="BQ259" s="6">
        <v>15.26</v>
      </c>
      <c r="BR259" s="6">
        <v>13.88</v>
      </c>
      <c r="BS259" s="6">
        <v>15.92</v>
      </c>
      <c r="BT259" s="6">
        <v>16.100000000000001</v>
      </c>
      <c r="BU259" s="6">
        <v>16</v>
      </c>
      <c r="BV259" s="6">
        <v>14.18</v>
      </c>
      <c r="BW259" s="6">
        <v>15.9</v>
      </c>
      <c r="BX259" s="6">
        <v>15.82</v>
      </c>
      <c r="BY259" s="6">
        <v>14.9</v>
      </c>
      <c r="BZ259" s="6">
        <v>13.62</v>
      </c>
      <c r="CA259" s="6">
        <v>15.86</v>
      </c>
      <c r="CB259" s="6">
        <v>15.2</v>
      </c>
      <c r="CC259" s="6">
        <v>16.18</v>
      </c>
      <c r="CD259" s="6">
        <v>15.24</v>
      </c>
      <c r="CE259" s="6">
        <v>15.58</v>
      </c>
      <c r="CF259" s="6">
        <v>15.62</v>
      </c>
      <c r="CG259" s="6">
        <v>16.14</v>
      </c>
      <c r="CH259" s="6">
        <v>15.54</v>
      </c>
      <c r="CI259" s="6">
        <v>18.059999999999999</v>
      </c>
      <c r="CJ259" s="11">
        <v>16.02</v>
      </c>
      <c r="CK259" s="6">
        <v>13.56</v>
      </c>
      <c r="CL259" s="6">
        <v>16.22</v>
      </c>
      <c r="CM259" s="6">
        <v>16.62</v>
      </c>
      <c r="CN259" s="6">
        <v>13.95</v>
      </c>
      <c r="CO259" s="10">
        <v>14.3</v>
      </c>
      <c r="CP259" s="10"/>
    </row>
    <row r="260" spans="1:94" ht="15.75" customHeight="1" x14ac:dyDescent="0.25">
      <c r="A260" s="4">
        <v>259</v>
      </c>
      <c r="B260" s="4"/>
      <c r="C260" s="4">
        <v>15</v>
      </c>
      <c r="D260" s="8">
        <v>15.03</v>
      </c>
      <c r="E260" s="8">
        <v>13.83</v>
      </c>
      <c r="F260" s="8">
        <v>15.08</v>
      </c>
      <c r="G260" s="8">
        <v>16.03</v>
      </c>
      <c r="H260" s="8">
        <v>14.08</v>
      </c>
      <c r="I260" s="8">
        <v>14.46</v>
      </c>
      <c r="J260" s="8">
        <v>14.88</v>
      </c>
      <c r="K260" s="8">
        <v>15.31</v>
      </c>
      <c r="L260" s="8">
        <v>16.98</v>
      </c>
      <c r="M260" s="8">
        <v>16.14</v>
      </c>
      <c r="N260" s="8">
        <v>16.37</v>
      </c>
      <c r="O260" s="8">
        <v>17.04</v>
      </c>
      <c r="P260" s="8">
        <v>15.3</v>
      </c>
      <c r="Q260" s="8">
        <v>14.77</v>
      </c>
      <c r="R260" s="8">
        <v>16.43</v>
      </c>
      <c r="S260" s="8">
        <v>15.61</v>
      </c>
      <c r="T260" s="8">
        <v>16.95</v>
      </c>
      <c r="U260" s="8">
        <v>15.88</v>
      </c>
      <c r="V260" s="8">
        <v>16</v>
      </c>
      <c r="W260" s="8">
        <v>16.59</v>
      </c>
      <c r="X260" s="8">
        <v>14.11</v>
      </c>
      <c r="Y260" s="8">
        <v>16.34</v>
      </c>
      <c r="Z260" s="8">
        <v>15.13</v>
      </c>
      <c r="AA260" s="8">
        <v>14.54</v>
      </c>
      <c r="AB260" s="8">
        <v>15.69</v>
      </c>
      <c r="AC260" s="8">
        <v>15.75</v>
      </c>
      <c r="AD260" s="8">
        <v>14.37</v>
      </c>
      <c r="AE260" s="8">
        <v>16.29</v>
      </c>
      <c r="AF260" s="8">
        <v>15.81</v>
      </c>
      <c r="AG260" s="8">
        <v>14.88</v>
      </c>
      <c r="AH260" s="8">
        <v>14.61</v>
      </c>
      <c r="AI260" s="8">
        <v>14.86</v>
      </c>
      <c r="AJ260" s="8">
        <v>16.61</v>
      </c>
      <c r="AK260" s="8">
        <v>15.54</v>
      </c>
      <c r="AL260" s="8">
        <v>15.37</v>
      </c>
      <c r="AM260" s="8">
        <v>16.04</v>
      </c>
      <c r="AN260" s="8">
        <v>15.59</v>
      </c>
      <c r="AO260" s="8">
        <v>15.14</v>
      </c>
      <c r="AP260" s="8">
        <v>14.73</v>
      </c>
      <c r="AQ260" s="8">
        <v>14.02</v>
      </c>
      <c r="AR260" s="8">
        <v>15.33</v>
      </c>
      <c r="AS260" s="8">
        <v>16.329999999999998</v>
      </c>
      <c r="AT260" s="8">
        <v>15.51</v>
      </c>
      <c r="AU260" s="6">
        <v>15.26</v>
      </c>
      <c r="AV260" s="6">
        <v>14.93</v>
      </c>
      <c r="AW260" s="6">
        <v>16.45</v>
      </c>
      <c r="AX260" s="6">
        <v>16.37</v>
      </c>
      <c r="AY260" s="6">
        <v>16.09</v>
      </c>
      <c r="AZ260" s="6">
        <v>16.29</v>
      </c>
      <c r="BA260" s="6">
        <v>15.39</v>
      </c>
      <c r="BB260" s="6">
        <v>16.100000000000001</v>
      </c>
      <c r="BC260" s="11">
        <v>15.9</v>
      </c>
      <c r="BD260" s="6">
        <v>13.42</v>
      </c>
      <c r="BE260" s="6">
        <v>15.44</v>
      </c>
      <c r="BF260" s="6">
        <v>13.4</v>
      </c>
      <c r="BG260" s="6">
        <v>14.89</v>
      </c>
      <c r="BH260" s="6">
        <v>16.190000000000001</v>
      </c>
      <c r="BI260" s="6">
        <v>15.38</v>
      </c>
      <c r="BJ260" s="6">
        <v>15.31</v>
      </c>
      <c r="BK260" s="6">
        <v>16.68</v>
      </c>
      <c r="BL260" s="6">
        <v>14.96</v>
      </c>
      <c r="BM260" s="6">
        <v>16.2</v>
      </c>
      <c r="BN260" s="6">
        <v>13.6</v>
      </c>
      <c r="BO260" s="6">
        <v>16.12</v>
      </c>
      <c r="BP260" s="6">
        <v>15.3</v>
      </c>
      <c r="BQ260" s="6">
        <v>15.24</v>
      </c>
      <c r="BR260" s="6">
        <v>13.83</v>
      </c>
      <c r="BS260" s="6">
        <v>15.86</v>
      </c>
      <c r="BT260" s="6">
        <v>16.05</v>
      </c>
      <c r="BU260" s="6">
        <v>15.9</v>
      </c>
      <c r="BV260" s="6">
        <v>14.2</v>
      </c>
      <c r="BW260" s="6">
        <v>15.82</v>
      </c>
      <c r="BX260" s="6">
        <v>15.74</v>
      </c>
      <c r="BY260" s="6">
        <v>14.9</v>
      </c>
      <c r="BZ260" s="6">
        <v>13.62</v>
      </c>
      <c r="CA260" s="6">
        <v>15.82</v>
      </c>
      <c r="CB260" s="6">
        <v>15.1</v>
      </c>
      <c r="CC260" s="6">
        <v>16.14</v>
      </c>
      <c r="CD260" s="6">
        <v>15.2</v>
      </c>
      <c r="CE260" s="6">
        <v>15.5</v>
      </c>
      <c r="CF260" s="6">
        <v>15.58</v>
      </c>
      <c r="CG260" s="6">
        <v>16.100000000000001</v>
      </c>
      <c r="CH260" s="6">
        <v>15.5</v>
      </c>
      <c r="CI260" s="6">
        <v>17.96</v>
      </c>
      <c r="CJ260" s="11">
        <v>15.98</v>
      </c>
      <c r="CK260" s="6">
        <v>13.4</v>
      </c>
      <c r="CL260" s="6">
        <v>16.14</v>
      </c>
      <c r="CM260" s="6">
        <v>16.579999999999998</v>
      </c>
      <c r="CN260" s="6">
        <v>13.67</v>
      </c>
      <c r="CO260" s="10">
        <v>14.17</v>
      </c>
      <c r="CP260" s="10"/>
    </row>
    <row r="261" spans="1:94" ht="15.75" customHeight="1" x14ac:dyDescent="0.25">
      <c r="A261" s="4">
        <v>260</v>
      </c>
      <c r="B261" s="4"/>
      <c r="C261" s="4">
        <v>16</v>
      </c>
      <c r="D261" s="8">
        <v>14.98</v>
      </c>
      <c r="E261" s="8">
        <v>13.78</v>
      </c>
      <c r="F261" s="8">
        <v>15.03</v>
      </c>
      <c r="G261" s="8">
        <v>15.93</v>
      </c>
      <c r="H261" s="8">
        <v>14.06</v>
      </c>
      <c r="I261" s="8">
        <v>14.44</v>
      </c>
      <c r="J261" s="8">
        <v>14.85</v>
      </c>
      <c r="K261" s="8">
        <v>15.26</v>
      </c>
      <c r="L261" s="8">
        <v>16.87</v>
      </c>
      <c r="M261" s="8">
        <v>16.09</v>
      </c>
      <c r="N261" s="8">
        <v>16.32</v>
      </c>
      <c r="O261" s="8">
        <v>17.010000000000002</v>
      </c>
      <c r="P261" s="8">
        <v>15.29</v>
      </c>
      <c r="Q261" s="8">
        <v>14.71</v>
      </c>
      <c r="R261" s="8">
        <v>16.399999999999999</v>
      </c>
      <c r="S261" s="8">
        <v>15.56</v>
      </c>
      <c r="T261" s="8">
        <v>16.850000000000001</v>
      </c>
      <c r="U261" s="8">
        <v>15.81</v>
      </c>
      <c r="V261" s="8">
        <v>15.94</v>
      </c>
      <c r="W261" s="8">
        <v>16.54</v>
      </c>
      <c r="X261" s="8">
        <v>14.07</v>
      </c>
      <c r="Y261" s="8">
        <v>16.32</v>
      </c>
      <c r="Z261" s="8">
        <v>15.07</v>
      </c>
      <c r="AA261" s="8">
        <v>14.46</v>
      </c>
      <c r="AB261" s="8">
        <v>15.63</v>
      </c>
      <c r="AC261" s="8">
        <v>15.7</v>
      </c>
      <c r="AD261" s="8">
        <v>14.29</v>
      </c>
      <c r="AE261" s="8">
        <v>16.27</v>
      </c>
      <c r="AF261" s="8">
        <v>15.78</v>
      </c>
      <c r="AG261" s="8">
        <v>14.88</v>
      </c>
      <c r="AH261" s="8">
        <v>14.58</v>
      </c>
      <c r="AI261" s="8">
        <v>14.82</v>
      </c>
      <c r="AJ261" s="8">
        <v>16.54</v>
      </c>
      <c r="AK261" s="8">
        <v>15.56</v>
      </c>
      <c r="AL261" s="8">
        <v>15.38</v>
      </c>
      <c r="AM261" s="8">
        <v>15.98</v>
      </c>
      <c r="AN261" s="8">
        <v>15.53</v>
      </c>
      <c r="AO261" s="8">
        <v>15.11</v>
      </c>
      <c r="AP261" s="8">
        <v>14.78</v>
      </c>
      <c r="AQ261" s="8">
        <v>13.98</v>
      </c>
      <c r="AR261" s="8">
        <v>15.29</v>
      </c>
      <c r="AS261" s="8">
        <v>16.25</v>
      </c>
      <c r="AT261" s="8">
        <v>15.44</v>
      </c>
      <c r="AU261" s="6">
        <v>15.18</v>
      </c>
      <c r="AV261" s="6">
        <v>14.92</v>
      </c>
      <c r="AW261" s="6">
        <v>16.399999999999999</v>
      </c>
      <c r="AX261" s="6">
        <v>16.309999999999999</v>
      </c>
      <c r="AY261" s="6">
        <v>16.04</v>
      </c>
      <c r="AZ261" s="6">
        <v>16.260000000000002</v>
      </c>
      <c r="BA261" s="6">
        <v>15.39</v>
      </c>
      <c r="BB261" s="6">
        <v>16.04</v>
      </c>
      <c r="BC261" s="11">
        <v>15.86</v>
      </c>
      <c r="BD261" s="6">
        <v>13.36</v>
      </c>
      <c r="BE261" s="6">
        <v>15.42</v>
      </c>
      <c r="BF261" s="6">
        <v>13.3</v>
      </c>
      <c r="BG261" s="6">
        <v>14.84</v>
      </c>
      <c r="BH261" s="6">
        <v>16.12</v>
      </c>
      <c r="BI261" s="6">
        <v>15.3</v>
      </c>
      <c r="BJ261" s="6">
        <v>15.3</v>
      </c>
      <c r="BK261" s="6">
        <v>16.62</v>
      </c>
      <c r="BL261" s="6">
        <v>14.96</v>
      </c>
      <c r="BM261" s="6">
        <v>16.18</v>
      </c>
      <c r="BN261" s="6">
        <v>13.5</v>
      </c>
      <c r="BO261" s="6">
        <v>16.12</v>
      </c>
      <c r="BP261" s="6">
        <v>15.2</v>
      </c>
      <c r="BQ261" s="6">
        <v>15.2</v>
      </c>
      <c r="BR261" s="6">
        <v>13.78</v>
      </c>
      <c r="BS261" s="6">
        <v>15.84</v>
      </c>
      <c r="BT261" s="6">
        <v>16</v>
      </c>
      <c r="BU261" s="6">
        <v>15.94</v>
      </c>
      <c r="BV261" s="6">
        <v>14.16</v>
      </c>
      <c r="BW261" s="6">
        <v>15.74</v>
      </c>
      <c r="BX261" s="6">
        <v>15.7</v>
      </c>
      <c r="BY261" s="6">
        <v>14.87</v>
      </c>
      <c r="BZ261" s="6">
        <v>13.58</v>
      </c>
      <c r="CA261" s="6">
        <v>15.82</v>
      </c>
      <c r="CB261" s="6">
        <v>14.98</v>
      </c>
      <c r="CC261" s="6">
        <v>16.14</v>
      </c>
      <c r="CD261" s="6">
        <v>15.1</v>
      </c>
      <c r="CE261" s="6">
        <v>15.44</v>
      </c>
      <c r="CF261" s="6">
        <v>15.5</v>
      </c>
      <c r="CG261" s="6">
        <v>16.100000000000001</v>
      </c>
      <c r="CH261" s="6">
        <v>15.46</v>
      </c>
      <c r="CI261" s="6">
        <v>17.920000000000002</v>
      </c>
      <c r="CJ261" s="11">
        <v>15.94</v>
      </c>
      <c r="CK261" s="6">
        <v>13.3</v>
      </c>
      <c r="CL261" s="6">
        <v>16.059999999999999</v>
      </c>
      <c r="CM261" s="6">
        <v>16.52</v>
      </c>
      <c r="CN261" s="6">
        <v>13.51</v>
      </c>
      <c r="CO261" s="10">
        <v>14.04</v>
      </c>
      <c r="CP261" s="10"/>
    </row>
    <row r="262" spans="1:94" ht="15.75" customHeight="1" x14ac:dyDescent="0.25">
      <c r="A262" s="4">
        <v>261</v>
      </c>
      <c r="B262" s="4"/>
      <c r="C262" s="4">
        <v>17</v>
      </c>
      <c r="D262" s="8">
        <v>14.93</v>
      </c>
      <c r="E262" s="8">
        <v>13.72</v>
      </c>
      <c r="F262" s="8">
        <v>14.98</v>
      </c>
      <c r="G262" s="8">
        <v>15.83</v>
      </c>
      <c r="H262" s="8">
        <v>14.02</v>
      </c>
      <c r="I262" s="8">
        <v>14.4</v>
      </c>
      <c r="J262" s="8">
        <v>14.8</v>
      </c>
      <c r="K262" s="8">
        <v>15.22</v>
      </c>
      <c r="L262" s="8">
        <v>16.78</v>
      </c>
      <c r="M262" s="8">
        <v>16.059999999999999</v>
      </c>
      <c r="N262" s="8">
        <v>16.239999999999998</v>
      </c>
      <c r="O262" s="8">
        <v>16.95</v>
      </c>
      <c r="P262" s="8">
        <v>15.29</v>
      </c>
      <c r="Q262" s="8">
        <v>14.65</v>
      </c>
      <c r="R262" s="8">
        <v>16.36</v>
      </c>
      <c r="S262" s="8">
        <v>15.41</v>
      </c>
      <c r="T262" s="8">
        <v>16.78</v>
      </c>
      <c r="U262" s="8">
        <v>15.76</v>
      </c>
      <c r="V262" s="8">
        <v>15.88</v>
      </c>
      <c r="W262" s="8">
        <v>16.46</v>
      </c>
      <c r="X262" s="8">
        <v>14.07</v>
      </c>
      <c r="Y262" s="8">
        <v>16.260000000000002</v>
      </c>
      <c r="Z262" s="8">
        <v>14.99</v>
      </c>
      <c r="AA262" s="8">
        <v>14.38</v>
      </c>
      <c r="AB262" s="8">
        <v>15.57</v>
      </c>
      <c r="AC262" s="8">
        <v>15.68</v>
      </c>
      <c r="AD262" s="8">
        <v>14.24</v>
      </c>
      <c r="AE262" s="8">
        <v>16.25</v>
      </c>
      <c r="AF262" s="8">
        <v>15.73</v>
      </c>
      <c r="AG262" s="8">
        <v>14.88</v>
      </c>
      <c r="AH262" s="8">
        <v>14.55</v>
      </c>
      <c r="AI262" s="8">
        <v>14.81</v>
      </c>
      <c r="AJ262" s="8">
        <v>16.489999999999998</v>
      </c>
      <c r="AK262" s="8">
        <v>15.6</v>
      </c>
      <c r="AL262" s="8">
        <v>15.41</v>
      </c>
      <c r="AM262" s="8">
        <v>15.93</v>
      </c>
      <c r="AN262" s="8">
        <v>15.49</v>
      </c>
      <c r="AO262" s="8">
        <v>15.06</v>
      </c>
      <c r="AP262" s="8">
        <v>14.81</v>
      </c>
      <c r="AQ262" s="8">
        <v>13.93</v>
      </c>
      <c r="AR262" s="8">
        <v>15.25</v>
      </c>
      <c r="AS262" s="8">
        <v>16.12</v>
      </c>
      <c r="AT262" s="8">
        <v>15.4</v>
      </c>
      <c r="AU262" s="6">
        <v>15.07</v>
      </c>
      <c r="AV262" s="6">
        <v>14.9</v>
      </c>
      <c r="AW262" s="6">
        <v>16.37</v>
      </c>
      <c r="AX262" s="6">
        <v>16.27</v>
      </c>
      <c r="AY262" s="6">
        <v>16</v>
      </c>
      <c r="AZ262" s="6">
        <v>16.2</v>
      </c>
      <c r="BA262" s="6">
        <v>15.35</v>
      </c>
      <c r="BB262" s="6">
        <v>16</v>
      </c>
      <c r="BC262" s="11">
        <v>15.82</v>
      </c>
      <c r="BD262" s="6">
        <v>13.24</v>
      </c>
      <c r="BE262" s="6">
        <v>15.38</v>
      </c>
      <c r="BF262" s="6">
        <v>13.18</v>
      </c>
      <c r="BG262" s="6">
        <v>14.77</v>
      </c>
      <c r="BH262" s="6">
        <v>16.07</v>
      </c>
      <c r="BI262" s="6">
        <v>15.22</v>
      </c>
      <c r="BJ262" s="6">
        <v>15.32</v>
      </c>
      <c r="BK262" s="6">
        <v>16.57</v>
      </c>
      <c r="BL262" s="6">
        <v>14.75</v>
      </c>
      <c r="BM262" s="6">
        <v>16.16</v>
      </c>
      <c r="BN262" s="6">
        <v>13.38</v>
      </c>
      <c r="BO262" s="6">
        <v>16.2</v>
      </c>
      <c r="BP262" s="6">
        <v>15.1</v>
      </c>
      <c r="BQ262" s="6">
        <v>15.18</v>
      </c>
      <c r="BR262" s="6">
        <v>13.74</v>
      </c>
      <c r="BS262" s="6">
        <v>15.79</v>
      </c>
      <c r="BT262" s="6">
        <v>15.94</v>
      </c>
      <c r="BU262" s="6">
        <v>15.9</v>
      </c>
      <c r="BV262" s="6">
        <v>14.14</v>
      </c>
      <c r="BW262" s="6">
        <v>15.64</v>
      </c>
      <c r="BX262" s="6">
        <v>15.66</v>
      </c>
      <c r="BY262" s="6">
        <v>14.85</v>
      </c>
      <c r="BZ262" s="6">
        <v>13.58</v>
      </c>
      <c r="CA262" s="6">
        <v>15.74</v>
      </c>
      <c r="CB262" s="6">
        <v>14.88</v>
      </c>
      <c r="CC262" s="6">
        <v>16.100000000000001</v>
      </c>
      <c r="CD262" s="6">
        <v>15.02</v>
      </c>
      <c r="CE262" s="6">
        <v>15.4</v>
      </c>
      <c r="CF262" s="6">
        <v>15.44</v>
      </c>
      <c r="CG262" s="6">
        <v>16.100000000000001</v>
      </c>
      <c r="CH262" s="6">
        <v>15.28</v>
      </c>
      <c r="CI262" s="6">
        <v>17.82</v>
      </c>
      <c r="CJ262" s="11">
        <v>15.92</v>
      </c>
      <c r="CK262" s="6">
        <v>13.12</v>
      </c>
      <c r="CL262" s="6">
        <v>15.96</v>
      </c>
      <c r="CM262" s="6">
        <v>16.48</v>
      </c>
      <c r="CN262" s="6">
        <v>13.36</v>
      </c>
      <c r="CO262" s="10">
        <v>13.93</v>
      </c>
      <c r="CP262" s="10"/>
    </row>
    <row r="263" spans="1:94" ht="15.75" customHeight="1" x14ac:dyDescent="0.25">
      <c r="A263" s="4">
        <v>262</v>
      </c>
      <c r="B263" s="4"/>
      <c r="C263" s="4">
        <v>18</v>
      </c>
      <c r="D263" s="8">
        <v>14.88</v>
      </c>
      <c r="E263" s="8">
        <v>13.62</v>
      </c>
      <c r="F263" s="8">
        <v>14.93</v>
      </c>
      <c r="G263" s="8">
        <v>15.73</v>
      </c>
      <c r="H263" s="8">
        <v>13.98</v>
      </c>
      <c r="I263" s="8">
        <v>14.33</v>
      </c>
      <c r="J263" s="8">
        <v>14.74</v>
      </c>
      <c r="K263" s="8">
        <v>15.16</v>
      </c>
      <c r="L263" s="8">
        <v>16.7</v>
      </c>
      <c r="M263" s="8">
        <v>16.079999999999998</v>
      </c>
      <c r="N263" s="8">
        <v>16.12</v>
      </c>
      <c r="O263" s="8">
        <v>16.87</v>
      </c>
      <c r="P263" s="8">
        <v>15.3</v>
      </c>
      <c r="Q263" s="8">
        <v>14.6</v>
      </c>
      <c r="R263" s="8">
        <v>16.329999999999998</v>
      </c>
      <c r="S263" s="8">
        <v>15.26</v>
      </c>
      <c r="T263" s="8">
        <v>16.66</v>
      </c>
      <c r="U263" s="8">
        <v>15.71</v>
      </c>
      <c r="V263" s="8">
        <v>15.81</v>
      </c>
      <c r="W263" s="8">
        <v>16.41</v>
      </c>
      <c r="X263" s="8">
        <v>13.87</v>
      </c>
      <c r="Y263" s="8">
        <v>16.2</v>
      </c>
      <c r="Z263" s="8">
        <v>14.91</v>
      </c>
      <c r="AA263" s="8">
        <v>14.3</v>
      </c>
      <c r="AB263" s="8">
        <v>15.55</v>
      </c>
      <c r="AC263" s="8">
        <v>15.65</v>
      </c>
      <c r="AD263" s="8">
        <v>14.17</v>
      </c>
      <c r="AE263" s="8">
        <v>16.2</v>
      </c>
      <c r="AF263" s="8">
        <v>15.69</v>
      </c>
      <c r="AG263" s="8">
        <v>14.88</v>
      </c>
      <c r="AH263" s="8">
        <v>14.53</v>
      </c>
      <c r="AI263" s="8">
        <v>14.86</v>
      </c>
      <c r="AJ263" s="8">
        <v>16.420000000000002</v>
      </c>
      <c r="AK263" s="8">
        <v>15.61</v>
      </c>
      <c r="AL263" s="8">
        <v>15.41</v>
      </c>
      <c r="AM263" s="8">
        <v>15.92</v>
      </c>
      <c r="AN263" s="8">
        <v>15.48</v>
      </c>
      <c r="AO263" s="8">
        <v>14.99</v>
      </c>
      <c r="AP263" s="8">
        <v>14.86</v>
      </c>
      <c r="AQ263" s="8">
        <v>13.89</v>
      </c>
      <c r="AR263" s="8">
        <v>15.21</v>
      </c>
      <c r="AS263" s="8">
        <v>16.010000000000002</v>
      </c>
      <c r="AT263" s="8">
        <v>15.35</v>
      </c>
      <c r="AU263" s="6">
        <v>14.97</v>
      </c>
      <c r="AV263" s="6">
        <v>14.89</v>
      </c>
      <c r="AW263" s="6">
        <v>16.34</v>
      </c>
      <c r="AX263" s="6">
        <v>16.25</v>
      </c>
      <c r="AY263" s="6">
        <v>15.93</v>
      </c>
      <c r="AZ263" s="6">
        <v>16.149999999999999</v>
      </c>
      <c r="BA263" s="6">
        <v>15.3</v>
      </c>
      <c r="BB263" s="6">
        <v>15.94</v>
      </c>
      <c r="BC263" s="11">
        <v>15.76</v>
      </c>
      <c r="BD263" s="6">
        <v>13.13</v>
      </c>
      <c r="BE263" s="6">
        <v>15.35</v>
      </c>
      <c r="BF263" s="6">
        <v>13.1</v>
      </c>
      <c r="BG263" s="6">
        <v>14.69</v>
      </c>
      <c r="BH263" s="6">
        <v>16.04</v>
      </c>
      <c r="BI263" s="6">
        <v>15.15</v>
      </c>
      <c r="BJ263" s="6">
        <v>15.31</v>
      </c>
      <c r="BK263" s="6">
        <v>16.52</v>
      </c>
      <c r="BL263" s="6">
        <v>14.6</v>
      </c>
      <c r="BM263" s="6">
        <v>16.16</v>
      </c>
      <c r="BN263" s="6">
        <v>13.27</v>
      </c>
      <c r="BO263" s="6">
        <v>16.25</v>
      </c>
      <c r="BP263" s="6">
        <v>15.05</v>
      </c>
      <c r="BQ263" s="6">
        <v>15.12</v>
      </c>
      <c r="BR263" s="6">
        <v>13.68</v>
      </c>
      <c r="BS263" s="6">
        <v>15.75</v>
      </c>
      <c r="BT263" s="6">
        <v>15.9</v>
      </c>
      <c r="BU263" s="6">
        <v>15.88</v>
      </c>
      <c r="BV263" s="6">
        <v>14.12</v>
      </c>
      <c r="BW263" s="6">
        <v>15.56</v>
      </c>
      <c r="BX263" s="6">
        <v>15.6</v>
      </c>
      <c r="BY263" s="6">
        <v>14.78</v>
      </c>
      <c r="BZ263" s="6">
        <v>13.56</v>
      </c>
      <c r="CA263" s="6">
        <v>15.7</v>
      </c>
      <c r="CB263" s="6">
        <v>14.78</v>
      </c>
      <c r="CC263" s="6">
        <v>16.079999999999998</v>
      </c>
      <c r="CD263" s="6">
        <v>14.94</v>
      </c>
      <c r="CE263" s="6">
        <v>15.4</v>
      </c>
      <c r="CF263" s="6">
        <v>15.4</v>
      </c>
      <c r="CG263" s="6">
        <v>16.100000000000001</v>
      </c>
      <c r="CH263" s="6">
        <v>15.12</v>
      </c>
      <c r="CI263" s="11">
        <v>17.72</v>
      </c>
      <c r="CJ263" s="11">
        <v>15.88</v>
      </c>
      <c r="CK263" s="6">
        <v>12.9</v>
      </c>
      <c r="CL263" s="6">
        <v>15.88</v>
      </c>
      <c r="CM263" s="6">
        <v>16.440000000000001</v>
      </c>
      <c r="CN263" s="6">
        <v>13.18</v>
      </c>
      <c r="CO263" s="10">
        <v>13.82</v>
      </c>
      <c r="CP263" s="10"/>
    </row>
    <row r="264" spans="1:94" ht="15.75" customHeight="1" x14ac:dyDescent="0.25">
      <c r="A264" s="4">
        <v>263</v>
      </c>
      <c r="B264" s="4"/>
      <c r="C264" s="4">
        <v>19</v>
      </c>
      <c r="D264" s="8">
        <v>14.83</v>
      </c>
      <c r="E264" s="8">
        <v>13.53</v>
      </c>
      <c r="F264" s="8">
        <v>14.83</v>
      </c>
      <c r="G264" s="8">
        <v>15.58</v>
      </c>
      <c r="H264" s="8">
        <v>13.96</v>
      </c>
      <c r="I264" s="8">
        <v>14.23</v>
      </c>
      <c r="J264" s="8">
        <v>14.68</v>
      </c>
      <c r="K264" s="8">
        <v>15.1</v>
      </c>
      <c r="L264" s="8">
        <v>16.64</v>
      </c>
      <c r="M264" s="8">
        <v>16.09</v>
      </c>
      <c r="N264" s="8">
        <v>16.03</v>
      </c>
      <c r="O264" s="8">
        <v>16.87</v>
      </c>
      <c r="P264" s="8">
        <v>15.33</v>
      </c>
      <c r="Q264" s="8">
        <v>14.54</v>
      </c>
      <c r="R264" s="8">
        <v>16.260000000000002</v>
      </c>
      <c r="S264" s="8">
        <v>15.12</v>
      </c>
      <c r="T264" s="8">
        <v>16.579999999999998</v>
      </c>
      <c r="U264" s="8">
        <v>15.66</v>
      </c>
      <c r="V264" s="8">
        <v>15.74</v>
      </c>
      <c r="W264" s="8">
        <v>16.37</v>
      </c>
      <c r="X264" s="8">
        <v>13.79</v>
      </c>
      <c r="Y264" s="8">
        <v>16.149999999999999</v>
      </c>
      <c r="Z264" s="8">
        <v>14.85</v>
      </c>
      <c r="AA264" s="8">
        <v>14.18</v>
      </c>
      <c r="AB264" s="8">
        <v>15.53</v>
      </c>
      <c r="AC264" s="8">
        <v>15.65</v>
      </c>
      <c r="AD264" s="8">
        <v>14.1</v>
      </c>
      <c r="AE264" s="8">
        <v>16.149999999999999</v>
      </c>
      <c r="AF264" s="8">
        <v>15.67</v>
      </c>
      <c r="AG264" s="8">
        <v>14.88</v>
      </c>
      <c r="AH264" s="8">
        <v>14.48</v>
      </c>
      <c r="AI264" s="8">
        <v>14.89</v>
      </c>
      <c r="AJ264" s="8">
        <v>16.350000000000001</v>
      </c>
      <c r="AK264" s="8">
        <v>15.64</v>
      </c>
      <c r="AL264" s="8">
        <v>15.38</v>
      </c>
      <c r="AM264" s="8">
        <v>15.89</v>
      </c>
      <c r="AN264" s="8">
        <v>15.48</v>
      </c>
      <c r="AO264" s="8">
        <v>14.91</v>
      </c>
      <c r="AP264" s="8">
        <v>14.89</v>
      </c>
      <c r="AQ264" s="8">
        <v>13.86</v>
      </c>
      <c r="AR264" s="8">
        <v>15.17</v>
      </c>
      <c r="AS264" s="8">
        <v>15.91</v>
      </c>
      <c r="AT264" s="8">
        <v>15.3</v>
      </c>
      <c r="AU264" s="6">
        <v>14.88</v>
      </c>
      <c r="AV264" s="6">
        <v>14.82</v>
      </c>
      <c r="AW264" s="6">
        <v>16.29</v>
      </c>
      <c r="AX264" s="6">
        <v>16.25</v>
      </c>
      <c r="AY264" s="6">
        <v>15.86</v>
      </c>
      <c r="AZ264" s="6">
        <v>16.13</v>
      </c>
      <c r="BA264" s="6">
        <v>15.25</v>
      </c>
      <c r="BB264" s="6">
        <v>15.89</v>
      </c>
      <c r="BC264" s="11">
        <v>15.67</v>
      </c>
      <c r="BD264" s="6">
        <v>13.02</v>
      </c>
      <c r="BE264" s="6">
        <v>15.32</v>
      </c>
      <c r="BF264" s="6">
        <v>12.97</v>
      </c>
      <c r="BG264" s="6">
        <v>14.68</v>
      </c>
      <c r="BH264" s="6">
        <v>16.03</v>
      </c>
      <c r="BI264" s="6">
        <v>15.08</v>
      </c>
      <c r="BJ264" s="6">
        <v>15.32</v>
      </c>
      <c r="BK264" s="6">
        <v>16.440000000000001</v>
      </c>
      <c r="BL264" s="6">
        <v>14.46</v>
      </c>
      <c r="BM264" s="6">
        <v>16.16</v>
      </c>
      <c r="BN264" s="6">
        <v>13.16</v>
      </c>
      <c r="BO264" s="6">
        <v>16.260000000000002</v>
      </c>
      <c r="BP264" s="6">
        <v>15</v>
      </c>
      <c r="BQ264" s="6">
        <v>15.08</v>
      </c>
      <c r="BR264" s="6">
        <v>13.6</v>
      </c>
      <c r="BS264" s="6">
        <v>15.68</v>
      </c>
      <c r="BT264" s="6">
        <v>15.9</v>
      </c>
      <c r="BU264" s="6">
        <v>15.84</v>
      </c>
      <c r="BV264" s="6">
        <v>14.04</v>
      </c>
      <c r="BW264" s="6">
        <v>15.48</v>
      </c>
      <c r="BX264" s="6">
        <v>15.52</v>
      </c>
      <c r="BY264" s="6">
        <v>14.72</v>
      </c>
      <c r="BZ264" s="6">
        <v>13.56</v>
      </c>
      <c r="CA264" s="6">
        <v>15.64</v>
      </c>
      <c r="CB264" s="6">
        <v>14.64</v>
      </c>
      <c r="CC264" s="6">
        <v>16.02</v>
      </c>
      <c r="CD264" s="6">
        <v>14.86</v>
      </c>
      <c r="CE264" s="6">
        <v>15.35</v>
      </c>
      <c r="CF264" s="6">
        <v>15.37</v>
      </c>
      <c r="CG264" s="6">
        <v>16.079999999999998</v>
      </c>
      <c r="CH264" s="6">
        <v>14.96</v>
      </c>
      <c r="CI264" s="6">
        <v>17.66</v>
      </c>
      <c r="CJ264" s="11">
        <v>15.84</v>
      </c>
      <c r="CK264" s="6">
        <v>12.74</v>
      </c>
      <c r="CL264" s="6">
        <v>15.82</v>
      </c>
      <c r="CM264" s="6">
        <v>16.38</v>
      </c>
      <c r="CN264" s="6">
        <v>13.01</v>
      </c>
      <c r="CO264" s="10">
        <v>13.76</v>
      </c>
      <c r="CP264" s="10"/>
    </row>
    <row r="265" spans="1:94" ht="15.75" customHeight="1" x14ac:dyDescent="0.25">
      <c r="A265" s="4">
        <v>264</v>
      </c>
      <c r="B265" s="4"/>
      <c r="C265" s="4">
        <v>20</v>
      </c>
      <c r="D265" s="8">
        <v>14.73</v>
      </c>
      <c r="E265" s="8">
        <v>13.48</v>
      </c>
      <c r="F265" s="8">
        <v>14.73</v>
      </c>
      <c r="G265" s="8">
        <v>15.43</v>
      </c>
      <c r="H265" s="8">
        <v>13.92</v>
      </c>
      <c r="I265" s="8">
        <v>14.13</v>
      </c>
      <c r="J265" s="8">
        <v>14.61</v>
      </c>
      <c r="K265" s="8">
        <v>15.03</v>
      </c>
      <c r="L265" s="8">
        <v>16.579999999999998</v>
      </c>
      <c r="M265" s="8">
        <v>16.11</v>
      </c>
      <c r="N265" s="8">
        <v>15.92</v>
      </c>
      <c r="O265" s="8">
        <v>16.79</v>
      </c>
      <c r="P265" s="8">
        <v>15.36</v>
      </c>
      <c r="Q265" s="8">
        <v>14.48</v>
      </c>
      <c r="R265" s="8">
        <v>16.190000000000001</v>
      </c>
      <c r="S265" s="8">
        <v>15.01</v>
      </c>
      <c r="T265" s="8">
        <v>16.489999999999998</v>
      </c>
      <c r="U265" s="8">
        <v>15.63</v>
      </c>
      <c r="V265" s="8">
        <v>15.68</v>
      </c>
      <c r="W265" s="8">
        <v>16.350000000000001</v>
      </c>
      <c r="X265" s="8">
        <v>13.71</v>
      </c>
      <c r="Y265" s="8">
        <v>16.09</v>
      </c>
      <c r="Z265" s="8">
        <v>14.77</v>
      </c>
      <c r="AA265" s="8">
        <v>14.06</v>
      </c>
      <c r="AB265" s="8">
        <v>15.49</v>
      </c>
      <c r="AC265" s="8">
        <v>15.61</v>
      </c>
      <c r="AD265" s="8">
        <v>14.05</v>
      </c>
      <c r="AE265" s="8">
        <v>16.04</v>
      </c>
      <c r="AF265" s="8">
        <v>15.65</v>
      </c>
      <c r="AG265" s="8">
        <v>14.88</v>
      </c>
      <c r="AH265" s="8">
        <v>14.43</v>
      </c>
      <c r="AI265" s="8">
        <v>14.89</v>
      </c>
      <c r="AJ265" s="8">
        <v>16.27</v>
      </c>
      <c r="AK265" s="8">
        <v>15.66</v>
      </c>
      <c r="AL265" s="8">
        <v>15.34</v>
      </c>
      <c r="AM265" s="8">
        <v>15.84</v>
      </c>
      <c r="AN265" s="8">
        <v>15.46</v>
      </c>
      <c r="AO265" s="8">
        <v>14.83</v>
      </c>
      <c r="AP265" s="8">
        <v>14.9</v>
      </c>
      <c r="AQ265" s="8">
        <v>13.84</v>
      </c>
      <c r="AR265" s="8">
        <v>15.15</v>
      </c>
      <c r="AS265" s="8">
        <v>15.75</v>
      </c>
      <c r="AT265" s="8">
        <v>15.23</v>
      </c>
      <c r="AU265" s="6">
        <v>14.77</v>
      </c>
      <c r="AV265" s="6">
        <v>14.77</v>
      </c>
      <c r="AW265" s="6">
        <v>16.22</v>
      </c>
      <c r="AX265" s="6">
        <v>16.25</v>
      </c>
      <c r="AY265" s="6">
        <v>15.8</v>
      </c>
      <c r="AZ265" s="6">
        <v>16.09</v>
      </c>
      <c r="BA265" s="6">
        <v>15.18</v>
      </c>
      <c r="BB265" s="6">
        <v>15.85</v>
      </c>
      <c r="BC265" s="11">
        <v>15.58</v>
      </c>
      <c r="BD265" s="6">
        <v>12.9</v>
      </c>
      <c r="BE265" s="6">
        <v>15.28</v>
      </c>
      <c r="BF265" s="6">
        <v>12.85</v>
      </c>
      <c r="BG265" s="6">
        <v>14.61</v>
      </c>
      <c r="BH265" s="6">
        <v>16.010000000000002</v>
      </c>
      <c r="BI265" s="6">
        <v>15.06</v>
      </c>
      <c r="BJ265" s="6">
        <v>15.34</v>
      </c>
      <c r="BK265" s="6">
        <v>16.36</v>
      </c>
      <c r="BL265" s="6">
        <v>14.31</v>
      </c>
      <c r="BM265" s="6">
        <v>16.170000000000002</v>
      </c>
      <c r="BN265" s="6">
        <v>13.02</v>
      </c>
      <c r="BO265" s="6">
        <v>16.239999999999998</v>
      </c>
      <c r="BP265" s="6">
        <v>14.9</v>
      </c>
      <c r="BQ265" s="6">
        <v>15.02</v>
      </c>
      <c r="BR265" s="6">
        <v>13.54</v>
      </c>
      <c r="BS265" s="6">
        <v>15.66</v>
      </c>
      <c r="BT265" s="6">
        <v>15.9</v>
      </c>
      <c r="BU265" s="6">
        <v>15.8</v>
      </c>
      <c r="BV265" s="6">
        <v>14</v>
      </c>
      <c r="BW265" s="6">
        <v>15.4</v>
      </c>
      <c r="BX265" s="6">
        <v>15.46</v>
      </c>
      <c r="BY265" s="6">
        <v>14.72</v>
      </c>
      <c r="BZ265" s="6">
        <v>13.56</v>
      </c>
      <c r="CA265" s="6">
        <v>15.56</v>
      </c>
      <c r="CB265" s="6">
        <v>14.52</v>
      </c>
      <c r="CC265" s="6">
        <v>15.92</v>
      </c>
      <c r="CD265" s="6">
        <v>14.8</v>
      </c>
      <c r="CE265" s="6">
        <v>15.3</v>
      </c>
      <c r="CF265" s="6">
        <v>15.28</v>
      </c>
      <c r="CG265" s="6">
        <v>16</v>
      </c>
      <c r="CH265" s="6">
        <v>14.84</v>
      </c>
      <c r="CI265" s="6">
        <v>17.559999999999999</v>
      </c>
      <c r="CJ265" s="11">
        <v>15.78</v>
      </c>
      <c r="CK265" s="6">
        <v>12.7</v>
      </c>
      <c r="CL265" s="6">
        <v>15.76</v>
      </c>
      <c r="CM265" s="6">
        <v>16.28</v>
      </c>
      <c r="CN265" s="6">
        <v>12.83</v>
      </c>
      <c r="CO265" s="10">
        <v>13.66</v>
      </c>
      <c r="CP265" s="10"/>
    </row>
    <row r="266" spans="1:94" ht="15.75" customHeight="1" x14ac:dyDescent="0.25">
      <c r="A266" s="4">
        <v>265</v>
      </c>
      <c r="B266" s="4"/>
      <c r="C266" s="4">
        <v>21</v>
      </c>
      <c r="D266" s="8">
        <v>14.68</v>
      </c>
      <c r="E266" s="8">
        <v>13.38</v>
      </c>
      <c r="F266" s="8">
        <v>14.58</v>
      </c>
      <c r="G266" s="8">
        <v>15.28</v>
      </c>
      <c r="H266" s="8">
        <v>13.88</v>
      </c>
      <c r="I266" s="8">
        <v>14.03</v>
      </c>
      <c r="J266" s="8">
        <v>14.58</v>
      </c>
      <c r="K266" s="8">
        <v>14.94</v>
      </c>
      <c r="L266" s="8">
        <v>16.48</v>
      </c>
      <c r="M266" s="8">
        <v>16.07</v>
      </c>
      <c r="N266" s="8">
        <v>15.8</v>
      </c>
      <c r="O266" s="8">
        <v>16.760000000000002</v>
      </c>
      <c r="P266" s="8">
        <v>15.37</v>
      </c>
      <c r="Q266" s="8">
        <v>14.41</v>
      </c>
      <c r="R266" s="8">
        <v>16.11</v>
      </c>
      <c r="S266" s="8">
        <v>14.91</v>
      </c>
      <c r="T266" s="8">
        <v>16.45</v>
      </c>
      <c r="U266" s="8">
        <v>15.66</v>
      </c>
      <c r="V266" s="8">
        <v>15.61</v>
      </c>
      <c r="W266" s="8">
        <v>16.29</v>
      </c>
      <c r="X266" s="8">
        <v>13.63</v>
      </c>
      <c r="Y266" s="8">
        <v>15.99</v>
      </c>
      <c r="Z266" s="8">
        <v>14.71</v>
      </c>
      <c r="AA266" s="8">
        <v>13.92</v>
      </c>
      <c r="AB266" s="8">
        <v>15.45</v>
      </c>
      <c r="AC266" s="8">
        <v>15.57</v>
      </c>
      <c r="AD266" s="8">
        <v>13.99</v>
      </c>
      <c r="AE266" s="8">
        <v>15.97</v>
      </c>
      <c r="AF266" s="8">
        <v>15.59</v>
      </c>
      <c r="AG266" s="8">
        <v>14.88</v>
      </c>
      <c r="AH266" s="8">
        <v>14.37</v>
      </c>
      <c r="AI266" s="8">
        <v>14.86</v>
      </c>
      <c r="AJ266" s="8">
        <v>16.18</v>
      </c>
      <c r="AK266" s="8">
        <v>15.66</v>
      </c>
      <c r="AL266" s="8">
        <v>15.27</v>
      </c>
      <c r="AM266" s="8">
        <v>15.78</v>
      </c>
      <c r="AN266" s="8">
        <v>15.45</v>
      </c>
      <c r="AO266" s="8">
        <v>14.75</v>
      </c>
      <c r="AP266" s="8">
        <v>14.91</v>
      </c>
      <c r="AQ266" s="8">
        <v>13.81</v>
      </c>
      <c r="AR266" s="8">
        <v>15.18</v>
      </c>
      <c r="AS266" s="8">
        <v>15.63</v>
      </c>
      <c r="AT266" s="8">
        <v>15.17</v>
      </c>
      <c r="AU266" s="6">
        <v>14.65</v>
      </c>
      <c r="AV266" s="6">
        <v>14.78</v>
      </c>
      <c r="AW266" s="6">
        <v>16.170000000000002</v>
      </c>
      <c r="AX266" s="6">
        <v>16.25</v>
      </c>
      <c r="AY266" s="6">
        <v>15.72</v>
      </c>
      <c r="AZ266" s="6">
        <v>16.05</v>
      </c>
      <c r="BA266" s="6">
        <v>15.14</v>
      </c>
      <c r="BB266" s="6">
        <v>15.78</v>
      </c>
      <c r="BC266" s="11">
        <v>15.48</v>
      </c>
      <c r="BD266" s="6">
        <v>12.78</v>
      </c>
      <c r="BE266" s="6">
        <v>15.23</v>
      </c>
      <c r="BF266" s="6">
        <v>12.76</v>
      </c>
      <c r="BG266" s="6">
        <v>14.55</v>
      </c>
      <c r="BH266" s="6">
        <v>16</v>
      </c>
      <c r="BI266" s="6">
        <v>15.04</v>
      </c>
      <c r="BJ266" s="6">
        <v>15.34</v>
      </c>
      <c r="BK266" s="6">
        <v>16.29</v>
      </c>
      <c r="BL266" s="6">
        <v>14.16</v>
      </c>
      <c r="BM266" s="6">
        <v>16.16</v>
      </c>
      <c r="BN266" s="6">
        <v>12.9</v>
      </c>
      <c r="BO266" s="6">
        <v>16.2</v>
      </c>
      <c r="BP266" s="6">
        <v>14.74</v>
      </c>
      <c r="BQ266" s="6">
        <v>15.02</v>
      </c>
      <c r="BR266" s="6">
        <v>13.46</v>
      </c>
      <c r="BS266" s="6">
        <v>15.6</v>
      </c>
      <c r="BT266" s="6">
        <v>15.84</v>
      </c>
      <c r="BU266" s="6">
        <v>15.77</v>
      </c>
      <c r="BV266" s="6">
        <v>13.98</v>
      </c>
      <c r="BW266" s="6">
        <v>15.34</v>
      </c>
      <c r="BX266" s="6">
        <v>15.4</v>
      </c>
      <c r="BY266" s="6">
        <v>14.69</v>
      </c>
      <c r="BZ266" s="6">
        <v>13.54</v>
      </c>
      <c r="CA266" s="6">
        <v>15.44</v>
      </c>
      <c r="CB266" s="6">
        <v>14.46</v>
      </c>
      <c r="CC266" s="6">
        <v>15.82</v>
      </c>
      <c r="CD266" s="6">
        <v>14.71</v>
      </c>
      <c r="CE266" s="6">
        <v>15.22</v>
      </c>
      <c r="CF266" s="6">
        <v>15.2</v>
      </c>
      <c r="CG266" s="6">
        <v>15.98</v>
      </c>
      <c r="CH266" s="6">
        <v>14.74</v>
      </c>
      <c r="CI266" s="6">
        <v>17.5</v>
      </c>
      <c r="CJ266" s="11">
        <v>15.72</v>
      </c>
      <c r="CK266" s="6">
        <v>12.62</v>
      </c>
      <c r="CL266" s="6">
        <v>15.68</v>
      </c>
      <c r="CM266" s="6">
        <v>16.2</v>
      </c>
      <c r="CN266" s="6">
        <v>12.66</v>
      </c>
      <c r="CO266" s="10">
        <v>13.51</v>
      </c>
      <c r="CP266" s="10"/>
    </row>
    <row r="267" spans="1:94" ht="15.75" customHeight="1" x14ac:dyDescent="0.25">
      <c r="A267" s="4">
        <v>266</v>
      </c>
      <c r="B267" s="4"/>
      <c r="C267" s="4">
        <v>22</v>
      </c>
      <c r="D267" s="8">
        <v>14.63</v>
      </c>
      <c r="E267" s="8">
        <v>13.28</v>
      </c>
      <c r="F267" s="8">
        <v>14.48</v>
      </c>
      <c r="G267" s="8">
        <v>15.13</v>
      </c>
      <c r="H267" s="8">
        <v>13.84</v>
      </c>
      <c r="I267" s="8">
        <v>13.93</v>
      </c>
      <c r="J267" s="8">
        <v>14.55</v>
      </c>
      <c r="K267" s="8">
        <v>14.83</v>
      </c>
      <c r="L267" s="8">
        <v>16.43</v>
      </c>
      <c r="M267" s="8">
        <v>15.99</v>
      </c>
      <c r="N267" s="8">
        <v>15.67</v>
      </c>
      <c r="O267" s="8">
        <v>16.7</v>
      </c>
      <c r="P267" s="8">
        <v>15.38</v>
      </c>
      <c r="Q267" s="8">
        <v>14.29</v>
      </c>
      <c r="R267" s="8">
        <v>16.04</v>
      </c>
      <c r="S267" s="8">
        <v>14.68</v>
      </c>
      <c r="T267" s="8">
        <v>16.399999999999999</v>
      </c>
      <c r="U267" s="8">
        <v>15.66</v>
      </c>
      <c r="V267" s="8">
        <v>15.56</v>
      </c>
      <c r="W267" s="8">
        <v>16.25</v>
      </c>
      <c r="X267" s="8">
        <v>13.53</v>
      </c>
      <c r="Y267" s="8">
        <v>15.95</v>
      </c>
      <c r="Z267" s="8">
        <v>14.65</v>
      </c>
      <c r="AA267" s="8">
        <v>13.8</v>
      </c>
      <c r="AB267" s="8">
        <v>15.41</v>
      </c>
      <c r="AC267" s="8">
        <v>15.53</v>
      </c>
      <c r="AD267" s="8">
        <v>13.94</v>
      </c>
      <c r="AE267" s="8">
        <v>15.92</v>
      </c>
      <c r="AF267" s="8">
        <v>15.53</v>
      </c>
      <c r="AG267" s="8">
        <v>14.84</v>
      </c>
      <c r="AH267" s="8">
        <v>14.33</v>
      </c>
      <c r="AI267" s="8">
        <v>14.83</v>
      </c>
      <c r="AJ267" s="8">
        <v>16.07</v>
      </c>
      <c r="AK267" s="8">
        <v>15.66</v>
      </c>
      <c r="AL267" s="8">
        <v>15.2</v>
      </c>
      <c r="AM267" s="8">
        <v>15.74</v>
      </c>
      <c r="AN267" s="8">
        <v>15.45</v>
      </c>
      <c r="AO267" s="8">
        <v>14.7</v>
      </c>
      <c r="AP267" s="8">
        <v>14.93</v>
      </c>
      <c r="AQ267" s="8">
        <v>13.79</v>
      </c>
      <c r="AR267" s="8">
        <v>15.18</v>
      </c>
      <c r="AS267" s="8">
        <v>15.51</v>
      </c>
      <c r="AT267" s="8">
        <v>15.09</v>
      </c>
      <c r="AU267" s="6">
        <v>14.53</v>
      </c>
      <c r="AV267" s="6">
        <v>14.75</v>
      </c>
      <c r="AW267" s="6">
        <v>16.12</v>
      </c>
      <c r="AX267" s="6">
        <v>16.22</v>
      </c>
      <c r="AY267" s="6">
        <v>15.61</v>
      </c>
      <c r="AZ267" s="6">
        <v>16.010000000000002</v>
      </c>
      <c r="BA267" s="6">
        <v>15.03</v>
      </c>
      <c r="BB267" s="6">
        <v>15.72</v>
      </c>
      <c r="BC267" s="11">
        <v>15.4</v>
      </c>
      <c r="BD267" s="6">
        <v>12.68</v>
      </c>
      <c r="BE267" s="6">
        <v>15.18</v>
      </c>
      <c r="BF267" s="6">
        <v>12.65</v>
      </c>
      <c r="BG267" s="6">
        <v>14.47</v>
      </c>
      <c r="BH267" s="6">
        <v>15.97</v>
      </c>
      <c r="BI267" s="6">
        <v>15.02</v>
      </c>
      <c r="BJ267" s="6">
        <v>15.32</v>
      </c>
      <c r="BK267" s="6">
        <v>16.2</v>
      </c>
      <c r="BL267" s="6">
        <v>14.02</v>
      </c>
      <c r="BM267" s="6">
        <v>16.14</v>
      </c>
      <c r="BN267" s="6">
        <v>12.8</v>
      </c>
      <c r="BO267" s="6">
        <v>16.12</v>
      </c>
      <c r="BP267" s="6">
        <v>14.58</v>
      </c>
      <c r="BQ267" s="6">
        <v>14.96</v>
      </c>
      <c r="BR267" s="6">
        <v>13.39</v>
      </c>
      <c r="BS267" s="6">
        <v>15.54</v>
      </c>
      <c r="BT267" s="6">
        <v>15.7</v>
      </c>
      <c r="BU267" s="6">
        <v>15.73</v>
      </c>
      <c r="BV267" s="6">
        <v>13.98</v>
      </c>
      <c r="BW267" s="6">
        <v>15.26</v>
      </c>
      <c r="BX267" s="6">
        <v>15.36</v>
      </c>
      <c r="BY267" s="6">
        <v>14.64</v>
      </c>
      <c r="BZ267" s="6">
        <v>13.4</v>
      </c>
      <c r="CA267" s="6">
        <v>15.34</v>
      </c>
      <c r="CB267" s="6">
        <v>14.39</v>
      </c>
      <c r="CC267" s="6">
        <v>15.78</v>
      </c>
      <c r="CD267" s="6">
        <v>14.68</v>
      </c>
      <c r="CE267" s="6">
        <v>15.16</v>
      </c>
      <c r="CF267" s="6">
        <v>15.12</v>
      </c>
      <c r="CG267" s="6">
        <v>15.94</v>
      </c>
      <c r="CH267" s="6">
        <v>14.58</v>
      </c>
      <c r="CI267" s="6">
        <v>17.38</v>
      </c>
      <c r="CJ267" s="11">
        <v>15.68</v>
      </c>
      <c r="CK267" s="6">
        <v>12.48</v>
      </c>
      <c r="CL267" s="6">
        <v>15.63</v>
      </c>
      <c r="CM267" s="6">
        <v>16.100000000000001</v>
      </c>
      <c r="CN267" s="6">
        <v>12.52</v>
      </c>
      <c r="CO267" s="10">
        <v>13.37</v>
      </c>
      <c r="CP267" s="10"/>
    </row>
    <row r="268" spans="1:94" ht="15.75" customHeight="1" x14ac:dyDescent="0.25">
      <c r="A268" s="4">
        <v>267</v>
      </c>
      <c r="B268" s="4"/>
      <c r="C268" s="4">
        <v>23</v>
      </c>
      <c r="D268" s="8">
        <v>14.58</v>
      </c>
      <c r="E268" s="8">
        <v>13.18</v>
      </c>
      <c r="F268" s="8">
        <v>14.43</v>
      </c>
      <c r="G268" s="8">
        <v>15.03</v>
      </c>
      <c r="H268" s="8">
        <v>13.8</v>
      </c>
      <c r="I268" s="8">
        <v>13.78</v>
      </c>
      <c r="J268" s="8">
        <v>14.53</v>
      </c>
      <c r="K268" s="8">
        <v>14.73</v>
      </c>
      <c r="L268" s="8">
        <v>16.37</v>
      </c>
      <c r="M268" s="8">
        <v>15.91</v>
      </c>
      <c r="N268" s="8">
        <v>15.59</v>
      </c>
      <c r="O268" s="8">
        <v>16.66</v>
      </c>
      <c r="P268" s="8">
        <v>15.39</v>
      </c>
      <c r="Q268" s="8">
        <v>14.19</v>
      </c>
      <c r="R268" s="8">
        <v>15.99</v>
      </c>
      <c r="S268" s="8">
        <v>14.66</v>
      </c>
      <c r="T268" s="8">
        <v>16.37</v>
      </c>
      <c r="U268" s="8">
        <v>15.71</v>
      </c>
      <c r="V268" s="8">
        <v>15.48</v>
      </c>
      <c r="W268" s="8">
        <v>16.2</v>
      </c>
      <c r="X268" s="8">
        <v>13.43</v>
      </c>
      <c r="Y268" s="8">
        <v>15.93</v>
      </c>
      <c r="Z268" s="8">
        <v>14.63</v>
      </c>
      <c r="AA268" s="8">
        <v>13.66</v>
      </c>
      <c r="AB268" s="8">
        <v>15.37</v>
      </c>
      <c r="AC268" s="8">
        <v>15.47</v>
      </c>
      <c r="AD268" s="8">
        <v>13.89</v>
      </c>
      <c r="AE268" s="8">
        <v>15.87</v>
      </c>
      <c r="AF268" s="8">
        <v>15.45</v>
      </c>
      <c r="AG268" s="8">
        <v>14.82</v>
      </c>
      <c r="AH268" s="8">
        <v>14.27</v>
      </c>
      <c r="AI268" s="8">
        <v>14.79</v>
      </c>
      <c r="AJ268" s="8">
        <v>15.98</v>
      </c>
      <c r="AK268" s="8">
        <v>15.66</v>
      </c>
      <c r="AL268" s="8">
        <v>15.14</v>
      </c>
      <c r="AM268" s="8">
        <v>15.72</v>
      </c>
      <c r="AN268" s="8">
        <v>15.44</v>
      </c>
      <c r="AO268" s="8">
        <v>14.63</v>
      </c>
      <c r="AP268" s="8">
        <v>14.96</v>
      </c>
      <c r="AQ268" s="8">
        <v>13.77</v>
      </c>
      <c r="AR268" s="8">
        <v>15.16</v>
      </c>
      <c r="AS268" s="8">
        <v>15.42</v>
      </c>
      <c r="AT268" s="8">
        <v>15.04</v>
      </c>
      <c r="AU268" s="6">
        <v>14.43</v>
      </c>
      <c r="AV268" s="6">
        <v>14.68</v>
      </c>
      <c r="AW268" s="6">
        <v>16.059999999999999</v>
      </c>
      <c r="AX268" s="6">
        <v>16.2</v>
      </c>
      <c r="AY268" s="6">
        <v>15.52</v>
      </c>
      <c r="AZ268" s="6">
        <v>15.94</v>
      </c>
      <c r="BA268" s="6">
        <v>14.92</v>
      </c>
      <c r="BB268" s="6">
        <v>15.68</v>
      </c>
      <c r="BC268" s="11">
        <v>15.3</v>
      </c>
      <c r="BD268" s="6">
        <v>12.57</v>
      </c>
      <c r="BE268" s="6">
        <v>15.14</v>
      </c>
      <c r="BF268" s="6">
        <v>12.55</v>
      </c>
      <c r="BG268" s="6">
        <v>14.39</v>
      </c>
      <c r="BH268" s="6">
        <v>15.94</v>
      </c>
      <c r="BI268" s="6">
        <v>14.96</v>
      </c>
      <c r="BJ268" s="6">
        <v>15.34</v>
      </c>
      <c r="BK268" s="6">
        <v>16.16</v>
      </c>
      <c r="BL268" s="6">
        <v>13.9</v>
      </c>
      <c r="BM268" s="6">
        <v>16.100000000000001</v>
      </c>
      <c r="BN268" s="6">
        <v>12.65</v>
      </c>
      <c r="BO268" s="6">
        <v>16.100000000000001</v>
      </c>
      <c r="BP268" s="6">
        <v>14.46</v>
      </c>
      <c r="BQ268" s="6">
        <v>14.92</v>
      </c>
      <c r="BR268" s="6">
        <v>13.29</v>
      </c>
      <c r="BS268" s="6">
        <v>15.48</v>
      </c>
      <c r="BT268" s="6">
        <v>15.6</v>
      </c>
      <c r="BU268" s="6">
        <v>15.7</v>
      </c>
      <c r="BV268" s="6">
        <v>13.9</v>
      </c>
      <c r="BW268" s="6">
        <v>15.2</v>
      </c>
      <c r="BX268" s="6">
        <v>15.22</v>
      </c>
      <c r="BY268" s="6">
        <v>14.58</v>
      </c>
      <c r="BZ268" s="6">
        <v>13.3</v>
      </c>
      <c r="CA268" s="6">
        <v>15.26</v>
      </c>
      <c r="CB268" s="6">
        <v>14.28</v>
      </c>
      <c r="CC268" s="6">
        <v>15.68</v>
      </c>
      <c r="CD268" s="6">
        <v>14.66</v>
      </c>
      <c r="CE268" s="6">
        <v>15.14</v>
      </c>
      <c r="CF268" s="6">
        <v>15.02</v>
      </c>
      <c r="CG268" s="6">
        <v>15.9</v>
      </c>
      <c r="CH268" s="6">
        <v>14.44</v>
      </c>
      <c r="CI268" s="6">
        <v>17.3</v>
      </c>
      <c r="CJ268" s="11">
        <v>15.58</v>
      </c>
      <c r="CK268" s="6">
        <v>12.44</v>
      </c>
      <c r="CL268" s="6">
        <v>15.56</v>
      </c>
      <c r="CM268" s="6">
        <v>16.02</v>
      </c>
      <c r="CN268" s="6">
        <v>12.37</v>
      </c>
      <c r="CO268" s="10">
        <v>13.23</v>
      </c>
      <c r="CP268" s="10"/>
    </row>
    <row r="269" spans="1:94" ht="15.75" customHeight="1" x14ac:dyDescent="0.25">
      <c r="A269" s="4">
        <v>268</v>
      </c>
      <c r="B269" s="4"/>
      <c r="C269" s="4">
        <v>24</v>
      </c>
      <c r="D269" s="8">
        <v>14.53</v>
      </c>
      <c r="E269" s="8">
        <v>13.08</v>
      </c>
      <c r="F269" s="8">
        <v>14.38</v>
      </c>
      <c r="G269" s="8">
        <v>14.93</v>
      </c>
      <c r="H269" s="8">
        <v>13.73</v>
      </c>
      <c r="I269" s="8">
        <v>13.73</v>
      </c>
      <c r="J269" s="8">
        <v>14.49</v>
      </c>
      <c r="K269" s="8">
        <v>14.64</v>
      </c>
      <c r="L269" s="8">
        <v>16.329999999999998</v>
      </c>
      <c r="M269" s="8">
        <v>15.83</v>
      </c>
      <c r="N269" s="8">
        <v>15.45</v>
      </c>
      <c r="O269" s="8">
        <v>16.59</v>
      </c>
      <c r="P269" s="8">
        <v>15.35</v>
      </c>
      <c r="Q269" s="8">
        <v>14.08</v>
      </c>
      <c r="R269" s="8">
        <v>15.96</v>
      </c>
      <c r="S269" s="8">
        <v>14.61</v>
      </c>
      <c r="T269" s="8">
        <v>16.34</v>
      </c>
      <c r="U269" s="8">
        <v>15.69</v>
      </c>
      <c r="V269" s="8">
        <v>15.38</v>
      </c>
      <c r="W269" s="8">
        <v>16.149999999999999</v>
      </c>
      <c r="X269" s="8">
        <v>13.35</v>
      </c>
      <c r="Y269" s="8">
        <v>15.89</v>
      </c>
      <c r="Z269" s="8">
        <v>14.59</v>
      </c>
      <c r="AA269" s="8">
        <v>13.5</v>
      </c>
      <c r="AB269" s="8">
        <v>15.29</v>
      </c>
      <c r="AC269" s="8">
        <v>15.41</v>
      </c>
      <c r="AD269" s="8">
        <v>13.84</v>
      </c>
      <c r="AE269" s="8">
        <v>15.81</v>
      </c>
      <c r="AF269" s="8">
        <v>15.35</v>
      </c>
      <c r="AG269" s="8">
        <v>14.8</v>
      </c>
      <c r="AH269" s="8">
        <v>14.21</v>
      </c>
      <c r="AI269" s="8">
        <v>14.79</v>
      </c>
      <c r="AJ269" s="8">
        <v>15.88</v>
      </c>
      <c r="AK269" s="8">
        <v>15.65</v>
      </c>
      <c r="AL269" s="8">
        <v>15.08</v>
      </c>
      <c r="AM269" s="8">
        <v>15.67</v>
      </c>
      <c r="AN269" s="8">
        <v>15.41</v>
      </c>
      <c r="AO269" s="8">
        <v>14.6</v>
      </c>
      <c r="AP269" s="8">
        <v>14.99</v>
      </c>
      <c r="AQ269" s="8">
        <v>13.75</v>
      </c>
      <c r="AR269" s="8">
        <v>15.16</v>
      </c>
      <c r="AS269" s="8">
        <v>15.33</v>
      </c>
      <c r="AT269" s="8">
        <v>14.97</v>
      </c>
      <c r="AU269" s="6">
        <v>14.35</v>
      </c>
      <c r="AV269" s="6">
        <v>14.64</v>
      </c>
      <c r="AW269" s="6">
        <v>16.02</v>
      </c>
      <c r="AX269" s="6">
        <v>16.23</v>
      </c>
      <c r="AY269" s="6">
        <v>15.43</v>
      </c>
      <c r="AZ269" s="6">
        <v>15.88</v>
      </c>
      <c r="BA269" s="6">
        <v>14.92</v>
      </c>
      <c r="BB269" s="6">
        <v>15.61</v>
      </c>
      <c r="BC269" s="11">
        <v>15.22</v>
      </c>
      <c r="BD269" s="6">
        <v>12.48</v>
      </c>
      <c r="BE269" s="6">
        <v>15.11</v>
      </c>
      <c r="BF269" s="6">
        <v>12.47</v>
      </c>
      <c r="BG269" s="6">
        <v>14.3</v>
      </c>
      <c r="BH269" s="6">
        <v>15.92</v>
      </c>
      <c r="BI269" s="6">
        <v>14.9</v>
      </c>
      <c r="BJ269" s="6">
        <v>15.32</v>
      </c>
      <c r="BK269" s="6">
        <v>16.059999999999999</v>
      </c>
      <c r="BL269" s="6">
        <v>13.7</v>
      </c>
      <c r="BM269" s="6">
        <v>16.05</v>
      </c>
      <c r="BN269" s="6">
        <v>12.59</v>
      </c>
      <c r="BO269" s="6">
        <v>16</v>
      </c>
      <c r="BP269" s="6">
        <v>14.28</v>
      </c>
      <c r="BQ269" s="6">
        <v>14.85</v>
      </c>
      <c r="BR269" s="6">
        <v>13.2</v>
      </c>
      <c r="BS269" s="6">
        <v>15.4</v>
      </c>
      <c r="BT269" s="6">
        <v>15.55</v>
      </c>
      <c r="BU269" s="6">
        <v>15.62</v>
      </c>
      <c r="BV269" s="6">
        <v>13.88</v>
      </c>
      <c r="BW269" s="6">
        <v>15.1</v>
      </c>
      <c r="BX269" s="6">
        <v>15.14</v>
      </c>
      <c r="BY269" s="6">
        <v>14.54</v>
      </c>
      <c r="BZ269" s="6">
        <v>13.2</v>
      </c>
      <c r="CA269" s="6">
        <v>15.24</v>
      </c>
      <c r="CB269" s="6">
        <v>14.18</v>
      </c>
      <c r="CC269" s="6">
        <v>15.58</v>
      </c>
      <c r="CD269" s="6">
        <v>14.54</v>
      </c>
      <c r="CE269" s="6">
        <v>15.1</v>
      </c>
      <c r="CF269" s="6">
        <v>15</v>
      </c>
      <c r="CG269" s="6">
        <v>15.88</v>
      </c>
      <c r="CH269" s="6">
        <v>14.3</v>
      </c>
      <c r="CI269" s="6">
        <v>17.239999999999998</v>
      </c>
      <c r="CJ269" s="11">
        <v>15.5</v>
      </c>
      <c r="CK269" s="6">
        <v>12.3</v>
      </c>
      <c r="CL269" s="6">
        <v>15.52</v>
      </c>
      <c r="CM269" s="6">
        <v>15.91</v>
      </c>
      <c r="CN269" s="6">
        <v>12.18</v>
      </c>
      <c r="CO269" s="10">
        <v>13.08</v>
      </c>
      <c r="CP269" s="10"/>
    </row>
    <row r="270" spans="1:94" ht="15.75" customHeight="1" x14ac:dyDescent="0.25">
      <c r="A270" s="4">
        <v>269</v>
      </c>
      <c r="B270" s="4"/>
      <c r="C270" s="4">
        <v>25</v>
      </c>
      <c r="D270" s="8">
        <v>14.48</v>
      </c>
      <c r="E270" s="8">
        <v>12.93</v>
      </c>
      <c r="F270" s="8">
        <v>14.33</v>
      </c>
      <c r="G270" s="8">
        <v>14.88</v>
      </c>
      <c r="H270" s="8">
        <v>13.68</v>
      </c>
      <c r="I270" s="8">
        <v>13.72</v>
      </c>
      <c r="J270" s="8">
        <v>14.47</v>
      </c>
      <c r="K270" s="8">
        <v>14.58</v>
      </c>
      <c r="L270" s="8">
        <v>16.28</v>
      </c>
      <c r="M270" s="8">
        <v>15.75</v>
      </c>
      <c r="N270" s="8">
        <v>15.34</v>
      </c>
      <c r="O270" s="8">
        <v>16.52</v>
      </c>
      <c r="P270" s="8">
        <v>15.29</v>
      </c>
      <c r="Q270" s="8">
        <v>13.97</v>
      </c>
      <c r="R270" s="8">
        <v>15.94</v>
      </c>
      <c r="S270" s="8">
        <v>14.51</v>
      </c>
      <c r="T270" s="8">
        <v>16.309999999999999</v>
      </c>
      <c r="U270" s="8">
        <v>15.64</v>
      </c>
      <c r="V270" s="8">
        <v>15.26</v>
      </c>
      <c r="W270" s="8">
        <v>16.07</v>
      </c>
      <c r="X270" s="8">
        <v>13.27</v>
      </c>
      <c r="Y270" s="8">
        <v>15.89</v>
      </c>
      <c r="Z270" s="8">
        <v>14.53</v>
      </c>
      <c r="AA270" s="8">
        <v>13.32</v>
      </c>
      <c r="AB270" s="8">
        <v>15.21</v>
      </c>
      <c r="AC270" s="8">
        <v>15.32</v>
      </c>
      <c r="AD270" s="8">
        <v>13.8</v>
      </c>
      <c r="AE270" s="8">
        <v>15.69</v>
      </c>
      <c r="AF270" s="8">
        <v>15.21</v>
      </c>
      <c r="AG270" s="8">
        <v>14.78</v>
      </c>
      <c r="AH270" s="8">
        <v>14.18</v>
      </c>
      <c r="AI270" s="8">
        <v>14.78</v>
      </c>
      <c r="AJ270" s="8">
        <v>15.79</v>
      </c>
      <c r="AK270" s="8">
        <v>15.64</v>
      </c>
      <c r="AL270" s="8">
        <v>15.02</v>
      </c>
      <c r="AM270" s="8">
        <v>15.7</v>
      </c>
      <c r="AN270" s="8">
        <v>15.38</v>
      </c>
      <c r="AO270" s="8">
        <v>14.58</v>
      </c>
      <c r="AP270" s="8">
        <v>14.99</v>
      </c>
      <c r="AQ270" s="8">
        <v>13.73</v>
      </c>
      <c r="AR270" s="8">
        <v>15.15</v>
      </c>
      <c r="AS270" s="8">
        <v>15.25</v>
      </c>
      <c r="AT270" s="8">
        <v>14.9</v>
      </c>
      <c r="AU270" s="6">
        <v>14.26</v>
      </c>
      <c r="AV270" s="6">
        <v>14.63</v>
      </c>
      <c r="AW270" s="6">
        <v>15.97</v>
      </c>
      <c r="AX270" s="6">
        <v>16.28</v>
      </c>
      <c r="AY270" s="6">
        <v>15.39</v>
      </c>
      <c r="AZ270" s="6">
        <v>15.81</v>
      </c>
      <c r="BA270" s="6">
        <v>14.92</v>
      </c>
      <c r="BB270" s="6">
        <v>15.55</v>
      </c>
      <c r="BC270" s="11">
        <v>15.15</v>
      </c>
      <c r="BD270" s="6">
        <v>12.44</v>
      </c>
      <c r="BE270" s="6">
        <v>15.13</v>
      </c>
      <c r="BF270" s="6">
        <v>12.39</v>
      </c>
      <c r="BG270" s="6">
        <v>14.22</v>
      </c>
      <c r="BH270" s="6">
        <v>15.89</v>
      </c>
      <c r="BI270" s="6">
        <v>14.86</v>
      </c>
      <c r="BJ270" s="6">
        <v>15.26</v>
      </c>
      <c r="BK270" s="6">
        <v>16</v>
      </c>
      <c r="BL270" s="6">
        <v>13.7</v>
      </c>
      <c r="BM270" s="6">
        <v>15.98</v>
      </c>
      <c r="BN270" s="6">
        <v>12.8</v>
      </c>
      <c r="BO270" s="6">
        <v>15.92</v>
      </c>
      <c r="BP270" s="6">
        <v>14.18</v>
      </c>
      <c r="BQ270" s="6">
        <v>14.8</v>
      </c>
      <c r="BR270" s="6">
        <v>13.1</v>
      </c>
      <c r="BS270" s="6">
        <v>15.36</v>
      </c>
      <c r="BT270" s="6">
        <v>15.5</v>
      </c>
      <c r="BU270" s="6">
        <v>15.58</v>
      </c>
      <c r="BV270" s="6">
        <v>13.82</v>
      </c>
      <c r="BW270" s="6">
        <v>15</v>
      </c>
      <c r="BX270" s="6">
        <v>15.06</v>
      </c>
      <c r="BY270" s="6">
        <v>14.5</v>
      </c>
      <c r="BZ270" s="6">
        <v>13.08</v>
      </c>
      <c r="CA270" s="6">
        <v>15.24</v>
      </c>
      <c r="CB270" s="6">
        <v>14.1</v>
      </c>
      <c r="CC270" s="6">
        <v>15.48</v>
      </c>
      <c r="CD270" s="6">
        <v>14.46</v>
      </c>
      <c r="CE270" s="6">
        <v>15.06</v>
      </c>
      <c r="CF270" s="6">
        <v>14.92</v>
      </c>
      <c r="CG270" s="6">
        <v>15.78</v>
      </c>
      <c r="CH270" s="6">
        <v>14.18</v>
      </c>
      <c r="CI270" s="6">
        <v>17.16</v>
      </c>
      <c r="CJ270" s="11">
        <v>15.44</v>
      </c>
      <c r="CK270" s="6">
        <v>12.18</v>
      </c>
      <c r="CL270" s="6">
        <v>15.5</v>
      </c>
      <c r="CM270" s="6">
        <v>15.82</v>
      </c>
      <c r="CN270" s="6">
        <v>12</v>
      </c>
      <c r="CO270" s="10">
        <v>12.9</v>
      </c>
      <c r="CP270" s="10"/>
    </row>
    <row r="271" spans="1:94" ht="15.75" customHeight="1" x14ac:dyDescent="0.25">
      <c r="A271" s="4">
        <v>270</v>
      </c>
      <c r="B271" s="4"/>
      <c r="C271" s="4">
        <v>26</v>
      </c>
      <c r="D271" s="8">
        <v>14.46</v>
      </c>
      <c r="E271" s="8">
        <v>12.78</v>
      </c>
      <c r="F271" s="8">
        <v>14.28</v>
      </c>
      <c r="G271" s="8">
        <v>14.83</v>
      </c>
      <c r="H271" s="8">
        <v>13.6</v>
      </c>
      <c r="I271" s="8">
        <v>13.71</v>
      </c>
      <c r="J271" s="8">
        <v>14.43</v>
      </c>
      <c r="K271" s="8">
        <v>14.43</v>
      </c>
      <c r="L271" s="8">
        <v>16.23</v>
      </c>
      <c r="M271" s="8">
        <v>15.68</v>
      </c>
      <c r="N271" s="8">
        <v>15.23</v>
      </c>
      <c r="O271" s="8">
        <v>16.45</v>
      </c>
      <c r="P271" s="8">
        <v>15.23</v>
      </c>
      <c r="Q271" s="8">
        <v>13.88</v>
      </c>
      <c r="R271" s="8">
        <v>15.84</v>
      </c>
      <c r="S271" s="8">
        <v>14.41</v>
      </c>
      <c r="T271" s="8">
        <v>16.260000000000002</v>
      </c>
      <c r="U271" s="8">
        <v>15.6</v>
      </c>
      <c r="V271" s="8">
        <v>15.16</v>
      </c>
      <c r="W271" s="8">
        <v>16.010000000000002</v>
      </c>
      <c r="X271" s="8">
        <v>13.19</v>
      </c>
      <c r="Y271" s="8">
        <v>15.89</v>
      </c>
      <c r="Z271" s="8">
        <v>14.43</v>
      </c>
      <c r="AA271" s="8">
        <v>13.16</v>
      </c>
      <c r="AB271" s="8">
        <v>15.13</v>
      </c>
      <c r="AC271" s="8">
        <v>15.22</v>
      </c>
      <c r="AD271" s="8">
        <v>13.71</v>
      </c>
      <c r="AE271" s="8">
        <v>15.59</v>
      </c>
      <c r="AF271" s="8">
        <v>15.1</v>
      </c>
      <c r="AG271" s="8">
        <v>14.76</v>
      </c>
      <c r="AH271" s="8">
        <v>14.14</v>
      </c>
      <c r="AI271" s="8">
        <v>14.76</v>
      </c>
      <c r="AJ271" s="8">
        <v>15.69</v>
      </c>
      <c r="AK271" s="8">
        <v>15.64</v>
      </c>
      <c r="AL271" s="8">
        <v>14.96</v>
      </c>
      <c r="AM271" s="8">
        <v>15.75</v>
      </c>
      <c r="AN271" s="8">
        <v>15.34</v>
      </c>
      <c r="AO271" s="8">
        <v>14.57</v>
      </c>
      <c r="AP271" s="8">
        <v>14.99</v>
      </c>
      <c r="AQ271" s="8">
        <v>13.71</v>
      </c>
      <c r="AR271" s="8">
        <v>15.12</v>
      </c>
      <c r="AS271" s="8">
        <v>15.11</v>
      </c>
      <c r="AT271" s="8">
        <v>14.83</v>
      </c>
      <c r="AU271" s="6">
        <v>14.18</v>
      </c>
      <c r="AV271" s="6">
        <v>14.59</v>
      </c>
      <c r="AW271" s="6">
        <v>15.94</v>
      </c>
      <c r="AX271" s="6">
        <v>16.23</v>
      </c>
      <c r="AY271" s="6">
        <v>15.34</v>
      </c>
      <c r="AZ271" s="6">
        <v>15.75</v>
      </c>
      <c r="BA271" s="6">
        <v>14.9</v>
      </c>
      <c r="BB271" s="6">
        <v>15.52</v>
      </c>
      <c r="BC271" s="11">
        <v>15.09</v>
      </c>
      <c r="BD271" s="6">
        <v>12.36</v>
      </c>
      <c r="BE271" s="6">
        <v>15.11</v>
      </c>
      <c r="BF271" s="6">
        <v>12.34</v>
      </c>
      <c r="BG271" s="6">
        <v>14.11</v>
      </c>
      <c r="BH271" s="6">
        <v>15.89</v>
      </c>
      <c r="BI271" s="6">
        <v>14.8</v>
      </c>
      <c r="BJ271" s="6">
        <v>15.18</v>
      </c>
      <c r="BK271" s="6">
        <v>15.94</v>
      </c>
      <c r="BL271" s="6">
        <v>13.6</v>
      </c>
      <c r="BM271" s="6">
        <v>15.91</v>
      </c>
      <c r="BN271" s="6">
        <v>12.42</v>
      </c>
      <c r="BO271" s="6">
        <v>15.95</v>
      </c>
      <c r="BP271" s="6">
        <v>14.06</v>
      </c>
      <c r="BQ271" s="6">
        <v>14.76</v>
      </c>
      <c r="BR271" s="6">
        <v>13.06</v>
      </c>
      <c r="BS271" s="6">
        <v>15.26</v>
      </c>
      <c r="BT271" s="6">
        <v>15.44</v>
      </c>
      <c r="BU271" s="6">
        <v>15.5</v>
      </c>
      <c r="BV271" s="6">
        <v>13.8</v>
      </c>
      <c r="BW271" s="6">
        <v>14.92</v>
      </c>
      <c r="BX271" s="6">
        <v>15</v>
      </c>
      <c r="BY271" s="6">
        <v>14.48</v>
      </c>
      <c r="BZ271" s="6">
        <v>12.92</v>
      </c>
      <c r="CA271" s="6">
        <v>15.24</v>
      </c>
      <c r="CB271" s="6">
        <v>14.06</v>
      </c>
      <c r="CC271" s="6">
        <v>15.38</v>
      </c>
      <c r="CD271" s="6">
        <v>14.42</v>
      </c>
      <c r="CE271" s="6">
        <v>15</v>
      </c>
      <c r="CF271" s="6">
        <v>14.86</v>
      </c>
      <c r="CG271" s="6">
        <v>15.68</v>
      </c>
      <c r="CH271" s="6">
        <v>14.02</v>
      </c>
      <c r="CI271" s="6">
        <v>17.04</v>
      </c>
      <c r="CJ271" s="11">
        <v>15.34</v>
      </c>
      <c r="CK271" s="6">
        <v>12</v>
      </c>
      <c r="CL271" s="6">
        <v>15.46</v>
      </c>
      <c r="CM271" s="6">
        <v>15.69</v>
      </c>
      <c r="CN271" s="6">
        <v>11.82</v>
      </c>
      <c r="CO271" s="10">
        <v>12.72</v>
      </c>
      <c r="CP271" s="10"/>
    </row>
    <row r="272" spans="1:94" ht="15.75" customHeight="1" x14ac:dyDescent="0.25">
      <c r="A272" s="4">
        <v>271</v>
      </c>
      <c r="B272" s="4"/>
      <c r="C272" s="4">
        <v>27</v>
      </c>
      <c r="D272" s="8">
        <v>14.44</v>
      </c>
      <c r="E272" s="8">
        <v>12.68</v>
      </c>
      <c r="F272" s="8">
        <v>14.24</v>
      </c>
      <c r="G272" s="8">
        <v>14.78</v>
      </c>
      <c r="H272" s="8">
        <v>13.54</v>
      </c>
      <c r="I272" s="8">
        <v>13.69</v>
      </c>
      <c r="J272" s="8">
        <v>14.39</v>
      </c>
      <c r="K272" s="8">
        <v>14.32</v>
      </c>
      <c r="L272" s="8">
        <v>16.18</v>
      </c>
      <c r="M272" s="8">
        <v>15.61</v>
      </c>
      <c r="N272" s="8">
        <v>15.13</v>
      </c>
      <c r="O272" s="8">
        <v>16.37</v>
      </c>
      <c r="P272" s="8">
        <v>15.13</v>
      </c>
      <c r="Q272" s="8">
        <v>13.83</v>
      </c>
      <c r="R272" s="8">
        <v>15.74</v>
      </c>
      <c r="S272" s="8">
        <v>14.31</v>
      </c>
      <c r="T272" s="8">
        <v>16.190000000000001</v>
      </c>
      <c r="U272" s="8">
        <v>15.56</v>
      </c>
      <c r="V272" s="8">
        <v>15.09</v>
      </c>
      <c r="W272" s="8">
        <v>15.95</v>
      </c>
      <c r="X272" s="8">
        <v>13.09</v>
      </c>
      <c r="Y272" s="8">
        <v>15.89</v>
      </c>
      <c r="Z272" s="8">
        <v>14.29</v>
      </c>
      <c r="AA272" s="8">
        <v>13</v>
      </c>
      <c r="AB272" s="8">
        <v>15</v>
      </c>
      <c r="AC272" s="8">
        <v>15.13</v>
      </c>
      <c r="AD272" s="8">
        <v>13.63</v>
      </c>
      <c r="AE272" s="8">
        <v>15.49</v>
      </c>
      <c r="AF272" s="8">
        <v>15</v>
      </c>
      <c r="AG272" s="8">
        <v>14.76</v>
      </c>
      <c r="AH272" s="8">
        <v>14.11</v>
      </c>
      <c r="AI272" s="8">
        <v>14.7</v>
      </c>
      <c r="AJ272" s="8">
        <v>15.62</v>
      </c>
      <c r="AK272" s="8">
        <v>15.61</v>
      </c>
      <c r="AL272" s="8">
        <v>14.9</v>
      </c>
      <c r="AM272" s="8">
        <v>15.76</v>
      </c>
      <c r="AN272" s="8">
        <v>15.28</v>
      </c>
      <c r="AO272" s="8">
        <v>14.54</v>
      </c>
      <c r="AP272" s="8">
        <v>14.99</v>
      </c>
      <c r="AQ272" s="8">
        <v>13.7</v>
      </c>
      <c r="AR272" s="8">
        <v>15.08</v>
      </c>
      <c r="AS272" s="8">
        <v>15.04</v>
      </c>
      <c r="AT272" s="8">
        <v>14.79</v>
      </c>
      <c r="AU272" s="6">
        <v>14.1</v>
      </c>
      <c r="AV272" s="6">
        <v>14.5</v>
      </c>
      <c r="AW272" s="6">
        <v>15.92</v>
      </c>
      <c r="AX272" s="6">
        <v>16.149999999999999</v>
      </c>
      <c r="AY272" s="6">
        <v>15.27</v>
      </c>
      <c r="AZ272" s="6">
        <v>15.68</v>
      </c>
      <c r="BA272" s="6">
        <v>14.88</v>
      </c>
      <c r="BB272" s="6">
        <v>15.51</v>
      </c>
      <c r="BC272" s="11">
        <v>15.02</v>
      </c>
      <c r="BD272" s="6">
        <v>12.33</v>
      </c>
      <c r="BE272" s="6">
        <v>15.1</v>
      </c>
      <c r="BF272" s="6">
        <v>12.31</v>
      </c>
      <c r="BG272" s="6">
        <v>14.03</v>
      </c>
      <c r="BH272" s="6">
        <v>15.89</v>
      </c>
      <c r="BI272" s="6">
        <v>14.76</v>
      </c>
      <c r="BJ272" s="6">
        <v>15.09</v>
      </c>
      <c r="BK272" s="6">
        <v>15.84</v>
      </c>
      <c r="BL272" s="6">
        <v>13.5</v>
      </c>
      <c r="BM272" s="6">
        <v>15.86</v>
      </c>
      <c r="BN272" s="6">
        <v>12.32</v>
      </c>
      <c r="BO272" s="6">
        <v>15.76</v>
      </c>
      <c r="BP272" s="6">
        <v>13.94</v>
      </c>
      <c r="BQ272" s="6">
        <v>14.7</v>
      </c>
      <c r="BR272" s="6">
        <v>13.02</v>
      </c>
      <c r="BS272" s="6">
        <v>15.16</v>
      </c>
      <c r="BT272" s="6">
        <v>15.36</v>
      </c>
      <c r="BU272" s="6">
        <v>15.4</v>
      </c>
      <c r="BV272" s="6">
        <v>13.74</v>
      </c>
      <c r="BW272" s="6">
        <v>14.78</v>
      </c>
      <c r="BX272" s="6">
        <v>14.94</v>
      </c>
      <c r="BY272" s="6">
        <v>14.46</v>
      </c>
      <c r="BZ272" s="6">
        <v>12.8</v>
      </c>
      <c r="CA272" s="6">
        <v>15.24</v>
      </c>
      <c r="CB272" s="6">
        <v>14</v>
      </c>
      <c r="CC272" s="6">
        <v>15.3</v>
      </c>
      <c r="CD272" s="6">
        <v>14.38</v>
      </c>
      <c r="CE272" s="6">
        <v>15</v>
      </c>
      <c r="CF272" s="6">
        <v>14.76</v>
      </c>
      <c r="CG272" s="6">
        <v>15.58</v>
      </c>
      <c r="CH272" s="6">
        <v>13.9</v>
      </c>
      <c r="CI272" s="6">
        <v>16.98</v>
      </c>
      <c r="CJ272" s="11">
        <v>15.22</v>
      </c>
      <c r="CK272" s="6">
        <v>11.9</v>
      </c>
      <c r="CL272" s="6">
        <v>15.4</v>
      </c>
      <c r="CM272" s="6">
        <v>15.59</v>
      </c>
      <c r="CN272" s="6">
        <v>11.73</v>
      </c>
      <c r="CO272" s="10">
        <v>12.51</v>
      </c>
      <c r="CP272" s="10"/>
    </row>
    <row r="273" spans="1:94" ht="15.75" customHeight="1" x14ac:dyDescent="0.25">
      <c r="A273" s="4">
        <v>272</v>
      </c>
      <c r="B273" s="4"/>
      <c r="C273" s="4">
        <v>28</v>
      </c>
      <c r="D273" s="8">
        <v>14.42</v>
      </c>
      <c r="E273" s="8">
        <v>12.53</v>
      </c>
      <c r="F273" s="8">
        <v>14.2</v>
      </c>
      <c r="G273" s="8">
        <v>14.73</v>
      </c>
      <c r="H273" s="8">
        <v>13.46</v>
      </c>
      <c r="I273" s="8">
        <v>13.7</v>
      </c>
      <c r="J273" s="8">
        <v>14.34</v>
      </c>
      <c r="K273" s="8">
        <v>14.23</v>
      </c>
      <c r="L273" s="8">
        <v>16.100000000000001</v>
      </c>
      <c r="M273" s="8">
        <v>15.57</v>
      </c>
      <c r="N273" s="8">
        <v>15.03</v>
      </c>
      <c r="O273" s="8">
        <v>16.28</v>
      </c>
      <c r="P273" s="8">
        <v>15.03</v>
      </c>
      <c r="Q273" s="8">
        <v>13.79</v>
      </c>
      <c r="R273" s="8">
        <v>15.68</v>
      </c>
      <c r="S273" s="8">
        <v>14.21</v>
      </c>
      <c r="T273" s="8">
        <v>16.14</v>
      </c>
      <c r="U273" s="8">
        <v>15.53</v>
      </c>
      <c r="V273" s="8">
        <v>15.05</v>
      </c>
      <c r="W273" s="8">
        <v>15.85</v>
      </c>
      <c r="X273" s="8">
        <v>12.97</v>
      </c>
      <c r="Y273" s="8">
        <v>15.87</v>
      </c>
      <c r="Z273" s="8">
        <v>14.15</v>
      </c>
      <c r="AA273" s="8">
        <v>12.78</v>
      </c>
      <c r="AB273" s="8">
        <v>14.87</v>
      </c>
      <c r="AC273" s="8">
        <v>15.05</v>
      </c>
      <c r="AD273" s="8">
        <v>13.51</v>
      </c>
      <c r="AE273" s="8">
        <v>15.37</v>
      </c>
      <c r="AF273" s="8">
        <v>14.88</v>
      </c>
      <c r="AG273" s="8">
        <v>14.76</v>
      </c>
      <c r="AH273" s="8">
        <v>14.05</v>
      </c>
      <c r="AI273" s="8">
        <v>14.66</v>
      </c>
      <c r="AJ273" s="8">
        <v>15.53</v>
      </c>
      <c r="AK273" s="8">
        <v>15.63</v>
      </c>
      <c r="AL273" s="8">
        <v>14.83</v>
      </c>
      <c r="AM273" s="8">
        <v>15.76</v>
      </c>
      <c r="AN273" s="8">
        <v>15.19</v>
      </c>
      <c r="AO273" s="8">
        <v>14.54</v>
      </c>
      <c r="AP273" s="8">
        <v>14.99</v>
      </c>
      <c r="AQ273" s="8">
        <v>13.68</v>
      </c>
      <c r="AR273" s="8">
        <v>15.01</v>
      </c>
      <c r="AS273" s="8">
        <v>14.95</v>
      </c>
      <c r="AT273" s="8">
        <v>14.71</v>
      </c>
      <c r="AU273" s="6">
        <v>14.06</v>
      </c>
      <c r="AV273" s="6">
        <v>14.4</v>
      </c>
      <c r="AW273" s="6">
        <v>15.88</v>
      </c>
      <c r="AX273" s="6">
        <v>16.07</v>
      </c>
      <c r="AY273" s="6">
        <v>15.23</v>
      </c>
      <c r="AZ273" s="6">
        <v>15.64</v>
      </c>
      <c r="BA273" s="6">
        <v>14.85</v>
      </c>
      <c r="BB273" s="6">
        <v>15.47</v>
      </c>
      <c r="BC273" s="11">
        <v>14.94</v>
      </c>
      <c r="BD273" s="6">
        <v>12.32</v>
      </c>
      <c r="BE273" s="6">
        <v>15.09</v>
      </c>
      <c r="BF273" s="6">
        <v>12.31</v>
      </c>
      <c r="BG273" s="6">
        <v>13.92</v>
      </c>
      <c r="BH273" s="6">
        <v>15.89</v>
      </c>
      <c r="BI273" s="6">
        <v>14.76</v>
      </c>
      <c r="BJ273" s="6">
        <v>15</v>
      </c>
      <c r="BK273" s="6">
        <v>15.85</v>
      </c>
      <c r="BL273" s="6">
        <v>13.4</v>
      </c>
      <c r="BM273" s="6">
        <v>15.8</v>
      </c>
      <c r="BN273" s="6">
        <v>12.28</v>
      </c>
      <c r="BO273" s="6">
        <v>15.68</v>
      </c>
      <c r="BP273" s="6">
        <v>13.81</v>
      </c>
      <c r="BQ273" s="6">
        <v>14.68</v>
      </c>
      <c r="BR273" s="6">
        <v>13</v>
      </c>
      <c r="BS273" s="6">
        <v>15.08</v>
      </c>
      <c r="BT273" s="6">
        <v>15.3</v>
      </c>
      <c r="BU273" s="6">
        <v>15.32</v>
      </c>
      <c r="BV273" s="6">
        <v>13.7</v>
      </c>
      <c r="BW273" s="6">
        <v>14.68</v>
      </c>
      <c r="BX273" s="6">
        <v>14.88</v>
      </c>
      <c r="BY273" s="6">
        <v>14.44</v>
      </c>
      <c r="BZ273" s="6">
        <v>12.64</v>
      </c>
      <c r="CA273" s="6">
        <v>15.18</v>
      </c>
      <c r="CB273" s="6">
        <v>13.88</v>
      </c>
      <c r="CC273" s="6">
        <v>15.22</v>
      </c>
      <c r="CD273" s="6">
        <v>14.32</v>
      </c>
      <c r="CE273" s="6">
        <v>14.96</v>
      </c>
      <c r="CF273" s="6">
        <v>14.6</v>
      </c>
      <c r="CG273" s="6">
        <v>15.48</v>
      </c>
      <c r="CH273" s="6">
        <v>13.76</v>
      </c>
      <c r="CI273" s="6">
        <v>16.899999999999999</v>
      </c>
      <c r="CJ273" s="11">
        <v>15.14</v>
      </c>
      <c r="CK273" s="6">
        <v>11.8</v>
      </c>
      <c r="CL273" s="6">
        <v>15.38</v>
      </c>
      <c r="CM273" s="6">
        <v>15.48</v>
      </c>
      <c r="CN273" s="6">
        <v>11.61</v>
      </c>
      <c r="CO273" s="10">
        <v>12.32</v>
      </c>
      <c r="CP273" s="10"/>
    </row>
    <row r="274" spans="1:94" ht="15.75" customHeight="1" x14ac:dyDescent="0.25">
      <c r="A274" s="4">
        <v>273</v>
      </c>
      <c r="B274" s="4"/>
      <c r="C274" s="4">
        <v>29</v>
      </c>
      <c r="D274" s="8">
        <v>14.4</v>
      </c>
      <c r="E274" s="8">
        <v>12.38</v>
      </c>
      <c r="F274" s="8">
        <v>14.16</v>
      </c>
      <c r="G274" s="8">
        <v>14.68</v>
      </c>
      <c r="H274" s="8">
        <v>13.38</v>
      </c>
      <c r="I274" s="8">
        <v>13.68</v>
      </c>
      <c r="J274" s="8">
        <v>14.28</v>
      </c>
      <c r="K274" s="8">
        <v>14.14</v>
      </c>
      <c r="L274" s="8">
        <v>16.02</v>
      </c>
      <c r="M274" s="8">
        <v>15.49</v>
      </c>
      <c r="N274" s="8">
        <v>14.94</v>
      </c>
      <c r="O274" s="8">
        <v>16.37</v>
      </c>
      <c r="P274" s="8">
        <v>14.92</v>
      </c>
      <c r="Q274" s="8">
        <v>13.73</v>
      </c>
      <c r="R274" s="8">
        <v>15.61</v>
      </c>
      <c r="S274" s="8">
        <v>14.16</v>
      </c>
      <c r="T274" s="8">
        <v>16.059999999999999</v>
      </c>
      <c r="U274" s="8">
        <v>15.48</v>
      </c>
      <c r="V274" s="8">
        <v>15.03</v>
      </c>
      <c r="W274" s="8">
        <v>15.79</v>
      </c>
      <c r="X274" s="8">
        <v>12.89</v>
      </c>
      <c r="Y274" s="8">
        <v>15.85</v>
      </c>
      <c r="Z274" s="8">
        <v>13.97</v>
      </c>
      <c r="AA274" s="8">
        <v>12.56</v>
      </c>
      <c r="AB274" s="8">
        <v>14.77</v>
      </c>
      <c r="AC274" s="8">
        <v>14.93</v>
      </c>
      <c r="AD274" s="8">
        <v>13.37</v>
      </c>
      <c r="AE274" s="8">
        <v>15.26</v>
      </c>
      <c r="AF274" s="8">
        <v>14.77</v>
      </c>
      <c r="AG274" s="8">
        <v>14.76</v>
      </c>
      <c r="AH274" s="8">
        <v>14.05</v>
      </c>
      <c r="AI274" s="8">
        <v>14.62</v>
      </c>
      <c r="AJ274" s="8">
        <v>15.45</v>
      </c>
      <c r="AK274" s="8">
        <v>15.62</v>
      </c>
      <c r="AL274" s="8">
        <v>14.74</v>
      </c>
      <c r="AM274" s="8">
        <v>15.75</v>
      </c>
      <c r="AN274" s="8">
        <v>15.09</v>
      </c>
      <c r="AO274" s="8">
        <v>14.54</v>
      </c>
      <c r="AP274" s="8">
        <v>15</v>
      </c>
      <c r="AQ274" s="8">
        <v>13.67</v>
      </c>
      <c r="AR274" s="8">
        <v>14.95</v>
      </c>
      <c r="AS274" s="8">
        <v>14.81</v>
      </c>
      <c r="AT274" s="8">
        <v>14.63</v>
      </c>
      <c r="AU274" s="6">
        <v>13.98</v>
      </c>
      <c r="AV274" s="6">
        <v>14.31</v>
      </c>
      <c r="AW274" s="6">
        <v>15.81</v>
      </c>
      <c r="AX274" s="6">
        <v>16</v>
      </c>
      <c r="AY274" s="6">
        <v>15.21</v>
      </c>
      <c r="AZ274" s="6">
        <v>15.57</v>
      </c>
      <c r="BA274" s="6">
        <v>14.82</v>
      </c>
      <c r="BB274" s="6">
        <v>15.43</v>
      </c>
      <c r="BC274" s="11">
        <v>14.88</v>
      </c>
      <c r="BD274" s="6">
        <v>12.28</v>
      </c>
      <c r="BE274" s="6">
        <v>15.06</v>
      </c>
      <c r="BF274" s="6">
        <v>12.26</v>
      </c>
      <c r="BG274" s="6">
        <v>13.81</v>
      </c>
      <c r="BH274" s="6">
        <v>15.89</v>
      </c>
      <c r="BI274" s="6">
        <v>14.6</v>
      </c>
      <c r="BJ274" s="6">
        <v>14.9</v>
      </c>
      <c r="BK274" s="6">
        <v>15.86</v>
      </c>
      <c r="BL274" s="6">
        <v>13.3</v>
      </c>
      <c r="BM274" s="6">
        <v>15.7</v>
      </c>
      <c r="BN274" s="6">
        <v>12.09</v>
      </c>
      <c r="BO274" s="6">
        <v>15.58</v>
      </c>
      <c r="BP274" s="6">
        <v>13.72</v>
      </c>
      <c r="BQ274" s="6">
        <v>14.64</v>
      </c>
      <c r="BR274" s="6">
        <v>12.82</v>
      </c>
      <c r="BS274" s="6">
        <v>14.96</v>
      </c>
      <c r="BT274" s="6">
        <v>15.22</v>
      </c>
      <c r="BU274" s="6">
        <v>15.28</v>
      </c>
      <c r="BV274" s="6">
        <v>13.66</v>
      </c>
      <c r="BW274" s="6">
        <v>14.58</v>
      </c>
      <c r="BX274" s="6">
        <v>14.82</v>
      </c>
      <c r="BY274" s="6">
        <v>14.36</v>
      </c>
      <c r="BZ274" s="6">
        <v>12.58</v>
      </c>
      <c r="CA274" s="6">
        <v>15.1</v>
      </c>
      <c r="CB274" s="6">
        <v>13.78</v>
      </c>
      <c r="CC274" s="6">
        <v>15.18</v>
      </c>
      <c r="CD274" s="6">
        <v>14.26</v>
      </c>
      <c r="CE274" s="6">
        <v>14.9</v>
      </c>
      <c r="CF274" s="6">
        <v>14.48</v>
      </c>
      <c r="CG274" s="6">
        <v>15.36</v>
      </c>
      <c r="CH274" s="6">
        <v>13.58</v>
      </c>
      <c r="CI274" s="6">
        <v>16.84</v>
      </c>
      <c r="CJ274" s="11">
        <v>15.08</v>
      </c>
      <c r="CK274" s="6">
        <v>11.6</v>
      </c>
      <c r="CL274" s="6">
        <v>15.32</v>
      </c>
      <c r="CM274" s="6">
        <v>15.4</v>
      </c>
      <c r="CN274" s="6">
        <v>11.49</v>
      </c>
      <c r="CO274" s="10">
        <v>12.14</v>
      </c>
      <c r="CP274" s="10"/>
    </row>
    <row r="275" spans="1:94" ht="15.75" customHeight="1" x14ac:dyDescent="0.25">
      <c r="A275" s="4">
        <v>274</v>
      </c>
      <c r="B275" s="4"/>
      <c r="C275" s="4">
        <v>30</v>
      </c>
      <c r="D275" s="8">
        <v>14.38</v>
      </c>
      <c r="E275" s="8">
        <v>12.18</v>
      </c>
      <c r="F275" s="8">
        <v>14.12</v>
      </c>
      <c r="G275" s="8">
        <v>14.63</v>
      </c>
      <c r="H275" s="8">
        <v>13.33</v>
      </c>
      <c r="I275" s="8">
        <v>13.66</v>
      </c>
      <c r="J275" s="8">
        <v>14.21</v>
      </c>
      <c r="K275" s="8">
        <v>14.03</v>
      </c>
      <c r="L275" s="8">
        <v>15.93</v>
      </c>
      <c r="M275" s="8">
        <v>15.43</v>
      </c>
      <c r="N275" s="8">
        <v>14.83</v>
      </c>
      <c r="O275" s="8">
        <v>16.07</v>
      </c>
      <c r="P275" s="8">
        <v>14.8</v>
      </c>
      <c r="Q275" s="8">
        <v>13.68</v>
      </c>
      <c r="R275" s="8">
        <v>15.56</v>
      </c>
      <c r="S275" s="8">
        <v>14.06</v>
      </c>
      <c r="T275" s="8">
        <v>15.94</v>
      </c>
      <c r="U275" s="8">
        <v>15.44</v>
      </c>
      <c r="V275" s="8">
        <v>14.98</v>
      </c>
      <c r="W275" s="8">
        <v>15.72</v>
      </c>
      <c r="X275" s="8">
        <v>12.81</v>
      </c>
      <c r="Y275" s="8">
        <v>15.83</v>
      </c>
      <c r="Z275" s="8">
        <v>13.82</v>
      </c>
      <c r="AA275" s="8">
        <v>12.4</v>
      </c>
      <c r="AB275" s="8">
        <v>14.69</v>
      </c>
      <c r="AC275" s="8">
        <v>14.84</v>
      </c>
      <c r="AD275" s="8">
        <v>13.22</v>
      </c>
      <c r="AE275" s="8">
        <v>15.14</v>
      </c>
      <c r="AF275" s="8">
        <v>14.68</v>
      </c>
      <c r="AG275" s="8">
        <v>14.76</v>
      </c>
      <c r="AH275" s="8">
        <v>13.99</v>
      </c>
      <c r="AI275" s="8">
        <v>14.57</v>
      </c>
      <c r="AJ275" s="8">
        <v>15.39</v>
      </c>
      <c r="AK275" s="8">
        <v>15.65</v>
      </c>
      <c r="AL275" s="8">
        <v>14.66</v>
      </c>
      <c r="AM275" s="8">
        <v>15.71</v>
      </c>
      <c r="AN275" s="8">
        <v>14.99</v>
      </c>
      <c r="AO275" s="8">
        <v>14.54</v>
      </c>
      <c r="AP275" s="8">
        <v>14.98</v>
      </c>
      <c r="AQ275" s="8">
        <v>13.65</v>
      </c>
      <c r="AR275" s="8">
        <v>14.85</v>
      </c>
      <c r="AS275" s="8">
        <v>14.7</v>
      </c>
      <c r="AT275" s="8">
        <v>14.55</v>
      </c>
      <c r="AU275" s="6">
        <v>13.92</v>
      </c>
      <c r="AV275" s="6">
        <v>14.22</v>
      </c>
      <c r="AW275" s="6">
        <v>15.76</v>
      </c>
      <c r="AX275" s="6">
        <v>15.89</v>
      </c>
      <c r="AY275" s="6">
        <v>15.17</v>
      </c>
      <c r="AZ275" s="6">
        <v>15.51</v>
      </c>
      <c r="BA275" s="6">
        <v>14.8</v>
      </c>
      <c r="BB275" s="6">
        <v>15.39</v>
      </c>
      <c r="BC275" s="11">
        <v>14.82</v>
      </c>
      <c r="BD275" s="6">
        <v>12.21</v>
      </c>
      <c r="BE275" s="6">
        <v>15.02</v>
      </c>
      <c r="BF275" s="6">
        <v>12.19</v>
      </c>
      <c r="BG275" s="6">
        <v>13.69</v>
      </c>
      <c r="BH275" s="6">
        <v>15.89</v>
      </c>
      <c r="BI275" s="6">
        <v>14.5</v>
      </c>
      <c r="BJ275" s="6">
        <v>14.82</v>
      </c>
      <c r="BK275" s="6">
        <v>15.81</v>
      </c>
      <c r="BL275" s="6">
        <v>13.18</v>
      </c>
      <c r="BM275" s="6">
        <v>15.62</v>
      </c>
      <c r="BN275" s="6">
        <v>11.96</v>
      </c>
      <c r="BO275" s="6">
        <v>15.44</v>
      </c>
      <c r="BP275" s="6">
        <v>13.62</v>
      </c>
      <c r="BQ275" s="6">
        <v>14.6</v>
      </c>
      <c r="BR275" s="6">
        <v>12.8</v>
      </c>
      <c r="BS275" s="6">
        <v>14.88</v>
      </c>
      <c r="BT275" s="6">
        <v>15.15</v>
      </c>
      <c r="BU275" s="6">
        <v>15.16</v>
      </c>
      <c r="BV275" s="6">
        <v>13.58</v>
      </c>
      <c r="BW275" s="6">
        <v>14.4</v>
      </c>
      <c r="BX275" s="6">
        <v>14.82</v>
      </c>
      <c r="BY275" s="6">
        <v>14.28</v>
      </c>
      <c r="BZ275" s="6">
        <v>12.38</v>
      </c>
      <c r="CA275" s="6">
        <v>14.9</v>
      </c>
      <c r="CB275" s="6">
        <v>13.66</v>
      </c>
      <c r="CC275" s="6">
        <v>15.18</v>
      </c>
      <c r="CD275" s="6">
        <v>14.2</v>
      </c>
      <c r="CE275" s="6">
        <v>14.84</v>
      </c>
      <c r="CF275" s="6">
        <v>14.4</v>
      </c>
      <c r="CG275" s="6">
        <v>15.28</v>
      </c>
      <c r="CH275" s="6">
        <v>13.5</v>
      </c>
      <c r="CI275" s="6">
        <v>16.760000000000002</v>
      </c>
      <c r="CJ275" s="11">
        <v>15</v>
      </c>
      <c r="CK275" s="6">
        <v>11.52</v>
      </c>
      <c r="CL275" s="6">
        <v>15.26</v>
      </c>
      <c r="CM275" s="6">
        <v>15.3</v>
      </c>
      <c r="CN275" s="6">
        <v>11.33</v>
      </c>
      <c r="CO275" s="10">
        <v>11.96</v>
      </c>
      <c r="CP275" s="10"/>
    </row>
    <row r="276" spans="1:94" ht="15.75" customHeight="1" x14ac:dyDescent="0.25">
      <c r="A276" s="4">
        <v>275</v>
      </c>
      <c r="B276" s="5" t="s">
        <v>13</v>
      </c>
      <c r="C276" s="4">
        <v>1</v>
      </c>
      <c r="D276" s="8">
        <v>14.36</v>
      </c>
      <c r="E276" s="8">
        <v>12.03</v>
      </c>
      <c r="F276" s="8">
        <v>14.08</v>
      </c>
      <c r="G276" s="8">
        <v>14.53</v>
      </c>
      <c r="H276" s="8">
        <v>13.23</v>
      </c>
      <c r="I276" s="8">
        <v>13.63</v>
      </c>
      <c r="J276" s="8">
        <v>14.13</v>
      </c>
      <c r="K276" s="8">
        <v>13.91</v>
      </c>
      <c r="L276" s="8">
        <v>15.78</v>
      </c>
      <c r="M276" s="8">
        <v>15.37</v>
      </c>
      <c r="N276" s="8">
        <v>14.71</v>
      </c>
      <c r="O276" s="8">
        <v>15.96</v>
      </c>
      <c r="P276" s="8">
        <v>14.55</v>
      </c>
      <c r="Q276" s="8">
        <v>13.59</v>
      </c>
      <c r="R276" s="8">
        <v>15.56</v>
      </c>
      <c r="S276" s="8">
        <v>13.96</v>
      </c>
      <c r="T276" s="8">
        <v>15.81</v>
      </c>
      <c r="U276" s="8">
        <v>15.38</v>
      </c>
      <c r="V276" s="8">
        <v>14.88</v>
      </c>
      <c r="W276" s="8">
        <v>15.66</v>
      </c>
      <c r="X276" s="8">
        <v>12.73</v>
      </c>
      <c r="Y276" s="8">
        <v>15.81</v>
      </c>
      <c r="Z276" s="8">
        <v>13.65</v>
      </c>
      <c r="AA276" s="8">
        <v>12.06</v>
      </c>
      <c r="AB276" s="8">
        <v>14.61</v>
      </c>
      <c r="AC276" s="8">
        <v>14.75</v>
      </c>
      <c r="AD276" s="8">
        <v>13.07</v>
      </c>
      <c r="AE276" s="8">
        <v>15.03</v>
      </c>
      <c r="AF276" s="8">
        <v>14.59</v>
      </c>
      <c r="AG276" s="8">
        <v>14.74</v>
      </c>
      <c r="AH276" s="8">
        <v>13.93</v>
      </c>
      <c r="AI276" s="8">
        <v>14.55</v>
      </c>
      <c r="AJ276" s="8">
        <v>15.33</v>
      </c>
      <c r="AK276" s="8">
        <v>15.66</v>
      </c>
      <c r="AL276" s="8">
        <v>14.58</v>
      </c>
      <c r="AM276" s="8">
        <v>15.68</v>
      </c>
      <c r="AN276" s="8">
        <v>14.89</v>
      </c>
      <c r="AO276" s="8">
        <v>14.51</v>
      </c>
      <c r="AP276" s="8">
        <v>14.94</v>
      </c>
      <c r="AQ276" s="8">
        <v>13.64</v>
      </c>
      <c r="AR276" s="8">
        <v>14.73</v>
      </c>
      <c r="AS276" s="8">
        <v>14.57</v>
      </c>
      <c r="AT276" s="8">
        <v>14.5</v>
      </c>
      <c r="AU276" s="6">
        <v>13.84</v>
      </c>
      <c r="AV276" s="6">
        <v>14.1</v>
      </c>
      <c r="AW276" s="6">
        <v>15.64</v>
      </c>
      <c r="AX276" s="6">
        <v>15.81</v>
      </c>
      <c r="AY276" s="6">
        <v>15.1</v>
      </c>
      <c r="AZ276" s="6">
        <v>15.44</v>
      </c>
      <c r="BA276" s="6">
        <v>14.76</v>
      </c>
      <c r="BB276" s="6">
        <v>15.35</v>
      </c>
      <c r="BC276" s="6">
        <v>14.77</v>
      </c>
      <c r="BD276" s="6">
        <v>12.14</v>
      </c>
      <c r="BE276" s="6">
        <v>14.97</v>
      </c>
      <c r="BF276" s="6">
        <v>12.14</v>
      </c>
      <c r="BG276" s="6">
        <v>13.6</v>
      </c>
      <c r="BH276" s="6">
        <v>15.89</v>
      </c>
      <c r="BI276" s="6">
        <v>14.4</v>
      </c>
      <c r="BJ276" s="6">
        <v>14.74</v>
      </c>
      <c r="BK276" s="6">
        <v>15.78</v>
      </c>
      <c r="BL276" s="6">
        <v>13.04</v>
      </c>
      <c r="BM276" s="6">
        <v>15.56</v>
      </c>
      <c r="BN276" s="6">
        <v>11.84</v>
      </c>
      <c r="BO276" s="6">
        <v>15.28</v>
      </c>
      <c r="BP276" s="6">
        <v>13.6</v>
      </c>
      <c r="BQ276" s="6">
        <v>14.6</v>
      </c>
      <c r="BR276" s="6">
        <v>12.74</v>
      </c>
      <c r="BS276" s="6">
        <v>14.76</v>
      </c>
      <c r="BT276" s="6">
        <v>15.1</v>
      </c>
      <c r="BU276" s="6">
        <v>15.08</v>
      </c>
      <c r="BV276" s="6">
        <v>13.48</v>
      </c>
      <c r="BW276" s="6">
        <v>14.28</v>
      </c>
      <c r="BX276" s="6">
        <v>14.78</v>
      </c>
      <c r="BY276" s="6">
        <v>14.24</v>
      </c>
      <c r="BZ276" s="6">
        <v>12.2</v>
      </c>
      <c r="CA276" s="6">
        <v>14.82</v>
      </c>
      <c r="CB276" s="6">
        <v>13.54</v>
      </c>
      <c r="CC276" s="6">
        <v>15.08</v>
      </c>
      <c r="CD276" s="6">
        <v>14.16</v>
      </c>
      <c r="CE276" s="6">
        <v>14.8</v>
      </c>
      <c r="CF276" s="6">
        <v>14.12</v>
      </c>
      <c r="CG276" s="6">
        <v>15.18</v>
      </c>
      <c r="CH276" s="6">
        <v>13.42</v>
      </c>
      <c r="CI276" s="6">
        <v>16.68</v>
      </c>
      <c r="CJ276" s="11">
        <v>14.9</v>
      </c>
      <c r="CK276" s="6">
        <v>11.36</v>
      </c>
      <c r="CL276" s="6">
        <v>15.2</v>
      </c>
      <c r="CM276" s="6">
        <v>15.22</v>
      </c>
      <c r="CN276" s="6">
        <v>11.15</v>
      </c>
      <c r="CO276" s="10">
        <v>11.78</v>
      </c>
      <c r="CP276" s="10"/>
    </row>
    <row r="277" spans="1:94" ht="15.75" customHeight="1" x14ac:dyDescent="0.25">
      <c r="A277" s="4">
        <v>276</v>
      </c>
      <c r="B277" s="4"/>
      <c r="C277" s="4">
        <v>2</v>
      </c>
      <c r="D277" s="8">
        <v>14.32</v>
      </c>
      <c r="E277" s="8">
        <v>11.88</v>
      </c>
      <c r="F277" s="8">
        <v>13.98</v>
      </c>
      <c r="G277" s="8">
        <v>14.38</v>
      </c>
      <c r="H277" s="8">
        <v>13.18</v>
      </c>
      <c r="I277" s="8">
        <v>13.58</v>
      </c>
      <c r="J277" s="8">
        <v>14.04</v>
      </c>
      <c r="K277" s="8">
        <v>13.79</v>
      </c>
      <c r="L277" s="8">
        <v>15.63</v>
      </c>
      <c r="M277" s="8">
        <v>15.31</v>
      </c>
      <c r="N277" s="8">
        <v>14.61</v>
      </c>
      <c r="O277" s="8">
        <v>15.86</v>
      </c>
      <c r="P277" s="8">
        <v>14.42</v>
      </c>
      <c r="Q277" s="8">
        <v>13.51</v>
      </c>
      <c r="R277" s="8">
        <v>15.43</v>
      </c>
      <c r="S277" s="8">
        <v>13.86</v>
      </c>
      <c r="T277" s="8">
        <v>15.7</v>
      </c>
      <c r="U277" s="8">
        <v>15.31</v>
      </c>
      <c r="V277" s="8">
        <v>14.81</v>
      </c>
      <c r="W277" s="8">
        <v>15.61</v>
      </c>
      <c r="X277" s="8">
        <v>12.63</v>
      </c>
      <c r="Y277" s="8">
        <v>15.79</v>
      </c>
      <c r="Z277" s="8">
        <v>13.47</v>
      </c>
      <c r="AA277" s="8">
        <v>11.8</v>
      </c>
      <c r="AB277" s="8">
        <v>14.53</v>
      </c>
      <c r="AC277" s="8">
        <v>14.67</v>
      </c>
      <c r="AD277" s="8">
        <v>12.93</v>
      </c>
      <c r="AE277" s="8">
        <v>14.93</v>
      </c>
      <c r="AF277" s="8">
        <v>14.5</v>
      </c>
      <c r="AG277" s="8">
        <v>14.7</v>
      </c>
      <c r="AH277" s="8">
        <v>13.85</v>
      </c>
      <c r="AI277" s="8">
        <v>14.48</v>
      </c>
      <c r="AJ277" s="8">
        <v>15.28</v>
      </c>
      <c r="AK277" s="8">
        <v>15.66</v>
      </c>
      <c r="AL277" s="8">
        <v>14.48</v>
      </c>
      <c r="AM277" s="8">
        <v>15.62</v>
      </c>
      <c r="AN277" s="8">
        <v>14.79</v>
      </c>
      <c r="AO277" s="8">
        <v>14.49</v>
      </c>
      <c r="AP277" s="8">
        <v>14.91</v>
      </c>
      <c r="AQ277" s="8">
        <v>13.63</v>
      </c>
      <c r="AR277" s="8">
        <v>14.62</v>
      </c>
      <c r="AS277" s="8">
        <v>14.49</v>
      </c>
      <c r="AT277" s="8">
        <v>14.45</v>
      </c>
      <c r="AU277" s="6">
        <v>13.73</v>
      </c>
      <c r="AV277" s="6">
        <v>14.02</v>
      </c>
      <c r="AW277" s="6">
        <v>15.52</v>
      </c>
      <c r="AX277" s="6">
        <v>15.72</v>
      </c>
      <c r="AY277" s="6">
        <v>15.02</v>
      </c>
      <c r="AZ277" s="6">
        <v>15.38</v>
      </c>
      <c r="BA277" s="6">
        <v>14.69</v>
      </c>
      <c r="BB277" s="6">
        <v>15.3</v>
      </c>
      <c r="BC277" s="6">
        <v>14.72</v>
      </c>
      <c r="BD277" s="6">
        <v>12.06</v>
      </c>
      <c r="BE277" s="6">
        <v>14.88</v>
      </c>
      <c r="BF277" s="6">
        <v>12.06</v>
      </c>
      <c r="BG277" s="6">
        <v>13.47</v>
      </c>
      <c r="BH277" s="6">
        <v>15.88</v>
      </c>
      <c r="BI277" s="6">
        <v>14.3</v>
      </c>
      <c r="BJ277" s="6">
        <v>14.64</v>
      </c>
      <c r="BK277" s="6">
        <v>15.72</v>
      </c>
      <c r="BL277" s="6">
        <v>12.94</v>
      </c>
      <c r="BM277" s="6">
        <v>15.52</v>
      </c>
      <c r="BN277" s="6">
        <v>11.7</v>
      </c>
      <c r="BO277" s="6">
        <v>15.14</v>
      </c>
      <c r="BP277" s="6">
        <v>13.58</v>
      </c>
      <c r="BQ277" s="6">
        <v>14.6</v>
      </c>
      <c r="BR277" s="6">
        <v>12.69</v>
      </c>
      <c r="BS277" s="6">
        <v>14.68</v>
      </c>
      <c r="BT277" s="6">
        <v>15.05</v>
      </c>
      <c r="BU277" s="6">
        <v>15.02</v>
      </c>
      <c r="BV277" s="6">
        <v>13.36</v>
      </c>
      <c r="BW277" s="6">
        <v>14.2</v>
      </c>
      <c r="BX277" s="6">
        <v>14.76</v>
      </c>
      <c r="BY277" s="6">
        <v>14.2</v>
      </c>
      <c r="BZ277" s="6">
        <v>12.16</v>
      </c>
      <c r="CA277" s="6">
        <v>14.72</v>
      </c>
      <c r="CB277" s="6">
        <v>13.1</v>
      </c>
      <c r="CC277" s="6">
        <v>15</v>
      </c>
      <c r="CD277" s="6">
        <v>14.12</v>
      </c>
      <c r="CE277" s="6">
        <v>14.74</v>
      </c>
      <c r="CF277" s="6">
        <v>13.96</v>
      </c>
      <c r="CG277" s="6">
        <v>15.04</v>
      </c>
      <c r="CH277" s="6">
        <v>13.32</v>
      </c>
      <c r="CI277" s="6">
        <v>16.579999999999998</v>
      </c>
      <c r="CJ277" s="11">
        <v>14.64</v>
      </c>
      <c r="CK277" s="6">
        <v>11.24</v>
      </c>
      <c r="CL277" s="6">
        <v>15.14</v>
      </c>
      <c r="CM277" s="6">
        <v>15.13</v>
      </c>
      <c r="CN277" s="6">
        <v>10.94</v>
      </c>
      <c r="CO277" s="10">
        <v>11.64</v>
      </c>
      <c r="CP277" s="10"/>
    </row>
    <row r="278" spans="1:94" ht="15.75" customHeight="1" x14ac:dyDescent="0.25">
      <c r="A278" s="4">
        <v>277</v>
      </c>
      <c r="B278" s="4"/>
      <c r="C278" s="4">
        <v>3</v>
      </c>
      <c r="D278" s="8">
        <v>14.28</v>
      </c>
      <c r="E278" s="8">
        <v>11.78</v>
      </c>
      <c r="F278" s="8">
        <v>13.88</v>
      </c>
      <c r="G278" s="8">
        <v>14.23</v>
      </c>
      <c r="H278" s="8">
        <v>13.08</v>
      </c>
      <c r="I278" s="8">
        <v>13.48</v>
      </c>
      <c r="J278" s="8">
        <v>13.94</v>
      </c>
      <c r="K278" s="8">
        <v>13.66</v>
      </c>
      <c r="L278" s="8">
        <v>15.53</v>
      </c>
      <c r="M278" s="8">
        <v>15.24</v>
      </c>
      <c r="N278" s="8">
        <v>14.48</v>
      </c>
      <c r="O278" s="8">
        <v>15.75</v>
      </c>
      <c r="P278" s="8">
        <v>14.29</v>
      </c>
      <c r="Q278" s="8">
        <v>13.45</v>
      </c>
      <c r="R278" s="8">
        <v>15.36</v>
      </c>
      <c r="S278" s="8">
        <v>13.81</v>
      </c>
      <c r="T278" s="8">
        <v>15.61</v>
      </c>
      <c r="U278" s="8">
        <v>15.26</v>
      </c>
      <c r="V278" s="8">
        <v>14.67</v>
      </c>
      <c r="W278" s="8">
        <v>15.55</v>
      </c>
      <c r="X278" s="8">
        <v>12.57</v>
      </c>
      <c r="Y278" s="8">
        <v>15.75</v>
      </c>
      <c r="Z278" s="8">
        <v>13.28</v>
      </c>
      <c r="AA278" s="8">
        <v>11.54</v>
      </c>
      <c r="AB278" s="8">
        <v>14.49</v>
      </c>
      <c r="AC278" s="8">
        <v>14.59</v>
      </c>
      <c r="AD278" s="8">
        <v>12.77</v>
      </c>
      <c r="AE278" s="8">
        <v>14.81</v>
      </c>
      <c r="AF278" s="8">
        <v>14.42</v>
      </c>
      <c r="AG278" s="8">
        <v>14.66</v>
      </c>
      <c r="AH278" s="8">
        <v>13.79</v>
      </c>
      <c r="AI278" s="8">
        <v>14.45</v>
      </c>
      <c r="AJ278" s="8">
        <v>15.24</v>
      </c>
      <c r="AK278" s="8">
        <v>15.63</v>
      </c>
      <c r="AL278" s="8">
        <v>14.34</v>
      </c>
      <c r="AM278" s="8">
        <v>15.56</v>
      </c>
      <c r="AN278" s="8">
        <v>14.69</v>
      </c>
      <c r="AO278" s="8">
        <v>14.42</v>
      </c>
      <c r="AP278" s="8">
        <v>14.86</v>
      </c>
      <c r="AQ278" s="8">
        <v>13.61</v>
      </c>
      <c r="AR278" s="8">
        <v>14.51</v>
      </c>
      <c r="AS278" s="8">
        <v>14.36</v>
      </c>
      <c r="AT278" s="8">
        <v>14.4</v>
      </c>
      <c r="AU278" s="6">
        <v>13.65</v>
      </c>
      <c r="AV278" s="6">
        <v>13.9</v>
      </c>
      <c r="AW278" s="6">
        <v>15.42</v>
      </c>
      <c r="AX278" s="6">
        <v>15.63</v>
      </c>
      <c r="AY278" s="6">
        <v>14.9</v>
      </c>
      <c r="AZ278" s="6">
        <v>15.3</v>
      </c>
      <c r="BA278" s="6">
        <v>14.59</v>
      </c>
      <c r="BB278" s="6">
        <v>15.23</v>
      </c>
      <c r="BC278" s="6">
        <v>14.67</v>
      </c>
      <c r="BD278" s="6">
        <v>12.02</v>
      </c>
      <c r="BE278" s="6">
        <v>14.8</v>
      </c>
      <c r="BF278" s="6">
        <v>12.03</v>
      </c>
      <c r="BG278" s="6">
        <v>13.38</v>
      </c>
      <c r="BH278" s="6">
        <v>15.81</v>
      </c>
      <c r="BI278" s="6">
        <v>14.2</v>
      </c>
      <c r="BJ278" s="6">
        <v>14.55</v>
      </c>
      <c r="BK278" s="6">
        <v>15.64</v>
      </c>
      <c r="BL278" s="6">
        <v>12.8</v>
      </c>
      <c r="BM278" s="6">
        <v>15.49</v>
      </c>
      <c r="BN278" s="6">
        <v>11.69</v>
      </c>
      <c r="BO278" s="6">
        <v>15.05</v>
      </c>
      <c r="BP278" s="6">
        <v>13.48</v>
      </c>
      <c r="BQ278" s="6">
        <v>14.6</v>
      </c>
      <c r="BR278" s="6">
        <v>12.64</v>
      </c>
      <c r="BS278" s="6">
        <v>14.59</v>
      </c>
      <c r="BT278" s="6">
        <v>15.02</v>
      </c>
      <c r="BU278" s="6">
        <v>14.9</v>
      </c>
      <c r="BV278" s="6">
        <v>13.22</v>
      </c>
      <c r="BW278" s="6">
        <v>13.98</v>
      </c>
      <c r="BX278" s="6">
        <v>14.76</v>
      </c>
      <c r="BY278" s="6">
        <v>14.08</v>
      </c>
      <c r="BZ278" s="6">
        <v>12.02</v>
      </c>
      <c r="CA278" s="6">
        <v>14.6</v>
      </c>
      <c r="CB278" s="6">
        <v>13.26</v>
      </c>
      <c r="CC278" s="6">
        <v>14.88</v>
      </c>
      <c r="CD278" s="6">
        <v>14.08</v>
      </c>
      <c r="CE278" s="6">
        <v>14.5</v>
      </c>
      <c r="CF278" s="6">
        <v>13.9</v>
      </c>
      <c r="CG278" s="6">
        <v>14.94</v>
      </c>
      <c r="CH278" s="6">
        <v>13.16</v>
      </c>
      <c r="CI278" s="6">
        <v>16.48</v>
      </c>
      <c r="CJ278" s="11">
        <v>14.5</v>
      </c>
      <c r="CK278" s="6">
        <v>11.14</v>
      </c>
      <c r="CL278" s="6">
        <v>15.08</v>
      </c>
      <c r="CM278" s="6">
        <v>15.06</v>
      </c>
      <c r="CN278" s="6">
        <v>10.75</v>
      </c>
      <c r="CO278" s="10">
        <v>11.48</v>
      </c>
      <c r="CP278" s="10"/>
    </row>
    <row r="279" spans="1:94" ht="15.75" customHeight="1" x14ac:dyDescent="0.25">
      <c r="A279" s="4">
        <v>278</v>
      </c>
      <c r="B279" s="4"/>
      <c r="C279" s="4">
        <v>4</v>
      </c>
      <c r="D279" s="8">
        <v>14.18</v>
      </c>
      <c r="E279" s="8">
        <v>11.68</v>
      </c>
      <c r="F279" s="8">
        <v>13.78</v>
      </c>
      <c r="G279" s="8">
        <v>14.08</v>
      </c>
      <c r="H279" s="8">
        <v>12.98</v>
      </c>
      <c r="I279" s="8">
        <v>13.38</v>
      </c>
      <c r="J279" s="8">
        <v>13.82</v>
      </c>
      <c r="K279" s="8">
        <v>13.51</v>
      </c>
      <c r="L279" s="8">
        <v>15.43</v>
      </c>
      <c r="M279" s="8">
        <v>15.16</v>
      </c>
      <c r="N279" s="8">
        <v>14.34</v>
      </c>
      <c r="O279" s="8">
        <v>15.63</v>
      </c>
      <c r="P279" s="8">
        <v>14.24</v>
      </c>
      <c r="Q279" s="8">
        <v>13.4</v>
      </c>
      <c r="R279" s="8">
        <v>15.29</v>
      </c>
      <c r="S279" s="8">
        <v>13.71</v>
      </c>
      <c r="T279" s="8">
        <v>15.45</v>
      </c>
      <c r="U279" s="8">
        <v>15.21</v>
      </c>
      <c r="V279" s="8">
        <v>14.56</v>
      </c>
      <c r="W279" s="8">
        <v>15.49</v>
      </c>
      <c r="X279" s="8">
        <v>12.47</v>
      </c>
      <c r="Y279" s="8">
        <v>15.75</v>
      </c>
      <c r="Z279" s="8">
        <v>13.1</v>
      </c>
      <c r="AA279" s="8">
        <v>11.28</v>
      </c>
      <c r="AB279" s="8">
        <v>14.43</v>
      </c>
      <c r="AC279" s="8">
        <v>14.51</v>
      </c>
      <c r="AD279" s="8">
        <v>12.61</v>
      </c>
      <c r="AE279" s="8">
        <v>14.71</v>
      </c>
      <c r="AF279" s="8">
        <v>14.35</v>
      </c>
      <c r="AG279" s="8">
        <v>14.63</v>
      </c>
      <c r="AH279" s="8">
        <v>13.71</v>
      </c>
      <c r="AI279" s="8">
        <v>14.37</v>
      </c>
      <c r="AJ279" s="8">
        <v>15.15</v>
      </c>
      <c r="AK279" s="8">
        <v>15.59</v>
      </c>
      <c r="AL279" s="8">
        <v>14.19</v>
      </c>
      <c r="AM279" s="8">
        <v>15.54</v>
      </c>
      <c r="AN279" s="8">
        <v>14.6</v>
      </c>
      <c r="AO279" s="8">
        <v>14.38</v>
      </c>
      <c r="AP279" s="8">
        <v>14.81</v>
      </c>
      <c r="AQ279" s="8">
        <v>13.6</v>
      </c>
      <c r="AR279" s="8">
        <v>14.45</v>
      </c>
      <c r="AS279" s="8">
        <v>14.25</v>
      </c>
      <c r="AT279" s="8">
        <v>14.33</v>
      </c>
      <c r="AU279" s="6">
        <v>13.56</v>
      </c>
      <c r="AV279" s="6">
        <v>13.78</v>
      </c>
      <c r="AW279" s="6">
        <v>15.31</v>
      </c>
      <c r="AX279" s="6">
        <v>15.52</v>
      </c>
      <c r="AY279" s="6">
        <v>14.81</v>
      </c>
      <c r="AZ279" s="6">
        <v>15.22</v>
      </c>
      <c r="BA279" s="6">
        <v>14.52</v>
      </c>
      <c r="BB279" s="6">
        <v>15.18</v>
      </c>
      <c r="BC279" s="6">
        <v>14.6</v>
      </c>
      <c r="BD279" s="6">
        <v>12.04</v>
      </c>
      <c r="BE279" s="6">
        <v>14.71</v>
      </c>
      <c r="BF279" s="6">
        <v>12.05</v>
      </c>
      <c r="BG279" s="6">
        <v>13.27</v>
      </c>
      <c r="BH279" s="6">
        <v>15.71</v>
      </c>
      <c r="BI279" s="6">
        <v>14.08</v>
      </c>
      <c r="BJ279" s="6">
        <v>14.46</v>
      </c>
      <c r="BK279" s="6">
        <v>15.54</v>
      </c>
      <c r="BL279" s="6">
        <v>12.68</v>
      </c>
      <c r="BM279" s="6">
        <v>15.42</v>
      </c>
      <c r="BN279" s="6">
        <v>11.48</v>
      </c>
      <c r="BO279" s="6">
        <v>14.94</v>
      </c>
      <c r="BP279" s="6">
        <v>13.46</v>
      </c>
      <c r="BQ279" s="6">
        <v>14.48</v>
      </c>
      <c r="BR279" s="6">
        <v>12.6</v>
      </c>
      <c r="BS279" s="6">
        <v>14.48</v>
      </c>
      <c r="BT279" s="6">
        <v>14.94</v>
      </c>
      <c r="BU279" s="6">
        <v>14.82</v>
      </c>
      <c r="BV279" s="6">
        <v>13.09</v>
      </c>
      <c r="BW279" s="6">
        <v>13.86</v>
      </c>
      <c r="BX279" s="6">
        <v>14.74</v>
      </c>
      <c r="BY279" s="6">
        <v>14</v>
      </c>
      <c r="BZ279" s="6">
        <v>11.9</v>
      </c>
      <c r="CA279" s="6">
        <v>14.54</v>
      </c>
      <c r="CB279" s="6">
        <v>13.12</v>
      </c>
      <c r="CC279" s="6">
        <v>14.76</v>
      </c>
      <c r="CD279" s="6">
        <v>14.06</v>
      </c>
      <c r="CE279" s="6">
        <v>14.38</v>
      </c>
      <c r="CF279" s="6">
        <v>13.66</v>
      </c>
      <c r="CG279" s="6">
        <v>14.82</v>
      </c>
      <c r="CH279" s="6">
        <v>13.04</v>
      </c>
      <c r="CI279" s="6">
        <v>16.399999999999999</v>
      </c>
      <c r="CJ279" s="11">
        <v>14.4</v>
      </c>
      <c r="CK279" s="6">
        <v>11</v>
      </c>
      <c r="CL279" s="6">
        <v>15.04</v>
      </c>
      <c r="CM279" s="6">
        <v>15</v>
      </c>
      <c r="CN279" s="6">
        <v>10.56</v>
      </c>
      <c r="CO279" s="10">
        <v>11.29</v>
      </c>
      <c r="CP279" s="10"/>
    </row>
    <row r="280" spans="1:94" ht="15.75" customHeight="1" x14ac:dyDescent="0.25">
      <c r="A280" s="4">
        <v>279</v>
      </c>
      <c r="B280" s="4"/>
      <c r="C280" s="4">
        <v>5</v>
      </c>
      <c r="D280" s="8">
        <v>14.08</v>
      </c>
      <c r="E280" s="8">
        <v>11.63</v>
      </c>
      <c r="F280" s="8">
        <v>13.63</v>
      </c>
      <c r="G280" s="8">
        <v>13.98</v>
      </c>
      <c r="H280" s="8">
        <v>12.93</v>
      </c>
      <c r="I280" s="8">
        <v>13.28</v>
      </c>
      <c r="J280" s="8">
        <v>13.78</v>
      </c>
      <c r="K280" s="8">
        <v>13.37</v>
      </c>
      <c r="L280" s="8">
        <v>15.33</v>
      </c>
      <c r="M280" s="8">
        <v>15.07</v>
      </c>
      <c r="N280" s="8">
        <v>14.19</v>
      </c>
      <c r="O280" s="8">
        <v>15.6</v>
      </c>
      <c r="P280" s="8">
        <v>14.12</v>
      </c>
      <c r="Q280" s="8">
        <v>13.36</v>
      </c>
      <c r="R280" s="8">
        <v>15.22</v>
      </c>
      <c r="S280" s="8">
        <v>13.61</v>
      </c>
      <c r="T280" s="8">
        <v>15.39</v>
      </c>
      <c r="U280" s="8">
        <v>15.11</v>
      </c>
      <c r="V280" s="8">
        <v>14.45</v>
      </c>
      <c r="W280" s="8">
        <v>15.42</v>
      </c>
      <c r="X280" s="8">
        <v>12.41</v>
      </c>
      <c r="Y280" s="8">
        <v>15.71</v>
      </c>
      <c r="Z280" s="8">
        <v>12.91</v>
      </c>
      <c r="AA280" s="8">
        <v>11.1</v>
      </c>
      <c r="AB280" s="8">
        <v>14.37</v>
      </c>
      <c r="AC280" s="8">
        <v>14.42</v>
      </c>
      <c r="AD280" s="8">
        <v>12.45</v>
      </c>
      <c r="AE280" s="8">
        <v>14.59</v>
      </c>
      <c r="AF280" s="8">
        <v>14.3</v>
      </c>
      <c r="AG280" s="8">
        <v>14.6</v>
      </c>
      <c r="AH280" s="8">
        <v>13.62</v>
      </c>
      <c r="AI280" s="8">
        <v>14.27</v>
      </c>
      <c r="AJ280" s="8">
        <v>15.05</v>
      </c>
      <c r="AK280" s="8">
        <v>15.53</v>
      </c>
      <c r="AL280" s="8">
        <v>14.12</v>
      </c>
      <c r="AM280" s="8">
        <v>15.51</v>
      </c>
      <c r="AN280" s="8">
        <v>14.51</v>
      </c>
      <c r="AO280" s="8">
        <v>14.26</v>
      </c>
      <c r="AP280" s="8">
        <v>14.7</v>
      </c>
      <c r="AQ280" s="8">
        <v>13.59</v>
      </c>
      <c r="AR280" s="8">
        <v>14.35</v>
      </c>
      <c r="AS280" s="8">
        <v>14.09</v>
      </c>
      <c r="AT280" s="8">
        <v>14.22</v>
      </c>
      <c r="AU280" s="6">
        <v>13.47</v>
      </c>
      <c r="AV280" s="6">
        <v>13.68</v>
      </c>
      <c r="AW280" s="6">
        <v>15.22</v>
      </c>
      <c r="AX280" s="6">
        <v>15.43</v>
      </c>
      <c r="AY280" s="6">
        <v>14.72</v>
      </c>
      <c r="AZ280" s="6">
        <v>15.14</v>
      </c>
      <c r="BA280" s="6">
        <v>14.46</v>
      </c>
      <c r="BB280" s="6">
        <v>15.09</v>
      </c>
      <c r="BC280" s="6">
        <v>14.55</v>
      </c>
      <c r="BD280" s="6">
        <v>12.06</v>
      </c>
      <c r="BE280" s="6">
        <v>14.61</v>
      </c>
      <c r="BF280" s="6">
        <v>12.07</v>
      </c>
      <c r="BG280" s="6">
        <v>13.14</v>
      </c>
      <c r="BH280" s="6">
        <v>15.61</v>
      </c>
      <c r="BI280" s="6">
        <v>14.02</v>
      </c>
      <c r="BJ280" s="6">
        <v>14.38</v>
      </c>
      <c r="BK280" s="6">
        <v>15.44</v>
      </c>
      <c r="BL280" s="6">
        <v>12.56</v>
      </c>
      <c r="BM280" s="6">
        <v>15.36</v>
      </c>
      <c r="BN280" s="6">
        <v>11.4</v>
      </c>
      <c r="BO280" s="6">
        <v>14.96</v>
      </c>
      <c r="BP280" s="6">
        <v>13.58</v>
      </c>
      <c r="BQ280" s="6">
        <v>14.4</v>
      </c>
      <c r="BR280" s="6">
        <v>12.56</v>
      </c>
      <c r="BS280" s="6">
        <v>14.36</v>
      </c>
      <c r="BT280" s="6">
        <v>14.86</v>
      </c>
      <c r="BU280" s="6">
        <v>14.76</v>
      </c>
      <c r="BV280" s="6">
        <v>12.92</v>
      </c>
      <c r="BW280" s="6">
        <v>13.74</v>
      </c>
      <c r="BX280" s="6">
        <v>14.72</v>
      </c>
      <c r="BY280" s="6">
        <v>13.92</v>
      </c>
      <c r="BZ280" s="6">
        <v>11.76</v>
      </c>
      <c r="CA280" s="6">
        <v>14.4</v>
      </c>
      <c r="CB280" s="6">
        <v>13.02</v>
      </c>
      <c r="CC280" s="6">
        <v>14.64</v>
      </c>
      <c r="CD280" s="6">
        <v>14</v>
      </c>
      <c r="CE280" s="6">
        <v>14.26</v>
      </c>
      <c r="CF280" s="6">
        <v>13.42</v>
      </c>
      <c r="CG280" s="6">
        <v>14.72</v>
      </c>
      <c r="CH280" s="6">
        <v>12.98</v>
      </c>
      <c r="CI280" s="6">
        <v>16.3</v>
      </c>
      <c r="CJ280" s="11">
        <v>14.32</v>
      </c>
      <c r="CK280" s="6">
        <v>10.9</v>
      </c>
      <c r="CL280" s="6">
        <v>14.96</v>
      </c>
      <c r="CM280" s="6">
        <v>14.9</v>
      </c>
      <c r="CN280" s="6">
        <v>10.4</v>
      </c>
      <c r="CO280" s="10">
        <v>11.13</v>
      </c>
      <c r="CP280" s="10"/>
    </row>
    <row r="281" spans="1:94" ht="15.75" customHeight="1" x14ac:dyDescent="0.25">
      <c r="A281" s="4">
        <v>280</v>
      </c>
      <c r="B281" s="4"/>
      <c r="C281" s="4">
        <v>6</v>
      </c>
      <c r="D281" s="8">
        <v>13.98</v>
      </c>
      <c r="E281" s="8">
        <v>11.58</v>
      </c>
      <c r="F281" s="8">
        <v>13.48</v>
      </c>
      <c r="G281" s="8">
        <v>13.88</v>
      </c>
      <c r="H281" s="8">
        <v>12.83</v>
      </c>
      <c r="I281" s="8">
        <v>13.17</v>
      </c>
      <c r="J281" s="8">
        <v>13.75</v>
      </c>
      <c r="K281" s="8">
        <v>13.26</v>
      </c>
      <c r="L281" s="8">
        <v>15.23</v>
      </c>
      <c r="M281" s="8">
        <v>14.95</v>
      </c>
      <c r="N281" s="8">
        <v>14.04</v>
      </c>
      <c r="O281" s="8">
        <v>15.52</v>
      </c>
      <c r="P281" s="8">
        <v>14.06</v>
      </c>
      <c r="Q281" s="8">
        <v>13.28</v>
      </c>
      <c r="R281" s="8">
        <v>15.14</v>
      </c>
      <c r="S281" s="8">
        <v>13.51</v>
      </c>
      <c r="T281" s="8">
        <v>15.34</v>
      </c>
      <c r="U281" s="8">
        <v>15.01</v>
      </c>
      <c r="V281" s="8">
        <v>14.26</v>
      </c>
      <c r="W281" s="8">
        <v>15.37</v>
      </c>
      <c r="X281" s="8">
        <v>12.38</v>
      </c>
      <c r="Y281" s="8">
        <v>15.67</v>
      </c>
      <c r="Z281" s="8">
        <v>12.72</v>
      </c>
      <c r="AA281" s="8">
        <v>10.94</v>
      </c>
      <c r="AB281" s="8">
        <v>14.31</v>
      </c>
      <c r="AC281" s="8">
        <v>14.33</v>
      </c>
      <c r="AD281" s="8">
        <v>12.28</v>
      </c>
      <c r="AE281" s="8">
        <v>14.49</v>
      </c>
      <c r="AF281" s="8">
        <v>14.2</v>
      </c>
      <c r="AG281" s="8">
        <v>14.55</v>
      </c>
      <c r="AH281" s="8">
        <v>13.55</v>
      </c>
      <c r="AI281" s="8">
        <v>14.17</v>
      </c>
      <c r="AJ281" s="8">
        <v>14.93</v>
      </c>
      <c r="AK281" s="8">
        <v>15.47</v>
      </c>
      <c r="AL281" s="8">
        <v>14.1</v>
      </c>
      <c r="AM281" s="8">
        <v>15.44</v>
      </c>
      <c r="AN281" s="8">
        <v>14.41</v>
      </c>
      <c r="AO281" s="8">
        <v>14.17</v>
      </c>
      <c r="AP281" s="8">
        <v>14.63</v>
      </c>
      <c r="AQ281" s="8">
        <v>13.59</v>
      </c>
      <c r="AR281" s="8">
        <v>14.25</v>
      </c>
      <c r="AS281" s="8">
        <v>13.98</v>
      </c>
      <c r="AT281" s="8">
        <v>14.15</v>
      </c>
      <c r="AU281" s="6">
        <v>13.39</v>
      </c>
      <c r="AV281" s="6">
        <v>13.6</v>
      </c>
      <c r="AW281" s="6">
        <v>15.11</v>
      </c>
      <c r="AX281" s="6">
        <v>15.34</v>
      </c>
      <c r="AY281" s="6">
        <v>14.61</v>
      </c>
      <c r="AZ281" s="6">
        <v>15.07</v>
      </c>
      <c r="BA281" s="6">
        <v>14.47</v>
      </c>
      <c r="BB281" s="6">
        <v>15</v>
      </c>
      <c r="BC281" s="6">
        <v>14.5</v>
      </c>
      <c r="BD281" s="6">
        <v>12.1</v>
      </c>
      <c r="BE281" s="6">
        <v>14.542</v>
      </c>
      <c r="BF281" s="6">
        <v>12.1</v>
      </c>
      <c r="BG281" s="6">
        <v>13.01</v>
      </c>
      <c r="BH281" s="6">
        <v>15.51</v>
      </c>
      <c r="BI281" s="6">
        <v>13.82</v>
      </c>
      <c r="BJ281" s="6">
        <v>14.2</v>
      </c>
      <c r="BK281" s="6">
        <v>15.34</v>
      </c>
      <c r="BL281" s="6">
        <v>12.44</v>
      </c>
      <c r="BM281" s="6">
        <v>15.27</v>
      </c>
      <c r="BN281" s="6">
        <v>11.28</v>
      </c>
      <c r="BO281" s="6">
        <v>14.78</v>
      </c>
      <c r="BP281" s="6">
        <v>13.55</v>
      </c>
      <c r="BQ281" s="6">
        <v>14.36</v>
      </c>
      <c r="BR281" s="6">
        <v>12.52</v>
      </c>
      <c r="BS281" s="6">
        <v>14.22</v>
      </c>
      <c r="BT281" s="6">
        <v>14.76</v>
      </c>
      <c r="BU281" s="6">
        <v>14.7</v>
      </c>
      <c r="BV281" s="6">
        <v>12.68</v>
      </c>
      <c r="BW281" s="6">
        <v>13.62</v>
      </c>
      <c r="BX281" s="6">
        <v>14.66</v>
      </c>
      <c r="BY281" s="6">
        <v>13.84</v>
      </c>
      <c r="BZ281" s="6">
        <v>11.64</v>
      </c>
      <c r="CA281" s="6">
        <v>14.26</v>
      </c>
      <c r="CB281" s="6">
        <v>12.9</v>
      </c>
      <c r="CC281" s="6">
        <v>14.52</v>
      </c>
      <c r="CD281" s="6">
        <v>14</v>
      </c>
      <c r="CE281" s="6">
        <v>14.12</v>
      </c>
      <c r="CF281" s="6">
        <v>13.34</v>
      </c>
      <c r="CG281" s="6">
        <v>14.62</v>
      </c>
      <c r="CH281" s="6">
        <v>12.92</v>
      </c>
      <c r="CI281" s="6">
        <v>16.2</v>
      </c>
      <c r="CJ281" s="11">
        <v>14.24</v>
      </c>
      <c r="CK281" s="6">
        <v>10.9</v>
      </c>
      <c r="CL281" s="6">
        <v>14.88</v>
      </c>
      <c r="CM281" s="6">
        <v>14.92</v>
      </c>
      <c r="CN281" s="6">
        <v>10.27</v>
      </c>
      <c r="CO281" s="10">
        <v>10.95</v>
      </c>
      <c r="CP281" s="10"/>
    </row>
    <row r="282" spans="1:94" ht="15.75" customHeight="1" x14ac:dyDescent="0.25">
      <c r="A282" s="4">
        <v>281</v>
      </c>
      <c r="B282" s="4"/>
      <c r="C282" s="4">
        <v>7</v>
      </c>
      <c r="D282" s="8">
        <v>13.88</v>
      </c>
      <c r="E282" s="8">
        <v>11.53</v>
      </c>
      <c r="F282" s="8">
        <v>13.33</v>
      </c>
      <c r="G282" s="8">
        <v>13.78</v>
      </c>
      <c r="H282" s="8">
        <v>12.73</v>
      </c>
      <c r="I282" s="8">
        <v>13.12</v>
      </c>
      <c r="J282" s="8">
        <v>13.73</v>
      </c>
      <c r="K282" s="8">
        <v>13.13</v>
      </c>
      <c r="L282" s="8">
        <v>15.08</v>
      </c>
      <c r="M282" s="8">
        <v>14.84</v>
      </c>
      <c r="N282" s="8">
        <v>13.9</v>
      </c>
      <c r="O282" s="8">
        <v>15.37</v>
      </c>
      <c r="P282" s="8">
        <v>14.01</v>
      </c>
      <c r="Q282" s="8">
        <v>13.17</v>
      </c>
      <c r="R282" s="8">
        <v>15.06</v>
      </c>
      <c r="S282" s="8">
        <v>13.41</v>
      </c>
      <c r="T282" s="8">
        <v>15.3</v>
      </c>
      <c r="U282" s="8">
        <v>14.91</v>
      </c>
      <c r="V282" s="8">
        <v>14.13</v>
      </c>
      <c r="W282" s="8">
        <v>15.29</v>
      </c>
      <c r="X282" s="8">
        <v>12.38</v>
      </c>
      <c r="Y282" s="8">
        <v>15.63</v>
      </c>
      <c r="Z282" s="8">
        <v>12.53</v>
      </c>
      <c r="AA282" s="8">
        <v>10.78</v>
      </c>
      <c r="AB282" s="8">
        <v>14.23</v>
      </c>
      <c r="AC282" s="8">
        <v>14.21</v>
      </c>
      <c r="AD282" s="8">
        <v>12.11</v>
      </c>
      <c r="AE282" s="8">
        <v>14.37</v>
      </c>
      <c r="AF282" s="8">
        <v>14.09</v>
      </c>
      <c r="AG282" s="8">
        <v>14.5</v>
      </c>
      <c r="AH282" s="8">
        <v>13.45</v>
      </c>
      <c r="AI282" s="8">
        <v>14.07</v>
      </c>
      <c r="AJ282" s="8">
        <v>14.79</v>
      </c>
      <c r="AK282" s="8">
        <v>15.41</v>
      </c>
      <c r="AL282" s="8">
        <v>14.05</v>
      </c>
      <c r="AM282" s="8">
        <v>15.36</v>
      </c>
      <c r="AN282" s="8">
        <v>14.38</v>
      </c>
      <c r="AO282" s="8">
        <v>14.07</v>
      </c>
      <c r="AP282" s="8">
        <v>14.6</v>
      </c>
      <c r="AQ282" s="8">
        <v>13.58</v>
      </c>
      <c r="AR282" s="8">
        <v>14.17</v>
      </c>
      <c r="AS282" s="8">
        <v>13.89</v>
      </c>
      <c r="AT282" s="8">
        <v>14.06</v>
      </c>
      <c r="AU282" s="6">
        <v>13.3</v>
      </c>
      <c r="AV282" s="6">
        <v>13.56</v>
      </c>
      <c r="AW282" s="6">
        <v>15.01</v>
      </c>
      <c r="AX282" s="6">
        <v>15.22</v>
      </c>
      <c r="AY282" s="6">
        <v>14.5</v>
      </c>
      <c r="AZ282" s="6">
        <v>15.02</v>
      </c>
      <c r="BA282" s="6">
        <v>14.51</v>
      </c>
      <c r="BB282" s="6">
        <v>14.9</v>
      </c>
      <c r="BC282" s="6">
        <v>14.43</v>
      </c>
      <c r="BD282" s="6">
        <v>12.1</v>
      </c>
      <c r="BE282" s="6">
        <v>14.43</v>
      </c>
      <c r="BF282" s="6">
        <v>12.11</v>
      </c>
      <c r="BG282" s="6">
        <v>12.88</v>
      </c>
      <c r="BH282" s="6">
        <v>15.4</v>
      </c>
      <c r="BI282" s="6">
        <v>13.72</v>
      </c>
      <c r="BJ282" s="6">
        <v>14.24</v>
      </c>
      <c r="BK282" s="6">
        <v>15.35</v>
      </c>
      <c r="BL282" s="6">
        <v>12.32</v>
      </c>
      <c r="BM282" s="6">
        <v>15.18</v>
      </c>
      <c r="BN282" s="6">
        <v>11.2</v>
      </c>
      <c r="BO282" s="6">
        <v>14.7</v>
      </c>
      <c r="BP282" s="6">
        <v>13.6</v>
      </c>
      <c r="BQ282" s="6">
        <v>14.28</v>
      </c>
      <c r="BR282" s="6">
        <v>12.44</v>
      </c>
      <c r="BS282" s="6">
        <v>14.1</v>
      </c>
      <c r="BT282" s="6">
        <v>14.68</v>
      </c>
      <c r="BU282" s="6">
        <v>14.64</v>
      </c>
      <c r="BV282" s="6">
        <v>12.58</v>
      </c>
      <c r="BW282" s="6">
        <v>13.5</v>
      </c>
      <c r="BX282" s="6">
        <v>14.58</v>
      </c>
      <c r="BY282" s="6">
        <v>13.7</v>
      </c>
      <c r="BZ282" s="6">
        <v>11.54</v>
      </c>
      <c r="CA282" s="6">
        <v>14.06</v>
      </c>
      <c r="CB282" s="6">
        <v>12.84</v>
      </c>
      <c r="CC282" s="6">
        <v>14.38</v>
      </c>
      <c r="CD282" s="6">
        <v>13.94</v>
      </c>
      <c r="CE282" s="6">
        <v>14.08</v>
      </c>
      <c r="CF282" s="6">
        <v>13.08</v>
      </c>
      <c r="CG282" s="6">
        <v>14.52</v>
      </c>
      <c r="CH282" s="6">
        <v>12.86</v>
      </c>
      <c r="CI282" s="6">
        <v>16.100000000000001</v>
      </c>
      <c r="CJ282" s="11">
        <v>14.16</v>
      </c>
      <c r="CK282" s="6">
        <v>10.84</v>
      </c>
      <c r="CL282" s="6">
        <v>14.8</v>
      </c>
      <c r="CM282" s="6">
        <v>14.8</v>
      </c>
      <c r="CN282" s="6">
        <v>10.15</v>
      </c>
      <c r="CO282" s="10">
        <v>10.79</v>
      </c>
      <c r="CP282" s="10"/>
    </row>
    <row r="283" spans="1:94" ht="15.75" customHeight="1" x14ac:dyDescent="0.25">
      <c r="A283" s="4">
        <v>282</v>
      </c>
      <c r="B283" s="4"/>
      <c r="C283" s="4">
        <v>8</v>
      </c>
      <c r="D283" s="8">
        <v>13.78</v>
      </c>
      <c r="E283" s="8">
        <v>11.48</v>
      </c>
      <c r="F283" s="8">
        <v>13.23</v>
      </c>
      <c r="G283" s="8">
        <v>13.68</v>
      </c>
      <c r="H283" s="8">
        <v>12.63</v>
      </c>
      <c r="I283" s="8">
        <v>13.1</v>
      </c>
      <c r="J283" s="8">
        <v>13.53</v>
      </c>
      <c r="K283" s="8">
        <v>13</v>
      </c>
      <c r="L283" s="8">
        <v>14.93</v>
      </c>
      <c r="M283" s="8">
        <v>14.71</v>
      </c>
      <c r="N283" s="8">
        <v>13.74</v>
      </c>
      <c r="O283" s="8">
        <v>15.27</v>
      </c>
      <c r="P283" s="8">
        <v>13.96</v>
      </c>
      <c r="Q283" s="8">
        <v>13.05</v>
      </c>
      <c r="R283" s="8">
        <v>15</v>
      </c>
      <c r="S283" s="8">
        <v>13.26</v>
      </c>
      <c r="T283" s="8">
        <v>15.25</v>
      </c>
      <c r="U283" s="8">
        <v>14.76</v>
      </c>
      <c r="V283" s="8">
        <v>13.99</v>
      </c>
      <c r="W283" s="8">
        <v>15.24</v>
      </c>
      <c r="X283" s="8">
        <v>12.33</v>
      </c>
      <c r="Y283" s="8">
        <v>15.58</v>
      </c>
      <c r="Z283" s="8">
        <v>12.35</v>
      </c>
      <c r="AA283" s="8">
        <v>10.62</v>
      </c>
      <c r="AB283" s="8">
        <v>14.15</v>
      </c>
      <c r="AC283" s="8">
        <v>14.09</v>
      </c>
      <c r="AD283" s="8">
        <v>11.95</v>
      </c>
      <c r="AE283" s="8">
        <v>14.27</v>
      </c>
      <c r="AF283" s="8">
        <v>13.97</v>
      </c>
      <c r="AG283" s="8">
        <v>14.46</v>
      </c>
      <c r="AH283" s="8">
        <v>13.35</v>
      </c>
      <c r="AI283" s="8">
        <v>14</v>
      </c>
      <c r="AJ283" s="8">
        <v>14.65</v>
      </c>
      <c r="AK283" s="8">
        <v>15.34</v>
      </c>
      <c r="AL283" s="8">
        <v>14.02</v>
      </c>
      <c r="AM283" s="8">
        <v>15.28</v>
      </c>
      <c r="AN283" s="8">
        <v>14.36</v>
      </c>
      <c r="AO283" s="8">
        <v>13.98</v>
      </c>
      <c r="AP283" s="8">
        <v>14.6</v>
      </c>
      <c r="AQ283" s="8">
        <v>13.57</v>
      </c>
      <c r="AR283" s="8">
        <v>14.09</v>
      </c>
      <c r="AS283" s="8">
        <v>13.79</v>
      </c>
      <c r="AT283" s="8">
        <v>13.93</v>
      </c>
      <c r="AU283" s="6">
        <v>13.22</v>
      </c>
      <c r="AV283" s="6">
        <v>13.47</v>
      </c>
      <c r="AW283" s="6">
        <v>14.89</v>
      </c>
      <c r="AX283" s="6">
        <v>15.13</v>
      </c>
      <c r="AY283" s="6">
        <v>14.39</v>
      </c>
      <c r="AZ283" s="6">
        <v>14.94</v>
      </c>
      <c r="BA283" s="6">
        <v>14.51</v>
      </c>
      <c r="BB283" s="6">
        <v>14.81</v>
      </c>
      <c r="BC283" s="6">
        <v>14.35</v>
      </c>
      <c r="BD283" s="6">
        <v>12.1</v>
      </c>
      <c r="BE283" s="6">
        <v>14.36</v>
      </c>
      <c r="BF283" s="6">
        <v>12.11</v>
      </c>
      <c r="BG283" s="6">
        <v>12.73</v>
      </c>
      <c r="BH283" s="6">
        <v>15.31</v>
      </c>
      <c r="BI283" s="6">
        <v>13.58</v>
      </c>
      <c r="BJ283" s="6">
        <v>14.19</v>
      </c>
      <c r="BK283" s="6">
        <v>15.22</v>
      </c>
      <c r="BL283" s="6">
        <v>12.16</v>
      </c>
      <c r="BM283" s="6">
        <v>15.1</v>
      </c>
      <c r="BN283" s="6">
        <v>11.08</v>
      </c>
      <c r="BO283" s="6">
        <v>14.62</v>
      </c>
      <c r="BP283" s="6">
        <v>13.68</v>
      </c>
      <c r="BQ283" s="6">
        <v>14.22</v>
      </c>
      <c r="BR283" s="6">
        <v>12.4</v>
      </c>
      <c r="BS283" s="6">
        <v>14</v>
      </c>
      <c r="BT283" s="6">
        <v>14.58</v>
      </c>
      <c r="BU283" s="6">
        <v>14.54</v>
      </c>
      <c r="BV283" s="6">
        <v>12.44</v>
      </c>
      <c r="BW283" s="6">
        <v>13.34</v>
      </c>
      <c r="BX283" s="6">
        <v>14.5</v>
      </c>
      <c r="BY283" s="6">
        <v>13.54</v>
      </c>
      <c r="BZ283" s="6">
        <v>11.4</v>
      </c>
      <c r="CA283" s="6">
        <v>13.86</v>
      </c>
      <c r="CB283" s="6">
        <v>12.84</v>
      </c>
      <c r="CC283" s="6">
        <v>14.26</v>
      </c>
      <c r="CD283" s="24">
        <v>13.88</v>
      </c>
      <c r="CE283" s="6">
        <v>13.88</v>
      </c>
      <c r="CF283" s="6">
        <v>12.92</v>
      </c>
      <c r="CG283" s="6">
        <v>14.4</v>
      </c>
      <c r="CH283" s="6">
        <v>12.82</v>
      </c>
      <c r="CI283" s="6">
        <v>16</v>
      </c>
      <c r="CJ283" s="11">
        <v>13.7</v>
      </c>
      <c r="CK283" s="6">
        <v>10.84</v>
      </c>
      <c r="CL283" s="6">
        <v>14.72</v>
      </c>
      <c r="CM283" s="6">
        <v>14.68</v>
      </c>
      <c r="CN283" s="6">
        <v>10</v>
      </c>
      <c r="CO283" s="10">
        <v>10.65</v>
      </c>
      <c r="CP283" s="10"/>
    </row>
    <row r="284" spans="1:94" ht="15.75" customHeight="1" x14ac:dyDescent="0.25">
      <c r="A284" s="4">
        <v>283</v>
      </c>
      <c r="B284" s="4"/>
      <c r="C284" s="4">
        <v>9</v>
      </c>
      <c r="D284" s="8">
        <v>13.68</v>
      </c>
      <c r="E284" s="8">
        <v>11.44</v>
      </c>
      <c r="F284" s="8">
        <v>13.13</v>
      </c>
      <c r="G284" s="8">
        <v>13.63</v>
      </c>
      <c r="H284" s="8">
        <v>12.53</v>
      </c>
      <c r="I284" s="8">
        <v>13.07</v>
      </c>
      <c r="J284" s="8">
        <v>13.28</v>
      </c>
      <c r="K284" s="8">
        <v>12.85</v>
      </c>
      <c r="L284" s="8">
        <v>14.73</v>
      </c>
      <c r="M284" s="8">
        <v>14.58</v>
      </c>
      <c r="N284" s="8">
        <v>13.6</v>
      </c>
      <c r="O284" s="8">
        <v>15.18</v>
      </c>
      <c r="P284" s="8">
        <v>13.93</v>
      </c>
      <c r="Q284" s="8">
        <v>12.91</v>
      </c>
      <c r="R284" s="8">
        <v>14.94</v>
      </c>
      <c r="S284" s="8">
        <v>13.21</v>
      </c>
      <c r="T284" s="8">
        <v>15.15</v>
      </c>
      <c r="U284" s="8">
        <v>14.61</v>
      </c>
      <c r="V284" s="8">
        <v>13.86</v>
      </c>
      <c r="W284" s="8">
        <v>15.19</v>
      </c>
      <c r="X284" s="8">
        <v>12.32</v>
      </c>
      <c r="Y284" s="8">
        <v>15.51</v>
      </c>
      <c r="Z284" s="8">
        <v>12.19</v>
      </c>
      <c r="AA284" s="8">
        <v>10.46</v>
      </c>
      <c r="AB284" s="8">
        <v>14.05</v>
      </c>
      <c r="AC284" s="8">
        <v>13.97</v>
      </c>
      <c r="AD284" s="8">
        <v>11.81</v>
      </c>
      <c r="AE284" s="8">
        <v>14.11</v>
      </c>
      <c r="AF284" s="8">
        <v>13.81</v>
      </c>
      <c r="AG284" s="8">
        <v>14.42</v>
      </c>
      <c r="AH284" s="8">
        <v>13.25</v>
      </c>
      <c r="AI284" s="8">
        <v>13.95</v>
      </c>
      <c r="AJ284" s="8">
        <v>14.51</v>
      </c>
      <c r="AK284" s="8">
        <v>15.27</v>
      </c>
      <c r="AL284" s="8">
        <v>13.95</v>
      </c>
      <c r="AM284" s="8">
        <v>15.2</v>
      </c>
      <c r="AN284" s="8">
        <v>14.31</v>
      </c>
      <c r="AO284" s="8">
        <v>13.9</v>
      </c>
      <c r="AP284" s="8">
        <v>14.58</v>
      </c>
      <c r="AQ284" s="8">
        <v>13.57</v>
      </c>
      <c r="AR284" s="8">
        <v>14.01</v>
      </c>
      <c r="AS284" s="8">
        <v>13.65</v>
      </c>
      <c r="AT284" s="8">
        <v>13.85</v>
      </c>
      <c r="AU284" s="6">
        <v>13.15</v>
      </c>
      <c r="AV284" s="6">
        <v>13.36</v>
      </c>
      <c r="AW284" s="6">
        <v>14.76</v>
      </c>
      <c r="AX284" s="6">
        <v>15.03</v>
      </c>
      <c r="AY284" s="6">
        <v>14.3</v>
      </c>
      <c r="AZ284" s="6">
        <v>14.88</v>
      </c>
      <c r="BA284" s="6">
        <v>14.48</v>
      </c>
      <c r="BB284" s="6">
        <v>14.69</v>
      </c>
      <c r="BC284" s="6">
        <v>14.26</v>
      </c>
      <c r="BD284" s="6">
        <v>12.1</v>
      </c>
      <c r="BE284" s="6">
        <v>14.3</v>
      </c>
      <c r="BF284" s="6">
        <v>12.11</v>
      </c>
      <c r="BG284" s="6">
        <v>12.6</v>
      </c>
      <c r="BH284" s="6">
        <v>15.22</v>
      </c>
      <c r="BI284" s="6">
        <v>13.48</v>
      </c>
      <c r="BJ284" s="6">
        <v>14.12</v>
      </c>
      <c r="BK284" s="6">
        <v>15.2</v>
      </c>
      <c r="BL284" s="6">
        <v>12.05</v>
      </c>
      <c r="BM284" s="6">
        <v>15.04</v>
      </c>
      <c r="BN284" s="6">
        <v>10.96</v>
      </c>
      <c r="BO284" s="6">
        <v>14.6</v>
      </c>
      <c r="BP284" s="6">
        <v>13.7</v>
      </c>
      <c r="BQ284" s="6">
        <v>14.17</v>
      </c>
      <c r="BR284" s="6">
        <v>12.3</v>
      </c>
      <c r="BS284" s="6">
        <v>13.85</v>
      </c>
      <c r="BT284" s="6">
        <v>14.5</v>
      </c>
      <c r="BU284" s="6">
        <v>14.54</v>
      </c>
      <c r="BV284" s="6">
        <v>12.28</v>
      </c>
      <c r="BW284" s="6">
        <v>13.18</v>
      </c>
      <c r="BX284" s="6">
        <v>14.44</v>
      </c>
      <c r="BY284" s="6">
        <v>13.36</v>
      </c>
      <c r="BZ284" s="6">
        <v>11.3</v>
      </c>
      <c r="CA284" s="6">
        <v>13.7</v>
      </c>
      <c r="CB284" s="6">
        <v>12.8</v>
      </c>
      <c r="CC284" s="6">
        <v>14.14</v>
      </c>
      <c r="CD284" s="6">
        <v>13.84</v>
      </c>
      <c r="CE284" s="6">
        <v>13.76</v>
      </c>
      <c r="CF284" s="6">
        <v>12.7</v>
      </c>
      <c r="CG284" s="6">
        <v>14.28</v>
      </c>
      <c r="CH284" s="6">
        <v>12.78</v>
      </c>
      <c r="CI284" s="6">
        <v>15.9</v>
      </c>
      <c r="CJ284" s="11">
        <v>13.48</v>
      </c>
      <c r="CK284" s="6">
        <v>10.84</v>
      </c>
      <c r="CL284" s="6">
        <v>14.64</v>
      </c>
      <c r="CM284" s="6">
        <v>14.6</v>
      </c>
      <c r="CN284" s="6">
        <v>9.86</v>
      </c>
      <c r="CO284" s="10">
        <v>10.56</v>
      </c>
      <c r="CP284" s="10"/>
    </row>
    <row r="285" spans="1:94" ht="15.75" customHeight="1" x14ac:dyDescent="0.25">
      <c r="A285" s="4">
        <v>284</v>
      </c>
      <c r="B285" s="4"/>
      <c r="C285" s="4">
        <v>10</v>
      </c>
      <c r="D285" s="8">
        <v>13.58</v>
      </c>
      <c r="E285" s="8">
        <v>11.4</v>
      </c>
      <c r="F285" s="8">
        <v>13.03</v>
      </c>
      <c r="G285" s="8">
        <v>13.58</v>
      </c>
      <c r="H285" s="8">
        <v>12.43</v>
      </c>
      <c r="I285" s="8">
        <v>13.02</v>
      </c>
      <c r="J285" s="8">
        <v>12.99</v>
      </c>
      <c r="K285" s="8">
        <v>12.74</v>
      </c>
      <c r="L285" s="8">
        <v>14.58</v>
      </c>
      <c r="M285" s="8">
        <v>14.46</v>
      </c>
      <c r="N285" s="8">
        <v>13.42</v>
      </c>
      <c r="O285" s="8">
        <v>15.07</v>
      </c>
      <c r="P285" s="8">
        <v>13.89</v>
      </c>
      <c r="Q285" s="8">
        <v>12.79</v>
      </c>
      <c r="R285" s="8">
        <v>14.9</v>
      </c>
      <c r="S285" s="8">
        <v>13.06</v>
      </c>
      <c r="T285" s="8">
        <v>15.06</v>
      </c>
      <c r="U285" s="8">
        <v>14.48</v>
      </c>
      <c r="V285" s="8">
        <v>13.72</v>
      </c>
      <c r="W285" s="8">
        <v>15.16</v>
      </c>
      <c r="X285" s="8">
        <v>12.25</v>
      </c>
      <c r="Y285" s="8">
        <v>15.43</v>
      </c>
      <c r="Z285" s="8">
        <v>12.02</v>
      </c>
      <c r="AA285" s="8">
        <v>10.38</v>
      </c>
      <c r="AB285" s="8">
        <v>13.95</v>
      </c>
      <c r="AC285" s="8">
        <v>13.83</v>
      </c>
      <c r="AD285" s="8">
        <v>11.7</v>
      </c>
      <c r="AE285" s="8">
        <v>13.95</v>
      </c>
      <c r="AF285" s="8">
        <v>13.73</v>
      </c>
      <c r="AG285" s="8">
        <v>14.38</v>
      </c>
      <c r="AH285" s="8">
        <v>13.15</v>
      </c>
      <c r="AI285" s="8">
        <v>13.9</v>
      </c>
      <c r="AJ285" s="8">
        <v>14.38</v>
      </c>
      <c r="AK285" s="8">
        <v>15.2</v>
      </c>
      <c r="AL285" s="8">
        <v>13.88</v>
      </c>
      <c r="AM285" s="8">
        <v>15.12</v>
      </c>
      <c r="AN285" s="8">
        <v>14.25</v>
      </c>
      <c r="AO285" s="8">
        <v>13.82</v>
      </c>
      <c r="AP285" s="8">
        <v>14.55</v>
      </c>
      <c r="AQ285" s="8">
        <v>13.55</v>
      </c>
      <c r="AR285" s="8">
        <v>13.93</v>
      </c>
      <c r="AS285" s="8">
        <v>13.53</v>
      </c>
      <c r="AT285" s="8">
        <v>13.77</v>
      </c>
      <c r="AU285" s="6">
        <v>13.14</v>
      </c>
      <c r="AV285" s="6">
        <v>13.26</v>
      </c>
      <c r="AW285" s="6">
        <v>14.64</v>
      </c>
      <c r="AX285" s="6">
        <v>14.94</v>
      </c>
      <c r="AY285" s="6">
        <v>14.21</v>
      </c>
      <c r="AZ285" s="6">
        <v>14.81</v>
      </c>
      <c r="BA285" s="6">
        <v>14.39</v>
      </c>
      <c r="BB285" s="6">
        <v>14.59</v>
      </c>
      <c r="BC285" s="6">
        <v>14.15</v>
      </c>
      <c r="BD285" s="6">
        <v>12.12</v>
      </c>
      <c r="BE285" s="6">
        <v>14.23</v>
      </c>
      <c r="BF285" s="6">
        <v>12.13</v>
      </c>
      <c r="BG285" s="6">
        <v>12.52</v>
      </c>
      <c r="BH285" s="6">
        <v>15.11</v>
      </c>
      <c r="BI285" s="6">
        <v>13.36</v>
      </c>
      <c r="BJ285" s="6">
        <v>14.04</v>
      </c>
      <c r="BK285" s="6">
        <v>15.18</v>
      </c>
      <c r="BL285" s="6">
        <v>11.91</v>
      </c>
      <c r="BM285" s="6">
        <v>14.93</v>
      </c>
      <c r="BN285" s="6">
        <v>10.8</v>
      </c>
      <c r="BO285" s="6">
        <v>14.52</v>
      </c>
      <c r="BP285" s="6">
        <v>13.74</v>
      </c>
      <c r="BQ285" s="6">
        <v>14.06</v>
      </c>
      <c r="BR285" s="6">
        <v>12.22</v>
      </c>
      <c r="BS285" s="6">
        <v>13.74</v>
      </c>
      <c r="BT285" s="6">
        <v>14.44</v>
      </c>
      <c r="BU285" s="6">
        <v>14.5</v>
      </c>
      <c r="BV285" s="6">
        <v>12.1</v>
      </c>
      <c r="BW285" s="6">
        <v>13.06</v>
      </c>
      <c r="BX285" s="6">
        <v>14.4</v>
      </c>
      <c r="BY285" s="6">
        <v>13.2</v>
      </c>
      <c r="BZ285" s="6">
        <v>11.16</v>
      </c>
      <c r="CA285" s="6">
        <v>13.5</v>
      </c>
      <c r="CB285" s="6">
        <v>12.8</v>
      </c>
      <c r="CC285" s="6">
        <v>14.02</v>
      </c>
      <c r="CD285" s="6">
        <v>13.8</v>
      </c>
      <c r="CE285" s="6">
        <v>13.68</v>
      </c>
      <c r="CF285" s="6">
        <v>12.26</v>
      </c>
      <c r="CG285" s="6">
        <v>14.2</v>
      </c>
      <c r="CH285" s="6">
        <v>12.74</v>
      </c>
      <c r="CI285" s="6">
        <v>15.8</v>
      </c>
      <c r="CJ285" s="11">
        <v>13.4</v>
      </c>
      <c r="CK285" s="6">
        <v>10.84</v>
      </c>
      <c r="CL285" s="6">
        <v>14.58</v>
      </c>
      <c r="CM285" s="6">
        <v>14.48</v>
      </c>
      <c r="CN285" s="6">
        <v>9.7799999999999994</v>
      </c>
      <c r="CO285" s="10">
        <v>10.48</v>
      </c>
      <c r="CP285" s="10"/>
    </row>
    <row r="286" spans="1:94" ht="15.75" customHeight="1" x14ac:dyDescent="0.25">
      <c r="A286" s="4">
        <v>285</v>
      </c>
      <c r="B286" s="4"/>
      <c r="C286" s="4">
        <v>11</v>
      </c>
      <c r="D286" s="8">
        <v>13.48</v>
      </c>
      <c r="E286" s="8">
        <v>11.38</v>
      </c>
      <c r="F286" s="8">
        <v>12.93</v>
      </c>
      <c r="G286" s="8">
        <v>13.56</v>
      </c>
      <c r="H286" s="8">
        <v>12.33</v>
      </c>
      <c r="I286" s="8">
        <v>12.99</v>
      </c>
      <c r="J286" s="8">
        <v>12.88</v>
      </c>
      <c r="K286" s="8">
        <v>12.68</v>
      </c>
      <c r="L286" s="8">
        <v>14.38</v>
      </c>
      <c r="M286" s="8">
        <v>14.35</v>
      </c>
      <c r="N286" s="8">
        <v>13.26</v>
      </c>
      <c r="O286" s="8">
        <v>14.99</v>
      </c>
      <c r="P286" s="8">
        <v>13.81</v>
      </c>
      <c r="Q286" s="8">
        <v>12.67</v>
      </c>
      <c r="R286" s="8">
        <v>14.86</v>
      </c>
      <c r="S286" s="8">
        <v>12.96</v>
      </c>
      <c r="T286" s="8">
        <v>14.96</v>
      </c>
      <c r="U286" s="8">
        <v>14.36</v>
      </c>
      <c r="V286" s="8">
        <v>13.58</v>
      </c>
      <c r="W286" s="8">
        <v>15.12</v>
      </c>
      <c r="X286" s="8">
        <v>12.19</v>
      </c>
      <c r="Y286" s="8">
        <v>15.37</v>
      </c>
      <c r="Z286" s="8">
        <v>11.83</v>
      </c>
      <c r="AA286" s="8">
        <v>10.31</v>
      </c>
      <c r="AB286" s="8">
        <v>13.85</v>
      </c>
      <c r="AC286" s="8">
        <v>13.71</v>
      </c>
      <c r="AD286" s="8">
        <v>11.58</v>
      </c>
      <c r="AE286" s="8">
        <v>13.79</v>
      </c>
      <c r="AF286" s="8">
        <v>13.57</v>
      </c>
      <c r="AG286" s="8">
        <v>14.3</v>
      </c>
      <c r="AH286" s="8">
        <v>13.01</v>
      </c>
      <c r="AI286" s="8">
        <v>13.84</v>
      </c>
      <c r="AJ286" s="8">
        <v>14.27</v>
      </c>
      <c r="AK286" s="8">
        <v>15.14</v>
      </c>
      <c r="AL286" s="8">
        <v>13.79</v>
      </c>
      <c r="AM286" s="8">
        <v>15.03</v>
      </c>
      <c r="AN286" s="8">
        <v>14.19</v>
      </c>
      <c r="AO286" s="8">
        <v>13.75</v>
      </c>
      <c r="AP286" s="8">
        <v>14.52</v>
      </c>
      <c r="AQ286" s="8">
        <v>13.52</v>
      </c>
      <c r="AR286" s="8">
        <v>13.86</v>
      </c>
      <c r="AS286" s="8">
        <v>13.36</v>
      </c>
      <c r="AT286" s="8">
        <v>13.71</v>
      </c>
      <c r="AU286" s="6">
        <v>13.1</v>
      </c>
      <c r="AV286" s="6">
        <v>13.13</v>
      </c>
      <c r="AW286" s="6">
        <v>14.53</v>
      </c>
      <c r="AX286" s="6">
        <v>14.88</v>
      </c>
      <c r="AY286" s="6">
        <v>14.11</v>
      </c>
      <c r="AZ286" s="6">
        <v>14.73</v>
      </c>
      <c r="BA286" s="6">
        <v>14.3</v>
      </c>
      <c r="BB286" s="6">
        <v>14.48</v>
      </c>
      <c r="BC286" s="6">
        <v>14.06</v>
      </c>
      <c r="BD286" s="6">
        <v>12.12</v>
      </c>
      <c r="BE286" s="6">
        <v>14.18</v>
      </c>
      <c r="BF286" s="6">
        <v>12.14</v>
      </c>
      <c r="BG286" s="6">
        <v>12.46</v>
      </c>
      <c r="BH286" s="6">
        <v>15.02</v>
      </c>
      <c r="BI286" s="6">
        <v>13.22</v>
      </c>
      <c r="BJ286" s="6">
        <v>13.98</v>
      </c>
      <c r="BK286" s="6">
        <v>15.16</v>
      </c>
      <c r="BL286" s="6">
        <v>11.78</v>
      </c>
      <c r="BM286" s="6">
        <v>14.84</v>
      </c>
      <c r="BN286" s="6">
        <v>10.66</v>
      </c>
      <c r="BO286" s="6">
        <v>14.42</v>
      </c>
      <c r="BP286" s="6">
        <v>13.75</v>
      </c>
      <c r="BQ286" s="6">
        <v>13.98</v>
      </c>
      <c r="BR286" s="6">
        <v>12.12</v>
      </c>
      <c r="BS286" s="6">
        <v>13.58</v>
      </c>
      <c r="BT286" s="6">
        <v>14.4</v>
      </c>
      <c r="BU286" s="6">
        <v>14.46</v>
      </c>
      <c r="BV286" s="6">
        <v>12</v>
      </c>
      <c r="BW286" s="6">
        <v>12.96</v>
      </c>
      <c r="BX286" s="6">
        <v>14.3</v>
      </c>
      <c r="BY286" s="6">
        <v>13.14</v>
      </c>
      <c r="BZ286" s="6">
        <v>11.02</v>
      </c>
      <c r="CA286" s="6">
        <v>13.34</v>
      </c>
      <c r="CB286" s="6">
        <v>12.8</v>
      </c>
      <c r="CC286" s="6">
        <v>13.9</v>
      </c>
      <c r="CD286" s="6">
        <v>13.78</v>
      </c>
      <c r="CE286" s="6">
        <v>13.62</v>
      </c>
      <c r="CF286" s="6">
        <v>12</v>
      </c>
      <c r="CG286" s="6">
        <v>14.06</v>
      </c>
      <c r="CH286" s="6">
        <v>12.78</v>
      </c>
      <c r="CI286" s="6">
        <v>15.66</v>
      </c>
      <c r="CJ286" s="11">
        <v>13.3</v>
      </c>
      <c r="CK286" s="6">
        <v>10.9</v>
      </c>
      <c r="CL286" s="6">
        <v>14.52</v>
      </c>
      <c r="CM286" s="6">
        <v>14.32</v>
      </c>
      <c r="CN286" s="6">
        <v>9.68</v>
      </c>
      <c r="CO286" s="10">
        <v>10.4</v>
      </c>
      <c r="CP286" s="10"/>
    </row>
    <row r="287" spans="1:94" ht="15.75" customHeight="1" x14ac:dyDescent="0.25">
      <c r="A287" s="4">
        <v>286</v>
      </c>
      <c r="B287" s="4"/>
      <c r="C287" s="4">
        <v>12</v>
      </c>
      <c r="D287" s="8">
        <v>13.43</v>
      </c>
      <c r="E287" s="8">
        <v>11.38</v>
      </c>
      <c r="F287" s="8">
        <v>12.83</v>
      </c>
      <c r="G287" s="8">
        <v>13.54</v>
      </c>
      <c r="H287" s="8">
        <v>12.23</v>
      </c>
      <c r="I287" s="8">
        <v>12.96</v>
      </c>
      <c r="J287" s="8">
        <v>12.78</v>
      </c>
      <c r="K287" s="8">
        <v>12.64</v>
      </c>
      <c r="L287" s="8">
        <v>14.23</v>
      </c>
      <c r="M287" s="8">
        <v>14.26</v>
      </c>
      <c r="N287" s="8">
        <v>13.07</v>
      </c>
      <c r="O287" s="8">
        <v>14.93</v>
      </c>
      <c r="P287" s="8">
        <v>13.76</v>
      </c>
      <c r="Q287" s="8">
        <v>12.49</v>
      </c>
      <c r="R287" s="8">
        <v>14.82</v>
      </c>
      <c r="S287" s="8">
        <v>12.86</v>
      </c>
      <c r="T287" s="8">
        <v>14.86</v>
      </c>
      <c r="U287" s="8">
        <v>14.24</v>
      </c>
      <c r="V287" s="8">
        <v>13.46</v>
      </c>
      <c r="W287" s="8">
        <v>15.07</v>
      </c>
      <c r="X287" s="8">
        <v>12.15</v>
      </c>
      <c r="Y287" s="8">
        <v>15.27</v>
      </c>
      <c r="Z287" s="8">
        <v>11.64</v>
      </c>
      <c r="AA287" s="8">
        <v>10.25</v>
      </c>
      <c r="AB287" s="8">
        <v>13.79</v>
      </c>
      <c r="AC287" s="8">
        <v>13.6</v>
      </c>
      <c r="AD287" s="8">
        <v>11.47</v>
      </c>
      <c r="AE287" s="8">
        <v>13.65</v>
      </c>
      <c r="AF287" s="8">
        <v>13.41</v>
      </c>
      <c r="AG287" s="8">
        <v>14.22</v>
      </c>
      <c r="AH287" s="8">
        <v>12.89</v>
      </c>
      <c r="AI287" s="8">
        <v>13.77</v>
      </c>
      <c r="AJ287" s="8">
        <v>14.18</v>
      </c>
      <c r="AK287" s="8">
        <v>15.08</v>
      </c>
      <c r="AL287" s="8">
        <v>13.67</v>
      </c>
      <c r="AM287" s="8">
        <v>14.95</v>
      </c>
      <c r="AN287" s="8">
        <v>14.13</v>
      </c>
      <c r="AO287" s="8">
        <v>13.67</v>
      </c>
      <c r="AP287" s="8">
        <v>14.51</v>
      </c>
      <c r="AQ287" s="8">
        <v>13.48</v>
      </c>
      <c r="AR287" s="8">
        <v>13.81</v>
      </c>
      <c r="AS287" s="8">
        <v>13.27</v>
      </c>
      <c r="AT287" s="8">
        <v>13.68</v>
      </c>
      <c r="AU287" s="6">
        <v>13.07</v>
      </c>
      <c r="AV287" s="6">
        <v>13</v>
      </c>
      <c r="AW287" s="6">
        <v>14.46</v>
      </c>
      <c r="AX287" s="6">
        <v>14.81</v>
      </c>
      <c r="AY287" s="6">
        <v>14.02</v>
      </c>
      <c r="AZ287" s="6">
        <v>14.64</v>
      </c>
      <c r="BA287" s="6">
        <v>14.21</v>
      </c>
      <c r="BB287" s="6">
        <v>14.38</v>
      </c>
      <c r="BC287" s="6">
        <v>14</v>
      </c>
      <c r="BD287" s="6">
        <v>12.16</v>
      </c>
      <c r="BE287" s="6">
        <v>14.13</v>
      </c>
      <c r="BF287" s="6">
        <v>12.17</v>
      </c>
      <c r="BG287" s="6">
        <v>12.3</v>
      </c>
      <c r="BH287" s="6">
        <v>14.93</v>
      </c>
      <c r="BI287" s="6">
        <v>13.1</v>
      </c>
      <c r="BJ287" s="6">
        <v>13.92</v>
      </c>
      <c r="BK287" s="6">
        <v>15.14</v>
      </c>
      <c r="BL287" s="6">
        <v>11.68</v>
      </c>
      <c r="BM287" s="6">
        <v>14.74</v>
      </c>
      <c r="BN287" s="6">
        <v>10.58</v>
      </c>
      <c r="BO287" s="6">
        <v>14.32</v>
      </c>
      <c r="BP287" s="6">
        <v>13.74</v>
      </c>
      <c r="BQ287" s="6">
        <v>13.9</v>
      </c>
      <c r="BR287" s="6">
        <v>12.04</v>
      </c>
      <c r="BS287" s="6">
        <v>13.43</v>
      </c>
      <c r="BT287" s="6">
        <v>14.28</v>
      </c>
      <c r="BU287" s="6">
        <v>14.46</v>
      </c>
      <c r="BV287" s="6">
        <v>11.86</v>
      </c>
      <c r="BW287" s="6">
        <v>12.72</v>
      </c>
      <c r="BX287" s="6">
        <v>14.26</v>
      </c>
      <c r="BY287" s="6">
        <v>13.12</v>
      </c>
      <c r="BZ287" s="6">
        <v>10.88</v>
      </c>
      <c r="CA287" s="6">
        <v>13.16</v>
      </c>
      <c r="CB287" s="6">
        <v>12.76</v>
      </c>
      <c r="CC287" s="6">
        <v>13.76</v>
      </c>
      <c r="CD287" s="6">
        <v>13.68</v>
      </c>
      <c r="CE287" s="6">
        <v>13.46</v>
      </c>
      <c r="CF287" s="6">
        <v>11.7</v>
      </c>
      <c r="CG287" s="6">
        <v>13.96</v>
      </c>
      <c r="CH287" s="6">
        <v>12.72</v>
      </c>
      <c r="CI287" s="6">
        <v>15.56</v>
      </c>
      <c r="CJ287" s="11">
        <v>13.16</v>
      </c>
      <c r="CK287" s="6">
        <v>10.94</v>
      </c>
      <c r="CL287" s="6">
        <v>14.46</v>
      </c>
      <c r="CM287" s="6">
        <v>14.2</v>
      </c>
      <c r="CN287" s="6">
        <v>9.56</v>
      </c>
      <c r="CO287" s="10">
        <v>10.34</v>
      </c>
      <c r="CP287" s="10"/>
    </row>
    <row r="288" spans="1:94" ht="15.75" customHeight="1" x14ac:dyDescent="0.25">
      <c r="A288" s="4">
        <v>287</v>
      </c>
      <c r="B288" s="4"/>
      <c r="C288" s="4">
        <v>13</v>
      </c>
      <c r="D288" s="8">
        <v>13.33</v>
      </c>
      <c r="E288" s="8">
        <v>11.36</v>
      </c>
      <c r="F288" s="8">
        <v>12.68</v>
      </c>
      <c r="G288" s="8">
        <v>13.52</v>
      </c>
      <c r="H288" s="8">
        <v>12.08</v>
      </c>
      <c r="I288" s="8">
        <v>12.92</v>
      </c>
      <c r="J288" s="8">
        <v>12.7</v>
      </c>
      <c r="K288" s="8">
        <v>12.5</v>
      </c>
      <c r="L288" s="8">
        <v>14.08</v>
      </c>
      <c r="M288" s="8">
        <v>14.14</v>
      </c>
      <c r="N288" s="8">
        <v>12.89</v>
      </c>
      <c r="O288" s="8">
        <v>14.84</v>
      </c>
      <c r="P288" s="8">
        <v>13.68</v>
      </c>
      <c r="Q288" s="8">
        <v>12.49</v>
      </c>
      <c r="R288" s="8">
        <v>14.76</v>
      </c>
      <c r="S288" s="8">
        <v>12.79</v>
      </c>
      <c r="T288" s="8">
        <v>14.79</v>
      </c>
      <c r="U288" s="8">
        <v>14.11</v>
      </c>
      <c r="V288" s="8">
        <v>13.3</v>
      </c>
      <c r="W288" s="8">
        <v>15</v>
      </c>
      <c r="X288" s="8">
        <v>12.09</v>
      </c>
      <c r="Y288" s="8">
        <v>15.19</v>
      </c>
      <c r="Z288" s="8">
        <v>11.45</v>
      </c>
      <c r="AA288" s="8">
        <v>10.199999999999999</v>
      </c>
      <c r="AB288" s="8">
        <v>13.69</v>
      </c>
      <c r="AC288" s="8">
        <v>13.49</v>
      </c>
      <c r="AD288" s="8">
        <v>11.37</v>
      </c>
      <c r="AE288" s="8">
        <v>13.52</v>
      </c>
      <c r="AF288" s="8">
        <v>13.25</v>
      </c>
      <c r="AG288" s="8">
        <v>14.12</v>
      </c>
      <c r="AH288" s="8">
        <v>12.81</v>
      </c>
      <c r="AI288" s="8">
        <v>13.68</v>
      </c>
      <c r="AJ288" s="8">
        <v>14.12</v>
      </c>
      <c r="AK288" s="8">
        <v>15.02</v>
      </c>
      <c r="AL288" s="8">
        <v>13.53</v>
      </c>
      <c r="AM288" s="8">
        <v>14.87</v>
      </c>
      <c r="AN288" s="8">
        <v>14.07</v>
      </c>
      <c r="AO288" s="8">
        <v>13.56</v>
      </c>
      <c r="AP288" s="8">
        <v>14.51</v>
      </c>
      <c r="AQ288" s="8">
        <v>13.45</v>
      </c>
      <c r="AR288" s="8">
        <v>13.75</v>
      </c>
      <c r="AS288" s="8">
        <v>13.13</v>
      </c>
      <c r="AT288" s="8">
        <v>13.65</v>
      </c>
      <c r="AU288" s="6">
        <v>13.03</v>
      </c>
      <c r="AV288" s="6">
        <v>12.85</v>
      </c>
      <c r="AW288" s="6">
        <v>14.35</v>
      </c>
      <c r="AX288" s="6">
        <v>14.76</v>
      </c>
      <c r="AY288" s="6">
        <v>13.88</v>
      </c>
      <c r="AZ288" s="6">
        <v>14.53</v>
      </c>
      <c r="BA288" s="6">
        <v>14.14</v>
      </c>
      <c r="BB288" s="6">
        <v>14.26</v>
      </c>
      <c r="BC288" s="6">
        <v>14</v>
      </c>
      <c r="BD288" s="6">
        <v>12.19</v>
      </c>
      <c r="BE288" s="6">
        <v>14.06</v>
      </c>
      <c r="BF288" s="6">
        <v>12.19</v>
      </c>
      <c r="BG288" s="6">
        <v>12.19</v>
      </c>
      <c r="BH288" s="6">
        <v>14.85</v>
      </c>
      <c r="BI288" s="6">
        <v>13.02</v>
      </c>
      <c r="BJ288" s="6">
        <v>13.8</v>
      </c>
      <c r="BK288" s="6">
        <v>15.12</v>
      </c>
      <c r="BL288" s="6">
        <v>11.58</v>
      </c>
      <c r="BM288" s="6">
        <v>14.65</v>
      </c>
      <c r="BN288" s="6">
        <v>10.5</v>
      </c>
      <c r="BO288" s="6">
        <v>14.1</v>
      </c>
      <c r="BP288" s="6">
        <v>13.68</v>
      </c>
      <c r="BQ288" s="6">
        <v>13.85</v>
      </c>
      <c r="BR288" s="6">
        <v>11.9</v>
      </c>
      <c r="BS288" s="6">
        <v>13.24</v>
      </c>
      <c r="BT288" s="6">
        <v>14.28</v>
      </c>
      <c r="BU288" s="6">
        <v>14.36</v>
      </c>
      <c r="BV288" s="6">
        <v>11.68</v>
      </c>
      <c r="BW288" s="6">
        <v>12.62</v>
      </c>
      <c r="BX288" s="6">
        <v>14.24</v>
      </c>
      <c r="BY288" s="6">
        <v>13.1</v>
      </c>
      <c r="BZ288" s="6">
        <v>10.72</v>
      </c>
      <c r="CA288" s="6">
        <v>13</v>
      </c>
      <c r="CB288" s="6">
        <v>12.69</v>
      </c>
      <c r="CC288" s="6">
        <v>13.66</v>
      </c>
      <c r="CD288" s="6">
        <v>13.64</v>
      </c>
      <c r="CE288" s="6">
        <v>13.34</v>
      </c>
      <c r="CF288" s="6">
        <v>11.3</v>
      </c>
      <c r="CG288" s="6">
        <v>13.94</v>
      </c>
      <c r="CH288" s="6">
        <v>12.78</v>
      </c>
      <c r="CI288" s="6">
        <v>15.4</v>
      </c>
      <c r="CJ288" s="11">
        <v>13.08</v>
      </c>
      <c r="CK288" s="6">
        <v>10.94</v>
      </c>
      <c r="CL288" s="6">
        <v>14.38</v>
      </c>
      <c r="CM288" s="6">
        <v>14.06</v>
      </c>
      <c r="CN288" s="6">
        <v>9.39</v>
      </c>
      <c r="CO288" s="10">
        <v>10.24</v>
      </c>
      <c r="CP288" s="10"/>
    </row>
    <row r="289" spans="1:94" ht="15.75" customHeight="1" x14ac:dyDescent="0.25">
      <c r="A289" s="4">
        <v>288</v>
      </c>
      <c r="B289" s="4"/>
      <c r="C289" s="4">
        <v>14</v>
      </c>
      <c r="D289" s="8">
        <v>13.23</v>
      </c>
      <c r="E289" s="8">
        <v>11.36</v>
      </c>
      <c r="F289" s="8">
        <v>12.53</v>
      </c>
      <c r="G289" s="8">
        <v>13.5</v>
      </c>
      <c r="H289" s="8">
        <v>11.93</v>
      </c>
      <c r="I289" s="8">
        <v>12.88</v>
      </c>
      <c r="J289" s="8">
        <v>12.55</v>
      </c>
      <c r="K289" s="8">
        <v>12.4</v>
      </c>
      <c r="L289" s="8">
        <v>13.93</v>
      </c>
      <c r="M289" s="8">
        <v>14.03</v>
      </c>
      <c r="N289" s="8">
        <v>12.8</v>
      </c>
      <c r="O289" s="8">
        <v>14.69</v>
      </c>
      <c r="P289" s="8">
        <v>13.6</v>
      </c>
      <c r="Q289" s="8">
        <v>12.37</v>
      </c>
      <c r="R289" s="8">
        <v>14.72</v>
      </c>
      <c r="S289" s="8">
        <v>12.73</v>
      </c>
      <c r="T289" s="8">
        <v>14.66</v>
      </c>
      <c r="U289" s="8">
        <v>14.01</v>
      </c>
      <c r="V289" s="8">
        <v>13.14</v>
      </c>
      <c r="W289" s="8">
        <v>14.95</v>
      </c>
      <c r="X289" s="8">
        <v>11.99</v>
      </c>
      <c r="Y289" s="8">
        <v>15.07</v>
      </c>
      <c r="Z289" s="8">
        <v>11.23</v>
      </c>
      <c r="AA289" s="8">
        <v>10.119999999999999</v>
      </c>
      <c r="AB289" s="8">
        <v>13.61</v>
      </c>
      <c r="AC289" s="8">
        <v>13.34</v>
      </c>
      <c r="AD289" s="8">
        <v>11.31</v>
      </c>
      <c r="AE289" s="8">
        <v>13.37</v>
      </c>
      <c r="AF289" s="8">
        <v>13.1</v>
      </c>
      <c r="AG289" s="8">
        <v>14.02</v>
      </c>
      <c r="AH289" s="8">
        <v>12.71</v>
      </c>
      <c r="AI289" s="8">
        <v>13.58</v>
      </c>
      <c r="AJ289" s="8">
        <v>14.02</v>
      </c>
      <c r="AK289" s="8">
        <v>14.95</v>
      </c>
      <c r="AL289" s="8">
        <v>13.39</v>
      </c>
      <c r="AM289" s="8">
        <v>14.74</v>
      </c>
      <c r="AN289" s="8">
        <v>13.98</v>
      </c>
      <c r="AO289" s="8">
        <v>13.43</v>
      </c>
      <c r="AP289" s="8">
        <v>14.47</v>
      </c>
      <c r="AQ289" s="8">
        <v>13.41</v>
      </c>
      <c r="AR289" s="8">
        <v>13.69</v>
      </c>
      <c r="AS289" s="8">
        <v>13.01</v>
      </c>
      <c r="AT289" s="8">
        <v>13.63</v>
      </c>
      <c r="AU289" s="6">
        <v>12.96</v>
      </c>
      <c r="AV289" s="6">
        <v>12.77</v>
      </c>
      <c r="AW289" s="6">
        <v>14.23</v>
      </c>
      <c r="AX289" s="6">
        <v>14.68</v>
      </c>
      <c r="AY289" s="6">
        <v>13.76</v>
      </c>
      <c r="AZ289" s="6">
        <v>14.44</v>
      </c>
      <c r="BA289" s="6">
        <v>14.05</v>
      </c>
      <c r="BB289" s="6">
        <v>14.14</v>
      </c>
      <c r="BC289" s="6">
        <v>14.01</v>
      </c>
      <c r="BD289" s="6">
        <v>12.2</v>
      </c>
      <c r="BE289" s="6">
        <v>13.96</v>
      </c>
      <c r="BF289" s="6">
        <v>12.22</v>
      </c>
      <c r="BG289" s="6">
        <v>12.1</v>
      </c>
      <c r="BH289" s="6">
        <v>14.76</v>
      </c>
      <c r="BI289" s="6">
        <v>13</v>
      </c>
      <c r="BJ289" s="6">
        <v>13.64</v>
      </c>
      <c r="BK289" s="6">
        <v>15.1</v>
      </c>
      <c r="BL289" s="6">
        <v>11.46</v>
      </c>
      <c r="BM289" s="6">
        <v>14.54</v>
      </c>
      <c r="BN289" s="6">
        <v>10.3</v>
      </c>
      <c r="BO289" s="6">
        <v>13.92</v>
      </c>
      <c r="BP289" s="6">
        <v>13.74</v>
      </c>
      <c r="BQ289" s="6">
        <v>13.78</v>
      </c>
      <c r="BR289" s="6">
        <v>11.8</v>
      </c>
      <c r="BS289" s="6">
        <v>13.06</v>
      </c>
      <c r="BT289" s="6">
        <v>14.2</v>
      </c>
      <c r="BU289" s="6">
        <v>14.32</v>
      </c>
      <c r="BV289" s="6">
        <v>11.56</v>
      </c>
      <c r="BW289" s="6">
        <v>12.54</v>
      </c>
      <c r="BX289" s="6">
        <v>14.22</v>
      </c>
      <c r="BY289" s="6">
        <v>13.08</v>
      </c>
      <c r="BZ289" s="6">
        <v>10.72</v>
      </c>
      <c r="CA289" s="6">
        <v>12.86</v>
      </c>
      <c r="CB289" s="6">
        <v>12.62</v>
      </c>
      <c r="CC289" s="6">
        <v>13.64</v>
      </c>
      <c r="CD289" s="6">
        <v>13.54</v>
      </c>
      <c r="CE289" s="6">
        <v>13.32</v>
      </c>
      <c r="CF289" s="6">
        <v>11.14</v>
      </c>
      <c r="CG289" s="6">
        <v>13.74</v>
      </c>
      <c r="CH289" s="6">
        <v>12.68</v>
      </c>
      <c r="CI289" s="6">
        <v>15.28</v>
      </c>
      <c r="CJ289" s="11">
        <v>12.98</v>
      </c>
      <c r="CK289" s="6">
        <v>10.92</v>
      </c>
      <c r="CL289" s="6">
        <v>14.3</v>
      </c>
      <c r="CM289" s="6">
        <v>13.92</v>
      </c>
      <c r="CN289" s="6">
        <v>9.2200000000000006</v>
      </c>
      <c r="CO289" s="10">
        <v>10.14</v>
      </c>
      <c r="CP289" s="10"/>
    </row>
    <row r="290" spans="1:94" ht="15.75" customHeight="1" x14ac:dyDescent="0.25">
      <c r="A290" s="4">
        <v>289</v>
      </c>
      <c r="B290" s="4"/>
      <c r="C290" s="4">
        <v>15</v>
      </c>
      <c r="D290" s="8">
        <v>13.18</v>
      </c>
      <c r="E290" s="8">
        <v>11.34</v>
      </c>
      <c r="F290" s="8">
        <v>12.38</v>
      </c>
      <c r="G290" s="8">
        <v>13.46</v>
      </c>
      <c r="H290" s="8">
        <v>11.73</v>
      </c>
      <c r="I290" s="8">
        <v>12.87</v>
      </c>
      <c r="J290" s="8">
        <v>12.4</v>
      </c>
      <c r="K290" s="8">
        <v>12.25</v>
      </c>
      <c r="L290" s="8">
        <v>13.78</v>
      </c>
      <c r="M290" s="8">
        <v>13.91</v>
      </c>
      <c r="N290" s="8">
        <v>12.71</v>
      </c>
      <c r="O290" s="8">
        <v>14.52</v>
      </c>
      <c r="P290" s="8">
        <v>13.49</v>
      </c>
      <c r="Q290" s="8">
        <v>12.25</v>
      </c>
      <c r="R290" s="8">
        <v>14.64</v>
      </c>
      <c r="S290" s="8">
        <v>12.66</v>
      </c>
      <c r="T290" s="8">
        <v>14.54</v>
      </c>
      <c r="U290" s="8">
        <v>13.89</v>
      </c>
      <c r="V290" s="8">
        <v>12.97</v>
      </c>
      <c r="W290" s="8">
        <v>14.87</v>
      </c>
      <c r="X290" s="8">
        <v>11.87</v>
      </c>
      <c r="Y290" s="8">
        <v>14.95</v>
      </c>
      <c r="Z290" s="8">
        <v>11.05</v>
      </c>
      <c r="AA290" s="8">
        <v>10.02</v>
      </c>
      <c r="AB290" s="8">
        <v>13.51</v>
      </c>
      <c r="AC290" s="8">
        <v>13.23</v>
      </c>
      <c r="AD290" s="8">
        <v>11.26</v>
      </c>
      <c r="AE290" s="8">
        <v>13.17</v>
      </c>
      <c r="AF290" s="8">
        <v>12.95</v>
      </c>
      <c r="AG290" s="8">
        <v>13.94</v>
      </c>
      <c r="AH290" s="8">
        <v>12.61</v>
      </c>
      <c r="AI290" s="8">
        <v>13.47</v>
      </c>
      <c r="AJ290" s="8">
        <v>13.91</v>
      </c>
      <c r="AK290" s="8">
        <v>14.87</v>
      </c>
      <c r="AL290" s="8">
        <v>13.29</v>
      </c>
      <c r="AM290" s="8">
        <v>14.61</v>
      </c>
      <c r="AN290" s="8">
        <v>13.88</v>
      </c>
      <c r="AO290" s="8">
        <v>13.28</v>
      </c>
      <c r="AP290" s="8">
        <v>14.45</v>
      </c>
      <c r="AQ290" s="8">
        <v>13.4</v>
      </c>
      <c r="AR290" s="8">
        <v>13.65</v>
      </c>
      <c r="AS290" s="8">
        <v>12.87</v>
      </c>
      <c r="AT290" s="8">
        <v>13.63</v>
      </c>
      <c r="AU290" s="6">
        <v>12.89</v>
      </c>
      <c r="AV290" s="6">
        <v>12.68</v>
      </c>
      <c r="AW290" s="6">
        <v>14.13</v>
      </c>
      <c r="AX290" s="6">
        <v>14.59</v>
      </c>
      <c r="AY290" s="6">
        <v>13.63</v>
      </c>
      <c r="AZ290" s="6">
        <v>14.35</v>
      </c>
      <c r="BA290" s="6">
        <v>13.96</v>
      </c>
      <c r="BB290" s="6">
        <v>14</v>
      </c>
      <c r="BC290" s="6">
        <v>14.03</v>
      </c>
      <c r="BD290" s="6">
        <v>12.26</v>
      </c>
      <c r="BE290" s="6">
        <v>13.88</v>
      </c>
      <c r="BF290" s="6">
        <v>12.25</v>
      </c>
      <c r="BG290" s="6">
        <v>11.97</v>
      </c>
      <c r="BH290" s="6">
        <v>14.68</v>
      </c>
      <c r="BI290" s="6">
        <v>12.7</v>
      </c>
      <c r="BJ290" s="6">
        <v>13.5</v>
      </c>
      <c r="BK290" s="6">
        <v>15.13</v>
      </c>
      <c r="BL290" s="6">
        <v>11.36</v>
      </c>
      <c r="BM290" s="6">
        <v>14.46</v>
      </c>
      <c r="BN290" s="6">
        <v>10.19</v>
      </c>
      <c r="BO290" s="6">
        <v>13.76</v>
      </c>
      <c r="BP290" s="6">
        <v>13.72</v>
      </c>
      <c r="BQ290" s="6">
        <v>13.7</v>
      </c>
      <c r="BR290" s="6">
        <v>11.7</v>
      </c>
      <c r="BS290" s="6">
        <v>12.86</v>
      </c>
      <c r="BT290" s="6">
        <v>14.12</v>
      </c>
      <c r="BU290" s="6">
        <v>14.28</v>
      </c>
      <c r="BV290" s="6">
        <v>11.4</v>
      </c>
      <c r="BW290" s="6">
        <v>12.48</v>
      </c>
      <c r="BX290" s="6">
        <v>14.12</v>
      </c>
      <c r="BY290" s="6">
        <v>13.04</v>
      </c>
      <c r="BZ290" s="6">
        <v>10.68</v>
      </c>
      <c r="CA290" s="6">
        <v>12.82</v>
      </c>
      <c r="CB290" s="6">
        <v>12.58</v>
      </c>
      <c r="CC290" s="6">
        <v>13.44</v>
      </c>
      <c r="CD290" s="6">
        <v>13.46</v>
      </c>
      <c r="CE290" s="6">
        <v>13.14</v>
      </c>
      <c r="CF290" s="6">
        <v>10.8</v>
      </c>
      <c r="CG290" s="6">
        <v>13.66</v>
      </c>
      <c r="CH290" s="6">
        <v>12.68</v>
      </c>
      <c r="CI290" s="6">
        <v>15.14</v>
      </c>
      <c r="CJ290" s="11">
        <v>12.84</v>
      </c>
      <c r="CK290" s="6">
        <v>10.92</v>
      </c>
      <c r="CL290" s="6">
        <v>14.28</v>
      </c>
      <c r="CM290" s="6">
        <v>13.75</v>
      </c>
      <c r="CN290" s="6">
        <v>9.0399999999999991</v>
      </c>
      <c r="CO290" s="10">
        <v>10</v>
      </c>
      <c r="CP290" s="10"/>
    </row>
    <row r="291" spans="1:94" ht="15.75" customHeight="1" x14ac:dyDescent="0.25">
      <c r="A291" s="4">
        <v>290</v>
      </c>
      <c r="B291" s="4"/>
      <c r="C291" s="4">
        <v>16</v>
      </c>
      <c r="D291" s="8">
        <v>13.08</v>
      </c>
      <c r="E291" s="8">
        <v>11.36</v>
      </c>
      <c r="F291" s="8">
        <v>12.18</v>
      </c>
      <c r="G291" s="8">
        <v>13.38</v>
      </c>
      <c r="H291" s="8">
        <v>11.53</v>
      </c>
      <c r="I291" s="8">
        <v>12.86</v>
      </c>
      <c r="J291" s="8">
        <v>12.26</v>
      </c>
      <c r="K291" s="8">
        <v>12.1</v>
      </c>
      <c r="L291" s="8">
        <v>13.68</v>
      </c>
      <c r="M291" s="8">
        <v>13.8</v>
      </c>
      <c r="N291" s="8">
        <v>12.62</v>
      </c>
      <c r="O291" s="8">
        <v>14.35</v>
      </c>
      <c r="P291" s="8">
        <v>13.42</v>
      </c>
      <c r="Q291" s="8">
        <v>12.11</v>
      </c>
      <c r="R291" s="8">
        <v>14.54</v>
      </c>
      <c r="S291" s="8">
        <v>12.61</v>
      </c>
      <c r="T291" s="8">
        <v>14.41</v>
      </c>
      <c r="U291" s="8">
        <v>13.78</v>
      </c>
      <c r="V291" s="8">
        <v>12.76</v>
      </c>
      <c r="W291" s="8">
        <v>14.77</v>
      </c>
      <c r="X291" s="8">
        <v>11.75</v>
      </c>
      <c r="Y291" s="8">
        <v>14.83</v>
      </c>
      <c r="Z291" s="8">
        <v>10.85</v>
      </c>
      <c r="AA291" s="8">
        <v>9.99</v>
      </c>
      <c r="AB291" s="8">
        <v>13.43</v>
      </c>
      <c r="AC291" s="8">
        <v>13.11</v>
      </c>
      <c r="AD291" s="8">
        <v>11.21</v>
      </c>
      <c r="AE291" s="8">
        <v>12.97</v>
      </c>
      <c r="AF291" s="8">
        <v>12.73</v>
      </c>
      <c r="AG291" s="8">
        <v>13.86</v>
      </c>
      <c r="AH291" s="8">
        <v>12.51</v>
      </c>
      <c r="AI291" s="8">
        <v>13.36</v>
      </c>
      <c r="AJ291" s="8">
        <v>13.78</v>
      </c>
      <c r="AK291" s="8">
        <v>14.79</v>
      </c>
      <c r="AL291" s="8">
        <v>13.16</v>
      </c>
      <c r="AM291" s="8">
        <v>14.5</v>
      </c>
      <c r="AN291" s="8">
        <v>13.75</v>
      </c>
      <c r="AO291" s="8">
        <v>13.14</v>
      </c>
      <c r="AP291" s="8">
        <v>14.41</v>
      </c>
      <c r="AQ291" s="8">
        <v>13.36</v>
      </c>
      <c r="AR291" s="8">
        <v>13.6</v>
      </c>
      <c r="AS291" s="8">
        <v>12.69</v>
      </c>
      <c r="AT291" s="8">
        <v>13.63</v>
      </c>
      <c r="AU291" s="6">
        <v>12.86</v>
      </c>
      <c r="AV291" s="6">
        <v>12.6</v>
      </c>
      <c r="AW291" s="6">
        <v>14.02</v>
      </c>
      <c r="AX291" s="6">
        <v>14.47</v>
      </c>
      <c r="AY291" s="6">
        <v>13.51</v>
      </c>
      <c r="AZ291" s="6">
        <v>14.27</v>
      </c>
      <c r="BA291" s="6">
        <v>13.85</v>
      </c>
      <c r="BB291" s="6">
        <v>13.86</v>
      </c>
      <c r="BC291" s="6">
        <v>14.06</v>
      </c>
      <c r="BD291" s="6">
        <v>12.28</v>
      </c>
      <c r="BE291" s="6">
        <v>13.8</v>
      </c>
      <c r="BF291" s="6">
        <v>12.25</v>
      </c>
      <c r="BG291" s="6">
        <v>11.84</v>
      </c>
      <c r="BH291" s="6">
        <v>14.61</v>
      </c>
      <c r="BI291" s="6">
        <v>12.68</v>
      </c>
      <c r="BJ291" s="6">
        <v>13.38</v>
      </c>
      <c r="BK291" s="6">
        <v>15.09</v>
      </c>
      <c r="BL291" s="6">
        <v>11.2</v>
      </c>
      <c r="BM291" s="6">
        <v>14.42</v>
      </c>
      <c r="BN291" s="6">
        <v>10.14</v>
      </c>
      <c r="BO291" s="6">
        <v>13.54</v>
      </c>
      <c r="BP291" s="6">
        <v>13.7</v>
      </c>
      <c r="BQ291" s="6">
        <v>13.64</v>
      </c>
      <c r="BR291" s="6">
        <v>11.72</v>
      </c>
      <c r="BS291" s="6">
        <v>12.66</v>
      </c>
      <c r="BT291" s="6">
        <v>14.08</v>
      </c>
      <c r="BU291" s="6">
        <v>14.16</v>
      </c>
      <c r="BV291" s="6">
        <v>11.24</v>
      </c>
      <c r="BW291" s="6">
        <v>12.42</v>
      </c>
      <c r="BX291" s="6">
        <v>14.08</v>
      </c>
      <c r="BY291" s="6">
        <v>13</v>
      </c>
      <c r="BZ291" s="6">
        <v>10.62</v>
      </c>
      <c r="CA291" s="6">
        <v>12.6</v>
      </c>
      <c r="CB291" s="6">
        <v>12.58</v>
      </c>
      <c r="CC291" s="6">
        <v>13.34</v>
      </c>
      <c r="CD291" s="6">
        <v>13.4</v>
      </c>
      <c r="CE291" s="6">
        <v>13.04</v>
      </c>
      <c r="CF291" s="6">
        <v>10.6</v>
      </c>
      <c r="CG291" s="6">
        <v>13.5</v>
      </c>
      <c r="CH291" s="6">
        <v>12.64</v>
      </c>
      <c r="CI291" s="6">
        <v>15</v>
      </c>
      <c r="CJ291" s="11">
        <v>12.72</v>
      </c>
      <c r="CK291" s="6">
        <v>10.96</v>
      </c>
      <c r="CL291" s="6">
        <v>14.28</v>
      </c>
      <c r="CM291" s="6">
        <v>13.6</v>
      </c>
      <c r="CN291" s="6">
        <v>8.92</v>
      </c>
      <c r="CO291" s="10">
        <v>9.8800000000000008</v>
      </c>
      <c r="CP291" s="10"/>
    </row>
    <row r="292" spans="1:94" ht="15.75" customHeight="1" x14ac:dyDescent="0.25">
      <c r="A292" s="4">
        <v>291</v>
      </c>
      <c r="B292" s="4"/>
      <c r="C292" s="4">
        <v>17</v>
      </c>
      <c r="D292" s="8">
        <v>12.93</v>
      </c>
      <c r="E292" s="8">
        <v>11.36</v>
      </c>
      <c r="F292" s="8">
        <v>11.98</v>
      </c>
      <c r="G292" s="8">
        <v>13.33</v>
      </c>
      <c r="H292" s="8">
        <v>11.38</v>
      </c>
      <c r="I292" s="8">
        <v>12.84</v>
      </c>
      <c r="J292" s="8">
        <v>12.12</v>
      </c>
      <c r="K292" s="8">
        <v>11.98</v>
      </c>
      <c r="L292" s="8">
        <v>13.58</v>
      </c>
      <c r="M292" s="8">
        <v>13.69</v>
      </c>
      <c r="N292" s="8">
        <v>12.55</v>
      </c>
      <c r="O292" s="8">
        <v>14.17</v>
      </c>
      <c r="P292" s="8">
        <v>13.34</v>
      </c>
      <c r="Q292" s="8">
        <v>12.02</v>
      </c>
      <c r="R292" s="8">
        <v>14.41</v>
      </c>
      <c r="S292" s="8">
        <v>12.56</v>
      </c>
      <c r="T292" s="8">
        <v>14.28</v>
      </c>
      <c r="U292" s="8">
        <v>13.68</v>
      </c>
      <c r="V292" s="8">
        <v>12.55</v>
      </c>
      <c r="W292" s="8">
        <v>14.7</v>
      </c>
      <c r="X292" s="8">
        <v>11.65</v>
      </c>
      <c r="Y292" s="8">
        <v>14.72</v>
      </c>
      <c r="Z292" s="8">
        <v>10.69</v>
      </c>
      <c r="AA292" s="8">
        <v>9.9499999999999993</v>
      </c>
      <c r="AB292" s="8">
        <v>13.31</v>
      </c>
      <c r="AC292" s="8">
        <v>12.99</v>
      </c>
      <c r="AD292" s="8">
        <v>11.19</v>
      </c>
      <c r="AE292" s="8">
        <v>12.79</v>
      </c>
      <c r="AF292" s="8">
        <v>12.58</v>
      </c>
      <c r="AG292" s="8">
        <v>13.78</v>
      </c>
      <c r="AH292" s="8">
        <v>12.35</v>
      </c>
      <c r="AI292" s="8">
        <v>13.24</v>
      </c>
      <c r="AJ292" s="8">
        <v>13.63</v>
      </c>
      <c r="AK292" s="8">
        <v>14.7</v>
      </c>
      <c r="AL292" s="8">
        <v>13.07</v>
      </c>
      <c r="AM292" s="8">
        <v>14.4</v>
      </c>
      <c r="AN292" s="8">
        <v>13.6</v>
      </c>
      <c r="AO292" s="8">
        <v>12.97</v>
      </c>
      <c r="AP292" s="8">
        <v>14.39</v>
      </c>
      <c r="AQ292" s="8">
        <v>13.32</v>
      </c>
      <c r="AR292" s="8">
        <v>13.51</v>
      </c>
      <c r="AS292" s="8">
        <v>12.48</v>
      </c>
      <c r="AT292" s="8">
        <v>13.63</v>
      </c>
      <c r="AU292" s="6">
        <v>12.84</v>
      </c>
      <c r="AV292" s="6">
        <v>12.52</v>
      </c>
      <c r="AW292" s="6">
        <v>13.93</v>
      </c>
      <c r="AX292" s="6">
        <v>14.36</v>
      </c>
      <c r="AY292" s="6">
        <v>13.35</v>
      </c>
      <c r="AZ292" s="6">
        <v>14.22</v>
      </c>
      <c r="BA292" s="6">
        <v>13.77</v>
      </c>
      <c r="BB292" s="6">
        <v>13.73</v>
      </c>
      <c r="BC292" s="6">
        <v>14.1</v>
      </c>
      <c r="BD292" s="6">
        <v>12.28</v>
      </c>
      <c r="BE292" s="6">
        <v>13.71</v>
      </c>
      <c r="BF292" s="6">
        <v>12.27</v>
      </c>
      <c r="BG292" s="6">
        <v>11.69</v>
      </c>
      <c r="BH292" s="6">
        <v>14.56</v>
      </c>
      <c r="BI292" s="6">
        <v>12.56</v>
      </c>
      <c r="BJ292" s="6">
        <v>13.23</v>
      </c>
      <c r="BK292" s="6">
        <v>15</v>
      </c>
      <c r="BL292" s="6">
        <v>11.06</v>
      </c>
      <c r="BM292" s="6">
        <v>14.42</v>
      </c>
      <c r="BN292" s="6">
        <v>10.08</v>
      </c>
      <c r="BO292" s="6">
        <v>13.38</v>
      </c>
      <c r="BP292" s="6">
        <v>13.7</v>
      </c>
      <c r="BQ292" s="6">
        <v>13.6</v>
      </c>
      <c r="BR292" s="6">
        <v>11.5</v>
      </c>
      <c r="BS292" s="6">
        <v>12.44</v>
      </c>
      <c r="BT292" s="6">
        <v>14.06</v>
      </c>
      <c r="BU292" s="6">
        <v>14.1</v>
      </c>
      <c r="BV292" s="6">
        <v>11.18</v>
      </c>
      <c r="BW292" s="6">
        <v>12.44</v>
      </c>
      <c r="BX292" s="6">
        <v>14.04</v>
      </c>
      <c r="BY292" s="6">
        <v>13</v>
      </c>
      <c r="BZ292" s="6">
        <v>10.54</v>
      </c>
      <c r="CA292" s="6">
        <v>12.48</v>
      </c>
      <c r="CB292" s="6">
        <v>12.56</v>
      </c>
      <c r="CC292" s="6">
        <v>13.24</v>
      </c>
      <c r="CD292" s="6">
        <v>13.3</v>
      </c>
      <c r="CE292" s="6">
        <v>12.96</v>
      </c>
      <c r="CF292" s="6">
        <v>10.199999999999999</v>
      </c>
      <c r="CG292" s="6">
        <v>13.38</v>
      </c>
      <c r="CH292" s="6">
        <v>12.48</v>
      </c>
      <c r="CI292" s="6">
        <v>14.88</v>
      </c>
      <c r="CJ292" s="11">
        <v>12.6</v>
      </c>
      <c r="CK292" s="6">
        <v>11</v>
      </c>
      <c r="CL292" s="6">
        <v>14.22</v>
      </c>
      <c r="CM292" s="6">
        <v>13.46</v>
      </c>
      <c r="CN292" s="6">
        <v>8.76</v>
      </c>
      <c r="CO292" s="10">
        <v>9.7899999999999991</v>
      </c>
      <c r="CP292" s="10"/>
    </row>
    <row r="293" spans="1:94" ht="15.75" customHeight="1" x14ac:dyDescent="0.25">
      <c r="A293" s="4">
        <v>292</v>
      </c>
      <c r="B293" s="4"/>
      <c r="C293" s="4">
        <v>18</v>
      </c>
      <c r="D293" s="8">
        <v>12.83</v>
      </c>
      <c r="E293" s="8">
        <v>11.38</v>
      </c>
      <c r="F293" s="8">
        <v>11.73</v>
      </c>
      <c r="G293" s="8">
        <v>13.28</v>
      </c>
      <c r="H293" s="8">
        <v>11.23</v>
      </c>
      <c r="I293" s="8">
        <v>12.8</v>
      </c>
      <c r="J293" s="8">
        <v>11.98</v>
      </c>
      <c r="K293" s="8">
        <v>11.93</v>
      </c>
      <c r="L293" s="8">
        <v>13.48</v>
      </c>
      <c r="M293" s="8">
        <v>13.6</v>
      </c>
      <c r="N293" s="8">
        <v>12.48</v>
      </c>
      <c r="O293" s="8">
        <v>13.99</v>
      </c>
      <c r="P293" s="8">
        <v>13.28</v>
      </c>
      <c r="Q293" s="8">
        <v>11.96</v>
      </c>
      <c r="R293" s="8">
        <v>14.28</v>
      </c>
      <c r="S293" s="8">
        <v>12.51</v>
      </c>
      <c r="T293" s="8">
        <v>14.14</v>
      </c>
      <c r="U293" s="8">
        <v>13.62</v>
      </c>
      <c r="V293" s="8">
        <v>12.31</v>
      </c>
      <c r="W293" s="8">
        <v>14.61</v>
      </c>
      <c r="X293" s="8">
        <v>11.53</v>
      </c>
      <c r="Y293" s="8">
        <v>14.58</v>
      </c>
      <c r="Z293" s="8">
        <v>10.53</v>
      </c>
      <c r="AA293" s="8">
        <v>9.8699999999999992</v>
      </c>
      <c r="AB293" s="8">
        <v>13.21</v>
      </c>
      <c r="AC293" s="8">
        <v>12.87</v>
      </c>
      <c r="AD293" s="8">
        <v>11.14</v>
      </c>
      <c r="AE293" s="8">
        <v>12.59</v>
      </c>
      <c r="AF293" s="8">
        <v>12.38</v>
      </c>
      <c r="AG293" s="8">
        <v>13.7</v>
      </c>
      <c r="AH293" s="8">
        <v>12.19</v>
      </c>
      <c r="AI293" s="8">
        <v>13.11</v>
      </c>
      <c r="AJ293" s="8">
        <v>13.46</v>
      </c>
      <c r="AK293" s="8">
        <v>14.6</v>
      </c>
      <c r="AL293" s="8">
        <v>12.97</v>
      </c>
      <c r="AM293" s="8">
        <v>14.3</v>
      </c>
      <c r="AN293" s="8">
        <v>13.46</v>
      </c>
      <c r="AO293" s="8">
        <v>12.83</v>
      </c>
      <c r="AP293" s="8">
        <v>14.33</v>
      </c>
      <c r="AQ293" s="8">
        <v>13.31</v>
      </c>
      <c r="AR293" s="8">
        <v>13.39</v>
      </c>
      <c r="AS293" s="8">
        <v>12.25</v>
      </c>
      <c r="AT293" s="8">
        <v>13.57</v>
      </c>
      <c r="AU293" s="6">
        <v>12.78</v>
      </c>
      <c r="AV293" s="6">
        <v>12.44</v>
      </c>
      <c r="AW293" s="6">
        <v>13.85</v>
      </c>
      <c r="AX293" s="6">
        <v>14.27</v>
      </c>
      <c r="AY293" s="6">
        <v>13.18</v>
      </c>
      <c r="AZ293" s="6">
        <v>14.14</v>
      </c>
      <c r="BA293" s="6">
        <v>13.68</v>
      </c>
      <c r="BB293" s="6">
        <v>13.61</v>
      </c>
      <c r="BC293" s="6">
        <v>14.14</v>
      </c>
      <c r="BD293" s="6">
        <v>12.28</v>
      </c>
      <c r="BE293" s="6">
        <v>13.67</v>
      </c>
      <c r="BF293" s="6">
        <v>12.26</v>
      </c>
      <c r="BG293" s="6">
        <v>11.52</v>
      </c>
      <c r="BH293" s="6">
        <v>14.5</v>
      </c>
      <c r="BI293" s="6">
        <v>12.4</v>
      </c>
      <c r="BJ293" s="6">
        <v>13.19</v>
      </c>
      <c r="BK293" s="6">
        <v>14.9</v>
      </c>
      <c r="BL293" s="6">
        <v>10.9</v>
      </c>
      <c r="BM293" s="6">
        <v>14.4</v>
      </c>
      <c r="BN293" s="6">
        <v>9.84</v>
      </c>
      <c r="BO293" s="6">
        <v>13.2</v>
      </c>
      <c r="BP293" s="6">
        <v>13.66</v>
      </c>
      <c r="BQ293" s="6">
        <v>13.52</v>
      </c>
      <c r="BR293" s="6">
        <v>11.38</v>
      </c>
      <c r="BS293" s="6">
        <v>12.2</v>
      </c>
      <c r="BT293" s="6">
        <v>13.98</v>
      </c>
      <c r="BU293" s="6">
        <v>14.04</v>
      </c>
      <c r="BV293" s="6">
        <v>11.06</v>
      </c>
      <c r="BW293" s="6">
        <v>12.28</v>
      </c>
      <c r="BX293" s="6">
        <v>14</v>
      </c>
      <c r="BY293" s="6">
        <v>12.88</v>
      </c>
      <c r="BZ293" s="6">
        <v>10.48</v>
      </c>
      <c r="CA293" s="6">
        <v>12.3</v>
      </c>
      <c r="CB293" s="6">
        <v>12.52</v>
      </c>
      <c r="CC293" s="6">
        <v>13.12</v>
      </c>
      <c r="CD293" s="6">
        <v>13.24</v>
      </c>
      <c r="CE293" s="6">
        <v>12.92</v>
      </c>
      <c r="CF293" s="6">
        <v>9.8000000000000007</v>
      </c>
      <c r="CG293" s="6">
        <v>13.22</v>
      </c>
      <c r="CH293" s="6">
        <v>12.46</v>
      </c>
      <c r="CI293" s="6">
        <v>14.76</v>
      </c>
      <c r="CJ293" s="11">
        <v>12.46</v>
      </c>
      <c r="CK293" s="6">
        <v>11</v>
      </c>
      <c r="CL293" s="6">
        <v>14.2</v>
      </c>
      <c r="CM293" s="6">
        <v>13.35</v>
      </c>
      <c r="CN293" s="6">
        <v>8.58</v>
      </c>
      <c r="CO293" s="10">
        <v>9.7200000000000006</v>
      </c>
      <c r="CP293" s="10"/>
    </row>
    <row r="294" spans="1:94" ht="15.75" customHeight="1" x14ac:dyDescent="0.25">
      <c r="A294" s="4">
        <v>293</v>
      </c>
      <c r="B294" s="4"/>
      <c r="C294" s="4">
        <v>19</v>
      </c>
      <c r="D294" s="8">
        <v>12.68</v>
      </c>
      <c r="E294" s="8">
        <v>11.43</v>
      </c>
      <c r="F294" s="8">
        <v>11.58</v>
      </c>
      <c r="G294" s="8">
        <v>13.13</v>
      </c>
      <c r="H294" s="8">
        <v>11.08</v>
      </c>
      <c r="I294" s="8">
        <v>12.66</v>
      </c>
      <c r="J294" s="8">
        <v>11.81</v>
      </c>
      <c r="K294" s="8">
        <v>11.86</v>
      </c>
      <c r="L294" s="8">
        <v>13.33</v>
      </c>
      <c r="M294" s="8">
        <v>13.53</v>
      </c>
      <c r="N294" s="8">
        <v>12.35</v>
      </c>
      <c r="O294" s="8">
        <v>13.79</v>
      </c>
      <c r="P294" s="8">
        <v>13.2</v>
      </c>
      <c r="Q294" s="8">
        <v>11.91</v>
      </c>
      <c r="R294" s="8">
        <v>14.08</v>
      </c>
      <c r="S294" s="8">
        <v>12.41</v>
      </c>
      <c r="T294" s="8">
        <v>14.01</v>
      </c>
      <c r="U294" s="8">
        <v>13.59</v>
      </c>
      <c r="V294" s="8">
        <v>12.07</v>
      </c>
      <c r="W294" s="8">
        <v>14.49</v>
      </c>
      <c r="X294" s="8">
        <v>11.43</v>
      </c>
      <c r="Y294" s="8">
        <v>14.44</v>
      </c>
      <c r="Z294" s="8">
        <v>10.39</v>
      </c>
      <c r="AA294" s="8">
        <v>9.75</v>
      </c>
      <c r="AB294" s="8">
        <v>13.09</v>
      </c>
      <c r="AC294" s="8">
        <v>12.75</v>
      </c>
      <c r="AD294" s="8">
        <v>11.09</v>
      </c>
      <c r="AE294" s="8">
        <v>12.37</v>
      </c>
      <c r="AF294" s="8">
        <v>12.18</v>
      </c>
      <c r="AG294" s="8">
        <v>13.6</v>
      </c>
      <c r="AH294" s="8">
        <v>11.95</v>
      </c>
      <c r="AI294" s="8">
        <v>12.99</v>
      </c>
      <c r="AJ294" s="8">
        <v>13.27</v>
      </c>
      <c r="AK294" s="8">
        <v>14.51</v>
      </c>
      <c r="AL294" s="8">
        <v>12.95</v>
      </c>
      <c r="AM294" s="8">
        <v>14.2</v>
      </c>
      <c r="AN294" s="8">
        <v>13.33</v>
      </c>
      <c r="AO294" s="8">
        <v>12.67</v>
      </c>
      <c r="AP294" s="8">
        <v>14.27</v>
      </c>
      <c r="AQ294" s="8">
        <v>13.31</v>
      </c>
      <c r="AR294" s="8">
        <v>13.29</v>
      </c>
      <c r="AS294" s="8">
        <v>12.03</v>
      </c>
      <c r="AT294" s="8">
        <v>13.53</v>
      </c>
      <c r="AU294" s="6">
        <v>12.75</v>
      </c>
      <c r="AV294" s="6">
        <v>12.39</v>
      </c>
      <c r="AW294" s="6">
        <v>13.77</v>
      </c>
      <c r="AX294" s="6">
        <v>14.18</v>
      </c>
      <c r="AY294" s="6">
        <v>13.02</v>
      </c>
      <c r="AZ294" s="6">
        <v>14.05</v>
      </c>
      <c r="BA294" s="6">
        <v>13.6</v>
      </c>
      <c r="BB294" s="6">
        <v>13.5</v>
      </c>
      <c r="BC294" s="6">
        <v>14.14</v>
      </c>
      <c r="BD294" s="6">
        <v>12.28</v>
      </c>
      <c r="BE294" s="6">
        <v>13.61</v>
      </c>
      <c r="BF294" s="6">
        <v>12.22</v>
      </c>
      <c r="BG294" s="6">
        <v>11.26</v>
      </c>
      <c r="BH294" s="6">
        <v>14.39</v>
      </c>
      <c r="BI294" s="6">
        <v>12.08</v>
      </c>
      <c r="BJ294" s="6">
        <v>13.1</v>
      </c>
      <c r="BK294" s="6">
        <v>14.78</v>
      </c>
      <c r="BL294" s="6">
        <v>10.76</v>
      </c>
      <c r="BM294" s="6">
        <v>14.32</v>
      </c>
      <c r="BN294" s="6">
        <v>9.7100000000000009</v>
      </c>
      <c r="BO294" s="6">
        <v>13.02</v>
      </c>
      <c r="BP294" s="6">
        <v>13.63</v>
      </c>
      <c r="BQ294" s="6">
        <v>13.5</v>
      </c>
      <c r="BR294" s="6">
        <v>11.24</v>
      </c>
      <c r="BS294" s="6">
        <v>12</v>
      </c>
      <c r="BT294" s="6">
        <v>13.9</v>
      </c>
      <c r="BU294" s="6">
        <v>13.92</v>
      </c>
      <c r="BV294" s="6">
        <v>10.94</v>
      </c>
      <c r="BW294" s="6">
        <v>12.2</v>
      </c>
      <c r="BX294" s="6">
        <v>13.96</v>
      </c>
      <c r="BY294" s="6">
        <v>12.76</v>
      </c>
      <c r="BZ294" s="6">
        <v>10.199999999999999</v>
      </c>
      <c r="CA294" s="6">
        <v>12.18</v>
      </c>
      <c r="CB294" s="6">
        <v>12.5</v>
      </c>
      <c r="CC294" s="6">
        <v>13.02</v>
      </c>
      <c r="CD294" s="6">
        <v>13.2</v>
      </c>
      <c r="CE294" s="6">
        <v>12.86</v>
      </c>
      <c r="CF294" s="6">
        <v>9.6</v>
      </c>
      <c r="CG294" s="6">
        <v>13.22</v>
      </c>
      <c r="CH294" s="6">
        <v>12.4</v>
      </c>
      <c r="CI294" s="6">
        <v>14.58</v>
      </c>
      <c r="CJ294" s="11">
        <v>12.38</v>
      </c>
      <c r="CK294" s="6">
        <v>11</v>
      </c>
      <c r="CL294" s="6">
        <v>14.18</v>
      </c>
      <c r="CM294" s="6">
        <v>13.24</v>
      </c>
      <c r="CN294" s="6">
        <v>8.43</v>
      </c>
      <c r="CO294" s="10">
        <v>9.68</v>
      </c>
      <c r="CP294" s="10"/>
    </row>
    <row r="295" spans="1:94" ht="15.75" customHeight="1" x14ac:dyDescent="0.25">
      <c r="A295" s="4">
        <v>294</v>
      </c>
      <c r="B295" s="4"/>
      <c r="C295" s="4">
        <v>20</v>
      </c>
      <c r="D295" s="8">
        <v>12.53</v>
      </c>
      <c r="E295" s="8">
        <v>11.53</v>
      </c>
      <c r="F295" s="8">
        <v>11.43</v>
      </c>
      <c r="G295" s="8">
        <v>12.98</v>
      </c>
      <c r="H295" s="8">
        <v>10.93</v>
      </c>
      <c r="I295" s="8">
        <v>12.6</v>
      </c>
      <c r="J295" s="8">
        <v>11.68</v>
      </c>
      <c r="K295" s="8">
        <v>11.79</v>
      </c>
      <c r="L295" s="8">
        <v>13.13</v>
      </c>
      <c r="M295" s="8">
        <v>13.47</v>
      </c>
      <c r="N295" s="8">
        <v>12.16</v>
      </c>
      <c r="O295" s="8">
        <v>13.59</v>
      </c>
      <c r="P295" s="8">
        <v>13.14</v>
      </c>
      <c r="Q295" s="8">
        <v>11.85</v>
      </c>
      <c r="R295" s="8">
        <v>13.93</v>
      </c>
      <c r="S295" s="8">
        <v>12.31</v>
      </c>
      <c r="T295" s="8">
        <v>13.86</v>
      </c>
      <c r="U295" s="8">
        <v>13.51</v>
      </c>
      <c r="V295" s="8">
        <v>11.83</v>
      </c>
      <c r="W295" s="8">
        <v>14.39</v>
      </c>
      <c r="X295" s="8">
        <v>11.37</v>
      </c>
      <c r="Y295" s="8">
        <v>14.35</v>
      </c>
      <c r="Z295" s="8">
        <v>10.29</v>
      </c>
      <c r="AA295" s="8">
        <v>9.67</v>
      </c>
      <c r="AB295" s="8">
        <v>12.95</v>
      </c>
      <c r="AC295" s="8">
        <v>12.64</v>
      </c>
      <c r="AD295" s="8">
        <v>11.06</v>
      </c>
      <c r="AE295" s="8">
        <v>12.15</v>
      </c>
      <c r="AF295" s="8">
        <v>11.97</v>
      </c>
      <c r="AG295" s="8">
        <v>13.5</v>
      </c>
      <c r="AH295" s="8">
        <v>11.69</v>
      </c>
      <c r="AI295" s="8">
        <v>12.88</v>
      </c>
      <c r="AJ295" s="8">
        <v>13.09</v>
      </c>
      <c r="AK295" s="8">
        <v>14.41</v>
      </c>
      <c r="AL295" s="8">
        <v>12.92</v>
      </c>
      <c r="AM295" s="8">
        <v>14.12</v>
      </c>
      <c r="AN295" s="8">
        <v>13.22</v>
      </c>
      <c r="AO295" s="8">
        <v>12.52</v>
      </c>
      <c r="AP295" s="8">
        <v>14.2</v>
      </c>
      <c r="AQ295" s="8">
        <v>13.3</v>
      </c>
      <c r="AR295" s="8">
        <v>13.16</v>
      </c>
      <c r="AS295" s="8">
        <v>11.85</v>
      </c>
      <c r="AT295" s="8">
        <v>13.45</v>
      </c>
      <c r="AU295" s="6">
        <v>12.72</v>
      </c>
      <c r="AV295" s="6">
        <v>12.39</v>
      </c>
      <c r="AW295" s="6">
        <v>13.72</v>
      </c>
      <c r="AX295" s="6">
        <v>14.09</v>
      </c>
      <c r="AY295" s="6">
        <v>12.9</v>
      </c>
      <c r="AZ295" s="6">
        <v>13.96</v>
      </c>
      <c r="BA295" s="6">
        <v>13.51</v>
      </c>
      <c r="BB295" s="6">
        <v>13.35</v>
      </c>
      <c r="BC295" s="6">
        <v>14.14</v>
      </c>
      <c r="BD295" s="6">
        <v>12.22</v>
      </c>
      <c r="BE295" s="6">
        <v>13.57</v>
      </c>
      <c r="BF295" s="6">
        <v>12.18</v>
      </c>
      <c r="BG295" s="6">
        <v>11.14</v>
      </c>
      <c r="BH295" s="6">
        <v>14.23</v>
      </c>
      <c r="BI295" s="6">
        <v>12.16</v>
      </c>
      <c r="BJ295" s="6">
        <v>13.02</v>
      </c>
      <c r="BK295" s="6">
        <v>14.62</v>
      </c>
      <c r="BL295" s="6">
        <v>10.62</v>
      </c>
      <c r="BM295" s="6">
        <v>14.26</v>
      </c>
      <c r="BN295" s="6">
        <v>9.6</v>
      </c>
      <c r="BO295" s="6">
        <v>12.9</v>
      </c>
      <c r="BP295" s="6">
        <v>13.62</v>
      </c>
      <c r="BQ295" s="6">
        <v>13.42</v>
      </c>
      <c r="BR295" s="6">
        <v>11.1</v>
      </c>
      <c r="BS295" s="6">
        <v>11.7</v>
      </c>
      <c r="BT295" s="6">
        <v>13.78</v>
      </c>
      <c r="BU295" s="6">
        <v>13.84</v>
      </c>
      <c r="BV295" s="6">
        <v>10.82</v>
      </c>
      <c r="BW295" s="6">
        <v>12.08</v>
      </c>
      <c r="BX295" s="6">
        <v>13.9</v>
      </c>
      <c r="BY295" s="6">
        <v>12.64</v>
      </c>
      <c r="BZ295" s="6">
        <v>10.18</v>
      </c>
      <c r="CA295" s="6">
        <v>12.04</v>
      </c>
      <c r="CB295" s="6">
        <v>12.48</v>
      </c>
      <c r="CC295" s="6">
        <v>12.9</v>
      </c>
      <c r="CD295" s="6">
        <v>13.04</v>
      </c>
      <c r="CE295" s="6">
        <v>12.82</v>
      </c>
      <c r="CF295" s="6">
        <v>9.6</v>
      </c>
      <c r="CG295" s="6">
        <v>13.16</v>
      </c>
      <c r="CH295" s="6">
        <v>12.36</v>
      </c>
      <c r="CI295" s="6">
        <v>14.42</v>
      </c>
      <c r="CJ295" s="11">
        <v>12.28</v>
      </c>
      <c r="CK295" s="6">
        <v>11.04</v>
      </c>
      <c r="CL295" s="6">
        <v>14.08</v>
      </c>
      <c r="CM295" s="6">
        <v>13.12</v>
      </c>
      <c r="CN295" s="6">
        <v>8.35</v>
      </c>
      <c r="CO295" s="10">
        <v>9.65</v>
      </c>
      <c r="CP295" s="10"/>
    </row>
    <row r="296" spans="1:94" ht="15.75" customHeight="1" x14ac:dyDescent="0.25">
      <c r="A296" s="4">
        <v>295</v>
      </c>
      <c r="B296" s="4"/>
      <c r="C296" s="4">
        <v>21</v>
      </c>
      <c r="D296" s="8">
        <v>12.38</v>
      </c>
      <c r="E296" s="8">
        <v>11.68</v>
      </c>
      <c r="F296" s="8">
        <v>11.28</v>
      </c>
      <c r="G296" s="8">
        <v>12.93</v>
      </c>
      <c r="H296" s="8">
        <v>10.78</v>
      </c>
      <c r="I296" s="8">
        <v>12.53</v>
      </c>
      <c r="J296" s="8">
        <v>11.58</v>
      </c>
      <c r="K296" s="8">
        <v>11.72</v>
      </c>
      <c r="L296" s="8">
        <v>12.88</v>
      </c>
      <c r="M296" s="8">
        <v>13.37</v>
      </c>
      <c r="N296" s="8">
        <v>12.02</v>
      </c>
      <c r="O296" s="8">
        <v>13.4</v>
      </c>
      <c r="P296" s="8">
        <v>13.06</v>
      </c>
      <c r="Q296" s="8">
        <v>11.74</v>
      </c>
      <c r="R296" s="8">
        <v>13.78</v>
      </c>
      <c r="S296" s="8">
        <v>12.21</v>
      </c>
      <c r="T296" s="8">
        <v>13.71</v>
      </c>
      <c r="U296" s="8">
        <v>13.4</v>
      </c>
      <c r="V296" s="8">
        <v>11.59</v>
      </c>
      <c r="W296" s="8">
        <v>14.35</v>
      </c>
      <c r="X296" s="8">
        <v>11.35</v>
      </c>
      <c r="Y296" s="8">
        <v>14.25</v>
      </c>
      <c r="Z296" s="8">
        <v>10.220000000000001</v>
      </c>
      <c r="AA296" s="8">
        <v>9.57</v>
      </c>
      <c r="AB296" s="8">
        <v>12.85</v>
      </c>
      <c r="AC296" s="8">
        <v>12.52</v>
      </c>
      <c r="AD296" s="8">
        <v>11.04</v>
      </c>
      <c r="AE296" s="8">
        <v>11.95</v>
      </c>
      <c r="AF296" s="8">
        <v>11.73</v>
      </c>
      <c r="AG296" s="8">
        <v>13.4</v>
      </c>
      <c r="AH296" s="8">
        <v>11.53</v>
      </c>
      <c r="AI296" s="8">
        <v>12.81</v>
      </c>
      <c r="AJ296" s="8">
        <v>12.9</v>
      </c>
      <c r="AK296" s="8">
        <v>14.31</v>
      </c>
      <c r="AL296" s="8">
        <v>12.86</v>
      </c>
      <c r="AM296" s="8">
        <v>14.05</v>
      </c>
      <c r="AN296" s="8">
        <v>13.11</v>
      </c>
      <c r="AO296" s="8">
        <v>12.38</v>
      </c>
      <c r="AP296" s="8">
        <v>14.12</v>
      </c>
      <c r="AQ296" s="8">
        <v>13.32</v>
      </c>
      <c r="AR296" s="8">
        <v>13</v>
      </c>
      <c r="AS296" s="8">
        <v>11.63</v>
      </c>
      <c r="AT296" s="8">
        <v>13.39</v>
      </c>
      <c r="AU296" s="6">
        <v>12.72</v>
      </c>
      <c r="AV296" s="6">
        <v>12.4</v>
      </c>
      <c r="AW296" s="6">
        <v>13.68</v>
      </c>
      <c r="AX296" s="6">
        <v>13.97</v>
      </c>
      <c r="AY296" s="6">
        <v>12.8</v>
      </c>
      <c r="AZ296" s="6">
        <v>13.85</v>
      </c>
      <c r="BA296" s="6">
        <v>13.4</v>
      </c>
      <c r="BB296" s="6">
        <v>13.22</v>
      </c>
      <c r="BC296" s="6">
        <v>14.14</v>
      </c>
      <c r="BD296" s="6">
        <v>12.16</v>
      </c>
      <c r="BE296" s="6">
        <v>13.55</v>
      </c>
      <c r="BF296" s="6">
        <v>12.13</v>
      </c>
      <c r="BG296" s="6">
        <v>11.02</v>
      </c>
      <c r="BH296" s="6">
        <v>14.05</v>
      </c>
      <c r="BI296" s="6">
        <v>12.06</v>
      </c>
      <c r="BJ296" s="6">
        <v>12.98</v>
      </c>
      <c r="BK296" s="6">
        <v>14.52</v>
      </c>
      <c r="BL296" s="6">
        <v>10.54</v>
      </c>
      <c r="BM296" s="6">
        <v>14.12</v>
      </c>
      <c r="BN296" s="6">
        <v>9.5</v>
      </c>
      <c r="BO296" s="6">
        <v>12.74</v>
      </c>
      <c r="BP296" s="6">
        <v>13.64</v>
      </c>
      <c r="BQ296" s="6">
        <v>13.36</v>
      </c>
      <c r="BR296" s="6">
        <v>10.9</v>
      </c>
      <c r="BS296" s="6">
        <v>11.4</v>
      </c>
      <c r="BT296" s="6">
        <v>13.7</v>
      </c>
      <c r="BU296" s="6">
        <v>13.82</v>
      </c>
      <c r="BV296" s="6">
        <v>10.7</v>
      </c>
      <c r="BW296" s="6">
        <v>12</v>
      </c>
      <c r="BX296" s="6">
        <v>13.88</v>
      </c>
      <c r="BY296" s="6">
        <v>12.58</v>
      </c>
      <c r="BZ296" s="6">
        <v>10.039999999999999</v>
      </c>
      <c r="CA296" s="6">
        <v>11.98</v>
      </c>
      <c r="CB296" s="6">
        <v>12.46</v>
      </c>
      <c r="CC296" s="6">
        <v>12.82</v>
      </c>
      <c r="CD296" s="6">
        <v>12.94</v>
      </c>
      <c r="CE296" s="6">
        <v>12.68</v>
      </c>
      <c r="CF296" s="6">
        <v>9.6</v>
      </c>
      <c r="CG296" s="6">
        <v>13</v>
      </c>
      <c r="CH296" s="6">
        <v>12.32</v>
      </c>
      <c r="CI296" s="6">
        <v>14.28</v>
      </c>
      <c r="CJ296" s="11">
        <v>12.16</v>
      </c>
      <c r="CK296" s="6">
        <v>11.04</v>
      </c>
      <c r="CL296" s="6">
        <v>13.98</v>
      </c>
      <c r="CM296" s="6">
        <v>12.99</v>
      </c>
      <c r="CN296" s="6">
        <v>8.27</v>
      </c>
      <c r="CO296" s="10">
        <v>9.6</v>
      </c>
      <c r="CP296" s="10"/>
    </row>
    <row r="297" spans="1:94" ht="15.75" customHeight="1" x14ac:dyDescent="0.25">
      <c r="A297" s="4">
        <v>296</v>
      </c>
      <c r="B297" s="4"/>
      <c r="C297" s="4">
        <v>22</v>
      </c>
      <c r="D297" s="8">
        <v>12.18</v>
      </c>
      <c r="E297" s="8">
        <v>11.83</v>
      </c>
      <c r="F297" s="8">
        <v>11.13</v>
      </c>
      <c r="G297" s="8">
        <v>12.78</v>
      </c>
      <c r="H297" s="8">
        <v>10.68</v>
      </c>
      <c r="I297" s="8">
        <v>12.47</v>
      </c>
      <c r="J297" s="8">
        <v>11.52</v>
      </c>
      <c r="K297" s="8">
        <v>11.67</v>
      </c>
      <c r="L297" s="8">
        <v>12.68</v>
      </c>
      <c r="M297" s="8">
        <v>13.28</v>
      </c>
      <c r="N297" s="8">
        <v>11.8</v>
      </c>
      <c r="O297" s="8">
        <v>13.22</v>
      </c>
      <c r="P297" s="8">
        <v>13.01</v>
      </c>
      <c r="Q297" s="8">
        <v>11.64</v>
      </c>
      <c r="R297" s="8">
        <v>13.64</v>
      </c>
      <c r="S297" s="8">
        <v>12.06</v>
      </c>
      <c r="T297" s="8">
        <v>13.54</v>
      </c>
      <c r="U297" s="8">
        <v>13.28</v>
      </c>
      <c r="V297" s="8">
        <v>11.42</v>
      </c>
      <c r="W297" s="8">
        <v>14.29</v>
      </c>
      <c r="X297" s="8">
        <v>11.3</v>
      </c>
      <c r="Y297" s="8">
        <v>14.21</v>
      </c>
      <c r="Z297" s="8">
        <v>10.17</v>
      </c>
      <c r="AA297" s="8">
        <v>9.57</v>
      </c>
      <c r="AB297" s="8">
        <v>12.77</v>
      </c>
      <c r="AC297" s="8">
        <v>12.4</v>
      </c>
      <c r="AD297" s="8">
        <v>11.01</v>
      </c>
      <c r="AE297" s="8">
        <v>11.77</v>
      </c>
      <c r="AF297" s="8">
        <v>11.44</v>
      </c>
      <c r="AG297" s="8">
        <v>13.28</v>
      </c>
      <c r="AH297" s="8">
        <v>11.38</v>
      </c>
      <c r="AI297" s="8">
        <v>12.74</v>
      </c>
      <c r="AJ297" s="8">
        <v>12.72</v>
      </c>
      <c r="AK297" s="8">
        <v>14.24</v>
      </c>
      <c r="AL297" s="8">
        <v>12.79</v>
      </c>
      <c r="AM297" s="8">
        <v>13.97</v>
      </c>
      <c r="AN297" s="8">
        <v>13.02</v>
      </c>
      <c r="AO297" s="8">
        <v>12.2</v>
      </c>
      <c r="AP297" s="8">
        <v>14.04</v>
      </c>
      <c r="AQ297" s="8">
        <v>13.3</v>
      </c>
      <c r="AR297" s="8">
        <v>12.85</v>
      </c>
      <c r="AS297" s="8">
        <v>11.49</v>
      </c>
      <c r="AT297" s="8">
        <v>13.31</v>
      </c>
      <c r="AU297" s="6">
        <v>12.68</v>
      </c>
      <c r="AV297" s="6">
        <v>12.4</v>
      </c>
      <c r="AW297" s="6">
        <v>13.61</v>
      </c>
      <c r="AX297" s="6">
        <v>13.82</v>
      </c>
      <c r="AY297" s="6">
        <v>12.68</v>
      </c>
      <c r="AZ297" s="6">
        <v>13.77</v>
      </c>
      <c r="BA297" s="6">
        <v>13.3</v>
      </c>
      <c r="BB297" s="6">
        <v>13.09</v>
      </c>
      <c r="BC297" s="6">
        <v>14.14</v>
      </c>
      <c r="BD297" s="6">
        <v>12.08</v>
      </c>
      <c r="BE297" s="6">
        <v>13.53</v>
      </c>
      <c r="BF297" s="6">
        <v>12.03</v>
      </c>
      <c r="BG297" s="6">
        <v>10.96</v>
      </c>
      <c r="BH297" s="6">
        <v>13.85</v>
      </c>
      <c r="BI297" s="6">
        <v>11.96</v>
      </c>
      <c r="BJ297" s="6">
        <v>12.9</v>
      </c>
      <c r="BK297" s="6">
        <v>14.4</v>
      </c>
      <c r="BL297" s="6">
        <v>10.46</v>
      </c>
      <c r="BM297" s="6">
        <v>14.03</v>
      </c>
      <c r="BN297" s="6">
        <v>9.3800000000000008</v>
      </c>
      <c r="BO297" s="6">
        <v>12.56</v>
      </c>
      <c r="BP297" s="6">
        <v>13.64</v>
      </c>
      <c r="BQ297" s="6">
        <v>13.28</v>
      </c>
      <c r="BR297" s="6">
        <v>10.78</v>
      </c>
      <c r="BS297" s="6">
        <v>11.14</v>
      </c>
      <c r="BT297" s="6">
        <v>13.62</v>
      </c>
      <c r="BU297" s="6">
        <v>13.78</v>
      </c>
      <c r="BV297" s="6">
        <v>10.6</v>
      </c>
      <c r="BW297" s="6">
        <v>11.92</v>
      </c>
      <c r="BX297" s="6">
        <v>13.82</v>
      </c>
      <c r="BY297" s="6">
        <v>12.54</v>
      </c>
      <c r="BZ297" s="6">
        <v>10.14</v>
      </c>
      <c r="CA297" s="6">
        <v>11.88</v>
      </c>
      <c r="CB297" s="6">
        <v>12.44</v>
      </c>
      <c r="CC297" s="6">
        <v>12.62</v>
      </c>
      <c r="CD297" s="6">
        <v>12.86</v>
      </c>
      <c r="CE297" s="6">
        <v>12.6</v>
      </c>
      <c r="CF297" s="6">
        <v>9.6</v>
      </c>
      <c r="CG297" s="6">
        <v>12.88</v>
      </c>
      <c r="CH297" s="6">
        <v>12.24</v>
      </c>
      <c r="CI297" s="6">
        <v>14.14</v>
      </c>
      <c r="CJ297" s="11">
        <v>12</v>
      </c>
      <c r="CK297" s="6">
        <v>11.02</v>
      </c>
      <c r="CL297" s="6">
        <v>13.9</v>
      </c>
      <c r="CM297" s="6">
        <v>12.9</v>
      </c>
      <c r="CN297" s="6">
        <v>8.1999999999999993</v>
      </c>
      <c r="CO297" s="10">
        <v>9.52</v>
      </c>
      <c r="CP297" s="10"/>
    </row>
    <row r="298" spans="1:94" ht="15.75" customHeight="1" x14ac:dyDescent="0.25">
      <c r="A298" s="4">
        <v>297</v>
      </c>
      <c r="B298" s="4"/>
      <c r="C298" s="4">
        <v>23</v>
      </c>
      <c r="D298" s="8">
        <v>12.03</v>
      </c>
      <c r="E298" s="8">
        <v>11.98</v>
      </c>
      <c r="F298" s="8">
        <v>10.98</v>
      </c>
      <c r="G298" s="8">
        <v>12.68</v>
      </c>
      <c r="H298" s="8">
        <v>10.63</v>
      </c>
      <c r="I298" s="8">
        <v>12.43</v>
      </c>
      <c r="J298" s="8">
        <v>11.46</v>
      </c>
      <c r="K298" s="8">
        <v>11.67</v>
      </c>
      <c r="L298" s="8">
        <v>12.53</v>
      </c>
      <c r="M298" s="8">
        <v>13.18</v>
      </c>
      <c r="N298" s="8">
        <v>11.65</v>
      </c>
      <c r="O298" s="8">
        <v>13.07</v>
      </c>
      <c r="P298" s="8">
        <v>12.98</v>
      </c>
      <c r="Q298" s="8">
        <v>11.49</v>
      </c>
      <c r="R298" s="8">
        <v>13.55</v>
      </c>
      <c r="S298" s="8">
        <v>11.96</v>
      </c>
      <c r="T298" s="8">
        <v>13.41</v>
      </c>
      <c r="U298" s="8">
        <v>13.18</v>
      </c>
      <c r="V298" s="8">
        <v>11.3</v>
      </c>
      <c r="W298" s="8">
        <v>14.21</v>
      </c>
      <c r="X298" s="8">
        <v>11.3</v>
      </c>
      <c r="Y298" s="8">
        <v>14.18</v>
      </c>
      <c r="Z298" s="8">
        <v>10.119999999999999</v>
      </c>
      <c r="AA298" s="8">
        <v>9.57</v>
      </c>
      <c r="AB298" s="8">
        <v>12.69</v>
      </c>
      <c r="AC298" s="8">
        <v>12.29</v>
      </c>
      <c r="AD298" s="8">
        <v>10.99</v>
      </c>
      <c r="AE298" s="8">
        <v>11.63</v>
      </c>
      <c r="AF298" s="8">
        <v>11.15</v>
      </c>
      <c r="AG298" s="8">
        <v>13.18</v>
      </c>
      <c r="AH298" s="8">
        <v>11.23</v>
      </c>
      <c r="AI298" s="8">
        <v>12.65</v>
      </c>
      <c r="AJ298" s="8">
        <v>12.51</v>
      </c>
      <c r="AK298" s="8">
        <v>14.16</v>
      </c>
      <c r="AL298" s="8">
        <v>12.71</v>
      </c>
      <c r="AM298" s="8">
        <v>13.87</v>
      </c>
      <c r="AN298" s="8">
        <v>12.92</v>
      </c>
      <c r="AO298" s="8">
        <v>12.1</v>
      </c>
      <c r="AP298" s="8">
        <v>13.97</v>
      </c>
      <c r="AQ298" s="8">
        <v>13.24</v>
      </c>
      <c r="AR298" s="8">
        <v>12.71</v>
      </c>
      <c r="AS298" s="8">
        <v>11.33</v>
      </c>
      <c r="AT298" s="8">
        <v>13.2</v>
      </c>
      <c r="AU298" s="6">
        <v>12.68</v>
      </c>
      <c r="AV298" s="6">
        <v>12.39</v>
      </c>
      <c r="AW298" s="6">
        <v>13.55</v>
      </c>
      <c r="AX298" s="6">
        <v>13.68</v>
      </c>
      <c r="AY298" s="6">
        <v>12.57</v>
      </c>
      <c r="AZ298" s="6">
        <v>13.72</v>
      </c>
      <c r="BA298" s="6">
        <v>13.19</v>
      </c>
      <c r="BB298" s="6">
        <v>13</v>
      </c>
      <c r="BC298" s="6">
        <v>14.1</v>
      </c>
      <c r="BD298" s="6">
        <v>12.02</v>
      </c>
      <c r="BE298" s="6">
        <v>13.56</v>
      </c>
      <c r="BF298" s="6">
        <v>11.93</v>
      </c>
      <c r="BG298" s="6">
        <v>10.88</v>
      </c>
      <c r="BH298" s="6">
        <v>13.64</v>
      </c>
      <c r="BI298" s="6">
        <v>11.86</v>
      </c>
      <c r="BJ298" s="6">
        <v>12.84</v>
      </c>
      <c r="BK298" s="6">
        <v>14.3</v>
      </c>
      <c r="BL298" s="6">
        <v>10.38</v>
      </c>
      <c r="BM298" s="6">
        <v>13.9</v>
      </c>
      <c r="BN298" s="6">
        <v>9.2799999999999994</v>
      </c>
      <c r="BO298" s="6">
        <v>12.36</v>
      </c>
      <c r="BP298" s="6">
        <v>13.66</v>
      </c>
      <c r="BQ298" s="6">
        <v>13.22</v>
      </c>
      <c r="BR298" s="6">
        <v>10.68</v>
      </c>
      <c r="BS298" s="6">
        <v>10.86</v>
      </c>
      <c r="BT298" s="6">
        <v>13.54</v>
      </c>
      <c r="BU298" s="6">
        <v>13.7</v>
      </c>
      <c r="BV298" s="6">
        <v>10.5</v>
      </c>
      <c r="BW298" s="6">
        <v>11.86</v>
      </c>
      <c r="BX298" s="6">
        <v>13.72</v>
      </c>
      <c r="BY298" s="6">
        <v>12.36</v>
      </c>
      <c r="BZ298" s="6">
        <v>10.039999999999999</v>
      </c>
      <c r="CA298" s="6">
        <v>11.82</v>
      </c>
      <c r="CB298" s="6">
        <v>12.44</v>
      </c>
      <c r="CC298" s="6">
        <v>12.48</v>
      </c>
      <c r="CD298" s="6">
        <v>12.74</v>
      </c>
      <c r="CE298" s="6">
        <v>12.53</v>
      </c>
      <c r="CF298" s="6">
        <v>9.58</v>
      </c>
      <c r="CG298" s="6">
        <v>12.34</v>
      </c>
      <c r="CH298" s="6">
        <v>12.16</v>
      </c>
      <c r="CI298" s="6">
        <v>14.02</v>
      </c>
      <c r="CJ298" s="11">
        <v>11.78</v>
      </c>
      <c r="CK298" s="6">
        <v>10.96</v>
      </c>
      <c r="CL298" s="6">
        <v>13.8</v>
      </c>
      <c r="CM298" s="6">
        <v>12.79</v>
      </c>
      <c r="CN298" s="6">
        <v>8.1199999999999992</v>
      </c>
      <c r="CO298" s="10">
        <v>9.44</v>
      </c>
      <c r="CP298" s="10"/>
    </row>
    <row r="299" spans="1:94" ht="15.75" customHeight="1" x14ac:dyDescent="0.25">
      <c r="A299" s="4">
        <v>298</v>
      </c>
      <c r="B299" s="4"/>
      <c r="C299" s="4">
        <v>24</v>
      </c>
      <c r="D299" s="8">
        <v>11.88</v>
      </c>
      <c r="E299" s="8">
        <v>12.08</v>
      </c>
      <c r="F299" s="8">
        <v>10.88</v>
      </c>
      <c r="G299" s="8">
        <v>12.58</v>
      </c>
      <c r="H299" s="8">
        <v>10.58</v>
      </c>
      <c r="I299" s="8">
        <v>12.34</v>
      </c>
      <c r="J299" s="8">
        <v>11.42</v>
      </c>
      <c r="K299" s="8">
        <v>11.66</v>
      </c>
      <c r="L299" s="8">
        <v>12.38</v>
      </c>
      <c r="M299" s="8">
        <v>13.07</v>
      </c>
      <c r="N299" s="8">
        <v>11.53</v>
      </c>
      <c r="O299" s="8">
        <v>12.91</v>
      </c>
      <c r="P299" s="8">
        <v>12.94</v>
      </c>
      <c r="Q299" s="8">
        <v>11.35</v>
      </c>
      <c r="R299" s="8">
        <v>13.46</v>
      </c>
      <c r="S299" s="8">
        <v>11.86</v>
      </c>
      <c r="T299" s="8">
        <v>13.23</v>
      </c>
      <c r="U299" s="8">
        <v>13.08</v>
      </c>
      <c r="V299" s="8">
        <v>11.16</v>
      </c>
      <c r="W299" s="8">
        <v>14.13</v>
      </c>
      <c r="X299" s="8">
        <v>11.25</v>
      </c>
      <c r="Y299" s="8">
        <v>14.14</v>
      </c>
      <c r="Z299" s="8">
        <v>10.050000000000001</v>
      </c>
      <c r="AA299" s="8">
        <v>9.57</v>
      </c>
      <c r="AB299" s="8">
        <v>12.61</v>
      </c>
      <c r="AC299" s="8">
        <v>12.18</v>
      </c>
      <c r="AD299" s="8">
        <v>10.97</v>
      </c>
      <c r="AE299" s="8">
        <v>11.53</v>
      </c>
      <c r="AF299" s="8">
        <v>10.91</v>
      </c>
      <c r="AG299" s="8">
        <v>13.06</v>
      </c>
      <c r="AH299" s="8">
        <v>11.1</v>
      </c>
      <c r="AI299" s="8">
        <v>12.57</v>
      </c>
      <c r="AJ299" s="8">
        <v>12.33</v>
      </c>
      <c r="AK299" s="8">
        <v>14.06</v>
      </c>
      <c r="AL299" s="8">
        <v>12.63</v>
      </c>
      <c r="AM299" s="8">
        <v>13.82</v>
      </c>
      <c r="AN299" s="8">
        <v>12.8</v>
      </c>
      <c r="AO299" s="8">
        <v>11.91</v>
      </c>
      <c r="AP299" s="8">
        <v>13.95</v>
      </c>
      <c r="AQ299" s="8">
        <v>13.17</v>
      </c>
      <c r="AR299" s="8">
        <v>12.59</v>
      </c>
      <c r="AS299" s="8">
        <v>11.2</v>
      </c>
      <c r="AT299" s="8">
        <v>13.07</v>
      </c>
      <c r="AU299" s="6">
        <v>12.65</v>
      </c>
      <c r="AV299" s="6">
        <v>12.43</v>
      </c>
      <c r="AW299" s="6">
        <v>13.47</v>
      </c>
      <c r="AX299" s="6">
        <v>13.52</v>
      </c>
      <c r="AY299" s="6">
        <v>12.5</v>
      </c>
      <c r="AZ299" s="6">
        <v>13.61</v>
      </c>
      <c r="BA299" s="6">
        <v>13.09</v>
      </c>
      <c r="BB299" s="6">
        <v>12.89</v>
      </c>
      <c r="BC299" s="6">
        <v>14.06</v>
      </c>
      <c r="BD299" s="6">
        <v>11.9</v>
      </c>
      <c r="BE299" s="6">
        <v>13.59</v>
      </c>
      <c r="BF299" s="6">
        <v>11.85</v>
      </c>
      <c r="BG299" s="6">
        <v>10.77</v>
      </c>
      <c r="BH299" s="6">
        <v>13.42</v>
      </c>
      <c r="BI299" s="6">
        <v>11.72</v>
      </c>
      <c r="BJ299" s="6">
        <v>12.74</v>
      </c>
      <c r="BK299" s="6">
        <v>14.2</v>
      </c>
      <c r="BL299" s="6">
        <v>10.3</v>
      </c>
      <c r="BM299" s="6">
        <v>13.78</v>
      </c>
      <c r="BN299" s="6">
        <v>9.23</v>
      </c>
      <c r="BO299" s="6">
        <v>12.16</v>
      </c>
      <c r="BP299" s="6">
        <v>13.66</v>
      </c>
      <c r="BQ299" s="6">
        <v>13.18</v>
      </c>
      <c r="BR299" s="6">
        <v>10.6</v>
      </c>
      <c r="BS299" s="6">
        <v>10.62</v>
      </c>
      <c r="BT299" s="6">
        <v>13.48</v>
      </c>
      <c r="BU299" s="6">
        <v>13.66</v>
      </c>
      <c r="BV299" s="6">
        <v>10.4</v>
      </c>
      <c r="BW299" s="6">
        <v>11.76</v>
      </c>
      <c r="BX299" s="6">
        <v>13.68</v>
      </c>
      <c r="BY299" s="6">
        <v>12.18</v>
      </c>
      <c r="BZ299" s="6">
        <v>10</v>
      </c>
      <c r="CA299" s="6">
        <v>11.6</v>
      </c>
      <c r="CB299" s="6">
        <v>12.44</v>
      </c>
      <c r="CC299" s="6">
        <v>12.36</v>
      </c>
      <c r="CD299" s="6">
        <v>12.62</v>
      </c>
      <c r="CE299" s="6">
        <v>12.46</v>
      </c>
      <c r="CF299" s="6">
        <v>9.52</v>
      </c>
      <c r="CG299" s="6">
        <v>12.62</v>
      </c>
      <c r="CH299" s="6">
        <v>12.1</v>
      </c>
      <c r="CI299" s="6">
        <v>13.9</v>
      </c>
      <c r="CJ299" s="11">
        <v>11.7</v>
      </c>
      <c r="CK299" s="6">
        <v>10.9</v>
      </c>
      <c r="CL299" s="6">
        <v>13.7</v>
      </c>
      <c r="CM299" s="6">
        <v>12.65</v>
      </c>
      <c r="CN299" s="6">
        <v>8.07</v>
      </c>
      <c r="CO299" s="10">
        <v>9.35</v>
      </c>
      <c r="CP299" s="10"/>
    </row>
    <row r="300" spans="1:94" ht="15.75" customHeight="1" x14ac:dyDescent="0.25">
      <c r="A300" s="4">
        <v>299</v>
      </c>
      <c r="B300" s="4"/>
      <c r="C300" s="4">
        <v>25</v>
      </c>
      <c r="D300" s="8">
        <v>11.73</v>
      </c>
      <c r="E300" s="8">
        <v>12.18</v>
      </c>
      <c r="F300" s="8">
        <v>10.78</v>
      </c>
      <c r="G300" s="8">
        <v>12.43</v>
      </c>
      <c r="H300" s="8">
        <v>10.54</v>
      </c>
      <c r="I300" s="8">
        <v>12.25</v>
      </c>
      <c r="J300" s="8">
        <v>11.38</v>
      </c>
      <c r="K300" s="8">
        <v>11.6</v>
      </c>
      <c r="L300" s="8">
        <v>12.18</v>
      </c>
      <c r="M300" s="8">
        <v>12.93</v>
      </c>
      <c r="N300" s="8">
        <v>11.43</v>
      </c>
      <c r="O300" s="8">
        <v>12.82</v>
      </c>
      <c r="P300" s="8">
        <v>12.92</v>
      </c>
      <c r="Q300" s="8">
        <v>11.2</v>
      </c>
      <c r="R300" s="8">
        <v>13.36</v>
      </c>
      <c r="S300" s="8">
        <v>11.76</v>
      </c>
      <c r="T300" s="8">
        <v>13.06</v>
      </c>
      <c r="U300" s="8">
        <v>12.98</v>
      </c>
      <c r="V300" s="8">
        <v>10.96</v>
      </c>
      <c r="W300" s="8">
        <v>14.05</v>
      </c>
      <c r="X300" s="8">
        <v>11.25</v>
      </c>
      <c r="Y300" s="8">
        <v>14.11</v>
      </c>
      <c r="Z300" s="8">
        <v>10.02</v>
      </c>
      <c r="AA300" s="8">
        <v>9.6300000000000008</v>
      </c>
      <c r="AB300" s="8">
        <v>12.51</v>
      </c>
      <c r="AC300" s="8">
        <v>12.06</v>
      </c>
      <c r="AD300" s="8">
        <v>11.03</v>
      </c>
      <c r="AE300" s="8">
        <v>11.45</v>
      </c>
      <c r="AF300" s="8">
        <v>10.67</v>
      </c>
      <c r="AG300" s="8">
        <v>12.9</v>
      </c>
      <c r="AH300" s="8">
        <v>10.97</v>
      </c>
      <c r="AI300" s="8">
        <v>12.48</v>
      </c>
      <c r="AJ300" s="8">
        <v>12.13</v>
      </c>
      <c r="AK300" s="8">
        <v>13.96</v>
      </c>
      <c r="AL300" s="8">
        <v>12.58</v>
      </c>
      <c r="AM300" s="8">
        <v>13.73</v>
      </c>
      <c r="AN300" s="8">
        <v>12.67</v>
      </c>
      <c r="AO300" s="8">
        <v>11.71</v>
      </c>
      <c r="AP300" s="8">
        <v>13.92</v>
      </c>
      <c r="AQ300" s="8">
        <v>13.09</v>
      </c>
      <c r="AR300" s="8">
        <v>12.49</v>
      </c>
      <c r="AS300" s="8">
        <v>11.09</v>
      </c>
      <c r="AT300" s="8">
        <v>12.93</v>
      </c>
      <c r="AU300" s="6">
        <v>12.6</v>
      </c>
      <c r="AV300" s="6">
        <v>12.46</v>
      </c>
      <c r="AW300" s="6">
        <v>13.36</v>
      </c>
      <c r="AX300" s="6">
        <v>13.38</v>
      </c>
      <c r="AY300" s="6">
        <v>12.38</v>
      </c>
      <c r="AZ300" s="6">
        <v>13.52</v>
      </c>
      <c r="BA300" s="6">
        <v>12.94</v>
      </c>
      <c r="BB300" s="6">
        <v>12.77</v>
      </c>
      <c r="BC300" s="6">
        <v>14.02</v>
      </c>
      <c r="BD300" s="6">
        <v>11.82</v>
      </c>
      <c r="BE300" s="6">
        <v>13.59</v>
      </c>
      <c r="BF300" s="6">
        <v>11.76</v>
      </c>
      <c r="BG300" s="6">
        <v>10.69</v>
      </c>
      <c r="BH300" s="6">
        <v>13.22</v>
      </c>
      <c r="BI300" s="6">
        <v>11.64</v>
      </c>
      <c r="BJ300" s="6">
        <v>12.66</v>
      </c>
      <c r="BK300" s="6">
        <v>14.06</v>
      </c>
      <c r="BL300" s="6">
        <v>10.24</v>
      </c>
      <c r="BM300" s="6">
        <v>13.64</v>
      </c>
      <c r="BN300" s="6">
        <v>9.18</v>
      </c>
      <c r="BO300" s="6">
        <v>12</v>
      </c>
      <c r="BP300" s="6">
        <v>13.62</v>
      </c>
      <c r="BQ300" s="6">
        <v>13.12</v>
      </c>
      <c r="BR300" s="6">
        <v>10.5</v>
      </c>
      <c r="BS300" s="6">
        <v>10.4</v>
      </c>
      <c r="BT300" s="6">
        <v>13.36</v>
      </c>
      <c r="BU300" s="6">
        <v>13.56</v>
      </c>
      <c r="BV300" s="6">
        <v>10.3</v>
      </c>
      <c r="BW300" s="6">
        <v>11.64</v>
      </c>
      <c r="BX300" s="6">
        <v>13.54</v>
      </c>
      <c r="BY300" s="6">
        <v>12.09</v>
      </c>
      <c r="BZ300" s="6">
        <v>9.92</v>
      </c>
      <c r="CA300" s="6">
        <v>11.5</v>
      </c>
      <c r="CB300" s="6">
        <v>12.36</v>
      </c>
      <c r="CC300" s="6">
        <v>12.24</v>
      </c>
      <c r="CD300" s="6">
        <v>12.5</v>
      </c>
      <c r="CE300" s="6">
        <v>12.44</v>
      </c>
      <c r="CF300" s="6">
        <v>9.52</v>
      </c>
      <c r="CG300" s="6">
        <v>12.52</v>
      </c>
      <c r="CH300" s="6">
        <v>12.04</v>
      </c>
      <c r="CI300" s="6">
        <v>13.82</v>
      </c>
      <c r="CJ300" s="11">
        <v>11.66</v>
      </c>
      <c r="CK300" s="6">
        <v>10.8</v>
      </c>
      <c r="CL300" s="6">
        <v>13.66</v>
      </c>
      <c r="CM300" s="6">
        <v>12.58</v>
      </c>
      <c r="CN300" s="6">
        <v>8.09</v>
      </c>
      <c r="CO300" s="10">
        <v>9.26</v>
      </c>
      <c r="CP300" s="10"/>
    </row>
    <row r="301" spans="1:94" ht="15.75" customHeight="1" x14ac:dyDescent="0.25">
      <c r="A301" s="4">
        <v>300</v>
      </c>
      <c r="B301" s="4"/>
      <c r="C301" s="4">
        <v>26</v>
      </c>
      <c r="D301" s="8">
        <v>11.58</v>
      </c>
      <c r="E301" s="8">
        <v>12.23</v>
      </c>
      <c r="F301" s="8">
        <v>10.68</v>
      </c>
      <c r="G301" s="8">
        <v>12.33</v>
      </c>
      <c r="H301" s="8">
        <v>10.52</v>
      </c>
      <c r="I301" s="8">
        <v>12.11</v>
      </c>
      <c r="J301" s="8">
        <v>11.36</v>
      </c>
      <c r="K301" s="8">
        <v>11.54</v>
      </c>
      <c r="L301" s="8">
        <v>11.98</v>
      </c>
      <c r="M301" s="8">
        <v>12.8</v>
      </c>
      <c r="N301" s="8">
        <v>11.38</v>
      </c>
      <c r="O301" s="8">
        <v>12.7</v>
      </c>
      <c r="P301" s="8">
        <v>12.9</v>
      </c>
      <c r="Q301" s="8">
        <v>11.08</v>
      </c>
      <c r="R301" s="8">
        <v>13.25</v>
      </c>
      <c r="S301" s="8">
        <v>11.76</v>
      </c>
      <c r="T301" s="8">
        <v>12.88</v>
      </c>
      <c r="U301" s="8">
        <v>12.85</v>
      </c>
      <c r="V301" s="8">
        <v>10.78</v>
      </c>
      <c r="W301" s="8">
        <v>13.95</v>
      </c>
      <c r="X301" s="8">
        <v>11.23</v>
      </c>
      <c r="Y301" s="8">
        <v>14.1</v>
      </c>
      <c r="Z301" s="8">
        <v>9.9700000000000006</v>
      </c>
      <c r="AA301" s="8">
        <v>9.7100000000000009</v>
      </c>
      <c r="AB301" s="8">
        <v>12.41</v>
      </c>
      <c r="AC301" s="8">
        <v>11.95</v>
      </c>
      <c r="AD301" s="8">
        <v>11.03</v>
      </c>
      <c r="AE301" s="8">
        <v>11.39</v>
      </c>
      <c r="AF301" s="8">
        <v>10.44</v>
      </c>
      <c r="AG301" s="8">
        <v>12.72</v>
      </c>
      <c r="AH301" s="8">
        <v>10.83</v>
      </c>
      <c r="AI301" s="8">
        <v>12.37</v>
      </c>
      <c r="AJ301" s="8">
        <v>11.96</v>
      </c>
      <c r="AK301" s="8">
        <v>13.9</v>
      </c>
      <c r="AL301" s="8">
        <v>12.54</v>
      </c>
      <c r="AM301" s="8">
        <v>13.69</v>
      </c>
      <c r="AN301" s="8">
        <v>12.55</v>
      </c>
      <c r="AO301" s="8">
        <v>11.59</v>
      </c>
      <c r="AP301" s="8">
        <v>13.89</v>
      </c>
      <c r="AQ301" s="8">
        <v>13</v>
      </c>
      <c r="AR301" s="8">
        <v>12.43</v>
      </c>
      <c r="AS301" s="8">
        <v>11</v>
      </c>
      <c r="AT301" s="8">
        <v>12.77</v>
      </c>
      <c r="AU301" s="6">
        <v>12.61</v>
      </c>
      <c r="AV301" s="6">
        <v>12.5</v>
      </c>
      <c r="AW301" s="6">
        <v>13.27</v>
      </c>
      <c r="AX301" s="6">
        <v>13.25</v>
      </c>
      <c r="AY301" s="6">
        <v>12.27</v>
      </c>
      <c r="AZ301" s="6">
        <v>13.42</v>
      </c>
      <c r="BA301" s="6">
        <v>12.81</v>
      </c>
      <c r="BB301" s="6">
        <v>12.68</v>
      </c>
      <c r="BC301" s="6">
        <v>13.98</v>
      </c>
      <c r="BD301" s="6">
        <v>11.74</v>
      </c>
      <c r="BE301" s="6">
        <v>13.52</v>
      </c>
      <c r="BF301" s="6">
        <v>11.69</v>
      </c>
      <c r="BG301" s="6">
        <v>10.6</v>
      </c>
      <c r="BH301" s="6">
        <v>13.03</v>
      </c>
      <c r="BI301" s="6">
        <v>11.6</v>
      </c>
      <c r="BJ301" s="6">
        <v>12.58</v>
      </c>
      <c r="BK301" s="6">
        <v>13.95</v>
      </c>
      <c r="BL301" s="6">
        <v>10.16</v>
      </c>
      <c r="BM301" s="6">
        <v>13.48</v>
      </c>
      <c r="BN301" s="6">
        <v>9.1199999999999992</v>
      </c>
      <c r="BO301" s="6">
        <v>11.78</v>
      </c>
      <c r="BP301" s="6">
        <v>13.64</v>
      </c>
      <c r="BQ301" s="6">
        <v>13.04</v>
      </c>
      <c r="BR301" s="6">
        <v>10.42</v>
      </c>
      <c r="BS301" s="6">
        <v>10.24</v>
      </c>
      <c r="BT301" s="6">
        <v>13.32</v>
      </c>
      <c r="BU301" s="6">
        <v>13.46</v>
      </c>
      <c r="BV301" s="6">
        <v>10.24</v>
      </c>
      <c r="BW301" s="6">
        <v>11.72</v>
      </c>
      <c r="BX301" s="6">
        <v>13.48</v>
      </c>
      <c r="BY301" s="6">
        <v>12</v>
      </c>
      <c r="BZ301" s="6">
        <v>9.9</v>
      </c>
      <c r="CA301" s="6">
        <v>11.44</v>
      </c>
      <c r="CB301" s="6">
        <v>12.26</v>
      </c>
      <c r="CC301" s="6">
        <v>12.12</v>
      </c>
      <c r="CD301" s="6">
        <v>12.38</v>
      </c>
      <c r="CE301" s="6">
        <v>12.38</v>
      </c>
      <c r="CF301" s="6">
        <v>9.52</v>
      </c>
      <c r="CG301" s="6">
        <v>12.49</v>
      </c>
      <c r="CH301" s="6">
        <v>12</v>
      </c>
      <c r="CI301" s="6">
        <v>13.7</v>
      </c>
      <c r="CJ301" s="11">
        <v>11.56</v>
      </c>
      <c r="CK301" s="6">
        <v>10.72</v>
      </c>
      <c r="CL301" s="6">
        <v>13.6</v>
      </c>
      <c r="CM301" s="6">
        <v>12.47</v>
      </c>
      <c r="CN301" s="6">
        <v>8.1999999999999993</v>
      </c>
      <c r="CO301" s="10">
        <v>9.17</v>
      </c>
      <c r="CP301" s="10"/>
    </row>
    <row r="302" spans="1:94" ht="15.75" customHeight="1" x14ac:dyDescent="0.25">
      <c r="A302" s="4">
        <v>301</v>
      </c>
      <c r="B302" s="4"/>
      <c r="C302" s="4">
        <v>27</v>
      </c>
      <c r="D302" s="8">
        <v>11.48</v>
      </c>
      <c r="E302" s="8">
        <v>12.28</v>
      </c>
      <c r="F302" s="8">
        <v>10.58</v>
      </c>
      <c r="G302" s="8">
        <v>12.28</v>
      </c>
      <c r="H302" s="8">
        <v>10.5</v>
      </c>
      <c r="I302" s="8">
        <v>12</v>
      </c>
      <c r="J302" s="8">
        <v>11.28</v>
      </c>
      <c r="K302" s="8">
        <v>11.53</v>
      </c>
      <c r="L302" s="8">
        <v>11.78</v>
      </c>
      <c r="M302" s="8">
        <v>12.64</v>
      </c>
      <c r="N302" s="8">
        <v>11.33</v>
      </c>
      <c r="O302" s="8">
        <v>12.59</v>
      </c>
      <c r="P302" s="8">
        <v>12.85</v>
      </c>
      <c r="Q302" s="8">
        <v>11</v>
      </c>
      <c r="R302" s="8">
        <v>13.13</v>
      </c>
      <c r="S302" s="8">
        <v>11.66</v>
      </c>
      <c r="T302" s="8">
        <v>12.76</v>
      </c>
      <c r="U302" s="8">
        <v>12.75</v>
      </c>
      <c r="V302" s="8">
        <v>10.64</v>
      </c>
      <c r="W302" s="8">
        <v>13.85</v>
      </c>
      <c r="X302" s="8">
        <v>11.15</v>
      </c>
      <c r="Y302" s="8">
        <v>14.05</v>
      </c>
      <c r="Z302" s="8">
        <v>9.91</v>
      </c>
      <c r="AA302" s="8">
        <v>9.77</v>
      </c>
      <c r="AB302" s="8">
        <v>12.31</v>
      </c>
      <c r="AC302" s="8">
        <v>11.81</v>
      </c>
      <c r="AD302" s="8">
        <v>11.09</v>
      </c>
      <c r="AE302" s="8">
        <v>11.3</v>
      </c>
      <c r="AF302" s="8">
        <v>10.27</v>
      </c>
      <c r="AG302" s="8">
        <v>12.54</v>
      </c>
      <c r="AH302" s="8">
        <v>10.71</v>
      </c>
      <c r="AI302" s="8">
        <v>12.22</v>
      </c>
      <c r="AJ302" s="8">
        <v>11.81</v>
      </c>
      <c r="AK302" s="8">
        <v>13.83</v>
      </c>
      <c r="AL302" s="8">
        <v>12.47</v>
      </c>
      <c r="AM302" s="8">
        <v>13.61</v>
      </c>
      <c r="AN302" s="8">
        <v>12.49</v>
      </c>
      <c r="AO302" s="8">
        <v>11.46</v>
      </c>
      <c r="AP302" s="8">
        <v>13.83</v>
      </c>
      <c r="AQ302" s="8">
        <v>12.9</v>
      </c>
      <c r="AR302" s="8">
        <v>12.39</v>
      </c>
      <c r="AS302" s="8">
        <v>10.95</v>
      </c>
      <c r="AT302" s="8">
        <v>12.63</v>
      </c>
      <c r="AU302" s="6">
        <v>12.55</v>
      </c>
      <c r="AV302" s="6">
        <v>12.5</v>
      </c>
      <c r="AW302" s="6">
        <v>13.18</v>
      </c>
      <c r="AX302" s="6">
        <v>13.1</v>
      </c>
      <c r="AY302" s="6">
        <v>12.14</v>
      </c>
      <c r="AZ302" s="6">
        <v>13.31</v>
      </c>
      <c r="BA302" s="6">
        <v>12.71</v>
      </c>
      <c r="BB302" s="6">
        <v>12.56</v>
      </c>
      <c r="BC302" s="6">
        <v>13.92</v>
      </c>
      <c r="BD302" s="6">
        <v>11.64</v>
      </c>
      <c r="BE302" s="6">
        <v>13.44</v>
      </c>
      <c r="BF302" s="6">
        <v>11.6</v>
      </c>
      <c r="BG302" s="6">
        <v>10.53</v>
      </c>
      <c r="BH302" s="6">
        <v>12.85</v>
      </c>
      <c r="BI302" s="6">
        <v>11.36</v>
      </c>
      <c r="BJ302" s="6">
        <v>12.5</v>
      </c>
      <c r="BK302" s="6">
        <v>13.88</v>
      </c>
      <c r="BL302" s="6">
        <v>10.1</v>
      </c>
      <c r="BM302" s="6">
        <v>13.32</v>
      </c>
      <c r="BN302" s="6">
        <v>9.06</v>
      </c>
      <c r="BO302" s="6">
        <v>11.6</v>
      </c>
      <c r="BP302" s="6">
        <v>13.64</v>
      </c>
      <c r="BQ302" s="6">
        <v>13</v>
      </c>
      <c r="BR302" s="6">
        <v>10.34</v>
      </c>
      <c r="BS302" s="6">
        <v>10.14</v>
      </c>
      <c r="BT302" s="6">
        <v>13.26</v>
      </c>
      <c r="BU302" s="6">
        <v>13.36</v>
      </c>
      <c r="BV302" s="6">
        <v>10.199999999999999</v>
      </c>
      <c r="BW302" s="6">
        <v>11.68</v>
      </c>
      <c r="BX302" s="6">
        <v>13.4</v>
      </c>
      <c r="BY302" s="6">
        <v>11.84</v>
      </c>
      <c r="BZ302" s="6">
        <v>9.8000000000000007</v>
      </c>
      <c r="CA302" s="6">
        <v>11.38</v>
      </c>
      <c r="CB302" s="6">
        <v>12.18</v>
      </c>
      <c r="CC302" s="6">
        <v>11.98</v>
      </c>
      <c r="CD302" s="6">
        <v>12.22</v>
      </c>
      <c r="CE302" s="6">
        <v>12.4</v>
      </c>
      <c r="CF302" s="6">
        <v>9.52</v>
      </c>
      <c r="CG302" s="6">
        <v>12.32</v>
      </c>
      <c r="CH302" s="6">
        <v>11.9</v>
      </c>
      <c r="CI302" s="6">
        <v>13.56</v>
      </c>
      <c r="CJ302" s="11">
        <v>11.5</v>
      </c>
      <c r="CK302" s="6">
        <v>10.68</v>
      </c>
      <c r="CL302" s="6">
        <v>13.46</v>
      </c>
      <c r="CM302" s="6">
        <v>12.37</v>
      </c>
      <c r="CN302" s="6">
        <v>8.34</v>
      </c>
      <c r="CO302" s="10">
        <v>9.07</v>
      </c>
      <c r="CP302" s="10"/>
    </row>
    <row r="303" spans="1:94" ht="15.75" customHeight="1" x14ac:dyDescent="0.25">
      <c r="A303" s="4">
        <v>302</v>
      </c>
      <c r="B303" s="4"/>
      <c r="C303" s="4">
        <v>28</v>
      </c>
      <c r="D303" s="8">
        <v>11.38</v>
      </c>
      <c r="E303" s="8">
        <v>12.33</v>
      </c>
      <c r="F303" s="8">
        <v>10.38</v>
      </c>
      <c r="G303" s="8">
        <v>12.23</v>
      </c>
      <c r="H303" s="8">
        <v>10.46</v>
      </c>
      <c r="I303" s="8">
        <v>11.9</v>
      </c>
      <c r="J303" s="8">
        <v>11.26</v>
      </c>
      <c r="K303" s="8">
        <v>11.57</v>
      </c>
      <c r="L303" s="8">
        <v>11.58</v>
      </c>
      <c r="M303" s="8">
        <v>12.52</v>
      </c>
      <c r="N303" s="8">
        <v>11.31</v>
      </c>
      <c r="O303" s="8">
        <v>12.46</v>
      </c>
      <c r="P303" s="8">
        <v>12.83</v>
      </c>
      <c r="Q303" s="8">
        <v>10.95</v>
      </c>
      <c r="R303" s="8">
        <v>12.99</v>
      </c>
      <c r="S303" s="8">
        <v>11.56</v>
      </c>
      <c r="T303" s="8">
        <v>12.61</v>
      </c>
      <c r="U303" s="8">
        <v>12.65</v>
      </c>
      <c r="V303" s="8">
        <v>10.57</v>
      </c>
      <c r="W303" s="8">
        <v>13.81</v>
      </c>
      <c r="X303" s="8">
        <v>11.07</v>
      </c>
      <c r="Y303" s="8">
        <v>14.01</v>
      </c>
      <c r="Z303" s="8">
        <v>9.8699999999999992</v>
      </c>
      <c r="AA303" s="8">
        <v>9.7200000000000006</v>
      </c>
      <c r="AB303" s="8">
        <v>12.21</v>
      </c>
      <c r="AC303" s="8">
        <v>11.67</v>
      </c>
      <c r="AD303" s="8">
        <v>11.17</v>
      </c>
      <c r="AE303" s="8">
        <v>11.23</v>
      </c>
      <c r="AF303" s="8">
        <v>10.1</v>
      </c>
      <c r="AG303" s="8">
        <v>12.36</v>
      </c>
      <c r="AH303" s="8">
        <v>10.61</v>
      </c>
      <c r="AI303" s="8">
        <v>12.05</v>
      </c>
      <c r="AJ303" s="8">
        <v>11.67</v>
      </c>
      <c r="AK303" s="8">
        <v>13.77</v>
      </c>
      <c r="AL303" s="8">
        <v>12.4</v>
      </c>
      <c r="AM303" s="8">
        <v>13.49</v>
      </c>
      <c r="AN303" s="8">
        <v>12.44</v>
      </c>
      <c r="AO303" s="8">
        <v>11.28</v>
      </c>
      <c r="AP303" s="8">
        <v>13.73</v>
      </c>
      <c r="AQ303" s="8">
        <v>12.79</v>
      </c>
      <c r="AR303" s="8">
        <v>12.35</v>
      </c>
      <c r="AS303" s="8">
        <v>10.9</v>
      </c>
      <c r="AT303" s="8">
        <v>12.52</v>
      </c>
      <c r="AU303" s="6">
        <v>12.48</v>
      </c>
      <c r="AV303" s="6">
        <v>12.47</v>
      </c>
      <c r="AW303" s="6">
        <v>13.1</v>
      </c>
      <c r="AX303" s="6">
        <v>12.93</v>
      </c>
      <c r="AY303" s="6">
        <v>12</v>
      </c>
      <c r="AZ303" s="6">
        <v>13.18</v>
      </c>
      <c r="BA303" s="6">
        <v>12.63</v>
      </c>
      <c r="BB303" s="6">
        <v>12.43</v>
      </c>
      <c r="BC303" s="6">
        <v>13.89</v>
      </c>
      <c r="BD303" s="6">
        <v>11.54</v>
      </c>
      <c r="BE303" s="6">
        <v>13.38</v>
      </c>
      <c r="BF303" s="6">
        <v>11.53</v>
      </c>
      <c r="BG303" s="6">
        <v>10.47</v>
      </c>
      <c r="BH303" s="6">
        <v>12.65</v>
      </c>
      <c r="BI303" s="6">
        <v>11.26</v>
      </c>
      <c r="BJ303" s="6">
        <v>12.48</v>
      </c>
      <c r="BK303" s="6">
        <v>13.77</v>
      </c>
      <c r="BL303" s="6">
        <v>10.039999999999999</v>
      </c>
      <c r="BM303" s="6">
        <v>13.18</v>
      </c>
      <c r="BN303" s="6">
        <v>8.9600000000000009</v>
      </c>
      <c r="BO303" s="6">
        <v>11.42</v>
      </c>
      <c r="BP303" s="6">
        <v>13.6</v>
      </c>
      <c r="BQ303" s="6">
        <v>12.8</v>
      </c>
      <c r="BR303" s="6">
        <v>10.26</v>
      </c>
      <c r="BS303" s="6">
        <v>10.08</v>
      </c>
      <c r="BT303" s="6">
        <v>13.18</v>
      </c>
      <c r="BU303" s="6">
        <v>13.2</v>
      </c>
      <c r="BV303" s="6">
        <v>10.199999999999999</v>
      </c>
      <c r="BW303" s="6">
        <v>11.68</v>
      </c>
      <c r="BX303" s="6">
        <v>13.34</v>
      </c>
      <c r="BY303" s="6">
        <v>11.78</v>
      </c>
      <c r="BZ303" s="6">
        <v>9.76</v>
      </c>
      <c r="CA303" s="6">
        <v>11.26</v>
      </c>
      <c r="CB303" s="6">
        <v>12.04</v>
      </c>
      <c r="CC303" s="6">
        <v>11.94</v>
      </c>
      <c r="CD303" s="6">
        <v>12.06</v>
      </c>
      <c r="CE303" s="6">
        <v>12.36</v>
      </c>
      <c r="CF303" s="6">
        <v>9.7200000000000006</v>
      </c>
      <c r="CG303" s="6">
        <v>12.26</v>
      </c>
      <c r="CH303" s="6">
        <v>11.84</v>
      </c>
      <c r="CI303" s="6">
        <v>13.4</v>
      </c>
      <c r="CJ303" s="11">
        <v>11.4</v>
      </c>
      <c r="CK303" s="6">
        <v>10.64</v>
      </c>
      <c r="CL303" s="6">
        <v>13.36</v>
      </c>
      <c r="CM303" s="6">
        <v>12.3</v>
      </c>
      <c r="CN303" s="6">
        <v>8.41</v>
      </c>
      <c r="CO303" s="10">
        <v>9</v>
      </c>
      <c r="CP303" s="10"/>
    </row>
    <row r="304" spans="1:94" ht="15.75" customHeight="1" x14ac:dyDescent="0.25">
      <c r="A304" s="4">
        <v>303</v>
      </c>
      <c r="B304" s="4"/>
      <c r="C304" s="4">
        <v>29</v>
      </c>
      <c r="D304" s="8">
        <v>11.28</v>
      </c>
      <c r="E304" s="8">
        <v>12.38</v>
      </c>
      <c r="F304" s="8">
        <v>10.18</v>
      </c>
      <c r="G304" s="8">
        <v>12.18</v>
      </c>
      <c r="H304" s="8">
        <v>10.42</v>
      </c>
      <c r="I304" s="8">
        <v>11.83</v>
      </c>
      <c r="J304" s="8">
        <v>11.26</v>
      </c>
      <c r="K304" s="8">
        <v>11.51</v>
      </c>
      <c r="L304" s="8">
        <v>11.38</v>
      </c>
      <c r="M304" s="8">
        <v>12.37</v>
      </c>
      <c r="N304" s="8">
        <v>11.24</v>
      </c>
      <c r="O304" s="8">
        <v>12.33</v>
      </c>
      <c r="P304" s="8">
        <v>12.79</v>
      </c>
      <c r="Q304" s="8">
        <v>10.87</v>
      </c>
      <c r="R304" s="8">
        <v>12.86</v>
      </c>
      <c r="S304" s="8">
        <v>11.51</v>
      </c>
      <c r="T304" s="8">
        <v>12.51</v>
      </c>
      <c r="U304" s="8">
        <v>12.56</v>
      </c>
      <c r="V304" s="8">
        <v>10.48</v>
      </c>
      <c r="W304" s="8">
        <v>13.76</v>
      </c>
      <c r="X304" s="8">
        <v>11.03</v>
      </c>
      <c r="Y304" s="8">
        <v>13.98</v>
      </c>
      <c r="Z304" s="8">
        <v>9.84</v>
      </c>
      <c r="AA304" s="8">
        <v>9.67</v>
      </c>
      <c r="AB304" s="8">
        <v>12.11</v>
      </c>
      <c r="AC304" s="8">
        <v>11.52</v>
      </c>
      <c r="AD304" s="8">
        <v>11.21</v>
      </c>
      <c r="AE304" s="8">
        <v>11.16</v>
      </c>
      <c r="AF304" s="8">
        <v>9.9499999999999993</v>
      </c>
      <c r="AG304" s="8">
        <v>12.22</v>
      </c>
      <c r="AH304" s="8">
        <v>10.47</v>
      </c>
      <c r="AI304" s="8">
        <v>11.87</v>
      </c>
      <c r="AJ304" s="8">
        <v>11.54</v>
      </c>
      <c r="AK304" s="8">
        <v>13.66</v>
      </c>
      <c r="AL304" s="8">
        <v>12.37</v>
      </c>
      <c r="AM304" s="8">
        <v>13.37</v>
      </c>
      <c r="AN304" s="8">
        <v>12.39</v>
      </c>
      <c r="AO304" s="8">
        <v>11.1</v>
      </c>
      <c r="AP304" s="8">
        <v>13.61</v>
      </c>
      <c r="AQ304" s="8">
        <v>12.72</v>
      </c>
      <c r="AR304" s="8">
        <v>12.3</v>
      </c>
      <c r="AS304" s="8">
        <v>10.81</v>
      </c>
      <c r="AT304" s="8">
        <v>12.44</v>
      </c>
      <c r="AU304" s="6">
        <v>12.43</v>
      </c>
      <c r="AV304" s="6">
        <v>12.46</v>
      </c>
      <c r="AW304" s="6">
        <v>13.06</v>
      </c>
      <c r="AX304" s="6">
        <v>12.76</v>
      </c>
      <c r="AY304" s="6">
        <v>11.85</v>
      </c>
      <c r="AZ304" s="6">
        <v>13.06</v>
      </c>
      <c r="BA304" s="6">
        <v>12.52</v>
      </c>
      <c r="BB304" s="6">
        <v>12.31</v>
      </c>
      <c r="BC304" s="6">
        <v>13.89</v>
      </c>
      <c r="BD304" s="6">
        <v>11.52</v>
      </c>
      <c r="BE304" s="6">
        <v>13.27</v>
      </c>
      <c r="BF304" s="6">
        <v>11.5</v>
      </c>
      <c r="BG304" s="6">
        <v>10.35</v>
      </c>
      <c r="BH304" s="6">
        <v>12.44</v>
      </c>
      <c r="BI304" s="6">
        <v>11.14</v>
      </c>
      <c r="BJ304" s="6">
        <v>12.36</v>
      </c>
      <c r="BK304" s="6">
        <v>13.7</v>
      </c>
      <c r="BL304" s="6">
        <v>10.039999999999999</v>
      </c>
      <c r="BM304" s="6">
        <v>13.05</v>
      </c>
      <c r="BN304" s="6">
        <v>8.9</v>
      </c>
      <c r="BO304" s="6">
        <v>11.3</v>
      </c>
      <c r="BP304" s="6">
        <v>13.53</v>
      </c>
      <c r="BQ304" s="6">
        <v>12.75</v>
      </c>
      <c r="BR304" s="6">
        <v>10.199999999999999</v>
      </c>
      <c r="BS304" s="6">
        <v>10.029999999999999</v>
      </c>
      <c r="BT304" s="6">
        <v>13.1</v>
      </c>
      <c r="BU304" s="6">
        <v>13.04</v>
      </c>
      <c r="BV304" s="6">
        <v>10.15</v>
      </c>
      <c r="BW304" s="6">
        <v>11.66</v>
      </c>
      <c r="BX304" s="6">
        <v>13.3</v>
      </c>
      <c r="BY304" s="6">
        <v>11.7</v>
      </c>
      <c r="BZ304" s="6">
        <v>9.76</v>
      </c>
      <c r="CA304" s="6">
        <v>11.16</v>
      </c>
      <c r="CB304" s="6">
        <v>11.92</v>
      </c>
      <c r="CC304" s="6">
        <v>11.88</v>
      </c>
      <c r="CD304" s="6">
        <v>11.9</v>
      </c>
      <c r="CE304" s="6">
        <v>12.43</v>
      </c>
      <c r="CF304" s="6">
        <v>9.6999999999999993</v>
      </c>
      <c r="CG304" s="6">
        <v>12.16</v>
      </c>
      <c r="CH304" s="6">
        <v>11.8</v>
      </c>
      <c r="CI304" s="6">
        <v>13.22</v>
      </c>
      <c r="CJ304" s="11">
        <v>11.32</v>
      </c>
      <c r="CK304" s="6">
        <v>10.6</v>
      </c>
      <c r="CL304" s="6">
        <v>13.08</v>
      </c>
      <c r="CM304" s="6">
        <v>12.29</v>
      </c>
      <c r="CN304" s="6">
        <v>8.42</v>
      </c>
      <c r="CO304" s="10">
        <v>8.9</v>
      </c>
      <c r="CP304" s="10"/>
    </row>
    <row r="305" spans="1:94" ht="15.75" customHeight="1" x14ac:dyDescent="0.25">
      <c r="A305" s="4">
        <v>304</v>
      </c>
      <c r="B305" s="4"/>
      <c r="C305" s="4">
        <v>30</v>
      </c>
      <c r="D305" s="8">
        <v>11.18</v>
      </c>
      <c r="E305" s="8">
        <v>12.4</v>
      </c>
      <c r="F305" s="8">
        <v>10.08</v>
      </c>
      <c r="G305" s="8">
        <v>12.13</v>
      </c>
      <c r="H305" s="8">
        <v>10.4</v>
      </c>
      <c r="I305" s="8">
        <v>11.74</v>
      </c>
      <c r="J305" s="8">
        <v>11.26</v>
      </c>
      <c r="K305" s="8">
        <v>11.41</v>
      </c>
      <c r="L305" s="8">
        <v>11.23</v>
      </c>
      <c r="M305" s="8">
        <v>12.22</v>
      </c>
      <c r="N305" s="8">
        <v>11.17</v>
      </c>
      <c r="O305" s="8">
        <v>12.19</v>
      </c>
      <c r="P305" s="8">
        <v>12.71</v>
      </c>
      <c r="Q305" s="8">
        <v>10.81</v>
      </c>
      <c r="R305" s="8">
        <v>12.72</v>
      </c>
      <c r="S305" s="8">
        <v>11.41</v>
      </c>
      <c r="T305" s="8">
        <v>12.39</v>
      </c>
      <c r="U305" s="8">
        <v>12.4</v>
      </c>
      <c r="V305" s="8">
        <v>10.39</v>
      </c>
      <c r="W305" s="8">
        <v>13.74</v>
      </c>
      <c r="X305" s="8">
        <v>11</v>
      </c>
      <c r="Y305" s="8">
        <v>13.95</v>
      </c>
      <c r="Z305" s="8">
        <v>9.81</v>
      </c>
      <c r="AA305" s="8">
        <v>9.6199999999999992</v>
      </c>
      <c r="AB305" s="8">
        <v>12.01</v>
      </c>
      <c r="AC305" s="8">
        <v>11.38</v>
      </c>
      <c r="AD305" s="8">
        <v>11.27</v>
      </c>
      <c r="AE305" s="8">
        <v>11.11</v>
      </c>
      <c r="AF305" s="8">
        <v>9.83</v>
      </c>
      <c r="AG305" s="8">
        <v>12.06</v>
      </c>
      <c r="AH305" s="8">
        <v>10.35</v>
      </c>
      <c r="AI305" s="8">
        <v>11.69</v>
      </c>
      <c r="AJ305" s="8">
        <v>11.41</v>
      </c>
      <c r="AK305" s="8">
        <v>13.55</v>
      </c>
      <c r="AL305" s="8">
        <v>12.33</v>
      </c>
      <c r="AM305" s="8">
        <v>13.25</v>
      </c>
      <c r="AN305" s="8">
        <v>12.33</v>
      </c>
      <c r="AO305" s="8">
        <v>10.92</v>
      </c>
      <c r="AP305" s="8">
        <v>13.51</v>
      </c>
      <c r="AQ305" s="8">
        <v>12.63</v>
      </c>
      <c r="AR305" s="8">
        <v>12.25</v>
      </c>
      <c r="AS305" s="8">
        <v>10.67</v>
      </c>
      <c r="AT305" s="8">
        <v>12.36</v>
      </c>
      <c r="AU305" s="6">
        <v>12.38</v>
      </c>
      <c r="AV305" s="6">
        <v>12.44</v>
      </c>
      <c r="AW305" s="6">
        <v>13.06</v>
      </c>
      <c r="AX305" s="6">
        <v>12.61</v>
      </c>
      <c r="AY305" s="6">
        <v>11.72</v>
      </c>
      <c r="AZ305" s="6">
        <v>12.97</v>
      </c>
      <c r="BA305" s="6">
        <v>12.43</v>
      </c>
      <c r="BB305" s="6">
        <v>12.19</v>
      </c>
      <c r="BC305" s="6">
        <v>13.9</v>
      </c>
      <c r="BD305" s="6">
        <v>11.5</v>
      </c>
      <c r="BE305" s="6">
        <v>13.18</v>
      </c>
      <c r="BF305" s="6">
        <v>11.47</v>
      </c>
      <c r="BG305" s="6">
        <v>10.26</v>
      </c>
      <c r="BH305" s="6">
        <v>12.27</v>
      </c>
      <c r="BI305" s="6">
        <v>11.04</v>
      </c>
      <c r="BJ305" s="6">
        <v>12.29</v>
      </c>
      <c r="BK305" s="6">
        <v>13.58</v>
      </c>
      <c r="BL305" s="6">
        <v>9.9700000000000006</v>
      </c>
      <c r="BM305" s="6">
        <v>12.93</v>
      </c>
      <c r="BN305" s="6">
        <v>8.86</v>
      </c>
      <c r="BO305" s="6">
        <v>11.18</v>
      </c>
      <c r="BP305" s="6">
        <v>13.48</v>
      </c>
      <c r="BQ305" s="6">
        <v>12.68</v>
      </c>
      <c r="BR305" s="6">
        <v>10.1</v>
      </c>
      <c r="BS305" s="6">
        <v>10</v>
      </c>
      <c r="BT305" s="6">
        <v>13.08</v>
      </c>
      <c r="BU305" s="6">
        <v>12.9</v>
      </c>
      <c r="BV305" s="6">
        <v>10.02</v>
      </c>
      <c r="BW305" s="6">
        <v>11.7</v>
      </c>
      <c r="BX305" s="6">
        <v>13.2</v>
      </c>
      <c r="BY305" s="6">
        <v>11.64</v>
      </c>
      <c r="BZ305" s="6">
        <v>9.9</v>
      </c>
      <c r="CA305" s="6">
        <v>11.1</v>
      </c>
      <c r="CB305" s="6">
        <v>11.84</v>
      </c>
      <c r="CC305" s="6">
        <v>11.82</v>
      </c>
      <c r="CD305" s="6">
        <v>11.8</v>
      </c>
      <c r="CE305" s="6">
        <v>12.36</v>
      </c>
      <c r="CF305" s="6">
        <v>9.6199999999999992</v>
      </c>
      <c r="CG305" s="6">
        <v>12.04</v>
      </c>
      <c r="CH305" s="6">
        <v>11.76</v>
      </c>
      <c r="CI305" s="6">
        <v>13.06</v>
      </c>
      <c r="CJ305" s="11">
        <v>11.22</v>
      </c>
      <c r="CK305" s="6">
        <v>10.58</v>
      </c>
      <c r="CL305" s="6">
        <v>13</v>
      </c>
      <c r="CM305" s="6">
        <v>12.25</v>
      </c>
      <c r="CN305" s="6">
        <v>8.43</v>
      </c>
      <c r="CO305" s="10">
        <v>8.8000000000000007</v>
      </c>
      <c r="CP305" s="10"/>
    </row>
    <row r="306" spans="1:94" ht="15.75" customHeight="1" x14ac:dyDescent="0.25">
      <c r="A306" s="4">
        <v>305</v>
      </c>
      <c r="B306" s="4"/>
      <c r="C306" s="4">
        <v>31</v>
      </c>
      <c r="D306" s="8">
        <v>11.13</v>
      </c>
      <c r="E306" s="8">
        <v>12.38</v>
      </c>
      <c r="F306" s="8">
        <v>9.93</v>
      </c>
      <c r="G306" s="8">
        <v>12.08</v>
      </c>
      <c r="H306" s="8">
        <v>10.38</v>
      </c>
      <c r="I306" s="8">
        <v>11.68</v>
      </c>
      <c r="J306" s="8">
        <v>11.26</v>
      </c>
      <c r="K306" s="8">
        <v>11.33</v>
      </c>
      <c r="L306" s="8">
        <v>11.13</v>
      </c>
      <c r="M306" s="8">
        <v>12.08</v>
      </c>
      <c r="N306" s="8">
        <v>11.09</v>
      </c>
      <c r="O306" s="8">
        <v>12.09</v>
      </c>
      <c r="P306" s="8">
        <v>12.65</v>
      </c>
      <c r="Q306" s="8">
        <v>10.73</v>
      </c>
      <c r="R306" s="8">
        <v>12.66</v>
      </c>
      <c r="S306" s="8">
        <v>11.31</v>
      </c>
      <c r="T306" s="8">
        <v>12.26</v>
      </c>
      <c r="U306" s="8">
        <v>12.3</v>
      </c>
      <c r="V306" s="8">
        <v>10.29</v>
      </c>
      <c r="W306" s="8">
        <v>13.73</v>
      </c>
      <c r="X306" s="8">
        <v>10.95</v>
      </c>
      <c r="Y306" s="8">
        <v>13.91</v>
      </c>
      <c r="Z306" s="8">
        <v>9.81</v>
      </c>
      <c r="AA306" s="8">
        <v>9.6199999999999992</v>
      </c>
      <c r="AB306" s="8">
        <v>11.95</v>
      </c>
      <c r="AC306" s="8">
        <v>11.25</v>
      </c>
      <c r="AD306" s="8">
        <v>11.42</v>
      </c>
      <c r="AE306" s="8">
        <v>11.06</v>
      </c>
      <c r="AF306" s="8">
        <v>9.75</v>
      </c>
      <c r="AG306" s="8">
        <v>11.9</v>
      </c>
      <c r="AH306" s="8">
        <v>10.25</v>
      </c>
      <c r="AI306" s="8">
        <v>11.52</v>
      </c>
      <c r="AJ306" s="8">
        <v>11.3</v>
      </c>
      <c r="AK306" s="8">
        <v>13.43</v>
      </c>
      <c r="AL306" s="8">
        <v>12.29</v>
      </c>
      <c r="AM306" s="8">
        <v>13.13</v>
      </c>
      <c r="AN306" s="8">
        <v>12.26</v>
      </c>
      <c r="AO306" s="8">
        <v>10.82</v>
      </c>
      <c r="AP306" s="8">
        <v>13.4</v>
      </c>
      <c r="AQ306" s="8">
        <v>12.54</v>
      </c>
      <c r="AR306" s="8">
        <v>12.15</v>
      </c>
      <c r="AS306" s="8">
        <v>10.55</v>
      </c>
      <c r="AT306" s="8">
        <v>12.27</v>
      </c>
      <c r="AU306" s="6">
        <v>12.27</v>
      </c>
      <c r="AV306" s="6">
        <v>12.46</v>
      </c>
      <c r="AW306" s="6">
        <v>13.03</v>
      </c>
      <c r="AX306" s="6">
        <v>12.48</v>
      </c>
      <c r="AY306" s="6">
        <v>11.64</v>
      </c>
      <c r="AZ306" s="6">
        <v>12.85</v>
      </c>
      <c r="BA306" s="6">
        <v>12.32</v>
      </c>
      <c r="BB306" s="6">
        <v>12.11</v>
      </c>
      <c r="BC306" s="6">
        <v>13.93</v>
      </c>
      <c r="BD306" s="6">
        <v>11.45</v>
      </c>
      <c r="BE306" s="6">
        <v>13.13</v>
      </c>
      <c r="BF306" s="6">
        <v>11.43</v>
      </c>
      <c r="BG306" s="6">
        <v>10.14</v>
      </c>
      <c r="BH306" s="6">
        <v>12.07</v>
      </c>
      <c r="BI306" s="6">
        <v>10.9</v>
      </c>
      <c r="BJ306" s="6">
        <v>12.2</v>
      </c>
      <c r="BK306" s="6">
        <v>13.48</v>
      </c>
      <c r="BL306" s="6">
        <v>9.8800000000000008</v>
      </c>
      <c r="BM306" s="6">
        <v>12.8</v>
      </c>
      <c r="BN306" s="6">
        <v>8.8000000000000007</v>
      </c>
      <c r="BO306" s="6">
        <v>11.06</v>
      </c>
      <c r="BP306" s="6">
        <v>13.4</v>
      </c>
      <c r="BQ306" s="6">
        <v>12.6</v>
      </c>
      <c r="BR306" s="6">
        <v>10.06</v>
      </c>
      <c r="BS306" s="6">
        <v>9.98</v>
      </c>
      <c r="BT306" s="6">
        <v>13.04</v>
      </c>
      <c r="BU306" s="6">
        <v>12.64</v>
      </c>
      <c r="BV306" s="6">
        <v>9.9600000000000009</v>
      </c>
      <c r="BW306" s="6">
        <v>11.68</v>
      </c>
      <c r="BX306" s="6">
        <v>13.1</v>
      </c>
      <c r="BY306" s="6">
        <v>11.6</v>
      </c>
      <c r="BZ306" s="6">
        <v>9.5</v>
      </c>
      <c r="CA306" s="6">
        <v>11.04</v>
      </c>
      <c r="CB306" s="6">
        <v>11.78</v>
      </c>
      <c r="CC306" s="6">
        <v>11.78</v>
      </c>
      <c r="CD306" s="6">
        <v>11.72</v>
      </c>
      <c r="CE306" s="6">
        <v>12.46</v>
      </c>
      <c r="CF306" s="6">
        <v>9.6199999999999992</v>
      </c>
      <c r="CG306" s="6">
        <v>11.94</v>
      </c>
      <c r="CH306" s="6">
        <v>11.8</v>
      </c>
      <c r="CI306" s="6">
        <v>13</v>
      </c>
      <c r="CJ306" s="11">
        <v>11.12</v>
      </c>
      <c r="CK306" s="6">
        <v>10.54</v>
      </c>
      <c r="CL306" s="6">
        <v>12.9</v>
      </c>
      <c r="CM306" s="6">
        <v>12.22</v>
      </c>
      <c r="CN306" s="6">
        <v>8.44</v>
      </c>
      <c r="CO306" s="10">
        <v>8.7200000000000006</v>
      </c>
      <c r="CP306" s="10"/>
    </row>
    <row r="307" spans="1:94" ht="15.75" customHeight="1" x14ac:dyDescent="0.25">
      <c r="A307" s="4">
        <v>306</v>
      </c>
      <c r="B307" s="5" t="s">
        <v>14</v>
      </c>
      <c r="C307" s="4">
        <v>1</v>
      </c>
      <c r="D307" s="8">
        <v>11.12</v>
      </c>
      <c r="E307" s="8">
        <v>12.33</v>
      </c>
      <c r="F307" s="8">
        <v>9.83</v>
      </c>
      <c r="G307" s="8">
        <v>11.98</v>
      </c>
      <c r="H307" s="8">
        <v>10.33</v>
      </c>
      <c r="I307" s="8">
        <v>11.58</v>
      </c>
      <c r="J307" s="8">
        <v>11.27</v>
      </c>
      <c r="K307" s="8">
        <v>11.23</v>
      </c>
      <c r="L307" s="8">
        <v>11.03</v>
      </c>
      <c r="M307" s="8">
        <v>11.92</v>
      </c>
      <c r="N307" s="8">
        <v>11.01</v>
      </c>
      <c r="O307" s="8">
        <v>11.95</v>
      </c>
      <c r="P307" s="8">
        <v>12.56</v>
      </c>
      <c r="Q307" s="8">
        <v>10.6</v>
      </c>
      <c r="R307" s="8">
        <v>12.62</v>
      </c>
      <c r="S307" s="8">
        <v>11.16</v>
      </c>
      <c r="T307" s="8">
        <v>12.15</v>
      </c>
      <c r="U307" s="8">
        <v>12.18</v>
      </c>
      <c r="V307" s="8">
        <v>10.210000000000001</v>
      </c>
      <c r="W307" s="8">
        <v>13.73</v>
      </c>
      <c r="X307" s="8">
        <v>10.91</v>
      </c>
      <c r="Y307" s="8">
        <v>13.87</v>
      </c>
      <c r="Z307" s="8">
        <v>9.81</v>
      </c>
      <c r="AA307" s="8">
        <v>9.6199999999999992</v>
      </c>
      <c r="AB307" s="8">
        <v>11.89</v>
      </c>
      <c r="AC307" s="8">
        <v>11.11</v>
      </c>
      <c r="AD307" s="8">
        <v>11.49</v>
      </c>
      <c r="AE307" s="8">
        <v>11.02</v>
      </c>
      <c r="AF307" s="8">
        <v>9.66</v>
      </c>
      <c r="AG307" s="8">
        <v>11.72</v>
      </c>
      <c r="AH307" s="8">
        <v>10.17</v>
      </c>
      <c r="AI307" s="8">
        <v>11.38</v>
      </c>
      <c r="AJ307" s="8">
        <v>11.21</v>
      </c>
      <c r="AK307" s="8">
        <v>13.33</v>
      </c>
      <c r="AL307" s="8">
        <v>12.25</v>
      </c>
      <c r="AM307" s="8">
        <v>13.02</v>
      </c>
      <c r="AN307" s="8">
        <v>12.17</v>
      </c>
      <c r="AO307" s="8">
        <v>10.86</v>
      </c>
      <c r="AP307" s="8">
        <v>13.29</v>
      </c>
      <c r="AQ307" s="8">
        <v>12.45</v>
      </c>
      <c r="AR307" s="8">
        <v>12.05</v>
      </c>
      <c r="AS307" s="8">
        <v>10.41</v>
      </c>
      <c r="AT307" s="8">
        <v>12.26</v>
      </c>
      <c r="AU307" s="6">
        <v>12.15</v>
      </c>
      <c r="AV307" s="6">
        <v>12.46</v>
      </c>
      <c r="AW307" s="6">
        <v>12.97</v>
      </c>
      <c r="AX307" s="6">
        <v>12.35</v>
      </c>
      <c r="AY307" s="6">
        <v>11.6</v>
      </c>
      <c r="AZ307" s="6">
        <v>12.75</v>
      </c>
      <c r="BA307" s="6">
        <v>12.25</v>
      </c>
      <c r="BB307" s="6">
        <v>12.02</v>
      </c>
      <c r="BC307" s="6">
        <v>13.92</v>
      </c>
      <c r="BD307" s="6">
        <v>11.42</v>
      </c>
      <c r="BE307" s="6">
        <v>13.06</v>
      </c>
      <c r="BF307" s="6">
        <v>11.39</v>
      </c>
      <c r="BG307" s="6">
        <v>9.9700000000000006</v>
      </c>
      <c r="BH307" s="6">
        <v>11.86</v>
      </c>
      <c r="BI307" s="6">
        <v>10.85</v>
      </c>
      <c r="BJ307" s="6">
        <v>12.14</v>
      </c>
      <c r="BK307" s="6">
        <v>13.38</v>
      </c>
      <c r="BL307" s="6">
        <v>9.82</v>
      </c>
      <c r="BM307" s="6">
        <v>12.76</v>
      </c>
      <c r="BN307" s="6">
        <v>8.7799999999999994</v>
      </c>
      <c r="BO307" s="6">
        <v>10.92</v>
      </c>
      <c r="BP307" s="6">
        <v>13.3</v>
      </c>
      <c r="BQ307" s="6">
        <v>12.48</v>
      </c>
      <c r="BR307" s="6">
        <v>10</v>
      </c>
      <c r="BS307" s="6">
        <v>9.93</v>
      </c>
      <c r="BT307" s="6">
        <v>13</v>
      </c>
      <c r="BU307" s="6">
        <v>12.6</v>
      </c>
      <c r="BV307" s="6">
        <v>9.6999999999999993</v>
      </c>
      <c r="BW307" s="6">
        <v>11.62</v>
      </c>
      <c r="BX307" s="6">
        <v>13</v>
      </c>
      <c r="BY307" s="6">
        <v>11.56</v>
      </c>
      <c r="BZ307" s="6">
        <v>9.42</v>
      </c>
      <c r="CA307" s="6">
        <v>11</v>
      </c>
      <c r="CB307" s="6">
        <v>11.84</v>
      </c>
      <c r="CC307" s="6">
        <v>11.7</v>
      </c>
      <c r="CD307" s="6">
        <v>11.5</v>
      </c>
      <c r="CE307" s="6">
        <v>12.46</v>
      </c>
      <c r="CF307" s="6">
        <v>9.6</v>
      </c>
      <c r="CG307" s="6">
        <v>11.8</v>
      </c>
      <c r="CH307" s="6">
        <v>11.8</v>
      </c>
      <c r="CI307" s="6">
        <v>12.6</v>
      </c>
      <c r="CJ307" s="11">
        <v>11.02</v>
      </c>
      <c r="CK307" s="6">
        <v>10.4</v>
      </c>
      <c r="CL307" s="6">
        <v>12.9</v>
      </c>
      <c r="CM307" s="6">
        <v>12.25</v>
      </c>
      <c r="CN307" s="6">
        <v>8.44</v>
      </c>
      <c r="CO307" s="10">
        <v>8.61</v>
      </c>
      <c r="CP307" s="10"/>
    </row>
    <row r="308" spans="1:94" ht="15.75" customHeight="1" x14ac:dyDescent="0.25">
      <c r="A308" s="4">
        <v>307</v>
      </c>
      <c r="B308" s="4"/>
      <c r="C308" s="4">
        <v>2</v>
      </c>
      <c r="D308" s="8">
        <v>11.11</v>
      </c>
      <c r="E308" s="8">
        <v>12.23</v>
      </c>
      <c r="F308" s="8">
        <v>9.7200000000000006</v>
      </c>
      <c r="G308" s="8">
        <v>11.88</v>
      </c>
      <c r="H308" s="8">
        <v>10.220000000000001</v>
      </c>
      <c r="I308" s="8">
        <v>11.48</v>
      </c>
      <c r="J308" s="8">
        <v>11.28</v>
      </c>
      <c r="K308" s="8">
        <v>11.15</v>
      </c>
      <c r="L308" s="8">
        <v>10.91</v>
      </c>
      <c r="M308" s="8">
        <v>11.71</v>
      </c>
      <c r="N308" s="8">
        <v>10.93</v>
      </c>
      <c r="O308" s="8">
        <v>11.81</v>
      </c>
      <c r="P308" s="8">
        <v>12.47</v>
      </c>
      <c r="Q308" s="8">
        <v>10.51</v>
      </c>
      <c r="R308" s="8">
        <v>12.58</v>
      </c>
      <c r="S308" s="8">
        <v>10.96</v>
      </c>
      <c r="T308" s="8">
        <v>12.03</v>
      </c>
      <c r="U308" s="8">
        <v>12.08</v>
      </c>
      <c r="V308" s="8">
        <v>10.18</v>
      </c>
      <c r="W308" s="8">
        <v>13.73</v>
      </c>
      <c r="X308" s="8">
        <v>10.89</v>
      </c>
      <c r="Y308" s="8">
        <v>13.81</v>
      </c>
      <c r="Z308" s="8">
        <v>9.7200000000000006</v>
      </c>
      <c r="AA308" s="8">
        <v>9.64</v>
      </c>
      <c r="AB308" s="8">
        <v>11.87</v>
      </c>
      <c r="AC308" s="8">
        <v>11.01</v>
      </c>
      <c r="AD308" s="8">
        <v>11.55</v>
      </c>
      <c r="AE308" s="8">
        <v>10.99</v>
      </c>
      <c r="AF308" s="8">
        <v>9.6</v>
      </c>
      <c r="AG308" s="8">
        <v>11.54</v>
      </c>
      <c r="AH308" s="8">
        <v>10.07</v>
      </c>
      <c r="AI308" s="8">
        <v>11.25</v>
      </c>
      <c r="AJ308" s="8">
        <v>11.09</v>
      </c>
      <c r="AK308" s="8">
        <v>13.21</v>
      </c>
      <c r="AL308" s="8">
        <v>12.23</v>
      </c>
      <c r="AM308" s="8">
        <v>12.93</v>
      </c>
      <c r="AN308" s="8">
        <v>12.03</v>
      </c>
      <c r="AO308" s="8">
        <v>10.9</v>
      </c>
      <c r="AP308" s="8">
        <v>13.17</v>
      </c>
      <c r="AQ308" s="8">
        <v>12.45</v>
      </c>
      <c r="AR308" s="8">
        <v>11.95</v>
      </c>
      <c r="AS308" s="8">
        <v>10.31</v>
      </c>
      <c r="AT308" s="8">
        <v>12.24</v>
      </c>
      <c r="AU308" s="6">
        <v>12.03</v>
      </c>
      <c r="AV308" s="6">
        <v>12.43</v>
      </c>
      <c r="AW308" s="6">
        <v>12.93</v>
      </c>
      <c r="AX308" s="6">
        <v>12.25</v>
      </c>
      <c r="AY308" s="6">
        <v>11.55</v>
      </c>
      <c r="AZ308" s="6">
        <v>12.65</v>
      </c>
      <c r="BA308" s="6">
        <v>12.14</v>
      </c>
      <c r="BB308" s="6">
        <v>11.96</v>
      </c>
      <c r="BC308" s="6">
        <v>13.92</v>
      </c>
      <c r="BD308" s="6">
        <v>11.4</v>
      </c>
      <c r="BE308" s="6">
        <v>13.01</v>
      </c>
      <c r="BF308" s="6">
        <v>11.396000000000001</v>
      </c>
      <c r="BG308" s="6">
        <v>9.85</v>
      </c>
      <c r="BH308" s="6">
        <v>11.69</v>
      </c>
      <c r="BI308" s="6">
        <v>10.72</v>
      </c>
      <c r="BJ308" s="6">
        <v>12.04</v>
      </c>
      <c r="BK308" s="6">
        <v>13.32</v>
      </c>
      <c r="BL308" s="6">
        <v>9.8000000000000007</v>
      </c>
      <c r="BM308" s="6">
        <v>12.69</v>
      </c>
      <c r="BN308" s="6">
        <v>8.74</v>
      </c>
      <c r="BO308" s="6">
        <v>10.8</v>
      </c>
      <c r="BP308" s="6">
        <v>13.26</v>
      </c>
      <c r="BQ308" s="6">
        <v>12.35</v>
      </c>
      <c r="BR308" s="6">
        <v>9.8800000000000008</v>
      </c>
      <c r="BS308" s="6">
        <v>9.92</v>
      </c>
      <c r="BT308" s="6">
        <v>12.96</v>
      </c>
      <c r="BU308" s="6">
        <v>12.42</v>
      </c>
      <c r="BV308" s="6">
        <v>9.6</v>
      </c>
      <c r="BW308" s="6">
        <v>11.58</v>
      </c>
      <c r="BX308" s="6">
        <v>12.9</v>
      </c>
      <c r="BY308" s="6">
        <v>11.54</v>
      </c>
      <c r="BZ308" s="6">
        <v>9.36</v>
      </c>
      <c r="CA308" s="6">
        <v>10.9</v>
      </c>
      <c r="CB308" s="6">
        <v>11.84</v>
      </c>
      <c r="CC308" s="6">
        <v>11.64</v>
      </c>
      <c r="CD308" s="6">
        <v>11.46</v>
      </c>
      <c r="CE308" s="6">
        <v>12.43</v>
      </c>
      <c r="CF308" s="6">
        <v>9.52</v>
      </c>
      <c r="CG308" s="6">
        <v>11.7</v>
      </c>
      <c r="CH308" s="6">
        <v>11.8</v>
      </c>
      <c r="CI308" s="6">
        <v>12.4</v>
      </c>
      <c r="CJ308" s="11">
        <v>11.02</v>
      </c>
      <c r="CK308" s="6">
        <v>10.199999999999999</v>
      </c>
      <c r="CL308" s="6">
        <v>12.8</v>
      </c>
      <c r="CM308" s="6">
        <v>12.3</v>
      </c>
      <c r="CN308" s="6">
        <v>8.44</v>
      </c>
      <c r="CO308" s="10">
        <v>8.4700000000000006</v>
      </c>
      <c r="CP308" s="10"/>
    </row>
    <row r="309" spans="1:94" ht="15.75" customHeight="1" x14ac:dyDescent="0.25">
      <c r="A309" s="4">
        <v>308</v>
      </c>
      <c r="B309" s="4"/>
      <c r="C309" s="4">
        <v>3</v>
      </c>
      <c r="D309" s="8">
        <v>11.1</v>
      </c>
      <c r="E309" s="8">
        <v>12.13</v>
      </c>
      <c r="F309" s="8">
        <v>9.68</v>
      </c>
      <c r="G309" s="8">
        <v>11.78</v>
      </c>
      <c r="H309" s="8">
        <v>10.08</v>
      </c>
      <c r="I309" s="8">
        <v>11.38</v>
      </c>
      <c r="J309" s="8">
        <v>11.31</v>
      </c>
      <c r="K309" s="8">
        <v>11.1</v>
      </c>
      <c r="L309" s="8">
        <v>10.78</v>
      </c>
      <c r="M309" s="8">
        <v>11.52</v>
      </c>
      <c r="N309" s="8">
        <v>10.86</v>
      </c>
      <c r="O309" s="8">
        <v>11.67</v>
      </c>
      <c r="P309" s="8">
        <v>12.37</v>
      </c>
      <c r="Q309" s="8">
        <v>10.51</v>
      </c>
      <c r="R309" s="8">
        <v>12.54</v>
      </c>
      <c r="S309" s="8">
        <v>10.76</v>
      </c>
      <c r="T309" s="8">
        <v>11.91</v>
      </c>
      <c r="U309" s="8">
        <v>11.94</v>
      </c>
      <c r="V309" s="8">
        <v>10.14</v>
      </c>
      <c r="W309" s="8">
        <v>13.7</v>
      </c>
      <c r="X309" s="8">
        <v>10.89</v>
      </c>
      <c r="Y309" s="8">
        <v>13.72</v>
      </c>
      <c r="Z309" s="8">
        <v>9.6999999999999993</v>
      </c>
      <c r="AA309" s="8">
        <v>9.68</v>
      </c>
      <c r="AB309" s="8">
        <v>11.87</v>
      </c>
      <c r="AC309" s="8">
        <v>10.95</v>
      </c>
      <c r="AD309" s="8">
        <v>11.63</v>
      </c>
      <c r="AE309" s="8">
        <v>10.9</v>
      </c>
      <c r="AF309" s="8">
        <v>9.57</v>
      </c>
      <c r="AG309" s="8">
        <v>11.38</v>
      </c>
      <c r="AH309" s="8">
        <v>9.9700000000000006</v>
      </c>
      <c r="AI309" s="8">
        <v>11.13</v>
      </c>
      <c r="AJ309" s="8">
        <v>10.97</v>
      </c>
      <c r="AK309" s="8">
        <v>13.09</v>
      </c>
      <c r="AL309" s="8">
        <v>12.17</v>
      </c>
      <c r="AM309" s="8">
        <v>12.86</v>
      </c>
      <c r="AN309" s="8">
        <v>11.9</v>
      </c>
      <c r="AO309" s="8">
        <v>10.94</v>
      </c>
      <c r="AP309" s="8">
        <v>13.01</v>
      </c>
      <c r="AQ309" s="8">
        <v>12.41</v>
      </c>
      <c r="AR309" s="8">
        <v>11.81</v>
      </c>
      <c r="AS309" s="8">
        <v>10.199999999999999</v>
      </c>
      <c r="AT309" s="8">
        <v>12.2</v>
      </c>
      <c r="AU309" s="6">
        <v>11.92</v>
      </c>
      <c r="AV309" s="6">
        <v>12.36</v>
      </c>
      <c r="AW309" s="6">
        <v>12.85</v>
      </c>
      <c r="AX309" s="6">
        <v>12.14</v>
      </c>
      <c r="AY309" s="6">
        <v>11.51</v>
      </c>
      <c r="AZ309" s="6">
        <v>12.52</v>
      </c>
      <c r="BA309" s="6">
        <v>12.06</v>
      </c>
      <c r="BB309" s="6">
        <v>11.93</v>
      </c>
      <c r="BC309" s="6">
        <v>13.92</v>
      </c>
      <c r="BD309" s="6">
        <v>11.33</v>
      </c>
      <c r="BE309" s="6">
        <v>12.93</v>
      </c>
      <c r="BF309" s="6">
        <v>11.32</v>
      </c>
      <c r="BG309" s="6">
        <v>9.7799999999999994</v>
      </c>
      <c r="BH309" s="6">
        <v>11.52</v>
      </c>
      <c r="BI309" s="6">
        <v>10.58</v>
      </c>
      <c r="BJ309" s="6">
        <v>12</v>
      </c>
      <c r="BK309" s="6">
        <v>13.24</v>
      </c>
      <c r="BL309" s="6">
        <v>9.7799999999999994</v>
      </c>
      <c r="BM309" s="6">
        <v>12.6</v>
      </c>
      <c r="BN309" s="6">
        <v>8.6999999999999993</v>
      </c>
      <c r="BO309" s="6">
        <v>10.66</v>
      </c>
      <c r="BP309" s="6">
        <v>13.22</v>
      </c>
      <c r="BQ309" s="6">
        <v>12.36</v>
      </c>
      <c r="BR309" s="6">
        <v>9.82</v>
      </c>
      <c r="BS309" s="6">
        <v>9.9</v>
      </c>
      <c r="BT309" s="6">
        <v>12.96</v>
      </c>
      <c r="BU309" s="6">
        <v>12.28</v>
      </c>
      <c r="BV309" s="6">
        <v>9.6</v>
      </c>
      <c r="BW309" s="6">
        <v>11.54</v>
      </c>
      <c r="BX309" s="6">
        <v>12.84</v>
      </c>
      <c r="BY309" s="6">
        <v>11.52</v>
      </c>
      <c r="BZ309" s="6">
        <v>9.14</v>
      </c>
      <c r="CA309" s="6">
        <v>10.78</v>
      </c>
      <c r="CB309" s="6">
        <v>11.88</v>
      </c>
      <c r="CC309" s="6">
        <v>11.6</v>
      </c>
      <c r="CD309" s="6">
        <v>11.42</v>
      </c>
      <c r="CE309" s="6">
        <v>12.43</v>
      </c>
      <c r="CF309" s="6">
        <v>9.4600000000000009</v>
      </c>
      <c r="CG309" s="6">
        <v>11.68</v>
      </c>
      <c r="CH309" s="6">
        <v>11.8</v>
      </c>
      <c r="CI309" s="6">
        <v>12.3</v>
      </c>
      <c r="CJ309" s="11">
        <v>11</v>
      </c>
      <c r="CK309" s="6">
        <v>10.06</v>
      </c>
      <c r="CL309" s="6">
        <v>12.7</v>
      </c>
      <c r="CM309" s="6">
        <v>12.38</v>
      </c>
      <c r="CN309" s="6">
        <v>8.42</v>
      </c>
      <c r="CO309" s="10">
        <v>8.32</v>
      </c>
      <c r="CP309" s="10"/>
    </row>
    <row r="310" spans="1:94" ht="15.75" customHeight="1" x14ac:dyDescent="0.25">
      <c r="A310" s="4">
        <v>309</v>
      </c>
      <c r="B310" s="4"/>
      <c r="C310" s="4">
        <v>4</v>
      </c>
      <c r="D310" s="8">
        <v>11.09</v>
      </c>
      <c r="E310" s="8">
        <v>12.03</v>
      </c>
      <c r="F310" s="8">
        <v>9.6300000000000008</v>
      </c>
      <c r="G310" s="8">
        <v>11.68</v>
      </c>
      <c r="H310" s="8">
        <v>9.9700000000000006</v>
      </c>
      <c r="I310" s="8">
        <v>11.3</v>
      </c>
      <c r="J310" s="8">
        <v>11.33</v>
      </c>
      <c r="K310" s="8">
        <v>11.05</v>
      </c>
      <c r="L310" s="8">
        <v>10.66</v>
      </c>
      <c r="M310" s="8">
        <v>11.33</v>
      </c>
      <c r="N310" s="8">
        <v>10.8</v>
      </c>
      <c r="O310" s="8">
        <v>11.53</v>
      </c>
      <c r="P310" s="8">
        <v>12.37</v>
      </c>
      <c r="Q310" s="8">
        <v>10.44</v>
      </c>
      <c r="R310" s="8">
        <v>12.51</v>
      </c>
      <c r="S310" s="8">
        <v>10.56</v>
      </c>
      <c r="T310" s="8">
        <v>11.76</v>
      </c>
      <c r="U310" s="8">
        <v>11.8</v>
      </c>
      <c r="V310" s="8">
        <v>10.08</v>
      </c>
      <c r="W310" s="8">
        <v>13.65</v>
      </c>
      <c r="X310" s="8">
        <v>10.87</v>
      </c>
      <c r="Y310" s="8">
        <v>13.65</v>
      </c>
      <c r="Z310" s="8">
        <v>9.67</v>
      </c>
      <c r="AA310" s="8">
        <v>9.7100000000000009</v>
      </c>
      <c r="AB310" s="8">
        <v>11.87</v>
      </c>
      <c r="AC310" s="8">
        <v>10.91</v>
      </c>
      <c r="AD310" s="8">
        <v>11.67</v>
      </c>
      <c r="AE310" s="8">
        <v>10.8</v>
      </c>
      <c r="AF310" s="8">
        <v>9.5299999999999994</v>
      </c>
      <c r="AG310" s="8">
        <v>11.22</v>
      </c>
      <c r="AH310" s="8">
        <v>9.9499999999999993</v>
      </c>
      <c r="AI310" s="8">
        <v>11</v>
      </c>
      <c r="AJ310" s="8">
        <v>10.84</v>
      </c>
      <c r="AK310" s="8">
        <v>12.97</v>
      </c>
      <c r="AL310" s="8">
        <v>12.11</v>
      </c>
      <c r="AM310" s="8">
        <v>12.78</v>
      </c>
      <c r="AN310" s="8">
        <v>11.75</v>
      </c>
      <c r="AO310" s="8">
        <v>11.04</v>
      </c>
      <c r="AP310" s="8">
        <v>12.85</v>
      </c>
      <c r="AQ310" s="8">
        <v>12.35</v>
      </c>
      <c r="AR310" s="8">
        <v>11.71</v>
      </c>
      <c r="AS310" s="8">
        <v>10.1</v>
      </c>
      <c r="AT310" s="8">
        <v>12.15</v>
      </c>
      <c r="AU310" s="6">
        <v>11.78</v>
      </c>
      <c r="AV310" s="6">
        <v>12.31</v>
      </c>
      <c r="AW310" s="6">
        <v>12.76</v>
      </c>
      <c r="AX310" s="6">
        <v>12.01</v>
      </c>
      <c r="AY310" s="6">
        <v>11.47</v>
      </c>
      <c r="AZ310" s="6">
        <v>12.38</v>
      </c>
      <c r="BA310" s="6">
        <v>11.98</v>
      </c>
      <c r="BB310" s="6">
        <v>11.85</v>
      </c>
      <c r="BC310" s="6">
        <v>13.92</v>
      </c>
      <c r="BD310" s="6">
        <v>11.31</v>
      </c>
      <c r="BE310" s="6">
        <v>12.8</v>
      </c>
      <c r="BF310" s="6">
        <v>11.31</v>
      </c>
      <c r="BG310" s="6">
        <v>9.8000000000000007</v>
      </c>
      <c r="BH310" s="6">
        <v>11.39</v>
      </c>
      <c r="BI310" s="6">
        <v>10.46</v>
      </c>
      <c r="BJ310" s="6">
        <v>11.9</v>
      </c>
      <c r="BK310" s="6">
        <v>13.15</v>
      </c>
      <c r="BL310" s="6">
        <v>9.73</v>
      </c>
      <c r="BM310" s="6">
        <v>12.52</v>
      </c>
      <c r="BN310" s="6">
        <v>8.7799999999999994</v>
      </c>
      <c r="BO310" s="6">
        <v>10.52</v>
      </c>
      <c r="BP310" s="6">
        <v>13.16</v>
      </c>
      <c r="BQ310" s="6">
        <v>12.36</v>
      </c>
      <c r="BR310" s="6">
        <v>9.76</v>
      </c>
      <c r="BS310" s="6">
        <v>9.9</v>
      </c>
      <c r="BT310" s="6">
        <v>12.9</v>
      </c>
      <c r="BU310" s="6">
        <v>12.2</v>
      </c>
      <c r="BV310" s="6">
        <v>9.4</v>
      </c>
      <c r="BW310" s="6">
        <v>11.54</v>
      </c>
      <c r="BX310" s="6">
        <v>12.8</v>
      </c>
      <c r="BY310" s="6">
        <v>11.25</v>
      </c>
      <c r="BZ310" s="6">
        <v>9.1199999999999992</v>
      </c>
      <c r="CA310" s="6">
        <v>10.7</v>
      </c>
      <c r="CB310" s="6">
        <v>11.74</v>
      </c>
      <c r="CC310" s="6">
        <v>11.54</v>
      </c>
      <c r="CD310" s="6">
        <v>11.38</v>
      </c>
      <c r="CE310" s="6">
        <v>12.38</v>
      </c>
      <c r="CF310" s="6">
        <v>9.42</v>
      </c>
      <c r="CG310" s="6">
        <v>11.58</v>
      </c>
      <c r="CH310" s="6">
        <v>11.84</v>
      </c>
      <c r="CI310" s="6">
        <v>11.98</v>
      </c>
      <c r="CJ310" s="11">
        <v>11.2</v>
      </c>
      <c r="CK310" s="6">
        <v>10</v>
      </c>
      <c r="CL310" s="6">
        <v>12.6</v>
      </c>
      <c r="CM310" s="6">
        <v>12.47</v>
      </c>
      <c r="CN310" s="6">
        <v>8.3699999999999992</v>
      </c>
      <c r="CO310" s="10">
        <v>8.19</v>
      </c>
      <c r="CP310" s="10"/>
    </row>
    <row r="311" spans="1:94" ht="15.75" customHeight="1" x14ac:dyDescent="0.25">
      <c r="A311" s="4">
        <v>310</v>
      </c>
      <c r="B311" s="4"/>
      <c r="C311" s="4">
        <v>5</v>
      </c>
      <c r="D311" s="8">
        <v>11.08</v>
      </c>
      <c r="E311" s="8">
        <v>11.93</v>
      </c>
      <c r="F311" s="8">
        <v>9.58</v>
      </c>
      <c r="G311" s="8">
        <v>11.58</v>
      </c>
      <c r="H311" s="8">
        <v>9.8800000000000008</v>
      </c>
      <c r="I311" s="8">
        <v>11.13</v>
      </c>
      <c r="J311" s="8">
        <v>11.36</v>
      </c>
      <c r="K311" s="8">
        <v>10.98</v>
      </c>
      <c r="L311" s="8">
        <v>10.56</v>
      </c>
      <c r="M311" s="8">
        <v>11.13</v>
      </c>
      <c r="N311" s="8">
        <v>10.72</v>
      </c>
      <c r="O311" s="8">
        <v>11.39</v>
      </c>
      <c r="P311" s="8">
        <v>12.18</v>
      </c>
      <c r="Q311" s="8">
        <v>10.35</v>
      </c>
      <c r="R311" s="8">
        <v>12.47</v>
      </c>
      <c r="S311" s="8">
        <v>10.41</v>
      </c>
      <c r="T311" s="8">
        <v>11.64</v>
      </c>
      <c r="U311" s="8">
        <v>11.66</v>
      </c>
      <c r="V311" s="8">
        <v>10.06</v>
      </c>
      <c r="W311" s="8">
        <v>13.6</v>
      </c>
      <c r="X311" s="8">
        <v>10.83</v>
      </c>
      <c r="Y311" s="8">
        <v>13.55</v>
      </c>
      <c r="Z311" s="8">
        <v>9.67</v>
      </c>
      <c r="AA311" s="8">
        <v>9.7200000000000006</v>
      </c>
      <c r="AB311" s="8">
        <v>11.9</v>
      </c>
      <c r="AC311" s="8">
        <v>10.85</v>
      </c>
      <c r="AD311" s="8">
        <v>11.7</v>
      </c>
      <c r="AE311" s="8">
        <v>10.72</v>
      </c>
      <c r="AF311" s="8">
        <v>9.4700000000000006</v>
      </c>
      <c r="AG311" s="8">
        <v>11.06</v>
      </c>
      <c r="AH311" s="8">
        <v>9.93</v>
      </c>
      <c r="AI311" s="8">
        <v>10.91</v>
      </c>
      <c r="AJ311" s="8">
        <v>10.73</v>
      </c>
      <c r="AK311" s="8">
        <v>12.86</v>
      </c>
      <c r="AL311" s="8">
        <v>12</v>
      </c>
      <c r="AM311" s="8">
        <v>12.73</v>
      </c>
      <c r="AN311" s="8">
        <v>11.67</v>
      </c>
      <c r="AO311" s="8">
        <v>11.11</v>
      </c>
      <c r="AP311" s="8">
        <v>12.68</v>
      </c>
      <c r="AQ311" s="8">
        <v>12.23</v>
      </c>
      <c r="AR311" s="8">
        <v>11.59</v>
      </c>
      <c r="AS311" s="8">
        <v>10.01</v>
      </c>
      <c r="AT311" s="8">
        <v>12.05</v>
      </c>
      <c r="AU311" s="6">
        <v>11.68</v>
      </c>
      <c r="AV311" s="6">
        <v>12.26</v>
      </c>
      <c r="AW311" s="6">
        <v>12.64</v>
      </c>
      <c r="AX311" s="6">
        <v>11.88</v>
      </c>
      <c r="AY311" s="6">
        <v>11.43</v>
      </c>
      <c r="AZ311" s="6">
        <v>12.28</v>
      </c>
      <c r="BA311" s="6">
        <v>11.93</v>
      </c>
      <c r="BB311" s="6">
        <v>11.81</v>
      </c>
      <c r="BC311" s="6">
        <v>13.92</v>
      </c>
      <c r="BD311" s="6">
        <v>11.3</v>
      </c>
      <c r="BE311" s="6">
        <v>12.78</v>
      </c>
      <c r="BF311" s="6">
        <v>11.28</v>
      </c>
      <c r="BG311" s="6">
        <v>9.85</v>
      </c>
      <c r="BH311" s="6">
        <v>11.27</v>
      </c>
      <c r="BI311" s="6">
        <v>10.3</v>
      </c>
      <c r="BJ311" s="6">
        <v>11.84</v>
      </c>
      <c r="BK311" s="6">
        <v>13.04</v>
      </c>
      <c r="BL311" s="6">
        <v>9.75</v>
      </c>
      <c r="BM311" s="6">
        <v>12.43</v>
      </c>
      <c r="BN311" s="6">
        <v>8.6</v>
      </c>
      <c r="BO311" s="6">
        <v>10.38</v>
      </c>
      <c r="BP311" s="6">
        <v>13.08</v>
      </c>
      <c r="BQ311" s="6">
        <v>12.22</v>
      </c>
      <c r="BR311" s="6">
        <v>9.64</v>
      </c>
      <c r="BS311" s="6">
        <v>9.92</v>
      </c>
      <c r="BT311" s="6">
        <v>12.9</v>
      </c>
      <c r="BU311" s="6">
        <v>12.02</v>
      </c>
      <c r="BV311" s="6">
        <v>9.4499999999999993</v>
      </c>
      <c r="BW311" s="6">
        <v>11.52</v>
      </c>
      <c r="BX311" s="6">
        <v>12.74</v>
      </c>
      <c r="BY311" s="6">
        <v>11.2</v>
      </c>
      <c r="BZ311" s="6">
        <v>9.1</v>
      </c>
      <c r="CA311" s="6">
        <v>10.6</v>
      </c>
      <c r="CB311" s="6">
        <v>11.68</v>
      </c>
      <c r="CC311" s="6">
        <v>11.5</v>
      </c>
      <c r="CD311" s="6">
        <v>11.4</v>
      </c>
      <c r="CE311" s="6">
        <v>12.24</v>
      </c>
      <c r="CF311" s="6">
        <v>9.3800000000000008</v>
      </c>
      <c r="CG311" s="6">
        <v>11.44</v>
      </c>
      <c r="CH311" s="6">
        <v>11.85</v>
      </c>
      <c r="CI311" s="6">
        <v>11.9</v>
      </c>
      <c r="CJ311" s="11">
        <v>11.38</v>
      </c>
      <c r="CK311" s="6">
        <v>10</v>
      </c>
      <c r="CL311" s="6">
        <v>12.6</v>
      </c>
      <c r="CM311" s="6">
        <v>12.56</v>
      </c>
      <c r="CN311" s="6">
        <v>8.31</v>
      </c>
      <c r="CO311" s="10">
        <v>8.08</v>
      </c>
      <c r="CP311" s="10"/>
    </row>
    <row r="312" spans="1:94" ht="15.75" customHeight="1" x14ac:dyDescent="0.25">
      <c r="A312" s="4">
        <v>311</v>
      </c>
      <c r="B312" s="4"/>
      <c r="C312" s="4">
        <v>6</v>
      </c>
      <c r="D312" s="8">
        <v>11.03</v>
      </c>
      <c r="E312" s="8">
        <v>11.83</v>
      </c>
      <c r="F312" s="8">
        <v>9.4700000000000006</v>
      </c>
      <c r="G312" s="8">
        <v>11.48</v>
      </c>
      <c r="H312" s="8">
        <v>9.7799999999999994</v>
      </c>
      <c r="I312" s="8">
        <v>10.98</v>
      </c>
      <c r="J312" s="8">
        <v>11.43</v>
      </c>
      <c r="K312" s="8">
        <v>10.9</v>
      </c>
      <c r="L312" s="8">
        <v>10.45</v>
      </c>
      <c r="M312" s="8">
        <v>10.96</v>
      </c>
      <c r="N312" s="8">
        <v>10.59</v>
      </c>
      <c r="O312" s="8">
        <v>11.24</v>
      </c>
      <c r="P312" s="8">
        <v>12.06</v>
      </c>
      <c r="Q312" s="8">
        <v>10.24</v>
      </c>
      <c r="R312" s="8">
        <v>12.36</v>
      </c>
      <c r="S312" s="8">
        <v>10.26</v>
      </c>
      <c r="T312" s="8">
        <v>11.53</v>
      </c>
      <c r="U312" s="8">
        <v>11.56</v>
      </c>
      <c r="V312" s="8">
        <v>10.039999999999999</v>
      </c>
      <c r="W312" s="8">
        <v>13.51</v>
      </c>
      <c r="X312" s="8">
        <v>10.75</v>
      </c>
      <c r="Y312" s="8">
        <v>13.47</v>
      </c>
      <c r="Z312" s="8">
        <v>9.7100000000000009</v>
      </c>
      <c r="AA312" s="8">
        <v>9.77</v>
      </c>
      <c r="AB312" s="8">
        <v>11.9</v>
      </c>
      <c r="AC312" s="8">
        <v>10.81</v>
      </c>
      <c r="AD312" s="8">
        <v>11.73</v>
      </c>
      <c r="AE312" s="8">
        <v>10.64</v>
      </c>
      <c r="AF312" s="8">
        <v>9.4499999999999993</v>
      </c>
      <c r="AG312" s="8">
        <v>10.92</v>
      </c>
      <c r="AH312" s="8">
        <v>9.89</v>
      </c>
      <c r="AI312" s="8">
        <v>10.82</v>
      </c>
      <c r="AJ312" s="8">
        <v>10.63</v>
      </c>
      <c r="AK312" s="8">
        <v>12.75</v>
      </c>
      <c r="AL312" s="8">
        <v>11.9</v>
      </c>
      <c r="AM312" s="8">
        <v>12.64</v>
      </c>
      <c r="AN312" s="8">
        <v>11.57</v>
      </c>
      <c r="AO312" s="8">
        <v>11.19</v>
      </c>
      <c r="AP312" s="8">
        <v>12.51</v>
      </c>
      <c r="AQ312" s="8">
        <v>12.05</v>
      </c>
      <c r="AR312" s="8">
        <v>11.49</v>
      </c>
      <c r="AS312" s="8">
        <v>9.9499999999999993</v>
      </c>
      <c r="AT312" s="8">
        <v>11.95</v>
      </c>
      <c r="AU312" s="6">
        <v>11.6</v>
      </c>
      <c r="AV312" s="6">
        <v>12.22</v>
      </c>
      <c r="AW312" s="6">
        <v>12.53</v>
      </c>
      <c r="AX312" s="6">
        <v>11.76</v>
      </c>
      <c r="AY312" s="6">
        <v>11.39</v>
      </c>
      <c r="AZ312" s="6">
        <v>12.19</v>
      </c>
      <c r="BA312" s="6">
        <v>11.85</v>
      </c>
      <c r="BB312" s="6">
        <v>11.8</v>
      </c>
      <c r="BC312" s="6">
        <v>13.93</v>
      </c>
      <c r="BD312" s="6">
        <v>11.26</v>
      </c>
      <c r="BE312" s="6">
        <v>12.71</v>
      </c>
      <c r="BF312" s="6">
        <v>11.23</v>
      </c>
      <c r="BG312" s="6">
        <v>9.85</v>
      </c>
      <c r="BH312" s="6">
        <v>11.14</v>
      </c>
      <c r="BI312" s="6">
        <v>10.06</v>
      </c>
      <c r="BJ312" s="6">
        <v>11.8</v>
      </c>
      <c r="BK312" s="6">
        <v>12.92</v>
      </c>
      <c r="BL312" s="6">
        <v>9.75</v>
      </c>
      <c r="BM312" s="6">
        <v>12.36</v>
      </c>
      <c r="BN312" s="6">
        <v>8.5</v>
      </c>
      <c r="BO312" s="6">
        <v>10.28</v>
      </c>
      <c r="BP312" s="6">
        <v>13.07</v>
      </c>
      <c r="BQ312" s="6">
        <v>12.08</v>
      </c>
      <c r="BR312" s="6">
        <v>9.56</v>
      </c>
      <c r="BS312" s="6">
        <v>9.9</v>
      </c>
      <c r="BT312" s="6">
        <v>12.88</v>
      </c>
      <c r="BU312" s="6">
        <v>11.92</v>
      </c>
      <c r="BV312" s="6">
        <v>9.42</v>
      </c>
      <c r="BW312" s="6">
        <v>11.54</v>
      </c>
      <c r="BX312" s="6">
        <v>12.68</v>
      </c>
      <c r="BY312" s="6">
        <v>11.14</v>
      </c>
      <c r="BZ312" s="6">
        <v>9.08</v>
      </c>
      <c r="CA312" s="6">
        <v>10.54</v>
      </c>
      <c r="CB312" s="6">
        <v>11.7</v>
      </c>
      <c r="CC312" s="6">
        <v>11.4</v>
      </c>
      <c r="CD312" s="6">
        <v>11.36</v>
      </c>
      <c r="CE312" s="6">
        <v>12.26</v>
      </c>
      <c r="CF312" s="6">
        <v>9.26</v>
      </c>
      <c r="CG312" s="6">
        <v>11.42</v>
      </c>
      <c r="CH312" s="6">
        <v>11.68</v>
      </c>
      <c r="CI312" s="6">
        <v>11.8</v>
      </c>
      <c r="CJ312" s="11">
        <v>11.36</v>
      </c>
      <c r="CK312" s="6">
        <v>10</v>
      </c>
      <c r="CL312" s="6">
        <v>12.54</v>
      </c>
      <c r="CM312" s="6">
        <v>12.6</v>
      </c>
      <c r="CN312" s="6">
        <v>8.27</v>
      </c>
      <c r="CO312" s="10">
        <v>8.02</v>
      </c>
      <c r="CP312" s="10"/>
    </row>
    <row r="313" spans="1:94" ht="15.75" customHeight="1" x14ac:dyDescent="0.25">
      <c r="A313" s="4">
        <v>312</v>
      </c>
      <c r="B313" s="4"/>
      <c r="C313" s="4">
        <v>7</v>
      </c>
      <c r="D313" s="8">
        <v>10.93</v>
      </c>
      <c r="E313" s="8">
        <v>11.73</v>
      </c>
      <c r="F313" s="8">
        <v>9.3800000000000008</v>
      </c>
      <c r="G313" s="8">
        <v>11.38</v>
      </c>
      <c r="H313" s="8">
        <v>9.68</v>
      </c>
      <c r="I313" s="8">
        <v>10.89</v>
      </c>
      <c r="J313" s="8">
        <v>11.38</v>
      </c>
      <c r="K313" s="8">
        <v>10.81</v>
      </c>
      <c r="L313" s="8">
        <v>10.34</v>
      </c>
      <c r="M313" s="8">
        <v>10.74</v>
      </c>
      <c r="N313" s="8">
        <v>10.48</v>
      </c>
      <c r="O313" s="8">
        <v>11.15</v>
      </c>
      <c r="P313" s="8">
        <v>11.94</v>
      </c>
      <c r="Q313" s="8">
        <v>10.28</v>
      </c>
      <c r="R313" s="8">
        <v>12.26</v>
      </c>
      <c r="S313" s="8">
        <v>10.16</v>
      </c>
      <c r="T313" s="8">
        <v>11.51</v>
      </c>
      <c r="U313" s="8">
        <v>11.46</v>
      </c>
      <c r="V313" s="8">
        <v>9.9600000000000009</v>
      </c>
      <c r="W313" s="8">
        <v>13.45</v>
      </c>
      <c r="X313" s="8">
        <v>10.71</v>
      </c>
      <c r="Y313" s="8">
        <v>13.45</v>
      </c>
      <c r="Z313" s="8">
        <v>9.7100000000000009</v>
      </c>
      <c r="AA313" s="8">
        <v>9.81</v>
      </c>
      <c r="AB313" s="8">
        <v>11.83</v>
      </c>
      <c r="AC313" s="8">
        <v>10.71</v>
      </c>
      <c r="AD313" s="8">
        <v>11.73</v>
      </c>
      <c r="AE313" s="8">
        <v>10.56</v>
      </c>
      <c r="AF313" s="8">
        <v>9.4499999999999993</v>
      </c>
      <c r="AG313" s="8">
        <v>10.84</v>
      </c>
      <c r="AH313" s="8">
        <v>9.8699999999999992</v>
      </c>
      <c r="AI313" s="8">
        <v>10.72</v>
      </c>
      <c r="AJ313" s="8">
        <v>10.59</v>
      </c>
      <c r="AK313" s="8">
        <v>12.65</v>
      </c>
      <c r="AL313" s="8">
        <v>11.8</v>
      </c>
      <c r="AM313" s="8">
        <v>12.53</v>
      </c>
      <c r="AN313" s="8">
        <v>11.44</v>
      </c>
      <c r="AO313" s="8">
        <v>11.26</v>
      </c>
      <c r="AP313" s="8">
        <v>12.37</v>
      </c>
      <c r="AQ313" s="8">
        <v>11.87</v>
      </c>
      <c r="AR313" s="8">
        <v>11.39</v>
      </c>
      <c r="AS313" s="8">
        <v>9.85</v>
      </c>
      <c r="AT313" s="8">
        <v>11.85</v>
      </c>
      <c r="AU313" s="6">
        <v>11.55</v>
      </c>
      <c r="AV313" s="6">
        <v>12.18</v>
      </c>
      <c r="AW313" s="6">
        <v>12.47</v>
      </c>
      <c r="AX313" s="6">
        <v>11.61</v>
      </c>
      <c r="AY313" s="6">
        <v>11.35</v>
      </c>
      <c r="AZ313" s="6">
        <v>12.1</v>
      </c>
      <c r="BA313" s="6">
        <v>11.77</v>
      </c>
      <c r="BB313" s="6">
        <v>11.76</v>
      </c>
      <c r="BC313" s="6">
        <v>13.97</v>
      </c>
      <c r="BD313" s="6">
        <v>11.22</v>
      </c>
      <c r="BE313" s="6">
        <v>12.6</v>
      </c>
      <c r="BF313" s="6">
        <v>11.17</v>
      </c>
      <c r="BG313" s="6">
        <v>9.81</v>
      </c>
      <c r="BH313" s="6">
        <v>11.03</v>
      </c>
      <c r="BI313" s="6">
        <v>10</v>
      </c>
      <c r="BJ313" s="6">
        <v>11.74</v>
      </c>
      <c r="BK313" s="6">
        <v>12.78</v>
      </c>
      <c r="BL313" s="6">
        <v>9.7899999999999991</v>
      </c>
      <c r="BM313" s="6">
        <v>12.3</v>
      </c>
      <c r="BN313" s="6">
        <v>8.36</v>
      </c>
      <c r="BO313" s="6">
        <v>10.199999999999999</v>
      </c>
      <c r="BP313" s="6">
        <v>13</v>
      </c>
      <c r="BQ313" s="6">
        <v>12</v>
      </c>
      <c r="BR313" s="6">
        <v>9.5</v>
      </c>
      <c r="BS313" s="6">
        <v>9.8800000000000008</v>
      </c>
      <c r="BT313" s="6">
        <v>12.86</v>
      </c>
      <c r="BU313" s="6">
        <v>11.8</v>
      </c>
      <c r="BV313" s="6">
        <v>9.4</v>
      </c>
      <c r="BW313" s="6">
        <v>11.54</v>
      </c>
      <c r="BX313" s="6">
        <v>12.58</v>
      </c>
      <c r="BY313" s="6">
        <v>11.12</v>
      </c>
      <c r="BZ313" s="6">
        <v>9.06</v>
      </c>
      <c r="CA313" s="6">
        <v>10.5</v>
      </c>
      <c r="CB313" s="6">
        <v>11.7</v>
      </c>
      <c r="CC313" s="6">
        <v>11.34</v>
      </c>
      <c r="CD313" s="6">
        <v>10.9</v>
      </c>
      <c r="CE313" s="6">
        <v>12.24</v>
      </c>
      <c r="CF313" s="6">
        <v>9.18</v>
      </c>
      <c r="CG313" s="6">
        <v>11.22</v>
      </c>
      <c r="CH313" s="6">
        <v>11.7</v>
      </c>
      <c r="CI313" s="6">
        <v>11.66</v>
      </c>
      <c r="CJ313" s="11">
        <v>11.32</v>
      </c>
      <c r="CK313" s="6">
        <v>10</v>
      </c>
      <c r="CL313" s="6">
        <v>12.44</v>
      </c>
      <c r="CM313" s="6">
        <v>12.66</v>
      </c>
      <c r="CN313" s="6">
        <v>8.26</v>
      </c>
      <c r="CO313" s="10">
        <v>8</v>
      </c>
      <c r="CP313" s="10"/>
    </row>
    <row r="314" spans="1:94" ht="15.75" customHeight="1" x14ac:dyDescent="0.25">
      <c r="A314" s="4">
        <v>313</v>
      </c>
      <c r="B314" s="4"/>
      <c r="C314" s="4">
        <v>8</v>
      </c>
      <c r="D314" s="8">
        <v>10.83</v>
      </c>
      <c r="E314" s="8">
        <v>11.68</v>
      </c>
      <c r="F314" s="8">
        <v>9.2799999999999994</v>
      </c>
      <c r="G314" s="8">
        <v>11.28</v>
      </c>
      <c r="H314" s="8">
        <v>9.58</v>
      </c>
      <c r="I314" s="8">
        <v>10.68</v>
      </c>
      <c r="J314" s="8">
        <v>11.23</v>
      </c>
      <c r="K314" s="8">
        <v>10.72</v>
      </c>
      <c r="L314" s="8">
        <v>10.25</v>
      </c>
      <c r="M314" s="8">
        <v>10.51</v>
      </c>
      <c r="N314" s="8">
        <v>10.35</v>
      </c>
      <c r="O314" s="8">
        <v>11.07</v>
      </c>
      <c r="P314" s="8">
        <v>11.81</v>
      </c>
      <c r="Q314" s="8">
        <v>10.3</v>
      </c>
      <c r="R314" s="8">
        <v>12.19</v>
      </c>
      <c r="S314" s="8">
        <v>10.01</v>
      </c>
      <c r="T314" s="8">
        <v>11.46</v>
      </c>
      <c r="U314" s="8">
        <v>11.3</v>
      </c>
      <c r="V314" s="8">
        <v>9.93</v>
      </c>
      <c r="W314" s="8">
        <v>13.38</v>
      </c>
      <c r="X314" s="8">
        <v>10.67</v>
      </c>
      <c r="Y314" s="8">
        <v>13.45</v>
      </c>
      <c r="Z314" s="8">
        <v>9.68</v>
      </c>
      <c r="AA314" s="8">
        <v>9.84</v>
      </c>
      <c r="AB314" s="8">
        <v>11.74</v>
      </c>
      <c r="AC314" s="8">
        <v>10.66</v>
      </c>
      <c r="AD314" s="8">
        <v>11.66</v>
      </c>
      <c r="AE314" s="8">
        <v>10.48</v>
      </c>
      <c r="AF314" s="8">
        <v>9.4700000000000006</v>
      </c>
      <c r="AG314" s="8">
        <v>10.59</v>
      </c>
      <c r="AH314" s="8">
        <v>9.8699999999999992</v>
      </c>
      <c r="AI314" s="8">
        <v>10.56</v>
      </c>
      <c r="AJ314" s="8">
        <v>10.53</v>
      </c>
      <c r="AK314" s="8">
        <v>12.54</v>
      </c>
      <c r="AL314" s="8">
        <v>11.72</v>
      </c>
      <c r="AM314" s="8">
        <v>12.45</v>
      </c>
      <c r="AN314" s="8">
        <v>11.33</v>
      </c>
      <c r="AO314" s="8">
        <v>11.31</v>
      </c>
      <c r="AP314" s="8">
        <v>12.21</v>
      </c>
      <c r="AQ314" s="8">
        <v>11.73</v>
      </c>
      <c r="AR314" s="8">
        <v>11.31</v>
      </c>
      <c r="AS314" s="8">
        <v>9.75</v>
      </c>
      <c r="AT314" s="8">
        <v>11.81</v>
      </c>
      <c r="AU314" s="6">
        <v>11.44</v>
      </c>
      <c r="AV314" s="6">
        <v>12.13</v>
      </c>
      <c r="AW314" s="6">
        <v>12.38</v>
      </c>
      <c r="AX314" s="6">
        <v>11.43</v>
      </c>
      <c r="AY314" s="6">
        <v>11.3</v>
      </c>
      <c r="AZ314" s="6">
        <v>12.02</v>
      </c>
      <c r="BA314" s="6">
        <v>11.68</v>
      </c>
      <c r="BB314" s="6">
        <v>11.72</v>
      </c>
      <c r="BC314" s="6">
        <v>13.94</v>
      </c>
      <c r="BD314" s="6">
        <v>11.14</v>
      </c>
      <c r="BE314" s="6">
        <v>12.48</v>
      </c>
      <c r="BF314" s="6">
        <v>11.11</v>
      </c>
      <c r="BG314" s="6">
        <v>9.76</v>
      </c>
      <c r="BH314" s="6">
        <v>10.94</v>
      </c>
      <c r="BI314" s="6">
        <v>9.86</v>
      </c>
      <c r="BJ314" s="6">
        <v>11.68</v>
      </c>
      <c r="BK314" s="6">
        <v>12.64</v>
      </c>
      <c r="BL314" s="6">
        <v>9.82</v>
      </c>
      <c r="BM314" s="6">
        <v>12.14</v>
      </c>
      <c r="BN314" s="6">
        <v>8.3000000000000007</v>
      </c>
      <c r="BO314" s="6">
        <v>10.26</v>
      </c>
      <c r="BP314" s="6">
        <v>12.9</v>
      </c>
      <c r="BQ314" s="6">
        <v>11.9</v>
      </c>
      <c r="BR314" s="6">
        <v>9.44</v>
      </c>
      <c r="BS314" s="6">
        <v>9.8800000000000008</v>
      </c>
      <c r="BT314" s="6">
        <v>12.8</v>
      </c>
      <c r="BU314" s="6">
        <v>11.62</v>
      </c>
      <c r="BV314" s="6">
        <v>9.4</v>
      </c>
      <c r="BW314" s="6">
        <v>11.5</v>
      </c>
      <c r="BX314" s="6">
        <v>12.5</v>
      </c>
      <c r="BY314" s="6">
        <v>11.12</v>
      </c>
      <c r="BZ314" s="6">
        <v>9.02</v>
      </c>
      <c r="CA314" s="6">
        <v>10.38</v>
      </c>
      <c r="CB314" s="6">
        <v>11.66</v>
      </c>
      <c r="CC314" s="6">
        <v>11.28</v>
      </c>
      <c r="CD314" s="6">
        <v>10.74</v>
      </c>
      <c r="CE314" s="6">
        <v>12.19</v>
      </c>
      <c r="CF314" s="6">
        <v>9.1199999999999992</v>
      </c>
      <c r="CG314" s="6">
        <v>11.22</v>
      </c>
      <c r="CH314" s="6">
        <v>11.68</v>
      </c>
      <c r="CI314" s="6">
        <v>11.64</v>
      </c>
      <c r="CJ314" s="11">
        <v>11.3</v>
      </c>
      <c r="CK314" s="6">
        <v>10</v>
      </c>
      <c r="CL314" s="6">
        <v>12.32</v>
      </c>
      <c r="CM314" s="6">
        <v>12.66</v>
      </c>
      <c r="CN314" s="6">
        <v>8.26</v>
      </c>
      <c r="CO314" s="10">
        <v>7.97</v>
      </c>
      <c r="CP314" s="10"/>
    </row>
    <row r="315" spans="1:94" ht="15.75" customHeight="1" x14ac:dyDescent="0.25">
      <c r="A315" s="4">
        <v>314</v>
      </c>
      <c r="B315" s="4"/>
      <c r="C315" s="4">
        <v>9</v>
      </c>
      <c r="D315" s="8">
        <v>10.78</v>
      </c>
      <c r="E315" s="8">
        <v>11.63</v>
      </c>
      <c r="F315" s="8">
        <v>9.2200000000000006</v>
      </c>
      <c r="G315" s="8">
        <v>11.26</v>
      </c>
      <c r="H315" s="8">
        <v>9.4700000000000006</v>
      </c>
      <c r="I315" s="8">
        <v>10.49</v>
      </c>
      <c r="J315" s="8">
        <v>11.03</v>
      </c>
      <c r="K315" s="8">
        <v>10.65</v>
      </c>
      <c r="L315" s="8">
        <v>10.16</v>
      </c>
      <c r="M315" s="8">
        <v>10.33</v>
      </c>
      <c r="N315" s="8">
        <v>10.210000000000001</v>
      </c>
      <c r="O315" s="8">
        <v>10.98</v>
      </c>
      <c r="P315" s="8">
        <v>11.7</v>
      </c>
      <c r="Q315" s="8">
        <v>10.32</v>
      </c>
      <c r="R315" s="8">
        <v>12.11</v>
      </c>
      <c r="S315" s="8">
        <v>9.85</v>
      </c>
      <c r="T315" s="8">
        <v>11.43</v>
      </c>
      <c r="U315" s="8">
        <v>11.22</v>
      </c>
      <c r="V315" s="8">
        <v>9.91</v>
      </c>
      <c r="W315" s="8">
        <v>13.34</v>
      </c>
      <c r="X315" s="8">
        <v>10.58</v>
      </c>
      <c r="Y315" s="8">
        <v>13.43</v>
      </c>
      <c r="Z315" s="8">
        <v>9.6300000000000008</v>
      </c>
      <c r="AA315" s="8">
        <v>9.84</v>
      </c>
      <c r="AB315" s="8">
        <v>11.65</v>
      </c>
      <c r="AC315" s="8">
        <v>10.62</v>
      </c>
      <c r="AD315" s="8">
        <v>11.66</v>
      </c>
      <c r="AE315" s="8">
        <v>10.38</v>
      </c>
      <c r="AF315" s="8">
        <v>9.51</v>
      </c>
      <c r="AG315" s="8">
        <v>10.33</v>
      </c>
      <c r="AH315" s="8">
        <v>9.81</v>
      </c>
      <c r="AI315" s="8">
        <v>10.39</v>
      </c>
      <c r="AJ315" s="8">
        <v>10.5</v>
      </c>
      <c r="AK315" s="8">
        <v>12.42</v>
      </c>
      <c r="AL315" s="8">
        <v>11.63</v>
      </c>
      <c r="AM315" s="8">
        <v>12.38</v>
      </c>
      <c r="AN315" s="8">
        <v>11.25</v>
      </c>
      <c r="AO315" s="8">
        <v>11.32</v>
      </c>
      <c r="AP315" s="8">
        <v>12.03</v>
      </c>
      <c r="AQ315" s="8">
        <v>11.59</v>
      </c>
      <c r="AR315" s="8">
        <v>11.23</v>
      </c>
      <c r="AS315" s="8">
        <v>9.6300000000000008</v>
      </c>
      <c r="AT315" s="8">
        <v>11.77</v>
      </c>
      <c r="AU315" s="6">
        <v>11.31</v>
      </c>
      <c r="AV315" s="6">
        <v>12.07</v>
      </c>
      <c r="AW315" s="6">
        <v>12.26</v>
      </c>
      <c r="AX315" s="6">
        <v>11.26</v>
      </c>
      <c r="AY315" s="6">
        <v>11.25</v>
      </c>
      <c r="AZ315" s="6">
        <v>11.93</v>
      </c>
      <c r="BA315" s="6">
        <v>11.56</v>
      </c>
      <c r="BB315" s="6">
        <v>11.67</v>
      </c>
      <c r="BC315" s="6">
        <v>13.94</v>
      </c>
      <c r="BD315" s="6">
        <v>11.1</v>
      </c>
      <c r="BE315" s="6">
        <v>12.39</v>
      </c>
      <c r="BF315" s="6">
        <v>11.07</v>
      </c>
      <c r="BG315" s="6">
        <v>9.65</v>
      </c>
      <c r="BH315" s="6">
        <v>10.84</v>
      </c>
      <c r="BI315" s="6">
        <v>9.6999999999999993</v>
      </c>
      <c r="BJ315" s="6">
        <v>11.66</v>
      </c>
      <c r="BK315" s="6">
        <v>12.5</v>
      </c>
      <c r="BL315" s="6">
        <v>9.8000000000000007</v>
      </c>
      <c r="BM315" s="6">
        <v>12.02</v>
      </c>
      <c r="BN315" s="6">
        <v>8.24</v>
      </c>
      <c r="BO315" s="6">
        <v>10.28</v>
      </c>
      <c r="BP315" s="6">
        <v>12.8</v>
      </c>
      <c r="BQ315" s="6">
        <v>11.8</v>
      </c>
      <c r="BR315" s="6">
        <v>9.4</v>
      </c>
      <c r="BS315" s="6">
        <v>9.98</v>
      </c>
      <c r="BT315" s="6">
        <v>12.8</v>
      </c>
      <c r="BU315" s="6">
        <v>11.54</v>
      </c>
      <c r="BV315" s="6">
        <v>9.4</v>
      </c>
      <c r="BW315" s="6">
        <v>11.4</v>
      </c>
      <c r="BX315" s="6">
        <v>12.4</v>
      </c>
      <c r="BY315" s="6">
        <v>11.08</v>
      </c>
      <c r="BZ315" s="6">
        <v>8.92</v>
      </c>
      <c r="CA315" s="6">
        <v>10.3</v>
      </c>
      <c r="CB315" s="6">
        <v>11.62</v>
      </c>
      <c r="CC315" s="6">
        <v>11.16</v>
      </c>
      <c r="CD315" s="6">
        <v>10.6</v>
      </c>
      <c r="CE315" s="6">
        <v>12.1</v>
      </c>
      <c r="CF315" s="6">
        <v>9.16</v>
      </c>
      <c r="CG315" s="6">
        <v>11.14</v>
      </c>
      <c r="CH315" s="6">
        <v>11.68</v>
      </c>
      <c r="CI315" s="6">
        <v>11.5</v>
      </c>
      <c r="CJ315" s="11">
        <v>11.18</v>
      </c>
      <c r="CK315" s="6">
        <v>10.039999999999999</v>
      </c>
      <c r="CL315" s="6">
        <v>12.12</v>
      </c>
      <c r="CM315" s="6">
        <v>12.68</v>
      </c>
      <c r="CN315" s="6">
        <v>8.31</v>
      </c>
      <c r="CO315" s="10">
        <v>7.95</v>
      </c>
      <c r="CP315" s="10"/>
    </row>
    <row r="316" spans="1:94" ht="15.75" customHeight="1" x14ac:dyDescent="0.25">
      <c r="A316" s="4">
        <v>315</v>
      </c>
      <c r="B316" s="4"/>
      <c r="C316" s="4">
        <v>10</v>
      </c>
      <c r="D316" s="8">
        <v>10.73</v>
      </c>
      <c r="E316" s="8">
        <v>11.58</v>
      </c>
      <c r="F316" s="8">
        <v>9.18</v>
      </c>
      <c r="G316" s="8">
        <v>11.24</v>
      </c>
      <c r="H316" s="8">
        <v>9.3800000000000008</v>
      </c>
      <c r="I316" s="8">
        <v>10.33</v>
      </c>
      <c r="J316" s="8">
        <v>10.78</v>
      </c>
      <c r="K316" s="8">
        <v>10.61</v>
      </c>
      <c r="L316" s="8">
        <v>10.08</v>
      </c>
      <c r="M316" s="8">
        <v>10.18</v>
      </c>
      <c r="N316" s="8">
        <v>10.09</v>
      </c>
      <c r="O316" s="8">
        <v>10.92</v>
      </c>
      <c r="P316" s="8">
        <v>11.63</v>
      </c>
      <c r="Q316" s="8">
        <v>10.32</v>
      </c>
      <c r="R316" s="8">
        <v>12.04</v>
      </c>
      <c r="S316" s="8">
        <v>9.7899999999999991</v>
      </c>
      <c r="T316" s="8">
        <v>11.36</v>
      </c>
      <c r="U316" s="8">
        <v>11.16</v>
      </c>
      <c r="V316" s="8">
        <v>9.85</v>
      </c>
      <c r="W316" s="8">
        <v>13.3</v>
      </c>
      <c r="X316" s="8">
        <v>10.51</v>
      </c>
      <c r="Y316" s="8">
        <v>13.41</v>
      </c>
      <c r="Z316" s="8">
        <v>9.58</v>
      </c>
      <c r="AA316" s="8">
        <v>9.81</v>
      </c>
      <c r="AB316" s="8">
        <v>11.57</v>
      </c>
      <c r="AC316" s="8">
        <v>10.57</v>
      </c>
      <c r="AD316" s="8">
        <v>11.66</v>
      </c>
      <c r="AE316" s="8">
        <v>10.29</v>
      </c>
      <c r="AF316" s="8">
        <v>9.56</v>
      </c>
      <c r="AG316" s="8">
        <v>10.14</v>
      </c>
      <c r="AH316" s="8">
        <v>9.85</v>
      </c>
      <c r="AI316" s="8">
        <v>10.220000000000001</v>
      </c>
      <c r="AJ316" s="8">
        <v>10.42</v>
      </c>
      <c r="AK316" s="8">
        <v>12.29</v>
      </c>
      <c r="AL316" s="8">
        <v>11.53</v>
      </c>
      <c r="AM316" s="8">
        <v>12.3</v>
      </c>
      <c r="AN316" s="8">
        <v>11.17</v>
      </c>
      <c r="AO316" s="8">
        <v>11.3</v>
      </c>
      <c r="AP316" s="8">
        <v>11.88</v>
      </c>
      <c r="AQ316" s="8">
        <v>11.43</v>
      </c>
      <c r="AR316" s="8">
        <v>11.17</v>
      </c>
      <c r="AS316" s="8">
        <v>9.5299999999999994</v>
      </c>
      <c r="AT316" s="8">
        <v>11.75</v>
      </c>
      <c r="AU316" s="6">
        <v>11.21</v>
      </c>
      <c r="AV316" s="6">
        <v>12.02</v>
      </c>
      <c r="AW316" s="6">
        <v>12.13</v>
      </c>
      <c r="AX316" s="6">
        <v>11.1</v>
      </c>
      <c r="AY316" s="6">
        <v>11.18</v>
      </c>
      <c r="AZ316" s="6">
        <v>11.85</v>
      </c>
      <c r="BA316" s="6">
        <v>11.47</v>
      </c>
      <c r="BB316" s="6">
        <v>11.56</v>
      </c>
      <c r="BC316" s="6">
        <v>14.01</v>
      </c>
      <c r="BD316" s="6">
        <v>11.06</v>
      </c>
      <c r="BE316" s="6">
        <v>12.32</v>
      </c>
      <c r="BF316" s="6">
        <v>11.03</v>
      </c>
      <c r="BG316" s="6">
        <v>9.56</v>
      </c>
      <c r="BH316" s="6">
        <v>10.72</v>
      </c>
      <c r="BI316" s="6">
        <v>9.5399999999999991</v>
      </c>
      <c r="BJ316" s="6">
        <v>11.66</v>
      </c>
      <c r="BK316" s="6">
        <v>12.38</v>
      </c>
      <c r="BL316" s="6">
        <v>9.6999999999999993</v>
      </c>
      <c r="BM316" s="6">
        <v>11.9</v>
      </c>
      <c r="BN316" s="6">
        <v>7.96</v>
      </c>
      <c r="BO316" s="6">
        <v>10.3</v>
      </c>
      <c r="BP316" s="6">
        <v>12.78</v>
      </c>
      <c r="BQ316" s="6">
        <v>11.7</v>
      </c>
      <c r="BR316" s="6">
        <v>9.3800000000000008</v>
      </c>
      <c r="BS316" s="6">
        <v>10.06</v>
      </c>
      <c r="BT316" s="6">
        <v>12.78</v>
      </c>
      <c r="BU316" s="6">
        <v>11.48</v>
      </c>
      <c r="BV316" s="6">
        <v>9.6199999999999992</v>
      </c>
      <c r="BW316" s="6">
        <v>11.32</v>
      </c>
      <c r="BX316" s="6">
        <v>12.3</v>
      </c>
      <c r="BY316" s="6">
        <v>11.06</v>
      </c>
      <c r="BZ316" s="6">
        <v>8.8800000000000008</v>
      </c>
      <c r="CA316" s="6">
        <v>10.18</v>
      </c>
      <c r="CB316" s="6">
        <v>11.46</v>
      </c>
      <c r="CC316" s="6">
        <v>11</v>
      </c>
      <c r="CD316" s="6">
        <v>10.54</v>
      </c>
      <c r="CE316" s="6">
        <v>11.98</v>
      </c>
      <c r="CF316" s="6">
        <v>9.14</v>
      </c>
      <c r="CG316" s="6">
        <v>11.06</v>
      </c>
      <c r="CH316" s="6">
        <v>11.58</v>
      </c>
      <c r="CI316" s="6">
        <v>11.4</v>
      </c>
      <c r="CJ316" s="11">
        <v>11.06</v>
      </c>
      <c r="CK316" s="6">
        <v>10.199999999999999</v>
      </c>
      <c r="CL316" s="6">
        <v>12.04</v>
      </c>
      <c r="CM316" s="6">
        <v>12.71</v>
      </c>
      <c r="CN316" s="6">
        <v>8.32</v>
      </c>
      <c r="CO316" s="10">
        <v>7.95</v>
      </c>
      <c r="CP316" s="10"/>
    </row>
    <row r="317" spans="1:94" ht="15.75" customHeight="1" x14ac:dyDescent="0.25">
      <c r="A317" s="4">
        <v>316</v>
      </c>
      <c r="B317" s="4"/>
      <c r="C317" s="4">
        <v>11</v>
      </c>
      <c r="D317" s="8">
        <v>10.63</v>
      </c>
      <c r="E317" s="8">
        <v>11.53</v>
      </c>
      <c r="F317" s="8">
        <v>9.08</v>
      </c>
      <c r="G317" s="8">
        <v>11.22</v>
      </c>
      <c r="H317" s="8">
        <v>9.2799999999999994</v>
      </c>
      <c r="I317" s="8">
        <v>10.210000000000001</v>
      </c>
      <c r="J317" s="8">
        <v>10.58</v>
      </c>
      <c r="K317" s="8">
        <v>10.6</v>
      </c>
      <c r="L317" s="8">
        <v>10.01</v>
      </c>
      <c r="M317" s="8">
        <v>10.07</v>
      </c>
      <c r="N317" s="8">
        <v>9.9600000000000009</v>
      </c>
      <c r="O317" s="8">
        <v>10.79</v>
      </c>
      <c r="P317" s="8">
        <v>11.52</v>
      </c>
      <c r="Q317" s="8">
        <v>10.35</v>
      </c>
      <c r="R317" s="8">
        <v>12.04</v>
      </c>
      <c r="S317" s="8">
        <v>9.66</v>
      </c>
      <c r="T317" s="8">
        <v>11.24</v>
      </c>
      <c r="U317" s="8">
        <v>11.05</v>
      </c>
      <c r="V317" s="8">
        <v>9.81</v>
      </c>
      <c r="W317" s="8">
        <v>13.27</v>
      </c>
      <c r="X317" s="8">
        <v>10.43</v>
      </c>
      <c r="Y317" s="8">
        <v>13.37</v>
      </c>
      <c r="Z317" s="8">
        <v>9.52</v>
      </c>
      <c r="AA317" s="8">
        <v>9.75</v>
      </c>
      <c r="AB317" s="8">
        <v>11.49</v>
      </c>
      <c r="AC317" s="8">
        <v>10.57</v>
      </c>
      <c r="AD317" s="8">
        <v>11.66</v>
      </c>
      <c r="AE317" s="8">
        <v>10.18</v>
      </c>
      <c r="AF317" s="8">
        <v>9.6</v>
      </c>
      <c r="AG317" s="8">
        <v>10</v>
      </c>
      <c r="AH317" s="8">
        <v>9.9499999999999993</v>
      </c>
      <c r="AI317" s="8">
        <v>10.08</v>
      </c>
      <c r="AJ317" s="8">
        <v>10.34</v>
      </c>
      <c r="AK317" s="8">
        <v>12.17</v>
      </c>
      <c r="AL317" s="8">
        <v>11.43</v>
      </c>
      <c r="AM317" s="8">
        <v>12.22</v>
      </c>
      <c r="AN317" s="8">
        <v>11.12</v>
      </c>
      <c r="AO317" s="8">
        <v>11.33</v>
      </c>
      <c r="AP317" s="8">
        <v>11.72</v>
      </c>
      <c r="AQ317" s="8">
        <v>11.26</v>
      </c>
      <c r="AR317" s="8">
        <v>11.1</v>
      </c>
      <c r="AS317" s="8">
        <v>9.3699999999999992</v>
      </c>
      <c r="AT317" s="8">
        <v>11.71</v>
      </c>
      <c r="AU317" s="6">
        <v>11.09</v>
      </c>
      <c r="AV317" s="6">
        <v>11.93</v>
      </c>
      <c r="AW317" s="6">
        <v>11.97</v>
      </c>
      <c r="AX317" s="6">
        <v>10.94</v>
      </c>
      <c r="AY317" s="6">
        <v>11.06</v>
      </c>
      <c r="AZ317" s="6">
        <v>11.81</v>
      </c>
      <c r="BA317" s="6">
        <v>11.38</v>
      </c>
      <c r="BB317" s="6">
        <v>11.42</v>
      </c>
      <c r="BC317" s="6">
        <v>14.02</v>
      </c>
      <c r="BD317" s="6">
        <v>11.02</v>
      </c>
      <c r="BE317" s="6">
        <v>12.31</v>
      </c>
      <c r="BF317" s="6">
        <v>10.97</v>
      </c>
      <c r="BG317" s="6">
        <v>9.5</v>
      </c>
      <c r="BH317" s="6">
        <v>10.6</v>
      </c>
      <c r="BI317" s="6">
        <v>9.42</v>
      </c>
      <c r="BJ317" s="6">
        <v>11.69</v>
      </c>
      <c r="BK317" s="6">
        <v>12.22</v>
      </c>
      <c r="BL317" s="6">
        <v>9.8000000000000007</v>
      </c>
      <c r="BM317" s="6">
        <v>11.78</v>
      </c>
      <c r="BN317" s="6">
        <v>7.86</v>
      </c>
      <c r="BO317" s="6">
        <v>10.3</v>
      </c>
      <c r="BP317" s="6">
        <v>12.74</v>
      </c>
      <c r="BQ317" s="1">
        <v>11.6</v>
      </c>
      <c r="BR317" s="1">
        <v>9.18</v>
      </c>
      <c r="BS317" s="6">
        <v>10.1</v>
      </c>
      <c r="BT317" s="6">
        <v>12.78</v>
      </c>
      <c r="BU317" s="6">
        <v>11.36</v>
      </c>
      <c r="BV317" s="6">
        <v>9.86</v>
      </c>
      <c r="BW317" s="6">
        <v>11.24</v>
      </c>
      <c r="BX317" s="6">
        <v>12.18</v>
      </c>
      <c r="BY317" s="6">
        <v>10.98</v>
      </c>
      <c r="BZ317" s="6">
        <v>8.76</v>
      </c>
      <c r="CA317" s="6">
        <v>10.08</v>
      </c>
      <c r="CB317" s="6">
        <v>11.36</v>
      </c>
      <c r="CC317" s="6">
        <v>10.9</v>
      </c>
      <c r="CD317" s="6">
        <v>10.52</v>
      </c>
      <c r="CE317" s="6">
        <v>11.92</v>
      </c>
      <c r="CF317" s="6">
        <v>9.1</v>
      </c>
      <c r="CG317" s="6">
        <v>11.06</v>
      </c>
      <c r="CH317" s="6">
        <v>11.54</v>
      </c>
      <c r="CI317" s="6">
        <v>11.28</v>
      </c>
      <c r="CJ317" s="11">
        <v>11</v>
      </c>
      <c r="CK317" s="6">
        <v>10.38</v>
      </c>
      <c r="CL317" s="6">
        <v>11.86</v>
      </c>
      <c r="CM317" s="6">
        <v>12.68</v>
      </c>
      <c r="CN317" s="6">
        <v>8.31</v>
      </c>
      <c r="CO317" s="10">
        <v>7.89</v>
      </c>
      <c r="CP317" s="10"/>
    </row>
    <row r="318" spans="1:94" ht="15.75" customHeight="1" x14ac:dyDescent="0.25">
      <c r="A318" s="4">
        <v>317</v>
      </c>
      <c r="B318" s="4"/>
      <c r="C318" s="4">
        <v>12</v>
      </c>
      <c r="D318" s="8">
        <v>10.58</v>
      </c>
      <c r="E318" s="8">
        <v>11.48</v>
      </c>
      <c r="F318" s="8">
        <v>8.9700000000000006</v>
      </c>
      <c r="G318" s="8">
        <v>11.23</v>
      </c>
      <c r="H318" s="8">
        <v>9.2200000000000006</v>
      </c>
      <c r="I318" s="8">
        <v>10.06</v>
      </c>
      <c r="J318" s="8">
        <v>10.43</v>
      </c>
      <c r="K318" s="8">
        <v>10.57</v>
      </c>
      <c r="L318" s="8">
        <v>9.93</v>
      </c>
      <c r="M318" s="8">
        <v>10</v>
      </c>
      <c r="N318" s="8">
        <v>9.81</v>
      </c>
      <c r="O318" s="8">
        <v>10.73</v>
      </c>
      <c r="P318" s="8">
        <v>11.4</v>
      </c>
      <c r="Q318" s="8">
        <v>10.4</v>
      </c>
      <c r="R318" s="8">
        <v>12.01</v>
      </c>
      <c r="S318" s="8">
        <v>9.56</v>
      </c>
      <c r="T318" s="8">
        <v>11.11</v>
      </c>
      <c r="U318" s="8">
        <v>10.95</v>
      </c>
      <c r="V318" s="8">
        <v>9.7100000000000009</v>
      </c>
      <c r="W318" s="8">
        <v>13.22</v>
      </c>
      <c r="X318" s="8">
        <v>10.39</v>
      </c>
      <c r="Y318" s="8">
        <v>13.33</v>
      </c>
      <c r="Z318" s="8">
        <v>9.4600000000000009</v>
      </c>
      <c r="AA318" s="8">
        <v>9.68</v>
      </c>
      <c r="AB318" s="8">
        <v>11.41</v>
      </c>
      <c r="AC318" s="8">
        <v>10.61</v>
      </c>
      <c r="AD318" s="8">
        <v>11.6</v>
      </c>
      <c r="AE318" s="8">
        <v>10.119999999999999</v>
      </c>
      <c r="AF318" s="8">
        <v>9.6</v>
      </c>
      <c r="AG318" s="8">
        <v>9.82</v>
      </c>
      <c r="AH318" s="8">
        <v>10.01</v>
      </c>
      <c r="AI318" s="8">
        <v>9.9600000000000009</v>
      </c>
      <c r="AJ318" s="8">
        <v>10.24</v>
      </c>
      <c r="AK318" s="8">
        <v>12.03</v>
      </c>
      <c r="AL318" s="8">
        <v>11.33</v>
      </c>
      <c r="AM318" s="8">
        <v>12.12</v>
      </c>
      <c r="AN318" s="8">
        <v>11.05</v>
      </c>
      <c r="AO318" s="8">
        <v>11.38</v>
      </c>
      <c r="AP318" s="8">
        <v>11.56</v>
      </c>
      <c r="AQ318" s="8">
        <v>11.1</v>
      </c>
      <c r="AR318" s="8">
        <v>11.03</v>
      </c>
      <c r="AS318" s="8">
        <v>9.24</v>
      </c>
      <c r="AT318" s="8">
        <v>11.65</v>
      </c>
      <c r="AU318" s="6">
        <v>10.98</v>
      </c>
      <c r="AV318" s="6">
        <v>11.86</v>
      </c>
      <c r="AW318" s="6">
        <v>11.85</v>
      </c>
      <c r="AX318" s="6">
        <v>10.8</v>
      </c>
      <c r="AY318" s="6">
        <v>10.93</v>
      </c>
      <c r="AZ318" s="6">
        <v>11.76</v>
      </c>
      <c r="BA318" s="6">
        <v>11.28</v>
      </c>
      <c r="BB318" s="6">
        <v>11.27</v>
      </c>
      <c r="BC318" s="6">
        <v>13.97</v>
      </c>
      <c r="BD318" s="6">
        <v>11.02</v>
      </c>
      <c r="BE318" s="6">
        <v>12.3</v>
      </c>
      <c r="BF318" s="6">
        <v>10.88</v>
      </c>
      <c r="BG318" s="6">
        <v>9.48</v>
      </c>
      <c r="BH318" s="6">
        <v>10.47</v>
      </c>
      <c r="BI318" s="6">
        <v>9.2799999999999994</v>
      </c>
      <c r="BJ318" s="6">
        <v>11.68</v>
      </c>
      <c r="BK318" s="6">
        <v>12.12</v>
      </c>
      <c r="BL318" s="6">
        <v>9.8000000000000007</v>
      </c>
      <c r="BM318" s="6">
        <v>11.67</v>
      </c>
      <c r="BN318" s="6">
        <v>7.8</v>
      </c>
      <c r="BO318" s="6">
        <v>10.28</v>
      </c>
      <c r="BP318" s="6">
        <v>12.46</v>
      </c>
      <c r="BQ318" s="6">
        <v>11.5</v>
      </c>
      <c r="BR318" s="6">
        <v>9.14</v>
      </c>
      <c r="BS318" s="6">
        <v>10.16</v>
      </c>
      <c r="BT318" s="6">
        <v>12.76</v>
      </c>
      <c r="BU318" s="6">
        <v>11.12</v>
      </c>
      <c r="BV318" s="6">
        <v>9.86</v>
      </c>
      <c r="BW318" s="6">
        <v>11.18</v>
      </c>
      <c r="BX318" s="6">
        <v>12.1</v>
      </c>
      <c r="BY318" s="6">
        <v>10.88</v>
      </c>
      <c r="BZ318" s="6">
        <v>8.58</v>
      </c>
      <c r="CA318" s="6">
        <v>9.9600000000000009</v>
      </c>
      <c r="CB318" s="6">
        <v>11.22</v>
      </c>
      <c r="CC318" s="6">
        <v>10.76</v>
      </c>
      <c r="CD318" s="6">
        <v>10.44</v>
      </c>
      <c r="CE318" s="6">
        <v>11.86</v>
      </c>
      <c r="CF318" s="6">
        <v>9.06</v>
      </c>
      <c r="CG318" s="6">
        <v>11</v>
      </c>
      <c r="CH318" s="6">
        <v>11.44</v>
      </c>
      <c r="CI318" s="6">
        <v>11.2</v>
      </c>
      <c r="CJ318" s="11">
        <v>10.96</v>
      </c>
      <c r="CK318" s="6">
        <v>10.44</v>
      </c>
      <c r="CL318" s="6">
        <v>11.82</v>
      </c>
      <c r="CM318" s="6">
        <v>12.68</v>
      </c>
      <c r="CN318" s="6">
        <v>8.2799999999999994</v>
      </c>
      <c r="CO318" s="10">
        <v>7.8</v>
      </c>
      <c r="CP318" s="10"/>
    </row>
    <row r="319" spans="1:94" ht="15.75" customHeight="1" x14ac:dyDescent="0.25">
      <c r="A319" s="4">
        <v>318</v>
      </c>
      <c r="B319" s="4"/>
      <c r="C319" s="4">
        <v>13</v>
      </c>
      <c r="D319" s="8">
        <v>10.53</v>
      </c>
      <c r="E319" s="8">
        <v>11.43</v>
      </c>
      <c r="F319" s="8">
        <v>8.93</v>
      </c>
      <c r="G319" s="8">
        <v>11.28</v>
      </c>
      <c r="H319" s="8">
        <v>9.1300000000000008</v>
      </c>
      <c r="I319" s="8">
        <v>9.89</v>
      </c>
      <c r="J319" s="8">
        <v>10.28</v>
      </c>
      <c r="K319" s="8">
        <v>10.53</v>
      </c>
      <c r="L319" s="8">
        <v>9.83</v>
      </c>
      <c r="M319" s="8">
        <v>9.9499999999999993</v>
      </c>
      <c r="N319" s="8">
        <v>9.68</v>
      </c>
      <c r="O319" s="8">
        <v>10.65</v>
      </c>
      <c r="P319" s="8">
        <v>11.27</v>
      </c>
      <c r="Q319" s="8">
        <v>10.43</v>
      </c>
      <c r="R319" s="8">
        <v>11.98</v>
      </c>
      <c r="S319" s="8">
        <v>9.51</v>
      </c>
      <c r="T319" s="8">
        <v>10.98</v>
      </c>
      <c r="U319" s="8">
        <v>10.85</v>
      </c>
      <c r="V319" s="8">
        <v>9.6300000000000008</v>
      </c>
      <c r="W319" s="8">
        <v>13.18</v>
      </c>
      <c r="X319" s="8">
        <v>10.33</v>
      </c>
      <c r="Y319" s="8">
        <v>13.27</v>
      </c>
      <c r="Z319" s="8">
        <v>9.41</v>
      </c>
      <c r="AA319" s="8">
        <v>9.58</v>
      </c>
      <c r="AB319" s="8">
        <v>11.35</v>
      </c>
      <c r="AC319" s="8">
        <v>10.63</v>
      </c>
      <c r="AD319" s="8">
        <v>11.54</v>
      </c>
      <c r="AE319" s="8">
        <v>10.08</v>
      </c>
      <c r="AF319" s="8">
        <v>9.56</v>
      </c>
      <c r="AG319" s="8">
        <v>9.64</v>
      </c>
      <c r="AH319" s="8">
        <v>10.01</v>
      </c>
      <c r="AI319" s="8">
        <v>9.89</v>
      </c>
      <c r="AJ319" s="8">
        <v>10.119999999999999</v>
      </c>
      <c r="AK319" s="8">
        <v>11.89</v>
      </c>
      <c r="AL319" s="8">
        <v>11.21</v>
      </c>
      <c r="AM319" s="8">
        <v>12.03</v>
      </c>
      <c r="AN319" s="8">
        <v>10.99</v>
      </c>
      <c r="AO319" s="8">
        <v>11.36</v>
      </c>
      <c r="AP319" s="8">
        <v>11.41</v>
      </c>
      <c r="AQ319" s="8">
        <v>11</v>
      </c>
      <c r="AR319" s="8">
        <v>10.95</v>
      </c>
      <c r="AS319" s="8">
        <v>9.1</v>
      </c>
      <c r="AT319" s="8">
        <v>11.63</v>
      </c>
      <c r="AU319" s="6">
        <v>10.93</v>
      </c>
      <c r="AV319" s="6">
        <v>11.82</v>
      </c>
      <c r="AW319" s="6">
        <v>11.76</v>
      </c>
      <c r="AX319" s="6">
        <v>10.67</v>
      </c>
      <c r="AY319" s="6">
        <v>10.78</v>
      </c>
      <c r="AZ319" s="6">
        <v>11.68</v>
      </c>
      <c r="BA319" s="6">
        <v>11.18</v>
      </c>
      <c r="BB319" s="6">
        <v>11.14</v>
      </c>
      <c r="BC319" s="6">
        <v>13.92</v>
      </c>
      <c r="BD319" s="6">
        <v>10.82</v>
      </c>
      <c r="BE319" s="6">
        <v>12.28</v>
      </c>
      <c r="BF319" s="6">
        <v>10.77</v>
      </c>
      <c r="BG319" s="6">
        <v>9.48</v>
      </c>
      <c r="BH319" s="6">
        <v>10.34</v>
      </c>
      <c r="BI319" s="6">
        <v>9.1199999999999992</v>
      </c>
      <c r="BJ319" s="6">
        <v>11.7</v>
      </c>
      <c r="BK319" s="6">
        <v>12.08</v>
      </c>
      <c r="BL319" s="6">
        <v>9.7899999999999991</v>
      </c>
      <c r="BM319" s="6">
        <v>11.56</v>
      </c>
      <c r="BN319" s="6">
        <v>7.76</v>
      </c>
      <c r="BO319" s="6">
        <v>10.220000000000001</v>
      </c>
      <c r="BP319" s="6">
        <v>12.2</v>
      </c>
      <c r="BQ319" s="6">
        <v>11.46</v>
      </c>
      <c r="BR319" s="6">
        <v>9.18</v>
      </c>
      <c r="BS319" s="6">
        <v>10.18</v>
      </c>
      <c r="BT319" s="6">
        <v>12.74</v>
      </c>
      <c r="BU319" s="6">
        <v>11.02</v>
      </c>
      <c r="BV319" s="6">
        <v>9.9</v>
      </c>
      <c r="BW319" s="6">
        <v>11.12</v>
      </c>
      <c r="BX319" s="6">
        <v>11.94</v>
      </c>
      <c r="BY319" s="6">
        <v>10.88</v>
      </c>
      <c r="BZ319" s="6">
        <v>8.35</v>
      </c>
      <c r="CA319" s="6">
        <v>9.84</v>
      </c>
      <c r="CB319" s="6">
        <v>11.14</v>
      </c>
      <c r="CC319" s="6">
        <v>10.66</v>
      </c>
      <c r="CD319" s="6">
        <v>10.5</v>
      </c>
      <c r="CE319" s="6">
        <v>11.74</v>
      </c>
      <c r="CF319" s="6">
        <v>9</v>
      </c>
      <c r="CG319" s="6">
        <v>10.9</v>
      </c>
      <c r="CH319" s="6">
        <v>11.34</v>
      </c>
      <c r="CI319" s="6">
        <v>11.1</v>
      </c>
      <c r="CJ319" s="11">
        <v>10.8</v>
      </c>
      <c r="CK319" s="6">
        <v>10.46</v>
      </c>
      <c r="CL319" s="6">
        <v>11.74</v>
      </c>
      <c r="CM319" s="6">
        <v>12.73</v>
      </c>
      <c r="CN319" s="6">
        <v>8.24</v>
      </c>
      <c r="CO319" s="10">
        <v>7.77</v>
      </c>
      <c r="CP319" s="10"/>
    </row>
    <row r="320" spans="1:94" ht="15.75" customHeight="1" x14ac:dyDescent="0.25">
      <c r="A320" s="4">
        <v>319</v>
      </c>
      <c r="B320" s="4"/>
      <c r="C320" s="4">
        <v>14</v>
      </c>
      <c r="D320" s="8">
        <v>10.43</v>
      </c>
      <c r="E320" s="8">
        <v>11.33</v>
      </c>
      <c r="F320" s="8">
        <v>8.89</v>
      </c>
      <c r="G320" s="8">
        <v>11.33</v>
      </c>
      <c r="H320" s="8">
        <v>9.08</v>
      </c>
      <c r="I320" s="8">
        <v>9.7200000000000006</v>
      </c>
      <c r="J320" s="8">
        <v>10.17</v>
      </c>
      <c r="K320" s="8">
        <v>10.45</v>
      </c>
      <c r="L320" s="8">
        <v>9.7200000000000006</v>
      </c>
      <c r="M320" s="8">
        <v>9.93</v>
      </c>
      <c r="N320" s="8">
        <v>9.5399999999999991</v>
      </c>
      <c r="O320" s="8">
        <v>10.54</v>
      </c>
      <c r="P320" s="8">
        <v>11.11</v>
      </c>
      <c r="Q320" s="8">
        <v>10.5</v>
      </c>
      <c r="R320" s="8">
        <v>11.96</v>
      </c>
      <c r="S320" s="8">
        <v>9.4600000000000009</v>
      </c>
      <c r="T320" s="8">
        <v>10.83</v>
      </c>
      <c r="U320" s="8">
        <v>10.75</v>
      </c>
      <c r="V320" s="8">
        <v>9.6</v>
      </c>
      <c r="W320" s="8">
        <v>13.13</v>
      </c>
      <c r="X320" s="8">
        <v>10.25</v>
      </c>
      <c r="Y320" s="8">
        <v>13.18</v>
      </c>
      <c r="Z320" s="8">
        <v>9.3699999999999992</v>
      </c>
      <c r="AA320" s="8">
        <v>9.49</v>
      </c>
      <c r="AB320" s="8">
        <v>11.33</v>
      </c>
      <c r="AC320" s="8">
        <v>10.65</v>
      </c>
      <c r="AD320" s="8">
        <v>11.47</v>
      </c>
      <c r="AE320" s="8">
        <v>10.09</v>
      </c>
      <c r="AF320" s="8">
        <v>9.49</v>
      </c>
      <c r="AG320" s="8">
        <v>9.43</v>
      </c>
      <c r="AH320" s="8">
        <v>9.98</v>
      </c>
      <c r="AI320" s="8">
        <v>9.8000000000000007</v>
      </c>
      <c r="AJ320" s="8">
        <v>9.9700000000000006</v>
      </c>
      <c r="AK320" s="8">
        <v>11.76</v>
      </c>
      <c r="AL320" s="8">
        <v>11.07</v>
      </c>
      <c r="AM320" s="8">
        <v>12</v>
      </c>
      <c r="AN320" s="8">
        <v>10.94</v>
      </c>
      <c r="AO320" s="8">
        <v>11.34</v>
      </c>
      <c r="AP320" s="8">
        <v>11.29</v>
      </c>
      <c r="AQ320" s="8">
        <v>10.91</v>
      </c>
      <c r="AR320" s="8">
        <v>10.85</v>
      </c>
      <c r="AS320" s="8">
        <v>9.0299999999999994</v>
      </c>
      <c r="AT320" s="8">
        <v>11.59</v>
      </c>
      <c r="AU320" s="6">
        <v>10.85</v>
      </c>
      <c r="AV320" s="6">
        <v>11.81</v>
      </c>
      <c r="AW320" s="6">
        <v>11.68</v>
      </c>
      <c r="AX320" s="6">
        <v>10.55</v>
      </c>
      <c r="AY320" s="6">
        <v>10.64</v>
      </c>
      <c r="AZ320" s="6">
        <v>11.57</v>
      </c>
      <c r="BA320" s="6">
        <v>11.06</v>
      </c>
      <c r="BB320" s="6">
        <v>11.02</v>
      </c>
      <c r="BC320" s="6">
        <v>13.85</v>
      </c>
      <c r="BD320" s="6">
        <v>10.78</v>
      </c>
      <c r="BE320" s="6">
        <v>12.25</v>
      </c>
      <c r="BF320" s="6">
        <v>10.68</v>
      </c>
      <c r="BG320" s="6">
        <v>9.4700000000000006</v>
      </c>
      <c r="BH320" s="6">
        <v>10.220000000000001</v>
      </c>
      <c r="BI320" s="6">
        <v>9</v>
      </c>
      <c r="BJ320" s="6">
        <v>11.75</v>
      </c>
      <c r="BK320" s="6">
        <v>11.8</v>
      </c>
      <c r="BL320" s="6">
        <v>9.75</v>
      </c>
      <c r="BM320" s="6">
        <v>11.45</v>
      </c>
      <c r="BN320" s="6">
        <v>7.7</v>
      </c>
      <c r="BO320" s="6">
        <v>10.16</v>
      </c>
      <c r="BP320" s="6">
        <v>11.99</v>
      </c>
      <c r="BQ320" s="6">
        <v>11.46</v>
      </c>
      <c r="BR320" s="6">
        <v>9.08</v>
      </c>
      <c r="BS320" s="6">
        <v>10.16</v>
      </c>
      <c r="BT320" s="6">
        <v>12.72</v>
      </c>
      <c r="BU320" s="6">
        <v>10.9</v>
      </c>
      <c r="BV320" s="6">
        <v>10.1</v>
      </c>
      <c r="BW320" s="6">
        <v>10.9</v>
      </c>
      <c r="BX320" s="6">
        <v>11.82</v>
      </c>
      <c r="BY320" s="6">
        <v>10.82</v>
      </c>
      <c r="BZ320" s="6">
        <v>8.15</v>
      </c>
      <c r="CA320" s="6">
        <v>9.8000000000000007</v>
      </c>
      <c r="CB320" s="6">
        <v>11.04</v>
      </c>
      <c r="CC320" s="6">
        <v>10.58</v>
      </c>
      <c r="CD320" s="6">
        <v>10.46</v>
      </c>
      <c r="CE320" s="6">
        <v>11.7</v>
      </c>
      <c r="CF320" s="6">
        <v>8.9</v>
      </c>
      <c r="CG320" s="6">
        <v>10.82</v>
      </c>
      <c r="CH320" s="6">
        <v>11.32</v>
      </c>
      <c r="CI320" s="6">
        <v>10.98</v>
      </c>
      <c r="CJ320" s="11">
        <v>10.72</v>
      </c>
      <c r="CK320" s="6">
        <v>10.44</v>
      </c>
      <c r="CL320" s="6">
        <v>11.62</v>
      </c>
      <c r="CM320" s="6">
        <v>12.75</v>
      </c>
      <c r="CN320" s="6">
        <v>8.19</v>
      </c>
      <c r="CO320" s="10">
        <v>7.75</v>
      </c>
      <c r="CP320" s="10"/>
    </row>
    <row r="321" spans="1:94" ht="15.75" customHeight="1" x14ac:dyDescent="0.25">
      <c r="A321" s="4">
        <v>320</v>
      </c>
      <c r="B321" s="4"/>
      <c r="C321" s="4">
        <v>15</v>
      </c>
      <c r="D321" s="8">
        <v>10.38</v>
      </c>
      <c r="E321" s="8">
        <v>11.23</v>
      </c>
      <c r="F321" s="8">
        <v>8.85</v>
      </c>
      <c r="G321" s="8">
        <v>11.38</v>
      </c>
      <c r="H321" s="8">
        <v>8.9700000000000006</v>
      </c>
      <c r="I321" s="8">
        <v>9.49</v>
      </c>
      <c r="J321" s="8">
        <v>10.08</v>
      </c>
      <c r="K321" s="8">
        <v>10.37</v>
      </c>
      <c r="L321" s="8">
        <v>9.6</v>
      </c>
      <c r="M321" s="8">
        <v>9.92</v>
      </c>
      <c r="N321" s="8">
        <v>9.43</v>
      </c>
      <c r="O321" s="8">
        <v>10.32</v>
      </c>
      <c r="P321" s="8">
        <v>10.98</v>
      </c>
      <c r="Q321" s="8">
        <v>10.4</v>
      </c>
      <c r="R321" s="8">
        <v>11.91</v>
      </c>
      <c r="S321" s="8">
        <v>9.31</v>
      </c>
      <c r="T321" s="8">
        <v>10.68</v>
      </c>
      <c r="U321" s="8">
        <v>10.62</v>
      </c>
      <c r="V321" s="8">
        <v>9.57</v>
      </c>
      <c r="W321" s="8">
        <v>13.08</v>
      </c>
      <c r="X321" s="8">
        <v>10.17</v>
      </c>
      <c r="Y321" s="8">
        <v>13.09</v>
      </c>
      <c r="Z321" s="8">
        <v>9.35</v>
      </c>
      <c r="AA321" s="8">
        <v>9.3699999999999992</v>
      </c>
      <c r="AB321" s="8">
        <v>11.33</v>
      </c>
      <c r="AC321" s="8">
        <v>10.63</v>
      </c>
      <c r="AD321" s="8">
        <v>11.37</v>
      </c>
      <c r="AE321" s="8">
        <v>10.029999999999999</v>
      </c>
      <c r="AF321" s="8">
        <v>9.39</v>
      </c>
      <c r="AG321" s="8">
        <v>9.32</v>
      </c>
      <c r="AH321" s="8">
        <v>9.9499999999999993</v>
      </c>
      <c r="AI321" s="8">
        <v>9.7200000000000006</v>
      </c>
      <c r="AJ321" s="8">
        <v>9.82</v>
      </c>
      <c r="AK321" s="8">
        <v>11.62</v>
      </c>
      <c r="AL321" s="8">
        <v>10.9</v>
      </c>
      <c r="AM321" s="8">
        <v>11.91</v>
      </c>
      <c r="AN321" s="8">
        <v>10.9</v>
      </c>
      <c r="AO321" s="8">
        <v>11.32</v>
      </c>
      <c r="AP321" s="8">
        <v>11.19</v>
      </c>
      <c r="AQ321" s="8">
        <v>10.77</v>
      </c>
      <c r="AR321" s="8">
        <v>10.71</v>
      </c>
      <c r="AS321" s="8">
        <v>8.9499999999999993</v>
      </c>
      <c r="AT321" s="8">
        <v>11.53</v>
      </c>
      <c r="AU321" s="6">
        <v>10.76</v>
      </c>
      <c r="AV321" s="6">
        <v>11.8</v>
      </c>
      <c r="AW321" s="6">
        <v>11.6</v>
      </c>
      <c r="AX321" s="6">
        <v>10.43</v>
      </c>
      <c r="AY321" s="6">
        <v>10.48</v>
      </c>
      <c r="AZ321" s="6">
        <v>11.46</v>
      </c>
      <c r="BA321" s="6">
        <v>10.96</v>
      </c>
      <c r="BB321" s="6">
        <v>10.92</v>
      </c>
      <c r="BC321" s="6">
        <v>13.81</v>
      </c>
      <c r="BD321" s="6">
        <v>10.62</v>
      </c>
      <c r="BE321" s="6">
        <v>12.18</v>
      </c>
      <c r="BF321" s="6">
        <v>10.61</v>
      </c>
      <c r="BG321" s="6">
        <v>9.4600000000000009</v>
      </c>
      <c r="BH321" s="6">
        <v>10.09</v>
      </c>
      <c r="BI321" s="6">
        <v>8.8800000000000008</v>
      </c>
      <c r="BJ321" s="6">
        <v>11.8</v>
      </c>
      <c r="BK321" s="6">
        <v>11.74</v>
      </c>
      <c r="BL321" s="6">
        <v>9.84</v>
      </c>
      <c r="BM321" s="6">
        <v>11.44</v>
      </c>
      <c r="BN321" s="6">
        <v>7.68</v>
      </c>
      <c r="BO321" s="6">
        <v>10.119999999999999</v>
      </c>
      <c r="BP321" s="6">
        <v>11.8</v>
      </c>
      <c r="BQ321" s="6">
        <v>11.38</v>
      </c>
      <c r="BR321" s="6">
        <v>9.1999999999999993</v>
      </c>
      <c r="BS321" s="6">
        <v>10.18</v>
      </c>
      <c r="BT321" s="6">
        <v>12.7</v>
      </c>
      <c r="BU321" s="6">
        <v>10.82</v>
      </c>
      <c r="BV321" s="6">
        <v>10.26</v>
      </c>
      <c r="BW321" s="6">
        <v>10.8</v>
      </c>
      <c r="BX321" s="6">
        <v>11.7</v>
      </c>
      <c r="BY321" s="6">
        <v>10.82</v>
      </c>
      <c r="BZ321" s="6">
        <v>8</v>
      </c>
      <c r="CA321" s="6">
        <v>9.76</v>
      </c>
      <c r="CB321" s="6">
        <v>10.96</v>
      </c>
      <c r="CC321" s="6">
        <v>10.46</v>
      </c>
      <c r="CD321" s="6">
        <v>10.42</v>
      </c>
      <c r="CE321" s="6">
        <v>11.6</v>
      </c>
      <c r="CF321" s="6">
        <v>8.8800000000000008</v>
      </c>
      <c r="CG321" s="6">
        <v>10.74</v>
      </c>
      <c r="CH321" s="6">
        <v>11.2</v>
      </c>
      <c r="CI321" s="6">
        <v>10.84</v>
      </c>
      <c r="CJ321" s="11">
        <v>10.64</v>
      </c>
      <c r="CK321" s="6">
        <v>10.44</v>
      </c>
      <c r="CL321" s="6">
        <v>11.5</v>
      </c>
      <c r="CM321" s="6">
        <v>12.73</v>
      </c>
      <c r="CN321" s="6">
        <v>8.19</v>
      </c>
      <c r="CO321" s="10">
        <v>7.78</v>
      </c>
      <c r="CP321" s="10"/>
    </row>
    <row r="322" spans="1:94" ht="15.75" customHeight="1" x14ac:dyDescent="0.25">
      <c r="A322" s="4">
        <v>321</v>
      </c>
      <c r="B322" s="4"/>
      <c r="C322" s="4">
        <v>16</v>
      </c>
      <c r="D322" s="8">
        <v>10.34</v>
      </c>
      <c r="E322" s="8">
        <v>11.13</v>
      </c>
      <c r="F322" s="8">
        <v>8.82</v>
      </c>
      <c r="G322" s="8">
        <v>11.42</v>
      </c>
      <c r="H322" s="8">
        <v>8.93</v>
      </c>
      <c r="I322" s="8">
        <v>9.25</v>
      </c>
      <c r="J322" s="8">
        <v>9.93</v>
      </c>
      <c r="K322" s="8">
        <v>10.29</v>
      </c>
      <c r="L322" s="8">
        <v>9.49</v>
      </c>
      <c r="M322" s="8">
        <v>9.9499999999999993</v>
      </c>
      <c r="N322" s="8">
        <v>9.25</v>
      </c>
      <c r="O322" s="8">
        <v>10.27</v>
      </c>
      <c r="P322" s="8">
        <v>10.84</v>
      </c>
      <c r="Q322" s="8">
        <v>10.32</v>
      </c>
      <c r="R322" s="8">
        <v>11.9</v>
      </c>
      <c r="S322" s="8">
        <v>9.2100000000000009</v>
      </c>
      <c r="T322" s="8">
        <v>10.58</v>
      </c>
      <c r="U322" s="8">
        <v>10.56</v>
      </c>
      <c r="V322" s="8">
        <v>9.5399999999999991</v>
      </c>
      <c r="W322" s="8">
        <v>13.04</v>
      </c>
      <c r="X322" s="8">
        <v>10.08</v>
      </c>
      <c r="Y322" s="8">
        <v>13.01</v>
      </c>
      <c r="Z322" s="8">
        <v>9.33</v>
      </c>
      <c r="AA322" s="8">
        <v>9.2899999999999991</v>
      </c>
      <c r="AB322" s="8">
        <v>11.23</v>
      </c>
      <c r="AC322" s="8">
        <v>10.61</v>
      </c>
      <c r="AD322" s="8">
        <v>11.27</v>
      </c>
      <c r="AE322" s="8">
        <v>9.9700000000000006</v>
      </c>
      <c r="AF322" s="8">
        <v>9.2899999999999991</v>
      </c>
      <c r="AG322" s="8">
        <v>9.16</v>
      </c>
      <c r="AH322" s="8">
        <v>10.07</v>
      </c>
      <c r="AI322" s="8">
        <v>9.66</v>
      </c>
      <c r="AJ322" s="8">
        <v>9.64</v>
      </c>
      <c r="AK322" s="8">
        <v>11.48</v>
      </c>
      <c r="AL322" s="8">
        <v>10.73</v>
      </c>
      <c r="AM322" s="8">
        <v>11.78</v>
      </c>
      <c r="AN322" s="8">
        <v>10.82</v>
      </c>
      <c r="AO322" s="8">
        <v>11.26</v>
      </c>
      <c r="AP322" s="8">
        <v>11.13</v>
      </c>
      <c r="AQ322" s="8">
        <v>10.61</v>
      </c>
      <c r="AR322" s="8">
        <v>10.57</v>
      </c>
      <c r="AS322" s="8">
        <v>8.89</v>
      </c>
      <c r="AT322" s="8">
        <v>11.49</v>
      </c>
      <c r="AU322" s="6">
        <v>10.63</v>
      </c>
      <c r="AV322" s="6">
        <v>11.77</v>
      </c>
      <c r="AW322" s="6">
        <v>11.56</v>
      </c>
      <c r="AX322" s="6">
        <v>10.31</v>
      </c>
      <c r="AY322" s="6">
        <v>10.35</v>
      </c>
      <c r="AZ322" s="6">
        <v>11.32</v>
      </c>
      <c r="BA322" s="6">
        <v>10.85</v>
      </c>
      <c r="BB322" s="6">
        <v>10.82</v>
      </c>
      <c r="BC322" s="6">
        <v>13.77</v>
      </c>
      <c r="BD322" s="6">
        <v>10.54</v>
      </c>
      <c r="BE322" s="6">
        <v>12.14</v>
      </c>
      <c r="BF322" s="6">
        <v>10.52</v>
      </c>
      <c r="BG322" s="6">
        <v>9.43</v>
      </c>
      <c r="BH322" s="6">
        <v>9.98</v>
      </c>
      <c r="BI322" s="6">
        <v>8.8000000000000007</v>
      </c>
      <c r="BJ322" s="6">
        <v>11.82</v>
      </c>
      <c r="BK322" s="6">
        <v>11.66</v>
      </c>
      <c r="BL322" s="6">
        <v>9.98</v>
      </c>
      <c r="BM322" s="6">
        <v>11.26</v>
      </c>
      <c r="BN322" s="6">
        <v>7.64</v>
      </c>
      <c r="BO322" s="6">
        <v>10.1</v>
      </c>
      <c r="BP322" s="6">
        <v>11.64</v>
      </c>
      <c r="BQ322" s="6">
        <v>11.38</v>
      </c>
      <c r="BR322" s="6">
        <v>9.3000000000000007</v>
      </c>
      <c r="BS322" s="6">
        <v>10.16</v>
      </c>
      <c r="BT322" s="6">
        <v>12.66</v>
      </c>
      <c r="BU322" s="6">
        <v>10.78</v>
      </c>
      <c r="BV322" s="6">
        <v>10.4</v>
      </c>
      <c r="BW322" s="6">
        <v>10.72</v>
      </c>
      <c r="BX322" s="6">
        <v>11.58</v>
      </c>
      <c r="BY322" s="6">
        <v>10.8</v>
      </c>
      <c r="BZ322" s="6">
        <v>7.9</v>
      </c>
      <c r="CA322" s="6">
        <v>9.6999999999999993</v>
      </c>
      <c r="CB322" s="6">
        <v>10.96</v>
      </c>
      <c r="CC322" s="6">
        <v>10.36</v>
      </c>
      <c r="CD322" s="6">
        <v>10.3</v>
      </c>
      <c r="CE322" s="6">
        <v>11.6</v>
      </c>
      <c r="CF322" s="6">
        <v>8.84</v>
      </c>
      <c r="CG322" s="6">
        <v>10.68</v>
      </c>
      <c r="CH322" s="6">
        <v>11.14</v>
      </c>
      <c r="CI322" s="6">
        <v>10.7</v>
      </c>
      <c r="CJ322" s="11">
        <v>10.56</v>
      </c>
      <c r="CK322" s="6">
        <v>10.46</v>
      </c>
      <c r="CL322" s="6">
        <v>11.35</v>
      </c>
      <c r="CM322" s="6">
        <v>12.68</v>
      </c>
      <c r="CN322" s="6">
        <v>8.2100000000000009</v>
      </c>
      <c r="CO322" s="10">
        <v>7.79</v>
      </c>
      <c r="CP322" s="10"/>
    </row>
    <row r="323" spans="1:94" ht="15.75" customHeight="1" x14ac:dyDescent="0.25">
      <c r="A323" s="4">
        <v>322</v>
      </c>
      <c r="B323" s="4"/>
      <c r="C323" s="4">
        <v>17</v>
      </c>
      <c r="D323" s="8">
        <v>10.3</v>
      </c>
      <c r="E323" s="8">
        <v>11.08</v>
      </c>
      <c r="F323" s="8">
        <v>8.76</v>
      </c>
      <c r="G323" s="8">
        <v>11.46</v>
      </c>
      <c r="H323" s="8">
        <v>8.89</v>
      </c>
      <c r="I323" s="8">
        <v>8.9700000000000006</v>
      </c>
      <c r="J323" s="8">
        <v>9.68</v>
      </c>
      <c r="K323" s="8">
        <v>10.220000000000001</v>
      </c>
      <c r="L323" s="8">
        <v>9.2899999999999991</v>
      </c>
      <c r="M323" s="8">
        <v>10.02</v>
      </c>
      <c r="N323" s="8">
        <v>9.1</v>
      </c>
      <c r="O323" s="8">
        <v>10.130000000000001</v>
      </c>
      <c r="P323" s="8">
        <v>10.72</v>
      </c>
      <c r="Q323" s="8">
        <v>10.29</v>
      </c>
      <c r="R323" s="8">
        <v>11.87</v>
      </c>
      <c r="S323" s="8">
        <v>9.1</v>
      </c>
      <c r="T323" s="8">
        <v>10.43</v>
      </c>
      <c r="U323" s="8">
        <v>10.48</v>
      </c>
      <c r="V323" s="8">
        <v>9.51</v>
      </c>
      <c r="W323" s="8">
        <v>13</v>
      </c>
      <c r="X323" s="8">
        <v>10.029999999999999</v>
      </c>
      <c r="Y323" s="8">
        <v>12.91</v>
      </c>
      <c r="Z323" s="8">
        <v>9.33</v>
      </c>
      <c r="AA323" s="8">
        <v>9.25</v>
      </c>
      <c r="AB323" s="8">
        <v>11.13</v>
      </c>
      <c r="AC323" s="8">
        <v>10.61</v>
      </c>
      <c r="AD323" s="8">
        <v>11.25</v>
      </c>
      <c r="AE323" s="8">
        <v>9.92</v>
      </c>
      <c r="AF323" s="8">
        <v>9.2200000000000006</v>
      </c>
      <c r="AG323" s="8">
        <v>9.06</v>
      </c>
      <c r="AH323" s="8">
        <v>10.130000000000001</v>
      </c>
      <c r="AI323" s="8">
        <v>9.6300000000000008</v>
      </c>
      <c r="AJ323" s="8">
        <v>9.49</v>
      </c>
      <c r="AK323" s="8">
        <v>11.32</v>
      </c>
      <c r="AL323" s="8">
        <v>10.55</v>
      </c>
      <c r="AM323" s="8">
        <v>11.64</v>
      </c>
      <c r="AN323" s="8">
        <v>10.79</v>
      </c>
      <c r="AO323" s="8">
        <v>11.18</v>
      </c>
      <c r="AP323" s="8">
        <v>11.1</v>
      </c>
      <c r="AQ323" s="8">
        <v>10.45</v>
      </c>
      <c r="AR323" s="8">
        <v>10.42</v>
      </c>
      <c r="AS323" s="8">
        <v>8.7799999999999994</v>
      </c>
      <c r="AT323" s="8">
        <v>11.42</v>
      </c>
      <c r="AU323" s="6">
        <v>10.5</v>
      </c>
      <c r="AV323" s="6">
        <v>11.68</v>
      </c>
      <c r="AW323" s="6">
        <v>11.52</v>
      </c>
      <c r="AX323" s="6">
        <v>10.25</v>
      </c>
      <c r="AY323" s="6">
        <v>10.220000000000001</v>
      </c>
      <c r="AZ323" s="6">
        <v>11.15</v>
      </c>
      <c r="BA323" s="6">
        <v>10.77</v>
      </c>
      <c r="BB323" s="6">
        <v>10.72</v>
      </c>
      <c r="BC323" s="6">
        <v>13.73</v>
      </c>
      <c r="BD323" s="6">
        <v>10.46</v>
      </c>
      <c r="BE323" s="6">
        <v>12.14</v>
      </c>
      <c r="BF323" s="6">
        <v>10.43</v>
      </c>
      <c r="BG323" s="6">
        <v>9.39</v>
      </c>
      <c r="BH323" s="6">
        <v>9.9</v>
      </c>
      <c r="BI323" s="6">
        <v>8.7200000000000006</v>
      </c>
      <c r="BJ323" s="6">
        <v>11.9</v>
      </c>
      <c r="BK323" s="6">
        <v>11.56</v>
      </c>
      <c r="BL323" s="6">
        <v>10</v>
      </c>
      <c r="BM323" s="6">
        <v>11.2</v>
      </c>
      <c r="BN323" s="6">
        <v>7.62</v>
      </c>
      <c r="BO323" s="6">
        <v>10.119999999999999</v>
      </c>
      <c r="BP323" s="6">
        <v>11.52</v>
      </c>
      <c r="BQ323" s="6">
        <v>10.82</v>
      </c>
      <c r="BR323" s="6">
        <v>9.3000000000000007</v>
      </c>
      <c r="BS323" s="6">
        <v>10.18</v>
      </c>
      <c r="BT323" s="6">
        <v>12.6</v>
      </c>
      <c r="BU323" s="6">
        <v>10.8</v>
      </c>
      <c r="BV323" s="6">
        <v>10.48</v>
      </c>
      <c r="BW323" s="6">
        <v>10.66</v>
      </c>
      <c r="BX323" s="6">
        <v>11.4</v>
      </c>
      <c r="BY323" s="6">
        <v>10.8</v>
      </c>
      <c r="BZ323" s="6">
        <v>7.9</v>
      </c>
      <c r="CA323" s="6">
        <v>9.85</v>
      </c>
      <c r="CB323" s="6">
        <v>10.9</v>
      </c>
      <c r="CC323" s="6">
        <v>10.26</v>
      </c>
      <c r="CD323" s="6">
        <v>10.199999999999999</v>
      </c>
      <c r="CE323" s="6">
        <v>11.5</v>
      </c>
      <c r="CF323" s="6">
        <v>9.1999999999999993</v>
      </c>
      <c r="CG323" s="6">
        <v>10.6</v>
      </c>
      <c r="CH323" s="6">
        <v>11.1</v>
      </c>
      <c r="CI323" s="6">
        <v>10.6</v>
      </c>
      <c r="CJ323" s="11">
        <v>10.5</v>
      </c>
      <c r="CK323" s="6">
        <v>10.48</v>
      </c>
      <c r="CL323" s="6">
        <v>11.18</v>
      </c>
      <c r="CM323" s="6">
        <v>12.57</v>
      </c>
      <c r="CN323" s="6">
        <v>8.25</v>
      </c>
      <c r="CO323" s="10">
        <v>7.76</v>
      </c>
      <c r="CP323" s="10"/>
    </row>
    <row r="324" spans="1:94" ht="15.75" customHeight="1" x14ac:dyDescent="0.25">
      <c r="A324" s="4">
        <v>323</v>
      </c>
      <c r="B324" s="4"/>
      <c r="C324" s="4">
        <v>18</v>
      </c>
      <c r="D324" s="8">
        <v>10.26</v>
      </c>
      <c r="E324" s="8">
        <v>10.98</v>
      </c>
      <c r="F324" s="8">
        <v>8.68</v>
      </c>
      <c r="G324" s="8">
        <v>11.5</v>
      </c>
      <c r="H324" s="8">
        <v>8.8800000000000008</v>
      </c>
      <c r="I324" s="8">
        <v>8.7100000000000009</v>
      </c>
      <c r="J324" s="8">
        <v>9.4700000000000006</v>
      </c>
      <c r="K324" s="8">
        <v>10.18</v>
      </c>
      <c r="L324" s="8">
        <v>9.1199999999999992</v>
      </c>
      <c r="M324" s="8">
        <v>10.14</v>
      </c>
      <c r="N324" s="8">
        <v>8.9700000000000006</v>
      </c>
      <c r="O324" s="8">
        <v>10</v>
      </c>
      <c r="P324" s="8">
        <v>10.61</v>
      </c>
      <c r="Q324" s="8">
        <v>10.29</v>
      </c>
      <c r="R324" s="8">
        <v>11.84</v>
      </c>
      <c r="S324" s="8">
        <v>8.9600000000000009</v>
      </c>
      <c r="T324" s="8">
        <v>10.34</v>
      </c>
      <c r="U324" s="8">
        <v>10.41</v>
      </c>
      <c r="V324" s="8">
        <v>9.4700000000000006</v>
      </c>
      <c r="W324" s="8">
        <v>12.96</v>
      </c>
      <c r="X324" s="8">
        <v>9.9499999999999993</v>
      </c>
      <c r="Y324" s="8">
        <v>12.81</v>
      </c>
      <c r="Z324" s="8">
        <v>9.31</v>
      </c>
      <c r="AA324" s="8">
        <v>9.18</v>
      </c>
      <c r="AB324" s="8">
        <v>11.05</v>
      </c>
      <c r="AC324" s="8">
        <v>10.61</v>
      </c>
      <c r="AD324" s="8">
        <v>11.21</v>
      </c>
      <c r="AE324" s="8">
        <v>9.85</v>
      </c>
      <c r="AF324" s="8">
        <v>9.18</v>
      </c>
      <c r="AG324" s="8">
        <v>8.9600000000000009</v>
      </c>
      <c r="AH324" s="8">
        <v>10.17</v>
      </c>
      <c r="AI324" s="8">
        <v>9.6300000000000008</v>
      </c>
      <c r="AJ324" s="8">
        <v>9.33</v>
      </c>
      <c r="AK324" s="8">
        <v>11.17</v>
      </c>
      <c r="AL324" s="8">
        <v>10.37</v>
      </c>
      <c r="AM324" s="8">
        <v>11.49</v>
      </c>
      <c r="AN324" s="8">
        <v>10.78</v>
      </c>
      <c r="AO324" s="8">
        <v>11.09</v>
      </c>
      <c r="AP324" s="8">
        <v>11.07</v>
      </c>
      <c r="AQ324" s="8">
        <v>10.33</v>
      </c>
      <c r="AR324" s="8">
        <v>10.29</v>
      </c>
      <c r="AS324" s="8">
        <v>8.67</v>
      </c>
      <c r="AT324" s="8">
        <v>11.35</v>
      </c>
      <c r="AU324" s="6">
        <v>10.35</v>
      </c>
      <c r="AV324" s="6">
        <v>11.56</v>
      </c>
      <c r="AW324" s="6">
        <v>11.46</v>
      </c>
      <c r="AX324" s="6">
        <v>10.220000000000001</v>
      </c>
      <c r="AY324" s="6">
        <v>10.029999999999999</v>
      </c>
      <c r="AZ324" s="6">
        <v>10.97</v>
      </c>
      <c r="BA324" s="6">
        <v>10.69</v>
      </c>
      <c r="BB324" s="6">
        <v>10.61</v>
      </c>
      <c r="BC324" s="6">
        <v>13.71</v>
      </c>
      <c r="BD324" s="6">
        <v>10.36</v>
      </c>
      <c r="BE324" s="6">
        <v>12.18</v>
      </c>
      <c r="BF324" s="6">
        <v>10.35</v>
      </c>
      <c r="BG324" s="6">
        <v>9.34</v>
      </c>
      <c r="BH324" s="6">
        <v>9.85</v>
      </c>
      <c r="BI324" s="6">
        <v>8.65</v>
      </c>
      <c r="BJ324" s="6">
        <v>12</v>
      </c>
      <c r="BK324" s="6">
        <v>11.46</v>
      </c>
      <c r="BL324" s="6">
        <v>10.050000000000001</v>
      </c>
      <c r="BM324" s="6">
        <v>11.16</v>
      </c>
      <c r="BN324" s="6">
        <v>7.62</v>
      </c>
      <c r="BO324" s="6">
        <v>10.14</v>
      </c>
      <c r="BP324" s="6">
        <v>11.32</v>
      </c>
      <c r="BQ324" s="6">
        <v>10.7</v>
      </c>
      <c r="BR324" s="6">
        <v>9.2799999999999994</v>
      </c>
      <c r="BS324" s="6">
        <v>10.220000000000001</v>
      </c>
      <c r="BT324" s="6">
        <v>12.54</v>
      </c>
      <c r="BU324" s="6">
        <v>10.8</v>
      </c>
      <c r="BV324" s="6">
        <v>10.54</v>
      </c>
      <c r="BW324" s="6">
        <v>10.58</v>
      </c>
      <c r="BX324" s="6">
        <v>11.32</v>
      </c>
      <c r="BY324" s="6">
        <v>10.7</v>
      </c>
      <c r="BZ324" s="6">
        <v>7.8</v>
      </c>
      <c r="CA324" s="6">
        <v>10.039999999999999</v>
      </c>
      <c r="CB324" s="6">
        <v>11</v>
      </c>
      <c r="CC324" s="6">
        <v>10.199999999999999</v>
      </c>
      <c r="CD324" s="6">
        <v>10.199999999999999</v>
      </c>
      <c r="CE324" s="6">
        <v>11.4</v>
      </c>
      <c r="CF324" s="6">
        <v>9.24</v>
      </c>
      <c r="CG324" s="6">
        <v>10.54</v>
      </c>
      <c r="CH324" s="6">
        <v>11</v>
      </c>
      <c r="CI324" s="6">
        <v>10.5</v>
      </c>
      <c r="CJ324" s="11">
        <v>10.42</v>
      </c>
      <c r="CK324" s="6">
        <v>10.54</v>
      </c>
      <c r="CL324" s="6">
        <v>10.98</v>
      </c>
      <c r="CM324" s="6">
        <v>12.44</v>
      </c>
      <c r="CN324" s="6">
        <v>8.31</v>
      </c>
      <c r="CO324" s="10">
        <v>7.73</v>
      </c>
      <c r="CP324" s="10"/>
    </row>
    <row r="325" spans="1:94" ht="15.75" customHeight="1" x14ac:dyDescent="0.25">
      <c r="A325" s="4">
        <v>324</v>
      </c>
      <c r="B325" s="4"/>
      <c r="C325" s="4">
        <v>19</v>
      </c>
      <c r="D325" s="8">
        <v>10.220000000000001</v>
      </c>
      <c r="E325" s="8">
        <v>10.88</v>
      </c>
      <c r="F325" s="8">
        <v>8.58</v>
      </c>
      <c r="G325" s="8">
        <v>11.54</v>
      </c>
      <c r="H325" s="8">
        <v>8.85</v>
      </c>
      <c r="I325" s="8">
        <v>8.41</v>
      </c>
      <c r="J325" s="8">
        <v>9.33</v>
      </c>
      <c r="K325" s="8">
        <v>10.17</v>
      </c>
      <c r="L325" s="8">
        <v>8.93</v>
      </c>
      <c r="M325" s="8">
        <v>10.220000000000001</v>
      </c>
      <c r="N325" s="8">
        <v>8.85</v>
      </c>
      <c r="O325" s="8">
        <v>9.89</v>
      </c>
      <c r="P325" s="8">
        <v>10.52</v>
      </c>
      <c r="Q325" s="8">
        <v>10.26</v>
      </c>
      <c r="R325" s="8">
        <v>11.8</v>
      </c>
      <c r="S325" s="8">
        <v>8.81</v>
      </c>
      <c r="T325" s="8">
        <v>10.24</v>
      </c>
      <c r="U325" s="8">
        <v>10.24</v>
      </c>
      <c r="V325" s="8">
        <v>9.4600000000000009</v>
      </c>
      <c r="W325" s="8">
        <v>12.93</v>
      </c>
      <c r="X325" s="8">
        <v>9.89</v>
      </c>
      <c r="Y325" s="8">
        <v>12.73</v>
      </c>
      <c r="Z325" s="8">
        <v>9.25</v>
      </c>
      <c r="AA325" s="8">
        <v>9.1</v>
      </c>
      <c r="AB325" s="8">
        <v>11.01</v>
      </c>
      <c r="AC325" s="8">
        <v>10.53</v>
      </c>
      <c r="AD325" s="8">
        <v>11.17</v>
      </c>
      <c r="AE325" s="8">
        <v>9.82</v>
      </c>
      <c r="AF325" s="8">
        <v>9.14</v>
      </c>
      <c r="AG325" s="8">
        <v>8.84</v>
      </c>
      <c r="AH325" s="8">
        <v>10.25</v>
      </c>
      <c r="AI325" s="8">
        <v>9.67</v>
      </c>
      <c r="AJ325" s="8">
        <v>9.17</v>
      </c>
      <c r="AK325" s="8">
        <v>11.01</v>
      </c>
      <c r="AL325" s="8">
        <v>10.18</v>
      </c>
      <c r="AM325" s="8">
        <v>11.29</v>
      </c>
      <c r="AN325" s="8">
        <v>10.82</v>
      </c>
      <c r="AO325" s="8">
        <v>10.99</v>
      </c>
      <c r="AP325" s="8">
        <v>11.04</v>
      </c>
      <c r="AQ325" s="8">
        <v>10.26</v>
      </c>
      <c r="AR325" s="8">
        <v>10.18</v>
      </c>
      <c r="AS325" s="8">
        <v>8.6</v>
      </c>
      <c r="AT325" s="8">
        <v>11.32</v>
      </c>
      <c r="AU325" s="6">
        <v>10.25</v>
      </c>
      <c r="AV325" s="6">
        <v>11.43</v>
      </c>
      <c r="AW325" s="6">
        <v>11.4</v>
      </c>
      <c r="AX325" s="6">
        <v>10.18</v>
      </c>
      <c r="AY325" s="6">
        <v>9.84</v>
      </c>
      <c r="AZ325" s="6">
        <v>10.8</v>
      </c>
      <c r="BA325" s="6">
        <v>10.64</v>
      </c>
      <c r="BB325" s="6">
        <v>10.51</v>
      </c>
      <c r="BC325" s="6">
        <v>13.65</v>
      </c>
      <c r="BD325" s="6">
        <v>10.31</v>
      </c>
      <c r="BE325" s="6">
        <v>12.22</v>
      </c>
      <c r="BF325" s="6">
        <v>10.31</v>
      </c>
      <c r="BG325" s="6">
        <v>9.23</v>
      </c>
      <c r="BH325" s="6">
        <v>9.82</v>
      </c>
      <c r="BI325" s="6">
        <v>8.64</v>
      </c>
      <c r="BJ325" s="6">
        <v>12.02</v>
      </c>
      <c r="BK325" s="6">
        <v>11.35</v>
      </c>
      <c r="BL325" s="6">
        <v>10.1</v>
      </c>
      <c r="BM325" s="6">
        <v>11.12</v>
      </c>
      <c r="BN325" s="6">
        <v>7.65</v>
      </c>
      <c r="BO325" s="6">
        <v>10.18</v>
      </c>
      <c r="BP325" s="6">
        <v>11.12</v>
      </c>
      <c r="BQ325" s="6">
        <v>10.44</v>
      </c>
      <c r="BR325" s="6">
        <v>9.26</v>
      </c>
      <c r="BS325" s="6">
        <v>10.26</v>
      </c>
      <c r="BT325" s="6">
        <v>12.5</v>
      </c>
      <c r="BU325" s="6">
        <v>10.74</v>
      </c>
      <c r="BV325" s="6">
        <v>10.56</v>
      </c>
      <c r="BW325" s="6">
        <v>10.44</v>
      </c>
      <c r="BX325" s="6">
        <v>11.2</v>
      </c>
      <c r="BY325" s="6">
        <v>10.64</v>
      </c>
      <c r="BZ325" s="6">
        <v>7.74</v>
      </c>
      <c r="CA325" s="6">
        <v>9.98</v>
      </c>
      <c r="CB325" s="6">
        <v>11.06</v>
      </c>
      <c r="CC325" s="6">
        <v>10</v>
      </c>
      <c r="CD325" s="6">
        <v>10.08</v>
      </c>
      <c r="CE325" s="6">
        <v>11.38</v>
      </c>
      <c r="CF325" s="6">
        <v>9.26</v>
      </c>
      <c r="CG325" s="6">
        <v>10.58</v>
      </c>
      <c r="CH325" s="6">
        <v>10.91</v>
      </c>
      <c r="CI325" s="6">
        <v>10.36</v>
      </c>
      <c r="CJ325" s="11">
        <v>10.36</v>
      </c>
      <c r="CK325" s="6">
        <v>10.6</v>
      </c>
      <c r="CL325" s="6">
        <v>10.8</v>
      </c>
      <c r="CM325" s="6">
        <v>12.33</v>
      </c>
      <c r="CN325" s="6">
        <v>8.36</v>
      </c>
      <c r="CO325" s="10">
        <v>7.7</v>
      </c>
      <c r="CP325" s="10"/>
    </row>
    <row r="326" spans="1:94" ht="15.75" customHeight="1" x14ac:dyDescent="0.25">
      <c r="A326" s="4">
        <v>325</v>
      </c>
      <c r="B326" s="4"/>
      <c r="C326" s="4">
        <v>20</v>
      </c>
      <c r="D326" s="8">
        <v>10.18</v>
      </c>
      <c r="E326" s="8">
        <v>10.83</v>
      </c>
      <c r="F326" s="8">
        <v>8.4700000000000006</v>
      </c>
      <c r="G326" s="8">
        <v>11.58</v>
      </c>
      <c r="H326" s="8">
        <v>8.82</v>
      </c>
      <c r="I326" s="8">
        <v>8.3000000000000007</v>
      </c>
      <c r="J326" s="8">
        <v>9.1300000000000008</v>
      </c>
      <c r="K326" s="8">
        <v>10.14</v>
      </c>
      <c r="L326" s="8">
        <v>8.74</v>
      </c>
      <c r="M326" s="8">
        <v>10.26</v>
      </c>
      <c r="N326" s="8">
        <v>8.77</v>
      </c>
      <c r="O326" s="8">
        <v>9.8000000000000007</v>
      </c>
      <c r="P326" s="8">
        <v>10.41</v>
      </c>
      <c r="Q326" s="8">
        <v>10.220000000000001</v>
      </c>
      <c r="R326" s="8">
        <v>11.76</v>
      </c>
      <c r="S326" s="8">
        <v>8.81</v>
      </c>
      <c r="T326" s="8">
        <v>10.16</v>
      </c>
      <c r="U326" s="8">
        <v>10.14</v>
      </c>
      <c r="V326" s="8">
        <v>9.42</v>
      </c>
      <c r="W326" s="8">
        <v>12.89</v>
      </c>
      <c r="X326" s="8">
        <v>9.81</v>
      </c>
      <c r="Y326" s="8">
        <v>12.63</v>
      </c>
      <c r="Z326" s="8">
        <v>9.17</v>
      </c>
      <c r="AA326" s="8">
        <v>9.01</v>
      </c>
      <c r="AB326" s="8">
        <v>10.95</v>
      </c>
      <c r="AC326" s="8">
        <v>10.38</v>
      </c>
      <c r="AD326" s="8">
        <v>11.13</v>
      </c>
      <c r="AE326" s="8">
        <v>9.75</v>
      </c>
      <c r="AF326" s="8">
        <v>9.0500000000000007</v>
      </c>
      <c r="AG326" s="8">
        <v>8.7200000000000006</v>
      </c>
      <c r="AH326" s="8">
        <v>10.33</v>
      </c>
      <c r="AI326" s="8">
        <v>9.64</v>
      </c>
      <c r="AJ326" s="8">
        <v>9</v>
      </c>
      <c r="AK326" s="8">
        <v>10.86</v>
      </c>
      <c r="AL326" s="8">
        <v>10.050000000000001</v>
      </c>
      <c r="AM326" s="8">
        <v>11.04</v>
      </c>
      <c r="AN326" s="8">
        <v>10.81</v>
      </c>
      <c r="AO326" s="8">
        <v>10.91</v>
      </c>
      <c r="AP326" s="8">
        <v>11.01</v>
      </c>
      <c r="AQ326" s="8">
        <v>10.210000000000001</v>
      </c>
      <c r="AR326" s="8">
        <v>10.08</v>
      </c>
      <c r="AS326" s="8">
        <v>8.5</v>
      </c>
      <c r="AT326" s="8">
        <v>11.3</v>
      </c>
      <c r="AU326" s="6">
        <v>10.15</v>
      </c>
      <c r="AV326" s="6">
        <v>11.3</v>
      </c>
      <c r="AW326" s="6">
        <v>11.39</v>
      </c>
      <c r="AX326" s="6">
        <v>10.09</v>
      </c>
      <c r="AY326" s="6">
        <v>9.65</v>
      </c>
      <c r="AZ326" s="6">
        <v>10.61</v>
      </c>
      <c r="BA326" s="6">
        <v>10.6</v>
      </c>
      <c r="BB326" s="6">
        <v>10.39</v>
      </c>
      <c r="BC326" s="6">
        <v>13.59</v>
      </c>
      <c r="BD326" s="6">
        <v>10.27</v>
      </c>
      <c r="BE326" s="6">
        <v>12.23</v>
      </c>
      <c r="BF326" s="6">
        <v>10.220000000000001</v>
      </c>
      <c r="BG326" s="6">
        <v>9.14</v>
      </c>
      <c r="BH326" s="6">
        <v>9.81</v>
      </c>
      <c r="BI326" s="6">
        <v>8.68</v>
      </c>
      <c r="BJ326" s="6">
        <v>12.02</v>
      </c>
      <c r="BK326" s="6">
        <v>11.22</v>
      </c>
      <c r="BL326" s="6">
        <v>10.14</v>
      </c>
      <c r="BM326" s="6">
        <v>11.08</v>
      </c>
      <c r="BN326" s="6">
        <v>7.62</v>
      </c>
      <c r="BO326" s="6">
        <v>10.18</v>
      </c>
      <c r="BP326" s="6">
        <v>10.98</v>
      </c>
      <c r="BQ326" s="6">
        <v>10.44</v>
      </c>
      <c r="BR326" s="6">
        <v>9.26</v>
      </c>
      <c r="BS326" s="6">
        <v>10.3</v>
      </c>
      <c r="BT326" s="6">
        <v>12.44</v>
      </c>
      <c r="BU326" s="6">
        <v>10.68</v>
      </c>
      <c r="BV326" s="6">
        <v>10.58</v>
      </c>
      <c r="BW326" s="6">
        <v>10.4</v>
      </c>
      <c r="BX326" s="6">
        <v>11.02</v>
      </c>
      <c r="BY326" s="6">
        <v>10.76</v>
      </c>
      <c r="BZ326" s="6">
        <v>7.54</v>
      </c>
      <c r="CA326" s="6">
        <v>10.199999999999999</v>
      </c>
      <c r="CB326" s="6">
        <v>11.12</v>
      </c>
      <c r="CC326" s="6">
        <v>10.02</v>
      </c>
      <c r="CD326" s="6">
        <v>10.039999999999999</v>
      </c>
      <c r="CE326" s="6">
        <v>11.3</v>
      </c>
      <c r="CF326" s="6">
        <v>9.2799999999999994</v>
      </c>
      <c r="CG326" s="6">
        <v>10.42</v>
      </c>
      <c r="CH326" s="6">
        <v>10.9</v>
      </c>
      <c r="CI326" s="6">
        <v>10.36</v>
      </c>
      <c r="CJ326" s="11">
        <v>10.3</v>
      </c>
      <c r="CK326" s="6">
        <v>10.7</v>
      </c>
      <c r="CL326" s="6">
        <v>10.64</v>
      </c>
      <c r="CM326" s="6">
        <v>12.24</v>
      </c>
      <c r="CN326" s="6">
        <v>8.39</v>
      </c>
      <c r="CO326" s="10">
        <v>7.69</v>
      </c>
      <c r="CP326" s="10"/>
    </row>
    <row r="327" spans="1:94" ht="15.75" customHeight="1" x14ac:dyDescent="0.25">
      <c r="A327" s="4">
        <v>326</v>
      </c>
      <c r="B327" s="4"/>
      <c r="C327" s="4">
        <v>21</v>
      </c>
      <c r="D327" s="8">
        <v>10.14</v>
      </c>
      <c r="E327" s="8">
        <v>10.78</v>
      </c>
      <c r="F327" s="8">
        <v>8.3800000000000008</v>
      </c>
      <c r="G327" s="8">
        <v>11.63</v>
      </c>
      <c r="H327" s="8">
        <v>8.7799999999999994</v>
      </c>
      <c r="I327" s="8">
        <v>8.17</v>
      </c>
      <c r="J327" s="8">
        <v>8.9700000000000006</v>
      </c>
      <c r="K327" s="8">
        <v>10.130000000000001</v>
      </c>
      <c r="L327" s="8">
        <v>8.5399999999999991</v>
      </c>
      <c r="M327" s="8">
        <v>10.29</v>
      </c>
      <c r="N327" s="8">
        <v>8.68</v>
      </c>
      <c r="O327" s="8">
        <v>9.7200000000000006</v>
      </c>
      <c r="P327" s="8">
        <v>10.28</v>
      </c>
      <c r="Q327" s="8">
        <v>10.130000000000001</v>
      </c>
      <c r="R327" s="8">
        <v>11.71</v>
      </c>
      <c r="S327" s="8">
        <v>8.76</v>
      </c>
      <c r="T327" s="8">
        <v>10.08</v>
      </c>
      <c r="U327" s="8">
        <v>10.06</v>
      </c>
      <c r="V327" s="8">
        <v>9.31</v>
      </c>
      <c r="W327" s="8">
        <v>12.8</v>
      </c>
      <c r="X327" s="8">
        <v>9.81</v>
      </c>
      <c r="Y327" s="8">
        <v>12.49</v>
      </c>
      <c r="Z327" s="8">
        <v>9.0299999999999994</v>
      </c>
      <c r="AA327" s="8">
        <v>8.9700000000000006</v>
      </c>
      <c r="AB327" s="8">
        <v>10.87</v>
      </c>
      <c r="AC327" s="8">
        <v>10.220000000000001</v>
      </c>
      <c r="AD327" s="8">
        <v>11.1</v>
      </c>
      <c r="AE327" s="8">
        <v>9.64</v>
      </c>
      <c r="AF327" s="8">
        <v>8.9700000000000006</v>
      </c>
      <c r="AG327" s="8">
        <v>8.58</v>
      </c>
      <c r="AH327" s="8">
        <v>10.35</v>
      </c>
      <c r="AI327" s="8">
        <v>9.59</v>
      </c>
      <c r="AJ327" s="8">
        <v>8.82</v>
      </c>
      <c r="AK327" s="8">
        <v>10.71</v>
      </c>
      <c r="AL327" s="8">
        <v>9.9499999999999993</v>
      </c>
      <c r="AM327" s="8">
        <v>10.81</v>
      </c>
      <c r="AN327" s="8">
        <v>10.77</v>
      </c>
      <c r="AO327" s="8">
        <v>10.78</v>
      </c>
      <c r="AP327" s="8">
        <v>10.95</v>
      </c>
      <c r="AQ327" s="8">
        <v>10.14</v>
      </c>
      <c r="AR327" s="8">
        <v>10.01</v>
      </c>
      <c r="AS327" s="8">
        <v>8.4499999999999993</v>
      </c>
      <c r="AT327" s="8">
        <v>11.28</v>
      </c>
      <c r="AU327" s="6">
        <v>10.07</v>
      </c>
      <c r="AV327" s="24">
        <v>11.8</v>
      </c>
      <c r="AW327" s="6">
        <v>11.4</v>
      </c>
      <c r="AX327" s="6">
        <v>9.9600000000000009</v>
      </c>
      <c r="AY327" s="6">
        <v>9.4700000000000006</v>
      </c>
      <c r="AZ327" s="6">
        <v>10.43</v>
      </c>
      <c r="BA327" s="6">
        <v>10.59</v>
      </c>
      <c r="BB327" s="6">
        <v>10.32</v>
      </c>
      <c r="BC327" s="6">
        <v>13.5</v>
      </c>
      <c r="BD327" s="6">
        <v>10.16</v>
      </c>
      <c r="BE327" s="6">
        <v>12.23</v>
      </c>
      <c r="BF327" s="6">
        <v>10.130000000000001</v>
      </c>
      <c r="BG327" s="6">
        <v>9.06</v>
      </c>
      <c r="BH327" s="6">
        <v>9.81</v>
      </c>
      <c r="BI327" s="6">
        <v>8.6999999999999993</v>
      </c>
      <c r="BJ327" s="6">
        <v>12.02</v>
      </c>
      <c r="BK327" s="6">
        <v>11.1</v>
      </c>
      <c r="BL327" s="6">
        <v>10.14</v>
      </c>
      <c r="BM327" s="6">
        <v>11.02</v>
      </c>
      <c r="BN327" s="6">
        <v>7.62</v>
      </c>
      <c r="BO327" s="6">
        <v>10.14</v>
      </c>
      <c r="BP327" s="6">
        <v>10.9</v>
      </c>
      <c r="BQ327" s="6">
        <v>10.38</v>
      </c>
      <c r="BR327" s="6">
        <v>9.1999999999999993</v>
      </c>
      <c r="BS327" s="6">
        <v>10.32</v>
      </c>
      <c r="BT327" s="6">
        <v>12.4</v>
      </c>
      <c r="BU327" s="6">
        <v>10.54</v>
      </c>
      <c r="BV327" s="6">
        <v>10.7</v>
      </c>
      <c r="BW327" s="6">
        <v>10.38</v>
      </c>
      <c r="BX327" s="6">
        <v>10.98</v>
      </c>
      <c r="BY327" s="6">
        <v>10.76</v>
      </c>
      <c r="BZ327" s="6">
        <v>7.48</v>
      </c>
      <c r="CA327" s="6">
        <v>10.28</v>
      </c>
      <c r="CB327" s="6">
        <v>11.08</v>
      </c>
      <c r="CC327" s="6">
        <v>9.8000000000000007</v>
      </c>
      <c r="CD327" s="6">
        <v>10</v>
      </c>
      <c r="CE327" s="6">
        <v>11.3</v>
      </c>
      <c r="CF327" s="6">
        <v>9.34</v>
      </c>
      <c r="CG327" s="6">
        <v>10.38</v>
      </c>
      <c r="CH327" s="6">
        <v>10.76</v>
      </c>
      <c r="CI327" s="6">
        <v>10.36</v>
      </c>
      <c r="CJ327" s="11">
        <v>10.18</v>
      </c>
      <c r="CK327" s="6">
        <v>10.76</v>
      </c>
      <c r="CL327" s="6">
        <v>10.54</v>
      </c>
      <c r="CM327" s="6">
        <v>12.18</v>
      </c>
      <c r="CN327" s="6">
        <v>8.42</v>
      </c>
      <c r="CO327" s="10">
        <v>7.68</v>
      </c>
      <c r="CP327" s="10"/>
    </row>
    <row r="328" spans="1:94" ht="15.75" customHeight="1" x14ac:dyDescent="0.25">
      <c r="A328" s="4">
        <v>327</v>
      </c>
      <c r="B328" s="4"/>
      <c r="C328" s="4">
        <v>22</v>
      </c>
      <c r="D328" s="8">
        <v>10.1</v>
      </c>
      <c r="E328" s="8">
        <v>10.68</v>
      </c>
      <c r="F328" s="8">
        <v>8.2799999999999994</v>
      </c>
      <c r="G328" s="8">
        <v>11.68</v>
      </c>
      <c r="H328" s="8">
        <v>8.74</v>
      </c>
      <c r="I328" s="8">
        <v>8.06</v>
      </c>
      <c r="J328" s="8">
        <v>8.7799999999999994</v>
      </c>
      <c r="K328" s="8">
        <v>10.09</v>
      </c>
      <c r="L328" s="8">
        <v>8.35</v>
      </c>
      <c r="M328" s="8">
        <v>10.26</v>
      </c>
      <c r="N328" s="8">
        <v>8.64</v>
      </c>
      <c r="O328" s="8">
        <v>9.66</v>
      </c>
      <c r="P328" s="8">
        <v>10.130000000000001</v>
      </c>
      <c r="Q328" s="8">
        <v>10.039999999999999</v>
      </c>
      <c r="R328" s="8">
        <v>11.67</v>
      </c>
      <c r="S328" s="8">
        <v>8.76</v>
      </c>
      <c r="T328" s="8">
        <v>10.039999999999999</v>
      </c>
      <c r="U328" s="8">
        <v>9.8699999999999992</v>
      </c>
      <c r="V328" s="8">
        <v>9.2200000000000006</v>
      </c>
      <c r="W328" s="8">
        <v>12.71</v>
      </c>
      <c r="X328" s="8">
        <v>9.81</v>
      </c>
      <c r="Y328" s="8">
        <v>12.38</v>
      </c>
      <c r="Z328" s="8">
        <v>8.9499999999999993</v>
      </c>
      <c r="AA328" s="8">
        <v>8.7200000000000006</v>
      </c>
      <c r="AB328" s="8">
        <v>10.78</v>
      </c>
      <c r="AC328" s="8">
        <v>10.09</v>
      </c>
      <c r="AD328" s="8">
        <v>11.06</v>
      </c>
      <c r="AE328" s="8">
        <v>9.58</v>
      </c>
      <c r="AF328" s="8">
        <v>8.83</v>
      </c>
      <c r="AG328" s="8">
        <v>8.4600000000000009</v>
      </c>
      <c r="AH328" s="8">
        <v>10.37</v>
      </c>
      <c r="AI328" s="8">
        <v>9.5</v>
      </c>
      <c r="AJ328" s="8">
        <v>8.64</v>
      </c>
      <c r="AK328" s="8">
        <v>10.56</v>
      </c>
      <c r="AL328" s="8">
        <v>9.92</v>
      </c>
      <c r="AM328" s="8">
        <v>10.6</v>
      </c>
      <c r="AN328" s="8">
        <v>10.66</v>
      </c>
      <c r="AO328" s="8">
        <v>10.68</v>
      </c>
      <c r="AP328" s="8">
        <v>10.91</v>
      </c>
      <c r="AQ328" s="8">
        <v>10.119999999999999</v>
      </c>
      <c r="AR328" s="8">
        <v>9.9499999999999993</v>
      </c>
      <c r="AS328" s="8">
        <v>8.41</v>
      </c>
      <c r="AT328" s="8">
        <v>11.27</v>
      </c>
      <c r="AU328" s="6">
        <v>10.01</v>
      </c>
      <c r="AV328" s="6">
        <v>11.1</v>
      </c>
      <c r="AW328" s="6">
        <v>11.38</v>
      </c>
      <c r="AX328" s="6">
        <v>9.82</v>
      </c>
      <c r="AY328" s="6">
        <v>9.31</v>
      </c>
      <c r="AZ328" s="6">
        <v>10.26</v>
      </c>
      <c r="BA328" s="6">
        <v>10.56</v>
      </c>
      <c r="BB328" s="6">
        <v>10.23</v>
      </c>
      <c r="BC328" s="6">
        <v>13.4</v>
      </c>
      <c r="BD328" s="6">
        <v>10.050000000000001</v>
      </c>
      <c r="BE328" s="6">
        <v>12.22</v>
      </c>
      <c r="BF328" s="6">
        <v>10.02</v>
      </c>
      <c r="BG328" s="6">
        <v>8.9700000000000006</v>
      </c>
      <c r="BH328" s="6">
        <v>9.76</v>
      </c>
      <c r="BI328" s="6">
        <v>8.76</v>
      </c>
      <c r="BJ328" s="6">
        <v>12.02</v>
      </c>
      <c r="BK328" s="6">
        <v>11.04</v>
      </c>
      <c r="BL328" s="6">
        <v>10.16</v>
      </c>
      <c r="BM328" s="6">
        <v>11</v>
      </c>
      <c r="BN328" s="6">
        <v>7.54</v>
      </c>
      <c r="BO328" s="6">
        <v>10.039999999999999</v>
      </c>
      <c r="BP328" s="6">
        <v>10.68</v>
      </c>
      <c r="BQ328" s="6">
        <v>10.32</v>
      </c>
      <c r="BR328" s="6">
        <v>9.1999999999999993</v>
      </c>
      <c r="BS328" s="6">
        <v>10.36</v>
      </c>
      <c r="BT328" s="6">
        <v>12.3</v>
      </c>
      <c r="BU328" s="6">
        <v>10.46</v>
      </c>
      <c r="BV328" s="6">
        <v>10.78</v>
      </c>
      <c r="BW328" s="6">
        <v>10.44</v>
      </c>
      <c r="BX328" s="6">
        <v>10.94</v>
      </c>
      <c r="BY328" s="6">
        <v>10.76</v>
      </c>
      <c r="BZ328" s="6">
        <v>7.38</v>
      </c>
      <c r="CA328" s="6">
        <v>10.8</v>
      </c>
      <c r="CB328" s="6">
        <v>11.12</v>
      </c>
      <c r="CC328" s="6">
        <v>9.66</v>
      </c>
      <c r="CD328" s="6">
        <v>10.1</v>
      </c>
      <c r="CE328" s="6">
        <v>11.2</v>
      </c>
      <c r="CF328" s="6">
        <v>9.3800000000000008</v>
      </c>
      <c r="CG328" s="6">
        <v>10.38</v>
      </c>
      <c r="CH328" s="6">
        <v>10.62</v>
      </c>
      <c r="CI328" s="6">
        <v>10.44</v>
      </c>
      <c r="CJ328" s="11">
        <v>10.1</v>
      </c>
      <c r="CK328" s="6">
        <v>10.82</v>
      </c>
      <c r="CL328" s="6">
        <v>10.38</v>
      </c>
      <c r="CM328" s="6">
        <v>12.19</v>
      </c>
      <c r="CN328" s="6">
        <v>8.44</v>
      </c>
      <c r="CO328" s="10">
        <v>7.66</v>
      </c>
      <c r="CP328" s="10"/>
    </row>
    <row r="329" spans="1:94" ht="15.75" customHeight="1" x14ac:dyDescent="0.25">
      <c r="A329" s="4">
        <v>328</v>
      </c>
      <c r="B329" s="4"/>
      <c r="C329" s="4">
        <v>23</v>
      </c>
      <c r="D329" s="8">
        <v>10.06</v>
      </c>
      <c r="E329" s="8">
        <v>10.63</v>
      </c>
      <c r="F329" s="8">
        <v>8.18</v>
      </c>
      <c r="G329" s="8">
        <v>11.78</v>
      </c>
      <c r="H329" s="8">
        <v>8.6999999999999993</v>
      </c>
      <c r="I329" s="8">
        <v>7.97</v>
      </c>
      <c r="J329" s="8">
        <v>8.58</v>
      </c>
      <c r="K329" s="8">
        <v>10.050000000000001</v>
      </c>
      <c r="L329" s="8">
        <v>8.1999999999999993</v>
      </c>
      <c r="M329" s="8">
        <v>10.17</v>
      </c>
      <c r="N329" s="8">
        <v>8.6199999999999992</v>
      </c>
      <c r="O329" s="8">
        <v>9.6199999999999992</v>
      </c>
      <c r="P329" s="8">
        <v>9.9700000000000006</v>
      </c>
      <c r="Q329" s="8">
        <v>10</v>
      </c>
      <c r="R329" s="8">
        <v>11.64</v>
      </c>
      <c r="S329" s="8">
        <v>8.81</v>
      </c>
      <c r="T329" s="8">
        <v>9.93</v>
      </c>
      <c r="U329" s="8">
        <v>9.75</v>
      </c>
      <c r="V329" s="8">
        <v>9.14</v>
      </c>
      <c r="W329" s="8">
        <v>12.62</v>
      </c>
      <c r="X329" s="8">
        <v>9.81</v>
      </c>
      <c r="Y329" s="8">
        <v>12.23</v>
      </c>
      <c r="Z329" s="8">
        <v>8.89</v>
      </c>
      <c r="AA329" s="8">
        <v>8.6</v>
      </c>
      <c r="AB329" s="8">
        <v>10.69</v>
      </c>
      <c r="AC329" s="8">
        <v>9.9499999999999993</v>
      </c>
      <c r="AD329" s="8">
        <v>11.03</v>
      </c>
      <c r="AE329" s="8">
        <v>9.5</v>
      </c>
      <c r="AF329" s="8">
        <v>8.77</v>
      </c>
      <c r="AG329" s="8">
        <v>8.36</v>
      </c>
      <c r="AH329" s="8">
        <v>10.37</v>
      </c>
      <c r="AI329" s="8">
        <v>9.43</v>
      </c>
      <c r="AJ329" s="8">
        <v>8.4499999999999993</v>
      </c>
      <c r="AK329" s="8">
        <v>10.43</v>
      </c>
      <c r="AL329" s="8">
        <v>9.8800000000000008</v>
      </c>
      <c r="AM329" s="8">
        <v>10.45</v>
      </c>
      <c r="AN329" s="8">
        <v>10.56</v>
      </c>
      <c r="AO329" s="8">
        <v>10.59</v>
      </c>
      <c r="AP329" s="8">
        <v>10.89</v>
      </c>
      <c r="AQ329" s="8">
        <v>10.06</v>
      </c>
      <c r="AR329" s="8">
        <v>9.9600000000000009</v>
      </c>
      <c r="AS329" s="8">
        <v>8.41</v>
      </c>
      <c r="AT329" s="8">
        <v>11.24</v>
      </c>
      <c r="AU329" s="6">
        <v>9.9700000000000006</v>
      </c>
      <c r="AV329" s="6">
        <v>11.06</v>
      </c>
      <c r="AW329" s="6">
        <v>11.32</v>
      </c>
      <c r="AX329" s="6">
        <v>9.69</v>
      </c>
      <c r="AY329" s="6">
        <v>9.17</v>
      </c>
      <c r="AZ329" s="6">
        <v>10.029999999999999</v>
      </c>
      <c r="BA329" s="6">
        <v>10.52</v>
      </c>
      <c r="BB329" s="6">
        <v>10.130000000000001</v>
      </c>
      <c r="BC329" s="6">
        <v>13.35</v>
      </c>
      <c r="BD329" s="6">
        <v>10</v>
      </c>
      <c r="BE329" s="6">
        <v>12.14</v>
      </c>
      <c r="BF329" s="6">
        <v>9.89</v>
      </c>
      <c r="BG329" s="6">
        <v>8.89</v>
      </c>
      <c r="BH329" s="6">
        <v>9.68</v>
      </c>
      <c r="BI329" s="6">
        <v>8.81</v>
      </c>
      <c r="BJ329" s="6">
        <v>12</v>
      </c>
      <c r="BK329" s="6">
        <v>10.92</v>
      </c>
      <c r="BL329" s="6">
        <v>10.18</v>
      </c>
      <c r="BM329" s="6">
        <v>10.92</v>
      </c>
      <c r="BN329" s="6">
        <v>7.48</v>
      </c>
      <c r="BO329" s="6">
        <v>9.92</v>
      </c>
      <c r="BP329" s="6">
        <v>10.65</v>
      </c>
      <c r="BQ329" s="6">
        <v>10.26</v>
      </c>
      <c r="BR329" s="6">
        <v>9.1999999999999993</v>
      </c>
      <c r="BS329" s="6">
        <v>10.36</v>
      </c>
      <c r="BT329" s="6">
        <v>12.28</v>
      </c>
      <c r="BU329" s="6">
        <v>10.38</v>
      </c>
      <c r="BV329" s="6">
        <v>10.68</v>
      </c>
      <c r="BW329" s="6">
        <v>10.44</v>
      </c>
      <c r="BX329" s="6">
        <v>10.94</v>
      </c>
      <c r="BY329" s="6">
        <v>10.78</v>
      </c>
      <c r="BZ329" s="6">
        <v>7.28</v>
      </c>
      <c r="CA329" s="6">
        <v>10.48</v>
      </c>
      <c r="CB329" s="6">
        <v>11.18</v>
      </c>
      <c r="CC329" s="6">
        <v>9.5399999999999991</v>
      </c>
      <c r="CD329" s="6">
        <v>9.92</v>
      </c>
      <c r="CE329" s="6">
        <v>10.98</v>
      </c>
      <c r="CF329" s="6">
        <v>9.3800000000000008</v>
      </c>
      <c r="CG329" s="6">
        <v>10.32</v>
      </c>
      <c r="CH329" s="6">
        <v>10.42</v>
      </c>
      <c r="CI329" s="6">
        <v>10.3</v>
      </c>
      <c r="CJ329" s="11">
        <v>10</v>
      </c>
      <c r="CK329" s="6">
        <v>10.84</v>
      </c>
      <c r="CL329" s="6">
        <v>10.220000000000001</v>
      </c>
      <c r="CM329" s="6">
        <v>12.21</v>
      </c>
      <c r="CN329" s="6">
        <v>8.42</v>
      </c>
      <c r="CO329" s="10">
        <v>7.64</v>
      </c>
      <c r="CP329" s="10"/>
    </row>
    <row r="330" spans="1:94" ht="15.75" customHeight="1" x14ac:dyDescent="0.25">
      <c r="A330" s="4">
        <v>329</v>
      </c>
      <c r="B330" s="4"/>
      <c r="C330" s="4">
        <v>24</v>
      </c>
      <c r="D330" s="8">
        <v>10.02</v>
      </c>
      <c r="E330" s="8">
        <v>10.58</v>
      </c>
      <c r="F330" s="8">
        <v>8.08</v>
      </c>
      <c r="G330" s="8">
        <v>11.88</v>
      </c>
      <c r="H330" s="8">
        <v>8.68</v>
      </c>
      <c r="I330" s="8">
        <v>7.88</v>
      </c>
      <c r="J330" s="8">
        <v>8.33</v>
      </c>
      <c r="K330" s="8">
        <v>10.01</v>
      </c>
      <c r="L330" s="8">
        <v>8.0500000000000007</v>
      </c>
      <c r="M330" s="8">
        <v>10.08</v>
      </c>
      <c r="N330" s="8">
        <v>8.59</v>
      </c>
      <c r="O330" s="8">
        <v>9.58</v>
      </c>
      <c r="P330" s="8">
        <v>9.85</v>
      </c>
      <c r="Q330" s="8">
        <v>10</v>
      </c>
      <c r="R330" s="8">
        <v>11.61</v>
      </c>
      <c r="S330" s="8">
        <v>8.81</v>
      </c>
      <c r="T330" s="8">
        <v>9.93</v>
      </c>
      <c r="U330" s="8">
        <v>9.59</v>
      </c>
      <c r="V330" s="8">
        <v>9.1</v>
      </c>
      <c r="W330" s="8">
        <v>12.51</v>
      </c>
      <c r="X330" s="8">
        <v>9.77</v>
      </c>
      <c r="Y330" s="8">
        <v>12.06</v>
      </c>
      <c r="Z330" s="8">
        <v>8.82</v>
      </c>
      <c r="AA330" s="8">
        <v>8.4600000000000009</v>
      </c>
      <c r="AB330" s="8">
        <v>10.61</v>
      </c>
      <c r="AC330" s="8">
        <v>9.75</v>
      </c>
      <c r="AD330" s="8">
        <v>10.98</v>
      </c>
      <c r="AE330" s="8">
        <v>9.4700000000000006</v>
      </c>
      <c r="AF330" s="8">
        <v>8.68</v>
      </c>
      <c r="AG330" s="8">
        <v>8.3000000000000007</v>
      </c>
      <c r="AH330" s="8">
        <v>10.33</v>
      </c>
      <c r="AI330" s="8">
        <v>9.31</v>
      </c>
      <c r="AJ330" s="8">
        <v>8.25</v>
      </c>
      <c r="AK330" s="8">
        <v>10.36</v>
      </c>
      <c r="AL330" s="8">
        <v>9.85</v>
      </c>
      <c r="AM330" s="8">
        <v>10.26</v>
      </c>
      <c r="AN330" s="8">
        <v>10.48</v>
      </c>
      <c r="AO330" s="8">
        <v>10.53</v>
      </c>
      <c r="AP330" s="8">
        <v>10.87</v>
      </c>
      <c r="AQ330" s="8">
        <v>9.9700000000000006</v>
      </c>
      <c r="AR330" s="8">
        <v>9.9700000000000006</v>
      </c>
      <c r="AS330" s="8">
        <v>8.35</v>
      </c>
      <c r="AT330" s="8">
        <v>11.2</v>
      </c>
      <c r="AU330" s="6">
        <v>9.94</v>
      </c>
      <c r="AV330" s="6">
        <v>11.03</v>
      </c>
      <c r="AW330" s="6">
        <v>11.25</v>
      </c>
      <c r="AX330" s="6">
        <v>9.56</v>
      </c>
      <c r="AY330" s="6">
        <v>9.0500000000000007</v>
      </c>
      <c r="AZ330" s="6">
        <v>9.84</v>
      </c>
      <c r="BA330" s="6">
        <v>10.48</v>
      </c>
      <c r="BB330" s="6">
        <v>10.029999999999999</v>
      </c>
      <c r="BC330" s="6">
        <v>13.32</v>
      </c>
      <c r="BD330" s="6">
        <v>9.81</v>
      </c>
      <c r="BE330" s="6">
        <v>12.1</v>
      </c>
      <c r="BF330" s="6">
        <v>9.77</v>
      </c>
      <c r="BG330" s="6">
        <v>8.81</v>
      </c>
      <c r="BH330" s="6">
        <v>9.6</v>
      </c>
      <c r="BI330" s="6">
        <v>8.7799999999999994</v>
      </c>
      <c r="BJ330" s="6">
        <v>11.86</v>
      </c>
      <c r="BK330" s="6">
        <v>10.85</v>
      </c>
      <c r="BL330" s="6">
        <v>10.14</v>
      </c>
      <c r="BM330" s="6">
        <v>10.86</v>
      </c>
      <c r="BN330" s="6">
        <v>7.38</v>
      </c>
      <c r="BO330" s="6">
        <v>9.8000000000000007</v>
      </c>
      <c r="BP330" s="6">
        <v>10.38</v>
      </c>
      <c r="BQ330" s="6">
        <v>10.119999999999999</v>
      </c>
      <c r="BR330" s="6">
        <v>9.08</v>
      </c>
      <c r="BS330" s="6">
        <v>10.35</v>
      </c>
      <c r="BT330" s="6">
        <v>12.14</v>
      </c>
      <c r="BU330" s="6">
        <v>10.32</v>
      </c>
      <c r="BV330" s="6">
        <v>10.56</v>
      </c>
      <c r="BW330" s="6">
        <v>10.38</v>
      </c>
      <c r="BX330" s="6">
        <v>10.8</v>
      </c>
      <c r="BY330" s="6">
        <v>10.8</v>
      </c>
      <c r="BZ330" s="6">
        <v>7.16</v>
      </c>
      <c r="CA330" s="6">
        <v>10.58</v>
      </c>
      <c r="CB330" s="6">
        <v>11.28</v>
      </c>
      <c r="CC330" s="6">
        <v>9.5</v>
      </c>
      <c r="CD330" s="6">
        <v>9.84</v>
      </c>
      <c r="CE330" s="6">
        <v>10.84</v>
      </c>
      <c r="CF330" s="6">
        <v>9.2200000000000006</v>
      </c>
      <c r="CG330" s="6">
        <v>10.32</v>
      </c>
      <c r="CH330" s="6">
        <v>10.36</v>
      </c>
      <c r="CI330" s="6">
        <v>10.16</v>
      </c>
      <c r="CJ330" s="11">
        <v>9.86</v>
      </c>
      <c r="CK330" s="6">
        <v>10.82</v>
      </c>
      <c r="CL330" s="6">
        <v>9.9</v>
      </c>
      <c r="CM330" s="6">
        <v>12.2</v>
      </c>
      <c r="CN330" s="6">
        <v>8.34</v>
      </c>
      <c r="CO330" s="10">
        <v>7.67</v>
      </c>
      <c r="CP330" s="10"/>
    </row>
    <row r="331" spans="1:94" ht="15.75" customHeight="1" x14ac:dyDescent="0.25">
      <c r="A331" s="4">
        <v>330</v>
      </c>
      <c r="B331" s="4"/>
      <c r="C331" s="4">
        <v>25</v>
      </c>
      <c r="D331" s="8">
        <v>9.9700000000000006</v>
      </c>
      <c r="E331" s="8">
        <v>10.53</v>
      </c>
      <c r="F331" s="8">
        <v>8.0399999999999991</v>
      </c>
      <c r="G331" s="8">
        <v>11.98</v>
      </c>
      <c r="H331" s="8">
        <v>8.6300000000000008</v>
      </c>
      <c r="I331" s="8">
        <v>7.84</v>
      </c>
      <c r="J331" s="8">
        <v>8.08</v>
      </c>
      <c r="K331" s="8">
        <v>9.92</v>
      </c>
      <c r="L331" s="8">
        <v>7.89</v>
      </c>
      <c r="M331" s="8">
        <v>9.99</v>
      </c>
      <c r="N331" s="8">
        <v>8.51</v>
      </c>
      <c r="O331" s="8">
        <v>9.5299999999999994</v>
      </c>
      <c r="P331" s="8">
        <v>9.7200000000000006</v>
      </c>
      <c r="Q331" s="8">
        <v>10.14</v>
      </c>
      <c r="R331" s="8">
        <v>11.61</v>
      </c>
      <c r="S331" s="8">
        <v>8.7100000000000009</v>
      </c>
      <c r="T331" s="8">
        <v>9.8800000000000008</v>
      </c>
      <c r="U331" s="8">
        <v>9.5299999999999994</v>
      </c>
      <c r="V331" s="8">
        <v>9.16</v>
      </c>
      <c r="W331" s="8">
        <v>12.4</v>
      </c>
      <c r="X331" s="8">
        <v>9.7200000000000006</v>
      </c>
      <c r="Y331" s="8">
        <v>11.89</v>
      </c>
      <c r="Z331" s="8">
        <v>8.75</v>
      </c>
      <c r="AA331" s="8">
        <v>8.34</v>
      </c>
      <c r="AB331" s="8">
        <v>10.55</v>
      </c>
      <c r="AC331" s="8">
        <v>9.5500000000000007</v>
      </c>
      <c r="AD331" s="8">
        <v>10.92</v>
      </c>
      <c r="AE331" s="8">
        <v>9.4700000000000006</v>
      </c>
      <c r="AF331" s="8">
        <v>8.64</v>
      </c>
      <c r="AG331" s="8">
        <v>8.25</v>
      </c>
      <c r="AH331" s="8">
        <v>10.25</v>
      </c>
      <c r="AI331" s="8">
        <v>9.18</v>
      </c>
      <c r="AJ331" s="8">
        <v>8.1</v>
      </c>
      <c r="AK331" s="8">
        <v>10.27</v>
      </c>
      <c r="AL331" s="8">
        <v>9.81</v>
      </c>
      <c r="AM331" s="8">
        <v>10.1</v>
      </c>
      <c r="AN331" s="8">
        <v>10.43</v>
      </c>
      <c r="AO331" s="8">
        <v>10.5</v>
      </c>
      <c r="AP331" s="8">
        <v>10.85</v>
      </c>
      <c r="AQ331" s="8">
        <v>9.91</v>
      </c>
      <c r="AR331" s="8">
        <v>10</v>
      </c>
      <c r="AS331" s="8">
        <v>8.14</v>
      </c>
      <c r="AT331" s="8">
        <v>11.17</v>
      </c>
      <c r="AU331" s="6">
        <v>9.9</v>
      </c>
      <c r="AV331" s="6">
        <v>11.02</v>
      </c>
      <c r="AW331" s="6">
        <v>11.14</v>
      </c>
      <c r="AX331" s="6">
        <v>9.44</v>
      </c>
      <c r="AY331" s="6">
        <v>8.93</v>
      </c>
      <c r="AZ331" s="6">
        <v>9.64</v>
      </c>
      <c r="BA331" s="6">
        <v>10.46</v>
      </c>
      <c r="BB331" s="6">
        <v>9.9700000000000006</v>
      </c>
      <c r="BC331" s="6">
        <v>13.3</v>
      </c>
      <c r="BD331" s="6">
        <v>9.68</v>
      </c>
      <c r="BE331" s="6">
        <v>12.11</v>
      </c>
      <c r="BF331" s="6">
        <v>9.64</v>
      </c>
      <c r="BG331" s="6">
        <v>8.77</v>
      </c>
      <c r="BH331" s="6">
        <v>9.4700000000000006</v>
      </c>
      <c r="BI331" s="6">
        <v>8.9499999999999993</v>
      </c>
      <c r="BJ331" s="6">
        <v>11.7</v>
      </c>
      <c r="BK331" s="6">
        <v>10.8</v>
      </c>
      <c r="BL331" s="6">
        <v>10.09</v>
      </c>
      <c r="BM331" s="6">
        <v>10.82</v>
      </c>
      <c r="BN331" s="6">
        <v>7.3</v>
      </c>
      <c r="BO331" s="6">
        <v>9.74</v>
      </c>
      <c r="BP331" s="6">
        <v>10.199999999999999</v>
      </c>
      <c r="BQ331" s="6">
        <v>9.9600000000000009</v>
      </c>
      <c r="BR331" s="6">
        <v>8.98</v>
      </c>
      <c r="BS331" s="6">
        <v>10.3</v>
      </c>
      <c r="BT331" s="6">
        <v>12.06</v>
      </c>
      <c r="BU331" s="6">
        <v>10.199999999999999</v>
      </c>
      <c r="BV331" s="6">
        <v>10.6</v>
      </c>
      <c r="BW331" s="6">
        <v>10.32</v>
      </c>
      <c r="BX331" s="6">
        <v>10.64</v>
      </c>
      <c r="BY331" s="6">
        <v>10.82</v>
      </c>
      <c r="BZ331" s="6">
        <v>7.08</v>
      </c>
      <c r="CA331" s="6">
        <v>10.68</v>
      </c>
      <c r="CB331" s="6">
        <v>11.54</v>
      </c>
      <c r="CC331" s="6">
        <v>9.26</v>
      </c>
      <c r="CD331" s="6">
        <v>9.76</v>
      </c>
      <c r="CE331" s="6">
        <v>10.8</v>
      </c>
      <c r="CF331" s="6">
        <v>9.1999999999999993</v>
      </c>
      <c r="CG331" s="6">
        <v>10.3</v>
      </c>
      <c r="CH331" s="6">
        <v>10.039999999999999</v>
      </c>
      <c r="CI331" s="6">
        <v>10</v>
      </c>
      <c r="CJ331" s="11">
        <v>9.8000000000000007</v>
      </c>
      <c r="CK331" s="6">
        <v>10.74</v>
      </c>
      <c r="CL331" s="6">
        <v>9.82</v>
      </c>
      <c r="CM331" s="6">
        <v>12.19</v>
      </c>
      <c r="CN331" s="6">
        <v>8.2799999999999994</v>
      </c>
      <c r="CO331" s="10">
        <v>7.7</v>
      </c>
      <c r="CP331" s="10"/>
    </row>
    <row r="332" spans="1:94" ht="15.75" customHeight="1" x14ac:dyDescent="0.25">
      <c r="A332" s="4">
        <v>331</v>
      </c>
      <c r="B332" s="4"/>
      <c r="C332" s="4">
        <v>26</v>
      </c>
      <c r="D332" s="8">
        <v>9.93</v>
      </c>
      <c r="E332" s="8">
        <v>10.43</v>
      </c>
      <c r="F332" s="8">
        <v>8</v>
      </c>
      <c r="G332" s="8">
        <v>12.08</v>
      </c>
      <c r="H332" s="8">
        <v>8.58</v>
      </c>
      <c r="I332" s="8">
        <v>7.71</v>
      </c>
      <c r="J332" s="8">
        <v>7.9</v>
      </c>
      <c r="K332" s="8">
        <v>9.83</v>
      </c>
      <c r="L332" s="8">
        <v>7.7</v>
      </c>
      <c r="M332" s="8">
        <v>9.91</v>
      </c>
      <c r="N332" s="8">
        <v>8.39</v>
      </c>
      <c r="O332" s="8">
        <v>9.51</v>
      </c>
      <c r="P332" s="8">
        <v>9.66</v>
      </c>
      <c r="Q332" s="8">
        <v>10.18</v>
      </c>
      <c r="R332" s="8">
        <v>11.58</v>
      </c>
      <c r="S332" s="8">
        <v>8.56</v>
      </c>
      <c r="T332" s="8">
        <v>9.76</v>
      </c>
      <c r="U332" s="8">
        <v>9.5299999999999994</v>
      </c>
      <c r="V332" s="8">
        <v>9.31</v>
      </c>
      <c r="W332" s="8">
        <v>12.31</v>
      </c>
      <c r="X332" s="8">
        <v>9.6999999999999993</v>
      </c>
      <c r="Y332" s="8">
        <v>11.69</v>
      </c>
      <c r="Z332" s="8">
        <v>8.7200000000000006</v>
      </c>
      <c r="AA332" s="8">
        <v>8.2100000000000009</v>
      </c>
      <c r="AB332" s="8">
        <v>10.51</v>
      </c>
      <c r="AC332" s="8">
        <v>9.3699999999999992</v>
      </c>
      <c r="AD332" s="8">
        <v>10.9</v>
      </c>
      <c r="AE332" s="8">
        <v>9.49</v>
      </c>
      <c r="AF332" s="8">
        <v>8.59</v>
      </c>
      <c r="AG332" s="8">
        <v>8.1999999999999993</v>
      </c>
      <c r="AH332" s="8">
        <v>10.119999999999999</v>
      </c>
      <c r="AI332" s="8">
        <v>9.07</v>
      </c>
      <c r="AJ332" s="8">
        <v>8.01</v>
      </c>
      <c r="AK332" s="8">
        <v>10.16</v>
      </c>
      <c r="AL332" s="8">
        <v>9.7799999999999994</v>
      </c>
      <c r="AM332" s="8">
        <v>9.9700000000000006</v>
      </c>
      <c r="AN332" s="8">
        <v>10.43</v>
      </c>
      <c r="AO332" s="8">
        <v>10.45</v>
      </c>
      <c r="AP332" s="8">
        <v>10.84</v>
      </c>
      <c r="AQ332" s="8">
        <v>9.7899999999999991</v>
      </c>
      <c r="AR332" s="8">
        <v>10</v>
      </c>
      <c r="AS332" s="8">
        <v>7.99</v>
      </c>
      <c r="AT332" s="8">
        <v>11.14</v>
      </c>
      <c r="AU332" s="6">
        <v>9.85</v>
      </c>
      <c r="AV332" s="6">
        <v>11.02</v>
      </c>
      <c r="AW332" s="6">
        <v>11</v>
      </c>
      <c r="AX332" s="6">
        <v>9.35</v>
      </c>
      <c r="AY332" s="6">
        <v>8.81</v>
      </c>
      <c r="AZ332" s="6">
        <v>9.4600000000000009</v>
      </c>
      <c r="BA332" s="6">
        <v>10.43</v>
      </c>
      <c r="BB332" s="6">
        <v>9.9600000000000009</v>
      </c>
      <c r="BC332" s="6">
        <v>13.27</v>
      </c>
      <c r="BD332" s="6">
        <v>9.52</v>
      </c>
      <c r="BE332" s="6">
        <v>12.13</v>
      </c>
      <c r="BF332" s="6">
        <v>9.5</v>
      </c>
      <c r="BG332" s="6">
        <v>8.69</v>
      </c>
      <c r="BH332" s="6">
        <v>9.35</v>
      </c>
      <c r="BI332" s="6">
        <v>9.06</v>
      </c>
      <c r="BJ332" s="6">
        <v>11.6</v>
      </c>
      <c r="BK332" s="6">
        <v>10.72</v>
      </c>
      <c r="BL332" s="6">
        <v>10.039999999999999</v>
      </c>
      <c r="BM332" s="6">
        <v>10.84</v>
      </c>
      <c r="BN332" s="6">
        <v>7.28</v>
      </c>
      <c r="BO332" s="6">
        <v>9.68</v>
      </c>
      <c r="BP332" s="6">
        <v>10</v>
      </c>
      <c r="BQ332" s="6">
        <v>9.74</v>
      </c>
      <c r="BR332" s="6">
        <v>8.94</v>
      </c>
      <c r="BS332" s="11">
        <v>10.26</v>
      </c>
      <c r="BT332" s="6">
        <v>12.04</v>
      </c>
      <c r="BU332" s="6">
        <v>10.119999999999999</v>
      </c>
      <c r="BV332" s="6">
        <v>10.75</v>
      </c>
      <c r="BW332" s="6">
        <v>10.32</v>
      </c>
      <c r="BX332" s="6">
        <v>10.56</v>
      </c>
      <c r="BY332" s="6">
        <v>10.82</v>
      </c>
      <c r="BZ332" s="6">
        <v>7</v>
      </c>
      <c r="CA332" s="6">
        <v>10.64</v>
      </c>
      <c r="CB332" s="6">
        <v>11.44</v>
      </c>
      <c r="CC332" s="6">
        <v>9.1</v>
      </c>
      <c r="CD332" s="6">
        <v>9.6</v>
      </c>
      <c r="CE332" s="6">
        <v>10.76</v>
      </c>
      <c r="CF332" s="6">
        <v>9.18</v>
      </c>
      <c r="CG332" s="6">
        <v>10.199999999999999</v>
      </c>
      <c r="CH332" s="6">
        <v>9.86</v>
      </c>
      <c r="CI332" s="6">
        <v>9.9</v>
      </c>
      <c r="CJ332" s="11">
        <v>9.8800000000000008</v>
      </c>
      <c r="CK332" s="6">
        <v>10.76</v>
      </c>
      <c r="CL332" s="6">
        <v>9.76</v>
      </c>
      <c r="CM332" s="6">
        <v>12.14</v>
      </c>
      <c r="CN332" s="6">
        <v>8.1999999999999993</v>
      </c>
      <c r="CO332" s="10">
        <v>7.75</v>
      </c>
      <c r="CP332" s="10"/>
    </row>
    <row r="333" spans="1:94" ht="15.75" customHeight="1" x14ac:dyDescent="0.25">
      <c r="A333" s="4">
        <v>332</v>
      </c>
      <c r="B333" s="4"/>
      <c r="C333" s="4">
        <v>27</v>
      </c>
      <c r="D333" s="8">
        <v>9.89</v>
      </c>
      <c r="E333" s="8">
        <v>10.38</v>
      </c>
      <c r="F333" s="8">
        <v>7.96</v>
      </c>
      <c r="G333" s="8">
        <v>12.23</v>
      </c>
      <c r="H333" s="8">
        <v>8.5299999999999994</v>
      </c>
      <c r="I333" s="8">
        <v>7.82</v>
      </c>
      <c r="J333" s="8">
        <v>7.68</v>
      </c>
      <c r="K333" s="8">
        <v>9.75</v>
      </c>
      <c r="L333" s="8">
        <v>7.49</v>
      </c>
      <c r="M333" s="8">
        <v>9.85</v>
      </c>
      <c r="N333" s="8">
        <v>8.31</v>
      </c>
      <c r="O333" s="8">
        <v>9.5</v>
      </c>
      <c r="P333" s="8">
        <v>9.6</v>
      </c>
      <c r="Q333" s="8">
        <v>10.26</v>
      </c>
      <c r="R333" s="8">
        <v>11.53</v>
      </c>
      <c r="S333" s="8">
        <v>8.41</v>
      </c>
      <c r="T333" s="8">
        <v>9.66</v>
      </c>
      <c r="U333" s="8">
        <v>9.4600000000000009</v>
      </c>
      <c r="V333" s="8">
        <v>9.43</v>
      </c>
      <c r="W333" s="8">
        <v>12.21</v>
      </c>
      <c r="X333" s="8">
        <v>9.7200000000000006</v>
      </c>
      <c r="Y333" s="8">
        <v>11.48</v>
      </c>
      <c r="Z333" s="8">
        <v>8.7100000000000009</v>
      </c>
      <c r="AA333" s="8">
        <v>8.0500000000000007</v>
      </c>
      <c r="AB333" s="8">
        <v>10.45</v>
      </c>
      <c r="AC333" s="8">
        <v>9.2799999999999994</v>
      </c>
      <c r="AD333" s="8">
        <v>10.89</v>
      </c>
      <c r="AE333" s="8">
        <v>9.51</v>
      </c>
      <c r="AF333" s="8">
        <v>8.5500000000000007</v>
      </c>
      <c r="AG333" s="8">
        <v>8.1300000000000008</v>
      </c>
      <c r="AH333" s="8">
        <v>10.050000000000001</v>
      </c>
      <c r="AI333" s="8">
        <v>8.9499999999999993</v>
      </c>
      <c r="AJ333" s="8">
        <v>7.92</v>
      </c>
      <c r="AK333" s="8">
        <v>10.02</v>
      </c>
      <c r="AL333" s="8">
        <v>9.74</v>
      </c>
      <c r="AM333" s="8">
        <v>9.83</v>
      </c>
      <c r="AN333" s="8">
        <v>10.44</v>
      </c>
      <c r="AO333" s="8">
        <v>10.32</v>
      </c>
      <c r="AP333" s="8">
        <v>10.84</v>
      </c>
      <c r="AQ333" s="8">
        <v>9.68</v>
      </c>
      <c r="AR333" s="8">
        <v>9.93</v>
      </c>
      <c r="AS333" s="8">
        <v>7.91</v>
      </c>
      <c r="AT333" s="8">
        <v>11.11</v>
      </c>
      <c r="AU333" s="6">
        <v>9.77</v>
      </c>
      <c r="AV333" s="6">
        <v>10.98</v>
      </c>
      <c r="AW333" s="6">
        <v>10.89</v>
      </c>
      <c r="AX333" s="6">
        <v>9.23</v>
      </c>
      <c r="AY333" s="6">
        <v>8.7200000000000006</v>
      </c>
      <c r="AZ333" s="6">
        <v>9.31</v>
      </c>
      <c r="BA333" s="6">
        <v>10.39</v>
      </c>
      <c r="BB333" s="6">
        <v>9.98</v>
      </c>
      <c r="BC333" s="6">
        <v>13.25</v>
      </c>
      <c r="BD333" s="6">
        <v>9.4</v>
      </c>
      <c r="BE333" s="6">
        <v>12.13</v>
      </c>
      <c r="BF333" s="6">
        <v>9.35</v>
      </c>
      <c r="BG333" s="6">
        <v>8.64</v>
      </c>
      <c r="BH333" s="6">
        <v>9.25</v>
      </c>
      <c r="BI333" s="6">
        <v>9.14</v>
      </c>
      <c r="BJ333" s="6">
        <v>11.5</v>
      </c>
      <c r="BK333" s="6">
        <v>10.65</v>
      </c>
      <c r="BL333" s="6">
        <v>9.98</v>
      </c>
      <c r="BM333" s="6">
        <v>10.9</v>
      </c>
      <c r="BN333" s="6">
        <v>7.2</v>
      </c>
      <c r="BO333" s="6">
        <v>9.6</v>
      </c>
      <c r="BP333" s="6">
        <v>9.84</v>
      </c>
      <c r="BQ333" s="6">
        <v>9.6</v>
      </c>
      <c r="BR333" s="6">
        <v>8.6999999999999993</v>
      </c>
      <c r="BS333" s="11">
        <v>10.199999999999999</v>
      </c>
      <c r="BT333" s="6">
        <v>12</v>
      </c>
      <c r="BU333" s="6">
        <v>10.039999999999999</v>
      </c>
      <c r="BV333" s="6">
        <v>10.9</v>
      </c>
      <c r="BW333" s="6">
        <v>10.3</v>
      </c>
      <c r="BX333" s="6">
        <v>10.5</v>
      </c>
      <c r="BY333" s="6">
        <v>10.86</v>
      </c>
      <c r="BZ333" s="6">
        <v>7</v>
      </c>
      <c r="CA333" s="6">
        <v>10.7</v>
      </c>
      <c r="CB333" s="6">
        <v>11.48</v>
      </c>
      <c r="CC333" s="6">
        <v>9.1</v>
      </c>
      <c r="CD333" s="6">
        <v>9.5</v>
      </c>
      <c r="CE333" s="6">
        <v>10.7</v>
      </c>
      <c r="CF333" s="6">
        <v>9.16</v>
      </c>
      <c r="CG333" s="6">
        <v>10.14</v>
      </c>
      <c r="CH333" s="6">
        <v>9.74</v>
      </c>
      <c r="CI333" s="6">
        <v>9.8000000000000007</v>
      </c>
      <c r="CJ333" s="11">
        <v>9.84</v>
      </c>
      <c r="CK333" s="6">
        <v>10.78</v>
      </c>
      <c r="CL333" s="6">
        <v>9.66</v>
      </c>
      <c r="CM333" s="6">
        <v>12.04</v>
      </c>
      <c r="CN333" s="6">
        <v>8.07</v>
      </c>
      <c r="CO333" s="10">
        <v>7.84</v>
      </c>
      <c r="CP333" s="10"/>
    </row>
    <row r="334" spans="1:94" ht="15.75" customHeight="1" x14ac:dyDescent="0.25">
      <c r="A334" s="4">
        <v>333</v>
      </c>
      <c r="B334" s="4"/>
      <c r="C334" s="4">
        <v>28</v>
      </c>
      <c r="D334" s="8">
        <v>9.85</v>
      </c>
      <c r="E334" s="8">
        <v>10.33</v>
      </c>
      <c r="F334" s="8">
        <v>7.92</v>
      </c>
      <c r="G334" s="8">
        <v>12.28</v>
      </c>
      <c r="H334" s="8">
        <v>8.4700000000000006</v>
      </c>
      <c r="I334" s="8">
        <v>7.84</v>
      </c>
      <c r="J334" s="8">
        <v>7.38</v>
      </c>
      <c r="K334" s="8">
        <v>9.67</v>
      </c>
      <c r="L334" s="8">
        <v>7.3</v>
      </c>
      <c r="M334" s="8">
        <v>9.81</v>
      </c>
      <c r="N334" s="8">
        <v>8.24</v>
      </c>
      <c r="O334" s="8">
        <v>9.49</v>
      </c>
      <c r="P334" s="8">
        <v>9.5500000000000007</v>
      </c>
      <c r="Q334" s="8">
        <v>10.220000000000001</v>
      </c>
      <c r="R334" s="8">
        <v>11.53</v>
      </c>
      <c r="S334" s="8">
        <v>8.31</v>
      </c>
      <c r="T334" s="8">
        <v>9.5299999999999994</v>
      </c>
      <c r="U334" s="8">
        <v>9.26</v>
      </c>
      <c r="V334" s="8">
        <v>9.5299999999999994</v>
      </c>
      <c r="W334" s="8">
        <v>12.11</v>
      </c>
      <c r="X334" s="8">
        <v>9.81</v>
      </c>
      <c r="Y334" s="8">
        <v>11.31</v>
      </c>
      <c r="Z334" s="8">
        <v>8.68</v>
      </c>
      <c r="AA334" s="8">
        <v>7.9</v>
      </c>
      <c r="AB334" s="8">
        <v>10.35</v>
      </c>
      <c r="AC334" s="8">
        <v>9.18</v>
      </c>
      <c r="AD334" s="8">
        <v>10.89</v>
      </c>
      <c r="AE334" s="8">
        <v>9.5</v>
      </c>
      <c r="AF334" s="8">
        <v>8.5299999999999994</v>
      </c>
      <c r="AG334" s="8">
        <v>8</v>
      </c>
      <c r="AH334" s="8">
        <v>10.050000000000001</v>
      </c>
      <c r="AI334" s="8">
        <v>8.8699999999999992</v>
      </c>
      <c r="AJ334" s="8">
        <v>7.83</v>
      </c>
      <c r="AK334" s="8">
        <v>9.89</v>
      </c>
      <c r="AL334" s="8">
        <v>9.7100000000000009</v>
      </c>
      <c r="AM334" s="8">
        <v>9.66</v>
      </c>
      <c r="AN334" s="8">
        <v>10.39</v>
      </c>
      <c r="AO334" s="8">
        <v>10.14</v>
      </c>
      <c r="AP334" s="8">
        <v>10.89</v>
      </c>
      <c r="AQ334" s="8">
        <v>9.57</v>
      </c>
      <c r="AR334" s="8">
        <v>9.85</v>
      </c>
      <c r="AS334" s="8">
        <v>7.79</v>
      </c>
      <c r="AT334" s="8">
        <v>11.03</v>
      </c>
      <c r="AU334" s="6">
        <v>9.67</v>
      </c>
      <c r="AV334" s="6">
        <v>10.98</v>
      </c>
      <c r="AW334" s="6">
        <v>10.8</v>
      </c>
      <c r="AX334" s="6">
        <v>9.1</v>
      </c>
      <c r="AY334" s="6">
        <v>8.64</v>
      </c>
      <c r="AZ334" s="6">
        <v>9.18</v>
      </c>
      <c r="BA334" s="6">
        <v>10.31</v>
      </c>
      <c r="BB334" s="6">
        <v>10.029999999999999</v>
      </c>
      <c r="BC334" s="6">
        <v>13.21</v>
      </c>
      <c r="BD334" s="6">
        <v>9.2100000000000009</v>
      </c>
      <c r="BE334" s="6">
        <v>12.13</v>
      </c>
      <c r="BF334" s="6">
        <v>9.27</v>
      </c>
      <c r="BG334" s="6">
        <v>8.64</v>
      </c>
      <c r="BH334" s="6">
        <v>9.1300000000000008</v>
      </c>
      <c r="BI334" s="6">
        <v>9.16</v>
      </c>
      <c r="BJ334" s="6">
        <v>11.41</v>
      </c>
      <c r="BK334" s="6">
        <v>10.62</v>
      </c>
      <c r="BL334" s="6">
        <v>9.8800000000000008</v>
      </c>
      <c r="BM334" s="6">
        <v>10.82</v>
      </c>
      <c r="BN334" s="6">
        <v>7.2</v>
      </c>
      <c r="BO334" s="6">
        <v>9.5</v>
      </c>
      <c r="BP334" s="6">
        <v>9.68</v>
      </c>
      <c r="BQ334" s="6">
        <v>9.5</v>
      </c>
      <c r="BR334" s="6">
        <v>8.58</v>
      </c>
      <c r="BS334" s="11">
        <v>10.28</v>
      </c>
      <c r="BT334" s="6">
        <v>11.9</v>
      </c>
      <c r="BU334" s="6">
        <v>9.94</v>
      </c>
      <c r="BV334" s="6">
        <v>11</v>
      </c>
      <c r="BW334" s="6">
        <v>10.5</v>
      </c>
      <c r="BX334" s="6">
        <v>10.38</v>
      </c>
      <c r="BY334" s="6">
        <v>10.86</v>
      </c>
      <c r="BZ334" s="6">
        <v>7</v>
      </c>
      <c r="CA334" s="6">
        <v>10.77</v>
      </c>
      <c r="CB334" s="6">
        <v>11.46</v>
      </c>
      <c r="CC334" s="6">
        <v>9</v>
      </c>
      <c r="CD334" s="6">
        <v>9.3800000000000008</v>
      </c>
      <c r="CE334" s="6">
        <v>10.64</v>
      </c>
      <c r="CF334" s="6">
        <v>9.06</v>
      </c>
      <c r="CG334" s="6">
        <v>10.039999999999999</v>
      </c>
      <c r="CH334" s="6">
        <v>9.5399999999999991</v>
      </c>
      <c r="CI334" s="6">
        <v>9.6999999999999993</v>
      </c>
      <c r="CJ334" s="11">
        <v>9.8000000000000007</v>
      </c>
      <c r="CK334" s="6">
        <v>10.82</v>
      </c>
      <c r="CL334" s="6">
        <v>9.58</v>
      </c>
      <c r="CM334" s="6">
        <v>11.97</v>
      </c>
      <c r="CN334" s="6">
        <v>7.96</v>
      </c>
      <c r="CO334" s="10">
        <v>7.96</v>
      </c>
      <c r="CP334" s="10"/>
    </row>
    <row r="335" spans="1:94" ht="15.75" customHeight="1" x14ac:dyDescent="0.25">
      <c r="A335" s="4">
        <v>334</v>
      </c>
      <c r="B335" s="4"/>
      <c r="C335" s="4">
        <v>29</v>
      </c>
      <c r="D335" s="8">
        <v>9.82</v>
      </c>
      <c r="E335" s="8">
        <v>10.220000000000001</v>
      </c>
      <c r="F335" s="8">
        <v>7.88</v>
      </c>
      <c r="G335" s="8">
        <v>12.33</v>
      </c>
      <c r="H335" s="8">
        <v>8.43</v>
      </c>
      <c r="I335" s="8">
        <v>7.86</v>
      </c>
      <c r="J335" s="8">
        <v>7.06</v>
      </c>
      <c r="K335" s="8">
        <v>9.57</v>
      </c>
      <c r="L335" s="8">
        <v>7.16</v>
      </c>
      <c r="M335" s="8">
        <v>9.77</v>
      </c>
      <c r="N335" s="8">
        <v>8.2100000000000009</v>
      </c>
      <c r="O335" s="8">
        <v>9.4499999999999993</v>
      </c>
      <c r="P335" s="8">
        <v>9.4700000000000006</v>
      </c>
      <c r="Q335" s="8">
        <v>10.17</v>
      </c>
      <c r="R335" s="8">
        <v>11.38</v>
      </c>
      <c r="S335" s="8">
        <v>8.2200000000000006</v>
      </c>
      <c r="T335" s="8">
        <v>9.4600000000000009</v>
      </c>
      <c r="U335" s="8">
        <v>9.07</v>
      </c>
      <c r="V335" s="8">
        <v>9.5299999999999994</v>
      </c>
      <c r="W335" s="8">
        <v>12.01</v>
      </c>
      <c r="X335" s="8">
        <v>9.9499999999999993</v>
      </c>
      <c r="Y335" s="8">
        <v>11.1</v>
      </c>
      <c r="Z335" s="8">
        <v>8.66</v>
      </c>
      <c r="AA335" s="8">
        <v>7.78</v>
      </c>
      <c r="AB335" s="8">
        <v>10.220000000000001</v>
      </c>
      <c r="AC335" s="8">
        <v>9.1300000000000008</v>
      </c>
      <c r="AD335" s="8">
        <v>10.95</v>
      </c>
      <c r="AE335" s="8">
        <v>9.5</v>
      </c>
      <c r="AF335" s="8">
        <v>8.4499999999999993</v>
      </c>
      <c r="AG335" s="8">
        <v>7.88</v>
      </c>
      <c r="AH335" s="8">
        <v>10.050000000000001</v>
      </c>
      <c r="AI335" s="8">
        <v>8.84</v>
      </c>
      <c r="AJ335" s="8">
        <v>7.78</v>
      </c>
      <c r="AK335" s="8">
        <v>9.81</v>
      </c>
      <c r="AL335" s="8">
        <v>9.66</v>
      </c>
      <c r="AM335" s="8">
        <v>9.49</v>
      </c>
      <c r="AN335" s="8">
        <v>10.34</v>
      </c>
      <c r="AO335" s="8">
        <v>9.93</v>
      </c>
      <c r="AP335" s="8">
        <v>10.89</v>
      </c>
      <c r="AQ335" s="8">
        <v>9.4700000000000006</v>
      </c>
      <c r="AR335" s="8">
        <v>9.7200000000000006</v>
      </c>
      <c r="AS335" s="8">
        <v>7.68</v>
      </c>
      <c r="AT335" s="8">
        <v>10.95</v>
      </c>
      <c r="AU335" s="6">
        <v>9.56</v>
      </c>
      <c r="AV335" s="6">
        <v>10.94</v>
      </c>
      <c r="AW335" s="6">
        <v>10.72</v>
      </c>
      <c r="AX335" s="6">
        <v>8.93</v>
      </c>
      <c r="AY335" s="6">
        <v>8.56</v>
      </c>
      <c r="AZ335" s="6">
        <v>9.06</v>
      </c>
      <c r="BA335" s="6">
        <v>10.23</v>
      </c>
      <c r="BB335" s="6">
        <v>10.029999999999999</v>
      </c>
      <c r="BC335" s="6">
        <v>13.15</v>
      </c>
      <c r="BD335" s="6">
        <v>9.1999999999999993</v>
      </c>
      <c r="BE335" s="6">
        <v>12.11</v>
      </c>
      <c r="BF335" s="6">
        <v>9.15</v>
      </c>
      <c r="BG335" s="6">
        <v>8.69</v>
      </c>
      <c r="BH335" s="6">
        <v>9</v>
      </c>
      <c r="BI335" s="6">
        <v>9.14</v>
      </c>
      <c r="BJ335" s="6">
        <v>11.38</v>
      </c>
      <c r="BK335" s="6">
        <v>10.58</v>
      </c>
      <c r="BL335" s="6">
        <v>9.7799999999999994</v>
      </c>
      <c r="BM335" s="6">
        <v>10.78</v>
      </c>
      <c r="BN335" s="6">
        <v>7.22</v>
      </c>
      <c r="BO335" s="6">
        <v>9.4</v>
      </c>
      <c r="BP335" s="6">
        <v>9.56</v>
      </c>
      <c r="BQ335" s="6">
        <v>9.42</v>
      </c>
      <c r="BR335" s="6">
        <v>8.44</v>
      </c>
      <c r="BS335" s="11">
        <v>10.199999999999999</v>
      </c>
      <c r="BT335" s="6">
        <v>11.82</v>
      </c>
      <c r="BU335" s="6">
        <v>9.82</v>
      </c>
      <c r="BV335" s="6">
        <v>10.9</v>
      </c>
      <c r="BW335" s="6">
        <v>10.64</v>
      </c>
      <c r="BX335" s="6">
        <v>10.1</v>
      </c>
      <c r="BY335" s="6">
        <v>10.86</v>
      </c>
      <c r="BZ335" s="6">
        <v>6.9</v>
      </c>
      <c r="CA335" s="6">
        <v>10.88</v>
      </c>
      <c r="CB335" s="6">
        <v>11.4</v>
      </c>
      <c r="CC335" s="6">
        <v>8.9</v>
      </c>
      <c r="CD335" s="6">
        <v>9.34</v>
      </c>
      <c r="CE335" s="6">
        <v>10.62</v>
      </c>
      <c r="CF335" s="6">
        <v>9.02</v>
      </c>
      <c r="CG335" s="6">
        <v>10</v>
      </c>
      <c r="CH335" s="6">
        <v>9.4</v>
      </c>
      <c r="CI335" s="6">
        <v>9.69</v>
      </c>
      <c r="CJ335" s="11">
        <v>9.7799999999999994</v>
      </c>
      <c r="CK335" s="6">
        <v>10.96</v>
      </c>
      <c r="CL335" s="6">
        <v>9.5399999999999991</v>
      </c>
      <c r="CM335" s="6">
        <v>11.94</v>
      </c>
      <c r="CN335" s="6">
        <v>7.84</v>
      </c>
      <c r="CO335" s="10">
        <v>8.07</v>
      </c>
      <c r="CP335" s="10"/>
    </row>
    <row r="336" spans="1:94" ht="15.75" customHeight="1" x14ac:dyDescent="0.25">
      <c r="A336" s="4">
        <v>335</v>
      </c>
      <c r="B336" s="4"/>
      <c r="C336" s="4">
        <v>30</v>
      </c>
      <c r="D336" s="8">
        <v>9.7799999999999994</v>
      </c>
      <c r="E336" s="8">
        <v>10.130000000000001</v>
      </c>
      <c r="F336" s="8">
        <v>7.83</v>
      </c>
      <c r="G336" s="8">
        <v>12.33</v>
      </c>
      <c r="H336" s="8">
        <v>8.3800000000000008</v>
      </c>
      <c r="I336" s="8">
        <v>7.92</v>
      </c>
      <c r="J336" s="8">
        <v>6.98</v>
      </c>
      <c r="K336" s="8">
        <v>9.49</v>
      </c>
      <c r="L336" s="8">
        <v>7.16</v>
      </c>
      <c r="M336" s="8">
        <v>9.7200000000000006</v>
      </c>
      <c r="N336" s="8">
        <v>8.1199999999999992</v>
      </c>
      <c r="O336" s="8">
        <v>9.3800000000000008</v>
      </c>
      <c r="P336" s="8">
        <v>9.35</v>
      </c>
      <c r="Q336" s="8">
        <v>10.07</v>
      </c>
      <c r="R336" s="8">
        <v>11.19</v>
      </c>
      <c r="S336" s="8">
        <v>8.2100000000000009</v>
      </c>
      <c r="T336" s="8">
        <v>9.39</v>
      </c>
      <c r="U336" s="8">
        <v>8.99</v>
      </c>
      <c r="V336" s="8">
        <v>9.51</v>
      </c>
      <c r="W336" s="8">
        <v>11.89</v>
      </c>
      <c r="X336" s="8">
        <v>10.14</v>
      </c>
      <c r="Y336" s="8">
        <v>10.86</v>
      </c>
      <c r="Z336" s="8">
        <v>8.6300000000000008</v>
      </c>
      <c r="AA336" s="8">
        <v>7.65</v>
      </c>
      <c r="AB336" s="8">
        <v>10.1</v>
      </c>
      <c r="AC336" s="8">
        <v>9.08</v>
      </c>
      <c r="AD336" s="8">
        <v>10.99</v>
      </c>
      <c r="AE336" s="8">
        <v>9.4499999999999993</v>
      </c>
      <c r="AF336" s="8">
        <v>8.35</v>
      </c>
      <c r="AG336" s="8">
        <v>7.76</v>
      </c>
      <c r="AH336" s="8">
        <v>10.050000000000001</v>
      </c>
      <c r="AI336" s="8">
        <v>8.89</v>
      </c>
      <c r="AJ336" s="8">
        <v>7.73</v>
      </c>
      <c r="AK336" s="8">
        <v>9.7200000000000006</v>
      </c>
      <c r="AL336" s="8">
        <v>9.6199999999999992</v>
      </c>
      <c r="AM336" s="8">
        <v>9.2799999999999994</v>
      </c>
      <c r="AN336" s="8">
        <v>10.31</v>
      </c>
      <c r="AO336" s="8">
        <v>9.76</v>
      </c>
      <c r="AP336" s="8">
        <v>10.87</v>
      </c>
      <c r="AQ336" s="8">
        <v>9.41</v>
      </c>
      <c r="AR336" s="8">
        <v>9.6300000000000008</v>
      </c>
      <c r="AS336" s="8">
        <v>7.6</v>
      </c>
      <c r="AT336" s="8">
        <v>10.83</v>
      </c>
      <c r="AU336" s="6">
        <v>9.42</v>
      </c>
      <c r="AV336" s="6">
        <v>10.93</v>
      </c>
      <c r="AW336" s="6">
        <v>10.64</v>
      </c>
      <c r="AX336" s="6">
        <v>8.76</v>
      </c>
      <c r="AY336" s="6">
        <v>8.51</v>
      </c>
      <c r="AZ336" s="6">
        <v>8.93</v>
      </c>
      <c r="BA336" s="6">
        <v>10.15</v>
      </c>
      <c r="BB336" s="6">
        <v>10.050000000000001</v>
      </c>
      <c r="BC336" s="6">
        <v>13.11</v>
      </c>
      <c r="BD336" s="6">
        <v>9.15</v>
      </c>
      <c r="BE336" s="6">
        <v>12.09</v>
      </c>
      <c r="BF336" s="6">
        <v>9.06</v>
      </c>
      <c r="BG336" s="6">
        <v>8.8000000000000007</v>
      </c>
      <c r="BH336" s="6">
        <v>8.93</v>
      </c>
      <c r="BI336" s="6">
        <v>9.1199999999999992</v>
      </c>
      <c r="BJ336" s="6">
        <v>11.32</v>
      </c>
      <c r="BK336" s="6">
        <v>10.56</v>
      </c>
      <c r="BL336" s="6">
        <v>9.66</v>
      </c>
      <c r="BM336" s="6">
        <v>10.54</v>
      </c>
      <c r="BN336" s="6">
        <v>7.18</v>
      </c>
      <c r="BO336" s="6">
        <v>9.3000000000000007</v>
      </c>
      <c r="BP336" s="6">
        <v>9.42</v>
      </c>
      <c r="BQ336" s="6">
        <v>9.36</v>
      </c>
      <c r="BR336" s="6">
        <v>8.32</v>
      </c>
      <c r="BS336" s="11">
        <v>10.199999999999999</v>
      </c>
      <c r="BT336" s="6">
        <v>11.74</v>
      </c>
      <c r="BU336" s="6">
        <v>9.74</v>
      </c>
      <c r="BV336" s="6">
        <v>10.8</v>
      </c>
      <c r="BW336" s="6">
        <v>10.7</v>
      </c>
      <c r="BX336" s="6">
        <v>10</v>
      </c>
      <c r="BY336" s="6">
        <v>10.82</v>
      </c>
      <c r="BZ336" s="6">
        <v>6.86</v>
      </c>
      <c r="CA336" s="6">
        <v>10.94</v>
      </c>
      <c r="CB336" s="6">
        <v>11.44</v>
      </c>
      <c r="CC336" s="6">
        <v>8.8000000000000007</v>
      </c>
      <c r="CD336" s="6">
        <v>9.3000000000000007</v>
      </c>
      <c r="CE336" s="6">
        <v>10.6</v>
      </c>
      <c r="CF336" s="6">
        <v>8.86</v>
      </c>
      <c r="CG336" s="6">
        <v>9.94</v>
      </c>
      <c r="CH336" s="6">
        <v>9.3000000000000007</v>
      </c>
      <c r="CI336" s="6">
        <v>9.5</v>
      </c>
      <c r="CJ336" s="11">
        <v>9.7200000000000006</v>
      </c>
      <c r="CK336" s="6">
        <v>11</v>
      </c>
      <c r="CL336" s="6">
        <v>9.42</v>
      </c>
      <c r="CM336" s="6">
        <v>11.94</v>
      </c>
      <c r="CN336" s="6">
        <v>7.75</v>
      </c>
      <c r="CO336" s="10">
        <v>8.06</v>
      </c>
      <c r="CP336" s="10"/>
    </row>
    <row r="337" spans="1:94" ht="15.75" customHeight="1" x14ac:dyDescent="0.25">
      <c r="A337" s="4">
        <v>336</v>
      </c>
      <c r="B337" s="5" t="s">
        <v>15</v>
      </c>
      <c r="C337" s="4">
        <v>1</v>
      </c>
      <c r="D337" s="8">
        <v>9.76</v>
      </c>
      <c r="E337" s="8">
        <v>10.029999999999999</v>
      </c>
      <c r="F337" s="8">
        <v>7.73</v>
      </c>
      <c r="G337" s="8">
        <v>12.28</v>
      </c>
      <c r="H337" s="8">
        <v>8.33</v>
      </c>
      <c r="I337" s="8">
        <v>7.92</v>
      </c>
      <c r="J337" s="8">
        <v>6.93</v>
      </c>
      <c r="K337" s="8">
        <v>9.2899999999999991</v>
      </c>
      <c r="L337" s="8">
        <v>7.16</v>
      </c>
      <c r="M337" s="8">
        <v>9.68</v>
      </c>
      <c r="N337" s="8">
        <v>8.09</v>
      </c>
      <c r="O337" s="8">
        <v>9.26</v>
      </c>
      <c r="P337" s="8">
        <v>9.1999999999999993</v>
      </c>
      <c r="Q337" s="8">
        <v>9.99</v>
      </c>
      <c r="R337" s="8">
        <v>11</v>
      </c>
      <c r="S337" s="8">
        <v>8.16</v>
      </c>
      <c r="T337" s="8">
        <v>9.39</v>
      </c>
      <c r="U337" s="8">
        <v>8.91</v>
      </c>
      <c r="V337" s="8">
        <v>9.4600000000000009</v>
      </c>
      <c r="W337" s="8">
        <v>11.76</v>
      </c>
      <c r="X337" s="8">
        <v>10.27</v>
      </c>
      <c r="Y337" s="8">
        <v>10.62</v>
      </c>
      <c r="Z337" s="8">
        <v>8.6</v>
      </c>
      <c r="AA337" s="8">
        <v>7.53</v>
      </c>
      <c r="AB337" s="8">
        <v>9.99</v>
      </c>
      <c r="AC337" s="8">
        <v>9.02</v>
      </c>
      <c r="AD337" s="8">
        <v>10.99</v>
      </c>
      <c r="AE337" s="8">
        <v>9.35</v>
      </c>
      <c r="AF337" s="8">
        <v>8.24</v>
      </c>
      <c r="AG337" s="8">
        <v>7.68</v>
      </c>
      <c r="AH337" s="8">
        <v>10.07</v>
      </c>
      <c r="AI337" s="8">
        <v>8.93</v>
      </c>
      <c r="AJ337" s="8">
        <v>7.68</v>
      </c>
      <c r="AK337" s="8">
        <v>9.57</v>
      </c>
      <c r="AL337" s="8">
        <v>9.6</v>
      </c>
      <c r="AM337" s="8">
        <v>9.1</v>
      </c>
      <c r="AN337" s="8">
        <v>10.29</v>
      </c>
      <c r="AO337" s="8">
        <v>9.6</v>
      </c>
      <c r="AP337" s="8">
        <v>10.8</v>
      </c>
      <c r="AQ337" s="8">
        <v>9.34</v>
      </c>
      <c r="AR337" s="8">
        <v>9.5399999999999991</v>
      </c>
      <c r="AS337" s="8">
        <v>7.48</v>
      </c>
      <c r="AT337" s="8">
        <v>10.65</v>
      </c>
      <c r="AU337" s="6">
        <v>9.2799999999999994</v>
      </c>
      <c r="AV337" s="6">
        <v>10.77</v>
      </c>
      <c r="AW337" s="6">
        <v>10.53</v>
      </c>
      <c r="AX337" s="6">
        <v>8.61</v>
      </c>
      <c r="AY337" s="6">
        <v>8.4600000000000009</v>
      </c>
      <c r="AZ337" s="6">
        <v>8.82</v>
      </c>
      <c r="BA337" s="6">
        <v>10.07</v>
      </c>
      <c r="BB337" s="6">
        <v>10.029999999999999</v>
      </c>
      <c r="BC337" s="6">
        <v>13.05</v>
      </c>
      <c r="BD337" s="6">
        <v>9</v>
      </c>
      <c r="BE337" s="6">
        <v>12.02</v>
      </c>
      <c r="BF337" s="6">
        <v>8.9700000000000006</v>
      </c>
      <c r="BG337" s="6">
        <v>8.85</v>
      </c>
      <c r="BH337" s="6">
        <v>8.84</v>
      </c>
      <c r="BI337" s="6">
        <v>9.16</v>
      </c>
      <c r="BJ337" s="6">
        <v>11.27</v>
      </c>
      <c r="BK337" s="6">
        <v>10.52</v>
      </c>
      <c r="BL337" s="6">
        <v>9.5399999999999991</v>
      </c>
      <c r="BM337" s="6">
        <v>10.48</v>
      </c>
      <c r="BN337" s="6">
        <v>7.12</v>
      </c>
      <c r="BO337" s="6">
        <v>9.26</v>
      </c>
      <c r="BP337" s="6">
        <v>9.3000000000000007</v>
      </c>
      <c r="BQ337" s="6">
        <v>9.32</v>
      </c>
      <c r="BR337" s="6">
        <v>8.24</v>
      </c>
      <c r="BS337" s="11">
        <v>10.18</v>
      </c>
      <c r="BT337" s="6">
        <v>11.64</v>
      </c>
      <c r="BU337" s="6">
        <v>9.74</v>
      </c>
      <c r="BV337" s="6">
        <v>10.8</v>
      </c>
      <c r="BW337" s="6">
        <v>10.72</v>
      </c>
      <c r="BX337" s="6">
        <v>9.84</v>
      </c>
      <c r="BY337" s="6">
        <v>10.8</v>
      </c>
      <c r="BZ337" s="6">
        <v>6.8</v>
      </c>
      <c r="CA337" s="6">
        <v>11.1</v>
      </c>
      <c r="CB337" s="6">
        <v>11.46</v>
      </c>
      <c r="CC337" s="6">
        <v>8.7200000000000006</v>
      </c>
      <c r="CD337" s="6">
        <v>9.26</v>
      </c>
      <c r="CE337" s="6">
        <v>10.6</v>
      </c>
      <c r="CF337" s="6">
        <v>8.7799999999999994</v>
      </c>
      <c r="CG337" s="6">
        <v>9.9</v>
      </c>
      <c r="CH337" s="6">
        <v>9.14</v>
      </c>
      <c r="CI337" s="6">
        <v>9.4</v>
      </c>
      <c r="CJ337" s="11">
        <v>9.69</v>
      </c>
      <c r="CK337" s="6">
        <v>10.98</v>
      </c>
      <c r="CL337" s="6">
        <v>9.32</v>
      </c>
      <c r="CM337" s="6">
        <v>11.98</v>
      </c>
      <c r="CN337" s="6">
        <v>7.68</v>
      </c>
      <c r="CO337" s="10">
        <v>8.1999999999999993</v>
      </c>
      <c r="CP337" s="10"/>
    </row>
    <row r="338" spans="1:94" ht="15.75" customHeight="1" x14ac:dyDescent="0.25">
      <c r="A338" s="4">
        <v>337</v>
      </c>
      <c r="B338" s="4"/>
      <c r="C338" s="4">
        <v>2</v>
      </c>
      <c r="D338" s="8">
        <v>9.74</v>
      </c>
      <c r="E338" s="8">
        <v>9.8800000000000008</v>
      </c>
      <c r="F338" s="8">
        <v>7.63</v>
      </c>
      <c r="G338" s="8">
        <v>12.23</v>
      </c>
      <c r="H338" s="8">
        <v>8.2200000000000006</v>
      </c>
      <c r="I338" s="8">
        <v>7.92</v>
      </c>
      <c r="J338" s="8">
        <v>6.88</v>
      </c>
      <c r="K338" s="8">
        <v>9.14</v>
      </c>
      <c r="L338" s="8">
        <v>7.13</v>
      </c>
      <c r="M338" s="8">
        <v>9.6</v>
      </c>
      <c r="N338" s="8">
        <v>8.09</v>
      </c>
      <c r="O338" s="8">
        <v>9.14</v>
      </c>
      <c r="P338" s="8">
        <v>9.0500000000000007</v>
      </c>
      <c r="Q338" s="8">
        <v>9.92</v>
      </c>
      <c r="R338" s="8">
        <v>10.82</v>
      </c>
      <c r="S338" s="8">
        <v>8.1300000000000008</v>
      </c>
      <c r="T338" s="8">
        <v>9.35</v>
      </c>
      <c r="U338" s="8">
        <v>8.91</v>
      </c>
      <c r="V338" s="8">
        <v>9.41</v>
      </c>
      <c r="W338" s="8">
        <v>11.61</v>
      </c>
      <c r="X338" s="8">
        <v>10.33</v>
      </c>
      <c r="Y338" s="8">
        <v>10.36</v>
      </c>
      <c r="Z338" s="8">
        <v>8.59</v>
      </c>
      <c r="AA338" s="8">
        <v>7.4</v>
      </c>
      <c r="AB338" s="8">
        <v>9.8699999999999992</v>
      </c>
      <c r="AC338" s="8">
        <v>8.9700000000000006</v>
      </c>
      <c r="AD338" s="8">
        <v>10.94</v>
      </c>
      <c r="AE338" s="8">
        <v>9.2899999999999991</v>
      </c>
      <c r="AF338" s="8">
        <v>8.14</v>
      </c>
      <c r="AG338" s="8">
        <v>7.62</v>
      </c>
      <c r="AH338" s="8">
        <v>10.119999999999999</v>
      </c>
      <c r="AI338" s="8">
        <v>8.9499999999999993</v>
      </c>
      <c r="AJ338" s="8">
        <v>7.62</v>
      </c>
      <c r="AK338" s="8">
        <v>9.43</v>
      </c>
      <c r="AL338" s="8">
        <v>9.6199999999999992</v>
      </c>
      <c r="AM338" s="8">
        <v>8.9499999999999993</v>
      </c>
      <c r="AN338" s="8">
        <v>10.199999999999999</v>
      </c>
      <c r="AO338" s="8">
        <v>9.43</v>
      </c>
      <c r="AP338" s="8">
        <v>10.67</v>
      </c>
      <c r="AQ338" s="8">
        <v>9.31</v>
      </c>
      <c r="AR338" s="8">
        <v>9.4600000000000009</v>
      </c>
      <c r="AS338" s="8">
        <v>7.43</v>
      </c>
      <c r="AT338" s="8">
        <v>10.45</v>
      </c>
      <c r="AU338" s="6">
        <v>9.17</v>
      </c>
      <c r="AV338" s="6">
        <v>10.64</v>
      </c>
      <c r="AW338" s="6">
        <v>10.42</v>
      </c>
      <c r="AX338" s="6">
        <v>8.5</v>
      </c>
      <c r="AY338" s="6">
        <v>8.42</v>
      </c>
      <c r="AZ338" s="6">
        <v>8.7200000000000006</v>
      </c>
      <c r="BA338" s="6">
        <v>9.98</v>
      </c>
      <c r="BB338" s="6">
        <v>10.02</v>
      </c>
      <c r="BC338" s="6">
        <v>12.97</v>
      </c>
      <c r="BD338" s="6">
        <v>8.8000000000000007</v>
      </c>
      <c r="BE338" s="6">
        <v>11.93</v>
      </c>
      <c r="BF338" s="6">
        <v>8.86</v>
      </c>
      <c r="BG338" s="6">
        <v>8.85</v>
      </c>
      <c r="BH338" s="6">
        <v>8.76</v>
      </c>
      <c r="BI338" s="6">
        <v>9.16</v>
      </c>
      <c r="BJ338" s="6">
        <v>11.16</v>
      </c>
      <c r="BK338" s="6">
        <v>10.5</v>
      </c>
      <c r="BL338" s="6">
        <v>9.2799999999999994</v>
      </c>
      <c r="BM338" s="6">
        <v>10.44</v>
      </c>
      <c r="BN338" s="6">
        <v>7.07</v>
      </c>
      <c r="BO338" s="6">
        <v>9.26</v>
      </c>
      <c r="BP338" s="6">
        <v>9.19</v>
      </c>
      <c r="BQ338" s="6">
        <v>9.26</v>
      </c>
      <c r="BR338" s="6">
        <v>8.18</v>
      </c>
      <c r="BS338" s="11">
        <v>10.08</v>
      </c>
      <c r="BT338" s="6">
        <v>11.42</v>
      </c>
      <c r="BU338" s="6">
        <v>9.66</v>
      </c>
      <c r="BV338" s="6">
        <v>10.71</v>
      </c>
      <c r="BW338" s="6">
        <v>10.6</v>
      </c>
      <c r="BX338" s="6">
        <v>9.82</v>
      </c>
      <c r="BY338" s="6">
        <v>10.96</v>
      </c>
      <c r="BZ338" s="6">
        <v>6.68</v>
      </c>
      <c r="CA338" s="6">
        <v>11</v>
      </c>
      <c r="CB338" s="6">
        <v>11.46</v>
      </c>
      <c r="CC338" s="6">
        <v>8.64</v>
      </c>
      <c r="CD338" s="6">
        <v>9.2200000000000006</v>
      </c>
      <c r="CE338" s="6">
        <v>10.54</v>
      </c>
      <c r="CF338" s="6">
        <v>8.68</v>
      </c>
      <c r="CG338" s="6">
        <v>9.8000000000000007</v>
      </c>
      <c r="CH338" s="6">
        <v>9</v>
      </c>
      <c r="CI338" s="6">
        <v>9.4</v>
      </c>
      <c r="CJ338" s="11">
        <v>9.44</v>
      </c>
      <c r="CK338" s="6">
        <v>10.86</v>
      </c>
      <c r="CL338" s="6">
        <v>9.24</v>
      </c>
      <c r="CM338" s="6">
        <v>11.96</v>
      </c>
      <c r="CN338" s="6">
        <v>7.68</v>
      </c>
      <c r="CO338" s="10">
        <v>8.2799999999999994</v>
      </c>
      <c r="CP338" s="10"/>
    </row>
    <row r="339" spans="1:94" ht="15.75" customHeight="1" x14ac:dyDescent="0.25">
      <c r="A339" s="4">
        <v>338</v>
      </c>
      <c r="B339" s="4"/>
      <c r="C339" s="4">
        <v>3</v>
      </c>
      <c r="D339" s="8">
        <v>9.7200000000000006</v>
      </c>
      <c r="E339" s="8">
        <v>9.7200000000000006</v>
      </c>
      <c r="F339" s="8">
        <v>7.48</v>
      </c>
      <c r="G339" s="8">
        <v>12.18</v>
      </c>
      <c r="H339" s="8">
        <v>8.1300000000000008</v>
      </c>
      <c r="I339" s="8">
        <v>7.92</v>
      </c>
      <c r="J339" s="8">
        <v>6.83</v>
      </c>
      <c r="K339" s="8">
        <v>9.07</v>
      </c>
      <c r="L339" s="8">
        <v>7.07</v>
      </c>
      <c r="M339" s="8">
        <v>9.4600000000000009</v>
      </c>
      <c r="N339" s="8">
        <v>8.0500000000000007</v>
      </c>
      <c r="O339" s="8">
        <v>9.0399999999999991</v>
      </c>
      <c r="P339" s="8">
        <v>8.89</v>
      </c>
      <c r="Q339" s="8">
        <v>9.85</v>
      </c>
      <c r="R339" s="8">
        <v>10.66</v>
      </c>
      <c r="S339" s="8">
        <v>8.0299999999999994</v>
      </c>
      <c r="T339" s="8">
        <v>9.2799999999999994</v>
      </c>
      <c r="U339" s="8">
        <v>8.85</v>
      </c>
      <c r="V339" s="8">
        <v>9.35</v>
      </c>
      <c r="W339" s="8">
        <v>11.49</v>
      </c>
      <c r="X339" s="8">
        <v>10.35</v>
      </c>
      <c r="Y339" s="8">
        <v>10.14</v>
      </c>
      <c r="Z339" s="8">
        <v>8.57</v>
      </c>
      <c r="AA339" s="8">
        <v>7.3</v>
      </c>
      <c r="AB339" s="8">
        <v>9.7799999999999994</v>
      </c>
      <c r="AC339" s="8">
        <v>8.93</v>
      </c>
      <c r="AD339" s="8">
        <v>10.9</v>
      </c>
      <c r="AE339" s="8">
        <v>9.14</v>
      </c>
      <c r="AF339" s="8">
        <v>8.08</v>
      </c>
      <c r="AG339" s="8">
        <v>7.56</v>
      </c>
      <c r="AH339" s="8">
        <v>10.17</v>
      </c>
      <c r="AI339" s="8">
        <v>8.93</v>
      </c>
      <c r="AJ339" s="8">
        <v>7.54</v>
      </c>
      <c r="AK339" s="8">
        <v>9.2899999999999991</v>
      </c>
      <c r="AL339" s="8">
        <v>9.64</v>
      </c>
      <c r="AM339" s="8">
        <v>8.75</v>
      </c>
      <c r="AN339" s="8">
        <v>10.130000000000001</v>
      </c>
      <c r="AO339" s="8">
        <v>9.3699999999999992</v>
      </c>
      <c r="AP339" s="8">
        <v>10.59</v>
      </c>
      <c r="AQ339" s="8">
        <v>9.25</v>
      </c>
      <c r="AR339" s="8">
        <v>9.3699999999999992</v>
      </c>
      <c r="AS339" s="8">
        <v>7.28</v>
      </c>
      <c r="AT339" s="8">
        <v>10.220000000000001</v>
      </c>
      <c r="AU339" s="6">
        <v>9.06</v>
      </c>
      <c r="AV339" s="6">
        <v>10.53</v>
      </c>
      <c r="AW339" s="6">
        <v>10.31</v>
      </c>
      <c r="AX339" s="6">
        <v>8.35</v>
      </c>
      <c r="AY339" s="6">
        <v>8.39</v>
      </c>
      <c r="AZ339" s="6">
        <v>8.61</v>
      </c>
      <c r="BA339" s="6">
        <v>9.85</v>
      </c>
      <c r="BB339" s="6">
        <v>10.01</v>
      </c>
      <c r="BC339" s="6">
        <v>12.89</v>
      </c>
      <c r="BD339" s="6">
        <v>8.8800000000000008</v>
      </c>
      <c r="BE339" s="6">
        <v>11.78</v>
      </c>
      <c r="BF339" s="6">
        <v>8.8000000000000007</v>
      </c>
      <c r="BG339" s="6">
        <v>8.85</v>
      </c>
      <c r="BH339" s="6">
        <v>8.7100000000000009</v>
      </c>
      <c r="BI339" s="6">
        <v>9.1</v>
      </c>
      <c r="BJ339" s="6">
        <v>11</v>
      </c>
      <c r="BK339" s="6">
        <v>10.45</v>
      </c>
      <c r="BL339" s="6">
        <v>9.2799999999999994</v>
      </c>
      <c r="BM339" s="6">
        <v>10.42</v>
      </c>
      <c r="BN339" s="6">
        <v>7.02</v>
      </c>
      <c r="BO339" s="6">
        <v>9.24</v>
      </c>
      <c r="BP339" s="6">
        <v>9.1</v>
      </c>
      <c r="BQ339" s="6">
        <v>9.2100000000000009</v>
      </c>
      <c r="BR339" s="6">
        <v>8.18</v>
      </c>
      <c r="BS339" s="11">
        <v>9.9</v>
      </c>
      <c r="BT339" s="6">
        <v>11.36</v>
      </c>
      <c r="BU339" s="6">
        <v>9.58</v>
      </c>
      <c r="BV339" s="6">
        <v>10.6</v>
      </c>
      <c r="BW339" s="6">
        <v>10.6</v>
      </c>
      <c r="BX339" s="6">
        <v>9.56</v>
      </c>
      <c r="BY339" s="6">
        <v>11</v>
      </c>
      <c r="BZ339" s="6">
        <v>6.64</v>
      </c>
      <c r="CA339" s="6">
        <v>11</v>
      </c>
      <c r="CB339" s="6">
        <v>11.4</v>
      </c>
      <c r="CC339" s="6">
        <v>8.68</v>
      </c>
      <c r="CD339" s="6">
        <v>9.18</v>
      </c>
      <c r="CE339" s="6">
        <v>10.54</v>
      </c>
      <c r="CF339" s="6">
        <v>8.64</v>
      </c>
      <c r="CG339" s="6">
        <v>9.74</v>
      </c>
      <c r="CH339" s="6">
        <v>9</v>
      </c>
      <c r="CI339" s="6">
        <v>9.5</v>
      </c>
      <c r="CJ339" s="11">
        <v>9.3000000000000007</v>
      </c>
      <c r="CK339" s="6">
        <v>10.74</v>
      </c>
      <c r="CL339" s="6">
        <v>9.1</v>
      </c>
      <c r="CM339" s="6">
        <v>11.94</v>
      </c>
      <c r="CN339" s="6">
        <v>7.49</v>
      </c>
      <c r="CO339" s="10">
        <v>8.35</v>
      </c>
      <c r="CP339" s="10"/>
    </row>
    <row r="340" spans="1:94" ht="15.75" customHeight="1" x14ac:dyDescent="0.25">
      <c r="A340" s="4">
        <v>339</v>
      </c>
      <c r="B340" s="4"/>
      <c r="C340" s="4">
        <v>4</v>
      </c>
      <c r="D340" s="8">
        <v>9.6999999999999993</v>
      </c>
      <c r="E340" s="8">
        <v>9.5299999999999994</v>
      </c>
      <c r="F340" s="8">
        <v>7.38</v>
      </c>
      <c r="G340" s="8">
        <v>12.13</v>
      </c>
      <c r="H340" s="8">
        <v>8.0299999999999994</v>
      </c>
      <c r="I340" s="8">
        <v>7.9</v>
      </c>
      <c r="J340" s="8">
        <v>6.78</v>
      </c>
      <c r="K340" s="8">
        <v>9.01</v>
      </c>
      <c r="L340" s="8">
        <v>7.02</v>
      </c>
      <c r="M340" s="8">
        <v>9.35</v>
      </c>
      <c r="N340" s="8">
        <v>8.01</v>
      </c>
      <c r="O340" s="8">
        <v>8.9499999999999993</v>
      </c>
      <c r="P340" s="8">
        <v>8.7200000000000006</v>
      </c>
      <c r="Q340" s="8">
        <v>9.74</v>
      </c>
      <c r="R340" s="8">
        <v>10.46</v>
      </c>
      <c r="S340" s="8">
        <v>7.91</v>
      </c>
      <c r="T340" s="8">
        <v>9.18</v>
      </c>
      <c r="U340" s="8">
        <v>8.7899999999999991</v>
      </c>
      <c r="V340" s="8">
        <v>9.33</v>
      </c>
      <c r="W340" s="8">
        <v>11.43</v>
      </c>
      <c r="X340" s="8">
        <v>10.31</v>
      </c>
      <c r="Y340" s="8">
        <v>9.93</v>
      </c>
      <c r="Z340" s="8">
        <v>8.5500000000000007</v>
      </c>
      <c r="AA340" s="8">
        <v>7.2</v>
      </c>
      <c r="AB340" s="8">
        <v>9.67</v>
      </c>
      <c r="AC340" s="8">
        <v>8.8800000000000008</v>
      </c>
      <c r="AD340" s="8">
        <v>10.87</v>
      </c>
      <c r="AE340" s="8">
        <v>9.0299999999999994</v>
      </c>
      <c r="AF340" s="8">
        <v>8.0500000000000007</v>
      </c>
      <c r="AG340" s="8">
        <v>7.5</v>
      </c>
      <c r="AH340" s="8">
        <v>10.17</v>
      </c>
      <c r="AI340" s="8">
        <v>8.89</v>
      </c>
      <c r="AJ340" s="8">
        <v>7.43</v>
      </c>
      <c r="AK340" s="8">
        <v>9.14</v>
      </c>
      <c r="AL340" s="8">
        <v>9.64</v>
      </c>
      <c r="AM340" s="8">
        <v>8.6</v>
      </c>
      <c r="AN340" s="8">
        <v>10.06</v>
      </c>
      <c r="AO340" s="8">
        <v>9.2799999999999994</v>
      </c>
      <c r="AP340" s="8">
        <v>10.45</v>
      </c>
      <c r="AQ340" s="8">
        <v>9.14</v>
      </c>
      <c r="AR340" s="8">
        <v>9.2899999999999991</v>
      </c>
      <c r="AS340" s="8">
        <v>7.24</v>
      </c>
      <c r="AT340" s="8">
        <v>10.01</v>
      </c>
      <c r="AU340" s="6">
        <v>8.94</v>
      </c>
      <c r="AV340" s="6">
        <v>10.46</v>
      </c>
      <c r="AW340" s="6">
        <v>10.18</v>
      </c>
      <c r="AX340" s="6">
        <v>8.31</v>
      </c>
      <c r="AY340" s="6">
        <v>8.36</v>
      </c>
      <c r="AZ340" s="6">
        <v>8.52</v>
      </c>
      <c r="BA340" s="6">
        <v>9.7200000000000006</v>
      </c>
      <c r="BB340" s="6">
        <v>9.98</v>
      </c>
      <c r="BC340" s="6">
        <v>12.76</v>
      </c>
      <c r="BD340" s="6">
        <v>8.7799999999999994</v>
      </c>
      <c r="BE340" s="6">
        <v>11.57</v>
      </c>
      <c r="BF340" s="6">
        <v>8.76</v>
      </c>
      <c r="BG340" s="6">
        <v>8.85</v>
      </c>
      <c r="BH340" s="6">
        <v>8.65</v>
      </c>
      <c r="BI340" s="6">
        <v>9.08</v>
      </c>
      <c r="BJ340" s="6">
        <v>10.86</v>
      </c>
      <c r="BK340" s="6">
        <v>10.36</v>
      </c>
      <c r="BL340" s="6">
        <v>9.16</v>
      </c>
      <c r="BM340" s="6">
        <v>10.32</v>
      </c>
      <c r="BN340" s="6">
        <v>7</v>
      </c>
      <c r="BO340" s="6">
        <v>9.2200000000000006</v>
      </c>
      <c r="BP340" s="6">
        <v>9.0299999999999994</v>
      </c>
      <c r="BQ340" s="6">
        <v>9.0399999999999991</v>
      </c>
      <c r="BR340" s="6">
        <v>7.94</v>
      </c>
      <c r="BS340" s="11">
        <v>9.7799999999999994</v>
      </c>
      <c r="BT340" s="6">
        <v>11.3</v>
      </c>
      <c r="BU340" s="6">
        <v>9.5</v>
      </c>
      <c r="BV340" s="6">
        <v>10.5</v>
      </c>
      <c r="BW340" s="6">
        <v>10.54</v>
      </c>
      <c r="BX340" s="6">
        <v>9.4</v>
      </c>
      <c r="BY340" s="6">
        <v>11</v>
      </c>
      <c r="BZ340" s="6">
        <v>6.64</v>
      </c>
      <c r="CA340" s="6">
        <v>11</v>
      </c>
      <c r="CB340" s="6">
        <v>11.34</v>
      </c>
      <c r="CC340" s="6">
        <v>8.52</v>
      </c>
      <c r="CD340" s="6">
        <v>9.1999999999999993</v>
      </c>
      <c r="CE340" s="6">
        <v>10.46</v>
      </c>
      <c r="CF340" s="6">
        <v>8.4</v>
      </c>
      <c r="CG340" s="6">
        <v>9.68</v>
      </c>
      <c r="CH340" s="6">
        <v>8.7799999999999994</v>
      </c>
      <c r="CI340" s="6">
        <v>9.5</v>
      </c>
      <c r="CJ340" s="11">
        <v>9.26</v>
      </c>
      <c r="CK340" s="6">
        <v>10.68</v>
      </c>
      <c r="CL340" s="6">
        <v>9</v>
      </c>
      <c r="CM340" s="6">
        <v>11.87</v>
      </c>
      <c r="CN340" s="6">
        <v>7.36</v>
      </c>
      <c r="CO340" s="10">
        <v>8.3699999999999992</v>
      </c>
      <c r="CP340" s="10"/>
    </row>
    <row r="341" spans="1:94" ht="15.75" customHeight="1" x14ac:dyDescent="0.25">
      <c r="A341" s="4">
        <v>340</v>
      </c>
      <c r="B341" s="4"/>
      <c r="C341" s="4">
        <v>5</v>
      </c>
      <c r="D341" s="8">
        <v>9.68</v>
      </c>
      <c r="E341" s="8">
        <v>9.2799999999999994</v>
      </c>
      <c r="F341" s="8">
        <v>7.28</v>
      </c>
      <c r="G341" s="8">
        <v>12.08</v>
      </c>
      <c r="H341" s="8">
        <v>7.93</v>
      </c>
      <c r="I341" s="8">
        <v>7.88</v>
      </c>
      <c r="J341" s="8">
        <v>6.86</v>
      </c>
      <c r="K341" s="8">
        <v>8.9600000000000009</v>
      </c>
      <c r="L341" s="8">
        <v>6.99</v>
      </c>
      <c r="M341" s="8">
        <v>9.2799999999999994</v>
      </c>
      <c r="N341" s="8">
        <v>7.94</v>
      </c>
      <c r="O341" s="8">
        <v>8.85</v>
      </c>
      <c r="P341" s="8">
        <v>8.56</v>
      </c>
      <c r="Q341" s="8">
        <v>9.64</v>
      </c>
      <c r="R341" s="8">
        <v>10.3</v>
      </c>
      <c r="S341" s="8">
        <v>7.78</v>
      </c>
      <c r="T341" s="8">
        <v>9.0500000000000007</v>
      </c>
      <c r="U341" s="8">
        <v>8.7100000000000009</v>
      </c>
      <c r="V341" s="8">
        <v>9.2899999999999991</v>
      </c>
      <c r="W341" s="8">
        <v>11.36</v>
      </c>
      <c r="X341" s="8">
        <v>10.220000000000001</v>
      </c>
      <c r="Y341" s="8">
        <v>9.7200000000000006</v>
      </c>
      <c r="Z341" s="8">
        <v>8.5299999999999994</v>
      </c>
      <c r="AA341" s="8">
        <v>7.12</v>
      </c>
      <c r="AB341" s="8">
        <v>9.5500000000000007</v>
      </c>
      <c r="AC341" s="8">
        <v>8.81</v>
      </c>
      <c r="AD341" s="8">
        <v>10.83</v>
      </c>
      <c r="AE341" s="8">
        <v>8.8699999999999992</v>
      </c>
      <c r="AF341" s="8">
        <v>8.08</v>
      </c>
      <c r="AG341" s="8">
        <v>7.4</v>
      </c>
      <c r="AH341" s="8">
        <v>10.119999999999999</v>
      </c>
      <c r="AI341" s="8">
        <v>8.84</v>
      </c>
      <c r="AJ341" s="8">
        <v>7.31</v>
      </c>
      <c r="AK341" s="8">
        <v>9</v>
      </c>
      <c r="AL341" s="8">
        <v>9.64</v>
      </c>
      <c r="AM341" s="8">
        <v>8.4700000000000006</v>
      </c>
      <c r="AN341" s="8">
        <v>9.9700000000000006</v>
      </c>
      <c r="AO341" s="8">
        <v>9.14</v>
      </c>
      <c r="AP341" s="8">
        <v>10.25</v>
      </c>
      <c r="AQ341" s="8">
        <v>9.07</v>
      </c>
      <c r="AR341" s="8">
        <v>9.1999999999999993</v>
      </c>
      <c r="AS341" s="8">
        <v>7.15</v>
      </c>
      <c r="AT341" s="8">
        <v>9.7799999999999994</v>
      </c>
      <c r="AU341" s="6">
        <v>8.8800000000000008</v>
      </c>
      <c r="AV341" s="6">
        <v>10.31</v>
      </c>
      <c r="AW341" s="6">
        <v>10.01</v>
      </c>
      <c r="AX341" s="6">
        <v>8.19</v>
      </c>
      <c r="AY341" s="6">
        <v>8.35</v>
      </c>
      <c r="AZ341" s="6">
        <v>8.48</v>
      </c>
      <c r="BA341" s="6">
        <v>9.57</v>
      </c>
      <c r="BB341" s="6">
        <v>9.9700000000000006</v>
      </c>
      <c r="BC341" s="6">
        <v>12.63</v>
      </c>
      <c r="BD341" s="6">
        <v>8.7799999999999994</v>
      </c>
      <c r="BE341" s="6">
        <v>11.35</v>
      </c>
      <c r="BF341" s="6">
        <v>8.77</v>
      </c>
      <c r="BG341" s="6">
        <v>8.89</v>
      </c>
      <c r="BH341" s="6">
        <v>8.61</v>
      </c>
      <c r="BI341" s="6">
        <v>9.02</v>
      </c>
      <c r="BJ341" s="6">
        <v>10.75</v>
      </c>
      <c r="BK341" s="6">
        <v>10.3</v>
      </c>
      <c r="BL341" s="6">
        <v>9</v>
      </c>
      <c r="BM341" s="6">
        <v>10.199999999999999</v>
      </c>
      <c r="BN341" s="6">
        <v>6.86</v>
      </c>
      <c r="BO341" s="6">
        <v>9.1999999999999993</v>
      </c>
      <c r="BP341" s="6">
        <v>8.92</v>
      </c>
      <c r="BQ341" s="6">
        <v>8.92</v>
      </c>
      <c r="BR341" s="6">
        <v>7.74</v>
      </c>
      <c r="BS341" s="11">
        <v>9.64</v>
      </c>
      <c r="BT341" s="6">
        <v>11.2</v>
      </c>
      <c r="BU341" s="6">
        <v>9.42</v>
      </c>
      <c r="BV341" s="6">
        <v>10.199999999999999</v>
      </c>
      <c r="BW341" s="6">
        <v>10.58</v>
      </c>
      <c r="BX341" s="6">
        <v>9.4</v>
      </c>
      <c r="BY341" s="6">
        <v>11</v>
      </c>
      <c r="BZ341" s="6">
        <v>6.45</v>
      </c>
      <c r="CA341" s="6">
        <v>10.9</v>
      </c>
      <c r="CB341" s="6">
        <v>11.3</v>
      </c>
      <c r="CC341" s="6">
        <v>8.3000000000000007</v>
      </c>
      <c r="CD341" s="6">
        <v>9.18</v>
      </c>
      <c r="CE341" s="6">
        <v>10.16</v>
      </c>
      <c r="CF341" s="6">
        <v>8.32</v>
      </c>
      <c r="CG341" s="6">
        <v>9.64</v>
      </c>
      <c r="CH341" s="6">
        <v>8.6999999999999993</v>
      </c>
      <c r="CI341" s="6">
        <v>9.4</v>
      </c>
      <c r="CJ341" s="11">
        <v>9.1999999999999993</v>
      </c>
      <c r="CK341" s="6">
        <v>10.64</v>
      </c>
      <c r="CL341" s="6">
        <v>8.86</v>
      </c>
      <c r="CM341" s="6">
        <v>11.77</v>
      </c>
      <c r="CN341" s="6">
        <v>7.29</v>
      </c>
      <c r="CO341" s="10">
        <v>8.3699999999999992</v>
      </c>
      <c r="CP341" s="10"/>
    </row>
    <row r="342" spans="1:94" ht="15.75" customHeight="1" x14ac:dyDescent="0.25">
      <c r="A342" s="4">
        <v>341</v>
      </c>
      <c r="B342" s="4"/>
      <c r="C342" s="4">
        <v>6</v>
      </c>
      <c r="D342" s="8">
        <v>9.66</v>
      </c>
      <c r="E342" s="8">
        <v>9.08</v>
      </c>
      <c r="F342" s="8">
        <v>7.18</v>
      </c>
      <c r="G342" s="8">
        <v>11.98</v>
      </c>
      <c r="H342" s="8">
        <v>7.83</v>
      </c>
      <c r="I342" s="8">
        <v>7.92</v>
      </c>
      <c r="J342" s="8">
        <v>6.68</v>
      </c>
      <c r="K342" s="8">
        <v>8.89</v>
      </c>
      <c r="L342" s="8">
        <v>6.92</v>
      </c>
      <c r="M342" s="8">
        <v>9.18</v>
      </c>
      <c r="N342" s="8">
        <v>7.93</v>
      </c>
      <c r="O342" s="8">
        <v>8.76</v>
      </c>
      <c r="P342" s="8">
        <v>8.41</v>
      </c>
      <c r="Q342" s="8">
        <v>9.57</v>
      </c>
      <c r="R342" s="8">
        <v>10.199999999999999</v>
      </c>
      <c r="S342" s="8">
        <v>7.63</v>
      </c>
      <c r="T342" s="8">
        <v>8.9499999999999993</v>
      </c>
      <c r="U342" s="8">
        <v>8.64</v>
      </c>
      <c r="V342" s="8">
        <v>9.25</v>
      </c>
      <c r="W342" s="8">
        <v>11.27</v>
      </c>
      <c r="X342" s="8">
        <v>10.130000000000001</v>
      </c>
      <c r="Y342" s="8">
        <v>9.52</v>
      </c>
      <c r="Z342" s="8">
        <v>8.5500000000000007</v>
      </c>
      <c r="AA342" s="8">
        <v>7.03</v>
      </c>
      <c r="AB342" s="8">
        <v>9.4499999999999993</v>
      </c>
      <c r="AC342" s="8">
        <v>8.7200000000000006</v>
      </c>
      <c r="AD342" s="8">
        <v>10.77</v>
      </c>
      <c r="AE342" s="8">
        <v>8.75</v>
      </c>
      <c r="AF342" s="8">
        <v>8.1</v>
      </c>
      <c r="AG342" s="8">
        <v>7.28</v>
      </c>
      <c r="AH342" s="8">
        <v>9.9700000000000006</v>
      </c>
      <c r="AI342" s="8">
        <v>8.74</v>
      </c>
      <c r="AJ342" s="8">
        <v>7.19</v>
      </c>
      <c r="AK342" s="8">
        <v>8.85</v>
      </c>
      <c r="AL342" s="8">
        <v>9.57</v>
      </c>
      <c r="AM342" s="8">
        <v>8.33</v>
      </c>
      <c r="AN342" s="8">
        <v>9.83</v>
      </c>
      <c r="AO342" s="8">
        <v>9.02</v>
      </c>
      <c r="AP342" s="8">
        <v>10.1</v>
      </c>
      <c r="AQ342" s="8">
        <v>8.99</v>
      </c>
      <c r="AR342" s="8">
        <v>9.1199999999999992</v>
      </c>
      <c r="AS342" s="8">
        <v>7.07</v>
      </c>
      <c r="AT342" s="8">
        <v>9.5299999999999994</v>
      </c>
      <c r="AU342" s="6">
        <v>8.84</v>
      </c>
      <c r="AV342" s="6">
        <v>10.19</v>
      </c>
      <c r="AW342" s="6">
        <v>9.7799999999999994</v>
      </c>
      <c r="AX342" s="6">
        <v>8.09</v>
      </c>
      <c r="AY342" s="6">
        <v>8.35</v>
      </c>
      <c r="AZ342" s="6">
        <v>8.4700000000000006</v>
      </c>
      <c r="BA342" s="6">
        <v>9.43</v>
      </c>
      <c r="BB342" s="6">
        <v>9.94</v>
      </c>
      <c r="BC342" s="6">
        <v>12.47</v>
      </c>
      <c r="BD342" s="6">
        <v>8.7799999999999994</v>
      </c>
      <c r="BE342" s="6">
        <v>11.17</v>
      </c>
      <c r="BF342" s="6">
        <v>8.76</v>
      </c>
      <c r="BG342" s="6">
        <v>8.9700000000000006</v>
      </c>
      <c r="BH342" s="6">
        <v>8.56</v>
      </c>
      <c r="BI342" s="6">
        <v>8.9600000000000009</v>
      </c>
      <c r="BJ342" s="6">
        <v>10.64</v>
      </c>
      <c r="BK342" s="6">
        <v>10.42</v>
      </c>
      <c r="BL342" s="6">
        <v>8.86</v>
      </c>
      <c r="BM342" s="6">
        <v>9.9600000000000009</v>
      </c>
      <c r="BN342" s="6">
        <v>6.75</v>
      </c>
      <c r="BO342" s="6">
        <v>9.14</v>
      </c>
      <c r="BP342" s="6">
        <v>8.7799999999999994</v>
      </c>
      <c r="BQ342" s="6">
        <v>8.8000000000000007</v>
      </c>
      <c r="BR342" s="6">
        <v>7.59</v>
      </c>
      <c r="BS342" s="11">
        <v>9.5</v>
      </c>
      <c r="BT342" s="6">
        <v>11.02</v>
      </c>
      <c r="BU342" s="6">
        <v>9.4</v>
      </c>
      <c r="BV342" s="6">
        <v>10.18</v>
      </c>
      <c r="BW342" s="6">
        <v>10.52</v>
      </c>
      <c r="BX342" s="6">
        <v>9.14</v>
      </c>
      <c r="BY342" s="6">
        <v>10.9</v>
      </c>
      <c r="BZ342" s="6">
        <v>6.32</v>
      </c>
      <c r="CA342" s="6">
        <v>10.9</v>
      </c>
      <c r="CB342" s="6">
        <v>11.15</v>
      </c>
      <c r="CC342" s="6">
        <v>8.16</v>
      </c>
      <c r="CD342" s="6">
        <v>9.14</v>
      </c>
      <c r="CE342" s="6">
        <v>9.86</v>
      </c>
      <c r="CF342" s="6">
        <v>8.24</v>
      </c>
      <c r="CG342" s="6">
        <v>9.58</v>
      </c>
      <c r="CH342" s="6">
        <v>8.6199999999999992</v>
      </c>
      <c r="CI342" s="6">
        <v>9.26</v>
      </c>
      <c r="CJ342" s="11">
        <v>9.1</v>
      </c>
      <c r="CK342" s="6">
        <v>10.6</v>
      </c>
      <c r="CL342" s="6">
        <v>8.86</v>
      </c>
      <c r="CM342" s="6">
        <v>11.62</v>
      </c>
      <c r="CN342" s="6">
        <v>7.2</v>
      </c>
      <c r="CO342" s="10">
        <v>8.34</v>
      </c>
      <c r="CP342" s="10"/>
    </row>
    <row r="343" spans="1:94" ht="15.75" customHeight="1" x14ac:dyDescent="0.25">
      <c r="A343" s="4">
        <v>342</v>
      </c>
      <c r="B343" s="4"/>
      <c r="C343" s="4">
        <v>7</v>
      </c>
      <c r="D343" s="8">
        <v>9.6199999999999992</v>
      </c>
      <c r="E343" s="8">
        <v>8.93</v>
      </c>
      <c r="F343" s="8">
        <v>7.08</v>
      </c>
      <c r="G343" s="8">
        <v>11.88</v>
      </c>
      <c r="H343" s="8">
        <v>7.73</v>
      </c>
      <c r="I343" s="8">
        <v>7.92</v>
      </c>
      <c r="J343" s="8">
        <v>6.53</v>
      </c>
      <c r="K343" s="8">
        <v>8.82</v>
      </c>
      <c r="L343" s="8">
        <v>6.81</v>
      </c>
      <c r="M343" s="8">
        <v>9.0299999999999994</v>
      </c>
      <c r="N343" s="8">
        <v>7.96</v>
      </c>
      <c r="O343" s="8">
        <v>8.67</v>
      </c>
      <c r="P343" s="8">
        <v>8.27</v>
      </c>
      <c r="Q343" s="8">
        <v>9.4700000000000006</v>
      </c>
      <c r="R343" s="8">
        <v>10.130000000000001</v>
      </c>
      <c r="S343" s="8">
        <v>7.59</v>
      </c>
      <c r="T343" s="8">
        <v>8.89</v>
      </c>
      <c r="U343" s="8">
        <v>8.59</v>
      </c>
      <c r="V343" s="8">
        <v>9.2100000000000009</v>
      </c>
      <c r="W343" s="8">
        <v>11.13</v>
      </c>
      <c r="X343" s="8">
        <v>10.02</v>
      </c>
      <c r="Y343" s="8">
        <v>9.35</v>
      </c>
      <c r="Z343" s="8">
        <v>8.59</v>
      </c>
      <c r="AA343" s="8">
        <v>6.95</v>
      </c>
      <c r="AB343" s="8">
        <v>9.3699999999999992</v>
      </c>
      <c r="AC343" s="8">
        <v>8.6300000000000008</v>
      </c>
      <c r="AD343" s="8">
        <v>10.69</v>
      </c>
      <c r="AE343" s="8">
        <v>8.64</v>
      </c>
      <c r="AF343" s="8">
        <v>8.1300000000000008</v>
      </c>
      <c r="AG343" s="8">
        <v>7.16</v>
      </c>
      <c r="AH343" s="8">
        <v>9.83</v>
      </c>
      <c r="AI343" s="8">
        <v>8.6999999999999993</v>
      </c>
      <c r="AJ343" s="8">
        <v>7.06</v>
      </c>
      <c r="AK343" s="8">
        <v>8.7100000000000009</v>
      </c>
      <c r="AL343" s="8">
        <v>9.49</v>
      </c>
      <c r="AM343" s="8">
        <v>8.18</v>
      </c>
      <c r="AN343" s="8">
        <v>9.68</v>
      </c>
      <c r="AO343" s="8">
        <v>8.8800000000000008</v>
      </c>
      <c r="AP343" s="8">
        <v>9.8699999999999992</v>
      </c>
      <c r="AQ343" s="8">
        <v>8.92</v>
      </c>
      <c r="AR343" s="8">
        <v>9.0299999999999994</v>
      </c>
      <c r="AS343" s="8">
        <v>6.99</v>
      </c>
      <c r="AT343" s="8">
        <v>9.2899999999999991</v>
      </c>
      <c r="AU343" s="6">
        <v>8.82</v>
      </c>
      <c r="AV343" s="6">
        <v>10.07</v>
      </c>
      <c r="AW343" s="6">
        <v>9.56</v>
      </c>
      <c r="AX343" s="6">
        <v>7.94</v>
      </c>
      <c r="AY343" s="6">
        <v>8.35</v>
      </c>
      <c r="AZ343" s="6">
        <v>8.4700000000000006</v>
      </c>
      <c r="BA343" s="6">
        <v>9.27</v>
      </c>
      <c r="BB343" s="6">
        <v>9.94</v>
      </c>
      <c r="BC343" s="6">
        <v>12.31</v>
      </c>
      <c r="BD343" s="6">
        <v>8.76</v>
      </c>
      <c r="BE343" s="6">
        <v>11.02</v>
      </c>
      <c r="BF343" s="6">
        <v>8.7200000000000006</v>
      </c>
      <c r="BG343" s="6">
        <v>9.02</v>
      </c>
      <c r="BH343" s="6">
        <v>8.52</v>
      </c>
      <c r="BI343" s="6">
        <v>8.85</v>
      </c>
      <c r="BJ343" s="6">
        <v>10.61</v>
      </c>
      <c r="BK343" s="6">
        <v>10.220000000000001</v>
      </c>
      <c r="BL343" s="6">
        <v>8.6999999999999993</v>
      </c>
      <c r="BM343" s="6">
        <v>9.94</v>
      </c>
      <c r="BN343" s="6">
        <v>6.71</v>
      </c>
      <c r="BO343" s="6">
        <v>9.08</v>
      </c>
      <c r="BP343" s="6">
        <v>8.66</v>
      </c>
      <c r="BQ343" s="6">
        <v>8.6999999999999993</v>
      </c>
      <c r="BR343" s="6">
        <v>7.42</v>
      </c>
      <c r="BS343" s="11">
        <v>9.32</v>
      </c>
      <c r="BT343" s="6">
        <v>10.76</v>
      </c>
      <c r="BU343" s="6">
        <v>9.36</v>
      </c>
      <c r="BV343" s="6">
        <v>10.1</v>
      </c>
      <c r="BW343" s="6">
        <v>10.32</v>
      </c>
      <c r="BX343" s="6">
        <v>9</v>
      </c>
      <c r="BY343" s="6">
        <v>10.86</v>
      </c>
      <c r="BZ343" s="6">
        <v>6.18</v>
      </c>
      <c r="CA343" s="6">
        <v>10.8</v>
      </c>
      <c r="CB343" s="6">
        <v>11.06</v>
      </c>
      <c r="CC343" s="6">
        <v>8</v>
      </c>
      <c r="CD343" s="6">
        <v>9.02</v>
      </c>
      <c r="CE343" s="6">
        <v>9.6</v>
      </c>
      <c r="CF343" s="6">
        <v>8.18</v>
      </c>
      <c r="CG343" s="6">
        <v>9.6</v>
      </c>
      <c r="CH343" s="6">
        <v>8.6199999999999992</v>
      </c>
      <c r="CI343" s="6">
        <v>9.0399999999999991</v>
      </c>
      <c r="CJ343" s="11">
        <v>9.02</v>
      </c>
      <c r="CK343" s="6">
        <v>10.56</v>
      </c>
      <c r="CL343" s="6">
        <v>8.84</v>
      </c>
      <c r="CM343" s="6">
        <v>11.43</v>
      </c>
      <c r="CN343" s="6">
        <v>7.09</v>
      </c>
      <c r="CO343" s="10">
        <v>8.3000000000000007</v>
      </c>
      <c r="CP343" s="10"/>
    </row>
    <row r="344" spans="1:94" ht="15.75" customHeight="1" x14ac:dyDescent="0.25">
      <c r="A344" s="4">
        <v>343</v>
      </c>
      <c r="B344" s="4"/>
      <c r="C344" s="4">
        <v>8</v>
      </c>
      <c r="D344" s="8">
        <v>9.58</v>
      </c>
      <c r="E344" s="8">
        <v>8.83</v>
      </c>
      <c r="F344" s="8">
        <v>6.98</v>
      </c>
      <c r="G344" s="8">
        <v>11.83</v>
      </c>
      <c r="H344" s="8">
        <v>7.63</v>
      </c>
      <c r="I344" s="8">
        <v>7.85</v>
      </c>
      <c r="J344" s="8">
        <v>6.38</v>
      </c>
      <c r="K344" s="8">
        <v>8.75</v>
      </c>
      <c r="L344" s="8">
        <v>6.69</v>
      </c>
      <c r="M344" s="8">
        <v>8.89</v>
      </c>
      <c r="N344" s="8">
        <v>7.97</v>
      </c>
      <c r="O344" s="8">
        <v>8.57</v>
      </c>
      <c r="P344" s="8">
        <v>8.1199999999999992</v>
      </c>
      <c r="Q344" s="8">
        <v>9.39</v>
      </c>
      <c r="R344" s="8">
        <v>10.02</v>
      </c>
      <c r="S344" s="8">
        <v>7.53</v>
      </c>
      <c r="T344" s="8">
        <v>8.89</v>
      </c>
      <c r="U344" s="8">
        <v>8.5399999999999991</v>
      </c>
      <c r="V344" s="8">
        <v>9.16</v>
      </c>
      <c r="W344" s="8">
        <v>10.93</v>
      </c>
      <c r="X344" s="8">
        <v>9.91</v>
      </c>
      <c r="Y344" s="8">
        <v>9.2100000000000009</v>
      </c>
      <c r="Z344" s="8">
        <v>8.59</v>
      </c>
      <c r="AA344" s="8">
        <v>6.87</v>
      </c>
      <c r="AB344" s="8">
        <v>9.2200000000000006</v>
      </c>
      <c r="AC344" s="8">
        <v>8.51</v>
      </c>
      <c r="AD344" s="8">
        <v>10.59</v>
      </c>
      <c r="AE344" s="8">
        <v>8.5500000000000007</v>
      </c>
      <c r="AF344" s="8">
        <v>8.1199999999999992</v>
      </c>
      <c r="AG344" s="8">
        <v>7.08</v>
      </c>
      <c r="AH344" s="8">
        <v>9.69</v>
      </c>
      <c r="AI344" s="8">
        <v>8.68</v>
      </c>
      <c r="AJ344" s="8">
        <v>6.99</v>
      </c>
      <c r="AK344" s="8">
        <v>8.5500000000000007</v>
      </c>
      <c r="AL344" s="8">
        <v>9.41</v>
      </c>
      <c r="AM344" s="8">
        <v>8.06</v>
      </c>
      <c r="AN344" s="8">
        <v>9.58</v>
      </c>
      <c r="AO344" s="8">
        <v>8.7200000000000006</v>
      </c>
      <c r="AP344" s="8">
        <v>9.75</v>
      </c>
      <c r="AQ344" s="8">
        <v>8.81</v>
      </c>
      <c r="AR344" s="8">
        <v>8.9499999999999993</v>
      </c>
      <c r="AS344" s="8">
        <v>6.97</v>
      </c>
      <c r="AT344" s="8">
        <v>9.0500000000000007</v>
      </c>
      <c r="AU344" s="6">
        <v>8.81</v>
      </c>
      <c r="AV344" s="6">
        <v>9.98</v>
      </c>
      <c r="AW344" s="6">
        <v>9.34</v>
      </c>
      <c r="AX344" s="6">
        <v>7.82</v>
      </c>
      <c r="AY344" s="6">
        <v>8.3800000000000008</v>
      </c>
      <c r="AZ344" s="6">
        <v>8.4700000000000006</v>
      </c>
      <c r="BA344" s="6">
        <v>9.14</v>
      </c>
      <c r="BB344" s="6">
        <v>9.9700000000000006</v>
      </c>
      <c r="BC344" s="6">
        <v>12.15</v>
      </c>
      <c r="BD344" s="6">
        <v>8.6999999999999993</v>
      </c>
      <c r="BE344" s="6">
        <v>10.97</v>
      </c>
      <c r="BF344" s="6">
        <v>8.64</v>
      </c>
      <c r="BG344" s="6">
        <v>9.07</v>
      </c>
      <c r="BH344" s="6">
        <v>8.4600000000000009</v>
      </c>
      <c r="BI344" s="6">
        <v>8.7799999999999994</v>
      </c>
      <c r="BJ344" s="6">
        <v>10.5</v>
      </c>
      <c r="BK344" s="6">
        <v>10.199999999999999</v>
      </c>
      <c r="BL344" s="6">
        <v>8.5399999999999991</v>
      </c>
      <c r="BM344" s="6">
        <v>9.82</v>
      </c>
      <c r="BN344" s="6">
        <v>6.68</v>
      </c>
      <c r="BO344" s="6">
        <v>9</v>
      </c>
      <c r="BP344" s="6">
        <v>8.52</v>
      </c>
      <c r="BQ344" s="6">
        <v>8.6300000000000008</v>
      </c>
      <c r="BR344" s="6">
        <v>7.3</v>
      </c>
      <c r="BS344" s="11">
        <v>9.1999999999999993</v>
      </c>
      <c r="BT344" s="6">
        <v>10.7</v>
      </c>
      <c r="BU344" s="6">
        <v>9.3000000000000007</v>
      </c>
      <c r="BV344" s="6">
        <v>9.9600000000000009</v>
      </c>
      <c r="BW344" s="6">
        <v>10.119999999999999</v>
      </c>
      <c r="BX344" s="6">
        <v>8.86</v>
      </c>
      <c r="BY344" s="6">
        <v>10.7</v>
      </c>
      <c r="BZ344" s="6">
        <v>6.1</v>
      </c>
      <c r="CA344" s="6">
        <v>10.76</v>
      </c>
      <c r="CB344" s="6">
        <v>11.04</v>
      </c>
      <c r="CC344" s="6">
        <v>7.78</v>
      </c>
      <c r="CD344" s="6">
        <v>8.9600000000000009</v>
      </c>
      <c r="CE344" s="6">
        <v>9.32</v>
      </c>
      <c r="CF344" s="6">
        <v>8.02</v>
      </c>
      <c r="CG344" s="6">
        <v>9.58</v>
      </c>
      <c r="CH344" s="6">
        <v>8.6</v>
      </c>
      <c r="CI344" s="6">
        <v>8.84</v>
      </c>
      <c r="CJ344" s="11">
        <v>8.86</v>
      </c>
      <c r="CK344" s="6">
        <v>10.56</v>
      </c>
      <c r="CL344" s="6">
        <v>8.8000000000000007</v>
      </c>
      <c r="CM344" s="6">
        <v>11.27</v>
      </c>
      <c r="CN344" s="6">
        <v>6.99</v>
      </c>
      <c r="CO344" s="10">
        <v>8.2200000000000006</v>
      </c>
      <c r="CP344" s="10"/>
    </row>
    <row r="345" spans="1:94" ht="15.75" customHeight="1" x14ac:dyDescent="0.25">
      <c r="A345" s="4">
        <v>344</v>
      </c>
      <c r="B345" s="4"/>
      <c r="C345" s="4">
        <v>9</v>
      </c>
      <c r="D345" s="8">
        <v>9.4700000000000006</v>
      </c>
      <c r="E345" s="8">
        <v>8.7200000000000006</v>
      </c>
      <c r="F345" s="8">
        <v>6.88</v>
      </c>
      <c r="G345" s="8">
        <v>11.73</v>
      </c>
      <c r="H345" s="8">
        <v>7.48</v>
      </c>
      <c r="I345" s="8">
        <v>7.78</v>
      </c>
      <c r="J345" s="8">
        <v>6.28</v>
      </c>
      <c r="K345" s="8">
        <v>8.66</v>
      </c>
      <c r="L345" s="8">
        <v>6.59</v>
      </c>
      <c r="M345" s="8">
        <v>8.83</v>
      </c>
      <c r="N345" s="8">
        <v>7.97</v>
      </c>
      <c r="O345" s="8">
        <v>8.4600000000000009</v>
      </c>
      <c r="P345" s="8">
        <v>7.99</v>
      </c>
      <c r="Q345" s="8">
        <v>9.2899999999999991</v>
      </c>
      <c r="R345" s="8">
        <v>9.91</v>
      </c>
      <c r="S345" s="8">
        <v>7.48</v>
      </c>
      <c r="T345" s="8">
        <v>8.83</v>
      </c>
      <c r="U345" s="8">
        <v>8.51</v>
      </c>
      <c r="V345" s="8">
        <v>9.0500000000000007</v>
      </c>
      <c r="W345" s="8">
        <v>10.75</v>
      </c>
      <c r="X345" s="8">
        <v>9.83</v>
      </c>
      <c r="Y345" s="8">
        <v>9.0500000000000007</v>
      </c>
      <c r="Z345" s="8">
        <v>8.5500000000000007</v>
      </c>
      <c r="AA345" s="8">
        <v>6.8</v>
      </c>
      <c r="AB345" s="8">
        <v>9.1</v>
      </c>
      <c r="AC345" s="8">
        <v>8.39</v>
      </c>
      <c r="AD345" s="8">
        <v>10.49</v>
      </c>
      <c r="AE345" s="8">
        <v>8.4499999999999993</v>
      </c>
      <c r="AF345" s="8">
        <v>8.06</v>
      </c>
      <c r="AG345" s="8">
        <v>7.04</v>
      </c>
      <c r="AH345" s="8">
        <v>9.5500000000000007</v>
      </c>
      <c r="AI345" s="8">
        <v>8.7100000000000009</v>
      </c>
      <c r="AJ345" s="8">
        <v>6.9</v>
      </c>
      <c r="AK345" s="8">
        <v>8.3699999999999992</v>
      </c>
      <c r="AL345" s="8">
        <v>9.32</v>
      </c>
      <c r="AM345" s="8">
        <v>7.92</v>
      </c>
      <c r="AN345" s="8">
        <v>9.49</v>
      </c>
      <c r="AO345" s="8">
        <v>8.5299999999999994</v>
      </c>
      <c r="AP345" s="8">
        <v>9.6</v>
      </c>
      <c r="AQ345" s="8">
        <v>8.68</v>
      </c>
      <c r="AR345" s="8">
        <v>8.8699999999999992</v>
      </c>
      <c r="AS345" s="8">
        <v>6.99</v>
      </c>
      <c r="AT345" s="8">
        <v>8.83</v>
      </c>
      <c r="AU345" s="6">
        <v>8.73</v>
      </c>
      <c r="AV345" s="6">
        <v>9.89</v>
      </c>
      <c r="AW345" s="6">
        <v>9.14</v>
      </c>
      <c r="AX345" s="6">
        <v>7.73</v>
      </c>
      <c r="AY345" s="6">
        <v>8.3800000000000008</v>
      </c>
      <c r="AZ345" s="6">
        <v>8.4600000000000009</v>
      </c>
      <c r="BA345" s="6">
        <v>9</v>
      </c>
      <c r="BB345" s="6">
        <v>9.94</v>
      </c>
      <c r="BC345" s="6">
        <v>12</v>
      </c>
      <c r="BD345" s="6">
        <v>8.58</v>
      </c>
      <c r="BE345" s="6">
        <v>10.97</v>
      </c>
      <c r="BF345" s="6">
        <v>8.52</v>
      </c>
      <c r="BG345" s="6">
        <v>9.11</v>
      </c>
      <c r="BH345" s="6">
        <v>8.3800000000000008</v>
      </c>
      <c r="BI345" s="6">
        <v>8.7799999999999994</v>
      </c>
      <c r="BJ345" s="6">
        <v>10.46</v>
      </c>
      <c r="BK345" s="6">
        <v>10.14</v>
      </c>
      <c r="BL345" s="6">
        <v>8.4</v>
      </c>
      <c r="BM345" s="6">
        <v>9.75</v>
      </c>
      <c r="BN345" s="6">
        <v>6.49</v>
      </c>
      <c r="BO345" s="6">
        <v>8.92</v>
      </c>
      <c r="BP345" s="6">
        <v>8.4</v>
      </c>
      <c r="BQ345" s="6">
        <v>8.56</v>
      </c>
      <c r="BR345" s="6">
        <v>7.2</v>
      </c>
      <c r="BS345" s="11">
        <v>9</v>
      </c>
      <c r="BT345" s="6">
        <v>10.66</v>
      </c>
      <c r="BU345" s="6">
        <v>9.2200000000000006</v>
      </c>
      <c r="BV345" s="6">
        <v>9.6999999999999993</v>
      </c>
      <c r="BW345" s="6">
        <v>9.98</v>
      </c>
      <c r="BX345" s="6">
        <v>8.7799999999999994</v>
      </c>
      <c r="BY345" s="6">
        <v>10.84</v>
      </c>
      <c r="BZ345" s="6">
        <v>6.06</v>
      </c>
      <c r="CA345" s="6">
        <v>10.66</v>
      </c>
      <c r="CB345" s="6">
        <v>11.04</v>
      </c>
      <c r="CC345" s="6">
        <v>7.68</v>
      </c>
      <c r="CD345" s="6">
        <v>8.9</v>
      </c>
      <c r="CE345" s="6">
        <v>9.1199999999999992</v>
      </c>
      <c r="CF345" s="6">
        <v>8.02</v>
      </c>
      <c r="CG345" s="6">
        <v>9.6999999999999993</v>
      </c>
      <c r="CH345" s="6">
        <v>8.52</v>
      </c>
      <c r="CI345" s="6">
        <v>8.74</v>
      </c>
      <c r="CJ345" s="11">
        <v>8.6999999999999993</v>
      </c>
      <c r="CK345" s="6">
        <v>10.64</v>
      </c>
      <c r="CL345" s="6">
        <v>8.6999999999999993</v>
      </c>
      <c r="CM345" s="6">
        <v>11.2</v>
      </c>
      <c r="CN345" s="6">
        <v>6.88</v>
      </c>
      <c r="CO345" s="10">
        <v>8.17</v>
      </c>
      <c r="CP345" s="10"/>
    </row>
    <row r="346" spans="1:94" ht="15.75" customHeight="1" x14ac:dyDescent="0.25">
      <c r="A346" s="4">
        <v>345</v>
      </c>
      <c r="B346" s="4"/>
      <c r="C346" s="4">
        <v>10</v>
      </c>
      <c r="D346" s="8">
        <v>9.3800000000000008</v>
      </c>
      <c r="E346" s="8">
        <v>8.6300000000000008</v>
      </c>
      <c r="F346" s="8">
        <v>6.78</v>
      </c>
      <c r="G346" s="8">
        <v>11.63</v>
      </c>
      <c r="H346" s="8">
        <v>7.38</v>
      </c>
      <c r="I346" s="8">
        <v>7.72</v>
      </c>
      <c r="J346" s="8">
        <v>6.24</v>
      </c>
      <c r="K346" s="8">
        <v>8.57</v>
      </c>
      <c r="L346" s="8">
        <v>6.51</v>
      </c>
      <c r="M346" s="8">
        <v>8.7899999999999991</v>
      </c>
      <c r="N346" s="8">
        <v>7.97</v>
      </c>
      <c r="O346" s="8">
        <v>8.34</v>
      </c>
      <c r="P346" s="8">
        <v>7.87</v>
      </c>
      <c r="Q346" s="8">
        <v>9.14</v>
      </c>
      <c r="R346" s="8">
        <v>9.84</v>
      </c>
      <c r="S346" s="8">
        <v>7.41</v>
      </c>
      <c r="T346" s="8">
        <v>8.8000000000000007</v>
      </c>
      <c r="U346" s="8">
        <v>8.49</v>
      </c>
      <c r="V346" s="8">
        <v>8.93</v>
      </c>
      <c r="W346" s="8">
        <v>10.54</v>
      </c>
      <c r="X346" s="8">
        <v>9.77</v>
      </c>
      <c r="Y346" s="8">
        <v>8.91</v>
      </c>
      <c r="Z346" s="8">
        <v>8.4499999999999993</v>
      </c>
      <c r="AA346" s="8">
        <v>6.68</v>
      </c>
      <c r="AB346" s="8">
        <v>8.9499999999999993</v>
      </c>
      <c r="AC346" s="8">
        <v>8.31</v>
      </c>
      <c r="AD346" s="8">
        <v>10.42</v>
      </c>
      <c r="AE346" s="8">
        <v>8.31</v>
      </c>
      <c r="AF346" s="8">
        <v>8.01</v>
      </c>
      <c r="AG346" s="8">
        <v>6.98</v>
      </c>
      <c r="AH346" s="8">
        <v>9.4</v>
      </c>
      <c r="AI346" s="8">
        <v>8.77</v>
      </c>
      <c r="AJ346" s="8">
        <v>6.81</v>
      </c>
      <c r="AK346" s="8">
        <v>8.17</v>
      </c>
      <c r="AL346" s="8">
        <v>9.16</v>
      </c>
      <c r="AM346" s="8">
        <v>7.79</v>
      </c>
      <c r="AN346" s="8">
        <v>9.4700000000000006</v>
      </c>
      <c r="AO346" s="8">
        <v>8.3699999999999992</v>
      </c>
      <c r="AP346" s="8">
        <v>9.4700000000000006</v>
      </c>
      <c r="AQ346" s="8">
        <v>8.56</v>
      </c>
      <c r="AR346" s="8">
        <v>8.83</v>
      </c>
      <c r="AS346" s="8">
        <v>6.97</v>
      </c>
      <c r="AT346" s="8">
        <v>8.6</v>
      </c>
      <c r="AU346" s="6">
        <v>8.64</v>
      </c>
      <c r="AV346" s="6">
        <v>9.82</v>
      </c>
      <c r="AW346" s="6">
        <v>8.98</v>
      </c>
      <c r="AX346" s="6">
        <v>7.65</v>
      </c>
      <c r="AY346" s="6">
        <v>8.3800000000000008</v>
      </c>
      <c r="AZ346" s="6">
        <v>8.44</v>
      </c>
      <c r="BA346" s="6">
        <v>8.8800000000000008</v>
      </c>
      <c r="BB346" s="6">
        <v>9.89</v>
      </c>
      <c r="BC346" s="6">
        <v>11.85</v>
      </c>
      <c r="BD346" s="6">
        <v>8.44</v>
      </c>
      <c r="BE346" s="6">
        <v>10.97</v>
      </c>
      <c r="BF346" s="6">
        <v>8.35</v>
      </c>
      <c r="BG346" s="6">
        <v>9.1300000000000008</v>
      </c>
      <c r="BH346" s="6">
        <v>8.3000000000000007</v>
      </c>
      <c r="BI346" s="6">
        <v>8.82</v>
      </c>
      <c r="BJ346" s="6">
        <v>10.36</v>
      </c>
      <c r="BK346" s="6">
        <v>10.08</v>
      </c>
      <c r="BL346" s="6">
        <v>8.1999999999999993</v>
      </c>
      <c r="BM346" s="6">
        <v>9.7200000000000006</v>
      </c>
      <c r="BN346" s="6">
        <v>6.49</v>
      </c>
      <c r="BO346" s="6">
        <v>8.8000000000000007</v>
      </c>
      <c r="BP346" s="6">
        <v>8.2799999999999994</v>
      </c>
      <c r="BQ346" s="6">
        <v>8.42</v>
      </c>
      <c r="BR346" s="6">
        <v>7.13</v>
      </c>
      <c r="BS346" s="11">
        <v>8.7799999999999994</v>
      </c>
      <c r="BT346" s="6">
        <v>10.6</v>
      </c>
      <c r="BU346" s="6">
        <v>9.1199999999999992</v>
      </c>
      <c r="BV346" s="6">
        <v>9.64</v>
      </c>
      <c r="BW346" s="6">
        <v>9.82</v>
      </c>
      <c r="BX346" s="6">
        <v>8.6</v>
      </c>
      <c r="BY346" s="6">
        <v>10.8</v>
      </c>
      <c r="BZ346" s="6">
        <v>5.88</v>
      </c>
      <c r="CA346" s="6">
        <v>10.55</v>
      </c>
      <c r="CB346" s="6">
        <v>11.04</v>
      </c>
      <c r="CC346" s="6">
        <v>7.56</v>
      </c>
      <c r="CD346" s="6">
        <v>8.82</v>
      </c>
      <c r="CE346" s="6">
        <v>9.1</v>
      </c>
      <c r="CF346" s="6">
        <v>8.1</v>
      </c>
      <c r="CG346" s="6">
        <v>9.7799999999999994</v>
      </c>
      <c r="CH346" s="6">
        <v>8.36</v>
      </c>
      <c r="CI346" s="6">
        <v>8.4499999999999993</v>
      </c>
      <c r="CJ346" s="11">
        <v>8.5399999999999991</v>
      </c>
      <c r="CK346" s="6">
        <v>10.66</v>
      </c>
      <c r="CL346" s="6">
        <v>8.58</v>
      </c>
      <c r="CM346" s="6">
        <v>11.14</v>
      </c>
      <c r="CN346" s="6">
        <v>6.76</v>
      </c>
      <c r="CO346" s="10">
        <v>8.1</v>
      </c>
      <c r="CP346" s="10"/>
    </row>
    <row r="347" spans="1:94" ht="15.75" customHeight="1" x14ac:dyDescent="0.25">
      <c r="A347" s="4">
        <v>346</v>
      </c>
      <c r="B347" s="4"/>
      <c r="C347" s="4">
        <v>11</v>
      </c>
      <c r="D347" s="8">
        <v>9.2799999999999994</v>
      </c>
      <c r="E347" s="8">
        <v>8.58</v>
      </c>
      <c r="F347" s="8">
        <v>6.73</v>
      </c>
      <c r="G347" s="8">
        <v>11.53</v>
      </c>
      <c r="H347" s="8">
        <v>7.28</v>
      </c>
      <c r="I347" s="8">
        <v>7.63</v>
      </c>
      <c r="J347" s="8">
        <v>6.18</v>
      </c>
      <c r="K347" s="8">
        <v>8.49</v>
      </c>
      <c r="L347" s="8">
        <v>6.46</v>
      </c>
      <c r="M347" s="8">
        <v>8.7100000000000009</v>
      </c>
      <c r="N347" s="8">
        <v>7.98</v>
      </c>
      <c r="O347" s="8">
        <v>8.24</v>
      </c>
      <c r="P347" s="8">
        <v>7.75</v>
      </c>
      <c r="Q347" s="8">
        <v>9.1</v>
      </c>
      <c r="R347" s="8">
        <v>9.7200000000000006</v>
      </c>
      <c r="S347" s="8">
        <v>7.41</v>
      </c>
      <c r="T347" s="8">
        <v>8.8000000000000007</v>
      </c>
      <c r="U347" s="8">
        <v>8.4600000000000009</v>
      </c>
      <c r="V347" s="8">
        <v>8.85</v>
      </c>
      <c r="W347" s="8">
        <v>10.37</v>
      </c>
      <c r="X347" s="8">
        <v>9.68</v>
      </c>
      <c r="Y347" s="8">
        <v>8.7200000000000006</v>
      </c>
      <c r="Z347" s="8">
        <v>8.33</v>
      </c>
      <c r="AA347" s="8">
        <v>6.65</v>
      </c>
      <c r="AB347" s="8">
        <v>8.83</v>
      </c>
      <c r="AC347" s="8">
        <v>8.27</v>
      </c>
      <c r="AD347" s="8">
        <v>10.35</v>
      </c>
      <c r="AE347" s="8">
        <v>8.14</v>
      </c>
      <c r="AF347" s="8">
        <v>7.94</v>
      </c>
      <c r="AG347" s="8">
        <v>6.9</v>
      </c>
      <c r="AH347" s="8">
        <v>9.23</v>
      </c>
      <c r="AI347" s="8">
        <v>8.77</v>
      </c>
      <c r="AJ347" s="8">
        <v>6.71</v>
      </c>
      <c r="AK347" s="8">
        <v>7.99</v>
      </c>
      <c r="AL347" s="8">
        <v>9</v>
      </c>
      <c r="AM347" s="8">
        <v>7.75</v>
      </c>
      <c r="AN347" s="8">
        <v>9.41</v>
      </c>
      <c r="AO347" s="8">
        <v>8.25</v>
      </c>
      <c r="AP347" s="8">
        <v>9.39</v>
      </c>
      <c r="AQ347" s="8">
        <v>8.43</v>
      </c>
      <c r="AR347" s="8">
        <v>8.76</v>
      </c>
      <c r="AS347" s="8">
        <v>6.95</v>
      </c>
      <c r="AT347" s="8">
        <v>8.3699999999999992</v>
      </c>
      <c r="AU347" s="6">
        <v>8.6</v>
      </c>
      <c r="AV347" s="6">
        <v>9.76</v>
      </c>
      <c r="AW347" s="6">
        <v>8.81</v>
      </c>
      <c r="AX347" s="6">
        <v>7.59</v>
      </c>
      <c r="AY347" s="6">
        <v>8.35</v>
      </c>
      <c r="AZ347" s="6">
        <v>8.43</v>
      </c>
      <c r="BA347" s="6">
        <v>8.77</v>
      </c>
      <c r="BB347" s="6">
        <v>9.8000000000000007</v>
      </c>
      <c r="BC347" s="6">
        <v>11.72</v>
      </c>
      <c r="BD347" s="6">
        <v>8.2899999999999991</v>
      </c>
      <c r="BE347" s="6">
        <v>10.88</v>
      </c>
      <c r="BF347" s="6">
        <v>8.2200000000000006</v>
      </c>
      <c r="BG347" s="6">
        <v>9.1300000000000008</v>
      </c>
      <c r="BH347" s="6">
        <v>8.23</v>
      </c>
      <c r="BI347" s="6">
        <v>8.7799999999999994</v>
      </c>
      <c r="BJ347" s="6">
        <v>10.25</v>
      </c>
      <c r="BK347" s="6">
        <v>9.9499999999999993</v>
      </c>
      <c r="BL347" s="6">
        <v>8.0399999999999991</v>
      </c>
      <c r="BM347" s="6">
        <v>9.66</v>
      </c>
      <c r="BN347" s="6">
        <v>6.3</v>
      </c>
      <c r="BO347" s="6">
        <v>8.6999999999999993</v>
      </c>
      <c r="BP347" s="6">
        <v>8.16</v>
      </c>
      <c r="BQ347" s="6">
        <v>8.3000000000000007</v>
      </c>
      <c r="BR347" s="6">
        <v>7</v>
      </c>
      <c r="BS347" s="11">
        <v>8.68</v>
      </c>
      <c r="BT347" s="6">
        <v>10.16</v>
      </c>
      <c r="BU347" s="6">
        <v>9.06</v>
      </c>
      <c r="BV347" s="6">
        <v>9.5399999999999991</v>
      </c>
      <c r="BW347" s="6">
        <v>9.6999999999999993</v>
      </c>
      <c r="BX347" s="6">
        <v>8.48</v>
      </c>
      <c r="BY347" s="6">
        <v>10.78</v>
      </c>
      <c r="BZ347" s="6">
        <v>5.8</v>
      </c>
      <c r="CA347" s="6">
        <v>10.46</v>
      </c>
      <c r="CB347" s="6">
        <v>11</v>
      </c>
      <c r="CC347" s="6">
        <v>7.52</v>
      </c>
      <c r="CD347" s="6">
        <v>8.8000000000000007</v>
      </c>
      <c r="CE347" s="6">
        <v>9.08</v>
      </c>
      <c r="CF347" s="6">
        <v>8.1199999999999992</v>
      </c>
      <c r="CG347" s="6">
        <v>9.8000000000000007</v>
      </c>
      <c r="CH347" s="6">
        <v>8.1999999999999993</v>
      </c>
      <c r="CI347" s="6">
        <v>8.2799999999999994</v>
      </c>
      <c r="CJ347" s="11">
        <v>8.4</v>
      </c>
      <c r="CK347" s="6">
        <v>10.68</v>
      </c>
      <c r="CL347" s="6">
        <v>8.48</v>
      </c>
      <c r="CM347" s="6">
        <v>11.05</v>
      </c>
      <c r="CN347" s="6">
        <v>6.68</v>
      </c>
      <c r="CO347" s="10">
        <v>8.02</v>
      </c>
      <c r="CP347" s="10"/>
    </row>
    <row r="348" spans="1:94" ht="15.75" customHeight="1" x14ac:dyDescent="0.25">
      <c r="A348" s="4">
        <v>347</v>
      </c>
      <c r="B348" s="4"/>
      <c r="C348" s="4">
        <v>12</v>
      </c>
      <c r="D348" s="8">
        <v>9.18</v>
      </c>
      <c r="E348" s="8">
        <v>8.4700000000000006</v>
      </c>
      <c r="F348" s="8">
        <v>6.68</v>
      </c>
      <c r="G348" s="8">
        <v>11.38</v>
      </c>
      <c r="H348" s="8">
        <v>7.18</v>
      </c>
      <c r="I348" s="8">
        <v>7.53</v>
      </c>
      <c r="J348" s="8">
        <v>6.11</v>
      </c>
      <c r="K348" s="8">
        <v>8.43</v>
      </c>
      <c r="L348" s="8">
        <v>6.46</v>
      </c>
      <c r="M348" s="8">
        <v>8.59</v>
      </c>
      <c r="N348" s="8">
        <v>7.99</v>
      </c>
      <c r="O348" s="8">
        <v>8.14</v>
      </c>
      <c r="P348" s="8">
        <v>7.62</v>
      </c>
      <c r="Q348" s="8">
        <v>9.0500000000000007</v>
      </c>
      <c r="R348" s="8">
        <v>9.64</v>
      </c>
      <c r="S348" s="8">
        <v>7.45</v>
      </c>
      <c r="T348" s="8">
        <v>8.8000000000000007</v>
      </c>
      <c r="U348" s="8">
        <v>8.43</v>
      </c>
      <c r="V348" s="8">
        <v>8.7899999999999991</v>
      </c>
      <c r="W348" s="8">
        <v>10.210000000000001</v>
      </c>
      <c r="X348" s="8">
        <v>9.6</v>
      </c>
      <c r="Y348" s="8">
        <v>8.5</v>
      </c>
      <c r="Z348" s="8">
        <v>8.18</v>
      </c>
      <c r="AA348" s="8">
        <v>6.5</v>
      </c>
      <c r="AB348" s="8">
        <v>8.7100000000000009</v>
      </c>
      <c r="AC348" s="8">
        <v>8.2200000000000006</v>
      </c>
      <c r="AD348" s="8">
        <v>10.25</v>
      </c>
      <c r="AE348" s="8">
        <v>7.95</v>
      </c>
      <c r="AF348" s="8">
        <v>7.87</v>
      </c>
      <c r="AG348" s="8">
        <v>6.8</v>
      </c>
      <c r="AH348" s="8">
        <v>9.01</v>
      </c>
      <c r="AI348" s="8">
        <v>8.74</v>
      </c>
      <c r="AJ348" s="8">
        <v>6.64</v>
      </c>
      <c r="AK348" s="8">
        <v>7.82</v>
      </c>
      <c r="AL348" s="8">
        <v>8.8699999999999992</v>
      </c>
      <c r="AM348" s="8">
        <v>7.62</v>
      </c>
      <c r="AN348" s="8">
        <v>9.34</v>
      </c>
      <c r="AO348" s="8">
        <v>8.1</v>
      </c>
      <c r="AP348" s="8">
        <v>9.33</v>
      </c>
      <c r="AQ348" s="8">
        <v>8.35</v>
      </c>
      <c r="AR348" s="8">
        <v>8.68</v>
      </c>
      <c r="AS348" s="8">
        <v>6.93</v>
      </c>
      <c r="AT348" s="8">
        <v>8.17</v>
      </c>
      <c r="AU348" s="6">
        <v>8.56</v>
      </c>
      <c r="AV348" s="6">
        <v>9.65</v>
      </c>
      <c r="AW348" s="6">
        <v>8.64</v>
      </c>
      <c r="AX348" s="6">
        <v>7.53</v>
      </c>
      <c r="AY348" s="6">
        <v>8.31</v>
      </c>
      <c r="AZ348" s="6">
        <v>8.39</v>
      </c>
      <c r="BA348" s="6">
        <v>8.7200000000000006</v>
      </c>
      <c r="BB348" s="6">
        <v>9.65</v>
      </c>
      <c r="BC348" s="6">
        <v>11.68</v>
      </c>
      <c r="BD348" s="6">
        <v>8.18</v>
      </c>
      <c r="BE348" s="6">
        <v>10.8</v>
      </c>
      <c r="BF348" s="6">
        <v>8.1300000000000008</v>
      </c>
      <c r="BG348" s="6">
        <v>9.06</v>
      </c>
      <c r="BH348" s="6">
        <v>8.15</v>
      </c>
      <c r="BI348" s="6">
        <v>8.9</v>
      </c>
      <c r="BJ348" s="6">
        <v>10.15</v>
      </c>
      <c r="BK348" s="6">
        <v>9.82</v>
      </c>
      <c r="BL348" s="6">
        <v>7.86</v>
      </c>
      <c r="BM348" s="6">
        <v>9.6</v>
      </c>
      <c r="BN348" s="6">
        <v>6.25</v>
      </c>
      <c r="BO348" s="6">
        <v>8.59</v>
      </c>
      <c r="BP348" s="6">
        <v>8</v>
      </c>
      <c r="BQ348" s="6">
        <v>8.2200000000000006</v>
      </c>
      <c r="BR348" s="6">
        <v>6.9</v>
      </c>
      <c r="BS348" s="11">
        <v>8.6</v>
      </c>
      <c r="BT348" s="6">
        <v>10</v>
      </c>
      <c r="BU348" s="6">
        <v>9.02</v>
      </c>
      <c r="BV348" s="6">
        <v>9.48</v>
      </c>
      <c r="BW348" s="6">
        <v>9.58</v>
      </c>
      <c r="BX348" s="6">
        <v>8.4</v>
      </c>
      <c r="BY348" s="6">
        <v>10.84</v>
      </c>
      <c r="BZ348" s="6">
        <v>5.72</v>
      </c>
      <c r="CA348" s="6">
        <v>10.38</v>
      </c>
      <c r="CB348" s="6">
        <v>10.88</v>
      </c>
      <c r="CC348" s="6">
        <v>7.42</v>
      </c>
      <c r="CD348" s="6">
        <v>8.74</v>
      </c>
      <c r="CE348" s="6">
        <v>8.64</v>
      </c>
      <c r="CF348" s="6">
        <v>8.06</v>
      </c>
      <c r="CG348" s="6">
        <v>9.7799999999999994</v>
      </c>
      <c r="CH348" s="6">
        <v>8.0399999999999991</v>
      </c>
      <c r="CI348" s="6">
        <v>8.1</v>
      </c>
      <c r="CJ348" s="11">
        <v>8.3000000000000007</v>
      </c>
      <c r="CK348" s="6">
        <v>10.62</v>
      </c>
      <c r="CL348" s="6">
        <v>8.4</v>
      </c>
      <c r="CM348" s="6">
        <v>10.91</v>
      </c>
      <c r="CN348" s="6">
        <v>6.62</v>
      </c>
      <c r="CO348" s="10">
        <v>7.9</v>
      </c>
      <c r="CP348" s="10"/>
    </row>
    <row r="349" spans="1:94" ht="15.75" customHeight="1" x14ac:dyDescent="0.25">
      <c r="A349" s="4">
        <v>348</v>
      </c>
      <c r="B349" s="4"/>
      <c r="C349" s="4">
        <v>13</v>
      </c>
      <c r="D349" s="8">
        <v>9.08</v>
      </c>
      <c r="E349" s="8">
        <v>8.3800000000000008</v>
      </c>
      <c r="F349" s="8">
        <v>6.63</v>
      </c>
      <c r="G349" s="8">
        <v>11.18</v>
      </c>
      <c r="H349" s="8">
        <v>7.08</v>
      </c>
      <c r="I349" s="8">
        <v>7.42</v>
      </c>
      <c r="J349" s="8">
        <v>6.14</v>
      </c>
      <c r="K349" s="8">
        <v>8.39</v>
      </c>
      <c r="L349" s="8">
        <v>6.44</v>
      </c>
      <c r="M349" s="8">
        <v>8.4700000000000006</v>
      </c>
      <c r="N349" s="8">
        <v>8.01</v>
      </c>
      <c r="O349" s="8">
        <v>8.0299999999999994</v>
      </c>
      <c r="P349" s="8">
        <v>7.49</v>
      </c>
      <c r="Q349" s="8">
        <v>8.99</v>
      </c>
      <c r="R349" s="8">
        <v>9.5399999999999991</v>
      </c>
      <c r="S349" s="8">
        <v>7.51</v>
      </c>
      <c r="T349" s="8">
        <v>8.77</v>
      </c>
      <c r="U349" s="8">
        <v>8.3699999999999992</v>
      </c>
      <c r="V349" s="8">
        <v>8.6999999999999993</v>
      </c>
      <c r="W349" s="8">
        <v>10.050000000000001</v>
      </c>
      <c r="X349" s="8">
        <v>9.4700000000000006</v>
      </c>
      <c r="Y349" s="8">
        <v>8.25</v>
      </c>
      <c r="Z349" s="8">
        <v>8.07</v>
      </c>
      <c r="AA349" s="8">
        <v>6.43</v>
      </c>
      <c r="AB349" s="8">
        <v>8.59</v>
      </c>
      <c r="AC349" s="8">
        <v>8.2200000000000006</v>
      </c>
      <c r="AD349" s="8">
        <v>10.130000000000001</v>
      </c>
      <c r="AE349" s="8">
        <v>7.81</v>
      </c>
      <c r="AF349" s="8">
        <v>7.81</v>
      </c>
      <c r="AG349" s="8">
        <v>6.76</v>
      </c>
      <c r="AH349" s="8">
        <v>8.81</v>
      </c>
      <c r="AI349" s="8">
        <v>8.74</v>
      </c>
      <c r="AJ349" s="8">
        <v>6.59</v>
      </c>
      <c r="AK349" s="8">
        <v>7.65</v>
      </c>
      <c r="AL349" s="8">
        <v>8.75</v>
      </c>
      <c r="AM349" s="8">
        <v>7.57</v>
      </c>
      <c r="AN349" s="8">
        <v>9.27</v>
      </c>
      <c r="AO349" s="8">
        <v>7.95</v>
      </c>
      <c r="AP349" s="8">
        <v>9.27</v>
      </c>
      <c r="AQ349" s="8">
        <v>8.2100000000000009</v>
      </c>
      <c r="AR349" s="8">
        <v>8.68</v>
      </c>
      <c r="AS349" s="8">
        <v>6.91</v>
      </c>
      <c r="AT349" s="8">
        <v>7.97</v>
      </c>
      <c r="AU349" s="6">
        <v>8.52</v>
      </c>
      <c r="AV349" s="6">
        <v>9.52</v>
      </c>
      <c r="AW349" s="6">
        <v>8.4700000000000006</v>
      </c>
      <c r="AX349" s="6">
        <v>7.5</v>
      </c>
      <c r="AY349" s="6">
        <v>8.27</v>
      </c>
      <c r="AZ349" s="6">
        <v>8.36</v>
      </c>
      <c r="BA349" s="6">
        <v>8.64</v>
      </c>
      <c r="BB349" s="6">
        <v>9.5</v>
      </c>
      <c r="BC349" s="6">
        <v>11.47</v>
      </c>
      <c r="BD349" s="6">
        <v>8.08</v>
      </c>
      <c r="BE349" s="6">
        <v>10.71</v>
      </c>
      <c r="BF349" s="6">
        <v>8.06</v>
      </c>
      <c r="BG349" s="6">
        <v>9</v>
      </c>
      <c r="BH349" s="6">
        <v>8.1</v>
      </c>
      <c r="BI349" s="6">
        <v>8.89</v>
      </c>
      <c r="BJ349" s="6">
        <v>10.08</v>
      </c>
      <c r="BK349" s="6">
        <v>9.7200000000000006</v>
      </c>
      <c r="BL349" s="6">
        <v>7.7</v>
      </c>
      <c r="BM349" s="6">
        <v>9.58</v>
      </c>
      <c r="BN349" s="6">
        <v>6.49</v>
      </c>
      <c r="BO349" s="6">
        <v>8.48</v>
      </c>
      <c r="BP349" s="6">
        <v>7.9</v>
      </c>
      <c r="BQ349" s="6">
        <v>8.18</v>
      </c>
      <c r="BR349" s="6">
        <v>6.9</v>
      </c>
      <c r="BS349" s="11">
        <v>8.34</v>
      </c>
      <c r="BT349" s="6">
        <v>9.86</v>
      </c>
      <c r="BU349" s="6">
        <v>8.92</v>
      </c>
      <c r="BV349" s="6">
        <v>9.16</v>
      </c>
      <c r="BW349" s="6">
        <v>9.4600000000000009</v>
      </c>
      <c r="BX349" s="6">
        <v>8.2799999999999994</v>
      </c>
      <c r="BY349" s="6">
        <v>10.67</v>
      </c>
      <c r="BZ349" s="6">
        <v>5.56</v>
      </c>
      <c r="CA349" s="6">
        <v>10.3</v>
      </c>
      <c r="CB349" s="6">
        <v>10.84</v>
      </c>
      <c r="CC349" s="6">
        <v>7.26</v>
      </c>
      <c r="CD349" s="6">
        <v>8.58</v>
      </c>
      <c r="CE349" s="6">
        <v>8.6</v>
      </c>
      <c r="CF349" s="6">
        <v>7.94</v>
      </c>
      <c r="CG349" s="6">
        <v>9.76</v>
      </c>
      <c r="CH349" s="6">
        <v>7.88</v>
      </c>
      <c r="CI349" s="6">
        <v>8</v>
      </c>
      <c r="CJ349" s="11">
        <v>8.18</v>
      </c>
      <c r="CK349" s="6">
        <v>10.6</v>
      </c>
      <c r="CL349" s="6">
        <v>8.3000000000000007</v>
      </c>
      <c r="CM349" s="6">
        <v>10.75</v>
      </c>
      <c r="CN349" s="6">
        <v>6.56</v>
      </c>
      <c r="CO349" s="10">
        <v>7.74</v>
      </c>
      <c r="CP349" s="10"/>
    </row>
    <row r="350" spans="1:94" ht="15.75" customHeight="1" x14ac:dyDescent="0.25">
      <c r="A350" s="4">
        <v>349</v>
      </c>
      <c r="B350" s="4"/>
      <c r="C350" s="4">
        <v>14</v>
      </c>
      <c r="D350" s="8">
        <v>8.9700000000000006</v>
      </c>
      <c r="E350" s="8">
        <v>8.2200000000000006</v>
      </c>
      <c r="F350" s="8">
        <v>6.53</v>
      </c>
      <c r="G350" s="8">
        <v>10.98</v>
      </c>
      <c r="H350" s="8">
        <v>6.98</v>
      </c>
      <c r="I350" s="8">
        <v>7.26</v>
      </c>
      <c r="J350" s="8">
        <v>6.16</v>
      </c>
      <c r="K350" s="8">
        <v>8.34</v>
      </c>
      <c r="L350" s="8">
        <v>6.44</v>
      </c>
      <c r="M350" s="8">
        <v>8.3800000000000008</v>
      </c>
      <c r="N350" s="8">
        <v>7.99</v>
      </c>
      <c r="O350" s="8">
        <v>7.92</v>
      </c>
      <c r="P350" s="8">
        <v>7.4</v>
      </c>
      <c r="Q350" s="8">
        <v>8.93</v>
      </c>
      <c r="R350" s="8">
        <v>9.4600000000000009</v>
      </c>
      <c r="S350" s="8">
        <v>7.56</v>
      </c>
      <c r="T350" s="8">
        <v>8.75</v>
      </c>
      <c r="U350" s="8">
        <v>8.2200000000000006</v>
      </c>
      <c r="V350" s="8">
        <v>8.59</v>
      </c>
      <c r="W350" s="8">
        <v>9.92</v>
      </c>
      <c r="X350" s="8">
        <v>9.27</v>
      </c>
      <c r="Y350" s="8">
        <v>8.0500000000000007</v>
      </c>
      <c r="Z350" s="8">
        <v>8</v>
      </c>
      <c r="AA350" s="8">
        <v>6.32</v>
      </c>
      <c r="AB350" s="8">
        <v>8.5299999999999994</v>
      </c>
      <c r="AC350" s="8">
        <v>8.33</v>
      </c>
      <c r="AD350" s="8">
        <v>10</v>
      </c>
      <c r="AE350" s="8">
        <v>7.63</v>
      </c>
      <c r="AF350" s="8">
        <v>7.79</v>
      </c>
      <c r="AG350" s="8">
        <v>6.72</v>
      </c>
      <c r="AH350" s="8">
        <v>8.59</v>
      </c>
      <c r="AI350" s="8">
        <v>8.76</v>
      </c>
      <c r="AJ350" s="8">
        <v>6.51</v>
      </c>
      <c r="AK350" s="8">
        <v>7.46</v>
      </c>
      <c r="AL350" s="8">
        <v>8.64</v>
      </c>
      <c r="AM350" s="8">
        <v>7.54</v>
      </c>
      <c r="AN350" s="8">
        <v>9.17</v>
      </c>
      <c r="AO350" s="8">
        <v>7.81</v>
      </c>
      <c r="AP350" s="8">
        <v>9.17</v>
      </c>
      <c r="AQ350" s="8">
        <v>8.09</v>
      </c>
      <c r="AR350" s="8">
        <v>8.68</v>
      </c>
      <c r="AS350" s="8">
        <v>6.91</v>
      </c>
      <c r="AT350" s="8">
        <v>7.75</v>
      </c>
      <c r="AU350" s="6">
        <v>8.51</v>
      </c>
      <c r="AV350" s="6">
        <v>9.39</v>
      </c>
      <c r="AW350" s="6">
        <v>8.27</v>
      </c>
      <c r="AX350" s="6">
        <v>7.46</v>
      </c>
      <c r="AY350" s="6">
        <v>8.2200000000000006</v>
      </c>
      <c r="AZ350" s="6">
        <v>8.3800000000000008</v>
      </c>
      <c r="BA350" s="6">
        <v>8.51</v>
      </c>
      <c r="BB350" s="6">
        <v>9.35</v>
      </c>
      <c r="BC350" s="6">
        <v>11.35</v>
      </c>
      <c r="BD350" s="6">
        <v>8.06</v>
      </c>
      <c r="BE350" s="6">
        <v>10.59</v>
      </c>
      <c r="BF350" s="6">
        <v>8.02</v>
      </c>
      <c r="BG350" s="6">
        <v>8.9600000000000009</v>
      </c>
      <c r="BH350" s="6">
        <v>8.0299999999999994</v>
      </c>
      <c r="BI350" s="6">
        <v>8.86</v>
      </c>
      <c r="BJ350" s="6">
        <v>10.039999999999999</v>
      </c>
      <c r="BK350" s="6">
        <v>9.64</v>
      </c>
      <c r="BL350" s="6">
        <v>7.5</v>
      </c>
      <c r="BM350" s="6">
        <v>9.5</v>
      </c>
      <c r="BN350" s="6">
        <v>6.4</v>
      </c>
      <c r="BO350" s="6">
        <v>8.35</v>
      </c>
      <c r="BP350" s="6">
        <v>7.78</v>
      </c>
      <c r="BQ350" s="6">
        <v>8.1199999999999992</v>
      </c>
      <c r="BR350" s="6">
        <v>6.84</v>
      </c>
      <c r="BS350" s="11">
        <v>8.2799999999999994</v>
      </c>
      <c r="BT350" s="6">
        <v>9.58</v>
      </c>
      <c r="BU350" s="6">
        <v>8.8000000000000007</v>
      </c>
      <c r="BV350" s="6">
        <v>9.14</v>
      </c>
      <c r="BW350" s="6">
        <v>9.4</v>
      </c>
      <c r="BX350" s="6">
        <v>8.24</v>
      </c>
      <c r="BY350" s="6">
        <v>10.56</v>
      </c>
      <c r="BZ350" s="6">
        <v>5.54</v>
      </c>
      <c r="CA350" s="6">
        <v>10.18</v>
      </c>
      <c r="CB350" s="6">
        <v>10.76</v>
      </c>
      <c r="CC350" s="6">
        <v>7.12</v>
      </c>
      <c r="CD350" s="6">
        <v>8.48</v>
      </c>
      <c r="CE350" s="6">
        <v>8.3000000000000007</v>
      </c>
      <c r="CF350" s="6">
        <v>7.72</v>
      </c>
      <c r="CG350" s="6">
        <v>9.8000000000000007</v>
      </c>
      <c r="CH350" s="6">
        <v>7.7</v>
      </c>
      <c r="CI350" s="6">
        <v>7.82</v>
      </c>
      <c r="CJ350" s="11">
        <v>8.08</v>
      </c>
      <c r="CK350" s="6">
        <v>10.48</v>
      </c>
      <c r="CL350" s="6">
        <v>8.3000000000000007</v>
      </c>
      <c r="CM350" s="6">
        <v>10.52</v>
      </c>
      <c r="CN350" s="6">
        <v>6.48</v>
      </c>
      <c r="CO350" s="10">
        <v>7.58</v>
      </c>
      <c r="CP350" s="10"/>
    </row>
    <row r="351" spans="1:94" ht="15.75" customHeight="1" x14ac:dyDescent="0.25">
      <c r="A351" s="4">
        <v>350</v>
      </c>
      <c r="B351" s="4"/>
      <c r="C351" s="4">
        <v>15</v>
      </c>
      <c r="D351" s="8">
        <v>8.7799999999999994</v>
      </c>
      <c r="E351" s="8">
        <v>8.08</v>
      </c>
      <c r="F351" s="8">
        <v>6.48</v>
      </c>
      <c r="G351" s="8">
        <v>10.78</v>
      </c>
      <c r="H351" s="8">
        <v>6.88</v>
      </c>
      <c r="I351" s="8">
        <v>7.18</v>
      </c>
      <c r="J351" s="8">
        <v>6.19</v>
      </c>
      <c r="K351" s="8">
        <v>8.31</v>
      </c>
      <c r="L351" s="8">
        <v>6.44</v>
      </c>
      <c r="M351" s="8">
        <v>8.2899999999999991</v>
      </c>
      <c r="N351" s="8">
        <v>7.95</v>
      </c>
      <c r="O351" s="8">
        <v>7.79</v>
      </c>
      <c r="P351" s="8">
        <v>7.32</v>
      </c>
      <c r="Q351" s="8">
        <v>8.75</v>
      </c>
      <c r="R351" s="8">
        <v>9.41</v>
      </c>
      <c r="S351" s="8">
        <v>7.57</v>
      </c>
      <c r="T351" s="8">
        <v>8.66</v>
      </c>
      <c r="U351" s="8">
        <v>8.09</v>
      </c>
      <c r="V351" s="8">
        <v>8.49</v>
      </c>
      <c r="W351" s="8">
        <v>9.81</v>
      </c>
      <c r="X351" s="8">
        <v>9.0500000000000007</v>
      </c>
      <c r="Y351" s="8">
        <v>7.85</v>
      </c>
      <c r="Z351" s="8">
        <v>7.93</v>
      </c>
      <c r="AA351" s="8">
        <v>6.2</v>
      </c>
      <c r="AB351" s="8">
        <v>8.4700000000000006</v>
      </c>
      <c r="AC351" s="8">
        <v>8.39</v>
      </c>
      <c r="AD351" s="8">
        <v>9.8699999999999992</v>
      </c>
      <c r="AE351" s="8">
        <v>7.45</v>
      </c>
      <c r="AF351" s="8">
        <v>7.79</v>
      </c>
      <c r="AG351" s="8">
        <v>6.72</v>
      </c>
      <c r="AH351" s="8">
        <v>8.35</v>
      </c>
      <c r="AI351" s="8">
        <v>8.85</v>
      </c>
      <c r="AJ351" s="8">
        <v>6.43</v>
      </c>
      <c r="AK351" s="8">
        <v>7.27</v>
      </c>
      <c r="AL351" s="8">
        <v>8.5399999999999991</v>
      </c>
      <c r="AM351" s="8">
        <v>7.53</v>
      </c>
      <c r="AN351" s="8">
        <v>9.09</v>
      </c>
      <c r="AO351" s="8">
        <v>7.74</v>
      </c>
      <c r="AP351" s="8">
        <v>9.09</v>
      </c>
      <c r="AQ351" s="8">
        <v>7.93</v>
      </c>
      <c r="AR351" s="8">
        <v>8.68</v>
      </c>
      <c r="AS351" s="8">
        <v>6.88</v>
      </c>
      <c r="AT351" s="8">
        <v>7.57</v>
      </c>
      <c r="AU351" s="6">
        <v>8.5</v>
      </c>
      <c r="AV351" s="6">
        <v>9.25</v>
      </c>
      <c r="AW351" s="6">
        <v>8.09</v>
      </c>
      <c r="AX351" s="6">
        <v>7.4</v>
      </c>
      <c r="AY351" s="6">
        <v>8.17</v>
      </c>
      <c r="AZ351" s="6">
        <v>8.43</v>
      </c>
      <c r="BA351" s="6">
        <v>8.36</v>
      </c>
      <c r="BB351" s="6">
        <v>9.2200000000000006</v>
      </c>
      <c r="BC351" s="6">
        <v>11.22</v>
      </c>
      <c r="BD351" s="6">
        <v>8.06</v>
      </c>
      <c r="BE351" s="6">
        <v>10.44</v>
      </c>
      <c r="BF351" s="6">
        <v>8.0500000000000007</v>
      </c>
      <c r="BG351" s="6">
        <v>8.93</v>
      </c>
      <c r="BH351" s="6">
        <v>7.98</v>
      </c>
      <c r="BI351" s="6">
        <v>8.89</v>
      </c>
      <c r="BJ351" s="6">
        <v>10</v>
      </c>
      <c r="BK351" s="6">
        <v>9.5</v>
      </c>
      <c r="BL351" s="6">
        <v>7.44</v>
      </c>
      <c r="BM351" s="6">
        <v>9.44</v>
      </c>
      <c r="BN351" s="6">
        <v>6.3</v>
      </c>
      <c r="BO351" s="6">
        <v>8.3000000000000007</v>
      </c>
      <c r="BP351" s="6">
        <v>7.7</v>
      </c>
      <c r="BQ351" s="6">
        <v>8.0399999999999991</v>
      </c>
      <c r="BR351" s="6">
        <v>6.74</v>
      </c>
      <c r="BS351" s="11">
        <v>8.18</v>
      </c>
      <c r="BT351" s="6">
        <v>9.52</v>
      </c>
      <c r="BU351" s="6">
        <v>8.7200000000000006</v>
      </c>
      <c r="BV351" s="6">
        <v>9.1</v>
      </c>
      <c r="BW351" s="6">
        <v>9.3000000000000007</v>
      </c>
      <c r="BX351" s="6">
        <v>8.1999999999999993</v>
      </c>
      <c r="BY351" s="6">
        <v>10.46</v>
      </c>
      <c r="BZ351" s="6">
        <v>5.5</v>
      </c>
      <c r="CA351" s="6">
        <v>10.039999999999999</v>
      </c>
      <c r="CB351" s="6">
        <v>10.72</v>
      </c>
      <c r="CC351" s="6">
        <v>6.9</v>
      </c>
      <c r="CD351" s="6">
        <v>8.48</v>
      </c>
      <c r="CE351" s="6">
        <v>8.06</v>
      </c>
      <c r="CF351" s="6">
        <v>7.68</v>
      </c>
      <c r="CG351" s="6">
        <v>9.76</v>
      </c>
      <c r="CH351" s="6">
        <v>7.6</v>
      </c>
      <c r="CI351" s="6">
        <v>7.9</v>
      </c>
      <c r="CJ351" s="11">
        <v>8</v>
      </c>
      <c r="CK351" s="6">
        <v>10.18</v>
      </c>
      <c r="CL351" s="6">
        <v>8.24</v>
      </c>
      <c r="CM351" s="6">
        <v>10.31</v>
      </c>
      <c r="CN351" s="6">
        <v>6.37</v>
      </c>
      <c r="CO351" s="10">
        <v>7.44</v>
      </c>
      <c r="CP351" s="10"/>
    </row>
    <row r="352" spans="1:94" ht="15.75" customHeight="1" x14ac:dyDescent="0.25">
      <c r="A352" s="4">
        <v>351</v>
      </c>
      <c r="B352" s="4"/>
      <c r="C352" s="4">
        <v>16</v>
      </c>
      <c r="D352" s="8">
        <v>8.6300000000000008</v>
      </c>
      <c r="E352" s="8">
        <v>7.88</v>
      </c>
      <c r="F352" s="8">
        <v>6.38</v>
      </c>
      <c r="G352" s="8">
        <v>10.63</v>
      </c>
      <c r="H352" s="8">
        <v>6.78</v>
      </c>
      <c r="I352" s="8">
        <v>7.06</v>
      </c>
      <c r="J352" s="8">
        <v>6.26</v>
      </c>
      <c r="K352" s="8">
        <v>8.3000000000000007</v>
      </c>
      <c r="L352" s="8">
        <v>6.41</v>
      </c>
      <c r="M352" s="8">
        <v>8.2100000000000009</v>
      </c>
      <c r="N352" s="8">
        <v>7.88</v>
      </c>
      <c r="O352" s="8">
        <v>7.65</v>
      </c>
      <c r="P352" s="8">
        <v>7.24</v>
      </c>
      <c r="Q352" s="8">
        <v>8.5399999999999991</v>
      </c>
      <c r="R352" s="8">
        <v>9.3699999999999992</v>
      </c>
      <c r="S352" s="8">
        <v>7.53</v>
      </c>
      <c r="T352" s="8">
        <v>8.58</v>
      </c>
      <c r="U352" s="8">
        <v>7.99</v>
      </c>
      <c r="V352" s="8">
        <v>8.35</v>
      </c>
      <c r="W352" s="8">
        <v>9.64</v>
      </c>
      <c r="X352" s="8">
        <v>8.81</v>
      </c>
      <c r="Y352" s="8">
        <v>7.69</v>
      </c>
      <c r="Z352" s="8">
        <v>7.86</v>
      </c>
      <c r="AA352" s="8">
        <v>6.1</v>
      </c>
      <c r="AB352" s="8">
        <v>8.39</v>
      </c>
      <c r="AC352" s="8">
        <v>8.4499999999999993</v>
      </c>
      <c r="AD352" s="8">
        <v>9.75</v>
      </c>
      <c r="AE352" s="8">
        <v>7.3</v>
      </c>
      <c r="AF352" s="8">
        <v>7.79</v>
      </c>
      <c r="AG352" s="8">
        <v>6.72</v>
      </c>
      <c r="AH352" s="8">
        <v>8.15</v>
      </c>
      <c r="AI352" s="8">
        <v>8.92</v>
      </c>
      <c r="AJ352" s="8">
        <v>6.35</v>
      </c>
      <c r="AK352" s="8">
        <v>7.07</v>
      </c>
      <c r="AL352" s="8">
        <v>8.4700000000000006</v>
      </c>
      <c r="AM352" s="8">
        <v>7.49</v>
      </c>
      <c r="AN352" s="8">
        <v>8.93</v>
      </c>
      <c r="AO352" s="8">
        <v>7.69</v>
      </c>
      <c r="AP352" s="8">
        <v>8.99</v>
      </c>
      <c r="AQ352" s="8">
        <v>7.79</v>
      </c>
      <c r="AR352" s="8">
        <v>8.75</v>
      </c>
      <c r="AS352" s="8">
        <v>6.85</v>
      </c>
      <c r="AT352" s="8">
        <v>7.37</v>
      </c>
      <c r="AU352" s="6">
        <v>8.5</v>
      </c>
      <c r="AV352" s="6">
        <v>9.1300000000000008</v>
      </c>
      <c r="AW352" s="6">
        <v>7.9</v>
      </c>
      <c r="AX352" s="6">
        <v>7.32</v>
      </c>
      <c r="AY352" s="6">
        <v>8.07</v>
      </c>
      <c r="AZ352" s="6">
        <v>8.52</v>
      </c>
      <c r="BA352" s="6">
        <v>8.19</v>
      </c>
      <c r="BB352" s="6">
        <v>9.1</v>
      </c>
      <c r="BC352" s="6">
        <v>11.1</v>
      </c>
      <c r="BD352" s="6">
        <v>8.06</v>
      </c>
      <c r="BE352" s="6">
        <v>10.3</v>
      </c>
      <c r="BF352" s="6">
        <v>8.06</v>
      </c>
      <c r="BG352" s="6">
        <v>8.94</v>
      </c>
      <c r="BH352" s="6">
        <v>7.86</v>
      </c>
      <c r="BI352" s="6">
        <v>8.64</v>
      </c>
      <c r="BJ352" s="6">
        <v>9.9</v>
      </c>
      <c r="BK352" s="6">
        <v>9.44</v>
      </c>
      <c r="BL352" s="6">
        <v>7.36</v>
      </c>
      <c r="BM352" s="6">
        <v>9.4</v>
      </c>
      <c r="BN352" s="6">
        <v>6.2</v>
      </c>
      <c r="BO352" s="6">
        <v>8.2799999999999994</v>
      </c>
      <c r="BP352" s="6">
        <v>7.6</v>
      </c>
      <c r="BQ352" s="6">
        <v>7.94</v>
      </c>
      <c r="BR352" s="6">
        <v>6.74</v>
      </c>
      <c r="BS352" s="11">
        <v>8</v>
      </c>
      <c r="BT352" s="6">
        <v>9.4600000000000009</v>
      </c>
      <c r="BU352" s="6">
        <v>8.6999999999999993</v>
      </c>
      <c r="BV352" s="6">
        <v>9</v>
      </c>
      <c r="BW352" s="6">
        <v>9.1999999999999993</v>
      </c>
      <c r="BX352" s="6">
        <v>7.88</v>
      </c>
      <c r="BY352" s="6">
        <v>10.3</v>
      </c>
      <c r="BZ352" s="6">
        <v>5.44</v>
      </c>
      <c r="CA352" s="6">
        <v>9.9</v>
      </c>
      <c r="CB352" s="6">
        <v>10.7</v>
      </c>
      <c r="CC352" s="6">
        <v>6.8</v>
      </c>
      <c r="CD352" s="6">
        <v>8.44</v>
      </c>
      <c r="CE352" s="6">
        <v>7.98</v>
      </c>
      <c r="CF352" s="6">
        <v>7.6</v>
      </c>
      <c r="CG352" s="6">
        <v>9.7799999999999994</v>
      </c>
      <c r="CH352" s="6">
        <v>7.46</v>
      </c>
      <c r="CI352" s="6">
        <v>7.5</v>
      </c>
      <c r="CJ352" s="11">
        <v>7.9</v>
      </c>
      <c r="CK352" s="6">
        <v>10.3</v>
      </c>
      <c r="CL352" s="6">
        <v>8.16</v>
      </c>
      <c r="CM352" s="6">
        <v>10.17</v>
      </c>
      <c r="CN352" s="6">
        <v>6.29</v>
      </c>
      <c r="CO352" s="10">
        <v>7.27</v>
      </c>
      <c r="CP352" s="10"/>
    </row>
    <row r="353" spans="1:94" ht="15.75" customHeight="1" x14ac:dyDescent="0.25">
      <c r="A353" s="4">
        <v>352</v>
      </c>
      <c r="B353" s="4"/>
      <c r="C353" s="4">
        <v>17</v>
      </c>
      <c r="D353" s="8">
        <v>8.4700000000000006</v>
      </c>
      <c r="E353" s="8">
        <v>7.68</v>
      </c>
      <c r="F353" s="8">
        <v>6.33</v>
      </c>
      <c r="G353" s="8">
        <v>10.48</v>
      </c>
      <c r="H353" s="8">
        <v>6.68</v>
      </c>
      <c r="I353" s="8">
        <v>7.06</v>
      </c>
      <c r="J353" s="8">
        <v>6.22</v>
      </c>
      <c r="K353" s="8">
        <v>8.2899999999999991</v>
      </c>
      <c r="L353" s="8">
        <v>6.39</v>
      </c>
      <c r="M353" s="8">
        <v>8.18</v>
      </c>
      <c r="N353" s="8">
        <v>7.75</v>
      </c>
      <c r="O353" s="8">
        <v>7.51</v>
      </c>
      <c r="P353" s="8">
        <v>7.12</v>
      </c>
      <c r="Q353" s="8">
        <v>8.31</v>
      </c>
      <c r="R353" s="8">
        <v>9.2899999999999991</v>
      </c>
      <c r="S353" s="8">
        <v>7.46</v>
      </c>
      <c r="T353" s="8">
        <v>8.4600000000000009</v>
      </c>
      <c r="U353" s="8">
        <v>7.87</v>
      </c>
      <c r="V353" s="8">
        <v>8.2100000000000009</v>
      </c>
      <c r="W353" s="8">
        <v>9.41</v>
      </c>
      <c r="X353" s="8">
        <v>8.59</v>
      </c>
      <c r="Y353" s="8">
        <v>7.55</v>
      </c>
      <c r="Z353" s="8">
        <v>7.86</v>
      </c>
      <c r="AA353" s="8">
        <v>6.02</v>
      </c>
      <c r="AB353" s="8">
        <v>8.2899999999999991</v>
      </c>
      <c r="AC353" s="8">
        <v>8.51</v>
      </c>
      <c r="AD353" s="8">
        <v>9.64</v>
      </c>
      <c r="AE353" s="8">
        <v>7.17</v>
      </c>
      <c r="AF353" s="8">
        <v>7.75</v>
      </c>
      <c r="AG353" s="8">
        <v>6.69</v>
      </c>
      <c r="AH353" s="8">
        <v>7.93</v>
      </c>
      <c r="AI353" s="8">
        <v>8.92</v>
      </c>
      <c r="AJ353" s="8">
        <v>6.27</v>
      </c>
      <c r="AK353" s="8">
        <v>6.89</v>
      </c>
      <c r="AL353" s="8">
        <v>8.39</v>
      </c>
      <c r="AM353" s="8">
        <v>7.44</v>
      </c>
      <c r="AN353" s="8">
        <v>8.7799999999999994</v>
      </c>
      <c r="AO353" s="8">
        <v>7.66</v>
      </c>
      <c r="AP353" s="8">
        <v>8.81</v>
      </c>
      <c r="AQ353" s="8">
        <v>7.64</v>
      </c>
      <c r="AR353" s="8">
        <v>8.81</v>
      </c>
      <c r="AS353" s="8">
        <v>6.8</v>
      </c>
      <c r="AT353" s="8">
        <v>7.21</v>
      </c>
      <c r="AU353" s="6">
        <v>8.52</v>
      </c>
      <c r="AV353" s="6">
        <v>9.02</v>
      </c>
      <c r="AW353" s="6">
        <v>7.75</v>
      </c>
      <c r="AX353" s="6">
        <v>7.25</v>
      </c>
      <c r="AY353" s="6">
        <v>7.98</v>
      </c>
      <c r="AZ353" s="6">
        <v>8.6</v>
      </c>
      <c r="BA353" s="6">
        <v>8</v>
      </c>
      <c r="BB353" s="6">
        <v>9.01</v>
      </c>
      <c r="BC353" s="6">
        <v>11.02</v>
      </c>
      <c r="BD353" s="6">
        <v>8.09</v>
      </c>
      <c r="BE353" s="6">
        <v>10.15</v>
      </c>
      <c r="BF353" s="6">
        <v>7.98</v>
      </c>
      <c r="BG353" s="6">
        <v>8.9700000000000006</v>
      </c>
      <c r="BH353" s="6">
        <v>7.76</v>
      </c>
      <c r="BI353" s="6">
        <v>8.5</v>
      </c>
      <c r="BJ353" s="6">
        <v>9.82</v>
      </c>
      <c r="BK353" s="6">
        <v>9.1999999999999993</v>
      </c>
      <c r="BL353" s="6">
        <v>7.26</v>
      </c>
      <c r="BM353" s="6">
        <v>9.4</v>
      </c>
      <c r="BN353" s="6">
        <v>6.12</v>
      </c>
      <c r="BO353" s="6">
        <v>8.18</v>
      </c>
      <c r="BP353" s="6">
        <v>7.5</v>
      </c>
      <c r="BQ353" s="6">
        <v>7.8</v>
      </c>
      <c r="BR353" s="6">
        <v>6.65</v>
      </c>
      <c r="BS353" s="11">
        <v>7.78</v>
      </c>
      <c r="BT353" s="6">
        <v>9.36</v>
      </c>
      <c r="BU353" s="6">
        <v>8.6199999999999992</v>
      </c>
      <c r="BV353" s="6">
        <v>8.8800000000000008</v>
      </c>
      <c r="BW353" s="6">
        <v>9.1199999999999992</v>
      </c>
      <c r="BX353" s="6">
        <v>7.7</v>
      </c>
      <c r="BY353" s="6">
        <v>10.28</v>
      </c>
      <c r="BZ353" s="6">
        <v>5.34</v>
      </c>
      <c r="CA353" s="6">
        <v>9.8000000000000007</v>
      </c>
      <c r="CB353" s="6">
        <v>10.7</v>
      </c>
      <c r="CC353" s="6">
        <v>6.76</v>
      </c>
      <c r="CD353" s="6">
        <v>8.3800000000000008</v>
      </c>
      <c r="CE353" s="6">
        <v>7.96</v>
      </c>
      <c r="CF353" s="6">
        <v>7.5</v>
      </c>
      <c r="CG353" s="6">
        <v>9.64</v>
      </c>
      <c r="CH353" s="6">
        <v>7.32</v>
      </c>
      <c r="CI353" s="6">
        <v>7.4</v>
      </c>
      <c r="CJ353" s="11">
        <v>7.82</v>
      </c>
      <c r="CK353" s="6">
        <v>10.24</v>
      </c>
      <c r="CL353" s="6">
        <v>8.11</v>
      </c>
      <c r="CM353" s="6">
        <v>10.029999999999999</v>
      </c>
      <c r="CN353" s="6">
        <v>6.11</v>
      </c>
      <c r="CO353" s="10">
        <v>7.16</v>
      </c>
      <c r="CP353" s="10"/>
    </row>
    <row r="354" spans="1:94" ht="15.75" customHeight="1" x14ac:dyDescent="0.25">
      <c r="A354" s="4">
        <v>353</v>
      </c>
      <c r="B354" s="4"/>
      <c r="C354" s="4">
        <v>18</v>
      </c>
      <c r="D354" s="8">
        <v>8.33</v>
      </c>
      <c r="E354" s="8">
        <v>7.48</v>
      </c>
      <c r="F354" s="8">
        <v>6.23</v>
      </c>
      <c r="G354" s="8">
        <v>10.28</v>
      </c>
      <c r="H354" s="8">
        <v>6.58</v>
      </c>
      <c r="I354" s="8">
        <v>7.06</v>
      </c>
      <c r="J354" s="8">
        <v>6.13</v>
      </c>
      <c r="K354" s="8">
        <v>8.26</v>
      </c>
      <c r="L354" s="8">
        <v>6.38</v>
      </c>
      <c r="M354" s="8">
        <v>8.27</v>
      </c>
      <c r="N354" s="8">
        <v>7.61</v>
      </c>
      <c r="O354" s="8">
        <v>7.42</v>
      </c>
      <c r="P354" s="8">
        <v>6.98</v>
      </c>
      <c r="Q354" s="8">
        <v>8.0399999999999991</v>
      </c>
      <c r="R354" s="8">
        <v>9.1199999999999992</v>
      </c>
      <c r="S354" s="8">
        <v>7.45</v>
      </c>
      <c r="T354" s="8">
        <v>8.35</v>
      </c>
      <c r="U354" s="8">
        <v>7.77</v>
      </c>
      <c r="V354" s="8">
        <v>8.0299999999999994</v>
      </c>
      <c r="W354" s="8">
        <v>9.2200000000000006</v>
      </c>
      <c r="X354" s="8">
        <v>8.3699999999999992</v>
      </c>
      <c r="Y354" s="8">
        <v>7.39</v>
      </c>
      <c r="Z354" s="8">
        <v>7.86</v>
      </c>
      <c r="AA354" s="8">
        <v>5.9</v>
      </c>
      <c r="AB354" s="8">
        <v>8.18</v>
      </c>
      <c r="AC354" s="8">
        <v>8.57</v>
      </c>
      <c r="AD354" s="8">
        <v>9.5299999999999994</v>
      </c>
      <c r="AE354" s="8">
        <v>7.05</v>
      </c>
      <c r="AF354" s="8">
        <v>7.67</v>
      </c>
      <c r="AG354" s="8">
        <v>6.66</v>
      </c>
      <c r="AH354" s="8">
        <v>7.74</v>
      </c>
      <c r="AI354" s="8">
        <v>8.91</v>
      </c>
      <c r="AJ354" s="8">
        <v>6.17</v>
      </c>
      <c r="AK354" s="8">
        <v>6.69</v>
      </c>
      <c r="AL354" s="8">
        <v>8.31</v>
      </c>
      <c r="AM354" s="8">
        <v>7.46</v>
      </c>
      <c r="AN354" s="8">
        <v>8.6300000000000008</v>
      </c>
      <c r="AO354" s="8">
        <v>7.59</v>
      </c>
      <c r="AP354" s="8">
        <v>8.64</v>
      </c>
      <c r="AQ354" s="8">
        <v>7.47</v>
      </c>
      <c r="AR354" s="8">
        <v>8.8699999999999992</v>
      </c>
      <c r="AS354" s="8">
        <v>6.75</v>
      </c>
      <c r="AT354" s="8">
        <v>7.05</v>
      </c>
      <c r="AU354" s="6">
        <v>8.52</v>
      </c>
      <c r="AV354" s="6">
        <v>8.93</v>
      </c>
      <c r="AW354" s="6">
        <v>7.59</v>
      </c>
      <c r="AX354" s="6">
        <v>7.21</v>
      </c>
      <c r="AY354" s="6">
        <v>7.88</v>
      </c>
      <c r="AZ354" s="6">
        <v>8.56</v>
      </c>
      <c r="BA354" s="6">
        <v>7.84</v>
      </c>
      <c r="BB354" s="6">
        <v>8.9</v>
      </c>
      <c r="BC354" s="6">
        <v>10.89</v>
      </c>
      <c r="BD354" s="6">
        <v>7.9</v>
      </c>
      <c r="BE354" s="6">
        <v>10.029999999999999</v>
      </c>
      <c r="BF354" s="6">
        <v>7.86</v>
      </c>
      <c r="BG354" s="6">
        <v>9</v>
      </c>
      <c r="BH354" s="6">
        <v>7.63</v>
      </c>
      <c r="BI354" s="6">
        <v>8.32</v>
      </c>
      <c r="BJ354" s="6">
        <v>9.3800000000000008</v>
      </c>
      <c r="BK354" s="6">
        <v>9.1</v>
      </c>
      <c r="BL354" s="6">
        <v>7.15</v>
      </c>
      <c r="BM354" s="6">
        <v>9.3800000000000008</v>
      </c>
      <c r="BN354" s="6">
        <v>6.06</v>
      </c>
      <c r="BO354" s="6">
        <v>8.08</v>
      </c>
      <c r="BP354" s="6">
        <v>7.36</v>
      </c>
      <c r="BQ354" s="6">
        <v>7.77</v>
      </c>
      <c r="BR354" s="6">
        <v>6.66</v>
      </c>
      <c r="BS354" s="11">
        <v>7.61</v>
      </c>
      <c r="BT354" s="6">
        <v>9.2799999999999994</v>
      </c>
      <c r="BU354" s="6">
        <v>8.6</v>
      </c>
      <c r="BV354" s="6">
        <v>8.8000000000000007</v>
      </c>
      <c r="BW354" s="6">
        <v>9.1</v>
      </c>
      <c r="BX354" s="6">
        <v>7.56</v>
      </c>
      <c r="BY354" s="6">
        <v>10.039999999999999</v>
      </c>
      <c r="BZ354" s="6">
        <v>5.26</v>
      </c>
      <c r="CA354" s="6">
        <v>9.74</v>
      </c>
      <c r="CB354" s="6">
        <v>10.66</v>
      </c>
      <c r="CC354" s="6">
        <v>6.62</v>
      </c>
      <c r="CD354" s="6">
        <v>8.24</v>
      </c>
      <c r="CE354" s="6">
        <v>7.8</v>
      </c>
      <c r="CF354" s="6">
        <v>7.42</v>
      </c>
      <c r="CG354" s="6">
        <v>9.4</v>
      </c>
      <c r="CH354" s="6">
        <v>7.2</v>
      </c>
      <c r="CI354" s="6">
        <v>7.3</v>
      </c>
      <c r="CJ354" s="11">
        <v>7.72</v>
      </c>
      <c r="CK354" s="6">
        <v>10.16</v>
      </c>
      <c r="CL354" s="6">
        <v>8.0299999999999994</v>
      </c>
      <c r="CM354" s="6">
        <v>9.93</v>
      </c>
      <c r="CN354" s="6">
        <v>5.98</v>
      </c>
      <c r="CO354" s="10">
        <v>7.06</v>
      </c>
      <c r="CP354" s="10"/>
    </row>
    <row r="355" spans="1:94" ht="15.75" customHeight="1" x14ac:dyDescent="0.25">
      <c r="A355" s="4">
        <v>354</v>
      </c>
      <c r="B355" s="4"/>
      <c r="C355" s="4">
        <v>19</v>
      </c>
      <c r="D355" s="8">
        <v>8.18</v>
      </c>
      <c r="E355" s="8">
        <v>7.28</v>
      </c>
      <c r="F355" s="8">
        <v>6.08</v>
      </c>
      <c r="G355" s="8">
        <v>10.08</v>
      </c>
      <c r="H355" s="8">
        <v>6.48</v>
      </c>
      <c r="I355" s="8">
        <v>7.06</v>
      </c>
      <c r="J355" s="8">
        <v>6.03</v>
      </c>
      <c r="K355" s="8">
        <v>8.1999999999999993</v>
      </c>
      <c r="L355" s="8">
        <v>6.38</v>
      </c>
      <c r="M355" s="8">
        <v>8.39</v>
      </c>
      <c r="N355" s="8">
        <v>7.46</v>
      </c>
      <c r="O355" s="8">
        <v>7.32</v>
      </c>
      <c r="P355" s="8">
        <v>6.85</v>
      </c>
      <c r="Q355" s="8">
        <v>7.9</v>
      </c>
      <c r="R355" s="8">
        <v>8.91</v>
      </c>
      <c r="S355" s="8">
        <v>7.39</v>
      </c>
      <c r="T355" s="8">
        <v>8.2200000000000006</v>
      </c>
      <c r="U355" s="8">
        <v>7.64</v>
      </c>
      <c r="V355" s="8">
        <v>7.91</v>
      </c>
      <c r="W355" s="8">
        <v>8.99</v>
      </c>
      <c r="X355" s="8">
        <v>8.2200000000000006</v>
      </c>
      <c r="Y355" s="8">
        <v>7.25</v>
      </c>
      <c r="Z355" s="8">
        <v>7.84</v>
      </c>
      <c r="AA355" s="8">
        <v>5.78</v>
      </c>
      <c r="AB355" s="8">
        <v>8.0500000000000007</v>
      </c>
      <c r="AC355" s="8">
        <v>8.6300000000000008</v>
      </c>
      <c r="AD355" s="8">
        <v>9.4499999999999993</v>
      </c>
      <c r="AE355" s="8">
        <v>6.93</v>
      </c>
      <c r="AF355" s="8">
        <v>7.59</v>
      </c>
      <c r="AG355" s="8">
        <v>6.56</v>
      </c>
      <c r="AH355" s="8">
        <v>7.55</v>
      </c>
      <c r="AI355" s="8">
        <v>8.93</v>
      </c>
      <c r="AJ355" s="8">
        <v>6.13</v>
      </c>
      <c r="AK355" s="8">
        <v>6.54</v>
      </c>
      <c r="AL355" s="8">
        <v>8.2200000000000006</v>
      </c>
      <c r="AM355" s="8">
        <v>7.51</v>
      </c>
      <c r="AN355" s="8">
        <v>8.4700000000000006</v>
      </c>
      <c r="AO355" s="8">
        <v>7.45</v>
      </c>
      <c r="AP355" s="8">
        <v>8.35</v>
      </c>
      <c r="AQ355" s="8">
        <v>7.31</v>
      </c>
      <c r="AR355" s="8">
        <v>8.8699999999999992</v>
      </c>
      <c r="AS355" s="8">
        <v>6.71</v>
      </c>
      <c r="AT355" s="8">
        <v>6.93</v>
      </c>
      <c r="AU355" s="6">
        <v>8.5299999999999994</v>
      </c>
      <c r="AV355" s="6">
        <v>8.81</v>
      </c>
      <c r="AW355" s="6">
        <v>7.44</v>
      </c>
      <c r="AX355" s="6">
        <v>7.19</v>
      </c>
      <c r="AY355" s="6">
        <v>7.73</v>
      </c>
      <c r="AZ355" s="6">
        <v>8.51</v>
      </c>
      <c r="BA355" s="6">
        <v>7.71</v>
      </c>
      <c r="BB355" s="6">
        <v>8.77</v>
      </c>
      <c r="BC355" s="6">
        <v>10.77</v>
      </c>
      <c r="BD355" s="6">
        <v>7.76</v>
      </c>
      <c r="BE355" s="6">
        <v>9.9</v>
      </c>
      <c r="BF355" s="6">
        <v>7.71</v>
      </c>
      <c r="BG355" s="6">
        <v>9.02</v>
      </c>
      <c r="BH355" s="6">
        <v>7.55</v>
      </c>
      <c r="BI355" s="6">
        <v>8.1300000000000008</v>
      </c>
      <c r="BJ355" s="6">
        <v>9.14</v>
      </c>
      <c r="BK355" s="6">
        <v>8.92</v>
      </c>
      <c r="BL355" s="6">
        <v>6.98</v>
      </c>
      <c r="BM355" s="6">
        <v>9.34</v>
      </c>
      <c r="BN355" s="6">
        <v>5.94</v>
      </c>
      <c r="BO355" s="6">
        <v>7.96</v>
      </c>
      <c r="BP355" s="6">
        <v>7.28</v>
      </c>
      <c r="BQ355" s="6">
        <v>7.6</v>
      </c>
      <c r="BR355" s="6">
        <v>6.78</v>
      </c>
      <c r="BS355" s="11">
        <v>7.42</v>
      </c>
      <c r="BT355" s="6">
        <v>9.16</v>
      </c>
      <c r="BU355" s="6">
        <v>8.58</v>
      </c>
      <c r="BV355" s="6">
        <v>8.6999999999999993</v>
      </c>
      <c r="BW355" s="6">
        <v>9</v>
      </c>
      <c r="BX355" s="6">
        <v>7.5</v>
      </c>
      <c r="BY355" s="6">
        <v>9.9</v>
      </c>
      <c r="BZ355" s="6">
        <v>5.16</v>
      </c>
      <c r="CA355" s="6">
        <v>9.6999999999999993</v>
      </c>
      <c r="CB355" s="6">
        <v>10.68</v>
      </c>
      <c r="CC355" s="6">
        <v>6.58</v>
      </c>
      <c r="CD355" s="6">
        <v>8.1199999999999992</v>
      </c>
      <c r="CE355" s="6">
        <v>7.74</v>
      </c>
      <c r="CF355" s="6">
        <v>7.36</v>
      </c>
      <c r="CG355" s="6">
        <v>9.3800000000000008</v>
      </c>
      <c r="CH355" s="6">
        <v>7.04</v>
      </c>
      <c r="CI355" s="6">
        <v>6.9</v>
      </c>
      <c r="CJ355" s="11">
        <v>7.6</v>
      </c>
      <c r="CK355" s="6">
        <v>10.1</v>
      </c>
      <c r="CL355" s="6">
        <v>8.0299999999999994</v>
      </c>
      <c r="CM355" s="6">
        <v>9.6300000000000008</v>
      </c>
      <c r="CN355" s="6">
        <v>5.92</v>
      </c>
      <c r="CO355" s="10">
        <v>6.96</v>
      </c>
      <c r="CP355" s="10"/>
    </row>
    <row r="356" spans="1:94" ht="15.75" customHeight="1" x14ac:dyDescent="0.25">
      <c r="A356" s="4">
        <v>355</v>
      </c>
      <c r="B356" s="4"/>
      <c r="C356" s="4">
        <v>20</v>
      </c>
      <c r="D356" s="8">
        <v>8.0299999999999994</v>
      </c>
      <c r="E356" s="8">
        <v>7.08</v>
      </c>
      <c r="F356" s="8">
        <v>5.98</v>
      </c>
      <c r="G356" s="8">
        <v>9.8800000000000008</v>
      </c>
      <c r="H356" s="8">
        <v>6.38</v>
      </c>
      <c r="I356" s="8">
        <v>7.04</v>
      </c>
      <c r="J356" s="8">
        <v>5.96</v>
      </c>
      <c r="K356" s="8">
        <v>8.16</v>
      </c>
      <c r="L356" s="8">
        <v>6.43</v>
      </c>
      <c r="M356" s="8">
        <v>8.4600000000000009</v>
      </c>
      <c r="N356" s="8">
        <v>7.34</v>
      </c>
      <c r="O356" s="8">
        <v>7.24</v>
      </c>
      <c r="P356" s="8">
        <v>6.7</v>
      </c>
      <c r="Q356" s="8">
        <v>7.71</v>
      </c>
      <c r="R356" s="8">
        <v>8.6999999999999993</v>
      </c>
      <c r="S356" s="8">
        <v>7.31</v>
      </c>
      <c r="T356" s="8">
        <v>8.14</v>
      </c>
      <c r="U356" s="8">
        <v>7.59</v>
      </c>
      <c r="V356" s="8">
        <v>7.81</v>
      </c>
      <c r="W356" s="8">
        <v>8.8000000000000007</v>
      </c>
      <c r="X356" s="8">
        <v>8.1300000000000008</v>
      </c>
      <c r="Y356" s="8">
        <v>7.11</v>
      </c>
      <c r="Z356" s="8">
        <v>7.79</v>
      </c>
      <c r="AA356" s="8">
        <v>5.67</v>
      </c>
      <c r="AB356" s="8">
        <v>7.95</v>
      </c>
      <c r="AC356" s="8">
        <v>8.64</v>
      </c>
      <c r="AD356" s="8">
        <v>9.35</v>
      </c>
      <c r="AE356" s="8">
        <v>6.81</v>
      </c>
      <c r="AF356" s="8">
        <v>7.49</v>
      </c>
      <c r="AG356" s="8">
        <v>6.44</v>
      </c>
      <c r="AH356" s="8">
        <v>7.41</v>
      </c>
      <c r="AI356" s="8">
        <v>8.92</v>
      </c>
      <c r="AJ356" s="8">
        <v>6.11</v>
      </c>
      <c r="AK356" s="8">
        <v>6.42</v>
      </c>
      <c r="AL356" s="8">
        <v>8.1</v>
      </c>
      <c r="AM356" s="8">
        <v>7.52</v>
      </c>
      <c r="AN356" s="8">
        <v>8.27</v>
      </c>
      <c r="AO356" s="8">
        <v>7.35</v>
      </c>
      <c r="AP356" s="8">
        <v>8.17</v>
      </c>
      <c r="AQ356" s="8">
        <v>7.17</v>
      </c>
      <c r="AR356" s="8">
        <v>8.8699999999999992</v>
      </c>
      <c r="AS356" s="8">
        <v>6.67</v>
      </c>
      <c r="AT356" s="8">
        <v>6.75</v>
      </c>
      <c r="AU356" s="6">
        <v>8.56</v>
      </c>
      <c r="AV356" s="6">
        <v>8.73</v>
      </c>
      <c r="AW356" s="6">
        <v>7.26</v>
      </c>
      <c r="AX356" s="6">
        <v>7.23</v>
      </c>
      <c r="AY356" s="6">
        <v>7.59</v>
      </c>
      <c r="AZ356" s="6">
        <v>8.43</v>
      </c>
      <c r="BA356" s="6">
        <v>7.59</v>
      </c>
      <c r="BB356" s="6">
        <v>8.61</v>
      </c>
      <c r="BC356" s="6">
        <v>10.64</v>
      </c>
      <c r="BD356" s="6">
        <v>7.6</v>
      </c>
      <c r="BE356" s="6">
        <v>9.77</v>
      </c>
      <c r="BF356" s="6">
        <v>7.53</v>
      </c>
      <c r="BG356" s="6">
        <v>8.9700000000000006</v>
      </c>
      <c r="BH356" s="6">
        <v>7.5</v>
      </c>
      <c r="BI356" s="6">
        <v>7.98</v>
      </c>
      <c r="BJ356" s="6">
        <v>8.9</v>
      </c>
      <c r="BK356" s="6">
        <v>8.82</v>
      </c>
      <c r="BL356" s="6">
        <v>6.8</v>
      </c>
      <c r="BM356" s="6">
        <v>9.1999999999999993</v>
      </c>
      <c r="BN356" s="6">
        <v>5.82</v>
      </c>
      <c r="BO356" s="6">
        <v>7.8</v>
      </c>
      <c r="BP356" s="6">
        <v>7.2</v>
      </c>
      <c r="BQ356" s="6">
        <v>7.5</v>
      </c>
      <c r="BR356" s="6">
        <v>6.88</v>
      </c>
      <c r="BS356" s="11">
        <v>7.28</v>
      </c>
      <c r="BT356" s="6">
        <v>9</v>
      </c>
      <c r="BU356" s="6">
        <v>8.44</v>
      </c>
      <c r="BV356" s="6">
        <v>8.76</v>
      </c>
      <c r="BW356" s="6">
        <v>8.85</v>
      </c>
      <c r="BX356" s="6">
        <v>7.46</v>
      </c>
      <c r="BY356" s="6">
        <v>9.9</v>
      </c>
      <c r="BZ356" s="6">
        <v>5.08</v>
      </c>
      <c r="CA356" s="6">
        <v>9.48</v>
      </c>
      <c r="CB356" s="6">
        <v>10.74</v>
      </c>
      <c r="CC356" s="6">
        <v>6.54</v>
      </c>
      <c r="CD356" s="6">
        <v>8</v>
      </c>
      <c r="CE356" s="6">
        <v>7.56</v>
      </c>
      <c r="CF356" s="6">
        <v>7.2</v>
      </c>
      <c r="CG356" s="6">
        <v>9.1</v>
      </c>
      <c r="CH356" s="6">
        <v>6.9</v>
      </c>
      <c r="CI356" s="6">
        <v>6.8</v>
      </c>
      <c r="CJ356" s="11">
        <v>7.52</v>
      </c>
      <c r="CK356" s="6">
        <v>9.9600000000000009</v>
      </c>
      <c r="CL356" s="6">
        <v>8</v>
      </c>
      <c r="CM356" s="6">
        <v>9.33</v>
      </c>
      <c r="CN356" s="6">
        <v>5.9</v>
      </c>
      <c r="CO356" s="10">
        <v>6.84</v>
      </c>
      <c r="CP356" s="10"/>
    </row>
    <row r="357" spans="1:94" ht="15.75" customHeight="1" x14ac:dyDescent="0.25">
      <c r="A357" s="4">
        <v>356</v>
      </c>
      <c r="B357" s="4"/>
      <c r="C357" s="4">
        <v>21</v>
      </c>
      <c r="D357" s="8">
        <v>7.88</v>
      </c>
      <c r="E357" s="8">
        <v>6.88</v>
      </c>
      <c r="F357" s="8">
        <v>5.88</v>
      </c>
      <c r="G357" s="8">
        <v>9.7200000000000006</v>
      </c>
      <c r="H357" s="8">
        <v>6.28</v>
      </c>
      <c r="I357" s="8">
        <v>7.02</v>
      </c>
      <c r="J357" s="8">
        <v>5.9</v>
      </c>
      <c r="K357" s="8">
        <v>8.0299999999999994</v>
      </c>
      <c r="L357" s="8">
        <v>6.48</v>
      </c>
      <c r="M357" s="8">
        <v>8.39</v>
      </c>
      <c r="N357" s="8">
        <v>7.29</v>
      </c>
      <c r="O357" s="8">
        <v>7.09</v>
      </c>
      <c r="P357" s="8">
        <v>6.6</v>
      </c>
      <c r="Q357" s="8">
        <v>7.57</v>
      </c>
      <c r="R357" s="8">
        <v>8.4700000000000006</v>
      </c>
      <c r="S357" s="8">
        <v>7.24</v>
      </c>
      <c r="T357" s="8">
        <v>8.01</v>
      </c>
      <c r="U357" s="8">
        <v>7.49</v>
      </c>
      <c r="V357" s="8">
        <v>7.71</v>
      </c>
      <c r="W357" s="8">
        <v>8.59</v>
      </c>
      <c r="X357" s="8">
        <v>8.0500000000000007</v>
      </c>
      <c r="Y357" s="8">
        <v>6.99</v>
      </c>
      <c r="Z357" s="8">
        <v>7.71</v>
      </c>
      <c r="AA357" s="8">
        <v>5.53</v>
      </c>
      <c r="AB357" s="8">
        <v>7.83</v>
      </c>
      <c r="AC357" s="8">
        <v>8.64</v>
      </c>
      <c r="AD357" s="8">
        <v>9.2200000000000006</v>
      </c>
      <c r="AE357" s="8">
        <v>6.71</v>
      </c>
      <c r="AF357" s="8">
        <v>7.37</v>
      </c>
      <c r="AG357" s="8">
        <v>6.32</v>
      </c>
      <c r="AH357" s="8">
        <v>7.23</v>
      </c>
      <c r="AI357" s="8">
        <v>8.92</v>
      </c>
      <c r="AJ357" s="8">
        <v>6.11</v>
      </c>
      <c r="AK357" s="8">
        <v>6.35</v>
      </c>
      <c r="AL357" s="8">
        <v>7.99</v>
      </c>
      <c r="AM357" s="8">
        <v>7.44</v>
      </c>
      <c r="AN357" s="8">
        <v>8.14</v>
      </c>
      <c r="AO357" s="8">
        <v>7.19</v>
      </c>
      <c r="AP357" s="8">
        <v>7.99</v>
      </c>
      <c r="AQ357" s="8">
        <v>7.01</v>
      </c>
      <c r="AR357" s="8">
        <v>8.7899999999999991</v>
      </c>
      <c r="AS357" s="8">
        <v>6.63</v>
      </c>
      <c r="AT357" s="8">
        <v>6.61</v>
      </c>
      <c r="AU357" s="6">
        <v>8.56</v>
      </c>
      <c r="AV357" s="6">
        <v>8.64</v>
      </c>
      <c r="AW357" s="6">
        <v>7.09</v>
      </c>
      <c r="AX357" s="6">
        <v>7.26</v>
      </c>
      <c r="AY357" s="6">
        <v>7.46</v>
      </c>
      <c r="AZ357" s="6">
        <v>8.35</v>
      </c>
      <c r="BA357" s="6">
        <v>7.48</v>
      </c>
      <c r="BB357" s="6">
        <v>8.4600000000000009</v>
      </c>
      <c r="BC357" s="6">
        <v>10.43</v>
      </c>
      <c r="BD357" s="6">
        <v>7.4</v>
      </c>
      <c r="BE357" s="6">
        <v>9.6</v>
      </c>
      <c r="BF357" s="6">
        <v>7.34</v>
      </c>
      <c r="BG357" s="6">
        <v>8.89</v>
      </c>
      <c r="BH357" s="6">
        <v>7.46</v>
      </c>
      <c r="BI357" s="6">
        <v>7.8</v>
      </c>
      <c r="BJ357" s="6">
        <v>8.6999999999999993</v>
      </c>
      <c r="BK357" s="6">
        <v>8.6999999999999993</v>
      </c>
      <c r="BL357" s="6">
        <v>6.62</v>
      </c>
      <c r="BM357" s="6">
        <v>9.1</v>
      </c>
      <c r="BN357" s="6">
        <v>5.7</v>
      </c>
      <c r="BO357" s="6">
        <v>7.76</v>
      </c>
      <c r="BP357" s="6">
        <v>7.16</v>
      </c>
      <c r="BQ357" s="6">
        <v>7.48</v>
      </c>
      <c r="BR357" s="6">
        <v>6.82</v>
      </c>
      <c r="BS357" s="11">
        <v>7.2</v>
      </c>
      <c r="BT357" s="6">
        <v>8.86</v>
      </c>
      <c r="BU357" s="6">
        <v>8.34</v>
      </c>
      <c r="BV357" s="6">
        <v>8.7200000000000006</v>
      </c>
      <c r="BW357" s="6">
        <v>8.8000000000000007</v>
      </c>
      <c r="BX357" s="6">
        <v>7.46</v>
      </c>
      <c r="BY357" s="6">
        <v>9.8000000000000007</v>
      </c>
      <c r="BZ357" s="6">
        <v>5</v>
      </c>
      <c r="CA357" s="6">
        <v>9.3000000000000007</v>
      </c>
      <c r="CB357" s="6">
        <v>10.72</v>
      </c>
      <c r="CC357" s="6">
        <v>6.4</v>
      </c>
      <c r="CD357" s="6">
        <v>7.96</v>
      </c>
      <c r="CE357" s="6">
        <v>7.46</v>
      </c>
      <c r="CF357" s="6">
        <v>7.08</v>
      </c>
      <c r="CG357" s="6">
        <v>8.98</v>
      </c>
      <c r="CH357" s="6">
        <v>6.82</v>
      </c>
      <c r="CI357" s="6">
        <v>6.7</v>
      </c>
      <c r="CJ357" s="11">
        <v>7.38</v>
      </c>
      <c r="CK357" s="6">
        <v>9.76</v>
      </c>
      <c r="CL357" s="6">
        <v>7.98</v>
      </c>
      <c r="CM357" s="6">
        <v>9.06</v>
      </c>
      <c r="CN357" s="6">
        <v>5.92</v>
      </c>
      <c r="CO357" s="10">
        <v>6.7</v>
      </c>
      <c r="CP357" s="10"/>
    </row>
    <row r="358" spans="1:94" ht="15.75" customHeight="1" x14ac:dyDescent="0.25">
      <c r="A358" s="4">
        <v>357</v>
      </c>
      <c r="B358" s="4"/>
      <c r="C358" s="4">
        <v>22</v>
      </c>
      <c r="D358" s="8">
        <v>7.78</v>
      </c>
      <c r="E358" s="8">
        <v>6.68</v>
      </c>
      <c r="F358" s="8">
        <v>5.78</v>
      </c>
      <c r="G358" s="8">
        <v>9.58</v>
      </c>
      <c r="H358" s="8">
        <v>6.23</v>
      </c>
      <c r="I358" s="8">
        <v>6.96</v>
      </c>
      <c r="J358" s="8">
        <v>5.86</v>
      </c>
      <c r="K358" s="8">
        <v>8.02</v>
      </c>
      <c r="L358" s="8">
        <v>6.5</v>
      </c>
      <c r="M358" s="8">
        <v>8.31</v>
      </c>
      <c r="N358" s="8">
        <v>7.29</v>
      </c>
      <c r="O358" s="8">
        <v>7</v>
      </c>
      <c r="P358" s="8">
        <v>6.5</v>
      </c>
      <c r="Q358" s="8">
        <v>7.41</v>
      </c>
      <c r="R358" s="8">
        <v>8.25</v>
      </c>
      <c r="S358" s="8">
        <v>7.18</v>
      </c>
      <c r="T358" s="8">
        <v>7.93</v>
      </c>
      <c r="U358" s="8">
        <v>7.41</v>
      </c>
      <c r="V358" s="8">
        <v>7.56</v>
      </c>
      <c r="W358" s="8">
        <v>8.39</v>
      </c>
      <c r="X358" s="8">
        <v>7.89</v>
      </c>
      <c r="Y358" s="8">
        <v>6.87</v>
      </c>
      <c r="Z358" s="8">
        <v>7.59</v>
      </c>
      <c r="AA358" s="8">
        <v>5.41</v>
      </c>
      <c r="AB358" s="8">
        <v>7.75</v>
      </c>
      <c r="AC358" s="8">
        <v>8.64</v>
      </c>
      <c r="AD358" s="8">
        <v>9.06</v>
      </c>
      <c r="AE358" s="8">
        <v>6.61</v>
      </c>
      <c r="AF358" s="8">
        <v>7.25</v>
      </c>
      <c r="AG358" s="8">
        <v>6.2</v>
      </c>
      <c r="AH358" s="8">
        <v>7.09</v>
      </c>
      <c r="AI358" s="8">
        <v>8.89</v>
      </c>
      <c r="AJ358" s="8">
        <v>6.11</v>
      </c>
      <c r="AK358" s="8">
        <v>6.28</v>
      </c>
      <c r="AL358" s="8">
        <v>7.87</v>
      </c>
      <c r="AM358" s="8">
        <v>7.33</v>
      </c>
      <c r="AN358" s="8">
        <v>8.01</v>
      </c>
      <c r="AO358" s="8">
        <v>7.1</v>
      </c>
      <c r="AP358" s="8">
        <v>7.81</v>
      </c>
      <c r="AQ358" s="8">
        <v>6.8</v>
      </c>
      <c r="AR358" s="8">
        <v>8.75</v>
      </c>
      <c r="AS358" s="8">
        <v>6.59</v>
      </c>
      <c r="AT358" s="8">
        <v>6.53</v>
      </c>
      <c r="AU358" s="6">
        <v>8.5500000000000007</v>
      </c>
      <c r="AV358" s="6">
        <v>8.5500000000000007</v>
      </c>
      <c r="AW358" s="6">
        <v>6.94</v>
      </c>
      <c r="AX358" s="6">
        <v>7.26</v>
      </c>
      <c r="AY358" s="6">
        <v>7.34</v>
      </c>
      <c r="AZ358" s="6">
        <v>8.23</v>
      </c>
      <c r="BA358" s="6">
        <v>7.34</v>
      </c>
      <c r="BB358" s="6">
        <v>8.27</v>
      </c>
      <c r="BC358" s="6">
        <v>10.27</v>
      </c>
      <c r="BD358" s="6">
        <v>7.22</v>
      </c>
      <c r="BE358" s="6">
        <v>9.39</v>
      </c>
      <c r="BF358" s="6">
        <v>7.15</v>
      </c>
      <c r="BG358" s="6">
        <v>8.8000000000000007</v>
      </c>
      <c r="BH358" s="6">
        <v>7.32</v>
      </c>
      <c r="BI358" s="6">
        <v>7.64</v>
      </c>
      <c r="BJ358" s="6">
        <v>8.56</v>
      </c>
      <c r="BK358" s="6">
        <v>8.6</v>
      </c>
      <c r="BL358" s="6">
        <v>6.6</v>
      </c>
      <c r="BM358" s="6">
        <v>9</v>
      </c>
      <c r="BN358" s="6">
        <v>5.6</v>
      </c>
      <c r="BO358" s="6">
        <v>7.55</v>
      </c>
      <c r="BP358" s="6">
        <v>7.14</v>
      </c>
      <c r="BQ358" s="6">
        <v>7.34</v>
      </c>
      <c r="BR358" s="6">
        <v>6.96</v>
      </c>
      <c r="BS358" s="11">
        <v>7.08</v>
      </c>
      <c r="BT358" s="6">
        <v>8.75</v>
      </c>
      <c r="BU358" s="6">
        <v>8.1999999999999993</v>
      </c>
      <c r="BV358" s="6">
        <v>8.34</v>
      </c>
      <c r="BW358" s="6">
        <v>8.66</v>
      </c>
      <c r="BX358" s="6">
        <v>7.46</v>
      </c>
      <c r="BY358" s="6">
        <v>9.8000000000000007</v>
      </c>
      <c r="BZ358" s="6">
        <v>4.9800000000000004</v>
      </c>
      <c r="CA358" s="6">
        <v>9.1999999999999993</v>
      </c>
      <c r="CB358" s="6">
        <v>10.72</v>
      </c>
      <c r="CC358" s="6">
        <v>6.22</v>
      </c>
      <c r="CD358" s="6">
        <v>7.84</v>
      </c>
      <c r="CE358" s="6">
        <v>7.42</v>
      </c>
      <c r="CF358" s="6">
        <v>7</v>
      </c>
      <c r="CG358" s="6">
        <v>8.84</v>
      </c>
      <c r="CH358" s="11">
        <v>6.6</v>
      </c>
      <c r="CI358" s="6">
        <v>6.5</v>
      </c>
      <c r="CJ358" s="11">
        <v>7.38</v>
      </c>
      <c r="CK358" s="6">
        <v>9.64</v>
      </c>
      <c r="CL358" s="6">
        <v>7.75</v>
      </c>
      <c r="CM358" s="6">
        <v>8.89</v>
      </c>
      <c r="CN358" s="6">
        <v>5.8</v>
      </c>
      <c r="CO358" s="10">
        <v>6.54</v>
      </c>
      <c r="CP358" s="27"/>
    </row>
    <row r="359" spans="1:94" ht="15.75" customHeight="1" x14ac:dyDescent="0.25">
      <c r="A359" s="4">
        <v>358</v>
      </c>
      <c r="B359" s="4"/>
      <c r="C359" s="4">
        <v>23</v>
      </c>
      <c r="D359" s="8">
        <v>7.68</v>
      </c>
      <c r="E359" s="8">
        <v>6.58</v>
      </c>
      <c r="F359" s="8">
        <v>5.68</v>
      </c>
      <c r="G359" s="8">
        <v>9.43</v>
      </c>
      <c r="H359" s="8">
        <v>6.18</v>
      </c>
      <c r="I359" s="8">
        <v>6.91</v>
      </c>
      <c r="J359" s="8">
        <v>5.84</v>
      </c>
      <c r="K359" s="8">
        <v>7.94</v>
      </c>
      <c r="L359" s="8">
        <v>6.52</v>
      </c>
      <c r="M359" s="8">
        <v>8.2200000000000006</v>
      </c>
      <c r="N359" s="8">
        <v>7.29</v>
      </c>
      <c r="O359" s="8">
        <v>6.84</v>
      </c>
      <c r="P359" s="8">
        <v>6.34</v>
      </c>
      <c r="Q359" s="8">
        <v>7.17</v>
      </c>
      <c r="R359" s="8">
        <v>8.08</v>
      </c>
      <c r="S359" s="8">
        <v>7.15</v>
      </c>
      <c r="T359" s="8">
        <v>7.81</v>
      </c>
      <c r="U359" s="8">
        <v>7.31</v>
      </c>
      <c r="V359" s="8">
        <v>7.46</v>
      </c>
      <c r="W359" s="8">
        <v>8.25</v>
      </c>
      <c r="X359" s="8">
        <v>7.71</v>
      </c>
      <c r="Y359" s="8">
        <v>6.75</v>
      </c>
      <c r="Z359" s="8">
        <v>7.45</v>
      </c>
      <c r="AA359" s="8">
        <v>5.3</v>
      </c>
      <c r="AB359" s="8">
        <v>7.65</v>
      </c>
      <c r="AC359" s="8">
        <v>8.6199999999999992</v>
      </c>
      <c r="AD359" s="8">
        <v>8.89</v>
      </c>
      <c r="AE359" s="8">
        <v>6.51</v>
      </c>
      <c r="AF359" s="8">
        <v>7.15</v>
      </c>
      <c r="AG359" s="8">
        <v>6.08</v>
      </c>
      <c r="AH359" s="8">
        <v>6.93</v>
      </c>
      <c r="AI359" s="8">
        <v>8.84</v>
      </c>
      <c r="AJ359" s="8">
        <v>6.08</v>
      </c>
      <c r="AK359" s="8">
        <v>6.2</v>
      </c>
      <c r="AL359" s="8">
        <v>7.75</v>
      </c>
      <c r="AM359" s="8">
        <v>7.2</v>
      </c>
      <c r="AN359" s="8">
        <v>7.85</v>
      </c>
      <c r="AO359" s="8">
        <v>7.04</v>
      </c>
      <c r="AP359" s="8">
        <v>7.67</v>
      </c>
      <c r="AQ359" s="8">
        <v>6.73</v>
      </c>
      <c r="AR359" s="8">
        <v>8.7100000000000009</v>
      </c>
      <c r="AS359" s="8">
        <v>6.57</v>
      </c>
      <c r="AT359" s="8">
        <v>6.39</v>
      </c>
      <c r="AU359" s="6">
        <v>8.4700000000000006</v>
      </c>
      <c r="AV359" s="6">
        <v>8.44</v>
      </c>
      <c r="AW359" s="6">
        <v>6.78</v>
      </c>
      <c r="AX359" s="6">
        <v>7.23</v>
      </c>
      <c r="AY359" s="6">
        <v>7.23</v>
      </c>
      <c r="AZ359" s="6">
        <v>8.1</v>
      </c>
      <c r="BA359" s="6">
        <v>7.23</v>
      </c>
      <c r="BB359" s="6">
        <v>8.07</v>
      </c>
      <c r="BC359" s="6">
        <v>10.11</v>
      </c>
      <c r="BD359" s="6">
        <v>7.15</v>
      </c>
      <c r="BE359" s="6">
        <v>9.15</v>
      </c>
      <c r="BF359" s="6">
        <v>6.96</v>
      </c>
      <c r="BG359" s="6">
        <v>8.68</v>
      </c>
      <c r="BH359" s="6">
        <v>7.13</v>
      </c>
      <c r="BI359" s="6">
        <v>7.52</v>
      </c>
      <c r="BJ359" s="6">
        <v>8.3699999999999992</v>
      </c>
      <c r="BK359" s="6">
        <v>8.4600000000000009</v>
      </c>
      <c r="BL359" s="6">
        <v>6.5</v>
      </c>
      <c r="BM359" s="6">
        <v>9</v>
      </c>
      <c r="BN359" s="6">
        <v>5.44</v>
      </c>
      <c r="BO359" s="6">
        <v>7.35</v>
      </c>
      <c r="BP359" s="6">
        <v>7.12</v>
      </c>
      <c r="BQ359" s="6">
        <v>7.24</v>
      </c>
      <c r="BR359" s="6">
        <v>7</v>
      </c>
      <c r="BS359" s="11">
        <v>6.96</v>
      </c>
      <c r="BT359" s="6">
        <v>8.6</v>
      </c>
      <c r="BU359" s="6">
        <v>8.08</v>
      </c>
      <c r="BV359" s="6">
        <v>8.3000000000000007</v>
      </c>
      <c r="BW359" s="6">
        <v>8.5399999999999991</v>
      </c>
      <c r="BX359" s="6">
        <v>7.44</v>
      </c>
      <c r="BY359" s="6">
        <v>9.8000000000000007</v>
      </c>
      <c r="BZ359" s="6">
        <v>4.9000000000000004</v>
      </c>
      <c r="CA359" s="6">
        <v>9</v>
      </c>
      <c r="CB359" s="6">
        <v>10.72</v>
      </c>
      <c r="CC359" s="6">
        <v>6.1</v>
      </c>
      <c r="CD359" s="6">
        <v>7.76</v>
      </c>
      <c r="CE359" s="6">
        <v>7.3</v>
      </c>
      <c r="CF359" s="6">
        <v>6.9</v>
      </c>
      <c r="CG359" s="6">
        <v>8.66</v>
      </c>
      <c r="CH359" s="11">
        <v>6.33</v>
      </c>
      <c r="CI359" s="6">
        <v>6.36</v>
      </c>
      <c r="CJ359" s="11">
        <v>7.38</v>
      </c>
      <c r="CK359" s="6">
        <v>9.5</v>
      </c>
      <c r="CL359" s="6">
        <v>7.6</v>
      </c>
      <c r="CM359" s="6">
        <v>8.6300000000000008</v>
      </c>
      <c r="CN359" s="6">
        <v>5.72</v>
      </c>
      <c r="CO359" s="10">
        <v>6.38</v>
      </c>
      <c r="CP359" s="10"/>
    </row>
    <row r="360" spans="1:94" ht="15.75" customHeight="1" x14ac:dyDescent="0.25">
      <c r="A360" s="4">
        <v>359</v>
      </c>
      <c r="B360" s="4"/>
      <c r="C360" s="4">
        <v>24</v>
      </c>
      <c r="D360" s="8">
        <v>7.53</v>
      </c>
      <c r="E360" s="8">
        <v>6.48</v>
      </c>
      <c r="F360" s="8">
        <v>5.58</v>
      </c>
      <c r="G360" s="8">
        <v>9.33</v>
      </c>
      <c r="H360" s="8">
        <v>6.13</v>
      </c>
      <c r="I360" s="8">
        <v>6.78</v>
      </c>
      <c r="J360" s="8">
        <v>5.81</v>
      </c>
      <c r="K360" s="8">
        <v>7.86</v>
      </c>
      <c r="L360" s="8">
        <v>6.52</v>
      </c>
      <c r="M360" s="8">
        <v>8.18</v>
      </c>
      <c r="N360" s="8">
        <v>7.29</v>
      </c>
      <c r="O360" s="8">
        <v>6.72</v>
      </c>
      <c r="P360" s="8">
        <v>6.25</v>
      </c>
      <c r="Q360" s="8">
        <v>6.93</v>
      </c>
      <c r="R360" s="8">
        <v>7.89</v>
      </c>
      <c r="S360" s="8">
        <v>7.13</v>
      </c>
      <c r="T360" s="8">
        <v>7.68</v>
      </c>
      <c r="U360" s="8">
        <v>7.21</v>
      </c>
      <c r="V360" s="8">
        <v>7.36</v>
      </c>
      <c r="W360" s="8">
        <v>8.14</v>
      </c>
      <c r="X360" s="8">
        <v>7.49</v>
      </c>
      <c r="Y360" s="8">
        <v>6.63</v>
      </c>
      <c r="Z360" s="8">
        <v>7.31</v>
      </c>
      <c r="AA360" s="8">
        <v>5.2</v>
      </c>
      <c r="AB360" s="8">
        <v>7.6</v>
      </c>
      <c r="AC360" s="8">
        <v>8.5500000000000007</v>
      </c>
      <c r="AD360" s="8">
        <v>8.7200000000000006</v>
      </c>
      <c r="AE360" s="8">
        <v>6.41</v>
      </c>
      <c r="AF360" s="8">
        <v>7.01</v>
      </c>
      <c r="AG360" s="8">
        <v>6</v>
      </c>
      <c r="AH360" s="8">
        <v>6.77</v>
      </c>
      <c r="AI360" s="8">
        <v>8.7200000000000006</v>
      </c>
      <c r="AJ360" s="8">
        <v>6.11</v>
      </c>
      <c r="AK360" s="8">
        <v>6.09</v>
      </c>
      <c r="AL360" s="8">
        <v>7.65</v>
      </c>
      <c r="AM360" s="8">
        <v>7.07</v>
      </c>
      <c r="AN360" s="8">
        <v>7.73</v>
      </c>
      <c r="AO360" s="8">
        <v>7.01</v>
      </c>
      <c r="AP360" s="8">
        <v>7.47</v>
      </c>
      <c r="AQ360" s="8">
        <v>6.66</v>
      </c>
      <c r="AR360" s="8">
        <v>8.7100000000000009</v>
      </c>
      <c r="AS360" s="8">
        <v>6.47</v>
      </c>
      <c r="AT360" s="8">
        <v>6.25</v>
      </c>
      <c r="AU360" s="6">
        <v>8.34</v>
      </c>
      <c r="AV360" s="6">
        <v>8.4</v>
      </c>
      <c r="AW360" s="6">
        <v>6.65</v>
      </c>
      <c r="AX360" s="6">
        <v>7.17</v>
      </c>
      <c r="AY360" s="6">
        <v>7.11</v>
      </c>
      <c r="AZ360" s="6">
        <v>8</v>
      </c>
      <c r="BA360" s="6">
        <v>7.15</v>
      </c>
      <c r="BB360" s="6">
        <v>7.88</v>
      </c>
      <c r="BC360" s="6">
        <v>9.93</v>
      </c>
      <c r="BD360" s="6">
        <v>7.08</v>
      </c>
      <c r="BE360" s="6">
        <v>8.92</v>
      </c>
      <c r="BF360" s="6">
        <v>6.73</v>
      </c>
      <c r="BG360" s="6">
        <v>8.56</v>
      </c>
      <c r="BH360" s="6">
        <v>6.94</v>
      </c>
      <c r="BI360" s="6">
        <v>7.42</v>
      </c>
      <c r="BJ360" s="6">
        <v>8.2200000000000006</v>
      </c>
      <c r="BK360" s="6">
        <v>8.3000000000000007</v>
      </c>
      <c r="BL360" s="6">
        <v>6.3</v>
      </c>
      <c r="BM360" s="6">
        <v>9</v>
      </c>
      <c r="BN360" s="6">
        <v>5.32</v>
      </c>
      <c r="BO360" s="6">
        <v>7.2</v>
      </c>
      <c r="BP360" s="6">
        <v>7.12</v>
      </c>
      <c r="BQ360" s="6">
        <v>7.15</v>
      </c>
      <c r="BR360" s="6">
        <v>7.04</v>
      </c>
      <c r="BS360" s="11">
        <v>6.8</v>
      </c>
      <c r="BT360" s="6">
        <v>8.48</v>
      </c>
      <c r="BU360" s="6">
        <v>8</v>
      </c>
      <c r="BV360" s="6">
        <v>7.98</v>
      </c>
      <c r="BW360" s="6">
        <v>8.4600000000000009</v>
      </c>
      <c r="BX360" s="6">
        <v>7.4</v>
      </c>
      <c r="BY360" s="6">
        <v>9.6999999999999993</v>
      </c>
      <c r="BZ360" s="6">
        <v>4.8</v>
      </c>
      <c r="CA360" s="6">
        <v>8.85</v>
      </c>
      <c r="CB360" s="6">
        <v>10.7</v>
      </c>
      <c r="CC360" s="6">
        <v>6.08</v>
      </c>
      <c r="CD360" s="6">
        <v>7.68</v>
      </c>
      <c r="CE360" s="6">
        <v>7.22</v>
      </c>
      <c r="CF360" s="6">
        <v>6.8</v>
      </c>
      <c r="CG360" s="6">
        <v>8.56</v>
      </c>
      <c r="CH360" s="11">
        <v>6.1950000000000003</v>
      </c>
      <c r="CI360" s="6">
        <v>6.23</v>
      </c>
      <c r="CJ360" s="11">
        <v>7.34</v>
      </c>
      <c r="CK360" s="6">
        <v>9.36</v>
      </c>
      <c r="CL360" s="6">
        <v>7.55</v>
      </c>
      <c r="CM360" s="6">
        <v>8.42</v>
      </c>
      <c r="CN360" s="6">
        <v>5.64</v>
      </c>
      <c r="CO360" s="10">
        <v>6.27</v>
      </c>
      <c r="CP360" s="10"/>
    </row>
    <row r="361" spans="1:94" ht="15.75" customHeight="1" x14ac:dyDescent="0.25">
      <c r="A361" s="4">
        <v>360</v>
      </c>
      <c r="B361" s="4"/>
      <c r="C361" s="4">
        <v>25</v>
      </c>
      <c r="D361" s="8">
        <v>7.43</v>
      </c>
      <c r="E361" s="8">
        <v>6.38</v>
      </c>
      <c r="F361" s="8">
        <v>5.48</v>
      </c>
      <c r="G361" s="8">
        <v>9.2200000000000006</v>
      </c>
      <c r="H361" s="8">
        <v>6.08</v>
      </c>
      <c r="I361" s="8">
        <v>6.63</v>
      </c>
      <c r="J361" s="8">
        <v>5.78</v>
      </c>
      <c r="K361" s="8">
        <v>7.78</v>
      </c>
      <c r="L361" s="8">
        <v>6.5</v>
      </c>
      <c r="M361" s="8">
        <v>8.16</v>
      </c>
      <c r="N361" s="8">
        <v>7.21</v>
      </c>
      <c r="O361" s="8">
        <v>6.63</v>
      </c>
      <c r="P361" s="8">
        <v>6.12</v>
      </c>
      <c r="Q361" s="8">
        <v>6.53</v>
      </c>
      <c r="R361" s="8">
        <v>7.69</v>
      </c>
      <c r="S361" s="8">
        <v>7.14</v>
      </c>
      <c r="T361" s="8">
        <v>7.58</v>
      </c>
      <c r="U361" s="8">
        <v>7.14</v>
      </c>
      <c r="V361" s="8">
        <v>7.31</v>
      </c>
      <c r="W361" s="8">
        <v>8.0299999999999994</v>
      </c>
      <c r="X361" s="8">
        <v>7.27</v>
      </c>
      <c r="Y361" s="8">
        <v>6.5</v>
      </c>
      <c r="Z361" s="8">
        <v>7.17</v>
      </c>
      <c r="AA361" s="8">
        <v>5.12</v>
      </c>
      <c r="AB361" s="8">
        <v>7.57</v>
      </c>
      <c r="AC361" s="8">
        <v>8.4700000000000006</v>
      </c>
      <c r="AD361" s="8">
        <v>8.56</v>
      </c>
      <c r="AE361" s="8">
        <v>6.29</v>
      </c>
      <c r="AF361" s="8">
        <v>6.87</v>
      </c>
      <c r="AG361" s="8">
        <v>5.94</v>
      </c>
      <c r="AH361" s="8">
        <v>6.65</v>
      </c>
      <c r="AI361" s="8">
        <v>8.56</v>
      </c>
      <c r="AJ361" s="8">
        <v>6.08</v>
      </c>
      <c r="AK361" s="8">
        <v>5.96</v>
      </c>
      <c r="AL361" s="8">
        <v>7.59</v>
      </c>
      <c r="AM361" s="8">
        <v>6.94</v>
      </c>
      <c r="AN361" s="8">
        <v>7.61</v>
      </c>
      <c r="AO361" s="8">
        <v>6.96</v>
      </c>
      <c r="AP361" s="8">
        <v>7.37</v>
      </c>
      <c r="AQ361" s="8">
        <v>6.54</v>
      </c>
      <c r="AR361" s="8">
        <v>8.67</v>
      </c>
      <c r="AS361" s="8">
        <v>6.37</v>
      </c>
      <c r="AT361" s="8">
        <v>6.12</v>
      </c>
      <c r="AU361" s="6">
        <v>8.18</v>
      </c>
      <c r="AV361" s="6">
        <v>8.39</v>
      </c>
      <c r="AW361" s="6">
        <v>6.51</v>
      </c>
      <c r="AX361" s="6">
        <v>7.15</v>
      </c>
      <c r="AY361" s="6">
        <v>7.01</v>
      </c>
      <c r="AZ361" s="6">
        <v>7.88</v>
      </c>
      <c r="BA361" s="6">
        <v>7.07</v>
      </c>
      <c r="BB361" s="6">
        <v>7.71</v>
      </c>
      <c r="BC361" s="6">
        <v>9.7200000000000006</v>
      </c>
      <c r="BD361" s="6">
        <v>7.01</v>
      </c>
      <c r="BE361" s="6">
        <v>8.64</v>
      </c>
      <c r="BF361" s="6">
        <v>6.51</v>
      </c>
      <c r="BG361" s="6">
        <v>8.43</v>
      </c>
      <c r="BH361" s="6">
        <v>6.78</v>
      </c>
      <c r="BI361" s="6">
        <v>7.34</v>
      </c>
      <c r="BJ361" s="6">
        <v>8.0399999999999991</v>
      </c>
      <c r="BK361" s="6">
        <v>8.18</v>
      </c>
      <c r="BL361" s="6">
        <v>6.1</v>
      </c>
      <c r="BM361" s="6">
        <v>8.98</v>
      </c>
      <c r="BN361" s="6">
        <v>5.17</v>
      </c>
      <c r="BO361" s="6">
        <v>7.06</v>
      </c>
      <c r="BP361" s="6">
        <v>7.1</v>
      </c>
      <c r="BQ361" s="6">
        <v>7.04</v>
      </c>
      <c r="BR361" s="6">
        <v>7.1</v>
      </c>
      <c r="BS361" s="11">
        <v>6.8</v>
      </c>
      <c r="BT361" s="6">
        <v>8.35</v>
      </c>
      <c r="BU361" s="6">
        <v>7.94</v>
      </c>
      <c r="BV361" s="6">
        <v>7.82</v>
      </c>
      <c r="BW361" s="6">
        <v>8.3800000000000008</v>
      </c>
      <c r="BX361" s="6">
        <v>7.34</v>
      </c>
      <c r="BY361" s="6">
        <v>9.6</v>
      </c>
      <c r="BZ361" s="6">
        <v>4.7</v>
      </c>
      <c r="CA361" s="6">
        <v>8.6999999999999993</v>
      </c>
      <c r="CB361" s="6">
        <v>10.56</v>
      </c>
      <c r="CC361" s="6">
        <v>5.9</v>
      </c>
      <c r="CD361" s="6">
        <v>7.4</v>
      </c>
      <c r="CE361" s="6">
        <v>7.16</v>
      </c>
      <c r="CF361" s="6">
        <v>6.7</v>
      </c>
      <c r="CG361" s="6">
        <v>8.48</v>
      </c>
      <c r="CH361" s="11">
        <v>6.06</v>
      </c>
      <c r="CI361" s="6">
        <v>6.1</v>
      </c>
      <c r="CJ361" s="11">
        <v>7.34</v>
      </c>
      <c r="CK361" s="6">
        <v>9.24</v>
      </c>
      <c r="CL361" s="6">
        <v>7.5</v>
      </c>
      <c r="CM361" s="6">
        <v>8.2799999999999994</v>
      </c>
      <c r="CN361" s="6">
        <v>5.62</v>
      </c>
      <c r="CO361" s="10">
        <v>6.18</v>
      </c>
      <c r="CP361" s="10"/>
    </row>
    <row r="362" spans="1:94" ht="15.75" customHeight="1" x14ac:dyDescent="0.25">
      <c r="A362" s="4">
        <v>361</v>
      </c>
      <c r="B362" s="4"/>
      <c r="C362" s="4">
        <v>26</v>
      </c>
      <c r="D362" s="8">
        <v>7.28</v>
      </c>
      <c r="E362" s="8">
        <v>6.28</v>
      </c>
      <c r="F362" s="8">
        <v>5.33</v>
      </c>
      <c r="G362" s="8">
        <v>9.1300000000000008</v>
      </c>
      <c r="H362" s="8">
        <v>6.03</v>
      </c>
      <c r="I362" s="8">
        <v>6.48</v>
      </c>
      <c r="J362" s="8">
        <v>5.76</v>
      </c>
      <c r="K362" s="8">
        <v>7.68</v>
      </c>
      <c r="L362" s="8">
        <v>6.48</v>
      </c>
      <c r="M362" s="8">
        <v>8.1</v>
      </c>
      <c r="N362" s="8">
        <v>7.13</v>
      </c>
      <c r="O362" s="8">
        <v>6.58</v>
      </c>
      <c r="P362" s="8">
        <v>6</v>
      </c>
      <c r="Q362" s="8">
        <v>6.41</v>
      </c>
      <c r="R362" s="8">
        <v>7.55</v>
      </c>
      <c r="S362" s="8">
        <v>7.16</v>
      </c>
      <c r="T362" s="8">
        <v>7.48</v>
      </c>
      <c r="U362" s="8">
        <v>6.97</v>
      </c>
      <c r="V362" s="8">
        <v>7.31</v>
      </c>
      <c r="W362" s="8">
        <v>7.89</v>
      </c>
      <c r="X362" s="8">
        <v>7.09</v>
      </c>
      <c r="Y362" s="8">
        <v>6.43</v>
      </c>
      <c r="Z362" s="8">
        <v>7.03</v>
      </c>
      <c r="AA362" s="8">
        <v>5.05</v>
      </c>
      <c r="AB362" s="8">
        <v>7.57</v>
      </c>
      <c r="AC362" s="8">
        <v>8.39</v>
      </c>
      <c r="AD362" s="8">
        <v>8.39</v>
      </c>
      <c r="AE362" s="8">
        <v>6.19</v>
      </c>
      <c r="AF362" s="8">
        <v>6.73</v>
      </c>
      <c r="AG362" s="8">
        <v>5.88</v>
      </c>
      <c r="AH362" s="8">
        <v>6.55</v>
      </c>
      <c r="AI362" s="8">
        <v>8.3699999999999992</v>
      </c>
      <c r="AJ362" s="8">
        <v>6.05</v>
      </c>
      <c r="AK362" s="8">
        <v>5.84</v>
      </c>
      <c r="AL362" s="8">
        <v>7.53</v>
      </c>
      <c r="AM362" s="8">
        <v>6.9</v>
      </c>
      <c r="AN362" s="8">
        <v>7.48</v>
      </c>
      <c r="AO362" s="8">
        <v>6.88</v>
      </c>
      <c r="AP362" s="8">
        <v>7.33</v>
      </c>
      <c r="AQ362" s="8">
        <v>6.39</v>
      </c>
      <c r="AR362" s="8">
        <v>8.64</v>
      </c>
      <c r="AS362" s="8">
        <v>6.26</v>
      </c>
      <c r="AT362" s="8">
        <v>5.98</v>
      </c>
      <c r="AU362" s="6">
        <v>8.0299999999999994</v>
      </c>
      <c r="AV362" s="6">
        <v>8.36</v>
      </c>
      <c r="AW362" s="6">
        <v>6.38</v>
      </c>
      <c r="AX362" s="6">
        <v>7.11</v>
      </c>
      <c r="AY362" s="6">
        <v>6.92</v>
      </c>
      <c r="AZ362" s="6">
        <v>7.78</v>
      </c>
      <c r="BA362" s="6">
        <v>7</v>
      </c>
      <c r="BB362" s="6">
        <v>7.51</v>
      </c>
      <c r="BC362" s="6">
        <v>9.5</v>
      </c>
      <c r="BD362" s="6">
        <v>6.94</v>
      </c>
      <c r="BE362" s="6">
        <v>8.3800000000000008</v>
      </c>
      <c r="BF362" s="6">
        <v>6.32</v>
      </c>
      <c r="BG362" s="6">
        <v>8.31</v>
      </c>
      <c r="BH362" s="6">
        <v>6.61</v>
      </c>
      <c r="BI362" s="6">
        <v>7.12</v>
      </c>
      <c r="BJ362" s="6">
        <v>7.89</v>
      </c>
      <c r="BK362" s="6">
        <v>8.08</v>
      </c>
      <c r="BL362" s="6">
        <v>6.1</v>
      </c>
      <c r="BM362" s="6">
        <v>9.08</v>
      </c>
      <c r="BN362" s="6">
        <v>5.0199999999999996</v>
      </c>
      <c r="BO362" s="6">
        <v>7</v>
      </c>
      <c r="BP362" s="6">
        <v>7.1</v>
      </c>
      <c r="BQ362" s="6">
        <v>6.9</v>
      </c>
      <c r="BR362" s="6">
        <v>7.14</v>
      </c>
      <c r="BS362" s="11">
        <v>6.5</v>
      </c>
      <c r="BT362" s="6">
        <v>8.15</v>
      </c>
      <c r="BU362" s="6">
        <v>7.88</v>
      </c>
      <c r="BV362" s="6">
        <v>7.7</v>
      </c>
      <c r="BW362" s="6">
        <v>8.3000000000000007</v>
      </c>
      <c r="BX362" s="6">
        <v>7.34</v>
      </c>
      <c r="BY362" s="6">
        <v>9.4</v>
      </c>
      <c r="BZ362" s="6">
        <v>4.66</v>
      </c>
      <c r="CA362" s="6">
        <v>8.5399999999999991</v>
      </c>
      <c r="CB362" s="6">
        <v>10.42</v>
      </c>
      <c r="CC362" s="6">
        <v>5.9</v>
      </c>
      <c r="CD362" s="6">
        <v>7.4</v>
      </c>
      <c r="CE362" s="6">
        <v>7</v>
      </c>
      <c r="CF362" s="6">
        <v>6.6</v>
      </c>
      <c r="CG362" s="6">
        <v>8.3800000000000008</v>
      </c>
      <c r="CH362" s="11">
        <v>5.9</v>
      </c>
      <c r="CI362" s="6">
        <v>5.9</v>
      </c>
      <c r="CJ362" s="11">
        <v>7.34</v>
      </c>
      <c r="CK362" s="6">
        <v>8.92</v>
      </c>
      <c r="CL362" s="6">
        <v>7.6</v>
      </c>
      <c r="CM362" s="6">
        <v>8.02</v>
      </c>
      <c r="CN362" s="6">
        <v>5.54</v>
      </c>
      <c r="CO362" s="10">
        <v>6.12</v>
      </c>
      <c r="CP362" s="10"/>
    </row>
    <row r="363" spans="1:94" ht="15.75" customHeight="1" x14ac:dyDescent="0.25">
      <c r="A363" s="4">
        <v>362</v>
      </c>
      <c r="B363" s="4"/>
      <c r="C363" s="4">
        <v>27</v>
      </c>
      <c r="D363" s="8">
        <v>7.13</v>
      </c>
      <c r="E363" s="8">
        <v>6.18</v>
      </c>
      <c r="F363" s="8">
        <v>5.18</v>
      </c>
      <c r="G363" s="8">
        <v>9.0299999999999994</v>
      </c>
      <c r="H363" s="8">
        <v>5.98</v>
      </c>
      <c r="I363" s="8">
        <v>6.31</v>
      </c>
      <c r="J363" s="8">
        <v>5.68</v>
      </c>
      <c r="K363" s="8">
        <v>7.64</v>
      </c>
      <c r="L363" s="8">
        <v>6.45</v>
      </c>
      <c r="M363" s="8">
        <v>8.0299999999999994</v>
      </c>
      <c r="N363" s="8">
        <v>7.04</v>
      </c>
      <c r="O363" s="8">
        <v>6.58</v>
      </c>
      <c r="P363" s="8">
        <v>5.9</v>
      </c>
      <c r="Q363" s="8">
        <v>6.16</v>
      </c>
      <c r="R363" s="8">
        <v>7.4</v>
      </c>
      <c r="S363" s="8">
        <v>7.16</v>
      </c>
      <c r="T363" s="8">
        <v>7.38</v>
      </c>
      <c r="U363" s="8">
        <v>6.87</v>
      </c>
      <c r="V363" s="8">
        <v>7.25</v>
      </c>
      <c r="W363" s="8">
        <v>7.76</v>
      </c>
      <c r="X363" s="8">
        <v>6.91</v>
      </c>
      <c r="Y363" s="8">
        <v>6.33</v>
      </c>
      <c r="Z363" s="8">
        <v>6.89</v>
      </c>
      <c r="AA363" s="8">
        <v>4.96</v>
      </c>
      <c r="AB363" s="8">
        <v>7.57</v>
      </c>
      <c r="AC363" s="8">
        <v>8.2200000000000006</v>
      </c>
      <c r="AD363" s="8">
        <v>8.2200000000000006</v>
      </c>
      <c r="AE363" s="8">
        <v>6.09</v>
      </c>
      <c r="AF363" s="8">
        <v>6.57</v>
      </c>
      <c r="AG363" s="8">
        <v>5.78</v>
      </c>
      <c r="AH363" s="8">
        <v>6.43</v>
      </c>
      <c r="AI363" s="8">
        <v>8.1999999999999993</v>
      </c>
      <c r="AJ363" s="8">
        <v>5.95</v>
      </c>
      <c r="AK363" s="8">
        <v>5.72</v>
      </c>
      <c r="AL363" s="8">
        <v>7.47</v>
      </c>
      <c r="AM363" s="8">
        <v>6.87</v>
      </c>
      <c r="AN363" s="8">
        <v>7.35</v>
      </c>
      <c r="AO363" s="8">
        <v>6.79</v>
      </c>
      <c r="AP363" s="8">
        <v>7.27</v>
      </c>
      <c r="AQ363" s="8">
        <v>6.16</v>
      </c>
      <c r="AR363" s="8">
        <v>8.6</v>
      </c>
      <c r="AS363" s="8">
        <v>6.15</v>
      </c>
      <c r="AT363" s="8">
        <v>5.85</v>
      </c>
      <c r="AU363" s="6">
        <v>7.9</v>
      </c>
      <c r="AV363" s="6">
        <v>8.2799999999999994</v>
      </c>
      <c r="AW363" s="6">
        <v>6.28</v>
      </c>
      <c r="AX363" s="6">
        <v>7.09</v>
      </c>
      <c r="AY363" s="6">
        <v>6.84</v>
      </c>
      <c r="AZ363" s="6">
        <v>7.67</v>
      </c>
      <c r="BA363" s="6">
        <v>6.94</v>
      </c>
      <c r="BB363" s="6">
        <v>7.34</v>
      </c>
      <c r="BC363" s="6">
        <v>9.31</v>
      </c>
      <c r="BD363" s="6">
        <v>6.87</v>
      </c>
      <c r="BE363" s="6">
        <v>8.14</v>
      </c>
      <c r="BF363" s="6">
        <v>6.13</v>
      </c>
      <c r="BG363" s="6">
        <v>8.19</v>
      </c>
      <c r="BH363" s="6">
        <v>6.5</v>
      </c>
      <c r="BI363" s="6">
        <v>6.96</v>
      </c>
      <c r="BJ363" s="6">
        <v>7.64</v>
      </c>
      <c r="BK363" s="6">
        <v>7.9</v>
      </c>
      <c r="BL363" s="6">
        <v>6</v>
      </c>
      <c r="BM363" s="6">
        <v>9.1</v>
      </c>
      <c r="BN363" s="6">
        <v>5</v>
      </c>
      <c r="BO363" s="6">
        <v>6.92</v>
      </c>
      <c r="BP363" s="6">
        <v>6.94</v>
      </c>
      <c r="BQ363" s="6">
        <v>6.82</v>
      </c>
      <c r="BR363" s="6">
        <v>7.24</v>
      </c>
      <c r="BS363" s="11">
        <v>6.38</v>
      </c>
      <c r="BT363" s="6">
        <v>7.96</v>
      </c>
      <c r="BU363" s="6">
        <v>7.78</v>
      </c>
      <c r="BV363" s="6">
        <v>7.59</v>
      </c>
      <c r="BW363" s="6">
        <v>8.1</v>
      </c>
      <c r="BX363" s="6">
        <v>7.3</v>
      </c>
      <c r="BY363" s="6">
        <v>9.1999999999999993</v>
      </c>
      <c r="BZ363" s="6">
        <v>4.5999999999999996</v>
      </c>
      <c r="CA363" s="6">
        <v>8.3800000000000008</v>
      </c>
      <c r="CB363" s="6">
        <v>10.3</v>
      </c>
      <c r="CC363" s="6">
        <v>5.9</v>
      </c>
      <c r="CD363" s="6">
        <v>7.36</v>
      </c>
      <c r="CE363" s="6">
        <v>6.78</v>
      </c>
      <c r="CF363" s="6">
        <v>6.48</v>
      </c>
      <c r="CG363" s="6">
        <v>8.34</v>
      </c>
      <c r="CH363" s="11">
        <v>5.82</v>
      </c>
      <c r="CI363" s="6">
        <v>5.8</v>
      </c>
      <c r="CJ363" s="11">
        <v>7.34</v>
      </c>
      <c r="CK363" s="6">
        <v>8.74</v>
      </c>
      <c r="CL363" s="6">
        <v>7.5</v>
      </c>
      <c r="CM363" s="6">
        <v>7.82</v>
      </c>
      <c r="CN363" s="6">
        <v>5.49</v>
      </c>
      <c r="CO363" s="10">
        <v>6.04</v>
      </c>
      <c r="CP363" s="10"/>
    </row>
    <row r="364" spans="1:94" ht="15.75" customHeight="1" x14ac:dyDescent="0.25">
      <c r="A364" s="4">
        <v>363</v>
      </c>
      <c r="B364" s="4"/>
      <c r="C364" s="4">
        <v>28</v>
      </c>
      <c r="D364" s="8">
        <v>7.03</v>
      </c>
      <c r="E364" s="8">
        <v>6.03</v>
      </c>
      <c r="F364" s="8">
        <v>5.08</v>
      </c>
      <c r="G364" s="8">
        <v>8.93</v>
      </c>
      <c r="H364" s="8">
        <v>5.93</v>
      </c>
      <c r="I364" s="8">
        <v>6.26</v>
      </c>
      <c r="J364" s="8">
        <v>5.58</v>
      </c>
      <c r="K364" s="8">
        <v>7.63</v>
      </c>
      <c r="L364" s="8">
        <v>6.41</v>
      </c>
      <c r="M364" s="8">
        <v>7.94</v>
      </c>
      <c r="N364" s="8">
        <v>6.98</v>
      </c>
      <c r="O364" s="8">
        <v>6.58</v>
      </c>
      <c r="P364" s="8">
        <v>5.72</v>
      </c>
      <c r="Q364" s="8">
        <v>5.92</v>
      </c>
      <c r="R364" s="8">
        <v>7.29</v>
      </c>
      <c r="S364" s="8">
        <v>7.13</v>
      </c>
      <c r="T364" s="8">
        <v>7.26</v>
      </c>
      <c r="U364" s="8">
        <v>6.81</v>
      </c>
      <c r="V364" s="8">
        <v>7.19</v>
      </c>
      <c r="W364" s="8">
        <v>7.67</v>
      </c>
      <c r="X364" s="8">
        <v>6.81</v>
      </c>
      <c r="Y364" s="8">
        <v>6.27</v>
      </c>
      <c r="Z364" s="8">
        <v>6.77</v>
      </c>
      <c r="AA364" s="8">
        <v>4.91</v>
      </c>
      <c r="AB364" s="8">
        <v>7.47</v>
      </c>
      <c r="AC364" s="8">
        <v>8.0500000000000007</v>
      </c>
      <c r="AD364" s="8">
        <v>8.07</v>
      </c>
      <c r="AE364" s="8">
        <v>6.01</v>
      </c>
      <c r="AF364" s="8">
        <v>6.43</v>
      </c>
      <c r="AG364" s="8">
        <v>5.68</v>
      </c>
      <c r="AH364" s="8">
        <v>6.35</v>
      </c>
      <c r="AI364" s="8">
        <v>8.0299999999999994</v>
      </c>
      <c r="AJ364" s="8">
        <v>5.84</v>
      </c>
      <c r="AK364" s="8">
        <v>5.57</v>
      </c>
      <c r="AL364" s="8">
        <v>7.39</v>
      </c>
      <c r="AM364" s="8">
        <v>6.82</v>
      </c>
      <c r="AN364" s="8">
        <v>7.25</v>
      </c>
      <c r="AO364" s="8">
        <v>6.71</v>
      </c>
      <c r="AP364" s="8">
        <v>7.23</v>
      </c>
      <c r="AQ364" s="8">
        <v>5.97</v>
      </c>
      <c r="AR364" s="8">
        <v>8.58</v>
      </c>
      <c r="AS364" s="8">
        <v>5.99</v>
      </c>
      <c r="AT364" s="8">
        <v>5.75</v>
      </c>
      <c r="AU364" s="6">
        <v>7.75</v>
      </c>
      <c r="AV364" s="6">
        <v>8.2100000000000009</v>
      </c>
      <c r="AW364" s="6">
        <v>6.19</v>
      </c>
      <c r="AX364" s="6">
        <v>7.05</v>
      </c>
      <c r="AY364" s="6">
        <v>6.76</v>
      </c>
      <c r="AZ364" s="6">
        <v>7.57</v>
      </c>
      <c r="BA364" s="6">
        <v>6.88</v>
      </c>
      <c r="BB364" s="6">
        <v>7.13</v>
      </c>
      <c r="BC364" s="6">
        <v>9.11</v>
      </c>
      <c r="BD364" s="6">
        <v>6.79</v>
      </c>
      <c r="BE364" s="6">
        <v>7.9</v>
      </c>
      <c r="BF364" s="6">
        <v>5.96</v>
      </c>
      <c r="BG364" s="6">
        <v>8.09</v>
      </c>
      <c r="BH364" s="6">
        <v>6.34</v>
      </c>
      <c r="BI364" s="6">
        <v>6.8</v>
      </c>
      <c r="BJ364" s="6">
        <v>7.46</v>
      </c>
      <c r="BK364" s="6">
        <v>7.79</v>
      </c>
      <c r="BL364" s="6">
        <v>5.94</v>
      </c>
      <c r="BM364" s="6">
        <v>9.08</v>
      </c>
      <c r="BN364" s="6">
        <v>4.82</v>
      </c>
      <c r="BO364" s="6">
        <v>6.86</v>
      </c>
      <c r="BP364" s="6">
        <v>6.78</v>
      </c>
      <c r="BQ364" s="6">
        <v>6.72</v>
      </c>
      <c r="BR364" s="6">
        <v>7.36</v>
      </c>
      <c r="BS364" s="11">
        <v>6.28</v>
      </c>
      <c r="BT364" s="6">
        <v>7.82</v>
      </c>
      <c r="BU364" s="6">
        <v>7.68</v>
      </c>
      <c r="BV364" s="6">
        <v>7.46</v>
      </c>
      <c r="BW364" s="6">
        <v>8</v>
      </c>
      <c r="BX364" s="6">
        <v>7.3</v>
      </c>
      <c r="BY364" s="6">
        <v>9</v>
      </c>
      <c r="BZ364" s="6">
        <v>4.5999999999999996</v>
      </c>
      <c r="CA364" s="6">
        <v>8.3000000000000007</v>
      </c>
      <c r="CB364" s="6">
        <v>10.1</v>
      </c>
      <c r="CC364" s="6">
        <v>5.9</v>
      </c>
      <c r="CD364" s="6">
        <v>7.26</v>
      </c>
      <c r="CE364" s="6">
        <v>6.7</v>
      </c>
      <c r="CF364" s="6">
        <v>6.4</v>
      </c>
      <c r="CG364" s="6">
        <v>8.3000000000000007</v>
      </c>
      <c r="CH364" s="11">
        <v>5.62</v>
      </c>
      <c r="CI364" s="6">
        <v>5.8</v>
      </c>
      <c r="CJ364" s="11">
        <v>7.38</v>
      </c>
      <c r="CK364" s="6">
        <v>8.6</v>
      </c>
      <c r="CL364" s="6">
        <v>7.34</v>
      </c>
      <c r="CM364" s="6">
        <v>7.58</v>
      </c>
      <c r="CN364" s="6">
        <v>5.47</v>
      </c>
      <c r="CO364" s="10">
        <v>6</v>
      </c>
      <c r="CP364" s="10"/>
    </row>
    <row r="365" spans="1:94" ht="15.75" customHeight="1" x14ac:dyDescent="0.25">
      <c r="A365" s="4">
        <v>364</v>
      </c>
      <c r="B365" s="4"/>
      <c r="C365" s="4">
        <v>29</v>
      </c>
      <c r="D365" s="8">
        <v>6.88</v>
      </c>
      <c r="E365" s="8">
        <v>5.83</v>
      </c>
      <c r="F365" s="8">
        <v>4.9800000000000004</v>
      </c>
      <c r="G365" s="8">
        <v>8.83</v>
      </c>
      <c r="H365" s="8">
        <v>5.88</v>
      </c>
      <c r="I365" s="8">
        <v>6.26</v>
      </c>
      <c r="J365" s="8">
        <v>5.48</v>
      </c>
      <c r="K365" s="8">
        <v>7.68</v>
      </c>
      <c r="L365" s="8">
        <v>6.3</v>
      </c>
      <c r="M365" s="8">
        <v>7.86</v>
      </c>
      <c r="N365" s="8">
        <v>6.9</v>
      </c>
      <c r="O365" s="8">
        <v>6.58</v>
      </c>
      <c r="P365" s="8">
        <v>5.6</v>
      </c>
      <c r="Q365" s="8">
        <v>5.7</v>
      </c>
      <c r="R365" s="8">
        <v>7.13</v>
      </c>
      <c r="S365" s="8">
        <v>7.05</v>
      </c>
      <c r="T365" s="8">
        <v>7.16</v>
      </c>
      <c r="U365" s="8">
        <v>6.77</v>
      </c>
      <c r="V365" s="8">
        <v>7.11</v>
      </c>
      <c r="W365" s="8">
        <v>7.6</v>
      </c>
      <c r="X365" s="8">
        <v>6.77</v>
      </c>
      <c r="Y365" s="8">
        <v>6.33</v>
      </c>
      <c r="Z365" s="8">
        <v>6.67</v>
      </c>
      <c r="AA365" s="8">
        <v>4.8499999999999996</v>
      </c>
      <c r="AB365" s="8">
        <v>7.41</v>
      </c>
      <c r="AC365" s="8">
        <v>7.89</v>
      </c>
      <c r="AD365" s="8">
        <v>7.89</v>
      </c>
      <c r="AE365" s="8">
        <v>5.91</v>
      </c>
      <c r="AF365" s="8">
        <v>6.29</v>
      </c>
      <c r="AG365" s="8">
        <v>5.6</v>
      </c>
      <c r="AH365" s="8">
        <v>6.29</v>
      </c>
      <c r="AI365" s="8">
        <v>7.91</v>
      </c>
      <c r="AJ365" s="8">
        <v>5.71</v>
      </c>
      <c r="AK365" s="8">
        <v>5.44</v>
      </c>
      <c r="AL365" s="8">
        <v>7.32</v>
      </c>
      <c r="AM365" s="8">
        <v>6.78</v>
      </c>
      <c r="AN365" s="8">
        <v>7.18</v>
      </c>
      <c r="AO365" s="8">
        <v>6.63</v>
      </c>
      <c r="AP365" s="8">
        <v>7.21</v>
      </c>
      <c r="AQ365" s="8">
        <v>5.79</v>
      </c>
      <c r="AR365" s="8">
        <v>8.5500000000000007</v>
      </c>
      <c r="AS365" s="8">
        <v>5.83</v>
      </c>
      <c r="AT365" s="8">
        <v>5.65</v>
      </c>
      <c r="AU365" s="6">
        <v>7.61</v>
      </c>
      <c r="AV365" s="6">
        <v>8.1</v>
      </c>
      <c r="AW365" s="6">
        <v>6.15</v>
      </c>
      <c r="AX365" s="6">
        <v>7</v>
      </c>
      <c r="AY365" s="6">
        <v>6.61</v>
      </c>
      <c r="AZ365" s="6">
        <v>7.46</v>
      </c>
      <c r="BA365" s="6">
        <v>6.84</v>
      </c>
      <c r="BB365" s="6">
        <v>6.9</v>
      </c>
      <c r="BC365" s="6">
        <v>8.92</v>
      </c>
      <c r="BD365" s="6">
        <v>6.72</v>
      </c>
      <c r="BE365" s="6">
        <v>7.69</v>
      </c>
      <c r="BF365" s="6">
        <v>5.8</v>
      </c>
      <c r="BG365" s="6">
        <v>7.94</v>
      </c>
      <c r="BH365" s="6">
        <v>6.21</v>
      </c>
      <c r="BI365" s="6">
        <v>6.66</v>
      </c>
      <c r="BJ365" s="6">
        <v>7.29</v>
      </c>
      <c r="BK365" s="6">
        <v>7.66</v>
      </c>
      <c r="BL365" s="6">
        <v>5.88</v>
      </c>
      <c r="BM365" s="6">
        <v>9</v>
      </c>
      <c r="BN365" s="6">
        <v>4.7</v>
      </c>
      <c r="BO365" s="6">
        <v>6.8</v>
      </c>
      <c r="BP365" s="6">
        <v>6.64</v>
      </c>
      <c r="BQ365" s="6">
        <v>6.62</v>
      </c>
      <c r="BR365" s="6">
        <v>7.45</v>
      </c>
      <c r="BS365" s="11">
        <v>6.28</v>
      </c>
      <c r="BT365" s="6">
        <v>7.66</v>
      </c>
      <c r="BU365" s="6">
        <v>7.59</v>
      </c>
      <c r="BV365" s="6">
        <v>7.3</v>
      </c>
      <c r="BW365" s="6">
        <v>7.92</v>
      </c>
      <c r="BX365" s="6">
        <v>7.3</v>
      </c>
      <c r="BY365" s="6">
        <v>8.92</v>
      </c>
      <c r="BZ365" s="6">
        <v>4.5</v>
      </c>
      <c r="CA365" s="6">
        <v>8.02</v>
      </c>
      <c r="CB365" s="6">
        <v>9.94</v>
      </c>
      <c r="CC365" s="6">
        <v>6</v>
      </c>
      <c r="CD365" s="6">
        <v>7.15</v>
      </c>
      <c r="CE365" s="6">
        <v>6.7</v>
      </c>
      <c r="CF365" s="6">
        <v>6.3</v>
      </c>
      <c r="CG365" s="6">
        <v>8.26</v>
      </c>
      <c r="CH365" s="11">
        <v>5.52</v>
      </c>
      <c r="CI365" s="6">
        <v>5.7</v>
      </c>
      <c r="CJ365" s="11">
        <v>7.4</v>
      </c>
      <c r="CK365" s="6">
        <v>8.5</v>
      </c>
      <c r="CL365" s="6">
        <v>7.3</v>
      </c>
      <c r="CM365" s="6">
        <v>7.38</v>
      </c>
      <c r="CN365" s="6">
        <v>5.47</v>
      </c>
      <c r="CO365" s="10">
        <v>5.96</v>
      </c>
      <c r="CP365" s="10"/>
    </row>
    <row r="366" spans="1:94" ht="15.75" customHeight="1" x14ac:dyDescent="0.25">
      <c r="A366" s="4">
        <v>365</v>
      </c>
      <c r="B366" s="4"/>
      <c r="C366" s="4">
        <v>30</v>
      </c>
      <c r="D366" s="8">
        <v>6.83</v>
      </c>
      <c r="E366" s="8">
        <v>5.68</v>
      </c>
      <c r="F366" s="8">
        <v>4.92</v>
      </c>
      <c r="G366" s="8">
        <v>8.7200000000000006</v>
      </c>
      <c r="H366" s="8">
        <v>5.86</v>
      </c>
      <c r="I366" s="8">
        <v>6.26</v>
      </c>
      <c r="J366" s="8">
        <v>5.36</v>
      </c>
      <c r="K366" s="8">
        <v>7.69</v>
      </c>
      <c r="L366" s="8">
        <v>6.17</v>
      </c>
      <c r="M366" s="8">
        <v>7.74</v>
      </c>
      <c r="N366" s="8">
        <v>6.83</v>
      </c>
      <c r="O366" s="8">
        <v>6.57</v>
      </c>
      <c r="P366" s="8">
        <v>5.49</v>
      </c>
      <c r="Q366" s="8">
        <v>5.53</v>
      </c>
      <c r="R366" s="8">
        <v>6.98</v>
      </c>
      <c r="S366" s="8">
        <v>7</v>
      </c>
      <c r="T366" s="8">
        <v>7.07</v>
      </c>
      <c r="U366" s="8">
        <v>6.77</v>
      </c>
      <c r="V366" s="8">
        <v>6.81</v>
      </c>
      <c r="W366" s="8">
        <v>7.55</v>
      </c>
      <c r="X366" s="8">
        <v>6.73</v>
      </c>
      <c r="Y366" s="8">
        <v>6.47</v>
      </c>
      <c r="Z366" s="8">
        <v>6.57</v>
      </c>
      <c r="AA366" s="8">
        <v>4.8</v>
      </c>
      <c r="AB366" s="8">
        <v>7.37</v>
      </c>
      <c r="AC366" s="8">
        <v>7.7</v>
      </c>
      <c r="AD366" s="8">
        <v>7.7</v>
      </c>
      <c r="AE366" s="8">
        <v>5.79</v>
      </c>
      <c r="AF366" s="8">
        <v>6.15</v>
      </c>
      <c r="AG366" s="8">
        <v>5.56</v>
      </c>
      <c r="AH366" s="8">
        <v>6.23</v>
      </c>
      <c r="AI366" s="8">
        <v>7.83</v>
      </c>
      <c r="AJ366" s="8">
        <v>5.61</v>
      </c>
      <c r="AK366" s="8">
        <v>5.3</v>
      </c>
      <c r="AL366" s="8">
        <v>7.24</v>
      </c>
      <c r="AM366" s="8">
        <v>6.74</v>
      </c>
      <c r="AN366" s="8">
        <v>7.21</v>
      </c>
      <c r="AO366" s="8">
        <v>6.55</v>
      </c>
      <c r="AP366" s="8">
        <v>7.13</v>
      </c>
      <c r="AQ366" s="8">
        <v>5.61</v>
      </c>
      <c r="AR366" s="8">
        <v>8.4700000000000006</v>
      </c>
      <c r="AS366" s="8">
        <v>5.7</v>
      </c>
      <c r="AT366" s="8">
        <v>5.56</v>
      </c>
      <c r="AU366" s="6">
        <v>7.46</v>
      </c>
      <c r="AV366" s="6">
        <v>7.98</v>
      </c>
      <c r="AW366" s="6">
        <v>6.15</v>
      </c>
      <c r="AX366" s="6">
        <v>6.94</v>
      </c>
      <c r="AY366" s="6">
        <v>6.48</v>
      </c>
      <c r="AZ366" s="6">
        <v>7.34</v>
      </c>
      <c r="BA366" s="6">
        <v>6.73</v>
      </c>
      <c r="BB366" s="6">
        <v>6.69</v>
      </c>
      <c r="BC366" s="6">
        <v>8.7200000000000006</v>
      </c>
      <c r="BD366" s="6">
        <v>6.65</v>
      </c>
      <c r="BE366" s="6">
        <v>7.48</v>
      </c>
      <c r="BF366" s="6">
        <v>5.65</v>
      </c>
      <c r="BG366" s="6">
        <v>7.84</v>
      </c>
      <c r="BH366" s="6">
        <v>6.09</v>
      </c>
      <c r="BI366" s="6">
        <v>6.5</v>
      </c>
      <c r="BJ366" s="6">
        <v>7.1</v>
      </c>
      <c r="BK366" s="6">
        <v>7.5</v>
      </c>
      <c r="BL366" s="6">
        <v>5.88</v>
      </c>
      <c r="BM366" s="6">
        <v>8.9</v>
      </c>
      <c r="BN366" s="6">
        <v>4.5999999999999996</v>
      </c>
      <c r="BO366" s="6">
        <v>6.82</v>
      </c>
      <c r="BP366" s="6">
        <v>6.51</v>
      </c>
      <c r="BQ366" s="6">
        <v>6.6</v>
      </c>
      <c r="BR366" s="6">
        <v>7.5</v>
      </c>
      <c r="BS366" s="11">
        <v>6.22</v>
      </c>
      <c r="BT366" s="6">
        <v>7.5</v>
      </c>
      <c r="BU366" s="6">
        <v>7.44</v>
      </c>
      <c r="BV366" s="6">
        <v>7.26</v>
      </c>
      <c r="BW366" s="6">
        <v>7.9</v>
      </c>
      <c r="BX366" s="6">
        <v>7.28</v>
      </c>
      <c r="BY366" s="6">
        <v>8.9</v>
      </c>
      <c r="BZ366" s="6">
        <v>4.4000000000000004</v>
      </c>
      <c r="CA366" s="6">
        <v>7.87</v>
      </c>
      <c r="CB366" s="6">
        <v>9.9</v>
      </c>
      <c r="CC366" s="6">
        <v>5.98</v>
      </c>
      <c r="CD366" s="6">
        <v>7.03</v>
      </c>
      <c r="CE366" s="6">
        <v>6.68</v>
      </c>
      <c r="CF366" s="6">
        <v>6.25</v>
      </c>
      <c r="CG366" s="6">
        <v>8.2799999999999994</v>
      </c>
      <c r="CH366" s="11">
        <v>5.47</v>
      </c>
      <c r="CI366" s="6">
        <v>5.7</v>
      </c>
      <c r="CJ366" s="11">
        <v>7.4</v>
      </c>
      <c r="CK366" s="6">
        <v>8.4</v>
      </c>
      <c r="CL366" s="6">
        <v>7.2</v>
      </c>
      <c r="CM366" s="6">
        <v>7.2</v>
      </c>
      <c r="CN366" s="6">
        <v>5.47</v>
      </c>
      <c r="CO366" s="10">
        <v>5.96</v>
      </c>
      <c r="CP366" s="10"/>
    </row>
    <row r="367" spans="1:94" ht="15.75" customHeight="1" x14ac:dyDescent="0.25">
      <c r="A367" s="4">
        <v>366</v>
      </c>
      <c r="B367" s="4"/>
      <c r="C367" s="4">
        <v>31</v>
      </c>
      <c r="D367" s="8">
        <v>6.58</v>
      </c>
      <c r="E367" s="8">
        <v>5.53</v>
      </c>
      <c r="F367" s="8">
        <v>4.92</v>
      </c>
      <c r="G367" s="8">
        <v>8.68</v>
      </c>
      <c r="H367" s="8">
        <v>5.82</v>
      </c>
      <c r="I367" s="8">
        <v>6.26</v>
      </c>
      <c r="J367" s="8">
        <v>5.36</v>
      </c>
      <c r="K367" s="8">
        <v>7.63</v>
      </c>
      <c r="L367" s="8">
        <v>6.03</v>
      </c>
      <c r="M367" s="8">
        <v>7.6</v>
      </c>
      <c r="N367" s="8">
        <v>6.71</v>
      </c>
      <c r="O367" s="8">
        <v>6.55</v>
      </c>
      <c r="P367" s="8">
        <v>5.4</v>
      </c>
      <c r="Q367" s="8">
        <v>5.36</v>
      </c>
      <c r="R367" s="8">
        <v>6.89</v>
      </c>
      <c r="S367" s="8">
        <v>6.96</v>
      </c>
      <c r="T367" s="8">
        <v>6.94</v>
      </c>
      <c r="U367" s="8">
        <v>6.77</v>
      </c>
      <c r="V367" s="8">
        <v>6.61</v>
      </c>
      <c r="W367" s="8">
        <v>7.5</v>
      </c>
      <c r="X367" s="8">
        <v>6.67</v>
      </c>
      <c r="Y367" s="8">
        <v>6.61</v>
      </c>
      <c r="Z367" s="8">
        <v>6.54</v>
      </c>
      <c r="AA367" s="8">
        <v>4.75</v>
      </c>
      <c r="AB367" s="8">
        <v>7.34</v>
      </c>
      <c r="AC367" s="8">
        <v>7.53</v>
      </c>
      <c r="AD367" s="8">
        <v>7.53</v>
      </c>
      <c r="AE367" s="8">
        <v>5.59</v>
      </c>
      <c r="AF367" s="8">
        <v>6.03</v>
      </c>
      <c r="AG367" s="8">
        <v>5.52</v>
      </c>
      <c r="AH367" s="8">
        <v>6.17</v>
      </c>
      <c r="AI367" s="8">
        <v>7.83</v>
      </c>
      <c r="AJ367" s="8">
        <v>5.51</v>
      </c>
      <c r="AK367" s="8">
        <v>5.2</v>
      </c>
      <c r="AL367" s="8">
        <v>7.15</v>
      </c>
      <c r="AM367" s="8">
        <v>6.66</v>
      </c>
      <c r="AN367" s="8">
        <v>7.23</v>
      </c>
      <c r="AO367" s="8">
        <v>6.47</v>
      </c>
      <c r="AP367" s="8">
        <v>7.01</v>
      </c>
      <c r="AQ367" s="8">
        <v>5.45</v>
      </c>
      <c r="AR367" s="8">
        <v>8.35</v>
      </c>
      <c r="AS367" s="8">
        <v>5.57</v>
      </c>
      <c r="AT367" s="8">
        <v>5.45</v>
      </c>
      <c r="AU367" s="1">
        <v>7.3</v>
      </c>
      <c r="AV367" s="1">
        <v>7.86</v>
      </c>
      <c r="AW367" s="1">
        <v>6.09</v>
      </c>
      <c r="AX367" s="1">
        <v>6.9</v>
      </c>
      <c r="AY367" s="1">
        <v>6.34</v>
      </c>
      <c r="AZ367" s="1">
        <v>7.26</v>
      </c>
      <c r="BA367" s="1">
        <v>6.63</v>
      </c>
      <c r="BB367" s="1">
        <v>6.48</v>
      </c>
      <c r="BC367" s="1">
        <v>8.52</v>
      </c>
      <c r="BD367" s="1">
        <v>6.57</v>
      </c>
      <c r="BE367" s="1">
        <v>7.3</v>
      </c>
      <c r="BF367" s="1">
        <v>5.48</v>
      </c>
      <c r="BG367" s="1">
        <v>7.73</v>
      </c>
      <c r="BH367" s="1">
        <v>6.01</v>
      </c>
      <c r="BI367" s="1">
        <v>6.4</v>
      </c>
      <c r="BJ367" s="1">
        <v>6.95</v>
      </c>
      <c r="BK367" s="1">
        <v>7.46</v>
      </c>
      <c r="BL367" s="1">
        <v>5.8</v>
      </c>
      <c r="BM367" s="1">
        <v>8.85</v>
      </c>
      <c r="BN367" s="1">
        <v>4.4000000000000004</v>
      </c>
      <c r="BO367" s="6">
        <v>6.82</v>
      </c>
      <c r="BP367" s="6">
        <v>6.4</v>
      </c>
      <c r="BQ367" s="6">
        <v>6.53</v>
      </c>
      <c r="BR367" s="6">
        <v>7.62</v>
      </c>
      <c r="BS367" s="11">
        <v>6.2</v>
      </c>
      <c r="BT367" s="6">
        <v>7.4</v>
      </c>
      <c r="BU367" s="6">
        <v>7.28</v>
      </c>
      <c r="BV367" s="6">
        <v>7.04</v>
      </c>
      <c r="BW367" s="6">
        <v>7.84</v>
      </c>
      <c r="BX367" s="6">
        <v>7.26</v>
      </c>
      <c r="BY367" s="6">
        <v>8.58</v>
      </c>
      <c r="BZ367" s="6">
        <v>4.3</v>
      </c>
      <c r="CA367" s="6">
        <v>7.74</v>
      </c>
      <c r="CB367" s="6">
        <v>9.6</v>
      </c>
      <c r="CC367" s="6">
        <v>5.8</v>
      </c>
      <c r="CD367" s="6">
        <v>6.96</v>
      </c>
      <c r="CE367" s="6">
        <v>6.66</v>
      </c>
      <c r="CF367" s="6">
        <v>6.24</v>
      </c>
      <c r="CG367" s="6">
        <v>8.2200000000000006</v>
      </c>
      <c r="CH367" s="11">
        <v>5.4450000000000003</v>
      </c>
      <c r="CI367" s="6">
        <v>5.6</v>
      </c>
      <c r="CJ367" s="11">
        <v>7.38</v>
      </c>
      <c r="CK367" s="6">
        <v>8.3000000000000007</v>
      </c>
      <c r="CL367" s="6">
        <v>7.14</v>
      </c>
      <c r="CM367" s="6">
        <v>7.06</v>
      </c>
      <c r="CN367" s="6">
        <v>5.45</v>
      </c>
      <c r="CO367" s="10">
        <v>5.94</v>
      </c>
      <c r="CP367" s="10"/>
    </row>
  </sheetData>
  <dataValidations count="1">
    <dataValidation type="decimal" allowBlank="1" showInputMessage="1" showErrorMessage="1" prompt="Ingrese año de Evaluación - Debe estar comprendido entre 1943-2006" sqref="B3" xr:uid="{00000000-0002-0000-0200-000000000000}">
      <formula1>D1</formula1>
      <formula2>CL1</formula2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367"/>
  <sheetViews>
    <sheetView tabSelected="1" workbookViewId="0">
      <selection activeCell="G23" sqref="G23"/>
    </sheetView>
  </sheetViews>
  <sheetFormatPr baseColWidth="10" defaultColWidth="14.42578125" defaultRowHeight="15" customHeight="1" x14ac:dyDescent="0.25"/>
  <cols>
    <col min="1" max="86" width="10.7109375" customWidth="1"/>
  </cols>
  <sheetData>
    <row r="1" spans="1:86" ht="15.75" x14ac:dyDescent="0.25">
      <c r="A1" s="1" t="s">
        <v>0</v>
      </c>
      <c r="B1" s="2" t="s">
        <v>1</v>
      </c>
      <c r="C1" s="1" t="s">
        <v>2</v>
      </c>
      <c r="D1" s="1">
        <v>1943</v>
      </c>
      <c r="E1" s="1">
        <v>1944</v>
      </c>
      <c r="F1" s="1">
        <v>1945</v>
      </c>
      <c r="G1" s="1">
        <v>1946</v>
      </c>
      <c r="H1" s="1">
        <v>1947</v>
      </c>
      <c r="I1" s="1">
        <v>1948</v>
      </c>
      <c r="J1" s="1">
        <v>1949</v>
      </c>
      <c r="K1" s="1">
        <v>1950</v>
      </c>
      <c r="L1" s="1">
        <v>1951</v>
      </c>
      <c r="M1" s="1">
        <v>1952</v>
      </c>
      <c r="N1" s="1">
        <v>1953</v>
      </c>
      <c r="O1" s="1">
        <v>1954</v>
      </c>
      <c r="P1" s="1">
        <v>1955</v>
      </c>
      <c r="Q1" s="1">
        <v>1956</v>
      </c>
      <c r="R1" s="1">
        <v>1957</v>
      </c>
      <c r="S1" s="1">
        <v>1958</v>
      </c>
      <c r="T1" s="1">
        <v>1959</v>
      </c>
      <c r="U1" s="1">
        <v>1960</v>
      </c>
      <c r="V1" s="1">
        <v>1961</v>
      </c>
      <c r="W1" s="1">
        <v>1962</v>
      </c>
      <c r="X1" s="1">
        <v>1963</v>
      </c>
      <c r="Y1" s="1">
        <v>1964</v>
      </c>
      <c r="Z1" s="1">
        <v>1965</v>
      </c>
      <c r="AA1" s="1">
        <v>1966</v>
      </c>
      <c r="AB1" s="1">
        <v>1967</v>
      </c>
      <c r="AC1" s="1">
        <v>1968</v>
      </c>
      <c r="AD1" s="1">
        <v>1969</v>
      </c>
      <c r="AE1" s="1">
        <v>1970</v>
      </c>
      <c r="AF1" s="1">
        <v>1971</v>
      </c>
      <c r="AG1" s="1">
        <v>1972</v>
      </c>
      <c r="AH1" s="1">
        <v>1973</v>
      </c>
      <c r="AI1" s="1">
        <v>1974</v>
      </c>
      <c r="AJ1" s="1">
        <v>1975</v>
      </c>
      <c r="AK1" s="1">
        <v>1976</v>
      </c>
      <c r="AL1" s="1">
        <v>1977</v>
      </c>
      <c r="AM1" s="1">
        <v>1978</v>
      </c>
      <c r="AN1" s="1">
        <v>1979</v>
      </c>
      <c r="AO1" s="1">
        <v>1980</v>
      </c>
      <c r="AP1" s="1">
        <v>1981</v>
      </c>
      <c r="AQ1" s="1">
        <v>1982</v>
      </c>
      <c r="AR1" s="1">
        <v>1983</v>
      </c>
      <c r="AS1" s="1">
        <v>1984</v>
      </c>
      <c r="AT1" s="1">
        <v>1985</v>
      </c>
      <c r="AU1" s="1">
        <v>1986</v>
      </c>
      <c r="AV1" s="1">
        <v>1987</v>
      </c>
      <c r="AW1" s="1">
        <v>1988</v>
      </c>
      <c r="AX1" s="1">
        <v>1989</v>
      </c>
      <c r="AY1" s="1">
        <v>1990</v>
      </c>
      <c r="AZ1" s="1">
        <v>1991</v>
      </c>
      <c r="BA1" s="1">
        <v>1992</v>
      </c>
      <c r="BB1" s="1">
        <v>1993</v>
      </c>
      <c r="BC1" s="1">
        <v>1994</v>
      </c>
      <c r="BD1" s="1">
        <v>1995</v>
      </c>
      <c r="BE1" s="1">
        <v>1996</v>
      </c>
      <c r="BF1" s="1">
        <v>1997</v>
      </c>
      <c r="BG1" s="1">
        <v>1998</v>
      </c>
      <c r="BH1" s="1">
        <v>1999</v>
      </c>
      <c r="BI1" s="1">
        <v>2000</v>
      </c>
      <c r="BJ1" s="1">
        <v>2001</v>
      </c>
      <c r="BK1" s="1">
        <v>2002</v>
      </c>
      <c r="BL1" s="1">
        <v>2003</v>
      </c>
      <c r="BM1" s="1">
        <v>2004</v>
      </c>
      <c r="BN1" s="1">
        <v>2005</v>
      </c>
      <c r="BO1" s="1">
        <v>2006</v>
      </c>
      <c r="BP1" s="1">
        <v>2007</v>
      </c>
      <c r="BQ1" s="1">
        <v>2008</v>
      </c>
      <c r="BR1" s="1">
        <v>2009</v>
      </c>
      <c r="BS1" s="1">
        <v>2010</v>
      </c>
      <c r="BT1" s="1">
        <v>2011</v>
      </c>
      <c r="BU1" s="1">
        <v>2012</v>
      </c>
      <c r="BV1" s="1">
        <v>2013</v>
      </c>
      <c r="BW1" s="1">
        <v>2014</v>
      </c>
      <c r="BX1" s="1">
        <v>2015</v>
      </c>
      <c r="BY1" s="1">
        <v>2016</v>
      </c>
      <c r="BZ1" s="1">
        <v>2017</v>
      </c>
      <c r="CA1" s="1">
        <v>2018</v>
      </c>
      <c r="CB1" s="1">
        <v>2019</v>
      </c>
      <c r="CC1" s="1">
        <v>2020</v>
      </c>
      <c r="CD1" s="1">
        <v>2021</v>
      </c>
      <c r="CE1" s="1">
        <v>2022</v>
      </c>
      <c r="CF1" s="1">
        <v>2023</v>
      </c>
      <c r="CG1" s="1">
        <v>2024</v>
      </c>
      <c r="CH1" s="1">
        <v>2025</v>
      </c>
    </row>
    <row r="2" spans="1:86" ht="15.75" x14ac:dyDescent="0.25">
      <c r="A2" s="4">
        <v>1</v>
      </c>
      <c r="B2" s="2" t="s">
        <v>3</v>
      </c>
      <c r="C2" s="4">
        <v>1</v>
      </c>
      <c r="D2" s="6">
        <v>3.88</v>
      </c>
      <c r="E2" s="6">
        <v>2.73</v>
      </c>
      <c r="F2" s="6">
        <v>3.83</v>
      </c>
      <c r="G2" s="6">
        <v>3.03</v>
      </c>
      <c r="H2" s="6">
        <v>2.88</v>
      </c>
      <c r="I2" s="6">
        <v>1.93</v>
      </c>
      <c r="J2" s="6">
        <v>2.23</v>
      </c>
      <c r="K2" s="6">
        <v>3.63</v>
      </c>
      <c r="L2" s="6">
        <v>3.73</v>
      </c>
      <c r="M2" s="6">
        <v>3.13</v>
      </c>
      <c r="N2" s="6">
        <v>3.48</v>
      </c>
      <c r="O2" s="6">
        <v>3.13</v>
      </c>
      <c r="P2" s="6">
        <v>4.03</v>
      </c>
      <c r="Q2" s="6">
        <v>3.33</v>
      </c>
      <c r="R2" s="6">
        <v>3.78</v>
      </c>
      <c r="S2" s="6">
        <v>3.33</v>
      </c>
      <c r="T2" s="6">
        <v>2.0299999999999998</v>
      </c>
      <c r="U2" s="6">
        <v>3.88</v>
      </c>
      <c r="V2" s="6">
        <v>3.68</v>
      </c>
      <c r="W2" s="6">
        <v>3.83</v>
      </c>
      <c r="X2" s="6">
        <v>2.48</v>
      </c>
      <c r="Y2" s="6">
        <v>2.69</v>
      </c>
      <c r="Z2" s="6">
        <v>2.78</v>
      </c>
      <c r="AA2" s="6">
        <v>2.54</v>
      </c>
      <c r="AB2" s="6">
        <v>4.97</v>
      </c>
      <c r="AC2" s="6">
        <v>2.4900000000000002</v>
      </c>
      <c r="AD2" s="6">
        <v>2.4300000000000002</v>
      </c>
      <c r="AE2" s="6">
        <v>3.47</v>
      </c>
      <c r="AF2" s="6">
        <v>3.89</v>
      </c>
      <c r="AG2" s="6">
        <v>4.1399999999999997</v>
      </c>
      <c r="AH2" s="6">
        <v>2.95</v>
      </c>
      <c r="AI2" s="6">
        <v>3.83</v>
      </c>
      <c r="AJ2" s="6">
        <v>2.31</v>
      </c>
      <c r="AK2" s="6">
        <v>5.05</v>
      </c>
      <c r="AL2" s="6">
        <v>2.31</v>
      </c>
      <c r="AM2" s="6">
        <v>2.21</v>
      </c>
      <c r="AN2" s="6">
        <v>3.41</v>
      </c>
      <c r="AO2" s="6">
        <v>4.1500000000000004</v>
      </c>
      <c r="AP2" s="6">
        <v>2.76</v>
      </c>
      <c r="AQ2" s="6">
        <v>3</v>
      </c>
      <c r="AR2" s="6">
        <v>2.46</v>
      </c>
      <c r="AS2" s="6">
        <v>3.05</v>
      </c>
      <c r="AT2" s="6">
        <v>2.93</v>
      </c>
      <c r="AU2" s="6">
        <v>2.99</v>
      </c>
      <c r="AV2" s="6">
        <v>4.53</v>
      </c>
      <c r="AW2" s="6">
        <v>3.15</v>
      </c>
      <c r="AX2" s="6">
        <v>3.57</v>
      </c>
      <c r="AY2" s="6">
        <v>2.86</v>
      </c>
      <c r="AZ2" s="6">
        <v>4.3600000000000003</v>
      </c>
      <c r="BA2" s="6">
        <v>3.3</v>
      </c>
      <c r="BB2" s="6">
        <v>3</v>
      </c>
      <c r="BC2" s="6">
        <v>3.53</v>
      </c>
      <c r="BD2" s="6">
        <v>3.8437600000000001</v>
      </c>
      <c r="BE2" s="6">
        <v>2.81</v>
      </c>
      <c r="BF2" s="6">
        <v>4.75</v>
      </c>
      <c r="BG2" s="6">
        <v>2.0699999999999998</v>
      </c>
      <c r="BH2" s="6">
        <v>4.17</v>
      </c>
      <c r="BI2" s="7">
        <v>3.17</v>
      </c>
      <c r="BJ2" s="7">
        <v>3.22</v>
      </c>
      <c r="BK2" s="7">
        <v>4.13</v>
      </c>
      <c r="BL2" s="7">
        <v>3.07</v>
      </c>
      <c r="BM2" s="7">
        <v>3.7</v>
      </c>
      <c r="BN2" s="7">
        <v>3.74</v>
      </c>
      <c r="BO2" s="7">
        <v>3.54</v>
      </c>
      <c r="BP2" s="7">
        <v>4.13</v>
      </c>
      <c r="BQ2" s="7">
        <v>4.0599999999999996</v>
      </c>
      <c r="BR2" s="7">
        <v>4.93</v>
      </c>
      <c r="BS2" s="7">
        <v>2.1</v>
      </c>
      <c r="BT2" s="7">
        <v>4.07</v>
      </c>
      <c r="BU2" s="7">
        <v>5.44</v>
      </c>
      <c r="BV2" s="7">
        <v>2.98</v>
      </c>
      <c r="BW2" s="7">
        <v>3.5100000000000002</v>
      </c>
      <c r="BX2" s="7">
        <v>3.1700000000000004</v>
      </c>
      <c r="BY2" s="7">
        <v>2.96</v>
      </c>
      <c r="BZ2" s="7">
        <v>4.2299999999999995</v>
      </c>
      <c r="CA2" s="7">
        <v>2.4500000000000002</v>
      </c>
      <c r="CB2" s="7">
        <v>2.27</v>
      </c>
      <c r="CC2" s="7">
        <v>3.73</v>
      </c>
      <c r="CD2" s="7">
        <v>4.5</v>
      </c>
      <c r="CE2" s="7">
        <v>3.8400000000000003</v>
      </c>
      <c r="CF2" s="7">
        <v>3.04</v>
      </c>
      <c r="CG2" s="7">
        <v>2.16</v>
      </c>
      <c r="CH2" s="7">
        <v>2.5300000000000002</v>
      </c>
    </row>
    <row r="3" spans="1:86" ht="15.75" x14ac:dyDescent="0.25">
      <c r="A3" s="4">
        <v>2</v>
      </c>
      <c r="B3" s="16"/>
      <c r="C3" s="4">
        <v>2</v>
      </c>
      <c r="D3" s="6">
        <v>3.73</v>
      </c>
      <c r="E3" s="6">
        <v>2.63</v>
      </c>
      <c r="F3" s="6">
        <v>3.68</v>
      </c>
      <c r="G3" s="6">
        <v>2.88</v>
      </c>
      <c r="H3" s="6">
        <v>2.83</v>
      </c>
      <c r="I3" s="6">
        <v>1.83</v>
      </c>
      <c r="J3" s="6">
        <v>2.1800000000000002</v>
      </c>
      <c r="K3" s="6">
        <v>3.63</v>
      </c>
      <c r="L3" s="6">
        <v>3.63</v>
      </c>
      <c r="M3" s="6">
        <v>3.08</v>
      </c>
      <c r="N3" s="6">
        <v>3.53</v>
      </c>
      <c r="O3" s="6">
        <v>2.98</v>
      </c>
      <c r="P3" s="6">
        <v>4.03</v>
      </c>
      <c r="Q3" s="6">
        <v>3.23</v>
      </c>
      <c r="R3" s="6">
        <v>3.73</v>
      </c>
      <c r="S3" s="6">
        <v>3.28</v>
      </c>
      <c r="T3" s="6">
        <v>1.92</v>
      </c>
      <c r="U3" s="6">
        <v>3.83</v>
      </c>
      <c r="V3" s="6">
        <v>3.53</v>
      </c>
      <c r="W3" s="6">
        <v>3.68</v>
      </c>
      <c r="X3" s="6">
        <v>2.33</v>
      </c>
      <c r="Y3" s="6">
        <v>2.61</v>
      </c>
      <c r="Z3" s="6">
        <v>2.81</v>
      </c>
      <c r="AA3" s="6">
        <v>2.48</v>
      </c>
      <c r="AB3" s="6">
        <v>5.01</v>
      </c>
      <c r="AC3" s="6">
        <v>2.4300000000000002</v>
      </c>
      <c r="AD3" s="6">
        <v>2.4300000000000002</v>
      </c>
      <c r="AE3" s="6">
        <v>3.34</v>
      </c>
      <c r="AF3" s="6">
        <v>3.8</v>
      </c>
      <c r="AG3" s="6">
        <v>4.21</v>
      </c>
      <c r="AH3" s="6">
        <v>2.95</v>
      </c>
      <c r="AI3" s="6">
        <v>3.93</v>
      </c>
      <c r="AJ3" s="6">
        <v>2.2000000000000002</v>
      </c>
      <c r="AK3" s="6">
        <v>4.8099999999999996</v>
      </c>
      <c r="AL3" s="6">
        <v>2.33</v>
      </c>
      <c r="AM3" s="6">
        <v>2.13</v>
      </c>
      <c r="AN3" s="6">
        <v>3.31</v>
      </c>
      <c r="AO3" s="6">
        <v>4.2300000000000004</v>
      </c>
      <c r="AP3" s="6">
        <v>2.5499999999999998</v>
      </c>
      <c r="AQ3" s="6">
        <v>3</v>
      </c>
      <c r="AR3" s="6">
        <v>2.36</v>
      </c>
      <c r="AS3" s="6">
        <v>2.98</v>
      </c>
      <c r="AT3" s="6">
        <v>2.91</v>
      </c>
      <c r="AU3" s="6">
        <v>2.83</v>
      </c>
      <c r="AV3" s="6">
        <v>4.33</v>
      </c>
      <c r="AW3" s="6">
        <v>3.03</v>
      </c>
      <c r="AX3" s="6">
        <v>3.38</v>
      </c>
      <c r="AY3" s="6">
        <v>2.62</v>
      </c>
      <c r="AZ3" s="6">
        <v>4.18</v>
      </c>
      <c r="BA3" s="6">
        <v>3.24</v>
      </c>
      <c r="BB3" s="6">
        <v>2.94</v>
      </c>
      <c r="BC3" s="6">
        <v>3.43</v>
      </c>
      <c r="BD3" s="6">
        <v>3.69136</v>
      </c>
      <c r="BE3" s="6">
        <v>2.69</v>
      </c>
      <c r="BF3" s="6">
        <v>4.63</v>
      </c>
      <c r="BG3" s="6">
        <v>1.98</v>
      </c>
      <c r="BH3" s="6">
        <v>4.08</v>
      </c>
      <c r="BI3" s="7">
        <v>3.03</v>
      </c>
      <c r="BJ3" s="7">
        <v>3.13</v>
      </c>
      <c r="BK3" s="7">
        <v>4.1500000000000004</v>
      </c>
      <c r="BL3" s="7">
        <v>3.06</v>
      </c>
      <c r="BM3" s="7">
        <v>3.69</v>
      </c>
      <c r="BN3" s="7">
        <v>3.52</v>
      </c>
      <c r="BO3" s="7">
        <v>3.4</v>
      </c>
      <c r="BP3" s="7">
        <v>3.96</v>
      </c>
      <c r="BQ3" s="7">
        <v>3.99</v>
      </c>
      <c r="BR3" s="7">
        <v>4.7300000000000004</v>
      </c>
      <c r="BS3" s="7">
        <v>2.08</v>
      </c>
      <c r="BT3" s="7">
        <v>4.0599999999999996</v>
      </c>
      <c r="BU3" s="7">
        <v>5.04</v>
      </c>
      <c r="BV3" s="7">
        <v>2.8600000000000003</v>
      </c>
      <c r="BW3" s="7">
        <v>3.45</v>
      </c>
      <c r="BX3" s="7">
        <v>3.0900000000000003</v>
      </c>
      <c r="BY3" s="7">
        <v>2.8800000000000003</v>
      </c>
      <c r="BZ3" s="7">
        <v>4.18</v>
      </c>
      <c r="CA3" s="7">
        <v>2.41</v>
      </c>
      <c r="CB3" s="7">
        <v>2.16</v>
      </c>
      <c r="CC3" s="7">
        <v>3.6200000000000006</v>
      </c>
      <c r="CD3" s="7">
        <v>4.4499999999999993</v>
      </c>
      <c r="CE3" s="7">
        <v>3.79</v>
      </c>
      <c r="CF3" s="7">
        <v>2.96</v>
      </c>
      <c r="CG3" s="7">
        <v>2.12</v>
      </c>
      <c r="CH3" s="7">
        <v>2.5200000000000005</v>
      </c>
    </row>
    <row r="4" spans="1:86" ht="15.75" x14ac:dyDescent="0.25">
      <c r="A4" s="4">
        <v>3</v>
      </c>
      <c r="B4" s="17"/>
      <c r="C4" s="4">
        <v>3</v>
      </c>
      <c r="D4" s="6">
        <v>3.68</v>
      </c>
      <c r="E4" s="6">
        <v>2.48</v>
      </c>
      <c r="F4" s="6">
        <v>3.43</v>
      </c>
      <c r="G4" s="6">
        <v>2.78</v>
      </c>
      <c r="H4" s="6">
        <v>2.73</v>
      </c>
      <c r="I4" s="6">
        <v>1.73</v>
      </c>
      <c r="J4" s="6">
        <v>2.13</v>
      </c>
      <c r="K4" s="6">
        <v>3.63</v>
      </c>
      <c r="L4" s="6">
        <v>3.63</v>
      </c>
      <c r="M4" s="6">
        <v>2.93</v>
      </c>
      <c r="N4" s="6">
        <v>3.38</v>
      </c>
      <c r="O4" s="6">
        <v>2.93</v>
      </c>
      <c r="P4" s="6">
        <v>4.01</v>
      </c>
      <c r="Q4" s="6">
        <v>3.11</v>
      </c>
      <c r="R4" s="6">
        <v>3.53</v>
      </c>
      <c r="S4" s="6">
        <v>3.18</v>
      </c>
      <c r="T4" s="6">
        <v>1.8</v>
      </c>
      <c r="U4" s="6">
        <v>3.83</v>
      </c>
      <c r="V4" s="6">
        <v>3.43</v>
      </c>
      <c r="W4" s="6">
        <v>3.53</v>
      </c>
      <c r="X4" s="6">
        <v>2.21</v>
      </c>
      <c r="Y4" s="6">
        <v>2.56</v>
      </c>
      <c r="Z4" s="6">
        <v>2.83</v>
      </c>
      <c r="AA4" s="6">
        <v>2.41</v>
      </c>
      <c r="AB4" s="6">
        <v>5</v>
      </c>
      <c r="AC4" s="6">
        <v>2.36</v>
      </c>
      <c r="AD4" s="6">
        <v>2.38</v>
      </c>
      <c r="AE4" s="6">
        <v>3.22</v>
      </c>
      <c r="AF4" s="6">
        <v>3.69</v>
      </c>
      <c r="AG4" s="6">
        <v>4.29</v>
      </c>
      <c r="AH4" s="6">
        <v>2.77</v>
      </c>
      <c r="AI4" s="6">
        <v>3.75</v>
      </c>
      <c r="AJ4" s="6">
        <v>2.13</v>
      </c>
      <c r="AK4" s="6">
        <v>4.59</v>
      </c>
      <c r="AL4" s="6">
        <v>2.33</v>
      </c>
      <c r="AM4" s="6">
        <v>2.12</v>
      </c>
      <c r="AN4" s="6">
        <v>3.14</v>
      </c>
      <c r="AO4" s="6">
        <v>4.22</v>
      </c>
      <c r="AP4" s="6">
        <v>2.5</v>
      </c>
      <c r="AQ4" s="6">
        <v>2.93</v>
      </c>
      <c r="AR4" s="6">
        <v>2.33</v>
      </c>
      <c r="AS4" s="6">
        <v>2.92</v>
      </c>
      <c r="AT4" s="6">
        <v>2.87</v>
      </c>
      <c r="AU4" s="6">
        <v>2.69</v>
      </c>
      <c r="AV4" s="6">
        <v>4.17</v>
      </c>
      <c r="AW4" s="6">
        <v>2.95</v>
      </c>
      <c r="AX4" s="6">
        <v>3.33</v>
      </c>
      <c r="AY4" s="6">
        <v>2.5299999999999998</v>
      </c>
      <c r="AZ4" s="6">
        <v>4.18</v>
      </c>
      <c r="BA4" s="6">
        <v>3.15</v>
      </c>
      <c r="BB4" s="6">
        <v>2.74</v>
      </c>
      <c r="BC4" s="6">
        <v>3.26</v>
      </c>
      <c r="BD4" s="6">
        <v>3.6608800000000001</v>
      </c>
      <c r="BE4" s="6">
        <v>2.65</v>
      </c>
      <c r="BF4" s="6">
        <v>4.4800000000000004</v>
      </c>
      <c r="BG4" s="6">
        <v>1.92</v>
      </c>
      <c r="BH4" s="6">
        <v>3.96</v>
      </c>
      <c r="BI4" s="7">
        <v>2.94</v>
      </c>
      <c r="BJ4" s="7">
        <v>3.1</v>
      </c>
      <c r="BK4" s="7">
        <v>4.18</v>
      </c>
      <c r="BL4" s="7">
        <v>3.07</v>
      </c>
      <c r="BM4" s="7">
        <v>3.66</v>
      </c>
      <c r="BN4" s="7">
        <v>3.48</v>
      </c>
      <c r="BO4" s="7">
        <v>3.42</v>
      </c>
      <c r="BP4" s="7">
        <v>3.88</v>
      </c>
      <c r="BQ4" s="7">
        <v>3.96</v>
      </c>
      <c r="BR4" s="7">
        <v>4.67</v>
      </c>
      <c r="BS4" s="7">
        <v>2.08</v>
      </c>
      <c r="BT4" s="7">
        <v>3.93</v>
      </c>
      <c r="BU4" s="7">
        <v>5.0999999999999996</v>
      </c>
      <c r="BV4" s="7">
        <v>2.87</v>
      </c>
      <c r="BW4" s="7">
        <v>3.4000000000000004</v>
      </c>
      <c r="BX4" s="7">
        <v>3.0700000000000003</v>
      </c>
      <c r="BY4" s="7">
        <v>2.79</v>
      </c>
      <c r="BZ4" s="7">
        <v>4.13</v>
      </c>
      <c r="CA4" s="7">
        <v>2.41</v>
      </c>
      <c r="CB4" s="7">
        <v>2.2400000000000002</v>
      </c>
      <c r="CC4" s="7">
        <v>3.57</v>
      </c>
      <c r="CD4" s="7">
        <v>4.4000000000000004</v>
      </c>
      <c r="CE4" s="7">
        <v>3.6500000000000004</v>
      </c>
      <c r="CF4" s="7">
        <v>2.78</v>
      </c>
      <c r="CG4" s="7">
        <v>2.11</v>
      </c>
      <c r="CH4" s="7">
        <v>2.5</v>
      </c>
    </row>
    <row r="5" spans="1:86" ht="15.75" x14ac:dyDescent="0.25">
      <c r="A5" s="4">
        <v>4</v>
      </c>
      <c r="B5" s="2"/>
      <c r="C5" s="4">
        <v>4</v>
      </c>
      <c r="D5" s="6">
        <v>3.58</v>
      </c>
      <c r="E5" s="6">
        <v>2.38</v>
      </c>
      <c r="F5" s="6">
        <v>3.23</v>
      </c>
      <c r="G5" s="6">
        <v>2.73</v>
      </c>
      <c r="H5" s="6">
        <v>2.63</v>
      </c>
      <c r="I5" s="6">
        <v>1.63</v>
      </c>
      <c r="J5" s="6">
        <v>2.1</v>
      </c>
      <c r="K5" s="6">
        <v>3.63</v>
      </c>
      <c r="L5" s="6">
        <v>3.53</v>
      </c>
      <c r="M5" s="6">
        <v>2.83</v>
      </c>
      <c r="N5" s="6">
        <v>3.23</v>
      </c>
      <c r="O5" s="6">
        <v>2.88</v>
      </c>
      <c r="P5" s="6">
        <v>3.97</v>
      </c>
      <c r="Q5" s="6">
        <v>3.03</v>
      </c>
      <c r="R5" s="6">
        <v>3.51</v>
      </c>
      <c r="S5" s="6">
        <v>3.03</v>
      </c>
      <c r="T5" s="6">
        <v>1.68</v>
      </c>
      <c r="U5" s="6">
        <v>3.73</v>
      </c>
      <c r="V5" s="6">
        <v>3.33</v>
      </c>
      <c r="W5" s="6">
        <v>3.41</v>
      </c>
      <c r="X5" s="6">
        <v>2.08</v>
      </c>
      <c r="Y5" s="6">
        <v>2.4900000000000002</v>
      </c>
      <c r="Z5" s="6">
        <v>2.85</v>
      </c>
      <c r="AA5" s="6">
        <v>2.36</v>
      </c>
      <c r="AB5" s="6">
        <v>4.9400000000000004</v>
      </c>
      <c r="AC5" s="6">
        <v>2.27</v>
      </c>
      <c r="AD5" s="6">
        <v>2.41</v>
      </c>
      <c r="AE5" s="6">
        <v>3.15</v>
      </c>
      <c r="AF5" s="6">
        <v>3.6</v>
      </c>
      <c r="AG5" s="6">
        <v>4.29</v>
      </c>
      <c r="AH5" s="6">
        <v>2.6</v>
      </c>
      <c r="AI5" s="6">
        <v>3.49</v>
      </c>
      <c r="AJ5" s="6">
        <v>2.0499999999999998</v>
      </c>
      <c r="AK5" s="6">
        <v>4.42</v>
      </c>
      <c r="AL5" s="6">
        <v>2.31</v>
      </c>
      <c r="AM5" s="6">
        <v>2.1</v>
      </c>
      <c r="AN5" s="6">
        <v>3.02</v>
      </c>
      <c r="AO5" s="6">
        <v>4.1100000000000003</v>
      </c>
      <c r="AP5" s="6">
        <v>2.44</v>
      </c>
      <c r="AQ5" s="6">
        <v>2.8</v>
      </c>
      <c r="AR5" s="6">
        <v>2.37</v>
      </c>
      <c r="AS5" s="6">
        <v>2.92</v>
      </c>
      <c r="AT5" s="6">
        <v>2.88</v>
      </c>
      <c r="AU5" s="6">
        <v>2.59</v>
      </c>
      <c r="AV5" s="6">
        <v>4.07</v>
      </c>
      <c r="AW5" s="6">
        <v>2.94</v>
      </c>
      <c r="AX5" s="6">
        <v>3.44</v>
      </c>
      <c r="AY5" s="6">
        <v>2.5</v>
      </c>
      <c r="AZ5" s="6">
        <v>4.29</v>
      </c>
      <c r="BA5" s="6">
        <v>3.15</v>
      </c>
      <c r="BB5" s="6">
        <v>2.72</v>
      </c>
      <c r="BC5" s="6">
        <v>3.25</v>
      </c>
      <c r="BD5" s="6">
        <v>3.6303999999999998</v>
      </c>
      <c r="BE5" s="6">
        <v>2.65</v>
      </c>
      <c r="BF5" s="6">
        <v>4.4800000000000004</v>
      </c>
      <c r="BG5" s="6">
        <v>1.89</v>
      </c>
      <c r="BH5" s="6">
        <v>3.93</v>
      </c>
      <c r="BI5" s="7">
        <v>2.94</v>
      </c>
      <c r="BJ5" s="7">
        <v>3.16</v>
      </c>
      <c r="BK5" s="7">
        <v>4.26</v>
      </c>
      <c r="BL5" s="7">
        <v>3.06</v>
      </c>
      <c r="BM5" s="7">
        <v>3.66</v>
      </c>
      <c r="BN5" s="7">
        <v>3.43</v>
      </c>
      <c r="BO5" s="7">
        <v>3.4</v>
      </c>
      <c r="BP5" s="7">
        <v>3.81</v>
      </c>
      <c r="BQ5" s="7">
        <v>3.91</v>
      </c>
      <c r="BR5" s="7">
        <v>4.7699999999999996</v>
      </c>
      <c r="BS5" s="7">
        <v>2.11</v>
      </c>
      <c r="BT5" s="7">
        <v>3.77</v>
      </c>
      <c r="BU5" s="7">
        <v>5.08</v>
      </c>
      <c r="BV5" s="7">
        <v>2.85</v>
      </c>
      <c r="BW5" s="7">
        <v>3.3330000000000002</v>
      </c>
      <c r="BX5" s="7">
        <v>3.0500000000000003</v>
      </c>
      <c r="BY5" s="7">
        <v>2.79</v>
      </c>
      <c r="BZ5" s="7">
        <v>4.24</v>
      </c>
      <c r="CA5" s="7">
        <v>2.5300000000000002</v>
      </c>
      <c r="CB5" s="7">
        <v>2.2200000000000002</v>
      </c>
      <c r="CC5" s="7">
        <v>3.5400000000000005</v>
      </c>
      <c r="CD5" s="7">
        <v>4.3899999999999997</v>
      </c>
      <c r="CE5" s="7">
        <v>3.39</v>
      </c>
      <c r="CF5" s="7">
        <v>2.68</v>
      </c>
      <c r="CG5" s="7">
        <v>2.1</v>
      </c>
      <c r="CH5" s="7">
        <v>2.59</v>
      </c>
    </row>
    <row r="6" spans="1:86" ht="15.75" x14ac:dyDescent="0.25">
      <c r="A6" s="4">
        <v>5</v>
      </c>
      <c r="B6" s="2"/>
      <c r="C6" s="4">
        <v>5</v>
      </c>
      <c r="D6" s="6">
        <v>3.53</v>
      </c>
      <c r="E6" s="6">
        <v>2.2799999999999998</v>
      </c>
      <c r="F6" s="6">
        <v>3.03</v>
      </c>
      <c r="G6" s="6">
        <v>2.63</v>
      </c>
      <c r="H6" s="6">
        <v>2.58</v>
      </c>
      <c r="I6" s="6">
        <v>1.53</v>
      </c>
      <c r="J6" s="6">
        <v>2.0299999999999998</v>
      </c>
      <c r="K6" s="6">
        <v>3.73</v>
      </c>
      <c r="L6" s="6">
        <v>3.33</v>
      </c>
      <c r="M6" s="6">
        <v>2.73</v>
      </c>
      <c r="N6" s="6">
        <v>3.13</v>
      </c>
      <c r="O6" s="6">
        <v>3.03</v>
      </c>
      <c r="P6" s="6">
        <v>3.91</v>
      </c>
      <c r="Q6" s="6">
        <v>2.93</v>
      </c>
      <c r="R6" s="6">
        <v>3.43</v>
      </c>
      <c r="S6" s="6">
        <v>2.93</v>
      </c>
      <c r="T6" s="6">
        <v>1.56</v>
      </c>
      <c r="U6" s="6">
        <v>3.63</v>
      </c>
      <c r="V6" s="6">
        <v>3.23</v>
      </c>
      <c r="W6" s="6">
        <v>3.28</v>
      </c>
      <c r="X6" s="6">
        <v>2.0099999999999998</v>
      </c>
      <c r="Y6" s="6">
        <v>2.36</v>
      </c>
      <c r="Z6" s="6">
        <v>2.83</v>
      </c>
      <c r="AA6" s="6">
        <v>2.33</v>
      </c>
      <c r="AB6" s="6">
        <v>4.8</v>
      </c>
      <c r="AC6" s="6">
        <v>2.16</v>
      </c>
      <c r="AD6" s="6">
        <v>2.59</v>
      </c>
      <c r="AE6" s="6">
        <v>3.37</v>
      </c>
      <c r="AF6" s="6">
        <v>3.38</v>
      </c>
      <c r="AG6" s="6">
        <v>4.4000000000000004</v>
      </c>
      <c r="AH6" s="6">
        <v>2.63</v>
      </c>
      <c r="AI6" s="6">
        <v>3.64</v>
      </c>
      <c r="AJ6" s="6">
        <v>1.99</v>
      </c>
      <c r="AK6" s="6">
        <v>4.05</v>
      </c>
      <c r="AL6" s="6">
        <v>2.29</v>
      </c>
      <c r="AM6" s="6">
        <v>2.0699999999999998</v>
      </c>
      <c r="AN6" s="6">
        <v>2.87</v>
      </c>
      <c r="AO6" s="6">
        <v>3.98</v>
      </c>
      <c r="AP6" s="6">
        <v>2.25</v>
      </c>
      <c r="AQ6" s="6">
        <v>2.66</v>
      </c>
      <c r="AR6" s="6">
        <v>2.2599999999999998</v>
      </c>
      <c r="AS6" s="6">
        <v>2.91</v>
      </c>
      <c r="AT6" s="6">
        <v>2.9</v>
      </c>
      <c r="AU6" s="6">
        <v>2.5099999999999998</v>
      </c>
      <c r="AV6" s="6">
        <v>3.92</v>
      </c>
      <c r="AW6" s="6">
        <v>2.87</v>
      </c>
      <c r="AX6" s="6">
        <v>3.6</v>
      </c>
      <c r="AY6" s="6">
        <v>2.4300000000000002</v>
      </c>
      <c r="AZ6" s="6">
        <v>4.3</v>
      </c>
      <c r="BA6" s="6">
        <v>3.12</v>
      </c>
      <c r="BB6" s="6">
        <v>2.67</v>
      </c>
      <c r="BC6" s="6">
        <v>3.14</v>
      </c>
      <c r="BD6" s="6">
        <v>3.5694400000000002</v>
      </c>
      <c r="BE6" s="6">
        <v>2.64</v>
      </c>
      <c r="BF6" s="6">
        <v>4.42</v>
      </c>
      <c r="BG6" s="6">
        <v>1.86</v>
      </c>
      <c r="BH6" s="6">
        <v>3.96</v>
      </c>
      <c r="BI6" s="7">
        <v>2.9</v>
      </c>
      <c r="BJ6" s="7">
        <v>3.18</v>
      </c>
      <c r="BK6" s="7">
        <v>4.28</v>
      </c>
      <c r="BL6" s="7">
        <v>2.97</v>
      </c>
      <c r="BM6" s="7">
        <v>3.51</v>
      </c>
      <c r="BN6" s="7">
        <v>3.33</v>
      </c>
      <c r="BO6" s="7">
        <v>3.34</v>
      </c>
      <c r="BP6" s="7">
        <v>3.71</v>
      </c>
      <c r="BQ6" s="7">
        <v>3.89</v>
      </c>
      <c r="BR6" s="7">
        <v>4.6500000000000004</v>
      </c>
      <c r="BS6" s="7">
        <v>2.16</v>
      </c>
      <c r="BT6" s="7">
        <v>3.78</v>
      </c>
      <c r="BU6" s="7">
        <v>5.05</v>
      </c>
      <c r="BV6" s="7">
        <v>2.8800000000000003</v>
      </c>
      <c r="BW6" s="7">
        <v>3.21</v>
      </c>
      <c r="BX6" s="7">
        <v>2.97</v>
      </c>
      <c r="BY6" s="7">
        <v>2.73</v>
      </c>
      <c r="BZ6" s="7">
        <v>4.26</v>
      </c>
      <c r="CA6" s="7">
        <v>2.5300000000000002</v>
      </c>
      <c r="CB6" s="7">
        <v>2.2400000000000002</v>
      </c>
      <c r="CC6" s="7">
        <v>3.4600000000000004</v>
      </c>
      <c r="CD6" s="7">
        <v>4.38</v>
      </c>
      <c r="CE6" s="7">
        <v>3.21</v>
      </c>
      <c r="CF6" s="7">
        <v>2.72</v>
      </c>
      <c r="CG6" s="7">
        <v>2.08</v>
      </c>
      <c r="CH6" s="7">
        <v>2.6900000000000004</v>
      </c>
    </row>
    <row r="7" spans="1:86" ht="15.75" x14ac:dyDescent="0.25">
      <c r="A7" s="4">
        <v>6</v>
      </c>
      <c r="B7" s="2"/>
      <c r="C7" s="4">
        <v>6</v>
      </c>
      <c r="D7" s="6">
        <v>3.53</v>
      </c>
      <c r="E7" s="6">
        <v>2.23</v>
      </c>
      <c r="F7" s="6">
        <v>2.88</v>
      </c>
      <c r="G7" s="6">
        <v>2.5299999999999998</v>
      </c>
      <c r="H7" s="6">
        <v>2.5299999999999998</v>
      </c>
      <c r="I7" s="6">
        <v>1.43</v>
      </c>
      <c r="J7" s="6">
        <v>1.93</v>
      </c>
      <c r="K7" s="6">
        <v>3.93</v>
      </c>
      <c r="L7" s="6">
        <v>3.28</v>
      </c>
      <c r="M7" s="6">
        <v>2.73</v>
      </c>
      <c r="N7" s="6">
        <v>3.03</v>
      </c>
      <c r="O7" s="6">
        <v>3.13</v>
      </c>
      <c r="P7" s="6">
        <v>3.83</v>
      </c>
      <c r="Q7" s="6">
        <v>2.88</v>
      </c>
      <c r="R7" s="6">
        <v>3.38</v>
      </c>
      <c r="S7" s="6">
        <v>2.83</v>
      </c>
      <c r="T7" s="6">
        <v>1.51</v>
      </c>
      <c r="U7" s="6">
        <v>3.53</v>
      </c>
      <c r="V7" s="6">
        <v>3.08</v>
      </c>
      <c r="W7" s="6">
        <v>3.13</v>
      </c>
      <c r="X7" s="6">
        <v>1.91</v>
      </c>
      <c r="Y7" s="6">
        <v>2.31</v>
      </c>
      <c r="Z7" s="6">
        <v>2.77</v>
      </c>
      <c r="AA7" s="6">
        <v>2.35</v>
      </c>
      <c r="AB7" s="6">
        <v>4.62</v>
      </c>
      <c r="AC7" s="6">
        <v>2.04</v>
      </c>
      <c r="AD7" s="6">
        <v>2.52</v>
      </c>
      <c r="AE7" s="6">
        <v>3.51</v>
      </c>
      <c r="AF7" s="6">
        <v>3.1</v>
      </c>
      <c r="AG7" s="6">
        <v>4.4400000000000004</v>
      </c>
      <c r="AH7" s="6">
        <v>2.59</v>
      </c>
      <c r="AI7" s="6">
        <v>3.63</v>
      </c>
      <c r="AJ7" s="6">
        <v>1.95</v>
      </c>
      <c r="AK7" s="6">
        <v>3.81</v>
      </c>
      <c r="AL7" s="6">
        <v>2.23</v>
      </c>
      <c r="AM7" s="6">
        <v>2.06</v>
      </c>
      <c r="AN7" s="6">
        <v>2.7</v>
      </c>
      <c r="AO7" s="6">
        <v>3.84</v>
      </c>
      <c r="AP7" s="6">
        <v>2.2200000000000002</v>
      </c>
      <c r="AQ7" s="6">
        <v>2.56</v>
      </c>
      <c r="AR7" s="6">
        <v>2.4500000000000002</v>
      </c>
      <c r="AS7" s="6">
        <v>2.88</v>
      </c>
      <c r="AT7" s="6">
        <v>2.89</v>
      </c>
      <c r="AU7" s="6">
        <v>2.4300000000000002</v>
      </c>
      <c r="AV7" s="6">
        <v>3.77</v>
      </c>
      <c r="AW7" s="6">
        <v>2.85</v>
      </c>
      <c r="AX7" s="6">
        <v>3.63</v>
      </c>
      <c r="AY7" s="6">
        <v>2.3199999999999998</v>
      </c>
      <c r="AZ7" s="6">
        <v>4.2699999999999996</v>
      </c>
      <c r="BA7" s="6">
        <v>3.11</v>
      </c>
      <c r="BB7" s="6">
        <v>2.66</v>
      </c>
      <c r="BC7" s="6">
        <v>3.03</v>
      </c>
      <c r="BD7" s="6">
        <v>3.4780000000000002</v>
      </c>
      <c r="BE7" s="6">
        <v>2.76</v>
      </c>
      <c r="BF7" s="6">
        <v>4.3</v>
      </c>
      <c r="BG7" s="6">
        <v>1.89</v>
      </c>
      <c r="BH7" s="6">
        <v>3.96</v>
      </c>
      <c r="BI7" s="7">
        <v>2.85</v>
      </c>
      <c r="BJ7" s="7">
        <v>3.11</v>
      </c>
      <c r="BK7" s="7">
        <v>4.24</v>
      </c>
      <c r="BL7" s="7">
        <v>2.87</v>
      </c>
      <c r="BM7" s="7">
        <v>3.57</v>
      </c>
      <c r="BN7" s="7">
        <v>3.22</v>
      </c>
      <c r="BO7" s="7">
        <v>3.24</v>
      </c>
      <c r="BP7" s="7">
        <v>3.62</v>
      </c>
      <c r="BQ7" s="7">
        <v>3.84</v>
      </c>
      <c r="BR7" s="7">
        <v>4.63</v>
      </c>
      <c r="BS7" s="7">
        <v>2.2000000000000002</v>
      </c>
      <c r="BT7" s="7">
        <v>3.76</v>
      </c>
      <c r="BU7" s="7">
        <v>4.92</v>
      </c>
      <c r="BV7" s="7">
        <v>2.87</v>
      </c>
      <c r="BW7" s="7">
        <v>3.12</v>
      </c>
      <c r="BX7" s="7">
        <v>2.93</v>
      </c>
      <c r="BY7" s="7">
        <v>2.72</v>
      </c>
      <c r="BZ7" s="7">
        <v>4.26</v>
      </c>
      <c r="CA7" s="7">
        <v>2.5100000000000002</v>
      </c>
      <c r="CB7" s="7">
        <v>2.21</v>
      </c>
      <c r="CC7" s="7">
        <v>3.3600000000000003</v>
      </c>
      <c r="CD7" s="7">
        <v>4.38</v>
      </c>
      <c r="CE7" s="7">
        <v>3.1500000000000004</v>
      </c>
      <c r="CF7" s="7">
        <v>2.59</v>
      </c>
      <c r="CG7" s="7">
        <v>2.02</v>
      </c>
      <c r="CH7" s="7">
        <v>2.5</v>
      </c>
    </row>
    <row r="8" spans="1:86" ht="15.75" x14ac:dyDescent="0.25">
      <c r="A8" s="4">
        <v>7</v>
      </c>
      <c r="B8" s="2"/>
      <c r="C8" s="4">
        <v>7</v>
      </c>
      <c r="D8" s="6">
        <v>3.48</v>
      </c>
      <c r="E8" s="6">
        <v>2.23</v>
      </c>
      <c r="F8" s="6">
        <v>2.73</v>
      </c>
      <c r="G8" s="6">
        <v>2.4300000000000002</v>
      </c>
      <c r="H8" s="6">
        <v>2.5299999999999998</v>
      </c>
      <c r="I8" s="6">
        <v>1.33</v>
      </c>
      <c r="J8" s="6">
        <v>1.83</v>
      </c>
      <c r="K8" s="6">
        <v>4.03</v>
      </c>
      <c r="L8" s="6">
        <v>3.28</v>
      </c>
      <c r="M8" s="6">
        <v>2.73</v>
      </c>
      <c r="N8" s="6">
        <v>2.93</v>
      </c>
      <c r="O8" s="6">
        <v>3.18</v>
      </c>
      <c r="P8" s="6">
        <v>3.83</v>
      </c>
      <c r="Q8" s="6">
        <v>2.83</v>
      </c>
      <c r="R8" s="6">
        <v>3.28</v>
      </c>
      <c r="S8" s="6">
        <v>2.78</v>
      </c>
      <c r="T8" s="6">
        <v>1.46</v>
      </c>
      <c r="U8" s="6">
        <v>3.43</v>
      </c>
      <c r="V8" s="6">
        <v>3</v>
      </c>
      <c r="W8" s="6">
        <v>3.05</v>
      </c>
      <c r="X8" s="6">
        <v>1.83</v>
      </c>
      <c r="Y8" s="6">
        <v>2.21</v>
      </c>
      <c r="Z8" s="6">
        <v>2.66</v>
      </c>
      <c r="AA8" s="6">
        <v>2.41</v>
      </c>
      <c r="AB8" s="6">
        <v>4.4000000000000004</v>
      </c>
      <c r="AC8" s="6">
        <v>2</v>
      </c>
      <c r="AD8" s="6">
        <v>2.4500000000000002</v>
      </c>
      <c r="AE8" s="6">
        <v>3.51</v>
      </c>
      <c r="AF8" s="6">
        <v>3.03</v>
      </c>
      <c r="AG8" s="6">
        <v>4.43</v>
      </c>
      <c r="AH8" s="6">
        <v>2.4900000000000002</v>
      </c>
      <c r="AI8" s="6">
        <v>3.6</v>
      </c>
      <c r="AJ8" s="6">
        <v>1.85</v>
      </c>
      <c r="AK8" s="6">
        <v>3.62</v>
      </c>
      <c r="AL8" s="6">
        <v>2.21</v>
      </c>
      <c r="AM8" s="6">
        <v>2.0499999999999998</v>
      </c>
      <c r="AN8" s="6">
        <v>2.5499999999999998</v>
      </c>
      <c r="AO8" s="6">
        <v>3.62</v>
      </c>
      <c r="AP8" s="6">
        <v>2.17</v>
      </c>
      <c r="AQ8" s="6">
        <v>2.54</v>
      </c>
      <c r="AR8" s="6">
        <v>2.2999999999999998</v>
      </c>
      <c r="AS8" s="6">
        <v>2.78</v>
      </c>
      <c r="AT8" s="6">
        <v>2.87</v>
      </c>
      <c r="AU8" s="6">
        <v>2.3199999999999998</v>
      </c>
      <c r="AV8" s="6">
        <v>3.63</v>
      </c>
      <c r="AW8" s="6">
        <v>2.82</v>
      </c>
      <c r="AX8" s="6">
        <v>3.63</v>
      </c>
      <c r="AY8" s="6">
        <v>2.08</v>
      </c>
      <c r="AZ8" s="6">
        <v>4.2300000000000004</v>
      </c>
      <c r="BA8" s="6">
        <v>3.09</v>
      </c>
      <c r="BB8" s="6">
        <v>2.65</v>
      </c>
      <c r="BC8" s="6">
        <v>2.91</v>
      </c>
      <c r="BD8" s="6">
        <v>3.3865599999999998</v>
      </c>
      <c r="BE8" s="6">
        <v>2.76</v>
      </c>
      <c r="BF8" s="6">
        <v>4.3</v>
      </c>
      <c r="BG8" s="6">
        <v>1.8</v>
      </c>
      <c r="BH8" s="6">
        <v>3.96</v>
      </c>
      <c r="BI8" s="7">
        <v>2.8</v>
      </c>
      <c r="BJ8" s="7">
        <v>2.91</v>
      </c>
      <c r="BK8" s="7">
        <v>4.0999999999999996</v>
      </c>
      <c r="BL8" s="7">
        <v>2.8</v>
      </c>
      <c r="BM8" s="7">
        <v>3.56</v>
      </c>
      <c r="BN8" s="7">
        <v>3.14</v>
      </c>
      <c r="BO8" s="7">
        <v>3.18</v>
      </c>
      <c r="BP8" s="7">
        <v>3.53</v>
      </c>
      <c r="BQ8" s="7">
        <v>3.8</v>
      </c>
      <c r="BR8" s="7">
        <v>4.5999999999999996</v>
      </c>
      <c r="BS8" s="7">
        <v>2.23</v>
      </c>
      <c r="BT8" s="7">
        <v>3.73</v>
      </c>
      <c r="BU8" s="7">
        <v>4.8600000000000003</v>
      </c>
      <c r="BV8" s="7">
        <v>2.83</v>
      </c>
      <c r="BW8" s="7">
        <v>3.04</v>
      </c>
      <c r="BX8" s="7">
        <v>2.9000000000000004</v>
      </c>
      <c r="BY8" s="7">
        <v>2.62</v>
      </c>
      <c r="BZ8" s="7">
        <v>4.26</v>
      </c>
      <c r="CA8" s="7">
        <v>2.4900000000000002</v>
      </c>
      <c r="CB8" s="7">
        <v>2.11</v>
      </c>
      <c r="CC8" s="7">
        <v>3.2800000000000002</v>
      </c>
      <c r="CD8" s="7">
        <v>4.37</v>
      </c>
      <c r="CE8" s="7">
        <v>3.0300000000000002</v>
      </c>
      <c r="CF8" s="7">
        <v>2.57</v>
      </c>
      <c r="CG8" s="7">
        <v>2.04</v>
      </c>
      <c r="CH8" s="7">
        <v>2.71</v>
      </c>
    </row>
    <row r="9" spans="1:86" ht="15.75" x14ac:dyDescent="0.25">
      <c r="A9" s="4">
        <v>8</v>
      </c>
      <c r="B9" s="2"/>
      <c r="C9" s="4">
        <v>8</v>
      </c>
      <c r="D9" s="6">
        <v>3.43</v>
      </c>
      <c r="E9" s="6">
        <v>2.2799999999999998</v>
      </c>
      <c r="F9" s="6">
        <v>2.5299999999999998</v>
      </c>
      <c r="G9" s="6">
        <v>2.33</v>
      </c>
      <c r="H9" s="6">
        <v>2.58</v>
      </c>
      <c r="I9" s="6">
        <v>1.33</v>
      </c>
      <c r="J9" s="6">
        <v>1.73</v>
      </c>
      <c r="K9" s="6">
        <v>4.03</v>
      </c>
      <c r="L9" s="6">
        <v>3.33</v>
      </c>
      <c r="M9" s="6">
        <v>2.73</v>
      </c>
      <c r="N9" s="6">
        <v>2.83</v>
      </c>
      <c r="O9" s="6">
        <v>3.23</v>
      </c>
      <c r="P9" s="6">
        <v>3.81</v>
      </c>
      <c r="Q9" s="6">
        <v>2.83</v>
      </c>
      <c r="R9" s="6">
        <v>3.18</v>
      </c>
      <c r="S9" s="6">
        <v>2.73</v>
      </c>
      <c r="T9" s="6">
        <v>1.46</v>
      </c>
      <c r="U9" s="6">
        <v>3.38</v>
      </c>
      <c r="V9" s="6">
        <v>2.93</v>
      </c>
      <c r="W9" s="6">
        <v>2.95</v>
      </c>
      <c r="X9" s="6">
        <v>1.81</v>
      </c>
      <c r="Y9" s="6">
        <v>2.11</v>
      </c>
      <c r="Z9" s="6">
        <v>2.5099999999999998</v>
      </c>
      <c r="AA9" s="6">
        <v>2.48</v>
      </c>
      <c r="AB9" s="6">
        <v>4.17</v>
      </c>
      <c r="AC9" s="6">
        <v>1.93</v>
      </c>
      <c r="AD9" s="6">
        <v>2.38</v>
      </c>
      <c r="AE9" s="6">
        <v>3.39</v>
      </c>
      <c r="AF9" s="6">
        <v>2.96</v>
      </c>
      <c r="AG9" s="6">
        <v>4.25</v>
      </c>
      <c r="AH9" s="6">
        <v>2.33</v>
      </c>
      <c r="AI9" s="6">
        <v>3.46</v>
      </c>
      <c r="AJ9" s="6">
        <v>1.8</v>
      </c>
      <c r="AK9" s="6">
        <v>3.55</v>
      </c>
      <c r="AL9" s="6">
        <v>2.21</v>
      </c>
      <c r="AM9" s="6">
        <v>2.0099999999999998</v>
      </c>
      <c r="AN9" s="6">
        <v>2.41</v>
      </c>
      <c r="AO9" s="6">
        <v>3.49</v>
      </c>
      <c r="AP9" s="6">
        <v>2.11</v>
      </c>
      <c r="AQ9" s="6">
        <v>2.48</v>
      </c>
      <c r="AR9" s="6">
        <v>2.4300000000000002</v>
      </c>
      <c r="AS9" s="6">
        <v>2.73</v>
      </c>
      <c r="AT9" s="6">
        <v>2.91</v>
      </c>
      <c r="AU9" s="6">
        <v>2.29</v>
      </c>
      <c r="AV9" s="6">
        <v>3.49</v>
      </c>
      <c r="AW9" s="6">
        <v>2.75</v>
      </c>
      <c r="AX9" s="6">
        <v>3.63</v>
      </c>
      <c r="AY9" s="6">
        <v>1.98</v>
      </c>
      <c r="AZ9" s="6">
        <v>4.28</v>
      </c>
      <c r="BA9" s="6">
        <v>3.11</v>
      </c>
      <c r="BB9" s="6">
        <v>2.65</v>
      </c>
      <c r="BC9" s="6">
        <v>2.84</v>
      </c>
      <c r="BD9" s="6">
        <v>3.2341600000000001</v>
      </c>
      <c r="BE9" s="6">
        <v>2.76</v>
      </c>
      <c r="BF9" s="6">
        <v>4.3</v>
      </c>
      <c r="BG9" s="6">
        <v>1.77</v>
      </c>
      <c r="BH9" s="6">
        <v>3.93</v>
      </c>
      <c r="BI9" s="7">
        <v>2.8</v>
      </c>
      <c r="BJ9" s="7">
        <v>2.88</v>
      </c>
      <c r="BK9" s="7">
        <v>4.0999999999999996</v>
      </c>
      <c r="BL9" s="7">
        <v>2.77</v>
      </c>
      <c r="BM9" s="7">
        <v>3.54</v>
      </c>
      <c r="BN9" s="7">
        <v>3.07</v>
      </c>
      <c r="BO9" s="7">
        <v>3.1</v>
      </c>
      <c r="BP9" s="7">
        <v>3.44</v>
      </c>
      <c r="BQ9" s="7">
        <v>3.8</v>
      </c>
      <c r="BR9" s="7">
        <v>4.51</v>
      </c>
      <c r="BS9" s="7">
        <v>2.16</v>
      </c>
      <c r="BT9" s="7">
        <v>3.72</v>
      </c>
      <c r="BU9" s="7">
        <v>4.79</v>
      </c>
      <c r="BV9" s="7">
        <v>2.8200000000000003</v>
      </c>
      <c r="BW9" s="7">
        <v>3</v>
      </c>
      <c r="BX9" s="7">
        <v>2.8200000000000003</v>
      </c>
      <c r="BY9" s="7">
        <v>2.62</v>
      </c>
      <c r="BZ9" s="7">
        <v>4.29</v>
      </c>
      <c r="CA9" s="7">
        <v>2.4900000000000002</v>
      </c>
      <c r="CB9" s="7">
        <v>2.16</v>
      </c>
      <c r="CC9" s="7">
        <v>3.2800000000000002</v>
      </c>
      <c r="CD9" s="7">
        <v>4.3600000000000003</v>
      </c>
      <c r="CE9" s="7">
        <v>2.94</v>
      </c>
      <c r="CF9" s="7">
        <v>2.71</v>
      </c>
      <c r="CG9" s="7">
        <v>2.0499999999999998</v>
      </c>
      <c r="CH9" s="7">
        <v>2.8200000000000003</v>
      </c>
    </row>
    <row r="10" spans="1:86" ht="15.75" x14ac:dyDescent="0.25">
      <c r="A10" s="4">
        <v>9</v>
      </c>
      <c r="B10" s="2"/>
      <c r="C10" s="4">
        <v>9</v>
      </c>
      <c r="D10" s="6">
        <v>3.38</v>
      </c>
      <c r="E10" s="6">
        <v>2.2799999999999998</v>
      </c>
      <c r="F10" s="6">
        <v>2.4300000000000002</v>
      </c>
      <c r="G10" s="6">
        <v>2.23</v>
      </c>
      <c r="H10" s="6">
        <v>2.5299999999999998</v>
      </c>
      <c r="I10" s="6">
        <v>1.28</v>
      </c>
      <c r="J10" s="6">
        <v>1.68</v>
      </c>
      <c r="K10" s="6">
        <v>4.03</v>
      </c>
      <c r="L10" s="6">
        <v>3.28</v>
      </c>
      <c r="M10" s="6">
        <v>2.73</v>
      </c>
      <c r="N10" s="6">
        <v>2.78</v>
      </c>
      <c r="O10" s="6">
        <v>3.13</v>
      </c>
      <c r="P10" s="6">
        <v>3.78</v>
      </c>
      <c r="Q10" s="6">
        <v>2.83</v>
      </c>
      <c r="R10" s="6">
        <v>3.11</v>
      </c>
      <c r="S10" s="6">
        <v>2.63</v>
      </c>
      <c r="T10" s="6">
        <v>1.46</v>
      </c>
      <c r="U10" s="6">
        <v>3.33</v>
      </c>
      <c r="V10" s="6">
        <v>2.81</v>
      </c>
      <c r="W10" s="6">
        <v>2.91</v>
      </c>
      <c r="X10" s="6">
        <v>1.96</v>
      </c>
      <c r="Y10" s="6">
        <v>1.99</v>
      </c>
      <c r="Z10" s="6">
        <v>2.4300000000000002</v>
      </c>
      <c r="AA10" s="6">
        <v>2.5299999999999998</v>
      </c>
      <c r="AB10" s="6">
        <v>3.91</v>
      </c>
      <c r="AC10" s="6">
        <v>1.83</v>
      </c>
      <c r="AD10" s="6">
        <v>2.3199999999999998</v>
      </c>
      <c r="AE10" s="6">
        <v>3.22</v>
      </c>
      <c r="AF10" s="6">
        <v>2.92</v>
      </c>
      <c r="AG10" s="6">
        <v>4.1100000000000003</v>
      </c>
      <c r="AH10" s="6">
        <v>2.4300000000000002</v>
      </c>
      <c r="AI10" s="6">
        <v>3.43</v>
      </c>
      <c r="AJ10" s="6">
        <v>1.83</v>
      </c>
      <c r="AK10" s="6">
        <v>3.41</v>
      </c>
      <c r="AL10" s="6">
        <v>2.17</v>
      </c>
      <c r="AM10" s="6">
        <v>1.99</v>
      </c>
      <c r="AN10" s="6">
        <v>2.2799999999999998</v>
      </c>
      <c r="AO10" s="6">
        <v>3.27</v>
      </c>
      <c r="AP10" s="6">
        <v>2.1</v>
      </c>
      <c r="AQ10" s="6">
        <v>2.42</v>
      </c>
      <c r="AR10" s="6">
        <v>2.35</v>
      </c>
      <c r="AS10" s="6">
        <v>2.68</v>
      </c>
      <c r="AT10" s="6">
        <v>2.86</v>
      </c>
      <c r="AU10" s="6">
        <v>2.2599999999999998</v>
      </c>
      <c r="AV10" s="6">
        <v>3.34</v>
      </c>
      <c r="AW10" s="6">
        <v>2.7</v>
      </c>
      <c r="AX10" s="6">
        <v>3.7</v>
      </c>
      <c r="AY10" s="6">
        <v>1.98</v>
      </c>
      <c r="AZ10" s="6">
        <v>4.24</v>
      </c>
      <c r="BA10" s="6">
        <v>3.17</v>
      </c>
      <c r="BB10" s="6">
        <v>2.63</v>
      </c>
      <c r="BC10" s="6">
        <v>2.77</v>
      </c>
      <c r="BD10" s="6">
        <v>3.0817600000000001</v>
      </c>
      <c r="BE10" s="6">
        <v>2.75</v>
      </c>
      <c r="BF10" s="6">
        <v>4.2</v>
      </c>
      <c r="BG10" s="6">
        <v>1.74</v>
      </c>
      <c r="BH10" s="6">
        <v>3.99</v>
      </c>
      <c r="BI10" s="7">
        <v>2.66</v>
      </c>
      <c r="BJ10" s="7">
        <v>2.88</v>
      </c>
      <c r="BK10" s="7">
        <v>4.0599999999999996</v>
      </c>
      <c r="BL10" s="7">
        <v>2.61</v>
      </c>
      <c r="BM10" s="7">
        <v>3.53</v>
      </c>
      <c r="BN10" s="7">
        <v>3.02</v>
      </c>
      <c r="BO10" s="7">
        <v>3.05</v>
      </c>
      <c r="BP10" s="7">
        <v>3.42</v>
      </c>
      <c r="BQ10" s="7">
        <v>3.73</v>
      </c>
      <c r="BR10" s="7">
        <v>4.34</v>
      </c>
      <c r="BS10" s="7">
        <v>2.0499999999999998</v>
      </c>
      <c r="BT10" s="7">
        <v>3.65</v>
      </c>
      <c r="BU10" s="7">
        <v>4.72</v>
      </c>
      <c r="BV10" s="7">
        <v>2.8000000000000003</v>
      </c>
      <c r="BW10" s="7">
        <v>2.8800000000000003</v>
      </c>
      <c r="BX10" s="7">
        <v>2.81</v>
      </c>
      <c r="BY10" s="7">
        <v>2.6100000000000003</v>
      </c>
      <c r="BZ10" s="7">
        <v>4.17</v>
      </c>
      <c r="CA10" s="7">
        <v>2.5700000000000003</v>
      </c>
      <c r="CB10" s="7">
        <v>2.21</v>
      </c>
      <c r="CC10" s="7">
        <v>3.27</v>
      </c>
      <c r="CD10" s="7">
        <v>4.3499999999999996</v>
      </c>
      <c r="CE10" s="7">
        <v>2.8200000000000003</v>
      </c>
      <c r="CF10" s="7">
        <v>2.78</v>
      </c>
      <c r="CG10" s="7">
        <v>2.09</v>
      </c>
      <c r="CH10" s="7">
        <v>3</v>
      </c>
    </row>
    <row r="11" spans="1:86" ht="15.75" x14ac:dyDescent="0.25">
      <c r="A11" s="4">
        <v>10</v>
      </c>
      <c r="B11" s="2"/>
      <c r="C11" s="4">
        <v>10</v>
      </c>
      <c r="D11" s="6">
        <v>3.33</v>
      </c>
      <c r="E11" s="6">
        <v>2.33</v>
      </c>
      <c r="F11" s="6">
        <v>2.23</v>
      </c>
      <c r="G11" s="6">
        <v>2.13</v>
      </c>
      <c r="H11" s="6">
        <v>2.5299999999999998</v>
      </c>
      <c r="I11" s="6">
        <v>1.28</v>
      </c>
      <c r="J11" s="6">
        <v>1.58</v>
      </c>
      <c r="K11" s="6">
        <v>3.93</v>
      </c>
      <c r="L11" s="6">
        <v>3.28</v>
      </c>
      <c r="M11" s="6">
        <v>2.73</v>
      </c>
      <c r="N11" s="6">
        <v>2.73</v>
      </c>
      <c r="O11" s="6">
        <v>3.03</v>
      </c>
      <c r="P11" s="6">
        <v>3.93</v>
      </c>
      <c r="Q11" s="6">
        <v>2.83</v>
      </c>
      <c r="R11" s="6">
        <v>3.03</v>
      </c>
      <c r="S11" s="6">
        <v>2.5299999999999998</v>
      </c>
      <c r="T11" s="6">
        <v>1.46</v>
      </c>
      <c r="U11" s="6">
        <v>3.28</v>
      </c>
      <c r="V11" s="6">
        <v>2.68</v>
      </c>
      <c r="W11" s="6">
        <v>2.81</v>
      </c>
      <c r="X11" s="6">
        <v>1.96</v>
      </c>
      <c r="Y11" s="6">
        <v>1.91</v>
      </c>
      <c r="Z11" s="6">
        <v>2.2599999999999998</v>
      </c>
      <c r="AA11" s="6">
        <v>2.52</v>
      </c>
      <c r="AB11" s="6">
        <v>3.75</v>
      </c>
      <c r="AC11" s="6">
        <v>1.74</v>
      </c>
      <c r="AD11" s="6">
        <v>2.2400000000000002</v>
      </c>
      <c r="AE11" s="6">
        <v>3.26</v>
      </c>
      <c r="AF11" s="6">
        <v>2.92</v>
      </c>
      <c r="AG11" s="6">
        <v>4.08</v>
      </c>
      <c r="AH11" s="6">
        <v>2.27</v>
      </c>
      <c r="AI11" s="6">
        <v>3.38</v>
      </c>
      <c r="AJ11" s="6">
        <v>1.87</v>
      </c>
      <c r="AK11" s="6">
        <v>3.39</v>
      </c>
      <c r="AL11" s="6">
        <v>2.15</v>
      </c>
      <c r="AM11" s="6">
        <v>1.93</v>
      </c>
      <c r="AN11" s="6">
        <v>2.27</v>
      </c>
      <c r="AO11" s="6">
        <v>3.13</v>
      </c>
      <c r="AP11" s="6">
        <v>1.98</v>
      </c>
      <c r="AQ11" s="6">
        <v>2.38</v>
      </c>
      <c r="AR11" s="6">
        <v>2.2999999999999998</v>
      </c>
      <c r="AS11" s="6">
        <v>2.61</v>
      </c>
      <c r="AT11" s="6">
        <v>2.76</v>
      </c>
      <c r="AU11" s="6">
        <v>2.2000000000000002</v>
      </c>
      <c r="AV11" s="6">
        <v>3.22</v>
      </c>
      <c r="AW11" s="6">
        <v>2.59</v>
      </c>
      <c r="AX11" s="6">
        <v>3.73</v>
      </c>
      <c r="AY11" s="6">
        <v>1.98</v>
      </c>
      <c r="AZ11" s="6">
        <v>4.22</v>
      </c>
      <c r="BA11" s="6">
        <v>3.06</v>
      </c>
      <c r="BB11" s="6">
        <v>2.63</v>
      </c>
      <c r="BC11" s="6">
        <v>2.62</v>
      </c>
      <c r="BD11" s="6">
        <v>3.02</v>
      </c>
      <c r="BE11" s="6">
        <v>2.77</v>
      </c>
      <c r="BF11" s="6">
        <v>4.08</v>
      </c>
      <c r="BG11" s="6">
        <v>1.71</v>
      </c>
      <c r="BH11" s="6">
        <v>3.99</v>
      </c>
      <c r="BI11" s="7">
        <v>2.58</v>
      </c>
      <c r="BJ11" s="7">
        <v>2.88</v>
      </c>
      <c r="BK11" s="7">
        <v>4.01</v>
      </c>
      <c r="BL11" s="7">
        <v>2.44</v>
      </c>
      <c r="BM11" s="7">
        <v>3.51</v>
      </c>
      <c r="BN11" s="7">
        <v>2.99</v>
      </c>
      <c r="BO11" s="7">
        <v>3.04</v>
      </c>
      <c r="BP11" s="7">
        <v>3.34</v>
      </c>
      <c r="BQ11" s="7">
        <v>3.65</v>
      </c>
      <c r="BR11" s="7">
        <v>4.18</v>
      </c>
      <c r="BS11" s="7">
        <v>1.97</v>
      </c>
      <c r="BT11" s="7">
        <v>3.55</v>
      </c>
      <c r="BU11" s="7">
        <v>4.6500000000000004</v>
      </c>
      <c r="BV11" s="7">
        <v>2.73</v>
      </c>
      <c r="BW11" s="7">
        <v>2.7600000000000002</v>
      </c>
      <c r="BX11" s="7">
        <v>2.68</v>
      </c>
      <c r="BY11" s="7">
        <v>2.6</v>
      </c>
      <c r="BZ11" s="7">
        <v>4.08</v>
      </c>
      <c r="CA11" s="7">
        <v>2.48</v>
      </c>
      <c r="CB11" s="7">
        <v>2.0499999999999998</v>
      </c>
      <c r="CC11" s="7">
        <v>3.21</v>
      </c>
      <c r="CD11" s="7">
        <v>4.34</v>
      </c>
      <c r="CE11" s="7">
        <v>2.68</v>
      </c>
      <c r="CF11" s="7">
        <v>3</v>
      </c>
      <c r="CG11" s="7">
        <v>2.09</v>
      </c>
      <c r="CH11" s="7">
        <v>3.01</v>
      </c>
    </row>
    <row r="12" spans="1:86" ht="15.75" x14ac:dyDescent="0.25">
      <c r="A12" s="4">
        <v>11</v>
      </c>
      <c r="B12" s="2"/>
      <c r="C12" s="4">
        <v>11</v>
      </c>
      <c r="D12" s="6">
        <v>3.23</v>
      </c>
      <c r="E12" s="6">
        <v>2.33</v>
      </c>
      <c r="F12" s="6">
        <v>2.23</v>
      </c>
      <c r="G12" s="6">
        <v>2.0299999999999998</v>
      </c>
      <c r="H12" s="6">
        <v>2.5299999999999998</v>
      </c>
      <c r="I12" s="6">
        <v>1.28</v>
      </c>
      <c r="J12" s="6">
        <v>1.48</v>
      </c>
      <c r="K12" s="6">
        <v>3.63</v>
      </c>
      <c r="L12" s="6">
        <v>3.33</v>
      </c>
      <c r="M12" s="6">
        <v>2.83</v>
      </c>
      <c r="N12" s="6">
        <v>2.63</v>
      </c>
      <c r="O12" s="6">
        <v>2.93</v>
      </c>
      <c r="P12" s="6">
        <v>4.03</v>
      </c>
      <c r="Q12" s="6">
        <v>2.88</v>
      </c>
      <c r="R12" s="6">
        <v>2.98</v>
      </c>
      <c r="S12" s="6">
        <v>2.48</v>
      </c>
      <c r="T12" s="6">
        <v>1.46</v>
      </c>
      <c r="U12" s="6">
        <v>3.23</v>
      </c>
      <c r="V12" s="6">
        <v>2.46</v>
      </c>
      <c r="W12" s="6">
        <v>2.73</v>
      </c>
      <c r="X12" s="6">
        <v>1.91</v>
      </c>
      <c r="Y12" s="6">
        <v>1.86</v>
      </c>
      <c r="Z12" s="6">
        <v>2.11</v>
      </c>
      <c r="AA12" s="6">
        <v>2.5099999999999998</v>
      </c>
      <c r="AB12" s="6">
        <v>3.64</v>
      </c>
      <c r="AC12" s="6">
        <v>1.71</v>
      </c>
      <c r="AD12" s="6">
        <v>2.21</v>
      </c>
      <c r="AE12" s="6">
        <v>3.23</v>
      </c>
      <c r="AF12" s="6">
        <v>2.88</v>
      </c>
      <c r="AG12" s="6">
        <v>4.08</v>
      </c>
      <c r="AH12" s="6">
        <v>2.19</v>
      </c>
      <c r="AI12" s="6">
        <v>3.34</v>
      </c>
      <c r="AJ12" s="6">
        <v>1.89</v>
      </c>
      <c r="AK12" s="6">
        <v>3.41</v>
      </c>
      <c r="AL12" s="6">
        <v>2.02</v>
      </c>
      <c r="AM12" s="6">
        <v>1.91</v>
      </c>
      <c r="AN12" s="6">
        <v>2.2400000000000002</v>
      </c>
      <c r="AO12" s="6">
        <v>3.01</v>
      </c>
      <c r="AP12" s="6">
        <v>2.08</v>
      </c>
      <c r="AQ12" s="6">
        <v>2.4300000000000002</v>
      </c>
      <c r="AR12" s="6">
        <v>2.2999999999999998</v>
      </c>
      <c r="AS12" s="6">
        <v>2.6</v>
      </c>
      <c r="AT12" s="6">
        <v>2.73</v>
      </c>
      <c r="AU12" s="6">
        <v>2.17</v>
      </c>
      <c r="AV12" s="6">
        <v>3.02</v>
      </c>
      <c r="AW12" s="6">
        <v>2.4500000000000002</v>
      </c>
      <c r="AX12" s="6">
        <v>3.81</v>
      </c>
      <c r="AY12" s="6">
        <v>1.98</v>
      </c>
      <c r="AZ12" s="6">
        <v>4.18</v>
      </c>
      <c r="BA12" s="6">
        <v>2.97</v>
      </c>
      <c r="BB12" s="6">
        <v>2.61</v>
      </c>
      <c r="BC12" s="6">
        <v>2.56</v>
      </c>
      <c r="BD12" s="6">
        <v>2.8988800000000001</v>
      </c>
      <c r="BE12" s="6">
        <v>2.91</v>
      </c>
      <c r="BF12" s="6">
        <v>3.99</v>
      </c>
      <c r="BG12" s="6">
        <v>1.71</v>
      </c>
      <c r="BH12" s="6">
        <v>3.99</v>
      </c>
      <c r="BI12" s="7">
        <v>2.62</v>
      </c>
      <c r="BJ12" s="7">
        <v>2.88</v>
      </c>
      <c r="BK12" s="7">
        <v>3.96</v>
      </c>
      <c r="BL12" s="7">
        <v>2.36</v>
      </c>
      <c r="BM12" s="7">
        <v>3.48</v>
      </c>
      <c r="BN12" s="7">
        <v>3.08</v>
      </c>
      <c r="BO12" s="7">
        <v>3.04</v>
      </c>
      <c r="BP12" s="7">
        <v>3.27</v>
      </c>
      <c r="BQ12" s="7">
        <v>3.59</v>
      </c>
      <c r="BR12" s="7">
        <v>4.12</v>
      </c>
      <c r="BS12" s="7">
        <v>1.9</v>
      </c>
      <c r="BT12" s="7">
        <v>3.56</v>
      </c>
      <c r="BU12" s="7">
        <v>4.62</v>
      </c>
      <c r="BV12" s="7">
        <v>2.72</v>
      </c>
      <c r="BW12" s="7">
        <v>2.66</v>
      </c>
      <c r="BX12" s="7">
        <v>2.62</v>
      </c>
      <c r="BY12" s="7">
        <v>2.5500000000000003</v>
      </c>
      <c r="BZ12" s="7">
        <v>4.03</v>
      </c>
      <c r="CA12" s="7">
        <v>2.44</v>
      </c>
      <c r="CB12" s="7">
        <v>2.02</v>
      </c>
      <c r="CC12" s="7">
        <v>3.18</v>
      </c>
      <c r="CD12" s="7">
        <v>4.33</v>
      </c>
      <c r="CE12" s="7">
        <v>2.62</v>
      </c>
      <c r="CF12" s="7">
        <v>3.23</v>
      </c>
      <c r="CG12" s="7">
        <v>2.2000000000000002</v>
      </c>
      <c r="CH12" s="7">
        <v>2.9400000000000004</v>
      </c>
    </row>
    <row r="13" spans="1:86" ht="15.75" x14ac:dyDescent="0.25">
      <c r="A13" s="4">
        <v>12</v>
      </c>
      <c r="B13" s="2"/>
      <c r="C13" s="4">
        <v>12</v>
      </c>
      <c r="D13" s="6">
        <v>3.13</v>
      </c>
      <c r="E13" s="6">
        <v>2.38</v>
      </c>
      <c r="F13" s="6">
        <v>2.13</v>
      </c>
      <c r="G13" s="6">
        <v>1.88</v>
      </c>
      <c r="H13" s="6">
        <v>2.48</v>
      </c>
      <c r="I13" s="6">
        <v>1.28</v>
      </c>
      <c r="J13" s="6">
        <v>1.58</v>
      </c>
      <c r="K13" s="6">
        <v>3.43</v>
      </c>
      <c r="L13" s="6">
        <v>3.28</v>
      </c>
      <c r="M13" s="6">
        <v>2.93</v>
      </c>
      <c r="N13" s="6">
        <v>2.5299999999999998</v>
      </c>
      <c r="O13" s="6">
        <v>2.98</v>
      </c>
      <c r="P13" s="6">
        <v>3.98</v>
      </c>
      <c r="Q13" s="6">
        <v>2.93</v>
      </c>
      <c r="R13" s="6">
        <v>2.88</v>
      </c>
      <c r="S13" s="6">
        <v>2.4300000000000002</v>
      </c>
      <c r="T13" s="6">
        <v>1.49</v>
      </c>
      <c r="U13" s="6">
        <v>3.2</v>
      </c>
      <c r="V13" s="6">
        <v>2.46</v>
      </c>
      <c r="W13" s="6">
        <v>2.61</v>
      </c>
      <c r="X13" s="6">
        <v>1.91</v>
      </c>
      <c r="Y13" s="6">
        <v>1.81</v>
      </c>
      <c r="Z13" s="6">
        <v>2.0099999999999998</v>
      </c>
      <c r="AA13" s="6">
        <v>2.5299999999999998</v>
      </c>
      <c r="AB13" s="6">
        <v>3.59</v>
      </c>
      <c r="AC13" s="6">
        <v>1.7</v>
      </c>
      <c r="AD13" s="6">
        <v>2.12</v>
      </c>
      <c r="AE13" s="6">
        <v>3.23</v>
      </c>
      <c r="AF13" s="6">
        <v>2.91</v>
      </c>
      <c r="AG13" s="6">
        <v>4.1100000000000003</v>
      </c>
      <c r="AH13" s="6">
        <v>2.13</v>
      </c>
      <c r="AI13" s="6">
        <v>3.21</v>
      </c>
      <c r="AJ13" s="6">
        <v>1.91</v>
      </c>
      <c r="AK13" s="6">
        <v>3.41</v>
      </c>
      <c r="AL13" s="6">
        <v>1.92</v>
      </c>
      <c r="AM13" s="6">
        <v>1.91</v>
      </c>
      <c r="AN13" s="6">
        <v>2.1800000000000002</v>
      </c>
      <c r="AO13" s="6">
        <v>2.93</v>
      </c>
      <c r="AP13" s="6">
        <v>2.08</v>
      </c>
      <c r="AQ13" s="6">
        <v>2.4</v>
      </c>
      <c r="AR13" s="6">
        <v>2.3199999999999998</v>
      </c>
      <c r="AS13" s="6">
        <v>2.56</v>
      </c>
      <c r="AT13" s="6">
        <v>2.65</v>
      </c>
      <c r="AU13" s="6">
        <v>2.16</v>
      </c>
      <c r="AV13" s="6">
        <v>2.89</v>
      </c>
      <c r="AW13" s="6">
        <v>2.4300000000000002</v>
      </c>
      <c r="AX13" s="6">
        <v>3.93</v>
      </c>
      <c r="AY13" s="6">
        <v>1.92</v>
      </c>
      <c r="AZ13" s="6">
        <v>4.0599999999999996</v>
      </c>
      <c r="BA13" s="6">
        <v>2.81</v>
      </c>
      <c r="BB13" s="6">
        <v>2.54</v>
      </c>
      <c r="BC13" s="6">
        <v>2.57</v>
      </c>
      <c r="BD13" s="6">
        <v>2.83792</v>
      </c>
      <c r="BE13" s="6">
        <v>2.83</v>
      </c>
      <c r="BF13" s="6">
        <v>3.96</v>
      </c>
      <c r="BG13" s="6">
        <v>1.65</v>
      </c>
      <c r="BH13" s="6">
        <v>3.93</v>
      </c>
      <c r="BI13" s="7">
        <v>2.58</v>
      </c>
      <c r="BJ13" s="7">
        <v>2.88</v>
      </c>
      <c r="BK13" s="7">
        <v>3.9</v>
      </c>
      <c r="BL13" s="7">
        <v>2.2200000000000002</v>
      </c>
      <c r="BM13" s="7">
        <v>3.32</v>
      </c>
      <c r="BN13" s="7">
        <v>3.17</v>
      </c>
      <c r="BO13" s="7">
        <v>3.06</v>
      </c>
      <c r="BP13" s="7">
        <v>3.22</v>
      </c>
      <c r="BQ13" s="7">
        <v>3.58</v>
      </c>
      <c r="BR13" s="7">
        <v>3.96</v>
      </c>
      <c r="BS13" s="7">
        <v>1.9</v>
      </c>
      <c r="BT13" s="7">
        <v>3.52</v>
      </c>
      <c r="BU13" s="7">
        <v>4.53</v>
      </c>
      <c r="BV13" s="7">
        <v>2.66</v>
      </c>
      <c r="BW13" s="7">
        <v>2.6100000000000003</v>
      </c>
      <c r="BX13" s="7">
        <v>2.5500000000000003</v>
      </c>
      <c r="BY13" s="7">
        <v>2.54</v>
      </c>
      <c r="BZ13" s="7">
        <v>4.0599999999999996</v>
      </c>
      <c r="CA13" s="7">
        <v>2.4900000000000002</v>
      </c>
      <c r="CB13" s="7">
        <v>1.97</v>
      </c>
      <c r="CC13" s="7">
        <v>3.06</v>
      </c>
      <c r="CD13" s="7">
        <v>4.33</v>
      </c>
      <c r="CE13" s="7">
        <v>2.64</v>
      </c>
      <c r="CF13" s="7">
        <v>3.33</v>
      </c>
      <c r="CG13" s="7">
        <v>2.2599999999999998</v>
      </c>
      <c r="CH13" s="7">
        <v>3.0300000000000002</v>
      </c>
    </row>
    <row r="14" spans="1:86" ht="15.75" x14ac:dyDescent="0.25">
      <c r="A14" s="4">
        <v>13</v>
      </c>
      <c r="B14" s="2"/>
      <c r="C14" s="4">
        <v>13</v>
      </c>
      <c r="D14" s="6">
        <v>3.13</v>
      </c>
      <c r="E14" s="6">
        <v>2.2799999999999998</v>
      </c>
      <c r="F14" s="6">
        <v>2.08</v>
      </c>
      <c r="G14" s="6">
        <v>1.83</v>
      </c>
      <c r="H14" s="6">
        <v>2.38</v>
      </c>
      <c r="I14" s="6">
        <v>1.28</v>
      </c>
      <c r="J14" s="6">
        <v>1.48</v>
      </c>
      <c r="K14" s="6">
        <v>3.13</v>
      </c>
      <c r="L14" s="6">
        <v>3.23</v>
      </c>
      <c r="M14" s="6">
        <v>2.88</v>
      </c>
      <c r="N14" s="6">
        <v>2.48</v>
      </c>
      <c r="O14" s="6">
        <v>3.13</v>
      </c>
      <c r="P14" s="6">
        <v>3.93</v>
      </c>
      <c r="Q14" s="6">
        <v>3.13</v>
      </c>
      <c r="R14" s="6">
        <v>2.81</v>
      </c>
      <c r="S14" s="6">
        <v>2.38</v>
      </c>
      <c r="T14" s="6">
        <v>1.41</v>
      </c>
      <c r="U14" s="6">
        <v>3.16</v>
      </c>
      <c r="V14" s="6">
        <v>2.41</v>
      </c>
      <c r="W14" s="6">
        <v>2.4900000000000002</v>
      </c>
      <c r="X14" s="6">
        <v>1.91</v>
      </c>
      <c r="Y14" s="6">
        <v>1.76</v>
      </c>
      <c r="Z14" s="6">
        <v>1.96</v>
      </c>
      <c r="AA14" s="6">
        <v>2.6</v>
      </c>
      <c r="AB14" s="6">
        <v>3.55</v>
      </c>
      <c r="AC14" s="6">
        <v>1.7</v>
      </c>
      <c r="AD14" s="6">
        <v>1.98</v>
      </c>
      <c r="AE14" s="6">
        <v>3.23</v>
      </c>
      <c r="AF14" s="6">
        <v>2.95</v>
      </c>
      <c r="AG14" s="6">
        <v>4.17</v>
      </c>
      <c r="AH14" s="6">
        <v>2.02</v>
      </c>
      <c r="AI14" s="6">
        <v>3.09</v>
      </c>
      <c r="AJ14" s="6">
        <v>1.88</v>
      </c>
      <c r="AK14" s="6">
        <v>3.39</v>
      </c>
      <c r="AL14" s="6">
        <v>1.84</v>
      </c>
      <c r="AM14" s="6">
        <v>1.8</v>
      </c>
      <c r="AN14" s="6">
        <v>2.13</v>
      </c>
      <c r="AO14" s="6">
        <v>2.87</v>
      </c>
      <c r="AP14" s="6">
        <v>2.12</v>
      </c>
      <c r="AQ14" s="6">
        <v>2.44</v>
      </c>
      <c r="AR14" s="6">
        <v>2.2400000000000002</v>
      </c>
      <c r="AS14" s="6">
        <v>2.52</v>
      </c>
      <c r="AT14" s="6">
        <v>2.58</v>
      </c>
      <c r="AU14" s="6">
        <v>2.41</v>
      </c>
      <c r="AV14" s="6">
        <v>2.83</v>
      </c>
      <c r="AW14" s="6">
        <v>2.39</v>
      </c>
      <c r="AX14" s="6">
        <v>3.74</v>
      </c>
      <c r="AY14" s="6">
        <v>1.98</v>
      </c>
      <c r="AZ14" s="6">
        <v>4.0199999999999996</v>
      </c>
      <c r="BA14" s="6">
        <v>2.74</v>
      </c>
      <c r="BB14" s="6">
        <v>2.5</v>
      </c>
      <c r="BC14" s="6">
        <v>2.61</v>
      </c>
      <c r="BD14" s="6">
        <v>2.7769599999999999</v>
      </c>
      <c r="BE14" s="6">
        <v>2.67</v>
      </c>
      <c r="BF14" s="6">
        <v>3.9</v>
      </c>
      <c r="BG14" s="6">
        <v>1.65</v>
      </c>
      <c r="BH14" s="6">
        <v>3.87</v>
      </c>
      <c r="BI14" s="7">
        <v>2.54</v>
      </c>
      <c r="BJ14" s="7">
        <v>2.88</v>
      </c>
      <c r="BK14" s="7">
        <v>3.66</v>
      </c>
      <c r="BL14" s="7">
        <v>2.09</v>
      </c>
      <c r="BM14" s="7">
        <v>3.38</v>
      </c>
      <c r="BN14" s="7">
        <v>3.24</v>
      </c>
      <c r="BO14" s="7">
        <v>3.05</v>
      </c>
      <c r="BP14" s="7">
        <v>3.11</v>
      </c>
      <c r="BQ14" s="7">
        <v>3.46</v>
      </c>
      <c r="BR14" s="7">
        <v>4.01</v>
      </c>
      <c r="BS14" s="7">
        <v>1.92</v>
      </c>
      <c r="BT14" s="7">
        <v>3.5</v>
      </c>
      <c r="BU14" s="7">
        <v>4.41</v>
      </c>
      <c r="BV14" s="7">
        <v>2.64</v>
      </c>
      <c r="BW14" s="7">
        <v>2.5700000000000003</v>
      </c>
      <c r="BX14" s="7">
        <v>2.4500000000000002</v>
      </c>
      <c r="BY14" s="7">
        <v>2.5300000000000002</v>
      </c>
      <c r="BZ14" s="7">
        <v>4.03</v>
      </c>
      <c r="CA14" s="7">
        <v>2.39</v>
      </c>
      <c r="CB14" s="7">
        <v>1.87</v>
      </c>
      <c r="CC14" s="7">
        <v>3.06</v>
      </c>
      <c r="CD14" s="7">
        <v>4.32</v>
      </c>
      <c r="CE14" s="7">
        <v>2.4500000000000002</v>
      </c>
      <c r="CF14" s="7">
        <v>3.4</v>
      </c>
      <c r="CG14" s="7">
        <v>2.27</v>
      </c>
      <c r="CH14" s="7">
        <v>2.92</v>
      </c>
    </row>
    <row r="15" spans="1:86" ht="15.75" x14ac:dyDescent="0.25">
      <c r="A15" s="4">
        <v>14</v>
      </c>
      <c r="B15" s="2"/>
      <c r="C15" s="4">
        <v>14</v>
      </c>
      <c r="D15" s="6">
        <v>3.13</v>
      </c>
      <c r="E15" s="6">
        <v>2.1800000000000002</v>
      </c>
      <c r="F15" s="6">
        <v>2.08</v>
      </c>
      <c r="G15" s="6">
        <v>1.78</v>
      </c>
      <c r="H15" s="6">
        <v>2.33</v>
      </c>
      <c r="I15" s="6">
        <v>1.28</v>
      </c>
      <c r="J15" s="6">
        <v>1.58</v>
      </c>
      <c r="K15" s="6">
        <v>3.13</v>
      </c>
      <c r="L15" s="6">
        <v>3.13</v>
      </c>
      <c r="M15" s="6">
        <v>2.93</v>
      </c>
      <c r="N15" s="6">
        <v>2.4300000000000002</v>
      </c>
      <c r="O15" s="6">
        <v>3.23</v>
      </c>
      <c r="P15" s="6">
        <v>3.88</v>
      </c>
      <c r="Q15" s="6">
        <v>3.18</v>
      </c>
      <c r="R15" s="6">
        <v>2.73</v>
      </c>
      <c r="S15" s="6">
        <v>2.2799999999999998</v>
      </c>
      <c r="T15" s="6">
        <v>1.31</v>
      </c>
      <c r="U15" s="6">
        <v>3.13</v>
      </c>
      <c r="V15" s="6">
        <v>2.31</v>
      </c>
      <c r="W15" s="6">
        <v>2.31</v>
      </c>
      <c r="X15" s="6">
        <v>1.86</v>
      </c>
      <c r="Y15" s="6">
        <v>1.71</v>
      </c>
      <c r="Z15" s="6">
        <v>1.91</v>
      </c>
      <c r="AA15" s="6">
        <v>2.54</v>
      </c>
      <c r="AB15" s="6">
        <v>3.49</v>
      </c>
      <c r="AC15" s="6">
        <v>1.68</v>
      </c>
      <c r="AD15" s="6">
        <v>1.65</v>
      </c>
      <c r="AE15" s="6">
        <v>3.25</v>
      </c>
      <c r="AF15" s="6">
        <v>2.76</v>
      </c>
      <c r="AG15" s="6">
        <v>4.18</v>
      </c>
      <c r="AH15" s="6">
        <v>1.91</v>
      </c>
      <c r="AI15" s="6">
        <v>3.05</v>
      </c>
      <c r="AJ15" s="6">
        <v>1.83</v>
      </c>
      <c r="AK15" s="6">
        <v>3.33</v>
      </c>
      <c r="AL15" s="6">
        <v>1.83</v>
      </c>
      <c r="AM15" s="6">
        <v>1.78</v>
      </c>
      <c r="AN15" s="6">
        <v>2.09</v>
      </c>
      <c r="AO15" s="6">
        <v>2.83</v>
      </c>
      <c r="AP15" s="6">
        <v>2</v>
      </c>
      <c r="AQ15" s="6">
        <v>2.33</v>
      </c>
      <c r="AR15" s="6">
        <v>2.06</v>
      </c>
      <c r="AS15" s="6">
        <v>2.4500000000000002</v>
      </c>
      <c r="AT15" s="6">
        <v>2.5099999999999998</v>
      </c>
      <c r="AU15" s="6">
        <v>2.17</v>
      </c>
      <c r="AV15" s="6">
        <v>2.83</v>
      </c>
      <c r="AW15" s="6">
        <v>2.33</v>
      </c>
      <c r="AX15" s="6">
        <v>3.63</v>
      </c>
      <c r="AY15" s="6">
        <v>1.93</v>
      </c>
      <c r="AZ15" s="6">
        <v>3.93</v>
      </c>
      <c r="BA15" s="6">
        <v>2.7</v>
      </c>
      <c r="BB15" s="6">
        <v>2.4700000000000002</v>
      </c>
      <c r="BC15" s="6">
        <v>2.46</v>
      </c>
      <c r="BD15" s="6">
        <v>2.7160000000000002</v>
      </c>
      <c r="BE15" s="6">
        <v>2.59</v>
      </c>
      <c r="BF15" s="6">
        <v>3.81</v>
      </c>
      <c r="BG15" s="6">
        <v>1.65</v>
      </c>
      <c r="BH15" s="6">
        <v>3.78</v>
      </c>
      <c r="BI15" s="7">
        <v>2.42</v>
      </c>
      <c r="BJ15" s="7">
        <v>2.88</v>
      </c>
      <c r="BK15" s="7">
        <v>3.69</v>
      </c>
      <c r="BL15" s="7">
        <v>2.04</v>
      </c>
      <c r="BM15" s="7">
        <v>3.38</v>
      </c>
      <c r="BN15" s="7">
        <v>3.18</v>
      </c>
      <c r="BO15" s="7">
        <v>2.99</v>
      </c>
      <c r="BP15" s="7">
        <v>2.97</v>
      </c>
      <c r="BQ15" s="7">
        <v>3.5</v>
      </c>
      <c r="BR15" s="7">
        <v>3.97</v>
      </c>
      <c r="BS15" s="7">
        <v>1.86</v>
      </c>
      <c r="BT15" s="7">
        <v>3.43</v>
      </c>
      <c r="BU15" s="7">
        <v>4.3899999999999997</v>
      </c>
      <c r="BV15" s="7">
        <v>2.56</v>
      </c>
      <c r="BW15" s="7">
        <v>2.52</v>
      </c>
      <c r="BX15" s="7">
        <v>2.41</v>
      </c>
      <c r="BY15" s="7">
        <v>2.5</v>
      </c>
      <c r="BZ15" s="7">
        <v>4.05</v>
      </c>
      <c r="CA15" s="7">
        <v>2.36</v>
      </c>
      <c r="CB15" s="7">
        <v>1.83</v>
      </c>
      <c r="CC15" s="7">
        <v>2.98</v>
      </c>
      <c r="CD15" s="7">
        <v>4.32</v>
      </c>
      <c r="CE15" s="7">
        <v>2.38</v>
      </c>
      <c r="CF15" s="7">
        <v>3.39</v>
      </c>
      <c r="CG15" s="7">
        <v>2.29</v>
      </c>
      <c r="CH15" s="7">
        <v>3.04</v>
      </c>
    </row>
    <row r="16" spans="1:86" ht="15.75" x14ac:dyDescent="0.25">
      <c r="A16" s="4">
        <v>15</v>
      </c>
      <c r="B16" s="2"/>
      <c r="C16" s="4">
        <v>15</v>
      </c>
      <c r="D16" s="6">
        <v>3.33</v>
      </c>
      <c r="E16" s="6">
        <v>2.13</v>
      </c>
      <c r="F16" s="6">
        <v>2.0299999999999998</v>
      </c>
      <c r="G16" s="6">
        <v>1.73</v>
      </c>
      <c r="H16" s="6">
        <v>2.23</v>
      </c>
      <c r="I16" s="6">
        <v>1.23</v>
      </c>
      <c r="J16" s="6">
        <v>1.68</v>
      </c>
      <c r="K16" s="6">
        <v>3.03</v>
      </c>
      <c r="L16" s="6">
        <v>3.03</v>
      </c>
      <c r="M16" s="6">
        <v>2.93</v>
      </c>
      <c r="N16" s="6">
        <v>2.39</v>
      </c>
      <c r="O16" s="6">
        <v>3.18</v>
      </c>
      <c r="P16" s="6">
        <v>3.81</v>
      </c>
      <c r="Q16" s="6">
        <v>3.25</v>
      </c>
      <c r="R16" s="6">
        <v>2.68</v>
      </c>
      <c r="S16" s="6">
        <v>2.1800000000000002</v>
      </c>
      <c r="T16" s="6">
        <v>1.31</v>
      </c>
      <c r="U16" s="6">
        <v>3.08</v>
      </c>
      <c r="V16" s="6">
        <v>2.29</v>
      </c>
      <c r="W16" s="6">
        <v>2.21</v>
      </c>
      <c r="X16" s="6">
        <v>1.79</v>
      </c>
      <c r="Y16" s="6">
        <v>1.69</v>
      </c>
      <c r="Z16" s="6">
        <v>1.91</v>
      </c>
      <c r="AA16" s="6">
        <v>2.44</v>
      </c>
      <c r="AB16" s="6">
        <v>3.43</v>
      </c>
      <c r="AC16" s="6">
        <v>1.69</v>
      </c>
      <c r="AD16" s="6">
        <v>1.65</v>
      </c>
      <c r="AE16" s="6">
        <v>3.25</v>
      </c>
      <c r="AF16" s="6">
        <v>2.58</v>
      </c>
      <c r="AG16" s="6">
        <v>4.13</v>
      </c>
      <c r="AH16" s="6">
        <v>1.92</v>
      </c>
      <c r="AI16" s="6">
        <v>3.06</v>
      </c>
      <c r="AJ16" s="6">
        <v>1.8</v>
      </c>
      <c r="AK16" s="6">
        <v>3.23</v>
      </c>
      <c r="AL16" s="6">
        <v>1.81</v>
      </c>
      <c r="AM16" s="6">
        <v>1.61</v>
      </c>
      <c r="AN16" s="6">
        <v>1.95</v>
      </c>
      <c r="AO16" s="6">
        <v>2.77</v>
      </c>
      <c r="AP16" s="6">
        <v>1.95</v>
      </c>
      <c r="AQ16" s="6">
        <v>2.2000000000000002</v>
      </c>
      <c r="AR16" s="6">
        <v>2.16</v>
      </c>
      <c r="AS16" s="6">
        <v>2.37</v>
      </c>
      <c r="AT16" s="6">
        <v>2.44</v>
      </c>
      <c r="AU16" s="6">
        <v>2.0099999999999998</v>
      </c>
      <c r="AV16" s="6">
        <v>2.81</v>
      </c>
      <c r="AW16" s="6">
        <v>2.27</v>
      </c>
      <c r="AX16" s="6">
        <v>3.53</v>
      </c>
      <c r="AY16" s="6">
        <v>1.86</v>
      </c>
      <c r="AZ16" s="6">
        <v>3.89</v>
      </c>
      <c r="BA16" s="6">
        <v>2.67</v>
      </c>
      <c r="BB16" s="6">
        <v>2.4300000000000002</v>
      </c>
      <c r="BC16" s="6">
        <v>2.4300000000000002</v>
      </c>
      <c r="BD16" s="6">
        <v>2.6245599999999998</v>
      </c>
      <c r="BE16" s="6">
        <v>2.5099999999999998</v>
      </c>
      <c r="BF16" s="6">
        <v>3.78</v>
      </c>
      <c r="BG16" s="6">
        <v>1.77</v>
      </c>
      <c r="BH16" s="6">
        <v>3.53</v>
      </c>
      <c r="BI16" s="7">
        <v>2.2999999999999998</v>
      </c>
      <c r="BJ16" s="7">
        <v>2.74</v>
      </c>
      <c r="BK16" s="7">
        <v>3.57</v>
      </c>
      <c r="BL16" s="7">
        <v>1.99</v>
      </c>
      <c r="BM16" s="7">
        <v>3.3</v>
      </c>
      <c r="BN16" s="7">
        <v>3.06</v>
      </c>
      <c r="BO16" s="7">
        <v>2.99</v>
      </c>
      <c r="BP16" s="7">
        <v>2.89</v>
      </c>
      <c r="BQ16" s="7">
        <v>3.45</v>
      </c>
      <c r="BR16" s="7">
        <v>3.84</v>
      </c>
      <c r="BS16" s="7">
        <v>1.84</v>
      </c>
      <c r="BT16" s="7">
        <v>3.39</v>
      </c>
      <c r="BU16" s="7">
        <v>4.3099999999999996</v>
      </c>
      <c r="BV16" s="7">
        <v>2.5500000000000003</v>
      </c>
      <c r="BW16" s="7">
        <v>2.56</v>
      </c>
      <c r="BX16" s="7">
        <v>2.39</v>
      </c>
      <c r="BY16" s="7">
        <v>2.4900000000000002</v>
      </c>
      <c r="BZ16" s="7">
        <v>3.91</v>
      </c>
      <c r="CA16" s="7">
        <v>2.4300000000000002</v>
      </c>
      <c r="CB16" s="7">
        <v>1.73</v>
      </c>
      <c r="CC16" s="7">
        <v>2.98</v>
      </c>
      <c r="CD16" s="7">
        <v>4.3099999999999996</v>
      </c>
      <c r="CE16" s="7">
        <v>2.34</v>
      </c>
      <c r="CF16" s="7">
        <v>3.54</v>
      </c>
      <c r="CG16" s="7">
        <v>2.2599999999999998</v>
      </c>
      <c r="CH16" s="7">
        <v>2.9800000000000004</v>
      </c>
    </row>
    <row r="17" spans="1:86" ht="15.75" x14ac:dyDescent="0.25">
      <c r="A17" s="4">
        <v>16</v>
      </c>
      <c r="B17" s="2"/>
      <c r="C17" s="4">
        <v>16</v>
      </c>
      <c r="D17" s="6">
        <v>3.33</v>
      </c>
      <c r="E17" s="6">
        <v>2.08</v>
      </c>
      <c r="F17" s="6">
        <v>2.0299999999999998</v>
      </c>
      <c r="G17" s="6">
        <v>1.73</v>
      </c>
      <c r="H17" s="6">
        <v>2.23</v>
      </c>
      <c r="I17" s="6">
        <v>1.18</v>
      </c>
      <c r="J17" s="6">
        <v>1.63</v>
      </c>
      <c r="K17" s="6">
        <v>3.03</v>
      </c>
      <c r="L17" s="6">
        <v>2.98</v>
      </c>
      <c r="M17" s="6">
        <v>2.83</v>
      </c>
      <c r="N17" s="6">
        <v>2.23</v>
      </c>
      <c r="O17" s="6">
        <v>3.03</v>
      </c>
      <c r="P17" s="6">
        <v>3.73</v>
      </c>
      <c r="Q17" s="6">
        <v>3.28</v>
      </c>
      <c r="R17" s="6">
        <v>2.63</v>
      </c>
      <c r="S17" s="6">
        <v>2.08</v>
      </c>
      <c r="T17" s="6">
        <v>1.26</v>
      </c>
      <c r="U17" s="6">
        <v>3.03</v>
      </c>
      <c r="V17" s="6">
        <v>2.2599999999999998</v>
      </c>
      <c r="W17" s="6">
        <v>2.09</v>
      </c>
      <c r="X17" s="6">
        <v>1.76</v>
      </c>
      <c r="Y17" s="6">
        <v>1.69</v>
      </c>
      <c r="Z17" s="6">
        <v>1.91</v>
      </c>
      <c r="AA17" s="6">
        <v>2.3199999999999998</v>
      </c>
      <c r="AB17" s="6">
        <v>3.35</v>
      </c>
      <c r="AC17" s="6">
        <v>1.68</v>
      </c>
      <c r="AD17" s="6">
        <v>1.84</v>
      </c>
      <c r="AE17" s="6">
        <v>3.27</v>
      </c>
      <c r="AF17" s="6">
        <v>2.78</v>
      </c>
      <c r="AG17" s="6">
        <v>4.18</v>
      </c>
      <c r="AH17" s="6">
        <v>1.86</v>
      </c>
      <c r="AI17" s="6">
        <v>2.81</v>
      </c>
      <c r="AJ17" s="6">
        <v>1.73</v>
      </c>
      <c r="AK17" s="6">
        <v>2.99</v>
      </c>
      <c r="AL17" s="6">
        <v>1.78</v>
      </c>
      <c r="AM17" s="6">
        <v>1.49</v>
      </c>
      <c r="AN17" s="6">
        <v>1.83</v>
      </c>
      <c r="AO17" s="6">
        <v>2.7</v>
      </c>
      <c r="AP17" s="6">
        <v>1.88</v>
      </c>
      <c r="AQ17" s="6">
        <v>2.08</v>
      </c>
      <c r="AR17" s="6">
        <v>2.2200000000000002</v>
      </c>
      <c r="AS17" s="6">
        <v>2.2999999999999998</v>
      </c>
      <c r="AT17" s="6">
        <v>2.4500000000000002</v>
      </c>
      <c r="AU17" s="6">
        <v>1.89</v>
      </c>
      <c r="AV17" s="6">
        <v>2.77</v>
      </c>
      <c r="AW17" s="6">
        <v>2.23</v>
      </c>
      <c r="AX17" s="6">
        <v>3.53</v>
      </c>
      <c r="AY17" s="6">
        <v>1.8</v>
      </c>
      <c r="AZ17" s="6">
        <v>3.83</v>
      </c>
      <c r="BA17" s="6">
        <v>2.62</v>
      </c>
      <c r="BB17" s="6">
        <v>2.4</v>
      </c>
      <c r="BC17" s="6">
        <v>2.38</v>
      </c>
      <c r="BD17" s="6">
        <v>2.50264</v>
      </c>
      <c r="BE17" s="6">
        <v>2.5299999999999998</v>
      </c>
      <c r="BF17" s="6">
        <v>3.59</v>
      </c>
      <c r="BG17" s="6">
        <v>1.77</v>
      </c>
      <c r="BH17" s="6">
        <v>3.63</v>
      </c>
      <c r="BI17" s="7">
        <v>2.2200000000000002</v>
      </c>
      <c r="BJ17" s="7">
        <v>2.71</v>
      </c>
      <c r="BK17" s="7">
        <v>3.47</v>
      </c>
      <c r="BL17" s="7">
        <v>1.97</v>
      </c>
      <c r="BM17" s="7">
        <v>3.19</v>
      </c>
      <c r="BN17" s="7">
        <v>2.9</v>
      </c>
      <c r="BO17" s="7">
        <v>2.91</v>
      </c>
      <c r="BP17" s="7">
        <v>2.9</v>
      </c>
      <c r="BQ17" s="7">
        <v>3.45</v>
      </c>
      <c r="BR17" s="7">
        <v>3.58</v>
      </c>
      <c r="BS17" s="7">
        <v>1.8</v>
      </c>
      <c r="BT17" s="7">
        <v>3.29</v>
      </c>
      <c r="BU17" s="7">
        <v>4.12</v>
      </c>
      <c r="BV17" s="7">
        <v>2.5100000000000002</v>
      </c>
      <c r="BW17" s="7">
        <v>2.5</v>
      </c>
      <c r="BX17" s="7">
        <v>2.39</v>
      </c>
      <c r="BY17" s="7">
        <v>2.41</v>
      </c>
      <c r="BZ17" s="7">
        <v>3.8400000000000003</v>
      </c>
      <c r="CA17" s="7">
        <v>2.48</v>
      </c>
      <c r="CB17" s="7">
        <v>1.73</v>
      </c>
      <c r="CC17" s="7">
        <v>2.8000000000000003</v>
      </c>
      <c r="CD17" s="7">
        <v>4.3</v>
      </c>
      <c r="CE17" s="7">
        <v>2.29</v>
      </c>
      <c r="CF17" s="7">
        <v>3.48</v>
      </c>
      <c r="CG17" s="7">
        <v>2.15</v>
      </c>
      <c r="CH17" s="7">
        <v>2.8</v>
      </c>
    </row>
    <row r="18" spans="1:86" ht="15.75" x14ac:dyDescent="0.25">
      <c r="A18" s="4">
        <v>17</v>
      </c>
      <c r="B18" s="2"/>
      <c r="C18" s="4">
        <v>17</v>
      </c>
      <c r="D18" s="6">
        <v>3.33</v>
      </c>
      <c r="E18" s="6">
        <v>2.0299999999999998</v>
      </c>
      <c r="F18" s="6">
        <v>1.98</v>
      </c>
      <c r="G18" s="6">
        <v>1.78</v>
      </c>
      <c r="H18" s="6">
        <v>2.23</v>
      </c>
      <c r="I18" s="6">
        <v>1.18</v>
      </c>
      <c r="J18" s="6">
        <v>1.63</v>
      </c>
      <c r="K18" s="6">
        <v>2.93</v>
      </c>
      <c r="L18" s="6">
        <v>2.73</v>
      </c>
      <c r="M18" s="6">
        <v>2.68</v>
      </c>
      <c r="N18" s="6">
        <v>2.23</v>
      </c>
      <c r="O18" s="6">
        <v>2.93</v>
      </c>
      <c r="P18" s="6">
        <v>3.63</v>
      </c>
      <c r="Q18" s="6">
        <v>3.23</v>
      </c>
      <c r="R18" s="6">
        <v>2.5299999999999998</v>
      </c>
      <c r="S18" s="6">
        <v>2.0299999999999998</v>
      </c>
      <c r="T18" s="6">
        <v>1.1100000000000001</v>
      </c>
      <c r="U18" s="6">
        <v>2.98</v>
      </c>
      <c r="V18" s="6">
        <v>2.21</v>
      </c>
      <c r="W18" s="6">
        <v>2.0099999999999998</v>
      </c>
      <c r="X18" s="6">
        <v>1.71</v>
      </c>
      <c r="Y18" s="6">
        <v>1.66</v>
      </c>
      <c r="Z18" s="6">
        <v>1.91</v>
      </c>
      <c r="AA18" s="6">
        <v>2.23</v>
      </c>
      <c r="AB18" s="6">
        <v>3.33</v>
      </c>
      <c r="AC18" s="6">
        <v>1.68</v>
      </c>
      <c r="AD18" s="6">
        <v>1.79</v>
      </c>
      <c r="AE18" s="6">
        <v>3.28</v>
      </c>
      <c r="AF18" s="6">
        <v>2.9</v>
      </c>
      <c r="AG18" s="6">
        <v>4.0599999999999996</v>
      </c>
      <c r="AH18" s="6">
        <v>1.83</v>
      </c>
      <c r="AI18" s="6">
        <v>2.62</v>
      </c>
      <c r="AJ18" s="6">
        <v>1.75</v>
      </c>
      <c r="AK18" s="6">
        <v>2.88</v>
      </c>
      <c r="AL18" s="6">
        <v>1.73</v>
      </c>
      <c r="AM18" s="6">
        <v>1.39</v>
      </c>
      <c r="AN18" s="6">
        <v>1.84</v>
      </c>
      <c r="AO18" s="6">
        <v>2.63</v>
      </c>
      <c r="AP18" s="6">
        <v>1.76</v>
      </c>
      <c r="AQ18" s="6">
        <v>1.98</v>
      </c>
      <c r="AR18" s="6">
        <v>2.2000000000000002</v>
      </c>
      <c r="AS18" s="6">
        <v>2.12</v>
      </c>
      <c r="AT18" s="6">
        <v>2.42</v>
      </c>
      <c r="AU18" s="6">
        <v>1.82</v>
      </c>
      <c r="AV18" s="6">
        <v>2.71</v>
      </c>
      <c r="AW18" s="6">
        <v>2.17</v>
      </c>
      <c r="AX18" s="6">
        <v>3.53</v>
      </c>
      <c r="AY18" s="6">
        <v>1.8</v>
      </c>
      <c r="AZ18" s="6">
        <v>3.73</v>
      </c>
      <c r="BA18" s="6">
        <v>2.62</v>
      </c>
      <c r="BB18" s="6">
        <v>2.29</v>
      </c>
      <c r="BC18" s="6">
        <v>2.2599999999999998</v>
      </c>
      <c r="BD18" s="6">
        <v>2.4112</v>
      </c>
      <c r="BE18" s="6">
        <v>2.5099999999999998</v>
      </c>
      <c r="BF18" s="6">
        <v>3.5</v>
      </c>
      <c r="BG18" s="6">
        <v>1.74</v>
      </c>
      <c r="BH18" s="6">
        <v>3.63</v>
      </c>
      <c r="BI18" s="7">
        <v>2.23</v>
      </c>
      <c r="BJ18" s="7">
        <v>2.67</v>
      </c>
      <c r="BK18" s="7">
        <v>3.31</v>
      </c>
      <c r="BL18" s="7">
        <v>1.94</v>
      </c>
      <c r="BM18" s="7">
        <v>3.14</v>
      </c>
      <c r="BN18" s="7">
        <v>2.75</v>
      </c>
      <c r="BO18" s="7">
        <v>2.95</v>
      </c>
      <c r="BP18" s="7">
        <v>2.87</v>
      </c>
      <c r="BQ18" s="7">
        <v>3.25</v>
      </c>
      <c r="BR18" s="7">
        <v>3.46</v>
      </c>
      <c r="BS18" s="7">
        <v>1.74</v>
      </c>
      <c r="BT18" s="7">
        <v>3.23</v>
      </c>
      <c r="BU18" s="7">
        <v>4</v>
      </c>
      <c r="BV18" s="7">
        <v>2.4700000000000002</v>
      </c>
      <c r="BW18" s="7">
        <v>2.5300000000000002</v>
      </c>
      <c r="BX18" s="7">
        <v>2.29</v>
      </c>
      <c r="BY18" s="7">
        <v>2.33</v>
      </c>
      <c r="BZ18" s="7">
        <v>3.77</v>
      </c>
      <c r="CA18" s="7">
        <v>2.5</v>
      </c>
      <c r="CB18" s="7">
        <v>1.86</v>
      </c>
      <c r="CC18" s="7">
        <v>2.71</v>
      </c>
      <c r="CD18" s="7">
        <v>4.29</v>
      </c>
      <c r="CE18" s="7">
        <v>2.31</v>
      </c>
      <c r="CF18" s="7">
        <v>3.35</v>
      </c>
      <c r="CG18" s="7">
        <v>2.08</v>
      </c>
      <c r="CH18" s="7">
        <v>2.84</v>
      </c>
    </row>
    <row r="19" spans="1:86" ht="15.75" x14ac:dyDescent="0.25">
      <c r="A19" s="4">
        <v>18</v>
      </c>
      <c r="B19" s="2"/>
      <c r="C19" s="4">
        <v>18</v>
      </c>
      <c r="D19" s="6">
        <v>3.28</v>
      </c>
      <c r="E19" s="6">
        <v>1.93</v>
      </c>
      <c r="F19" s="6">
        <v>1.93</v>
      </c>
      <c r="G19" s="6">
        <v>1.78</v>
      </c>
      <c r="H19" s="6">
        <v>2.1800000000000002</v>
      </c>
      <c r="I19" s="6">
        <v>1.18</v>
      </c>
      <c r="J19" s="6">
        <v>1.68</v>
      </c>
      <c r="K19" s="6">
        <v>2.93</v>
      </c>
      <c r="L19" s="6">
        <v>2.73</v>
      </c>
      <c r="M19" s="6">
        <v>2.63</v>
      </c>
      <c r="N19" s="6">
        <v>2.1800000000000002</v>
      </c>
      <c r="O19" s="6">
        <v>2.98</v>
      </c>
      <c r="P19" s="6">
        <v>3.53</v>
      </c>
      <c r="Q19" s="6">
        <v>3.13</v>
      </c>
      <c r="R19" s="6">
        <v>2.48</v>
      </c>
      <c r="S19" s="6">
        <v>1.98</v>
      </c>
      <c r="T19" s="6">
        <v>1.01</v>
      </c>
      <c r="U19" s="6">
        <v>2.93</v>
      </c>
      <c r="V19" s="6">
        <v>2.16</v>
      </c>
      <c r="W19" s="6">
        <v>1.96</v>
      </c>
      <c r="X19" s="6">
        <v>1.66</v>
      </c>
      <c r="Y19" s="6">
        <v>1.66</v>
      </c>
      <c r="Z19" s="6">
        <v>1.99</v>
      </c>
      <c r="AA19" s="6">
        <v>2.13</v>
      </c>
      <c r="AB19" s="6">
        <v>3.4</v>
      </c>
      <c r="AC19" s="6">
        <v>1.63</v>
      </c>
      <c r="AD19" s="6">
        <v>1.78</v>
      </c>
      <c r="AE19" s="6">
        <v>3.36</v>
      </c>
      <c r="AF19" s="6">
        <v>2.84</v>
      </c>
      <c r="AG19" s="6">
        <v>4</v>
      </c>
      <c r="AH19" s="6">
        <v>1.79</v>
      </c>
      <c r="AI19" s="6">
        <v>2.4500000000000002</v>
      </c>
      <c r="AJ19" s="6">
        <v>1.81</v>
      </c>
      <c r="AK19" s="6">
        <v>2.81</v>
      </c>
      <c r="AL19" s="6">
        <v>1.72</v>
      </c>
      <c r="AM19" s="6">
        <v>1.39</v>
      </c>
      <c r="AN19" s="6">
        <v>1.8</v>
      </c>
      <c r="AO19" s="6">
        <v>2.57</v>
      </c>
      <c r="AP19" s="6">
        <v>1.59</v>
      </c>
      <c r="AQ19" s="6">
        <v>1.88</v>
      </c>
      <c r="AR19" s="6">
        <v>2.0699999999999998</v>
      </c>
      <c r="AS19" s="6">
        <v>2.11</v>
      </c>
      <c r="AT19" s="6">
        <v>2.34</v>
      </c>
      <c r="AU19" s="6">
        <v>1.75</v>
      </c>
      <c r="AV19" s="6">
        <v>2.63</v>
      </c>
      <c r="AW19" s="6">
        <v>2.0699999999999998</v>
      </c>
      <c r="AX19" s="6">
        <v>3.58</v>
      </c>
      <c r="AY19" s="6">
        <v>1.8</v>
      </c>
      <c r="AZ19" s="6">
        <v>3.57</v>
      </c>
      <c r="BA19" s="6">
        <v>2.62</v>
      </c>
      <c r="BB19" s="6">
        <v>2.1800000000000002</v>
      </c>
      <c r="BC19" s="6">
        <v>2.31</v>
      </c>
      <c r="BD19" s="6">
        <v>2.4416799999999999</v>
      </c>
      <c r="BE19" s="6">
        <v>2.4900000000000002</v>
      </c>
      <c r="BF19" s="6">
        <v>3.41</v>
      </c>
      <c r="BG19" s="6">
        <v>1.68</v>
      </c>
      <c r="BH19" s="6">
        <v>3.63</v>
      </c>
      <c r="BI19" s="7">
        <v>2.1800000000000002</v>
      </c>
      <c r="BJ19" s="7">
        <v>2.57</v>
      </c>
      <c r="BK19" s="7">
        <v>3.15</v>
      </c>
      <c r="BL19" s="7">
        <v>2</v>
      </c>
      <c r="BM19" s="7">
        <v>3</v>
      </c>
      <c r="BN19" s="7">
        <v>2.75</v>
      </c>
      <c r="BO19" s="7">
        <v>2.9</v>
      </c>
      <c r="BP19" s="7">
        <v>2.85</v>
      </c>
      <c r="BQ19" s="7">
        <v>3.25</v>
      </c>
      <c r="BR19" s="7">
        <v>3.56</v>
      </c>
      <c r="BS19" s="7">
        <v>1.74</v>
      </c>
      <c r="BT19" s="7">
        <v>3.21</v>
      </c>
      <c r="BU19" s="7">
        <v>3.99</v>
      </c>
      <c r="BV19" s="7">
        <v>2.34</v>
      </c>
      <c r="BW19" s="7">
        <v>2.54</v>
      </c>
      <c r="BX19" s="7">
        <v>2.23</v>
      </c>
      <c r="BY19" s="7">
        <v>2.2200000000000002</v>
      </c>
      <c r="BZ19" s="7">
        <v>3.62</v>
      </c>
      <c r="CA19" s="7">
        <v>2.38</v>
      </c>
      <c r="CB19" s="7">
        <v>1.75</v>
      </c>
      <c r="CC19" s="7">
        <v>2.6700000000000004</v>
      </c>
      <c r="CD19" s="7">
        <v>4.28</v>
      </c>
      <c r="CE19" s="7">
        <v>2.3199999999999998</v>
      </c>
      <c r="CF19" s="7">
        <v>3.13</v>
      </c>
      <c r="CG19" s="7">
        <v>2.0299999999999998</v>
      </c>
      <c r="CH19" s="7">
        <v>2.7800000000000002</v>
      </c>
    </row>
    <row r="20" spans="1:86" ht="15.75" x14ac:dyDescent="0.25">
      <c r="A20" s="4">
        <v>19</v>
      </c>
      <c r="B20" s="2"/>
      <c r="C20" s="4">
        <v>19</v>
      </c>
      <c r="D20" s="6">
        <v>3.28</v>
      </c>
      <c r="E20" s="6">
        <v>1.98</v>
      </c>
      <c r="F20" s="6">
        <v>1.83</v>
      </c>
      <c r="G20" s="6">
        <v>1.73</v>
      </c>
      <c r="H20" s="6">
        <v>2.1800000000000002</v>
      </c>
      <c r="I20" s="6">
        <v>1.18</v>
      </c>
      <c r="J20" s="6">
        <v>1.68</v>
      </c>
      <c r="K20" s="6">
        <v>2.93</v>
      </c>
      <c r="L20" s="6">
        <v>2.5299999999999998</v>
      </c>
      <c r="M20" s="6">
        <v>2.5499999999999998</v>
      </c>
      <c r="N20" s="6">
        <v>2.1800000000000002</v>
      </c>
      <c r="O20" s="6">
        <v>2.73</v>
      </c>
      <c r="P20" s="6">
        <v>3.33</v>
      </c>
      <c r="Q20" s="6">
        <v>2.99</v>
      </c>
      <c r="R20" s="6">
        <v>2.4300000000000002</v>
      </c>
      <c r="S20" s="6">
        <v>1.98</v>
      </c>
      <c r="T20" s="6">
        <v>0.91</v>
      </c>
      <c r="U20" s="6">
        <v>2.88</v>
      </c>
      <c r="V20" s="6">
        <v>2.11</v>
      </c>
      <c r="W20" s="6">
        <v>1.91</v>
      </c>
      <c r="X20" s="6">
        <v>1.61</v>
      </c>
      <c r="Y20" s="6">
        <v>1.51</v>
      </c>
      <c r="Z20" s="6">
        <v>2.0099999999999998</v>
      </c>
      <c r="AA20" s="6">
        <v>2.1</v>
      </c>
      <c r="AB20" s="6">
        <v>3.41</v>
      </c>
      <c r="AC20" s="6">
        <v>1.61</v>
      </c>
      <c r="AD20" s="6">
        <v>2.0099999999999998</v>
      </c>
      <c r="AE20" s="6">
        <v>3.45</v>
      </c>
      <c r="AF20" s="6">
        <v>2.81</v>
      </c>
      <c r="AG20" s="6">
        <v>3.96</v>
      </c>
      <c r="AH20" s="6">
        <v>1.84</v>
      </c>
      <c r="AI20" s="6">
        <v>2.4300000000000002</v>
      </c>
      <c r="AJ20" s="6">
        <v>1.86</v>
      </c>
      <c r="AK20" s="6">
        <v>2.77</v>
      </c>
      <c r="AL20" s="6">
        <v>1.71</v>
      </c>
      <c r="AM20" s="6">
        <v>1.31</v>
      </c>
      <c r="AN20" s="6">
        <v>1.71</v>
      </c>
      <c r="AO20" s="6">
        <v>2.5099999999999998</v>
      </c>
      <c r="AP20" s="6">
        <v>1.54</v>
      </c>
      <c r="AQ20" s="6">
        <v>1.88</v>
      </c>
      <c r="AR20" s="6">
        <v>1.97</v>
      </c>
      <c r="AS20" s="6">
        <v>2.08</v>
      </c>
      <c r="AT20" s="6">
        <v>2.25</v>
      </c>
      <c r="AU20" s="6">
        <v>1.63</v>
      </c>
      <c r="AV20" s="6">
        <v>2.5499999999999998</v>
      </c>
      <c r="AW20" s="6">
        <v>2.11</v>
      </c>
      <c r="AX20" s="6">
        <v>3.61</v>
      </c>
      <c r="AY20" s="6">
        <v>1.81</v>
      </c>
      <c r="AZ20" s="6">
        <v>3.45</v>
      </c>
      <c r="BA20" s="6">
        <v>2.6</v>
      </c>
      <c r="BB20" s="6">
        <v>2.19</v>
      </c>
      <c r="BC20" s="6">
        <v>2.2200000000000002</v>
      </c>
      <c r="BD20" s="6">
        <v>2.4416799999999999</v>
      </c>
      <c r="BE20" s="6">
        <v>2.44</v>
      </c>
      <c r="BF20" s="6">
        <v>3.26</v>
      </c>
      <c r="BG20" s="6">
        <v>1.68</v>
      </c>
      <c r="BH20" s="6">
        <v>3.63</v>
      </c>
      <c r="BI20" s="7">
        <v>2.21</v>
      </c>
      <c r="BJ20" s="7">
        <v>2.52</v>
      </c>
      <c r="BK20" s="7">
        <v>3.08</v>
      </c>
      <c r="BL20" s="7">
        <v>2.0499999999999998</v>
      </c>
      <c r="BM20" s="7">
        <v>2.87</v>
      </c>
      <c r="BN20" s="7">
        <v>2.76</v>
      </c>
      <c r="BO20" s="7">
        <v>2.84</v>
      </c>
      <c r="BP20" s="7">
        <v>2.81</v>
      </c>
      <c r="BQ20" s="7">
        <v>3.09</v>
      </c>
      <c r="BR20" s="7">
        <v>3.5</v>
      </c>
      <c r="BS20" s="7">
        <v>1.72</v>
      </c>
      <c r="BT20" s="7">
        <v>3.21</v>
      </c>
      <c r="BU20" s="7">
        <v>3.85</v>
      </c>
      <c r="BV20" s="7">
        <v>2.29</v>
      </c>
      <c r="BW20" s="7">
        <v>2.5</v>
      </c>
      <c r="BX20" s="7">
        <v>2.1800000000000002</v>
      </c>
      <c r="BY20" s="7">
        <v>2.17</v>
      </c>
      <c r="BZ20" s="7">
        <v>3.48</v>
      </c>
      <c r="CA20" s="7">
        <v>2.38</v>
      </c>
      <c r="CB20" s="7">
        <v>1.78</v>
      </c>
      <c r="CC20" s="7">
        <v>2.5700000000000003</v>
      </c>
      <c r="CD20" s="7">
        <v>4.28</v>
      </c>
      <c r="CE20" s="7">
        <v>2.29</v>
      </c>
      <c r="CF20" s="7">
        <v>2.92</v>
      </c>
      <c r="CG20" s="7">
        <v>1.95</v>
      </c>
      <c r="CH20" s="7">
        <v>2.7800000000000002</v>
      </c>
    </row>
    <row r="21" spans="1:86" ht="15.75" customHeight="1" x14ac:dyDescent="0.25">
      <c r="A21" s="4">
        <v>20</v>
      </c>
      <c r="B21" s="2"/>
      <c r="C21" s="4">
        <v>20</v>
      </c>
      <c r="D21" s="6">
        <v>3.33</v>
      </c>
      <c r="E21" s="6">
        <v>1.93</v>
      </c>
      <c r="F21" s="6">
        <v>1.78</v>
      </c>
      <c r="G21" s="6">
        <v>1.78</v>
      </c>
      <c r="H21" s="6">
        <v>2.1800000000000002</v>
      </c>
      <c r="I21" s="6">
        <v>1.1299999999999999</v>
      </c>
      <c r="J21" s="6">
        <v>1.68</v>
      </c>
      <c r="K21" s="6">
        <v>2.93</v>
      </c>
      <c r="L21" s="6">
        <v>2.38</v>
      </c>
      <c r="M21" s="6">
        <v>2.4700000000000002</v>
      </c>
      <c r="N21" s="6">
        <v>2.13</v>
      </c>
      <c r="O21" s="6">
        <v>2.78</v>
      </c>
      <c r="P21" s="6">
        <v>3.18</v>
      </c>
      <c r="Q21" s="6">
        <v>2.88</v>
      </c>
      <c r="R21" s="6">
        <v>2.36</v>
      </c>
      <c r="S21" s="6">
        <v>1.98</v>
      </c>
      <c r="T21" s="6">
        <v>0.81</v>
      </c>
      <c r="U21" s="6">
        <v>2.88</v>
      </c>
      <c r="V21" s="6">
        <v>2.08</v>
      </c>
      <c r="W21" s="6">
        <v>1.91</v>
      </c>
      <c r="X21" s="6">
        <v>1.56</v>
      </c>
      <c r="Y21" s="6">
        <v>1.51</v>
      </c>
      <c r="Z21" s="6">
        <v>2.09</v>
      </c>
      <c r="AA21" s="6">
        <v>2.06</v>
      </c>
      <c r="AB21" s="6">
        <v>3.37</v>
      </c>
      <c r="AC21" s="6">
        <v>1.58</v>
      </c>
      <c r="AD21" s="6">
        <v>2.11</v>
      </c>
      <c r="AE21" s="6">
        <v>3.37</v>
      </c>
      <c r="AF21" s="6">
        <v>2.75</v>
      </c>
      <c r="AG21" s="6">
        <v>3.87</v>
      </c>
      <c r="AH21" s="6">
        <v>1.81</v>
      </c>
      <c r="AI21" s="6">
        <v>2.33</v>
      </c>
      <c r="AJ21" s="6">
        <v>1.88</v>
      </c>
      <c r="AK21" s="6">
        <v>2.81</v>
      </c>
      <c r="AL21" s="6">
        <v>1.65</v>
      </c>
      <c r="AM21" s="6">
        <v>1.31</v>
      </c>
      <c r="AN21" s="6">
        <v>1.67</v>
      </c>
      <c r="AO21" s="6">
        <v>2.46</v>
      </c>
      <c r="AP21" s="6">
        <v>1.5</v>
      </c>
      <c r="AQ21" s="6">
        <v>1.82</v>
      </c>
      <c r="AR21" s="6">
        <v>1.89</v>
      </c>
      <c r="AS21" s="6">
        <v>2.0499999999999998</v>
      </c>
      <c r="AT21" s="6">
        <v>2.15</v>
      </c>
      <c r="AU21" s="6">
        <v>1.57</v>
      </c>
      <c r="AV21" s="6">
        <v>2.5299999999999998</v>
      </c>
      <c r="AW21" s="6">
        <v>2.09</v>
      </c>
      <c r="AX21" s="6">
        <v>3.79</v>
      </c>
      <c r="AY21" s="6">
        <v>1.65</v>
      </c>
      <c r="AZ21" s="6">
        <v>3.39</v>
      </c>
      <c r="BA21" s="6">
        <v>2.58</v>
      </c>
      <c r="BB21" s="6">
        <v>2.31</v>
      </c>
      <c r="BC21" s="6">
        <v>2.19</v>
      </c>
      <c r="BD21" s="6">
        <v>2.3807200000000002</v>
      </c>
      <c r="BE21" s="6">
        <v>2.41</v>
      </c>
      <c r="BF21" s="6">
        <v>3.17</v>
      </c>
      <c r="BG21" s="6">
        <v>1.59</v>
      </c>
      <c r="BH21" s="6">
        <v>3.63</v>
      </c>
      <c r="BI21" s="7">
        <v>2.23</v>
      </c>
      <c r="BJ21" s="7">
        <v>2.41</v>
      </c>
      <c r="BK21" s="7">
        <v>2.87</v>
      </c>
      <c r="BL21" s="7">
        <v>2</v>
      </c>
      <c r="BM21" s="7">
        <v>2.95</v>
      </c>
      <c r="BN21" s="7">
        <v>2.71</v>
      </c>
      <c r="BO21" s="7">
        <v>2.81</v>
      </c>
      <c r="BP21" s="7">
        <v>2.81</v>
      </c>
      <c r="BQ21" s="7">
        <v>3.09</v>
      </c>
      <c r="BR21" s="7">
        <v>3.39</v>
      </c>
      <c r="BS21" s="7">
        <v>1.69</v>
      </c>
      <c r="BT21" s="7">
        <v>3.26</v>
      </c>
      <c r="BU21" s="7">
        <v>3.74</v>
      </c>
      <c r="BV21" s="7">
        <v>2.2200000000000002</v>
      </c>
      <c r="BW21" s="7">
        <v>2.4300000000000002</v>
      </c>
      <c r="BX21" s="7">
        <v>2.1800000000000002</v>
      </c>
      <c r="BY21" s="7">
        <v>2.08</v>
      </c>
      <c r="BZ21" s="7">
        <v>3.46</v>
      </c>
      <c r="CA21" s="7">
        <v>2.35</v>
      </c>
      <c r="CB21" s="7">
        <v>1.85</v>
      </c>
      <c r="CC21" s="7">
        <v>2.4900000000000002</v>
      </c>
      <c r="CD21" s="7">
        <v>4.2699999999999996</v>
      </c>
      <c r="CE21" s="7">
        <v>2.29</v>
      </c>
      <c r="CF21" s="7">
        <v>2.7</v>
      </c>
      <c r="CG21" s="7">
        <v>1.88</v>
      </c>
      <c r="CH21" s="7">
        <v>2.67</v>
      </c>
    </row>
    <row r="22" spans="1:86" ht="15.75" customHeight="1" x14ac:dyDescent="0.25">
      <c r="A22" s="4">
        <v>21</v>
      </c>
      <c r="B22" s="2"/>
      <c r="C22" s="4">
        <v>21</v>
      </c>
      <c r="D22" s="6">
        <v>3.33</v>
      </c>
      <c r="E22" s="6">
        <v>1.68</v>
      </c>
      <c r="F22" s="6">
        <v>1.68</v>
      </c>
      <c r="G22" s="6">
        <v>1.73</v>
      </c>
      <c r="H22" s="6">
        <v>2.1800000000000002</v>
      </c>
      <c r="I22" s="6">
        <v>1.18</v>
      </c>
      <c r="J22" s="6">
        <v>1.58</v>
      </c>
      <c r="K22" s="6">
        <v>2.83</v>
      </c>
      <c r="L22" s="6">
        <v>2.33</v>
      </c>
      <c r="M22" s="6">
        <v>2.39</v>
      </c>
      <c r="N22" s="6">
        <v>2.08</v>
      </c>
      <c r="O22" s="6">
        <v>2.83</v>
      </c>
      <c r="P22" s="6">
        <v>3.08</v>
      </c>
      <c r="Q22" s="6">
        <v>2.83</v>
      </c>
      <c r="R22" s="6">
        <v>2.2799999999999998</v>
      </c>
      <c r="S22" s="6">
        <v>2.0299999999999998</v>
      </c>
      <c r="T22" s="6">
        <v>0.81</v>
      </c>
      <c r="U22" s="6">
        <v>2.88</v>
      </c>
      <c r="V22" s="6">
        <v>2.0099999999999998</v>
      </c>
      <c r="W22" s="6">
        <v>1.94</v>
      </c>
      <c r="X22" s="6">
        <v>1.51</v>
      </c>
      <c r="Y22" s="6">
        <v>1.49</v>
      </c>
      <c r="Z22" s="6">
        <v>2.06</v>
      </c>
      <c r="AA22" s="6">
        <v>2.04</v>
      </c>
      <c r="AB22" s="6">
        <v>3.25</v>
      </c>
      <c r="AC22" s="6">
        <v>1.57</v>
      </c>
      <c r="AD22" s="6">
        <v>2.16</v>
      </c>
      <c r="AE22" s="6">
        <v>3.31</v>
      </c>
      <c r="AF22" s="6">
        <v>2.4300000000000002</v>
      </c>
      <c r="AG22" s="6">
        <v>3.87</v>
      </c>
      <c r="AH22" s="6">
        <v>1.77</v>
      </c>
      <c r="AI22" s="6">
        <v>2.25</v>
      </c>
      <c r="AJ22" s="6">
        <v>1.83</v>
      </c>
      <c r="AK22" s="6">
        <v>2.84</v>
      </c>
      <c r="AL22" s="6">
        <v>1.6</v>
      </c>
      <c r="AM22" s="6">
        <v>1.25</v>
      </c>
      <c r="AN22" s="6">
        <v>1.55</v>
      </c>
      <c r="AO22" s="6">
        <v>2.39</v>
      </c>
      <c r="AP22" s="6">
        <v>1.5</v>
      </c>
      <c r="AQ22" s="6">
        <v>1.76</v>
      </c>
      <c r="AR22" s="6">
        <v>1.83</v>
      </c>
      <c r="AS22" s="6">
        <v>2.0299999999999998</v>
      </c>
      <c r="AT22" s="6">
        <v>2.09</v>
      </c>
      <c r="AU22" s="6">
        <v>1.55</v>
      </c>
      <c r="AV22" s="6">
        <v>2.52</v>
      </c>
      <c r="AW22" s="6">
        <v>2.0699999999999998</v>
      </c>
      <c r="AX22" s="6">
        <v>3.81</v>
      </c>
      <c r="AY22" s="6">
        <v>1.65</v>
      </c>
      <c r="AZ22" s="6">
        <v>3.13</v>
      </c>
      <c r="BA22" s="6">
        <v>2.56</v>
      </c>
      <c r="BB22" s="6">
        <v>2.2799999999999998</v>
      </c>
      <c r="BC22" s="6">
        <v>2.1</v>
      </c>
      <c r="BD22" s="6">
        <v>2.3502399999999999</v>
      </c>
      <c r="BE22" s="6">
        <v>2.41</v>
      </c>
      <c r="BF22" s="6">
        <v>3.17</v>
      </c>
      <c r="BG22" s="6">
        <v>1.59</v>
      </c>
      <c r="BH22" s="6">
        <v>3.48</v>
      </c>
      <c r="BI22" s="7">
        <v>2.2799999999999998</v>
      </c>
      <c r="BJ22" s="7">
        <v>2.37</v>
      </c>
      <c r="BK22" s="7">
        <v>2.83</v>
      </c>
      <c r="BL22" s="7">
        <v>1.96</v>
      </c>
      <c r="BM22" s="7">
        <v>2.94</v>
      </c>
      <c r="BN22" s="7">
        <v>2.71</v>
      </c>
      <c r="BO22" s="7">
        <v>2.83</v>
      </c>
      <c r="BP22" s="7">
        <v>2.76</v>
      </c>
      <c r="BQ22" s="7">
        <v>3</v>
      </c>
      <c r="BR22" s="7">
        <v>3.3</v>
      </c>
      <c r="BS22" s="7">
        <v>1.64</v>
      </c>
      <c r="BT22" s="7">
        <v>3.25</v>
      </c>
      <c r="BU22" s="7">
        <v>3.65</v>
      </c>
      <c r="BV22" s="7">
        <v>2.15</v>
      </c>
      <c r="BW22" s="7">
        <v>2.35</v>
      </c>
      <c r="BX22" s="7">
        <v>2.1800000000000002</v>
      </c>
      <c r="BY22" s="7">
        <v>2.04</v>
      </c>
      <c r="BZ22" s="7">
        <v>3.3400000000000003</v>
      </c>
      <c r="CA22" s="7">
        <v>2.27</v>
      </c>
      <c r="CB22" s="7">
        <v>1.83</v>
      </c>
      <c r="CC22" s="7">
        <v>2.4500000000000002</v>
      </c>
      <c r="CD22" s="7">
        <v>4.2699999999999996</v>
      </c>
      <c r="CE22" s="7">
        <v>2.13</v>
      </c>
      <c r="CF22" s="7">
        <v>2.64</v>
      </c>
      <c r="CG22" s="7">
        <v>1.77</v>
      </c>
      <c r="CH22" s="7">
        <v>2.5999999999999996</v>
      </c>
    </row>
    <row r="23" spans="1:86" ht="15.75" customHeight="1" x14ac:dyDescent="0.25">
      <c r="A23" s="4">
        <v>22</v>
      </c>
      <c r="B23" s="2"/>
      <c r="C23" s="4">
        <v>22</v>
      </c>
      <c r="D23" s="6">
        <v>3.28</v>
      </c>
      <c r="E23" s="6">
        <v>1.63</v>
      </c>
      <c r="F23" s="6">
        <v>1.53</v>
      </c>
      <c r="G23" s="6">
        <v>1.68</v>
      </c>
      <c r="H23" s="6">
        <v>2.13</v>
      </c>
      <c r="I23" s="6">
        <v>1.03</v>
      </c>
      <c r="J23" s="6">
        <v>1.48</v>
      </c>
      <c r="K23" s="6">
        <v>2.73</v>
      </c>
      <c r="L23" s="6">
        <v>2.23</v>
      </c>
      <c r="M23" s="6">
        <v>2.31</v>
      </c>
      <c r="N23" s="6">
        <v>1.98</v>
      </c>
      <c r="O23" s="6">
        <v>2.88</v>
      </c>
      <c r="P23" s="6">
        <v>2.98</v>
      </c>
      <c r="Q23" s="6">
        <v>2.73</v>
      </c>
      <c r="R23" s="6">
        <v>2.21</v>
      </c>
      <c r="S23" s="6">
        <v>1.93</v>
      </c>
      <c r="T23" s="6">
        <v>0.81</v>
      </c>
      <c r="U23" s="6">
        <v>2.83</v>
      </c>
      <c r="V23" s="6">
        <v>1.96</v>
      </c>
      <c r="W23" s="6">
        <v>1.86</v>
      </c>
      <c r="X23" s="6">
        <v>1.49</v>
      </c>
      <c r="Y23" s="6">
        <v>1.41</v>
      </c>
      <c r="Z23" s="6">
        <v>2.0099999999999998</v>
      </c>
      <c r="AA23" s="6">
        <v>2.02</v>
      </c>
      <c r="AB23" s="6">
        <v>3.11</v>
      </c>
      <c r="AC23" s="6">
        <v>1.53</v>
      </c>
      <c r="AD23" s="6">
        <v>2.12</v>
      </c>
      <c r="AE23" s="6">
        <v>3.58</v>
      </c>
      <c r="AF23" s="6">
        <v>2.33</v>
      </c>
      <c r="AG23" s="6">
        <v>3.88</v>
      </c>
      <c r="AH23" s="6">
        <v>1.73</v>
      </c>
      <c r="AI23" s="6">
        <v>2.17</v>
      </c>
      <c r="AJ23" s="6">
        <v>1.76</v>
      </c>
      <c r="AK23" s="6">
        <v>2.78</v>
      </c>
      <c r="AL23" s="6">
        <v>1.53</v>
      </c>
      <c r="AM23" s="6">
        <v>1.21</v>
      </c>
      <c r="AN23" s="6">
        <v>1.47</v>
      </c>
      <c r="AO23" s="6">
        <v>2.35</v>
      </c>
      <c r="AP23" s="6">
        <v>1.44</v>
      </c>
      <c r="AQ23" s="6">
        <v>1.75</v>
      </c>
      <c r="AR23" s="6">
        <v>1.79</v>
      </c>
      <c r="AS23" s="6">
        <v>1.96</v>
      </c>
      <c r="AT23" s="6">
        <v>2.0499999999999998</v>
      </c>
      <c r="AU23" s="6">
        <v>1.52</v>
      </c>
      <c r="AV23" s="6">
        <v>2.5499999999999998</v>
      </c>
      <c r="AW23" s="6">
        <v>2.0099999999999998</v>
      </c>
      <c r="AX23" s="6">
        <v>3.93</v>
      </c>
      <c r="AY23" s="6">
        <v>1.41</v>
      </c>
      <c r="AZ23" s="6">
        <v>3.05</v>
      </c>
      <c r="BA23" s="6">
        <v>2.6</v>
      </c>
      <c r="BB23" s="6">
        <v>2.29</v>
      </c>
      <c r="BC23" s="6">
        <v>2.0699999999999998</v>
      </c>
      <c r="BD23" s="6">
        <v>2.2892800000000002</v>
      </c>
      <c r="BE23" s="6">
        <v>2.37</v>
      </c>
      <c r="BF23" s="6">
        <v>3.17</v>
      </c>
      <c r="BG23" s="6">
        <v>1.53</v>
      </c>
      <c r="BH23" s="6">
        <v>3.35</v>
      </c>
      <c r="BI23" s="7">
        <v>2.25</v>
      </c>
      <c r="BJ23" s="7">
        <v>2.33</v>
      </c>
      <c r="BK23" s="7">
        <v>2.64</v>
      </c>
      <c r="BL23" s="7">
        <v>1.94</v>
      </c>
      <c r="BM23" s="7">
        <v>2.87</v>
      </c>
      <c r="BN23" s="7">
        <v>2.75</v>
      </c>
      <c r="BO23" s="7">
        <v>2.91</v>
      </c>
      <c r="BP23" s="7">
        <v>2.68</v>
      </c>
      <c r="BQ23" s="7">
        <v>3</v>
      </c>
      <c r="BR23" s="7">
        <v>3.25</v>
      </c>
      <c r="BS23" s="7">
        <v>1.62</v>
      </c>
      <c r="BT23" s="7">
        <v>3.25</v>
      </c>
      <c r="BU23" s="7">
        <v>3.65</v>
      </c>
      <c r="BV23" s="7">
        <v>2.11</v>
      </c>
      <c r="BW23" s="7">
        <v>2.36</v>
      </c>
      <c r="BX23" s="7">
        <v>2.17</v>
      </c>
      <c r="BY23" s="7">
        <v>2.0300000000000002</v>
      </c>
      <c r="BZ23" s="7">
        <v>3.2600000000000002</v>
      </c>
      <c r="CA23" s="7">
        <v>2.34</v>
      </c>
      <c r="CB23" s="7">
        <v>1.87</v>
      </c>
      <c r="CC23" s="7">
        <v>2.35</v>
      </c>
      <c r="CD23" s="7">
        <v>4.26</v>
      </c>
      <c r="CE23" s="7">
        <v>2.16</v>
      </c>
      <c r="CF23" s="7">
        <v>2.58</v>
      </c>
      <c r="CG23" s="7">
        <v>1.71</v>
      </c>
      <c r="CH23" s="7">
        <v>2.5599999999999996</v>
      </c>
    </row>
    <row r="24" spans="1:86" ht="15.75" customHeight="1" x14ac:dyDescent="0.25">
      <c r="A24" s="4">
        <v>23</v>
      </c>
      <c r="B24" s="2"/>
      <c r="C24" s="4">
        <v>23</v>
      </c>
      <c r="D24" s="6">
        <v>3.23</v>
      </c>
      <c r="E24" s="6">
        <v>1.68</v>
      </c>
      <c r="F24" s="6">
        <v>1.43</v>
      </c>
      <c r="G24" s="6">
        <v>1.63</v>
      </c>
      <c r="H24" s="6">
        <v>2.13</v>
      </c>
      <c r="I24" s="6">
        <v>1.03</v>
      </c>
      <c r="J24" s="6">
        <v>1.38</v>
      </c>
      <c r="K24" s="6">
        <v>2.63</v>
      </c>
      <c r="L24" s="6">
        <v>2.23</v>
      </c>
      <c r="M24" s="6">
        <v>2.23</v>
      </c>
      <c r="N24" s="6">
        <v>1.83</v>
      </c>
      <c r="O24" s="6">
        <v>2.98</v>
      </c>
      <c r="P24" s="6">
        <v>2.83</v>
      </c>
      <c r="Q24" s="6">
        <v>2.63</v>
      </c>
      <c r="R24" s="6">
        <v>2.08</v>
      </c>
      <c r="S24" s="6">
        <v>1.93</v>
      </c>
      <c r="T24" s="6">
        <v>0.81</v>
      </c>
      <c r="U24" s="6">
        <v>2.79</v>
      </c>
      <c r="V24" s="6">
        <v>1.89</v>
      </c>
      <c r="W24" s="6">
        <v>1.81</v>
      </c>
      <c r="X24" s="6">
        <v>1.49</v>
      </c>
      <c r="Y24" s="6">
        <v>1.36</v>
      </c>
      <c r="Z24" s="6">
        <v>1.91</v>
      </c>
      <c r="AA24" s="6">
        <v>2</v>
      </c>
      <c r="AB24" s="6">
        <v>2.97</v>
      </c>
      <c r="AC24" s="6">
        <v>1.47</v>
      </c>
      <c r="AD24" s="6">
        <v>2</v>
      </c>
      <c r="AE24" s="6">
        <v>3.51</v>
      </c>
      <c r="AF24" s="6">
        <v>2.14</v>
      </c>
      <c r="AG24" s="6">
        <v>3.85</v>
      </c>
      <c r="AH24" s="6">
        <v>1.68</v>
      </c>
      <c r="AI24" s="6">
        <v>2.17</v>
      </c>
      <c r="AJ24" s="6">
        <v>1.79</v>
      </c>
      <c r="AK24" s="6">
        <v>2.64</v>
      </c>
      <c r="AL24" s="6">
        <v>1.46</v>
      </c>
      <c r="AM24" s="6">
        <v>1.25</v>
      </c>
      <c r="AN24" s="6">
        <v>1.47</v>
      </c>
      <c r="AO24" s="6">
        <v>2.2799999999999998</v>
      </c>
      <c r="AP24" s="6">
        <v>1.4</v>
      </c>
      <c r="AQ24" s="6">
        <v>1.72</v>
      </c>
      <c r="AR24" s="6">
        <v>1.76</v>
      </c>
      <c r="AS24" s="6">
        <v>1.94</v>
      </c>
      <c r="AT24" s="6">
        <v>2.04</v>
      </c>
      <c r="AU24" s="6">
        <v>1.57</v>
      </c>
      <c r="AV24" s="6">
        <v>2.54</v>
      </c>
      <c r="AW24" s="6">
        <v>1.99</v>
      </c>
      <c r="AX24" s="6">
        <v>3.83</v>
      </c>
      <c r="AY24" s="6">
        <v>1.5</v>
      </c>
      <c r="AZ24" s="6">
        <v>2.88</v>
      </c>
      <c r="BA24" s="6">
        <v>2.61</v>
      </c>
      <c r="BB24" s="6">
        <v>2.25</v>
      </c>
      <c r="BC24" s="6">
        <v>1.98</v>
      </c>
      <c r="BD24" s="6">
        <v>2.1368800000000001</v>
      </c>
      <c r="BE24" s="6">
        <v>2.37</v>
      </c>
      <c r="BF24" s="6">
        <v>3.26</v>
      </c>
      <c r="BG24" s="6">
        <v>1.52</v>
      </c>
      <c r="BH24" s="6">
        <v>3.25</v>
      </c>
      <c r="BI24" s="7">
        <v>2.14</v>
      </c>
      <c r="BJ24" s="7">
        <v>2.2799999999999998</v>
      </c>
      <c r="BK24" s="7">
        <v>2.56</v>
      </c>
      <c r="BL24" s="7">
        <v>1.93</v>
      </c>
      <c r="BM24" s="7">
        <v>2.81</v>
      </c>
      <c r="BN24" s="7">
        <v>2.65</v>
      </c>
      <c r="BO24" s="7">
        <v>2.97</v>
      </c>
      <c r="BP24" s="7">
        <v>2.68</v>
      </c>
      <c r="BQ24" s="7">
        <v>2.96</v>
      </c>
      <c r="BR24" s="7">
        <v>3.22</v>
      </c>
      <c r="BS24" s="7">
        <v>1.57</v>
      </c>
      <c r="BT24" s="7">
        <v>3.2</v>
      </c>
      <c r="BU24" s="7">
        <v>3.5</v>
      </c>
      <c r="BV24" s="7">
        <v>2.0500000000000003</v>
      </c>
      <c r="BW24" s="7">
        <v>2.33</v>
      </c>
      <c r="BX24" s="7">
        <v>2.16</v>
      </c>
      <c r="BY24" s="7">
        <v>2.02</v>
      </c>
      <c r="BZ24" s="7">
        <v>3.16</v>
      </c>
      <c r="CA24" s="7">
        <v>2.33</v>
      </c>
      <c r="CB24" s="7">
        <v>1.96</v>
      </c>
      <c r="CC24" s="7">
        <v>2.34</v>
      </c>
      <c r="CD24" s="7">
        <v>4.16</v>
      </c>
      <c r="CE24" s="7">
        <v>2.21</v>
      </c>
      <c r="CF24" s="7">
        <v>2.68</v>
      </c>
      <c r="CG24" s="7">
        <v>1.67</v>
      </c>
      <c r="CH24" s="7">
        <v>2.2800000000000002</v>
      </c>
    </row>
    <row r="25" spans="1:86" ht="15.75" customHeight="1" x14ac:dyDescent="0.25">
      <c r="A25" s="4">
        <v>24</v>
      </c>
      <c r="B25" s="2"/>
      <c r="C25" s="4">
        <v>24</v>
      </c>
      <c r="D25" s="6">
        <v>3.13</v>
      </c>
      <c r="E25" s="6">
        <v>1.73</v>
      </c>
      <c r="F25" s="6">
        <v>1.43</v>
      </c>
      <c r="G25" s="6">
        <v>1.58</v>
      </c>
      <c r="H25" s="6">
        <v>2.08</v>
      </c>
      <c r="I25" s="6">
        <v>1.08</v>
      </c>
      <c r="J25" s="6">
        <v>1.26</v>
      </c>
      <c r="K25" s="6">
        <v>2.5299999999999998</v>
      </c>
      <c r="L25" s="6">
        <v>2.2799999999999998</v>
      </c>
      <c r="M25" s="6">
        <v>2.16</v>
      </c>
      <c r="N25" s="6">
        <v>1.73</v>
      </c>
      <c r="O25" s="6">
        <v>2.83</v>
      </c>
      <c r="P25" s="6">
        <v>2.78</v>
      </c>
      <c r="Q25" s="6">
        <v>2.5299999999999998</v>
      </c>
      <c r="R25" s="6">
        <v>1.93</v>
      </c>
      <c r="S25" s="6">
        <v>1.88</v>
      </c>
      <c r="T25" s="6">
        <v>0.86</v>
      </c>
      <c r="U25" s="6">
        <v>2.73</v>
      </c>
      <c r="V25" s="6">
        <v>1.76</v>
      </c>
      <c r="W25" s="6">
        <v>1.78</v>
      </c>
      <c r="X25" s="6">
        <v>1.56</v>
      </c>
      <c r="Y25" s="6">
        <v>1.26</v>
      </c>
      <c r="Z25" s="6">
        <v>1.91</v>
      </c>
      <c r="AA25" s="6">
        <v>2.0099999999999998</v>
      </c>
      <c r="AB25" s="6">
        <v>2.84</v>
      </c>
      <c r="AC25" s="6">
        <v>1.47</v>
      </c>
      <c r="AD25" s="6">
        <v>1.85</v>
      </c>
      <c r="AE25" s="6">
        <v>3.47</v>
      </c>
      <c r="AF25" s="6">
        <v>2.08</v>
      </c>
      <c r="AG25" s="6">
        <v>3.83</v>
      </c>
      <c r="AH25" s="6">
        <v>1.63</v>
      </c>
      <c r="AI25" s="6">
        <v>2.14</v>
      </c>
      <c r="AJ25" s="6">
        <v>1.86</v>
      </c>
      <c r="AK25" s="6">
        <v>2.44</v>
      </c>
      <c r="AL25" s="6">
        <v>1.41</v>
      </c>
      <c r="AM25" s="6">
        <v>1.25</v>
      </c>
      <c r="AN25" s="6">
        <v>1.48</v>
      </c>
      <c r="AO25" s="6">
        <v>2.17</v>
      </c>
      <c r="AP25" s="6">
        <v>1.36</v>
      </c>
      <c r="AQ25" s="6">
        <v>1.68</v>
      </c>
      <c r="AR25" s="6">
        <v>1.68</v>
      </c>
      <c r="AS25" s="6">
        <v>1.94</v>
      </c>
      <c r="AT25" s="6">
        <v>2.02</v>
      </c>
      <c r="AU25" s="6">
        <v>1.57</v>
      </c>
      <c r="AV25" s="6">
        <v>2.4900000000000002</v>
      </c>
      <c r="AW25" s="6">
        <v>1.86</v>
      </c>
      <c r="AX25" s="6">
        <v>3.33</v>
      </c>
      <c r="AY25" s="6">
        <v>1.43</v>
      </c>
      <c r="AZ25" s="6">
        <v>2.78</v>
      </c>
      <c r="BA25" s="6">
        <v>2.61</v>
      </c>
      <c r="BB25" s="6">
        <v>2.2200000000000002</v>
      </c>
      <c r="BC25" s="6">
        <v>1.94</v>
      </c>
      <c r="BD25" s="6">
        <v>2.07592</v>
      </c>
      <c r="BE25" s="6">
        <v>2.37</v>
      </c>
      <c r="BF25" s="6">
        <v>3.17</v>
      </c>
      <c r="BG25" s="6">
        <v>1.52</v>
      </c>
      <c r="BH25" s="6">
        <v>3.25</v>
      </c>
      <c r="BI25" s="7">
        <v>2.14</v>
      </c>
      <c r="BJ25" s="7">
        <v>2.27</v>
      </c>
      <c r="BK25" s="7">
        <v>2.41</v>
      </c>
      <c r="BL25" s="7">
        <v>1.92</v>
      </c>
      <c r="BM25" s="7">
        <v>2.73</v>
      </c>
      <c r="BN25" s="7">
        <v>2.72</v>
      </c>
      <c r="BO25" s="7">
        <v>2.99</v>
      </c>
      <c r="BP25" s="7">
        <v>2.68</v>
      </c>
      <c r="BQ25" s="7">
        <v>2.85</v>
      </c>
      <c r="BR25" s="7">
        <v>3.17</v>
      </c>
      <c r="BS25" s="7">
        <v>1.5</v>
      </c>
      <c r="BT25" s="7">
        <v>3.11</v>
      </c>
      <c r="BU25" s="7">
        <v>3.45</v>
      </c>
      <c r="BV25" s="7">
        <v>2.024</v>
      </c>
      <c r="BW25" s="7">
        <v>2.31</v>
      </c>
      <c r="BX25" s="7">
        <v>2.15</v>
      </c>
      <c r="BY25" s="7">
        <v>2</v>
      </c>
      <c r="BZ25" s="7">
        <v>3.08</v>
      </c>
      <c r="CA25" s="7">
        <v>2.3199999999999998</v>
      </c>
      <c r="CB25" s="7">
        <v>2.02</v>
      </c>
      <c r="CC25" s="7">
        <v>2.34</v>
      </c>
      <c r="CD25" s="7">
        <v>4.0599999999999996</v>
      </c>
      <c r="CE25" s="7">
        <v>2.15</v>
      </c>
      <c r="CF25" s="7">
        <v>2.56</v>
      </c>
      <c r="CG25" s="7">
        <v>1.63</v>
      </c>
      <c r="CH25" s="7">
        <v>2.2300000000000004</v>
      </c>
    </row>
    <row r="26" spans="1:86" ht="15.75" customHeight="1" x14ac:dyDescent="0.25">
      <c r="A26" s="4">
        <v>25</v>
      </c>
      <c r="B26" s="2"/>
      <c r="C26" s="4">
        <v>25</v>
      </c>
      <c r="D26" s="6">
        <v>3.03</v>
      </c>
      <c r="E26" s="6">
        <v>1.78</v>
      </c>
      <c r="F26" s="6">
        <v>1.43</v>
      </c>
      <c r="G26" s="6">
        <v>1.48</v>
      </c>
      <c r="H26" s="6">
        <v>2.08</v>
      </c>
      <c r="I26" s="6">
        <v>1.1299999999999999</v>
      </c>
      <c r="J26" s="6">
        <v>1.18</v>
      </c>
      <c r="K26" s="6">
        <v>2.4300000000000002</v>
      </c>
      <c r="L26" s="6">
        <v>2.33</v>
      </c>
      <c r="M26" s="6">
        <v>2.1</v>
      </c>
      <c r="N26" s="6">
        <v>1.63</v>
      </c>
      <c r="O26" s="6">
        <v>2.78</v>
      </c>
      <c r="P26" s="6">
        <v>2.73</v>
      </c>
      <c r="Q26" s="6">
        <v>2.4300000000000002</v>
      </c>
      <c r="R26" s="6">
        <v>1.83</v>
      </c>
      <c r="S26" s="6">
        <v>1.83</v>
      </c>
      <c r="T26" s="6">
        <v>0.87</v>
      </c>
      <c r="U26" s="6">
        <v>2.71</v>
      </c>
      <c r="V26" s="6">
        <v>1.61</v>
      </c>
      <c r="W26" s="6">
        <v>1.71</v>
      </c>
      <c r="X26" s="6">
        <v>1.61</v>
      </c>
      <c r="Y26" s="6">
        <v>1.1599999999999999</v>
      </c>
      <c r="Z26" s="6">
        <v>1.91</v>
      </c>
      <c r="AA26" s="6">
        <v>1.99</v>
      </c>
      <c r="AB26" s="6">
        <v>2.77</v>
      </c>
      <c r="AC26" s="6">
        <v>1.41</v>
      </c>
      <c r="AD26" s="6">
        <v>1.83</v>
      </c>
      <c r="AE26" s="6">
        <v>3.45</v>
      </c>
      <c r="AF26" s="6">
        <v>2.0699999999999998</v>
      </c>
      <c r="AG26" s="6">
        <v>3.76</v>
      </c>
      <c r="AH26" s="6">
        <v>1.55</v>
      </c>
      <c r="AI26" s="6">
        <v>2.13</v>
      </c>
      <c r="AJ26" s="6">
        <v>1.87</v>
      </c>
      <c r="AK26" s="6">
        <v>2.31</v>
      </c>
      <c r="AL26" s="6">
        <v>1.36</v>
      </c>
      <c r="AM26" s="6">
        <v>1.27</v>
      </c>
      <c r="AN26" s="6">
        <v>1.46</v>
      </c>
      <c r="AO26" s="6">
        <v>2.0699999999999998</v>
      </c>
      <c r="AP26" s="6">
        <v>1.34</v>
      </c>
      <c r="AQ26" s="6">
        <v>1.64</v>
      </c>
      <c r="AR26" s="6">
        <v>1.7</v>
      </c>
      <c r="AS26" s="6">
        <v>1.93</v>
      </c>
      <c r="AT26" s="6">
        <v>1.95</v>
      </c>
      <c r="AU26" s="6">
        <v>1.59</v>
      </c>
      <c r="AV26" s="6">
        <v>2.4</v>
      </c>
      <c r="AW26" s="6">
        <v>1.81</v>
      </c>
      <c r="AX26" s="6">
        <v>3.13</v>
      </c>
      <c r="AY26" s="6">
        <v>1.52</v>
      </c>
      <c r="AZ26" s="6">
        <v>2.63</v>
      </c>
      <c r="BA26" s="6">
        <v>2.56</v>
      </c>
      <c r="BB26" s="6">
        <v>2.27</v>
      </c>
      <c r="BC26" s="6">
        <v>1.93</v>
      </c>
      <c r="BD26" s="6">
        <v>2.1063999999999998</v>
      </c>
      <c r="BE26" s="6">
        <v>2.31</v>
      </c>
      <c r="BF26" s="6">
        <v>2.99</v>
      </c>
      <c r="BG26" s="6">
        <v>1.37</v>
      </c>
      <c r="BH26" s="6">
        <v>3.25</v>
      </c>
      <c r="BI26" s="7">
        <v>2.14</v>
      </c>
      <c r="BJ26" s="7">
        <v>2.25</v>
      </c>
      <c r="BK26" s="7">
        <v>2.36</v>
      </c>
      <c r="BL26" s="7">
        <v>1.91</v>
      </c>
      <c r="BM26" s="7">
        <v>2.66</v>
      </c>
      <c r="BN26" s="7">
        <v>2.67</v>
      </c>
      <c r="BO26" s="7">
        <v>2.84</v>
      </c>
      <c r="BP26" s="7">
        <v>2.63</v>
      </c>
      <c r="BQ26" s="7">
        <v>2.85</v>
      </c>
      <c r="BR26" s="7">
        <v>3.11</v>
      </c>
      <c r="BS26" s="7">
        <v>1.47</v>
      </c>
      <c r="BT26" s="7">
        <v>3.03</v>
      </c>
      <c r="BU26" s="7">
        <v>3.31</v>
      </c>
      <c r="BV26" s="7">
        <v>2.0300000000000002</v>
      </c>
      <c r="BW26" s="7">
        <v>2.2800000000000002</v>
      </c>
      <c r="BX26" s="7">
        <v>2.13</v>
      </c>
      <c r="BY26" s="7">
        <v>1.95</v>
      </c>
      <c r="BZ26" s="7">
        <v>3.08</v>
      </c>
      <c r="CA26" s="7">
        <v>2.35</v>
      </c>
      <c r="CB26" s="7">
        <v>1.94</v>
      </c>
      <c r="CC26" s="7">
        <v>2.35</v>
      </c>
      <c r="CD26" s="7">
        <v>3.96</v>
      </c>
      <c r="CE26" s="7">
        <v>2.08</v>
      </c>
      <c r="CF26" s="7">
        <v>2.65</v>
      </c>
      <c r="CG26" s="7">
        <v>1.59</v>
      </c>
      <c r="CH26" s="7">
        <v>2.21</v>
      </c>
    </row>
    <row r="27" spans="1:86" ht="15.75" customHeight="1" x14ac:dyDescent="0.25">
      <c r="A27" s="4">
        <v>26</v>
      </c>
      <c r="B27" s="2"/>
      <c r="C27" s="4">
        <v>26</v>
      </c>
      <c r="D27" s="6">
        <v>2.93</v>
      </c>
      <c r="E27" s="6">
        <v>1.83</v>
      </c>
      <c r="F27" s="6">
        <v>1.48</v>
      </c>
      <c r="G27" s="6">
        <v>1.43</v>
      </c>
      <c r="H27" s="6">
        <v>2.08</v>
      </c>
      <c r="I27" s="6">
        <v>1.18</v>
      </c>
      <c r="J27" s="6">
        <v>1.18</v>
      </c>
      <c r="K27" s="6">
        <v>2.4300000000000002</v>
      </c>
      <c r="L27" s="6">
        <v>2.33</v>
      </c>
      <c r="M27" s="6">
        <v>2.04</v>
      </c>
      <c r="N27" s="6">
        <v>1.63</v>
      </c>
      <c r="O27" s="6">
        <v>2.63</v>
      </c>
      <c r="P27" s="6">
        <v>2.73</v>
      </c>
      <c r="Q27" s="6">
        <v>2.41</v>
      </c>
      <c r="R27" s="6">
        <v>1.88</v>
      </c>
      <c r="S27" s="6">
        <v>1.78</v>
      </c>
      <c r="T27" s="6">
        <v>0.91</v>
      </c>
      <c r="U27" s="6">
        <v>2.69</v>
      </c>
      <c r="V27" s="6">
        <v>1.51</v>
      </c>
      <c r="W27" s="6">
        <v>1.69</v>
      </c>
      <c r="X27" s="6">
        <v>1.66</v>
      </c>
      <c r="Y27" s="6">
        <v>1.21</v>
      </c>
      <c r="Z27" s="6">
        <v>1.85</v>
      </c>
      <c r="AA27" s="6">
        <v>1.93</v>
      </c>
      <c r="AB27" s="6">
        <v>2.72</v>
      </c>
      <c r="AC27" s="6">
        <v>1.39</v>
      </c>
      <c r="AD27" s="6">
        <v>2.0099999999999998</v>
      </c>
      <c r="AE27" s="6">
        <v>3.37</v>
      </c>
      <c r="AF27" s="6">
        <v>2.1800000000000002</v>
      </c>
      <c r="AG27" s="6">
        <v>3.83</v>
      </c>
      <c r="AH27" s="6">
        <v>1.5</v>
      </c>
      <c r="AI27" s="6">
        <v>2.0699999999999998</v>
      </c>
      <c r="AJ27" s="6">
        <v>1.94</v>
      </c>
      <c r="AK27" s="6">
        <v>2.19</v>
      </c>
      <c r="AL27" s="6">
        <v>1.28</v>
      </c>
      <c r="AM27" s="6">
        <v>1.23</v>
      </c>
      <c r="AN27" s="6">
        <v>1.45</v>
      </c>
      <c r="AO27" s="6">
        <v>2.0099999999999998</v>
      </c>
      <c r="AP27" s="6">
        <v>1.17</v>
      </c>
      <c r="AQ27" s="6">
        <v>1.5</v>
      </c>
      <c r="AR27" s="6">
        <v>1.66</v>
      </c>
      <c r="AS27" s="6">
        <v>1.89</v>
      </c>
      <c r="AT27" s="6">
        <v>1.89</v>
      </c>
      <c r="AU27" s="6">
        <v>1.61</v>
      </c>
      <c r="AV27" s="6">
        <v>2.29</v>
      </c>
      <c r="AW27" s="6">
        <v>1.77</v>
      </c>
      <c r="AX27" s="6">
        <v>3.13</v>
      </c>
      <c r="AY27" s="6">
        <v>1.71</v>
      </c>
      <c r="AZ27" s="6">
        <v>2.44</v>
      </c>
      <c r="BA27" s="6">
        <v>2.48</v>
      </c>
      <c r="BB27" s="6">
        <v>2.2000000000000002</v>
      </c>
      <c r="BC27" s="6">
        <v>1.94</v>
      </c>
      <c r="BD27" s="6">
        <v>2.07592</v>
      </c>
      <c r="BE27" s="6">
        <v>2.27</v>
      </c>
      <c r="BF27" s="6">
        <v>2.92</v>
      </c>
      <c r="BG27" s="6">
        <v>1.43</v>
      </c>
      <c r="BH27" s="6">
        <v>3.25</v>
      </c>
      <c r="BI27" s="7">
        <v>2.14</v>
      </c>
      <c r="BJ27" s="7">
        <v>2.23</v>
      </c>
      <c r="BK27" s="7">
        <v>2.31</v>
      </c>
      <c r="BL27" s="7">
        <v>1.84</v>
      </c>
      <c r="BM27" s="7">
        <v>2.4900000000000002</v>
      </c>
      <c r="BN27" s="7">
        <v>2.62</v>
      </c>
      <c r="BO27" s="7">
        <v>2.77</v>
      </c>
      <c r="BP27" s="7">
        <v>2.57</v>
      </c>
      <c r="BQ27" s="7">
        <v>2.77</v>
      </c>
      <c r="BR27" s="7">
        <v>3.05</v>
      </c>
      <c r="BS27" s="7">
        <v>1.44</v>
      </c>
      <c r="BT27" s="7">
        <v>2.96</v>
      </c>
      <c r="BU27" s="7">
        <v>3.25</v>
      </c>
      <c r="BV27" s="7">
        <v>2.06</v>
      </c>
      <c r="BW27" s="7">
        <v>2.13</v>
      </c>
      <c r="BX27" s="7">
        <v>2.0699999999999998</v>
      </c>
      <c r="BY27" s="7">
        <v>1.93</v>
      </c>
      <c r="BZ27" s="7">
        <v>3.05</v>
      </c>
      <c r="CA27" s="7">
        <v>2.35</v>
      </c>
      <c r="CB27" s="7">
        <v>1.91</v>
      </c>
      <c r="CC27" s="7">
        <v>2.2800000000000002</v>
      </c>
      <c r="CD27" s="7">
        <v>3.8600000000000003</v>
      </c>
      <c r="CE27" s="7">
        <v>2.1</v>
      </c>
      <c r="CF27" s="7">
        <v>2.62</v>
      </c>
      <c r="CG27" s="7">
        <v>1.62</v>
      </c>
      <c r="CH27" s="7">
        <v>2.0200000000000005</v>
      </c>
    </row>
    <row r="28" spans="1:86" ht="15.75" customHeight="1" x14ac:dyDescent="0.25">
      <c r="A28" s="4">
        <v>27</v>
      </c>
      <c r="B28" s="2"/>
      <c r="C28" s="4">
        <v>27</v>
      </c>
      <c r="D28" s="6">
        <v>2.88</v>
      </c>
      <c r="E28" s="6">
        <v>1.88</v>
      </c>
      <c r="F28" s="6">
        <v>1.53</v>
      </c>
      <c r="G28" s="6">
        <v>1.38</v>
      </c>
      <c r="H28" s="6">
        <v>2.0299999999999998</v>
      </c>
      <c r="I28" s="6">
        <v>1.1299999999999999</v>
      </c>
      <c r="J28" s="6">
        <v>1.08</v>
      </c>
      <c r="K28" s="6">
        <v>2.33</v>
      </c>
      <c r="L28" s="6">
        <v>2.33</v>
      </c>
      <c r="M28" s="6">
        <v>1.98</v>
      </c>
      <c r="N28" s="6">
        <v>2.0299999999999998</v>
      </c>
      <c r="O28" s="6">
        <v>2.4300000000000002</v>
      </c>
      <c r="P28" s="6">
        <v>2.73</v>
      </c>
      <c r="Q28" s="6">
        <v>2.5099999999999998</v>
      </c>
      <c r="R28" s="6">
        <v>1.83</v>
      </c>
      <c r="S28" s="6">
        <v>1.68</v>
      </c>
      <c r="T28" s="6">
        <v>0.98</v>
      </c>
      <c r="U28" s="6">
        <v>2.66</v>
      </c>
      <c r="V28" s="6">
        <v>1.47</v>
      </c>
      <c r="W28" s="6">
        <v>1.66</v>
      </c>
      <c r="X28" s="6">
        <v>1.69</v>
      </c>
      <c r="Y28" s="6">
        <v>1.26</v>
      </c>
      <c r="Z28" s="6">
        <v>1.79</v>
      </c>
      <c r="AA28" s="6">
        <v>1.9</v>
      </c>
      <c r="AB28" s="6">
        <v>2.73</v>
      </c>
      <c r="AC28" s="6">
        <v>1.46</v>
      </c>
      <c r="AD28" s="6">
        <v>2.08</v>
      </c>
      <c r="AE28" s="6">
        <v>3.37</v>
      </c>
      <c r="AF28" s="6">
        <v>2.34</v>
      </c>
      <c r="AG28" s="6">
        <v>3.93</v>
      </c>
      <c r="AH28" s="6">
        <v>1.37</v>
      </c>
      <c r="AI28" s="6">
        <v>1.99</v>
      </c>
      <c r="AJ28" s="6">
        <v>1.97</v>
      </c>
      <c r="AK28" s="6">
        <v>2.21</v>
      </c>
      <c r="AL28" s="6">
        <v>1.23</v>
      </c>
      <c r="AM28" s="6">
        <v>1.19</v>
      </c>
      <c r="AN28" s="6">
        <v>1.48</v>
      </c>
      <c r="AO28" s="6">
        <v>1.98</v>
      </c>
      <c r="AP28" s="6">
        <v>1.1599999999999999</v>
      </c>
      <c r="AQ28" s="6">
        <v>1.5</v>
      </c>
      <c r="AR28" s="6">
        <v>1.65</v>
      </c>
      <c r="AS28" s="6">
        <v>1.86</v>
      </c>
      <c r="AT28" s="6">
        <v>1.81</v>
      </c>
      <c r="AU28" s="6">
        <v>1.59</v>
      </c>
      <c r="AV28" s="6">
        <v>2.38</v>
      </c>
      <c r="AW28" s="6">
        <v>1.73</v>
      </c>
      <c r="AX28" s="6">
        <v>3.05</v>
      </c>
      <c r="AY28" s="6">
        <v>1.76</v>
      </c>
      <c r="AZ28" s="6">
        <v>2.29</v>
      </c>
      <c r="BA28" s="6">
        <v>2.37</v>
      </c>
      <c r="BB28" s="6">
        <v>2.2000000000000002</v>
      </c>
      <c r="BC28" s="6">
        <v>2.04</v>
      </c>
      <c r="BD28" s="6">
        <v>2.0454400000000001</v>
      </c>
      <c r="BE28" s="6">
        <v>2.0499999999999998</v>
      </c>
      <c r="BF28" s="6">
        <v>2.77</v>
      </c>
      <c r="BG28" s="6">
        <v>1.46</v>
      </c>
      <c r="BH28" s="6">
        <v>3.25</v>
      </c>
      <c r="BI28" s="7">
        <v>2.1</v>
      </c>
      <c r="BJ28" s="7">
        <v>2.21</v>
      </c>
      <c r="BK28" s="7">
        <v>2.2599999999999998</v>
      </c>
      <c r="BL28" s="7">
        <v>1.79</v>
      </c>
      <c r="BM28" s="7">
        <v>2.5099999999999998</v>
      </c>
      <c r="BN28" s="7">
        <v>2.62</v>
      </c>
      <c r="BO28" s="7">
        <v>2.75</v>
      </c>
      <c r="BP28" s="7">
        <v>2.48</v>
      </c>
      <c r="BQ28" s="7">
        <v>2.76</v>
      </c>
      <c r="BR28" s="7">
        <v>3.05</v>
      </c>
      <c r="BS28" s="7">
        <v>1.43</v>
      </c>
      <c r="BT28" s="7">
        <v>2.86</v>
      </c>
      <c r="BU28" s="7">
        <v>3.16</v>
      </c>
      <c r="BV28" s="7">
        <v>2.0100000000000002</v>
      </c>
      <c r="BW28" s="7">
        <v>2.13</v>
      </c>
      <c r="BX28" s="7">
        <v>2.13</v>
      </c>
      <c r="BY28" s="7">
        <v>1.8599999999999999</v>
      </c>
      <c r="BZ28" s="7">
        <v>2.94</v>
      </c>
      <c r="CA28" s="7">
        <v>2.2000000000000002</v>
      </c>
      <c r="CB28" s="7">
        <v>1.73</v>
      </c>
      <c r="CC28" s="7">
        <v>2.1800000000000002</v>
      </c>
      <c r="CD28" s="7">
        <v>3.7600000000000002</v>
      </c>
      <c r="CE28" s="7">
        <v>2.0100000000000002</v>
      </c>
      <c r="CF28" s="7">
        <v>2.6</v>
      </c>
      <c r="CG28" s="7">
        <v>1.57</v>
      </c>
      <c r="CH28" s="7">
        <v>2.0599999999999996</v>
      </c>
    </row>
    <row r="29" spans="1:86" ht="15.75" customHeight="1" x14ac:dyDescent="0.25">
      <c r="A29" s="4">
        <v>28</v>
      </c>
      <c r="B29" s="2"/>
      <c r="C29" s="4">
        <v>28</v>
      </c>
      <c r="D29" s="6">
        <v>2.83</v>
      </c>
      <c r="E29" s="6">
        <v>1.83</v>
      </c>
      <c r="F29" s="6">
        <v>1.58</v>
      </c>
      <c r="G29" s="6">
        <v>1.33</v>
      </c>
      <c r="H29" s="6">
        <v>1.98</v>
      </c>
      <c r="I29" s="6">
        <v>1.1299999999999999</v>
      </c>
      <c r="J29" s="6">
        <v>1.23</v>
      </c>
      <c r="K29" s="6">
        <v>2.23</v>
      </c>
      <c r="L29" s="6">
        <v>2.33</v>
      </c>
      <c r="M29" s="6">
        <v>1.92</v>
      </c>
      <c r="N29" s="6">
        <v>2.4300000000000002</v>
      </c>
      <c r="O29" s="6">
        <v>2.33</v>
      </c>
      <c r="P29" s="6">
        <v>2.68</v>
      </c>
      <c r="Q29" s="6">
        <v>2.58</v>
      </c>
      <c r="R29" s="6">
        <v>1.78</v>
      </c>
      <c r="S29" s="6">
        <v>1.58</v>
      </c>
      <c r="T29" s="6">
        <v>1.0900000000000001</v>
      </c>
      <c r="U29" s="6">
        <v>2.61</v>
      </c>
      <c r="V29" s="6">
        <v>1.46</v>
      </c>
      <c r="W29" s="6">
        <v>1.56</v>
      </c>
      <c r="X29" s="6">
        <v>1.71</v>
      </c>
      <c r="Y29" s="6">
        <v>1.21</v>
      </c>
      <c r="Z29" s="6">
        <v>1.71</v>
      </c>
      <c r="AA29" s="6">
        <v>1.88</v>
      </c>
      <c r="AB29" s="6">
        <v>2.84</v>
      </c>
      <c r="AC29" s="6">
        <v>1.46</v>
      </c>
      <c r="AD29" s="6">
        <v>2.04</v>
      </c>
      <c r="AE29" s="6">
        <v>3.37</v>
      </c>
      <c r="AF29" s="6">
        <v>2.2200000000000002</v>
      </c>
      <c r="AG29" s="6">
        <v>4.24</v>
      </c>
      <c r="AH29" s="6">
        <v>1.36</v>
      </c>
      <c r="AI29" s="6">
        <v>1.85</v>
      </c>
      <c r="AJ29" s="6">
        <v>1.86</v>
      </c>
      <c r="AK29" s="6">
        <v>2.21</v>
      </c>
      <c r="AL29" s="6">
        <v>1.18</v>
      </c>
      <c r="AM29" s="6">
        <v>1.1499999999999999</v>
      </c>
      <c r="AN29" s="6">
        <v>1.49</v>
      </c>
      <c r="AO29" s="6">
        <v>1.89</v>
      </c>
      <c r="AP29" s="6">
        <v>1.1000000000000001</v>
      </c>
      <c r="AQ29" s="6">
        <v>1.47</v>
      </c>
      <c r="AR29" s="6">
        <v>1.63</v>
      </c>
      <c r="AS29" s="6">
        <v>1.85</v>
      </c>
      <c r="AT29" s="6">
        <v>1.71</v>
      </c>
      <c r="AU29" s="6">
        <v>1.59</v>
      </c>
      <c r="AV29" s="6">
        <v>2.41</v>
      </c>
      <c r="AW29" s="6">
        <v>1.68</v>
      </c>
      <c r="AX29" s="6">
        <v>3.01</v>
      </c>
      <c r="AY29" s="6">
        <v>1.85</v>
      </c>
      <c r="AZ29" s="6">
        <v>2.17</v>
      </c>
      <c r="BA29" s="6">
        <v>2.27</v>
      </c>
      <c r="BB29" s="6">
        <v>2.17</v>
      </c>
      <c r="BC29" s="6">
        <v>2.0299999999999998</v>
      </c>
      <c r="BD29" s="6">
        <v>2.0454400000000001</v>
      </c>
      <c r="BE29" s="6">
        <v>2.0099999999999998</v>
      </c>
      <c r="BF29" s="6">
        <v>2.77</v>
      </c>
      <c r="BG29" s="6">
        <v>1.52</v>
      </c>
      <c r="BH29" s="6">
        <v>3.25</v>
      </c>
      <c r="BI29" s="7">
        <v>2.02</v>
      </c>
      <c r="BJ29" s="7">
        <v>2.16</v>
      </c>
      <c r="BK29" s="7">
        <v>2.23</v>
      </c>
      <c r="BL29" s="7">
        <v>1.74</v>
      </c>
      <c r="BM29" s="7">
        <v>2.4500000000000002</v>
      </c>
      <c r="BN29" s="7">
        <v>2.62</v>
      </c>
      <c r="BO29" s="7">
        <v>2.78</v>
      </c>
      <c r="BP29" s="7">
        <v>2.41</v>
      </c>
      <c r="BQ29" s="7">
        <v>2.63</v>
      </c>
      <c r="BR29" s="7">
        <v>3.05</v>
      </c>
      <c r="BS29" s="7">
        <v>1.43</v>
      </c>
      <c r="BT29" s="7">
        <v>2.78</v>
      </c>
      <c r="BU29" s="7">
        <v>3.11</v>
      </c>
      <c r="BV29" s="7">
        <v>1.99</v>
      </c>
      <c r="BW29" s="7">
        <v>2.1</v>
      </c>
      <c r="BX29" s="7">
        <v>2.12</v>
      </c>
      <c r="BY29" s="7">
        <v>1.79</v>
      </c>
      <c r="BZ29" s="7">
        <v>2.91</v>
      </c>
      <c r="CA29" s="7">
        <v>2.2800000000000002</v>
      </c>
      <c r="CB29" s="7">
        <v>1.77</v>
      </c>
      <c r="CC29" s="7">
        <v>2.13</v>
      </c>
      <c r="CD29" s="7">
        <v>3.6100000000000003</v>
      </c>
      <c r="CE29" s="7">
        <v>1.96</v>
      </c>
      <c r="CF29" s="7">
        <v>2.48</v>
      </c>
      <c r="CG29" s="7">
        <v>1.54</v>
      </c>
      <c r="CH29" s="7">
        <v>2.0499999999999998</v>
      </c>
    </row>
    <row r="30" spans="1:86" ht="15.75" customHeight="1" x14ac:dyDescent="0.25">
      <c r="A30" s="4">
        <v>29</v>
      </c>
      <c r="B30" s="2"/>
      <c r="C30" s="4">
        <v>29</v>
      </c>
      <c r="D30" s="6">
        <v>2.93</v>
      </c>
      <c r="E30" s="6">
        <v>1.83</v>
      </c>
      <c r="F30" s="6">
        <v>1.63</v>
      </c>
      <c r="G30" s="6">
        <v>1.33</v>
      </c>
      <c r="H30" s="6">
        <v>1.88</v>
      </c>
      <c r="I30" s="6">
        <v>1.18</v>
      </c>
      <c r="J30" s="6">
        <v>1.23</v>
      </c>
      <c r="K30" s="6">
        <v>2.23</v>
      </c>
      <c r="L30" s="6">
        <v>2.33</v>
      </c>
      <c r="M30" s="6">
        <v>1.87</v>
      </c>
      <c r="N30" s="6">
        <v>2.58</v>
      </c>
      <c r="O30" s="6">
        <v>2.2799999999999998</v>
      </c>
      <c r="P30" s="6">
        <v>2.63</v>
      </c>
      <c r="Q30" s="6">
        <v>2.5299999999999998</v>
      </c>
      <c r="R30" s="6">
        <v>1.79</v>
      </c>
      <c r="S30" s="6">
        <v>1.53</v>
      </c>
      <c r="T30" s="6">
        <v>1.0900000000000001</v>
      </c>
      <c r="U30" s="6">
        <v>2.59</v>
      </c>
      <c r="V30" s="6">
        <v>1.46</v>
      </c>
      <c r="W30" s="6">
        <v>1.46</v>
      </c>
      <c r="X30" s="6">
        <v>1.66</v>
      </c>
      <c r="Y30" s="6">
        <v>1.21</v>
      </c>
      <c r="Z30" s="6">
        <v>1.74</v>
      </c>
      <c r="AA30" s="6">
        <v>1.85</v>
      </c>
      <c r="AB30" s="6">
        <v>2.95</v>
      </c>
      <c r="AC30" s="6">
        <v>1.5</v>
      </c>
      <c r="AD30" s="6">
        <v>2.04</v>
      </c>
      <c r="AE30" s="6">
        <v>3.39</v>
      </c>
      <c r="AF30" s="6">
        <v>2.14</v>
      </c>
      <c r="AG30" s="6">
        <v>4.45</v>
      </c>
      <c r="AH30" s="6">
        <v>1.33</v>
      </c>
      <c r="AI30" s="6">
        <v>1.89</v>
      </c>
      <c r="AJ30" s="6">
        <v>1.76</v>
      </c>
      <c r="AK30" s="6">
        <v>2.21</v>
      </c>
      <c r="AL30" s="6">
        <v>1.1100000000000001</v>
      </c>
      <c r="AM30" s="6">
        <v>1.1299999999999999</v>
      </c>
      <c r="AN30" s="6">
        <v>1.41</v>
      </c>
      <c r="AO30" s="6">
        <v>1.85</v>
      </c>
      <c r="AP30" s="6">
        <v>1.06</v>
      </c>
      <c r="AQ30" s="6">
        <v>1.46</v>
      </c>
      <c r="AR30" s="6">
        <v>1.6</v>
      </c>
      <c r="AS30" s="6">
        <v>1.81</v>
      </c>
      <c r="AT30" s="6">
        <v>1.65</v>
      </c>
      <c r="AU30" s="6">
        <v>1.58</v>
      </c>
      <c r="AV30" s="6">
        <v>2.4300000000000002</v>
      </c>
      <c r="AW30" s="6">
        <v>1.64</v>
      </c>
      <c r="AX30" s="6">
        <v>2.97</v>
      </c>
      <c r="AY30" s="6">
        <v>1.84</v>
      </c>
      <c r="AZ30" s="6">
        <v>2.17</v>
      </c>
      <c r="BA30" s="6">
        <v>2.27</v>
      </c>
      <c r="BB30" s="6">
        <v>2.13</v>
      </c>
      <c r="BC30" s="6">
        <v>2.02</v>
      </c>
      <c r="BD30" s="6">
        <v>2.0454400000000001</v>
      </c>
      <c r="BE30" s="6">
        <v>2</v>
      </c>
      <c r="BF30" s="6">
        <v>2.77</v>
      </c>
      <c r="BG30" s="6">
        <v>1.61</v>
      </c>
      <c r="BH30" s="6">
        <v>3.25</v>
      </c>
      <c r="BI30" s="7">
        <v>1.94</v>
      </c>
      <c r="BJ30" s="7">
        <v>2.15</v>
      </c>
      <c r="BK30" s="7">
        <v>2.1800000000000002</v>
      </c>
      <c r="BL30" s="7">
        <v>1.68</v>
      </c>
      <c r="BM30" s="7">
        <v>2.37</v>
      </c>
      <c r="BN30" s="7">
        <v>2.63</v>
      </c>
      <c r="BO30" s="7">
        <v>2.99</v>
      </c>
      <c r="BP30" s="7">
        <v>2.2999999999999998</v>
      </c>
      <c r="BQ30" s="7">
        <v>2.6</v>
      </c>
      <c r="BR30" s="7">
        <v>3</v>
      </c>
      <c r="BS30" s="7">
        <v>1.52</v>
      </c>
      <c r="BT30" s="7">
        <v>2.64</v>
      </c>
      <c r="BU30" s="7">
        <v>2.99</v>
      </c>
      <c r="BV30" s="7">
        <v>1.95</v>
      </c>
      <c r="BW30" s="7">
        <v>2.11</v>
      </c>
      <c r="BX30" s="7">
        <v>2.0500000000000003</v>
      </c>
      <c r="BY30" s="7">
        <v>1.75</v>
      </c>
      <c r="BZ30" s="7">
        <v>2.87</v>
      </c>
      <c r="CA30" s="7">
        <v>2.34</v>
      </c>
      <c r="CB30" s="7">
        <v>1.8</v>
      </c>
      <c r="CC30" s="7">
        <v>2.1</v>
      </c>
      <c r="CD30" s="7">
        <v>3.47</v>
      </c>
      <c r="CE30" s="7">
        <v>1.8499999999999999</v>
      </c>
      <c r="CF30" s="7">
        <v>2.44</v>
      </c>
      <c r="CG30" s="7">
        <v>1.45</v>
      </c>
      <c r="CH30" s="7">
        <v>2.02</v>
      </c>
    </row>
    <row r="31" spans="1:86" ht="15.75" customHeight="1" x14ac:dyDescent="0.25">
      <c r="A31" s="4">
        <v>30</v>
      </c>
      <c r="B31" s="2"/>
      <c r="C31" s="4">
        <v>30</v>
      </c>
      <c r="D31" s="6">
        <v>2.93</v>
      </c>
      <c r="E31" s="6">
        <v>1.78</v>
      </c>
      <c r="F31" s="6">
        <v>1.68</v>
      </c>
      <c r="G31" s="6">
        <v>1.38</v>
      </c>
      <c r="H31" s="6">
        <v>1.78</v>
      </c>
      <c r="I31" s="6">
        <v>1.18</v>
      </c>
      <c r="J31" s="6">
        <v>1.23</v>
      </c>
      <c r="K31" s="6">
        <v>2.23</v>
      </c>
      <c r="L31" s="6">
        <v>2.2799999999999998</v>
      </c>
      <c r="M31" s="6">
        <v>1.84</v>
      </c>
      <c r="N31" s="6">
        <v>2.73</v>
      </c>
      <c r="O31" s="6">
        <v>2.33</v>
      </c>
      <c r="P31" s="6">
        <v>2.63</v>
      </c>
      <c r="Q31" s="6">
        <v>2.63</v>
      </c>
      <c r="R31" s="6">
        <v>1.73</v>
      </c>
      <c r="S31" s="6">
        <v>1.53</v>
      </c>
      <c r="T31" s="6">
        <v>1.1100000000000001</v>
      </c>
      <c r="U31" s="6">
        <v>2.56</v>
      </c>
      <c r="V31" s="6">
        <v>1.46</v>
      </c>
      <c r="W31" s="6">
        <v>1.46</v>
      </c>
      <c r="X31" s="6">
        <v>1.71</v>
      </c>
      <c r="Y31" s="6">
        <v>1.26</v>
      </c>
      <c r="Z31" s="6">
        <v>1.76</v>
      </c>
      <c r="AA31" s="6">
        <v>1.81</v>
      </c>
      <c r="AB31" s="6">
        <v>2.96</v>
      </c>
      <c r="AC31" s="6">
        <v>1.54</v>
      </c>
      <c r="AD31" s="6">
        <v>2.0499999999999998</v>
      </c>
      <c r="AE31" s="6">
        <v>3.21</v>
      </c>
      <c r="AF31" s="6">
        <v>2.12</v>
      </c>
      <c r="AG31" s="6">
        <v>4.5199999999999996</v>
      </c>
      <c r="AH31" s="6">
        <v>1.3</v>
      </c>
      <c r="AI31" s="6">
        <v>1.85</v>
      </c>
      <c r="AJ31" s="6">
        <v>1.76</v>
      </c>
      <c r="AK31" s="6">
        <v>2.23</v>
      </c>
      <c r="AL31" s="6">
        <v>1.08</v>
      </c>
      <c r="AM31" s="6">
        <v>1.08</v>
      </c>
      <c r="AN31" s="6">
        <v>1.45</v>
      </c>
      <c r="AO31" s="6">
        <v>1.85</v>
      </c>
      <c r="AP31" s="6">
        <v>1.01</v>
      </c>
      <c r="AQ31" s="6">
        <v>1.4</v>
      </c>
      <c r="AR31" s="6">
        <v>1.54</v>
      </c>
      <c r="AS31" s="6">
        <v>1.96</v>
      </c>
      <c r="AT31" s="6">
        <v>1.61</v>
      </c>
      <c r="AU31" s="6">
        <v>1.56</v>
      </c>
      <c r="AV31" s="6">
        <v>2.44</v>
      </c>
      <c r="AW31" s="6">
        <v>1.65</v>
      </c>
      <c r="AX31" s="6">
        <v>3.13</v>
      </c>
      <c r="AY31" s="6">
        <v>1.84</v>
      </c>
      <c r="AZ31" s="6">
        <v>2.17</v>
      </c>
      <c r="BA31" s="6">
        <v>2.27</v>
      </c>
      <c r="BB31" s="6">
        <v>2.13</v>
      </c>
      <c r="BC31" s="6">
        <v>2.0699999999999998</v>
      </c>
      <c r="BD31" s="6">
        <v>1.98448</v>
      </c>
      <c r="BE31" s="6">
        <v>1.91</v>
      </c>
      <c r="BF31" s="6">
        <v>2.74</v>
      </c>
      <c r="BG31" s="6">
        <v>1.58</v>
      </c>
      <c r="BH31" s="6">
        <v>3.25</v>
      </c>
      <c r="BI31" s="7">
        <v>1.78</v>
      </c>
      <c r="BJ31" s="7">
        <v>2.1</v>
      </c>
      <c r="BK31" s="7">
        <v>2.1800000000000002</v>
      </c>
      <c r="BL31" s="7">
        <v>1.6</v>
      </c>
      <c r="BM31" s="7">
        <v>2.27</v>
      </c>
      <c r="BN31" s="7">
        <v>2.59</v>
      </c>
      <c r="BO31" s="7">
        <v>3.22</v>
      </c>
      <c r="BP31" s="7">
        <v>2.2999999999999998</v>
      </c>
      <c r="BQ31" s="7">
        <v>2.52</v>
      </c>
      <c r="BR31" s="7">
        <v>2.96</v>
      </c>
      <c r="BS31" s="7">
        <v>1.55</v>
      </c>
      <c r="BT31" s="7">
        <v>2.58</v>
      </c>
      <c r="BU31" s="7">
        <v>2.83</v>
      </c>
      <c r="BV31" s="7">
        <v>1.98</v>
      </c>
      <c r="BW31" s="7">
        <v>2.06</v>
      </c>
      <c r="BX31" s="7">
        <v>1.98</v>
      </c>
      <c r="BY31" s="7">
        <v>1.7</v>
      </c>
      <c r="BZ31" s="7">
        <v>2.8</v>
      </c>
      <c r="CA31" s="7">
        <v>2.2800000000000002</v>
      </c>
      <c r="CB31" s="7">
        <v>1.75</v>
      </c>
      <c r="CC31" s="7">
        <v>2.12</v>
      </c>
      <c r="CD31" s="7">
        <v>3.3600000000000003</v>
      </c>
      <c r="CE31" s="7">
        <v>1.89</v>
      </c>
      <c r="CF31" s="7">
        <v>2.36</v>
      </c>
      <c r="CG31" s="7">
        <v>1.52</v>
      </c>
      <c r="CH31" s="7">
        <v>2.09</v>
      </c>
    </row>
    <row r="32" spans="1:86" ht="15.75" customHeight="1" x14ac:dyDescent="0.25">
      <c r="A32" s="4">
        <v>31</v>
      </c>
      <c r="B32" s="2"/>
      <c r="C32" s="4">
        <v>31</v>
      </c>
      <c r="D32" s="6">
        <v>2.88</v>
      </c>
      <c r="E32" s="6">
        <v>1.68</v>
      </c>
      <c r="F32" s="6">
        <v>1.73</v>
      </c>
      <c r="G32" s="6">
        <v>1.48</v>
      </c>
      <c r="H32" s="6">
        <v>1.68</v>
      </c>
      <c r="I32" s="6">
        <v>1.1299999999999999</v>
      </c>
      <c r="J32" s="6">
        <v>1.23</v>
      </c>
      <c r="K32" s="6">
        <v>2.23</v>
      </c>
      <c r="L32" s="6">
        <v>2.33</v>
      </c>
      <c r="M32" s="6">
        <v>1.83</v>
      </c>
      <c r="N32" s="6">
        <v>2.78</v>
      </c>
      <c r="O32" s="6">
        <v>2.4300000000000002</v>
      </c>
      <c r="P32" s="6">
        <v>2.73</v>
      </c>
      <c r="Q32" s="6">
        <v>2.73</v>
      </c>
      <c r="R32" s="6">
        <v>1.68</v>
      </c>
      <c r="S32" s="6">
        <v>1.43</v>
      </c>
      <c r="T32" s="6">
        <v>1.1100000000000001</v>
      </c>
      <c r="U32" s="6">
        <v>2.56</v>
      </c>
      <c r="V32" s="6">
        <v>1.46</v>
      </c>
      <c r="W32" s="6">
        <v>1.46</v>
      </c>
      <c r="X32" s="6">
        <v>1.59</v>
      </c>
      <c r="Y32" s="6">
        <v>1.23</v>
      </c>
      <c r="Z32" s="6">
        <v>1.76</v>
      </c>
      <c r="AA32" s="6">
        <v>1.79</v>
      </c>
      <c r="AB32" s="6">
        <v>2.87</v>
      </c>
      <c r="AC32" s="6">
        <v>1.55</v>
      </c>
      <c r="AD32" s="6">
        <v>2.04</v>
      </c>
      <c r="AE32" s="6">
        <v>3.06</v>
      </c>
      <c r="AF32" s="6">
        <v>2.0499999999999998</v>
      </c>
      <c r="AG32" s="6">
        <v>4.5</v>
      </c>
      <c r="AH32" s="6">
        <v>1.31</v>
      </c>
      <c r="AI32" s="6">
        <v>1.81</v>
      </c>
      <c r="AJ32" s="6">
        <v>1.75</v>
      </c>
      <c r="AK32" s="6">
        <v>2.41</v>
      </c>
      <c r="AL32" s="6">
        <v>1.07</v>
      </c>
      <c r="AM32" s="6">
        <v>1.08</v>
      </c>
      <c r="AN32" s="6">
        <v>1.46</v>
      </c>
      <c r="AO32" s="6">
        <v>1.81</v>
      </c>
      <c r="AP32" s="6">
        <v>0.96</v>
      </c>
      <c r="AQ32" s="6">
        <v>1.32</v>
      </c>
      <c r="AR32" s="6">
        <v>1.49</v>
      </c>
      <c r="AS32" s="6">
        <v>2.02</v>
      </c>
      <c r="AT32" s="6">
        <v>1.59</v>
      </c>
      <c r="AU32" s="6">
        <v>1.53</v>
      </c>
      <c r="AV32" s="6">
        <v>2.4500000000000002</v>
      </c>
      <c r="AW32" s="6">
        <v>1.67</v>
      </c>
      <c r="AX32" s="6">
        <v>3.28</v>
      </c>
      <c r="AY32" s="6">
        <v>1.97</v>
      </c>
      <c r="AZ32" s="6">
        <v>2.19</v>
      </c>
      <c r="BA32" s="6">
        <v>2.23</v>
      </c>
      <c r="BB32" s="6">
        <v>2.0499999999999998</v>
      </c>
      <c r="BC32" s="6">
        <v>1.94</v>
      </c>
      <c r="BD32" s="6">
        <v>1.98448</v>
      </c>
      <c r="BE32" s="6">
        <v>1.94</v>
      </c>
      <c r="BF32" s="6">
        <v>2.46</v>
      </c>
      <c r="BG32" s="6">
        <v>1.58</v>
      </c>
      <c r="BH32" s="6">
        <v>3.25</v>
      </c>
      <c r="BI32" s="7">
        <v>1.64</v>
      </c>
      <c r="BJ32" s="7">
        <v>2.04</v>
      </c>
      <c r="BK32" s="7">
        <v>2.2799999999999998</v>
      </c>
      <c r="BL32" s="7">
        <v>1.58</v>
      </c>
      <c r="BM32" s="7">
        <v>2.1800000000000002</v>
      </c>
      <c r="BN32" s="7">
        <v>2.54</v>
      </c>
      <c r="BO32" s="7">
        <v>3.37</v>
      </c>
      <c r="BP32" s="7">
        <v>2.2999999999999998</v>
      </c>
      <c r="BQ32" s="7">
        <v>2.44</v>
      </c>
      <c r="BR32" s="7">
        <v>2.87</v>
      </c>
      <c r="BS32" s="7">
        <v>1.63</v>
      </c>
      <c r="BT32" s="7">
        <v>2.4300000000000002</v>
      </c>
      <c r="BU32" s="7">
        <v>2.74</v>
      </c>
      <c r="BV32" s="7">
        <v>2</v>
      </c>
      <c r="BW32" s="7">
        <v>2.1</v>
      </c>
      <c r="BX32" s="7">
        <v>1.98</v>
      </c>
      <c r="BY32" s="7">
        <v>1.6199999999999999</v>
      </c>
      <c r="BZ32" s="7">
        <v>2.74</v>
      </c>
      <c r="CA32" s="7">
        <v>2.4300000000000002</v>
      </c>
      <c r="CB32" s="7">
        <v>1.66</v>
      </c>
      <c r="CC32" s="7">
        <v>2.0499999999999998</v>
      </c>
      <c r="CD32" s="7">
        <v>3.23</v>
      </c>
      <c r="CE32" s="7">
        <v>1.99</v>
      </c>
      <c r="CF32" s="7">
        <v>2.2999999999999998</v>
      </c>
      <c r="CG32" s="7">
        <v>1.42</v>
      </c>
      <c r="CH32" s="7">
        <v>2.12</v>
      </c>
    </row>
    <row r="33" spans="1:86" ht="15.75" customHeight="1" x14ac:dyDescent="0.25">
      <c r="A33" s="4">
        <v>32</v>
      </c>
      <c r="B33" s="2" t="s">
        <v>4</v>
      </c>
      <c r="C33" s="4">
        <v>1</v>
      </c>
      <c r="D33" s="6">
        <v>2.88</v>
      </c>
      <c r="E33" s="6">
        <v>1.58</v>
      </c>
      <c r="F33" s="6">
        <v>1.73</v>
      </c>
      <c r="G33" s="6">
        <v>1.48</v>
      </c>
      <c r="H33" s="6">
        <v>1.58</v>
      </c>
      <c r="I33" s="6">
        <v>1.1299999999999999</v>
      </c>
      <c r="J33" s="6">
        <v>1.23</v>
      </c>
      <c r="K33" s="6">
        <v>2.23</v>
      </c>
      <c r="L33" s="6">
        <v>2.33</v>
      </c>
      <c r="M33" s="6">
        <v>1.72</v>
      </c>
      <c r="N33" s="6">
        <v>2.88</v>
      </c>
      <c r="O33" s="6">
        <v>2.5299999999999998</v>
      </c>
      <c r="P33" s="6">
        <v>2.4300000000000002</v>
      </c>
      <c r="Q33" s="6">
        <v>2.5299999999999998</v>
      </c>
      <c r="R33" s="6">
        <v>1.63</v>
      </c>
      <c r="S33" s="6">
        <v>1.38</v>
      </c>
      <c r="T33" s="6">
        <v>1.1100000000000001</v>
      </c>
      <c r="U33" s="6">
        <v>2.41</v>
      </c>
      <c r="V33" s="6">
        <v>1.51</v>
      </c>
      <c r="W33" s="6">
        <v>1.41</v>
      </c>
      <c r="X33" s="6">
        <v>1.51</v>
      </c>
      <c r="Y33" s="6">
        <v>1.21</v>
      </c>
      <c r="Z33" s="6">
        <v>1.76</v>
      </c>
      <c r="AA33" s="6">
        <v>1.72</v>
      </c>
      <c r="AB33" s="6">
        <v>2.79</v>
      </c>
      <c r="AC33" s="6">
        <v>1.54</v>
      </c>
      <c r="AD33" s="6">
        <v>2.0699999999999998</v>
      </c>
      <c r="AE33" s="6">
        <v>2.89</v>
      </c>
      <c r="AF33" s="6">
        <v>1.97</v>
      </c>
      <c r="AG33" s="6">
        <v>4.29</v>
      </c>
      <c r="AH33" s="6">
        <v>1.31</v>
      </c>
      <c r="AI33" s="6">
        <v>1.75</v>
      </c>
      <c r="AJ33" s="6">
        <v>1.65</v>
      </c>
      <c r="AK33" s="6">
        <v>2.42</v>
      </c>
      <c r="AL33" s="6">
        <v>1.1100000000000001</v>
      </c>
      <c r="AM33" s="6">
        <v>1.1100000000000001</v>
      </c>
      <c r="AN33" s="6">
        <v>1.46</v>
      </c>
      <c r="AO33" s="6">
        <v>1.81</v>
      </c>
      <c r="AP33" s="6">
        <v>0.98</v>
      </c>
      <c r="AQ33" s="6">
        <v>1.29</v>
      </c>
      <c r="AR33" s="6">
        <v>1.46</v>
      </c>
      <c r="AS33" s="6">
        <v>2.09</v>
      </c>
      <c r="AT33" s="6">
        <v>1.61</v>
      </c>
      <c r="AU33" s="6">
        <v>1.48</v>
      </c>
      <c r="AV33" s="6">
        <v>2.4</v>
      </c>
      <c r="AW33" s="6">
        <v>1.65</v>
      </c>
      <c r="AX33" s="6">
        <v>3.48</v>
      </c>
      <c r="AY33" s="6">
        <v>1.97</v>
      </c>
      <c r="AZ33" s="6">
        <v>2.14</v>
      </c>
      <c r="BA33" s="6">
        <v>2.21</v>
      </c>
      <c r="BB33" s="6">
        <v>1.83</v>
      </c>
      <c r="BC33" s="6">
        <v>1.91</v>
      </c>
      <c r="BD33" s="6">
        <v>2.0454400000000001</v>
      </c>
      <c r="BE33" s="6">
        <v>1.94</v>
      </c>
      <c r="BF33" s="6">
        <v>2.56</v>
      </c>
      <c r="BG33" s="6">
        <v>1.52</v>
      </c>
      <c r="BH33" s="6">
        <v>3.25</v>
      </c>
      <c r="BI33" s="7">
        <v>1.77</v>
      </c>
      <c r="BJ33" s="7">
        <v>2.02</v>
      </c>
      <c r="BK33" s="7">
        <v>2.31</v>
      </c>
      <c r="BL33" s="7">
        <v>1.62</v>
      </c>
      <c r="BM33" s="7">
        <v>2.04</v>
      </c>
      <c r="BN33" s="7">
        <v>2.52</v>
      </c>
      <c r="BO33" s="7">
        <v>3.47</v>
      </c>
      <c r="BP33" s="7">
        <v>2.29</v>
      </c>
      <c r="BQ33" s="7">
        <v>2.2999999999999998</v>
      </c>
      <c r="BR33" s="7">
        <v>2.79</v>
      </c>
      <c r="BS33" s="7">
        <v>1.67</v>
      </c>
      <c r="BT33" s="7">
        <v>2.4</v>
      </c>
      <c r="BU33" s="7">
        <v>2.65</v>
      </c>
      <c r="BV33" s="7">
        <v>1.99</v>
      </c>
      <c r="BW33" s="7">
        <v>2.11</v>
      </c>
      <c r="BX33" s="7">
        <v>1.98</v>
      </c>
      <c r="BY33" s="7">
        <v>1.49</v>
      </c>
      <c r="BZ33" s="7">
        <v>2.69</v>
      </c>
      <c r="CA33" s="7">
        <v>2.38</v>
      </c>
      <c r="CB33" s="7">
        <v>1.58</v>
      </c>
      <c r="CC33" s="7">
        <v>1.9</v>
      </c>
      <c r="CD33" s="7">
        <v>3.19</v>
      </c>
      <c r="CE33" s="7">
        <v>2.0300000000000002</v>
      </c>
      <c r="CF33" s="7">
        <v>2.2200000000000002</v>
      </c>
      <c r="CG33" s="7">
        <v>1.39</v>
      </c>
      <c r="CH33" s="7">
        <v>2.14</v>
      </c>
    </row>
    <row r="34" spans="1:86" ht="15.75" customHeight="1" x14ac:dyDescent="0.25">
      <c r="A34" s="4">
        <v>33</v>
      </c>
      <c r="B34" s="2"/>
      <c r="C34" s="4">
        <v>2</v>
      </c>
      <c r="D34" s="6">
        <v>2.88</v>
      </c>
      <c r="E34" s="6">
        <v>1.48</v>
      </c>
      <c r="F34" s="6">
        <v>1.73</v>
      </c>
      <c r="G34" s="6">
        <v>1.48</v>
      </c>
      <c r="H34" s="6">
        <v>1.58</v>
      </c>
      <c r="I34" s="6">
        <v>1.08</v>
      </c>
      <c r="J34" s="6">
        <v>1.18</v>
      </c>
      <c r="K34" s="6">
        <v>2.13</v>
      </c>
      <c r="L34" s="6">
        <v>2.2799999999999998</v>
      </c>
      <c r="M34" s="6">
        <v>1.69</v>
      </c>
      <c r="N34" s="6">
        <v>3.08</v>
      </c>
      <c r="O34" s="6">
        <v>2.5299999999999998</v>
      </c>
      <c r="P34" s="6">
        <v>2.38</v>
      </c>
      <c r="Q34" s="6">
        <v>2.4300000000000002</v>
      </c>
      <c r="R34" s="6">
        <v>1.63</v>
      </c>
      <c r="S34" s="6">
        <v>1.43</v>
      </c>
      <c r="T34" s="6">
        <v>1.1100000000000001</v>
      </c>
      <c r="U34" s="6">
        <v>2.31</v>
      </c>
      <c r="V34" s="6">
        <v>1.59</v>
      </c>
      <c r="W34" s="6">
        <v>1.46</v>
      </c>
      <c r="X34" s="6">
        <v>1.46</v>
      </c>
      <c r="Y34" s="6">
        <v>1.1100000000000001</v>
      </c>
      <c r="Z34" s="6">
        <v>1.76</v>
      </c>
      <c r="AA34" s="6">
        <v>1.7</v>
      </c>
      <c r="AB34" s="6">
        <v>2.64</v>
      </c>
      <c r="AC34" s="6">
        <v>1.55</v>
      </c>
      <c r="AD34" s="6">
        <v>2.12</v>
      </c>
      <c r="AE34" s="6">
        <v>2.77</v>
      </c>
      <c r="AF34" s="6">
        <v>1.89</v>
      </c>
      <c r="AG34" s="6">
        <v>4.1100000000000003</v>
      </c>
      <c r="AH34" s="6">
        <v>1.29</v>
      </c>
      <c r="AI34" s="6">
        <v>1.75</v>
      </c>
      <c r="AJ34" s="6">
        <v>1.57</v>
      </c>
      <c r="AK34" s="6">
        <v>2.4</v>
      </c>
      <c r="AL34" s="6">
        <v>1.18</v>
      </c>
      <c r="AM34" s="6">
        <v>1.0900000000000001</v>
      </c>
      <c r="AN34" s="6">
        <v>1.39</v>
      </c>
      <c r="AO34" s="6">
        <v>1.79</v>
      </c>
      <c r="AP34" s="6">
        <v>0.97</v>
      </c>
      <c r="AQ34" s="6">
        <v>1.2</v>
      </c>
      <c r="AR34" s="6">
        <v>1.44</v>
      </c>
      <c r="AS34" s="6">
        <v>2.29</v>
      </c>
      <c r="AT34" s="6">
        <v>1.57</v>
      </c>
      <c r="AU34" s="6">
        <v>1.43</v>
      </c>
      <c r="AV34" s="6">
        <v>2.29</v>
      </c>
      <c r="AW34" s="6">
        <v>1.67</v>
      </c>
      <c r="AX34" s="6">
        <v>3.33</v>
      </c>
      <c r="AY34" s="6">
        <v>1.99</v>
      </c>
      <c r="AZ34" s="6">
        <v>2.11</v>
      </c>
      <c r="BA34" s="6">
        <v>2.17</v>
      </c>
      <c r="BB34" s="6">
        <v>1.83</v>
      </c>
      <c r="BC34" s="6">
        <v>1.9</v>
      </c>
      <c r="BD34" s="6">
        <v>2.0454400000000001</v>
      </c>
      <c r="BE34" s="6">
        <v>1.94</v>
      </c>
      <c r="BF34" s="6">
        <v>2.31</v>
      </c>
      <c r="BG34" s="6">
        <v>1.4</v>
      </c>
      <c r="BH34" s="6">
        <v>3.25</v>
      </c>
      <c r="BI34" s="7">
        <v>1.77</v>
      </c>
      <c r="BJ34" s="7">
        <v>1.93</v>
      </c>
      <c r="BK34" s="7">
        <v>2.2400000000000002</v>
      </c>
      <c r="BL34" s="7">
        <v>1.57</v>
      </c>
      <c r="BM34" s="7">
        <v>1.99</v>
      </c>
      <c r="BN34" s="7">
        <v>2.4900000000000002</v>
      </c>
      <c r="BO34" s="7">
        <v>3.47</v>
      </c>
      <c r="BP34" s="7">
        <v>2.27</v>
      </c>
      <c r="BQ34" s="7">
        <v>2.2599999999999998</v>
      </c>
      <c r="BR34" s="7">
        <v>2.71</v>
      </c>
      <c r="BS34" s="7">
        <v>1.73</v>
      </c>
      <c r="BT34" s="7">
        <v>2.4</v>
      </c>
      <c r="BU34" s="7">
        <v>2.63</v>
      </c>
      <c r="BV34" s="7">
        <v>1.98</v>
      </c>
      <c r="BW34" s="7">
        <v>2.12</v>
      </c>
      <c r="BX34" s="7">
        <v>1.96</v>
      </c>
      <c r="BY34" s="7">
        <v>1.49</v>
      </c>
      <c r="BZ34" s="7">
        <v>2.64</v>
      </c>
      <c r="CA34" s="7">
        <v>2.4300000000000002</v>
      </c>
      <c r="CB34" s="7">
        <v>1.58</v>
      </c>
      <c r="CC34" s="7">
        <v>1.89</v>
      </c>
      <c r="CD34" s="7">
        <v>3.04</v>
      </c>
      <c r="CE34" s="7">
        <v>2.11</v>
      </c>
      <c r="CF34" s="7">
        <v>2.25</v>
      </c>
      <c r="CG34" s="7">
        <v>1.36</v>
      </c>
      <c r="CH34" s="7">
        <v>2.13</v>
      </c>
    </row>
    <row r="35" spans="1:86" ht="15.75" customHeight="1" x14ac:dyDescent="0.25">
      <c r="A35" s="4">
        <v>34</v>
      </c>
      <c r="B35" s="2"/>
      <c r="C35" s="4">
        <v>3</v>
      </c>
      <c r="D35" s="6">
        <v>2.88</v>
      </c>
      <c r="E35" s="6">
        <v>1.33</v>
      </c>
      <c r="F35" s="6">
        <v>1.68</v>
      </c>
      <c r="G35" s="6">
        <v>1.48</v>
      </c>
      <c r="H35" s="6">
        <v>1.53</v>
      </c>
      <c r="I35" s="6">
        <v>1.03</v>
      </c>
      <c r="J35" s="6">
        <v>1.18</v>
      </c>
      <c r="K35" s="6">
        <v>2.1800000000000002</v>
      </c>
      <c r="L35" s="6">
        <v>2.33</v>
      </c>
      <c r="M35" s="6">
        <v>1.46</v>
      </c>
      <c r="N35" s="6">
        <v>3.18</v>
      </c>
      <c r="O35" s="6">
        <v>2.5299999999999998</v>
      </c>
      <c r="P35" s="6">
        <v>2.2799999999999998</v>
      </c>
      <c r="Q35" s="6">
        <v>2.35</v>
      </c>
      <c r="R35" s="6">
        <v>1.58</v>
      </c>
      <c r="S35" s="6">
        <v>1.38</v>
      </c>
      <c r="T35" s="6">
        <v>0.91</v>
      </c>
      <c r="U35" s="6">
        <v>2.21</v>
      </c>
      <c r="V35" s="6">
        <v>1.59</v>
      </c>
      <c r="W35" s="6">
        <v>1.48</v>
      </c>
      <c r="X35" s="6">
        <v>1.41</v>
      </c>
      <c r="Y35" s="6">
        <v>1.1100000000000001</v>
      </c>
      <c r="Z35" s="6">
        <v>1.71</v>
      </c>
      <c r="AA35" s="6">
        <v>1.68</v>
      </c>
      <c r="AB35" s="6">
        <v>2.5099999999999998</v>
      </c>
      <c r="AC35" s="6">
        <v>1.49</v>
      </c>
      <c r="AD35" s="6">
        <v>2.14</v>
      </c>
      <c r="AE35" s="6">
        <v>2.67</v>
      </c>
      <c r="AF35" s="6">
        <v>1.87</v>
      </c>
      <c r="AG35" s="6">
        <v>3.98</v>
      </c>
      <c r="AH35" s="6">
        <v>1.27</v>
      </c>
      <c r="AI35" s="6">
        <v>1.79</v>
      </c>
      <c r="AJ35" s="6">
        <v>1.58</v>
      </c>
      <c r="AK35" s="6">
        <v>2.33</v>
      </c>
      <c r="AL35" s="6">
        <v>1.18</v>
      </c>
      <c r="AM35" s="6">
        <v>1.02</v>
      </c>
      <c r="AN35" s="6">
        <v>1.36</v>
      </c>
      <c r="AO35" s="6">
        <v>1.73</v>
      </c>
      <c r="AP35" s="6">
        <v>1</v>
      </c>
      <c r="AQ35" s="6">
        <v>1.1399999999999999</v>
      </c>
      <c r="AR35" s="6">
        <v>1.36</v>
      </c>
      <c r="AS35" s="6">
        <v>2.4500000000000002</v>
      </c>
      <c r="AT35" s="6">
        <v>1.53</v>
      </c>
      <c r="AU35" s="6">
        <v>1.39</v>
      </c>
      <c r="AV35" s="6">
        <v>2.34</v>
      </c>
      <c r="AW35" s="6">
        <v>1.68</v>
      </c>
      <c r="AX35" s="6">
        <v>3.28</v>
      </c>
      <c r="AY35" s="6">
        <v>1.93</v>
      </c>
      <c r="AZ35" s="6">
        <v>2.0499999999999998</v>
      </c>
      <c r="BA35" s="6">
        <v>2.12</v>
      </c>
      <c r="BB35" s="6">
        <v>1.89</v>
      </c>
      <c r="BC35" s="6">
        <v>1.89</v>
      </c>
      <c r="BD35" s="6">
        <v>2.07592</v>
      </c>
      <c r="BE35" s="6">
        <v>1.94</v>
      </c>
      <c r="BF35" s="6">
        <v>2.31</v>
      </c>
      <c r="BG35" s="6">
        <v>1.4</v>
      </c>
      <c r="BH35" s="6">
        <v>3.25</v>
      </c>
      <c r="BI35" s="7">
        <v>1.77</v>
      </c>
      <c r="BJ35" s="7">
        <v>1.83</v>
      </c>
      <c r="BK35" s="7">
        <v>2.19</v>
      </c>
      <c r="BL35" s="7">
        <v>1.58</v>
      </c>
      <c r="BM35" s="7">
        <v>2.0299999999999998</v>
      </c>
      <c r="BN35" s="7">
        <v>2.4</v>
      </c>
      <c r="BO35" s="7">
        <v>3.54</v>
      </c>
      <c r="BP35" s="7">
        <v>2.27</v>
      </c>
      <c r="BQ35" s="7">
        <v>2.16</v>
      </c>
      <c r="BR35" s="7">
        <v>2.63</v>
      </c>
      <c r="BS35" s="7">
        <v>1.71</v>
      </c>
      <c r="BT35" s="7">
        <v>2.39</v>
      </c>
      <c r="BU35" s="7">
        <v>2.58</v>
      </c>
      <c r="BV35" s="7">
        <v>1.92</v>
      </c>
      <c r="BW35" s="7">
        <v>2.12</v>
      </c>
      <c r="BX35" s="7">
        <v>1.96</v>
      </c>
      <c r="BY35" s="7">
        <v>1.49</v>
      </c>
      <c r="BZ35" s="7">
        <v>2.59</v>
      </c>
      <c r="CA35" s="7">
        <v>2.4300000000000002</v>
      </c>
      <c r="CB35" s="7">
        <v>1.57</v>
      </c>
      <c r="CC35" s="7">
        <v>1.87</v>
      </c>
      <c r="CD35" s="7">
        <v>2.94</v>
      </c>
      <c r="CE35" s="7">
        <v>2.08</v>
      </c>
      <c r="CF35" s="7">
        <v>2.2400000000000002</v>
      </c>
      <c r="CG35" s="7">
        <v>1.25</v>
      </c>
      <c r="CH35" s="7">
        <v>2.0099999999999998</v>
      </c>
    </row>
    <row r="36" spans="1:86" ht="15.75" customHeight="1" x14ac:dyDescent="0.25">
      <c r="A36" s="4">
        <v>35</v>
      </c>
      <c r="B36" s="2"/>
      <c r="C36" s="4">
        <v>4</v>
      </c>
      <c r="D36" s="6">
        <v>2.78</v>
      </c>
      <c r="E36" s="6">
        <v>1.28</v>
      </c>
      <c r="F36" s="6">
        <v>1.63</v>
      </c>
      <c r="G36" s="6">
        <v>1.43</v>
      </c>
      <c r="H36" s="6">
        <v>1.53</v>
      </c>
      <c r="I36" s="6">
        <v>0.98</v>
      </c>
      <c r="J36" s="6">
        <v>1.1299999999999999</v>
      </c>
      <c r="K36" s="6">
        <v>2.13</v>
      </c>
      <c r="L36" s="6">
        <v>2.4300000000000002</v>
      </c>
      <c r="M36" s="6">
        <v>1.4</v>
      </c>
      <c r="N36" s="6">
        <v>3.28</v>
      </c>
      <c r="O36" s="6">
        <v>2.38</v>
      </c>
      <c r="P36" s="6">
        <v>2.13</v>
      </c>
      <c r="Q36" s="6">
        <v>2.2799999999999998</v>
      </c>
      <c r="R36" s="6">
        <v>1.53</v>
      </c>
      <c r="S36" s="6">
        <v>1.58</v>
      </c>
      <c r="T36" s="6">
        <v>0.71</v>
      </c>
      <c r="U36" s="6">
        <v>2.09</v>
      </c>
      <c r="V36" s="6">
        <v>1.47</v>
      </c>
      <c r="W36" s="6">
        <v>1.48</v>
      </c>
      <c r="X36" s="6">
        <v>1.29</v>
      </c>
      <c r="Y36" s="6">
        <v>1.04</v>
      </c>
      <c r="Z36" s="6">
        <v>1.71</v>
      </c>
      <c r="AA36" s="6">
        <v>1.68</v>
      </c>
      <c r="AB36" s="6">
        <v>2.4</v>
      </c>
      <c r="AC36" s="6">
        <v>1.49</v>
      </c>
      <c r="AD36" s="6">
        <v>2.12</v>
      </c>
      <c r="AE36" s="6">
        <v>2.59</v>
      </c>
      <c r="AF36" s="6">
        <v>1.79</v>
      </c>
      <c r="AG36" s="6">
        <v>4.16</v>
      </c>
      <c r="AH36" s="6">
        <v>1.25</v>
      </c>
      <c r="AI36" s="6">
        <v>2.4500000000000002</v>
      </c>
      <c r="AJ36" s="6">
        <v>1.46</v>
      </c>
      <c r="AK36" s="6">
        <v>2.17</v>
      </c>
      <c r="AL36" s="6">
        <v>1.1599999999999999</v>
      </c>
      <c r="AM36" s="6">
        <v>1.08</v>
      </c>
      <c r="AN36" s="6">
        <v>1.27</v>
      </c>
      <c r="AO36" s="6">
        <v>1.65</v>
      </c>
      <c r="AP36" s="6">
        <v>1.02</v>
      </c>
      <c r="AQ36" s="6">
        <v>1.1200000000000001</v>
      </c>
      <c r="AR36" s="6">
        <v>1.3</v>
      </c>
      <c r="AS36" s="6">
        <v>2.52</v>
      </c>
      <c r="AT36" s="6">
        <v>1.49</v>
      </c>
      <c r="AU36" s="6">
        <v>1.42</v>
      </c>
      <c r="AV36" s="6">
        <v>2.27</v>
      </c>
      <c r="AW36" s="6">
        <v>1.69</v>
      </c>
      <c r="AX36" s="6">
        <v>3.29</v>
      </c>
      <c r="AY36" s="6">
        <v>1.87</v>
      </c>
      <c r="AZ36" s="6">
        <v>1.89</v>
      </c>
      <c r="BA36" s="6">
        <v>2.12</v>
      </c>
      <c r="BB36" s="6">
        <v>1.93</v>
      </c>
      <c r="BC36" s="6">
        <v>1.9</v>
      </c>
      <c r="BD36" s="6">
        <v>1.98448</v>
      </c>
      <c r="BE36" s="6">
        <v>1.94</v>
      </c>
      <c r="BF36" s="6">
        <v>2.31</v>
      </c>
      <c r="BG36" s="6">
        <v>1.4</v>
      </c>
      <c r="BH36" s="6">
        <v>3.2</v>
      </c>
      <c r="BI36" s="7">
        <v>1.83</v>
      </c>
      <c r="BJ36" s="7">
        <v>1.75</v>
      </c>
      <c r="BK36" s="7">
        <v>2.13</v>
      </c>
      <c r="BL36" s="7">
        <v>1.55</v>
      </c>
      <c r="BM36" s="7">
        <v>2.02</v>
      </c>
      <c r="BN36" s="7">
        <v>2.31</v>
      </c>
      <c r="BO36" s="7">
        <v>3.67</v>
      </c>
      <c r="BP36" s="7">
        <v>2.25</v>
      </c>
      <c r="BQ36" s="7">
        <v>2.08</v>
      </c>
      <c r="BR36" s="7">
        <v>2.6</v>
      </c>
      <c r="BS36" s="7">
        <v>1.67</v>
      </c>
      <c r="BT36" s="7">
        <v>2.3199999999999998</v>
      </c>
      <c r="BU36" s="7">
        <v>2.58</v>
      </c>
      <c r="BV36" s="7">
        <v>1.88</v>
      </c>
      <c r="BW36" s="7">
        <v>2.08</v>
      </c>
      <c r="BX36" s="7">
        <v>2.0300000000000002</v>
      </c>
      <c r="BY36" s="7">
        <v>1.43</v>
      </c>
      <c r="BZ36" s="7">
        <v>2.54</v>
      </c>
      <c r="CA36" s="7">
        <v>2.48</v>
      </c>
      <c r="CB36" s="7">
        <v>1.55</v>
      </c>
      <c r="CC36" s="7">
        <v>1.76</v>
      </c>
      <c r="CD36" s="7">
        <v>2.79</v>
      </c>
      <c r="CE36" s="7">
        <v>2.02</v>
      </c>
      <c r="CF36" s="7">
        <v>2.2000000000000002</v>
      </c>
      <c r="CG36" s="7">
        <v>1.2</v>
      </c>
      <c r="CH36" s="7">
        <v>1.99</v>
      </c>
    </row>
    <row r="37" spans="1:86" ht="15.75" customHeight="1" x14ac:dyDescent="0.25">
      <c r="A37" s="4">
        <v>36</v>
      </c>
      <c r="B37" s="2"/>
      <c r="C37" s="4">
        <v>5</v>
      </c>
      <c r="D37" s="6">
        <v>2.73</v>
      </c>
      <c r="E37" s="6">
        <v>1.28</v>
      </c>
      <c r="F37" s="6">
        <v>1.53</v>
      </c>
      <c r="G37" s="6">
        <v>1.43</v>
      </c>
      <c r="H37" s="6">
        <v>1.58</v>
      </c>
      <c r="I37" s="6">
        <v>1.03</v>
      </c>
      <c r="J37" s="6">
        <v>1.08</v>
      </c>
      <c r="K37" s="6">
        <v>2.13</v>
      </c>
      <c r="L37" s="6">
        <v>2.48</v>
      </c>
      <c r="M37" s="6">
        <v>1.41</v>
      </c>
      <c r="N37" s="6">
        <v>3.38</v>
      </c>
      <c r="O37" s="6">
        <v>2.33</v>
      </c>
      <c r="P37" s="6">
        <v>2.11</v>
      </c>
      <c r="Q37" s="6">
        <v>2.23</v>
      </c>
      <c r="R37" s="6">
        <v>1.53</v>
      </c>
      <c r="S37" s="6">
        <v>1.83</v>
      </c>
      <c r="T37" s="6">
        <v>0.81</v>
      </c>
      <c r="U37" s="6">
        <v>1.96</v>
      </c>
      <c r="V37" s="6">
        <v>1.51</v>
      </c>
      <c r="W37" s="6">
        <v>1.48</v>
      </c>
      <c r="X37" s="6">
        <v>1.26</v>
      </c>
      <c r="Y37" s="6">
        <v>1.01</v>
      </c>
      <c r="Z37" s="6">
        <v>1.66</v>
      </c>
      <c r="AA37" s="6">
        <v>1.68</v>
      </c>
      <c r="AB37" s="6">
        <v>2.3199999999999998</v>
      </c>
      <c r="AC37" s="6">
        <v>1.46</v>
      </c>
      <c r="AD37" s="6">
        <v>2.15</v>
      </c>
      <c r="AE37" s="6">
        <v>2.5499999999999998</v>
      </c>
      <c r="AF37" s="6">
        <v>1.81</v>
      </c>
      <c r="AG37" s="6">
        <v>3.88</v>
      </c>
      <c r="AH37" s="6">
        <v>1.27</v>
      </c>
      <c r="AI37" s="6">
        <v>1.96</v>
      </c>
      <c r="AJ37" s="6">
        <v>1.42</v>
      </c>
      <c r="AK37" s="6">
        <v>2.11</v>
      </c>
      <c r="AL37" s="6">
        <v>1.17</v>
      </c>
      <c r="AM37" s="6">
        <v>1.1000000000000001</v>
      </c>
      <c r="AN37" s="6">
        <v>1.1299999999999999</v>
      </c>
      <c r="AO37" s="6">
        <v>1.63</v>
      </c>
      <c r="AP37" s="6">
        <v>1.02</v>
      </c>
      <c r="AQ37" s="6">
        <v>1.08</v>
      </c>
      <c r="AR37" s="6">
        <v>1.1599999999999999</v>
      </c>
      <c r="AS37" s="6">
        <v>2.52</v>
      </c>
      <c r="AT37" s="6">
        <v>1.52</v>
      </c>
      <c r="AU37" s="6">
        <v>1.46</v>
      </c>
      <c r="AV37" s="6">
        <v>2.1800000000000002</v>
      </c>
      <c r="AW37" s="6">
        <v>1.71</v>
      </c>
      <c r="AX37" s="6">
        <v>3.17</v>
      </c>
      <c r="AY37" s="6">
        <v>1.81</v>
      </c>
      <c r="AZ37" s="6">
        <v>1.84</v>
      </c>
      <c r="BA37" s="6">
        <v>2.17</v>
      </c>
      <c r="BB37" s="6">
        <v>1.93</v>
      </c>
      <c r="BC37" s="6">
        <v>1.83</v>
      </c>
      <c r="BD37" s="6">
        <v>1.98448</v>
      </c>
      <c r="BE37" s="6">
        <v>1.93</v>
      </c>
      <c r="BF37" s="6">
        <v>2.31</v>
      </c>
      <c r="BG37" s="6">
        <v>1.31</v>
      </c>
      <c r="BH37" s="6">
        <v>3.17</v>
      </c>
      <c r="BI37" s="7">
        <v>1.97</v>
      </c>
      <c r="BJ37" s="7">
        <v>1.7</v>
      </c>
      <c r="BK37" s="7">
        <v>2.13</v>
      </c>
      <c r="BL37" s="7">
        <v>1.57</v>
      </c>
      <c r="BM37" s="7">
        <v>2.0699999999999998</v>
      </c>
      <c r="BN37" s="7">
        <v>2.21</v>
      </c>
      <c r="BO37" s="7">
        <v>3.58</v>
      </c>
      <c r="BP37" s="7">
        <v>2.1800000000000002</v>
      </c>
      <c r="BQ37" s="7">
        <v>2.08</v>
      </c>
      <c r="BR37" s="7">
        <v>2.58</v>
      </c>
      <c r="BS37" s="7">
        <v>1.62</v>
      </c>
      <c r="BT37" s="7">
        <v>2.3199999999999998</v>
      </c>
      <c r="BU37" s="7">
        <v>2.63</v>
      </c>
      <c r="BV37" s="7">
        <v>1.8399999999999999</v>
      </c>
      <c r="BW37" s="7">
        <v>2</v>
      </c>
      <c r="BX37" s="7">
        <v>2.11</v>
      </c>
      <c r="BY37" s="7">
        <v>1.4</v>
      </c>
      <c r="BZ37" s="7">
        <v>2.48</v>
      </c>
      <c r="CA37" s="7">
        <v>2.21</v>
      </c>
      <c r="CB37" s="7">
        <v>1.6</v>
      </c>
      <c r="CC37" s="7">
        <v>1.69</v>
      </c>
      <c r="CD37" s="7">
        <v>2.6700000000000004</v>
      </c>
      <c r="CE37" s="7">
        <v>2.0300000000000002</v>
      </c>
      <c r="CF37" s="7">
        <v>2.08</v>
      </c>
      <c r="CG37" s="7">
        <v>1.1399999999999999</v>
      </c>
      <c r="CH37" s="7">
        <v>1.9</v>
      </c>
    </row>
    <row r="38" spans="1:86" ht="15.75" customHeight="1" x14ac:dyDescent="0.25">
      <c r="A38" s="4">
        <v>37</v>
      </c>
      <c r="B38" s="2"/>
      <c r="C38" s="4">
        <v>6</v>
      </c>
      <c r="D38" s="6">
        <v>2.78</v>
      </c>
      <c r="E38" s="6">
        <v>1.28</v>
      </c>
      <c r="F38" s="6">
        <v>1.46</v>
      </c>
      <c r="G38" s="6">
        <v>1.43</v>
      </c>
      <c r="H38" s="6">
        <v>1.63</v>
      </c>
      <c r="I38" s="6">
        <v>1.03</v>
      </c>
      <c r="J38" s="6">
        <v>1.08</v>
      </c>
      <c r="K38" s="6">
        <v>2.08</v>
      </c>
      <c r="L38" s="6">
        <v>2.48</v>
      </c>
      <c r="M38" s="6">
        <v>1.43</v>
      </c>
      <c r="N38" s="6">
        <v>3.38</v>
      </c>
      <c r="O38" s="6">
        <v>2.23</v>
      </c>
      <c r="P38" s="6">
        <v>2.08</v>
      </c>
      <c r="Q38" s="6">
        <v>2.13</v>
      </c>
      <c r="R38" s="6">
        <v>1.53</v>
      </c>
      <c r="S38" s="6">
        <v>1.83</v>
      </c>
      <c r="T38" s="6">
        <v>0.8</v>
      </c>
      <c r="U38" s="6">
        <v>1.81</v>
      </c>
      <c r="V38" s="6">
        <v>1.46</v>
      </c>
      <c r="W38" s="6">
        <v>1.51</v>
      </c>
      <c r="X38" s="6">
        <v>1.26</v>
      </c>
      <c r="Y38" s="6">
        <v>0.91</v>
      </c>
      <c r="Z38" s="6">
        <v>1.81</v>
      </c>
      <c r="AA38" s="6">
        <v>1.7</v>
      </c>
      <c r="AB38" s="6">
        <v>2.2599999999999998</v>
      </c>
      <c r="AC38" s="6">
        <v>1.51</v>
      </c>
      <c r="AD38" s="6">
        <v>2.15</v>
      </c>
      <c r="AE38" s="6">
        <v>2.65</v>
      </c>
      <c r="AF38" s="6">
        <v>1.74</v>
      </c>
      <c r="AG38" s="6">
        <v>3.6</v>
      </c>
      <c r="AH38" s="6">
        <v>1.27</v>
      </c>
      <c r="AI38" s="6">
        <v>1.91</v>
      </c>
      <c r="AJ38" s="6">
        <v>1.38</v>
      </c>
      <c r="AK38" s="6">
        <v>1.99</v>
      </c>
      <c r="AL38" s="6">
        <v>1.17</v>
      </c>
      <c r="AM38" s="6">
        <v>1.07</v>
      </c>
      <c r="AN38" s="6">
        <v>1.0900000000000001</v>
      </c>
      <c r="AO38" s="6">
        <v>1.63</v>
      </c>
      <c r="AP38" s="6">
        <v>1.04</v>
      </c>
      <c r="AQ38" s="6">
        <v>1.06</v>
      </c>
      <c r="AR38" s="6">
        <v>1.08</v>
      </c>
      <c r="AS38" s="6">
        <v>2.52</v>
      </c>
      <c r="AT38" s="6">
        <v>1.57</v>
      </c>
      <c r="AU38" s="6">
        <v>1.48</v>
      </c>
      <c r="AV38" s="6">
        <v>2.12</v>
      </c>
      <c r="AW38" s="6">
        <v>1.71</v>
      </c>
      <c r="AX38" s="6">
        <v>3.08</v>
      </c>
      <c r="AY38" s="6">
        <v>1.82</v>
      </c>
      <c r="AZ38" s="6">
        <v>1.82</v>
      </c>
      <c r="BA38" s="6">
        <v>2.11</v>
      </c>
      <c r="BB38" s="6">
        <v>1.97</v>
      </c>
      <c r="BC38" s="6">
        <v>1.67</v>
      </c>
      <c r="BD38" s="6">
        <v>1.98448</v>
      </c>
      <c r="BE38" s="6">
        <v>1.88</v>
      </c>
      <c r="BF38" s="6">
        <v>2.38</v>
      </c>
      <c r="BG38" s="6">
        <v>1.34</v>
      </c>
      <c r="BH38" s="6">
        <v>3.17</v>
      </c>
      <c r="BI38" s="7">
        <v>2.02</v>
      </c>
      <c r="BJ38" s="7">
        <v>1.72</v>
      </c>
      <c r="BK38" s="7">
        <v>2.1</v>
      </c>
      <c r="BL38" s="7">
        <v>1.53</v>
      </c>
      <c r="BM38" s="7">
        <v>2.08</v>
      </c>
      <c r="BN38" s="7">
        <v>2.19</v>
      </c>
      <c r="BO38" s="7">
        <v>3.54</v>
      </c>
      <c r="BP38" s="7">
        <v>2.1800000000000002</v>
      </c>
      <c r="BQ38" s="7">
        <v>2.13</v>
      </c>
      <c r="BR38" s="7">
        <v>2.58</v>
      </c>
      <c r="BS38" s="7">
        <v>1.52</v>
      </c>
      <c r="BT38" s="7">
        <v>2.2599999999999998</v>
      </c>
      <c r="BU38" s="7">
        <v>2.7</v>
      </c>
      <c r="BV38" s="7">
        <v>1.8399999999999999</v>
      </c>
      <c r="BW38" s="7">
        <v>1.98</v>
      </c>
      <c r="BX38" s="7">
        <v>2.14</v>
      </c>
      <c r="BY38" s="7">
        <v>1.38</v>
      </c>
      <c r="BZ38" s="7">
        <v>2.2799999999999998</v>
      </c>
      <c r="CA38" s="7">
        <v>2.21</v>
      </c>
      <c r="CB38" s="7">
        <v>1.61</v>
      </c>
      <c r="CC38" s="7">
        <v>1.69</v>
      </c>
      <c r="CD38" s="7">
        <v>2.62</v>
      </c>
      <c r="CE38" s="7">
        <v>1.94</v>
      </c>
      <c r="CF38" s="7">
        <v>2.14</v>
      </c>
      <c r="CG38" s="7">
        <v>1.07</v>
      </c>
      <c r="CH38" s="7">
        <v>1.81</v>
      </c>
    </row>
    <row r="39" spans="1:86" ht="15.75" customHeight="1" x14ac:dyDescent="0.25">
      <c r="A39" s="4">
        <v>38</v>
      </c>
      <c r="B39" s="2"/>
      <c r="C39" s="4">
        <v>7</v>
      </c>
      <c r="D39" s="6">
        <v>2.78</v>
      </c>
      <c r="E39" s="6">
        <v>1.33</v>
      </c>
      <c r="F39" s="6">
        <v>1.38</v>
      </c>
      <c r="G39" s="6">
        <v>1.43</v>
      </c>
      <c r="H39" s="6">
        <v>1.68</v>
      </c>
      <c r="I39" s="6">
        <v>0.83</v>
      </c>
      <c r="J39" s="6">
        <v>1.03</v>
      </c>
      <c r="K39" s="6">
        <v>2.0299999999999998</v>
      </c>
      <c r="L39" s="6">
        <v>2.4300000000000002</v>
      </c>
      <c r="M39" s="6">
        <v>1.38</v>
      </c>
      <c r="N39" s="6">
        <v>3.53</v>
      </c>
      <c r="O39" s="6">
        <v>2.2200000000000002</v>
      </c>
      <c r="P39" s="6">
        <v>2.11</v>
      </c>
      <c r="Q39" s="6">
        <v>2.1</v>
      </c>
      <c r="R39" s="6">
        <v>1.48</v>
      </c>
      <c r="S39" s="6">
        <v>1.83</v>
      </c>
      <c r="T39" s="6">
        <v>0.81</v>
      </c>
      <c r="U39" s="6">
        <v>1.79</v>
      </c>
      <c r="V39" s="6">
        <v>1.41</v>
      </c>
      <c r="W39" s="6">
        <v>1.61</v>
      </c>
      <c r="X39" s="6">
        <v>1.31</v>
      </c>
      <c r="Y39" s="6">
        <v>0.84</v>
      </c>
      <c r="Z39" s="6">
        <v>1.81</v>
      </c>
      <c r="AA39" s="6">
        <v>1.73</v>
      </c>
      <c r="AB39" s="6">
        <v>2.2599999999999998</v>
      </c>
      <c r="AC39" s="6">
        <v>1.55</v>
      </c>
      <c r="AD39" s="6">
        <v>2.13</v>
      </c>
      <c r="AE39" s="6">
        <v>2.4700000000000002</v>
      </c>
      <c r="AF39" s="6">
        <v>1.75</v>
      </c>
      <c r="AG39" s="6">
        <v>3.4</v>
      </c>
      <c r="AH39" s="6">
        <v>1.25</v>
      </c>
      <c r="AI39" s="6">
        <v>1.89</v>
      </c>
      <c r="AJ39" s="6">
        <v>1.36</v>
      </c>
      <c r="AK39" s="6">
        <v>1.93</v>
      </c>
      <c r="AL39" s="6">
        <v>1.1599999999999999</v>
      </c>
      <c r="AM39" s="6">
        <v>1.08</v>
      </c>
      <c r="AN39" s="6">
        <v>1.1299999999999999</v>
      </c>
      <c r="AO39" s="6">
        <v>1.61</v>
      </c>
      <c r="AP39" s="6">
        <v>1.04</v>
      </c>
      <c r="AQ39" s="6">
        <v>1.06</v>
      </c>
      <c r="AR39" s="6">
        <v>1.04</v>
      </c>
      <c r="AS39" s="6">
        <v>2.5299999999999998</v>
      </c>
      <c r="AT39" s="6">
        <v>1.61</v>
      </c>
      <c r="AU39" s="6">
        <v>1.52</v>
      </c>
      <c r="AV39" s="6">
        <v>2.0499999999999998</v>
      </c>
      <c r="AW39" s="6">
        <v>1.7</v>
      </c>
      <c r="AX39" s="6">
        <v>3.11</v>
      </c>
      <c r="AY39" s="6">
        <v>1.89</v>
      </c>
      <c r="AZ39" s="6">
        <v>1.76</v>
      </c>
      <c r="BA39" s="6">
        <v>2.15</v>
      </c>
      <c r="BB39" s="6">
        <v>2.02</v>
      </c>
      <c r="BC39" s="6">
        <v>1.62</v>
      </c>
      <c r="BD39" s="6">
        <v>1.9235199999999999</v>
      </c>
      <c r="BE39" s="6">
        <v>1.87</v>
      </c>
      <c r="BF39" s="6">
        <v>2.38</v>
      </c>
      <c r="BG39" s="6">
        <v>1.28</v>
      </c>
      <c r="BH39" s="6">
        <v>3.11</v>
      </c>
      <c r="BI39" s="7">
        <v>2.0699999999999998</v>
      </c>
      <c r="BJ39" s="7">
        <v>1.83</v>
      </c>
      <c r="BK39" s="7">
        <v>2.1</v>
      </c>
      <c r="BL39" s="7">
        <v>1.52</v>
      </c>
      <c r="BM39" s="7">
        <v>2.02</v>
      </c>
      <c r="BN39" s="7">
        <v>2.16</v>
      </c>
      <c r="BO39" s="7">
        <v>3.51</v>
      </c>
      <c r="BP39" s="7">
        <v>2.08</v>
      </c>
      <c r="BQ39" s="7">
        <v>2.2000000000000002</v>
      </c>
      <c r="BR39" s="7">
        <v>2.5499999999999998</v>
      </c>
      <c r="BS39" s="7">
        <v>1.39</v>
      </c>
      <c r="BT39" s="7">
        <v>2.16</v>
      </c>
      <c r="BU39" s="7">
        <v>2.68</v>
      </c>
      <c r="BV39" s="7">
        <v>1.8699999999999999</v>
      </c>
      <c r="BW39" s="7">
        <v>1.93</v>
      </c>
      <c r="BX39" s="7">
        <v>2.1800000000000002</v>
      </c>
      <c r="BY39" s="7">
        <v>1.43</v>
      </c>
      <c r="BZ39" s="7">
        <v>2.2999999999999998</v>
      </c>
      <c r="CA39" s="7">
        <v>2.08</v>
      </c>
      <c r="CB39" s="7">
        <v>1.71</v>
      </c>
      <c r="CC39" s="7">
        <v>1.68</v>
      </c>
      <c r="CD39" s="7">
        <v>2.56</v>
      </c>
      <c r="CE39" s="7">
        <v>1.95</v>
      </c>
      <c r="CF39" s="7">
        <v>2.1800000000000002</v>
      </c>
      <c r="CG39" s="7">
        <v>1.1100000000000001</v>
      </c>
      <c r="CH39" s="7">
        <v>1.79</v>
      </c>
    </row>
    <row r="40" spans="1:86" ht="15.75" customHeight="1" x14ac:dyDescent="0.25">
      <c r="A40" s="4">
        <v>39</v>
      </c>
      <c r="B40" s="2"/>
      <c r="C40" s="4">
        <v>8</v>
      </c>
      <c r="D40" s="6">
        <v>2.73</v>
      </c>
      <c r="E40" s="6">
        <v>1.38</v>
      </c>
      <c r="F40" s="6">
        <v>1.28</v>
      </c>
      <c r="G40" s="6">
        <v>1.38</v>
      </c>
      <c r="H40" s="6">
        <v>1.68</v>
      </c>
      <c r="I40" s="6">
        <v>0.78</v>
      </c>
      <c r="J40" s="6">
        <v>0.93</v>
      </c>
      <c r="K40" s="6">
        <v>2.0299999999999998</v>
      </c>
      <c r="L40" s="6">
        <v>2.38</v>
      </c>
      <c r="M40" s="6">
        <v>1.43</v>
      </c>
      <c r="N40" s="6">
        <v>3.48</v>
      </c>
      <c r="O40" s="6">
        <v>2.1800000000000002</v>
      </c>
      <c r="P40" s="6">
        <v>2.13</v>
      </c>
      <c r="Q40" s="6">
        <v>2.13</v>
      </c>
      <c r="R40" s="6">
        <v>1.48</v>
      </c>
      <c r="S40" s="6">
        <v>1.83</v>
      </c>
      <c r="T40" s="6">
        <v>0.86</v>
      </c>
      <c r="U40" s="6">
        <v>1.71</v>
      </c>
      <c r="V40" s="6">
        <v>1.41</v>
      </c>
      <c r="W40" s="6">
        <v>1.51</v>
      </c>
      <c r="X40" s="6">
        <v>1.41</v>
      </c>
      <c r="Y40" s="6">
        <v>0.73</v>
      </c>
      <c r="Z40" s="6">
        <v>1.81</v>
      </c>
      <c r="AA40" s="6">
        <v>1.77</v>
      </c>
      <c r="AB40" s="6">
        <v>2.23</v>
      </c>
      <c r="AC40" s="6">
        <v>1.48</v>
      </c>
      <c r="AD40" s="6">
        <v>2.0699999999999998</v>
      </c>
      <c r="AE40" s="6">
        <v>2.37</v>
      </c>
      <c r="AF40" s="6">
        <v>1.79</v>
      </c>
      <c r="AG40" s="6">
        <v>3.19</v>
      </c>
      <c r="AH40" s="6">
        <v>1.19</v>
      </c>
      <c r="AI40" s="6">
        <v>1.83</v>
      </c>
      <c r="AJ40" s="6">
        <v>1.33</v>
      </c>
      <c r="AK40" s="6">
        <v>1.87</v>
      </c>
      <c r="AL40" s="6">
        <v>1.1100000000000001</v>
      </c>
      <c r="AM40" s="6">
        <v>1.0900000000000001</v>
      </c>
      <c r="AN40" s="6">
        <v>1.1299999999999999</v>
      </c>
      <c r="AO40" s="6">
        <v>1.51</v>
      </c>
      <c r="AP40" s="6">
        <v>1.02</v>
      </c>
      <c r="AQ40" s="6">
        <v>1.08</v>
      </c>
      <c r="AR40" s="6">
        <v>1.04</v>
      </c>
      <c r="AS40" s="6">
        <v>2.5</v>
      </c>
      <c r="AT40" s="6">
        <v>1.63</v>
      </c>
      <c r="AU40" s="6">
        <v>1.55</v>
      </c>
      <c r="AV40" s="6">
        <v>1.91</v>
      </c>
      <c r="AW40" s="6">
        <v>1.6</v>
      </c>
      <c r="AX40" s="6">
        <v>3.1</v>
      </c>
      <c r="AY40" s="6">
        <v>1.95</v>
      </c>
      <c r="AZ40" s="6">
        <v>1.71</v>
      </c>
      <c r="BA40" s="6">
        <v>2.12</v>
      </c>
      <c r="BB40" s="6">
        <v>1.97</v>
      </c>
      <c r="BC40" s="6">
        <v>1.62</v>
      </c>
      <c r="BD40" s="6">
        <v>1.8930400000000001</v>
      </c>
      <c r="BE40" s="6">
        <v>1.84</v>
      </c>
      <c r="BF40" s="6">
        <v>2.38</v>
      </c>
      <c r="BG40" s="6">
        <v>1.27</v>
      </c>
      <c r="BH40" s="6">
        <v>2.91</v>
      </c>
      <c r="BI40" s="7">
        <v>2.04</v>
      </c>
      <c r="BJ40" s="7">
        <v>1.89</v>
      </c>
      <c r="BK40" s="7">
        <v>2.0699999999999998</v>
      </c>
      <c r="BL40" s="7">
        <v>1.48</v>
      </c>
      <c r="BM40" s="7">
        <v>1.93</v>
      </c>
      <c r="BN40" s="7">
        <v>2.16</v>
      </c>
      <c r="BO40" s="7">
        <v>3.4</v>
      </c>
      <c r="BP40" s="7">
        <v>2.08</v>
      </c>
      <c r="BQ40" s="7">
        <v>2.21</v>
      </c>
      <c r="BR40" s="7">
        <v>2.56</v>
      </c>
      <c r="BS40" s="7">
        <v>1.32</v>
      </c>
      <c r="BT40" s="7">
        <v>2.16</v>
      </c>
      <c r="BU40" s="7">
        <v>2.67</v>
      </c>
      <c r="BV40" s="7">
        <v>1.8299999999999998</v>
      </c>
      <c r="BW40" s="7">
        <v>1.8499999999999999</v>
      </c>
      <c r="BX40" s="7">
        <v>2.141</v>
      </c>
      <c r="BY40" s="7">
        <v>1.47</v>
      </c>
      <c r="BZ40" s="7">
        <v>2.27</v>
      </c>
      <c r="CA40" s="7">
        <v>2.0300000000000002</v>
      </c>
      <c r="CB40" s="7">
        <v>1.63</v>
      </c>
      <c r="CC40" s="7">
        <v>1.68</v>
      </c>
      <c r="CD40" s="7">
        <v>2.5100000000000002</v>
      </c>
      <c r="CE40" s="7">
        <v>1.8499999999999999</v>
      </c>
      <c r="CF40" s="7">
        <v>2.0699999999999998</v>
      </c>
      <c r="CG40" s="7">
        <v>1.1200000000000001</v>
      </c>
      <c r="CH40" s="7">
        <v>1.75</v>
      </c>
    </row>
    <row r="41" spans="1:86" ht="15.75" customHeight="1" x14ac:dyDescent="0.25">
      <c r="A41" s="4">
        <v>40</v>
      </c>
      <c r="B41" s="2"/>
      <c r="C41" s="4">
        <v>9</v>
      </c>
      <c r="D41" s="6">
        <v>2.73</v>
      </c>
      <c r="E41" s="6">
        <v>1.43</v>
      </c>
      <c r="F41" s="6">
        <v>1.33</v>
      </c>
      <c r="G41" s="6">
        <v>1.33</v>
      </c>
      <c r="H41" s="6">
        <v>1.63</v>
      </c>
      <c r="I41" s="6">
        <v>0.73</v>
      </c>
      <c r="J41" s="6">
        <v>0.83</v>
      </c>
      <c r="K41" s="6">
        <v>2.2799999999999998</v>
      </c>
      <c r="L41" s="6">
        <v>2.38</v>
      </c>
      <c r="M41" s="6">
        <v>1.43</v>
      </c>
      <c r="N41" s="6">
        <v>3.43</v>
      </c>
      <c r="O41" s="6">
        <v>2.13</v>
      </c>
      <c r="P41" s="6">
        <v>2.08</v>
      </c>
      <c r="Q41" s="6">
        <v>2.04</v>
      </c>
      <c r="R41" s="6">
        <v>1.43</v>
      </c>
      <c r="S41" s="6">
        <v>1.66</v>
      </c>
      <c r="T41" s="6">
        <v>0.86</v>
      </c>
      <c r="U41" s="6">
        <v>1.63</v>
      </c>
      <c r="V41" s="6">
        <v>1.41</v>
      </c>
      <c r="W41" s="6">
        <v>1.56</v>
      </c>
      <c r="X41" s="6">
        <v>1.41</v>
      </c>
      <c r="Y41" s="6">
        <v>0.66</v>
      </c>
      <c r="Z41" s="6">
        <v>1.76</v>
      </c>
      <c r="AA41" s="6">
        <v>1.79</v>
      </c>
      <c r="AB41" s="6">
        <v>2.1800000000000002</v>
      </c>
      <c r="AC41" s="6">
        <v>1.48</v>
      </c>
      <c r="AD41" s="6">
        <v>1.94</v>
      </c>
      <c r="AE41" s="6">
        <v>2.29</v>
      </c>
      <c r="AF41" s="6">
        <v>1.77</v>
      </c>
      <c r="AG41" s="6">
        <v>2.87</v>
      </c>
      <c r="AH41" s="6">
        <v>1.1499999999999999</v>
      </c>
      <c r="AI41" s="6">
        <v>1.85</v>
      </c>
      <c r="AJ41" s="6">
        <v>1.36</v>
      </c>
      <c r="AK41" s="6">
        <v>1.79</v>
      </c>
      <c r="AL41" s="6">
        <v>1.05</v>
      </c>
      <c r="AM41" s="6">
        <v>1.1100000000000001</v>
      </c>
      <c r="AN41" s="6">
        <v>1.1599999999999999</v>
      </c>
      <c r="AO41" s="6">
        <v>1.43</v>
      </c>
      <c r="AP41" s="6">
        <v>0.96</v>
      </c>
      <c r="AQ41" s="6">
        <v>1.1200000000000001</v>
      </c>
      <c r="AR41" s="6">
        <v>1.02</v>
      </c>
      <c r="AS41" s="6">
        <v>2.33</v>
      </c>
      <c r="AT41" s="6">
        <v>1.59</v>
      </c>
      <c r="AU41" s="6">
        <v>1.52</v>
      </c>
      <c r="AV41" s="6">
        <v>1.81</v>
      </c>
      <c r="AW41" s="6">
        <v>1.61</v>
      </c>
      <c r="AX41" s="6">
        <v>3.06</v>
      </c>
      <c r="AY41" s="6">
        <v>2.02</v>
      </c>
      <c r="AZ41" s="6">
        <v>1.68</v>
      </c>
      <c r="BA41" s="6">
        <v>2.12</v>
      </c>
      <c r="BB41" s="6">
        <v>1.97</v>
      </c>
      <c r="BC41" s="6">
        <v>1.74</v>
      </c>
      <c r="BD41" s="6">
        <v>1.8320799999999999</v>
      </c>
      <c r="BE41" s="6">
        <v>1.86</v>
      </c>
      <c r="BF41" s="6">
        <v>2.38</v>
      </c>
      <c r="BG41" s="6">
        <v>1.19</v>
      </c>
      <c r="BH41" s="6">
        <v>2.91</v>
      </c>
      <c r="BI41" s="7">
        <v>2.04</v>
      </c>
      <c r="BJ41" s="7">
        <v>1.87</v>
      </c>
      <c r="BK41" s="7">
        <v>2</v>
      </c>
      <c r="BL41" s="7">
        <v>1.45</v>
      </c>
      <c r="BM41" s="7">
        <v>1.86</v>
      </c>
      <c r="BN41" s="7">
        <v>2.19</v>
      </c>
      <c r="BO41" s="7">
        <v>3.3</v>
      </c>
      <c r="BP41" s="7">
        <v>2.0299999999999998</v>
      </c>
      <c r="BQ41" s="7">
        <v>2.2200000000000002</v>
      </c>
      <c r="BR41" s="7">
        <v>2.56</v>
      </c>
      <c r="BS41" s="7">
        <v>1.3129999999999999</v>
      </c>
      <c r="BT41" s="7">
        <v>2.08</v>
      </c>
      <c r="BU41" s="7">
        <v>2.73</v>
      </c>
      <c r="BV41" s="7">
        <v>1.8399999999999999</v>
      </c>
      <c r="BW41" s="7">
        <v>1.73</v>
      </c>
      <c r="BX41" s="7">
        <v>2.08</v>
      </c>
      <c r="BY41" s="7">
        <v>1.48</v>
      </c>
      <c r="BZ41" s="7">
        <v>2.33</v>
      </c>
      <c r="CA41" s="7">
        <v>2.02</v>
      </c>
      <c r="CB41" s="7">
        <v>1.66</v>
      </c>
      <c r="CC41" s="7">
        <v>1.67</v>
      </c>
      <c r="CD41" s="7">
        <v>2.39</v>
      </c>
      <c r="CE41" s="7">
        <v>1.7</v>
      </c>
      <c r="CF41" s="7">
        <v>2.0499999999999998</v>
      </c>
      <c r="CG41" s="7">
        <v>1.17</v>
      </c>
      <c r="CH41" s="7">
        <v>1.76</v>
      </c>
    </row>
    <row r="42" spans="1:86" ht="15.75" customHeight="1" x14ac:dyDescent="0.25">
      <c r="A42" s="4">
        <v>41</v>
      </c>
      <c r="B42" s="2"/>
      <c r="C42" s="4">
        <v>10</v>
      </c>
      <c r="D42" s="6">
        <v>2.73</v>
      </c>
      <c r="E42" s="6">
        <v>1.43</v>
      </c>
      <c r="F42" s="6">
        <v>1.33</v>
      </c>
      <c r="G42" s="6">
        <v>1.38</v>
      </c>
      <c r="H42" s="6">
        <v>1.58</v>
      </c>
      <c r="I42" s="6">
        <v>0.93</v>
      </c>
      <c r="J42" s="6">
        <v>0.83</v>
      </c>
      <c r="K42" s="6">
        <v>2.13</v>
      </c>
      <c r="L42" s="6">
        <v>2.38</v>
      </c>
      <c r="M42" s="6">
        <v>1.43</v>
      </c>
      <c r="N42" s="6">
        <v>3.33</v>
      </c>
      <c r="O42" s="6">
        <v>2.0299999999999998</v>
      </c>
      <c r="P42" s="6">
        <v>2.0299999999999998</v>
      </c>
      <c r="Q42" s="6">
        <v>2.13</v>
      </c>
      <c r="R42" s="6">
        <v>1.38</v>
      </c>
      <c r="S42" s="6">
        <v>1.48</v>
      </c>
      <c r="T42" s="6">
        <v>0.86</v>
      </c>
      <c r="U42" s="6">
        <v>1.61</v>
      </c>
      <c r="V42" s="6">
        <v>1.41</v>
      </c>
      <c r="W42" s="6">
        <v>1.61</v>
      </c>
      <c r="X42" s="6">
        <v>1.41</v>
      </c>
      <c r="Y42" s="6">
        <v>0.61</v>
      </c>
      <c r="Z42" s="6">
        <v>1.67</v>
      </c>
      <c r="AA42" s="6">
        <v>1.79</v>
      </c>
      <c r="AB42" s="6">
        <v>2.16</v>
      </c>
      <c r="AC42" s="6">
        <v>1.46</v>
      </c>
      <c r="AD42" s="6">
        <v>2</v>
      </c>
      <c r="AE42" s="6">
        <v>2.16</v>
      </c>
      <c r="AF42" s="6">
        <v>1.76</v>
      </c>
      <c r="AG42" s="6">
        <v>2.73</v>
      </c>
      <c r="AH42" s="6">
        <v>1.1299999999999999</v>
      </c>
      <c r="AI42" s="6">
        <v>1.77</v>
      </c>
      <c r="AJ42" s="6">
        <v>1.33</v>
      </c>
      <c r="AK42" s="6">
        <v>1.57</v>
      </c>
      <c r="AL42" s="6">
        <v>1</v>
      </c>
      <c r="AM42" s="6">
        <v>1.1499999999999999</v>
      </c>
      <c r="AN42" s="6">
        <v>1.1599999999999999</v>
      </c>
      <c r="AO42" s="6">
        <v>1.43</v>
      </c>
      <c r="AP42" s="6">
        <v>0.96</v>
      </c>
      <c r="AQ42" s="6">
        <v>1.18</v>
      </c>
      <c r="AR42" s="6">
        <v>1</v>
      </c>
      <c r="AS42" s="6">
        <v>2.13</v>
      </c>
      <c r="AT42" s="6">
        <v>1.51</v>
      </c>
      <c r="AU42" s="6">
        <v>1.53</v>
      </c>
      <c r="AV42" s="6">
        <v>1.86</v>
      </c>
      <c r="AW42" s="6">
        <v>1.59</v>
      </c>
      <c r="AX42" s="6">
        <v>2.96</v>
      </c>
      <c r="AY42" s="6">
        <v>2.2599999999999998</v>
      </c>
      <c r="AZ42" s="6">
        <v>1.59</v>
      </c>
      <c r="BA42" s="6">
        <v>2.0299999999999998</v>
      </c>
      <c r="BB42" s="6">
        <v>2</v>
      </c>
      <c r="BC42" s="6">
        <v>1.78</v>
      </c>
      <c r="BD42" s="6">
        <v>1.8016000000000001</v>
      </c>
      <c r="BE42" s="6">
        <v>1.87</v>
      </c>
      <c r="BF42" s="6">
        <v>2.2799999999999998</v>
      </c>
      <c r="BG42" s="6">
        <v>1.22</v>
      </c>
      <c r="BH42" s="6">
        <v>2.91</v>
      </c>
      <c r="BI42" s="7">
        <v>2</v>
      </c>
      <c r="BJ42" s="7">
        <v>1.85</v>
      </c>
      <c r="BK42" s="7">
        <v>1.98</v>
      </c>
      <c r="BL42" s="7">
        <v>1.39</v>
      </c>
      <c r="BM42" s="7">
        <v>1.82</v>
      </c>
      <c r="BN42" s="7">
        <v>2.25</v>
      </c>
      <c r="BO42" s="7">
        <v>3.42</v>
      </c>
      <c r="BP42" s="7">
        <v>1.94</v>
      </c>
      <c r="BQ42" s="7">
        <v>2.16</v>
      </c>
      <c r="BR42" s="7">
        <v>2.71</v>
      </c>
      <c r="BS42" s="7">
        <v>1.3</v>
      </c>
      <c r="BT42" s="7">
        <v>2.0099999999999998</v>
      </c>
      <c r="BU42" s="7">
        <v>2.77</v>
      </c>
      <c r="BV42" s="7">
        <v>1.8499999999999999</v>
      </c>
      <c r="BW42" s="7">
        <v>1.75</v>
      </c>
      <c r="BX42" s="7">
        <v>2.13</v>
      </c>
      <c r="BY42" s="7">
        <v>1.49</v>
      </c>
      <c r="BZ42" s="7">
        <v>2.29</v>
      </c>
      <c r="CA42" s="7">
        <v>1.97</v>
      </c>
      <c r="CB42" s="7">
        <v>1.62</v>
      </c>
      <c r="CC42" s="7">
        <v>1.67</v>
      </c>
      <c r="CD42" s="7">
        <v>2.34</v>
      </c>
      <c r="CE42" s="7">
        <v>1.5899999999999999</v>
      </c>
      <c r="CF42" s="7">
        <v>1.95</v>
      </c>
      <c r="CG42" s="7">
        <v>1.23</v>
      </c>
      <c r="CH42" s="7">
        <v>1.7</v>
      </c>
    </row>
    <row r="43" spans="1:86" ht="15.75" customHeight="1" x14ac:dyDescent="0.25">
      <c r="A43" s="4">
        <v>42</v>
      </c>
      <c r="B43" s="2"/>
      <c r="C43" s="4">
        <v>11</v>
      </c>
      <c r="D43" s="6">
        <v>2.68</v>
      </c>
      <c r="E43" s="6">
        <v>1.48</v>
      </c>
      <c r="F43" s="6">
        <v>1.38</v>
      </c>
      <c r="G43" s="6">
        <v>1.23</v>
      </c>
      <c r="H43" s="6">
        <v>1.53</v>
      </c>
      <c r="I43" s="6">
        <v>0.93</v>
      </c>
      <c r="J43" s="6">
        <v>0.83</v>
      </c>
      <c r="K43" s="6">
        <v>2.1800000000000002</v>
      </c>
      <c r="L43" s="6">
        <v>2.4300000000000002</v>
      </c>
      <c r="M43" s="6">
        <v>1.48</v>
      </c>
      <c r="N43" s="6">
        <v>3.28</v>
      </c>
      <c r="O43" s="6">
        <v>1.93</v>
      </c>
      <c r="P43" s="6">
        <v>2.0099999999999998</v>
      </c>
      <c r="Q43" s="6">
        <v>2.23</v>
      </c>
      <c r="R43" s="6">
        <v>1.38</v>
      </c>
      <c r="S43" s="6">
        <v>1.33</v>
      </c>
      <c r="T43" s="6">
        <v>0.87</v>
      </c>
      <c r="U43" s="6">
        <v>1.63</v>
      </c>
      <c r="V43" s="6">
        <v>1.41</v>
      </c>
      <c r="W43" s="6">
        <v>1.48</v>
      </c>
      <c r="X43" s="6">
        <v>1.41</v>
      </c>
      <c r="Y43" s="6">
        <v>0.76</v>
      </c>
      <c r="Z43" s="6">
        <v>1.51</v>
      </c>
      <c r="AA43" s="6">
        <v>1.77</v>
      </c>
      <c r="AB43" s="6">
        <v>2.16</v>
      </c>
      <c r="AC43" s="6">
        <v>1.49</v>
      </c>
      <c r="AD43" s="6">
        <v>2.04</v>
      </c>
      <c r="AE43" s="6">
        <v>2.06</v>
      </c>
      <c r="AF43" s="6">
        <v>1.73</v>
      </c>
      <c r="AG43" s="6">
        <v>2.62</v>
      </c>
      <c r="AH43" s="6">
        <v>1.29</v>
      </c>
      <c r="AI43" s="6">
        <v>2.25</v>
      </c>
      <c r="AJ43" s="6">
        <v>1.2</v>
      </c>
      <c r="AK43" s="6">
        <v>1.55</v>
      </c>
      <c r="AL43" s="6">
        <v>0.93</v>
      </c>
      <c r="AM43" s="6">
        <v>1.1200000000000001</v>
      </c>
      <c r="AN43" s="6">
        <v>1.1100000000000001</v>
      </c>
      <c r="AO43" s="6">
        <v>1.4</v>
      </c>
      <c r="AP43" s="6">
        <v>0.97</v>
      </c>
      <c r="AQ43" s="6">
        <v>1.1599999999999999</v>
      </c>
      <c r="AR43" s="6">
        <v>0.99</v>
      </c>
      <c r="AS43" s="6">
        <v>2.0699999999999998</v>
      </c>
      <c r="AT43" s="6">
        <v>1.48</v>
      </c>
      <c r="AU43" s="6">
        <v>1.53</v>
      </c>
      <c r="AV43" s="6">
        <v>1.9</v>
      </c>
      <c r="AW43" s="6">
        <v>1.55</v>
      </c>
      <c r="AX43" s="6">
        <v>2.95</v>
      </c>
      <c r="AY43" s="6">
        <v>2.31</v>
      </c>
      <c r="AZ43" s="6">
        <v>1.5</v>
      </c>
      <c r="BA43" s="6">
        <v>1.93</v>
      </c>
      <c r="BB43" s="6">
        <v>1.96</v>
      </c>
      <c r="BC43" s="6">
        <v>1.79</v>
      </c>
      <c r="BD43" s="6">
        <v>1.8016000000000001</v>
      </c>
      <c r="BE43" s="6">
        <v>1.88</v>
      </c>
      <c r="BF43" s="6">
        <v>2.2200000000000002</v>
      </c>
      <c r="BG43" s="6">
        <v>1.31</v>
      </c>
      <c r="BH43" s="6">
        <v>2.84</v>
      </c>
      <c r="BI43" s="7">
        <v>1.95</v>
      </c>
      <c r="BJ43" s="7">
        <v>1.83</v>
      </c>
      <c r="BK43" s="7">
        <v>1.9</v>
      </c>
      <c r="BL43" s="7">
        <v>1.3</v>
      </c>
      <c r="BM43" s="7">
        <v>2.02</v>
      </c>
      <c r="BN43" s="7">
        <v>2.21</v>
      </c>
      <c r="BO43" s="7">
        <v>3.43</v>
      </c>
      <c r="BP43" s="7">
        <v>1.89</v>
      </c>
      <c r="BQ43" s="7">
        <v>2.11</v>
      </c>
      <c r="BR43" s="7">
        <v>2.77</v>
      </c>
      <c r="BS43" s="7">
        <v>1.27</v>
      </c>
      <c r="BT43" s="7">
        <v>1.99</v>
      </c>
      <c r="BU43" s="7">
        <v>2.87</v>
      </c>
      <c r="BV43" s="7">
        <v>1.89</v>
      </c>
      <c r="BW43" s="7">
        <v>1.73</v>
      </c>
      <c r="BX43" s="7">
        <v>2.09</v>
      </c>
      <c r="BY43" s="7">
        <v>1.45</v>
      </c>
      <c r="BZ43" s="7">
        <v>2.19</v>
      </c>
      <c r="CA43" s="7">
        <v>1.91</v>
      </c>
      <c r="CB43" s="7">
        <v>1.63</v>
      </c>
      <c r="CC43" s="7">
        <v>1.66</v>
      </c>
      <c r="CD43" s="7">
        <v>2.34</v>
      </c>
      <c r="CE43" s="7">
        <v>1.6099999999999999</v>
      </c>
      <c r="CF43" s="7">
        <v>1.9</v>
      </c>
      <c r="CG43" s="7">
        <v>1.32</v>
      </c>
      <c r="CH43" s="7">
        <v>1.76</v>
      </c>
    </row>
    <row r="44" spans="1:86" ht="15.75" customHeight="1" x14ac:dyDescent="0.25">
      <c r="A44" s="4">
        <v>43</v>
      </c>
      <c r="B44" s="2"/>
      <c r="C44" s="4">
        <v>12</v>
      </c>
      <c r="D44" s="6">
        <v>2.5299999999999998</v>
      </c>
      <c r="E44" s="6">
        <v>1.38</v>
      </c>
      <c r="F44" s="6">
        <v>1.48</v>
      </c>
      <c r="G44" s="6">
        <v>1.1299999999999999</v>
      </c>
      <c r="H44" s="6">
        <v>1.38</v>
      </c>
      <c r="I44" s="6">
        <v>1.03</v>
      </c>
      <c r="J44" s="6">
        <v>0.93</v>
      </c>
      <c r="K44" s="6">
        <v>2.2799999999999998</v>
      </c>
      <c r="L44" s="6">
        <v>2.4300000000000002</v>
      </c>
      <c r="M44" s="6">
        <v>1.51</v>
      </c>
      <c r="N44" s="6">
        <v>3.13</v>
      </c>
      <c r="O44" s="6">
        <v>1.88</v>
      </c>
      <c r="P44" s="6">
        <v>1.93</v>
      </c>
      <c r="Q44" s="6">
        <v>2.2799999999999998</v>
      </c>
      <c r="R44" s="6">
        <v>1.33</v>
      </c>
      <c r="S44" s="6">
        <v>1.33</v>
      </c>
      <c r="T44" s="6">
        <v>0.81</v>
      </c>
      <c r="U44" s="6">
        <v>1.61</v>
      </c>
      <c r="V44" s="6">
        <v>1.26</v>
      </c>
      <c r="W44" s="6">
        <v>1.39</v>
      </c>
      <c r="X44" s="6">
        <v>1.41</v>
      </c>
      <c r="Y44" s="6">
        <v>0.88</v>
      </c>
      <c r="Z44" s="6">
        <v>1.41</v>
      </c>
      <c r="AA44" s="6">
        <v>1.67</v>
      </c>
      <c r="AB44" s="6">
        <v>2.13</v>
      </c>
      <c r="AC44" s="6">
        <v>1.56</v>
      </c>
      <c r="AD44" s="6">
        <v>2.1</v>
      </c>
      <c r="AE44" s="6">
        <v>2.0699999999999998</v>
      </c>
      <c r="AF44" s="6">
        <v>1.74</v>
      </c>
      <c r="AG44" s="6">
        <v>2.58</v>
      </c>
      <c r="AH44" s="6">
        <v>1.29</v>
      </c>
      <c r="AI44" s="6">
        <v>1.82</v>
      </c>
      <c r="AJ44" s="6">
        <v>1.1499999999999999</v>
      </c>
      <c r="AK44" s="6">
        <v>1.62</v>
      </c>
      <c r="AL44" s="6">
        <v>0.87</v>
      </c>
      <c r="AM44" s="6">
        <v>1.1299999999999999</v>
      </c>
      <c r="AN44" s="6">
        <v>1.0900000000000001</v>
      </c>
      <c r="AO44" s="6">
        <v>1.41</v>
      </c>
      <c r="AP44" s="6">
        <v>0.88</v>
      </c>
      <c r="AQ44" s="6">
        <v>1.1200000000000001</v>
      </c>
      <c r="AR44" s="6">
        <v>0.95</v>
      </c>
      <c r="AS44" s="6">
        <v>2.1800000000000002</v>
      </c>
      <c r="AT44" s="6">
        <v>1.41</v>
      </c>
      <c r="AU44" s="6">
        <v>1.51</v>
      </c>
      <c r="AV44" s="6">
        <v>1.91</v>
      </c>
      <c r="AW44" s="6">
        <v>1.48</v>
      </c>
      <c r="AX44" s="6">
        <v>2.92</v>
      </c>
      <c r="AY44" s="6">
        <v>2.31</v>
      </c>
      <c r="AZ44" s="6">
        <v>1.47</v>
      </c>
      <c r="BA44" s="6">
        <v>1.95</v>
      </c>
      <c r="BB44" s="6">
        <v>1.93</v>
      </c>
      <c r="BC44" s="6">
        <v>1.69</v>
      </c>
      <c r="BD44" s="6">
        <v>1.8320799999999999</v>
      </c>
      <c r="BE44" s="6">
        <v>1.91</v>
      </c>
      <c r="BF44" s="6">
        <v>2.16</v>
      </c>
      <c r="BG44" s="6">
        <v>1.31</v>
      </c>
      <c r="BH44" s="6">
        <v>2.84</v>
      </c>
      <c r="BI44" s="7">
        <v>1.89</v>
      </c>
      <c r="BJ44" s="7">
        <v>1.81</v>
      </c>
      <c r="BK44" s="7">
        <v>1.87</v>
      </c>
      <c r="BL44" s="7">
        <v>1.28</v>
      </c>
      <c r="BM44" s="7">
        <v>1.93</v>
      </c>
      <c r="BN44" s="7">
        <v>2.2400000000000002</v>
      </c>
      <c r="BO44" s="7">
        <v>3.42</v>
      </c>
      <c r="BP44" s="7">
        <v>1.78</v>
      </c>
      <c r="BQ44" s="7">
        <v>2.08</v>
      </c>
      <c r="BR44" s="7">
        <v>2.77</v>
      </c>
      <c r="BS44" s="7">
        <v>1.32</v>
      </c>
      <c r="BT44" s="7">
        <v>1.96</v>
      </c>
      <c r="BU44" s="7">
        <v>2.93</v>
      </c>
      <c r="BV44" s="7">
        <v>1.92</v>
      </c>
      <c r="BW44" s="7">
        <v>1.74</v>
      </c>
      <c r="BX44" s="7">
        <v>2.13</v>
      </c>
      <c r="BY44" s="7">
        <v>1.49</v>
      </c>
      <c r="BZ44" s="7">
        <v>2.2600000000000002</v>
      </c>
      <c r="CA44" s="7">
        <v>1.79</v>
      </c>
      <c r="CB44" s="7">
        <v>1.58</v>
      </c>
      <c r="CC44" s="7">
        <v>1.65</v>
      </c>
      <c r="CD44" s="7">
        <v>2.34</v>
      </c>
      <c r="CE44" s="7">
        <v>1.54</v>
      </c>
      <c r="CF44" s="7">
        <v>1.82</v>
      </c>
      <c r="CG44" s="7">
        <v>1.35</v>
      </c>
      <c r="CH44" s="7">
        <v>1.78</v>
      </c>
    </row>
    <row r="45" spans="1:86" ht="15.75" customHeight="1" x14ac:dyDescent="0.25">
      <c r="A45" s="4">
        <v>44</v>
      </c>
      <c r="B45" s="2"/>
      <c r="C45" s="4">
        <v>13</v>
      </c>
      <c r="D45" s="6">
        <v>2.38</v>
      </c>
      <c r="E45" s="6">
        <v>1.38</v>
      </c>
      <c r="F45" s="6">
        <v>1.53</v>
      </c>
      <c r="G45" s="6">
        <v>1.18</v>
      </c>
      <c r="H45" s="6">
        <v>1.28</v>
      </c>
      <c r="I45" s="6">
        <v>1.03</v>
      </c>
      <c r="J45" s="6">
        <v>1.1299999999999999</v>
      </c>
      <c r="K45" s="6">
        <v>2.38</v>
      </c>
      <c r="L45" s="6">
        <v>2.38</v>
      </c>
      <c r="M45" s="6">
        <v>1.53</v>
      </c>
      <c r="N45" s="6">
        <v>3.03</v>
      </c>
      <c r="O45" s="6">
        <v>1.68</v>
      </c>
      <c r="P45" s="6">
        <v>1.83</v>
      </c>
      <c r="Q45" s="6">
        <v>2.5299999999999998</v>
      </c>
      <c r="R45" s="6">
        <v>1.31</v>
      </c>
      <c r="S45" s="6">
        <v>1.18</v>
      </c>
      <c r="T45" s="6">
        <v>0.81</v>
      </c>
      <c r="U45" s="6">
        <v>1.61</v>
      </c>
      <c r="V45" s="6">
        <v>1.23</v>
      </c>
      <c r="W45" s="6">
        <v>1.26</v>
      </c>
      <c r="X45" s="6">
        <v>1.36</v>
      </c>
      <c r="Y45" s="6">
        <v>0.95</v>
      </c>
      <c r="Z45" s="6">
        <v>1.35</v>
      </c>
      <c r="AA45" s="6">
        <v>1.58</v>
      </c>
      <c r="AB45" s="6">
        <v>2.09</v>
      </c>
      <c r="AC45" s="6">
        <v>1.62</v>
      </c>
      <c r="AD45" s="6">
        <v>2.15</v>
      </c>
      <c r="AE45" s="6">
        <v>1.94</v>
      </c>
      <c r="AF45" s="6">
        <v>1.72</v>
      </c>
      <c r="AG45" s="6">
        <v>2.58</v>
      </c>
      <c r="AH45" s="6">
        <v>1.1499999999999999</v>
      </c>
      <c r="AI45" s="6">
        <v>1.64</v>
      </c>
      <c r="AJ45" s="6">
        <v>1.1499999999999999</v>
      </c>
      <c r="AK45" s="6">
        <v>1.63</v>
      </c>
      <c r="AL45" s="6">
        <v>0.83</v>
      </c>
      <c r="AM45" s="6">
        <v>1.1100000000000001</v>
      </c>
      <c r="AN45" s="6">
        <v>1.1100000000000001</v>
      </c>
      <c r="AO45" s="6">
        <v>1.45</v>
      </c>
      <c r="AP45" s="6">
        <v>0.83</v>
      </c>
      <c r="AQ45" s="6">
        <v>1.1000000000000001</v>
      </c>
      <c r="AR45" s="6">
        <v>0.9</v>
      </c>
      <c r="AS45" s="6">
        <v>2.17</v>
      </c>
      <c r="AT45" s="6">
        <v>1.34</v>
      </c>
      <c r="AU45" s="6">
        <v>1.47</v>
      </c>
      <c r="AV45" s="6">
        <v>1.91</v>
      </c>
      <c r="AW45" s="6">
        <v>1.46</v>
      </c>
      <c r="AX45" s="6">
        <v>2.89</v>
      </c>
      <c r="AY45" s="6">
        <v>2.3199999999999998</v>
      </c>
      <c r="AZ45" s="6">
        <v>1.56</v>
      </c>
      <c r="BA45" s="6">
        <v>1.91</v>
      </c>
      <c r="BB45" s="6">
        <v>1.95</v>
      </c>
      <c r="BC45" s="6">
        <v>1.8</v>
      </c>
      <c r="BD45" s="6">
        <v>1.74064</v>
      </c>
      <c r="BE45" s="6">
        <v>1.91</v>
      </c>
      <c r="BF45" s="6">
        <v>2.16</v>
      </c>
      <c r="BG45" s="6">
        <v>1.43</v>
      </c>
      <c r="BH45" s="6">
        <v>2.84</v>
      </c>
      <c r="BI45" s="7">
        <v>1.82</v>
      </c>
      <c r="BJ45" s="7">
        <v>1.74</v>
      </c>
      <c r="BK45" s="7">
        <v>1.88</v>
      </c>
      <c r="BL45" s="7">
        <v>1.28</v>
      </c>
      <c r="BM45" s="7">
        <v>1.87</v>
      </c>
      <c r="BN45" s="7">
        <v>2.19</v>
      </c>
      <c r="BO45" s="7">
        <v>3.42</v>
      </c>
      <c r="BP45" s="7">
        <v>1.78</v>
      </c>
      <c r="BQ45" s="7">
        <v>2.0699999999999998</v>
      </c>
      <c r="BR45" s="7">
        <v>2.79</v>
      </c>
      <c r="BS45" s="7">
        <v>1.38</v>
      </c>
      <c r="BT45" s="7">
        <v>1.92</v>
      </c>
      <c r="BU45" s="7">
        <v>2.87</v>
      </c>
      <c r="BV45" s="7">
        <v>1.96</v>
      </c>
      <c r="BW45" s="7">
        <v>1.77</v>
      </c>
      <c r="BX45" s="7">
        <v>2.08</v>
      </c>
      <c r="BY45" s="7">
        <v>1.54</v>
      </c>
      <c r="BZ45" s="7">
        <v>2.16</v>
      </c>
      <c r="CA45" s="7">
        <v>1.72</v>
      </c>
      <c r="CB45" s="7">
        <v>1.64</v>
      </c>
      <c r="CC45" s="7">
        <v>1.64</v>
      </c>
      <c r="CD45" s="7">
        <v>2.3199999999999998</v>
      </c>
      <c r="CE45" s="7">
        <v>1.53</v>
      </c>
      <c r="CF45" s="7">
        <v>1.71</v>
      </c>
      <c r="CG45" s="7">
        <v>1.38</v>
      </c>
      <c r="CH45" s="7">
        <v>1.81</v>
      </c>
    </row>
    <row r="46" spans="1:86" ht="15.75" customHeight="1" x14ac:dyDescent="0.25">
      <c r="A46" s="4">
        <v>45</v>
      </c>
      <c r="B46" s="2"/>
      <c r="C46" s="4">
        <v>14</v>
      </c>
      <c r="D46" s="6">
        <v>2.2799999999999998</v>
      </c>
      <c r="E46" s="6">
        <v>1.33</v>
      </c>
      <c r="F46" s="6">
        <v>1.53</v>
      </c>
      <c r="G46" s="6">
        <v>1.23</v>
      </c>
      <c r="H46" s="6">
        <v>1.18</v>
      </c>
      <c r="I46" s="6">
        <v>1.03</v>
      </c>
      <c r="J46" s="6">
        <v>1.1299999999999999</v>
      </c>
      <c r="K46" s="6">
        <v>2.4300000000000002</v>
      </c>
      <c r="L46" s="6">
        <v>2.4300000000000002</v>
      </c>
      <c r="M46" s="6">
        <v>1.55</v>
      </c>
      <c r="N46" s="6">
        <v>2.93</v>
      </c>
      <c r="O46" s="6">
        <v>1.53</v>
      </c>
      <c r="P46" s="6">
        <v>1.78</v>
      </c>
      <c r="Q46" s="6">
        <v>2.4300000000000002</v>
      </c>
      <c r="R46" s="6">
        <v>1.3</v>
      </c>
      <c r="S46" s="6">
        <v>1.1299999999999999</v>
      </c>
      <c r="T46" s="6">
        <v>1.01</v>
      </c>
      <c r="U46" s="6">
        <v>1.61</v>
      </c>
      <c r="V46" s="6">
        <v>1.26</v>
      </c>
      <c r="W46" s="6">
        <v>1.08</v>
      </c>
      <c r="X46" s="6">
        <v>1.36</v>
      </c>
      <c r="Y46" s="6">
        <v>1.01</v>
      </c>
      <c r="Z46" s="6">
        <v>1.39</v>
      </c>
      <c r="AA46" s="6">
        <v>1.48</v>
      </c>
      <c r="AB46" s="6">
        <v>2.0099999999999998</v>
      </c>
      <c r="AC46" s="6">
        <v>1.63</v>
      </c>
      <c r="AD46" s="6">
        <v>2.21</v>
      </c>
      <c r="AE46" s="6">
        <v>1.83</v>
      </c>
      <c r="AF46" s="6">
        <v>1.65</v>
      </c>
      <c r="AG46" s="6">
        <v>2.77</v>
      </c>
      <c r="AH46" s="6">
        <v>1.23</v>
      </c>
      <c r="AI46" s="6">
        <v>1.6</v>
      </c>
      <c r="AJ46" s="6">
        <v>1.23</v>
      </c>
      <c r="AK46" s="6">
        <v>1.64</v>
      </c>
      <c r="AL46" s="6">
        <v>0.87</v>
      </c>
      <c r="AM46" s="6">
        <v>1.0900000000000001</v>
      </c>
      <c r="AN46" s="6">
        <v>1.1299999999999999</v>
      </c>
      <c r="AO46" s="6">
        <v>1.45</v>
      </c>
      <c r="AP46" s="6">
        <v>0.82</v>
      </c>
      <c r="AQ46" s="6">
        <v>1</v>
      </c>
      <c r="AR46" s="6">
        <v>0.9</v>
      </c>
      <c r="AS46" s="6">
        <v>2.2000000000000002</v>
      </c>
      <c r="AT46" s="6">
        <v>1.27</v>
      </c>
      <c r="AU46" s="6">
        <v>1.36</v>
      </c>
      <c r="AV46" s="6">
        <v>1.89</v>
      </c>
      <c r="AW46" s="6">
        <v>1.48</v>
      </c>
      <c r="AX46" s="6">
        <v>2.85</v>
      </c>
      <c r="AY46" s="6">
        <v>2.4</v>
      </c>
      <c r="AZ46" s="6">
        <v>1.57</v>
      </c>
      <c r="BA46" s="6">
        <v>1.91</v>
      </c>
      <c r="BB46" s="6">
        <v>1.85</v>
      </c>
      <c r="BC46" s="6">
        <v>1.61</v>
      </c>
      <c r="BD46" s="6">
        <v>1.7101599999999999</v>
      </c>
      <c r="BE46" s="6">
        <v>1.91</v>
      </c>
      <c r="BF46" s="6">
        <v>2.16</v>
      </c>
      <c r="BG46" s="6">
        <v>1.4</v>
      </c>
      <c r="BH46" s="6">
        <v>2.77</v>
      </c>
      <c r="BI46" s="7">
        <v>1.76</v>
      </c>
      <c r="BJ46" s="7">
        <v>1.73</v>
      </c>
      <c r="BK46" s="7">
        <v>1.86</v>
      </c>
      <c r="BL46" s="7">
        <v>1.28</v>
      </c>
      <c r="BM46" s="7">
        <v>1.77</v>
      </c>
      <c r="BN46" s="7">
        <v>2.04</v>
      </c>
      <c r="BO46" s="7">
        <v>3.4</v>
      </c>
      <c r="BP46" s="7">
        <v>1.78</v>
      </c>
      <c r="BQ46" s="7">
        <v>2.0099999999999998</v>
      </c>
      <c r="BR46" s="7">
        <v>2.74</v>
      </c>
      <c r="BS46" s="7">
        <v>1.4</v>
      </c>
      <c r="BT46" s="7">
        <v>1.83</v>
      </c>
      <c r="BU46" s="7">
        <v>2.85</v>
      </c>
      <c r="BV46" s="7">
        <v>2.02</v>
      </c>
      <c r="BW46" s="7">
        <v>1.8</v>
      </c>
      <c r="BX46" s="7">
        <v>2.0699999999999998</v>
      </c>
      <c r="BY46" s="7">
        <v>1.48</v>
      </c>
      <c r="BZ46" s="7">
        <v>2.2000000000000002</v>
      </c>
      <c r="CA46" s="7">
        <v>1.67</v>
      </c>
      <c r="CB46" s="7">
        <v>1.63</v>
      </c>
      <c r="CC46" s="7">
        <v>1.63</v>
      </c>
      <c r="CD46" s="7">
        <v>2.27</v>
      </c>
      <c r="CE46" s="7">
        <v>1.51</v>
      </c>
      <c r="CF46" s="7">
        <v>1.62</v>
      </c>
      <c r="CG46" s="7">
        <v>1.39</v>
      </c>
      <c r="CH46" s="7">
        <v>1.85</v>
      </c>
    </row>
    <row r="47" spans="1:86" ht="15.75" customHeight="1" x14ac:dyDescent="0.25">
      <c r="A47" s="4">
        <v>46</v>
      </c>
      <c r="B47" s="2"/>
      <c r="C47" s="4">
        <v>15</v>
      </c>
      <c r="D47" s="6">
        <v>2.13</v>
      </c>
      <c r="E47" s="6">
        <v>1.33</v>
      </c>
      <c r="F47" s="6">
        <v>1.58</v>
      </c>
      <c r="G47" s="6">
        <v>1.33</v>
      </c>
      <c r="H47" s="6">
        <v>0.98</v>
      </c>
      <c r="I47" s="6">
        <v>0.98</v>
      </c>
      <c r="J47" s="6">
        <v>1.1299999999999999</v>
      </c>
      <c r="K47" s="6">
        <v>2.4300000000000002</v>
      </c>
      <c r="L47" s="6">
        <v>2.5299999999999998</v>
      </c>
      <c r="M47" s="6">
        <v>1.58</v>
      </c>
      <c r="N47" s="6">
        <v>2.88</v>
      </c>
      <c r="O47" s="6">
        <v>1.53</v>
      </c>
      <c r="P47" s="6">
        <v>1.73</v>
      </c>
      <c r="Q47" s="6">
        <v>2.41</v>
      </c>
      <c r="R47" s="6">
        <v>1.43</v>
      </c>
      <c r="S47" s="6">
        <v>1.05</v>
      </c>
      <c r="T47" s="6">
        <v>0.96</v>
      </c>
      <c r="U47" s="6">
        <v>1.61</v>
      </c>
      <c r="V47" s="6">
        <v>1.41</v>
      </c>
      <c r="W47" s="6">
        <v>1.06</v>
      </c>
      <c r="X47" s="6">
        <v>1.31</v>
      </c>
      <c r="Y47" s="6">
        <v>1.01</v>
      </c>
      <c r="Z47" s="6">
        <v>1.51</v>
      </c>
      <c r="AA47" s="6">
        <v>1.38</v>
      </c>
      <c r="AB47" s="6">
        <v>1.94</v>
      </c>
      <c r="AC47" s="6">
        <v>1.65</v>
      </c>
      <c r="AD47" s="6">
        <v>2.09</v>
      </c>
      <c r="AE47" s="6">
        <v>1.82</v>
      </c>
      <c r="AF47" s="6">
        <v>1.63</v>
      </c>
      <c r="AG47" s="6">
        <v>2.94</v>
      </c>
      <c r="AH47" s="6">
        <v>1.21</v>
      </c>
      <c r="AI47" s="6">
        <v>1.49</v>
      </c>
      <c r="AJ47" s="6">
        <v>1.1299999999999999</v>
      </c>
      <c r="AK47" s="6">
        <v>1.67</v>
      </c>
      <c r="AL47" s="6">
        <v>0.97</v>
      </c>
      <c r="AM47" s="6">
        <v>1.1299999999999999</v>
      </c>
      <c r="AN47" s="6">
        <v>1.1100000000000001</v>
      </c>
      <c r="AO47" s="6">
        <v>1.45</v>
      </c>
      <c r="AP47" s="6">
        <v>0.82</v>
      </c>
      <c r="AQ47" s="6">
        <v>0.9</v>
      </c>
      <c r="AR47" s="6">
        <v>0.9</v>
      </c>
      <c r="AS47" s="6">
        <v>2.2000000000000002</v>
      </c>
      <c r="AT47" s="6">
        <v>1.2</v>
      </c>
      <c r="AU47" s="6">
        <v>1.34</v>
      </c>
      <c r="AV47" s="6">
        <v>1.85</v>
      </c>
      <c r="AW47" s="6">
        <v>1.51</v>
      </c>
      <c r="AX47" s="6">
        <v>2.82</v>
      </c>
      <c r="AY47" s="6">
        <v>2.4</v>
      </c>
      <c r="AZ47" s="6">
        <v>1.56</v>
      </c>
      <c r="BA47" s="6">
        <v>1.91</v>
      </c>
      <c r="BB47" s="6">
        <v>1.62</v>
      </c>
      <c r="BC47" s="6">
        <v>1.7</v>
      </c>
      <c r="BD47" s="6">
        <v>1.8320799999999999</v>
      </c>
      <c r="BE47" s="6">
        <v>1.91</v>
      </c>
      <c r="BF47" s="6">
        <v>2.16</v>
      </c>
      <c r="BG47" s="6">
        <v>1.34</v>
      </c>
      <c r="BH47" s="6">
        <v>2.68</v>
      </c>
      <c r="BI47" s="7">
        <v>1.8</v>
      </c>
      <c r="BJ47" s="7">
        <v>1.71</v>
      </c>
      <c r="BK47" s="7">
        <v>1.91</v>
      </c>
      <c r="BL47" s="7">
        <v>1.35</v>
      </c>
      <c r="BM47" s="7">
        <v>1.63</v>
      </c>
      <c r="BN47" s="7">
        <v>2.0699999999999998</v>
      </c>
      <c r="BO47" s="7">
        <v>3.37</v>
      </c>
      <c r="BP47" s="7">
        <v>1.78</v>
      </c>
      <c r="BQ47" s="7">
        <v>1.95</v>
      </c>
      <c r="BR47" s="7">
        <v>2.68</v>
      </c>
      <c r="BS47" s="7">
        <v>1.36</v>
      </c>
      <c r="BT47" s="7">
        <v>1.82</v>
      </c>
      <c r="BU47" s="7">
        <v>2.74</v>
      </c>
      <c r="BV47" s="7">
        <v>2.02</v>
      </c>
      <c r="BW47" s="7">
        <v>1.8</v>
      </c>
      <c r="BX47" s="7">
        <v>2.06</v>
      </c>
      <c r="BY47" s="7">
        <v>1.38</v>
      </c>
      <c r="BZ47" s="7">
        <v>2.15</v>
      </c>
      <c r="CA47" s="7">
        <v>1.67</v>
      </c>
      <c r="CB47" s="7">
        <v>1.62</v>
      </c>
      <c r="CC47" s="7">
        <v>1.61</v>
      </c>
      <c r="CD47" s="7">
        <v>2.2400000000000002</v>
      </c>
      <c r="CE47" s="7">
        <v>1.5799999999999998</v>
      </c>
      <c r="CF47" s="7">
        <v>1.53</v>
      </c>
      <c r="CG47" s="7">
        <v>1.4</v>
      </c>
      <c r="CH47" s="7">
        <v>1.79</v>
      </c>
    </row>
    <row r="48" spans="1:86" ht="15.75" customHeight="1" x14ac:dyDescent="0.25">
      <c r="A48" s="4">
        <v>47</v>
      </c>
      <c r="B48" s="2"/>
      <c r="C48" s="4">
        <v>16</v>
      </c>
      <c r="D48" s="6">
        <v>1.93</v>
      </c>
      <c r="E48" s="6">
        <v>1.33</v>
      </c>
      <c r="F48" s="6">
        <v>1.53</v>
      </c>
      <c r="G48" s="6">
        <v>1.33</v>
      </c>
      <c r="H48" s="6">
        <v>0.93</v>
      </c>
      <c r="I48" s="6">
        <v>0.93</v>
      </c>
      <c r="J48" s="6">
        <v>1.1299999999999999</v>
      </c>
      <c r="K48" s="6">
        <v>2.4300000000000002</v>
      </c>
      <c r="L48" s="6">
        <v>2.63</v>
      </c>
      <c r="M48" s="6">
        <v>1.6</v>
      </c>
      <c r="N48" s="6">
        <v>2.83</v>
      </c>
      <c r="O48" s="6">
        <v>1.53</v>
      </c>
      <c r="P48" s="6">
        <v>1.53</v>
      </c>
      <c r="Q48" s="6">
        <v>2.33</v>
      </c>
      <c r="R48" s="6">
        <v>1.53</v>
      </c>
      <c r="S48" s="6">
        <v>1.18</v>
      </c>
      <c r="T48" s="6">
        <v>0.81</v>
      </c>
      <c r="U48" s="6">
        <v>1.61</v>
      </c>
      <c r="V48" s="6">
        <v>1.41</v>
      </c>
      <c r="W48" s="6">
        <v>1.06</v>
      </c>
      <c r="X48" s="6">
        <v>1.31</v>
      </c>
      <c r="Y48" s="6">
        <v>1.01</v>
      </c>
      <c r="Z48" s="6">
        <v>1.51</v>
      </c>
      <c r="AA48" s="6">
        <v>1.28</v>
      </c>
      <c r="AB48" s="6">
        <v>1.92</v>
      </c>
      <c r="AC48" s="6">
        <v>1.64</v>
      </c>
      <c r="AD48" s="6">
        <v>2.09</v>
      </c>
      <c r="AE48" s="6">
        <v>1.83</v>
      </c>
      <c r="AF48" s="6">
        <v>1.52</v>
      </c>
      <c r="AG48" s="6">
        <v>2.79</v>
      </c>
      <c r="AH48" s="6">
        <v>1.17</v>
      </c>
      <c r="AI48" s="6">
        <v>1.4</v>
      </c>
      <c r="AJ48" s="6">
        <v>1.1299999999999999</v>
      </c>
      <c r="AK48" s="6">
        <v>1.62</v>
      </c>
      <c r="AL48" s="6">
        <v>0.99</v>
      </c>
      <c r="AM48" s="6">
        <v>1.0900000000000001</v>
      </c>
      <c r="AN48" s="6">
        <v>1.07</v>
      </c>
      <c r="AO48" s="6">
        <v>1.45</v>
      </c>
      <c r="AP48" s="6">
        <v>0.77</v>
      </c>
      <c r="AQ48" s="6">
        <v>0.88</v>
      </c>
      <c r="AR48" s="6">
        <v>0.88</v>
      </c>
      <c r="AS48" s="6">
        <v>2.2000000000000002</v>
      </c>
      <c r="AT48" s="6">
        <v>1.23</v>
      </c>
      <c r="AU48" s="6">
        <v>1.71</v>
      </c>
      <c r="AV48" s="6">
        <v>1.78</v>
      </c>
      <c r="AW48" s="6">
        <v>1.47</v>
      </c>
      <c r="AX48" s="6">
        <v>2.74</v>
      </c>
      <c r="AY48" s="6">
        <v>2.38</v>
      </c>
      <c r="AZ48" s="6">
        <v>1.65</v>
      </c>
      <c r="BA48" s="6">
        <v>1.91</v>
      </c>
      <c r="BB48" s="6">
        <v>1.72</v>
      </c>
      <c r="BC48" s="6">
        <v>1.65</v>
      </c>
      <c r="BD48" s="6">
        <v>1.8320799999999999</v>
      </c>
      <c r="BE48" s="6">
        <v>1.94</v>
      </c>
      <c r="BF48" s="6">
        <v>2.19</v>
      </c>
      <c r="BG48" s="6">
        <v>1.25</v>
      </c>
      <c r="BH48" s="6">
        <v>2.65</v>
      </c>
      <c r="BI48" s="7">
        <v>1.78</v>
      </c>
      <c r="BJ48" s="7">
        <v>1.55</v>
      </c>
      <c r="BK48" s="7">
        <v>1.87</v>
      </c>
      <c r="BL48" s="7">
        <v>1.4</v>
      </c>
      <c r="BM48" s="7">
        <v>1.54</v>
      </c>
      <c r="BN48" s="7">
        <v>2.0699999999999998</v>
      </c>
      <c r="BO48" s="7">
        <v>3.29</v>
      </c>
      <c r="BP48" s="7">
        <v>1.78</v>
      </c>
      <c r="BQ48" s="7">
        <v>1.89</v>
      </c>
      <c r="BR48" s="7">
        <v>2.68</v>
      </c>
      <c r="BS48" s="7">
        <v>1.38</v>
      </c>
      <c r="BT48" s="7">
        <v>1.82</v>
      </c>
      <c r="BU48" s="7">
        <v>2.64</v>
      </c>
      <c r="BV48" s="7">
        <v>1.94</v>
      </c>
      <c r="BW48" s="7">
        <v>1.8099999999999998</v>
      </c>
      <c r="BX48" s="7">
        <v>2.0500000000000003</v>
      </c>
      <c r="BY48" s="7">
        <v>1.4</v>
      </c>
      <c r="BZ48" s="7">
        <v>2.14</v>
      </c>
      <c r="CA48" s="7">
        <v>1.77</v>
      </c>
      <c r="CB48" s="7">
        <v>1.53</v>
      </c>
      <c r="CC48" s="7">
        <v>1.54</v>
      </c>
      <c r="CD48" s="7">
        <v>2.2400000000000002</v>
      </c>
      <c r="CE48" s="7">
        <v>1.67</v>
      </c>
      <c r="CF48" s="7">
        <v>1.5</v>
      </c>
      <c r="CG48" s="7">
        <v>1.33</v>
      </c>
      <c r="CH48" s="7">
        <v>1.77</v>
      </c>
    </row>
    <row r="49" spans="1:86" ht="15.75" customHeight="1" x14ac:dyDescent="0.25">
      <c r="A49" s="4">
        <v>48</v>
      </c>
      <c r="B49" s="2"/>
      <c r="C49" s="4">
        <v>17</v>
      </c>
      <c r="D49" s="6">
        <v>1.98</v>
      </c>
      <c r="E49" s="6">
        <v>1.28</v>
      </c>
      <c r="F49" s="6">
        <v>1.58</v>
      </c>
      <c r="G49" s="6">
        <v>1.33</v>
      </c>
      <c r="H49" s="6">
        <v>0.83</v>
      </c>
      <c r="I49" s="6">
        <v>0.83</v>
      </c>
      <c r="J49" s="6">
        <v>1.08</v>
      </c>
      <c r="K49" s="6">
        <v>2.38</v>
      </c>
      <c r="L49" s="6">
        <v>2.73</v>
      </c>
      <c r="M49" s="6">
        <v>1.58</v>
      </c>
      <c r="N49" s="6">
        <v>2.83</v>
      </c>
      <c r="O49" s="6">
        <v>1.58</v>
      </c>
      <c r="P49" s="6">
        <v>1.51</v>
      </c>
      <c r="Q49" s="6">
        <v>2.33</v>
      </c>
      <c r="R49" s="6">
        <v>1.53</v>
      </c>
      <c r="S49" s="6">
        <v>1.23</v>
      </c>
      <c r="T49" s="6">
        <v>0.71</v>
      </c>
      <c r="U49" s="6">
        <v>1.56</v>
      </c>
      <c r="V49" s="6">
        <v>1.49</v>
      </c>
      <c r="W49" s="6">
        <v>1.1599999999999999</v>
      </c>
      <c r="X49" s="6">
        <v>1.27</v>
      </c>
      <c r="Y49" s="6">
        <v>1.1100000000000001</v>
      </c>
      <c r="Z49" s="6">
        <v>1.56</v>
      </c>
      <c r="AA49" s="6">
        <v>1.19</v>
      </c>
      <c r="AB49" s="6">
        <v>1.81</v>
      </c>
      <c r="AC49" s="6">
        <v>1.63</v>
      </c>
      <c r="AD49" s="6">
        <v>2.2000000000000002</v>
      </c>
      <c r="AE49" s="6">
        <v>1.81</v>
      </c>
      <c r="AF49" s="6">
        <v>1.55</v>
      </c>
      <c r="AG49" s="6">
        <v>2.56</v>
      </c>
      <c r="AH49" s="6">
        <v>1.1499999999999999</v>
      </c>
      <c r="AI49" s="6">
        <v>1.38</v>
      </c>
      <c r="AJ49" s="6">
        <v>1.03</v>
      </c>
      <c r="AK49" s="6">
        <v>1.63</v>
      </c>
      <c r="AL49" s="6">
        <v>0.99</v>
      </c>
      <c r="AM49" s="6">
        <v>1.07</v>
      </c>
      <c r="AN49" s="6">
        <v>0.99</v>
      </c>
      <c r="AO49" s="6">
        <v>1.47</v>
      </c>
      <c r="AP49" s="6">
        <v>0.8</v>
      </c>
      <c r="AQ49" s="6">
        <v>0.92</v>
      </c>
      <c r="AR49" s="6">
        <v>0.84</v>
      </c>
      <c r="AS49" s="6">
        <v>2.2000000000000002</v>
      </c>
      <c r="AT49" s="6">
        <v>1.21</v>
      </c>
      <c r="AU49" s="6">
        <v>1.59</v>
      </c>
      <c r="AV49" s="6">
        <v>1.79</v>
      </c>
      <c r="AW49" s="6">
        <v>1.49</v>
      </c>
      <c r="AX49" s="6">
        <v>2.56</v>
      </c>
      <c r="AY49" s="6">
        <v>2.38</v>
      </c>
      <c r="AZ49" s="6">
        <v>1.68</v>
      </c>
      <c r="BA49" s="6">
        <v>1.95</v>
      </c>
      <c r="BB49" s="6">
        <v>1.76</v>
      </c>
      <c r="BC49" s="6">
        <v>1.59</v>
      </c>
      <c r="BD49" s="6">
        <v>1.86256</v>
      </c>
      <c r="BE49" s="6">
        <v>1.96</v>
      </c>
      <c r="BF49" s="6">
        <v>2.13</v>
      </c>
      <c r="BG49" s="6">
        <v>1.22</v>
      </c>
      <c r="BH49" s="6">
        <v>2.68</v>
      </c>
      <c r="BI49" s="7">
        <v>1.86</v>
      </c>
      <c r="BJ49" s="7">
        <v>1.51</v>
      </c>
      <c r="BK49" s="7">
        <v>1.88</v>
      </c>
      <c r="BL49" s="7">
        <v>1.42</v>
      </c>
      <c r="BM49" s="7">
        <v>1.53</v>
      </c>
      <c r="BN49" s="7">
        <v>2</v>
      </c>
      <c r="BO49" s="7">
        <v>3.28</v>
      </c>
      <c r="BP49" s="7">
        <v>1.81</v>
      </c>
      <c r="BQ49" s="7">
        <v>1.86</v>
      </c>
      <c r="BR49" s="7">
        <v>2.75</v>
      </c>
      <c r="BS49" s="7">
        <v>1.4</v>
      </c>
      <c r="BT49" s="7">
        <v>1.85</v>
      </c>
      <c r="BU49" s="7">
        <v>2.59</v>
      </c>
      <c r="BV49" s="7">
        <v>1.88</v>
      </c>
      <c r="BW49" s="7">
        <v>1.8</v>
      </c>
      <c r="BX49" s="7">
        <v>2.0500000000000003</v>
      </c>
      <c r="BY49" s="7">
        <v>1.35</v>
      </c>
      <c r="BZ49" s="7">
        <v>2.12</v>
      </c>
      <c r="CA49" s="7">
        <v>1.78</v>
      </c>
      <c r="CB49" s="7">
        <v>1.69</v>
      </c>
      <c r="CC49" s="7">
        <v>1.53</v>
      </c>
      <c r="CD49" s="7">
        <v>2.14</v>
      </c>
      <c r="CE49" s="7">
        <v>1.77</v>
      </c>
      <c r="CF49" s="7">
        <v>1.54</v>
      </c>
      <c r="CG49" s="7">
        <v>1.32</v>
      </c>
      <c r="CH49" s="7">
        <v>1.66</v>
      </c>
    </row>
    <row r="50" spans="1:86" ht="15.75" customHeight="1" x14ac:dyDescent="0.25">
      <c r="A50" s="4">
        <v>49</v>
      </c>
      <c r="B50" s="2"/>
      <c r="C50" s="4">
        <v>18</v>
      </c>
      <c r="D50" s="6">
        <v>2.08</v>
      </c>
      <c r="E50" s="6">
        <v>1.23</v>
      </c>
      <c r="F50" s="6">
        <v>1.43</v>
      </c>
      <c r="G50" s="6">
        <v>1.33</v>
      </c>
      <c r="H50" s="6">
        <v>0.88</v>
      </c>
      <c r="I50" s="6">
        <v>0.88</v>
      </c>
      <c r="J50" s="6">
        <v>1.03</v>
      </c>
      <c r="K50" s="6">
        <v>2.38</v>
      </c>
      <c r="L50" s="6">
        <v>2.88</v>
      </c>
      <c r="M50" s="6">
        <v>1.53</v>
      </c>
      <c r="N50" s="6">
        <v>2.73</v>
      </c>
      <c r="O50" s="6">
        <v>1.68</v>
      </c>
      <c r="P50" s="6">
        <v>1.53</v>
      </c>
      <c r="Q50" s="6">
        <v>2.2799999999999998</v>
      </c>
      <c r="R50" s="6">
        <v>1.63</v>
      </c>
      <c r="S50" s="6">
        <v>1.23</v>
      </c>
      <c r="T50" s="6">
        <v>0.61</v>
      </c>
      <c r="U50" s="6">
        <v>1.51</v>
      </c>
      <c r="V50" s="6">
        <v>1.46</v>
      </c>
      <c r="W50" s="6">
        <v>1.1599999999999999</v>
      </c>
      <c r="X50" s="6">
        <v>1.21</v>
      </c>
      <c r="Y50" s="6">
        <v>1.06</v>
      </c>
      <c r="Z50" s="6">
        <v>1.51</v>
      </c>
      <c r="AA50" s="6">
        <v>1.23</v>
      </c>
      <c r="AB50" s="6">
        <v>1.74</v>
      </c>
      <c r="AC50" s="6">
        <v>1.55</v>
      </c>
      <c r="AD50" s="6">
        <v>2.19</v>
      </c>
      <c r="AE50" s="6">
        <v>1.8</v>
      </c>
      <c r="AF50" s="6">
        <v>1.47</v>
      </c>
      <c r="AG50" s="6">
        <v>2.4900000000000002</v>
      </c>
      <c r="AH50" s="6">
        <v>1.1299999999999999</v>
      </c>
      <c r="AI50" s="6">
        <v>1.46</v>
      </c>
      <c r="AJ50" s="6">
        <v>0.94</v>
      </c>
      <c r="AK50" s="6">
        <v>1.65</v>
      </c>
      <c r="AL50" s="6">
        <v>1.01</v>
      </c>
      <c r="AM50" s="6">
        <v>1.07</v>
      </c>
      <c r="AN50" s="6">
        <v>0.99</v>
      </c>
      <c r="AO50" s="6">
        <v>1.42</v>
      </c>
      <c r="AP50" s="6">
        <v>0.84</v>
      </c>
      <c r="AQ50" s="6">
        <v>0.88</v>
      </c>
      <c r="AR50" s="6">
        <v>0.8</v>
      </c>
      <c r="AS50" s="6">
        <v>2.0699999999999998</v>
      </c>
      <c r="AT50" s="6">
        <v>1.19</v>
      </c>
      <c r="AU50" s="6">
        <v>1.36</v>
      </c>
      <c r="AV50" s="6">
        <v>1.78</v>
      </c>
      <c r="AW50" s="6">
        <v>1.71</v>
      </c>
      <c r="AX50" s="6">
        <v>2.39</v>
      </c>
      <c r="AY50" s="6">
        <v>2.37</v>
      </c>
      <c r="AZ50" s="6">
        <v>1.62</v>
      </c>
      <c r="BA50" s="6">
        <v>1.92</v>
      </c>
      <c r="BB50" s="6">
        <v>1.78</v>
      </c>
      <c r="BC50" s="6">
        <v>1.62</v>
      </c>
      <c r="BD50" s="6">
        <v>1.86256</v>
      </c>
      <c r="BE50" s="6">
        <v>1.94</v>
      </c>
      <c r="BF50" s="6">
        <v>2.2799999999999998</v>
      </c>
      <c r="BG50" s="6">
        <v>1.28</v>
      </c>
      <c r="BH50" s="6">
        <v>2.68</v>
      </c>
      <c r="BI50" s="7">
        <v>1.91</v>
      </c>
      <c r="BJ50" s="7">
        <v>1.43</v>
      </c>
      <c r="BK50" s="7">
        <v>1.86</v>
      </c>
      <c r="BL50" s="7">
        <v>1.48</v>
      </c>
      <c r="BM50" s="7">
        <v>1.63</v>
      </c>
      <c r="BN50" s="7">
        <v>2.04</v>
      </c>
      <c r="BO50" s="7">
        <v>3.22</v>
      </c>
      <c r="BP50" s="7">
        <v>1.81</v>
      </c>
      <c r="BQ50" s="7">
        <v>1.9</v>
      </c>
      <c r="BR50" s="7">
        <v>2.73</v>
      </c>
      <c r="BS50" s="7">
        <v>1.41</v>
      </c>
      <c r="BT50" s="7">
        <v>1.97</v>
      </c>
      <c r="BU50" s="7">
        <v>2.5</v>
      </c>
      <c r="BV50" s="7">
        <v>1.8499999999999999</v>
      </c>
      <c r="BW50" s="7">
        <v>1.76</v>
      </c>
      <c r="BX50" s="7">
        <v>2.12</v>
      </c>
      <c r="BY50" s="7">
        <v>1.31</v>
      </c>
      <c r="BZ50" s="7">
        <v>2</v>
      </c>
      <c r="CA50" s="7">
        <v>1.8</v>
      </c>
      <c r="CB50" s="7">
        <v>1.63</v>
      </c>
      <c r="CC50" s="7">
        <v>1.52</v>
      </c>
      <c r="CD50" s="7">
        <v>2.0300000000000002</v>
      </c>
      <c r="CE50" s="7">
        <v>1.8</v>
      </c>
      <c r="CF50" s="7">
        <v>1.51</v>
      </c>
      <c r="CG50" s="7">
        <v>1.18</v>
      </c>
      <c r="CH50" s="7">
        <v>1.6</v>
      </c>
    </row>
    <row r="51" spans="1:86" ht="15.75" customHeight="1" x14ac:dyDescent="0.25">
      <c r="A51" s="4">
        <v>50</v>
      </c>
      <c r="B51" s="2"/>
      <c r="C51" s="4">
        <v>19</v>
      </c>
      <c r="D51" s="6">
        <v>2.1800000000000002</v>
      </c>
      <c r="E51" s="6">
        <v>1.18</v>
      </c>
      <c r="F51" s="6">
        <v>1.38</v>
      </c>
      <c r="G51" s="6">
        <v>1.28</v>
      </c>
      <c r="H51" s="6">
        <v>0.88</v>
      </c>
      <c r="I51" s="6">
        <v>0.88</v>
      </c>
      <c r="J51" s="6">
        <v>1.03</v>
      </c>
      <c r="K51" s="6">
        <v>2.38</v>
      </c>
      <c r="L51" s="6">
        <v>2.93</v>
      </c>
      <c r="M51" s="6">
        <v>1.43</v>
      </c>
      <c r="N51" s="6">
        <v>2.68</v>
      </c>
      <c r="O51" s="6">
        <v>1.7</v>
      </c>
      <c r="P51" s="6">
        <v>1.45</v>
      </c>
      <c r="Q51" s="6">
        <v>2.23</v>
      </c>
      <c r="R51" s="6">
        <v>1.6</v>
      </c>
      <c r="S51" s="6">
        <v>1.18</v>
      </c>
      <c r="T51" s="6">
        <v>0.56000000000000005</v>
      </c>
      <c r="U51" s="6">
        <v>1.51</v>
      </c>
      <c r="V51" s="6">
        <v>1.51</v>
      </c>
      <c r="W51" s="6">
        <v>1.1599999999999999</v>
      </c>
      <c r="X51" s="6">
        <v>1.1100000000000001</v>
      </c>
      <c r="Y51" s="6">
        <v>1.06</v>
      </c>
      <c r="Z51" s="6">
        <v>1.49</v>
      </c>
      <c r="AA51" s="6">
        <v>1.24</v>
      </c>
      <c r="AB51" s="6">
        <v>1.66</v>
      </c>
      <c r="AC51" s="6">
        <v>1.46</v>
      </c>
      <c r="AD51" s="6">
        <v>2.16</v>
      </c>
      <c r="AE51" s="6">
        <v>1.85</v>
      </c>
      <c r="AF51" s="6">
        <v>1.4</v>
      </c>
      <c r="AG51" s="6">
        <v>2.46</v>
      </c>
      <c r="AH51" s="6">
        <v>1.1299999999999999</v>
      </c>
      <c r="AI51" s="6">
        <v>1.38</v>
      </c>
      <c r="AJ51" s="6">
        <v>0.93</v>
      </c>
      <c r="AK51" s="6">
        <v>1.72</v>
      </c>
      <c r="AL51" s="6">
        <v>0.99</v>
      </c>
      <c r="AM51" s="6">
        <v>1.07</v>
      </c>
      <c r="AN51" s="6">
        <v>0.99</v>
      </c>
      <c r="AO51" s="6">
        <v>1.41</v>
      </c>
      <c r="AP51" s="6">
        <v>0.86</v>
      </c>
      <c r="AQ51" s="6">
        <v>0.9</v>
      </c>
      <c r="AR51" s="6">
        <v>0.75</v>
      </c>
      <c r="AS51" s="6">
        <v>2.12</v>
      </c>
      <c r="AT51" s="6">
        <v>1.17</v>
      </c>
      <c r="AU51" s="6">
        <v>1.17</v>
      </c>
      <c r="AV51" s="6">
        <v>1.74</v>
      </c>
      <c r="AW51" s="6">
        <v>1.73</v>
      </c>
      <c r="AX51" s="6">
        <v>2.29</v>
      </c>
      <c r="AY51" s="6">
        <v>2.3199999999999998</v>
      </c>
      <c r="AZ51" s="6">
        <v>1.58</v>
      </c>
      <c r="BA51" s="6">
        <v>1.98</v>
      </c>
      <c r="BB51" s="6">
        <v>1.77</v>
      </c>
      <c r="BC51" s="6">
        <v>1.58</v>
      </c>
      <c r="BD51" s="6">
        <v>1.77112</v>
      </c>
      <c r="BE51" s="6">
        <v>2.09</v>
      </c>
      <c r="BF51" s="6">
        <v>2.3199999999999998</v>
      </c>
      <c r="BG51" s="6">
        <v>1.28</v>
      </c>
      <c r="BH51" s="6">
        <v>2.75</v>
      </c>
      <c r="BI51" s="7">
        <v>1.91</v>
      </c>
      <c r="BJ51" s="7">
        <v>1.22</v>
      </c>
      <c r="BK51" s="7">
        <v>1.81</v>
      </c>
      <c r="BL51" s="7">
        <v>1.51</v>
      </c>
      <c r="BM51" s="7">
        <v>1.73</v>
      </c>
      <c r="BN51" s="7">
        <v>2.08</v>
      </c>
      <c r="BO51" s="7">
        <v>3.11</v>
      </c>
      <c r="BP51" s="7">
        <v>1.77</v>
      </c>
      <c r="BQ51" s="7">
        <v>1.94</v>
      </c>
      <c r="BR51" s="7">
        <v>2.71</v>
      </c>
      <c r="BS51" s="7">
        <v>1.41</v>
      </c>
      <c r="BT51" s="7">
        <v>2.0299999999999998</v>
      </c>
      <c r="BU51" s="7">
        <v>2.4900000000000002</v>
      </c>
      <c r="BV51" s="7">
        <v>1.8399999999999999</v>
      </c>
      <c r="BW51" s="7">
        <v>1.73</v>
      </c>
      <c r="BX51" s="7">
        <v>2.2200000000000002</v>
      </c>
      <c r="BY51" s="7">
        <v>1.26</v>
      </c>
      <c r="BZ51" s="7">
        <v>1.96</v>
      </c>
      <c r="CA51" s="7">
        <v>1.66</v>
      </c>
      <c r="CB51" s="7">
        <v>1.7</v>
      </c>
      <c r="CC51" s="7">
        <v>1.51</v>
      </c>
      <c r="CD51" s="7">
        <v>2.12</v>
      </c>
      <c r="CE51" s="7">
        <v>1.71</v>
      </c>
      <c r="CF51" s="7">
        <v>1.51</v>
      </c>
      <c r="CG51" s="7">
        <v>1.1299999999999999</v>
      </c>
      <c r="CH51" s="7">
        <v>1.58</v>
      </c>
    </row>
    <row r="52" spans="1:86" ht="15.75" customHeight="1" x14ac:dyDescent="0.25">
      <c r="A52" s="4">
        <v>51</v>
      </c>
      <c r="B52" s="2"/>
      <c r="C52" s="4">
        <v>20</v>
      </c>
      <c r="D52" s="6">
        <v>2.23</v>
      </c>
      <c r="E52" s="6">
        <v>1.18</v>
      </c>
      <c r="F52" s="6">
        <v>1.28</v>
      </c>
      <c r="G52" s="6">
        <v>1.28</v>
      </c>
      <c r="H52" s="6">
        <v>0.93</v>
      </c>
      <c r="I52" s="6">
        <v>0.93</v>
      </c>
      <c r="J52" s="6">
        <v>0.98</v>
      </c>
      <c r="K52" s="6">
        <v>2.33</v>
      </c>
      <c r="L52" s="6">
        <v>2.98</v>
      </c>
      <c r="M52" s="6">
        <v>1.33</v>
      </c>
      <c r="N52" s="6">
        <v>2.63</v>
      </c>
      <c r="O52" s="6">
        <v>1.73</v>
      </c>
      <c r="P52" s="6">
        <v>1.48</v>
      </c>
      <c r="Q52" s="6">
        <v>2.13</v>
      </c>
      <c r="R52" s="6">
        <v>1.53</v>
      </c>
      <c r="S52" s="6">
        <v>1.18</v>
      </c>
      <c r="T52" s="6">
        <v>0.51</v>
      </c>
      <c r="U52" s="6">
        <v>1.49</v>
      </c>
      <c r="V52" s="6">
        <v>1.56</v>
      </c>
      <c r="W52" s="6">
        <v>1.21</v>
      </c>
      <c r="X52" s="6">
        <v>1.08</v>
      </c>
      <c r="Y52" s="6">
        <v>1.1100000000000001</v>
      </c>
      <c r="Z52" s="6">
        <v>1.49</v>
      </c>
      <c r="AA52" s="6">
        <v>1.25</v>
      </c>
      <c r="AB52" s="6">
        <v>1.6</v>
      </c>
      <c r="AC52" s="6">
        <v>1.38</v>
      </c>
      <c r="AD52" s="6">
        <v>2.02</v>
      </c>
      <c r="AE52" s="6">
        <v>1.93</v>
      </c>
      <c r="AF52" s="6">
        <v>1.35</v>
      </c>
      <c r="AG52" s="6">
        <v>2.4300000000000002</v>
      </c>
      <c r="AH52" s="6">
        <v>1.1299999999999999</v>
      </c>
      <c r="AI52" s="6">
        <v>1.39</v>
      </c>
      <c r="AJ52" s="6">
        <v>0.93</v>
      </c>
      <c r="AK52" s="6">
        <v>1.73</v>
      </c>
      <c r="AL52" s="6">
        <v>0.97</v>
      </c>
      <c r="AM52" s="6">
        <v>1.08</v>
      </c>
      <c r="AN52" s="6">
        <v>0.99</v>
      </c>
      <c r="AO52" s="6">
        <v>1.39</v>
      </c>
      <c r="AP52" s="6">
        <v>0.83</v>
      </c>
      <c r="AQ52" s="6">
        <v>0.88</v>
      </c>
      <c r="AR52" s="6">
        <v>0.72</v>
      </c>
      <c r="AS52" s="6">
        <v>2.1</v>
      </c>
      <c r="AT52" s="6">
        <v>1.2</v>
      </c>
      <c r="AU52" s="6">
        <v>1.1100000000000001</v>
      </c>
      <c r="AV52" s="6">
        <v>1.68</v>
      </c>
      <c r="AW52" s="6">
        <v>1.75</v>
      </c>
      <c r="AX52" s="6">
        <v>2.1800000000000002</v>
      </c>
      <c r="AY52" s="6">
        <v>2.33</v>
      </c>
      <c r="AZ52" s="6">
        <v>1.59</v>
      </c>
      <c r="BA52" s="6">
        <v>2.08</v>
      </c>
      <c r="BB52" s="6">
        <v>1.77</v>
      </c>
      <c r="BC52" s="6">
        <v>1.51</v>
      </c>
      <c r="BD52" s="6">
        <v>1.6796800000000001</v>
      </c>
      <c r="BE52" s="6">
        <v>2.2400000000000002</v>
      </c>
      <c r="BF52" s="6">
        <v>2.41</v>
      </c>
      <c r="BG52" s="6">
        <v>1.28</v>
      </c>
      <c r="BH52" s="6">
        <v>2.75</v>
      </c>
      <c r="BI52" s="7">
        <v>1.87</v>
      </c>
      <c r="BJ52" s="7">
        <v>1.41</v>
      </c>
      <c r="BK52" s="7">
        <v>1.81</v>
      </c>
      <c r="BL52" s="7">
        <v>1.53</v>
      </c>
      <c r="BM52" s="7">
        <v>1.72</v>
      </c>
      <c r="BN52" s="7">
        <v>2.14</v>
      </c>
      <c r="BO52" s="7">
        <v>2.99</v>
      </c>
      <c r="BP52" s="7">
        <v>1.73</v>
      </c>
      <c r="BQ52" s="7">
        <v>2.02</v>
      </c>
      <c r="BR52" s="7">
        <v>2.68</v>
      </c>
      <c r="BS52" s="7">
        <v>1.38</v>
      </c>
      <c r="BT52" s="7">
        <v>2.0299999999999998</v>
      </c>
      <c r="BU52" s="7">
        <v>2.4300000000000002</v>
      </c>
      <c r="BV52" s="7">
        <v>1.8099999999999998</v>
      </c>
      <c r="BW52" s="7">
        <v>1.71</v>
      </c>
      <c r="BX52" s="7">
        <v>2.2800000000000002</v>
      </c>
      <c r="BY52" s="7">
        <v>1.28</v>
      </c>
      <c r="BZ52" s="7">
        <v>1.98</v>
      </c>
      <c r="CA52" s="7">
        <v>1.66</v>
      </c>
      <c r="CB52" s="7">
        <v>1.71</v>
      </c>
      <c r="CC52" s="7">
        <v>1.39</v>
      </c>
      <c r="CD52" s="7">
        <v>2.0699999999999998</v>
      </c>
      <c r="CE52" s="7">
        <v>1.75</v>
      </c>
      <c r="CF52" s="7">
        <v>1.56</v>
      </c>
      <c r="CG52" s="7">
        <v>1.17</v>
      </c>
      <c r="CH52" s="7">
        <v>1.46</v>
      </c>
    </row>
    <row r="53" spans="1:86" ht="15.75" customHeight="1" x14ac:dyDescent="0.25">
      <c r="A53" s="4">
        <v>52</v>
      </c>
      <c r="B53" s="2"/>
      <c r="C53" s="4">
        <v>21</v>
      </c>
      <c r="D53" s="6">
        <v>2.2799999999999998</v>
      </c>
      <c r="E53" s="6">
        <v>1.18</v>
      </c>
      <c r="F53" s="6">
        <v>1.08</v>
      </c>
      <c r="G53" s="6">
        <v>1.28</v>
      </c>
      <c r="H53" s="6">
        <v>0.98</v>
      </c>
      <c r="I53" s="6">
        <v>0.98</v>
      </c>
      <c r="J53" s="6">
        <v>0.88</v>
      </c>
      <c r="K53" s="6">
        <v>2.2799999999999998</v>
      </c>
      <c r="L53" s="6">
        <v>3.08</v>
      </c>
      <c r="M53" s="6">
        <v>1.23</v>
      </c>
      <c r="N53" s="6">
        <v>2.5299999999999998</v>
      </c>
      <c r="O53" s="6">
        <v>1.63</v>
      </c>
      <c r="P53" s="6">
        <v>1.43</v>
      </c>
      <c r="Q53" s="6">
        <v>2.09</v>
      </c>
      <c r="R53" s="6">
        <v>1.43</v>
      </c>
      <c r="S53" s="6">
        <v>1.23</v>
      </c>
      <c r="T53" s="6">
        <v>0.61</v>
      </c>
      <c r="U53" s="6">
        <v>1.51</v>
      </c>
      <c r="V53" s="6">
        <v>1.41</v>
      </c>
      <c r="W53" s="6">
        <v>1.24</v>
      </c>
      <c r="X53" s="6">
        <v>1.21</v>
      </c>
      <c r="Y53" s="6">
        <v>1.01</v>
      </c>
      <c r="Z53" s="6">
        <v>1.36</v>
      </c>
      <c r="AA53" s="6">
        <v>1.25</v>
      </c>
      <c r="AB53" s="6">
        <v>1.55</v>
      </c>
      <c r="AC53" s="6">
        <v>1.35</v>
      </c>
      <c r="AD53" s="6">
        <v>1.97</v>
      </c>
      <c r="AE53" s="6">
        <v>2</v>
      </c>
      <c r="AF53" s="6">
        <v>1.33</v>
      </c>
      <c r="AG53" s="6">
        <v>2.8</v>
      </c>
      <c r="AH53" s="6">
        <v>1.1499999999999999</v>
      </c>
      <c r="AI53" s="6">
        <v>1.4</v>
      </c>
      <c r="AJ53" s="6">
        <v>0.91</v>
      </c>
      <c r="AK53" s="6">
        <v>1.6</v>
      </c>
      <c r="AL53" s="6">
        <v>0.97</v>
      </c>
      <c r="AM53" s="6">
        <v>1.1000000000000001</v>
      </c>
      <c r="AN53" s="6">
        <v>0.99</v>
      </c>
      <c r="AO53" s="6">
        <v>1.33</v>
      </c>
      <c r="AP53" s="6">
        <v>0.81</v>
      </c>
      <c r="AQ53" s="6">
        <v>0.88</v>
      </c>
      <c r="AR53" s="6">
        <v>0.66</v>
      </c>
      <c r="AS53" s="6">
        <v>2.09</v>
      </c>
      <c r="AT53" s="6">
        <v>1.23</v>
      </c>
      <c r="AU53" s="6">
        <v>1.1499999999999999</v>
      </c>
      <c r="AV53" s="6">
        <v>1.63</v>
      </c>
      <c r="AW53" s="6">
        <v>1.72</v>
      </c>
      <c r="AX53" s="6">
        <v>2.12</v>
      </c>
      <c r="AY53" s="6">
        <v>2.42</v>
      </c>
      <c r="AZ53" s="6">
        <v>1.6</v>
      </c>
      <c r="BA53" s="6">
        <v>2.09</v>
      </c>
      <c r="BB53" s="6">
        <v>1.77</v>
      </c>
      <c r="BC53" s="6">
        <v>1.49</v>
      </c>
      <c r="BD53" s="6">
        <v>1.6187199999999999</v>
      </c>
      <c r="BE53" s="6">
        <v>2.2400000000000002</v>
      </c>
      <c r="BF53" s="6">
        <v>2.65</v>
      </c>
      <c r="BG53" s="6">
        <v>1.31</v>
      </c>
      <c r="BH53" s="6">
        <v>2.69</v>
      </c>
      <c r="BI53" s="7">
        <v>1.83</v>
      </c>
      <c r="BJ53" s="7">
        <v>1.51</v>
      </c>
      <c r="BK53" s="7">
        <v>1.79</v>
      </c>
      <c r="BL53" s="7">
        <v>1.52</v>
      </c>
      <c r="BM53" s="7">
        <v>1.78</v>
      </c>
      <c r="BN53" s="7">
        <v>2.1</v>
      </c>
      <c r="BO53" s="7">
        <v>2.96</v>
      </c>
      <c r="BP53" s="7">
        <v>1.72</v>
      </c>
      <c r="BQ53" s="7">
        <v>1.94</v>
      </c>
      <c r="BR53" s="7">
        <v>2.69</v>
      </c>
      <c r="BS53" s="7">
        <v>1.23</v>
      </c>
      <c r="BT53" s="7">
        <v>2</v>
      </c>
      <c r="BU53" s="7">
        <v>2.39</v>
      </c>
      <c r="BV53" s="7">
        <v>1.8</v>
      </c>
      <c r="BW53" s="7">
        <v>1.72</v>
      </c>
      <c r="BX53" s="7">
        <v>2.2800000000000002</v>
      </c>
      <c r="BY53" s="7">
        <v>1.28</v>
      </c>
      <c r="BZ53" s="7">
        <v>1.8699999999999999</v>
      </c>
      <c r="CA53" s="7">
        <v>1.63</v>
      </c>
      <c r="CB53" s="7">
        <v>1.69</v>
      </c>
      <c r="CC53" s="7">
        <v>1.39</v>
      </c>
      <c r="CD53" s="7">
        <v>1.99</v>
      </c>
      <c r="CE53" s="7">
        <v>1.77</v>
      </c>
      <c r="CF53" s="7">
        <v>1.59</v>
      </c>
      <c r="CG53" s="7">
        <v>1.25</v>
      </c>
      <c r="CH53" s="7">
        <v>1.44</v>
      </c>
    </row>
    <row r="54" spans="1:86" ht="15.75" customHeight="1" x14ac:dyDescent="0.25">
      <c r="A54" s="4">
        <v>53</v>
      </c>
      <c r="B54" s="2"/>
      <c r="C54" s="4">
        <v>22</v>
      </c>
      <c r="D54" s="6">
        <v>2.33</v>
      </c>
      <c r="E54" s="6">
        <v>1.23</v>
      </c>
      <c r="F54" s="6">
        <v>1.08</v>
      </c>
      <c r="G54" s="6">
        <v>1.18</v>
      </c>
      <c r="H54" s="6">
        <v>1.03</v>
      </c>
      <c r="I54" s="6">
        <v>1.03</v>
      </c>
      <c r="J54" s="6">
        <v>0.78</v>
      </c>
      <c r="K54" s="6">
        <v>2.23</v>
      </c>
      <c r="L54" s="6">
        <v>3.18</v>
      </c>
      <c r="M54" s="6">
        <v>1.21</v>
      </c>
      <c r="N54" s="6">
        <v>2.4300000000000002</v>
      </c>
      <c r="O54" s="6">
        <v>1.48</v>
      </c>
      <c r="P54" s="6">
        <v>1.43</v>
      </c>
      <c r="Q54" s="6">
        <v>2.0499999999999998</v>
      </c>
      <c r="R54" s="6">
        <v>1.33</v>
      </c>
      <c r="S54" s="6">
        <v>1.18</v>
      </c>
      <c r="T54" s="6">
        <v>0.61</v>
      </c>
      <c r="U54" s="6">
        <v>1.41</v>
      </c>
      <c r="V54" s="6">
        <v>1.29</v>
      </c>
      <c r="W54" s="6">
        <v>1.26</v>
      </c>
      <c r="X54" s="6">
        <v>1.41</v>
      </c>
      <c r="Y54" s="6">
        <v>0.86</v>
      </c>
      <c r="Z54" s="6">
        <v>1.41</v>
      </c>
      <c r="AA54" s="6">
        <v>1.23</v>
      </c>
      <c r="AB54" s="6">
        <v>1.54</v>
      </c>
      <c r="AC54" s="6">
        <v>1.32</v>
      </c>
      <c r="AD54" s="6">
        <v>1.8</v>
      </c>
      <c r="AE54" s="6">
        <v>2.15</v>
      </c>
      <c r="AF54" s="6">
        <v>1.43</v>
      </c>
      <c r="AG54" s="6">
        <v>2.5099999999999998</v>
      </c>
      <c r="AH54" s="6">
        <v>1.05</v>
      </c>
      <c r="AI54" s="6">
        <v>1.35</v>
      </c>
      <c r="AJ54" s="6">
        <v>1</v>
      </c>
      <c r="AK54" s="6">
        <v>1.54</v>
      </c>
      <c r="AL54" s="6">
        <v>0.97</v>
      </c>
      <c r="AM54" s="6">
        <v>1.2</v>
      </c>
      <c r="AN54" s="6">
        <v>0.97</v>
      </c>
      <c r="AO54" s="6">
        <v>1.25</v>
      </c>
      <c r="AP54" s="6">
        <v>0.78</v>
      </c>
      <c r="AQ54" s="6">
        <v>0.96</v>
      </c>
      <c r="AR54" s="6">
        <v>0.63</v>
      </c>
      <c r="AS54" s="6">
        <v>1.89</v>
      </c>
      <c r="AT54" s="6">
        <v>1.22</v>
      </c>
      <c r="AU54" s="6">
        <v>1.2</v>
      </c>
      <c r="AV54" s="6">
        <v>1.63</v>
      </c>
      <c r="AW54" s="6">
        <v>1.61</v>
      </c>
      <c r="AX54" s="6">
        <v>2.08</v>
      </c>
      <c r="AY54" s="6">
        <v>2.46</v>
      </c>
      <c r="AZ54" s="6">
        <v>1.54</v>
      </c>
      <c r="BA54" s="6">
        <v>2.09</v>
      </c>
      <c r="BB54" s="6">
        <v>1.75</v>
      </c>
      <c r="BC54" s="6">
        <v>1.37</v>
      </c>
      <c r="BD54" s="6">
        <v>1.6187199999999999</v>
      </c>
      <c r="BE54" s="6">
        <v>2.36</v>
      </c>
      <c r="BF54" s="6">
        <v>2.65</v>
      </c>
      <c r="BG54" s="6">
        <v>1.34</v>
      </c>
      <c r="BH54" s="6">
        <v>2.66</v>
      </c>
      <c r="BI54" s="7">
        <v>1.77</v>
      </c>
      <c r="BJ54" s="7">
        <v>1.5</v>
      </c>
      <c r="BK54" s="7">
        <v>1.68</v>
      </c>
      <c r="BL54" s="7">
        <v>1.46</v>
      </c>
      <c r="BM54" s="7">
        <v>1.74</v>
      </c>
      <c r="BN54" s="7">
        <v>2.09</v>
      </c>
      <c r="BO54" s="7">
        <v>2.88</v>
      </c>
      <c r="BP54" s="7">
        <v>1.74</v>
      </c>
      <c r="BQ54" s="7">
        <v>1.99</v>
      </c>
      <c r="BR54" s="7">
        <v>2.67</v>
      </c>
      <c r="BS54" s="7">
        <v>1.23</v>
      </c>
      <c r="BT54" s="7">
        <v>2.06</v>
      </c>
      <c r="BU54" s="7">
        <v>2.42</v>
      </c>
      <c r="BV54" s="7">
        <v>1.88</v>
      </c>
      <c r="BW54" s="7">
        <v>1.68</v>
      </c>
      <c r="BX54" s="7">
        <v>2.2400000000000002</v>
      </c>
      <c r="BY54" s="7">
        <v>1.34</v>
      </c>
      <c r="BZ54" s="7">
        <v>1.8499999999999999</v>
      </c>
      <c r="CA54" s="7">
        <v>1.53</v>
      </c>
      <c r="CB54" s="7">
        <v>1.72</v>
      </c>
      <c r="CC54" s="7">
        <v>1.41</v>
      </c>
      <c r="CD54" s="7">
        <v>1.8599999999999999</v>
      </c>
      <c r="CE54" s="7">
        <v>1.68</v>
      </c>
      <c r="CF54" s="7">
        <v>1.7</v>
      </c>
      <c r="CG54" s="7">
        <v>1.34</v>
      </c>
      <c r="CH54" s="7">
        <v>1.43</v>
      </c>
    </row>
    <row r="55" spans="1:86" ht="15.75" customHeight="1" x14ac:dyDescent="0.25">
      <c r="A55" s="4">
        <v>54</v>
      </c>
      <c r="B55" s="2"/>
      <c r="C55" s="4">
        <v>23</v>
      </c>
      <c r="D55" s="6">
        <v>2.23</v>
      </c>
      <c r="E55" s="6">
        <v>1.28</v>
      </c>
      <c r="F55" s="6">
        <v>1.1299999999999999</v>
      </c>
      <c r="G55" s="6">
        <v>1.08</v>
      </c>
      <c r="H55" s="6">
        <v>1.03</v>
      </c>
      <c r="I55" s="6">
        <v>1.03</v>
      </c>
      <c r="J55" s="6">
        <v>0.68</v>
      </c>
      <c r="K55" s="6">
        <v>2.23</v>
      </c>
      <c r="L55" s="6">
        <v>3.33</v>
      </c>
      <c r="M55" s="6">
        <v>0.93</v>
      </c>
      <c r="N55" s="6">
        <v>2.33</v>
      </c>
      <c r="O55" s="6">
        <v>1.43</v>
      </c>
      <c r="P55" s="6">
        <v>1.43</v>
      </c>
      <c r="Q55" s="6">
        <v>2.08</v>
      </c>
      <c r="R55" s="6">
        <v>1.1299999999999999</v>
      </c>
      <c r="S55" s="6">
        <v>1.18</v>
      </c>
      <c r="T55" s="6">
        <v>0.81</v>
      </c>
      <c r="U55" s="6">
        <v>1.41</v>
      </c>
      <c r="V55" s="6">
        <v>1.1100000000000001</v>
      </c>
      <c r="W55" s="6">
        <v>1.31</v>
      </c>
      <c r="X55" s="6">
        <v>1.56</v>
      </c>
      <c r="Y55" s="6">
        <v>0.9</v>
      </c>
      <c r="Z55" s="6">
        <v>1.29</v>
      </c>
      <c r="AA55" s="6">
        <v>1.21</v>
      </c>
      <c r="AB55" s="6">
        <v>1.5</v>
      </c>
      <c r="AC55" s="6">
        <v>1.28</v>
      </c>
      <c r="AD55" s="6">
        <v>1.66</v>
      </c>
      <c r="AE55" s="6">
        <v>2.21</v>
      </c>
      <c r="AF55" s="6">
        <v>1.62</v>
      </c>
      <c r="AG55" s="6">
        <v>2.0699999999999998</v>
      </c>
      <c r="AH55" s="6">
        <v>1.01</v>
      </c>
      <c r="AI55" s="6">
        <v>1.33</v>
      </c>
      <c r="AJ55" s="6">
        <v>1.04</v>
      </c>
      <c r="AK55" s="6">
        <v>1.42</v>
      </c>
      <c r="AL55" s="6">
        <v>0.93</v>
      </c>
      <c r="AM55" s="6">
        <v>1.19</v>
      </c>
      <c r="AN55" s="6">
        <v>0.97</v>
      </c>
      <c r="AO55" s="6">
        <v>1.17</v>
      </c>
      <c r="AP55" s="6">
        <v>0.78</v>
      </c>
      <c r="AQ55" s="6">
        <v>1.02</v>
      </c>
      <c r="AR55" s="6">
        <v>0.66</v>
      </c>
      <c r="AS55" s="6">
        <v>2.16</v>
      </c>
      <c r="AT55" s="6">
        <v>1.1499999999999999</v>
      </c>
      <c r="AU55" s="6">
        <v>1.23</v>
      </c>
      <c r="AV55" s="6">
        <v>1.57</v>
      </c>
      <c r="AW55" s="6">
        <v>1.64</v>
      </c>
      <c r="AX55" s="6">
        <v>2.09</v>
      </c>
      <c r="AY55" s="6">
        <v>2.5299999999999998</v>
      </c>
      <c r="AZ55" s="6">
        <v>1.5</v>
      </c>
      <c r="BA55" s="6">
        <v>1.99</v>
      </c>
      <c r="BB55" s="6">
        <v>1.72</v>
      </c>
      <c r="BC55" s="6">
        <v>1.52</v>
      </c>
      <c r="BD55" s="6">
        <v>1.55776</v>
      </c>
      <c r="BE55" s="6">
        <v>2.36</v>
      </c>
      <c r="BF55" s="6">
        <v>2.62</v>
      </c>
      <c r="BG55" s="6">
        <v>1.34</v>
      </c>
      <c r="BH55" s="6">
        <v>2.62</v>
      </c>
      <c r="BI55" s="7">
        <v>1.76</v>
      </c>
      <c r="BJ55" s="7">
        <v>1.49</v>
      </c>
      <c r="BK55" s="7">
        <v>1.68</v>
      </c>
      <c r="BL55" s="7">
        <v>1.45</v>
      </c>
      <c r="BM55" s="7">
        <v>1.64</v>
      </c>
      <c r="BN55" s="7">
        <v>2.23</v>
      </c>
      <c r="BO55" s="7">
        <v>2.87</v>
      </c>
      <c r="BP55" s="7">
        <v>1.74</v>
      </c>
      <c r="BQ55" s="7">
        <v>2.08</v>
      </c>
      <c r="BR55" s="7">
        <v>2.62</v>
      </c>
      <c r="BS55" s="7">
        <v>1.29</v>
      </c>
      <c r="BT55" s="7">
        <v>1.98</v>
      </c>
      <c r="BU55" s="7">
        <v>2.5299999999999998</v>
      </c>
      <c r="BV55" s="7">
        <v>1.93</v>
      </c>
      <c r="BW55" s="7">
        <v>1.64</v>
      </c>
      <c r="BX55" s="7">
        <v>2.23</v>
      </c>
      <c r="BY55" s="7">
        <v>1.38</v>
      </c>
      <c r="BZ55" s="7">
        <v>1.8299999999999998</v>
      </c>
      <c r="CA55" s="7">
        <v>1.43</v>
      </c>
      <c r="CB55" s="7">
        <v>1.75</v>
      </c>
      <c r="CC55" s="7">
        <v>1.4</v>
      </c>
      <c r="CD55" s="7">
        <v>1.8599999999999999</v>
      </c>
      <c r="CE55" s="7">
        <v>1.6099999999999999</v>
      </c>
      <c r="CF55" s="7">
        <v>1.65</v>
      </c>
      <c r="CG55" s="7">
        <v>1.38</v>
      </c>
      <c r="CH55" s="7">
        <v>1.4</v>
      </c>
    </row>
    <row r="56" spans="1:86" ht="15.75" customHeight="1" x14ac:dyDescent="0.25">
      <c r="A56" s="4">
        <v>55</v>
      </c>
      <c r="B56" s="2"/>
      <c r="C56" s="4">
        <v>24</v>
      </c>
      <c r="D56" s="6">
        <v>2.1800000000000002</v>
      </c>
      <c r="E56" s="6">
        <v>1.33</v>
      </c>
      <c r="F56" s="6">
        <v>1.33</v>
      </c>
      <c r="G56" s="6">
        <v>0.93</v>
      </c>
      <c r="H56" s="6">
        <v>1.03</v>
      </c>
      <c r="I56" s="6">
        <v>1.03</v>
      </c>
      <c r="J56" s="6">
        <v>0.63</v>
      </c>
      <c r="K56" s="6">
        <v>2.23</v>
      </c>
      <c r="L56" s="6">
        <v>3.38</v>
      </c>
      <c r="M56" s="6">
        <v>1.38</v>
      </c>
      <c r="N56" s="6">
        <v>2.2799999999999998</v>
      </c>
      <c r="O56" s="6">
        <v>1.38</v>
      </c>
      <c r="P56" s="6">
        <v>1.58</v>
      </c>
      <c r="Q56" s="6">
        <v>2.13</v>
      </c>
      <c r="R56" s="6">
        <v>1.08</v>
      </c>
      <c r="S56" s="6">
        <v>1.08</v>
      </c>
      <c r="T56" s="6">
        <v>0.66</v>
      </c>
      <c r="U56" s="6">
        <v>1.41</v>
      </c>
      <c r="V56" s="6">
        <v>1.01</v>
      </c>
      <c r="W56" s="6">
        <v>1.24</v>
      </c>
      <c r="X56" s="6">
        <v>1.61</v>
      </c>
      <c r="Y56" s="6">
        <v>0.56000000000000005</v>
      </c>
      <c r="Z56" s="6">
        <v>1.1399999999999999</v>
      </c>
      <c r="AA56" s="6">
        <v>1.2</v>
      </c>
      <c r="AB56" s="6">
        <v>1.53</v>
      </c>
      <c r="AC56" s="6">
        <v>1.25</v>
      </c>
      <c r="AD56" s="6">
        <v>1.64</v>
      </c>
      <c r="AE56" s="6">
        <v>2.25</v>
      </c>
      <c r="AF56" s="6">
        <v>1.67</v>
      </c>
      <c r="AG56" s="6">
        <v>1.91</v>
      </c>
      <c r="AH56" s="6">
        <v>0.97</v>
      </c>
      <c r="AI56" s="6">
        <v>1.33</v>
      </c>
      <c r="AJ56" s="6">
        <v>1.1499999999999999</v>
      </c>
      <c r="AK56" s="6">
        <v>1.33</v>
      </c>
      <c r="AL56" s="6">
        <v>0.91</v>
      </c>
      <c r="AM56" s="6">
        <v>1.2</v>
      </c>
      <c r="AN56" s="6">
        <v>0.97</v>
      </c>
      <c r="AO56" s="6">
        <v>1.1000000000000001</v>
      </c>
      <c r="AP56" s="6">
        <v>0.8</v>
      </c>
      <c r="AQ56" s="6">
        <v>1.31</v>
      </c>
      <c r="AR56" s="6">
        <v>0.72</v>
      </c>
      <c r="AS56" s="6">
        <v>2.0299999999999998</v>
      </c>
      <c r="AT56" s="6">
        <v>1.1100000000000001</v>
      </c>
      <c r="AU56" s="6">
        <v>1.32</v>
      </c>
      <c r="AV56" s="6">
        <v>1.61</v>
      </c>
      <c r="AW56" s="6">
        <v>1.6</v>
      </c>
      <c r="AX56" s="6">
        <v>2.02</v>
      </c>
      <c r="AY56" s="6">
        <v>2.5</v>
      </c>
      <c r="AZ56" s="6">
        <v>1.47</v>
      </c>
      <c r="BA56" s="6">
        <v>1.9</v>
      </c>
      <c r="BB56" s="6">
        <v>1.71</v>
      </c>
      <c r="BC56" s="6">
        <v>1.59</v>
      </c>
      <c r="BD56" s="6">
        <v>1.4663200000000001</v>
      </c>
      <c r="BE56" s="6">
        <v>2.42</v>
      </c>
      <c r="BF56" s="6">
        <v>2.59</v>
      </c>
      <c r="BG56" s="6">
        <v>1.34</v>
      </c>
      <c r="BH56" s="6">
        <v>2.62</v>
      </c>
      <c r="BI56" s="7">
        <v>1.72</v>
      </c>
      <c r="BJ56" s="7">
        <v>1.49</v>
      </c>
      <c r="BK56" s="7">
        <v>1.64</v>
      </c>
      <c r="BL56" s="7">
        <v>1.44</v>
      </c>
      <c r="BM56" s="7">
        <v>1.64</v>
      </c>
      <c r="BN56" s="7">
        <v>2.25</v>
      </c>
      <c r="BO56" s="7">
        <v>2.76</v>
      </c>
      <c r="BP56" s="7">
        <v>1.67</v>
      </c>
      <c r="BQ56" s="7">
        <v>2.06</v>
      </c>
      <c r="BR56" s="7">
        <v>2.62</v>
      </c>
      <c r="BS56" s="7">
        <v>1.28</v>
      </c>
      <c r="BT56" s="7">
        <v>2.0099999999999998</v>
      </c>
      <c r="BU56" s="7">
        <v>2.56</v>
      </c>
      <c r="BV56" s="7">
        <v>1.93</v>
      </c>
      <c r="BW56" s="7">
        <v>1.6099999999999999</v>
      </c>
      <c r="BX56" s="7">
        <v>2.23</v>
      </c>
      <c r="BY56" s="7">
        <v>1.45</v>
      </c>
      <c r="BZ56" s="7">
        <v>1.8399999999999999</v>
      </c>
      <c r="CA56" s="7">
        <v>1.46</v>
      </c>
      <c r="CB56" s="7">
        <v>1.69</v>
      </c>
      <c r="CC56" s="7">
        <v>1.39</v>
      </c>
      <c r="CD56" s="7">
        <v>1.89</v>
      </c>
      <c r="CE56" s="7">
        <v>1.64</v>
      </c>
      <c r="CF56" s="7">
        <v>1.69</v>
      </c>
      <c r="CG56" s="7">
        <v>1.37</v>
      </c>
      <c r="CH56" s="7">
        <v>1.44</v>
      </c>
    </row>
    <row r="57" spans="1:86" ht="15.75" customHeight="1" x14ac:dyDescent="0.25">
      <c r="A57" s="4">
        <v>56</v>
      </c>
      <c r="B57" s="2"/>
      <c r="C57" s="4">
        <v>25</v>
      </c>
      <c r="D57" s="6">
        <v>2.08</v>
      </c>
      <c r="E57" s="6">
        <v>1.33</v>
      </c>
      <c r="F57" s="6">
        <v>1.48</v>
      </c>
      <c r="G57" s="6">
        <v>0.83</v>
      </c>
      <c r="H57" s="6">
        <v>1.08</v>
      </c>
      <c r="I57" s="6">
        <v>1.08</v>
      </c>
      <c r="J57" s="6">
        <v>0.73</v>
      </c>
      <c r="K57" s="6">
        <v>2.13</v>
      </c>
      <c r="L57" s="6">
        <v>3.38</v>
      </c>
      <c r="M57" s="6">
        <v>1.48</v>
      </c>
      <c r="N57" s="6">
        <v>2.23</v>
      </c>
      <c r="O57" s="6">
        <v>1.48</v>
      </c>
      <c r="P57" s="6">
        <v>1.73</v>
      </c>
      <c r="Q57" s="6">
        <v>2.13</v>
      </c>
      <c r="R57" s="6">
        <v>1.03</v>
      </c>
      <c r="S57" s="6">
        <v>1.1299999999999999</v>
      </c>
      <c r="T57" s="6">
        <v>0.66</v>
      </c>
      <c r="U57" s="6">
        <v>1.41</v>
      </c>
      <c r="V57" s="6">
        <v>0.91</v>
      </c>
      <c r="W57" s="6">
        <v>1.18</v>
      </c>
      <c r="X57" s="6">
        <v>1.66</v>
      </c>
      <c r="Y57" s="6">
        <v>0.51</v>
      </c>
      <c r="Z57" s="6">
        <v>1.03</v>
      </c>
      <c r="AA57" s="6">
        <v>1.19</v>
      </c>
      <c r="AB57" s="6">
        <v>1.54</v>
      </c>
      <c r="AC57" s="6">
        <v>1.22</v>
      </c>
      <c r="AD57" s="6">
        <v>1.61</v>
      </c>
      <c r="AE57" s="6">
        <v>2.2200000000000002</v>
      </c>
      <c r="AF57" s="6">
        <v>1.49</v>
      </c>
      <c r="AG57" s="6">
        <v>1.9</v>
      </c>
      <c r="AH57" s="6">
        <v>0.91</v>
      </c>
      <c r="AI57" s="6">
        <v>1.3</v>
      </c>
      <c r="AJ57" s="6">
        <v>1.17</v>
      </c>
      <c r="AK57" s="6">
        <v>1.43</v>
      </c>
      <c r="AL57" s="6">
        <v>0.85</v>
      </c>
      <c r="AM57" s="6">
        <v>1.2</v>
      </c>
      <c r="AN57" s="6">
        <v>0.99</v>
      </c>
      <c r="AO57" s="6">
        <v>1.05</v>
      </c>
      <c r="AP57" s="6">
        <v>0.79</v>
      </c>
      <c r="AQ57" s="6">
        <v>1.55</v>
      </c>
      <c r="AR57" s="6">
        <v>0.72</v>
      </c>
      <c r="AS57" s="6">
        <v>1.57</v>
      </c>
      <c r="AT57" s="6">
        <v>1.0900000000000001</v>
      </c>
      <c r="AU57" s="6">
        <v>1.37</v>
      </c>
      <c r="AV57" s="6">
        <v>1.65</v>
      </c>
      <c r="AW57" s="6">
        <v>1.51</v>
      </c>
      <c r="AX57" s="6">
        <v>1.98</v>
      </c>
      <c r="AY57" s="6">
        <v>2.42</v>
      </c>
      <c r="AZ57" s="6">
        <v>1.37</v>
      </c>
      <c r="BA57" s="6">
        <v>1.86</v>
      </c>
      <c r="BB57" s="6">
        <v>1.7</v>
      </c>
      <c r="BC57" s="6">
        <v>1.65</v>
      </c>
      <c r="BD57" s="6">
        <v>1.4053599999999999</v>
      </c>
      <c r="BE57" s="6">
        <v>2.4500000000000002</v>
      </c>
      <c r="BF57" s="6">
        <v>2.59</v>
      </c>
      <c r="BG57" s="6">
        <v>1.37</v>
      </c>
      <c r="BH57" s="6">
        <v>2.62</v>
      </c>
      <c r="BI57" s="7">
        <v>1.62</v>
      </c>
      <c r="BJ57" s="7">
        <v>1.46</v>
      </c>
      <c r="BK57" s="7">
        <v>1.54</v>
      </c>
      <c r="BL57" s="7">
        <v>1.41</v>
      </c>
      <c r="BM57" s="7">
        <v>1.6</v>
      </c>
      <c r="BN57" s="7">
        <v>2.4300000000000002</v>
      </c>
      <c r="BO57" s="7">
        <v>2.65</v>
      </c>
      <c r="BP57" s="7">
        <v>1.6</v>
      </c>
      <c r="BQ57" s="7">
        <v>2.0299999999999998</v>
      </c>
      <c r="BR57" s="7">
        <v>2.63</v>
      </c>
      <c r="BS57" s="7">
        <v>1.21</v>
      </c>
      <c r="BT57" s="7">
        <v>1.89</v>
      </c>
      <c r="BU57" s="7">
        <v>2.5</v>
      </c>
      <c r="BV57" s="7">
        <v>1.97</v>
      </c>
      <c r="BW57" s="7">
        <v>1.5799999999999998</v>
      </c>
      <c r="BX57" s="7">
        <v>2.13</v>
      </c>
      <c r="BY57" s="7">
        <v>1.42</v>
      </c>
      <c r="BZ57" s="7">
        <v>1.8399999999999999</v>
      </c>
      <c r="CA57" s="7">
        <v>1.4</v>
      </c>
      <c r="CB57" s="7">
        <v>1.59</v>
      </c>
      <c r="CC57" s="7">
        <v>1.39</v>
      </c>
      <c r="CD57" s="7">
        <v>1.9</v>
      </c>
      <c r="CE57" s="7">
        <v>1.5799999999999998</v>
      </c>
      <c r="CF57" s="7">
        <v>1.64</v>
      </c>
      <c r="CG57" s="7">
        <v>1.38</v>
      </c>
      <c r="CH57" s="7"/>
    </row>
    <row r="58" spans="1:86" ht="15.75" customHeight="1" x14ac:dyDescent="0.25">
      <c r="A58" s="4">
        <v>57</v>
      </c>
      <c r="B58" s="2"/>
      <c r="C58" s="4">
        <v>26</v>
      </c>
      <c r="D58" s="6">
        <v>1.93</v>
      </c>
      <c r="E58" s="6">
        <v>1.38</v>
      </c>
      <c r="F58" s="6">
        <v>1.63</v>
      </c>
      <c r="G58" s="6">
        <v>0.78</v>
      </c>
      <c r="H58" s="6">
        <v>1.08</v>
      </c>
      <c r="I58" s="6">
        <v>1.08</v>
      </c>
      <c r="J58" s="6">
        <v>0.78</v>
      </c>
      <c r="K58" s="6">
        <v>2.08</v>
      </c>
      <c r="L58" s="6">
        <v>3.43</v>
      </c>
      <c r="M58" s="6">
        <v>1.48</v>
      </c>
      <c r="N58" s="6">
        <v>2.23</v>
      </c>
      <c r="O58" s="6">
        <v>1.28</v>
      </c>
      <c r="P58" s="6">
        <v>1.78</v>
      </c>
      <c r="Q58" s="6">
        <v>2.13</v>
      </c>
      <c r="R58" s="6">
        <v>1.03</v>
      </c>
      <c r="S58" s="6">
        <v>1.1299999999999999</v>
      </c>
      <c r="T58" s="6">
        <v>0.66</v>
      </c>
      <c r="U58" s="6">
        <v>1.41</v>
      </c>
      <c r="V58" s="6">
        <v>0.88</v>
      </c>
      <c r="W58" s="6">
        <v>1.1599999999999999</v>
      </c>
      <c r="X58" s="6">
        <v>1.71</v>
      </c>
      <c r="Y58" s="6">
        <v>0.81</v>
      </c>
      <c r="Z58" s="6">
        <v>1.01</v>
      </c>
      <c r="AA58" s="6">
        <v>1.1499999999999999</v>
      </c>
      <c r="AB58" s="6">
        <v>1.5</v>
      </c>
      <c r="AC58" s="6">
        <v>1.19</v>
      </c>
      <c r="AD58" s="6">
        <v>1.64</v>
      </c>
      <c r="AE58" s="6">
        <v>2.2200000000000002</v>
      </c>
      <c r="AF58" s="6">
        <v>1.73</v>
      </c>
      <c r="AG58" s="6">
        <v>1.89</v>
      </c>
      <c r="AH58" s="6">
        <v>0.89</v>
      </c>
      <c r="AI58" s="6">
        <v>1.29</v>
      </c>
      <c r="AJ58" s="6">
        <v>1.1499999999999999</v>
      </c>
      <c r="AK58" s="6">
        <v>1.51</v>
      </c>
      <c r="AL58" s="6">
        <v>0.79</v>
      </c>
      <c r="AM58" s="6">
        <v>1.19</v>
      </c>
      <c r="AN58" s="6">
        <v>1.01</v>
      </c>
      <c r="AO58" s="6">
        <v>1.01</v>
      </c>
      <c r="AP58" s="6">
        <v>0.8</v>
      </c>
      <c r="AQ58" s="6">
        <v>1.62</v>
      </c>
      <c r="AR58" s="6">
        <v>0.7</v>
      </c>
      <c r="AS58" s="6">
        <v>1.41</v>
      </c>
      <c r="AT58" s="6">
        <v>1.08</v>
      </c>
      <c r="AU58" s="6">
        <v>1.39</v>
      </c>
      <c r="AV58" s="6">
        <v>1.81</v>
      </c>
      <c r="AW58" s="6">
        <v>1.45</v>
      </c>
      <c r="AX58" s="6">
        <v>1.92</v>
      </c>
      <c r="AY58" s="6">
        <v>2.42</v>
      </c>
      <c r="AZ58" s="6">
        <v>1.39</v>
      </c>
      <c r="BA58" s="6">
        <v>1.87</v>
      </c>
      <c r="BB58" s="6">
        <v>1.7</v>
      </c>
      <c r="BC58" s="6">
        <v>1.68</v>
      </c>
      <c r="BD58" s="6">
        <v>1.4053599999999999</v>
      </c>
      <c r="BE58" s="6">
        <v>2.48</v>
      </c>
      <c r="BF58" s="6">
        <v>2.62</v>
      </c>
      <c r="BG58" s="6">
        <v>1.43</v>
      </c>
      <c r="BH58" s="6">
        <v>2.72</v>
      </c>
      <c r="BI58" s="7">
        <v>1.45</v>
      </c>
      <c r="BJ58" s="7">
        <v>1.47</v>
      </c>
      <c r="BK58" s="7">
        <v>1.65</v>
      </c>
      <c r="BL58" s="7">
        <v>1.29</v>
      </c>
      <c r="BM58" s="7">
        <v>1.59</v>
      </c>
      <c r="BN58" s="7">
        <v>2.4500000000000002</v>
      </c>
      <c r="BO58" s="7">
        <v>2.66</v>
      </c>
      <c r="BP58" s="7">
        <v>1.54</v>
      </c>
      <c r="BQ58" s="7">
        <v>2.0299999999999998</v>
      </c>
      <c r="BR58" s="7">
        <v>2.61</v>
      </c>
      <c r="BS58" s="7">
        <v>1.23</v>
      </c>
      <c r="BT58" s="7">
        <v>1.85</v>
      </c>
      <c r="BU58" s="7">
        <v>2.4700000000000002</v>
      </c>
      <c r="BV58" s="7">
        <v>2.0300000000000002</v>
      </c>
      <c r="BW58" s="7">
        <v>1.5799999999999998</v>
      </c>
      <c r="BX58" s="7">
        <v>2.12</v>
      </c>
      <c r="BY58" s="7">
        <v>1.42</v>
      </c>
      <c r="BZ58" s="7">
        <v>1.92</v>
      </c>
      <c r="CA58" s="7">
        <v>1.38</v>
      </c>
      <c r="CB58" s="7">
        <v>1.56</v>
      </c>
      <c r="CC58" s="7">
        <v>1.38</v>
      </c>
      <c r="CD58" s="7">
        <v>2</v>
      </c>
      <c r="CE58" s="7">
        <v>1.5599999999999998</v>
      </c>
      <c r="CF58" s="7">
        <v>1.49</v>
      </c>
      <c r="CG58" s="7">
        <v>1.39</v>
      </c>
      <c r="CH58" s="7"/>
    </row>
    <row r="59" spans="1:86" ht="15.75" customHeight="1" x14ac:dyDescent="0.25">
      <c r="A59" s="4">
        <v>58</v>
      </c>
      <c r="B59" s="2"/>
      <c r="C59" s="4">
        <v>27</v>
      </c>
      <c r="D59" s="6">
        <v>1.88</v>
      </c>
      <c r="E59" s="6">
        <v>1.38</v>
      </c>
      <c r="F59" s="6">
        <v>1.68</v>
      </c>
      <c r="G59" s="6">
        <v>0.73</v>
      </c>
      <c r="H59" s="6">
        <v>1.08</v>
      </c>
      <c r="I59" s="6">
        <v>1.08</v>
      </c>
      <c r="J59" s="6">
        <v>0.88</v>
      </c>
      <c r="K59" s="6">
        <v>2.0299999999999998</v>
      </c>
      <c r="L59" s="6">
        <v>3.43</v>
      </c>
      <c r="M59" s="6">
        <v>1.53</v>
      </c>
      <c r="N59" s="6">
        <v>2.1800000000000002</v>
      </c>
      <c r="O59" s="6">
        <v>1.23</v>
      </c>
      <c r="P59" s="6">
        <v>1.83</v>
      </c>
      <c r="Q59" s="6">
        <v>2.13</v>
      </c>
      <c r="R59" s="6">
        <v>1.1299999999999999</v>
      </c>
      <c r="S59" s="6">
        <v>1.1299999999999999</v>
      </c>
      <c r="T59" s="6">
        <v>0.66</v>
      </c>
      <c r="U59" s="6">
        <v>1.41</v>
      </c>
      <c r="V59" s="6">
        <v>0.86</v>
      </c>
      <c r="W59" s="6">
        <v>1.07</v>
      </c>
      <c r="X59" s="6">
        <v>1.71</v>
      </c>
      <c r="Y59" s="6">
        <v>0.86</v>
      </c>
      <c r="Z59" s="6">
        <v>0.99</v>
      </c>
      <c r="AA59" s="6">
        <v>1.1100000000000001</v>
      </c>
      <c r="AB59" s="6">
        <v>1.51</v>
      </c>
      <c r="AC59" s="6">
        <v>1.1599999999999999</v>
      </c>
      <c r="AD59" s="6">
        <v>1.63</v>
      </c>
      <c r="AE59" s="6">
        <v>2.1800000000000002</v>
      </c>
      <c r="AF59" s="6">
        <v>1.55</v>
      </c>
      <c r="AG59" s="6">
        <v>1.83</v>
      </c>
      <c r="AH59" s="6">
        <v>0.82</v>
      </c>
      <c r="AI59" s="6">
        <v>1.19</v>
      </c>
      <c r="AJ59" s="6">
        <v>1.1399999999999999</v>
      </c>
      <c r="AK59" s="6">
        <v>1.79</v>
      </c>
      <c r="AL59" s="6">
        <v>0.71</v>
      </c>
      <c r="AM59" s="6">
        <v>1.17</v>
      </c>
      <c r="AN59" s="6">
        <v>1.03</v>
      </c>
      <c r="AO59" s="6">
        <v>1.06</v>
      </c>
      <c r="AP59" s="6">
        <v>0.76</v>
      </c>
      <c r="AQ59" s="6">
        <v>1.69</v>
      </c>
      <c r="AR59" s="6">
        <v>0.75</v>
      </c>
      <c r="AS59" s="6">
        <v>1.36</v>
      </c>
      <c r="AT59" s="6">
        <v>1.06</v>
      </c>
      <c r="AU59" s="6">
        <v>1.4</v>
      </c>
      <c r="AV59" s="6">
        <v>1.91</v>
      </c>
      <c r="AW59" s="6">
        <v>1.41</v>
      </c>
      <c r="AX59" s="6">
        <v>1.83</v>
      </c>
      <c r="AY59" s="6">
        <v>2.29</v>
      </c>
      <c r="AZ59" s="6">
        <v>1.48</v>
      </c>
      <c r="BA59" s="6">
        <v>1.82</v>
      </c>
      <c r="BB59" s="6"/>
      <c r="BC59" s="6">
        <v>1.67</v>
      </c>
      <c r="BD59" s="6">
        <v>1.3748800000000001</v>
      </c>
      <c r="BE59" s="6">
        <v>2.2400000000000002</v>
      </c>
      <c r="BF59" s="6">
        <v>2.68</v>
      </c>
      <c r="BG59" s="6">
        <v>1.52</v>
      </c>
      <c r="BH59" s="6">
        <v>2.75</v>
      </c>
      <c r="BI59" s="7">
        <v>1.37</v>
      </c>
      <c r="BJ59" s="7">
        <v>1.49</v>
      </c>
      <c r="BK59" s="7">
        <v>1.66</v>
      </c>
      <c r="BL59" s="7">
        <v>1.25</v>
      </c>
      <c r="BM59" s="7">
        <v>1.56</v>
      </c>
      <c r="BN59" s="7">
        <v>2.4900000000000002</v>
      </c>
      <c r="BO59" s="7">
        <v>2.61</v>
      </c>
      <c r="BP59" s="7">
        <v>1.53</v>
      </c>
      <c r="BQ59" s="7">
        <v>2.0299999999999998</v>
      </c>
      <c r="BR59" s="7">
        <v>2.57</v>
      </c>
      <c r="BS59" s="7">
        <v>1.31</v>
      </c>
      <c r="BT59" s="7">
        <v>1.74</v>
      </c>
      <c r="BU59" s="7">
        <v>2.4300000000000002</v>
      </c>
      <c r="BV59" s="7">
        <v>2.09</v>
      </c>
      <c r="BW59" s="7">
        <v>1.6099999999999999</v>
      </c>
      <c r="BX59" s="7">
        <v>2.0500000000000003</v>
      </c>
      <c r="BY59" s="7">
        <v>1.42</v>
      </c>
      <c r="BZ59" s="7">
        <v>2.0300000000000002</v>
      </c>
      <c r="CA59" s="7">
        <v>1.38</v>
      </c>
      <c r="CB59" s="7">
        <v>1.49</v>
      </c>
      <c r="CC59" s="7">
        <v>1.38</v>
      </c>
      <c r="CD59" s="7">
        <v>2.1</v>
      </c>
      <c r="CE59" s="7">
        <v>1.5799999999999998</v>
      </c>
      <c r="CF59" s="7">
        <v>1.43</v>
      </c>
      <c r="CG59" s="7">
        <v>1.35</v>
      </c>
      <c r="CH59" s="7"/>
    </row>
    <row r="60" spans="1:86" ht="15.75" customHeight="1" x14ac:dyDescent="0.25">
      <c r="A60" s="4">
        <v>59</v>
      </c>
      <c r="B60" s="2"/>
      <c r="C60" s="4">
        <v>28</v>
      </c>
      <c r="D60" s="6">
        <v>1.88</v>
      </c>
      <c r="E60" s="6">
        <v>1.33</v>
      </c>
      <c r="F60" s="6">
        <v>1.63</v>
      </c>
      <c r="G60" s="6">
        <v>0.73</v>
      </c>
      <c r="H60" s="6">
        <v>1.08</v>
      </c>
      <c r="I60" s="6">
        <v>1.08</v>
      </c>
      <c r="J60" s="6">
        <v>0.98</v>
      </c>
      <c r="K60" s="6">
        <v>1.93</v>
      </c>
      <c r="L60" s="6">
        <v>3.43</v>
      </c>
      <c r="M60" s="6">
        <v>1.43</v>
      </c>
      <c r="N60" s="6">
        <v>2.13</v>
      </c>
      <c r="O60" s="6">
        <v>1.1299999999999999</v>
      </c>
      <c r="P60" s="6">
        <v>1.83</v>
      </c>
      <c r="Q60" s="6">
        <v>2.1800000000000002</v>
      </c>
      <c r="R60" s="6">
        <v>1.23</v>
      </c>
      <c r="S60" s="6">
        <v>1.08</v>
      </c>
      <c r="T60" s="6">
        <v>0.66</v>
      </c>
      <c r="U60" s="6">
        <v>1.41</v>
      </c>
      <c r="V60" s="6">
        <v>0.91</v>
      </c>
      <c r="W60" s="6">
        <v>1.0900000000000001</v>
      </c>
      <c r="X60" s="6">
        <v>1.61</v>
      </c>
      <c r="Y60" s="6">
        <v>0.93</v>
      </c>
      <c r="Z60" s="6">
        <v>0.99</v>
      </c>
      <c r="AA60" s="6">
        <v>1.04</v>
      </c>
      <c r="AB60" s="6">
        <v>1.49</v>
      </c>
      <c r="AC60" s="6">
        <v>1.1200000000000001</v>
      </c>
      <c r="AD60" s="6">
        <v>1.67</v>
      </c>
      <c r="AE60" s="6">
        <v>1.99</v>
      </c>
      <c r="AF60" s="6">
        <v>1.51</v>
      </c>
      <c r="AG60" s="6">
        <v>1.76</v>
      </c>
      <c r="AH60" s="6">
        <v>0.82</v>
      </c>
      <c r="AI60" s="6">
        <v>1.1499999999999999</v>
      </c>
      <c r="AJ60" s="6">
        <v>1.1100000000000001</v>
      </c>
      <c r="AK60" s="6">
        <v>1.69</v>
      </c>
      <c r="AL60" s="6">
        <v>0.7</v>
      </c>
      <c r="AM60" s="6">
        <v>1.0900000000000001</v>
      </c>
      <c r="AN60" s="6">
        <v>1.03</v>
      </c>
      <c r="AO60" s="6">
        <v>1.07</v>
      </c>
      <c r="AP60" s="6">
        <v>0.71</v>
      </c>
      <c r="AQ60" s="6">
        <v>1.7</v>
      </c>
      <c r="AR60" s="6">
        <v>0.8</v>
      </c>
      <c r="AS60" s="6">
        <v>1.44</v>
      </c>
      <c r="AT60" s="6">
        <v>1.05</v>
      </c>
      <c r="AU60" s="6">
        <v>1.39</v>
      </c>
      <c r="AV60" s="6">
        <v>1.99</v>
      </c>
      <c r="AW60" s="6">
        <v>1.37</v>
      </c>
      <c r="AX60" s="6">
        <v>1.83</v>
      </c>
      <c r="AY60" s="6">
        <v>2.37</v>
      </c>
      <c r="AZ60" s="6">
        <v>1.54</v>
      </c>
      <c r="BA60" s="6">
        <v>1.81</v>
      </c>
      <c r="BB60" s="6"/>
      <c r="BC60" s="6">
        <v>1.59</v>
      </c>
      <c r="BD60" s="6">
        <v>1.3748800000000001</v>
      </c>
      <c r="BE60" s="6">
        <v>2.27</v>
      </c>
      <c r="BF60" s="6">
        <v>2.74</v>
      </c>
      <c r="BG60" s="6">
        <v>1.52</v>
      </c>
      <c r="BH60" s="6">
        <v>2.9</v>
      </c>
      <c r="BI60" s="7">
        <v>1.39</v>
      </c>
      <c r="BJ60" s="7">
        <v>1.47</v>
      </c>
      <c r="BK60" s="7">
        <v>1.7</v>
      </c>
      <c r="BL60" s="7">
        <v>1.2</v>
      </c>
      <c r="BM60" s="7">
        <v>1.52</v>
      </c>
      <c r="BN60" s="7">
        <v>2.44</v>
      </c>
      <c r="BO60" s="7">
        <v>2.54</v>
      </c>
      <c r="BP60" s="7">
        <v>1.52</v>
      </c>
      <c r="BQ60" s="7">
        <v>2.0299999999999998</v>
      </c>
      <c r="BR60" s="7">
        <v>2.4900000000000002</v>
      </c>
      <c r="BS60" s="7">
        <v>1.35</v>
      </c>
      <c r="BT60" s="7">
        <v>1.76</v>
      </c>
      <c r="BU60" s="7">
        <v>2.33</v>
      </c>
      <c r="BV60" s="7">
        <v>2.11</v>
      </c>
      <c r="BW60" s="7">
        <v>1.63</v>
      </c>
      <c r="BX60" s="7">
        <v>1.96</v>
      </c>
      <c r="BY60" s="7">
        <v>1.34</v>
      </c>
      <c r="BZ60" s="7">
        <v>1.91</v>
      </c>
      <c r="CA60" s="7">
        <v>1.36</v>
      </c>
      <c r="CB60" s="7">
        <v>1.44</v>
      </c>
      <c r="CC60" s="7">
        <v>1.37</v>
      </c>
      <c r="CD60" s="7">
        <v>2.09</v>
      </c>
      <c r="CE60" s="7">
        <v>1.5799999999999998</v>
      </c>
      <c r="CF60" s="7">
        <v>1.37</v>
      </c>
      <c r="CG60" s="7">
        <v>1.32</v>
      </c>
      <c r="CH60" s="7"/>
    </row>
    <row r="61" spans="1:86" ht="15.75" customHeight="1" x14ac:dyDescent="0.25">
      <c r="A61" s="4"/>
      <c r="B61" s="2"/>
      <c r="C61" s="4">
        <v>29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>
        <v>1.31</v>
      </c>
      <c r="CH61" s="7"/>
    </row>
    <row r="62" spans="1:86" ht="15.75" customHeight="1" x14ac:dyDescent="0.25">
      <c r="A62" s="4">
        <v>60</v>
      </c>
      <c r="B62" s="2" t="s">
        <v>5</v>
      </c>
      <c r="C62" s="4">
        <v>1</v>
      </c>
      <c r="D62" s="6">
        <v>1.78</v>
      </c>
      <c r="E62" s="6">
        <v>1.18</v>
      </c>
      <c r="F62" s="6">
        <v>1.58</v>
      </c>
      <c r="G62" s="6">
        <v>0.78</v>
      </c>
      <c r="H62" s="6">
        <v>0.98</v>
      </c>
      <c r="I62" s="6">
        <v>0.68</v>
      </c>
      <c r="J62" s="6">
        <v>1.1299999999999999</v>
      </c>
      <c r="K62" s="6">
        <v>1.93</v>
      </c>
      <c r="L62" s="6">
        <v>3.38</v>
      </c>
      <c r="M62" s="6">
        <v>1.31</v>
      </c>
      <c r="N62" s="6">
        <v>2.13</v>
      </c>
      <c r="O62" s="6">
        <v>1.05</v>
      </c>
      <c r="P62" s="6">
        <v>1.88</v>
      </c>
      <c r="Q62" s="6">
        <v>2.1800000000000002</v>
      </c>
      <c r="R62" s="6">
        <v>1.33</v>
      </c>
      <c r="S62" s="6">
        <v>0.93</v>
      </c>
      <c r="T62" s="6">
        <v>0.96</v>
      </c>
      <c r="U62" s="6">
        <v>1.41</v>
      </c>
      <c r="V62" s="6">
        <v>1.01</v>
      </c>
      <c r="W62" s="6">
        <v>1.01</v>
      </c>
      <c r="X62" s="6">
        <v>1.68</v>
      </c>
      <c r="Y62" s="6">
        <v>0.76</v>
      </c>
      <c r="Z62" s="6">
        <v>0.88</v>
      </c>
      <c r="AA62" s="6">
        <v>1.08</v>
      </c>
      <c r="AB62" s="6">
        <v>1.46</v>
      </c>
      <c r="AC62" s="6">
        <v>1.03</v>
      </c>
      <c r="AD62" s="6">
        <v>1.62</v>
      </c>
      <c r="AE62" s="6">
        <v>1.87</v>
      </c>
      <c r="AF62" s="6">
        <v>1.43</v>
      </c>
      <c r="AG62" s="6">
        <v>2</v>
      </c>
      <c r="AH62" s="6">
        <v>0.81</v>
      </c>
      <c r="AI62" s="6">
        <v>1.1599999999999999</v>
      </c>
      <c r="AJ62" s="6">
        <v>1.1000000000000001</v>
      </c>
      <c r="AK62" s="6">
        <v>1.67</v>
      </c>
      <c r="AL62" s="6">
        <v>0.83</v>
      </c>
      <c r="AM62" s="6">
        <v>1.0900000000000001</v>
      </c>
      <c r="AN62" s="6">
        <v>1.05</v>
      </c>
      <c r="AO62" s="6">
        <v>1.03</v>
      </c>
      <c r="AP62" s="6">
        <v>0.8</v>
      </c>
      <c r="AQ62" s="6">
        <v>1.66</v>
      </c>
      <c r="AR62" s="6">
        <v>0.78</v>
      </c>
      <c r="AS62" s="6">
        <v>1.64</v>
      </c>
      <c r="AT62" s="6">
        <v>0.99</v>
      </c>
      <c r="AU62" s="6">
        <v>1.41</v>
      </c>
      <c r="AV62" s="6">
        <v>1.97</v>
      </c>
      <c r="AW62" s="6">
        <v>1.33</v>
      </c>
      <c r="AX62" s="6">
        <v>1.73</v>
      </c>
      <c r="AY62" s="6">
        <v>2.3199999999999998</v>
      </c>
      <c r="AZ62" s="6">
        <v>1.61</v>
      </c>
      <c r="BA62" s="6">
        <v>1.78</v>
      </c>
      <c r="BB62" s="6">
        <v>1.49</v>
      </c>
      <c r="BC62" s="6">
        <v>1.59</v>
      </c>
      <c r="BD62" s="6">
        <v>1.3748800000000001</v>
      </c>
      <c r="BE62" s="6">
        <v>2.2599999999999998</v>
      </c>
      <c r="BF62" s="6">
        <v>2.74</v>
      </c>
      <c r="BG62" s="6">
        <v>1.64</v>
      </c>
      <c r="BH62" s="6">
        <v>3.05</v>
      </c>
      <c r="BI62" s="7">
        <v>1.37</v>
      </c>
      <c r="BJ62" s="7">
        <v>1.44</v>
      </c>
      <c r="BK62" s="7">
        <v>1.7</v>
      </c>
      <c r="BL62" s="7">
        <v>1.28</v>
      </c>
      <c r="BM62" s="7">
        <v>1.31</v>
      </c>
      <c r="BN62" s="7">
        <v>2.4</v>
      </c>
      <c r="BO62" s="7">
        <v>2.57</v>
      </c>
      <c r="BP62" s="7">
        <v>1.53</v>
      </c>
      <c r="BQ62" s="7">
        <v>2.0099999999999998</v>
      </c>
      <c r="BR62" s="7">
        <v>2.44</v>
      </c>
      <c r="BS62" s="7">
        <v>1.42</v>
      </c>
      <c r="BT62" s="7">
        <v>1.79</v>
      </c>
      <c r="BU62" s="7">
        <v>2.2599999999999998</v>
      </c>
      <c r="BV62" s="7">
        <v>2.08</v>
      </c>
      <c r="BW62" s="7">
        <v>1.6099999999999999</v>
      </c>
      <c r="BX62" s="7">
        <v>1.88</v>
      </c>
      <c r="BY62" s="7">
        <v>1.3699999999999999</v>
      </c>
      <c r="BZ62" s="7">
        <v>2</v>
      </c>
      <c r="CA62" s="7">
        <v>1.5</v>
      </c>
      <c r="CB62" s="7">
        <v>1.38</v>
      </c>
      <c r="CC62" s="7">
        <v>1.37</v>
      </c>
      <c r="CD62" s="7">
        <v>1.93</v>
      </c>
      <c r="CE62" s="7">
        <v>1.65</v>
      </c>
      <c r="CF62" s="7">
        <v>1.33</v>
      </c>
      <c r="CG62" s="7">
        <v>1.25</v>
      </c>
      <c r="CH62" s="7"/>
    </row>
    <row r="63" spans="1:86" ht="15.75" customHeight="1" x14ac:dyDescent="0.25">
      <c r="A63" s="4">
        <v>61</v>
      </c>
      <c r="B63" s="2"/>
      <c r="C63" s="4">
        <v>2</v>
      </c>
      <c r="D63" s="6">
        <v>1.83</v>
      </c>
      <c r="E63" s="6">
        <v>1.03</v>
      </c>
      <c r="F63" s="6">
        <v>1.48</v>
      </c>
      <c r="G63" s="6">
        <v>0.83</v>
      </c>
      <c r="H63" s="6">
        <v>0.88</v>
      </c>
      <c r="I63" s="6">
        <v>0.68</v>
      </c>
      <c r="J63" s="6">
        <v>1.23</v>
      </c>
      <c r="K63" s="6">
        <v>1.93</v>
      </c>
      <c r="L63" s="6">
        <v>3.33</v>
      </c>
      <c r="M63" s="6">
        <v>1.19</v>
      </c>
      <c r="N63" s="6">
        <v>2.13</v>
      </c>
      <c r="O63" s="6">
        <v>1.08</v>
      </c>
      <c r="P63" s="6">
        <v>1.91</v>
      </c>
      <c r="Q63" s="6">
        <v>2.13</v>
      </c>
      <c r="R63" s="6">
        <v>1.33</v>
      </c>
      <c r="S63" s="6">
        <v>0.93</v>
      </c>
      <c r="T63" s="6">
        <v>0.91</v>
      </c>
      <c r="U63" s="6">
        <v>1.53</v>
      </c>
      <c r="V63" s="6">
        <v>1.01</v>
      </c>
      <c r="W63" s="6">
        <v>0.99</v>
      </c>
      <c r="X63" s="6">
        <v>1.46</v>
      </c>
      <c r="Y63" s="6">
        <v>0.86</v>
      </c>
      <c r="Z63" s="6">
        <v>1</v>
      </c>
      <c r="AA63" s="6">
        <v>1.01</v>
      </c>
      <c r="AB63" s="6">
        <v>1.42</v>
      </c>
      <c r="AC63" s="6">
        <v>1</v>
      </c>
      <c r="AD63" s="6">
        <v>1.64</v>
      </c>
      <c r="AE63" s="6">
        <v>1.96</v>
      </c>
      <c r="AF63" s="6">
        <v>1.38</v>
      </c>
      <c r="AG63" s="6">
        <v>1.97</v>
      </c>
      <c r="AH63" s="6">
        <v>0.85</v>
      </c>
      <c r="AI63" s="6">
        <v>1.21</v>
      </c>
      <c r="AJ63" s="6">
        <v>1.1000000000000001</v>
      </c>
      <c r="AK63" s="6">
        <v>1.71</v>
      </c>
      <c r="AL63" s="6">
        <v>0.87</v>
      </c>
      <c r="AM63" s="6">
        <v>1.05</v>
      </c>
      <c r="AN63" s="6">
        <v>1.08</v>
      </c>
      <c r="AO63" s="6">
        <v>0.99</v>
      </c>
      <c r="AP63" s="6">
        <v>1</v>
      </c>
      <c r="AQ63" s="6">
        <v>1.67</v>
      </c>
      <c r="AR63" s="6">
        <v>0.78</v>
      </c>
      <c r="AS63" s="6">
        <v>1.56</v>
      </c>
      <c r="AT63" s="6">
        <v>0.95</v>
      </c>
      <c r="AU63" s="6">
        <v>1.35</v>
      </c>
      <c r="AV63" s="6">
        <v>1.91</v>
      </c>
      <c r="AW63" s="6">
        <v>1.36</v>
      </c>
      <c r="AX63" s="6">
        <v>1.62</v>
      </c>
      <c r="AY63" s="6">
        <v>2.27</v>
      </c>
      <c r="AZ63" s="6">
        <v>1.63</v>
      </c>
      <c r="BA63" s="6">
        <v>1.81</v>
      </c>
      <c r="BB63" s="6">
        <v>1.44</v>
      </c>
      <c r="BC63" s="6">
        <v>1.67</v>
      </c>
      <c r="BD63" s="6">
        <v>1.4053599999999999</v>
      </c>
      <c r="BE63" s="6">
        <v>2.2599999999999998</v>
      </c>
      <c r="BF63" s="6">
        <v>2.68</v>
      </c>
      <c r="BG63" s="6">
        <v>1.55</v>
      </c>
      <c r="BH63" s="6">
        <v>3.2</v>
      </c>
      <c r="BI63" s="7">
        <v>1.47</v>
      </c>
      <c r="BJ63" s="7">
        <v>1.44</v>
      </c>
      <c r="BK63" s="7">
        <v>1.71</v>
      </c>
      <c r="BL63" s="7">
        <v>1.31</v>
      </c>
      <c r="BM63" s="7">
        <v>1.28</v>
      </c>
      <c r="BN63" s="7">
        <v>2.3199999999999998</v>
      </c>
      <c r="BO63" s="7">
        <v>2.56</v>
      </c>
      <c r="BP63" s="7">
        <v>1.53</v>
      </c>
      <c r="BQ63" s="7">
        <v>1.97</v>
      </c>
      <c r="BR63" s="7">
        <v>2.39</v>
      </c>
      <c r="BS63" s="7">
        <v>1.48</v>
      </c>
      <c r="BT63" s="7">
        <v>1.79</v>
      </c>
      <c r="BU63" s="7">
        <v>2.23</v>
      </c>
      <c r="BV63" s="7">
        <v>2.04</v>
      </c>
      <c r="BW63" s="7">
        <v>1.63</v>
      </c>
      <c r="BX63" s="7">
        <v>1.8599999999999999</v>
      </c>
      <c r="BY63" s="7">
        <v>1.28</v>
      </c>
      <c r="BZ63" s="7">
        <v>2.0699999999999998</v>
      </c>
      <c r="CA63" s="7">
        <v>1.45</v>
      </c>
      <c r="CB63" s="7">
        <v>1.36</v>
      </c>
      <c r="CC63" s="7">
        <v>1.32</v>
      </c>
      <c r="CD63" s="7">
        <v>1.93</v>
      </c>
      <c r="CE63" s="7">
        <v>1.72</v>
      </c>
      <c r="CF63" s="7">
        <v>1.37</v>
      </c>
      <c r="CG63" s="7">
        <v>1.23</v>
      </c>
      <c r="CH63" s="7"/>
    </row>
    <row r="64" spans="1:86" ht="15.75" customHeight="1" x14ac:dyDescent="0.25">
      <c r="A64" s="4">
        <v>62</v>
      </c>
      <c r="B64" s="2"/>
      <c r="C64" s="4">
        <v>3</v>
      </c>
      <c r="D64" s="6">
        <v>1.83</v>
      </c>
      <c r="E64" s="6">
        <v>0.93</v>
      </c>
      <c r="F64" s="6">
        <v>1.43</v>
      </c>
      <c r="G64" s="6">
        <v>0.93</v>
      </c>
      <c r="H64" s="6">
        <v>0.78</v>
      </c>
      <c r="I64" s="6">
        <v>0.73</v>
      </c>
      <c r="J64" s="6">
        <v>1.28</v>
      </c>
      <c r="K64" s="6">
        <v>1.93</v>
      </c>
      <c r="L64" s="6">
        <v>3.23</v>
      </c>
      <c r="M64" s="6">
        <v>1.03</v>
      </c>
      <c r="N64" s="6">
        <v>2.13</v>
      </c>
      <c r="O64" s="6">
        <v>1.33</v>
      </c>
      <c r="P64" s="6">
        <v>1.93</v>
      </c>
      <c r="Q64" s="6">
        <v>2.08</v>
      </c>
      <c r="R64" s="6">
        <v>1.38</v>
      </c>
      <c r="S64" s="6">
        <v>0.98</v>
      </c>
      <c r="T64" s="6">
        <v>0.61</v>
      </c>
      <c r="U64" s="6">
        <v>1.55</v>
      </c>
      <c r="V64" s="6">
        <v>0.96</v>
      </c>
      <c r="W64" s="6">
        <v>0.86</v>
      </c>
      <c r="X64" s="6">
        <v>1.41</v>
      </c>
      <c r="Y64" s="6">
        <v>0.96</v>
      </c>
      <c r="Z64" s="6">
        <v>1.1000000000000001</v>
      </c>
      <c r="AA64" s="6">
        <v>0.88</v>
      </c>
      <c r="AB64" s="6">
        <v>1.3</v>
      </c>
      <c r="AC64" s="6">
        <v>0.97</v>
      </c>
      <c r="AD64" s="6">
        <v>1.67</v>
      </c>
      <c r="AE64" s="6">
        <v>1.96</v>
      </c>
      <c r="AF64" s="6">
        <v>1.34</v>
      </c>
      <c r="AG64" s="6">
        <v>2.5</v>
      </c>
      <c r="AH64" s="6">
        <v>0.87</v>
      </c>
      <c r="AI64" s="6">
        <v>1.1299999999999999</v>
      </c>
      <c r="AJ64" s="6">
        <v>1.03</v>
      </c>
      <c r="AK64" s="6">
        <v>1.48</v>
      </c>
      <c r="AL64" s="6">
        <v>0.94</v>
      </c>
      <c r="AM64" s="6">
        <v>0.99</v>
      </c>
      <c r="AN64" s="6">
        <v>1</v>
      </c>
      <c r="AO64" s="6">
        <v>0.95</v>
      </c>
      <c r="AP64" s="6">
        <v>1.08</v>
      </c>
      <c r="AQ64" s="6">
        <v>1.66</v>
      </c>
      <c r="AR64" s="6">
        <v>0.77</v>
      </c>
      <c r="AS64" s="6">
        <v>1.56</v>
      </c>
      <c r="AT64" s="6">
        <v>0.96</v>
      </c>
      <c r="AU64" s="6">
        <v>1.3</v>
      </c>
      <c r="AV64" s="6">
        <v>1.86</v>
      </c>
      <c r="AW64" s="6">
        <v>1.36</v>
      </c>
      <c r="AX64" s="6">
        <v>1.58</v>
      </c>
      <c r="AY64" s="6">
        <v>2.17</v>
      </c>
      <c r="AZ64" s="6">
        <v>1.63</v>
      </c>
      <c r="BA64" s="6">
        <v>1.78</v>
      </c>
      <c r="BB64" s="6">
        <v>1.43</v>
      </c>
      <c r="BC64" s="6">
        <v>1.64</v>
      </c>
      <c r="BD64" s="6">
        <v>1.43584</v>
      </c>
      <c r="BE64" s="6">
        <v>2.23</v>
      </c>
      <c r="BF64" s="6">
        <v>2.68</v>
      </c>
      <c r="BG64" s="6">
        <v>1.61</v>
      </c>
      <c r="BH64" s="6">
        <v>3.2</v>
      </c>
      <c r="BI64" s="7">
        <v>1.47</v>
      </c>
      <c r="BJ64" s="7">
        <v>1.4</v>
      </c>
      <c r="BK64" s="7">
        <v>1.7</v>
      </c>
      <c r="BL64" s="7">
        <v>1.35</v>
      </c>
      <c r="BM64" s="7">
        <v>1.37</v>
      </c>
      <c r="BN64" s="7">
        <v>2.27</v>
      </c>
      <c r="BO64" s="7">
        <v>2.5099999999999998</v>
      </c>
      <c r="BP64" s="7">
        <v>1.58</v>
      </c>
      <c r="BQ64" s="7">
        <v>1.88</v>
      </c>
      <c r="BR64" s="7">
        <v>2.38</v>
      </c>
      <c r="BS64" s="7">
        <v>1.55</v>
      </c>
      <c r="BT64" s="7">
        <v>1.86</v>
      </c>
      <c r="BU64" s="7">
        <v>2.25</v>
      </c>
      <c r="BV64" s="7">
        <v>2.0100000000000002</v>
      </c>
      <c r="BW64" s="7">
        <v>1.55</v>
      </c>
      <c r="BX64" s="7">
        <v>1.8599999999999999</v>
      </c>
      <c r="BY64" s="7">
        <v>1.2</v>
      </c>
      <c r="BZ64" s="7">
        <v>2.09</v>
      </c>
      <c r="CA64" s="7">
        <v>1.46</v>
      </c>
      <c r="CB64" s="7">
        <v>1.38</v>
      </c>
      <c r="CC64" s="7">
        <v>1.25</v>
      </c>
      <c r="CD64" s="7">
        <v>1.88</v>
      </c>
      <c r="CE64" s="7">
        <v>1.95</v>
      </c>
      <c r="CF64" s="7">
        <v>1.45</v>
      </c>
      <c r="CG64" s="7">
        <v>1.17</v>
      </c>
      <c r="CH64" s="7"/>
    </row>
    <row r="65" spans="1:86" ht="15.75" customHeight="1" x14ac:dyDescent="0.25">
      <c r="A65" s="4">
        <v>63</v>
      </c>
      <c r="B65" s="2"/>
      <c r="C65" s="4">
        <v>4</v>
      </c>
      <c r="D65" s="6">
        <v>1.83</v>
      </c>
      <c r="E65" s="6">
        <v>0.83</v>
      </c>
      <c r="F65" s="6">
        <v>1.33</v>
      </c>
      <c r="G65" s="6">
        <v>1.03</v>
      </c>
      <c r="H65" s="6">
        <v>0.88</v>
      </c>
      <c r="I65" s="6">
        <v>0.83</v>
      </c>
      <c r="J65" s="6">
        <v>1.23</v>
      </c>
      <c r="K65" s="6">
        <v>1.83</v>
      </c>
      <c r="L65" s="6">
        <v>3.13</v>
      </c>
      <c r="M65" s="6">
        <v>0.91</v>
      </c>
      <c r="N65" s="6">
        <v>2.23</v>
      </c>
      <c r="O65" s="6">
        <v>1.68</v>
      </c>
      <c r="P65" s="6">
        <v>1.95</v>
      </c>
      <c r="Q65" s="6">
        <v>2.08</v>
      </c>
      <c r="R65" s="6">
        <v>1.43</v>
      </c>
      <c r="S65" s="6">
        <v>1.03</v>
      </c>
      <c r="T65" s="6">
        <v>0.66</v>
      </c>
      <c r="U65" s="6">
        <v>1.48</v>
      </c>
      <c r="V65" s="6">
        <v>1.01</v>
      </c>
      <c r="W65" s="6">
        <v>0.99</v>
      </c>
      <c r="X65" s="6">
        <v>1.31</v>
      </c>
      <c r="Y65" s="6">
        <v>0.91</v>
      </c>
      <c r="Z65" s="6">
        <v>1.1200000000000001</v>
      </c>
      <c r="AA65" s="6">
        <v>0.78</v>
      </c>
      <c r="AB65" s="6">
        <v>1.27</v>
      </c>
      <c r="AC65" s="6">
        <v>0.93</v>
      </c>
      <c r="AD65" s="6">
        <v>1.7</v>
      </c>
      <c r="AE65" s="6">
        <v>1.9</v>
      </c>
      <c r="AF65" s="6">
        <v>1.37</v>
      </c>
      <c r="AG65" s="6">
        <v>2.17</v>
      </c>
      <c r="AH65" s="6">
        <v>0.87</v>
      </c>
      <c r="AI65" s="6">
        <v>1.1499999999999999</v>
      </c>
      <c r="AJ65" s="6">
        <v>0.93</v>
      </c>
      <c r="AK65" s="6">
        <v>1.47</v>
      </c>
      <c r="AL65" s="6">
        <v>1.01</v>
      </c>
      <c r="AM65" s="6">
        <v>0.91</v>
      </c>
      <c r="AN65" s="6">
        <v>0.9</v>
      </c>
      <c r="AO65" s="6">
        <v>0.93</v>
      </c>
      <c r="AP65" s="6">
        <v>1.1299999999999999</v>
      </c>
      <c r="AQ65" s="6">
        <v>1.66</v>
      </c>
      <c r="AR65" s="6">
        <v>0.78</v>
      </c>
      <c r="AS65" s="6">
        <v>1.58</v>
      </c>
      <c r="AT65" s="6">
        <v>1.05</v>
      </c>
      <c r="AU65" s="6">
        <v>1.29</v>
      </c>
      <c r="AV65" s="6">
        <v>1.86</v>
      </c>
      <c r="AW65" s="6">
        <v>1.34</v>
      </c>
      <c r="AX65" s="6">
        <v>1.58</v>
      </c>
      <c r="AY65" s="6">
        <v>2.02</v>
      </c>
      <c r="AZ65" s="6">
        <v>1.49</v>
      </c>
      <c r="BA65" s="6">
        <v>1.78</v>
      </c>
      <c r="BB65" s="6">
        <v>1.44</v>
      </c>
      <c r="BC65" s="6">
        <v>1.62</v>
      </c>
      <c r="BD65" s="6">
        <v>1.4053599999999999</v>
      </c>
      <c r="BE65" s="6">
        <v>2.2000000000000002</v>
      </c>
      <c r="BF65" s="6">
        <v>2.62</v>
      </c>
      <c r="BG65" s="6">
        <v>1.61</v>
      </c>
      <c r="BH65" s="6">
        <v>3.2</v>
      </c>
      <c r="BI65" s="7">
        <v>1.51</v>
      </c>
      <c r="BJ65" s="7">
        <v>1.31</v>
      </c>
      <c r="BK65" s="7">
        <v>1.61</v>
      </c>
      <c r="BL65" s="7">
        <v>1.37</v>
      </c>
      <c r="BM65" s="7">
        <v>1.44</v>
      </c>
      <c r="BN65" s="7">
        <v>2.14</v>
      </c>
      <c r="BO65" s="7">
        <v>2.44</v>
      </c>
      <c r="BP65" s="7">
        <v>1.6</v>
      </c>
      <c r="BQ65" s="7">
        <v>1.88</v>
      </c>
      <c r="BR65" s="7">
        <v>2.29</v>
      </c>
      <c r="BS65" s="7">
        <v>1.53</v>
      </c>
      <c r="BT65" s="7">
        <v>1.93</v>
      </c>
      <c r="BU65" s="7">
        <v>2.19</v>
      </c>
      <c r="BV65" s="7">
        <v>2.0500000000000003</v>
      </c>
      <c r="BW65" s="7">
        <v>1.55</v>
      </c>
      <c r="BX65" s="7">
        <v>1.8599999999999999</v>
      </c>
      <c r="BY65" s="7">
        <v>1.18</v>
      </c>
      <c r="BZ65" s="7">
        <v>2.08</v>
      </c>
      <c r="CA65" s="7">
        <v>1.5999999999999999</v>
      </c>
      <c r="CB65" s="7">
        <v>1.3699999999999999</v>
      </c>
      <c r="CC65" s="7">
        <v>1.2</v>
      </c>
      <c r="CD65" s="7">
        <v>1.93</v>
      </c>
      <c r="CE65" s="7">
        <v>2.0699999999999998</v>
      </c>
      <c r="CF65" s="7">
        <v>1.47</v>
      </c>
      <c r="CG65" s="7">
        <v>1.1299999999999999</v>
      </c>
      <c r="CH65" s="7"/>
    </row>
    <row r="66" spans="1:86" ht="15.75" customHeight="1" x14ac:dyDescent="0.25">
      <c r="A66" s="4">
        <v>64</v>
      </c>
      <c r="B66" s="2"/>
      <c r="C66" s="4">
        <v>5</v>
      </c>
      <c r="D66" s="6">
        <v>1.83</v>
      </c>
      <c r="E66" s="6">
        <v>0.83</v>
      </c>
      <c r="F66" s="6">
        <v>1.23</v>
      </c>
      <c r="G66" s="6">
        <v>1.08</v>
      </c>
      <c r="H66" s="6">
        <v>0.93</v>
      </c>
      <c r="I66" s="6">
        <v>0.63</v>
      </c>
      <c r="J66" s="6">
        <v>1.23</v>
      </c>
      <c r="K66" s="6">
        <v>1.9</v>
      </c>
      <c r="L66" s="6">
        <v>3.08</v>
      </c>
      <c r="M66" s="6">
        <v>1.01</v>
      </c>
      <c r="N66" s="6">
        <v>2.33</v>
      </c>
      <c r="O66" s="6">
        <v>1.93</v>
      </c>
      <c r="P66" s="6">
        <v>1.93</v>
      </c>
      <c r="Q66" s="6">
        <v>1.98</v>
      </c>
      <c r="R66" s="6">
        <v>1.43</v>
      </c>
      <c r="S66" s="6">
        <v>1.1299999999999999</v>
      </c>
      <c r="T66" s="6">
        <v>0.51</v>
      </c>
      <c r="U66" s="6">
        <v>1.43</v>
      </c>
      <c r="V66" s="6">
        <v>1.01</v>
      </c>
      <c r="W66" s="6">
        <v>1.1100000000000001</v>
      </c>
      <c r="X66" s="6">
        <v>1.1100000000000001</v>
      </c>
      <c r="Y66" s="6">
        <v>0.89</v>
      </c>
      <c r="Z66" s="6">
        <v>1.1499999999999999</v>
      </c>
      <c r="AA66" s="6">
        <v>0.84</v>
      </c>
      <c r="AB66" s="6">
        <v>1.19</v>
      </c>
      <c r="AC66" s="6">
        <v>0.83</v>
      </c>
      <c r="AD66" s="6">
        <v>1.72</v>
      </c>
      <c r="AE66" s="6">
        <v>1.76</v>
      </c>
      <c r="AF66" s="6">
        <v>1.33</v>
      </c>
      <c r="AG66" s="6">
        <v>1.92</v>
      </c>
      <c r="AH66" s="6">
        <v>0.89</v>
      </c>
      <c r="AI66" s="6">
        <v>1.2</v>
      </c>
      <c r="AJ66" s="6">
        <v>0.81</v>
      </c>
      <c r="AK66" s="6">
        <v>1.55</v>
      </c>
      <c r="AL66" s="6">
        <v>1.0900000000000001</v>
      </c>
      <c r="AM66" s="6">
        <v>0.91</v>
      </c>
      <c r="AN66" s="6">
        <v>0.79</v>
      </c>
      <c r="AO66" s="6">
        <v>0.93</v>
      </c>
      <c r="AP66" s="6">
        <v>1.25</v>
      </c>
      <c r="AQ66" s="6">
        <v>1.62</v>
      </c>
      <c r="AR66" s="6">
        <v>0.76</v>
      </c>
      <c r="AS66" s="6">
        <v>1.53</v>
      </c>
      <c r="AT66" s="6">
        <v>1.0900000000000001</v>
      </c>
      <c r="AU66" s="6">
        <v>1.29</v>
      </c>
      <c r="AV66" s="6">
        <v>1.84</v>
      </c>
      <c r="AW66" s="6">
        <v>1.35</v>
      </c>
      <c r="AX66" s="6">
        <v>1.67</v>
      </c>
      <c r="AY66" s="6">
        <v>1.86</v>
      </c>
      <c r="AZ66" s="6">
        <v>1.47</v>
      </c>
      <c r="BA66" s="6">
        <v>1.78</v>
      </c>
      <c r="BB66" s="6">
        <v>1.52</v>
      </c>
      <c r="BC66" s="6">
        <v>1.56</v>
      </c>
      <c r="BD66" s="6">
        <v>1.3748800000000001</v>
      </c>
      <c r="BE66" s="6">
        <v>2.2799999999999998</v>
      </c>
      <c r="BF66" s="6">
        <v>2.56</v>
      </c>
      <c r="BG66" s="6">
        <v>1.64</v>
      </c>
      <c r="BH66" s="6">
        <v>3.2</v>
      </c>
      <c r="BI66" s="7">
        <v>1.52</v>
      </c>
      <c r="BJ66" s="6">
        <v>1.26</v>
      </c>
      <c r="BK66" s="6">
        <v>1.64</v>
      </c>
      <c r="BL66" s="6">
        <v>1.38</v>
      </c>
      <c r="BM66" s="6">
        <v>1.5</v>
      </c>
      <c r="BN66" s="6">
        <v>2.0699999999999998</v>
      </c>
      <c r="BO66" s="6">
        <v>2.46</v>
      </c>
      <c r="BP66" s="6">
        <v>1.54</v>
      </c>
      <c r="BQ66" s="6">
        <v>2.0299999999999998</v>
      </c>
      <c r="BR66" s="6">
        <v>2.25</v>
      </c>
      <c r="BS66" s="6">
        <v>1.47</v>
      </c>
      <c r="BT66" s="6">
        <v>1.95</v>
      </c>
      <c r="BU66" s="6">
        <v>2.1800000000000002</v>
      </c>
      <c r="BV66" s="6">
        <v>2.0699999999999998</v>
      </c>
      <c r="BW66" s="6">
        <v>1.51</v>
      </c>
      <c r="BX66" s="6">
        <v>1.88</v>
      </c>
      <c r="BY66" s="6">
        <v>1.1599999999999999</v>
      </c>
      <c r="BZ66" s="6">
        <v>2.11</v>
      </c>
      <c r="CA66" s="6">
        <v>1.53</v>
      </c>
      <c r="CB66" s="6">
        <v>1.4</v>
      </c>
      <c r="CC66" s="6">
        <v>1.1100000000000001</v>
      </c>
      <c r="CD66" s="6">
        <v>1.88</v>
      </c>
      <c r="CE66" s="6">
        <v>2.13</v>
      </c>
      <c r="CF66" s="6">
        <v>1.45</v>
      </c>
      <c r="CG66" s="6">
        <v>1.08</v>
      </c>
      <c r="CH66" s="6"/>
    </row>
    <row r="67" spans="1:86" ht="15.75" customHeight="1" x14ac:dyDescent="0.25">
      <c r="A67" s="4">
        <v>65</v>
      </c>
      <c r="B67" s="2"/>
      <c r="C67" s="4">
        <v>6</v>
      </c>
      <c r="D67" s="6">
        <v>1.83</v>
      </c>
      <c r="E67" s="6">
        <v>0.78</v>
      </c>
      <c r="F67" s="6">
        <v>1.23</v>
      </c>
      <c r="G67" s="6">
        <v>1.1299999999999999</v>
      </c>
      <c r="H67" s="6">
        <v>0.98</v>
      </c>
      <c r="I67" s="6">
        <v>0.73</v>
      </c>
      <c r="J67" s="6">
        <v>1.18</v>
      </c>
      <c r="K67" s="6">
        <v>1.98</v>
      </c>
      <c r="L67" s="6">
        <v>3.03</v>
      </c>
      <c r="M67" s="6">
        <v>0.82</v>
      </c>
      <c r="N67" s="6">
        <v>2.2799999999999998</v>
      </c>
      <c r="O67" s="6">
        <v>2.0299999999999998</v>
      </c>
      <c r="P67" s="6">
        <v>1.98</v>
      </c>
      <c r="Q67" s="6">
        <v>1.89</v>
      </c>
      <c r="R67" s="6">
        <v>1.43</v>
      </c>
      <c r="S67" s="6">
        <v>1.23</v>
      </c>
      <c r="T67" s="6">
        <v>0.46</v>
      </c>
      <c r="U67" s="6">
        <v>1.38</v>
      </c>
      <c r="V67" s="6">
        <v>1.01</v>
      </c>
      <c r="W67" s="6">
        <v>1.21</v>
      </c>
      <c r="X67" s="6">
        <v>1.01</v>
      </c>
      <c r="Y67" s="6">
        <v>0.91</v>
      </c>
      <c r="Z67" s="6">
        <v>1.2</v>
      </c>
      <c r="AA67" s="6">
        <v>0.93</v>
      </c>
      <c r="AB67" s="6">
        <v>1.1499999999999999</v>
      </c>
      <c r="AC67" s="6">
        <v>0.82</v>
      </c>
      <c r="AD67" s="6">
        <v>1.76</v>
      </c>
      <c r="AE67" s="6">
        <v>1.7</v>
      </c>
      <c r="AF67" s="6">
        <v>1.37</v>
      </c>
      <c r="AG67" s="6">
        <v>1.83</v>
      </c>
      <c r="AH67" s="6">
        <v>0.99</v>
      </c>
      <c r="AI67" s="6">
        <v>1.21</v>
      </c>
      <c r="AJ67" s="6">
        <v>0.8</v>
      </c>
      <c r="AK67" s="6">
        <v>1.51</v>
      </c>
      <c r="AL67" s="6">
        <v>1.07</v>
      </c>
      <c r="AM67" s="6">
        <v>0.88</v>
      </c>
      <c r="AN67" s="6">
        <v>0.77</v>
      </c>
      <c r="AO67" s="6">
        <v>0.93</v>
      </c>
      <c r="AP67" s="6">
        <v>1.39</v>
      </c>
      <c r="AQ67" s="6">
        <v>1.58</v>
      </c>
      <c r="AR67" s="6">
        <v>0.77</v>
      </c>
      <c r="AS67" s="6">
        <v>1.54</v>
      </c>
      <c r="AT67" s="6">
        <v>1.1399999999999999</v>
      </c>
      <c r="AU67" s="6">
        <v>1.28</v>
      </c>
      <c r="AV67" s="6">
        <v>1.83</v>
      </c>
      <c r="AW67" s="6">
        <v>1.27</v>
      </c>
      <c r="AX67" s="6">
        <v>1.71</v>
      </c>
      <c r="AY67" s="6">
        <v>1.82</v>
      </c>
      <c r="AZ67" s="6">
        <v>1.44</v>
      </c>
      <c r="BA67" s="6">
        <v>1.86</v>
      </c>
      <c r="BB67" s="6">
        <v>1.51</v>
      </c>
      <c r="BC67" s="6">
        <v>1.43</v>
      </c>
      <c r="BD67" s="6">
        <v>1.3444</v>
      </c>
      <c r="BE67" s="6">
        <v>2.2799999999999998</v>
      </c>
      <c r="BF67" s="6">
        <v>2.5299999999999998</v>
      </c>
      <c r="BG67" s="6">
        <v>1.55</v>
      </c>
      <c r="BH67" s="6">
        <v>3.2</v>
      </c>
      <c r="BI67" s="7">
        <v>1.51</v>
      </c>
      <c r="BJ67" s="6">
        <v>1.28</v>
      </c>
      <c r="BK67" s="6">
        <v>1.6</v>
      </c>
      <c r="BL67" s="6">
        <v>1.4</v>
      </c>
      <c r="BM67" s="6">
        <v>1.51</v>
      </c>
      <c r="BN67" s="6">
        <v>2.04</v>
      </c>
      <c r="BO67" s="6">
        <v>2.19</v>
      </c>
      <c r="BP67" s="6">
        <v>1.49</v>
      </c>
      <c r="BQ67" s="6">
        <v>2.0099999999999998</v>
      </c>
      <c r="BR67" s="6">
        <v>2.21</v>
      </c>
      <c r="BS67" s="6">
        <v>1.47</v>
      </c>
      <c r="BT67" s="6">
        <v>1.93</v>
      </c>
      <c r="BU67" s="6">
        <v>2.1800000000000002</v>
      </c>
      <c r="BV67" s="6">
        <v>2.13</v>
      </c>
      <c r="BW67" s="6">
        <v>1.5799999999999998</v>
      </c>
      <c r="BX67" s="6">
        <v>1.98</v>
      </c>
      <c r="BY67" s="6">
        <v>1.2</v>
      </c>
      <c r="BZ67" s="6">
        <v>1.89</v>
      </c>
      <c r="CA67" s="6">
        <v>1.53</v>
      </c>
      <c r="CB67" s="6">
        <v>1.43</v>
      </c>
      <c r="CC67" s="6">
        <v>1.1100000000000001</v>
      </c>
      <c r="CD67" s="6">
        <v>1.88</v>
      </c>
      <c r="CE67" s="6">
        <v>2.11</v>
      </c>
      <c r="CF67" s="6">
        <v>1.44</v>
      </c>
      <c r="CG67" s="6">
        <v>1.04</v>
      </c>
      <c r="CH67" s="6"/>
    </row>
    <row r="68" spans="1:86" ht="15.75" customHeight="1" x14ac:dyDescent="0.25">
      <c r="A68" s="4">
        <v>66</v>
      </c>
      <c r="B68" s="2"/>
      <c r="C68" s="4">
        <v>7</v>
      </c>
      <c r="D68" s="6">
        <v>1.83</v>
      </c>
      <c r="E68" s="6">
        <v>0.88</v>
      </c>
      <c r="F68" s="6">
        <v>1.19</v>
      </c>
      <c r="G68" s="6">
        <v>1.1299999999999999</v>
      </c>
      <c r="H68" s="6">
        <v>1.03</v>
      </c>
      <c r="I68" s="6">
        <v>0.73</v>
      </c>
      <c r="J68" s="6">
        <v>1.08</v>
      </c>
      <c r="K68" s="6">
        <v>1.88</v>
      </c>
      <c r="L68" s="6">
        <v>2.98</v>
      </c>
      <c r="M68" s="6">
        <v>0.89</v>
      </c>
      <c r="N68" s="6">
        <v>2.23</v>
      </c>
      <c r="O68" s="6">
        <v>2.0299999999999998</v>
      </c>
      <c r="P68" s="6">
        <v>1.88</v>
      </c>
      <c r="Q68" s="6">
        <v>1.8</v>
      </c>
      <c r="R68" s="6">
        <v>1.21</v>
      </c>
      <c r="S68" s="6">
        <v>1.38</v>
      </c>
      <c r="T68" s="6">
        <v>0.46</v>
      </c>
      <c r="U68" s="6">
        <v>1.33</v>
      </c>
      <c r="V68" s="6">
        <v>1.06</v>
      </c>
      <c r="W68" s="6">
        <v>1.26</v>
      </c>
      <c r="X68" s="6">
        <v>1.21</v>
      </c>
      <c r="Y68" s="6">
        <v>0.91</v>
      </c>
      <c r="Z68" s="6">
        <v>1.2</v>
      </c>
      <c r="AA68" s="6">
        <v>1.02</v>
      </c>
      <c r="AB68" s="6">
        <v>1.17</v>
      </c>
      <c r="AC68" s="6">
        <v>0.82</v>
      </c>
      <c r="AD68" s="6">
        <v>1.8</v>
      </c>
      <c r="AE68" s="6">
        <v>1.68</v>
      </c>
      <c r="AF68" s="6">
        <v>1.34</v>
      </c>
      <c r="AG68" s="6">
        <v>1.74</v>
      </c>
      <c r="AH68" s="6">
        <v>0.97</v>
      </c>
      <c r="AI68" s="6">
        <v>1.23</v>
      </c>
      <c r="AJ68" s="6">
        <v>0.96</v>
      </c>
      <c r="AK68" s="6">
        <v>1.47</v>
      </c>
      <c r="AL68" s="6">
        <v>1.07</v>
      </c>
      <c r="AM68" s="6">
        <v>0.92</v>
      </c>
      <c r="AN68" s="6">
        <v>0.77</v>
      </c>
      <c r="AO68" s="6">
        <v>0.93</v>
      </c>
      <c r="AP68" s="6">
        <v>1.5</v>
      </c>
      <c r="AQ68" s="6">
        <v>1.48</v>
      </c>
      <c r="AR68" s="6">
        <v>0.76</v>
      </c>
      <c r="AS68" s="6">
        <v>1.58</v>
      </c>
      <c r="AT68" s="6">
        <v>1.19</v>
      </c>
      <c r="AU68" s="6">
        <v>1.37</v>
      </c>
      <c r="AV68" s="6">
        <v>1.78</v>
      </c>
      <c r="AW68" s="6">
        <v>1.17</v>
      </c>
      <c r="AX68" s="6">
        <v>1.7</v>
      </c>
      <c r="AY68" s="6">
        <v>1.77</v>
      </c>
      <c r="AZ68" s="6">
        <v>1.44</v>
      </c>
      <c r="BA68" s="6">
        <v>1.86</v>
      </c>
      <c r="BB68" s="6">
        <v>1.58</v>
      </c>
      <c r="BC68" s="6">
        <v>1.3</v>
      </c>
      <c r="BD68" s="6">
        <v>1.31392</v>
      </c>
      <c r="BE68" s="6">
        <v>2.2799999999999998</v>
      </c>
      <c r="BF68" s="6">
        <v>2.5299999999999998</v>
      </c>
      <c r="BG68" s="6">
        <v>1.46</v>
      </c>
      <c r="BH68" s="6">
        <v>3.2</v>
      </c>
      <c r="BI68" s="7">
        <v>1.56</v>
      </c>
      <c r="BJ68" s="6">
        <v>1.36</v>
      </c>
      <c r="BK68" s="6">
        <v>1.56</v>
      </c>
      <c r="BL68" s="6">
        <v>1.31</v>
      </c>
      <c r="BM68" s="6">
        <v>1.52</v>
      </c>
      <c r="BN68" s="6">
        <v>1.95</v>
      </c>
      <c r="BO68" s="6">
        <v>2.13</v>
      </c>
      <c r="BP68" s="6">
        <v>1.55</v>
      </c>
      <c r="BQ68" s="6">
        <v>2</v>
      </c>
      <c r="BR68" s="6">
        <v>2.17</v>
      </c>
      <c r="BS68" s="6">
        <v>1.38</v>
      </c>
      <c r="BT68" s="6">
        <v>1.92</v>
      </c>
      <c r="BU68" s="6">
        <v>2.2400000000000002</v>
      </c>
      <c r="BV68" s="6">
        <v>2.1</v>
      </c>
      <c r="BW68" s="6">
        <v>1.5799999999999998</v>
      </c>
      <c r="BX68" s="6">
        <v>1.9</v>
      </c>
      <c r="BY68" s="6">
        <v>1.25</v>
      </c>
      <c r="BZ68" s="6">
        <v>1.8399999999999999</v>
      </c>
      <c r="CA68" s="6">
        <v>1.43</v>
      </c>
      <c r="CB68" s="6">
        <v>1.45</v>
      </c>
      <c r="CC68" s="6">
        <v>1.08</v>
      </c>
      <c r="CD68" s="6">
        <v>1.78</v>
      </c>
      <c r="CE68" s="6">
        <v>2.0500000000000003</v>
      </c>
      <c r="CF68" s="6">
        <v>1.55</v>
      </c>
      <c r="CG68" s="6">
        <v>1.18</v>
      </c>
      <c r="CH68" s="6"/>
    </row>
    <row r="69" spans="1:86" ht="15.75" customHeight="1" x14ac:dyDescent="0.25">
      <c r="A69" s="4">
        <v>67</v>
      </c>
      <c r="B69" s="2"/>
      <c r="C69" s="4">
        <v>8</v>
      </c>
      <c r="D69" s="6">
        <v>1.78</v>
      </c>
      <c r="E69" s="6">
        <v>0.83</v>
      </c>
      <c r="F69" s="6">
        <v>1.1299999999999999</v>
      </c>
      <c r="G69" s="6">
        <v>1.08</v>
      </c>
      <c r="H69" s="6">
        <v>1.03</v>
      </c>
      <c r="I69" s="6">
        <v>0.73</v>
      </c>
      <c r="J69" s="6">
        <v>1.03</v>
      </c>
      <c r="K69" s="6">
        <v>1.88</v>
      </c>
      <c r="L69" s="6">
        <v>2.98</v>
      </c>
      <c r="M69" s="6">
        <v>0.89</v>
      </c>
      <c r="N69" s="6">
        <v>2.0299999999999998</v>
      </c>
      <c r="O69" s="6">
        <v>1.98</v>
      </c>
      <c r="P69" s="6">
        <v>1.83</v>
      </c>
      <c r="Q69" s="6">
        <v>1.83</v>
      </c>
      <c r="R69" s="6">
        <v>1.23</v>
      </c>
      <c r="S69" s="6">
        <v>1.38</v>
      </c>
      <c r="T69" s="6">
        <v>0.46</v>
      </c>
      <c r="U69" s="6">
        <v>1.3</v>
      </c>
      <c r="V69" s="6">
        <v>0.96</v>
      </c>
      <c r="W69" s="6">
        <v>1.28</v>
      </c>
      <c r="X69" s="6">
        <v>1.26</v>
      </c>
      <c r="Y69" s="6">
        <v>0.76</v>
      </c>
      <c r="Z69" s="6">
        <v>1.18</v>
      </c>
      <c r="AA69" s="6">
        <v>1.06</v>
      </c>
      <c r="AB69" s="6">
        <v>1.19</v>
      </c>
      <c r="AC69" s="6">
        <v>0.76</v>
      </c>
      <c r="AD69" s="6">
        <v>1.83</v>
      </c>
      <c r="AE69" s="6">
        <v>1.83</v>
      </c>
      <c r="AF69" s="6">
        <v>1.31</v>
      </c>
      <c r="AG69" s="6">
        <v>1.64</v>
      </c>
      <c r="AH69" s="6">
        <v>0.97</v>
      </c>
      <c r="AI69" s="6">
        <v>1.25</v>
      </c>
      <c r="AJ69" s="6">
        <v>0.96</v>
      </c>
      <c r="AK69" s="6">
        <v>1.47</v>
      </c>
      <c r="AL69" s="6">
        <v>1.07</v>
      </c>
      <c r="AM69" s="6">
        <v>1</v>
      </c>
      <c r="AN69" s="6">
        <v>0.73</v>
      </c>
      <c r="AO69" s="6">
        <v>0.95</v>
      </c>
      <c r="AP69" s="6">
        <v>1.6</v>
      </c>
      <c r="AQ69" s="6">
        <v>1.32</v>
      </c>
      <c r="AR69" s="6">
        <v>0.74</v>
      </c>
      <c r="AS69" s="6">
        <v>1.64</v>
      </c>
      <c r="AT69" s="6">
        <v>1.23</v>
      </c>
      <c r="AU69" s="6">
        <v>1.39</v>
      </c>
      <c r="AV69" s="6">
        <v>1.67</v>
      </c>
      <c r="AW69" s="6">
        <v>1.22</v>
      </c>
      <c r="AX69" s="6">
        <v>1.83</v>
      </c>
      <c r="AY69" s="6">
        <v>1.77</v>
      </c>
      <c r="AZ69" s="6">
        <v>1.39</v>
      </c>
      <c r="BA69" s="6">
        <v>1.86</v>
      </c>
      <c r="BB69" s="6">
        <v>1.64</v>
      </c>
      <c r="BC69" s="6">
        <v>1.37</v>
      </c>
      <c r="BD69" s="6">
        <v>1.31392</v>
      </c>
      <c r="BE69" s="6">
        <v>2.2599999999999998</v>
      </c>
      <c r="BF69" s="6">
        <v>2.5299999999999998</v>
      </c>
      <c r="BG69" s="6">
        <v>1.46</v>
      </c>
      <c r="BH69" s="6">
        <v>3.2</v>
      </c>
      <c r="BI69" s="7">
        <v>1.5</v>
      </c>
      <c r="BJ69" s="6">
        <v>1.33</v>
      </c>
      <c r="BK69" s="6">
        <v>1.43</v>
      </c>
      <c r="BL69" s="6">
        <v>1.31</v>
      </c>
      <c r="BM69" s="6">
        <v>1.51</v>
      </c>
      <c r="BN69" s="6">
        <v>1.96</v>
      </c>
      <c r="BO69" s="6">
        <v>2.0099999999999998</v>
      </c>
      <c r="BP69" s="6">
        <v>1.53</v>
      </c>
      <c r="BQ69" s="6">
        <v>2.0499999999999998</v>
      </c>
      <c r="BR69" s="6">
        <v>2.16</v>
      </c>
      <c r="BS69" s="6">
        <v>1.31</v>
      </c>
      <c r="BT69" s="6">
        <v>1.91</v>
      </c>
      <c r="BU69" s="6">
        <v>2.25</v>
      </c>
      <c r="BV69" s="6">
        <v>2.0699999999999998</v>
      </c>
      <c r="BW69" s="6">
        <v>1.5</v>
      </c>
      <c r="BX69" s="6">
        <v>1.8299999999999998</v>
      </c>
      <c r="BY69" s="6">
        <v>1.27</v>
      </c>
      <c r="BZ69" s="6">
        <v>1.79</v>
      </c>
      <c r="CA69" s="6">
        <v>1.42</v>
      </c>
      <c r="CB69" s="6">
        <v>1.1100000000000001</v>
      </c>
      <c r="CC69" s="6">
        <v>1.04</v>
      </c>
      <c r="CD69" s="6">
        <v>1.76</v>
      </c>
      <c r="CE69" s="6">
        <v>1.92</v>
      </c>
      <c r="CF69" s="6">
        <v>1.62</v>
      </c>
      <c r="CG69" s="6">
        <v>1.21</v>
      </c>
      <c r="CH69" s="6"/>
    </row>
    <row r="70" spans="1:86" ht="15.75" customHeight="1" x14ac:dyDescent="0.25">
      <c r="A70" s="4">
        <v>68</v>
      </c>
      <c r="B70" s="2"/>
      <c r="C70" s="4">
        <v>9</v>
      </c>
      <c r="D70" s="6">
        <v>1.73</v>
      </c>
      <c r="E70" s="6">
        <v>0.98</v>
      </c>
      <c r="F70" s="6">
        <v>1.1299999999999999</v>
      </c>
      <c r="G70" s="6">
        <v>1.08</v>
      </c>
      <c r="H70" s="6">
        <v>1.03</v>
      </c>
      <c r="I70" s="6">
        <v>0.88</v>
      </c>
      <c r="J70" s="6">
        <v>0.93</v>
      </c>
      <c r="K70" s="6">
        <v>1.63</v>
      </c>
      <c r="L70" s="6">
        <v>2.98</v>
      </c>
      <c r="M70" s="6">
        <v>0.89</v>
      </c>
      <c r="N70" s="6">
        <v>1.93</v>
      </c>
      <c r="O70" s="6">
        <v>1.73</v>
      </c>
      <c r="P70" s="6">
        <v>1.83</v>
      </c>
      <c r="Q70" s="6">
        <v>1.93</v>
      </c>
      <c r="R70" s="6">
        <v>1.23</v>
      </c>
      <c r="S70" s="6">
        <v>1.38</v>
      </c>
      <c r="T70" s="6">
        <v>0.46</v>
      </c>
      <c r="U70" s="6">
        <v>1.25</v>
      </c>
      <c r="V70" s="6">
        <v>0.91</v>
      </c>
      <c r="W70" s="6">
        <v>1.29</v>
      </c>
      <c r="X70" s="6">
        <v>1.39</v>
      </c>
      <c r="Y70" s="6">
        <v>0.71</v>
      </c>
      <c r="Z70" s="6">
        <v>1.2</v>
      </c>
      <c r="AA70" s="6">
        <v>1.1000000000000001</v>
      </c>
      <c r="AB70" s="6">
        <v>1.21</v>
      </c>
      <c r="AC70" s="6">
        <v>0.73</v>
      </c>
      <c r="AD70" s="6">
        <v>1.82</v>
      </c>
      <c r="AE70" s="6">
        <v>1.79</v>
      </c>
      <c r="AF70" s="6">
        <v>1.37</v>
      </c>
      <c r="AG70" s="6">
        <v>1.58</v>
      </c>
      <c r="AH70" s="6">
        <v>0.91</v>
      </c>
      <c r="AI70" s="6">
        <v>1.23</v>
      </c>
      <c r="AJ70" s="6">
        <v>1</v>
      </c>
      <c r="AK70" s="6">
        <v>1.57</v>
      </c>
      <c r="AL70" s="6">
        <v>1.0900000000000001</v>
      </c>
      <c r="AM70" s="6">
        <v>1</v>
      </c>
      <c r="AN70" s="6">
        <v>0.78</v>
      </c>
      <c r="AO70" s="6">
        <v>0.95</v>
      </c>
      <c r="AP70" s="6">
        <v>1.63</v>
      </c>
      <c r="AQ70" s="6">
        <v>1.44</v>
      </c>
      <c r="AR70" s="6">
        <v>0.77</v>
      </c>
      <c r="AS70" s="6">
        <v>1.63</v>
      </c>
      <c r="AT70" s="6">
        <v>1.19</v>
      </c>
      <c r="AU70" s="6">
        <v>1.41</v>
      </c>
      <c r="AV70" s="6">
        <v>1.6</v>
      </c>
      <c r="AW70" s="6">
        <v>1.17</v>
      </c>
      <c r="AX70" s="6">
        <v>1.92</v>
      </c>
      <c r="AY70" s="6">
        <v>1.75</v>
      </c>
      <c r="AZ70" s="6">
        <v>1.46</v>
      </c>
      <c r="BA70" s="6">
        <v>1.78</v>
      </c>
      <c r="BB70" s="6">
        <v>1.53</v>
      </c>
      <c r="BC70" s="6">
        <v>1.49</v>
      </c>
      <c r="BD70" s="6">
        <v>1.31392</v>
      </c>
      <c r="BE70" s="6">
        <v>2.2599999999999998</v>
      </c>
      <c r="BF70" s="6">
        <v>2.4700000000000002</v>
      </c>
      <c r="BG70" s="6">
        <v>1.46</v>
      </c>
      <c r="BH70" s="6">
        <v>3.2</v>
      </c>
      <c r="BI70" s="7">
        <v>1.59</v>
      </c>
      <c r="BJ70" s="6">
        <v>1.41</v>
      </c>
      <c r="BK70" s="6">
        <v>1.33</v>
      </c>
      <c r="BL70" s="6">
        <v>1.29</v>
      </c>
      <c r="BM70" s="6">
        <v>1.46</v>
      </c>
      <c r="BN70" s="6">
        <v>1.93</v>
      </c>
      <c r="BO70" s="6">
        <v>1.94</v>
      </c>
      <c r="BP70" s="6">
        <v>1.55</v>
      </c>
      <c r="BQ70" s="6">
        <v>2.0499999999999998</v>
      </c>
      <c r="BR70" s="6">
        <v>2.13</v>
      </c>
      <c r="BS70" s="6">
        <v>1.3</v>
      </c>
      <c r="BT70" s="6">
        <v>1.95</v>
      </c>
      <c r="BU70" s="6">
        <v>2.27</v>
      </c>
      <c r="BV70" s="6">
        <v>2.11</v>
      </c>
      <c r="BW70" s="6">
        <v>1.41</v>
      </c>
      <c r="BX70" s="6">
        <v>1.78</v>
      </c>
      <c r="BY70" s="6">
        <v>1.32</v>
      </c>
      <c r="BZ70" s="6">
        <v>1.78</v>
      </c>
      <c r="CA70" s="6">
        <v>1.33</v>
      </c>
      <c r="CB70" s="6">
        <v>1.41</v>
      </c>
      <c r="CC70" s="6">
        <v>1.02</v>
      </c>
      <c r="CD70" s="6">
        <v>1.76</v>
      </c>
      <c r="CE70" s="6">
        <v>1.8</v>
      </c>
      <c r="CF70" s="6">
        <v>1.58</v>
      </c>
      <c r="CG70" s="6">
        <v>1.28</v>
      </c>
      <c r="CH70" s="6"/>
    </row>
    <row r="71" spans="1:86" ht="15.75" customHeight="1" x14ac:dyDescent="0.25">
      <c r="A71" s="4">
        <v>69</v>
      </c>
      <c r="B71" s="2"/>
      <c r="C71" s="4">
        <v>10</v>
      </c>
      <c r="D71" s="6">
        <v>1.73</v>
      </c>
      <c r="E71" s="6">
        <v>1.03</v>
      </c>
      <c r="F71" s="6">
        <v>1.1299999999999999</v>
      </c>
      <c r="G71" s="6">
        <v>0.93</v>
      </c>
      <c r="H71" s="6">
        <v>1.03</v>
      </c>
      <c r="I71" s="6">
        <v>0.88</v>
      </c>
      <c r="J71" s="6">
        <v>0.78</v>
      </c>
      <c r="K71" s="6">
        <v>1.43</v>
      </c>
      <c r="L71" s="6">
        <v>2.88</v>
      </c>
      <c r="M71" s="6">
        <v>0.89</v>
      </c>
      <c r="N71" s="6">
        <v>1.83</v>
      </c>
      <c r="O71" s="6">
        <v>1.53</v>
      </c>
      <c r="P71" s="6">
        <v>1.78</v>
      </c>
      <c r="Q71" s="6">
        <v>2.0299999999999998</v>
      </c>
      <c r="R71" s="6">
        <v>1.23</v>
      </c>
      <c r="S71" s="6">
        <v>1.38</v>
      </c>
      <c r="T71" s="6">
        <v>0.56000000000000005</v>
      </c>
      <c r="U71" s="6">
        <v>1.28</v>
      </c>
      <c r="V71" s="6">
        <v>1.01</v>
      </c>
      <c r="W71" s="6">
        <v>1.28</v>
      </c>
      <c r="X71" s="6">
        <v>1.36</v>
      </c>
      <c r="Y71" s="6">
        <v>0.61</v>
      </c>
      <c r="Z71" s="6">
        <v>1.1000000000000001</v>
      </c>
      <c r="AA71" s="6">
        <v>1.0900000000000001</v>
      </c>
      <c r="AB71" s="6">
        <v>1.26</v>
      </c>
      <c r="AC71" s="6">
        <v>0.7</v>
      </c>
      <c r="AD71" s="6">
        <v>1.78</v>
      </c>
      <c r="AE71" s="6">
        <v>1.73</v>
      </c>
      <c r="AF71" s="6">
        <v>1.46</v>
      </c>
      <c r="AG71" s="6">
        <v>1.57</v>
      </c>
      <c r="AH71" s="6">
        <v>0.89</v>
      </c>
      <c r="AI71" s="6">
        <v>1.23</v>
      </c>
      <c r="AJ71" s="6">
        <v>1.02</v>
      </c>
      <c r="AK71" s="6">
        <v>1.61</v>
      </c>
      <c r="AL71" s="6">
        <v>1.06</v>
      </c>
      <c r="AM71" s="6">
        <v>1</v>
      </c>
      <c r="AN71" s="6">
        <v>0.77</v>
      </c>
      <c r="AO71" s="6">
        <v>0.89</v>
      </c>
      <c r="AP71" s="6">
        <v>1.74</v>
      </c>
      <c r="AQ71" s="6">
        <v>1.34</v>
      </c>
      <c r="AR71" s="6">
        <v>0.78</v>
      </c>
      <c r="AS71" s="6">
        <v>1.56</v>
      </c>
      <c r="AT71" s="6">
        <v>1.17</v>
      </c>
      <c r="AU71" s="6">
        <v>1.47</v>
      </c>
      <c r="AV71" s="6">
        <v>1.63</v>
      </c>
      <c r="AW71" s="6">
        <v>1.1399999999999999</v>
      </c>
      <c r="AX71" s="6">
        <v>2.02</v>
      </c>
      <c r="AY71" s="6">
        <v>1.71</v>
      </c>
      <c r="AZ71" s="6">
        <v>1.39</v>
      </c>
      <c r="BA71" s="6">
        <v>1.79</v>
      </c>
      <c r="BB71" s="6">
        <v>1.65</v>
      </c>
      <c r="BC71" s="6">
        <v>1.53</v>
      </c>
      <c r="BD71" s="6">
        <v>1.31392</v>
      </c>
      <c r="BE71" s="6">
        <v>2.23</v>
      </c>
      <c r="BF71" s="6">
        <v>2.5299999999999998</v>
      </c>
      <c r="BG71" s="6">
        <v>1.46</v>
      </c>
      <c r="BH71" s="6">
        <v>3.2</v>
      </c>
      <c r="BI71" s="7">
        <v>1.65</v>
      </c>
      <c r="BJ71" s="6">
        <v>1.48</v>
      </c>
      <c r="BK71" s="6">
        <v>1.37</v>
      </c>
      <c r="BL71" s="6">
        <v>1.27</v>
      </c>
      <c r="BM71" s="6">
        <v>1.57</v>
      </c>
      <c r="BN71" s="6">
        <v>2</v>
      </c>
      <c r="BO71" s="6">
        <v>1.9</v>
      </c>
      <c r="BP71" s="6">
        <v>1.52</v>
      </c>
      <c r="BQ71" s="6">
        <v>1.94</v>
      </c>
      <c r="BR71" s="6">
        <v>2.16</v>
      </c>
      <c r="BS71" s="6">
        <v>1.31</v>
      </c>
      <c r="BT71" s="6">
        <v>1.93</v>
      </c>
      <c r="BU71" s="6">
        <v>2.33</v>
      </c>
      <c r="BV71" s="6">
        <v>2.12</v>
      </c>
      <c r="BW71" s="6">
        <v>1.35</v>
      </c>
      <c r="BX71" s="6">
        <v>1.8199999999999998</v>
      </c>
      <c r="BY71" s="6">
        <v>1.44</v>
      </c>
      <c r="BZ71" s="6">
        <v>1.76</v>
      </c>
      <c r="CA71" s="6">
        <v>1.28</v>
      </c>
      <c r="CB71" s="6">
        <v>1.29</v>
      </c>
      <c r="CC71" s="6">
        <v>1.01</v>
      </c>
      <c r="CD71" s="6">
        <v>1.72</v>
      </c>
      <c r="CE71" s="6">
        <v>1.74</v>
      </c>
      <c r="CF71" s="6">
        <v>1.53</v>
      </c>
      <c r="CG71" s="6">
        <v>1.26</v>
      </c>
      <c r="CH71" s="6"/>
    </row>
    <row r="72" spans="1:86" ht="15.75" customHeight="1" x14ac:dyDescent="0.25">
      <c r="A72" s="4">
        <v>70</v>
      </c>
      <c r="B72" s="2"/>
      <c r="C72" s="4">
        <v>11</v>
      </c>
      <c r="D72" s="6">
        <v>1.73</v>
      </c>
      <c r="E72" s="6">
        <v>1.1299999999999999</v>
      </c>
      <c r="F72" s="6">
        <v>1.1299999999999999</v>
      </c>
      <c r="G72" s="6">
        <v>0.88</v>
      </c>
      <c r="H72" s="6">
        <v>1.03</v>
      </c>
      <c r="I72" s="6">
        <v>1.03</v>
      </c>
      <c r="J72" s="6">
        <v>0.73</v>
      </c>
      <c r="K72" s="6">
        <v>1.43</v>
      </c>
      <c r="L72" s="6">
        <v>2.78</v>
      </c>
      <c r="M72" s="6">
        <v>0.85</v>
      </c>
      <c r="N72" s="6">
        <v>1.73</v>
      </c>
      <c r="O72" s="6">
        <v>1.38</v>
      </c>
      <c r="P72" s="6">
        <v>1.78</v>
      </c>
      <c r="Q72" s="6">
        <v>2.08</v>
      </c>
      <c r="R72" s="6">
        <v>1.08</v>
      </c>
      <c r="S72" s="6">
        <v>1.33</v>
      </c>
      <c r="T72" s="6">
        <v>0.81</v>
      </c>
      <c r="U72" s="6">
        <v>1.33</v>
      </c>
      <c r="V72" s="6">
        <v>1.01</v>
      </c>
      <c r="W72" s="6">
        <v>1.21</v>
      </c>
      <c r="X72" s="6">
        <v>1.41</v>
      </c>
      <c r="Y72" s="6">
        <v>0.66</v>
      </c>
      <c r="Z72" s="6">
        <v>0.96</v>
      </c>
      <c r="AA72" s="6">
        <v>0.93</v>
      </c>
      <c r="AB72" s="6">
        <v>1.28</v>
      </c>
      <c r="AC72" s="6">
        <v>0.82</v>
      </c>
      <c r="AD72" s="6">
        <v>1.69</v>
      </c>
      <c r="AE72" s="6">
        <v>1.98</v>
      </c>
      <c r="AF72" s="6">
        <v>1.7</v>
      </c>
      <c r="AG72" s="6">
        <v>1.56</v>
      </c>
      <c r="AH72" s="6">
        <v>0.85</v>
      </c>
      <c r="AI72" s="6">
        <v>1.23</v>
      </c>
      <c r="AJ72" s="6">
        <v>1.05</v>
      </c>
      <c r="AK72" s="6">
        <v>1.77</v>
      </c>
      <c r="AL72" s="6">
        <v>0.97</v>
      </c>
      <c r="AM72" s="6">
        <v>1</v>
      </c>
      <c r="AN72" s="6">
        <v>0.81</v>
      </c>
      <c r="AO72" s="6">
        <v>0.9</v>
      </c>
      <c r="AP72" s="6">
        <v>1.75</v>
      </c>
      <c r="AQ72" s="6">
        <v>1.32</v>
      </c>
      <c r="AR72" s="6">
        <v>0.82</v>
      </c>
      <c r="AS72" s="6">
        <v>1.52</v>
      </c>
      <c r="AT72" s="6">
        <v>1.1299999999999999</v>
      </c>
      <c r="AU72" s="6">
        <v>1.51</v>
      </c>
      <c r="AV72" s="6">
        <v>1.69</v>
      </c>
      <c r="AW72" s="6">
        <v>1.1000000000000001</v>
      </c>
      <c r="AX72" s="6">
        <v>2.0699999999999998</v>
      </c>
      <c r="AY72" s="6">
        <v>1.71</v>
      </c>
      <c r="AZ72" s="6">
        <v>1.35</v>
      </c>
      <c r="BA72" s="6">
        <v>1.82</v>
      </c>
      <c r="BB72" s="6">
        <v>1.69</v>
      </c>
      <c r="BC72" s="6">
        <v>1.55</v>
      </c>
      <c r="BD72" s="6">
        <v>1.31392</v>
      </c>
      <c r="BE72" s="6">
        <v>2.2000000000000002</v>
      </c>
      <c r="BF72" s="6">
        <v>2.4700000000000002</v>
      </c>
      <c r="BG72" s="6">
        <v>1.5</v>
      </c>
      <c r="BH72" s="6">
        <v>3.11</v>
      </c>
      <c r="BI72" s="7">
        <v>1.63</v>
      </c>
      <c r="BJ72" s="6">
        <v>1.48</v>
      </c>
      <c r="BK72" s="6">
        <v>1.37</v>
      </c>
      <c r="BL72" s="6">
        <v>1.21</v>
      </c>
      <c r="BM72" s="6">
        <v>1.62</v>
      </c>
      <c r="BN72" s="6">
        <v>2.02</v>
      </c>
      <c r="BO72" s="6">
        <v>1.9</v>
      </c>
      <c r="BP72" s="6">
        <v>1.47</v>
      </c>
      <c r="BQ72" s="6">
        <v>1.97</v>
      </c>
      <c r="BR72" s="6">
        <v>2.13</v>
      </c>
      <c r="BS72" s="6">
        <v>1.33</v>
      </c>
      <c r="BT72" s="6">
        <v>1.96</v>
      </c>
      <c r="BU72" s="6">
        <v>2.23</v>
      </c>
      <c r="BV72" s="6">
        <v>2.12</v>
      </c>
      <c r="BW72" s="6">
        <v>1.32</v>
      </c>
      <c r="BX72" s="6">
        <v>1.8199999999999998</v>
      </c>
      <c r="BY72" s="6">
        <v>1.5</v>
      </c>
      <c r="BZ72" s="6">
        <v>1.99</v>
      </c>
      <c r="CA72" s="6">
        <v>1.23</v>
      </c>
      <c r="CB72" s="6">
        <v>1.27</v>
      </c>
      <c r="CC72" s="6">
        <v>1</v>
      </c>
      <c r="CD72" s="6">
        <v>1.8099999999999998</v>
      </c>
      <c r="CE72" s="6">
        <v>1.8199999999999998</v>
      </c>
      <c r="CF72" s="6">
        <v>1.44</v>
      </c>
      <c r="CG72" s="6">
        <v>1.27</v>
      </c>
      <c r="CH72" s="6"/>
    </row>
    <row r="73" spans="1:86" ht="15.75" customHeight="1" x14ac:dyDescent="0.25">
      <c r="A73" s="4">
        <v>71</v>
      </c>
      <c r="B73" s="2"/>
      <c r="C73" s="4">
        <v>12</v>
      </c>
      <c r="D73" s="6">
        <v>1.68</v>
      </c>
      <c r="E73" s="6">
        <v>1.1299999999999999</v>
      </c>
      <c r="F73" s="6">
        <v>1.18</v>
      </c>
      <c r="G73" s="6">
        <v>0.7</v>
      </c>
      <c r="H73" s="6">
        <v>0.98</v>
      </c>
      <c r="I73" s="6">
        <v>1.03</v>
      </c>
      <c r="J73" s="6">
        <v>0.78</v>
      </c>
      <c r="K73" s="6">
        <v>1.48</v>
      </c>
      <c r="L73" s="6">
        <v>2.68</v>
      </c>
      <c r="M73" s="6">
        <v>1.01</v>
      </c>
      <c r="N73" s="6">
        <v>1.63</v>
      </c>
      <c r="O73" s="6">
        <v>1.38</v>
      </c>
      <c r="P73" s="6">
        <v>1.73</v>
      </c>
      <c r="Q73" s="6">
        <v>2.11</v>
      </c>
      <c r="R73" s="6">
        <v>1.03</v>
      </c>
      <c r="S73" s="6">
        <v>1.33</v>
      </c>
      <c r="T73" s="6">
        <v>0.91</v>
      </c>
      <c r="U73" s="6">
        <v>1.38</v>
      </c>
      <c r="V73" s="6">
        <v>0.91</v>
      </c>
      <c r="W73" s="6">
        <v>1.21</v>
      </c>
      <c r="X73" s="6">
        <v>1.4</v>
      </c>
      <c r="Y73" s="6">
        <v>0.79</v>
      </c>
      <c r="Z73" s="6">
        <v>0.82</v>
      </c>
      <c r="AA73" s="6">
        <v>0.87</v>
      </c>
      <c r="AB73" s="6">
        <v>1.25</v>
      </c>
      <c r="AC73" s="6">
        <v>0.82</v>
      </c>
      <c r="AD73" s="6">
        <v>1.62</v>
      </c>
      <c r="AE73" s="6">
        <v>1.99</v>
      </c>
      <c r="AF73" s="6">
        <v>1.6</v>
      </c>
      <c r="AG73" s="6">
        <v>1.58</v>
      </c>
      <c r="AH73" s="6">
        <v>0.77</v>
      </c>
      <c r="AI73" s="6">
        <v>1.19</v>
      </c>
      <c r="AJ73" s="6">
        <v>1.17</v>
      </c>
      <c r="AK73" s="6">
        <v>1.93</v>
      </c>
      <c r="AL73" s="6">
        <v>0.95</v>
      </c>
      <c r="AM73" s="6">
        <v>0.97</v>
      </c>
      <c r="AN73" s="6">
        <v>0.79</v>
      </c>
      <c r="AO73" s="6">
        <v>0.85</v>
      </c>
      <c r="AP73" s="6">
        <v>1.75</v>
      </c>
      <c r="AQ73" s="6">
        <v>1.34</v>
      </c>
      <c r="AR73" s="6">
        <v>0.82</v>
      </c>
      <c r="AS73" s="6">
        <v>1.47</v>
      </c>
      <c r="AT73" s="6">
        <v>1.07</v>
      </c>
      <c r="AU73" s="6">
        <v>1.55</v>
      </c>
      <c r="AV73" s="6">
        <v>1.74</v>
      </c>
      <c r="AW73" s="6">
        <v>1.0900000000000001</v>
      </c>
      <c r="AX73" s="6">
        <v>2.08</v>
      </c>
      <c r="AY73" s="6">
        <v>1.68</v>
      </c>
      <c r="AZ73" s="6">
        <v>1.35</v>
      </c>
      <c r="BA73" s="6">
        <v>1.81</v>
      </c>
      <c r="BB73" s="6">
        <v>1.63</v>
      </c>
      <c r="BC73" s="6">
        <v>1.59</v>
      </c>
      <c r="BD73" s="6">
        <v>1.22248</v>
      </c>
      <c r="BE73" s="6">
        <v>2.23</v>
      </c>
      <c r="BF73" s="6">
        <v>2.4700000000000002</v>
      </c>
      <c r="BG73" s="6">
        <v>1.52</v>
      </c>
      <c r="BH73" s="6">
        <v>3.02</v>
      </c>
      <c r="BI73" s="7">
        <v>1.69</v>
      </c>
      <c r="BJ73" s="6">
        <v>1.47</v>
      </c>
      <c r="BK73" s="6">
        <v>1.41</v>
      </c>
      <c r="BL73" s="6">
        <v>1.25</v>
      </c>
      <c r="BM73" s="6">
        <v>1.66</v>
      </c>
      <c r="BN73" s="6">
        <v>1.99</v>
      </c>
      <c r="BO73" s="6">
        <v>1.92</v>
      </c>
      <c r="BP73" s="6">
        <v>1.4</v>
      </c>
      <c r="BQ73" s="6">
        <v>1.96</v>
      </c>
      <c r="BR73" s="6">
        <v>2.13</v>
      </c>
      <c r="BS73" s="6">
        <v>1.38</v>
      </c>
      <c r="BT73" s="6">
        <v>2.02</v>
      </c>
      <c r="BU73" s="6">
        <v>2.13</v>
      </c>
      <c r="BV73" s="6">
        <v>2.17</v>
      </c>
      <c r="BW73" s="6">
        <v>1.32</v>
      </c>
      <c r="BX73" s="6">
        <v>1.78</v>
      </c>
      <c r="BY73" s="6">
        <v>1.52</v>
      </c>
      <c r="BZ73" s="6">
        <v>1.99</v>
      </c>
      <c r="CA73" s="6">
        <v>1.1299999999999999</v>
      </c>
      <c r="CB73" s="6">
        <v>1.31</v>
      </c>
      <c r="CC73" s="6">
        <v>0.99</v>
      </c>
      <c r="CD73" s="6">
        <v>1.8599999999999999</v>
      </c>
      <c r="CE73" s="6">
        <v>1.98</v>
      </c>
      <c r="CF73" s="6">
        <v>1.46</v>
      </c>
      <c r="CG73" s="6">
        <v>1.3</v>
      </c>
      <c r="CH73" s="6"/>
    </row>
    <row r="74" spans="1:86" ht="15.75" customHeight="1" x14ac:dyDescent="0.25">
      <c r="A74" s="4">
        <v>72</v>
      </c>
      <c r="B74" s="2"/>
      <c r="C74" s="4">
        <v>13</v>
      </c>
      <c r="D74" s="6">
        <v>1.63</v>
      </c>
      <c r="E74" s="6">
        <v>1.18</v>
      </c>
      <c r="F74" s="6">
        <v>1.23</v>
      </c>
      <c r="G74" s="6">
        <v>0.66</v>
      </c>
      <c r="H74" s="6">
        <v>0.88</v>
      </c>
      <c r="I74" s="6">
        <v>1.03</v>
      </c>
      <c r="J74" s="6">
        <v>0.93</v>
      </c>
      <c r="K74" s="6">
        <v>1.53</v>
      </c>
      <c r="L74" s="6">
        <v>2.83</v>
      </c>
      <c r="M74" s="6">
        <v>1.0900000000000001</v>
      </c>
      <c r="N74" s="6">
        <v>1.73</v>
      </c>
      <c r="O74" s="6">
        <v>1.33</v>
      </c>
      <c r="P74" s="6">
        <v>1.73</v>
      </c>
      <c r="Q74" s="6">
        <v>2.11</v>
      </c>
      <c r="R74" s="6">
        <v>1.03</v>
      </c>
      <c r="S74" s="6">
        <v>1.23</v>
      </c>
      <c r="T74" s="6">
        <v>0.91</v>
      </c>
      <c r="U74" s="6">
        <v>1.37</v>
      </c>
      <c r="V74" s="6">
        <v>0.71</v>
      </c>
      <c r="W74" s="6">
        <v>1.26</v>
      </c>
      <c r="X74" s="6">
        <v>1.46</v>
      </c>
      <c r="Y74" s="6">
        <v>0.79</v>
      </c>
      <c r="Z74" s="6">
        <v>0.7</v>
      </c>
      <c r="AA74" s="6">
        <v>0.81</v>
      </c>
      <c r="AB74" s="6">
        <v>1.2</v>
      </c>
      <c r="AC74" s="6">
        <v>0.82</v>
      </c>
      <c r="AD74" s="6">
        <v>1.57</v>
      </c>
      <c r="AE74" s="6">
        <v>1.9</v>
      </c>
      <c r="AF74" s="6">
        <v>1.65</v>
      </c>
      <c r="AG74" s="6">
        <v>1.75</v>
      </c>
      <c r="AH74" s="6">
        <v>0.71</v>
      </c>
      <c r="AI74" s="6">
        <v>1.1299999999999999</v>
      </c>
      <c r="AJ74" s="6">
        <v>1.1499999999999999</v>
      </c>
      <c r="AK74" s="6">
        <v>1.97</v>
      </c>
      <c r="AL74" s="6">
        <v>0.87</v>
      </c>
      <c r="AM74" s="6">
        <v>0.88</v>
      </c>
      <c r="AN74" s="6">
        <v>0.79</v>
      </c>
      <c r="AO74" s="6">
        <v>0.87</v>
      </c>
      <c r="AP74" s="6">
        <v>1.76</v>
      </c>
      <c r="AQ74" s="6">
        <v>1.22</v>
      </c>
      <c r="AR74" s="6">
        <v>0.91</v>
      </c>
      <c r="AS74" s="6">
        <v>1.48</v>
      </c>
      <c r="AT74" s="6">
        <v>1.05</v>
      </c>
      <c r="AU74" s="6">
        <v>1.43</v>
      </c>
      <c r="AV74" s="6">
        <v>1.77</v>
      </c>
      <c r="AW74" s="6">
        <v>0.99</v>
      </c>
      <c r="AX74" s="6">
        <v>2.0699999999999998</v>
      </c>
      <c r="AY74" s="6">
        <v>1.63</v>
      </c>
      <c r="AZ74" s="6">
        <v>1.43</v>
      </c>
      <c r="BA74" s="6">
        <v>1.83</v>
      </c>
      <c r="BB74" s="6">
        <v>1.66</v>
      </c>
      <c r="BC74" s="6">
        <v>1.53</v>
      </c>
      <c r="BD74" s="6">
        <v>1.1919999999999999</v>
      </c>
      <c r="BE74" s="6">
        <v>2.23</v>
      </c>
      <c r="BF74" s="6">
        <v>2.4700000000000002</v>
      </c>
      <c r="BG74" s="6">
        <v>1.52</v>
      </c>
      <c r="BH74" s="6">
        <v>3.15</v>
      </c>
      <c r="BI74" s="7">
        <v>1.59</v>
      </c>
      <c r="BJ74" s="6">
        <v>1.47</v>
      </c>
      <c r="BK74" s="6">
        <v>1.41</v>
      </c>
      <c r="BL74" s="6">
        <v>1.25</v>
      </c>
      <c r="BM74" s="6">
        <v>1.67</v>
      </c>
      <c r="BN74" s="6">
        <v>1.98</v>
      </c>
      <c r="BO74" s="6">
        <v>1.97</v>
      </c>
      <c r="BP74" s="6">
        <v>1.37</v>
      </c>
      <c r="BQ74" s="6">
        <v>1.94</v>
      </c>
      <c r="BR74" s="6">
        <v>2.21</v>
      </c>
      <c r="BS74" s="6">
        <v>1.43</v>
      </c>
      <c r="BT74" s="6">
        <v>2.0499999999999998</v>
      </c>
      <c r="BU74" s="6">
        <v>2.12</v>
      </c>
      <c r="BV74" s="6">
        <v>2.2200000000000002</v>
      </c>
      <c r="BW74" s="6">
        <v>1.42</v>
      </c>
      <c r="BX74" s="6">
        <v>1.74</v>
      </c>
      <c r="BY74" s="6">
        <v>1.44</v>
      </c>
      <c r="BZ74" s="6">
        <v>1.8499999999999999</v>
      </c>
      <c r="CA74" s="6">
        <v>1.18</v>
      </c>
      <c r="CB74" s="6">
        <v>1.35</v>
      </c>
      <c r="CC74" s="6">
        <v>0.98</v>
      </c>
      <c r="CD74" s="6">
        <v>1.8599999999999999</v>
      </c>
      <c r="CE74" s="6">
        <v>2.02</v>
      </c>
      <c r="CF74" s="6">
        <v>1.39</v>
      </c>
      <c r="CG74" s="6">
        <v>1.34</v>
      </c>
      <c r="CH74" s="6"/>
    </row>
    <row r="75" spans="1:86" ht="15.75" customHeight="1" x14ac:dyDescent="0.25">
      <c r="A75" s="4">
        <v>73</v>
      </c>
      <c r="B75" s="2"/>
      <c r="C75" s="4">
        <v>14</v>
      </c>
      <c r="D75" s="6">
        <v>1.58</v>
      </c>
      <c r="E75" s="6">
        <v>1.23</v>
      </c>
      <c r="F75" s="6">
        <v>1.28</v>
      </c>
      <c r="G75" s="6">
        <v>0.65</v>
      </c>
      <c r="H75" s="6">
        <v>0.83</v>
      </c>
      <c r="I75" s="6">
        <v>1.03</v>
      </c>
      <c r="J75" s="6">
        <v>1.03</v>
      </c>
      <c r="K75" s="6">
        <v>1.48</v>
      </c>
      <c r="L75" s="6">
        <v>2.93</v>
      </c>
      <c r="M75" s="6">
        <v>1.07</v>
      </c>
      <c r="N75" s="6">
        <v>2.0299999999999998</v>
      </c>
      <c r="O75" s="6">
        <v>1.28</v>
      </c>
      <c r="P75" s="6">
        <v>1.63</v>
      </c>
      <c r="Q75" s="6">
        <v>2.08</v>
      </c>
      <c r="R75" s="6">
        <v>1.1299999999999999</v>
      </c>
      <c r="S75" s="6">
        <v>1.1299999999999999</v>
      </c>
      <c r="T75" s="6">
        <v>0.86</v>
      </c>
      <c r="U75" s="6">
        <v>1.43</v>
      </c>
      <c r="V75" s="6">
        <v>0.66</v>
      </c>
      <c r="W75" s="6">
        <v>1.06</v>
      </c>
      <c r="X75" s="6">
        <v>1.37</v>
      </c>
      <c r="Y75" s="6">
        <v>0.91</v>
      </c>
      <c r="Z75" s="6">
        <v>0.9</v>
      </c>
      <c r="AA75" s="6">
        <v>0.75</v>
      </c>
      <c r="AB75" s="6">
        <v>1.18</v>
      </c>
      <c r="AC75" s="6">
        <v>0.88</v>
      </c>
      <c r="AD75" s="6">
        <v>1.52</v>
      </c>
      <c r="AE75" s="6">
        <v>1.97</v>
      </c>
      <c r="AF75" s="6">
        <v>1.7</v>
      </c>
      <c r="AG75" s="6">
        <v>1.74</v>
      </c>
      <c r="AH75" s="6">
        <v>0.71</v>
      </c>
      <c r="AI75" s="6">
        <v>1.01</v>
      </c>
      <c r="AJ75" s="6">
        <v>1.17</v>
      </c>
      <c r="AK75" s="6">
        <v>2.12</v>
      </c>
      <c r="AL75" s="6">
        <v>0.82</v>
      </c>
      <c r="AM75" s="6">
        <v>0.85</v>
      </c>
      <c r="AN75" s="6">
        <v>0.88</v>
      </c>
      <c r="AO75" s="6">
        <v>0.91</v>
      </c>
      <c r="AP75" s="6">
        <v>1.81</v>
      </c>
      <c r="AQ75" s="6">
        <v>1.2</v>
      </c>
      <c r="AR75" s="6">
        <v>0.96</v>
      </c>
      <c r="AS75" s="6">
        <v>1.5</v>
      </c>
      <c r="AT75" s="6">
        <v>1.07</v>
      </c>
      <c r="AU75" s="6">
        <v>1.44</v>
      </c>
      <c r="AV75" s="6">
        <v>1.78</v>
      </c>
      <c r="AW75" s="6">
        <v>0.97</v>
      </c>
      <c r="AX75" s="6">
        <v>2.02</v>
      </c>
      <c r="AY75" s="6">
        <v>1.59</v>
      </c>
      <c r="AZ75" s="6">
        <v>1.55</v>
      </c>
      <c r="BA75" s="6">
        <v>1.83</v>
      </c>
      <c r="BB75" s="6">
        <v>1.63</v>
      </c>
      <c r="BC75" s="6">
        <v>1.5</v>
      </c>
      <c r="BD75" s="6">
        <v>1.2529600000000001</v>
      </c>
      <c r="BE75" s="6">
        <v>2.19</v>
      </c>
      <c r="BF75" s="6">
        <v>2.41</v>
      </c>
      <c r="BG75" s="6">
        <v>1.59</v>
      </c>
      <c r="BH75" s="6">
        <v>2.89</v>
      </c>
      <c r="BI75" s="7">
        <v>1.62</v>
      </c>
      <c r="BJ75" s="6">
        <v>1.52</v>
      </c>
      <c r="BK75" s="6">
        <v>1.39</v>
      </c>
      <c r="BL75" s="6">
        <v>1.25</v>
      </c>
      <c r="BM75" s="6">
        <v>1.62</v>
      </c>
      <c r="BN75" s="6">
        <v>1.86</v>
      </c>
      <c r="BO75" s="6">
        <v>1.96</v>
      </c>
      <c r="BP75" s="6">
        <v>1.41</v>
      </c>
      <c r="BQ75" s="6">
        <v>1.93</v>
      </c>
      <c r="BR75" s="6">
        <v>2.21</v>
      </c>
      <c r="BS75" s="6">
        <v>1.48</v>
      </c>
      <c r="BT75" s="6">
        <v>2.14</v>
      </c>
      <c r="BU75" s="6">
        <v>2.09</v>
      </c>
      <c r="BV75" s="6">
        <v>2.17</v>
      </c>
      <c r="BW75" s="6">
        <v>1.43</v>
      </c>
      <c r="BX75" s="6">
        <v>1.71</v>
      </c>
      <c r="BY75" s="6">
        <v>1.42</v>
      </c>
      <c r="BZ75" s="6">
        <v>1.93</v>
      </c>
      <c r="CA75" s="6">
        <v>1.34</v>
      </c>
      <c r="CB75" s="6">
        <v>1.27</v>
      </c>
      <c r="CC75" s="6">
        <v>0.96</v>
      </c>
      <c r="CD75" s="6">
        <v>1.8399999999999999</v>
      </c>
      <c r="CE75" s="6">
        <v>2.0699999999999998</v>
      </c>
      <c r="CF75" s="6">
        <v>1.49</v>
      </c>
      <c r="CG75" s="6">
        <v>1.29</v>
      </c>
      <c r="CH75" s="6"/>
    </row>
    <row r="76" spans="1:86" ht="15.75" customHeight="1" x14ac:dyDescent="0.25">
      <c r="A76" s="4">
        <v>74</v>
      </c>
      <c r="B76" s="2"/>
      <c r="C76" s="4">
        <v>15</v>
      </c>
      <c r="D76" s="6">
        <v>1.53</v>
      </c>
      <c r="E76" s="6">
        <v>1.18</v>
      </c>
      <c r="F76" s="6">
        <v>1.33</v>
      </c>
      <c r="G76" s="6">
        <v>0.78</v>
      </c>
      <c r="H76" s="6">
        <v>0.68</v>
      </c>
      <c r="I76" s="6">
        <v>0.98</v>
      </c>
      <c r="J76" s="6">
        <v>1.08</v>
      </c>
      <c r="K76" s="6">
        <v>1.46</v>
      </c>
      <c r="L76" s="6">
        <v>2.98</v>
      </c>
      <c r="M76" s="6">
        <v>1.17</v>
      </c>
      <c r="N76" s="6">
        <v>2.13</v>
      </c>
      <c r="O76" s="6">
        <v>1.23</v>
      </c>
      <c r="P76" s="6">
        <v>1.63</v>
      </c>
      <c r="Q76" s="6">
        <v>1.98</v>
      </c>
      <c r="R76" s="6">
        <v>1.23</v>
      </c>
      <c r="S76" s="6">
        <v>0.93</v>
      </c>
      <c r="T76" s="6">
        <v>0.81</v>
      </c>
      <c r="U76" s="6">
        <v>1.43</v>
      </c>
      <c r="V76" s="6">
        <v>0.71</v>
      </c>
      <c r="W76" s="6">
        <v>0.88</v>
      </c>
      <c r="X76" s="6">
        <v>1.37</v>
      </c>
      <c r="Y76" s="6">
        <v>0.86</v>
      </c>
      <c r="Z76" s="6">
        <v>0.9</v>
      </c>
      <c r="AA76" s="6">
        <v>0.72</v>
      </c>
      <c r="AB76" s="6">
        <v>1.1299999999999999</v>
      </c>
      <c r="AC76" s="6">
        <v>0.94</v>
      </c>
      <c r="AD76" s="6">
        <v>1.53</v>
      </c>
      <c r="AE76" s="6">
        <v>2.1800000000000002</v>
      </c>
      <c r="AF76" s="6">
        <v>1.71</v>
      </c>
      <c r="AG76" s="6">
        <v>1.87</v>
      </c>
      <c r="AH76" s="6">
        <v>0.71</v>
      </c>
      <c r="AI76" s="6">
        <v>1.03</v>
      </c>
      <c r="AJ76" s="6">
        <v>1.0900000000000001</v>
      </c>
      <c r="AK76" s="6">
        <v>2.21</v>
      </c>
      <c r="AL76" s="6">
        <v>0.87</v>
      </c>
      <c r="AM76" s="6">
        <v>0.85</v>
      </c>
      <c r="AN76" s="6">
        <v>0.91</v>
      </c>
      <c r="AO76" s="6">
        <v>0.97</v>
      </c>
      <c r="AP76" s="6">
        <v>1.88</v>
      </c>
      <c r="AQ76" s="6">
        <v>1.08</v>
      </c>
      <c r="AR76" s="6">
        <v>1.04</v>
      </c>
      <c r="AS76" s="6">
        <v>1.53</v>
      </c>
      <c r="AT76" s="6">
        <v>1.04</v>
      </c>
      <c r="AU76" s="6">
        <v>1.57</v>
      </c>
      <c r="AV76" s="6">
        <v>1.75</v>
      </c>
      <c r="AW76" s="6">
        <v>1.1499999999999999</v>
      </c>
      <c r="AX76" s="6">
        <v>2</v>
      </c>
      <c r="AY76" s="6">
        <v>1.59</v>
      </c>
      <c r="AZ76" s="6">
        <v>1.55</v>
      </c>
      <c r="BA76" s="6">
        <v>1.81</v>
      </c>
      <c r="BB76" s="6">
        <v>1.49</v>
      </c>
      <c r="BC76" s="6">
        <v>1.48</v>
      </c>
      <c r="BD76" s="6">
        <v>1.31392</v>
      </c>
      <c r="BE76" s="6">
        <v>2.17</v>
      </c>
      <c r="BF76" s="6">
        <v>2.2799999999999998</v>
      </c>
      <c r="BG76" s="6">
        <v>1.58</v>
      </c>
      <c r="BH76" s="6">
        <v>2.77</v>
      </c>
      <c r="BI76" s="7">
        <v>1.62</v>
      </c>
      <c r="BJ76" s="6">
        <v>1.44</v>
      </c>
      <c r="BK76" s="6">
        <v>1.35</v>
      </c>
      <c r="BL76" s="6">
        <v>1.25</v>
      </c>
      <c r="BM76" s="6">
        <v>1.44</v>
      </c>
      <c r="BN76" s="6">
        <v>1.83</v>
      </c>
      <c r="BO76" s="6">
        <v>1.94</v>
      </c>
      <c r="BP76" s="6">
        <v>1.37</v>
      </c>
      <c r="BQ76" s="6">
        <v>1.8439999999999999</v>
      </c>
      <c r="BR76" s="6">
        <v>2.1800000000000002</v>
      </c>
      <c r="BS76" s="6">
        <v>1.46</v>
      </c>
      <c r="BT76" s="6">
        <v>2.23</v>
      </c>
      <c r="BU76" s="6">
        <v>2.04</v>
      </c>
      <c r="BV76" s="6">
        <v>2.25</v>
      </c>
      <c r="BW76" s="6">
        <v>1.53</v>
      </c>
      <c r="BX76" s="6">
        <v>1.71</v>
      </c>
      <c r="BY76" s="6">
        <v>1.4</v>
      </c>
      <c r="BZ76" s="6">
        <v>1.91</v>
      </c>
      <c r="CA76" s="6">
        <v>1.45</v>
      </c>
      <c r="CB76" s="6">
        <v>1.31</v>
      </c>
      <c r="CC76" s="6">
        <v>0.94</v>
      </c>
      <c r="CD76" s="6">
        <v>1.91</v>
      </c>
      <c r="CE76" s="6">
        <v>2.2400000000000002</v>
      </c>
      <c r="CF76" s="6">
        <v>1.39</v>
      </c>
      <c r="CG76" s="6">
        <v>1.24</v>
      </c>
      <c r="CH76" s="6"/>
    </row>
    <row r="77" spans="1:86" ht="15.75" customHeight="1" x14ac:dyDescent="0.25">
      <c r="A77" s="4">
        <v>75</v>
      </c>
      <c r="B77" s="2"/>
      <c r="C77" s="4">
        <v>16</v>
      </c>
      <c r="D77" s="6">
        <v>1.43</v>
      </c>
      <c r="E77" s="6">
        <v>1.1299999999999999</v>
      </c>
      <c r="F77" s="6">
        <v>1.33</v>
      </c>
      <c r="G77" s="6">
        <v>0.86</v>
      </c>
      <c r="H77" s="6">
        <v>0.68</v>
      </c>
      <c r="I77" s="6">
        <v>0.93</v>
      </c>
      <c r="J77" s="6">
        <v>1.08</v>
      </c>
      <c r="K77" s="6">
        <v>1.58</v>
      </c>
      <c r="L77" s="6">
        <v>3.03</v>
      </c>
      <c r="M77" s="6">
        <v>1.21</v>
      </c>
      <c r="N77" s="6">
        <v>2.13</v>
      </c>
      <c r="O77" s="6">
        <v>1.33</v>
      </c>
      <c r="P77" s="6">
        <v>1.53</v>
      </c>
      <c r="Q77" s="6">
        <v>1.93</v>
      </c>
      <c r="R77" s="6">
        <v>1.23</v>
      </c>
      <c r="S77" s="6">
        <v>0.98</v>
      </c>
      <c r="T77" s="6">
        <v>0.71</v>
      </c>
      <c r="U77" s="6">
        <v>1.43</v>
      </c>
      <c r="V77" s="6">
        <v>0.71</v>
      </c>
      <c r="W77" s="6">
        <v>0.86</v>
      </c>
      <c r="X77" s="6">
        <v>1.46</v>
      </c>
      <c r="Y77" s="6">
        <v>1.01</v>
      </c>
      <c r="Z77" s="6">
        <v>0.95</v>
      </c>
      <c r="AA77" s="6">
        <v>0.87</v>
      </c>
      <c r="AB77" s="6">
        <v>1.0900000000000001</v>
      </c>
      <c r="AC77" s="6">
        <v>1</v>
      </c>
      <c r="AD77" s="6">
        <v>1.59</v>
      </c>
      <c r="AE77" s="6">
        <v>2.3199999999999998</v>
      </c>
      <c r="AF77" s="6">
        <v>1.71</v>
      </c>
      <c r="AG77" s="6">
        <v>1.93</v>
      </c>
      <c r="AH77" s="6">
        <v>0.77</v>
      </c>
      <c r="AI77" s="6">
        <v>0.97</v>
      </c>
      <c r="AJ77" s="6">
        <v>1</v>
      </c>
      <c r="AK77" s="6">
        <v>2.23</v>
      </c>
      <c r="AL77" s="6">
        <v>0.91</v>
      </c>
      <c r="AM77" s="6">
        <v>0.85</v>
      </c>
      <c r="AN77" s="6">
        <v>0.93</v>
      </c>
      <c r="AO77" s="6">
        <v>0.96</v>
      </c>
      <c r="AP77" s="6">
        <v>1.92</v>
      </c>
      <c r="AQ77" s="6">
        <v>1</v>
      </c>
      <c r="AR77" s="6">
        <v>1.04</v>
      </c>
      <c r="AS77" s="6">
        <v>1.52</v>
      </c>
      <c r="AT77" s="6">
        <v>1.01</v>
      </c>
      <c r="AU77" s="6">
        <v>1.57</v>
      </c>
      <c r="AV77" s="6">
        <v>1.75</v>
      </c>
      <c r="AW77" s="6">
        <v>1.24</v>
      </c>
      <c r="AX77" s="6">
        <v>1.96</v>
      </c>
      <c r="AY77" s="6">
        <v>1.61</v>
      </c>
      <c r="AZ77" s="6">
        <v>1.62</v>
      </c>
      <c r="BA77" s="6">
        <v>1.86</v>
      </c>
      <c r="BB77" s="6">
        <v>1.53</v>
      </c>
      <c r="BC77" s="6">
        <v>1.57</v>
      </c>
      <c r="BD77" s="6">
        <v>1.43584</v>
      </c>
      <c r="BE77" s="6">
        <v>2.17</v>
      </c>
      <c r="BF77" s="6">
        <v>2.1</v>
      </c>
      <c r="BG77" s="6">
        <v>1.49</v>
      </c>
      <c r="BH77" s="6">
        <v>2.72</v>
      </c>
      <c r="BI77" s="7">
        <v>1.59</v>
      </c>
      <c r="BJ77" s="6">
        <v>1.39</v>
      </c>
      <c r="BK77" s="6">
        <v>1.46</v>
      </c>
      <c r="BL77" s="6">
        <v>1.28</v>
      </c>
      <c r="BM77" s="6">
        <v>1.41</v>
      </c>
      <c r="BN77" s="6">
        <v>1.83</v>
      </c>
      <c r="BO77" s="6">
        <v>1.94</v>
      </c>
      <c r="BP77" s="6">
        <v>1.38</v>
      </c>
      <c r="BQ77" s="6">
        <v>1.837</v>
      </c>
      <c r="BR77" s="6">
        <v>2.04</v>
      </c>
      <c r="BS77" s="6">
        <v>1.55</v>
      </c>
      <c r="BT77" s="6">
        <v>2.2599999999999998</v>
      </c>
      <c r="BU77" s="6">
        <v>2.13</v>
      </c>
      <c r="BV77" s="6">
        <v>2.23</v>
      </c>
      <c r="BW77" s="6">
        <v>1.5799999999999998</v>
      </c>
      <c r="BX77" s="6">
        <v>1.71</v>
      </c>
      <c r="BY77" s="6">
        <v>1.43</v>
      </c>
      <c r="BZ77" s="6">
        <v>1.91</v>
      </c>
      <c r="CA77" s="6">
        <v>1.38</v>
      </c>
      <c r="CB77" s="6">
        <v>1.3</v>
      </c>
      <c r="CC77" s="6">
        <v>0.93</v>
      </c>
      <c r="CD77" s="6">
        <v>1.92</v>
      </c>
      <c r="CE77" s="6">
        <v>2.42</v>
      </c>
      <c r="CF77" s="6">
        <v>1.45</v>
      </c>
      <c r="CG77" s="6">
        <v>1.1200000000000001</v>
      </c>
      <c r="CH77" s="6"/>
    </row>
    <row r="78" spans="1:86" ht="15.75" customHeight="1" x14ac:dyDescent="0.25">
      <c r="A78" s="4">
        <v>76</v>
      </c>
      <c r="B78" s="2"/>
      <c r="C78" s="4">
        <v>17</v>
      </c>
      <c r="D78" s="6">
        <v>1.38</v>
      </c>
      <c r="E78" s="6">
        <v>1.08</v>
      </c>
      <c r="F78" s="6">
        <v>1.33</v>
      </c>
      <c r="G78" s="6">
        <v>0.85</v>
      </c>
      <c r="H78" s="6">
        <v>0.63</v>
      </c>
      <c r="I78" s="6">
        <v>0.93</v>
      </c>
      <c r="J78" s="6">
        <v>1.1299999999999999</v>
      </c>
      <c r="K78" s="6">
        <v>1.57</v>
      </c>
      <c r="L78" s="6">
        <v>2.98</v>
      </c>
      <c r="M78" s="6">
        <v>0.82</v>
      </c>
      <c r="N78" s="6">
        <v>2.13</v>
      </c>
      <c r="O78" s="6">
        <v>1.33</v>
      </c>
      <c r="P78" s="6">
        <v>1.48</v>
      </c>
      <c r="Q78" s="6">
        <v>1.91</v>
      </c>
      <c r="R78" s="6">
        <v>1.28</v>
      </c>
      <c r="S78" s="6">
        <v>1.1299999999999999</v>
      </c>
      <c r="T78" s="6">
        <v>0.66</v>
      </c>
      <c r="U78" s="6">
        <v>1.41</v>
      </c>
      <c r="V78" s="6">
        <v>0.91</v>
      </c>
      <c r="W78" s="6">
        <v>0.86</v>
      </c>
      <c r="X78" s="6">
        <v>1.41</v>
      </c>
      <c r="Y78" s="6">
        <v>0.99</v>
      </c>
      <c r="Z78" s="6">
        <v>1</v>
      </c>
      <c r="AA78" s="6">
        <v>0.65</v>
      </c>
      <c r="AB78" s="6">
        <v>1.05</v>
      </c>
      <c r="AC78" s="6">
        <v>1.1000000000000001</v>
      </c>
      <c r="AD78" s="6">
        <v>1.64</v>
      </c>
      <c r="AE78" s="6">
        <v>2.0499999999999998</v>
      </c>
      <c r="AF78" s="6">
        <v>1.75</v>
      </c>
      <c r="AG78" s="6">
        <v>1.91</v>
      </c>
      <c r="AH78" s="6">
        <v>0.77</v>
      </c>
      <c r="AI78" s="6">
        <v>0.87</v>
      </c>
      <c r="AJ78" s="6">
        <v>1.02</v>
      </c>
      <c r="AK78" s="6">
        <v>2.33</v>
      </c>
      <c r="AL78" s="6">
        <v>0.97</v>
      </c>
      <c r="AM78" s="6">
        <v>0.82</v>
      </c>
      <c r="AN78" s="6">
        <v>0.91</v>
      </c>
      <c r="AO78" s="6">
        <v>1.05</v>
      </c>
      <c r="AP78" s="6">
        <v>2.08</v>
      </c>
      <c r="AQ78" s="6">
        <v>1.21</v>
      </c>
      <c r="AR78" s="6">
        <v>1.06</v>
      </c>
      <c r="AS78" s="6">
        <v>1.55</v>
      </c>
      <c r="AT78" s="6">
        <v>1.01</v>
      </c>
      <c r="AU78" s="6">
        <v>1.55</v>
      </c>
      <c r="AV78" s="6">
        <v>1.77</v>
      </c>
      <c r="AW78" s="6">
        <v>1.24</v>
      </c>
      <c r="AX78" s="6">
        <v>1.95</v>
      </c>
      <c r="AY78" s="6">
        <v>1.64</v>
      </c>
      <c r="AZ78" s="6">
        <v>1.59</v>
      </c>
      <c r="BA78" s="6">
        <v>1.89</v>
      </c>
      <c r="BB78" s="6">
        <v>1.58</v>
      </c>
      <c r="BC78" s="6">
        <v>1.61</v>
      </c>
      <c r="BD78" s="6">
        <v>1.4967999999999999</v>
      </c>
      <c r="BE78" s="6">
        <v>2.17</v>
      </c>
      <c r="BF78" s="6">
        <v>1.98</v>
      </c>
      <c r="BG78" s="6">
        <v>1.45</v>
      </c>
      <c r="BH78" s="6">
        <v>2.75</v>
      </c>
      <c r="BI78" s="7">
        <v>1.65</v>
      </c>
      <c r="BJ78" s="6">
        <v>1.39</v>
      </c>
      <c r="BK78" s="6">
        <v>1.4</v>
      </c>
      <c r="BL78" s="6">
        <v>1.33</v>
      </c>
      <c r="BM78" s="6">
        <v>1.65</v>
      </c>
      <c r="BN78" s="6">
        <v>1.78</v>
      </c>
      <c r="BO78" s="6">
        <v>1.94</v>
      </c>
      <c r="BP78" s="6">
        <v>1.42</v>
      </c>
      <c r="BQ78" s="6">
        <v>1.79</v>
      </c>
      <c r="BR78" s="6">
        <v>2.04</v>
      </c>
      <c r="BS78" s="6">
        <v>1.6</v>
      </c>
      <c r="BT78" s="6">
        <v>2.34</v>
      </c>
      <c r="BU78" s="6">
        <v>2.15</v>
      </c>
      <c r="BV78" s="6">
        <v>2.15</v>
      </c>
      <c r="BW78" s="6">
        <v>1.66</v>
      </c>
      <c r="BX78" s="6">
        <v>1.7</v>
      </c>
      <c r="BY78" s="6">
        <v>1.43</v>
      </c>
      <c r="BZ78" s="6">
        <v>1.91</v>
      </c>
      <c r="CA78" s="6">
        <v>1.34</v>
      </c>
      <c r="CB78" s="6">
        <v>1.27</v>
      </c>
      <c r="CC78" s="6">
        <v>0.91</v>
      </c>
      <c r="CD78" s="6">
        <v>1.94</v>
      </c>
      <c r="CE78" s="6">
        <v>2.48</v>
      </c>
      <c r="CF78" s="6">
        <v>1.39</v>
      </c>
      <c r="CG78" s="6">
        <v>1.04</v>
      </c>
      <c r="CH78" s="6"/>
    </row>
    <row r="79" spans="1:86" ht="15.75" customHeight="1" x14ac:dyDescent="0.25">
      <c r="A79" s="4">
        <v>77</v>
      </c>
      <c r="B79" s="2"/>
      <c r="C79" s="4">
        <v>18</v>
      </c>
      <c r="D79" s="6">
        <v>1.38</v>
      </c>
      <c r="E79" s="6">
        <v>1.1299999999999999</v>
      </c>
      <c r="F79" s="6">
        <v>1.38</v>
      </c>
      <c r="G79" s="6">
        <v>0.83</v>
      </c>
      <c r="H79" s="6">
        <v>0.63</v>
      </c>
      <c r="I79" s="6">
        <v>0.88</v>
      </c>
      <c r="J79" s="6">
        <v>1.03</v>
      </c>
      <c r="K79" s="6">
        <v>1.57</v>
      </c>
      <c r="L79" s="6">
        <v>2.98</v>
      </c>
      <c r="M79" s="6">
        <v>0.82</v>
      </c>
      <c r="N79" s="6">
        <v>2.0299999999999998</v>
      </c>
      <c r="O79" s="6">
        <v>1.38</v>
      </c>
      <c r="P79" s="6">
        <v>1.38</v>
      </c>
      <c r="Q79" s="6">
        <v>1.88</v>
      </c>
      <c r="R79" s="6">
        <v>1.28</v>
      </c>
      <c r="S79" s="6">
        <v>1.1299999999999999</v>
      </c>
      <c r="T79" s="6">
        <v>0.56000000000000005</v>
      </c>
      <c r="U79" s="6">
        <v>1.38</v>
      </c>
      <c r="V79" s="6">
        <v>0.93</v>
      </c>
      <c r="W79" s="6">
        <v>0.96</v>
      </c>
      <c r="X79" s="6">
        <v>1.46</v>
      </c>
      <c r="Y79" s="6">
        <v>0.96</v>
      </c>
      <c r="Z79" s="6">
        <v>1.08</v>
      </c>
      <c r="AA79" s="6">
        <v>0.63</v>
      </c>
      <c r="AB79" s="6">
        <v>1.02</v>
      </c>
      <c r="AC79" s="6">
        <v>1.1000000000000001</v>
      </c>
      <c r="AD79" s="6">
        <v>1.67</v>
      </c>
      <c r="AE79" s="6">
        <v>1.75</v>
      </c>
      <c r="AF79" s="6">
        <v>2.0099999999999998</v>
      </c>
      <c r="AG79" s="6">
        <v>2</v>
      </c>
      <c r="AH79" s="6">
        <v>0.8</v>
      </c>
      <c r="AI79" s="6">
        <v>0.87</v>
      </c>
      <c r="AJ79" s="6">
        <v>1</v>
      </c>
      <c r="AK79" s="6">
        <v>2.57</v>
      </c>
      <c r="AL79" s="6">
        <v>1.03</v>
      </c>
      <c r="AM79" s="6">
        <v>0.79</v>
      </c>
      <c r="AN79" s="6">
        <v>0.87</v>
      </c>
      <c r="AO79" s="6">
        <v>1.07</v>
      </c>
      <c r="AP79" s="6">
        <v>2</v>
      </c>
      <c r="AQ79" s="6">
        <v>1.18</v>
      </c>
      <c r="AR79" s="6">
        <v>1.02</v>
      </c>
      <c r="AS79" s="6">
        <v>1.55</v>
      </c>
      <c r="AT79" s="6">
        <v>0.99</v>
      </c>
      <c r="AU79" s="6">
        <v>1.51</v>
      </c>
      <c r="AV79" s="6">
        <v>1.77</v>
      </c>
      <c r="AW79" s="6">
        <v>1.24</v>
      </c>
      <c r="AX79" s="6">
        <v>1.95</v>
      </c>
      <c r="AY79" s="6">
        <v>1.64</v>
      </c>
      <c r="AZ79" s="6">
        <v>1.73</v>
      </c>
      <c r="BA79" s="6">
        <v>2.0299999999999998</v>
      </c>
      <c r="BB79" s="6">
        <v>1.63</v>
      </c>
      <c r="BC79" s="6">
        <v>1.59</v>
      </c>
      <c r="BD79" s="6">
        <v>1.55776</v>
      </c>
      <c r="BE79" s="6">
        <v>2.14</v>
      </c>
      <c r="BF79" s="6">
        <v>1.79</v>
      </c>
      <c r="BG79" s="6">
        <v>1.45</v>
      </c>
      <c r="BH79" s="6">
        <v>2.72</v>
      </c>
      <c r="BI79" s="7">
        <v>1.74</v>
      </c>
      <c r="BJ79" s="6">
        <v>1.35</v>
      </c>
      <c r="BK79" s="6">
        <v>1.32</v>
      </c>
      <c r="BL79" s="6">
        <v>1.31</v>
      </c>
      <c r="BM79" s="6">
        <v>1.69</v>
      </c>
      <c r="BN79" s="6">
        <v>1.74</v>
      </c>
      <c r="BO79" s="6">
        <v>1.95</v>
      </c>
      <c r="BP79" s="6">
        <v>1.48</v>
      </c>
      <c r="BQ79" s="6">
        <v>1.88</v>
      </c>
      <c r="BR79" s="6">
        <v>1.99</v>
      </c>
      <c r="BS79" s="6">
        <v>1.56</v>
      </c>
      <c r="BT79" s="6">
        <v>2.35</v>
      </c>
      <c r="BU79" s="6">
        <v>2.12</v>
      </c>
      <c r="BV79" s="6">
        <v>2.14</v>
      </c>
      <c r="BW79" s="6">
        <v>1.71</v>
      </c>
      <c r="BX79" s="6">
        <v>1.74</v>
      </c>
      <c r="BY79" s="6">
        <v>1.36</v>
      </c>
      <c r="BZ79" s="6">
        <v>1.95</v>
      </c>
      <c r="CA79" s="6">
        <v>1.31</v>
      </c>
      <c r="CB79" s="6">
        <v>1.32</v>
      </c>
      <c r="CC79" s="6">
        <v>0.9</v>
      </c>
      <c r="CD79" s="6">
        <v>1.89</v>
      </c>
      <c r="CE79" s="6">
        <v>2.5900000000000003</v>
      </c>
      <c r="CF79" s="6">
        <v>1.48</v>
      </c>
      <c r="CG79" s="6">
        <v>1.01</v>
      </c>
      <c r="CH79" s="6"/>
    </row>
    <row r="80" spans="1:86" ht="15.75" customHeight="1" x14ac:dyDescent="0.25">
      <c r="A80" s="4">
        <v>78</v>
      </c>
      <c r="B80" s="2"/>
      <c r="C80" s="4">
        <v>19</v>
      </c>
      <c r="D80" s="6">
        <v>1.38</v>
      </c>
      <c r="E80" s="6">
        <v>1.03</v>
      </c>
      <c r="F80" s="6">
        <v>1.23</v>
      </c>
      <c r="G80" s="6">
        <v>0.88</v>
      </c>
      <c r="H80" s="6">
        <v>0.63</v>
      </c>
      <c r="I80" s="6">
        <v>0.83</v>
      </c>
      <c r="J80" s="6">
        <v>1.1299999999999999</v>
      </c>
      <c r="K80" s="6">
        <v>1.56</v>
      </c>
      <c r="L80" s="6">
        <v>2.93</v>
      </c>
      <c r="M80" s="6">
        <v>0.89</v>
      </c>
      <c r="N80" s="6">
        <v>2.0299999999999998</v>
      </c>
      <c r="O80" s="6">
        <v>1.38</v>
      </c>
      <c r="P80" s="6">
        <v>1.33</v>
      </c>
      <c r="Q80" s="6">
        <v>1.93</v>
      </c>
      <c r="R80" s="6">
        <v>1.23</v>
      </c>
      <c r="S80" s="6">
        <v>1.18</v>
      </c>
      <c r="T80" s="6">
        <v>0.46</v>
      </c>
      <c r="U80" s="6">
        <v>1.33</v>
      </c>
      <c r="V80" s="6">
        <v>0.93</v>
      </c>
      <c r="W80" s="6">
        <v>1.06</v>
      </c>
      <c r="X80" s="6">
        <v>1.24</v>
      </c>
      <c r="Y80" s="6">
        <v>0.96</v>
      </c>
      <c r="Z80" s="6">
        <v>1.17</v>
      </c>
      <c r="AA80" s="6">
        <v>0.69</v>
      </c>
      <c r="AB80" s="6">
        <v>0.94</v>
      </c>
      <c r="AC80" s="6">
        <v>1.04</v>
      </c>
      <c r="AD80" s="6">
        <v>1.63</v>
      </c>
      <c r="AE80" s="6">
        <v>1.41</v>
      </c>
      <c r="AF80" s="6">
        <v>2.27</v>
      </c>
      <c r="AG80" s="6">
        <v>2.02</v>
      </c>
      <c r="AH80" s="6">
        <v>0.8</v>
      </c>
      <c r="AI80" s="6">
        <v>0.87</v>
      </c>
      <c r="AJ80" s="6">
        <v>0.98</v>
      </c>
      <c r="AK80" s="6">
        <v>2.67</v>
      </c>
      <c r="AL80" s="6">
        <v>1.03</v>
      </c>
      <c r="AM80" s="6">
        <v>0.79</v>
      </c>
      <c r="AN80" s="6">
        <v>0.83</v>
      </c>
      <c r="AO80" s="6">
        <v>1.07</v>
      </c>
      <c r="AP80" s="6">
        <v>1.96</v>
      </c>
      <c r="AQ80" s="6">
        <v>1.1200000000000001</v>
      </c>
      <c r="AR80" s="6">
        <v>0.96</v>
      </c>
      <c r="AS80" s="6">
        <v>1.5</v>
      </c>
      <c r="AT80" s="6">
        <v>0.99</v>
      </c>
      <c r="AU80" s="6">
        <v>1.45</v>
      </c>
      <c r="AV80" s="6">
        <v>1.73</v>
      </c>
      <c r="AW80" s="6">
        <v>1.23</v>
      </c>
      <c r="AX80" s="6">
        <v>1.92</v>
      </c>
      <c r="AY80" s="6">
        <v>1.58</v>
      </c>
      <c r="AZ80" s="6">
        <v>1.75</v>
      </c>
      <c r="BA80" s="6">
        <v>2.13</v>
      </c>
      <c r="BB80" s="6">
        <v>1.68</v>
      </c>
      <c r="BC80" s="6">
        <v>1.55</v>
      </c>
      <c r="BD80" s="6">
        <v>1.5882400000000001</v>
      </c>
      <c r="BE80" s="6">
        <v>2.0499999999999998</v>
      </c>
      <c r="BF80" s="6">
        <v>1.79</v>
      </c>
      <c r="BG80" s="6">
        <v>1.45</v>
      </c>
      <c r="BH80" s="6">
        <v>2.62</v>
      </c>
      <c r="BI80" s="7">
        <v>1.74</v>
      </c>
      <c r="BJ80" s="6">
        <v>1.1299999999999999</v>
      </c>
      <c r="BK80" s="6">
        <v>1.37</v>
      </c>
      <c r="BL80" s="6">
        <v>1.33</v>
      </c>
      <c r="BM80" s="6">
        <v>1.75</v>
      </c>
      <c r="BN80" s="6">
        <v>1.68</v>
      </c>
      <c r="BO80" s="6">
        <v>1.9</v>
      </c>
      <c r="BP80" s="6">
        <v>1.53</v>
      </c>
      <c r="BQ80" s="6">
        <v>1.91</v>
      </c>
      <c r="BR80" s="6">
        <v>1.94</v>
      </c>
      <c r="BS80" s="6">
        <v>1.6</v>
      </c>
      <c r="BT80" s="6">
        <v>2.36</v>
      </c>
      <c r="BU80" s="6">
        <v>2.14</v>
      </c>
      <c r="BV80" s="6">
        <v>2.1</v>
      </c>
      <c r="BW80" s="6">
        <v>1.72</v>
      </c>
      <c r="BX80" s="6">
        <v>1.74</v>
      </c>
      <c r="BY80" s="6">
        <v>1.26</v>
      </c>
      <c r="BZ80" s="6">
        <v>1.95</v>
      </c>
      <c r="CA80" s="6">
        <v>1.36</v>
      </c>
      <c r="CB80" s="6">
        <v>1.38</v>
      </c>
      <c r="CC80" s="6">
        <v>0.9</v>
      </c>
      <c r="CD80" s="6">
        <v>1.89</v>
      </c>
      <c r="CE80" s="6">
        <v>2.6500000000000004</v>
      </c>
      <c r="CF80" s="6">
        <v>1.52</v>
      </c>
      <c r="CG80" s="6">
        <v>0.94</v>
      </c>
      <c r="CH80" s="6"/>
    </row>
    <row r="81" spans="1:86" ht="15.75" customHeight="1" x14ac:dyDescent="0.25">
      <c r="A81" s="4">
        <v>79</v>
      </c>
      <c r="B81" s="2"/>
      <c r="C81" s="4">
        <v>20</v>
      </c>
      <c r="D81" s="6">
        <v>1.43</v>
      </c>
      <c r="E81" s="6">
        <v>0.93</v>
      </c>
      <c r="F81" s="6">
        <v>1.18</v>
      </c>
      <c r="G81" s="6">
        <v>0.88</v>
      </c>
      <c r="H81" s="6">
        <v>0.63</v>
      </c>
      <c r="I81" s="6">
        <v>0.63</v>
      </c>
      <c r="J81" s="6">
        <v>1.08</v>
      </c>
      <c r="K81" s="6">
        <v>1.55</v>
      </c>
      <c r="L81" s="6">
        <v>2.83</v>
      </c>
      <c r="M81" s="6">
        <v>0.89</v>
      </c>
      <c r="N81" s="6">
        <v>1.93</v>
      </c>
      <c r="O81" s="6">
        <v>1.41</v>
      </c>
      <c r="P81" s="6">
        <v>1.33</v>
      </c>
      <c r="Q81" s="6">
        <v>2.13</v>
      </c>
      <c r="R81" s="6">
        <v>1.1299999999999999</v>
      </c>
      <c r="S81" s="6">
        <v>1.08</v>
      </c>
      <c r="T81" s="6">
        <v>0.43</v>
      </c>
      <c r="U81" s="6">
        <v>1.28</v>
      </c>
      <c r="V81" s="6">
        <v>1.01</v>
      </c>
      <c r="W81" s="6">
        <v>1.1100000000000001</v>
      </c>
      <c r="X81" s="6">
        <v>1.18</v>
      </c>
      <c r="Y81" s="6">
        <v>0.99</v>
      </c>
      <c r="Z81" s="6">
        <v>1.1200000000000001</v>
      </c>
      <c r="AA81" s="6">
        <v>0.71</v>
      </c>
      <c r="AB81" s="6">
        <v>0.9</v>
      </c>
      <c r="AC81" s="6">
        <v>1</v>
      </c>
      <c r="AD81" s="6">
        <v>1.55</v>
      </c>
      <c r="AE81" s="6">
        <v>1.35</v>
      </c>
      <c r="AF81" s="6">
        <v>2.0099999999999998</v>
      </c>
      <c r="AG81" s="6">
        <v>2.64</v>
      </c>
      <c r="AH81" s="6">
        <v>0.84</v>
      </c>
      <c r="AI81" s="6">
        <v>0.91</v>
      </c>
      <c r="AJ81" s="6">
        <v>0.93</v>
      </c>
      <c r="AK81" s="6">
        <v>2.59</v>
      </c>
      <c r="AL81" s="6">
        <v>1.05</v>
      </c>
      <c r="AM81" s="6">
        <v>0.82</v>
      </c>
      <c r="AN81" s="6">
        <v>0.85</v>
      </c>
      <c r="AO81" s="6">
        <v>0.99</v>
      </c>
      <c r="AP81" s="6">
        <v>1.88</v>
      </c>
      <c r="AQ81" s="6">
        <v>1.08</v>
      </c>
      <c r="AR81" s="6">
        <v>0.87</v>
      </c>
      <c r="AS81" s="6">
        <v>1.5</v>
      </c>
      <c r="AT81" s="6">
        <v>1.07</v>
      </c>
      <c r="AU81" s="6">
        <v>1.43</v>
      </c>
      <c r="AV81" s="6">
        <v>1.68</v>
      </c>
      <c r="AW81" s="6">
        <v>1.1299999999999999</v>
      </c>
      <c r="AX81" s="6">
        <v>1.91</v>
      </c>
      <c r="AY81" s="6">
        <v>1.53</v>
      </c>
      <c r="AZ81" s="6">
        <v>1.81</v>
      </c>
      <c r="BA81" s="6">
        <v>2.13</v>
      </c>
      <c r="BB81" s="6">
        <v>1.65</v>
      </c>
      <c r="BC81" s="6">
        <v>1.47</v>
      </c>
      <c r="BD81" s="6">
        <v>1.5882400000000001</v>
      </c>
      <c r="BE81" s="6">
        <v>2.0099999999999998</v>
      </c>
      <c r="BF81" s="6">
        <v>1.79</v>
      </c>
      <c r="BG81" s="6">
        <v>1.45</v>
      </c>
      <c r="BH81" s="6">
        <v>2.62</v>
      </c>
      <c r="BI81" s="7">
        <v>1.71</v>
      </c>
      <c r="BJ81" s="6">
        <v>1.22</v>
      </c>
      <c r="BK81" s="6">
        <v>1.37</v>
      </c>
      <c r="BL81" s="6">
        <v>1.41</v>
      </c>
      <c r="BM81" s="6">
        <v>1.75</v>
      </c>
      <c r="BN81" s="6">
        <v>1.63</v>
      </c>
      <c r="BO81" s="6">
        <v>1.88</v>
      </c>
      <c r="BP81" s="6">
        <v>1.54</v>
      </c>
      <c r="BQ81" s="6">
        <v>1.96</v>
      </c>
      <c r="BR81" s="6">
        <v>1.98</v>
      </c>
      <c r="BS81" s="6">
        <v>1.55</v>
      </c>
      <c r="BT81" s="6">
        <v>2.37</v>
      </c>
      <c r="BU81" s="6">
        <v>2.14</v>
      </c>
      <c r="BV81" s="6">
        <v>2.09</v>
      </c>
      <c r="BW81" s="6">
        <v>1.7</v>
      </c>
      <c r="BX81" s="6">
        <v>1.76</v>
      </c>
      <c r="BY81" s="6">
        <v>1.25</v>
      </c>
      <c r="BZ81" s="6">
        <v>1.92</v>
      </c>
      <c r="CA81" s="6">
        <v>1.43</v>
      </c>
      <c r="CB81" s="6">
        <v>1.46</v>
      </c>
      <c r="CC81" s="6">
        <v>0.88</v>
      </c>
      <c r="CD81" s="6">
        <v>1.8699999999999999</v>
      </c>
      <c r="CE81" s="6">
        <v>2.68</v>
      </c>
      <c r="CF81" s="6">
        <v>1.58</v>
      </c>
      <c r="CG81" s="6">
        <v>0.99</v>
      </c>
      <c r="CH81" s="6"/>
    </row>
    <row r="82" spans="1:86" ht="15.75" customHeight="1" x14ac:dyDescent="0.25">
      <c r="A82" s="4">
        <v>80</v>
      </c>
      <c r="B82" s="2"/>
      <c r="C82" s="4">
        <v>21</v>
      </c>
      <c r="D82" s="6">
        <v>1.53</v>
      </c>
      <c r="E82" s="6">
        <v>0.98</v>
      </c>
      <c r="F82" s="6">
        <v>1.08</v>
      </c>
      <c r="G82" s="6">
        <v>0.91</v>
      </c>
      <c r="H82" s="6">
        <v>0.63</v>
      </c>
      <c r="I82" s="6">
        <v>0.63</v>
      </c>
      <c r="J82" s="6">
        <v>1.03</v>
      </c>
      <c r="K82" s="6">
        <v>1.57</v>
      </c>
      <c r="L82" s="6">
        <v>2.73</v>
      </c>
      <c r="M82" s="6">
        <v>0.89</v>
      </c>
      <c r="N82" s="6">
        <v>1.83</v>
      </c>
      <c r="O82" s="6">
        <v>1.38</v>
      </c>
      <c r="P82" s="6">
        <v>1.43</v>
      </c>
      <c r="Q82" s="6">
        <v>2.41</v>
      </c>
      <c r="R82" s="6">
        <v>1.1299999999999999</v>
      </c>
      <c r="S82" s="6">
        <v>1.33</v>
      </c>
      <c r="T82" s="6">
        <v>0.46</v>
      </c>
      <c r="U82" s="6">
        <v>1.18</v>
      </c>
      <c r="V82" s="6">
        <v>1.06</v>
      </c>
      <c r="W82" s="6">
        <v>1.1399999999999999</v>
      </c>
      <c r="X82" s="6">
        <v>1.21</v>
      </c>
      <c r="Y82" s="6">
        <v>0.91</v>
      </c>
      <c r="Z82" s="6">
        <v>1.1000000000000001</v>
      </c>
      <c r="AA82" s="6">
        <v>0.78</v>
      </c>
      <c r="AB82" s="6">
        <v>0.99</v>
      </c>
      <c r="AC82" s="6">
        <v>0.91</v>
      </c>
      <c r="AD82" s="6">
        <v>1.47</v>
      </c>
      <c r="AE82" s="6">
        <v>1.3</v>
      </c>
      <c r="AF82" s="6">
        <v>1.95</v>
      </c>
      <c r="AG82" s="6">
        <v>2.3199999999999998</v>
      </c>
      <c r="AH82" s="6">
        <v>0.84</v>
      </c>
      <c r="AI82" s="6">
        <v>0.93</v>
      </c>
      <c r="AJ82" s="6">
        <v>1</v>
      </c>
      <c r="AK82" s="6">
        <v>2.61</v>
      </c>
      <c r="AL82" s="6">
        <v>0.95</v>
      </c>
      <c r="AM82" s="6">
        <v>0.88</v>
      </c>
      <c r="AN82" s="6">
        <v>0.87</v>
      </c>
      <c r="AO82" s="6">
        <v>0.93</v>
      </c>
      <c r="AP82" s="6">
        <v>1.85</v>
      </c>
      <c r="AQ82" s="6">
        <v>1.1399999999999999</v>
      </c>
      <c r="AR82" s="6">
        <v>0.83</v>
      </c>
      <c r="AS82" s="6">
        <v>1.5</v>
      </c>
      <c r="AT82" s="6">
        <v>1.08</v>
      </c>
      <c r="AU82" s="6">
        <v>1.4</v>
      </c>
      <c r="AV82" s="6">
        <v>1.64</v>
      </c>
      <c r="AW82" s="6">
        <v>1.1299999999999999</v>
      </c>
      <c r="AX82" s="6">
        <v>1.93</v>
      </c>
      <c r="AY82" s="6">
        <v>1.53</v>
      </c>
      <c r="AZ82" s="6">
        <v>1.85</v>
      </c>
      <c r="BA82" s="6">
        <v>2.13</v>
      </c>
      <c r="BB82" s="6">
        <v>1.71</v>
      </c>
      <c r="BC82" s="6">
        <v>1.36</v>
      </c>
      <c r="BD82" s="6">
        <v>1.5882400000000001</v>
      </c>
      <c r="BE82" s="6">
        <v>2.19</v>
      </c>
      <c r="BF82" s="6">
        <v>2.04</v>
      </c>
      <c r="BG82" s="6">
        <v>1.45</v>
      </c>
      <c r="BH82" s="6">
        <v>2.56</v>
      </c>
      <c r="BI82" s="6">
        <v>1.69</v>
      </c>
      <c r="BJ82" s="6">
        <v>1.3</v>
      </c>
      <c r="BK82" s="6">
        <v>1.39</v>
      </c>
      <c r="BL82" s="6">
        <v>1.42</v>
      </c>
      <c r="BM82" s="6">
        <v>1.73</v>
      </c>
      <c r="BN82" s="6">
        <v>1.63</v>
      </c>
      <c r="BO82" s="6">
        <v>1.95</v>
      </c>
      <c r="BP82" s="6">
        <v>1.6</v>
      </c>
      <c r="BQ82" s="6">
        <v>1.95</v>
      </c>
      <c r="BR82" s="6">
        <v>2.11</v>
      </c>
      <c r="BS82" s="6">
        <v>1.58</v>
      </c>
      <c r="BT82" s="6">
        <v>2.39</v>
      </c>
      <c r="BU82" s="6">
        <v>2.21</v>
      </c>
      <c r="BV82" s="6">
        <v>2.0699999999999998</v>
      </c>
      <c r="BW82" s="6">
        <v>1.68</v>
      </c>
      <c r="BX82" s="6">
        <v>1.74</v>
      </c>
      <c r="BY82" s="6">
        <v>1.23</v>
      </c>
      <c r="BZ82" s="6">
        <v>2.02</v>
      </c>
      <c r="CA82" s="6">
        <v>1.5799999999999998</v>
      </c>
      <c r="CB82" s="6">
        <v>1.48</v>
      </c>
      <c r="CC82" s="6">
        <v>0.87</v>
      </c>
      <c r="CD82" s="6">
        <v>1.95</v>
      </c>
      <c r="CE82" s="6">
        <v>2.72</v>
      </c>
      <c r="CF82" s="6">
        <v>1.67</v>
      </c>
      <c r="CG82" s="6">
        <v>1</v>
      </c>
      <c r="CH82" s="6"/>
    </row>
    <row r="83" spans="1:86" ht="15.75" customHeight="1" x14ac:dyDescent="0.25">
      <c r="A83" s="4">
        <v>81</v>
      </c>
      <c r="B83" s="2"/>
      <c r="C83" s="4">
        <v>22</v>
      </c>
      <c r="D83" s="6">
        <v>1.63</v>
      </c>
      <c r="E83" s="6">
        <v>1.1299999999999999</v>
      </c>
      <c r="F83" s="6">
        <v>0.83</v>
      </c>
      <c r="G83" s="6">
        <v>0.98</v>
      </c>
      <c r="H83" s="6">
        <v>0.73</v>
      </c>
      <c r="I83" s="6">
        <v>0.57999999999999996</v>
      </c>
      <c r="J83" s="6">
        <v>0.83</v>
      </c>
      <c r="K83" s="6">
        <v>1.53</v>
      </c>
      <c r="L83" s="6">
        <v>2.68</v>
      </c>
      <c r="M83" s="6">
        <v>0.89</v>
      </c>
      <c r="N83" s="6">
        <v>1.63</v>
      </c>
      <c r="O83" s="6">
        <v>1.38</v>
      </c>
      <c r="P83" s="6">
        <v>1.73</v>
      </c>
      <c r="Q83" s="6">
        <v>2.5099999999999998</v>
      </c>
      <c r="R83" s="6">
        <v>1.03</v>
      </c>
      <c r="S83" s="6">
        <v>1.38</v>
      </c>
      <c r="T83" s="6">
        <v>0.44</v>
      </c>
      <c r="U83" s="6">
        <v>1.06</v>
      </c>
      <c r="V83" s="6">
        <v>0.96</v>
      </c>
      <c r="W83" s="6">
        <v>1.21</v>
      </c>
      <c r="X83" s="6">
        <v>1.31</v>
      </c>
      <c r="Y83" s="6">
        <v>0.76</v>
      </c>
      <c r="Z83" s="6">
        <v>1.2</v>
      </c>
      <c r="AA83" s="6">
        <v>0.77</v>
      </c>
      <c r="AB83" s="6">
        <v>1.1599999999999999</v>
      </c>
      <c r="AC83" s="6">
        <v>0.88</v>
      </c>
      <c r="AD83" s="6">
        <v>1.47</v>
      </c>
      <c r="AE83" s="6">
        <v>1.37</v>
      </c>
      <c r="AF83" s="6">
        <v>1.93</v>
      </c>
      <c r="AG83" s="6">
        <v>2.0099999999999998</v>
      </c>
      <c r="AH83" s="6">
        <v>0.83</v>
      </c>
      <c r="AI83" s="6">
        <v>0.97</v>
      </c>
      <c r="AJ83" s="6">
        <v>1.01</v>
      </c>
      <c r="AK83" s="6">
        <v>2.5499999999999998</v>
      </c>
      <c r="AL83" s="6">
        <v>0.95</v>
      </c>
      <c r="AM83" s="6">
        <v>0.94</v>
      </c>
      <c r="AN83" s="6">
        <v>0.85</v>
      </c>
      <c r="AO83" s="6">
        <v>0.87</v>
      </c>
      <c r="AP83" s="6">
        <v>1.85</v>
      </c>
      <c r="AQ83" s="6">
        <v>1.1599999999999999</v>
      </c>
      <c r="AR83" s="6">
        <v>0.81</v>
      </c>
      <c r="AS83" s="6">
        <v>1.4</v>
      </c>
      <c r="AT83" s="6">
        <v>1.07</v>
      </c>
      <c r="AU83" s="6">
        <v>1.38</v>
      </c>
      <c r="AV83" s="6">
        <v>1.55</v>
      </c>
      <c r="AW83" s="6">
        <v>1.25</v>
      </c>
      <c r="AX83" s="6">
        <v>1.93</v>
      </c>
      <c r="AY83" s="6">
        <v>1.61</v>
      </c>
      <c r="AZ83" s="6">
        <v>1.93</v>
      </c>
      <c r="BA83" s="6">
        <v>2.13</v>
      </c>
      <c r="BB83" s="6">
        <v>1.73</v>
      </c>
      <c r="BC83" s="6">
        <v>1.37</v>
      </c>
      <c r="BD83" s="6">
        <v>1.6796800000000001</v>
      </c>
      <c r="BE83" s="6">
        <v>2.16</v>
      </c>
      <c r="BF83" s="6">
        <v>2.16</v>
      </c>
      <c r="BG83" s="6">
        <v>1.45</v>
      </c>
      <c r="BH83" s="6">
        <v>2.41</v>
      </c>
      <c r="BI83" s="6">
        <v>1.72</v>
      </c>
      <c r="BJ83" s="6">
        <v>1.36</v>
      </c>
      <c r="BK83" s="6">
        <v>1.35</v>
      </c>
      <c r="BL83" s="6">
        <v>1.42</v>
      </c>
      <c r="BM83" s="6">
        <v>1.73</v>
      </c>
      <c r="BN83" s="6">
        <v>1.67</v>
      </c>
      <c r="BO83" s="6">
        <v>1.97</v>
      </c>
      <c r="BP83" s="6">
        <v>1.59</v>
      </c>
      <c r="BQ83" s="6">
        <v>1.96</v>
      </c>
      <c r="BR83" s="6">
        <v>2.14</v>
      </c>
      <c r="BS83" s="6">
        <v>1.54</v>
      </c>
      <c r="BT83" s="6">
        <v>2.4500000000000002</v>
      </c>
      <c r="BU83" s="6">
        <v>2.21</v>
      </c>
      <c r="BV83" s="6">
        <v>2.0699999999999998</v>
      </c>
      <c r="BW83" s="6">
        <v>1.73</v>
      </c>
      <c r="BX83" s="6">
        <v>1.73</v>
      </c>
      <c r="BY83" s="6">
        <v>1.26</v>
      </c>
      <c r="BZ83" s="6">
        <v>1.92</v>
      </c>
      <c r="CA83" s="6">
        <v>1.6199999999999999</v>
      </c>
      <c r="CB83" s="6">
        <v>1.51</v>
      </c>
      <c r="CC83" s="6">
        <v>0.87</v>
      </c>
      <c r="CD83" s="6">
        <v>2</v>
      </c>
      <c r="CE83" s="6">
        <v>2.79</v>
      </c>
      <c r="CF83" s="6">
        <v>1.75</v>
      </c>
      <c r="CG83" s="6">
        <v>1.08</v>
      </c>
      <c r="CH83" s="6"/>
    </row>
    <row r="84" spans="1:86" ht="15.75" customHeight="1" x14ac:dyDescent="0.25">
      <c r="A84" s="4">
        <v>82</v>
      </c>
      <c r="B84" s="2"/>
      <c r="C84" s="4">
        <v>23</v>
      </c>
      <c r="D84" s="6">
        <v>1.78</v>
      </c>
      <c r="E84" s="6">
        <v>1.1299999999999999</v>
      </c>
      <c r="F84" s="6">
        <v>0.78</v>
      </c>
      <c r="G84" s="6">
        <v>0.91</v>
      </c>
      <c r="H84" s="6">
        <v>0.73</v>
      </c>
      <c r="I84" s="6">
        <v>0.73</v>
      </c>
      <c r="J84" s="6">
        <v>0.63</v>
      </c>
      <c r="K84" s="6">
        <v>1.53</v>
      </c>
      <c r="L84" s="6">
        <v>2.63</v>
      </c>
      <c r="M84" s="6">
        <v>0.83</v>
      </c>
      <c r="N84" s="6">
        <v>1.53</v>
      </c>
      <c r="O84" s="6">
        <v>1.38</v>
      </c>
      <c r="P84" s="6">
        <v>1.98</v>
      </c>
      <c r="Q84" s="6">
        <v>2.63</v>
      </c>
      <c r="R84" s="6">
        <v>0.98</v>
      </c>
      <c r="S84" s="6">
        <v>1.38</v>
      </c>
      <c r="T84" s="6">
        <v>0.43</v>
      </c>
      <c r="U84" s="6">
        <v>1.01</v>
      </c>
      <c r="V84" s="6">
        <v>0.91</v>
      </c>
      <c r="W84" s="6">
        <v>1.31</v>
      </c>
      <c r="X84" s="6">
        <v>1.31</v>
      </c>
      <c r="Y84" s="6">
        <v>0.46</v>
      </c>
      <c r="Z84" s="6">
        <v>1.08</v>
      </c>
      <c r="AA84" s="6">
        <v>0.79</v>
      </c>
      <c r="AB84" s="6">
        <v>1.28</v>
      </c>
      <c r="AC84" s="6">
        <v>0.85</v>
      </c>
      <c r="AD84" s="6">
        <v>1.43</v>
      </c>
      <c r="AE84" s="6">
        <v>1.41</v>
      </c>
      <c r="AF84" s="6">
        <v>1.93</v>
      </c>
      <c r="AG84" s="6">
        <v>2.4500000000000002</v>
      </c>
      <c r="AH84" s="6">
        <v>0.77</v>
      </c>
      <c r="AI84" s="6">
        <v>1.07</v>
      </c>
      <c r="AJ84" s="6">
        <v>0.99</v>
      </c>
      <c r="AK84" s="6">
        <v>2.37</v>
      </c>
      <c r="AL84" s="6">
        <v>0.97</v>
      </c>
      <c r="AM84" s="6">
        <v>0.97</v>
      </c>
      <c r="AN84" s="6">
        <v>0.91</v>
      </c>
      <c r="AO84" s="6">
        <v>0.79</v>
      </c>
      <c r="AP84" s="6">
        <v>1.7</v>
      </c>
      <c r="AQ84" s="6">
        <v>1.24</v>
      </c>
      <c r="AR84" s="6">
        <v>0.78</v>
      </c>
      <c r="AS84" s="6">
        <v>1.3</v>
      </c>
      <c r="AT84" s="6">
        <v>1.08</v>
      </c>
      <c r="AU84" s="6">
        <v>1.43</v>
      </c>
      <c r="AV84" s="6">
        <v>1.42</v>
      </c>
      <c r="AW84" s="6">
        <v>1.07</v>
      </c>
      <c r="AX84" s="6">
        <v>1.95</v>
      </c>
      <c r="AY84" s="6">
        <v>1.67</v>
      </c>
      <c r="AZ84" s="6">
        <v>1.96</v>
      </c>
      <c r="BA84" s="6">
        <v>1.98</v>
      </c>
      <c r="BB84" s="6">
        <v>1.8</v>
      </c>
      <c r="BC84" s="6">
        <v>1.47</v>
      </c>
      <c r="BD84" s="6">
        <v>1.6492</v>
      </c>
      <c r="BE84" s="6">
        <v>2.2000000000000002</v>
      </c>
      <c r="BF84" s="6">
        <v>2.0699999999999998</v>
      </c>
      <c r="BG84" s="6">
        <v>1.27</v>
      </c>
      <c r="BH84" s="6">
        <v>2.41</v>
      </c>
      <c r="BI84" s="6">
        <v>1.72</v>
      </c>
      <c r="BJ84" s="6">
        <v>1.34</v>
      </c>
      <c r="BK84" s="6">
        <v>1.35</v>
      </c>
      <c r="BL84" s="6">
        <v>1.46</v>
      </c>
      <c r="BM84" s="6">
        <v>1.7</v>
      </c>
      <c r="BN84" s="6">
        <v>1.75</v>
      </c>
      <c r="BO84" s="6">
        <v>2</v>
      </c>
      <c r="BP84" s="6">
        <v>1.59</v>
      </c>
      <c r="BQ84" s="6">
        <v>2</v>
      </c>
      <c r="BR84" s="6">
        <v>2.09</v>
      </c>
      <c r="BS84" s="6">
        <v>1.53</v>
      </c>
      <c r="BT84" s="6">
        <v>2.4700000000000002</v>
      </c>
      <c r="BU84" s="6">
        <v>2.2000000000000002</v>
      </c>
      <c r="BV84" s="6">
        <v>2.0699999999999998</v>
      </c>
      <c r="BW84" s="6">
        <v>1.7</v>
      </c>
      <c r="BX84" s="6">
        <v>1.77</v>
      </c>
      <c r="BY84" s="6">
        <v>1.28</v>
      </c>
      <c r="BZ84" s="6">
        <v>2.0699999999999998</v>
      </c>
      <c r="CA84" s="6">
        <v>1.58</v>
      </c>
      <c r="CB84" s="6">
        <v>1.54</v>
      </c>
      <c r="CC84" s="6">
        <v>0.85</v>
      </c>
      <c r="CD84" s="6">
        <v>1.92</v>
      </c>
      <c r="CE84" s="6">
        <v>2.79</v>
      </c>
      <c r="CF84" s="6">
        <v>1.83</v>
      </c>
      <c r="CG84" s="6">
        <v>1.1499999999999999</v>
      </c>
      <c r="CH84" s="6"/>
    </row>
    <row r="85" spans="1:86" ht="15.75" customHeight="1" x14ac:dyDescent="0.25">
      <c r="A85" s="4">
        <v>83</v>
      </c>
      <c r="B85" s="2"/>
      <c r="C85" s="4">
        <v>24</v>
      </c>
      <c r="D85" s="6">
        <v>1.83</v>
      </c>
      <c r="E85" s="6">
        <v>1.23</v>
      </c>
      <c r="F85" s="6">
        <v>0.78</v>
      </c>
      <c r="G85" s="6">
        <v>0.88</v>
      </c>
      <c r="H85" s="6">
        <v>0.73</v>
      </c>
      <c r="I85" s="6">
        <v>0.53</v>
      </c>
      <c r="J85" s="6">
        <v>0.63</v>
      </c>
      <c r="K85" s="6">
        <v>1.51</v>
      </c>
      <c r="L85" s="6">
        <v>2.5299999999999998</v>
      </c>
      <c r="M85" s="6">
        <v>0.98</v>
      </c>
      <c r="N85" s="6">
        <v>1.58</v>
      </c>
      <c r="O85" s="6">
        <v>1.38</v>
      </c>
      <c r="P85" s="6">
        <v>2.13</v>
      </c>
      <c r="Q85" s="6">
        <v>2.67</v>
      </c>
      <c r="R85" s="6">
        <v>0.88</v>
      </c>
      <c r="S85" s="6">
        <v>1.33</v>
      </c>
      <c r="T85" s="6">
        <v>0.51</v>
      </c>
      <c r="U85" s="6">
        <v>1.01</v>
      </c>
      <c r="V85" s="6">
        <v>0.86</v>
      </c>
      <c r="W85" s="6">
        <v>1.36</v>
      </c>
      <c r="X85" s="6">
        <v>1.41</v>
      </c>
      <c r="Y85" s="6">
        <v>0.49</v>
      </c>
      <c r="Z85" s="6">
        <v>0.98</v>
      </c>
      <c r="AA85" s="6">
        <v>0.83</v>
      </c>
      <c r="AB85" s="6">
        <v>1.36</v>
      </c>
      <c r="AC85" s="6">
        <v>0.88</v>
      </c>
      <c r="AD85" s="6">
        <v>1.35</v>
      </c>
      <c r="AE85" s="6">
        <v>1.44</v>
      </c>
      <c r="AF85" s="6">
        <v>2.0299999999999998</v>
      </c>
      <c r="AG85" s="6">
        <v>2.14</v>
      </c>
      <c r="AH85" s="6">
        <v>0.79</v>
      </c>
      <c r="AI85" s="6">
        <v>1.1100000000000001</v>
      </c>
      <c r="AJ85" s="6">
        <v>1.05</v>
      </c>
      <c r="AK85" s="6">
        <v>2.2400000000000002</v>
      </c>
      <c r="AL85" s="6">
        <v>0.89</v>
      </c>
      <c r="AM85" s="6">
        <v>0.97</v>
      </c>
      <c r="AN85" s="6">
        <v>0.95</v>
      </c>
      <c r="AO85" s="6">
        <v>0.69</v>
      </c>
      <c r="AP85" s="6">
        <v>1.65</v>
      </c>
      <c r="AQ85" s="6">
        <v>1.3</v>
      </c>
      <c r="AR85" s="6">
        <v>0.78</v>
      </c>
      <c r="AS85" s="6">
        <v>1.22</v>
      </c>
      <c r="AT85" s="6">
        <v>1.05</v>
      </c>
      <c r="AU85" s="6">
        <v>1.47</v>
      </c>
      <c r="AV85" s="6">
        <v>1.47</v>
      </c>
      <c r="AW85" s="6">
        <v>0.97</v>
      </c>
      <c r="AX85" s="6">
        <v>1.95</v>
      </c>
      <c r="AY85" s="6">
        <v>1.74</v>
      </c>
      <c r="AZ85" s="6">
        <v>1.96</v>
      </c>
      <c r="BA85" s="6">
        <v>1.98</v>
      </c>
      <c r="BB85" s="6">
        <v>1.9</v>
      </c>
      <c r="BC85" s="6">
        <v>1.47</v>
      </c>
      <c r="BD85" s="6">
        <v>1.6187199999999999</v>
      </c>
      <c r="BE85" s="6">
        <v>2.11</v>
      </c>
      <c r="BF85" s="6">
        <v>2.0699999999999998</v>
      </c>
      <c r="BG85" s="6">
        <v>1.27</v>
      </c>
      <c r="BH85" s="6">
        <v>2.38</v>
      </c>
      <c r="BI85" s="6">
        <v>1.65</v>
      </c>
      <c r="BJ85" s="6">
        <v>1.37</v>
      </c>
      <c r="BK85" s="6">
        <v>1.38</v>
      </c>
      <c r="BL85" s="6">
        <v>1.42</v>
      </c>
      <c r="BM85" s="6">
        <v>1.74</v>
      </c>
      <c r="BN85" s="6">
        <v>1.79</v>
      </c>
      <c r="BO85" s="6">
        <v>1.95</v>
      </c>
      <c r="BP85" s="6">
        <v>1.59</v>
      </c>
      <c r="BQ85" s="6">
        <v>2.0299999999999998</v>
      </c>
      <c r="BR85" s="6">
        <v>2.16</v>
      </c>
      <c r="BS85" s="6">
        <v>1.51</v>
      </c>
      <c r="BT85" s="6">
        <v>2.48</v>
      </c>
      <c r="BU85" s="6">
        <v>2.17</v>
      </c>
      <c r="BV85" s="6">
        <v>2.0100000000000002</v>
      </c>
      <c r="BW85" s="6">
        <v>1.63</v>
      </c>
      <c r="BX85" s="6">
        <v>1.8299999999999998</v>
      </c>
      <c r="BY85" s="6">
        <v>1.29</v>
      </c>
      <c r="BZ85" s="6">
        <v>2.0500000000000003</v>
      </c>
      <c r="CA85" s="6">
        <v>1.5</v>
      </c>
      <c r="CB85" s="6">
        <v>1.53</v>
      </c>
      <c r="CC85" s="6">
        <v>0.84</v>
      </c>
      <c r="CD85" s="6">
        <v>1.99</v>
      </c>
      <c r="CE85" s="6">
        <v>2.74</v>
      </c>
      <c r="CF85" s="6">
        <v>1.78</v>
      </c>
      <c r="CG85" s="6">
        <v>1.18</v>
      </c>
      <c r="CH85" s="6"/>
    </row>
    <row r="86" spans="1:86" ht="15.75" customHeight="1" x14ac:dyDescent="0.25">
      <c r="A86" s="4">
        <v>84</v>
      </c>
      <c r="B86" s="2"/>
      <c r="C86" s="4">
        <v>25</v>
      </c>
      <c r="D86" s="6">
        <v>1.93</v>
      </c>
      <c r="E86" s="6">
        <v>1.33</v>
      </c>
      <c r="F86" s="6">
        <v>0.78</v>
      </c>
      <c r="G86" s="6">
        <v>0.88</v>
      </c>
      <c r="H86" s="6">
        <v>0.73</v>
      </c>
      <c r="I86" s="6">
        <v>0.57999999999999996</v>
      </c>
      <c r="J86" s="6">
        <v>0.63</v>
      </c>
      <c r="K86" s="6">
        <v>1.48</v>
      </c>
      <c r="L86" s="6">
        <v>2.4300000000000002</v>
      </c>
      <c r="M86" s="6">
        <v>1.01</v>
      </c>
      <c r="N86" s="6">
        <v>1.63</v>
      </c>
      <c r="O86" s="6">
        <v>1.33</v>
      </c>
      <c r="P86" s="6">
        <v>2.23</v>
      </c>
      <c r="Q86" s="6">
        <v>2.63</v>
      </c>
      <c r="R86" s="6">
        <v>0.88</v>
      </c>
      <c r="S86" s="6">
        <v>1.38</v>
      </c>
      <c r="T86" s="6">
        <v>0.71</v>
      </c>
      <c r="U86" s="6">
        <v>0.98</v>
      </c>
      <c r="V86" s="6">
        <v>0.76</v>
      </c>
      <c r="W86" s="6">
        <v>1.31</v>
      </c>
      <c r="X86" s="6">
        <v>1.4</v>
      </c>
      <c r="Y86" s="6">
        <v>0.53</v>
      </c>
      <c r="Z86" s="6">
        <v>0.9</v>
      </c>
      <c r="AA86" s="6">
        <v>0.89</v>
      </c>
      <c r="AB86" s="6">
        <v>1.39</v>
      </c>
      <c r="AC86" s="6">
        <v>1</v>
      </c>
      <c r="AD86" s="6">
        <v>1.25</v>
      </c>
      <c r="AE86" s="6">
        <v>1.43</v>
      </c>
      <c r="AF86" s="6">
        <v>2.0499999999999998</v>
      </c>
      <c r="AG86" s="6">
        <v>1.91</v>
      </c>
      <c r="AH86" s="6">
        <v>0.75</v>
      </c>
      <c r="AI86" s="6">
        <v>1.1100000000000001</v>
      </c>
      <c r="AJ86" s="6">
        <v>1.06</v>
      </c>
      <c r="AK86" s="6">
        <v>2.23</v>
      </c>
      <c r="AL86" s="6">
        <v>0.85</v>
      </c>
      <c r="AM86" s="6">
        <v>0.91</v>
      </c>
      <c r="AN86" s="6">
        <v>1.06</v>
      </c>
      <c r="AO86" s="6">
        <v>0.67</v>
      </c>
      <c r="AP86" s="6">
        <v>1.6</v>
      </c>
      <c r="AQ86" s="6">
        <v>1.25</v>
      </c>
      <c r="AR86" s="6">
        <v>0.8</v>
      </c>
      <c r="AS86" s="6">
        <v>1.1000000000000001</v>
      </c>
      <c r="AT86" s="6">
        <v>1.07</v>
      </c>
      <c r="AU86" s="6">
        <v>1.52</v>
      </c>
      <c r="AV86" s="6">
        <v>1.49</v>
      </c>
      <c r="AW86" s="6">
        <v>0.91</v>
      </c>
      <c r="AX86" s="6">
        <v>1.86</v>
      </c>
      <c r="AY86" s="6">
        <v>1.74</v>
      </c>
      <c r="AZ86" s="6">
        <v>1.77</v>
      </c>
      <c r="BA86" s="6">
        <v>1.98</v>
      </c>
      <c r="BB86" s="6">
        <v>2.02</v>
      </c>
      <c r="BC86" s="6">
        <v>1.52</v>
      </c>
      <c r="BD86" s="6">
        <v>1.5882400000000001</v>
      </c>
      <c r="BE86" s="6">
        <v>2.08</v>
      </c>
      <c r="BF86" s="6">
        <v>2.0699999999999998</v>
      </c>
      <c r="BG86" s="6">
        <v>1.37</v>
      </c>
      <c r="BH86" s="6">
        <v>2.36</v>
      </c>
      <c r="BI86" s="6">
        <v>1.69</v>
      </c>
      <c r="BJ86" s="6">
        <v>1.36</v>
      </c>
      <c r="BK86" s="6">
        <v>1.39</v>
      </c>
      <c r="BL86" s="6">
        <v>1.36</v>
      </c>
      <c r="BM86" s="6">
        <v>1.74</v>
      </c>
      <c r="BN86" s="6">
        <v>1.72</v>
      </c>
      <c r="BO86" s="6">
        <v>2</v>
      </c>
      <c r="BP86" s="6">
        <v>1.51</v>
      </c>
      <c r="BQ86" s="6">
        <v>2.0299999999999998</v>
      </c>
      <c r="BR86" s="6">
        <v>2.16</v>
      </c>
      <c r="BS86" s="6">
        <v>1.58</v>
      </c>
      <c r="BT86" s="6">
        <v>2.48</v>
      </c>
      <c r="BU86" s="6">
        <v>2.23</v>
      </c>
      <c r="BV86" s="6">
        <v>2.0300000000000002</v>
      </c>
      <c r="BW86" s="6">
        <v>1.7</v>
      </c>
      <c r="BX86" s="6">
        <v>1.8</v>
      </c>
      <c r="BY86" s="6">
        <v>1.3</v>
      </c>
      <c r="BZ86" s="6">
        <v>2.04</v>
      </c>
      <c r="CA86" s="6">
        <v>1.43</v>
      </c>
      <c r="CB86" s="6">
        <v>1.51</v>
      </c>
      <c r="CC86" s="6">
        <v>0.84</v>
      </c>
      <c r="CD86" s="6">
        <v>1.94</v>
      </c>
      <c r="CE86" s="6">
        <v>2.8200000000000003</v>
      </c>
      <c r="CF86" s="6">
        <v>1.81</v>
      </c>
      <c r="CG86" s="6">
        <v>1.23</v>
      </c>
      <c r="CH86" s="6"/>
    </row>
    <row r="87" spans="1:86" ht="15.75" customHeight="1" x14ac:dyDescent="0.25">
      <c r="A87" s="4">
        <v>85</v>
      </c>
      <c r="B87" s="2"/>
      <c r="C87" s="4">
        <v>26</v>
      </c>
      <c r="D87" s="6">
        <v>1.93</v>
      </c>
      <c r="E87" s="6">
        <v>1.33</v>
      </c>
      <c r="F87" s="6">
        <v>0.83</v>
      </c>
      <c r="G87" s="6">
        <v>0.86</v>
      </c>
      <c r="H87" s="6">
        <v>0.73</v>
      </c>
      <c r="I87" s="6">
        <v>0.63</v>
      </c>
      <c r="J87" s="6">
        <v>0.73</v>
      </c>
      <c r="K87" s="6">
        <v>1.51</v>
      </c>
      <c r="L87" s="6">
        <v>2.33</v>
      </c>
      <c r="M87" s="6">
        <v>1.04</v>
      </c>
      <c r="N87" s="6">
        <v>1.73</v>
      </c>
      <c r="O87" s="6">
        <v>1.33</v>
      </c>
      <c r="P87" s="6">
        <v>2.23</v>
      </c>
      <c r="Q87" s="6">
        <v>2.5299999999999998</v>
      </c>
      <c r="R87" s="6">
        <v>0.78</v>
      </c>
      <c r="S87" s="6">
        <v>1.38</v>
      </c>
      <c r="T87" s="6">
        <v>0.76</v>
      </c>
      <c r="U87" s="6">
        <v>1.03</v>
      </c>
      <c r="V87" s="6">
        <v>0.71</v>
      </c>
      <c r="W87" s="6">
        <v>1.28</v>
      </c>
      <c r="X87" s="6">
        <v>1.49</v>
      </c>
      <c r="Y87" s="6">
        <v>0.53</v>
      </c>
      <c r="Z87" s="6">
        <v>0.85</v>
      </c>
      <c r="AA87" s="6">
        <v>0.75</v>
      </c>
      <c r="AB87" s="6">
        <v>1.39</v>
      </c>
      <c r="AC87" s="6">
        <v>1.1599999999999999</v>
      </c>
      <c r="AD87" s="6">
        <v>1.19</v>
      </c>
      <c r="AE87" s="6">
        <v>1.34</v>
      </c>
      <c r="AF87" s="6">
        <v>2.04</v>
      </c>
      <c r="AG87" s="6">
        <v>2.16</v>
      </c>
      <c r="AH87" s="6">
        <v>0.75</v>
      </c>
      <c r="AI87" s="6">
        <v>1.1299999999999999</v>
      </c>
      <c r="AJ87" s="6">
        <v>1.07</v>
      </c>
      <c r="AK87" s="6">
        <v>2.33</v>
      </c>
      <c r="AL87" s="6">
        <v>0.87</v>
      </c>
      <c r="AM87" s="6">
        <v>0.97</v>
      </c>
      <c r="AN87" s="6">
        <v>1.07</v>
      </c>
      <c r="AO87" s="6">
        <v>0.73</v>
      </c>
      <c r="AP87" s="6">
        <v>1.53</v>
      </c>
      <c r="AQ87" s="6">
        <v>1.08</v>
      </c>
      <c r="AR87" s="6">
        <v>0.86</v>
      </c>
      <c r="AS87" s="6">
        <v>1.01</v>
      </c>
      <c r="AT87" s="6">
        <v>1.01</v>
      </c>
      <c r="AU87" s="6">
        <v>1.5</v>
      </c>
      <c r="AV87" s="6">
        <v>1.54</v>
      </c>
      <c r="AW87" s="6">
        <v>0.85</v>
      </c>
      <c r="AX87" s="6">
        <v>1.83</v>
      </c>
      <c r="AY87" s="6">
        <v>1.86</v>
      </c>
      <c r="AZ87" s="6">
        <v>1.78</v>
      </c>
      <c r="BA87" s="6">
        <v>1.98</v>
      </c>
      <c r="BB87" s="6">
        <v>2.02</v>
      </c>
      <c r="BC87" s="6">
        <v>1.52</v>
      </c>
      <c r="BD87" s="6">
        <v>1.6187199999999999</v>
      </c>
      <c r="BE87" s="6">
        <v>1.93</v>
      </c>
      <c r="BF87" s="6">
        <v>2.0099999999999998</v>
      </c>
      <c r="BG87" s="6">
        <v>1.37</v>
      </c>
      <c r="BH87" s="6">
        <v>2.2599999999999998</v>
      </c>
      <c r="BI87" s="6">
        <v>1.56</v>
      </c>
      <c r="BJ87" s="6">
        <v>1.33</v>
      </c>
      <c r="BK87" s="6">
        <v>1.39</v>
      </c>
      <c r="BL87" s="6">
        <v>1.33</v>
      </c>
      <c r="BM87" s="6">
        <v>1.67</v>
      </c>
      <c r="BN87" s="6">
        <v>1.73</v>
      </c>
      <c r="BO87" s="6">
        <v>2.0499999999999998</v>
      </c>
      <c r="BP87" s="6">
        <v>1.33</v>
      </c>
      <c r="BQ87" s="6">
        <v>2.06</v>
      </c>
      <c r="BR87" s="6">
        <v>2.1800000000000002</v>
      </c>
      <c r="BS87" s="6">
        <v>1.63</v>
      </c>
      <c r="BT87" s="6">
        <v>2.42</v>
      </c>
      <c r="BU87" s="6">
        <v>2.31</v>
      </c>
      <c r="BV87" s="6">
        <v>2.13</v>
      </c>
      <c r="BW87" s="6">
        <v>1.7</v>
      </c>
      <c r="BX87" s="6">
        <v>1.79</v>
      </c>
      <c r="BY87" s="6">
        <v>1.35</v>
      </c>
      <c r="BZ87" s="6">
        <v>2.15</v>
      </c>
      <c r="CA87" s="6">
        <v>1.44</v>
      </c>
      <c r="CB87" s="6">
        <v>1.43</v>
      </c>
      <c r="CC87" s="6">
        <v>0.83</v>
      </c>
      <c r="CD87" s="6">
        <v>2.0300000000000002</v>
      </c>
      <c r="CE87" s="6">
        <v>3.2</v>
      </c>
      <c r="CF87" s="6">
        <v>1.83</v>
      </c>
      <c r="CG87" s="6">
        <v>1.18</v>
      </c>
      <c r="CH87" s="6"/>
    </row>
    <row r="88" spans="1:86" ht="15.75" customHeight="1" x14ac:dyDescent="0.25">
      <c r="A88" s="4">
        <v>86</v>
      </c>
      <c r="B88" s="2"/>
      <c r="C88" s="4">
        <v>27</v>
      </c>
      <c r="D88" s="6">
        <v>1.93</v>
      </c>
      <c r="E88" s="6">
        <v>1.33</v>
      </c>
      <c r="F88" s="6">
        <v>0.88</v>
      </c>
      <c r="G88" s="6">
        <v>0.82</v>
      </c>
      <c r="H88" s="6">
        <v>0.73</v>
      </c>
      <c r="I88" s="6">
        <v>0.68</v>
      </c>
      <c r="J88" s="6">
        <v>0.73</v>
      </c>
      <c r="K88" s="6">
        <v>1.48</v>
      </c>
      <c r="L88" s="6">
        <v>2.23</v>
      </c>
      <c r="M88" s="6">
        <v>1.01</v>
      </c>
      <c r="N88" s="6">
        <v>1.73</v>
      </c>
      <c r="O88" s="6">
        <v>1.33</v>
      </c>
      <c r="P88" s="6">
        <v>2.2799999999999998</v>
      </c>
      <c r="Q88" s="6">
        <v>2.41</v>
      </c>
      <c r="R88" s="6">
        <v>0.73</v>
      </c>
      <c r="S88" s="6">
        <v>1.28</v>
      </c>
      <c r="T88" s="6">
        <v>0.81</v>
      </c>
      <c r="U88" s="6">
        <v>1.1299999999999999</v>
      </c>
      <c r="V88" s="6">
        <v>0.53</v>
      </c>
      <c r="W88" s="6">
        <v>1.26</v>
      </c>
      <c r="X88" s="6">
        <v>1.49</v>
      </c>
      <c r="Y88" s="6">
        <v>0.71</v>
      </c>
      <c r="Z88" s="6">
        <v>0.72</v>
      </c>
      <c r="AA88" s="6">
        <v>0.7</v>
      </c>
      <c r="AB88" s="6">
        <v>1.36</v>
      </c>
      <c r="AC88" s="6">
        <v>1.19</v>
      </c>
      <c r="AD88" s="6">
        <v>1.1299999999999999</v>
      </c>
      <c r="AE88" s="6">
        <v>1.34</v>
      </c>
      <c r="AF88" s="6">
        <v>2.0299999999999998</v>
      </c>
      <c r="AG88" s="6">
        <v>1.87</v>
      </c>
      <c r="AH88" s="6">
        <v>0.75</v>
      </c>
      <c r="AI88" s="6">
        <v>1.1499999999999999</v>
      </c>
      <c r="AJ88" s="6">
        <v>1.03</v>
      </c>
      <c r="AK88" s="6">
        <v>2.29</v>
      </c>
      <c r="AL88" s="6">
        <v>0.84</v>
      </c>
      <c r="AM88" s="6">
        <v>0.97</v>
      </c>
      <c r="AN88" s="6">
        <v>1.1100000000000001</v>
      </c>
      <c r="AO88" s="6">
        <v>0.75</v>
      </c>
      <c r="AP88" s="6">
        <v>1.44</v>
      </c>
      <c r="AQ88" s="6">
        <v>1.05</v>
      </c>
      <c r="AR88" s="6">
        <v>0.88</v>
      </c>
      <c r="AS88" s="6">
        <v>1.01</v>
      </c>
      <c r="AT88" s="6">
        <v>1</v>
      </c>
      <c r="AU88" s="6">
        <v>1.53</v>
      </c>
      <c r="AV88" s="6">
        <v>1.6</v>
      </c>
      <c r="AW88" s="6">
        <v>0.85</v>
      </c>
      <c r="AX88" s="6">
        <v>1.81</v>
      </c>
      <c r="AY88" s="6">
        <v>1.86</v>
      </c>
      <c r="AZ88" s="6">
        <v>1.89</v>
      </c>
      <c r="BA88" s="6">
        <v>1.98</v>
      </c>
      <c r="BB88" s="6">
        <v>2.0299999999999998</v>
      </c>
      <c r="BC88" s="6">
        <v>1.63</v>
      </c>
      <c r="BD88" s="6">
        <v>1.6187199999999999</v>
      </c>
      <c r="BE88" s="6">
        <v>1.89</v>
      </c>
      <c r="BF88" s="6">
        <v>1.95</v>
      </c>
      <c r="BG88" s="6">
        <v>1.37</v>
      </c>
      <c r="BH88" s="6">
        <v>2.2000000000000002</v>
      </c>
      <c r="BI88" s="6">
        <v>1.5</v>
      </c>
      <c r="BJ88" s="6">
        <v>1.5</v>
      </c>
      <c r="BK88" s="6">
        <v>1.39</v>
      </c>
      <c r="BL88" s="6">
        <v>1.28</v>
      </c>
      <c r="BM88" s="6">
        <v>1.64</v>
      </c>
      <c r="BN88" s="6">
        <v>1.7</v>
      </c>
      <c r="BO88" s="6">
        <v>2.0499999999999998</v>
      </c>
      <c r="BP88" s="6">
        <v>1.28</v>
      </c>
      <c r="BQ88" s="6">
        <v>2.04</v>
      </c>
      <c r="BR88" s="6">
        <v>2.29</v>
      </c>
      <c r="BS88" s="6">
        <v>1.6</v>
      </c>
      <c r="BT88" s="6">
        <v>2.3199999999999998</v>
      </c>
      <c r="BU88" s="6">
        <v>2.39</v>
      </c>
      <c r="BV88" s="6">
        <v>2.16</v>
      </c>
      <c r="BW88" s="6">
        <v>1.78</v>
      </c>
      <c r="BX88" s="6">
        <v>1.8</v>
      </c>
      <c r="BY88" s="6">
        <v>1.33</v>
      </c>
      <c r="BZ88" s="6">
        <v>2.27</v>
      </c>
      <c r="CA88" s="6">
        <v>1.43</v>
      </c>
      <c r="CB88" s="6">
        <v>1.2</v>
      </c>
      <c r="CC88" s="6">
        <v>0.81</v>
      </c>
      <c r="CD88" s="6">
        <v>2.06</v>
      </c>
      <c r="CE88" s="6">
        <v>3.37</v>
      </c>
      <c r="CF88" s="6">
        <v>1.74</v>
      </c>
      <c r="CG88" s="6">
        <v>1.19</v>
      </c>
      <c r="CH88" s="6"/>
    </row>
    <row r="89" spans="1:86" ht="15.75" customHeight="1" x14ac:dyDescent="0.25">
      <c r="A89" s="4">
        <v>87</v>
      </c>
      <c r="B89" s="2"/>
      <c r="C89" s="4">
        <v>28</v>
      </c>
      <c r="D89" s="6">
        <v>1.93</v>
      </c>
      <c r="E89" s="6">
        <v>1.33</v>
      </c>
      <c r="F89" s="6">
        <v>0.83</v>
      </c>
      <c r="G89" s="6">
        <v>0.87</v>
      </c>
      <c r="H89" s="6">
        <v>0.73</v>
      </c>
      <c r="I89" s="6">
        <v>0.68</v>
      </c>
      <c r="J89" s="6">
        <v>0.78</v>
      </c>
      <c r="K89" s="6">
        <v>1.48</v>
      </c>
      <c r="L89" s="6">
        <v>2.13</v>
      </c>
      <c r="M89" s="6">
        <v>0.98</v>
      </c>
      <c r="N89" s="6">
        <v>1.93</v>
      </c>
      <c r="O89" s="6">
        <v>1.28</v>
      </c>
      <c r="P89" s="6">
        <v>2.23</v>
      </c>
      <c r="Q89" s="6">
        <v>2.33</v>
      </c>
      <c r="R89" s="6">
        <v>0.83</v>
      </c>
      <c r="S89" s="6">
        <v>1.28</v>
      </c>
      <c r="T89" s="6">
        <v>0.81</v>
      </c>
      <c r="U89" s="6">
        <v>1.1299999999999999</v>
      </c>
      <c r="V89" s="6">
        <v>0.51</v>
      </c>
      <c r="W89" s="6">
        <v>1.21</v>
      </c>
      <c r="X89" s="6">
        <v>1.46</v>
      </c>
      <c r="Y89" s="6">
        <v>0.81</v>
      </c>
      <c r="Z89" s="6">
        <v>0.85</v>
      </c>
      <c r="AA89" s="6">
        <v>0.75</v>
      </c>
      <c r="AB89" s="6">
        <v>1.36</v>
      </c>
      <c r="AC89" s="6">
        <v>1.19</v>
      </c>
      <c r="AD89" s="6">
        <v>1.0900000000000001</v>
      </c>
      <c r="AE89" s="6">
        <v>1.27</v>
      </c>
      <c r="AF89" s="6">
        <v>2</v>
      </c>
      <c r="AG89" s="6">
        <v>2.15</v>
      </c>
      <c r="AH89" s="6">
        <v>0.73</v>
      </c>
      <c r="AI89" s="6">
        <v>1.1000000000000001</v>
      </c>
      <c r="AJ89" s="6">
        <v>1.03</v>
      </c>
      <c r="AK89" s="6">
        <v>2.29</v>
      </c>
      <c r="AL89" s="6">
        <v>0.81</v>
      </c>
      <c r="AM89" s="6">
        <v>1.01</v>
      </c>
      <c r="AN89" s="6">
        <v>1.19</v>
      </c>
      <c r="AO89" s="6">
        <v>0.77</v>
      </c>
      <c r="AP89" s="6">
        <v>1.32</v>
      </c>
      <c r="AQ89" s="6">
        <v>1.0900000000000001</v>
      </c>
      <c r="AR89" s="6">
        <v>0.95</v>
      </c>
      <c r="AS89" s="6">
        <v>1.02</v>
      </c>
      <c r="AT89" s="6">
        <v>0.97</v>
      </c>
      <c r="AU89" s="6">
        <v>1.53</v>
      </c>
      <c r="AV89" s="6">
        <v>1.65</v>
      </c>
      <c r="AW89" s="6">
        <v>0.81</v>
      </c>
      <c r="AX89" s="6">
        <v>1.77</v>
      </c>
      <c r="AY89" s="6">
        <v>1.96</v>
      </c>
      <c r="AZ89" s="6">
        <v>1.95</v>
      </c>
      <c r="BA89" s="6">
        <v>1.98</v>
      </c>
      <c r="BB89" s="6">
        <v>2.04</v>
      </c>
      <c r="BC89" s="6">
        <v>1.63</v>
      </c>
      <c r="BD89" s="6">
        <v>1.5882400000000001</v>
      </c>
      <c r="BE89" s="6">
        <v>1.89</v>
      </c>
      <c r="BF89" s="6">
        <v>1.92</v>
      </c>
      <c r="BG89" s="6">
        <v>1.38</v>
      </c>
      <c r="BH89" s="6">
        <v>2.2000000000000002</v>
      </c>
      <c r="BI89" s="6">
        <v>1.48</v>
      </c>
      <c r="BJ89" s="6">
        <v>1.46</v>
      </c>
      <c r="BK89" s="6">
        <v>1.66</v>
      </c>
      <c r="BL89" s="6">
        <v>1.25</v>
      </c>
      <c r="BM89" s="6">
        <v>1.58</v>
      </c>
      <c r="BN89" s="6">
        <v>1.72</v>
      </c>
      <c r="BO89" s="6">
        <v>2.11</v>
      </c>
      <c r="BP89" s="6">
        <v>1.33</v>
      </c>
      <c r="BQ89" s="6">
        <v>1.99</v>
      </c>
      <c r="BR89" s="6">
        <v>2.4300000000000002</v>
      </c>
      <c r="BS89" s="6">
        <v>1.63</v>
      </c>
      <c r="BT89" s="6">
        <v>2.29</v>
      </c>
      <c r="BU89" s="6">
        <v>2.4</v>
      </c>
      <c r="BV89" s="6">
        <v>2.19</v>
      </c>
      <c r="BW89" s="6">
        <v>1.76</v>
      </c>
      <c r="BX89" s="6">
        <v>1.74</v>
      </c>
      <c r="BY89" s="6">
        <v>1.23</v>
      </c>
      <c r="BZ89" s="6">
        <v>2.31</v>
      </c>
      <c r="CA89" s="6">
        <v>1.48</v>
      </c>
      <c r="CB89" s="6">
        <v>1.23</v>
      </c>
      <c r="CC89" s="6">
        <v>0.79</v>
      </c>
      <c r="CD89" s="6">
        <v>2.12</v>
      </c>
      <c r="CE89" s="6">
        <v>3.49</v>
      </c>
      <c r="CF89" s="6">
        <v>1.67</v>
      </c>
      <c r="CG89" s="6">
        <v>1.17</v>
      </c>
      <c r="CH89" s="6"/>
    </row>
    <row r="90" spans="1:86" ht="15.75" customHeight="1" x14ac:dyDescent="0.25">
      <c r="A90" s="4">
        <v>88</v>
      </c>
      <c r="B90" s="2"/>
      <c r="C90" s="4">
        <v>29</v>
      </c>
      <c r="D90" s="6">
        <v>1.93</v>
      </c>
      <c r="E90" s="6">
        <v>1.33</v>
      </c>
      <c r="F90" s="6">
        <v>0.88</v>
      </c>
      <c r="G90" s="6">
        <v>0.88</v>
      </c>
      <c r="H90" s="6">
        <v>0.73</v>
      </c>
      <c r="I90" s="6">
        <v>0.73</v>
      </c>
      <c r="J90" s="6">
        <v>0.83</v>
      </c>
      <c r="K90" s="6">
        <v>1.48</v>
      </c>
      <c r="L90" s="6">
        <v>2.0299999999999998</v>
      </c>
      <c r="M90" s="6">
        <v>0.98</v>
      </c>
      <c r="N90" s="6">
        <v>1.93</v>
      </c>
      <c r="O90" s="6">
        <v>1.23</v>
      </c>
      <c r="P90" s="6">
        <v>2.2799999999999998</v>
      </c>
      <c r="Q90" s="6">
        <v>2.23</v>
      </c>
      <c r="R90" s="6">
        <v>0.88</v>
      </c>
      <c r="S90" s="6">
        <v>1.28</v>
      </c>
      <c r="T90" s="6">
        <v>0.81</v>
      </c>
      <c r="U90" s="6">
        <v>1.08</v>
      </c>
      <c r="V90" s="6">
        <v>0.53</v>
      </c>
      <c r="W90" s="6">
        <v>1.21</v>
      </c>
      <c r="X90" s="6">
        <v>1.4</v>
      </c>
      <c r="Y90" s="6">
        <v>0.61</v>
      </c>
      <c r="Z90" s="6">
        <v>0.85</v>
      </c>
      <c r="AA90" s="6">
        <v>0.78</v>
      </c>
      <c r="AB90" s="6">
        <v>1.3</v>
      </c>
      <c r="AC90" s="6">
        <v>1.1299999999999999</v>
      </c>
      <c r="AD90" s="6">
        <v>1.1299999999999999</v>
      </c>
      <c r="AE90" s="6">
        <v>1.25</v>
      </c>
      <c r="AF90" s="6">
        <v>1.85</v>
      </c>
      <c r="AG90" s="6">
        <v>2.0699999999999998</v>
      </c>
      <c r="AH90" s="6">
        <v>0.71</v>
      </c>
      <c r="AI90" s="6">
        <v>1.08</v>
      </c>
      <c r="AJ90" s="6">
        <v>1.03</v>
      </c>
      <c r="AK90" s="6">
        <v>2.29</v>
      </c>
      <c r="AL90" s="6">
        <v>0.76</v>
      </c>
      <c r="AM90" s="6">
        <v>1.03</v>
      </c>
      <c r="AN90" s="6">
        <v>1.21</v>
      </c>
      <c r="AO90" s="6">
        <v>0.89</v>
      </c>
      <c r="AP90" s="6">
        <v>1.26</v>
      </c>
      <c r="AQ90" s="6">
        <v>1.04</v>
      </c>
      <c r="AR90" s="6">
        <v>0.98</v>
      </c>
      <c r="AS90" s="6">
        <v>1.03</v>
      </c>
      <c r="AT90" s="6">
        <v>0.93</v>
      </c>
      <c r="AU90" s="6">
        <v>1.5</v>
      </c>
      <c r="AV90" s="6">
        <v>1.67</v>
      </c>
      <c r="AW90" s="6">
        <v>0.89</v>
      </c>
      <c r="AX90" s="6">
        <v>1.83</v>
      </c>
      <c r="AY90" s="6">
        <v>2.02</v>
      </c>
      <c r="AZ90" s="6">
        <v>1.95</v>
      </c>
      <c r="BA90" s="6">
        <v>1.98</v>
      </c>
      <c r="BB90" s="6">
        <v>1.97</v>
      </c>
      <c r="BC90" s="6">
        <v>1.56</v>
      </c>
      <c r="BD90" s="6">
        <v>1.7101599999999999</v>
      </c>
      <c r="BE90" s="6">
        <v>1.89</v>
      </c>
      <c r="BF90" s="6">
        <v>1.86</v>
      </c>
      <c r="BG90" s="6">
        <v>1.43</v>
      </c>
      <c r="BH90" s="6">
        <v>2.2000000000000002</v>
      </c>
      <c r="BI90" s="6">
        <v>1.56</v>
      </c>
      <c r="BJ90" s="6">
        <v>1.48</v>
      </c>
      <c r="BK90" s="6">
        <v>1.47</v>
      </c>
      <c r="BL90" s="6">
        <v>1.28</v>
      </c>
      <c r="BM90" s="6">
        <v>1.44</v>
      </c>
      <c r="BN90" s="6">
        <v>1.67</v>
      </c>
      <c r="BO90" s="6">
        <v>2.15</v>
      </c>
      <c r="BP90" s="6">
        <v>1.34</v>
      </c>
      <c r="BQ90" s="6">
        <v>2.04</v>
      </c>
      <c r="BR90" s="6">
        <v>2.44</v>
      </c>
      <c r="BS90" s="6">
        <v>1.63</v>
      </c>
      <c r="BT90" s="6">
        <v>2.25</v>
      </c>
      <c r="BU90" s="6">
        <v>2.4</v>
      </c>
      <c r="BV90" s="6">
        <v>2.2400000000000002</v>
      </c>
      <c r="BW90" s="6">
        <v>1.76</v>
      </c>
      <c r="BX90" s="6">
        <v>1.66</v>
      </c>
      <c r="BY90" s="6">
        <v>1.31</v>
      </c>
      <c r="BZ90" s="6">
        <v>2.36</v>
      </c>
      <c r="CA90" s="6">
        <v>1.43</v>
      </c>
      <c r="CB90" s="6">
        <v>1.49</v>
      </c>
      <c r="CC90" s="6">
        <v>0.77</v>
      </c>
      <c r="CD90" s="6">
        <v>2.16</v>
      </c>
      <c r="CE90" s="6">
        <v>3.5100000000000002</v>
      </c>
      <c r="CF90" s="6">
        <v>1.58</v>
      </c>
      <c r="CG90" s="6">
        <v>1.1599999999999999</v>
      </c>
      <c r="CH90" s="6"/>
    </row>
    <row r="91" spans="1:86" ht="15.75" customHeight="1" x14ac:dyDescent="0.25">
      <c r="A91" s="4">
        <v>89</v>
      </c>
      <c r="B91" s="2"/>
      <c r="C91" s="4">
        <v>30</v>
      </c>
      <c r="D91" s="6">
        <v>1.88</v>
      </c>
      <c r="E91" s="6">
        <v>1.28</v>
      </c>
      <c r="F91" s="6">
        <v>0.83</v>
      </c>
      <c r="G91" s="6">
        <v>0.81</v>
      </c>
      <c r="H91" s="6">
        <v>0.73</v>
      </c>
      <c r="I91" s="6">
        <v>0.68</v>
      </c>
      <c r="J91" s="6">
        <v>0.93</v>
      </c>
      <c r="K91" s="6">
        <v>1.46</v>
      </c>
      <c r="L91" s="6">
        <v>1.98</v>
      </c>
      <c r="M91" s="6">
        <v>0.98</v>
      </c>
      <c r="N91" s="6">
        <v>2.0299999999999998</v>
      </c>
      <c r="O91" s="6">
        <v>1.23</v>
      </c>
      <c r="P91" s="6">
        <v>2.33</v>
      </c>
      <c r="Q91" s="6">
        <v>2.23</v>
      </c>
      <c r="R91" s="6">
        <v>0.98</v>
      </c>
      <c r="S91" s="6">
        <v>1.23</v>
      </c>
      <c r="T91" s="6">
        <v>0.86</v>
      </c>
      <c r="U91" s="6">
        <v>1.18</v>
      </c>
      <c r="V91" s="6">
        <v>0.56000000000000005</v>
      </c>
      <c r="W91" s="6">
        <v>1.1599999999999999</v>
      </c>
      <c r="X91" s="6">
        <v>1.4</v>
      </c>
      <c r="Y91" s="6">
        <v>0.89</v>
      </c>
      <c r="Z91" s="6">
        <v>0.83</v>
      </c>
      <c r="AA91" s="6">
        <v>0.81</v>
      </c>
      <c r="AB91" s="6">
        <v>1.27</v>
      </c>
      <c r="AC91" s="6">
        <v>1.1299999999999999</v>
      </c>
      <c r="AD91" s="6">
        <v>1.19</v>
      </c>
      <c r="AE91" s="6">
        <v>1.17</v>
      </c>
      <c r="AF91" s="6">
        <v>1.87</v>
      </c>
      <c r="AG91" s="6">
        <v>2.3199999999999998</v>
      </c>
      <c r="AH91" s="6">
        <v>0.79</v>
      </c>
      <c r="AI91" s="6">
        <v>1.07</v>
      </c>
      <c r="AJ91" s="6">
        <v>1.03</v>
      </c>
      <c r="AK91" s="6">
        <v>2.29</v>
      </c>
      <c r="AL91" s="6">
        <v>0.85</v>
      </c>
      <c r="AM91" s="6">
        <v>0.95</v>
      </c>
      <c r="AN91" s="6">
        <v>1.19</v>
      </c>
      <c r="AO91" s="6">
        <v>0.9</v>
      </c>
      <c r="AP91" s="6">
        <v>1.1599999999999999</v>
      </c>
      <c r="AQ91" s="6">
        <v>1.1200000000000001</v>
      </c>
      <c r="AR91" s="6">
        <v>1</v>
      </c>
      <c r="AS91" s="6">
        <v>1</v>
      </c>
      <c r="AT91" s="6">
        <v>0.89</v>
      </c>
      <c r="AU91" s="6">
        <v>1.44</v>
      </c>
      <c r="AV91" s="6">
        <v>1.69</v>
      </c>
      <c r="AW91" s="6">
        <v>1.1100000000000001</v>
      </c>
      <c r="AX91" s="6">
        <v>1.77</v>
      </c>
      <c r="AY91" s="6">
        <v>2.06</v>
      </c>
      <c r="AZ91" s="6">
        <v>1.92</v>
      </c>
      <c r="BA91" s="6">
        <v>1.92</v>
      </c>
      <c r="BB91" s="6">
        <v>2.0499999999999998</v>
      </c>
      <c r="BC91" s="6">
        <v>1.56</v>
      </c>
      <c r="BD91" s="6">
        <v>1.7101599999999999</v>
      </c>
      <c r="BE91" s="6">
        <v>1.89</v>
      </c>
      <c r="BF91" s="6">
        <v>1.86</v>
      </c>
      <c r="BG91" s="6">
        <v>1.37</v>
      </c>
      <c r="BH91" s="6">
        <v>2.2000000000000002</v>
      </c>
      <c r="BI91" s="6">
        <v>1.54</v>
      </c>
      <c r="BJ91" s="6">
        <v>1.43</v>
      </c>
      <c r="BK91" s="6">
        <v>1.56</v>
      </c>
      <c r="BL91" s="6">
        <v>1.28</v>
      </c>
      <c r="BM91" s="6">
        <v>1.47</v>
      </c>
      <c r="BN91" s="6">
        <v>1.81</v>
      </c>
      <c r="BO91" s="6">
        <v>2.2000000000000002</v>
      </c>
      <c r="BP91" s="6">
        <v>1.4</v>
      </c>
      <c r="BQ91" s="6">
        <v>1.94</v>
      </c>
      <c r="BR91" s="6">
        <v>2.42</v>
      </c>
      <c r="BS91" s="6">
        <v>1.66</v>
      </c>
      <c r="BT91" s="6">
        <v>2.27</v>
      </c>
      <c r="BU91" s="6">
        <v>2.4</v>
      </c>
      <c r="BV91" s="6">
        <v>2.25</v>
      </c>
      <c r="BW91" s="6">
        <v>1.75</v>
      </c>
      <c r="BX91" s="6">
        <v>1.5999999999999999</v>
      </c>
      <c r="BY91" s="6">
        <v>1.28</v>
      </c>
      <c r="BZ91" s="6">
        <v>2.38</v>
      </c>
      <c r="CA91" s="6">
        <v>1.43</v>
      </c>
      <c r="CB91" s="6">
        <v>1.24</v>
      </c>
      <c r="CC91" s="6">
        <v>0.75</v>
      </c>
      <c r="CD91" s="6">
        <v>2.2800000000000002</v>
      </c>
      <c r="CE91" s="6">
        <v>3.54</v>
      </c>
      <c r="CF91" s="6">
        <v>1.53</v>
      </c>
      <c r="CG91" s="6">
        <v>1.1299999999999999</v>
      </c>
      <c r="CH91" s="6"/>
    </row>
    <row r="92" spans="1:86" ht="15.75" customHeight="1" x14ac:dyDescent="0.25">
      <c r="A92" s="4">
        <v>90</v>
      </c>
      <c r="B92" s="2"/>
      <c r="C92" s="4">
        <v>31</v>
      </c>
      <c r="D92" s="6">
        <v>1.93</v>
      </c>
      <c r="E92" s="6">
        <v>1.43</v>
      </c>
      <c r="F92" s="6">
        <v>1.03</v>
      </c>
      <c r="G92" s="6">
        <v>0.83</v>
      </c>
      <c r="H92" s="6">
        <v>0.68</v>
      </c>
      <c r="I92" s="6">
        <v>0.63</v>
      </c>
      <c r="J92" s="6">
        <v>0.98</v>
      </c>
      <c r="K92" s="6">
        <v>1.53</v>
      </c>
      <c r="L92" s="6">
        <v>1.88</v>
      </c>
      <c r="M92" s="6">
        <v>0.8</v>
      </c>
      <c r="N92" s="6">
        <v>2.13</v>
      </c>
      <c r="O92" s="6">
        <v>1.21</v>
      </c>
      <c r="P92" s="6">
        <v>2.23</v>
      </c>
      <c r="Q92" s="6">
        <v>2.1800000000000002</v>
      </c>
      <c r="R92" s="6">
        <v>0.98</v>
      </c>
      <c r="S92" s="6">
        <v>1.23</v>
      </c>
      <c r="T92" s="6">
        <v>0.91</v>
      </c>
      <c r="U92" s="6">
        <v>1.1299999999999999</v>
      </c>
      <c r="V92" s="6">
        <v>0.56999999999999995</v>
      </c>
      <c r="W92" s="6">
        <v>1.23</v>
      </c>
      <c r="X92" s="6">
        <v>1.3</v>
      </c>
      <c r="Y92" s="6">
        <v>0.89</v>
      </c>
      <c r="Z92" s="6">
        <v>0.98</v>
      </c>
      <c r="AA92" s="6">
        <v>0.8</v>
      </c>
      <c r="AB92" s="6">
        <v>1.17</v>
      </c>
      <c r="AC92" s="6">
        <v>1.07</v>
      </c>
      <c r="AD92" s="6">
        <v>1.22</v>
      </c>
      <c r="AE92" s="6">
        <v>1.18</v>
      </c>
      <c r="AF92" s="6">
        <v>1.89</v>
      </c>
      <c r="AG92" s="6">
        <v>2.5499999999999998</v>
      </c>
      <c r="AH92" s="6">
        <v>0.91</v>
      </c>
      <c r="AI92" s="6">
        <v>1.07</v>
      </c>
      <c r="AJ92" s="6">
        <v>1.05</v>
      </c>
      <c r="AK92" s="6">
        <v>2.39</v>
      </c>
      <c r="AL92" s="6">
        <v>0.89</v>
      </c>
      <c r="AM92" s="6">
        <v>0.91</v>
      </c>
      <c r="AN92" s="6">
        <v>1.1599999999999999</v>
      </c>
      <c r="AO92" s="6">
        <v>0.89</v>
      </c>
      <c r="AP92" s="6">
        <v>1.1399999999999999</v>
      </c>
      <c r="AQ92" s="6">
        <v>0.96</v>
      </c>
      <c r="AR92" s="6">
        <v>1</v>
      </c>
      <c r="AS92" s="6">
        <v>0.95</v>
      </c>
      <c r="AT92" s="6">
        <v>0.83</v>
      </c>
      <c r="AU92" s="6">
        <v>1.43</v>
      </c>
      <c r="AV92" s="6">
        <v>1.81</v>
      </c>
      <c r="AW92" s="6">
        <v>1.0900000000000001</v>
      </c>
      <c r="AX92" s="6">
        <v>1.77</v>
      </c>
      <c r="AY92" s="6">
        <v>2.1</v>
      </c>
      <c r="AZ92" s="6">
        <v>1.89</v>
      </c>
      <c r="BA92" s="6">
        <v>1.93</v>
      </c>
      <c r="BB92" s="6">
        <v>2.1800000000000002</v>
      </c>
      <c r="BC92" s="6">
        <v>1.56</v>
      </c>
      <c r="BD92" s="6">
        <v>1.74064</v>
      </c>
      <c r="BE92" s="6">
        <v>1.8</v>
      </c>
      <c r="BF92" s="6">
        <v>1.8</v>
      </c>
      <c r="BG92" s="6">
        <v>1.37</v>
      </c>
      <c r="BH92" s="6">
        <v>2.14</v>
      </c>
      <c r="BI92" s="6">
        <v>1.54</v>
      </c>
      <c r="BJ92" s="6">
        <v>1.36</v>
      </c>
      <c r="BK92" s="6">
        <v>1.63</v>
      </c>
      <c r="BL92" s="6">
        <v>1.28</v>
      </c>
      <c r="BM92" s="6">
        <v>1.49</v>
      </c>
      <c r="BN92" s="6">
        <v>1.87</v>
      </c>
      <c r="BO92" s="6">
        <v>2.25</v>
      </c>
      <c r="BP92" s="6">
        <v>1.53</v>
      </c>
      <c r="BQ92" s="6">
        <v>1.9</v>
      </c>
      <c r="BR92" s="6">
        <v>2.44</v>
      </c>
      <c r="BS92" s="6">
        <v>1.7</v>
      </c>
      <c r="BT92" s="6">
        <v>2.25</v>
      </c>
      <c r="BU92" s="6">
        <v>2.42</v>
      </c>
      <c r="BV92" s="6">
        <v>2.25</v>
      </c>
      <c r="BW92" s="6">
        <v>1.74</v>
      </c>
      <c r="BX92" s="6">
        <v>1.64</v>
      </c>
      <c r="BY92" s="6">
        <v>1.31</v>
      </c>
      <c r="BZ92" s="6">
        <v>2.37</v>
      </c>
      <c r="CA92" s="6">
        <v>1.4</v>
      </c>
      <c r="CB92" s="6">
        <v>1.37</v>
      </c>
      <c r="CC92" s="6">
        <v>0.74</v>
      </c>
      <c r="CD92" s="6">
        <v>2.3199999999999998</v>
      </c>
      <c r="CE92" s="6">
        <v>3.56</v>
      </c>
      <c r="CF92" s="6">
        <v>1.53</v>
      </c>
      <c r="CG92" s="6">
        <v>1.18</v>
      </c>
      <c r="CH92" s="6"/>
    </row>
    <row r="93" spans="1:86" ht="15.75" customHeight="1" x14ac:dyDescent="0.25">
      <c r="A93" s="4">
        <v>91</v>
      </c>
      <c r="B93" s="2" t="s">
        <v>7</v>
      </c>
      <c r="C93" s="4">
        <v>1</v>
      </c>
      <c r="D93" s="6">
        <v>2.0299999999999998</v>
      </c>
      <c r="E93" s="6">
        <v>1.28</v>
      </c>
      <c r="F93" s="6">
        <v>1.18</v>
      </c>
      <c r="G93" s="6">
        <v>0.88</v>
      </c>
      <c r="H93" s="6">
        <v>0.68</v>
      </c>
      <c r="I93" s="6">
        <v>0.57999999999999996</v>
      </c>
      <c r="J93" s="6">
        <v>1.03</v>
      </c>
      <c r="K93" s="6">
        <v>1.53</v>
      </c>
      <c r="L93" s="6">
        <v>1.83</v>
      </c>
      <c r="M93" s="6">
        <v>0.77</v>
      </c>
      <c r="N93" s="6">
        <v>2.23</v>
      </c>
      <c r="O93" s="6">
        <v>1.31</v>
      </c>
      <c r="P93" s="6">
        <v>2.13</v>
      </c>
      <c r="Q93" s="6">
        <v>2.1800000000000002</v>
      </c>
      <c r="R93" s="6">
        <v>0.98</v>
      </c>
      <c r="S93" s="6">
        <v>1.23</v>
      </c>
      <c r="T93" s="6">
        <v>0.81</v>
      </c>
      <c r="U93" s="6">
        <v>1.1299999999999999</v>
      </c>
      <c r="V93" s="6">
        <v>0.57999999999999996</v>
      </c>
      <c r="W93" s="6">
        <v>1.21</v>
      </c>
      <c r="X93" s="6">
        <v>1.21</v>
      </c>
      <c r="Y93" s="6">
        <v>0.89</v>
      </c>
      <c r="Z93" s="6">
        <v>1.01</v>
      </c>
      <c r="AA93" s="6">
        <v>0.85</v>
      </c>
      <c r="AB93" s="6">
        <v>1.1100000000000001</v>
      </c>
      <c r="AC93" s="6">
        <v>1.04</v>
      </c>
      <c r="AD93" s="6">
        <v>1.29</v>
      </c>
      <c r="AE93" s="6">
        <v>1.2</v>
      </c>
      <c r="AF93" s="6">
        <v>1.86</v>
      </c>
      <c r="AG93" s="6">
        <v>2.67</v>
      </c>
      <c r="AH93" s="6">
        <v>0.91</v>
      </c>
      <c r="AI93" s="6">
        <v>1.1599999999999999</v>
      </c>
      <c r="AJ93" s="6">
        <v>1.07</v>
      </c>
      <c r="AK93" s="6">
        <v>2.39</v>
      </c>
      <c r="AL93" s="6">
        <v>0.9</v>
      </c>
      <c r="AM93" s="6">
        <v>0.89</v>
      </c>
      <c r="AN93" s="6">
        <v>1.1100000000000001</v>
      </c>
      <c r="AO93" s="6">
        <v>0.95</v>
      </c>
      <c r="AP93" s="6">
        <v>1.1399999999999999</v>
      </c>
      <c r="AQ93" s="6">
        <v>0.94</v>
      </c>
      <c r="AR93" s="6">
        <v>0.95</v>
      </c>
      <c r="AS93" s="6">
        <v>0.95</v>
      </c>
      <c r="AT93" s="6">
        <v>0.79</v>
      </c>
      <c r="AU93" s="6">
        <v>1.41</v>
      </c>
      <c r="AV93" s="6">
        <v>1.87</v>
      </c>
      <c r="AW93" s="6">
        <v>1.0900000000000001</v>
      </c>
      <c r="AX93" s="6">
        <v>1.83</v>
      </c>
      <c r="AY93" s="6">
        <v>2.1</v>
      </c>
      <c r="AZ93" s="6">
        <v>1.85</v>
      </c>
      <c r="BA93" s="6">
        <v>2.0099999999999998</v>
      </c>
      <c r="BB93" s="6">
        <v>2.2799999999999998</v>
      </c>
      <c r="BC93" s="6">
        <f t="shared" ref="BC93:BC95" si="0">1.13+0.43</f>
        <v>1.5599999999999998</v>
      </c>
      <c r="BD93" s="6">
        <v>1.77112</v>
      </c>
      <c r="BE93" s="6">
        <v>1.71</v>
      </c>
      <c r="BF93" s="6">
        <v>1.8</v>
      </c>
      <c r="BG93" s="6">
        <v>1.31</v>
      </c>
      <c r="BH93" s="6">
        <v>2.14</v>
      </c>
      <c r="BI93" s="6">
        <v>1.56</v>
      </c>
      <c r="BJ93" s="6">
        <v>1.34</v>
      </c>
      <c r="BK93" s="6">
        <v>1.71</v>
      </c>
      <c r="BL93" s="6">
        <v>1.39</v>
      </c>
      <c r="BM93" s="6">
        <v>1.51</v>
      </c>
      <c r="BN93" s="6">
        <v>1.72</v>
      </c>
      <c r="BO93" s="6">
        <v>2.2599999999999998</v>
      </c>
      <c r="BP93" s="6">
        <v>1.54</v>
      </c>
      <c r="BQ93" s="6">
        <v>1.91</v>
      </c>
      <c r="BR93" s="6">
        <v>2.44</v>
      </c>
      <c r="BS93" s="6">
        <v>1.66</v>
      </c>
      <c r="BT93" s="6">
        <v>2.2799999999999998</v>
      </c>
      <c r="BU93" s="6">
        <v>2.42</v>
      </c>
      <c r="BV93" s="6">
        <v>2.25</v>
      </c>
      <c r="BW93" s="6">
        <v>1.74</v>
      </c>
      <c r="BX93" s="6">
        <v>1.73</v>
      </c>
      <c r="BY93" s="6">
        <v>1.3</v>
      </c>
      <c r="BZ93" s="6">
        <v>2.37</v>
      </c>
      <c r="CA93" s="6">
        <v>1.38</v>
      </c>
      <c r="CB93" s="6">
        <v>1.1000000000000001</v>
      </c>
      <c r="CC93" s="6">
        <v>0.74</v>
      </c>
      <c r="CD93" s="6">
        <v>2.34</v>
      </c>
      <c r="CE93" s="6">
        <v>3.6</v>
      </c>
      <c r="CF93" s="6">
        <v>1.58</v>
      </c>
      <c r="CG93" s="6">
        <v>1.19</v>
      </c>
      <c r="CH93" s="6"/>
    </row>
    <row r="94" spans="1:86" ht="15.75" customHeight="1" x14ac:dyDescent="0.25">
      <c r="A94" s="4">
        <v>92</v>
      </c>
      <c r="B94" s="2"/>
      <c r="C94" s="4">
        <v>2</v>
      </c>
      <c r="D94" s="6">
        <v>2.0299999999999998</v>
      </c>
      <c r="E94" s="6">
        <v>1.1299999999999999</v>
      </c>
      <c r="F94" s="6">
        <v>1.1299999999999999</v>
      </c>
      <c r="G94" s="6">
        <v>1.02</v>
      </c>
      <c r="H94" s="6">
        <v>0.63</v>
      </c>
      <c r="I94" s="6">
        <v>0.68</v>
      </c>
      <c r="J94" s="6">
        <v>1.03</v>
      </c>
      <c r="K94" s="6">
        <v>1.48</v>
      </c>
      <c r="L94" s="6">
        <v>1.83</v>
      </c>
      <c r="M94" s="6">
        <v>0.73</v>
      </c>
      <c r="N94" s="6">
        <v>2.23</v>
      </c>
      <c r="O94" s="6">
        <v>1.41</v>
      </c>
      <c r="P94" s="6">
        <v>2.13</v>
      </c>
      <c r="Q94" s="6">
        <v>2.1800000000000002</v>
      </c>
      <c r="R94" s="6">
        <v>0.98</v>
      </c>
      <c r="S94" s="6">
        <v>1.18</v>
      </c>
      <c r="T94" s="6">
        <v>0.76</v>
      </c>
      <c r="U94" s="6">
        <v>1.03</v>
      </c>
      <c r="V94" s="6">
        <v>0.61</v>
      </c>
      <c r="W94" s="6">
        <v>1.31</v>
      </c>
      <c r="X94" s="6">
        <v>1.1200000000000001</v>
      </c>
      <c r="Y94" s="6">
        <v>0.81</v>
      </c>
      <c r="Z94" s="6">
        <v>1.08</v>
      </c>
      <c r="AA94" s="6">
        <v>0.89</v>
      </c>
      <c r="AB94" s="6">
        <v>1.05</v>
      </c>
      <c r="AC94" s="6">
        <v>1</v>
      </c>
      <c r="AD94" s="6">
        <v>1.31</v>
      </c>
      <c r="AE94" s="6">
        <v>1.2</v>
      </c>
      <c r="AF94" s="6">
        <v>1.86</v>
      </c>
      <c r="AG94" s="6">
        <v>2.74</v>
      </c>
      <c r="AH94" s="6">
        <v>0.93</v>
      </c>
      <c r="AI94" s="6">
        <v>1.2</v>
      </c>
      <c r="AJ94" s="6">
        <v>0.99</v>
      </c>
      <c r="AK94" s="6">
        <v>2.4300000000000002</v>
      </c>
      <c r="AL94" s="6">
        <v>1.05</v>
      </c>
      <c r="AM94" s="6">
        <v>0.89</v>
      </c>
      <c r="AN94" s="6">
        <v>1.1000000000000001</v>
      </c>
      <c r="AO94" s="6">
        <v>0.93</v>
      </c>
      <c r="AP94" s="6">
        <v>1.1399999999999999</v>
      </c>
      <c r="AQ94" s="6">
        <v>0.89</v>
      </c>
      <c r="AR94" s="6">
        <v>0.92</v>
      </c>
      <c r="AS94" s="6">
        <v>0.9</v>
      </c>
      <c r="AT94" s="6">
        <v>0.83</v>
      </c>
      <c r="AU94" s="6">
        <v>1.34</v>
      </c>
      <c r="AV94" s="6">
        <v>1.87</v>
      </c>
      <c r="AW94" s="6">
        <v>1.1000000000000001</v>
      </c>
      <c r="AX94" s="6">
        <v>1.74</v>
      </c>
      <c r="AY94" s="6">
        <v>2.06</v>
      </c>
      <c r="AZ94" s="6">
        <v>1.79</v>
      </c>
      <c r="BA94" s="6">
        <v>2.0099999999999998</v>
      </c>
      <c r="BB94" s="6">
        <v>2.35</v>
      </c>
      <c r="BC94" s="6">
        <f t="shared" si="0"/>
        <v>1.5599999999999998</v>
      </c>
      <c r="BD94" s="6">
        <v>1.7101599999999999</v>
      </c>
      <c r="BE94" s="6">
        <v>1.71</v>
      </c>
      <c r="BF94" s="6">
        <v>1.77</v>
      </c>
      <c r="BG94" s="6">
        <v>1.22</v>
      </c>
      <c r="BH94" s="6">
        <v>2.14</v>
      </c>
      <c r="BI94" s="6">
        <v>1.61</v>
      </c>
      <c r="BJ94" s="6">
        <v>1.22</v>
      </c>
      <c r="BK94" s="6">
        <v>1.75</v>
      </c>
      <c r="BL94" s="6">
        <v>1.42</v>
      </c>
      <c r="BM94" s="6">
        <v>1.48</v>
      </c>
      <c r="BN94" s="6">
        <v>1.72</v>
      </c>
      <c r="BO94" s="6">
        <v>2.27</v>
      </c>
      <c r="BP94" s="6">
        <v>1.5</v>
      </c>
      <c r="BQ94" s="6">
        <v>1.91</v>
      </c>
      <c r="BR94" s="6">
        <v>2.38</v>
      </c>
      <c r="BS94" s="6">
        <v>1.57</v>
      </c>
      <c r="BT94" s="6">
        <v>2.2799999999999998</v>
      </c>
      <c r="BU94" s="6">
        <v>2.5099999999999998</v>
      </c>
      <c r="BV94" s="6">
        <v>2.3000000000000003</v>
      </c>
      <c r="BW94" s="6">
        <v>1.79</v>
      </c>
      <c r="BX94" s="6">
        <v>1.68</v>
      </c>
      <c r="BY94" s="6">
        <v>1.33</v>
      </c>
      <c r="BZ94" s="6">
        <v>2.4</v>
      </c>
      <c r="CA94" s="6">
        <v>1.33</v>
      </c>
      <c r="CB94" s="6">
        <v>1.06</v>
      </c>
      <c r="CC94" s="6">
        <v>0.73</v>
      </c>
      <c r="CD94" s="6">
        <v>2.5</v>
      </c>
      <c r="CE94" s="6">
        <v>3.64</v>
      </c>
      <c r="CF94" s="6">
        <v>1.57</v>
      </c>
      <c r="CG94" s="6">
        <v>1.1000000000000001</v>
      </c>
      <c r="CH94" s="6"/>
    </row>
    <row r="95" spans="1:86" ht="15.75" customHeight="1" x14ac:dyDescent="0.25">
      <c r="A95" s="4">
        <v>93</v>
      </c>
      <c r="B95" s="2"/>
      <c r="C95" s="4">
        <v>3</v>
      </c>
      <c r="D95" s="6">
        <v>2.0299999999999998</v>
      </c>
      <c r="E95" s="6">
        <v>0.98</v>
      </c>
      <c r="F95" s="6">
        <v>1.1299999999999999</v>
      </c>
      <c r="G95" s="6">
        <v>1.1100000000000001</v>
      </c>
      <c r="H95" s="6">
        <v>0.73</v>
      </c>
      <c r="I95" s="6">
        <v>0.53</v>
      </c>
      <c r="J95" s="6">
        <v>1.08</v>
      </c>
      <c r="K95" s="6">
        <v>1.38</v>
      </c>
      <c r="L95" s="6">
        <v>1.78</v>
      </c>
      <c r="M95" s="6">
        <v>0.77</v>
      </c>
      <c r="N95" s="6">
        <v>2.33</v>
      </c>
      <c r="O95" s="6">
        <v>1.48</v>
      </c>
      <c r="P95" s="6">
        <v>2.08</v>
      </c>
      <c r="Q95" s="6">
        <v>2.13</v>
      </c>
      <c r="R95" s="6">
        <v>1.1299999999999999</v>
      </c>
      <c r="S95" s="6">
        <v>1.38</v>
      </c>
      <c r="T95" s="6">
        <v>0.56000000000000005</v>
      </c>
      <c r="U95" s="6">
        <v>1.01</v>
      </c>
      <c r="V95" s="6">
        <v>0.91</v>
      </c>
      <c r="W95" s="6">
        <v>1.41</v>
      </c>
      <c r="X95" s="6">
        <v>1</v>
      </c>
      <c r="Y95" s="6">
        <v>0.81</v>
      </c>
      <c r="Z95" s="6">
        <v>1.1100000000000001</v>
      </c>
      <c r="AA95" s="6">
        <v>0.95</v>
      </c>
      <c r="AB95" s="6">
        <v>0.97</v>
      </c>
      <c r="AC95" s="6">
        <v>0.94</v>
      </c>
      <c r="AD95" s="6">
        <v>1.29</v>
      </c>
      <c r="AE95" s="6">
        <v>1.3</v>
      </c>
      <c r="AF95" s="6">
        <v>1.71</v>
      </c>
      <c r="AG95" s="6">
        <v>2.75</v>
      </c>
      <c r="AH95" s="6">
        <v>0.97</v>
      </c>
      <c r="AI95" s="6">
        <v>1.25</v>
      </c>
      <c r="AJ95" s="6">
        <v>0.97</v>
      </c>
      <c r="AK95" s="6">
        <v>2.5099999999999998</v>
      </c>
      <c r="AL95" s="6">
        <v>1.1499999999999999</v>
      </c>
      <c r="AM95" s="6">
        <v>0.86</v>
      </c>
      <c r="AN95" s="6">
        <v>1.0900000000000001</v>
      </c>
      <c r="AO95" s="6">
        <v>0.87</v>
      </c>
      <c r="AP95" s="6">
        <v>1.1399999999999999</v>
      </c>
      <c r="AQ95" s="6">
        <v>0.87</v>
      </c>
      <c r="AR95" s="6">
        <v>0.86</v>
      </c>
      <c r="AS95" s="6">
        <v>0.9</v>
      </c>
      <c r="AT95" s="6">
        <v>0.91</v>
      </c>
      <c r="AU95" s="6">
        <v>1.3</v>
      </c>
      <c r="AV95" s="6">
        <v>1.83</v>
      </c>
      <c r="AW95" s="6">
        <v>1.1399999999999999</v>
      </c>
      <c r="AX95" s="6">
        <v>1.74</v>
      </c>
      <c r="AY95" s="6">
        <v>1.97</v>
      </c>
      <c r="AZ95" s="6">
        <v>1.76</v>
      </c>
      <c r="BA95" s="6">
        <v>2.02</v>
      </c>
      <c r="BB95" s="6">
        <v>2.36</v>
      </c>
      <c r="BC95" s="6">
        <f t="shared" si="0"/>
        <v>1.5599999999999998</v>
      </c>
      <c r="BD95" s="6">
        <v>1.6187199999999999</v>
      </c>
      <c r="BE95" s="6">
        <v>1.71</v>
      </c>
      <c r="BF95" s="6">
        <v>1.77</v>
      </c>
      <c r="BG95" s="6">
        <v>1.28</v>
      </c>
      <c r="BH95" s="6">
        <v>2.14</v>
      </c>
      <c r="BI95" s="6">
        <v>1.61</v>
      </c>
      <c r="BJ95" s="6">
        <v>1.28</v>
      </c>
      <c r="BK95" s="6">
        <v>1.85</v>
      </c>
      <c r="BL95" s="6">
        <v>1.42</v>
      </c>
      <c r="BM95" s="6">
        <v>1.54</v>
      </c>
      <c r="BN95" s="6">
        <v>1.64</v>
      </c>
      <c r="BO95" s="6">
        <v>2.21</v>
      </c>
      <c r="BP95" s="6">
        <v>1.53</v>
      </c>
      <c r="BQ95" s="6">
        <v>1.88</v>
      </c>
      <c r="BR95" s="6">
        <v>2.38</v>
      </c>
      <c r="BS95" s="6">
        <v>1.54</v>
      </c>
      <c r="BT95" s="6">
        <v>2.2599999999999998</v>
      </c>
      <c r="BU95" s="6">
        <v>2.58</v>
      </c>
      <c r="BV95" s="6">
        <v>2.37</v>
      </c>
      <c r="BW95" s="6">
        <v>1.73</v>
      </c>
      <c r="BX95" s="6">
        <v>1.72</v>
      </c>
      <c r="BY95" s="6">
        <v>1.31</v>
      </c>
      <c r="BZ95" s="6">
        <v>2.2800000000000002</v>
      </c>
      <c r="CA95" s="6">
        <v>1.33</v>
      </c>
      <c r="CB95" s="6">
        <v>1.1100000000000001</v>
      </c>
      <c r="CC95" s="6">
        <v>0.73</v>
      </c>
      <c r="CD95" s="6">
        <v>2.54</v>
      </c>
      <c r="CE95" s="6">
        <v>3.5500000000000003</v>
      </c>
      <c r="CF95" s="6">
        <v>1.61</v>
      </c>
      <c r="CG95" s="6">
        <v>1.1100000000000001</v>
      </c>
      <c r="CH95" s="6"/>
    </row>
    <row r="96" spans="1:86" ht="15.75" customHeight="1" x14ac:dyDescent="0.25">
      <c r="A96" s="4">
        <v>94</v>
      </c>
      <c r="B96" s="2"/>
      <c r="C96" s="4">
        <v>4</v>
      </c>
      <c r="D96" s="6">
        <v>2.0299999999999998</v>
      </c>
      <c r="E96" s="6">
        <v>1.1299999999999999</v>
      </c>
      <c r="F96" s="6">
        <v>1.1299999999999999</v>
      </c>
      <c r="G96" s="6">
        <v>1.23</v>
      </c>
      <c r="H96" s="6">
        <v>0.83</v>
      </c>
      <c r="I96" s="6">
        <v>0.53</v>
      </c>
      <c r="J96" s="6">
        <v>1.1299999999999999</v>
      </c>
      <c r="K96" s="6">
        <v>1.38</v>
      </c>
      <c r="L96" s="6">
        <v>1.73</v>
      </c>
      <c r="M96" s="6">
        <v>0.7</v>
      </c>
      <c r="N96" s="6">
        <v>2.33</v>
      </c>
      <c r="O96" s="6">
        <v>1.53</v>
      </c>
      <c r="P96" s="6">
        <v>2.1800000000000002</v>
      </c>
      <c r="Q96" s="6">
        <v>2.08</v>
      </c>
      <c r="R96" s="6">
        <v>1.08</v>
      </c>
      <c r="S96" s="6">
        <v>1.53</v>
      </c>
      <c r="T96" s="6">
        <v>0.69</v>
      </c>
      <c r="U96" s="6">
        <v>0.93</v>
      </c>
      <c r="V96" s="6">
        <v>0.96</v>
      </c>
      <c r="W96" s="6">
        <v>1.41</v>
      </c>
      <c r="X96" s="6">
        <v>0.94</v>
      </c>
      <c r="Y96" s="6">
        <v>0.81</v>
      </c>
      <c r="Z96" s="6">
        <v>1.1100000000000001</v>
      </c>
      <c r="AA96" s="6">
        <v>1.03</v>
      </c>
      <c r="AB96" s="6">
        <v>1.01</v>
      </c>
      <c r="AC96" s="6">
        <v>1</v>
      </c>
      <c r="AD96" s="6">
        <v>1.28</v>
      </c>
      <c r="AE96" s="6">
        <v>1.31</v>
      </c>
      <c r="AF96" s="6">
        <v>1.74</v>
      </c>
      <c r="AG96" s="6">
        <v>1.81</v>
      </c>
      <c r="AH96" s="6">
        <v>1.01</v>
      </c>
      <c r="AI96" s="6">
        <v>1.38</v>
      </c>
      <c r="AJ96" s="6">
        <v>0.97</v>
      </c>
      <c r="AK96" s="6">
        <v>2.67</v>
      </c>
      <c r="AL96" s="6">
        <v>1.2</v>
      </c>
      <c r="AM96" s="6">
        <v>0.88</v>
      </c>
      <c r="AN96" s="6">
        <v>1.05</v>
      </c>
      <c r="AO96" s="6">
        <v>0.81</v>
      </c>
      <c r="AP96" s="6">
        <v>1.1200000000000001</v>
      </c>
      <c r="AQ96" s="6">
        <v>1</v>
      </c>
      <c r="AR96" s="6">
        <v>0.78</v>
      </c>
      <c r="AS96" s="6">
        <v>0.92</v>
      </c>
      <c r="AT96" s="6">
        <v>0.97</v>
      </c>
      <c r="AU96" s="6">
        <v>1.28</v>
      </c>
      <c r="AV96" s="6">
        <v>1.77</v>
      </c>
      <c r="AW96" s="6">
        <v>1.1100000000000001</v>
      </c>
      <c r="AX96" s="6">
        <v>1.74</v>
      </c>
      <c r="AY96" s="6">
        <v>1.97</v>
      </c>
      <c r="AZ96" s="6">
        <v>1.74</v>
      </c>
      <c r="BA96" s="6">
        <v>2.0499999999999998</v>
      </c>
      <c r="BB96" s="6">
        <v>2.4500000000000002</v>
      </c>
      <c r="BC96" s="6">
        <f>1.14+0.43</f>
        <v>1.5699999999999998</v>
      </c>
      <c r="BD96" s="6">
        <v>1.55776</v>
      </c>
      <c r="BE96" s="6">
        <v>1.71</v>
      </c>
      <c r="BF96" s="6">
        <v>1.77</v>
      </c>
      <c r="BG96" s="6">
        <v>1.19</v>
      </c>
      <c r="BH96" s="6">
        <v>2.14</v>
      </c>
      <c r="BI96" s="6">
        <v>1.66</v>
      </c>
      <c r="BJ96" s="6">
        <v>1.36</v>
      </c>
      <c r="BK96" s="6">
        <v>1.91</v>
      </c>
      <c r="BL96" s="6">
        <v>1.31</v>
      </c>
      <c r="BM96" s="6">
        <v>1.56</v>
      </c>
      <c r="BN96" s="6">
        <v>1.64</v>
      </c>
      <c r="BO96" s="6">
        <v>2.25</v>
      </c>
      <c r="BP96" s="6">
        <v>1.66</v>
      </c>
      <c r="BQ96" s="6">
        <v>1.9</v>
      </c>
      <c r="BR96" s="6">
        <v>2.34</v>
      </c>
      <c r="BS96" s="6">
        <v>1.52</v>
      </c>
      <c r="BT96" s="6">
        <v>2.17</v>
      </c>
      <c r="BU96" s="6">
        <v>2.71</v>
      </c>
      <c r="BV96" s="6">
        <v>2.3000000000000003</v>
      </c>
      <c r="BW96" s="6">
        <v>1.7</v>
      </c>
      <c r="BX96" s="6">
        <v>1.73</v>
      </c>
      <c r="BY96" s="6">
        <v>1.38</v>
      </c>
      <c r="BZ96" s="6">
        <v>2.35</v>
      </c>
      <c r="CA96" s="6">
        <v>1.43</v>
      </c>
      <c r="CB96" s="6">
        <v>1.24</v>
      </c>
      <c r="CC96" s="6">
        <v>0.71</v>
      </c>
      <c r="CD96" s="6">
        <v>2.4700000000000002</v>
      </c>
      <c r="CE96" s="6">
        <v>3.58</v>
      </c>
      <c r="CF96" s="6">
        <v>1.65</v>
      </c>
      <c r="CG96" s="6">
        <v>1.1200000000000001</v>
      </c>
      <c r="CH96" s="6"/>
    </row>
    <row r="97" spans="1:86" ht="15.75" customHeight="1" x14ac:dyDescent="0.25">
      <c r="A97" s="4">
        <v>95</v>
      </c>
      <c r="B97" s="2"/>
      <c r="C97" s="4">
        <v>5</v>
      </c>
      <c r="D97" s="6">
        <v>2.0299999999999998</v>
      </c>
      <c r="E97" s="6">
        <v>1.33</v>
      </c>
      <c r="F97" s="6">
        <v>1.1299999999999999</v>
      </c>
      <c r="G97" s="6">
        <v>1.23</v>
      </c>
      <c r="H97" s="6">
        <v>0.88</v>
      </c>
      <c r="I97" s="6">
        <v>0.53</v>
      </c>
      <c r="J97" s="6">
        <v>1.18</v>
      </c>
      <c r="K97" s="6">
        <v>1.38</v>
      </c>
      <c r="L97" s="6">
        <v>1.63</v>
      </c>
      <c r="M97" s="6">
        <v>0.73</v>
      </c>
      <c r="N97" s="6">
        <v>2.23</v>
      </c>
      <c r="O97" s="6">
        <v>1.58</v>
      </c>
      <c r="P97" s="6">
        <v>1.98</v>
      </c>
      <c r="Q97" s="6">
        <v>2.0299999999999998</v>
      </c>
      <c r="R97" s="6">
        <v>1.08</v>
      </c>
      <c r="S97" s="6">
        <v>1.63</v>
      </c>
      <c r="T97" s="6">
        <v>0.71</v>
      </c>
      <c r="U97" s="6">
        <v>0.88</v>
      </c>
      <c r="V97" s="6">
        <v>1.01</v>
      </c>
      <c r="W97" s="6">
        <v>1.51</v>
      </c>
      <c r="X97" s="6">
        <v>1.06</v>
      </c>
      <c r="Y97" s="6">
        <v>0.71</v>
      </c>
      <c r="Z97" s="6">
        <v>1.1100000000000001</v>
      </c>
      <c r="AA97" s="6">
        <v>1.1200000000000001</v>
      </c>
      <c r="AB97" s="6">
        <v>1.03</v>
      </c>
      <c r="AC97" s="6">
        <v>0.97</v>
      </c>
      <c r="AD97" s="6">
        <v>1.24</v>
      </c>
      <c r="AE97" s="6">
        <v>1.1299999999999999</v>
      </c>
      <c r="AF97" s="6">
        <v>1.77</v>
      </c>
      <c r="AG97" s="6">
        <v>1.88</v>
      </c>
      <c r="AH97" s="6">
        <v>1.01</v>
      </c>
      <c r="AI97" s="6">
        <v>1.57</v>
      </c>
      <c r="AJ97" s="6">
        <v>0.98</v>
      </c>
      <c r="AK97" s="6">
        <v>2.75</v>
      </c>
      <c r="AL97" s="6">
        <v>1.28</v>
      </c>
      <c r="AM97" s="6">
        <v>0.95</v>
      </c>
      <c r="AN97" s="6">
        <v>1.03</v>
      </c>
      <c r="AO97" s="6">
        <v>0.8</v>
      </c>
      <c r="AP97" s="6">
        <v>1.06</v>
      </c>
      <c r="AQ97" s="6">
        <v>1.1200000000000001</v>
      </c>
      <c r="AR97" s="6">
        <v>0.74</v>
      </c>
      <c r="AS97" s="6">
        <v>0.94</v>
      </c>
      <c r="AT97" s="6">
        <v>1.01</v>
      </c>
      <c r="AU97" s="6">
        <v>1.31</v>
      </c>
      <c r="AV97" s="6">
        <v>1.68</v>
      </c>
      <c r="AW97" s="6">
        <v>1.1499999999999999</v>
      </c>
      <c r="AX97" s="6">
        <v>1.87</v>
      </c>
      <c r="AY97" s="6">
        <v>1.97</v>
      </c>
      <c r="AZ97" s="6">
        <v>1.66</v>
      </c>
      <c r="BA97" s="6">
        <v>2.08</v>
      </c>
      <c r="BB97" s="6">
        <v>2.4</v>
      </c>
      <c r="BC97" s="6">
        <f>1.16+0.43</f>
        <v>1.5899999999999999</v>
      </c>
      <c r="BD97" s="6">
        <v>1.55776</v>
      </c>
      <c r="BE97" s="6">
        <v>1.71</v>
      </c>
      <c r="BF97" s="6">
        <v>1.75</v>
      </c>
      <c r="BG97" s="6">
        <v>1.19</v>
      </c>
      <c r="BH97" s="6">
        <v>2.0499999999999998</v>
      </c>
      <c r="BI97" s="6">
        <v>1.76</v>
      </c>
      <c r="BJ97" s="6">
        <v>1.39</v>
      </c>
      <c r="BK97" s="6">
        <v>1.9</v>
      </c>
      <c r="BL97" s="6">
        <v>1.31</v>
      </c>
      <c r="BM97" s="6">
        <v>1.55</v>
      </c>
      <c r="BN97" s="6">
        <v>1.7</v>
      </c>
      <c r="BO97" s="6">
        <v>2.34</v>
      </c>
      <c r="BP97" s="6">
        <v>1.65</v>
      </c>
      <c r="BQ97" s="6">
        <v>1.9</v>
      </c>
      <c r="BR97" s="6">
        <v>2.2999999999999998</v>
      </c>
      <c r="BS97" s="6">
        <v>1.51</v>
      </c>
      <c r="BT97" s="6">
        <v>2.23</v>
      </c>
      <c r="BU97" s="6">
        <v>2.74</v>
      </c>
      <c r="BV97" s="6">
        <v>2.36</v>
      </c>
      <c r="BW97" s="6">
        <v>1.72</v>
      </c>
      <c r="BX97" s="6">
        <v>1.75</v>
      </c>
      <c r="BY97" s="6">
        <v>1.38</v>
      </c>
      <c r="BZ97" s="6">
        <v>2.4</v>
      </c>
      <c r="CA97" s="6">
        <v>1.42</v>
      </c>
      <c r="CB97" s="6">
        <v>1.3699999999999999</v>
      </c>
      <c r="CC97" s="6">
        <v>0.71</v>
      </c>
      <c r="CD97" s="6">
        <v>2.4500000000000002</v>
      </c>
      <c r="CE97" s="6">
        <v>3.5900000000000003</v>
      </c>
      <c r="CF97" s="6">
        <v>1.7</v>
      </c>
      <c r="CG97" s="6">
        <v>1.21</v>
      </c>
      <c r="CH97" s="6"/>
    </row>
    <row r="98" spans="1:86" ht="15.75" customHeight="1" x14ac:dyDescent="0.25">
      <c r="A98" s="4">
        <v>96</v>
      </c>
      <c r="B98" s="2"/>
      <c r="C98" s="4">
        <v>6</v>
      </c>
      <c r="D98" s="6">
        <v>2.0299999999999998</v>
      </c>
      <c r="E98" s="6">
        <v>1.38</v>
      </c>
      <c r="F98" s="6">
        <v>1.08</v>
      </c>
      <c r="G98" s="6">
        <v>1.1299999999999999</v>
      </c>
      <c r="H98" s="6">
        <v>0.88</v>
      </c>
      <c r="I98" s="6">
        <v>0.63</v>
      </c>
      <c r="J98" s="6">
        <v>1.18</v>
      </c>
      <c r="K98" s="6">
        <v>1.38</v>
      </c>
      <c r="L98" s="6">
        <v>1.73</v>
      </c>
      <c r="M98" s="6">
        <v>0.77</v>
      </c>
      <c r="N98" s="6">
        <v>2.23</v>
      </c>
      <c r="O98" s="6">
        <v>1.58</v>
      </c>
      <c r="P98" s="6">
        <v>1.93</v>
      </c>
      <c r="Q98" s="6">
        <v>2.08</v>
      </c>
      <c r="R98" s="6">
        <v>1.08</v>
      </c>
      <c r="S98" s="6">
        <v>1.73</v>
      </c>
      <c r="T98" s="6">
        <v>0.61</v>
      </c>
      <c r="U98" s="6">
        <v>0.81</v>
      </c>
      <c r="V98" s="6">
        <v>1.1100000000000001</v>
      </c>
      <c r="W98" s="6">
        <v>1.51</v>
      </c>
      <c r="X98" s="6">
        <v>1.0900000000000001</v>
      </c>
      <c r="Y98" s="6">
        <v>0.61</v>
      </c>
      <c r="Z98" s="6">
        <v>1.1100000000000001</v>
      </c>
      <c r="AA98" s="6">
        <v>1.2</v>
      </c>
      <c r="AB98" s="6">
        <v>1.05</v>
      </c>
      <c r="AC98" s="6">
        <v>0.88</v>
      </c>
      <c r="AD98" s="6">
        <v>1.18</v>
      </c>
      <c r="AE98" s="6">
        <v>1.51</v>
      </c>
      <c r="AF98" s="6">
        <v>1.8</v>
      </c>
      <c r="AG98" s="6">
        <v>1.99</v>
      </c>
      <c r="AH98" s="6">
        <v>1.03</v>
      </c>
      <c r="AI98" s="6">
        <v>1.58</v>
      </c>
      <c r="AJ98" s="6">
        <v>1.01</v>
      </c>
      <c r="AK98" s="6">
        <v>2.81</v>
      </c>
      <c r="AL98" s="6">
        <v>1.33</v>
      </c>
      <c r="AM98" s="6">
        <v>1.03</v>
      </c>
      <c r="AN98" s="6">
        <v>1.01</v>
      </c>
      <c r="AO98" s="6">
        <v>0.81</v>
      </c>
      <c r="AP98" s="6">
        <v>1.1000000000000001</v>
      </c>
      <c r="AQ98" s="6">
        <v>1.22</v>
      </c>
      <c r="AR98" s="6">
        <v>0.7</v>
      </c>
      <c r="AS98" s="6">
        <v>0.89</v>
      </c>
      <c r="AT98" s="6">
        <v>1.01</v>
      </c>
      <c r="AU98" s="6">
        <v>1.47</v>
      </c>
      <c r="AV98" s="6">
        <v>1.57</v>
      </c>
      <c r="AW98" s="6">
        <v>1.1299999999999999</v>
      </c>
      <c r="AX98" s="6">
        <v>1.88</v>
      </c>
      <c r="AY98" s="6">
        <v>2.0299999999999998</v>
      </c>
      <c r="AZ98" s="6">
        <v>1.59</v>
      </c>
      <c r="BA98" s="6">
        <v>1.96</v>
      </c>
      <c r="BB98" s="6">
        <v>2.48</v>
      </c>
      <c r="BC98" s="6">
        <f>1.31+0.43</f>
        <v>1.74</v>
      </c>
      <c r="BD98" s="6">
        <v>1.55776</v>
      </c>
      <c r="BE98" s="6">
        <v>1.74</v>
      </c>
      <c r="BF98" s="6">
        <v>1.74</v>
      </c>
      <c r="BG98" s="6">
        <v>1.19</v>
      </c>
      <c r="BH98" s="6">
        <v>2.0499999999999998</v>
      </c>
      <c r="BI98" s="6">
        <v>1.77</v>
      </c>
      <c r="BJ98" s="6">
        <v>1.48</v>
      </c>
      <c r="BK98" s="6">
        <v>1.9</v>
      </c>
      <c r="BL98" s="6">
        <v>1.39</v>
      </c>
      <c r="BM98" s="6">
        <v>1.57</v>
      </c>
      <c r="BN98" s="6">
        <v>1.78</v>
      </c>
      <c r="BO98" s="6">
        <v>2.44</v>
      </c>
      <c r="BP98" s="6">
        <v>1.58</v>
      </c>
      <c r="BQ98" s="6">
        <v>1.9</v>
      </c>
      <c r="BR98" s="6">
        <v>2.39</v>
      </c>
      <c r="BS98" s="6">
        <v>1.54</v>
      </c>
      <c r="BT98" s="6">
        <v>2.33</v>
      </c>
      <c r="BU98" s="6">
        <v>2.76</v>
      </c>
      <c r="BV98" s="6">
        <v>2.38</v>
      </c>
      <c r="BW98" s="6">
        <v>1.69</v>
      </c>
      <c r="BX98" s="6">
        <v>1.8099999999999998</v>
      </c>
      <c r="BY98" s="6">
        <v>1.35</v>
      </c>
      <c r="BZ98" s="6">
        <v>2.5500000000000003</v>
      </c>
      <c r="CA98" s="6">
        <v>1.41</v>
      </c>
      <c r="CB98" s="6">
        <v>1.52</v>
      </c>
      <c r="CC98" s="6">
        <v>0.7</v>
      </c>
      <c r="CD98" s="6">
        <v>2.38</v>
      </c>
      <c r="CE98" s="6">
        <v>3.56</v>
      </c>
      <c r="CF98" s="6">
        <v>1.67</v>
      </c>
      <c r="CG98" s="6">
        <v>1.26</v>
      </c>
      <c r="CH98" s="6"/>
    </row>
    <row r="99" spans="1:86" ht="15.75" customHeight="1" x14ac:dyDescent="0.25">
      <c r="A99" s="4">
        <v>97</v>
      </c>
      <c r="B99" s="2"/>
      <c r="C99" s="4">
        <v>7</v>
      </c>
      <c r="D99" s="6">
        <v>2.0299999999999998</v>
      </c>
      <c r="E99" s="6">
        <v>1.43</v>
      </c>
      <c r="F99" s="6">
        <v>0.98</v>
      </c>
      <c r="G99" s="6">
        <v>1.1299999999999999</v>
      </c>
      <c r="H99" s="6">
        <v>0.93</v>
      </c>
      <c r="I99" s="6">
        <v>0.68</v>
      </c>
      <c r="J99" s="6">
        <v>1.1299999999999999</v>
      </c>
      <c r="K99" s="6">
        <v>1.43</v>
      </c>
      <c r="L99" s="6">
        <v>1.73</v>
      </c>
      <c r="M99" s="6">
        <v>0.79</v>
      </c>
      <c r="N99" s="6">
        <v>2.13</v>
      </c>
      <c r="O99" s="6">
        <v>1.58</v>
      </c>
      <c r="P99" s="6">
        <v>2.0299999999999998</v>
      </c>
      <c r="Q99" s="6">
        <v>2.0299999999999998</v>
      </c>
      <c r="R99" s="6">
        <v>1.1299999999999999</v>
      </c>
      <c r="S99" s="6">
        <v>1.78</v>
      </c>
      <c r="T99" s="6">
        <v>0.81</v>
      </c>
      <c r="U99" s="6">
        <v>0.88</v>
      </c>
      <c r="V99" s="6">
        <v>1.1100000000000001</v>
      </c>
      <c r="W99" s="6">
        <v>1.58</v>
      </c>
      <c r="X99" s="6">
        <v>1.1100000000000001</v>
      </c>
      <c r="Y99" s="6">
        <v>0.56000000000000005</v>
      </c>
      <c r="Z99" s="6">
        <v>1.08</v>
      </c>
      <c r="AA99" s="6">
        <v>1.26</v>
      </c>
      <c r="AB99" s="6">
        <v>1.07</v>
      </c>
      <c r="AC99" s="6">
        <v>0.82</v>
      </c>
      <c r="AD99" s="6">
        <v>1.22</v>
      </c>
      <c r="AE99" s="6">
        <v>1.75</v>
      </c>
      <c r="AF99" s="6">
        <v>1.86</v>
      </c>
      <c r="AG99" s="6">
        <v>2.06</v>
      </c>
      <c r="AH99" s="6">
        <v>1.01</v>
      </c>
      <c r="AI99" s="6">
        <v>1.39</v>
      </c>
      <c r="AJ99" s="6">
        <v>1.05</v>
      </c>
      <c r="AK99" s="6">
        <v>2.8</v>
      </c>
      <c r="AL99" s="6">
        <v>1.3</v>
      </c>
      <c r="AM99" s="6">
        <v>1.07</v>
      </c>
      <c r="AN99" s="6">
        <v>1.03</v>
      </c>
      <c r="AO99" s="6">
        <v>0.83</v>
      </c>
      <c r="AP99" s="6">
        <v>1.08</v>
      </c>
      <c r="AQ99" s="6">
        <v>1.36</v>
      </c>
      <c r="AR99" s="6">
        <v>0.71</v>
      </c>
      <c r="AS99" s="6">
        <v>0.86</v>
      </c>
      <c r="AT99" s="6">
        <v>0.99</v>
      </c>
      <c r="AU99" s="6">
        <v>1.51</v>
      </c>
      <c r="AV99" s="6">
        <v>1.57</v>
      </c>
      <c r="AW99" s="6">
        <v>1.1000000000000001</v>
      </c>
      <c r="AX99" s="6">
        <v>1.92</v>
      </c>
      <c r="AY99" s="6">
        <v>2.08</v>
      </c>
      <c r="AZ99" s="6">
        <v>1.56</v>
      </c>
      <c r="BA99" s="6">
        <v>2.0099999999999998</v>
      </c>
      <c r="BB99" s="6">
        <v>2.5</v>
      </c>
      <c r="BC99" s="6">
        <f>1.39+0.43</f>
        <v>1.8199999999999998</v>
      </c>
      <c r="BD99" s="6">
        <v>1.5882400000000001</v>
      </c>
      <c r="BE99" s="6">
        <v>1.77</v>
      </c>
      <c r="BF99" s="6">
        <v>1.74</v>
      </c>
      <c r="BG99" s="6">
        <v>1.25</v>
      </c>
      <c r="BH99" s="6">
        <v>2.14</v>
      </c>
      <c r="BI99" s="6">
        <v>1.82</v>
      </c>
      <c r="BJ99" s="6">
        <v>1.59</v>
      </c>
      <c r="BK99" s="6">
        <v>1.83</v>
      </c>
      <c r="BL99" s="6">
        <v>1.41</v>
      </c>
      <c r="BM99" s="6">
        <v>1.67</v>
      </c>
      <c r="BN99" s="6">
        <v>1.86</v>
      </c>
      <c r="BO99" s="6">
        <v>2.44</v>
      </c>
      <c r="BP99" s="6">
        <v>1.53</v>
      </c>
      <c r="BQ99" s="6">
        <v>1.87</v>
      </c>
      <c r="BR99" s="6">
        <v>2.41</v>
      </c>
      <c r="BS99" s="6">
        <v>1.54</v>
      </c>
      <c r="BT99" s="6">
        <v>2.33</v>
      </c>
      <c r="BU99" s="6">
        <v>2.81</v>
      </c>
      <c r="BV99" s="6">
        <v>2.4</v>
      </c>
      <c r="BW99" s="6">
        <v>1.69</v>
      </c>
      <c r="BX99" s="6">
        <v>1.8099999999999998</v>
      </c>
      <c r="BY99" s="6">
        <v>1.34</v>
      </c>
      <c r="BZ99" s="6">
        <v>2.6</v>
      </c>
      <c r="CA99" s="6">
        <v>1.43</v>
      </c>
      <c r="CB99" s="6">
        <v>1.5899999999999999</v>
      </c>
      <c r="CC99" s="6">
        <v>0.72</v>
      </c>
      <c r="CD99" s="6">
        <v>2.38</v>
      </c>
      <c r="CE99" s="6">
        <v>3.54</v>
      </c>
      <c r="CF99" s="6">
        <v>1.67</v>
      </c>
      <c r="CG99" s="6">
        <v>1.34</v>
      </c>
      <c r="CH99" s="6"/>
    </row>
    <row r="100" spans="1:86" ht="15.75" customHeight="1" x14ac:dyDescent="0.25">
      <c r="A100" s="4">
        <v>98</v>
      </c>
      <c r="B100" s="2"/>
      <c r="C100" s="4">
        <v>8</v>
      </c>
      <c r="D100" s="6">
        <v>2.0299999999999998</v>
      </c>
      <c r="E100" s="6">
        <v>1.53</v>
      </c>
      <c r="F100" s="6">
        <v>0.93</v>
      </c>
      <c r="G100" s="6">
        <v>1.18</v>
      </c>
      <c r="H100" s="6">
        <v>0.93</v>
      </c>
      <c r="I100" s="6">
        <v>0.88</v>
      </c>
      <c r="J100" s="6">
        <v>1.08</v>
      </c>
      <c r="K100" s="6">
        <v>1.48</v>
      </c>
      <c r="L100" s="6">
        <v>1.78</v>
      </c>
      <c r="M100" s="6">
        <v>0.86</v>
      </c>
      <c r="N100" s="6">
        <v>2.0299999999999998</v>
      </c>
      <c r="O100" s="6">
        <v>1.58</v>
      </c>
      <c r="P100" s="6">
        <v>2.08</v>
      </c>
      <c r="Q100" s="6">
        <v>2</v>
      </c>
      <c r="R100" s="6">
        <v>1.03</v>
      </c>
      <c r="S100" s="6">
        <v>1.73</v>
      </c>
      <c r="T100" s="6">
        <v>0.91</v>
      </c>
      <c r="U100" s="6">
        <v>0.93</v>
      </c>
      <c r="V100" s="6">
        <v>1.1100000000000001</v>
      </c>
      <c r="W100" s="6">
        <v>1.56</v>
      </c>
      <c r="X100" s="6">
        <v>1.21</v>
      </c>
      <c r="Y100" s="6">
        <v>0.41</v>
      </c>
      <c r="Z100" s="6">
        <v>1.08</v>
      </c>
      <c r="AA100" s="6">
        <v>1.27</v>
      </c>
      <c r="AB100" s="6">
        <v>1.1000000000000001</v>
      </c>
      <c r="AC100" s="6">
        <v>0.79</v>
      </c>
      <c r="AD100" s="6">
        <v>1.17</v>
      </c>
      <c r="AE100" s="6">
        <v>1.74</v>
      </c>
      <c r="AF100" s="6">
        <v>1.91</v>
      </c>
      <c r="AG100" s="6">
        <v>2.14</v>
      </c>
      <c r="AH100" s="6">
        <v>1.02</v>
      </c>
      <c r="AI100" s="6">
        <v>2.12</v>
      </c>
      <c r="AJ100" s="6">
        <v>1.21</v>
      </c>
      <c r="AK100" s="6">
        <v>2.8</v>
      </c>
      <c r="AL100" s="6">
        <v>1.25</v>
      </c>
      <c r="AM100" s="6">
        <v>1.07</v>
      </c>
      <c r="AN100" s="6">
        <v>1.05</v>
      </c>
      <c r="AO100" s="6">
        <v>0.85</v>
      </c>
      <c r="AP100" s="6">
        <v>1.07</v>
      </c>
      <c r="AQ100" s="6">
        <v>1.38</v>
      </c>
      <c r="AR100" s="6">
        <v>0.73</v>
      </c>
      <c r="AS100" s="6">
        <v>0.8</v>
      </c>
      <c r="AT100" s="6">
        <v>1.1000000000000001</v>
      </c>
      <c r="AU100" s="6">
        <v>1.49</v>
      </c>
      <c r="AV100" s="6">
        <v>1.59</v>
      </c>
      <c r="AW100" s="6">
        <v>1.07</v>
      </c>
      <c r="AX100" s="6">
        <v>1.92</v>
      </c>
      <c r="AY100" s="6">
        <v>2.14</v>
      </c>
      <c r="AZ100" s="6">
        <v>1.4</v>
      </c>
      <c r="BA100" s="6">
        <v>1.97</v>
      </c>
      <c r="BB100" s="6">
        <v>2.56</v>
      </c>
      <c r="BC100" s="6">
        <f>1.47+0.43</f>
        <v>1.9</v>
      </c>
      <c r="BD100" s="6">
        <v>1.55776</v>
      </c>
      <c r="BE100" s="6">
        <v>1.8</v>
      </c>
      <c r="BF100" s="6">
        <v>1.71</v>
      </c>
      <c r="BG100" s="6">
        <v>1.34</v>
      </c>
      <c r="BH100" s="6">
        <v>2.2599999999999998</v>
      </c>
      <c r="BI100" s="6">
        <v>1.87</v>
      </c>
      <c r="BJ100" s="6">
        <v>1.53</v>
      </c>
      <c r="BK100" s="6">
        <v>1.86</v>
      </c>
      <c r="BL100" s="6">
        <v>1.42</v>
      </c>
      <c r="BM100" s="6">
        <v>1.71</v>
      </c>
      <c r="BN100" s="6">
        <v>1.88</v>
      </c>
      <c r="BO100" s="6">
        <v>2.48</v>
      </c>
      <c r="BP100" s="6">
        <v>1.44</v>
      </c>
      <c r="BQ100" s="6">
        <v>1.92</v>
      </c>
      <c r="BR100" s="6">
        <v>2.52</v>
      </c>
      <c r="BS100" s="6">
        <v>1.58</v>
      </c>
      <c r="BT100" s="6">
        <v>2.36</v>
      </c>
      <c r="BU100" s="6">
        <v>2.88</v>
      </c>
      <c r="BV100" s="6">
        <v>2.38</v>
      </c>
      <c r="BW100" s="6">
        <v>1.71</v>
      </c>
      <c r="BX100" s="6">
        <v>1.8499999999999999</v>
      </c>
      <c r="BY100" s="6">
        <v>1.3699999999999999</v>
      </c>
      <c r="BZ100" s="6">
        <v>2.6500000000000004</v>
      </c>
      <c r="CA100" s="6">
        <v>1.42</v>
      </c>
      <c r="CB100" s="6">
        <v>1.5</v>
      </c>
      <c r="CC100" s="6">
        <v>0.72</v>
      </c>
      <c r="CD100" s="6">
        <v>2.4700000000000002</v>
      </c>
      <c r="CE100" s="6">
        <v>3.5</v>
      </c>
      <c r="CF100" s="6">
        <v>1.68</v>
      </c>
      <c r="CG100" s="6">
        <v>1.37</v>
      </c>
      <c r="CH100" s="6"/>
    </row>
    <row r="101" spans="1:86" ht="15.75" customHeight="1" x14ac:dyDescent="0.25">
      <c r="A101" s="4">
        <v>99</v>
      </c>
      <c r="B101" s="2"/>
      <c r="C101" s="4">
        <v>9</v>
      </c>
      <c r="D101" s="6">
        <v>2.0299999999999998</v>
      </c>
      <c r="E101" s="6">
        <v>1.58</v>
      </c>
      <c r="F101" s="6">
        <v>0.88</v>
      </c>
      <c r="G101" s="6">
        <v>1.23</v>
      </c>
      <c r="H101" s="6">
        <v>0.93</v>
      </c>
      <c r="I101" s="6">
        <v>1.33</v>
      </c>
      <c r="J101" s="6">
        <v>0.98</v>
      </c>
      <c r="K101" s="6">
        <v>1.48</v>
      </c>
      <c r="L101" s="6">
        <v>1.83</v>
      </c>
      <c r="M101" s="6">
        <v>0.83</v>
      </c>
      <c r="N101" s="6">
        <v>2.0299999999999998</v>
      </c>
      <c r="O101" s="6">
        <v>1.63</v>
      </c>
      <c r="P101" s="6">
        <v>2.13</v>
      </c>
      <c r="Q101" s="6">
        <v>2.0299999999999998</v>
      </c>
      <c r="R101" s="6">
        <v>0.98</v>
      </c>
      <c r="S101" s="6">
        <v>1.66</v>
      </c>
      <c r="T101" s="6">
        <v>0.91</v>
      </c>
      <c r="U101" s="6">
        <v>0.93</v>
      </c>
      <c r="V101" s="6">
        <v>1.1100000000000001</v>
      </c>
      <c r="W101" s="6">
        <v>1.61</v>
      </c>
      <c r="X101" s="6">
        <v>1.21</v>
      </c>
      <c r="Y101" s="6">
        <v>0.51</v>
      </c>
      <c r="Z101" s="6">
        <v>1.03</v>
      </c>
      <c r="AA101" s="6">
        <v>1.25</v>
      </c>
      <c r="AB101" s="6">
        <v>1.1299999999999999</v>
      </c>
      <c r="AC101" s="6">
        <v>0.88</v>
      </c>
      <c r="AD101" s="6">
        <v>1.1599999999999999</v>
      </c>
      <c r="AE101" s="6">
        <v>1.76</v>
      </c>
      <c r="AF101" s="6">
        <v>1.96</v>
      </c>
      <c r="AG101" s="6">
        <v>2.21</v>
      </c>
      <c r="AH101" s="6">
        <v>0.9</v>
      </c>
      <c r="AI101" s="6">
        <v>1.88</v>
      </c>
      <c r="AJ101" s="6">
        <v>1.23</v>
      </c>
      <c r="AK101" s="6">
        <v>2.81</v>
      </c>
      <c r="AL101" s="6">
        <v>1.19</v>
      </c>
      <c r="AM101" s="6">
        <v>1.1000000000000001</v>
      </c>
      <c r="AN101" s="6">
        <v>1.1100000000000001</v>
      </c>
      <c r="AO101" s="6">
        <v>0.85</v>
      </c>
      <c r="AP101" s="6">
        <v>1.05</v>
      </c>
      <c r="AQ101" s="6">
        <v>1.54</v>
      </c>
      <c r="AR101" s="6">
        <v>0.74</v>
      </c>
      <c r="AS101" s="6">
        <v>0.77</v>
      </c>
      <c r="AT101" s="6">
        <v>1.1200000000000001</v>
      </c>
      <c r="AU101" s="6">
        <v>1.49</v>
      </c>
      <c r="AV101" s="6">
        <v>1.61</v>
      </c>
      <c r="AW101" s="6">
        <v>1.05</v>
      </c>
      <c r="AX101" s="6">
        <v>1.89</v>
      </c>
      <c r="AY101" s="6">
        <v>2.04</v>
      </c>
      <c r="AZ101" s="6">
        <v>1.4</v>
      </c>
      <c r="BA101" s="6">
        <v>1.98</v>
      </c>
      <c r="BB101" s="6">
        <v>2.5299999999999998</v>
      </c>
      <c r="BC101" s="6">
        <f>1.54+0.43</f>
        <v>1.97</v>
      </c>
      <c r="BD101" s="6">
        <v>1.55776</v>
      </c>
      <c r="BE101" s="6">
        <v>1.8</v>
      </c>
      <c r="BF101" s="6">
        <v>1.8</v>
      </c>
      <c r="BG101" s="6">
        <v>1.4</v>
      </c>
      <c r="BH101" s="6">
        <v>2.35</v>
      </c>
      <c r="BI101" s="6">
        <v>1.9</v>
      </c>
      <c r="BJ101" s="6">
        <v>1.54</v>
      </c>
      <c r="BK101" s="6">
        <v>1.89</v>
      </c>
      <c r="BL101" s="6">
        <v>1.42</v>
      </c>
      <c r="BM101" s="6">
        <v>1.74</v>
      </c>
      <c r="BN101" s="6">
        <v>1.85</v>
      </c>
      <c r="BO101" s="6">
        <v>2.57</v>
      </c>
      <c r="BP101" s="6">
        <v>1.56</v>
      </c>
      <c r="BQ101" s="6">
        <v>1.91</v>
      </c>
      <c r="BR101" s="6">
        <v>2.5099999999999998</v>
      </c>
      <c r="BS101" s="6">
        <v>1.48</v>
      </c>
      <c r="BT101" s="6">
        <v>2.37</v>
      </c>
      <c r="BU101" s="6">
        <v>3</v>
      </c>
      <c r="BV101" s="6">
        <v>2.34</v>
      </c>
      <c r="BW101" s="6">
        <v>1.79</v>
      </c>
      <c r="BX101" s="6">
        <v>1.8299999999999998</v>
      </c>
      <c r="BY101" s="6">
        <v>1.45</v>
      </c>
      <c r="BZ101" s="6">
        <v>2.7</v>
      </c>
      <c r="CA101" s="6">
        <v>1.38</v>
      </c>
      <c r="CB101" s="6">
        <v>1.45</v>
      </c>
      <c r="CC101" s="6">
        <v>0.71</v>
      </c>
      <c r="CD101" s="6">
        <v>2.52</v>
      </c>
      <c r="CE101" s="6">
        <v>3.5</v>
      </c>
      <c r="CF101" s="6">
        <v>1.68</v>
      </c>
      <c r="CG101" s="6">
        <v>1.42</v>
      </c>
      <c r="CH101" s="6"/>
    </row>
    <row r="102" spans="1:86" ht="15.75" customHeight="1" x14ac:dyDescent="0.25">
      <c r="A102" s="4">
        <v>100</v>
      </c>
      <c r="B102" s="2"/>
      <c r="C102" s="4">
        <v>10</v>
      </c>
      <c r="D102" s="6">
        <v>2.0299999999999998</v>
      </c>
      <c r="E102" s="6">
        <v>1.63</v>
      </c>
      <c r="F102" s="6">
        <v>0.98</v>
      </c>
      <c r="G102" s="6">
        <v>1.28</v>
      </c>
      <c r="H102" s="6">
        <v>0.93</v>
      </c>
      <c r="I102" s="6">
        <v>1.53</v>
      </c>
      <c r="J102" s="6">
        <v>1.08</v>
      </c>
      <c r="K102" s="6">
        <v>1.48</v>
      </c>
      <c r="L102" s="6">
        <v>1.93</v>
      </c>
      <c r="M102" s="6">
        <v>0.92</v>
      </c>
      <c r="N102" s="6">
        <v>2.23</v>
      </c>
      <c r="O102" s="6">
        <v>1.68</v>
      </c>
      <c r="P102" s="6">
        <v>2.23</v>
      </c>
      <c r="Q102" s="6">
        <v>1.98</v>
      </c>
      <c r="R102" s="6">
        <v>0.88</v>
      </c>
      <c r="S102" s="6">
        <v>1.63</v>
      </c>
      <c r="T102" s="6">
        <v>0.91</v>
      </c>
      <c r="U102" s="6">
        <v>0.98</v>
      </c>
      <c r="V102" s="6">
        <v>1.1100000000000001</v>
      </c>
      <c r="W102" s="6">
        <v>1.61</v>
      </c>
      <c r="X102" s="6">
        <v>1.31</v>
      </c>
      <c r="Y102" s="6">
        <v>0.61</v>
      </c>
      <c r="Z102" s="6">
        <v>0.91</v>
      </c>
      <c r="AA102" s="6">
        <v>1.26</v>
      </c>
      <c r="AB102" s="6">
        <v>1.1299999999999999</v>
      </c>
      <c r="AC102" s="6">
        <v>0.88</v>
      </c>
      <c r="AD102" s="6">
        <v>1.1299999999999999</v>
      </c>
      <c r="AE102" s="6">
        <v>1.76</v>
      </c>
      <c r="AF102" s="6">
        <v>2.0099999999999998</v>
      </c>
      <c r="AG102" s="6">
        <v>2.2599999999999998</v>
      </c>
      <c r="AH102" s="6">
        <v>0.91</v>
      </c>
      <c r="AI102" s="6">
        <v>2.17</v>
      </c>
      <c r="AJ102" s="6">
        <v>1.25</v>
      </c>
      <c r="AK102" s="6">
        <v>2.83</v>
      </c>
      <c r="AL102" s="6">
        <v>1.1100000000000001</v>
      </c>
      <c r="AM102" s="6">
        <v>1.1499999999999999</v>
      </c>
      <c r="AN102" s="6">
        <v>1.06</v>
      </c>
      <c r="AO102" s="6">
        <v>0.85</v>
      </c>
      <c r="AP102" s="6">
        <v>0.98</v>
      </c>
      <c r="AQ102" s="6">
        <v>1.92</v>
      </c>
      <c r="AR102" s="6">
        <v>0.77</v>
      </c>
      <c r="AS102" s="6">
        <v>0.83</v>
      </c>
      <c r="AT102" s="6">
        <v>1.06</v>
      </c>
      <c r="AU102" s="6">
        <v>1.47</v>
      </c>
      <c r="AV102" s="6">
        <v>1.65</v>
      </c>
      <c r="AW102" s="6">
        <v>0.97</v>
      </c>
      <c r="AX102" s="6">
        <v>1.86</v>
      </c>
      <c r="AY102" s="6">
        <v>2.1800000000000002</v>
      </c>
      <c r="AZ102" s="6">
        <v>1.43</v>
      </c>
      <c r="BA102" s="6">
        <v>1.97</v>
      </c>
      <c r="BB102" s="6">
        <v>2.4700000000000002</v>
      </c>
      <c r="BC102" s="6">
        <f>1.59+0.43</f>
        <v>2.02</v>
      </c>
      <c r="BD102" s="6">
        <v>1.4053599999999999</v>
      </c>
      <c r="BE102" s="6">
        <v>1.8</v>
      </c>
      <c r="BF102" s="6">
        <v>1.71</v>
      </c>
      <c r="BG102" s="6">
        <v>1.43</v>
      </c>
      <c r="BH102" s="6">
        <v>2.84</v>
      </c>
      <c r="BI102" s="6">
        <v>1.82</v>
      </c>
      <c r="BJ102" s="6">
        <v>1.7</v>
      </c>
      <c r="BK102" s="6">
        <v>1.93</v>
      </c>
      <c r="BL102" s="6">
        <v>1.39</v>
      </c>
      <c r="BM102" s="6">
        <v>1.68</v>
      </c>
      <c r="BN102" s="6">
        <v>1.85</v>
      </c>
      <c r="BO102" s="6">
        <v>2.61</v>
      </c>
      <c r="BP102" s="6">
        <v>1.66</v>
      </c>
      <c r="BQ102" s="6">
        <v>1.84</v>
      </c>
      <c r="BR102" s="6">
        <v>2.46</v>
      </c>
      <c r="BS102" s="6">
        <v>1.48</v>
      </c>
      <c r="BT102" s="6">
        <v>2.29</v>
      </c>
      <c r="BU102" s="6">
        <v>3.12</v>
      </c>
      <c r="BV102" s="6">
        <v>2.39</v>
      </c>
      <c r="BW102" s="6">
        <v>1.79</v>
      </c>
      <c r="BX102" s="6">
        <v>1.8499999999999999</v>
      </c>
      <c r="BY102" s="6">
        <v>1.41</v>
      </c>
      <c r="BZ102" s="6">
        <v>2.73</v>
      </c>
      <c r="CA102" s="6">
        <v>1.4</v>
      </c>
      <c r="CB102" s="6">
        <v>1.39</v>
      </c>
      <c r="CC102" s="6">
        <v>0.73</v>
      </c>
      <c r="CD102" s="6">
        <v>2.68</v>
      </c>
      <c r="CE102" s="6">
        <v>3.54</v>
      </c>
      <c r="CF102" s="6">
        <v>1.65</v>
      </c>
      <c r="CG102" s="6">
        <v>1.42</v>
      </c>
      <c r="CH102" s="6"/>
    </row>
    <row r="103" spans="1:86" ht="15.75" customHeight="1" x14ac:dyDescent="0.25">
      <c r="A103" s="4">
        <v>101</v>
      </c>
      <c r="B103" s="2"/>
      <c r="C103" s="4">
        <v>11</v>
      </c>
      <c r="D103" s="6">
        <v>2.0299999999999998</v>
      </c>
      <c r="E103" s="6">
        <v>1.62</v>
      </c>
      <c r="F103" s="6">
        <v>1.08</v>
      </c>
      <c r="G103" s="6">
        <v>1.33</v>
      </c>
      <c r="H103" s="6">
        <v>0.88</v>
      </c>
      <c r="I103" s="6">
        <v>1.83</v>
      </c>
      <c r="J103" s="6">
        <v>1.1299999999999999</v>
      </c>
      <c r="K103" s="6">
        <v>1.48</v>
      </c>
      <c r="L103" s="6">
        <v>1.93</v>
      </c>
      <c r="M103" s="6">
        <v>1.01</v>
      </c>
      <c r="N103" s="6">
        <v>2.33</v>
      </c>
      <c r="O103" s="6">
        <v>1.63</v>
      </c>
      <c r="P103" s="6">
        <v>2.23</v>
      </c>
      <c r="Q103" s="6">
        <v>1.96</v>
      </c>
      <c r="R103" s="6">
        <v>0.98</v>
      </c>
      <c r="S103" s="6">
        <v>1.78</v>
      </c>
      <c r="T103" s="6">
        <v>0.96</v>
      </c>
      <c r="U103" s="6">
        <v>1.01</v>
      </c>
      <c r="V103" s="6">
        <v>1.01</v>
      </c>
      <c r="W103" s="6">
        <v>1.61</v>
      </c>
      <c r="X103" s="6">
        <v>1.41</v>
      </c>
      <c r="Y103" s="6">
        <v>0.71</v>
      </c>
      <c r="Z103" s="6">
        <v>1.01</v>
      </c>
      <c r="AA103" s="6">
        <v>1.26</v>
      </c>
      <c r="AB103" s="6">
        <v>1.08</v>
      </c>
      <c r="AC103" s="6">
        <v>0.97</v>
      </c>
      <c r="AD103" s="6">
        <v>1.1599999999999999</v>
      </c>
      <c r="AE103" s="6">
        <v>1.78</v>
      </c>
      <c r="AF103" s="6">
        <v>2.0099999999999998</v>
      </c>
      <c r="AG103" s="6">
        <v>2.3199999999999998</v>
      </c>
      <c r="AH103" s="6">
        <v>0.84</v>
      </c>
      <c r="AI103" s="6">
        <v>2.0499999999999998</v>
      </c>
      <c r="AJ103" s="6">
        <v>1.25</v>
      </c>
      <c r="AK103" s="6">
        <v>2.87</v>
      </c>
      <c r="AL103" s="6">
        <v>1.1399999999999999</v>
      </c>
      <c r="AM103" s="6">
        <v>1.1499999999999999</v>
      </c>
      <c r="AN103" s="6">
        <v>1.23</v>
      </c>
      <c r="AO103" s="6">
        <v>0.97</v>
      </c>
      <c r="AP103" s="6">
        <v>0.97</v>
      </c>
      <c r="AQ103" s="6">
        <v>2.02</v>
      </c>
      <c r="AR103" s="6">
        <v>0.8</v>
      </c>
      <c r="AS103" s="6">
        <v>0.84</v>
      </c>
      <c r="AT103" s="6">
        <v>1.03</v>
      </c>
      <c r="AU103" s="6">
        <v>1.46</v>
      </c>
      <c r="AV103" s="6">
        <v>1.67</v>
      </c>
      <c r="AW103" s="6">
        <v>0.88</v>
      </c>
      <c r="AX103" s="6">
        <v>1.78</v>
      </c>
      <c r="AY103" s="6">
        <v>2.2000000000000002</v>
      </c>
      <c r="AZ103" s="6">
        <v>1.47</v>
      </c>
      <c r="BA103" s="6">
        <v>1.93</v>
      </c>
      <c r="BB103" s="6">
        <v>2.48</v>
      </c>
      <c r="BC103" s="6">
        <f>1.62+0.43</f>
        <v>2.0500000000000003</v>
      </c>
      <c r="BD103" s="6">
        <v>1.43584</v>
      </c>
      <c r="BE103" s="6">
        <v>1.8</v>
      </c>
      <c r="BF103" s="6">
        <v>1.71</v>
      </c>
      <c r="BG103" s="6">
        <v>1.43</v>
      </c>
      <c r="BH103" s="6">
        <v>3.3</v>
      </c>
      <c r="BI103" s="6">
        <v>1.87</v>
      </c>
      <c r="BJ103" s="6">
        <v>1.67</v>
      </c>
      <c r="BK103" s="6">
        <v>1.98</v>
      </c>
      <c r="BL103" s="6">
        <v>1.37</v>
      </c>
      <c r="BM103" s="6">
        <v>1.62</v>
      </c>
      <c r="BN103" s="6">
        <v>1.8</v>
      </c>
      <c r="BO103" s="6">
        <v>2.71</v>
      </c>
      <c r="BP103" s="6">
        <v>1.87</v>
      </c>
      <c r="BQ103" s="6">
        <v>1.78</v>
      </c>
      <c r="BR103" s="6">
        <v>2.46</v>
      </c>
      <c r="BS103" s="6">
        <v>1.46</v>
      </c>
      <c r="BT103" s="6">
        <v>2.33</v>
      </c>
      <c r="BU103" s="6">
        <v>3.34</v>
      </c>
      <c r="BV103" s="6">
        <v>2.41</v>
      </c>
      <c r="BW103" s="6">
        <v>1.8099999999999998</v>
      </c>
      <c r="BX103" s="6">
        <v>1.92</v>
      </c>
      <c r="BY103" s="6">
        <v>1.35</v>
      </c>
      <c r="BZ103" s="6">
        <v>2.7</v>
      </c>
      <c r="CA103" s="6">
        <v>1.38</v>
      </c>
      <c r="CB103" s="6">
        <v>1.5899999999999999</v>
      </c>
      <c r="CC103" s="6">
        <v>0.73</v>
      </c>
      <c r="CD103" s="6">
        <v>2.8800000000000003</v>
      </c>
      <c r="CE103" s="6">
        <v>3.58</v>
      </c>
      <c r="CF103" s="6">
        <v>1.64</v>
      </c>
      <c r="CG103" s="6">
        <v>1.46</v>
      </c>
      <c r="CH103" s="6"/>
    </row>
    <row r="104" spans="1:86" ht="15.75" customHeight="1" x14ac:dyDescent="0.25">
      <c r="A104" s="4">
        <v>102</v>
      </c>
      <c r="B104" s="2"/>
      <c r="C104" s="4">
        <v>12</v>
      </c>
      <c r="D104" s="6">
        <v>2.0299999999999998</v>
      </c>
      <c r="E104" s="6">
        <v>1.63</v>
      </c>
      <c r="F104" s="6">
        <v>1.1299999999999999</v>
      </c>
      <c r="G104" s="6">
        <v>1.48</v>
      </c>
      <c r="H104" s="6">
        <v>0.83</v>
      </c>
      <c r="I104" s="6">
        <v>2.13</v>
      </c>
      <c r="J104" s="6">
        <v>1.18</v>
      </c>
      <c r="K104" s="6">
        <v>1.43</v>
      </c>
      <c r="L104" s="6">
        <v>2.0299999999999998</v>
      </c>
      <c r="M104" s="6">
        <v>1.07</v>
      </c>
      <c r="N104" s="6">
        <v>2.5299999999999998</v>
      </c>
      <c r="O104" s="6">
        <v>1.43</v>
      </c>
      <c r="P104" s="6">
        <v>2.23</v>
      </c>
      <c r="Q104" s="6">
        <v>1.96</v>
      </c>
      <c r="R104" s="6">
        <v>1.03</v>
      </c>
      <c r="S104" s="6">
        <v>1.78</v>
      </c>
      <c r="T104" s="6">
        <v>0.96</v>
      </c>
      <c r="U104" s="6">
        <v>1.03</v>
      </c>
      <c r="V104" s="6">
        <v>1.01</v>
      </c>
      <c r="W104" s="6">
        <v>1.51</v>
      </c>
      <c r="X104" s="6">
        <v>1.51</v>
      </c>
      <c r="Y104" s="6">
        <v>0.91</v>
      </c>
      <c r="Z104" s="6">
        <v>0.83</v>
      </c>
      <c r="AA104" s="6">
        <v>1.24</v>
      </c>
      <c r="AB104" s="6">
        <v>1.05</v>
      </c>
      <c r="AC104" s="6">
        <v>1.03</v>
      </c>
      <c r="AD104" s="6">
        <v>1.18</v>
      </c>
      <c r="AE104" s="6">
        <v>1.79</v>
      </c>
      <c r="AF104" s="6">
        <v>2.0099999999999998</v>
      </c>
      <c r="AG104" s="6">
        <v>2.42</v>
      </c>
      <c r="AH104" s="6">
        <v>0.83</v>
      </c>
      <c r="AI104" s="6">
        <v>1.63</v>
      </c>
      <c r="AJ104" s="6">
        <v>1.25</v>
      </c>
      <c r="AK104" s="6">
        <v>2.91</v>
      </c>
      <c r="AL104" s="6">
        <v>1.19</v>
      </c>
      <c r="AM104" s="6">
        <v>1.29</v>
      </c>
      <c r="AN104" s="6">
        <v>1.21</v>
      </c>
      <c r="AO104" s="6">
        <v>1.03</v>
      </c>
      <c r="AP104" s="6">
        <v>0.92</v>
      </c>
      <c r="AQ104" s="6">
        <v>2.06</v>
      </c>
      <c r="AR104" s="6">
        <v>0.86</v>
      </c>
      <c r="AS104" s="6">
        <v>0.88</v>
      </c>
      <c r="AT104" s="6">
        <v>0.99</v>
      </c>
      <c r="AU104" s="6">
        <v>1.5</v>
      </c>
      <c r="AV104" s="6">
        <v>1.68</v>
      </c>
      <c r="AW104" s="6">
        <v>0.96</v>
      </c>
      <c r="AX104" s="6">
        <v>1.81</v>
      </c>
      <c r="AY104" s="6">
        <v>2.23</v>
      </c>
      <c r="AZ104" s="6">
        <v>1.5</v>
      </c>
      <c r="BA104" s="6">
        <v>1.93</v>
      </c>
      <c r="BB104" s="6">
        <v>2.4</v>
      </c>
      <c r="BC104" s="6">
        <f>1.71+0.43</f>
        <v>2.14</v>
      </c>
      <c r="BD104" s="6">
        <v>1.43584</v>
      </c>
      <c r="BE104" s="6">
        <v>1.8</v>
      </c>
      <c r="BF104" s="6">
        <v>1.64</v>
      </c>
      <c r="BG104" s="6">
        <v>1.52</v>
      </c>
      <c r="BH104" s="6">
        <v>3.42</v>
      </c>
      <c r="BI104" s="6">
        <v>1.84</v>
      </c>
      <c r="BJ104" s="6">
        <v>1.64</v>
      </c>
      <c r="BK104" s="6">
        <v>2.0099999999999998</v>
      </c>
      <c r="BL104" s="6">
        <v>1.37</v>
      </c>
      <c r="BM104" s="6">
        <v>1.61</v>
      </c>
      <c r="BN104" s="6">
        <v>1.85</v>
      </c>
      <c r="BO104" s="6">
        <v>2.82</v>
      </c>
      <c r="BP104" s="6">
        <v>2.0099999999999998</v>
      </c>
      <c r="BQ104" s="6">
        <v>1.73</v>
      </c>
      <c r="BR104" s="6">
        <v>2.4700000000000002</v>
      </c>
      <c r="BS104" s="6">
        <v>1.49</v>
      </c>
      <c r="BT104" s="6">
        <v>2.2799999999999998</v>
      </c>
      <c r="BU104" s="6">
        <v>3.58</v>
      </c>
      <c r="BV104" s="6">
        <v>2.36</v>
      </c>
      <c r="BW104" s="6">
        <v>1.8099999999999998</v>
      </c>
      <c r="BX104" s="6">
        <v>1.77</v>
      </c>
      <c r="BY104" s="6">
        <v>1.31</v>
      </c>
      <c r="BZ104" s="6">
        <v>2.7</v>
      </c>
      <c r="CA104" s="6">
        <v>1.43</v>
      </c>
      <c r="CB104" s="6">
        <v>1.5699999999999998</v>
      </c>
      <c r="CC104" s="6">
        <v>0.72</v>
      </c>
      <c r="CD104" s="6">
        <v>2.98</v>
      </c>
      <c r="CE104" s="6">
        <v>3.5500000000000003</v>
      </c>
      <c r="CF104" s="6">
        <v>1.66</v>
      </c>
      <c r="CG104" s="6">
        <v>1.41</v>
      </c>
      <c r="CH104" s="6"/>
    </row>
    <row r="105" spans="1:86" ht="15.75" customHeight="1" x14ac:dyDescent="0.25">
      <c r="A105" s="4">
        <v>103</v>
      </c>
      <c r="B105" s="2"/>
      <c r="C105" s="4">
        <v>13</v>
      </c>
      <c r="D105" s="6">
        <v>1.98</v>
      </c>
      <c r="E105" s="6">
        <v>1.58</v>
      </c>
      <c r="F105" s="6">
        <v>1.1299999999999999</v>
      </c>
      <c r="G105" s="6">
        <v>1.58</v>
      </c>
      <c r="H105" s="6">
        <v>0.83</v>
      </c>
      <c r="I105" s="6">
        <v>2.23</v>
      </c>
      <c r="J105" s="6">
        <v>1.18</v>
      </c>
      <c r="K105" s="6">
        <v>1.43</v>
      </c>
      <c r="L105" s="6">
        <v>1.93</v>
      </c>
      <c r="M105" s="6">
        <v>1.01</v>
      </c>
      <c r="N105" s="6">
        <v>2.68</v>
      </c>
      <c r="O105" s="6">
        <v>1.43</v>
      </c>
      <c r="P105" s="6">
        <v>2.33</v>
      </c>
      <c r="Q105" s="6">
        <v>1.88</v>
      </c>
      <c r="R105" s="6">
        <v>0.98</v>
      </c>
      <c r="S105" s="6">
        <v>1.78</v>
      </c>
      <c r="T105" s="6">
        <v>0.96</v>
      </c>
      <c r="U105" s="6">
        <v>1.05</v>
      </c>
      <c r="V105" s="6">
        <v>1.01</v>
      </c>
      <c r="W105" s="6">
        <v>1.41</v>
      </c>
      <c r="X105" s="6">
        <v>1.56</v>
      </c>
      <c r="Y105" s="6">
        <v>0.91</v>
      </c>
      <c r="Z105" s="6">
        <v>0.83</v>
      </c>
      <c r="AA105" s="6">
        <v>1.2</v>
      </c>
      <c r="AB105" s="6">
        <v>1.1100000000000001</v>
      </c>
      <c r="AC105" s="6">
        <v>1.05</v>
      </c>
      <c r="AD105" s="6">
        <v>1.19</v>
      </c>
      <c r="AE105" s="6">
        <v>1.88</v>
      </c>
      <c r="AF105" s="6">
        <v>2.0099999999999998</v>
      </c>
      <c r="AG105" s="6">
        <v>2.5099999999999998</v>
      </c>
      <c r="AH105" s="6">
        <v>0.85</v>
      </c>
      <c r="AI105" s="6">
        <v>1.61</v>
      </c>
      <c r="AJ105" s="6">
        <v>1.26</v>
      </c>
      <c r="AK105" s="6">
        <v>3.17</v>
      </c>
      <c r="AL105" s="6">
        <v>1.21</v>
      </c>
      <c r="AM105" s="6">
        <v>1.35</v>
      </c>
      <c r="AN105" s="6">
        <v>1.19</v>
      </c>
      <c r="AO105" s="6">
        <v>1.1100000000000001</v>
      </c>
      <c r="AP105" s="6">
        <v>0.92</v>
      </c>
      <c r="AQ105" s="6">
        <v>2.2000000000000002</v>
      </c>
      <c r="AR105" s="6">
        <v>0.86</v>
      </c>
      <c r="AS105" s="6">
        <v>0.92</v>
      </c>
      <c r="AT105" s="6">
        <v>0.95</v>
      </c>
      <c r="AU105" s="6">
        <v>1.55</v>
      </c>
      <c r="AV105" s="6">
        <v>1.66</v>
      </c>
      <c r="AW105" s="6">
        <v>1.1000000000000001</v>
      </c>
      <c r="AX105" s="6">
        <v>1.73</v>
      </c>
      <c r="AY105" s="6">
        <v>2.2000000000000002</v>
      </c>
      <c r="AZ105" s="6">
        <v>1.53</v>
      </c>
      <c r="BA105" s="6">
        <v>1.79</v>
      </c>
      <c r="BB105" s="6">
        <v>2.4500000000000002</v>
      </c>
      <c r="BC105" s="6">
        <f>1.9+0.43</f>
        <v>2.33</v>
      </c>
      <c r="BD105" s="6">
        <v>1.4967999999999999</v>
      </c>
      <c r="BE105" s="6">
        <v>1.8</v>
      </c>
      <c r="BF105" s="6">
        <v>1.58</v>
      </c>
      <c r="BG105" s="6">
        <v>1.52</v>
      </c>
      <c r="BH105" s="6">
        <v>3.84</v>
      </c>
      <c r="BI105" s="6">
        <v>1.84</v>
      </c>
      <c r="BJ105" s="6">
        <v>1.56</v>
      </c>
      <c r="BK105" s="6">
        <v>2.1</v>
      </c>
      <c r="BL105" s="6">
        <v>1.43</v>
      </c>
      <c r="BM105" s="6">
        <v>1.69</v>
      </c>
      <c r="BN105" s="6">
        <v>1.85</v>
      </c>
      <c r="BO105" s="6">
        <v>2.73</v>
      </c>
      <c r="BP105" s="6">
        <v>2.17</v>
      </c>
      <c r="BQ105" s="6">
        <v>1.71</v>
      </c>
      <c r="BR105" s="6">
        <v>2.4700000000000002</v>
      </c>
      <c r="BS105" s="6">
        <v>1.61</v>
      </c>
      <c r="BT105" s="6">
        <v>2.29</v>
      </c>
      <c r="BU105" s="6">
        <v>3.73</v>
      </c>
      <c r="BV105" s="6">
        <v>2.38</v>
      </c>
      <c r="BW105" s="6">
        <v>1.77</v>
      </c>
      <c r="BX105" s="6">
        <v>1.8399999999999999</v>
      </c>
      <c r="BY105" s="6">
        <v>1.43</v>
      </c>
      <c r="BZ105" s="6">
        <v>2.6500000000000004</v>
      </c>
      <c r="CA105" s="6">
        <v>1.41</v>
      </c>
      <c r="CB105" s="6">
        <v>1.49</v>
      </c>
      <c r="CC105" s="6">
        <v>0.75</v>
      </c>
      <c r="CD105" s="6">
        <v>3.06</v>
      </c>
      <c r="CE105" s="6">
        <v>3.58</v>
      </c>
      <c r="CF105" s="6">
        <v>1.54</v>
      </c>
      <c r="CG105" s="6">
        <v>1.3</v>
      </c>
      <c r="CH105" s="6"/>
    </row>
    <row r="106" spans="1:86" ht="15.75" customHeight="1" x14ac:dyDescent="0.25">
      <c r="A106" s="4">
        <v>104</v>
      </c>
      <c r="B106" s="2"/>
      <c r="C106" s="4">
        <v>14</v>
      </c>
      <c r="D106" s="6">
        <v>1.98</v>
      </c>
      <c r="E106" s="6">
        <v>1.58</v>
      </c>
      <c r="F106" s="6">
        <v>1.28</v>
      </c>
      <c r="G106" s="6">
        <v>1.68</v>
      </c>
      <c r="H106" s="6">
        <v>0.78</v>
      </c>
      <c r="I106" s="6">
        <v>2.33</v>
      </c>
      <c r="J106" s="6">
        <v>1.18</v>
      </c>
      <c r="K106" s="6">
        <v>1.43</v>
      </c>
      <c r="L106" s="6">
        <v>1.93</v>
      </c>
      <c r="M106" s="6">
        <v>1.01</v>
      </c>
      <c r="N106" s="6">
        <v>2.74</v>
      </c>
      <c r="O106" s="6">
        <v>1.58</v>
      </c>
      <c r="P106" s="6">
        <v>2.41</v>
      </c>
      <c r="Q106" s="6">
        <v>1.83</v>
      </c>
      <c r="R106" s="6">
        <v>1.03</v>
      </c>
      <c r="S106" s="6">
        <v>1.83</v>
      </c>
      <c r="T106" s="6">
        <v>0.96</v>
      </c>
      <c r="U106" s="6">
        <v>1.07</v>
      </c>
      <c r="V106" s="6">
        <v>1.17</v>
      </c>
      <c r="W106" s="6">
        <v>1.41</v>
      </c>
      <c r="X106" s="6">
        <v>1.56</v>
      </c>
      <c r="Y106" s="6">
        <v>1.01</v>
      </c>
      <c r="Z106" s="6">
        <v>0.95</v>
      </c>
      <c r="AA106" s="6">
        <v>1.19</v>
      </c>
      <c r="AB106" s="6">
        <v>1.1200000000000001</v>
      </c>
      <c r="AC106" s="6">
        <v>1.1499999999999999</v>
      </c>
      <c r="AD106" s="6">
        <v>1.22</v>
      </c>
      <c r="AE106" s="6">
        <v>1.99</v>
      </c>
      <c r="AF106" s="6">
        <v>1.95</v>
      </c>
      <c r="AG106" s="6">
        <v>2.4900000000000002</v>
      </c>
      <c r="AH106" s="6">
        <v>0.86</v>
      </c>
      <c r="AI106" s="6">
        <v>1.72</v>
      </c>
      <c r="AJ106" s="6">
        <v>1.27</v>
      </c>
      <c r="AK106" s="6">
        <v>3.31</v>
      </c>
      <c r="AL106" s="6">
        <v>1.26</v>
      </c>
      <c r="AM106" s="6">
        <v>1.4</v>
      </c>
      <c r="AN106" s="6">
        <v>1.23</v>
      </c>
      <c r="AO106" s="6">
        <v>1.23</v>
      </c>
      <c r="AP106" s="6">
        <v>0.96</v>
      </c>
      <c r="AQ106" s="6">
        <v>2.2599999999999998</v>
      </c>
      <c r="AR106" s="6">
        <v>0.84</v>
      </c>
      <c r="AS106" s="6">
        <v>0.97</v>
      </c>
      <c r="AT106" s="6">
        <v>0.95</v>
      </c>
      <c r="AU106" s="6">
        <v>1.56</v>
      </c>
      <c r="AV106" s="6">
        <v>1.69</v>
      </c>
      <c r="AW106" s="6">
        <v>1.1499999999999999</v>
      </c>
      <c r="AX106" s="6">
        <v>1.73</v>
      </c>
      <c r="AY106" s="6">
        <v>2.2000000000000002</v>
      </c>
      <c r="AZ106" s="6">
        <v>1.56</v>
      </c>
      <c r="BA106" s="6">
        <v>1.86</v>
      </c>
      <c r="BB106" s="6">
        <v>2.5299999999999998</v>
      </c>
      <c r="BC106" s="6">
        <f>1.92+0.43</f>
        <v>2.35</v>
      </c>
      <c r="BD106" s="6">
        <v>1.4663200000000001</v>
      </c>
      <c r="BE106" s="6">
        <v>1.8</v>
      </c>
      <c r="BF106" s="6">
        <v>1.55</v>
      </c>
      <c r="BG106" s="6">
        <v>1.64</v>
      </c>
      <c r="BH106" s="6">
        <v>3.84</v>
      </c>
      <c r="BI106" s="6">
        <v>1.87</v>
      </c>
      <c r="BJ106" s="6">
        <v>1.44</v>
      </c>
      <c r="BK106" s="6">
        <v>2.1800000000000002</v>
      </c>
      <c r="BL106" s="6">
        <v>1.46</v>
      </c>
      <c r="BM106" s="6">
        <v>1.72</v>
      </c>
      <c r="BN106" s="6">
        <v>1.89</v>
      </c>
      <c r="BO106" s="6">
        <v>2.67</v>
      </c>
      <c r="BP106" s="6">
        <v>2.37</v>
      </c>
      <c r="BQ106" s="6">
        <v>1.7</v>
      </c>
      <c r="BR106" s="6">
        <v>2.5299999999999998</v>
      </c>
      <c r="BS106" s="6">
        <v>1.71</v>
      </c>
      <c r="BT106" s="6">
        <v>2.36</v>
      </c>
      <c r="BU106" s="6">
        <v>3.89</v>
      </c>
      <c r="BV106" s="6">
        <v>2.31</v>
      </c>
      <c r="BW106" s="6">
        <v>1.8399999999999999</v>
      </c>
      <c r="BX106" s="6">
        <v>1.88</v>
      </c>
      <c r="BY106" s="6">
        <v>1.35</v>
      </c>
      <c r="BZ106" s="6">
        <v>2.6500000000000004</v>
      </c>
      <c r="CA106" s="6">
        <v>1.42</v>
      </c>
      <c r="CB106" s="6">
        <v>1.5</v>
      </c>
      <c r="CC106" s="6">
        <v>0.74</v>
      </c>
      <c r="CD106" s="6">
        <v>3.0700000000000003</v>
      </c>
      <c r="CE106" s="6">
        <v>3.56</v>
      </c>
      <c r="CF106" s="6">
        <v>1.63</v>
      </c>
      <c r="CG106" s="6">
        <v>1.31</v>
      </c>
      <c r="CH106" s="6"/>
    </row>
    <row r="107" spans="1:86" ht="15.75" customHeight="1" x14ac:dyDescent="0.25">
      <c r="A107" s="4">
        <v>105</v>
      </c>
      <c r="B107" s="2"/>
      <c r="C107" s="4">
        <v>15</v>
      </c>
      <c r="D107" s="6">
        <v>1.98</v>
      </c>
      <c r="E107" s="6">
        <v>1.53</v>
      </c>
      <c r="F107" s="6">
        <v>1.33</v>
      </c>
      <c r="G107" s="6">
        <v>1.83</v>
      </c>
      <c r="H107" s="6">
        <v>0.53</v>
      </c>
      <c r="I107" s="6">
        <v>2.33</v>
      </c>
      <c r="J107" s="6">
        <v>1.18</v>
      </c>
      <c r="K107" s="6">
        <v>1.53</v>
      </c>
      <c r="L107" s="6">
        <v>1.83</v>
      </c>
      <c r="M107" s="6">
        <v>0.98</v>
      </c>
      <c r="N107" s="6">
        <v>2.88</v>
      </c>
      <c r="O107" s="6">
        <v>1.73</v>
      </c>
      <c r="P107" s="6">
        <v>2.5099999999999998</v>
      </c>
      <c r="Q107" s="6">
        <v>1.81</v>
      </c>
      <c r="R107" s="6">
        <v>1.08</v>
      </c>
      <c r="S107" s="6">
        <v>1.88</v>
      </c>
      <c r="T107" s="6">
        <v>1.01</v>
      </c>
      <c r="U107" s="6">
        <v>1.08</v>
      </c>
      <c r="V107" s="6">
        <v>1.21</v>
      </c>
      <c r="W107" s="6">
        <v>1.41</v>
      </c>
      <c r="X107" s="6">
        <v>1.61</v>
      </c>
      <c r="Y107" s="6">
        <v>1.06</v>
      </c>
      <c r="Z107" s="6">
        <v>1.03</v>
      </c>
      <c r="AA107" s="6">
        <v>1.24</v>
      </c>
      <c r="AB107" s="6">
        <v>1.1100000000000001</v>
      </c>
      <c r="AC107" s="6">
        <v>1.43</v>
      </c>
      <c r="AD107" s="6">
        <v>1.29</v>
      </c>
      <c r="AE107" s="6">
        <v>2.15</v>
      </c>
      <c r="AF107" s="6">
        <v>1.92</v>
      </c>
      <c r="AG107" s="6">
        <v>2.4900000000000002</v>
      </c>
      <c r="AH107" s="6">
        <v>0.88</v>
      </c>
      <c r="AI107" s="6">
        <v>1.95</v>
      </c>
      <c r="AJ107" s="6">
        <v>1.17</v>
      </c>
      <c r="AK107" s="6">
        <v>3.05</v>
      </c>
      <c r="AL107" s="6">
        <v>1.27</v>
      </c>
      <c r="AM107" s="6">
        <v>1.41</v>
      </c>
      <c r="AN107" s="6">
        <v>1.31</v>
      </c>
      <c r="AO107" s="6">
        <v>1.26</v>
      </c>
      <c r="AP107" s="6">
        <v>1.03</v>
      </c>
      <c r="AQ107" s="6">
        <v>2.2799999999999998</v>
      </c>
      <c r="AR107" s="6">
        <v>0.9</v>
      </c>
      <c r="AS107" s="6">
        <v>1</v>
      </c>
      <c r="AT107" s="6">
        <v>0.93</v>
      </c>
      <c r="AU107" s="6">
        <v>1.55</v>
      </c>
      <c r="AV107" s="6">
        <v>1.72</v>
      </c>
      <c r="AW107" s="6">
        <v>1.19</v>
      </c>
      <c r="AX107" s="6">
        <v>1.74</v>
      </c>
      <c r="AY107" s="6">
        <v>2.17</v>
      </c>
      <c r="AZ107" s="6">
        <v>1.58</v>
      </c>
      <c r="BA107" s="6">
        <v>1.96</v>
      </c>
      <c r="BB107" s="6">
        <v>2.5</v>
      </c>
      <c r="BC107" s="6">
        <f>1.95+0.43</f>
        <v>2.38</v>
      </c>
      <c r="BD107" s="6">
        <v>1.43584</v>
      </c>
      <c r="BE107" s="6">
        <v>1.8</v>
      </c>
      <c r="BF107" s="6">
        <v>1.56</v>
      </c>
      <c r="BG107" s="6">
        <v>1.67</v>
      </c>
      <c r="BH107" s="6">
        <v>3.88</v>
      </c>
      <c r="BI107" s="6">
        <v>1.88</v>
      </c>
      <c r="BJ107" s="6">
        <v>1.28</v>
      </c>
      <c r="BK107" s="6">
        <v>2.23</v>
      </c>
      <c r="BL107" s="6">
        <v>1.46</v>
      </c>
      <c r="BM107" s="6">
        <v>1.75</v>
      </c>
      <c r="BN107" s="6">
        <v>1.9</v>
      </c>
      <c r="BO107" s="6">
        <v>2.6</v>
      </c>
      <c r="BP107" s="6">
        <v>2.5099999999999998</v>
      </c>
      <c r="BQ107" s="6">
        <v>1.59</v>
      </c>
      <c r="BR107" s="6">
        <v>2.5299999999999998</v>
      </c>
      <c r="BS107" s="6">
        <v>1.77</v>
      </c>
      <c r="BT107" s="6">
        <v>2.38</v>
      </c>
      <c r="BU107" s="6">
        <v>4.04</v>
      </c>
      <c r="BV107" s="6">
        <v>2.27</v>
      </c>
      <c r="BW107" s="6">
        <v>1.96</v>
      </c>
      <c r="BX107" s="6">
        <v>1.8399999999999999</v>
      </c>
      <c r="BY107" s="6">
        <v>1.39</v>
      </c>
      <c r="BZ107" s="6">
        <v>2.6700000000000004</v>
      </c>
      <c r="CA107" s="6">
        <v>1.45</v>
      </c>
      <c r="CB107" s="6">
        <v>1.48</v>
      </c>
      <c r="CC107" s="6">
        <v>0.78</v>
      </c>
      <c r="CD107" s="6">
        <v>3.12</v>
      </c>
      <c r="CE107" s="6">
        <v>3.6300000000000003</v>
      </c>
      <c r="CF107" s="6">
        <v>1.6</v>
      </c>
      <c r="CG107" s="6">
        <v>1.29</v>
      </c>
      <c r="CH107" s="6"/>
    </row>
    <row r="108" spans="1:86" ht="15.75" customHeight="1" x14ac:dyDescent="0.25">
      <c r="A108" s="4">
        <v>106</v>
      </c>
      <c r="B108" s="2"/>
      <c r="C108" s="4">
        <v>16</v>
      </c>
      <c r="D108" s="6">
        <v>2.08</v>
      </c>
      <c r="E108" s="6">
        <v>1.53</v>
      </c>
      <c r="F108" s="6">
        <v>1.38</v>
      </c>
      <c r="G108" s="6">
        <v>2.13</v>
      </c>
      <c r="H108" s="6">
        <v>0.48</v>
      </c>
      <c r="I108" s="6">
        <v>2.38</v>
      </c>
      <c r="J108" s="6">
        <v>1.18</v>
      </c>
      <c r="K108" s="6">
        <v>1.53</v>
      </c>
      <c r="L108" s="6">
        <v>1.83</v>
      </c>
      <c r="M108" s="6">
        <v>0.98</v>
      </c>
      <c r="N108" s="6">
        <v>2.93</v>
      </c>
      <c r="O108" s="6">
        <v>1.98</v>
      </c>
      <c r="P108" s="6">
        <v>2.57</v>
      </c>
      <c r="Q108" s="6">
        <v>1.81</v>
      </c>
      <c r="R108" s="6">
        <v>1.08</v>
      </c>
      <c r="S108" s="6">
        <v>1.88</v>
      </c>
      <c r="T108" s="6">
        <v>1.01</v>
      </c>
      <c r="U108" s="6">
        <v>1.08</v>
      </c>
      <c r="V108" s="6">
        <v>1.26</v>
      </c>
      <c r="W108" s="6">
        <v>1.41</v>
      </c>
      <c r="X108" s="6">
        <v>1.61</v>
      </c>
      <c r="Y108" s="6">
        <v>1.06</v>
      </c>
      <c r="Z108" s="6">
        <v>1.08</v>
      </c>
      <c r="AA108" s="6">
        <v>1.24</v>
      </c>
      <c r="AB108" s="6">
        <v>1.1100000000000001</v>
      </c>
      <c r="AC108" s="6">
        <v>1.76</v>
      </c>
      <c r="AD108" s="6">
        <v>1.36</v>
      </c>
      <c r="AE108" s="6">
        <v>2.2400000000000002</v>
      </c>
      <c r="AF108" s="6">
        <v>1.89</v>
      </c>
      <c r="AG108" s="6">
        <v>2.34</v>
      </c>
      <c r="AH108" s="6">
        <v>0.9</v>
      </c>
      <c r="AI108" s="6">
        <v>2.4500000000000002</v>
      </c>
      <c r="AJ108" s="6">
        <v>1.42</v>
      </c>
      <c r="AK108" s="6">
        <v>2.79</v>
      </c>
      <c r="AL108" s="6">
        <v>1.27</v>
      </c>
      <c r="AM108" s="6">
        <v>1.48</v>
      </c>
      <c r="AN108" s="6">
        <v>1.33</v>
      </c>
      <c r="AO108" s="6">
        <v>1.3</v>
      </c>
      <c r="AP108" s="6">
        <v>1.1299999999999999</v>
      </c>
      <c r="AQ108" s="6">
        <v>2.2400000000000002</v>
      </c>
      <c r="AR108" s="6">
        <v>0.9</v>
      </c>
      <c r="AS108" s="6">
        <v>1</v>
      </c>
      <c r="AT108" s="6">
        <v>0.98</v>
      </c>
      <c r="AU108" s="6">
        <v>1.41</v>
      </c>
      <c r="AV108" s="6">
        <v>1.72</v>
      </c>
      <c r="AW108" s="6">
        <v>1.23</v>
      </c>
      <c r="AX108" s="6">
        <v>1.71</v>
      </c>
      <c r="AY108" s="6">
        <v>2.06</v>
      </c>
      <c r="AZ108" s="6">
        <v>1.56</v>
      </c>
      <c r="BA108" s="6">
        <v>2</v>
      </c>
      <c r="BB108" s="6">
        <v>2.48</v>
      </c>
      <c r="BC108" s="6">
        <f>2.02+0.43</f>
        <v>2.4500000000000002</v>
      </c>
      <c r="BD108" s="6">
        <v>1.4663200000000001</v>
      </c>
      <c r="BE108" s="6">
        <v>1.8</v>
      </c>
      <c r="BF108" s="6">
        <v>1.68</v>
      </c>
      <c r="BG108" s="6">
        <v>1.74</v>
      </c>
      <c r="BH108" s="6">
        <v>3.98</v>
      </c>
      <c r="BI108" s="6">
        <v>1.9</v>
      </c>
      <c r="BJ108" s="6">
        <v>1.43</v>
      </c>
      <c r="BK108" s="6">
        <v>2.35</v>
      </c>
      <c r="BL108" s="6">
        <v>1.62</v>
      </c>
      <c r="BM108" s="6">
        <v>1.81</v>
      </c>
      <c r="BN108" s="6">
        <v>1.92</v>
      </c>
      <c r="BO108" s="6">
        <v>2.61</v>
      </c>
      <c r="BP108" s="6">
        <v>2.62</v>
      </c>
      <c r="BQ108" s="6">
        <v>1.61</v>
      </c>
      <c r="BR108" s="6">
        <v>2.5299999999999998</v>
      </c>
      <c r="BS108" s="6">
        <v>1.87</v>
      </c>
      <c r="BT108" s="6">
        <v>2.4</v>
      </c>
      <c r="BU108" s="6">
        <v>4.18</v>
      </c>
      <c r="BV108" s="6">
        <v>2.27</v>
      </c>
      <c r="BW108" s="6">
        <v>1.93</v>
      </c>
      <c r="BX108" s="6">
        <v>1.89</v>
      </c>
      <c r="BY108" s="6">
        <v>1.45</v>
      </c>
      <c r="BZ108" s="6">
        <v>2.68</v>
      </c>
      <c r="CA108" s="6">
        <v>1.65</v>
      </c>
      <c r="CB108" s="6">
        <v>1.51</v>
      </c>
      <c r="CC108" s="6">
        <v>0.77</v>
      </c>
      <c r="CD108" s="6">
        <v>3.29</v>
      </c>
      <c r="CE108" s="6">
        <v>3.6500000000000004</v>
      </c>
      <c r="CF108" s="6">
        <v>1.6</v>
      </c>
      <c r="CG108" s="6">
        <v>1.29</v>
      </c>
      <c r="CH108" s="6"/>
    </row>
    <row r="109" spans="1:86" ht="15.75" customHeight="1" x14ac:dyDescent="0.25">
      <c r="A109" s="4">
        <v>107</v>
      </c>
      <c r="B109" s="2"/>
      <c r="C109" s="4">
        <v>17</v>
      </c>
      <c r="D109" s="6">
        <v>2.2799999999999998</v>
      </c>
      <c r="E109" s="6">
        <v>1.38</v>
      </c>
      <c r="F109" s="6">
        <v>1.38</v>
      </c>
      <c r="G109" s="6">
        <v>2.48</v>
      </c>
      <c r="H109" s="6">
        <v>0.48</v>
      </c>
      <c r="I109" s="6">
        <v>2.4300000000000002</v>
      </c>
      <c r="J109" s="6">
        <v>1.23</v>
      </c>
      <c r="K109" s="6">
        <v>1.53</v>
      </c>
      <c r="L109" s="6">
        <v>1.73</v>
      </c>
      <c r="M109" s="6">
        <v>1.05</v>
      </c>
      <c r="N109" s="6">
        <v>2.93</v>
      </c>
      <c r="O109" s="6">
        <v>2.1800000000000002</v>
      </c>
      <c r="P109" s="6">
        <v>2.63</v>
      </c>
      <c r="Q109" s="6">
        <v>1.83</v>
      </c>
      <c r="R109" s="6">
        <v>1.1299999999999999</v>
      </c>
      <c r="S109" s="6">
        <v>1.93</v>
      </c>
      <c r="T109" s="6">
        <v>1.01</v>
      </c>
      <c r="U109" s="6">
        <v>1.03</v>
      </c>
      <c r="V109" s="6">
        <v>1.31</v>
      </c>
      <c r="W109" s="6">
        <v>1.47</v>
      </c>
      <c r="X109" s="6">
        <v>1.61</v>
      </c>
      <c r="Y109" s="6">
        <v>1.1100000000000001</v>
      </c>
      <c r="Z109" s="6">
        <v>1.03</v>
      </c>
      <c r="AA109" s="6">
        <v>1.21</v>
      </c>
      <c r="AB109" s="6">
        <v>1.1100000000000001</v>
      </c>
      <c r="AC109" s="6">
        <v>2.0499999999999998</v>
      </c>
      <c r="AD109" s="6">
        <v>1.47</v>
      </c>
      <c r="AE109" s="6">
        <v>2.31</v>
      </c>
      <c r="AF109" s="6">
        <v>1.89</v>
      </c>
      <c r="AG109" s="6">
        <v>2.48</v>
      </c>
      <c r="AH109" s="6">
        <v>0.88</v>
      </c>
      <c r="AI109" s="6">
        <v>2.41</v>
      </c>
      <c r="AJ109" s="6">
        <v>1.32</v>
      </c>
      <c r="AK109" s="6">
        <v>2.75</v>
      </c>
      <c r="AL109" s="6">
        <v>1.27</v>
      </c>
      <c r="AM109" s="6">
        <v>1.53</v>
      </c>
      <c r="AN109" s="6">
        <v>1.45</v>
      </c>
      <c r="AO109" s="6">
        <v>1.26</v>
      </c>
      <c r="AP109" s="6">
        <v>1.28</v>
      </c>
      <c r="AQ109" s="6">
        <v>2.1800000000000002</v>
      </c>
      <c r="AR109" s="6">
        <v>0.84</v>
      </c>
      <c r="AS109" s="6">
        <v>1</v>
      </c>
      <c r="AT109" s="6">
        <v>1.07</v>
      </c>
      <c r="AU109" s="6">
        <v>1.38</v>
      </c>
      <c r="AV109" s="6">
        <v>1.68</v>
      </c>
      <c r="AW109" s="6">
        <v>1.27</v>
      </c>
      <c r="AX109" s="6">
        <v>1.7</v>
      </c>
      <c r="AY109" s="6">
        <v>2.0699999999999998</v>
      </c>
      <c r="AZ109" s="6">
        <v>1.6</v>
      </c>
      <c r="BA109" s="6">
        <v>1.96</v>
      </c>
      <c r="BB109" s="6">
        <v>2.42</v>
      </c>
      <c r="BC109" s="6">
        <f>2.01+0.43</f>
        <v>2.44</v>
      </c>
      <c r="BD109" s="6">
        <v>1.52728</v>
      </c>
      <c r="BE109" s="6">
        <v>1.8</v>
      </c>
      <c r="BF109" s="6">
        <v>1.68</v>
      </c>
      <c r="BG109" s="6">
        <v>1.86</v>
      </c>
      <c r="BH109" s="6">
        <v>3.98</v>
      </c>
      <c r="BI109" s="6">
        <v>1.94</v>
      </c>
      <c r="BJ109" s="6">
        <v>1.45</v>
      </c>
      <c r="BK109" s="6">
        <v>2.48</v>
      </c>
      <c r="BL109" s="6">
        <v>1.72</v>
      </c>
      <c r="BM109" s="6">
        <v>1.83</v>
      </c>
      <c r="BN109" s="6">
        <v>1.97</v>
      </c>
      <c r="BO109" s="6">
        <v>2.64</v>
      </c>
      <c r="BP109" s="6">
        <v>2.74</v>
      </c>
      <c r="BQ109" s="6">
        <v>1.7</v>
      </c>
      <c r="BR109" s="6">
        <v>2.4700000000000002</v>
      </c>
      <c r="BS109" s="6">
        <v>2.04</v>
      </c>
      <c r="BT109" s="6">
        <v>2.41</v>
      </c>
      <c r="BU109" s="6">
        <v>4.3</v>
      </c>
      <c r="BV109" s="6">
        <v>2.13</v>
      </c>
      <c r="BW109" s="6">
        <v>1.9</v>
      </c>
      <c r="BX109" s="6">
        <v>1.99</v>
      </c>
      <c r="BY109" s="6">
        <v>1.47</v>
      </c>
      <c r="BZ109" s="6">
        <v>2.5300000000000002</v>
      </c>
      <c r="CA109" s="6">
        <v>1.8299999999999998</v>
      </c>
      <c r="CB109" s="6">
        <v>1.5</v>
      </c>
      <c r="CC109" s="6">
        <v>0.79</v>
      </c>
      <c r="CD109" s="6">
        <v>3.3800000000000003</v>
      </c>
      <c r="CE109" s="6">
        <v>3.58</v>
      </c>
      <c r="CF109" s="6">
        <v>1.73</v>
      </c>
      <c r="CG109" s="6">
        <v>1.29</v>
      </c>
      <c r="CH109" s="6"/>
    </row>
    <row r="110" spans="1:86" ht="15.75" customHeight="1" x14ac:dyDescent="0.25">
      <c r="A110" s="4">
        <v>108</v>
      </c>
      <c r="B110" s="2"/>
      <c r="C110" s="4">
        <v>18</v>
      </c>
      <c r="D110" s="6">
        <v>2.38</v>
      </c>
      <c r="E110" s="6">
        <v>1.33</v>
      </c>
      <c r="F110" s="6">
        <v>1.38</v>
      </c>
      <c r="G110" s="6">
        <v>2.63</v>
      </c>
      <c r="H110" s="6">
        <v>0.57999999999999996</v>
      </c>
      <c r="I110" s="6">
        <v>2.5299999999999998</v>
      </c>
      <c r="J110" s="6">
        <v>1.23</v>
      </c>
      <c r="K110" s="6">
        <v>1.48</v>
      </c>
      <c r="L110" s="6">
        <v>1.73</v>
      </c>
      <c r="M110" s="6">
        <v>1.1100000000000001</v>
      </c>
      <c r="N110" s="6">
        <v>3.03</v>
      </c>
      <c r="O110" s="6">
        <v>2.38</v>
      </c>
      <c r="P110" s="6">
        <v>2.68</v>
      </c>
      <c r="Q110" s="6">
        <v>1.89</v>
      </c>
      <c r="R110" s="6">
        <v>1.1299999999999999</v>
      </c>
      <c r="S110" s="6">
        <v>1.98</v>
      </c>
      <c r="T110" s="6">
        <v>0.91</v>
      </c>
      <c r="U110" s="6">
        <v>1.03</v>
      </c>
      <c r="V110" s="6">
        <v>1.31</v>
      </c>
      <c r="W110" s="6">
        <v>1.51</v>
      </c>
      <c r="X110" s="6">
        <v>1.61</v>
      </c>
      <c r="Y110" s="6">
        <v>1.1599999999999999</v>
      </c>
      <c r="Z110" s="6">
        <v>1.1100000000000001</v>
      </c>
      <c r="AA110" s="6">
        <v>1.22</v>
      </c>
      <c r="AB110" s="6">
        <v>1.18</v>
      </c>
      <c r="AC110" s="6">
        <v>2.29</v>
      </c>
      <c r="AD110" s="6">
        <v>1.59</v>
      </c>
      <c r="AE110" s="6">
        <v>2.42</v>
      </c>
      <c r="AF110" s="6">
        <v>1.83</v>
      </c>
      <c r="AG110" s="6">
        <v>2.36</v>
      </c>
      <c r="AH110" s="6">
        <v>0.97</v>
      </c>
      <c r="AI110" s="6">
        <v>2.2799999999999998</v>
      </c>
      <c r="AJ110" s="6">
        <v>1.45</v>
      </c>
      <c r="AK110" s="6">
        <v>2.75</v>
      </c>
      <c r="AL110" s="6">
        <v>1.23</v>
      </c>
      <c r="AM110" s="6">
        <v>1.65</v>
      </c>
      <c r="AN110" s="6">
        <v>1.43</v>
      </c>
      <c r="AO110" s="6">
        <v>1.27</v>
      </c>
      <c r="AP110" s="6">
        <v>1.42</v>
      </c>
      <c r="AQ110" s="6">
        <v>2.12</v>
      </c>
      <c r="AR110" s="6">
        <v>0.86</v>
      </c>
      <c r="AS110" s="6">
        <v>0.97</v>
      </c>
      <c r="AT110" s="6">
        <v>1.07</v>
      </c>
      <c r="AU110" s="6">
        <v>1.39</v>
      </c>
      <c r="AV110" s="6">
        <v>1.68</v>
      </c>
      <c r="AW110" s="6">
        <v>1.23</v>
      </c>
      <c r="AX110" s="6">
        <v>1.7</v>
      </c>
      <c r="AY110" s="6">
        <v>2.0699999999999998</v>
      </c>
      <c r="AZ110" s="6">
        <v>1.71</v>
      </c>
      <c r="BA110" s="6">
        <v>1.92</v>
      </c>
      <c r="BB110" s="6">
        <v>2.46</v>
      </c>
      <c r="BC110" s="6">
        <f t="shared" ref="BC110:BC112" si="1">1.98+0.43</f>
        <v>2.41</v>
      </c>
      <c r="BD110" s="6">
        <v>1.55776</v>
      </c>
      <c r="BE110" s="6">
        <v>1.8</v>
      </c>
      <c r="BF110" s="6">
        <v>1.74</v>
      </c>
      <c r="BG110" s="6">
        <v>2.13</v>
      </c>
      <c r="BH110" s="6">
        <v>3.84</v>
      </c>
      <c r="BI110" s="6">
        <v>2.0299999999999998</v>
      </c>
      <c r="BJ110" s="6">
        <v>1.51</v>
      </c>
      <c r="BK110" s="6">
        <v>2.59</v>
      </c>
      <c r="BL110" s="6">
        <v>1.72</v>
      </c>
      <c r="BM110" s="6">
        <v>1.89</v>
      </c>
      <c r="BN110" s="6">
        <v>2.04</v>
      </c>
      <c r="BO110" s="6">
        <v>2.64</v>
      </c>
      <c r="BP110" s="6">
        <v>2.87</v>
      </c>
      <c r="BQ110" s="6">
        <v>1.73</v>
      </c>
      <c r="BR110" s="6">
        <v>2.4500000000000002</v>
      </c>
      <c r="BS110" s="6">
        <v>2.16</v>
      </c>
      <c r="BT110" s="6">
        <v>2.4500000000000002</v>
      </c>
      <c r="BU110" s="6">
        <v>4.49</v>
      </c>
      <c r="BV110" s="6">
        <v>2.13</v>
      </c>
      <c r="BW110" s="6">
        <v>1.89</v>
      </c>
      <c r="BX110" s="6">
        <v>2.0300000000000002</v>
      </c>
      <c r="BY110" s="6">
        <v>1.5699999999999998</v>
      </c>
      <c r="BZ110" s="6">
        <v>2.4500000000000002</v>
      </c>
      <c r="CA110" s="6">
        <v>1.89</v>
      </c>
      <c r="CB110" s="6">
        <v>1.55</v>
      </c>
      <c r="CC110" s="6">
        <v>0.79</v>
      </c>
      <c r="CD110" s="6">
        <v>3.49</v>
      </c>
      <c r="CE110" s="6">
        <v>3.6100000000000003</v>
      </c>
      <c r="CF110" s="6">
        <v>1.81</v>
      </c>
      <c r="CG110" s="6">
        <v>1.38</v>
      </c>
      <c r="CH110" s="6"/>
    </row>
    <row r="111" spans="1:86" ht="15.75" customHeight="1" x14ac:dyDescent="0.25">
      <c r="A111" s="4">
        <v>109</v>
      </c>
      <c r="B111" s="2"/>
      <c r="C111" s="4">
        <v>19</v>
      </c>
      <c r="D111" s="6">
        <v>2.48</v>
      </c>
      <c r="E111" s="6">
        <v>1.43</v>
      </c>
      <c r="F111" s="6">
        <v>1.33</v>
      </c>
      <c r="G111" s="6">
        <v>2.83</v>
      </c>
      <c r="H111" s="6">
        <v>0.63</v>
      </c>
      <c r="I111" s="6">
        <v>2.63</v>
      </c>
      <c r="J111" s="6">
        <v>1.23</v>
      </c>
      <c r="K111" s="6">
        <v>1.43</v>
      </c>
      <c r="L111" s="6">
        <v>1.83</v>
      </c>
      <c r="M111" s="6">
        <v>1.18</v>
      </c>
      <c r="N111" s="6">
        <v>3.03</v>
      </c>
      <c r="O111" s="6">
        <v>2.68</v>
      </c>
      <c r="P111" s="6">
        <v>2.73</v>
      </c>
      <c r="Q111" s="6">
        <v>1.93</v>
      </c>
      <c r="R111" s="6">
        <v>1.1299999999999999</v>
      </c>
      <c r="S111" s="6">
        <v>2.08</v>
      </c>
      <c r="T111" s="6">
        <v>0.81</v>
      </c>
      <c r="U111" s="6">
        <v>0.9</v>
      </c>
      <c r="V111" s="6">
        <v>1.26</v>
      </c>
      <c r="W111" s="6">
        <v>1.46</v>
      </c>
      <c r="X111" s="6">
        <v>1.63</v>
      </c>
      <c r="Y111" s="6">
        <v>1.21</v>
      </c>
      <c r="Z111" s="6">
        <v>1.1299999999999999</v>
      </c>
      <c r="AA111" s="6">
        <v>1.24</v>
      </c>
      <c r="AB111" s="6">
        <v>1.21</v>
      </c>
      <c r="AC111" s="6">
        <v>2.44</v>
      </c>
      <c r="AD111" s="6">
        <v>1.76</v>
      </c>
      <c r="AE111" s="6">
        <v>2.4500000000000002</v>
      </c>
      <c r="AF111" s="6">
        <v>1.76</v>
      </c>
      <c r="AG111" s="6">
        <v>2.2200000000000002</v>
      </c>
      <c r="AH111" s="6">
        <v>0.97</v>
      </c>
      <c r="AI111" s="6">
        <v>2.25</v>
      </c>
      <c r="AJ111" s="6">
        <v>1.43</v>
      </c>
      <c r="AK111" s="6">
        <v>2.79</v>
      </c>
      <c r="AL111" s="6">
        <v>1.23</v>
      </c>
      <c r="AM111" s="6">
        <v>1.82</v>
      </c>
      <c r="AN111" s="6">
        <v>1.53</v>
      </c>
      <c r="AO111" s="6">
        <v>1.29</v>
      </c>
      <c r="AP111" s="6">
        <v>1.64</v>
      </c>
      <c r="AQ111" s="6">
        <v>2.1800000000000002</v>
      </c>
      <c r="AR111" s="6">
        <v>0.93</v>
      </c>
      <c r="AS111" s="6">
        <v>0.98</v>
      </c>
      <c r="AT111" s="6">
        <v>1.1000000000000001</v>
      </c>
      <c r="AU111" s="6">
        <v>1.45</v>
      </c>
      <c r="AV111" s="6">
        <v>1.71</v>
      </c>
      <c r="AW111" s="6">
        <v>1.23</v>
      </c>
      <c r="AX111" s="6">
        <v>1.68</v>
      </c>
      <c r="AY111" s="6">
        <v>2.5499999999999998</v>
      </c>
      <c r="AZ111" s="6">
        <v>1.66</v>
      </c>
      <c r="BA111" s="6">
        <v>1.95</v>
      </c>
      <c r="BB111" s="6">
        <v>2.4700000000000002</v>
      </c>
      <c r="BC111" s="6">
        <f t="shared" si="1"/>
        <v>2.41</v>
      </c>
      <c r="BD111" s="6">
        <v>1.55776</v>
      </c>
      <c r="BE111" s="6">
        <v>1.8</v>
      </c>
      <c r="BF111" s="6">
        <v>1.77</v>
      </c>
      <c r="BG111" s="6">
        <v>2.13</v>
      </c>
      <c r="BH111" s="6">
        <v>3.84</v>
      </c>
      <c r="BI111" s="6">
        <v>2.15</v>
      </c>
      <c r="BJ111" s="6">
        <v>1.51</v>
      </c>
      <c r="BK111" s="6">
        <v>2.68</v>
      </c>
      <c r="BL111" s="6">
        <v>1.71</v>
      </c>
      <c r="BM111" s="6">
        <v>1.84</v>
      </c>
      <c r="BN111" s="6">
        <v>2.09</v>
      </c>
      <c r="BO111" s="6">
        <v>2.6</v>
      </c>
      <c r="BP111" s="6">
        <v>2.94</v>
      </c>
      <c r="BQ111" s="6">
        <v>1.72</v>
      </c>
      <c r="BR111" s="6">
        <v>2.35</v>
      </c>
      <c r="BS111" s="6">
        <v>2.2999999999999998</v>
      </c>
      <c r="BT111" s="6">
        <v>2.57</v>
      </c>
      <c r="BU111" s="6">
        <v>4.6399999999999997</v>
      </c>
      <c r="BV111" s="6">
        <v>2.14</v>
      </c>
      <c r="BW111" s="6">
        <v>1.91</v>
      </c>
      <c r="BX111" s="6">
        <v>2.0500000000000003</v>
      </c>
      <c r="BY111" s="6">
        <v>1.77</v>
      </c>
      <c r="BZ111" s="6">
        <v>2.41</v>
      </c>
      <c r="CA111" s="6">
        <v>1.96</v>
      </c>
      <c r="CB111" s="6">
        <v>1.49</v>
      </c>
      <c r="CC111" s="6">
        <v>0.87</v>
      </c>
      <c r="CD111" s="6">
        <v>3.79</v>
      </c>
      <c r="CE111" s="6">
        <v>3.6700000000000004</v>
      </c>
      <c r="CF111" s="6">
        <v>1.8</v>
      </c>
      <c r="CG111" s="6">
        <v>1.45</v>
      </c>
      <c r="CH111" s="6"/>
    </row>
    <row r="112" spans="1:86" ht="15.75" customHeight="1" x14ac:dyDescent="0.25">
      <c r="A112" s="4">
        <v>110</v>
      </c>
      <c r="B112" s="2"/>
      <c r="C112" s="4">
        <v>20</v>
      </c>
      <c r="D112" s="6">
        <v>2.5299999999999998</v>
      </c>
      <c r="E112" s="6">
        <v>1.53</v>
      </c>
      <c r="F112" s="6">
        <v>1.33</v>
      </c>
      <c r="G112" s="6">
        <v>3.08</v>
      </c>
      <c r="H112" s="6">
        <v>0.73</v>
      </c>
      <c r="I112" s="6">
        <v>2.73</v>
      </c>
      <c r="J112" s="6">
        <v>1.18</v>
      </c>
      <c r="K112" s="6">
        <v>1.43</v>
      </c>
      <c r="L112" s="6">
        <v>1.88</v>
      </c>
      <c r="M112" s="6">
        <v>1.25</v>
      </c>
      <c r="N112" s="6">
        <v>3.03</v>
      </c>
      <c r="O112" s="6">
        <v>2.68</v>
      </c>
      <c r="P112" s="6">
        <v>2.73</v>
      </c>
      <c r="Q112" s="6">
        <v>1.98</v>
      </c>
      <c r="R112" s="6">
        <v>1.18</v>
      </c>
      <c r="S112" s="6">
        <v>2.13</v>
      </c>
      <c r="T112" s="6">
        <v>0.86</v>
      </c>
      <c r="U112" s="6">
        <v>0.8</v>
      </c>
      <c r="V112" s="6">
        <v>1.21</v>
      </c>
      <c r="W112" s="6">
        <v>1.51</v>
      </c>
      <c r="X112" s="6">
        <v>1.7</v>
      </c>
      <c r="Y112" s="6">
        <v>1.19</v>
      </c>
      <c r="Z112" s="6">
        <v>1.1299999999999999</v>
      </c>
      <c r="AA112" s="6">
        <v>1.23</v>
      </c>
      <c r="AB112" s="6">
        <v>1.19</v>
      </c>
      <c r="AC112" s="6">
        <v>2.5499999999999998</v>
      </c>
      <c r="AD112" s="6">
        <v>1.83</v>
      </c>
      <c r="AE112" s="6">
        <v>2.56</v>
      </c>
      <c r="AF112" s="6">
        <v>1.71</v>
      </c>
      <c r="AG112" s="6">
        <v>2.27</v>
      </c>
      <c r="AH112" s="6">
        <v>0.95</v>
      </c>
      <c r="AI112" s="6">
        <v>2.25</v>
      </c>
      <c r="AJ112" s="6">
        <v>1.37</v>
      </c>
      <c r="AK112" s="6">
        <v>3.15</v>
      </c>
      <c r="AL112" s="6">
        <v>1.24</v>
      </c>
      <c r="AM112" s="6">
        <v>1.95</v>
      </c>
      <c r="AN112" s="6">
        <v>1.63</v>
      </c>
      <c r="AO112" s="6">
        <v>1.18</v>
      </c>
      <c r="AP112" s="6">
        <v>1.95</v>
      </c>
      <c r="AQ112" s="6">
        <v>2.3199999999999998</v>
      </c>
      <c r="AR112" s="6">
        <v>0.98</v>
      </c>
      <c r="AS112" s="6">
        <v>0.92</v>
      </c>
      <c r="AT112" s="6">
        <v>1.1000000000000001</v>
      </c>
      <c r="AU112" s="6">
        <v>1.53</v>
      </c>
      <c r="AV112" s="6">
        <v>1.73</v>
      </c>
      <c r="AW112" s="6">
        <v>1.25</v>
      </c>
      <c r="AX112" s="6">
        <v>1.81</v>
      </c>
      <c r="AY112" s="6">
        <v>2.56</v>
      </c>
      <c r="AZ112" s="6">
        <v>1.66</v>
      </c>
      <c r="BA112" s="6">
        <v>1.93</v>
      </c>
      <c r="BB112" s="6">
        <v>2.5099999999999998</v>
      </c>
      <c r="BC112" s="6">
        <f t="shared" si="1"/>
        <v>2.41</v>
      </c>
      <c r="BD112" s="6">
        <v>1.52728</v>
      </c>
      <c r="BE112" s="6">
        <v>1.8</v>
      </c>
      <c r="BF112" s="6">
        <v>1.77</v>
      </c>
      <c r="BG112" s="6">
        <v>2.2200000000000002</v>
      </c>
      <c r="BH112" s="6">
        <v>3.98</v>
      </c>
      <c r="BI112" s="6">
        <v>2.34</v>
      </c>
      <c r="BJ112" s="6">
        <v>1.49</v>
      </c>
      <c r="BK112" s="6">
        <v>2.68</v>
      </c>
      <c r="BL112" s="6">
        <v>1.71</v>
      </c>
      <c r="BM112" s="6">
        <v>1.91</v>
      </c>
      <c r="BN112" s="6">
        <v>2.2999999999999998</v>
      </c>
      <c r="BO112" s="6">
        <v>2.59</v>
      </c>
      <c r="BP112" s="6">
        <v>2.98</v>
      </c>
      <c r="BQ112" s="6">
        <v>1.78</v>
      </c>
      <c r="BR112" s="6">
        <v>2.29</v>
      </c>
      <c r="BS112" s="6">
        <v>2.48</v>
      </c>
      <c r="BT112" s="6">
        <v>2.6</v>
      </c>
      <c r="BU112" s="6">
        <v>4.78</v>
      </c>
      <c r="BV112" s="6">
        <v>2.12</v>
      </c>
      <c r="BW112" s="6">
        <v>2</v>
      </c>
      <c r="BX112" s="6">
        <v>2.06</v>
      </c>
      <c r="BY112" s="6">
        <v>1.75</v>
      </c>
      <c r="BZ112" s="6">
        <v>2.41</v>
      </c>
      <c r="CA112" s="6">
        <v>1.97</v>
      </c>
      <c r="CB112" s="6">
        <v>1.54</v>
      </c>
      <c r="CC112" s="6">
        <v>0.86</v>
      </c>
      <c r="CD112" s="6">
        <v>3.99</v>
      </c>
      <c r="CE112" s="6">
        <v>3.66</v>
      </c>
      <c r="CF112" s="6">
        <v>1.84</v>
      </c>
      <c r="CG112" s="6">
        <v>1.54</v>
      </c>
      <c r="CH112" s="6"/>
    </row>
    <row r="113" spans="1:86" ht="15.75" customHeight="1" x14ac:dyDescent="0.25">
      <c r="A113" s="4">
        <v>111</v>
      </c>
      <c r="B113" s="2"/>
      <c r="C113" s="4">
        <v>21</v>
      </c>
      <c r="D113" s="6">
        <v>2.63</v>
      </c>
      <c r="E113" s="6">
        <v>1.68</v>
      </c>
      <c r="F113" s="6">
        <v>1.48</v>
      </c>
      <c r="G113" s="6">
        <v>3.18</v>
      </c>
      <c r="H113" s="6">
        <v>0.83</v>
      </c>
      <c r="I113" s="6">
        <v>2.93</v>
      </c>
      <c r="J113" s="6">
        <v>1.18</v>
      </c>
      <c r="K113" s="6">
        <v>1.43</v>
      </c>
      <c r="L113" s="6">
        <v>1.93</v>
      </c>
      <c r="M113" s="6">
        <v>1.31</v>
      </c>
      <c r="N113" s="6">
        <v>3.03</v>
      </c>
      <c r="O113" s="6">
        <v>2.75</v>
      </c>
      <c r="P113" s="6">
        <v>2.73</v>
      </c>
      <c r="Q113" s="6">
        <v>1.91</v>
      </c>
      <c r="R113" s="6">
        <v>1.23</v>
      </c>
      <c r="S113" s="6">
        <v>2.2799999999999998</v>
      </c>
      <c r="T113" s="6">
        <v>0.96</v>
      </c>
      <c r="U113" s="6">
        <v>0.83</v>
      </c>
      <c r="V113" s="6">
        <v>1.21</v>
      </c>
      <c r="W113" s="6">
        <v>1.51</v>
      </c>
      <c r="X113" s="6">
        <v>1.76</v>
      </c>
      <c r="Y113" s="6">
        <v>1.06</v>
      </c>
      <c r="Z113" s="6">
        <v>1.21</v>
      </c>
      <c r="AA113" s="6">
        <v>1.25</v>
      </c>
      <c r="AB113" s="6">
        <v>1.22</v>
      </c>
      <c r="AC113" s="6">
        <v>2.57</v>
      </c>
      <c r="AD113" s="6">
        <v>1.89</v>
      </c>
      <c r="AE113" s="6">
        <v>2.67</v>
      </c>
      <c r="AF113" s="6">
        <v>1.86</v>
      </c>
      <c r="AG113" s="6">
        <v>2.35</v>
      </c>
      <c r="AH113" s="6">
        <v>0.93</v>
      </c>
      <c r="AI113" s="6">
        <v>2.2599999999999998</v>
      </c>
      <c r="AJ113" s="6">
        <v>1.33</v>
      </c>
      <c r="AK113" s="6">
        <v>3.51</v>
      </c>
      <c r="AL113" s="6">
        <v>1.25</v>
      </c>
      <c r="AM113" s="6">
        <v>2.0099999999999998</v>
      </c>
      <c r="AN113" s="6">
        <v>1.69</v>
      </c>
      <c r="AO113" s="6">
        <v>1.08</v>
      </c>
      <c r="AP113" s="6">
        <v>2.2000000000000002</v>
      </c>
      <c r="AQ113" s="6">
        <v>2.5</v>
      </c>
      <c r="AR113" s="6">
        <v>1.06</v>
      </c>
      <c r="AS113" s="6">
        <v>0.95</v>
      </c>
      <c r="AT113" s="6">
        <v>1.1100000000000001</v>
      </c>
      <c r="AU113" s="6">
        <v>1.61</v>
      </c>
      <c r="AV113" s="6">
        <v>1.83</v>
      </c>
      <c r="AW113" s="6">
        <v>1.31</v>
      </c>
      <c r="AX113" s="6">
        <v>1.8</v>
      </c>
      <c r="AY113" s="6">
        <v>2.65</v>
      </c>
      <c r="AZ113" s="6">
        <v>1.71</v>
      </c>
      <c r="BA113" s="6">
        <v>1.92</v>
      </c>
      <c r="BB113" s="6">
        <v>2.67</v>
      </c>
      <c r="BC113" s="6">
        <f t="shared" ref="BC113:BC114" si="2">2.01+0.43</f>
        <v>2.44</v>
      </c>
      <c r="BD113" s="6">
        <v>1.52728</v>
      </c>
      <c r="BE113" s="6">
        <v>1.8</v>
      </c>
      <c r="BF113" s="6">
        <v>1.75</v>
      </c>
      <c r="BG113" s="6">
        <v>2.31</v>
      </c>
      <c r="BH113" s="6">
        <v>4.2300000000000004</v>
      </c>
      <c r="BI113" s="6">
        <v>2.42</v>
      </c>
      <c r="BJ113" s="6">
        <v>1.47</v>
      </c>
      <c r="BK113" s="6">
        <v>2.69</v>
      </c>
      <c r="BL113" s="6">
        <v>1.72</v>
      </c>
      <c r="BM113" s="6">
        <v>1.97</v>
      </c>
      <c r="BN113" s="6">
        <v>2.4900000000000002</v>
      </c>
      <c r="BO113" s="6">
        <v>2.66</v>
      </c>
      <c r="BP113" s="6">
        <v>3.04</v>
      </c>
      <c r="BQ113" s="6">
        <v>1.77</v>
      </c>
      <c r="BR113" s="6">
        <v>2.4300000000000002</v>
      </c>
      <c r="BS113" s="6">
        <v>2.74</v>
      </c>
      <c r="BT113" s="6">
        <v>2.63</v>
      </c>
      <c r="BU113" s="6">
        <v>4.8499999999999996</v>
      </c>
      <c r="BV113" s="6">
        <v>2.02</v>
      </c>
      <c r="BW113" s="6">
        <v>2.02</v>
      </c>
      <c r="BX113" s="6">
        <v>2.13</v>
      </c>
      <c r="BY113" s="6">
        <v>1.8399999999999999</v>
      </c>
      <c r="BZ113" s="6">
        <v>2.35</v>
      </c>
      <c r="CA113" s="6">
        <v>1.99</v>
      </c>
      <c r="CB113" s="6">
        <v>1.5599999999999998</v>
      </c>
      <c r="CC113" s="6">
        <v>0.96</v>
      </c>
      <c r="CD113" s="6">
        <v>4.25</v>
      </c>
      <c r="CE113" s="6">
        <v>3.5900000000000003</v>
      </c>
      <c r="CF113" s="6">
        <v>1.82</v>
      </c>
      <c r="CG113" s="6">
        <v>1.56</v>
      </c>
      <c r="CH113" s="6"/>
    </row>
    <row r="114" spans="1:86" ht="15.75" customHeight="1" x14ac:dyDescent="0.25">
      <c r="A114" s="4">
        <v>112</v>
      </c>
      <c r="B114" s="2"/>
      <c r="C114" s="4">
        <v>22</v>
      </c>
      <c r="D114" s="6">
        <v>2.68</v>
      </c>
      <c r="E114" s="6">
        <v>1.83</v>
      </c>
      <c r="F114" s="6">
        <v>1.68</v>
      </c>
      <c r="G114" s="6">
        <v>3.33</v>
      </c>
      <c r="H114" s="6">
        <v>0.88</v>
      </c>
      <c r="I114" s="6">
        <v>3.03</v>
      </c>
      <c r="J114" s="6">
        <v>1.1299999999999999</v>
      </c>
      <c r="K114" s="6">
        <v>1.53</v>
      </c>
      <c r="L114" s="6">
        <v>2.0299999999999998</v>
      </c>
      <c r="M114" s="6">
        <v>1.38</v>
      </c>
      <c r="N114" s="6">
        <v>2.93</v>
      </c>
      <c r="O114" s="6">
        <v>2.93</v>
      </c>
      <c r="P114" s="6">
        <v>2.71</v>
      </c>
      <c r="Q114" s="6">
        <v>1.91</v>
      </c>
      <c r="R114" s="6">
        <v>1.1299999999999999</v>
      </c>
      <c r="S114" s="6">
        <v>2.4300000000000002</v>
      </c>
      <c r="T114" s="6">
        <v>1.06</v>
      </c>
      <c r="U114" s="6">
        <v>0.83</v>
      </c>
      <c r="V114" s="6">
        <v>1.26</v>
      </c>
      <c r="W114" s="6">
        <v>1.57</v>
      </c>
      <c r="X114" s="6">
        <v>1.79</v>
      </c>
      <c r="Y114" s="6">
        <v>1.1599999999999999</v>
      </c>
      <c r="Z114" s="6">
        <v>1.1100000000000001</v>
      </c>
      <c r="AA114" s="6">
        <v>1.18</v>
      </c>
      <c r="AB114" s="6">
        <v>1.32</v>
      </c>
      <c r="AC114" s="6">
        <v>2.58</v>
      </c>
      <c r="AD114" s="6">
        <v>1.91</v>
      </c>
      <c r="AE114" s="6">
        <v>2.84</v>
      </c>
      <c r="AF114" s="6">
        <v>2.35</v>
      </c>
      <c r="AG114" s="6">
        <v>2.46</v>
      </c>
      <c r="AH114" s="6">
        <v>0.88</v>
      </c>
      <c r="AI114" s="6">
        <v>2.2599999999999998</v>
      </c>
      <c r="AJ114" s="6">
        <v>1.33</v>
      </c>
      <c r="AK114" s="6">
        <v>3.67</v>
      </c>
      <c r="AL114" s="6">
        <v>1.26</v>
      </c>
      <c r="AM114" s="6">
        <v>2.23</v>
      </c>
      <c r="AN114" s="6">
        <v>1.87</v>
      </c>
      <c r="AO114" s="6">
        <v>1.03</v>
      </c>
      <c r="AP114" s="6">
        <v>2.34</v>
      </c>
      <c r="AQ114" s="6">
        <v>2.72</v>
      </c>
      <c r="AR114" s="6">
        <v>1.1399999999999999</v>
      </c>
      <c r="AS114" s="6">
        <v>0.9</v>
      </c>
      <c r="AT114" s="6">
        <v>1.18</v>
      </c>
      <c r="AU114" s="6">
        <v>1.71</v>
      </c>
      <c r="AV114" s="6">
        <v>1.93</v>
      </c>
      <c r="AW114" s="6">
        <v>1.31</v>
      </c>
      <c r="AX114" s="6">
        <v>1.85</v>
      </c>
      <c r="AY114" s="6">
        <v>2.75</v>
      </c>
      <c r="AZ114" s="6">
        <v>1.65</v>
      </c>
      <c r="BA114" s="6">
        <v>2.02</v>
      </c>
      <c r="BB114" s="6">
        <v>2.81</v>
      </c>
      <c r="BC114" s="6">
        <f t="shared" si="2"/>
        <v>2.44</v>
      </c>
      <c r="BD114" s="6">
        <v>1.55776</v>
      </c>
      <c r="BE114" s="6">
        <v>1.8</v>
      </c>
      <c r="BF114" s="6">
        <v>1.8</v>
      </c>
      <c r="BG114" s="6">
        <v>2.31</v>
      </c>
      <c r="BH114" s="6">
        <v>4.33</v>
      </c>
      <c r="BI114" s="6">
        <v>2.52</v>
      </c>
      <c r="BJ114" s="6">
        <v>1.43</v>
      </c>
      <c r="BK114" s="6">
        <v>2.72</v>
      </c>
      <c r="BL114" s="6">
        <v>1.69</v>
      </c>
      <c r="BM114" s="6">
        <v>1.99</v>
      </c>
      <c r="BN114" s="6">
        <v>2.73</v>
      </c>
      <c r="BO114" s="6">
        <v>2.66</v>
      </c>
      <c r="BP114" s="6">
        <v>3.07</v>
      </c>
      <c r="BQ114" s="6">
        <v>1.84</v>
      </c>
      <c r="BR114" s="6">
        <v>2.4900000000000002</v>
      </c>
      <c r="BS114" s="6">
        <v>2.97</v>
      </c>
      <c r="BT114" s="6">
        <v>2.64</v>
      </c>
      <c r="BU114" s="6">
        <v>4.96</v>
      </c>
      <c r="BV114" s="6">
        <v>2.0300000000000002</v>
      </c>
      <c r="BW114" s="6">
        <v>2.0300000000000002</v>
      </c>
      <c r="BX114" s="6">
        <v>2.1800000000000002</v>
      </c>
      <c r="BY114" s="6">
        <v>1.94</v>
      </c>
      <c r="BZ114" s="6">
        <v>2.3199999999999998</v>
      </c>
      <c r="CA114" s="6">
        <v>2.09</v>
      </c>
      <c r="CB114" s="6">
        <v>1.51</v>
      </c>
      <c r="CC114" s="6">
        <v>0.94</v>
      </c>
      <c r="CD114" s="6">
        <v>4.66</v>
      </c>
      <c r="CE114" s="6">
        <v>3.6300000000000003</v>
      </c>
      <c r="CF114" s="6">
        <v>1.89</v>
      </c>
      <c r="CG114" s="6">
        <v>1.54</v>
      </c>
      <c r="CH114" s="6"/>
    </row>
    <row r="115" spans="1:86" ht="15.75" customHeight="1" x14ac:dyDescent="0.25">
      <c r="A115" s="4">
        <v>113</v>
      </c>
      <c r="B115" s="2"/>
      <c r="C115" s="4">
        <v>23</v>
      </c>
      <c r="D115" s="6">
        <v>2.78</v>
      </c>
      <c r="E115" s="6">
        <v>1.88</v>
      </c>
      <c r="F115" s="6">
        <v>1.93</v>
      </c>
      <c r="G115" s="6">
        <v>3.43</v>
      </c>
      <c r="H115" s="6">
        <v>0.88</v>
      </c>
      <c r="I115" s="6">
        <v>3.13</v>
      </c>
      <c r="J115" s="6">
        <v>1.1299999999999999</v>
      </c>
      <c r="K115" s="6">
        <v>1.53</v>
      </c>
      <c r="L115" s="6">
        <v>2.13</v>
      </c>
      <c r="M115" s="6">
        <v>1.43</v>
      </c>
      <c r="N115" s="6">
        <v>2.63</v>
      </c>
      <c r="O115" s="6">
        <v>3.03</v>
      </c>
      <c r="P115" s="6">
        <v>2.68</v>
      </c>
      <c r="Q115" s="6">
        <v>1.93</v>
      </c>
      <c r="R115" s="6">
        <v>1.18</v>
      </c>
      <c r="S115" s="6">
        <v>2.58</v>
      </c>
      <c r="T115" s="6">
        <v>1.24</v>
      </c>
      <c r="U115" s="6">
        <v>1.03</v>
      </c>
      <c r="V115" s="6">
        <v>1.1599999999999999</v>
      </c>
      <c r="W115" s="6">
        <v>1.67</v>
      </c>
      <c r="X115" s="6">
        <v>1.82</v>
      </c>
      <c r="Y115" s="6">
        <v>1.26</v>
      </c>
      <c r="Z115" s="6">
        <v>1.08</v>
      </c>
      <c r="AA115" s="6">
        <v>1.1499999999999999</v>
      </c>
      <c r="AB115" s="6">
        <v>1.44</v>
      </c>
      <c r="AC115" s="6">
        <v>2.69</v>
      </c>
      <c r="AD115" s="6">
        <v>1.98</v>
      </c>
      <c r="AE115" s="6">
        <v>2.95</v>
      </c>
      <c r="AF115" s="6">
        <v>2.93</v>
      </c>
      <c r="AG115" s="6">
        <v>2.72</v>
      </c>
      <c r="AH115" s="6">
        <v>0.86</v>
      </c>
      <c r="AI115" s="6">
        <v>2.13</v>
      </c>
      <c r="AJ115" s="6">
        <v>1.34</v>
      </c>
      <c r="AK115" s="6">
        <v>3.79</v>
      </c>
      <c r="AL115" s="6">
        <v>1.27</v>
      </c>
      <c r="AM115" s="6">
        <v>2.38</v>
      </c>
      <c r="AN115" s="6">
        <v>2.0299999999999998</v>
      </c>
      <c r="AO115" s="6">
        <v>1.1000000000000001</v>
      </c>
      <c r="AP115" s="6">
        <v>2.52</v>
      </c>
      <c r="AQ115" s="6">
        <v>3.1</v>
      </c>
      <c r="AR115" s="6">
        <v>1.3</v>
      </c>
      <c r="AS115" s="6">
        <v>0.86</v>
      </c>
      <c r="AT115" s="6">
        <v>1.19</v>
      </c>
      <c r="AU115" s="6">
        <v>1.82</v>
      </c>
      <c r="AV115" s="6">
        <v>2</v>
      </c>
      <c r="AW115" s="6">
        <v>1.33</v>
      </c>
      <c r="AX115" s="6">
        <v>1.86</v>
      </c>
      <c r="AY115" s="6">
        <v>2.77</v>
      </c>
      <c r="AZ115" s="6">
        <v>1.68</v>
      </c>
      <c r="BA115" s="6">
        <v>2.02</v>
      </c>
      <c r="BB115" s="6">
        <v>2.9</v>
      </c>
      <c r="BC115" s="6">
        <f>2.09+0.43</f>
        <v>2.52</v>
      </c>
      <c r="BD115" s="6">
        <v>1.52728</v>
      </c>
      <c r="BE115" s="6">
        <v>1.8</v>
      </c>
      <c r="BF115" s="6">
        <v>1.81</v>
      </c>
      <c r="BG115" s="6">
        <v>2.44</v>
      </c>
      <c r="BH115" s="6">
        <v>4.4800000000000004</v>
      </c>
      <c r="BI115" s="6">
        <v>2.5499999999999998</v>
      </c>
      <c r="BJ115" s="6">
        <v>1.57</v>
      </c>
      <c r="BK115" s="6">
        <v>2.76</v>
      </c>
      <c r="BL115" s="6">
        <v>1.7</v>
      </c>
      <c r="BM115" s="6">
        <v>2.0099999999999998</v>
      </c>
      <c r="BN115" s="6">
        <v>2.92</v>
      </c>
      <c r="BO115" s="6">
        <v>2.66</v>
      </c>
      <c r="BP115" s="6">
        <v>3.04</v>
      </c>
      <c r="BQ115" s="6">
        <v>1.89</v>
      </c>
      <c r="BR115" s="6">
        <v>2.54</v>
      </c>
      <c r="BS115" s="6">
        <v>3.28</v>
      </c>
      <c r="BT115" s="6">
        <v>2.68</v>
      </c>
      <c r="BU115" s="6">
        <v>5.07</v>
      </c>
      <c r="BV115" s="6">
        <v>2.1</v>
      </c>
      <c r="BW115" s="6">
        <v>2.2000000000000002</v>
      </c>
      <c r="BX115" s="6">
        <v>2.27</v>
      </c>
      <c r="BY115" s="6">
        <v>2.0500000000000003</v>
      </c>
      <c r="BZ115" s="6">
        <v>2.3000000000000003</v>
      </c>
      <c r="CA115" s="6">
        <v>2.14</v>
      </c>
      <c r="CB115" s="6">
        <v>1.51</v>
      </c>
      <c r="CC115" s="6">
        <v>1.04</v>
      </c>
      <c r="CD115" s="6">
        <v>4.88</v>
      </c>
      <c r="CE115" s="6">
        <v>3.5100000000000002</v>
      </c>
      <c r="CF115" s="6">
        <v>1.82</v>
      </c>
      <c r="CG115" s="6">
        <v>1.59</v>
      </c>
      <c r="CH115" s="6"/>
    </row>
    <row r="116" spans="1:86" ht="15.75" customHeight="1" x14ac:dyDescent="0.25">
      <c r="A116" s="4">
        <v>114</v>
      </c>
      <c r="B116" s="2"/>
      <c r="C116" s="4">
        <v>24</v>
      </c>
      <c r="D116" s="6">
        <v>2.93</v>
      </c>
      <c r="E116" s="6">
        <v>1.93</v>
      </c>
      <c r="F116" s="6">
        <v>2.08</v>
      </c>
      <c r="G116" s="6">
        <v>3.53</v>
      </c>
      <c r="H116" s="6">
        <v>0.93</v>
      </c>
      <c r="I116" s="6">
        <v>3.23</v>
      </c>
      <c r="J116" s="6">
        <v>1.43</v>
      </c>
      <c r="K116" s="6">
        <v>1.53</v>
      </c>
      <c r="L116" s="6">
        <v>2.13</v>
      </c>
      <c r="M116" s="6">
        <v>1.43</v>
      </c>
      <c r="N116" s="6">
        <v>2.5299999999999998</v>
      </c>
      <c r="O116" s="6">
        <v>3.18</v>
      </c>
      <c r="P116" s="6">
        <v>2.9</v>
      </c>
      <c r="Q116" s="6">
        <v>1.91</v>
      </c>
      <c r="R116" s="6">
        <v>1.18</v>
      </c>
      <c r="S116" s="6">
        <v>2.63</v>
      </c>
      <c r="T116" s="6">
        <v>1.36</v>
      </c>
      <c r="U116" s="6">
        <v>1.28</v>
      </c>
      <c r="V116" s="6">
        <v>1.06</v>
      </c>
      <c r="W116" s="6">
        <v>1.71</v>
      </c>
      <c r="X116" s="6">
        <v>1.88</v>
      </c>
      <c r="Y116" s="6">
        <v>1.36</v>
      </c>
      <c r="Z116" s="6">
        <v>1.05</v>
      </c>
      <c r="AA116" s="6">
        <v>1.18</v>
      </c>
      <c r="AB116" s="6">
        <v>1.78</v>
      </c>
      <c r="AC116" s="6">
        <v>2.9</v>
      </c>
      <c r="AD116" s="6">
        <v>2.08</v>
      </c>
      <c r="AE116" s="6">
        <v>3.07</v>
      </c>
      <c r="AF116" s="6">
        <v>2.94</v>
      </c>
      <c r="AG116" s="6">
        <v>2.89</v>
      </c>
      <c r="AH116" s="6">
        <v>0.92</v>
      </c>
      <c r="AI116" s="6">
        <v>2.11</v>
      </c>
      <c r="AJ116" s="6">
        <v>1.35</v>
      </c>
      <c r="AK116" s="6">
        <v>3.87</v>
      </c>
      <c r="AL116" s="6">
        <v>1.27</v>
      </c>
      <c r="AM116" s="6">
        <v>2.61</v>
      </c>
      <c r="AN116" s="6">
        <v>2.17</v>
      </c>
      <c r="AO116" s="6">
        <v>1.08</v>
      </c>
      <c r="AP116" s="6">
        <v>2.74</v>
      </c>
      <c r="AQ116" s="6">
        <v>3.26</v>
      </c>
      <c r="AR116" s="6">
        <v>1.48</v>
      </c>
      <c r="AS116" s="6">
        <v>0.92</v>
      </c>
      <c r="AT116" s="6">
        <v>1.1599999999999999</v>
      </c>
      <c r="AU116" s="6">
        <v>1.89</v>
      </c>
      <c r="AV116" s="6">
        <v>2.12</v>
      </c>
      <c r="AW116" s="6">
        <v>1.31</v>
      </c>
      <c r="AX116" s="6">
        <v>1.83</v>
      </c>
      <c r="AY116" s="6">
        <v>2.77</v>
      </c>
      <c r="AZ116" s="6">
        <v>1.81</v>
      </c>
      <c r="BA116" s="6">
        <v>1.59</v>
      </c>
      <c r="BB116" s="6">
        <v>2.99</v>
      </c>
      <c r="BC116" s="6">
        <f>2.15+0.43</f>
        <v>2.58</v>
      </c>
      <c r="BD116" s="6">
        <v>1.4663200000000001</v>
      </c>
      <c r="BE116" s="6">
        <v>1.98</v>
      </c>
      <c r="BF116" s="6">
        <v>1.9</v>
      </c>
      <c r="BG116" s="6">
        <v>2.56</v>
      </c>
      <c r="BH116" s="6">
        <v>4.53</v>
      </c>
      <c r="BI116" s="6">
        <v>2.5499999999999998</v>
      </c>
      <c r="BJ116" s="6">
        <v>1.57</v>
      </c>
      <c r="BK116" s="6">
        <v>2.8</v>
      </c>
      <c r="BL116" s="6">
        <v>1.72</v>
      </c>
      <c r="BM116" s="6">
        <v>1.97</v>
      </c>
      <c r="BN116" s="6">
        <v>3.1</v>
      </c>
      <c r="BO116" s="6">
        <v>2.64</v>
      </c>
      <c r="BP116" s="6">
        <v>3.09</v>
      </c>
      <c r="BQ116" s="6">
        <v>1.89</v>
      </c>
      <c r="BR116" s="6">
        <v>2.62</v>
      </c>
      <c r="BS116" s="6">
        <v>3.51</v>
      </c>
      <c r="BT116" s="6">
        <v>2.86</v>
      </c>
      <c r="BU116" s="6">
        <v>5.19</v>
      </c>
      <c r="BV116" s="6">
        <v>2.2600000000000002</v>
      </c>
      <c r="BW116" s="6">
        <v>2.2800000000000002</v>
      </c>
      <c r="BX116" s="6">
        <v>2.33</v>
      </c>
      <c r="BY116" s="6">
        <v>2.09</v>
      </c>
      <c r="BZ116" s="6">
        <v>2.48</v>
      </c>
      <c r="CA116" s="6">
        <v>2.19</v>
      </c>
      <c r="CB116" s="6">
        <v>1.41</v>
      </c>
      <c r="CC116" s="6">
        <v>1.03</v>
      </c>
      <c r="CD116" s="6">
        <v>4.9399999999999995</v>
      </c>
      <c r="CE116" s="6">
        <v>3.02</v>
      </c>
      <c r="CF116" s="6">
        <v>1.88</v>
      </c>
      <c r="CG116" s="6">
        <v>1.59</v>
      </c>
      <c r="CH116" s="6"/>
    </row>
    <row r="117" spans="1:86" ht="15.75" customHeight="1" x14ac:dyDescent="0.25">
      <c r="A117" s="4">
        <v>115</v>
      </c>
      <c r="B117" s="2"/>
      <c r="C117" s="4">
        <v>25</v>
      </c>
      <c r="D117" s="6">
        <v>3.23</v>
      </c>
      <c r="E117" s="6">
        <v>1.98</v>
      </c>
      <c r="F117" s="6">
        <v>2.1800000000000002</v>
      </c>
      <c r="G117" s="6">
        <v>3.63</v>
      </c>
      <c r="H117" s="6">
        <v>0.93</v>
      </c>
      <c r="I117" s="6">
        <v>3.23</v>
      </c>
      <c r="J117" s="6">
        <v>1.73</v>
      </c>
      <c r="K117" s="6">
        <v>1.53</v>
      </c>
      <c r="L117" s="6">
        <v>2.1800000000000002</v>
      </c>
      <c r="M117" s="6">
        <v>1.48</v>
      </c>
      <c r="N117" s="6">
        <v>2.63</v>
      </c>
      <c r="O117" s="6">
        <v>3.23</v>
      </c>
      <c r="P117" s="6">
        <v>2.93</v>
      </c>
      <c r="Q117" s="6">
        <v>2.0299999999999998</v>
      </c>
      <c r="R117" s="6">
        <v>1.23</v>
      </c>
      <c r="S117" s="6">
        <v>2.68</v>
      </c>
      <c r="T117" s="6">
        <v>1.43</v>
      </c>
      <c r="U117" s="6">
        <v>1.58</v>
      </c>
      <c r="V117" s="6">
        <v>0.91</v>
      </c>
      <c r="W117" s="6">
        <v>1.69</v>
      </c>
      <c r="X117" s="6">
        <v>1.92</v>
      </c>
      <c r="Y117" s="6">
        <v>1.46</v>
      </c>
      <c r="Z117" s="6">
        <v>1.08</v>
      </c>
      <c r="AA117" s="6">
        <v>1.21</v>
      </c>
      <c r="AB117" s="6">
        <v>2.14</v>
      </c>
      <c r="AC117" s="6">
        <v>3.11</v>
      </c>
      <c r="AD117" s="6">
        <v>2.17</v>
      </c>
      <c r="AE117" s="6">
        <v>3.16</v>
      </c>
      <c r="AF117" s="6">
        <v>2.95</v>
      </c>
      <c r="AG117" s="6">
        <v>2.95</v>
      </c>
      <c r="AH117" s="6">
        <v>0.91</v>
      </c>
      <c r="AI117" s="6">
        <v>1.98</v>
      </c>
      <c r="AJ117" s="6">
        <v>1.33</v>
      </c>
      <c r="AK117" s="6">
        <v>3.91</v>
      </c>
      <c r="AL117" s="6">
        <v>1.27</v>
      </c>
      <c r="AM117" s="6">
        <v>2.74</v>
      </c>
      <c r="AN117" s="6">
        <v>2.41</v>
      </c>
      <c r="AO117" s="6">
        <v>1.1599999999999999</v>
      </c>
      <c r="AP117" s="6">
        <v>2.98</v>
      </c>
      <c r="AQ117" s="6">
        <v>3.42</v>
      </c>
      <c r="AR117" s="6">
        <v>1.68</v>
      </c>
      <c r="AS117" s="6">
        <v>0.97</v>
      </c>
      <c r="AT117" s="6">
        <v>1.06</v>
      </c>
      <c r="AU117" s="6">
        <v>2.0299999999999998</v>
      </c>
      <c r="AV117" s="6">
        <v>2.2000000000000002</v>
      </c>
      <c r="AW117" s="6">
        <v>1.27</v>
      </c>
      <c r="AX117" s="6">
        <v>1.73</v>
      </c>
      <c r="AY117" s="6">
        <v>2.83</v>
      </c>
      <c r="AZ117" s="6">
        <v>1.95</v>
      </c>
      <c r="BA117" s="6">
        <v>1.58</v>
      </c>
      <c r="BB117" s="6">
        <v>3.05</v>
      </c>
      <c r="BC117" s="6">
        <f>2.13+0.43</f>
        <v>2.56</v>
      </c>
      <c r="BD117" s="6">
        <v>1.55776</v>
      </c>
      <c r="BE117" s="6">
        <v>2.0099999999999998</v>
      </c>
      <c r="BF117" s="6">
        <v>2.12</v>
      </c>
      <c r="BG117" s="6">
        <v>2.59</v>
      </c>
      <c r="BH117" s="6">
        <v>4.53</v>
      </c>
      <c r="BI117" s="6">
        <v>2.5499999999999998</v>
      </c>
      <c r="BJ117" s="6">
        <v>1.76</v>
      </c>
      <c r="BK117" s="6">
        <v>2.86</v>
      </c>
      <c r="BL117" s="6">
        <v>1.76</v>
      </c>
      <c r="BM117" s="6">
        <v>1.97</v>
      </c>
      <c r="BN117" s="6">
        <v>3.4</v>
      </c>
      <c r="BO117" s="6">
        <v>2.67</v>
      </c>
      <c r="BP117" s="6">
        <v>3.07</v>
      </c>
      <c r="BQ117" s="6">
        <v>1.86</v>
      </c>
      <c r="BR117" s="6">
        <v>2.69</v>
      </c>
      <c r="BS117" s="6">
        <v>3.59</v>
      </c>
      <c r="BT117" s="6">
        <v>2.93</v>
      </c>
      <c r="BU117" s="6">
        <v>5.31</v>
      </c>
      <c r="BV117" s="6">
        <v>2.4</v>
      </c>
      <c r="BW117" s="6">
        <v>2.33</v>
      </c>
      <c r="BX117" s="6">
        <v>2.33</v>
      </c>
      <c r="BY117" s="6">
        <v>2.12</v>
      </c>
      <c r="BZ117" s="6">
        <v>2.7</v>
      </c>
      <c r="CA117" s="6">
        <v>2.34</v>
      </c>
      <c r="CB117" s="6">
        <v>1.53</v>
      </c>
      <c r="CC117" s="6">
        <v>1.1299999999999999</v>
      </c>
      <c r="CD117" s="6">
        <v>5.01</v>
      </c>
      <c r="CE117" s="6">
        <v>3.2</v>
      </c>
      <c r="CF117" s="6">
        <v>1.9</v>
      </c>
      <c r="CG117" s="6">
        <v>1.58</v>
      </c>
      <c r="CH117" s="6"/>
    </row>
    <row r="118" spans="1:86" ht="15.75" customHeight="1" x14ac:dyDescent="0.25">
      <c r="A118" s="4">
        <v>116</v>
      </c>
      <c r="B118" s="2"/>
      <c r="C118" s="4">
        <v>26</v>
      </c>
      <c r="D118" s="6">
        <v>3.53</v>
      </c>
      <c r="E118" s="6">
        <v>1.93</v>
      </c>
      <c r="F118" s="6">
        <v>2.33</v>
      </c>
      <c r="G118" s="6">
        <v>3.83</v>
      </c>
      <c r="H118" s="6">
        <v>0.93</v>
      </c>
      <c r="I118" s="6">
        <v>3.23</v>
      </c>
      <c r="J118" s="6">
        <v>1.83</v>
      </c>
      <c r="K118" s="6">
        <v>1.53</v>
      </c>
      <c r="L118" s="6">
        <v>2.23</v>
      </c>
      <c r="M118" s="6">
        <v>1.58</v>
      </c>
      <c r="N118" s="6">
        <v>2.73</v>
      </c>
      <c r="O118" s="6">
        <v>3.28</v>
      </c>
      <c r="P118" s="6">
        <v>2.98</v>
      </c>
      <c r="Q118" s="6">
        <v>2.13</v>
      </c>
      <c r="R118" s="6">
        <v>1.23</v>
      </c>
      <c r="S118" s="6">
        <v>2.63</v>
      </c>
      <c r="T118" s="6">
        <v>1.43</v>
      </c>
      <c r="U118" s="6">
        <v>1.73</v>
      </c>
      <c r="V118" s="6">
        <v>0.86</v>
      </c>
      <c r="W118" s="6">
        <v>1.69</v>
      </c>
      <c r="X118" s="6">
        <v>1.92</v>
      </c>
      <c r="Y118" s="6">
        <v>1.49</v>
      </c>
      <c r="Z118" s="6">
        <v>0.98</v>
      </c>
      <c r="AA118" s="6">
        <v>1.1499999999999999</v>
      </c>
      <c r="AB118" s="6">
        <v>2.4500000000000002</v>
      </c>
      <c r="AC118" s="6">
        <v>3.38</v>
      </c>
      <c r="AD118" s="6">
        <v>2.27</v>
      </c>
      <c r="AE118" s="6">
        <v>3.23</v>
      </c>
      <c r="AF118" s="6">
        <v>2.95</v>
      </c>
      <c r="AG118" s="6">
        <v>3.04</v>
      </c>
      <c r="AH118" s="6">
        <v>0.9</v>
      </c>
      <c r="AI118" s="6">
        <v>1.9</v>
      </c>
      <c r="AJ118" s="6">
        <v>1.27</v>
      </c>
      <c r="AK118" s="6">
        <v>4.25</v>
      </c>
      <c r="AL118" s="6">
        <v>1.25</v>
      </c>
      <c r="AM118" s="6">
        <v>2.93</v>
      </c>
      <c r="AN118" s="6">
        <v>2.59</v>
      </c>
      <c r="AO118" s="6">
        <v>1.2</v>
      </c>
      <c r="AP118" s="6">
        <v>3.16</v>
      </c>
      <c r="AQ118" s="6">
        <v>3.44</v>
      </c>
      <c r="AR118" s="6">
        <v>1.89</v>
      </c>
      <c r="AS118" s="6">
        <v>1.08</v>
      </c>
      <c r="AT118" s="6">
        <v>1.06</v>
      </c>
      <c r="AU118" s="6">
        <v>2.12</v>
      </c>
      <c r="AV118" s="6">
        <v>2.23</v>
      </c>
      <c r="AW118" s="6">
        <v>1.38</v>
      </c>
      <c r="AX118" s="6">
        <v>1.77</v>
      </c>
      <c r="AY118" s="6">
        <v>3.02</v>
      </c>
      <c r="AZ118" s="6">
        <v>2.04</v>
      </c>
      <c r="BA118" s="6">
        <v>1.54</v>
      </c>
      <c r="BB118" s="6">
        <v>3.09</v>
      </c>
      <c r="BC118" s="6">
        <f>2.18+0.43</f>
        <v>2.6100000000000003</v>
      </c>
      <c r="BD118" s="6">
        <v>1.6187199999999999</v>
      </c>
      <c r="BE118" s="6">
        <v>2.0099999999999998</v>
      </c>
      <c r="BF118" s="6">
        <v>2.41</v>
      </c>
      <c r="BG118" s="6">
        <v>2.68</v>
      </c>
      <c r="BH118" s="6">
        <v>4.53</v>
      </c>
      <c r="BI118" s="6">
        <v>2.73</v>
      </c>
      <c r="BJ118" s="6">
        <v>1.84</v>
      </c>
      <c r="BK118" s="6">
        <v>2.94</v>
      </c>
      <c r="BL118" s="6">
        <v>1.79</v>
      </c>
      <c r="BM118" s="6">
        <v>1.98</v>
      </c>
      <c r="BN118" s="6">
        <v>3.68</v>
      </c>
      <c r="BO118" s="6">
        <v>2.71</v>
      </c>
      <c r="BP118" s="6">
        <v>3.07</v>
      </c>
      <c r="BQ118" s="6">
        <v>1.98</v>
      </c>
      <c r="BR118" s="6">
        <v>2.75</v>
      </c>
      <c r="BS118" s="6">
        <v>3.71</v>
      </c>
      <c r="BT118" s="6">
        <v>3.1</v>
      </c>
      <c r="BU118" s="6">
        <v>5.41</v>
      </c>
      <c r="BV118" s="6">
        <v>2.5300000000000002</v>
      </c>
      <c r="BW118" s="6">
        <v>2.3759999999999999</v>
      </c>
      <c r="BX118" s="6">
        <v>2.37</v>
      </c>
      <c r="BY118" s="6">
        <v>2.2600000000000002</v>
      </c>
      <c r="BZ118" s="6">
        <v>2.77</v>
      </c>
      <c r="CA118" s="6">
        <v>2.39</v>
      </c>
      <c r="CB118" s="6">
        <v>1.53</v>
      </c>
      <c r="CC118" s="6">
        <v>1.1100000000000001</v>
      </c>
      <c r="CD118" s="6">
        <v>5.05</v>
      </c>
      <c r="CE118" s="6">
        <v>3.3400000000000003</v>
      </c>
      <c r="CF118" s="6">
        <v>1.97</v>
      </c>
      <c r="CG118" s="6">
        <v>1.65</v>
      </c>
      <c r="CH118" s="6"/>
    </row>
    <row r="119" spans="1:86" ht="15.75" customHeight="1" x14ac:dyDescent="0.25">
      <c r="A119" s="4">
        <v>117</v>
      </c>
      <c r="B119" s="2"/>
      <c r="C119" s="4">
        <v>27</v>
      </c>
      <c r="D119" s="6">
        <v>3.83</v>
      </c>
      <c r="E119" s="6">
        <v>1.93</v>
      </c>
      <c r="F119" s="6">
        <v>2.48</v>
      </c>
      <c r="G119" s="6">
        <v>3.98</v>
      </c>
      <c r="H119" s="6">
        <v>0.93</v>
      </c>
      <c r="I119" s="6">
        <v>3.18</v>
      </c>
      <c r="J119" s="6">
        <v>1.83</v>
      </c>
      <c r="K119" s="6">
        <v>1.53</v>
      </c>
      <c r="L119" s="6">
        <v>2.23</v>
      </c>
      <c r="M119" s="6">
        <v>1.63</v>
      </c>
      <c r="N119" s="6">
        <v>2.83</v>
      </c>
      <c r="O119" s="6">
        <v>3.41</v>
      </c>
      <c r="P119" s="6">
        <v>2.9</v>
      </c>
      <c r="Q119" s="6">
        <v>2.23</v>
      </c>
      <c r="R119" s="6">
        <v>1.38</v>
      </c>
      <c r="S119" s="6">
        <v>2.58</v>
      </c>
      <c r="T119" s="6">
        <v>1.59</v>
      </c>
      <c r="U119" s="6">
        <v>1.83</v>
      </c>
      <c r="V119" s="6">
        <v>0.86</v>
      </c>
      <c r="W119" s="6">
        <v>1.66</v>
      </c>
      <c r="X119" s="6">
        <v>2.0099999999999998</v>
      </c>
      <c r="Y119" s="6">
        <v>1.51</v>
      </c>
      <c r="Z119" s="6">
        <v>1.03</v>
      </c>
      <c r="AA119" s="6">
        <v>1.1499999999999999</v>
      </c>
      <c r="AB119" s="6">
        <v>2.76</v>
      </c>
      <c r="AC119" s="6">
        <v>3.64</v>
      </c>
      <c r="AD119" s="6">
        <v>2.48</v>
      </c>
      <c r="AE119" s="6">
        <v>3.45</v>
      </c>
      <c r="AF119" s="6">
        <v>2.4500000000000002</v>
      </c>
      <c r="AG119" s="6">
        <v>3.83</v>
      </c>
      <c r="AH119" s="6">
        <v>0.95</v>
      </c>
      <c r="AI119" s="6">
        <v>1.88</v>
      </c>
      <c r="AJ119" s="6">
        <v>1.22</v>
      </c>
      <c r="AK119" s="6">
        <v>4.47</v>
      </c>
      <c r="AL119" s="6">
        <v>1.31</v>
      </c>
      <c r="AM119" s="6">
        <v>3.05</v>
      </c>
      <c r="AN119" s="6">
        <v>2.75</v>
      </c>
      <c r="AO119" s="6">
        <v>1.27</v>
      </c>
      <c r="AP119" s="6">
        <v>3.44</v>
      </c>
      <c r="AQ119" s="6">
        <v>3.52</v>
      </c>
      <c r="AR119" s="6">
        <v>2.09</v>
      </c>
      <c r="AS119" s="6">
        <v>1.1200000000000001</v>
      </c>
      <c r="AT119" s="6">
        <v>0.99</v>
      </c>
      <c r="AU119" s="6">
        <v>2.1800000000000002</v>
      </c>
      <c r="AV119" s="6">
        <v>2.2799999999999998</v>
      </c>
      <c r="AW119" s="6">
        <v>1.41</v>
      </c>
      <c r="AX119" s="6">
        <v>1.7</v>
      </c>
      <c r="AY119" s="6">
        <v>3.15</v>
      </c>
      <c r="AZ119" s="6">
        <v>2.11</v>
      </c>
      <c r="BA119" s="6">
        <v>1.53</v>
      </c>
      <c r="BB119" s="6">
        <v>3.18</v>
      </c>
      <c r="BC119" s="6">
        <f>2.29+0.43</f>
        <v>2.72</v>
      </c>
      <c r="BD119" s="6">
        <v>1.6492</v>
      </c>
      <c r="BE119" s="6">
        <v>2.2599999999999998</v>
      </c>
      <c r="BF119" s="6">
        <v>2.41</v>
      </c>
      <c r="BG119" s="6">
        <v>2.71</v>
      </c>
      <c r="BH119" s="6">
        <v>4.7300000000000004</v>
      </c>
      <c r="BI119" s="6">
        <v>2.82</v>
      </c>
      <c r="BJ119" s="6">
        <v>1.84</v>
      </c>
      <c r="BK119" s="6">
        <v>2.93</v>
      </c>
      <c r="BL119" s="6">
        <v>1.86</v>
      </c>
      <c r="BM119" s="6">
        <v>2.0299999999999998</v>
      </c>
      <c r="BN119" s="6">
        <v>3.95</v>
      </c>
      <c r="BO119" s="6">
        <v>2.76</v>
      </c>
      <c r="BP119" s="6">
        <v>3.06</v>
      </c>
      <c r="BQ119" s="6">
        <v>2.0099999999999998</v>
      </c>
      <c r="BR119" s="6">
        <v>2.75</v>
      </c>
      <c r="BS119" s="6">
        <v>3.82</v>
      </c>
      <c r="BT119" s="6">
        <v>3.21</v>
      </c>
      <c r="BU119" s="6">
        <v>5.43</v>
      </c>
      <c r="BV119" s="6">
        <v>2.66</v>
      </c>
      <c r="BW119" s="6">
        <v>2.4010000000000002</v>
      </c>
      <c r="BX119" s="6">
        <v>2.4900000000000002</v>
      </c>
      <c r="BY119" s="6">
        <v>2.46</v>
      </c>
      <c r="BZ119" s="6">
        <v>2.8800000000000003</v>
      </c>
      <c r="CA119" s="6">
        <v>2.4900000000000002</v>
      </c>
      <c r="CB119" s="6">
        <v>1.53</v>
      </c>
      <c r="CC119" s="6">
        <v>1.26</v>
      </c>
      <c r="CD119" s="6">
        <v>5.0699999999999994</v>
      </c>
      <c r="CE119" s="6">
        <v>3.4200000000000004</v>
      </c>
      <c r="CF119" s="6">
        <v>1.94</v>
      </c>
      <c r="CG119" s="6">
        <v>1.62</v>
      </c>
      <c r="CH119" s="6"/>
    </row>
    <row r="120" spans="1:86" ht="15.75" customHeight="1" x14ac:dyDescent="0.25">
      <c r="A120" s="4">
        <v>118</v>
      </c>
      <c r="B120" s="2"/>
      <c r="C120" s="4">
        <v>28</v>
      </c>
      <c r="D120" s="6">
        <v>4.03</v>
      </c>
      <c r="E120" s="6">
        <v>1.93</v>
      </c>
      <c r="F120" s="6">
        <v>2.73</v>
      </c>
      <c r="G120" s="6">
        <v>4.13</v>
      </c>
      <c r="H120" s="6">
        <v>0.83</v>
      </c>
      <c r="I120" s="6">
        <v>3.03</v>
      </c>
      <c r="J120" s="6">
        <v>1.83</v>
      </c>
      <c r="K120" s="6">
        <v>1.53</v>
      </c>
      <c r="L120" s="6">
        <v>2.33</v>
      </c>
      <c r="M120" s="6">
        <v>1.73</v>
      </c>
      <c r="N120" s="6">
        <v>2.93</v>
      </c>
      <c r="O120" s="6">
        <v>3.61</v>
      </c>
      <c r="P120" s="6">
        <v>2.88</v>
      </c>
      <c r="Q120" s="6">
        <v>2.41</v>
      </c>
      <c r="R120" s="6">
        <v>1.35</v>
      </c>
      <c r="S120" s="6">
        <v>2.5299999999999998</v>
      </c>
      <c r="T120" s="6">
        <v>1.61</v>
      </c>
      <c r="U120" s="6">
        <v>1.91</v>
      </c>
      <c r="V120" s="6">
        <v>0.96</v>
      </c>
      <c r="W120" s="6">
        <v>1.66</v>
      </c>
      <c r="X120" s="6">
        <v>2.06</v>
      </c>
      <c r="Y120" s="6">
        <v>1.51</v>
      </c>
      <c r="Z120" s="6">
        <v>1.1100000000000001</v>
      </c>
      <c r="AA120" s="6">
        <v>1.1399999999999999</v>
      </c>
      <c r="AB120" s="6">
        <v>3.04</v>
      </c>
      <c r="AC120" s="6">
        <v>3.85</v>
      </c>
      <c r="AD120" s="6">
        <v>2.77</v>
      </c>
      <c r="AE120" s="6">
        <v>3.39</v>
      </c>
      <c r="AF120" s="6">
        <v>2.99</v>
      </c>
      <c r="AG120" s="6">
        <v>3.99</v>
      </c>
      <c r="AH120" s="6">
        <v>0.95</v>
      </c>
      <c r="AI120" s="6">
        <v>1.79</v>
      </c>
      <c r="AJ120" s="6">
        <v>1.21</v>
      </c>
      <c r="AK120" s="6">
        <v>4.63</v>
      </c>
      <c r="AL120" s="6">
        <v>1.36</v>
      </c>
      <c r="AM120" s="6">
        <v>3.1</v>
      </c>
      <c r="AN120" s="6">
        <v>2.89</v>
      </c>
      <c r="AO120" s="6">
        <v>1.36</v>
      </c>
      <c r="AP120" s="6">
        <v>3.56</v>
      </c>
      <c r="AQ120" s="6">
        <v>3.8</v>
      </c>
      <c r="AR120" s="6">
        <v>2.2599999999999998</v>
      </c>
      <c r="AS120" s="6">
        <v>1.17</v>
      </c>
      <c r="AT120" s="6">
        <v>0.97</v>
      </c>
      <c r="AU120" s="6">
        <v>2.17</v>
      </c>
      <c r="AV120" s="6">
        <v>2.33</v>
      </c>
      <c r="AW120" s="6">
        <v>1.46</v>
      </c>
      <c r="AX120" s="6">
        <v>1.7</v>
      </c>
      <c r="AY120" s="6">
        <v>3.42</v>
      </c>
      <c r="AZ120" s="6">
        <v>2.08</v>
      </c>
      <c r="BA120" s="6">
        <v>1.58</v>
      </c>
      <c r="BB120" s="6">
        <v>3.28</v>
      </c>
      <c r="BC120" s="6">
        <f>2.31+0.43</f>
        <v>2.74</v>
      </c>
      <c r="BD120" s="6">
        <v>1.77112</v>
      </c>
      <c r="BE120" s="6">
        <v>2.2599999999999998</v>
      </c>
      <c r="BF120" s="6">
        <v>2.41</v>
      </c>
      <c r="BG120" s="6">
        <v>2.86</v>
      </c>
      <c r="BH120" s="6">
        <v>4.78</v>
      </c>
      <c r="BI120" s="6">
        <v>2.88</v>
      </c>
      <c r="BJ120" s="6">
        <v>1.87</v>
      </c>
      <c r="BK120" s="6">
        <v>2.98</v>
      </c>
      <c r="BL120" s="6">
        <v>1.94</v>
      </c>
      <c r="BM120" s="6">
        <v>2.09</v>
      </c>
      <c r="BN120" s="6">
        <v>4.13</v>
      </c>
      <c r="BO120" s="6">
        <v>2.78</v>
      </c>
      <c r="BP120" s="6">
        <v>3.12</v>
      </c>
      <c r="BQ120" s="6">
        <v>2.08</v>
      </c>
      <c r="BR120" s="6">
        <v>2.83</v>
      </c>
      <c r="BS120" s="6">
        <v>3.94</v>
      </c>
      <c r="BT120" s="6">
        <v>3.4</v>
      </c>
      <c r="BU120" s="6">
        <v>5.53</v>
      </c>
      <c r="BV120" s="6">
        <v>2.81</v>
      </c>
      <c r="BW120" s="6">
        <v>2.4</v>
      </c>
      <c r="BX120" s="6">
        <v>2.58</v>
      </c>
      <c r="BY120" s="6">
        <v>2.4300000000000002</v>
      </c>
      <c r="BZ120" s="6">
        <v>2.9000000000000004</v>
      </c>
      <c r="CA120" s="6">
        <v>2.5100000000000002</v>
      </c>
      <c r="CB120" s="6">
        <v>1.64</v>
      </c>
      <c r="CC120" s="6">
        <v>1.24</v>
      </c>
      <c r="CD120" s="6">
        <v>5.2399999999999993</v>
      </c>
      <c r="CE120" s="6">
        <v>3.3800000000000003</v>
      </c>
      <c r="CF120" s="6">
        <v>2.11</v>
      </c>
      <c r="CG120" s="6">
        <v>1.62</v>
      </c>
      <c r="CH120" s="6"/>
    </row>
    <row r="121" spans="1:86" ht="15.75" customHeight="1" x14ac:dyDescent="0.25">
      <c r="A121" s="4">
        <v>119</v>
      </c>
      <c r="B121" s="2"/>
      <c r="C121" s="4">
        <v>29</v>
      </c>
      <c r="D121" s="6">
        <v>4.13</v>
      </c>
      <c r="E121" s="6">
        <v>1.94</v>
      </c>
      <c r="F121" s="6">
        <v>2.83</v>
      </c>
      <c r="G121" s="6">
        <v>4.33</v>
      </c>
      <c r="H121" s="6">
        <v>0.73</v>
      </c>
      <c r="I121" s="6">
        <v>2.98</v>
      </c>
      <c r="J121" s="6">
        <v>1.83</v>
      </c>
      <c r="K121" s="6">
        <v>1.53</v>
      </c>
      <c r="L121" s="6">
        <v>2.63</v>
      </c>
      <c r="M121" s="6">
        <v>1.83</v>
      </c>
      <c r="N121" s="6">
        <v>3.03</v>
      </c>
      <c r="O121" s="6">
        <v>3.88</v>
      </c>
      <c r="P121" s="6">
        <v>2.83</v>
      </c>
      <c r="Q121" s="6">
        <v>2.5299999999999998</v>
      </c>
      <c r="R121" s="6">
        <v>1.58</v>
      </c>
      <c r="S121" s="6">
        <v>2.68</v>
      </c>
      <c r="T121" s="6">
        <v>1.66</v>
      </c>
      <c r="U121" s="6">
        <v>1.89</v>
      </c>
      <c r="V121" s="6">
        <v>1.1299999999999999</v>
      </c>
      <c r="W121" s="6">
        <v>1.71</v>
      </c>
      <c r="X121" s="6">
        <v>2.0699999999999998</v>
      </c>
      <c r="Y121" s="6">
        <v>1.51</v>
      </c>
      <c r="Z121" s="6">
        <v>1.1299999999999999</v>
      </c>
      <c r="AA121" s="6">
        <v>1.19</v>
      </c>
      <c r="AB121" s="6">
        <v>3.25</v>
      </c>
      <c r="AC121" s="6">
        <v>4.0199999999999996</v>
      </c>
      <c r="AD121" s="6">
        <v>3.05</v>
      </c>
      <c r="AE121" s="6">
        <v>3.36</v>
      </c>
      <c r="AF121" s="6">
        <v>2.65</v>
      </c>
      <c r="AG121" s="6">
        <v>4.1500000000000004</v>
      </c>
      <c r="AH121" s="6">
        <v>0.99</v>
      </c>
      <c r="AI121" s="6">
        <v>1.78</v>
      </c>
      <c r="AJ121" s="6">
        <v>1.25</v>
      </c>
      <c r="AK121" s="6">
        <v>4.84</v>
      </c>
      <c r="AL121" s="6">
        <v>1.35</v>
      </c>
      <c r="AM121" s="6">
        <v>3.18</v>
      </c>
      <c r="AN121" s="6">
        <v>2.97</v>
      </c>
      <c r="AO121" s="6">
        <v>1.51</v>
      </c>
      <c r="AP121" s="6">
        <v>3.72</v>
      </c>
      <c r="AQ121" s="6">
        <v>3.87</v>
      </c>
      <c r="AR121" s="6">
        <v>2.52</v>
      </c>
      <c r="AS121" s="6">
        <v>1.2</v>
      </c>
      <c r="AT121" s="6">
        <v>0.91</v>
      </c>
      <c r="AU121" s="6">
        <v>2.21</v>
      </c>
      <c r="AV121" s="6">
        <v>2.46</v>
      </c>
      <c r="AW121" s="6">
        <v>1.49</v>
      </c>
      <c r="AX121" s="6">
        <v>1.68</v>
      </c>
      <c r="AY121" s="6">
        <v>3.54</v>
      </c>
      <c r="AZ121" s="6">
        <v>2.23</v>
      </c>
      <c r="BA121" s="6">
        <v>1.62</v>
      </c>
      <c r="BB121" s="6">
        <v>3.38</v>
      </c>
      <c r="BC121" s="6">
        <f t="shared" ref="BC121:BC124" si="3">2.46+0.43</f>
        <v>2.89</v>
      </c>
      <c r="BD121" s="6">
        <v>1.77112</v>
      </c>
      <c r="BE121" s="6">
        <v>1.95</v>
      </c>
      <c r="BF121" s="6">
        <v>2.4500000000000002</v>
      </c>
      <c r="BG121" s="6">
        <v>2.99</v>
      </c>
      <c r="BH121" s="6">
        <v>4.93</v>
      </c>
      <c r="BI121" s="6">
        <v>3.02</v>
      </c>
      <c r="BJ121" s="6">
        <v>1.9</v>
      </c>
      <c r="BK121" s="6">
        <v>3.01</v>
      </c>
      <c r="BL121" s="6">
        <v>2.06</v>
      </c>
      <c r="BM121" s="6">
        <v>2.15</v>
      </c>
      <c r="BN121" s="6">
        <v>4.2699999999999996</v>
      </c>
      <c r="BO121" s="6">
        <v>2.81</v>
      </c>
      <c r="BP121" s="6">
        <v>3.18</v>
      </c>
      <c r="BQ121" s="6">
        <v>2.08</v>
      </c>
      <c r="BR121" s="6">
        <v>2.87</v>
      </c>
      <c r="BS121" s="6">
        <v>4.0599999999999996</v>
      </c>
      <c r="BT121" s="6">
        <v>3.53</v>
      </c>
      <c r="BU121" s="6">
        <v>5.54</v>
      </c>
      <c r="BV121" s="6">
        <v>3</v>
      </c>
      <c r="BW121" s="6">
        <v>2.46</v>
      </c>
      <c r="BX121" s="6">
        <v>2.6700000000000004</v>
      </c>
      <c r="BY121" s="6">
        <v>2.42</v>
      </c>
      <c r="BZ121" s="6">
        <v>2.9200000000000004</v>
      </c>
      <c r="CA121" s="6">
        <v>2.6300000000000003</v>
      </c>
      <c r="CB121" s="6">
        <v>1.79</v>
      </c>
      <c r="CC121" s="6">
        <v>1.39</v>
      </c>
      <c r="CD121" s="6">
        <v>5.18</v>
      </c>
      <c r="CE121" s="6">
        <v>3.5500000000000003</v>
      </c>
      <c r="CF121" s="6">
        <v>2.21</v>
      </c>
      <c r="CG121" s="6">
        <v>1.74</v>
      </c>
      <c r="CH121" s="6"/>
    </row>
    <row r="122" spans="1:86" ht="15.75" customHeight="1" x14ac:dyDescent="0.25">
      <c r="A122" s="4">
        <v>120</v>
      </c>
      <c r="B122" s="2"/>
      <c r="C122" s="4">
        <v>30</v>
      </c>
      <c r="D122" s="6">
        <v>4.08</v>
      </c>
      <c r="E122" s="6">
        <v>2.0299999999999998</v>
      </c>
      <c r="F122" s="6">
        <v>2.98</v>
      </c>
      <c r="G122" s="6">
        <v>4.43</v>
      </c>
      <c r="H122" s="6">
        <v>0.73</v>
      </c>
      <c r="I122" s="6">
        <v>2.98</v>
      </c>
      <c r="J122" s="6">
        <v>1.83</v>
      </c>
      <c r="K122" s="6">
        <v>1.43</v>
      </c>
      <c r="L122" s="6">
        <v>2.93</v>
      </c>
      <c r="M122" s="6">
        <v>1.93</v>
      </c>
      <c r="N122" s="6">
        <v>3.08</v>
      </c>
      <c r="O122" s="6">
        <v>4.13</v>
      </c>
      <c r="P122" s="6">
        <v>2.73</v>
      </c>
      <c r="Q122" s="6">
        <v>2.61</v>
      </c>
      <c r="R122" s="6">
        <v>1.58</v>
      </c>
      <c r="S122" s="6">
        <v>3.03</v>
      </c>
      <c r="T122" s="6">
        <v>1.71</v>
      </c>
      <c r="U122" s="6">
        <v>1.91</v>
      </c>
      <c r="V122" s="6">
        <v>1.1599999999999999</v>
      </c>
      <c r="W122" s="6">
        <v>1.61</v>
      </c>
      <c r="X122" s="6">
        <v>2.1</v>
      </c>
      <c r="Y122" s="6">
        <v>1.53</v>
      </c>
      <c r="Z122" s="6">
        <v>1.25</v>
      </c>
      <c r="AA122" s="6">
        <v>1.21</v>
      </c>
      <c r="AB122" s="6">
        <v>3.37</v>
      </c>
      <c r="AC122" s="6">
        <v>4.1100000000000003</v>
      </c>
      <c r="AD122" s="6">
        <v>3.31</v>
      </c>
      <c r="AE122" s="6">
        <v>3.48</v>
      </c>
      <c r="AF122" s="6">
        <v>2.57</v>
      </c>
      <c r="AG122" s="6">
        <v>4.3099999999999996</v>
      </c>
      <c r="AH122" s="6">
        <v>1.07</v>
      </c>
      <c r="AI122" s="6">
        <v>1.8</v>
      </c>
      <c r="AJ122" s="6">
        <v>1.18</v>
      </c>
      <c r="AK122" s="6">
        <v>4.88</v>
      </c>
      <c r="AL122" s="6">
        <v>1.37</v>
      </c>
      <c r="AM122" s="6">
        <v>3.23</v>
      </c>
      <c r="AN122" s="6">
        <v>3.01</v>
      </c>
      <c r="AO122" s="6">
        <v>1.6</v>
      </c>
      <c r="AP122" s="6">
        <v>3.92</v>
      </c>
      <c r="AQ122" s="6">
        <v>3.95</v>
      </c>
      <c r="AR122" s="6">
        <v>2.7</v>
      </c>
      <c r="AS122" s="6">
        <v>1.18</v>
      </c>
      <c r="AT122" s="6">
        <v>1.02</v>
      </c>
      <c r="AU122" s="6">
        <v>2.09</v>
      </c>
      <c r="AV122" s="6">
        <v>2.58</v>
      </c>
      <c r="AW122" s="6">
        <v>1.5</v>
      </c>
      <c r="AX122" s="6">
        <v>1.65</v>
      </c>
      <c r="AY122" s="6">
        <v>3.75</v>
      </c>
      <c r="AZ122" s="6">
        <v>2.38</v>
      </c>
      <c r="BA122" s="6">
        <v>1.72</v>
      </c>
      <c r="BB122" s="6">
        <v>3.42</v>
      </c>
      <c r="BC122" s="6">
        <f t="shared" si="3"/>
        <v>2.89</v>
      </c>
      <c r="BD122" s="6">
        <v>1.86256</v>
      </c>
      <c r="BE122" s="6">
        <v>1.95</v>
      </c>
      <c r="BF122" s="6">
        <v>2.4500000000000002</v>
      </c>
      <c r="BG122" s="6">
        <v>3.14</v>
      </c>
      <c r="BH122" s="6">
        <v>4.93</v>
      </c>
      <c r="BI122" s="6">
        <v>2.94</v>
      </c>
      <c r="BJ122" s="6">
        <v>1.88</v>
      </c>
      <c r="BK122" s="6">
        <v>3.04</v>
      </c>
      <c r="BL122" s="6">
        <v>2.2599999999999998</v>
      </c>
      <c r="BM122" s="6">
        <v>2.2599999999999998</v>
      </c>
      <c r="BN122" s="6">
        <v>4.34</v>
      </c>
      <c r="BO122" s="6">
        <v>2.83</v>
      </c>
      <c r="BP122" s="6">
        <v>3.27</v>
      </c>
      <c r="BQ122" s="6">
        <v>2.19</v>
      </c>
      <c r="BR122" s="6">
        <v>2.89</v>
      </c>
      <c r="BS122" s="6">
        <v>4.21</v>
      </c>
      <c r="BT122" s="6">
        <v>3.69</v>
      </c>
      <c r="BU122" s="6">
        <v>5.6</v>
      </c>
      <c r="BV122" s="6">
        <v>3.25</v>
      </c>
      <c r="BW122" s="6">
        <v>2.56</v>
      </c>
      <c r="BX122" s="6">
        <v>2.8200000000000003</v>
      </c>
      <c r="BY122" s="6">
        <v>2.4900000000000002</v>
      </c>
      <c r="BZ122" s="6">
        <v>2.9200000000000004</v>
      </c>
      <c r="CA122" s="6">
        <v>2.77</v>
      </c>
      <c r="CB122" s="6">
        <v>1.8499999999999999</v>
      </c>
      <c r="CC122" s="6">
        <v>1.46</v>
      </c>
      <c r="CD122" s="6">
        <v>5.13</v>
      </c>
      <c r="CE122" s="6">
        <v>3.6</v>
      </c>
      <c r="CF122" s="6">
        <v>2.36</v>
      </c>
      <c r="CG122" s="6">
        <v>1.73</v>
      </c>
      <c r="CH122" s="6"/>
    </row>
    <row r="123" spans="1:86" ht="15.75" customHeight="1" x14ac:dyDescent="0.25">
      <c r="A123" s="4">
        <v>121</v>
      </c>
      <c r="B123" s="2" t="s">
        <v>8</v>
      </c>
      <c r="C123" s="4">
        <v>1</v>
      </c>
      <c r="D123" s="6">
        <v>4.03</v>
      </c>
      <c r="E123" s="6">
        <v>2.13</v>
      </c>
      <c r="F123" s="6">
        <v>3.08</v>
      </c>
      <c r="G123" s="6">
        <v>4.43</v>
      </c>
      <c r="H123" s="6">
        <v>0.83</v>
      </c>
      <c r="I123" s="6">
        <v>3.03</v>
      </c>
      <c r="J123" s="6">
        <v>1.93</v>
      </c>
      <c r="K123" s="6">
        <v>1.43</v>
      </c>
      <c r="L123" s="6">
        <v>3.18</v>
      </c>
      <c r="M123" s="6">
        <v>2.0299999999999998</v>
      </c>
      <c r="N123" s="6">
        <v>3.13</v>
      </c>
      <c r="O123" s="6">
        <v>4.43</v>
      </c>
      <c r="P123" s="6">
        <v>2.71</v>
      </c>
      <c r="Q123" s="6">
        <v>2.58</v>
      </c>
      <c r="R123" s="6">
        <v>1.68</v>
      </c>
      <c r="S123" s="6">
        <v>3.28</v>
      </c>
      <c r="T123" s="6">
        <v>1.71</v>
      </c>
      <c r="U123" s="6">
        <v>1.93</v>
      </c>
      <c r="V123" s="6">
        <v>1.19</v>
      </c>
      <c r="W123" s="6">
        <v>1.66</v>
      </c>
      <c r="X123" s="6">
        <v>2.0099999999999998</v>
      </c>
      <c r="Y123" s="6">
        <v>1.56</v>
      </c>
      <c r="Z123" s="6">
        <v>1.27</v>
      </c>
      <c r="AA123" s="6">
        <v>1.27</v>
      </c>
      <c r="AB123" s="6">
        <v>3.45</v>
      </c>
      <c r="AC123" s="6">
        <v>4.0999999999999996</v>
      </c>
      <c r="AD123" s="6">
        <v>3.53</v>
      </c>
      <c r="AE123" s="6">
        <v>3.64</v>
      </c>
      <c r="AF123" s="6">
        <v>3.2</v>
      </c>
      <c r="AG123" s="6">
        <v>5.47</v>
      </c>
      <c r="AH123" s="6">
        <v>1.1399999999999999</v>
      </c>
      <c r="AI123" s="6">
        <v>1.77</v>
      </c>
      <c r="AJ123" s="6">
        <v>1.23</v>
      </c>
      <c r="AK123" s="6">
        <v>4.91</v>
      </c>
      <c r="AL123" s="6">
        <v>1.41</v>
      </c>
      <c r="AM123" s="6">
        <v>3.27</v>
      </c>
      <c r="AN123" s="6">
        <v>3.06</v>
      </c>
      <c r="AO123" s="6">
        <v>1.71</v>
      </c>
      <c r="AP123" s="6">
        <v>4.17</v>
      </c>
      <c r="AQ123" s="6">
        <v>3.96</v>
      </c>
      <c r="AR123" s="6">
        <v>2.88</v>
      </c>
      <c r="AS123" s="6">
        <v>1.18</v>
      </c>
      <c r="AT123" s="6">
        <v>1.1499999999999999</v>
      </c>
      <c r="AU123" s="6">
        <v>2.04</v>
      </c>
      <c r="AV123" s="6">
        <v>2.7</v>
      </c>
      <c r="AW123" s="6">
        <v>1.49</v>
      </c>
      <c r="AX123" s="6">
        <v>1.71</v>
      </c>
      <c r="AY123" s="6">
        <v>3.94</v>
      </c>
      <c r="AZ123" s="6">
        <v>2.4700000000000002</v>
      </c>
      <c r="BA123" s="6">
        <v>1.8</v>
      </c>
      <c r="BB123" s="6">
        <v>3.43</v>
      </c>
      <c r="BC123" s="6">
        <f t="shared" si="3"/>
        <v>2.89</v>
      </c>
      <c r="BD123" s="6">
        <v>1.97</v>
      </c>
      <c r="BE123" s="6">
        <v>2.0499999999999998</v>
      </c>
      <c r="BF123" s="6">
        <v>2.4500000000000002</v>
      </c>
      <c r="BG123" s="6">
        <v>3.32</v>
      </c>
      <c r="BH123" s="6">
        <v>5</v>
      </c>
      <c r="BI123" s="6">
        <v>2.94</v>
      </c>
      <c r="BJ123" s="6">
        <v>1.8</v>
      </c>
      <c r="BK123" s="6">
        <v>3.15</v>
      </c>
      <c r="BL123" s="6">
        <v>2.5</v>
      </c>
      <c r="BM123" s="6">
        <v>2.39</v>
      </c>
      <c r="BN123" s="6">
        <v>4.42</v>
      </c>
      <c r="BO123" s="6">
        <v>2.84</v>
      </c>
      <c r="BP123" s="6">
        <v>3.34</v>
      </c>
      <c r="BQ123" s="6">
        <v>2.2799999999999998</v>
      </c>
      <c r="BR123" s="6">
        <v>2.92</v>
      </c>
      <c r="BS123" s="6">
        <v>4.3600000000000003</v>
      </c>
      <c r="BT123" s="6">
        <v>3.83</v>
      </c>
      <c r="BU123" s="6">
        <v>5.66</v>
      </c>
      <c r="BV123" s="6">
        <v>3.3800000000000003</v>
      </c>
      <c r="BW123" s="6">
        <v>2.73</v>
      </c>
      <c r="BX123" s="6">
        <v>2.93</v>
      </c>
      <c r="BY123" s="6">
        <v>2.56</v>
      </c>
      <c r="BZ123" s="6">
        <v>2.91</v>
      </c>
      <c r="CA123" s="6">
        <v>2.87</v>
      </c>
      <c r="CB123" s="6">
        <v>1.89</v>
      </c>
      <c r="CC123" s="6">
        <v>1.48</v>
      </c>
      <c r="CD123" s="6">
        <v>5.08</v>
      </c>
      <c r="CE123" s="6">
        <v>3.8400000000000003</v>
      </c>
      <c r="CF123" s="6">
        <v>2.48</v>
      </c>
      <c r="CG123" s="6">
        <v>1.78</v>
      </c>
      <c r="CH123" s="6"/>
    </row>
    <row r="124" spans="1:86" ht="15.75" customHeight="1" x14ac:dyDescent="0.25">
      <c r="A124" s="4">
        <v>122</v>
      </c>
      <c r="B124" s="2"/>
      <c r="C124" s="4">
        <v>2</v>
      </c>
      <c r="D124" s="6">
        <v>4.03</v>
      </c>
      <c r="E124" s="6">
        <v>2.38</v>
      </c>
      <c r="F124" s="6">
        <v>3.08</v>
      </c>
      <c r="G124" s="6">
        <v>4.4800000000000004</v>
      </c>
      <c r="H124" s="6">
        <v>0.88</v>
      </c>
      <c r="I124" s="6">
        <v>3.03</v>
      </c>
      <c r="J124" s="6">
        <v>1.98</v>
      </c>
      <c r="K124" s="6">
        <v>1.48</v>
      </c>
      <c r="L124" s="6">
        <v>3.43</v>
      </c>
      <c r="M124" s="6">
        <v>2.13</v>
      </c>
      <c r="N124" s="6">
        <v>3.33</v>
      </c>
      <c r="O124" s="6">
        <v>4.53</v>
      </c>
      <c r="P124" s="6">
        <v>2.68</v>
      </c>
      <c r="Q124" s="6">
        <v>2.63</v>
      </c>
      <c r="R124" s="6">
        <v>1.88</v>
      </c>
      <c r="S124" s="6">
        <v>3.43</v>
      </c>
      <c r="T124" s="6">
        <v>1.71</v>
      </c>
      <c r="U124" s="6">
        <v>2.0099999999999998</v>
      </c>
      <c r="V124" s="6">
        <v>1.29</v>
      </c>
      <c r="W124" s="6">
        <v>1.73</v>
      </c>
      <c r="X124" s="6">
        <v>2.1</v>
      </c>
      <c r="Y124" s="6">
        <v>1.56</v>
      </c>
      <c r="Z124" s="6">
        <v>1.33</v>
      </c>
      <c r="AA124" s="6">
        <v>1.38</v>
      </c>
      <c r="AB124" s="6">
        <v>3.45</v>
      </c>
      <c r="AC124" s="6">
        <v>3.93</v>
      </c>
      <c r="AD124" s="6">
        <v>3.54</v>
      </c>
      <c r="AE124" s="6">
        <v>3.69</v>
      </c>
      <c r="AF124" s="6">
        <v>3.26</v>
      </c>
      <c r="AG124" s="6">
        <v>5.76</v>
      </c>
      <c r="AH124" s="6">
        <v>1.27</v>
      </c>
      <c r="AI124" s="6">
        <v>1.83</v>
      </c>
      <c r="AJ124" s="6">
        <v>1.25</v>
      </c>
      <c r="AK124" s="6">
        <v>5.39</v>
      </c>
      <c r="AL124" s="6">
        <v>1.41</v>
      </c>
      <c r="AM124" s="6">
        <v>3.33</v>
      </c>
      <c r="AN124" s="6">
        <v>3.18</v>
      </c>
      <c r="AO124" s="6">
        <v>1.79</v>
      </c>
      <c r="AP124" s="6">
        <v>4.41</v>
      </c>
      <c r="AQ124" s="6">
        <v>4.0599999999999996</v>
      </c>
      <c r="AR124" s="6">
        <v>3.03</v>
      </c>
      <c r="AS124" s="6">
        <v>1.21</v>
      </c>
      <c r="AT124" s="6">
        <v>1.2</v>
      </c>
      <c r="AU124" s="6">
        <v>2.0299999999999998</v>
      </c>
      <c r="AV124" s="6">
        <v>2.76</v>
      </c>
      <c r="AW124" s="6">
        <v>1.45</v>
      </c>
      <c r="AX124" s="6">
        <v>1.73</v>
      </c>
      <c r="AY124" s="6">
        <v>4.09</v>
      </c>
      <c r="AZ124" s="6">
        <v>2.4700000000000002</v>
      </c>
      <c r="BA124" s="6">
        <v>1.86</v>
      </c>
      <c r="BB124" s="6">
        <v>3.4</v>
      </c>
      <c r="BC124" s="6">
        <f t="shared" si="3"/>
        <v>2.89</v>
      </c>
      <c r="BD124" s="6">
        <v>2.0454400000000001</v>
      </c>
      <c r="BE124" s="6">
        <v>2.08</v>
      </c>
      <c r="BF124" s="6">
        <v>2.57</v>
      </c>
      <c r="BG124" s="6">
        <v>3.38</v>
      </c>
      <c r="BH124" s="6">
        <v>4.88</v>
      </c>
      <c r="BI124" s="6">
        <v>2.94</v>
      </c>
      <c r="BJ124" s="6">
        <v>1.8</v>
      </c>
      <c r="BK124" s="6">
        <v>3.2</v>
      </c>
      <c r="BL124" s="6">
        <v>2.5299999999999998</v>
      </c>
      <c r="BM124" s="6">
        <v>2.5099999999999998</v>
      </c>
      <c r="BN124" s="6">
        <v>4.46</v>
      </c>
      <c r="BO124" s="6">
        <v>2.91</v>
      </c>
      <c r="BP124" s="6">
        <v>3.36</v>
      </c>
      <c r="BQ124" s="6">
        <v>2.2799999999999998</v>
      </c>
      <c r="BR124" s="6">
        <v>2.92</v>
      </c>
      <c r="BS124" s="6">
        <v>4.5</v>
      </c>
      <c r="BT124" s="6">
        <v>3.87</v>
      </c>
      <c r="BU124" s="6">
        <v>5.71</v>
      </c>
      <c r="BV124" s="6">
        <v>3.5500000000000003</v>
      </c>
      <c r="BW124" s="6">
        <v>2.83</v>
      </c>
      <c r="BX124" s="6">
        <v>3.0100000000000002</v>
      </c>
      <c r="BY124" s="6">
        <v>2.73</v>
      </c>
      <c r="BZ124" s="6">
        <v>2.91</v>
      </c>
      <c r="CA124" s="6">
        <v>2.94</v>
      </c>
      <c r="CB124" s="6">
        <v>2.19</v>
      </c>
      <c r="CC124" s="6">
        <v>1.5999999999999999</v>
      </c>
      <c r="CD124" s="6">
        <v>5.08</v>
      </c>
      <c r="CE124" s="6">
        <v>3.97</v>
      </c>
      <c r="CF124" s="6">
        <v>2.5499999999999998</v>
      </c>
      <c r="CG124" s="6">
        <v>1.8</v>
      </c>
      <c r="CH124" s="6"/>
    </row>
    <row r="125" spans="1:86" ht="15.75" customHeight="1" x14ac:dyDescent="0.25">
      <c r="A125" s="4">
        <v>123</v>
      </c>
      <c r="B125" s="2"/>
      <c r="C125" s="4">
        <v>3</v>
      </c>
      <c r="D125" s="6">
        <v>4.08</v>
      </c>
      <c r="E125" s="6">
        <v>2.68</v>
      </c>
      <c r="F125" s="6">
        <v>3.08</v>
      </c>
      <c r="G125" s="6">
        <v>4.63</v>
      </c>
      <c r="H125" s="6">
        <v>0.88</v>
      </c>
      <c r="I125" s="6">
        <v>3.03</v>
      </c>
      <c r="J125" s="6">
        <v>2.13</v>
      </c>
      <c r="K125" s="6">
        <v>1.53</v>
      </c>
      <c r="L125" s="6">
        <v>3.78</v>
      </c>
      <c r="M125" s="6">
        <v>2.2799999999999998</v>
      </c>
      <c r="N125" s="6">
        <v>3.53</v>
      </c>
      <c r="O125" s="6">
        <v>4.68</v>
      </c>
      <c r="P125" s="6">
        <v>2.68</v>
      </c>
      <c r="Q125" s="6">
        <v>2.5299999999999998</v>
      </c>
      <c r="R125" s="6">
        <v>1.93</v>
      </c>
      <c r="S125" s="6">
        <v>3.73</v>
      </c>
      <c r="T125" s="6">
        <v>1.71</v>
      </c>
      <c r="U125" s="6">
        <v>1.95</v>
      </c>
      <c r="V125" s="6">
        <v>1.31</v>
      </c>
      <c r="W125" s="6">
        <v>1.81</v>
      </c>
      <c r="X125" s="6">
        <v>1.92</v>
      </c>
      <c r="Y125" s="6">
        <v>1.56</v>
      </c>
      <c r="Z125" s="6">
        <v>1.48</v>
      </c>
      <c r="AA125" s="6">
        <v>1.43</v>
      </c>
      <c r="AB125" s="6">
        <v>3.45</v>
      </c>
      <c r="AC125" s="6">
        <v>3.79</v>
      </c>
      <c r="AD125" s="6">
        <v>3.77</v>
      </c>
      <c r="AE125" s="6">
        <v>3.73</v>
      </c>
      <c r="AF125" s="6">
        <v>2.95</v>
      </c>
      <c r="AG125" s="6">
        <v>5.97</v>
      </c>
      <c r="AH125" s="6">
        <v>1.27</v>
      </c>
      <c r="AI125" s="6">
        <v>1.85</v>
      </c>
      <c r="AJ125" s="6">
        <v>1.25</v>
      </c>
      <c r="AK125" s="6">
        <v>5.71</v>
      </c>
      <c r="AL125" s="6">
        <v>1.45</v>
      </c>
      <c r="AM125" s="6">
        <v>3.35</v>
      </c>
      <c r="AN125" s="6">
        <v>3.63</v>
      </c>
      <c r="AO125" s="6">
        <v>1.9</v>
      </c>
      <c r="AP125" s="6">
        <v>4.57</v>
      </c>
      <c r="AQ125" s="6">
        <v>4.3</v>
      </c>
      <c r="AR125" s="6">
        <v>3.18</v>
      </c>
      <c r="AS125" s="6">
        <v>1.2</v>
      </c>
      <c r="AT125" s="6">
        <v>1.27</v>
      </c>
      <c r="AU125" s="6">
        <v>2.0099999999999998</v>
      </c>
      <c r="AV125" s="6">
        <v>2.84</v>
      </c>
      <c r="AW125" s="6">
        <v>1.52</v>
      </c>
      <c r="AX125" s="6">
        <v>1.73</v>
      </c>
      <c r="AY125" s="6">
        <v>4.13</v>
      </c>
      <c r="AZ125" s="6">
        <v>2.5499999999999998</v>
      </c>
      <c r="BA125" s="6">
        <v>1.92</v>
      </c>
      <c r="BB125" s="6">
        <v>3.47</v>
      </c>
      <c r="BC125" s="6">
        <f>2.56+0.43</f>
        <v>2.99</v>
      </c>
      <c r="BD125" s="6">
        <v>2.2892800000000002</v>
      </c>
      <c r="BE125" s="6">
        <v>2.08</v>
      </c>
      <c r="BF125" s="6">
        <v>2.57</v>
      </c>
      <c r="BG125" s="6">
        <v>3.56</v>
      </c>
      <c r="BH125" s="6">
        <v>4.88</v>
      </c>
      <c r="BI125" s="6">
        <v>3.04</v>
      </c>
      <c r="BJ125" s="6">
        <v>1.81</v>
      </c>
      <c r="BK125" s="6">
        <v>3.27</v>
      </c>
      <c r="BL125" s="6">
        <v>2.63</v>
      </c>
      <c r="BM125" s="6">
        <v>2.59</v>
      </c>
      <c r="BN125" s="6">
        <v>4.5999999999999996</v>
      </c>
      <c r="BO125" s="6">
        <v>2.95</v>
      </c>
      <c r="BP125" s="6">
        <v>3.46</v>
      </c>
      <c r="BQ125" s="6">
        <v>2.2799999999999998</v>
      </c>
      <c r="BR125" s="6">
        <v>2.96</v>
      </c>
      <c r="BS125" s="6">
        <v>4.5999999999999996</v>
      </c>
      <c r="BT125" s="6">
        <v>4.05</v>
      </c>
      <c r="BU125" s="6">
        <v>5.8599999999999994</v>
      </c>
      <c r="BV125" s="6">
        <v>3.7800000000000002</v>
      </c>
      <c r="BW125" s="6">
        <v>2.891</v>
      </c>
      <c r="BX125" s="6">
        <v>3.0900000000000003</v>
      </c>
      <c r="BY125" s="6">
        <v>2.99</v>
      </c>
      <c r="BZ125" s="6">
        <v>3.06</v>
      </c>
      <c r="CA125" s="6">
        <v>3.0900000000000003</v>
      </c>
      <c r="CB125" s="6">
        <v>2.33</v>
      </c>
      <c r="CC125" s="6">
        <v>1.7</v>
      </c>
      <c r="CD125" s="6">
        <v>5.13</v>
      </c>
      <c r="CE125" s="6">
        <v>3.8800000000000003</v>
      </c>
      <c r="CF125" s="6">
        <v>2.59</v>
      </c>
      <c r="CG125" s="6">
        <v>1.86</v>
      </c>
      <c r="CH125" s="6"/>
    </row>
    <row r="126" spans="1:86" ht="15.75" customHeight="1" x14ac:dyDescent="0.25">
      <c r="A126" s="4">
        <v>124</v>
      </c>
      <c r="B126" s="2"/>
      <c r="C126" s="4">
        <v>4</v>
      </c>
      <c r="D126" s="6">
        <v>4.18</v>
      </c>
      <c r="E126" s="6">
        <v>2.98</v>
      </c>
      <c r="F126" s="6">
        <v>3.08</v>
      </c>
      <c r="G126" s="6">
        <v>4.7300000000000004</v>
      </c>
      <c r="H126" s="6">
        <v>1.08</v>
      </c>
      <c r="I126" s="6">
        <v>3.03</v>
      </c>
      <c r="J126" s="6">
        <v>2.1800000000000002</v>
      </c>
      <c r="K126" s="6">
        <v>1.73</v>
      </c>
      <c r="L126" s="6">
        <v>3.93</v>
      </c>
      <c r="M126" s="6">
        <v>2.4300000000000002</v>
      </c>
      <c r="N126" s="6">
        <v>3.73</v>
      </c>
      <c r="O126" s="6">
        <v>4.78</v>
      </c>
      <c r="P126" s="6">
        <v>2.78</v>
      </c>
      <c r="Q126" s="6">
        <v>2.41</v>
      </c>
      <c r="R126" s="6">
        <v>1.98</v>
      </c>
      <c r="S126" s="6">
        <v>4.03</v>
      </c>
      <c r="T126" s="6">
        <v>1.76</v>
      </c>
      <c r="U126" s="6">
        <v>2.0499999999999998</v>
      </c>
      <c r="V126" s="6">
        <v>1.31</v>
      </c>
      <c r="W126" s="6">
        <v>1.91</v>
      </c>
      <c r="X126" s="6">
        <v>1.92</v>
      </c>
      <c r="Y126" s="6">
        <v>1.61</v>
      </c>
      <c r="Z126" s="6">
        <v>1.51</v>
      </c>
      <c r="AA126" s="6">
        <v>1.5</v>
      </c>
      <c r="AB126" s="6">
        <v>3.45</v>
      </c>
      <c r="AC126" s="6">
        <v>3.71</v>
      </c>
      <c r="AD126" s="6">
        <v>3.98</v>
      </c>
      <c r="AE126" s="6">
        <v>3.76</v>
      </c>
      <c r="AF126" s="6">
        <v>2.73</v>
      </c>
      <c r="AG126" s="6">
        <v>6.11</v>
      </c>
      <c r="AH126" s="6">
        <v>1.29</v>
      </c>
      <c r="AI126" s="6">
        <v>1.93</v>
      </c>
      <c r="AJ126" s="6">
        <v>1.29</v>
      </c>
      <c r="AK126" s="6">
        <v>5.92</v>
      </c>
      <c r="AL126" s="6">
        <v>1.52</v>
      </c>
      <c r="AM126" s="6">
        <v>3.47</v>
      </c>
      <c r="AN126" s="6">
        <v>3.73</v>
      </c>
      <c r="AO126" s="6">
        <v>2.0299999999999998</v>
      </c>
      <c r="AP126" s="6">
        <v>5.0199999999999996</v>
      </c>
      <c r="AQ126" s="6">
        <v>4.78</v>
      </c>
      <c r="AR126" s="6">
        <v>3.41</v>
      </c>
      <c r="AS126" s="6">
        <v>1.23</v>
      </c>
      <c r="AT126" s="6">
        <v>1.36</v>
      </c>
      <c r="AU126" s="6">
        <v>2.12</v>
      </c>
      <c r="AV126" s="6">
        <v>2.93</v>
      </c>
      <c r="AW126" s="6">
        <v>1.53</v>
      </c>
      <c r="AX126" s="6">
        <v>1.92</v>
      </c>
      <c r="AY126" s="6">
        <v>4.25</v>
      </c>
      <c r="AZ126" s="6">
        <v>2.66</v>
      </c>
      <c r="BA126" s="6">
        <v>1.99</v>
      </c>
      <c r="BB126" s="6">
        <v>3.71</v>
      </c>
      <c r="BC126" s="6">
        <f>2.75+0.43</f>
        <v>3.18</v>
      </c>
      <c r="BD126" s="6">
        <v>2.3807200000000002</v>
      </c>
      <c r="BE126" s="6">
        <v>2.11</v>
      </c>
      <c r="BF126" s="6">
        <v>2.57</v>
      </c>
      <c r="BG126" s="6">
        <v>3.59</v>
      </c>
      <c r="BH126" s="6">
        <v>4.9800000000000004</v>
      </c>
      <c r="BI126" s="6">
        <v>3.23</v>
      </c>
      <c r="BJ126" s="6">
        <v>1.93</v>
      </c>
      <c r="BK126" s="6">
        <v>3.32</v>
      </c>
      <c r="BL126" s="6">
        <v>2.66</v>
      </c>
      <c r="BM126" s="6">
        <v>2.83</v>
      </c>
      <c r="BN126" s="6">
        <v>4.66</v>
      </c>
      <c r="BO126" s="6">
        <v>3.05</v>
      </c>
      <c r="BP126" s="6">
        <v>3.46</v>
      </c>
      <c r="BQ126" s="6">
        <v>2.4700000000000002</v>
      </c>
      <c r="BR126" s="6">
        <v>3.11</v>
      </c>
      <c r="BS126" s="6">
        <v>4.72</v>
      </c>
      <c r="BT126" s="6">
        <v>4.16</v>
      </c>
      <c r="BU126" s="6">
        <v>5.97</v>
      </c>
      <c r="BV126" s="6">
        <v>3.9000000000000004</v>
      </c>
      <c r="BW126" s="6">
        <v>3</v>
      </c>
      <c r="BX126" s="6">
        <v>3.18</v>
      </c>
      <c r="BY126" s="6">
        <v>3.2600000000000002</v>
      </c>
      <c r="BZ126" s="6">
        <v>3.0900000000000003</v>
      </c>
      <c r="CA126" s="6">
        <v>3.29</v>
      </c>
      <c r="CB126" s="6">
        <v>2.2800000000000002</v>
      </c>
      <c r="CC126" s="6">
        <v>1.75</v>
      </c>
      <c r="CD126" s="6">
        <v>5.2299999999999995</v>
      </c>
      <c r="CE126" s="6">
        <v>3.95</v>
      </c>
      <c r="CF126" s="6">
        <v>2.75</v>
      </c>
      <c r="CG126" s="6">
        <v>1.9</v>
      </c>
      <c r="CH126" s="6"/>
    </row>
    <row r="127" spans="1:86" ht="15.75" customHeight="1" x14ac:dyDescent="0.25">
      <c r="A127" s="4">
        <v>125</v>
      </c>
      <c r="B127" s="2"/>
      <c r="C127" s="4">
        <v>5</v>
      </c>
      <c r="D127" s="6">
        <v>4.38</v>
      </c>
      <c r="E127" s="6">
        <v>3.13</v>
      </c>
      <c r="F127" s="6">
        <v>3.08</v>
      </c>
      <c r="G127" s="6">
        <v>4.83</v>
      </c>
      <c r="H127" s="6">
        <v>1.18</v>
      </c>
      <c r="I127" s="6">
        <v>3.08</v>
      </c>
      <c r="J127" s="6">
        <v>2.33</v>
      </c>
      <c r="K127" s="6">
        <v>1.93</v>
      </c>
      <c r="L127" s="6">
        <v>4.13</v>
      </c>
      <c r="M127" s="6">
        <v>2.63</v>
      </c>
      <c r="N127" s="6">
        <v>4.03</v>
      </c>
      <c r="O127" s="6">
        <v>4.83</v>
      </c>
      <c r="P127" s="6">
        <v>2.93</v>
      </c>
      <c r="Q127" s="6">
        <v>2.41</v>
      </c>
      <c r="R127" s="6">
        <v>1.98</v>
      </c>
      <c r="S127" s="6">
        <v>4.2300000000000004</v>
      </c>
      <c r="T127" s="6">
        <v>1.79</v>
      </c>
      <c r="U127" s="6">
        <v>2.08</v>
      </c>
      <c r="V127" s="6">
        <v>1.43</v>
      </c>
      <c r="W127" s="6">
        <v>2.0099999999999998</v>
      </c>
      <c r="X127" s="6">
        <v>1.91</v>
      </c>
      <c r="Y127" s="6">
        <v>1.61</v>
      </c>
      <c r="Z127" s="6">
        <v>1.55</v>
      </c>
      <c r="AA127" s="6">
        <v>1.55</v>
      </c>
      <c r="AB127" s="6">
        <v>3.47</v>
      </c>
      <c r="AC127" s="6">
        <v>3.74</v>
      </c>
      <c r="AD127" s="6">
        <v>3.98</v>
      </c>
      <c r="AE127" s="6">
        <v>3.67</v>
      </c>
      <c r="AF127" s="6">
        <v>2.52</v>
      </c>
      <c r="AG127" s="6">
        <v>6.27</v>
      </c>
      <c r="AH127" s="6">
        <v>1.29</v>
      </c>
      <c r="AI127" s="6">
        <v>1.97</v>
      </c>
      <c r="AJ127" s="6">
        <v>1.36</v>
      </c>
      <c r="AK127" s="6">
        <v>6.03</v>
      </c>
      <c r="AL127" s="6">
        <v>1.51</v>
      </c>
      <c r="AM127" s="6">
        <v>3.54</v>
      </c>
      <c r="AN127" s="6">
        <v>3.83</v>
      </c>
      <c r="AO127" s="6">
        <v>2.11</v>
      </c>
      <c r="AP127" s="6">
        <v>5.27</v>
      </c>
      <c r="AQ127" s="6">
        <v>5.08</v>
      </c>
      <c r="AR127" s="6">
        <v>3.62</v>
      </c>
      <c r="AS127" s="6">
        <v>1.26</v>
      </c>
      <c r="AT127" s="6">
        <v>1.47</v>
      </c>
      <c r="AU127" s="6">
        <v>2.12</v>
      </c>
      <c r="AV127" s="6">
        <v>3.09</v>
      </c>
      <c r="AW127" s="6">
        <v>1.52</v>
      </c>
      <c r="AX127" s="6">
        <v>2.0299999999999998</v>
      </c>
      <c r="AY127" s="6">
        <v>4.45</v>
      </c>
      <c r="AZ127" s="6">
        <v>2.75</v>
      </c>
      <c r="BA127" s="6">
        <v>2.13</v>
      </c>
      <c r="BB127" s="6">
        <v>3.85</v>
      </c>
      <c r="BC127" s="6">
        <f>2.85+0.43</f>
        <v>3.2800000000000002</v>
      </c>
      <c r="BD127" s="6">
        <v>2.50264</v>
      </c>
      <c r="BE127" s="6">
        <v>2.11</v>
      </c>
      <c r="BF127" s="6">
        <v>2.81</v>
      </c>
      <c r="BG127" s="6">
        <v>3.81</v>
      </c>
      <c r="BH127" s="6">
        <v>5.08</v>
      </c>
      <c r="BI127" s="6">
        <v>3.25</v>
      </c>
      <c r="BJ127" s="6">
        <v>2.0299999999999998</v>
      </c>
      <c r="BK127" s="6">
        <v>3.27</v>
      </c>
      <c r="BL127" s="6">
        <v>2.67</v>
      </c>
      <c r="BM127" s="6">
        <v>2.97</v>
      </c>
      <c r="BN127" s="6">
        <v>4.78</v>
      </c>
      <c r="BO127" s="6">
        <v>3.08</v>
      </c>
      <c r="BP127" s="6">
        <v>3.52</v>
      </c>
      <c r="BQ127" s="6">
        <v>2.4700000000000002</v>
      </c>
      <c r="BR127" s="6">
        <v>3.3</v>
      </c>
      <c r="BS127" s="6">
        <v>4.7699999999999996</v>
      </c>
      <c r="BT127" s="6">
        <v>4.33</v>
      </c>
      <c r="BU127" s="6">
        <v>6.12</v>
      </c>
      <c r="BV127" s="6">
        <v>3.98</v>
      </c>
      <c r="BW127" s="6">
        <v>3.02</v>
      </c>
      <c r="BX127" s="6">
        <v>3.25</v>
      </c>
      <c r="BY127" s="6">
        <v>3.54</v>
      </c>
      <c r="BZ127" s="6">
        <v>3.2800000000000002</v>
      </c>
      <c r="CA127" s="6">
        <v>3.39</v>
      </c>
      <c r="CB127" s="6">
        <v>2.4900000000000002</v>
      </c>
      <c r="CC127" s="6">
        <v>1.75</v>
      </c>
      <c r="CD127" s="6">
        <v>5.33</v>
      </c>
      <c r="CE127" s="6">
        <v>4.1500000000000004</v>
      </c>
      <c r="CF127" s="6">
        <v>2.79</v>
      </c>
      <c r="CG127" s="6">
        <v>1.96</v>
      </c>
      <c r="CH127" s="6"/>
    </row>
    <row r="128" spans="1:86" ht="15.75" customHeight="1" x14ac:dyDescent="0.25">
      <c r="A128" s="4">
        <v>126</v>
      </c>
      <c r="B128" s="2"/>
      <c r="C128" s="4">
        <v>6</v>
      </c>
      <c r="D128" s="6">
        <v>4.4800000000000004</v>
      </c>
      <c r="E128" s="6">
        <v>3.18</v>
      </c>
      <c r="F128" s="6">
        <v>3.18</v>
      </c>
      <c r="G128" s="6">
        <v>4.93</v>
      </c>
      <c r="H128" s="6">
        <v>1.23</v>
      </c>
      <c r="I128" s="6">
        <v>3.13</v>
      </c>
      <c r="J128" s="6">
        <v>2.48</v>
      </c>
      <c r="K128" s="6">
        <v>2.0299999999999998</v>
      </c>
      <c r="L128" s="6">
        <v>4.43</v>
      </c>
      <c r="M128" s="6">
        <v>2.93</v>
      </c>
      <c r="N128" s="6">
        <v>4.28</v>
      </c>
      <c r="O128" s="6">
        <v>4.93</v>
      </c>
      <c r="P128" s="6">
        <v>3.03</v>
      </c>
      <c r="Q128" s="6">
        <v>2.41</v>
      </c>
      <c r="R128" s="6">
        <v>2.0299999999999998</v>
      </c>
      <c r="S128" s="6">
        <v>4.33</v>
      </c>
      <c r="T128" s="6">
        <v>1.81</v>
      </c>
      <c r="U128" s="6">
        <v>2.23</v>
      </c>
      <c r="V128" s="6">
        <v>1.42</v>
      </c>
      <c r="W128" s="6">
        <v>2.11</v>
      </c>
      <c r="X128" s="6">
        <v>1.95</v>
      </c>
      <c r="Y128" s="6">
        <v>1.63</v>
      </c>
      <c r="Z128" s="6">
        <v>1.58</v>
      </c>
      <c r="AA128" s="6">
        <v>1.61</v>
      </c>
      <c r="AB128" s="6">
        <v>3.53</v>
      </c>
      <c r="AC128" s="6">
        <v>3.87</v>
      </c>
      <c r="AD128" s="6">
        <v>4.04</v>
      </c>
      <c r="AE128" s="6">
        <v>3.5</v>
      </c>
      <c r="AF128" s="6">
        <v>2.58</v>
      </c>
      <c r="AG128" s="6">
        <v>6.49</v>
      </c>
      <c r="AH128" s="6">
        <v>1.38</v>
      </c>
      <c r="AI128" s="6">
        <v>2.13</v>
      </c>
      <c r="AJ128" s="6">
        <v>1.42</v>
      </c>
      <c r="AK128" s="6">
        <v>6.19</v>
      </c>
      <c r="AL128" s="6">
        <v>1.5</v>
      </c>
      <c r="AM128" s="6">
        <v>3.59</v>
      </c>
      <c r="AN128" s="6">
        <v>3.91</v>
      </c>
      <c r="AO128" s="6">
        <v>2.21</v>
      </c>
      <c r="AP128" s="6">
        <v>5.8</v>
      </c>
      <c r="AQ128" s="6">
        <v>5.28</v>
      </c>
      <c r="AR128" s="6">
        <v>4.0599999999999996</v>
      </c>
      <c r="AS128" s="6">
        <v>1.3</v>
      </c>
      <c r="AT128" s="6">
        <v>1.47</v>
      </c>
      <c r="AU128" s="6">
        <v>2.21</v>
      </c>
      <c r="AV128" s="6">
        <v>3.3</v>
      </c>
      <c r="AW128" s="6">
        <v>1.51</v>
      </c>
      <c r="AX128" s="6">
        <v>2.2000000000000002</v>
      </c>
      <c r="AY128" s="6">
        <v>4.6100000000000003</v>
      </c>
      <c r="AZ128" s="6">
        <v>2.84</v>
      </c>
      <c r="BA128" s="6">
        <v>2.33</v>
      </c>
      <c r="BB128" s="6">
        <v>4</v>
      </c>
      <c r="BC128" s="6">
        <f>2.99+0.43</f>
        <v>3.4200000000000004</v>
      </c>
      <c r="BD128" s="6">
        <v>2.5940799999999999</v>
      </c>
      <c r="BE128" s="6">
        <v>2.2000000000000002</v>
      </c>
      <c r="BF128" s="6">
        <v>3.04</v>
      </c>
      <c r="BG128" s="6">
        <v>3.96</v>
      </c>
      <c r="BH128" s="6">
        <v>5.1100000000000003</v>
      </c>
      <c r="BI128" s="6">
        <v>3.31</v>
      </c>
      <c r="BJ128" s="6">
        <v>2.1</v>
      </c>
      <c r="BK128" s="6">
        <v>3.32</v>
      </c>
      <c r="BL128" s="6">
        <v>2.9</v>
      </c>
      <c r="BM128" s="6">
        <v>3.11</v>
      </c>
      <c r="BN128" s="6">
        <v>4.84</v>
      </c>
      <c r="BO128" s="6">
        <v>3.08</v>
      </c>
      <c r="BP128" s="6">
        <v>3.43</v>
      </c>
      <c r="BQ128" s="6">
        <v>2.4900000000000002</v>
      </c>
      <c r="BR128" s="6">
        <v>3.31</v>
      </c>
      <c r="BS128" s="6">
        <v>4.82</v>
      </c>
      <c r="BT128" s="6">
        <v>4.46</v>
      </c>
      <c r="BU128" s="6">
        <v>6.26</v>
      </c>
      <c r="BV128" s="6">
        <v>4.09</v>
      </c>
      <c r="BW128" s="6">
        <v>3.0900000000000003</v>
      </c>
      <c r="BX128" s="6">
        <v>3.33</v>
      </c>
      <c r="BY128" s="6">
        <v>3.85</v>
      </c>
      <c r="BZ128" s="6">
        <v>3.35</v>
      </c>
      <c r="CA128" s="6">
        <v>3.5300000000000002</v>
      </c>
      <c r="CB128" s="6">
        <v>2.5300000000000002</v>
      </c>
      <c r="CC128" s="6">
        <v>1.76</v>
      </c>
      <c r="CD128" s="6">
        <v>5.58</v>
      </c>
      <c r="CE128" s="6">
        <v>4.34</v>
      </c>
      <c r="CF128" s="6">
        <v>2.96</v>
      </c>
      <c r="CG128" s="6">
        <v>2.04</v>
      </c>
      <c r="CH128" s="6"/>
    </row>
    <row r="129" spans="1:86" ht="15.75" customHeight="1" x14ac:dyDescent="0.25">
      <c r="A129" s="4">
        <v>127</v>
      </c>
      <c r="B129" s="2"/>
      <c r="C129" s="4">
        <v>7</v>
      </c>
      <c r="D129" s="6">
        <v>4.4800000000000004</v>
      </c>
      <c r="E129" s="6">
        <v>3.43</v>
      </c>
      <c r="F129" s="6">
        <v>3.28</v>
      </c>
      <c r="G129" s="6">
        <v>4.93</v>
      </c>
      <c r="H129" s="6">
        <v>1.28</v>
      </c>
      <c r="I129" s="6">
        <v>3.13</v>
      </c>
      <c r="J129" s="6">
        <v>2.58</v>
      </c>
      <c r="K129" s="6">
        <v>1.98</v>
      </c>
      <c r="L129" s="6">
        <v>4.43</v>
      </c>
      <c r="M129" s="6">
        <v>3.08</v>
      </c>
      <c r="N129" s="6">
        <v>4.38</v>
      </c>
      <c r="O129" s="6">
        <v>5.03</v>
      </c>
      <c r="P129" s="6">
        <v>3.13</v>
      </c>
      <c r="Q129" s="6">
        <v>2.4300000000000002</v>
      </c>
      <c r="R129" s="6">
        <v>2.13</v>
      </c>
      <c r="S129" s="6">
        <v>4.53</v>
      </c>
      <c r="T129" s="6">
        <v>1.86</v>
      </c>
      <c r="U129" s="6">
        <v>2.33</v>
      </c>
      <c r="V129" s="6">
        <v>1.41</v>
      </c>
      <c r="W129" s="6">
        <v>2.21</v>
      </c>
      <c r="X129" s="6">
        <v>2.0699999999999998</v>
      </c>
      <c r="Y129" s="6">
        <v>1.63</v>
      </c>
      <c r="Z129" s="6">
        <v>1.58</v>
      </c>
      <c r="AA129" s="6">
        <v>1.64</v>
      </c>
      <c r="AB129" s="6">
        <v>3.62</v>
      </c>
      <c r="AC129" s="6">
        <v>3.98</v>
      </c>
      <c r="AD129" s="6">
        <v>4.1500000000000004</v>
      </c>
      <c r="AE129" s="6">
        <v>3.46</v>
      </c>
      <c r="AF129" s="6">
        <v>2.68</v>
      </c>
      <c r="AG129" s="6">
        <v>6.65</v>
      </c>
      <c r="AH129" s="6">
        <v>1.41</v>
      </c>
      <c r="AI129" s="6">
        <v>2.0299999999999998</v>
      </c>
      <c r="AJ129" s="6">
        <v>1.52</v>
      </c>
      <c r="AK129" s="6">
        <v>6.35</v>
      </c>
      <c r="AL129" s="6">
        <v>1.49</v>
      </c>
      <c r="AM129" s="6">
        <v>3.66</v>
      </c>
      <c r="AN129" s="6">
        <v>3.84</v>
      </c>
      <c r="AO129" s="6">
        <v>2.39</v>
      </c>
      <c r="AP129" s="6">
        <v>5.89</v>
      </c>
      <c r="AQ129" s="6">
        <v>5.5</v>
      </c>
      <c r="AR129" s="6">
        <v>4.51</v>
      </c>
      <c r="AS129" s="6">
        <v>1.34</v>
      </c>
      <c r="AT129" s="6">
        <v>1.55</v>
      </c>
      <c r="AU129" s="6">
        <v>2.25</v>
      </c>
      <c r="AV129" s="6">
        <v>3.43</v>
      </c>
      <c r="AW129" s="6">
        <v>1.48</v>
      </c>
      <c r="AX129" s="6">
        <v>2.2999999999999998</v>
      </c>
      <c r="AY129" s="6">
        <v>4.7699999999999996</v>
      </c>
      <c r="AZ129" s="6">
        <v>3</v>
      </c>
      <c r="BA129" s="6">
        <v>2.38</v>
      </c>
      <c r="BB129" s="6">
        <v>4.25</v>
      </c>
      <c r="BC129" s="6">
        <f>3.06+0.43</f>
        <v>3.49</v>
      </c>
      <c r="BD129" s="6">
        <v>2.6245599999999998</v>
      </c>
      <c r="BE129" s="6">
        <v>2.2599999999999998</v>
      </c>
      <c r="BF129" s="6">
        <v>3.16</v>
      </c>
      <c r="BG129" s="6">
        <v>4.1399999999999997</v>
      </c>
      <c r="BH129" s="6">
        <v>5.21</v>
      </c>
      <c r="BI129" s="6">
        <v>3.31</v>
      </c>
      <c r="BJ129" s="6">
        <v>2.0299999999999998</v>
      </c>
      <c r="BK129" s="6">
        <v>3.39</v>
      </c>
      <c r="BL129" s="6">
        <v>3.11</v>
      </c>
      <c r="BM129" s="6">
        <v>3.33</v>
      </c>
      <c r="BN129" s="6">
        <v>4.88</v>
      </c>
      <c r="BO129" s="6">
        <v>3.18</v>
      </c>
      <c r="BP129" s="6">
        <v>3.42</v>
      </c>
      <c r="BQ129" s="6">
        <v>2.6</v>
      </c>
      <c r="BR129" s="6">
        <v>3.39</v>
      </c>
      <c r="BS129" s="6">
        <v>4.8600000000000003</v>
      </c>
      <c r="BT129" s="6">
        <v>4.6500000000000004</v>
      </c>
      <c r="BU129" s="6">
        <v>6.27</v>
      </c>
      <c r="BV129" s="6">
        <v>4.1399999999999997</v>
      </c>
      <c r="BW129" s="6">
        <v>3.31</v>
      </c>
      <c r="BX129" s="6">
        <v>3.33</v>
      </c>
      <c r="BY129" s="6">
        <v>3.97</v>
      </c>
      <c r="BZ129" s="6">
        <v>3.4200000000000004</v>
      </c>
      <c r="CA129" s="6">
        <v>3.8800000000000003</v>
      </c>
      <c r="CB129" s="6">
        <v>2.54</v>
      </c>
      <c r="CC129" s="6">
        <v>1.91</v>
      </c>
      <c r="CD129" s="6">
        <v>5.7799999999999994</v>
      </c>
      <c r="CE129" s="6">
        <v>4.37</v>
      </c>
      <c r="CF129" s="6">
        <v>3.01</v>
      </c>
      <c r="CG129" s="6">
        <v>2.15</v>
      </c>
      <c r="CH129" s="6"/>
    </row>
    <row r="130" spans="1:86" ht="15.75" customHeight="1" x14ac:dyDescent="0.25">
      <c r="A130" s="4">
        <v>128</v>
      </c>
      <c r="B130" s="2"/>
      <c r="C130" s="4">
        <v>8</v>
      </c>
      <c r="D130" s="6">
        <v>4.53</v>
      </c>
      <c r="E130" s="6">
        <v>3.63</v>
      </c>
      <c r="F130" s="6">
        <v>3.43</v>
      </c>
      <c r="G130" s="6">
        <v>5.03</v>
      </c>
      <c r="H130" s="6">
        <v>1.43</v>
      </c>
      <c r="I130" s="6">
        <v>3.33</v>
      </c>
      <c r="J130" s="6">
        <v>2.78</v>
      </c>
      <c r="K130" s="6">
        <v>1.93</v>
      </c>
      <c r="L130" s="6">
        <v>4.53</v>
      </c>
      <c r="M130" s="6">
        <v>3.58</v>
      </c>
      <c r="N130" s="6">
        <v>4.43</v>
      </c>
      <c r="O130" s="6">
        <v>5.23</v>
      </c>
      <c r="P130" s="6">
        <v>3.13</v>
      </c>
      <c r="Q130" s="6">
        <v>2.48</v>
      </c>
      <c r="R130" s="6">
        <v>2.13</v>
      </c>
      <c r="S130" s="6">
        <v>4.53</v>
      </c>
      <c r="T130" s="6">
        <v>1.91</v>
      </c>
      <c r="U130" s="6">
        <v>2.4300000000000002</v>
      </c>
      <c r="V130" s="6">
        <v>1.51</v>
      </c>
      <c r="W130" s="6">
        <v>2.31</v>
      </c>
      <c r="X130" s="6">
        <v>2.19</v>
      </c>
      <c r="Y130" s="6">
        <v>1.69</v>
      </c>
      <c r="Z130" s="6">
        <v>1.58</v>
      </c>
      <c r="AA130" s="6">
        <v>1.73</v>
      </c>
      <c r="AB130" s="6">
        <v>3.74</v>
      </c>
      <c r="AC130" s="6">
        <v>3.97</v>
      </c>
      <c r="AD130" s="6">
        <v>4.1500000000000004</v>
      </c>
      <c r="AE130" s="6">
        <v>3.46</v>
      </c>
      <c r="AF130" s="6">
        <v>2.76</v>
      </c>
      <c r="AG130" s="6">
        <v>6.79</v>
      </c>
      <c r="AH130" s="6">
        <v>1.46</v>
      </c>
      <c r="AI130" s="6">
        <v>2.02</v>
      </c>
      <c r="AJ130" s="6">
        <v>1.64</v>
      </c>
      <c r="AK130" s="6">
        <v>6.33</v>
      </c>
      <c r="AL130" s="6">
        <v>1.48</v>
      </c>
      <c r="AM130" s="6">
        <v>3.69</v>
      </c>
      <c r="AN130" s="6">
        <v>4.07</v>
      </c>
      <c r="AO130" s="6">
        <v>2.4900000000000002</v>
      </c>
      <c r="AP130" s="6">
        <v>5.57</v>
      </c>
      <c r="AQ130" s="6">
        <v>5.68</v>
      </c>
      <c r="AR130" s="6">
        <v>4.79</v>
      </c>
      <c r="AS130" s="6">
        <v>1.5</v>
      </c>
      <c r="AT130" s="6">
        <v>1.68</v>
      </c>
      <c r="AU130" s="6">
        <v>2.2599999999999998</v>
      </c>
      <c r="AV130" s="6">
        <v>3.51</v>
      </c>
      <c r="AW130" s="6">
        <v>1.46</v>
      </c>
      <c r="AX130" s="6">
        <v>2.2999999999999998</v>
      </c>
      <c r="AY130" s="6">
        <v>4.83</v>
      </c>
      <c r="AZ130" s="6">
        <v>3.15</v>
      </c>
      <c r="BA130" s="6">
        <v>2.4300000000000002</v>
      </c>
      <c r="BB130" s="6">
        <v>4.25</v>
      </c>
      <c r="BC130" s="6">
        <f>3.18+0.43</f>
        <v>3.6100000000000003</v>
      </c>
      <c r="BD130" s="6">
        <v>2.8683999999999998</v>
      </c>
      <c r="BE130" s="6">
        <v>2.41</v>
      </c>
      <c r="BF130" s="6">
        <v>3.32</v>
      </c>
      <c r="BG130" s="6">
        <v>4.42</v>
      </c>
      <c r="BH130" s="6">
        <v>5.23</v>
      </c>
      <c r="BI130" s="6">
        <v>3.31</v>
      </c>
      <c r="BJ130" s="6">
        <v>2.0699999999999998</v>
      </c>
      <c r="BK130" s="6">
        <v>3.5</v>
      </c>
      <c r="BL130" s="6">
        <v>3.24</v>
      </c>
      <c r="BM130" s="6">
        <v>3.45</v>
      </c>
      <c r="BN130" s="6">
        <v>4.9400000000000004</v>
      </c>
      <c r="BO130" s="6">
        <v>3.19</v>
      </c>
      <c r="BP130" s="6">
        <v>3.44</v>
      </c>
      <c r="BQ130" s="6">
        <v>2.65</v>
      </c>
      <c r="BR130" s="6">
        <v>3.43</v>
      </c>
      <c r="BS130" s="6">
        <v>4.88</v>
      </c>
      <c r="BT130" s="6">
        <v>4.7300000000000004</v>
      </c>
      <c r="BU130" s="6">
        <v>6.37</v>
      </c>
      <c r="BV130" s="6">
        <v>4.17</v>
      </c>
      <c r="BW130" s="6">
        <v>3.3800000000000003</v>
      </c>
      <c r="BX130" s="6">
        <v>3.43</v>
      </c>
      <c r="BY130" s="6">
        <v>4.01</v>
      </c>
      <c r="BZ130" s="6">
        <v>3.54</v>
      </c>
      <c r="CA130" s="6">
        <v>4.03</v>
      </c>
      <c r="CB130" s="6">
        <v>2.71</v>
      </c>
      <c r="CC130" s="6">
        <v>1.97</v>
      </c>
      <c r="CD130" s="6">
        <v>6.0299999999999994</v>
      </c>
      <c r="CE130" s="6">
        <v>4.4499999999999993</v>
      </c>
      <c r="CF130" s="6">
        <v>3.05</v>
      </c>
      <c r="CG130" s="6">
        <v>2.21</v>
      </c>
      <c r="CH130" s="6"/>
    </row>
    <row r="131" spans="1:86" ht="15.75" customHeight="1" x14ac:dyDescent="0.25">
      <c r="A131" s="4">
        <v>129</v>
      </c>
      <c r="B131" s="2"/>
      <c r="C131" s="4">
        <v>9</v>
      </c>
      <c r="D131" s="6">
        <v>4.78</v>
      </c>
      <c r="E131" s="6">
        <v>3.73</v>
      </c>
      <c r="F131" s="6">
        <v>3.48</v>
      </c>
      <c r="G131" s="6">
        <v>5.13</v>
      </c>
      <c r="H131" s="6">
        <v>1.48</v>
      </c>
      <c r="I131" s="6">
        <v>3.38</v>
      </c>
      <c r="J131" s="6">
        <v>2.93</v>
      </c>
      <c r="K131" s="6">
        <v>2.0299999999999998</v>
      </c>
      <c r="L131" s="6">
        <v>4.7300000000000004</v>
      </c>
      <c r="M131" s="6">
        <v>4.03</v>
      </c>
      <c r="N131" s="6">
        <v>4.58</v>
      </c>
      <c r="O131" s="6">
        <v>5.38</v>
      </c>
      <c r="P131" s="6">
        <v>3.08</v>
      </c>
      <c r="Q131" s="6">
        <v>2.58</v>
      </c>
      <c r="R131" s="6">
        <v>2.1800000000000002</v>
      </c>
      <c r="S131" s="6">
        <v>4.33</v>
      </c>
      <c r="T131" s="6">
        <v>2.0099999999999998</v>
      </c>
      <c r="U131" s="6">
        <v>2.65</v>
      </c>
      <c r="V131" s="6">
        <v>1.51</v>
      </c>
      <c r="W131" s="6">
        <v>2.36</v>
      </c>
      <c r="X131" s="6">
        <v>2.34</v>
      </c>
      <c r="Y131" s="6">
        <v>1.78</v>
      </c>
      <c r="Z131" s="6">
        <v>1.53</v>
      </c>
      <c r="AA131" s="6">
        <v>1.76</v>
      </c>
      <c r="AB131" s="6">
        <v>3.96</v>
      </c>
      <c r="AC131" s="6">
        <v>3.95</v>
      </c>
      <c r="AD131" s="6">
        <v>4.18</v>
      </c>
      <c r="AE131" s="6">
        <v>3.48</v>
      </c>
      <c r="AF131" s="6">
        <v>2.82</v>
      </c>
      <c r="AG131" s="6">
        <v>6.93</v>
      </c>
      <c r="AH131" s="6">
        <v>1.46</v>
      </c>
      <c r="AI131" s="6">
        <v>1.99</v>
      </c>
      <c r="AJ131" s="6">
        <v>1.77</v>
      </c>
      <c r="AK131" s="6">
        <v>5.99</v>
      </c>
      <c r="AL131" s="6">
        <v>1.45</v>
      </c>
      <c r="AM131" s="6">
        <v>3.74</v>
      </c>
      <c r="AN131" s="6">
        <v>4.1500000000000004</v>
      </c>
      <c r="AO131" s="6">
        <v>2.68</v>
      </c>
      <c r="AP131" s="6">
        <v>5.68</v>
      </c>
      <c r="AQ131" s="6">
        <v>5.86</v>
      </c>
      <c r="AR131" s="6">
        <v>5.0199999999999996</v>
      </c>
      <c r="AS131" s="6">
        <v>1.57</v>
      </c>
      <c r="AT131" s="6">
        <v>1.74</v>
      </c>
      <c r="AU131" s="6">
        <v>2.44</v>
      </c>
      <c r="AV131" s="6">
        <v>3.57</v>
      </c>
      <c r="AW131" s="6">
        <v>1.43</v>
      </c>
      <c r="AX131" s="6">
        <v>2.3199999999999998</v>
      </c>
      <c r="AY131" s="6">
        <v>5.01</v>
      </c>
      <c r="AZ131" s="6">
        <v>3.2</v>
      </c>
      <c r="BA131" s="6">
        <v>2.56</v>
      </c>
      <c r="BB131" s="6">
        <v>4.28</v>
      </c>
      <c r="BC131" s="6">
        <f>3.26+0.43</f>
        <v>3.69</v>
      </c>
      <c r="BD131" s="6">
        <v>3.0512800000000002</v>
      </c>
      <c r="BE131" s="6">
        <v>2.62</v>
      </c>
      <c r="BF131" s="6">
        <v>3.35</v>
      </c>
      <c r="BG131" s="6">
        <v>4.5999999999999996</v>
      </c>
      <c r="BH131" s="6">
        <v>5.23</v>
      </c>
      <c r="BI131" s="6">
        <v>3.45</v>
      </c>
      <c r="BJ131" s="6">
        <v>2.16</v>
      </c>
      <c r="BK131" s="6">
        <v>3.62</v>
      </c>
      <c r="BL131" s="6">
        <v>3.35</v>
      </c>
      <c r="BM131" s="6">
        <v>3.54</v>
      </c>
      <c r="BN131" s="6">
        <v>4.91</v>
      </c>
      <c r="BO131" s="6">
        <v>3.37</v>
      </c>
      <c r="BP131" s="6">
        <v>3.48</v>
      </c>
      <c r="BQ131" s="6">
        <v>2.69</v>
      </c>
      <c r="BR131" s="6">
        <v>3.53</v>
      </c>
      <c r="BS131" s="6">
        <v>4.88</v>
      </c>
      <c r="BT131" s="6">
        <v>4.7699999999999996</v>
      </c>
      <c r="BU131" s="6">
        <v>6.47</v>
      </c>
      <c r="BV131" s="6">
        <v>4.2699999999999996</v>
      </c>
      <c r="BW131" s="6">
        <v>3.46</v>
      </c>
      <c r="BX131" s="6">
        <v>3.47</v>
      </c>
      <c r="BY131" s="6">
        <v>4.1500000000000004</v>
      </c>
      <c r="BZ131" s="6">
        <v>3.8200000000000003</v>
      </c>
      <c r="CA131" s="6">
        <v>4.18</v>
      </c>
      <c r="CB131" s="6">
        <v>2.73</v>
      </c>
      <c r="CC131" s="6">
        <v>2.06</v>
      </c>
      <c r="CD131" s="6">
        <v>6.2799999999999994</v>
      </c>
      <c r="CE131" s="6">
        <v>4.5</v>
      </c>
      <c r="CF131" s="6">
        <v>3.02</v>
      </c>
      <c r="CG131" s="6">
        <v>2.29</v>
      </c>
      <c r="CH131" s="6"/>
    </row>
    <row r="132" spans="1:86" ht="15.75" customHeight="1" x14ac:dyDescent="0.25">
      <c r="A132" s="4">
        <v>130</v>
      </c>
      <c r="B132" s="2"/>
      <c r="C132" s="4">
        <v>10</v>
      </c>
      <c r="D132" s="6">
        <v>4.83</v>
      </c>
      <c r="E132" s="6">
        <v>3.83</v>
      </c>
      <c r="F132" s="6">
        <v>3.43</v>
      </c>
      <c r="G132" s="6">
        <v>5.23</v>
      </c>
      <c r="H132" s="6">
        <v>1.63</v>
      </c>
      <c r="I132" s="6">
        <v>3.43</v>
      </c>
      <c r="J132" s="6">
        <v>3.13</v>
      </c>
      <c r="K132" s="6">
        <v>2.0299999999999998</v>
      </c>
      <c r="L132" s="6">
        <v>4.7300000000000004</v>
      </c>
      <c r="M132" s="6">
        <v>4.38</v>
      </c>
      <c r="N132" s="6">
        <v>4.68</v>
      </c>
      <c r="O132" s="6">
        <v>5.43</v>
      </c>
      <c r="P132" s="6">
        <v>3.13</v>
      </c>
      <c r="Q132" s="6">
        <v>2.63</v>
      </c>
      <c r="R132" s="6">
        <v>2.2799999999999998</v>
      </c>
      <c r="S132" s="6">
        <v>4.2300000000000004</v>
      </c>
      <c r="T132" s="6">
        <v>2.11</v>
      </c>
      <c r="U132" s="6">
        <v>2.68</v>
      </c>
      <c r="V132" s="6">
        <v>1.46</v>
      </c>
      <c r="W132" s="6">
        <v>2.41</v>
      </c>
      <c r="X132" s="6">
        <v>2.4900000000000002</v>
      </c>
      <c r="Y132" s="6">
        <v>1.89</v>
      </c>
      <c r="Z132" s="6">
        <v>1.43</v>
      </c>
      <c r="AA132" s="6">
        <v>1.79</v>
      </c>
      <c r="AB132" s="6">
        <v>4.34</v>
      </c>
      <c r="AC132" s="6">
        <v>3.96</v>
      </c>
      <c r="AD132" s="6">
        <v>4.1100000000000003</v>
      </c>
      <c r="AE132" s="6">
        <v>3.49</v>
      </c>
      <c r="AF132" s="6">
        <v>2.92</v>
      </c>
      <c r="AG132" s="6">
        <v>7.04</v>
      </c>
      <c r="AH132" s="6">
        <v>1.53</v>
      </c>
      <c r="AI132" s="6">
        <v>2.0299999999999998</v>
      </c>
      <c r="AJ132" s="6">
        <v>1.93</v>
      </c>
      <c r="AK132" s="6">
        <v>5.87</v>
      </c>
      <c r="AL132" s="6">
        <v>1.48</v>
      </c>
      <c r="AM132" s="6">
        <v>3.83</v>
      </c>
      <c r="AN132" s="6">
        <v>4.24</v>
      </c>
      <c r="AO132" s="6">
        <v>2.78</v>
      </c>
      <c r="AP132" s="6">
        <v>5.8</v>
      </c>
      <c r="AQ132" s="6">
        <v>6.04</v>
      </c>
      <c r="AR132" s="6">
        <v>5.25</v>
      </c>
      <c r="AS132" s="6">
        <v>1.68</v>
      </c>
      <c r="AT132" s="6">
        <v>1.79</v>
      </c>
      <c r="AU132" s="6">
        <v>2.52</v>
      </c>
      <c r="AV132" s="6">
        <v>3.55</v>
      </c>
      <c r="AW132" s="6">
        <v>1.51</v>
      </c>
      <c r="AX132" s="6">
        <v>2.48</v>
      </c>
      <c r="AY132" s="6">
        <v>5.18</v>
      </c>
      <c r="AZ132" s="6">
        <v>3.27</v>
      </c>
      <c r="BA132" s="6">
        <v>2.65</v>
      </c>
      <c r="BB132" s="6">
        <v>4.3099999999999996</v>
      </c>
      <c r="BC132" s="6">
        <f>3.53+0.43</f>
        <v>3.96</v>
      </c>
      <c r="BD132" s="6">
        <v>3.2036799999999999</v>
      </c>
      <c r="BE132" s="6">
        <v>2.7</v>
      </c>
      <c r="BF132" s="6">
        <v>3.33</v>
      </c>
      <c r="BG132" s="6">
        <v>4.51</v>
      </c>
      <c r="BH132" s="6">
        <v>5.23</v>
      </c>
      <c r="BI132" s="6">
        <v>3.59</v>
      </c>
      <c r="BJ132" s="6">
        <v>2.19</v>
      </c>
      <c r="BK132" s="6">
        <v>3.74</v>
      </c>
      <c r="BL132" s="6">
        <v>3.43</v>
      </c>
      <c r="BM132" s="6">
        <v>3.59</v>
      </c>
      <c r="BN132" s="6">
        <v>5.03</v>
      </c>
      <c r="BO132" s="6">
        <v>3.57</v>
      </c>
      <c r="BP132" s="6">
        <v>3.48</v>
      </c>
      <c r="BQ132" s="6">
        <v>2.76</v>
      </c>
      <c r="BR132" s="6">
        <v>3.53</v>
      </c>
      <c r="BS132" s="6">
        <v>4.84</v>
      </c>
      <c r="BT132" s="6">
        <v>4.93</v>
      </c>
      <c r="BU132" s="6">
        <v>6.71</v>
      </c>
      <c r="BV132" s="6">
        <v>4.32</v>
      </c>
      <c r="BW132" s="6">
        <v>3.54</v>
      </c>
      <c r="BX132" s="6">
        <v>3.49</v>
      </c>
      <c r="BY132" s="6">
        <v>4.25</v>
      </c>
      <c r="BZ132" s="6">
        <v>4.0599999999999996</v>
      </c>
      <c r="CA132" s="6">
        <v>4.3099999999999996</v>
      </c>
      <c r="CB132" s="6">
        <v>2.68</v>
      </c>
      <c r="CC132" s="6">
        <v>2.0699999999999998</v>
      </c>
      <c r="CD132" s="6">
        <v>6.4799999999999995</v>
      </c>
      <c r="CE132" s="6">
        <v>4.79</v>
      </c>
      <c r="CF132" s="6">
        <v>3.06</v>
      </c>
      <c r="CG132" s="6">
        <v>2.4700000000000002</v>
      </c>
      <c r="CH132" s="6"/>
    </row>
    <row r="133" spans="1:86" ht="15.75" customHeight="1" x14ac:dyDescent="0.25">
      <c r="A133" s="4">
        <v>131</v>
      </c>
      <c r="B133" s="2"/>
      <c r="C133" s="4">
        <v>11</v>
      </c>
      <c r="D133" s="6">
        <v>4.93</v>
      </c>
      <c r="E133" s="6">
        <v>3.93</v>
      </c>
      <c r="F133" s="6">
        <v>3.48</v>
      </c>
      <c r="G133" s="6">
        <v>5.28</v>
      </c>
      <c r="H133" s="6">
        <v>1.63</v>
      </c>
      <c r="I133" s="6">
        <v>3.53</v>
      </c>
      <c r="J133" s="6">
        <v>3.83</v>
      </c>
      <c r="K133" s="6">
        <v>2.13</v>
      </c>
      <c r="L133" s="6">
        <v>4.7300000000000004</v>
      </c>
      <c r="M133" s="6">
        <v>4.63</v>
      </c>
      <c r="N133" s="6">
        <v>4.83</v>
      </c>
      <c r="O133" s="6">
        <v>5.43</v>
      </c>
      <c r="P133" s="6">
        <v>3.23</v>
      </c>
      <c r="Q133" s="6">
        <v>2.73</v>
      </c>
      <c r="R133" s="6">
        <v>2.38</v>
      </c>
      <c r="S133" s="6">
        <v>4.08</v>
      </c>
      <c r="T133" s="6">
        <v>2.31</v>
      </c>
      <c r="U133" s="6">
        <v>2.83</v>
      </c>
      <c r="V133" s="6">
        <v>1.41</v>
      </c>
      <c r="W133" s="6">
        <v>2.5099999999999998</v>
      </c>
      <c r="X133" s="6">
        <v>2.71</v>
      </c>
      <c r="Y133" s="6">
        <v>1.93</v>
      </c>
      <c r="Z133" s="6">
        <v>1.45</v>
      </c>
      <c r="AA133" s="6">
        <v>1.8</v>
      </c>
      <c r="AB133" s="6">
        <v>4.63</v>
      </c>
      <c r="AC133" s="6">
        <v>3.97</v>
      </c>
      <c r="AD133" s="6">
        <v>4.1100000000000003</v>
      </c>
      <c r="AE133" s="6">
        <v>3.58</v>
      </c>
      <c r="AF133" s="6">
        <v>2.97</v>
      </c>
      <c r="AG133" s="6">
        <v>7.15</v>
      </c>
      <c r="AH133" s="6">
        <v>1.58</v>
      </c>
      <c r="AI133" s="6">
        <v>2.08</v>
      </c>
      <c r="AJ133" s="6">
        <v>2.0499999999999998</v>
      </c>
      <c r="AK133" s="6">
        <v>5.76</v>
      </c>
      <c r="AL133" s="6">
        <v>1.49</v>
      </c>
      <c r="AM133" s="6">
        <v>3.93</v>
      </c>
      <c r="AN133" s="6">
        <v>4.29</v>
      </c>
      <c r="AO133" s="6">
        <v>2.89</v>
      </c>
      <c r="AP133" s="6">
        <v>6.02</v>
      </c>
      <c r="AQ133" s="6">
        <v>6.16</v>
      </c>
      <c r="AR133" s="6">
        <v>5.41</v>
      </c>
      <c r="AS133" s="6">
        <v>1.81</v>
      </c>
      <c r="AT133" s="6">
        <v>1.81</v>
      </c>
      <c r="AU133" s="6">
        <v>2.61</v>
      </c>
      <c r="AV133" s="6">
        <v>3.51</v>
      </c>
      <c r="AW133" s="6">
        <v>1.58</v>
      </c>
      <c r="AX133" s="6">
        <v>2.5299999999999998</v>
      </c>
      <c r="AY133" s="6">
        <v>5.37</v>
      </c>
      <c r="AZ133" s="6">
        <v>3.33</v>
      </c>
      <c r="BA133" s="6">
        <v>2.65</v>
      </c>
      <c r="BB133" s="6">
        <v>4.47</v>
      </c>
      <c r="BC133" s="6">
        <f>3.73+0.43</f>
        <v>4.16</v>
      </c>
      <c r="BD133" s="6">
        <v>3.3256000000000001</v>
      </c>
      <c r="BE133" s="6">
        <v>2.78</v>
      </c>
      <c r="BF133" s="6">
        <v>3.3</v>
      </c>
      <c r="BG133" s="6">
        <v>4.51</v>
      </c>
      <c r="BH133" s="6">
        <v>5.38</v>
      </c>
      <c r="BI133" s="6">
        <v>3.59</v>
      </c>
      <c r="BJ133" s="6">
        <v>2.2599999999999998</v>
      </c>
      <c r="BK133" s="6">
        <v>3.68</v>
      </c>
      <c r="BL133" s="6">
        <v>3.53</v>
      </c>
      <c r="BM133" s="6">
        <v>3.73</v>
      </c>
      <c r="BN133" s="6">
        <v>5.0599999999999996</v>
      </c>
      <c r="BO133" s="6">
        <v>3.75</v>
      </c>
      <c r="BP133" s="6">
        <v>3.56</v>
      </c>
      <c r="BQ133" s="6">
        <v>2.79</v>
      </c>
      <c r="BR133" s="6">
        <v>3.5</v>
      </c>
      <c r="BS133" s="6">
        <v>4.87</v>
      </c>
      <c r="BT133" s="6">
        <v>4.97</v>
      </c>
      <c r="BU133" s="6">
        <v>7.12</v>
      </c>
      <c r="BV133" s="6">
        <v>4.3499999999999996</v>
      </c>
      <c r="BW133" s="6">
        <v>3.5</v>
      </c>
      <c r="BX133" s="6">
        <v>3.49</v>
      </c>
      <c r="BY133" s="6">
        <v>4.3499999999999996</v>
      </c>
      <c r="BZ133" s="6">
        <v>4.18</v>
      </c>
      <c r="CA133" s="6">
        <v>4.42</v>
      </c>
      <c r="CB133" s="6">
        <v>2.83</v>
      </c>
      <c r="CC133" s="6">
        <v>2</v>
      </c>
      <c r="CD133" s="6">
        <v>6.6499999999999995</v>
      </c>
      <c r="CE133" s="6">
        <v>5.29</v>
      </c>
      <c r="CF133" s="6">
        <v>3.1</v>
      </c>
      <c r="CG133" s="6">
        <v>2.6</v>
      </c>
      <c r="CH133" s="6"/>
    </row>
    <row r="134" spans="1:86" ht="15.75" customHeight="1" x14ac:dyDescent="0.25">
      <c r="A134" s="4">
        <v>132</v>
      </c>
      <c r="B134" s="2"/>
      <c r="C134" s="4">
        <v>12</v>
      </c>
      <c r="D134" s="6">
        <v>5.13</v>
      </c>
      <c r="E134" s="6">
        <v>4.03</v>
      </c>
      <c r="F134" s="6">
        <v>3.63</v>
      </c>
      <c r="G134" s="6">
        <v>5.38</v>
      </c>
      <c r="H134" s="6">
        <v>1.68</v>
      </c>
      <c r="I134" s="6">
        <v>3.63</v>
      </c>
      <c r="J134" s="6">
        <v>3.53</v>
      </c>
      <c r="K134" s="6">
        <v>2.1800000000000002</v>
      </c>
      <c r="L134" s="6">
        <v>4.7300000000000004</v>
      </c>
      <c r="M134" s="6">
        <v>4.83</v>
      </c>
      <c r="N134" s="6">
        <v>4.93</v>
      </c>
      <c r="O134" s="6">
        <v>5.41</v>
      </c>
      <c r="P134" s="6">
        <v>3.28</v>
      </c>
      <c r="Q134" s="6">
        <v>2.79</v>
      </c>
      <c r="R134" s="6">
        <v>2.58</v>
      </c>
      <c r="S134" s="6">
        <v>4.03</v>
      </c>
      <c r="T134" s="6">
        <v>2.41</v>
      </c>
      <c r="U134" s="6">
        <v>2.88</v>
      </c>
      <c r="V134" s="6">
        <v>1.49</v>
      </c>
      <c r="W134" s="6">
        <v>2.73</v>
      </c>
      <c r="X134" s="6">
        <v>3.03</v>
      </c>
      <c r="Y134" s="6">
        <v>2.0099999999999998</v>
      </c>
      <c r="Z134" s="6">
        <v>1.53</v>
      </c>
      <c r="AA134" s="6">
        <v>1.82</v>
      </c>
      <c r="AB134" s="6">
        <v>4.78</v>
      </c>
      <c r="AC134" s="6">
        <v>3.97</v>
      </c>
      <c r="AD134" s="6">
        <v>4.03</v>
      </c>
      <c r="AE134" s="6">
        <v>3.73</v>
      </c>
      <c r="AF134" s="6">
        <v>3.04</v>
      </c>
      <c r="AG134" s="6">
        <v>7.27</v>
      </c>
      <c r="AH134" s="6">
        <v>1.66</v>
      </c>
      <c r="AI134" s="6">
        <v>2.09</v>
      </c>
      <c r="AJ134" s="6">
        <v>2.17</v>
      </c>
      <c r="AK134" s="6">
        <v>5.85</v>
      </c>
      <c r="AL134" s="6">
        <v>1.55</v>
      </c>
      <c r="AM134" s="6">
        <v>3.98</v>
      </c>
      <c r="AN134" s="6">
        <v>4.38</v>
      </c>
      <c r="AO134" s="6">
        <v>2.96</v>
      </c>
      <c r="AP134" s="6">
        <v>6.22</v>
      </c>
      <c r="AQ134" s="6">
        <v>6.04</v>
      </c>
      <c r="AR134" s="6">
        <v>5.57</v>
      </c>
      <c r="AS134" s="6">
        <v>1.92</v>
      </c>
      <c r="AT134" s="6">
        <v>1.79</v>
      </c>
      <c r="AU134" s="6">
        <v>2.66</v>
      </c>
      <c r="AV134" s="6">
        <v>3.53</v>
      </c>
      <c r="AW134" s="6">
        <v>1.64</v>
      </c>
      <c r="AX134" s="6">
        <v>2.62</v>
      </c>
      <c r="AY134" s="6">
        <v>5.53</v>
      </c>
      <c r="AZ134" s="6">
        <v>3.42</v>
      </c>
      <c r="BA134" s="6">
        <v>2.75</v>
      </c>
      <c r="BB134" s="6">
        <v>4.58</v>
      </c>
      <c r="BC134" s="6">
        <f>3.96+0.43</f>
        <v>4.3899999999999997</v>
      </c>
      <c r="BD134" s="6">
        <v>3.4170400000000001</v>
      </c>
      <c r="BE134" s="6">
        <v>2.87</v>
      </c>
      <c r="BF134" s="6">
        <v>3.19</v>
      </c>
      <c r="BG134" s="6">
        <v>4.66</v>
      </c>
      <c r="BH134" s="6">
        <v>5.43</v>
      </c>
      <c r="BI134" s="6">
        <v>3.67</v>
      </c>
      <c r="BJ134" s="6">
        <v>2.35</v>
      </c>
      <c r="BK134" s="6">
        <v>3.68</v>
      </c>
      <c r="BL134" s="6">
        <v>3.58</v>
      </c>
      <c r="BM134" s="6">
        <v>3.86</v>
      </c>
      <c r="BN134" s="6">
        <v>5.07</v>
      </c>
      <c r="BO134" s="6">
        <v>3.94</v>
      </c>
      <c r="BP134" s="6">
        <v>3.7</v>
      </c>
      <c r="BQ134" s="6">
        <v>2.89</v>
      </c>
      <c r="BR134" s="6">
        <v>3.55</v>
      </c>
      <c r="BS134" s="6">
        <v>4.92</v>
      </c>
      <c r="BT134" s="6">
        <v>5.09</v>
      </c>
      <c r="BU134" s="6">
        <v>7.47</v>
      </c>
      <c r="BV134" s="6">
        <v>4.47</v>
      </c>
      <c r="BW134" s="6">
        <v>3.5900000000000003</v>
      </c>
      <c r="BX134" s="6">
        <v>3.49</v>
      </c>
      <c r="BY134" s="6">
        <v>4.5299999999999994</v>
      </c>
      <c r="BZ134" s="6">
        <v>4.33</v>
      </c>
      <c r="CA134" s="6">
        <v>4.68</v>
      </c>
      <c r="CB134" s="6">
        <v>2.93</v>
      </c>
      <c r="CC134" s="6">
        <v>1.97</v>
      </c>
      <c r="CD134" s="6">
        <v>6.88</v>
      </c>
      <c r="CE134" s="6">
        <v>5.4499999999999993</v>
      </c>
      <c r="CF134" s="6">
        <v>3.07</v>
      </c>
      <c r="CG134" s="6">
        <v>2.72</v>
      </c>
      <c r="CH134" s="6"/>
    </row>
    <row r="135" spans="1:86" ht="15.75" customHeight="1" x14ac:dyDescent="0.25">
      <c r="A135" s="4">
        <v>133</v>
      </c>
      <c r="B135" s="2"/>
      <c r="C135" s="4">
        <v>13</v>
      </c>
      <c r="D135" s="6">
        <v>5.43</v>
      </c>
      <c r="E135" s="6">
        <v>4.18</v>
      </c>
      <c r="F135" s="6">
        <v>3.73</v>
      </c>
      <c r="G135" s="6">
        <v>5.48</v>
      </c>
      <c r="H135" s="6">
        <v>1.73</v>
      </c>
      <c r="I135" s="6">
        <v>3.63</v>
      </c>
      <c r="J135" s="6">
        <v>3.68</v>
      </c>
      <c r="K135" s="6">
        <v>2.4300000000000002</v>
      </c>
      <c r="L135" s="6">
        <v>4.83</v>
      </c>
      <c r="M135" s="6">
        <v>4.9800000000000004</v>
      </c>
      <c r="N135" s="6">
        <v>5.13</v>
      </c>
      <c r="O135" s="6">
        <v>5.31</v>
      </c>
      <c r="P135" s="6">
        <v>3.33</v>
      </c>
      <c r="Q135" s="6">
        <v>2.83</v>
      </c>
      <c r="R135" s="6">
        <v>2.78</v>
      </c>
      <c r="S135" s="6">
        <v>4.08</v>
      </c>
      <c r="T135" s="6">
        <v>2.44</v>
      </c>
      <c r="U135" s="6">
        <v>2.98</v>
      </c>
      <c r="V135" s="6">
        <v>1.51</v>
      </c>
      <c r="W135" s="6">
        <v>2.78</v>
      </c>
      <c r="X135" s="6">
        <v>3.1</v>
      </c>
      <c r="Y135" s="6">
        <v>2.06</v>
      </c>
      <c r="Z135" s="6">
        <v>1.63</v>
      </c>
      <c r="AA135" s="6">
        <v>1.85</v>
      </c>
      <c r="AB135" s="6">
        <v>4.9000000000000004</v>
      </c>
      <c r="AC135" s="6">
        <v>3.93</v>
      </c>
      <c r="AD135" s="6">
        <v>4.09</v>
      </c>
      <c r="AE135" s="6">
        <v>3.93</v>
      </c>
      <c r="AF135" s="6">
        <v>3.12</v>
      </c>
      <c r="AG135" s="6">
        <v>7.35</v>
      </c>
      <c r="AH135" s="6">
        <v>1.73</v>
      </c>
      <c r="AI135" s="6">
        <v>2.12</v>
      </c>
      <c r="AJ135" s="6">
        <v>2.2999999999999998</v>
      </c>
      <c r="AK135" s="6">
        <v>5.88</v>
      </c>
      <c r="AL135" s="6">
        <v>1.55</v>
      </c>
      <c r="AM135" s="6">
        <v>4.01</v>
      </c>
      <c r="AN135" s="6">
        <v>4.33</v>
      </c>
      <c r="AO135" s="6">
        <v>3.11</v>
      </c>
      <c r="AP135" s="6">
        <v>6.3</v>
      </c>
      <c r="AQ135" s="6">
        <v>6.1</v>
      </c>
      <c r="AR135" s="6">
        <v>5.69</v>
      </c>
      <c r="AS135" s="6">
        <v>2.02</v>
      </c>
      <c r="AT135" s="6">
        <v>1.79</v>
      </c>
      <c r="AU135" s="6">
        <v>2.69</v>
      </c>
      <c r="AV135" s="6">
        <v>3.67</v>
      </c>
      <c r="AW135" s="6">
        <v>1.69</v>
      </c>
      <c r="AX135" s="6">
        <v>2.65</v>
      </c>
      <c r="AY135" s="6">
        <v>5.61</v>
      </c>
      <c r="AZ135" s="6">
        <v>3.28</v>
      </c>
      <c r="BA135" s="6">
        <v>2.82</v>
      </c>
      <c r="BB135" s="6">
        <v>4.6500000000000004</v>
      </c>
      <c r="BC135" s="6">
        <f>4.08+0.43</f>
        <v>4.51</v>
      </c>
      <c r="BD135" s="6">
        <v>3.4780000000000002</v>
      </c>
      <c r="BE135" s="6">
        <v>2.96</v>
      </c>
      <c r="BF135" s="6">
        <v>3.19</v>
      </c>
      <c r="BG135" s="6">
        <v>4.66</v>
      </c>
      <c r="BH135" s="6">
        <v>5.48</v>
      </c>
      <c r="BI135" s="6">
        <v>3.67</v>
      </c>
      <c r="BJ135" s="6">
        <v>2.44</v>
      </c>
      <c r="BK135" s="6">
        <v>3.62</v>
      </c>
      <c r="BL135" s="6">
        <v>3.71</v>
      </c>
      <c r="BM135" s="6">
        <v>3.99</v>
      </c>
      <c r="BN135" s="6">
        <v>5.0999999999999996</v>
      </c>
      <c r="BO135" s="6">
        <v>4.05</v>
      </c>
      <c r="BP135" s="6">
        <v>3.75</v>
      </c>
      <c r="BQ135" s="6">
        <v>3.01</v>
      </c>
      <c r="BR135" s="6">
        <v>3.56</v>
      </c>
      <c r="BS135" s="6">
        <v>4.9400000000000004</v>
      </c>
      <c r="BT135" s="6">
        <v>5.2</v>
      </c>
      <c r="BU135" s="6">
        <v>7.7399999999999993</v>
      </c>
      <c r="BV135" s="6">
        <v>4.5699999999999994</v>
      </c>
      <c r="BW135" s="6">
        <v>3.68</v>
      </c>
      <c r="BX135" s="6">
        <v>3.33</v>
      </c>
      <c r="BY135" s="6">
        <v>4.8099999999999996</v>
      </c>
      <c r="BZ135" s="6">
        <v>4.5699999999999994</v>
      </c>
      <c r="CA135" s="6">
        <v>4.88</v>
      </c>
      <c r="CB135" s="6">
        <v>2.98</v>
      </c>
      <c r="CC135" s="6">
        <v>1.98</v>
      </c>
      <c r="CD135" s="6">
        <v>6.93</v>
      </c>
      <c r="CE135" s="6">
        <v>5.47</v>
      </c>
      <c r="CF135" s="6">
        <v>3.05</v>
      </c>
      <c r="CG135" s="6">
        <v>2.9</v>
      </c>
      <c r="CH135" s="6"/>
    </row>
    <row r="136" spans="1:86" ht="15.75" customHeight="1" x14ac:dyDescent="0.25">
      <c r="A136" s="4">
        <v>134</v>
      </c>
      <c r="B136" s="2"/>
      <c r="C136" s="4">
        <v>14</v>
      </c>
      <c r="D136" s="6">
        <v>5.68</v>
      </c>
      <c r="E136" s="6">
        <v>4.2300000000000004</v>
      </c>
      <c r="F136" s="6">
        <v>3.88</v>
      </c>
      <c r="G136" s="6">
        <v>5.63</v>
      </c>
      <c r="H136" s="6">
        <v>1.73</v>
      </c>
      <c r="I136" s="6">
        <v>3.73</v>
      </c>
      <c r="J136" s="6">
        <v>3.76</v>
      </c>
      <c r="K136" s="6">
        <v>2.68</v>
      </c>
      <c r="L136" s="6">
        <v>4.93</v>
      </c>
      <c r="M136" s="6">
        <v>5.08</v>
      </c>
      <c r="N136" s="6">
        <v>5.38</v>
      </c>
      <c r="O136" s="6">
        <v>5.23</v>
      </c>
      <c r="P136" s="6">
        <v>3.43</v>
      </c>
      <c r="Q136" s="6">
        <v>2.83</v>
      </c>
      <c r="R136" s="6">
        <v>2.83</v>
      </c>
      <c r="S136" s="6">
        <v>4.18</v>
      </c>
      <c r="T136" s="6">
        <v>2.5099999999999998</v>
      </c>
      <c r="U136" s="6">
        <v>3.03</v>
      </c>
      <c r="V136" s="6">
        <v>1.55</v>
      </c>
      <c r="W136" s="6">
        <v>2.91</v>
      </c>
      <c r="X136" s="6">
        <v>3.47</v>
      </c>
      <c r="Y136" s="6">
        <v>2.06</v>
      </c>
      <c r="Z136" s="6">
        <v>1.68</v>
      </c>
      <c r="AA136" s="6">
        <v>1.91</v>
      </c>
      <c r="AB136" s="6">
        <v>4.97</v>
      </c>
      <c r="AC136" s="6">
        <v>3.91</v>
      </c>
      <c r="AD136" s="6">
        <v>4.2300000000000004</v>
      </c>
      <c r="AE136" s="6">
        <v>4.17</v>
      </c>
      <c r="AF136" s="6">
        <v>3.18</v>
      </c>
      <c r="AG136" s="6">
        <v>7.4</v>
      </c>
      <c r="AH136" s="6">
        <v>1.74</v>
      </c>
      <c r="AI136" s="6">
        <v>2.3199999999999998</v>
      </c>
      <c r="AJ136" s="6">
        <v>2.29</v>
      </c>
      <c r="AK136" s="6">
        <v>6.03</v>
      </c>
      <c r="AL136" s="6">
        <v>1.6</v>
      </c>
      <c r="AM136" s="6">
        <v>4.04</v>
      </c>
      <c r="AN136" s="6">
        <v>4.1500000000000004</v>
      </c>
      <c r="AO136" s="6">
        <v>3.27</v>
      </c>
      <c r="AP136" s="6">
        <v>6.16</v>
      </c>
      <c r="AQ136" s="6">
        <v>6.12</v>
      </c>
      <c r="AR136" s="6">
        <v>5.83</v>
      </c>
      <c r="AS136" s="6">
        <v>2.08</v>
      </c>
      <c r="AT136" s="6">
        <v>1.85</v>
      </c>
      <c r="AU136" s="6">
        <v>2.69</v>
      </c>
      <c r="AV136" s="6">
        <v>3.77</v>
      </c>
      <c r="AW136" s="6">
        <v>1.7</v>
      </c>
      <c r="AX136" s="6">
        <v>2.72</v>
      </c>
      <c r="AY136" s="6">
        <v>5.65</v>
      </c>
      <c r="AZ136" s="6">
        <v>3.47</v>
      </c>
      <c r="BA136" s="6">
        <v>2.85</v>
      </c>
      <c r="BB136" s="6">
        <v>4.79</v>
      </c>
      <c r="BC136" s="6">
        <f>4.17+0.43</f>
        <v>4.5999999999999996</v>
      </c>
      <c r="BD136" s="6">
        <v>3.4780000000000002</v>
      </c>
      <c r="BE136" s="6">
        <v>3.11</v>
      </c>
      <c r="BF136" s="6">
        <v>3.23</v>
      </c>
      <c r="BG136" s="6">
        <v>4.68</v>
      </c>
      <c r="BH136" s="6">
        <v>5.49</v>
      </c>
      <c r="BI136" s="6">
        <v>3.66</v>
      </c>
      <c r="BJ136" s="6">
        <v>2.59</v>
      </c>
      <c r="BK136" s="6">
        <v>3.83</v>
      </c>
      <c r="BL136" s="6">
        <v>3.89</v>
      </c>
      <c r="BM136" s="6">
        <v>4.09</v>
      </c>
      <c r="BN136" s="6">
        <v>5.22</v>
      </c>
      <c r="BO136" s="6">
        <v>4.18</v>
      </c>
      <c r="BP136" s="6">
        <v>3.82</v>
      </c>
      <c r="BQ136" s="6">
        <v>3.15</v>
      </c>
      <c r="BR136" s="6">
        <v>3.6</v>
      </c>
      <c r="BS136" s="6">
        <v>5</v>
      </c>
      <c r="BT136" s="6">
        <v>5.33</v>
      </c>
      <c r="BU136" s="6">
        <v>7.91</v>
      </c>
      <c r="BV136" s="6">
        <v>4.6899999999999995</v>
      </c>
      <c r="BW136" s="6">
        <v>3.83</v>
      </c>
      <c r="BX136" s="6">
        <v>3.39</v>
      </c>
      <c r="BY136" s="6">
        <v>4.9799999999999995</v>
      </c>
      <c r="BZ136" s="6">
        <v>4.75</v>
      </c>
      <c r="CA136" s="6">
        <v>4.9799999999999995</v>
      </c>
      <c r="CB136" s="6">
        <v>3.0900000000000003</v>
      </c>
      <c r="CC136" s="6">
        <v>1.96</v>
      </c>
      <c r="CD136" s="6">
        <v>7.05</v>
      </c>
      <c r="CE136" s="6">
        <v>5.68</v>
      </c>
      <c r="CF136" s="6">
        <v>2.94</v>
      </c>
      <c r="CG136" s="6">
        <v>3.09</v>
      </c>
      <c r="CH136" s="6"/>
    </row>
    <row r="137" spans="1:86" ht="15.75" customHeight="1" x14ac:dyDescent="0.25">
      <c r="A137" s="4">
        <v>135</v>
      </c>
      <c r="B137" s="2"/>
      <c r="C137" s="4">
        <v>15</v>
      </c>
      <c r="D137" s="6">
        <v>5.93</v>
      </c>
      <c r="E137" s="6">
        <v>4.33</v>
      </c>
      <c r="F137" s="6">
        <v>4.03</v>
      </c>
      <c r="G137" s="6">
        <v>5.73</v>
      </c>
      <c r="H137" s="6">
        <v>1.78</v>
      </c>
      <c r="I137" s="6">
        <v>3.93</v>
      </c>
      <c r="J137" s="6">
        <v>3.83</v>
      </c>
      <c r="K137" s="6">
        <v>2.93</v>
      </c>
      <c r="L137" s="6">
        <v>5.03</v>
      </c>
      <c r="M137" s="6">
        <v>5.13</v>
      </c>
      <c r="N137" s="6">
        <v>5.63</v>
      </c>
      <c r="O137" s="6">
        <v>5.13</v>
      </c>
      <c r="P137" s="6">
        <v>3.43</v>
      </c>
      <c r="Q137" s="6">
        <v>2.83</v>
      </c>
      <c r="R137" s="6">
        <v>2.98</v>
      </c>
      <c r="S137" s="6">
        <v>4.38</v>
      </c>
      <c r="T137" s="6">
        <v>2.61</v>
      </c>
      <c r="U137" s="6">
        <v>3.21</v>
      </c>
      <c r="V137" s="6">
        <v>1.59</v>
      </c>
      <c r="W137" s="6">
        <v>2.93</v>
      </c>
      <c r="X137" s="6">
        <v>3.62</v>
      </c>
      <c r="Y137" s="6">
        <v>2.06</v>
      </c>
      <c r="Z137" s="6">
        <v>1.81</v>
      </c>
      <c r="AA137" s="6">
        <v>1.96</v>
      </c>
      <c r="AB137" s="6">
        <v>5.0199999999999996</v>
      </c>
      <c r="AC137" s="6">
        <v>3.9</v>
      </c>
      <c r="AD137" s="6">
        <v>4.3099999999999996</v>
      </c>
      <c r="AE137" s="6">
        <v>4.3099999999999996</v>
      </c>
      <c r="AF137" s="6">
        <v>3.25</v>
      </c>
      <c r="AG137" s="6">
        <v>7.48</v>
      </c>
      <c r="AH137" s="6">
        <v>1.71</v>
      </c>
      <c r="AI137" s="6">
        <v>2.39</v>
      </c>
      <c r="AJ137" s="6">
        <v>2.34</v>
      </c>
      <c r="AK137" s="6">
        <v>6.03</v>
      </c>
      <c r="AL137" s="6">
        <v>1.67</v>
      </c>
      <c r="AM137" s="6">
        <v>4.08</v>
      </c>
      <c r="AN137" s="6">
        <v>4.07</v>
      </c>
      <c r="AO137" s="6">
        <v>3.43</v>
      </c>
      <c r="AP137" s="6">
        <v>6.33</v>
      </c>
      <c r="AQ137" s="6">
        <v>6.14</v>
      </c>
      <c r="AR137" s="6">
        <v>5.77</v>
      </c>
      <c r="AS137" s="6">
        <v>2.12</v>
      </c>
      <c r="AT137" s="6">
        <v>1.98</v>
      </c>
      <c r="AU137" s="6">
        <v>2.69</v>
      </c>
      <c r="AV137" s="6">
        <v>3.89</v>
      </c>
      <c r="AW137" s="6">
        <v>1.74</v>
      </c>
      <c r="AX137" s="6">
        <v>2.81</v>
      </c>
      <c r="AY137" s="6">
        <v>5.78</v>
      </c>
      <c r="AZ137" s="6">
        <v>3.64</v>
      </c>
      <c r="BA137" s="6">
        <v>2.87</v>
      </c>
      <c r="BB137" s="6">
        <v>4.8899999999999997</v>
      </c>
      <c r="BC137" s="6">
        <f t="shared" ref="BC137:BC138" si="4">4.19+0.43</f>
        <v>4.62</v>
      </c>
      <c r="BD137" s="6">
        <v>3.4475199999999999</v>
      </c>
      <c r="BE137" s="6">
        <v>3.42</v>
      </c>
      <c r="BF137" s="6">
        <v>3.29</v>
      </c>
      <c r="BG137" s="6">
        <v>4.8099999999999996</v>
      </c>
      <c r="BH137" s="6">
        <v>5.53</v>
      </c>
      <c r="BI137" s="6">
        <v>3.66</v>
      </c>
      <c r="BJ137" s="6">
        <v>2.9</v>
      </c>
      <c r="BK137" s="6">
        <v>3.86</v>
      </c>
      <c r="BL137" s="6">
        <v>4.04</v>
      </c>
      <c r="BM137" s="6">
        <v>4.25</v>
      </c>
      <c r="BN137" s="6">
        <v>5.35</v>
      </c>
      <c r="BO137" s="6">
        <v>4.33</v>
      </c>
      <c r="BP137" s="6">
        <v>4.01</v>
      </c>
      <c r="BQ137" s="6">
        <v>3.13</v>
      </c>
      <c r="BR137" s="6">
        <v>3.64</v>
      </c>
      <c r="BS137" s="6">
        <v>5.0599999999999996</v>
      </c>
      <c r="BT137" s="6">
        <v>5.49</v>
      </c>
      <c r="BU137" s="6">
        <v>7.92</v>
      </c>
      <c r="BV137" s="6">
        <v>4.7799999999999994</v>
      </c>
      <c r="BW137" s="6">
        <v>3.9200000000000004</v>
      </c>
      <c r="BX137" s="6">
        <v>3.41</v>
      </c>
      <c r="BY137" s="6">
        <v>5.05</v>
      </c>
      <c r="BZ137" s="6">
        <v>5.08</v>
      </c>
      <c r="CA137" s="6">
        <v>5.1999999999999993</v>
      </c>
      <c r="CB137" s="6">
        <v>3.19</v>
      </c>
      <c r="CC137" s="6">
        <v>1.99</v>
      </c>
      <c r="CD137" s="6">
        <v>7.1499999999999995</v>
      </c>
      <c r="CE137" s="6">
        <v>5.93</v>
      </c>
      <c r="CF137" s="6">
        <v>3.03</v>
      </c>
      <c r="CG137" s="6">
        <v>3.29</v>
      </c>
      <c r="CH137" s="6"/>
    </row>
    <row r="138" spans="1:86" ht="15.75" customHeight="1" x14ac:dyDescent="0.25">
      <c r="A138" s="4">
        <v>136</v>
      </c>
      <c r="B138" s="2"/>
      <c r="C138" s="4">
        <v>16</v>
      </c>
      <c r="D138" s="6">
        <v>6.33</v>
      </c>
      <c r="E138" s="6">
        <v>4.53</v>
      </c>
      <c r="F138" s="6">
        <v>4.2300000000000004</v>
      </c>
      <c r="G138" s="6">
        <v>5.83</v>
      </c>
      <c r="H138" s="6">
        <v>1.88</v>
      </c>
      <c r="I138" s="6">
        <v>4.13</v>
      </c>
      <c r="J138" s="6">
        <v>3.93</v>
      </c>
      <c r="K138" s="6">
        <v>3.13</v>
      </c>
      <c r="L138" s="6">
        <v>5.13</v>
      </c>
      <c r="M138" s="6">
        <v>5.18</v>
      </c>
      <c r="N138" s="6">
        <v>5.88</v>
      </c>
      <c r="O138" s="6">
        <v>5.23</v>
      </c>
      <c r="P138" s="6">
        <v>3.53</v>
      </c>
      <c r="Q138" s="6">
        <v>3.58</v>
      </c>
      <c r="R138" s="6">
        <v>3.43</v>
      </c>
      <c r="S138" s="6">
        <v>4.58</v>
      </c>
      <c r="T138" s="6">
        <v>2.71</v>
      </c>
      <c r="U138" s="6">
        <v>3.38</v>
      </c>
      <c r="V138" s="6">
        <v>1.59</v>
      </c>
      <c r="W138" s="6">
        <v>2.98</v>
      </c>
      <c r="X138" s="6">
        <v>3.71</v>
      </c>
      <c r="Y138" s="6">
        <v>2.09</v>
      </c>
      <c r="Z138" s="6">
        <v>1.93</v>
      </c>
      <c r="AA138" s="6">
        <v>2.08</v>
      </c>
      <c r="AB138" s="6">
        <v>5.09</v>
      </c>
      <c r="AC138" s="6">
        <v>3.86</v>
      </c>
      <c r="AD138" s="6">
        <v>4.38</v>
      </c>
      <c r="AE138" s="6">
        <v>4.67</v>
      </c>
      <c r="AF138" s="6">
        <v>3.33</v>
      </c>
      <c r="AG138" s="6">
        <v>7.5</v>
      </c>
      <c r="AH138" s="6">
        <v>1.7</v>
      </c>
      <c r="AI138" s="6">
        <v>2.48</v>
      </c>
      <c r="AJ138" s="6">
        <v>2.44</v>
      </c>
      <c r="AK138" s="6">
        <v>6.16</v>
      </c>
      <c r="AL138" s="6">
        <v>1.67</v>
      </c>
      <c r="AM138" s="6">
        <v>4.13</v>
      </c>
      <c r="AN138" s="6">
        <v>4.07</v>
      </c>
      <c r="AO138" s="6">
        <v>3.59</v>
      </c>
      <c r="AP138" s="6">
        <v>6.32</v>
      </c>
      <c r="AQ138" s="6">
        <v>6.2</v>
      </c>
      <c r="AR138" s="6">
        <v>5.66</v>
      </c>
      <c r="AS138" s="6">
        <v>2.23</v>
      </c>
      <c r="AT138" s="6">
        <v>2.08</v>
      </c>
      <c r="AU138" s="6">
        <v>2.76</v>
      </c>
      <c r="AV138" s="6">
        <v>3.99</v>
      </c>
      <c r="AW138" s="6">
        <v>1.8</v>
      </c>
      <c r="AX138" s="6">
        <v>3.02</v>
      </c>
      <c r="AY138" s="6">
        <v>5.65</v>
      </c>
      <c r="AZ138" s="6">
        <v>3.67</v>
      </c>
      <c r="BA138" s="6">
        <v>2.9</v>
      </c>
      <c r="BB138" s="6">
        <v>4.95</v>
      </c>
      <c r="BC138" s="6">
        <f t="shared" si="4"/>
        <v>4.62</v>
      </c>
      <c r="BD138" s="6">
        <v>3.59992</v>
      </c>
      <c r="BE138" s="6">
        <v>3.48</v>
      </c>
      <c r="BF138" s="6">
        <v>3.41</v>
      </c>
      <c r="BG138" s="6">
        <v>4.9400000000000004</v>
      </c>
      <c r="BH138" s="6">
        <v>5.55</v>
      </c>
      <c r="BI138" s="6">
        <v>3.87</v>
      </c>
      <c r="BJ138" s="6">
        <v>2.96</v>
      </c>
      <c r="BK138" s="6">
        <v>4.01</v>
      </c>
      <c r="BL138" s="6">
        <v>4.1900000000000004</v>
      </c>
      <c r="BM138" s="6">
        <v>4.41</v>
      </c>
      <c r="BN138" s="6">
        <v>5.26</v>
      </c>
      <c r="BO138" s="6">
        <v>4.5199999999999996</v>
      </c>
      <c r="BP138" s="6">
        <v>4.17</v>
      </c>
      <c r="BQ138" s="6">
        <v>3.24</v>
      </c>
      <c r="BR138" s="6">
        <v>3.73</v>
      </c>
      <c r="BS138" s="6">
        <v>5.12</v>
      </c>
      <c r="BT138" s="6">
        <v>5.69</v>
      </c>
      <c r="BU138" s="6">
        <v>7.89</v>
      </c>
      <c r="BV138" s="6">
        <v>4.8</v>
      </c>
      <c r="BW138" s="6">
        <v>4.01</v>
      </c>
      <c r="BX138" s="6">
        <v>3.3000000000000003</v>
      </c>
      <c r="BY138" s="6">
        <v>5.13</v>
      </c>
      <c r="BZ138" s="6">
        <v>5.2299999999999995</v>
      </c>
      <c r="CA138" s="6">
        <v>5.38</v>
      </c>
      <c r="CB138" s="6">
        <v>3.22</v>
      </c>
      <c r="CC138" s="6">
        <v>2.15</v>
      </c>
      <c r="CD138" s="6">
        <v>7.27</v>
      </c>
      <c r="CE138" s="6">
        <v>6.1</v>
      </c>
      <c r="CF138" s="6">
        <v>3.09</v>
      </c>
      <c r="CG138" s="6">
        <v>3.47</v>
      </c>
      <c r="CH138" s="6"/>
    </row>
    <row r="139" spans="1:86" ht="15.75" customHeight="1" x14ac:dyDescent="0.25">
      <c r="A139" s="4">
        <v>137</v>
      </c>
      <c r="B139" s="2"/>
      <c r="C139" s="4">
        <v>17</v>
      </c>
      <c r="D139" s="6">
        <v>6.53</v>
      </c>
      <c r="E139" s="6">
        <v>4.63</v>
      </c>
      <c r="F139" s="6">
        <v>4.28</v>
      </c>
      <c r="G139" s="6">
        <v>6.03</v>
      </c>
      <c r="H139" s="6">
        <v>1.93</v>
      </c>
      <c r="I139" s="6">
        <v>4.33</v>
      </c>
      <c r="J139" s="6">
        <v>4.03</v>
      </c>
      <c r="K139" s="6">
        <v>3.73</v>
      </c>
      <c r="L139" s="6">
        <v>5.13</v>
      </c>
      <c r="M139" s="6">
        <v>5.21</v>
      </c>
      <c r="N139" s="6">
        <v>6.18</v>
      </c>
      <c r="O139" s="6">
        <v>5.28</v>
      </c>
      <c r="P139" s="6">
        <v>3.63</v>
      </c>
      <c r="Q139" s="6">
        <v>3.95</v>
      </c>
      <c r="R139" s="6">
        <v>3.83</v>
      </c>
      <c r="S139" s="6">
        <v>4.7300000000000004</v>
      </c>
      <c r="T139" s="6">
        <v>2.81</v>
      </c>
      <c r="U139" s="6">
        <v>3.48</v>
      </c>
      <c r="V139" s="6">
        <v>1.59</v>
      </c>
      <c r="W139" s="6">
        <v>3.06</v>
      </c>
      <c r="X139" s="6">
        <v>3.84</v>
      </c>
      <c r="Y139" s="6">
        <v>2.09</v>
      </c>
      <c r="Z139" s="6">
        <v>2.0299999999999998</v>
      </c>
      <c r="AA139" s="6">
        <v>2.14</v>
      </c>
      <c r="AB139" s="6">
        <v>5.14</v>
      </c>
      <c r="AC139" s="6">
        <v>3.85</v>
      </c>
      <c r="AD139" s="6">
        <v>4.4400000000000004</v>
      </c>
      <c r="AE139" s="6">
        <v>4.88</v>
      </c>
      <c r="AF139" s="6">
        <v>3.81</v>
      </c>
      <c r="AG139" s="6">
        <v>7.52</v>
      </c>
      <c r="AH139" s="6">
        <v>1.71</v>
      </c>
      <c r="AI139" s="6">
        <v>2.61</v>
      </c>
      <c r="AJ139" s="6">
        <v>2.5499999999999998</v>
      </c>
      <c r="AK139" s="6">
        <v>6.25</v>
      </c>
      <c r="AL139" s="6">
        <v>1.72</v>
      </c>
      <c r="AM139" s="6">
        <v>4.25</v>
      </c>
      <c r="AN139" s="6">
        <v>4.1100000000000003</v>
      </c>
      <c r="AO139" s="6">
        <v>3.75</v>
      </c>
      <c r="AP139" s="6">
        <v>6.5</v>
      </c>
      <c r="AQ139" s="6">
        <v>6.4</v>
      </c>
      <c r="AR139" s="6">
        <v>5.7</v>
      </c>
      <c r="AS139" s="6">
        <v>2.2400000000000002</v>
      </c>
      <c r="AT139" s="6">
        <v>2.19</v>
      </c>
      <c r="AU139" s="6">
        <v>2.99</v>
      </c>
      <c r="AV139" s="6">
        <v>4.0599999999999996</v>
      </c>
      <c r="AW139" s="6">
        <v>1.95</v>
      </c>
      <c r="AX139" s="6">
        <v>3.21</v>
      </c>
      <c r="AY139" s="6">
        <v>5.48</v>
      </c>
      <c r="AZ139" s="6">
        <v>3.73</v>
      </c>
      <c r="BA139" s="6">
        <v>2.96</v>
      </c>
      <c r="BB139" s="6">
        <v>5.05</v>
      </c>
      <c r="BC139" s="6">
        <f>4.38+0.43</f>
        <v>4.8099999999999996</v>
      </c>
      <c r="BD139" s="6">
        <v>3.7218399999999998</v>
      </c>
      <c r="BE139" s="6">
        <v>3.63</v>
      </c>
      <c r="BF139" s="6">
        <v>3.63</v>
      </c>
      <c r="BG139" s="6">
        <v>5.03</v>
      </c>
      <c r="BH139" s="6">
        <v>5.63</v>
      </c>
      <c r="BI139" s="6">
        <v>4.0599999999999996</v>
      </c>
      <c r="BJ139" s="6">
        <v>3.05</v>
      </c>
      <c r="BK139" s="6">
        <v>4.09</v>
      </c>
      <c r="BL139" s="6">
        <v>4.3499999999999996</v>
      </c>
      <c r="BM139" s="6">
        <v>4.51</v>
      </c>
      <c r="BN139" s="6">
        <v>5.44</v>
      </c>
      <c r="BO139" s="6">
        <v>4.75</v>
      </c>
      <c r="BP139" s="6">
        <v>4.32</v>
      </c>
      <c r="BQ139" s="6">
        <v>3.39</v>
      </c>
      <c r="BR139" s="6">
        <v>3.73</v>
      </c>
      <c r="BS139" s="6">
        <v>5.22</v>
      </c>
      <c r="BT139" s="6">
        <v>5.86</v>
      </c>
      <c r="BU139" s="6">
        <v>7.72</v>
      </c>
      <c r="BV139" s="6">
        <v>4.8599999999999994</v>
      </c>
      <c r="BW139" s="6">
        <v>3.98</v>
      </c>
      <c r="BX139" s="6">
        <v>3.3000000000000003</v>
      </c>
      <c r="BY139" s="6">
        <v>5.21</v>
      </c>
      <c r="BZ139" s="6">
        <v>5.43</v>
      </c>
      <c r="CA139" s="6">
        <v>5.5299999999999994</v>
      </c>
      <c r="CB139" s="6">
        <v>3.3200000000000003</v>
      </c>
      <c r="CC139" s="6">
        <v>2.23</v>
      </c>
      <c r="CD139" s="6">
        <v>7.37</v>
      </c>
      <c r="CE139" s="6">
        <v>6.14</v>
      </c>
      <c r="CF139" s="6">
        <v>3.22</v>
      </c>
      <c r="CG139" s="6">
        <v>3.73</v>
      </c>
      <c r="CH139" s="6"/>
    </row>
    <row r="140" spans="1:86" ht="15.75" customHeight="1" x14ac:dyDescent="0.25">
      <c r="A140" s="4">
        <v>138</v>
      </c>
      <c r="B140" s="2"/>
      <c r="C140" s="4">
        <v>18</v>
      </c>
      <c r="D140" s="6">
        <v>6.83</v>
      </c>
      <c r="E140" s="6">
        <v>4.83</v>
      </c>
      <c r="F140" s="6">
        <v>4.28</v>
      </c>
      <c r="G140" s="6">
        <v>6.18</v>
      </c>
      <c r="H140" s="6">
        <v>2.0299999999999998</v>
      </c>
      <c r="I140" s="6">
        <v>4.63</v>
      </c>
      <c r="J140" s="6">
        <v>4.2300000000000004</v>
      </c>
      <c r="K140" s="6">
        <v>4.03</v>
      </c>
      <c r="L140" s="6">
        <v>5.28</v>
      </c>
      <c r="M140" s="6">
        <v>5.18</v>
      </c>
      <c r="N140" s="6">
        <v>6.43</v>
      </c>
      <c r="O140" s="6">
        <v>5.43</v>
      </c>
      <c r="P140" s="6">
        <v>3.73</v>
      </c>
      <c r="Q140" s="6">
        <v>4.33</v>
      </c>
      <c r="R140" s="6">
        <v>4.03</v>
      </c>
      <c r="S140" s="6">
        <v>4.83</v>
      </c>
      <c r="T140" s="6">
        <v>2.91</v>
      </c>
      <c r="U140" s="6">
        <v>3.58</v>
      </c>
      <c r="V140" s="6">
        <v>1.61</v>
      </c>
      <c r="W140" s="6">
        <v>3.13</v>
      </c>
      <c r="X140" s="6">
        <v>3.99</v>
      </c>
      <c r="Y140" s="6">
        <v>2.09</v>
      </c>
      <c r="Z140" s="6">
        <v>2.13</v>
      </c>
      <c r="AA140" s="6">
        <v>2.2200000000000002</v>
      </c>
      <c r="AB140" s="6">
        <v>5.14</v>
      </c>
      <c r="AC140" s="6">
        <v>3.84</v>
      </c>
      <c r="AD140" s="6">
        <v>4.51</v>
      </c>
      <c r="AE140" s="6">
        <v>5.05</v>
      </c>
      <c r="AF140" s="6">
        <v>4.3899999999999997</v>
      </c>
      <c r="AG140" s="6">
        <v>7.77</v>
      </c>
      <c r="AH140" s="6">
        <v>1.77</v>
      </c>
      <c r="AI140" s="6">
        <v>2.74</v>
      </c>
      <c r="AJ140" s="6">
        <v>2.71</v>
      </c>
      <c r="AK140" s="6">
        <v>6.37</v>
      </c>
      <c r="AL140" s="6">
        <v>1.75</v>
      </c>
      <c r="AM140" s="6">
        <v>4.3600000000000003</v>
      </c>
      <c r="AN140" s="6">
        <v>4.1100000000000003</v>
      </c>
      <c r="AO140" s="6">
        <v>4.07</v>
      </c>
      <c r="AP140" s="6">
        <v>6.47</v>
      </c>
      <c r="AQ140" s="6">
        <v>6.53</v>
      </c>
      <c r="AR140" s="6">
        <v>5.76</v>
      </c>
      <c r="AS140" s="6">
        <v>2.2400000000000002</v>
      </c>
      <c r="AT140" s="6">
        <v>2.3199999999999998</v>
      </c>
      <c r="AU140" s="6">
        <v>3.13</v>
      </c>
      <c r="AV140" s="6">
        <v>4.09</v>
      </c>
      <c r="AW140" s="6">
        <v>2.06</v>
      </c>
      <c r="AX140" s="6">
        <v>3.39</v>
      </c>
      <c r="AY140" s="6">
        <v>5.25</v>
      </c>
      <c r="AZ140" s="6">
        <v>3.76</v>
      </c>
      <c r="BA140" s="6">
        <v>2.85</v>
      </c>
      <c r="BB140" s="6">
        <v>5.26</v>
      </c>
      <c r="BC140" s="6">
        <f>4.53+0.43</f>
        <v>4.96</v>
      </c>
      <c r="BD140" s="6">
        <v>3.7218399999999998</v>
      </c>
      <c r="BE140" s="6">
        <v>3.87</v>
      </c>
      <c r="BF140" s="6">
        <v>3.72</v>
      </c>
      <c r="BG140" s="6">
        <v>5.09</v>
      </c>
      <c r="BH140" s="6">
        <v>5.78</v>
      </c>
      <c r="BI140" s="6">
        <v>4.21</v>
      </c>
      <c r="BJ140" s="6">
        <v>3.25</v>
      </c>
      <c r="BK140" s="6">
        <v>4.05</v>
      </c>
      <c r="BL140" s="6">
        <v>4.41</v>
      </c>
      <c r="BM140" s="6">
        <v>4.7</v>
      </c>
      <c r="BN140" s="6">
        <v>5.56</v>
      </c>
      <c r="BO140" s="6">
        <v>5.01</v>
      </c>
      <c r="BP140" s="6">
        <v>4.49</v>
      </c>
      <c r="BQ140" s="6">
        <v>3.46</v>
      </c>
      <c r="BR140" s="6">
        <v>3.73</v>
      </c>
      <c r="BS140" s="6">
        <v>5.43</v>
      </c>
      <c r="BT140" s="6">
        <v>5.98</v>
      </c>
      <c r="BU140" s="6">
        <v>7.62</v>
      </c>
      <c r="BV140" s="6">
        <v>4.8899999999999997</v>
      </c>
      <c r="BW140" s="6">
        <v>4.0999999999999996</v>
      </c>
      <c r="BX140" s="6">
        <v>3.24</v>
      </c>
      <c r="BY140" s="6">
        <v>5.38</v>
      </c>
      <c r="BZ140" s="6">
        <v>5.6</v>
      </c>
      <c r="CA140" s="6">
        <v>5.63</v>
      </c>
      <c r="CB140" s="6">
        <v>3.4000000000000004</v>
      </c>
      <c r="CC140" s="6">
        <v>2.41</v>
      </c>
      <c r="CD140" s="6">
        <v>7.4899999999999993</v>
      </c>
      <c r="CE140" s="6">
        <v>6.1499999999999995</v>
      </c>
      <c r="CF140" s="6">
        <v>3.33</v>
      </c>
      <c r="CG140" s="6">
        <v>3.84</v>
      </c>
      <c r="CH140" s="6"/>
    </row>
    <row r="141" spans="1:86" ht="15.75" customHeight="1" x14ac:dyDescent="0.25">
      <c r="A141" s="4">
        <v>139</v>
      </c>
      <c r="B141" s="2"/>
      <c r="C141" s="4">
        <v>19</v>
      </c>
      <c r="D141" s="6">
        <v>7.03</v>
      </c>
      <c r="E141" s="6">
        <v>4.93</v>
      </c>
      <c r="F141" s="6">
        <v>4.2300000000000004</v>
      </c>
      <c r="G141" s="6">
        <v>6.43</v>
      </c>
      <c r="H141" s="6">
        <v>2.08</v>
      </c>
      <c r="I141" s="6">
        <v>4.9800000000000004</v>
      </c>
      <c r="J141" s="6">
        <v>4.38</v>
      </c>
      <c r="K141" s="6">
        <v>4.2300000000000004</v>
      </c>
      <c r="L141" s="6">
        <v>5.43</v>
      </c>
      <c r="M141" s="6">
        <v>5.18</v>
      </c>
      <c r="N141" s="6">
        <v>6.53</v>
      </c>
      <c r="O141" s="6">
        <v>5.63</v>
      </c>
      <c r="P141" s="6">
        <v>3.81</v>
      </c>
      <c r="Q141" s="6">
        <v>4.63</v>
      </c>
      <c r="R141" s="6">
        <v>4.18</v>
      </c>
      <c r="S141" s="6">
        <v>4.88</v>
      </c>
      <c r="T141" s="6">
        <v>2.96</v>
      </c>
      <c r="U141" s="6">
        <v>3.73</v>
      </c>
      <c r="V141" s="6">
        <v>1.61</v>
      </c>
      <c r="W141" s="6">
        <v>3.18</v>
      </c>
      <c r="X141" s="6">
        <v>4.33</v>
      </c>
      <c r="Y141" s="6">
        <v>2.11</v>
      </c>
      <c r="Z141" s="6">
        <v>2.1800000000000002</v>
      </c>
      <c r="AA141" s="6">
        <v>2.31</v>
      </c>
      <c r="AB141" s="6">
        <v>5.16</v>
      </c>
      <c r="AC141" s="6">
        <v>3.92</v>
      </c>
      <c r="AD141" s="6">
        <v>4.5999999999999996</v>
      </c>
      <c r="AE141" s="6">
        <v>5.18</v>
      </c>
      <c r="AF141" s="6">
        <v>4.6900000000000004</v>
      </c>
      <c r="AG141" s="6">
        <v>7.91</v>
      </c>
      <c r="AH141" s="6">
        <v>1.93</v>
      </c>
      <c r="AI141" s="6">
        <v>2.83</v>
      </c>
      <c r="AJ141" s="6">
        <v>2.72</v>
      </c>
      <c r="AK141" s="6">
        <v>6.46</v>
      </c>
      <c r="AL141" s="6">
        <v>1.77</v>
      </c>
      <c r="AM141" s="6">
        <v>4.45</v>
      </c>
      <c r="AN141" s="6">
        <v>4.21</v>
      </c>
      <c r="AO141" s="6">
        <v>4.55</v>
      </c>
      <c r="AP141" s="6">
        <v>6.62</v>
      </c>
      <c r="AQ141" s="6">
        <v>6.58</v>
      </c>
      <c r="AR141" s="6">
        <v>5.8</v>
      </c>
      <c r="AS141" s="6">
        <v>2.2599999999999998</v>
      </c>
      <c r="AT141" s="6">
        <v>2.4500000000000002</v>
      </c>
      <c r="AU141" s="6">
        <v>3.21</v>
      </c>
      <c r="AV141" s="6">
        <v>4.1900000000000004</v>
      </c>
      <c r="AW141" s="6">
        <v>2.11</v>
      </c>
      <c r="AX141" s="6">
        <v>3.48</v>
      </c>
      <c r="AY141" s="6">
        <v>5.13</v>
      </c>
      <c r="AZ141" s="6">
        <v>3.81</v>
      </c>
      <c r="BA141" s="6">
        <v>2.89</v>
      </c>
      <c r="BB141" s="6">
        <v>5.41</v>
      </c>
      <c r="BC141" s="6">
        <f>4.63+0.43</f>
        <v>5.0599999999999996</v>
      </c>
      <c r="BD141" s="6">
        <v>3.7218399999999998</v>
      </c>
      <c r="BE141" s="6">
        <v>3.93</v>
      </c>
      <c r="BF141" s="6">
        <v>3.78</v>
      </c>
      <c r="BG141" s="6">
        <v>5.42</v>
      </c>
      <c r="BH141" s="6">
        <v>5.88</v>
      </c>
      <c r="BI141" s="6">
        <v>4.42</v>
      </c>
      <c r="BJ141" s="6">
        <v>3.3</v>
      </c>
      <c r="BK141" s="6">
        <v>4.13</v>
      </c>
      <c r="BL141" s="6">
        <v>4.42</v>
      </c>
      <c r="BM141" s="6">
        <v>4.9400000000000004</v>
      </c>
      <c r="BN141" s="6">
        <v>5.73</v>
      </c>
      <c r="BO141" s="6">
        <v>5.23</v>
      </c>
      <c r="BP141" s="6">
        <v>4.6399999999999997</v>
      </c>
      <c r="BQ141" s="6">
        <v>3.53</v>
      </c>
      <c r="BR141" s="6">
        <v>3.78</v>
      </c>
      <c r="BS141" s="6">
        <v>5.52</v>
      </c>
      <c r="BT141" s="6">
        <v>6.12</v>
      </c>
      <c r="BU141" s="6">
        <v>7.64</v>
      </c>
      <c r="BV141" s="6">
        <v>4.93</v>
      </c>
      <c r="BW141" s="6">
        <v>4.13</v>
      </c>
      <c r="BX141" s="6">
        <v>3.19</v>
      </c>
      <c r="BY141" s="6">
        <v>5.51</v>
      </c>
      <c r="BZ141" s="6">
        <v>5.6</v>
      </c>
      <c r="CA141" s="6">
        <v>5.66</v>
      </c>
      <c r="CB141" s="6">
        <v>3.6</v>
      </c>
      <c r="CC141" s="6">
        <v>2.6</v>
      </c>
      <c r="CD141" s="6">
        <v>7.59</v>
      </c>
      <c r="CE141" s="6">
        <v>6.21</v>
      </c>
      <c r="CF141" s="6">
        <v>3.32</v>
      </c>
      <c r="CG141" s="6">
        <v>3.98</v>
      </c>
      <c r="CH141" s="6"/>
    </row>
    <row r="142" spans="1:86" ht="15.75" customHeight="1" x14ac:dyDescent="0.25">
      <c r="A142" s="4">
        <v>140</v>
      </c>
      <c r="B142" s="2"/>
      <c r="C142" s="4">
        <v>20</v>
      </c>
      <c r="D142" s="6">
        <v>7.13</v>
      </c>
      <c r="E142" s="6">
        <v>5.03</v>
      </c>
      <c r="F142" s="6">
        <v>4.28</v>
      </c>
      <c r="G142" s="6">
        <v>6.78</v>
      </c>
      <c r="H142" s="6">
        <v>2.13</v>
      </c>
      <c r="I142" s="6">
        <v>5.23</v>
      </c>
      <c r="J142" s="6">
        <v>4.43</v>
      </c>
      <c r="K142" s="6">
        <v>4.43</v>
      </c>
      <c r="L142" s="6">
        <v>5.53</v>
      </c>
      <c r="M142" s="6">
        <v>5.18</v>
      </c>
      <c r="N142" s="6">
        <v>6.48</v>
      </c>
      <c r="O142" s="6">
        <v>5.78</v>
      </c>
      <c r="P142" s="6">
        <v>4.13</v>
      </c>
      <c r="Q142" s="6">
        <v>4.8</v>
      </c>
      <c r="R142" s="6">
        <v>4.2300000000000004</v>
      </c>
      <c r="S142" s="6">
        <v>4.93</v>
      </c>
      <c r="T142" s="6">
        <v>3.06</v>
      </c>
      <c r="U142" s="6">
        <v>3.86</v>
      </c>
      <c r="V142" s="6">
        <v>1.61</v>
      </c>
      <c r="W142" s="6">
        <v>3.33</v>
      </c>
      <c r="X142" s="6">
        <v>4.63</v>
      </c>
      <c r="Y142" s="6">
        <v>2.11</v>
      </c>
      <c r="Z142" s="6">
        <v>2.23</v>
      </c>
      <c r="AA142" s="6">
        <v>2.41</v>
      </c>
      <c r="AB142" s="6">
        <v>5.21</v>
      </c>
      <c r="AC142" s="6">
        <v>4.09</v>
      </c>
      <c r="AD142" s="6">
        <v>4.71</v>
      </c>
      <c r="AE142" s="6">
        <v>5.29</v>
      </c>
      <c r="AF142" s="6">
        <v>4.8899999999999997</v>
      </c>
      <c r="AG142" s="6">
        <v>8.0299999999999994</v>
      </c>
      <c r="AH142" s="6">
        <v>2.0299999999999998</v>
      </c>
      <c r="AI142" s="6">
        <v>2.89</v>
      </c>
      <c r="AJ142" s="6">
        <v>2.83</v>
      </c>
      <c r="AK142" s="6">
        <v>6.54</v>
      </c>
      <c r="AL142" s="6">
        <v>1.91</v>
      </c>
      <c r="AM142" s="6">
        <v>4.5</v>
      </c>
      <c r="AN142" s="6">
        <v>4.2300000000000004</v>
      </c>
      <c r="AO142" s="6">
        <v>5.03</v>
      </c>
      <c r="AP142" s="6">
        <v>6.84</v>
      </c>
      <c r="AQ142" s="6">
        <v>6.57</v>
      </c>
      <c r="AR142" s="6">
        <v>5.88</v>
      </c>
      <c r="AS142" s="6">
        <v>2.27</v>
      </c>
      <c r="AT142" s="6">
        <v>2.59</v>
      </c>
      <c r="AU142" s="6">
        <v>3.34</v>
      </c>
      <c r="AV142" s="6">
        <v>4.3899999999999997</v>
      </c>
      <c r="AW142" s="6">
        <v>2.15</v>
      </c>
      <c r="AX142" s="6">
        <v>3.8</v>
      </c>
      <c r="AY142" s="6">
        <v>5.23</v>
      </c>
      <c r="AZ142" s="6">
        <v>3.88</v>
      </c>
      <c r="BA142" s="6">
        <v>3.03</v>
      </c>
      <c r="BB142" s="6">
        <v>5.57</v>
      </c>
      <c r="BC142" s="6">
        <f>4.71+0.43</f>
        <v>5.14</v>
      </c>
      <c r="BD142" s="6">
        <v>3.7218399999999998</v>
      </c>
      <c r="BE142" s="6">
        <v>4</v>
      </c>
      <c r="BF142" s="6">
        <v>4.08</v>
      </c>
      <c r="BG142" s="6">
        <v>5.52</v>
      </c>
      <c r="BH142" s="6">
        <v>5.93</v>
      </c>
      <c r="BI142" s="6">
        <v>4.5599999999999996</v>
      </c>
      <c r="BJ142" s="6">
        <v>3.4</v>
      </c>
      <c r="BK142" s="6">
        <v>4.16</v>
      </c>
      <c r="BL142" s="6">
        <v>4.6100000000000003</v>
      </c>
      <c r="BM142" s="6">
        <v>5.14</v>
      </c>
      <c r="BN142" s="6">
        <v>5.88</v>
      </c>
      <c r="BO142" s="6">
        <v>5.46</v>
      </c>
      <c r="BP142" s="6">
        <v>4.7300000000000004</v>
      </c>
      <c r="BQ142" s="6">
        <v>3.71</v>
      </c>
      <c r="BR142" s="6">
        <v>3.8</v>
      </c>
      <c r="BS142" s="6">
        <v>5.66</v>
      </c>
      <c r="BT142" s="6">
        <v>6.3</v>
      </c>
      <c r="BU142" s="6">
        <v>7.6099999999999994</v>
      </c>
      <c r="BV142" s="6">
        <v>4.9399999999999995</v>
      </c>
      <c r="BW142" s="6">
        <v>4.22</v>
      </c>
      <c r="BX142" s="6">
        <v>3.2600000000000002</v>
      </c>
      <c r="BY142" s="6">
        <v>5.59</v>
      </c>
      <c r="BZ142" s="6">
        <v>5.71</v>
      </c>
      <c r="CA142" s="6">
        <v>5.71</v>
      </c>
      <c r="CB142" s="6">
        <v>3.74</v>
      </c>
      <c r="CC142" s="6">
        <v>2.87</v>
      </c>
      <c r="CD142" s="6">
        <v>7.6899999999999995</v>
      </c>
      <c r="CE142" s="6">
        <v>6.38</v>
      </c>
      <c r="CF142" s="6">
        <v>3.36</v>
      </c>
      <c r="CG142" s="6">
        <v>4.12</v>
      </c>
      <c r="CH142" s="6"/>
    </row>
    <row r="143" spans="1:86" ht="15.75" customHeight="1" x14ac:dyDescent="0.25">
      <c r="A143" s="4">
        <v>141</v>
      </c>
      <c r="B143" s="2"/>
      <c r="C143" s="4">
        <v>21</v>
      </c>
      <c r="D143" s="6">
        <v>7.18</v>
      </c>
      <c r="E143" s="6">
        <v>5.13</v>
      </c>
      <c r="F143" s="6">
        <v>4.33</v>
      </c>
      <c r="G143" s="6">
        <v>7.13</v>
      </c>
      <c r="H143" s="6">
        <v>2.1800000000000002</v>
      </c>
      <c r="I143" s="6">
        <v>5.53</v>
      </c>
      <c r="J143" s="6">
        <v>4.58</v>
      </c>
      <c r="K143" s="6">
        <v>4.58</v>
      </c>
      <c r="L143" s="6">
        <v>5.63</v>
      </c>
      <c r="M143" s="6">
        <v>5.21</v>
      </c>
      <c r="N143" s="6">
        <v>6.53</v>
      </c>
      <c r="O143" s="6">
        <v>5.93</v>
      </c>
      <c r="P143" s="6">
        <v>4.33</v>
      </c>
      <c r="Q143" s="6">
        <v>4.9800000000000004</v>
      </c>
      <c r="R143" s="6">
        <v>4.2300000000000004</v>
      </c>
      <c r="S143" s="6">
        <v>4.93</v>
      </c>
      <c r="T143" s="6">
        <v>3.11</v>
      </c>
      <c r="U143" s="6">
        <v>3.93</v>
      </c>
      <c r="V143" s="6">
        <v>1.61</v>
      </c>
      <c r="W143" s="6">
        <v>3.51</v>
      </c>
      <c r="X143" s="6">
        <v>4.9000000000000004</v>
      </c>
      <c r="Y143" s="6">
        <v>2.11</v>
      </c>
      <c r="Z143" s="6">
        <v>2.36</v>
      </c>
      <c r="AA143" s="6">
        <v>2.63</v>
      </c>
      <c r="AB143" s="6">
        <v>5.28</v>
      </c>
      <c r="AC143" s="6">
        <v>4.16</v>
      </c>
      <c r="AD143" s="6">
        <v>4.87</v>
      </c>
      <c r="AE143" s="6">
        <v>5.38</v>
      </c>
      <c r="AF143" s="6">
        <v>5.0999999999999996</v>
      </c>
      <c r="AG143" s="6">
        <v>8.11</v>
      </c>
      <c r="AH143" s="6">
        <v>2.19</v>
      </c>
      <c r="AI143" s="6">
        <v>3.05</v>
      </c>
      <c r="AJ143" s="6">
        <v>2.9</v>
      </c>
      <c r="AK143" s="6">
        <v>6.65</v>
      </c>
      <c r="AL143" s="6">
        <v>1.96</v>
      </c>
      <c r="AM143" s="6">
        <v>4.53</v>
      </c>
      <c r="AN143" s="6">
        <v>4.21</v>
      </c>
      <c r="AO143" s="6">
        <v>4.99</v>
      </c>
      <c r="AP143" s="6">
        <v>6.6</v>
      </c>
      <c r="AQ143" s="6">
        <v>6.76</v>
      </c>
      <c r="AR143" s="6">
        <v>5.99</v>
      </c>
      <c r="AS143" s="6">
        <v>2.2999999999999998</v>
      </c>
      <c r="AT143" s="6">
        <v>2.75</v>
      </c>
      <c r="AU143" s="6">
        <v>3.57</v>
      </c>
      <c r="AV143" s="6">
        <v>4.6100000000000003</v>
      </c>
      <c r="AW143" s="6">
        <v>2.15</v>
      </c>
      <c r="AX143" s="6">
        <v>4.03</v>
      </c>
      <c r="AY143" s="6">
        <v>5.53</v>
      </c>
      <c r="AZ143" s="6">
        <v>4.13</v>
      </c>
      <c r="BA143" s="6">
        <v>3.13</v>
      </c>
      <c r="BB143" s="6">
        <v>5.63</v>
      </c>
      <c r="BC143" s="6">
        <f>4.79+0.43</f>
        <v>5.22</v>
      </c>
      <c r="BD143" s="6">
        <v>3.7218399999999998</v>
      </c>
      <c r="BE143" s="6">
        <v>4.24</v>
      </c>
      <c r="BF143" s="6">
        <v>4.17</v>
      </c>
      <c r="BG143" s="6">
        <v>5.42</v>
      </c>
      <c r="BH143" s="6">
        <v>5.93</v>
      </c>
      <c r="BI143" s="6">
        <v>4.66</v>
      </c>
      <c r="BJ143" s="6">
        <v>3.58</v>
      </c>
      <c r="BK143" s="6">
        <v>4.33</v>
      </c>
      <c r="BL143" s="6">
        <v>4.82</v>
      </c>
      <c r="BM143" s="6">
        <v>5.34</v>
      </c>
      <c r="BN143" s="6">
        <v>5.95</v>
      </c>
      <c r="BO143" s="6">
        <v>5.66</v>
      </c>
      <c r="BP143" s="6">
        <v>4.84</v>
      </c>
      <c r="BQ143" s="6">
        <v>3.75</v>
      </c>
      <c r="BR143" s="6">
        <v>3.83</v>
      </c>
      <c r="BS143" s="6">
        <v>5.75</v>
      </c>
      <c r="BT143" s="6">
        <v>6.42</v>
      </c>
      <c r="BU143" s="6">
        <v>7.63</v>
      </c>
      <c r="BV143" s="6">
        <v>5.04</v>
      </c>
      <c r="BW143" s="6">
        <v>4.33</v>
      </c>
      <c r="BX143" s="6">
        <v>3.39</v>
      </c>
      <c r="BY143" s="6">
        <v>5.6099999999999994</v>
      </c>
      <c r="BZ143" s="6">
        <v>5.93</v>
      </c>
      <c r="CA143" s="6">
        <v>5.89</v>
      </c>
      <c r="CB143" s="6">
        <v>3.89</v>
      </c>
      <c r="CC143" s="6">
        <v>3.0500000000000003</v>
      </c>
      <c r="CD143" s="6">
        <v>7.7799999999999994</v>
      </c>
      <c r="CE143" s="6">
        <v>6.58</v>
      </c>
      <c r="CF143" s="6">
        <v>3.38</v>
      </c>
      <c r="CG143" s="6">
        <v>4.28</v>
      </c>
      <c r="CH143" s="6"/>
    </row>
    <row r="144" spans="1:86" ht="15.75" customHeight="1" x14ac:dyDescent="0.25">
      <c r="A144" s="4">
        <v>142</v>
      </c>
      <c r="B144" s="2"/>
      <c r="C144" s="4">
        <v>22</v>
      </c>
      <c r="D144" s="6">
        <v>7.28</v>
      </c>
      <c r="E144" s="6">
        <v>5.28</v>
      </c>
      <c r="F144" s="6">
        <v>4.53</v>
      </c>
      <c r="G144" s="6">
        <v>7.33</v>
      </c>
      <c r="H144" s="6">
        <v>2.23</v>
      </c>
      <c r="I144" s="6">
        <v>6.03</v>
      </c>
      <c r="J144" s="6">
        <v>4.68</v>
      </c>
      <c r="K144" s="6">
        <v>4.7300000000000004</v>
      </c>
      <c r="L144" s="6">
        <v>5.68</v>
      </c>
      <c r="M144" s="6">
        <v>5.31</v>
      </c>
      <c r="N144" s="6">
        <v>6.58</v>
      </c>
      <c r="O144" s="6">
        <v>6.13</v>
      </c>
      <c r="P144" s="6">
        <v>4.43</v>
      </c>
      <c r="Q144" s="6">
        <v>5.08</v>
      </c>
      <c r="R144" s="6">
        <v>4.33</v>
      </c>
      <c r="S144" s="6">
        <v>4.93</v>
      </c>
      <c r="T144" s="6">
        <v>3.19</v>
      </c>
      <c r="U144" s="6">
        <v>4.01</v>
      </c>
      <c r="V144" s="6">
        <v>1.61</v>
      </c>
      <c r="W144" s="6">
        <v>3.57</v>
      </c>
      <c r="X144" s="6">
        <v>5.24</v>
      </c>
      <c r="Y144" s="6">
        <v>2.21</v>
      </c>
      <c r="Z144" s="6">
        <v>2.5099999999999998</v>
      </c>
      <c r="AA144" s="6">
        <v>2.74</v>
      </c>
      <c r="AB144" s="6">
        <v>5.35</v>
      </c>
      <c r="AC144" s="6">
        <v>4.1900000000000004</v>
      </c>
      <c r="AD144" s="6">
        <v>5.03</v>
      </c>
      <c r="AE144" s="6">
        <v>5.5</v>
      </c>
      <c r="AF144" s="6">
        <v>5.25</v>
      </c>
      <c r="AG144" s="6">
        <v>8.17</v>
      </c>
      <c r="AH144" s="6">
        <v>2.37</v>
      </c>
      <c r="AI144" s="6">
        <v>2.99</v>
      </c>
      <c r="AJ144" s="6">
        <v>2.92</v>
      </c>
      <c r="AK144" s="6">
        <v>6.75</v>
      </c>
      <c r="AL144" s="6">
        <v>2.0499999999999998</v>
      </c>
      <c r="AM144" s="6">
        <v>4.5599999999999996</v>
      </c>
      <c r="AN144" s="6">
        <v>4.33</v>
      </c>
      <c r="AO144" s="6">
        <v>5.35</v>
      </c>
      <c r="AP144" s="6">
        <v>6.9</v>
      </c>
      <c r="AQ144" s="6">
        <v>6.68</v>
      </c>
      <c r="AR144" s="6">
        <v>6.1</v>
      </c>
      <c r="AS144" s="6">
        <v>2.35</v>
      </c>
      <c r="AT144" s="6">
        <v>2.9</v>
      </c>
      <c r="AU144" s="6">
        <v>3.67</v>
      </c>
      <c r="AV144" s="6">
        <v>4.8099999999999996</v>
      </c>
      <c r="AW144" s="6">
        <v>2.1800000000000002</v>
      </c>
      <c r="AX144" s="6">
        <v>4.2300000000000004</v>
      </c>
      <c r="AY144" s="6">
        <v>5.83</v>
      </c>
      <c r="AZ144" s="6">
        <v>4.32</v>
      </c>
      <c r="BA144" s="6">
        <v>3.28</v>
      </c>
      <c r="BB144" s="6">
        <v>5.65</v>
      </c>
      <c r="BC144" s="6">
        <f t="shared" ref="BC144:BC145" si="5">4.91+0.43</f>
        <v>5.34</v>
      </c>
      <c r="BD144" s="6">
        <v>3.7218399999999998</v>
      </c>
      <c r="BE144" s="6">
        <v>4.33</v>
      </c>
      <c r="BF144" s="6">
        <v>4.33</v>
      </c>
      <c r="BG144" s="6">
        <v>5.61</v>
      </c>
      <c r="BH144" s="6">
        <v>5.93</v>
      </c>
      <c r="BI144" s="6">
        <v>4.7699999999999996</v>
      </c>
      <c r="BJ144" s="6">
        <v>3.95</v>
      </c>
      <c r="BK144" s="6">
        <v>4.45</v>
      </c>
      <c r="BL144" s="6">
        <v>5</v>
      </c>
      <c r="BM144" s="6">
        <v>5.52</v>
      </c>
      <c r="BN144" s="6">
        <v>6.04</v>
      </c>
      <c r="BO144" s="6">
        <v>5.82</v>
      </c>
      <c r="BP144" s="6">
        <v>4.99</v>
      </c>
      <c r="BQ144" s="6">
        <v>3.83</v>
      </c>
      <c r="BR144" s="6">
        <v>3.84</v>
      </c>
      <c r="BS144" s="6">
        <v>5.86</v>
      </c>
      <c r="BT144" s="6">
        <v>6.53</v>
      </c>
      <c r="BU144" s="6">
        <v>7.72</v>
      </c>
      <c r="BV144" s="6">
        <v>5.21</v>
      </c>
      <c r="BW144" s="6">
        <v>4.43</v>
      </c>
      <c r="BX144" s="6">
        <v>3.54</v>
      </c>
      <c r="BY144" s="6">
        <v>5.63</v>
      </c>
      <c r="BZ144" s="6">
        <v>6.06</v>
      </c>
      <c r="CA144" s="6">
        <v>5.9899999999999993</v>
      </c>
      <c r="CB144" s="6">
        <v>4.0599999999999996</v>
      </c>
      <c r="CC144" s="6">
        <v>3.27</v>
      </c>
      <c r="CD144" s="6">
        <v>7.88</v>
      </c>
      <c r="CE144" s="6">
        <v>6.62</v>
      </c>
      <c r="CF144" s="6">
        <v>3.76</v>
      </c>
      <c r="CG144" s="6">
        <v>4.41</v>
      </c>
      <c r="CH144" s="6"/>
    </row>
    <row r="145" spans="1:86" ht="15.75" customHeight="1" x14ac:dyDescent="0.25">
      <c r="A145" s="4">
        <v>143</v>
      </c>
      <c r="B145" s="2"/>
      <c r="C145" s="4">
        <v>23</v>
      </c>
      <c r="D145" s="6">
        <v>7.33</v>
      </c>
      <c r="E145" s="6">
        <v>5.43</v>
      </c>
      <c r="F145" s="6">
        <v>4.88</v>
      </c>
      <c r="G145" s="6">
        <v>7.53</v>
      </c>
      <c r="H145" s="6">
        <v>2.23</v>
      </c>
      <c r="I145" s="6">
        <v>6.68</v>
      </c>
      <c r="J145" s="6">
        <v>4.7300000000000004</v>
      </c>
      <c r="K145" s="6">
        <v>4.83</v>
      </c>
      <c r="L145" s="6">
        <v>5.73</v>
      </c>
      <c r="M145" s="6">
        <v>5.43</v>
      </c>
      <c r="N145" s="6">
        <v>6.73</v>
      </c>
      <c r="O145" s="6">
        <v>6.3</v>
      </c>
      <c r="P145" s="6">
        <v>4.71</v>
      </c>
      <c r="Q145" s="6">
        <v>5.13</v>
      </c>
      <c r="R145" s="6">
        <v>4.43</v>
      </c>
      <c r="S145" s="6">
        <v>4.9800000000000004</v>
      </c>
      <c r="T145" s="6">
        <v>3.31</v>
      </c>
      <c r="U145" s="6">
        <v>4.0599999999999996</v>
      </c>
      <c r="V145" s="6">
        <v>1.56</v>
      </c>
      <c r="W145" s="6">
        <v>3.63</v>
      </c>
      <c r="X145" s="6">
        <v>5.48</v>
      </c>
      <c r="Y145" s="6">
        <v>2.21</v>
      </c>
      <c r="Z145" s="6">
        <v>2.68</v>
      </c>
      <c r="AA145" s="6">
        <v>2.79</v>
      </c>
      <c r="AB145" s="6">
        <v>5.45</v>
      </c>
      <c r="AC145" s="6">
        <v>4.26</v>
      </c>
      <c r="AD145" s="6">
        <v>5.2</v>
      </c>
      <c r="AE145" s="6">
        <v>5.63</v>
      </c>
      <c r="AF145" s="6">
        <v>5.38</v>
      </c>
      <c r="AG145" s="6">
        <v>8.1300000000000008</v>
      </c>
      <c r="AH145" s="6">
        <v>2.5099999999999998</v>
      </c>
      <c r="AI145" s="6">
        <v>2.98</v>
      </c>
      <c r="AJ145" s="6">
        <v>2.97</v>
      </c>
      <c r="AK145" s="6">
        <v>6.99</v>
      </c>
      <c r="AL145" s="6">
        <v>2.0699999999999998</v>
      </c>
      <c r="AM145" s="6">
        <v>4.62</v>
      </c>
      <c r="AN145" s="6">
        <v>4.46</v>
      </c>
      <c r="AO145" s="6">
        <v>5.51</v>
      </c>
      <c r="AP145" s="6">
        <v>6.92</v>
      </c>
      <c r="AQ145" s="6">
        <v>6.9</v>
      </c>
      <c r="AR145" s="6">
        <v>6.21</v>
      </c>
      <c r="AS145" s="6">
        <v>2.36</v>
      </c>
      <c r="AT145" s="6">
        <v>3.01</v>
      </c>
      <c r="AU145" s="6">
        <v>3.71</v>
      </c>
      <c r="AV145" s="6">
        <v>5.07</v>
      </c>
      <c r="AW145" s="6">
        <v>2.1800000000000002</v>
      </c>
      <c r="AX145" s="6">
        <v>4.43</v>
      </c>
      <c r="AY145" s="6">
        <v>6.33</v>
      </c>
      <c r="AZ145" s="6">
        <v>4.46</v>
      </c>
      <c r="BA145" s="6">
        <v>3.39</v>
      </c>
      <c r="BB145" s="6">
        <v>5.68</v>
      </c>
      <c r="BC145" s="6">
        <f t="shared" si="5"/>
        <v>5.34</v>
      </c>
      <c r="BD145" s="6">
        <v>3.7218399999999998</v>
      </c>
      <c r="BE145" s="6">
        <v>4.6100000000000003</v>
      </c>
      <c r="BF145" s="6">
        <v>4.42</v>
      </c>
      <c r="BG145" s="6">
        <v>5.73</v>
      </c>
      <c r="BH145" s="6">
        <v>5.93</v>
      </c>
      <c r="BI145" s="6">
        <v>4.99</v>
      </c>
      <c r="BJ145" s="6">
        <v>4.0999999999999996</v>
      </c>
      <c r="BK145" s="6">
        <v>4.63</v>
      </c>
      <c r="BL145" s="6">
        <v>5.24</v>
      </c>
      <c r="BM145" s="6">
        <v>5.68</v>
      </c>
      <c r="BN145" s="6">
        <v>6.1</v>
      </c>
      <c r="BO145" s="6">
        <v>5.96</v>
      </c>
      <c r="BP145" s="6">
        <v>5.09</v>
      </c>
      <c r="BQ145" s="6">
        <v>3.9</v>
      </c>
      <c r="BR145" s="6">
        <v>3.84</v>
      </c>
      <c r="BS145" s="6">
        <v>5.9</v>
      </c>
      <c r="BT145" s="6">
        <v>6.67</v>
      </c>
      <c r="BU145" s="6">
        <v>7.8</v>
      </c>
      <c r="BV145" s="6">
        <v>5.22</v>
      </c>
      <c r="BW145" s="6">
        <v>4.55</v>
      </c>
      <c r="BX145" s="6">
        <v>3.62</v>
      </c>
      <c r="BY145" s="6">
        <v>5.7299999999999995</v>
      </c>
      <c r="BZ145" s="6">
        <v>6.16</v>
      </c>
      <c r="CA145" s="6">
        <v>5.9899999999999993</v>
      </c>
      <c r="CB145" s="6">
        <v>4.22</v>
      </c>
      <c r="CC145" s="6">
        <v>3.2600000000000002</v>
      </c>
      <c r="CD145" s="6">
        <v>7.9799999999999995</v>
      </c>
      <c r="CE145" s="6">
        <v>6.6899999999999995</v>
      </c>
      <c r="CF145" s="6">
        <v>3.92</v>
      </c>
      <c r="CG145" s="6">
        <v>4.57</v>
      </c>
      <c r="CH145" s="6"/>
    </row>
    <row r="146" spans="1:86" ht="15.75" customHeight="1" x14ac:dyDescent="0.25">
      <c r="A146" s="4">
        <v>144</v>
      </c>
      <c r="B146" s="2"/>
      <c r="C146" s="4">
        <v>24</v>
      </c>
      <c r="D146" s="6">
        <v>7.38</v>
      </c>
      <c r="E146" s="6">
        <v>5.63</v>
      </c>
      <c r="F146" s="6">
        <v>5.18</v>
      </c>
      <c r="G146" s="6">
        <v>7.83</v>
      </c>
      <c r="H146" s="6">
        <v>2.23</v>
      </c>
      <c r="I146" s="6">
        <v>6.68</v>
      </c>
      <c r="J146" s="6">
        <v>4.83</v>
      </c>
      <c r="K146" s="6">
        <v>4.93</v>
      </c>
      <c r="L146" s="6">
        <v>5.73</v>
      </c>
      <c r="M146" s="6">
        <v>5.51</v>
      </c>
      <c r="N146" s="6">
        <v>6.88</v>
      </c>
      <c r="O146" s="6">
        <v>6.43</v>
      </c>
      <c r="P146" s="6">
        <v>4.78</v>
      </c>
      <c r="Q146" s="6">
        <v>5.28</v>
      </c>
      <c r="R146" s="6">
        <v>4.63</v>
      </c>
      <c r="S146" s="6">
        <v>5.13</v>
      </c>
      <c r="T146" s="6">
        <v>3.48</v>
      </c>
      <c r="U146" s="6">
        <v>4.2300000000000004</v>
      </c>
      <c r="V146" s="6">
        <v>1.56</v>
      </c>
      <c r="W146" s="6">
        <v>3.68</v>
      </c>
      <c r="X146" s="6">
        <v>5.79</v>
      </c>
      <c r="Y146" s="6">
        <v>2.29</v>
      </c>
      <c r="Z146" s="6">
        <v>2.83</v>
      </c>
      <c r="AA146" s="6">
        <v>2.87</v>
      </c>
      <c r="AB146" s="6">
        <v>5.57</v>
      </c>
      <c r="AC146" s="6">
        <v>4.4400000000000004</v>
      </c>
      <c r="AD146" s="6">
        <v>5.38</v>
      </c>
      <c r="AE146" s="6">
        <v>5.75</v>
      </c>
      <c r="AF146" s="6">
        <v>5.47</v>
      </c>
      <c r="AG146" s="6">
        <v>8.0299999999999994</v>
      </c>
      <c r="AH146" s="6">
        <v>2.66</v>
      </c>
      <c r="AI146" s="6">
        <v>3.01</v>
      </c>
      <c r="AJ146" s="6">
        <v>3.01</v>
      </c>
      <c r="AK146" s="6">
        <v>7.29</v>
      </c>
      <c r="AL146" s="6">
        <v>2.11</v>
      </c>
      <c r="AM146" s="6">
        <v>4.76</v>
      </c>
      <c r="AN146" s="6">
        <v>4.53</v>
      </c>
      <c r="AO146" s="6">
        <v>5.64</v>
      </c>
      <c r="AP146" s="6">
        <v>6.94</v>
      </c>
      <c r="AQ146" s="6">
        <v>7.04</v>
      </c>
      <c r="AR146" s="6">
        <v>6.26</v>
      </c>
      <c r="AS146" s="6">
        <v>2.36</v>
      </c>
      <c r="AT146" s="6">
        <v>3.11</v>
      </c>
      <c r="AU146" s="6">
        <v>3.81</v>
      </c>
      <c r="AV146" s="6">
        <v>5.21</v>
      </c>
      <c r="AW146" s="6">
        <v>2.2999999999999998</v>
      </c>
      <c r="AX146" s="6">
        <v>4.72</v>
      </c>
      <c r="AY146" s="6">
        <v>6.53</v>
      </c>
      <c r="AZ146" s="6">
        <v>4.54</v>
      </c>
      <c r="BA146" s="6">
        <v>3.49</v>
      </c>
      <c r="BB146" s="6">
        <v>5.69</v>
      </c>
      <c r="BC146" s="6">
        <f>5.1+0.43</f>
        <v>5.5299999999999994</v>
      </c>
      <c r="BD146" s="6">
        <v>3.7218399999999998</v>
      </c>
      <c r="BE146" s="6">
        <v>4.67</v>
      </c>
      <c r="BF146" s="6">
        <v>4.51</v>
      </c>
      <c r="BG146" s="6">
        <v>5.85</v>
      </c>
      <c r="BH146" s="6">
        <v>5.93</v>
      </c>
      <c r="BI146" s="6">
        <v>5.12</v>
      </c>
      <c r="BJ146" s="6">
        <v>4.13</v>
      </c>
      <c r="BK146" s="6">
        <v>4.8099999999999996</v>
      </c>
      <c r="BL146" s="6">
        <v>5.39</v>
      </c>
      <c r="BM146" s="6">
        <v>5.62</v>
      </c>
      <c r="BN146" s="6">
        <v>6.27</v>
      </c>
      <c r="BO146" s="6">
        <v>6.04</v>
      </c>
      <c r="BP146" s="6">
        <v>5.22</v>
      </c>
      <c r="BQ146" s="6">
        <v>4</v>
      </c>
      <c r="BR146" s="6">
        <v>3.83</v>
      </c>
      <c r="BS146" s="6">
        <v>5.95</v>
      </c>
      <c r="BT146" s="6">
        <v>6.83</v>
      </c>
      <c r="BU146" s="6">
        <v>7.79</v>
      </c>
      <c r="BV146" s="6">
        <v>5.29</v>
      </c>
      <c r="BW146" s="6">
        <v>4.5299999999999994</v>
      </c>
      <c r="BX146" s="6">
        <v>3.71</v>
      </c>
      <c r="BY146" s="6">
        <v>5.75</v>
      </c>
      <c r="BZ146" s="6">
        <v>6.26</v>
      </c>
      <c r="CA146" s="6">
        <v>5.88</v>
      </c>
      <c r="CB146" s="6">
        <v>4.24</v>
      </c>
      <c r="CC146" s="6">
        <v>3.3200000000000003</v>
      </c>
      <c r="CD146" s="6">
        <v>8.0500000000000007</v>
      </c>
      <c r="CE146" s="6">
        <v>6.7799999999999994</v>
      </c>
      <c r="CF146" s="6">
        <v>4.04</v>
      </c>
      <c r="CG146" s="6">
        <v>4.6399999999999997</v>
      </c>
      <c r="CH146" s="6"/>
    </row>
    <row r="147" spans="1:86" ht="15.75" customHeight="1" x14ac:dyDescent="0.25">
      <c r="A147" s="4">
        <v>145</v>
      </c>
      <c r="B147" s="2"/>
      <c r="C147" s="4">
        <v>25</v>
      </c>
      <c r="D147" s="6">
        <v>7.43</v>
      </c>
      <c r="E147" s="6">
        <v>5.88</v>
      </c>
      <c r="F147" s="6">
        <v>5.48</v>
      </c>
      <c r="G147" s="6">
        <v>7.73</v>
      </c>
      <c r="H147" s="6">
        <v>2.2799999999999998</v>
      </c>
      <c r="I147" s="6">
        <v>6.83</v>
      </c>
      <c r="J147" s="6">
        <v>4.83</v>
      </c>
      <c r="K147" s="6">
        <v>5.23</v>
      </c>
      <c r="L147" s="6">
        <v>5.88</v>
      </c>
      <c r="M147" s="6">
        <v>5.51</v>
      </c>
      <c r="N147" s="6">
        <v>7.03</v>
      </c>
      <c r="O147" s="6">
        <v>6.53</v>
      </c>
      <c r="P147" s="6">
        <v>4.9800000000000004</v>
      </c>
      <c r="Q147" s="6">
        <v>5.43</v>
      </c>
      <c r="R147" s="6">
        <v>4.78</v>
      </c>
      <c r="S147" s="6">
        <v>5.18</v>
      </c>
      <c r="T147" s="6">
        <v>3.63</v>
      </c>
      <c r="U147" s="6">
        <v>4.55</v>
      </c>
      <c r="V147" s="6">
        <v>1.56</v>
      </c>
      <c r="W147" s="6">
        <v>3.8</v>
      </c>
      <c r="X147" s="6">
        <v>6</v>
      </c>
      <c r="Y147" s="6">
        <v>2.29</v>
      </c>
      <c r="Z147" s="6">
        <v>3.08</v>
      </c>
      <c r="AA147" s="6">
        <v>2.98</v>
      </c>
      <c r="AB147" s="6">
        <v>5.66</v>
      </c>
      <c r="AC147" s="6">
        <v>4.68</v>
      </c>
      <c r="AD147" s="6">
        <v>5.53</v>
      </c>
      <c r="AE147" s="6">
        <v>5.87</v>
      </c>
      <c r="AF147" s="6">
        <v>5.63</v>
      </c>
      <c r="AG147" s="6">
        <v>7.72</v>
      </c>
      <c r="AH147" s="6">
        <v>2.81</v>
      </c>
      <c r="AI147" s="6">
        <v>3.01</v>
      </c>
      <c r="AJ147" s="6">
        <v>3.07</v>
      </c>
      <c r="AK147" s="6">
        <v>7.27</v>
      </c>
      <c r="AL147" s="6">
        <v>2.2400000000000002</v>
      </c>
      <c r="AM147" s="6">
        <v>4.8899999999999997</v>
      </c>
      <c r="AN147" s="6">
        <v>4.6100000000000003</v>
      </c>
      <c r="AO147" s="6">
        <v>5.67</v>
      </c>
      <c r="AP147" s="6">
        <v>6.85</v>
      </c>
      <c r="AQ147" s="6">
        <v>6.92</v>
      </c>
      <c r="AR147" s="6">
        <v>6.36</v>
      </c>
      <c r="AS147" s="6">
        <v>2.37</v>
      </c>
      <c r="AT147" s="6">
        <v>3.2</v>
      </c>
      <c r="AU147" s="6">
        <v>3.87</v>
      </c>
      <c r="AV147" s="6">
        <v>5.35</v>
      </c>
      <c r="AW147" s="6">
        <v>2.38</v>
      </c>
      <c r="AX147" s="6">
        <v>4.88</v>
      </c>
      <c r="AY147" s="6">
        <v>6.7</v>
      </c>
      <c r="AZ147" s="6">
        <v>4.58</v>
      </c>
      <c r="BA147" s="6">
        <v>3.55</v>
      </c>
      <c r="BB147" s="6">
        <v>5.89</v>
      </c>
      <c r="BC147" s="6">
        <f>5.2+0.43</f>
        <v>5.63</v>
      </c>
      <c r="BD147" s="6">
        <v>3.8437600000000001</v>
      </c>
      <c r="BE147" s="6">
        <v>4.7</v>
      </c>
      <c r="BF147" s="6">
        <v>4.54</v>
      </c>
      <c r="BG147" s="6">
        <v>5.88</v>
      </c>
      <c r="BH147" s="6">
        <v>6.03</v>
      </c>
      <c r="BI147" s="6">
        <v>5.28</v>
      </c>
      <c r="BJ147" s="6">
        <v>4.17</v>
      </c>
      <c r="BK147" s="6">
        <v>4.9800000000000004</v>
      </c>
      <c r="BL147" s="6">
        <v>5.54</v>
      </c>
      <c r="BM147" s="6">
        <v>5.81</v>
      </c>
      <c r="BN147" s="6">
        <v>6.36</v>
      </c>
      <c r="BO147" s="6">
        <v>6.1</v>
      </c>
      <c r="BP147" s="6">
        <v>5.33</v>
      </c>
      <c r="BQ147" s="6">
        <v>3.96</v>
      </c>
      <c r="BR147" s="6">
        <v>3.79</v>
      </c>
      <c r="BS147" s="6">
        <v>6.03</v>
      </c>
      <c r="BT147" s="6">
        <v>6.93</v>
      </c>
      <c r="BU147" s="6">
        <v>7.81</v>
      </c>
      <c r="BV147" s="6">
        <v>5.34</v>
      </c>
      <c r="BW147" s="6">
        <v>4.59</v>
      </c>
      <c r="BX147" s="6">
        <v>3.79</v>
      </c>
      <c r="BY147" s="6">
        <v>5.7799999999999994</v>
      </c>
      <c r="BZ147" s="6">
        <v>6.1999999999999993</v>
      </c>
      <c r="CA147" s="6">
        <v>5.9499999999999993</v>
      </c>
      <c r="CB147" s="6">
        <v>4.54</v>
      </c>
      <c r="CC147" s="6">
        <v>3.47</v>
      </c>
      <c r="CD147" s="6">
        <v>8.15</v>
      </c>
      <c r="CE147" s="6">
        <v>7.06</v>
      </c>
      <c r="CF147" s="6">
        <v>4.21</v>
      </c>
      <c r="CG147" s="6">
        <v>4.76</v>
      </c>
      <c r="CH147" s="6"/>
    </row>
    <row r="148" spans="1:86" ht="15.75" customHeight="1" x14ac:dyDescent="0.25">
      <c r="A148" s="4">
        <v>146</v>
      </c>
      <c r="B148" s="2"/>
      <c r="C148" s="4">
        <v>26</v>
      </c>
      <c r="D148" s="6">
        <v>7.48</v>
      </c>
      <c r="E148" s="6">
        <v>6.23</v>
      </c>
      <c r="F148" s="6">
        <v>5.73</v>
      </c>
      <c r="G148" s="6">
        <v>7.83</v>
      </c>
      <c r="H148" s="6">
        <v>2.33</v>
      </c>
      <c r="I148" s="6">
        <v>7.03</v>
      </c>
      <c r="J148" s="6">
        <v>4.83</v>
      </c>
      <c r="K148" s="6">
        <v>5.43</v>
      </c>
      <c r="L148" s="6">
        <v>6.03</v>
      </c>
      <c r="M148" s="6">
        <v>5.43</v>
      </c>
      <c r="N148" s="6">
        <v>7.18</v>
      </c>
      <c r="O148" s="6">
        <v>6.63</v>
      </c>
      <c r="P148" s="6">
        <v>5.08</v>
      </c>
      <c r="Q148" s="6">
        <v>5.53</v>
      </c>
      <c r="R148" s="6">
        <v>4.9000000000000004</v>
      </c>
      <c r="S148" s="6">
        <v>5.18</v>
      </c>
      <c r="T148" s="6">
        <v>3.83</v>
      </c>
      <c r="U148" s="6">
        <v>4.78</v>
      </c>
      <c r="V148" s="6">
        <v>1.61</v>
      </c>
      <c r="W148" s="6">
        <v>4.13</v>
      </c>
      <c r="X148" s="6">
        <v>6.18</v>
      </c>
      <c r="Y148" s="6">
        <v>2.29</v>
      </c>
      <c r="Z148" s="6">
        <v>3.31</v>
      </c>
      <c r="AA148" s="6">
        <v>3.05</v>
      </c>
      <c r="AB148" s="6">
        <v>5.7</v>
      </c>
      <c r="AC148" s="6">
        <v>4.92</v>
      </c>
      <c r="AD148" s="6">
        <v>5.69</v>
      </c>
      <c r="AE148" s="6">
        <v>5.73</v>
      </c>
      <c r="AF148" s="6">
        <v>5.76</v>
      </c>
      <c r="AG148" s="6">
        <v>7.95</v>
      </c>
      <c r="AH148" s="6">
        <v>2.95</v>
      </c>
      <c r="AI148" s="6">
        <v>3</v>
      </c>
      <c r="AJ148" s="6">
        <v>3.21</v>
      </c>
      <c r="AK148" s="6">
        <v>7.27</v>
      </c>
      <c r="AL148" s="6">
        <v>2.37</v>
      </c>
      <c r="AM148" s="6">
        <v>4.9800000000000004</v>
      </c>
      <c r="AN148" s="6">
        <v>4.7300000000000004</v>
      </c>
      <c r="AO148" s="6">
        <v>5.85</v>
      </c>
      <c r="AP148" s="6">
        <v>6.95</v>
      </c>
      <c r="AQ148" s="6">
        <v>7.16</v>
      </c>
      <c r="AR148" s="6">
        <v>6.49</v>
      </c>
      <c r="AS148" s="6">
        <v>2.44</v>
      </c>
      <c r="AT148" s="6">
        <v>3.24</v>
      </c>
      <c r="AU148" s="6">
        <v>3.89</v>
      </c>
      <c r="AV148" s="6">
        <v>5.49</v>
      </c>
      <c r="AW148" s="6">
        <v>2.4900000000000002</v>
      </c>
      <c r="AX148" s="6">
        <v>5.04</v>
      </c>
      <c r="AY148" s="6">
        <v>6.86</v>
      </c>
      <c r="AZ148" s="6">
        <v>4.6399999999999997</v>
      </c>
      <c r="BA148" s="6">
        <v>3.73</v>
      </c>
      <c r="BB148" s="6">
        <v>5.91</v>
      </c>
      <c r="BC148" s="6">
        <f>5.3+0.43</f>
        <v>5.7299999999999995</v>
      </c>
      <c r="BD148" s="6">
        <v>3.8742399999999999</v>
      </c>
      <c r="BE148" s="6">
        <v>4.7300000000000004</v>
      </c>
      <c r="BF148" s="6">
        <v>4.63</v>
      </c>
      <c r="BG148" s="6">
        <v>6.06</v>
      </c>
      <c r="BH148" s="6">
        <v>6.08</v>
      </c>
      <c r="BI148" s="7">
        <v>5.46</v>
      </c>
      <c r="BJ148" s="7">
        <v>4.21</v>
      </c>
      <c r="BK148" s="7">
        <v>5.0999999999999996</v>
      </c>
      <c r="BL148" s="7">
        <v>5.59</v>
      </c>
      <c r="BM148" s="7">
        <v>5.98</v>
      </c>
      <c r="BN148" s="7">
        <v>6.45</v>
      </c>
      <c r="BO148" s="7">
        <v>6.11</v>
      </c>
      <c r="BP148" s="7">
        <v>5.36</v>
      </c>
      <c r="BQ148" s="7">
        <v>4.0199999999999996</v>
      </c>
      <c r="BR148" s="7">
        <v>3.79</v>
      </c>
      <c r="BS148" s="7">
        <v>6.09</v>
      </c>
      <c r="BT148" s="7">
        <v>7.11</v>
      </c>
      <c r="BU148" s="7">
        <v>7.8999999999999995</v>
      </c>
      <c r="BV148" s="7">
        <v>5.47</v>
      </c>
      <c r="BW148" s="7">
        <v>4.6099999999999994</v>
      </c>
      <c r="BX148" s="7">
        <v>3.8400000000000003</v>
      </c>
      <c r="BY148" s="7">
        <v>5.88</v>
      </c>
      <c r="BZ148" s="7">
        <v>6.3</v>
      </c>
      <c r="CA148" s="7">
        <v>6.0299999999999994</v>
      </c>
      <c r="CB148" s="7">
        <v>4.47</v>
      </c>
      <c r="CC148" s="7">
        <v>3.62</v>
      </c>
      <c r="CD148" s="6">
        <v>8.2100000000000009</v>
      </c>
      <c r="CE148" s="6">
        <v>7.1899999999999995</v>
      </c>
      <c r="CF148" s="6">
        <v>4.3099999999999996</v>
      </c>
      <c r="CG148" s="6">
        <v>4.8600000000000003</v>
      </c>
      <c r="CH148" s="6"/>
    </row>
    <row r="149" spans="1:86" ht="15.75" customHeight="1" x14ac:dyDescent="0.25">
      <c r="A149" s="4">
        <v>147</v>
      </c>
      <c r="B149" s="2"/>
      <c r="C149" s="4">
        <v>27</v>
      </c>
      <c r="D149" s="6">
        <v>7.53</v>
      </c>
      <c r="E149" s="6">
        <v>6.58</v>
      </c>
      <c r="F149" s="6">
        <v>5.93</v>
      </c>
      <c r="G149" s="6">
        <v>7.93</v>
      </c>
      <c r="H149" s="6">
        <v>2.48</v>
      </c>
      <c r="I149" s="6">
        <v>7.03</v>
      </c>
      <c r="J149" s="6">
        <v>4.83</v>
      </c>
      <c r="K149" s="6">
        <v>5.63</v>
      </c>
      <c r="L149" s="6">
        <v>6.08</v>
      </c>
      <c r="M149" s="6">
        <v>5.33</v>
      </c>
      <c r="N149" s="6">
        <v>7.23</v>
      </c>
      <c r="O149" s="6">
        <v>6.75</v>
      </c>
      <c r="P149" s="6">
        <v>5.23</v>
      </c>
      <c r="Q149" s="6">
        <v>5.63</v>
      </c>
      <c r="R149" s="6">
        <v>5.03</v>
      </c>
      <c r="S149" s="6">
        <v>5.18</v>
      </c>
      <c r="T149" s="6">
        <v>4.03</v>
      </c>
      <c r="U149" s="6">
        <v>4.93</v>
      </c>
      <c r="V149" s="6">
        <v>1.71</v>
      </c>
      <c r="W149" s="6">
        <v>4.33</v>
      </c>
      <c r="X149" s="6">
        <v>6.37</v>
      </c>
      <c r="Y149" s="6">
        <v>2.33</v>
      </c>
      <c r="Z149" s="6">
        <v>3.61</v>
      </c>
      <c r="AA149" s="6">
        <v>3.13</v>
      </c>
      <c r="AB149" s="6">
        <v>5.69</v>
      </c>
      <c r="AC149" s="6">
        <v>5.13</v>
      </c>
      <c r="AD149" s="6">
        <v>5.82</v>
      </c>
      <c r="AE149" s="6">
        <v>5.75</v>
      </c>
      <c r="AF149" s="6">
        <v>5.4</v>
      </c>
      <c r="AG149" s="6">
        <v>8.24</v>
      </c>
      <c r="AH149" s="6">
        <v>3.17</v>
      </c>
      <c r="AI149" s="6">
        <v>2.98</v>
      </c>
      <c r="AJ149" s="6">
        <v>3.35</v>
      </c>
      <c r="AK149" s="6">
        <v>7.81</v>
      </c>
      <c r="AL149" s="6">
        <v>2.5299999999999998</v>
      </c>
      <c r="AM149" s="6">
        <v>5.0199999999999996</v>
      </c>
      <c r="AN149" s="6">
        <v>4.8499999999999996</v>
      </c>
      <c r="AO149" s="6">
        <v>5.79</v>
      </c>
      <c r="AP149" s="6">
        <v>7.08</v>
      </c>
      <c r="AQ149" s="6">
        <v>7.28</v>
      </c>
      <c r="AR149" s="6">
        <v>7</v>
      </c>
      <c r="AS149" s="6">
        <v>2.48</v>
      </c>
      <c r="AT149" s="6">
        <v>3.27</v>
      </c>
      <c r="AU149" s="6">
        <v>4</v>
      </c>
      <c r="AV149" s="6">
        <v>5.65</v>
      </c>
      <c r="AW149" s="6">
        <v>2.5299999999999998</v>
      </c>
      <c r="AX149" s="6">
        <v>5.15</v>
      </c>
      <c r="AY149" s="6">
        <v>7.03</v>
      </c>
      <c r="AZ149" s="6">
        <v>4.6399999999999997</v>
      </c>
      <c r="BA149" s="6">
        <v>3.85</v>
      </c>
      <c r="BB149" s="6">
        <v>5.94</v>
      </c>
      <c r="BC149" s="6">
        <f>5.36+0.43</f>
        <v>5.79</v>
      </c>
      <c r="BD149" s="6">
        <v>3.9047200000000002</v>
      </c>
      <c r="BE149" s="6">
        <v>4.76</v>
      </c>
      <c r="BF149" s="6">
        <v>4.8099999999999996</v>
      </c>
      <c r="BG149" s="6">
        <v>6.19</v>
      </c>
      <c r="BH149" s="6">
        <v>6.13</v>
      </c>
      <c r="BI149" s="7">
        <v>5.6</v>
      </c>
      <c r="BJ149" s="7">
        <v>4.4000000000000004</v>
      </c>
      <c r="BK149" s="7">
        <v>5.28</v>
      </c>
      <c r="BL149" s="7">
        <v>5.83</v>
      </c>
      <c r="BM149" s="7">
        <v>6.12</v>
      </c>
      <c r="BN149" s="7">
        <v>6.51</v>
      </c>
      <c r="BO149" s="7">
        <v>6.11</v>
      </c>
      <c r="BP149" s="7">
        <v>5.35</v>
      </c>
      <c r="BQ149" s="7">
        <v>4.0599999999999996</v>
      </c>
      <c r="BR149" s="7">
        <v>3.76</v>
      </c>
      <c r="BS149" s="7">
        <v>6.18</v>
      </c>
      <c r="BT149" s="7">
        <v>7.37</v>
      </c>
      <c r="BU149" s="7">
        <v>7.89</v>
      </c>
      <c r="BV149" s="7">
        <v>5.59</v>
      </c>
      <c r="BW149" s="7">
        <v>4.63</v>
      </c>
      <c r="BX149" s="7">
        <v>3.8800000000000003</v>
      </c>
      <c r="BY149" s="7">
        <v>5.88</v>
      </c>
      <c r="BZ149" s="7">
        <v>6.37</v>
      </c>
      <c r="CA149" s="7">
        <v>6.06</v>
      </c>
      <c r="CB149" s="7">
        <v>4.51</v>
      </c>
      <c r="CC149" s="7">
        <v>3.79</v>
      </c>
      <c r="CD149" s="6">
        <v>8.27</v>
      </c>
      <c r="CE149" s="6">
        <v>7.14</v>
      </c>
      <c r="CF149" s="6">
        <v>4.3600000000000003</v>
      </c>
      <c r="CG149" s="6">
        <v>4.9800000000000004</v>
      </c>
      <c r="CH149" s="6"/>
    </row>
    <row r="150" spans="1:86" ht="15.75" customHeight="1" x14ac:dyDescent="0.25">
      <c r="A150" s="4">
        <v>148</v>
      </c>
      <c r="B150" s="2"/>
      <c r="C150" s="4">
        <v>28</v>
      </c>
      <c r="D150" s="6">
        <v>7.73</v>
      </c>
      <c r="E150" s="6">
        <v>6.83</v>
      </c>
      <c r="F150" s="6">
        <v>6.13</v>
      </c>
      <c r="G150" s="6">
        <v>8.0299999999999994</v>
      </c>
      <c r="H150" s="6">
        <v>2.48</v>
      </c>
      <c r="I150" s="6">
        <v>7.08</v>
      </c>
      <c r="J150" s="6">
        <v>5.08</v>
      </c>
      <c r="K150" s="6">
        <v>5.73</v>
      </c>
      <c r="L150" s="6">
        <v>6.08</v>
      </c>
      <c r="M150" s="6">
        <v>5.53</v>
      </c>
      <c r="N150" s="6">
        <v>7.33</v>
      </c>
      <c r="O150" s="6">
        <v>6.9</v>
      </c>
      <c r="P150" s="6">
        <v>5.47</v>
      </c>
      <c r="Q150" s="6">
        <v>5.73</v>
      </c>
      <c r="R150" s="6">
        <v>5.13</v>
      </c>
      <c r="S150" s="6">
        <v>5.08</v>
      </c>
      <c r="T150" s="6">
        <v>4.13</v>
      </c>
      <c r="U150" s="6">
        <v>5.08</v>
      </c>
      <c r="V150" s="6">
        <v>1.91</v>
      </c>
      <c r="W150" s="6">
        <v>4.71</v>
      </c>
      <c r="X150" s="6">
        <v>6.61</v>
      </c>
      <c r="Y150" s="6">
        <v>2.36</v>
      </c>
      <c r="Z150" s="6">
        <v>3.93</v>
      </c>
      <c r="AA150" s="6">
        <v>3.2</v>
      </c>
      <c r="AB150" s="6">
        <v>5.69</v>
      </c>
      <c r="AC150" s="6">
        <v>5.3</v>
      </c>
      <c r="AD150" s="6">
        <v>5.96</v>
      </c>
      <c r="AE150" s="6">
        <v>5.75</v>
      </c>
      <c r="AF150" s="6">
        <v>5.13</v>
      </c>
      <c r="AG150" s="6">
        <v>8.1</v>
      </c>
      <c r="AH150" s="6">
        <v>3.36</v>
      </c>
      <c r="AI150" s="6">
        <v>3.06</v>
      </c>
      <c r="AJ150" s="6">
        <v>3.51</v>
      </c>
      <c r="AK150" s="6">
        <v>8.11</v>
      </c>
      <c r="AL150" s="6">
        <v>2.73</v>
      </c>
      <c r="AM150" s="6">
        <v>5.0599999999999996</v>
      </c>
      <c r="AN150" s="6">
        <v>4.88</v>
      </c>
      <c r="AO150" s="6">
        <v>6.08</v>
      </c>
      <c r="AP150" s="6">
        <v>7.27</v>
      </c>
      <c r="AQ150" s="6">
        <v>7.2</v>
      </c>
      <c r="AR150" s="6">
        <v>7.2</v>
      </c>
      <c r="AS150" s="6">
        <v>2.5099999999999998</v>
      </c>
      <c r="AT150" s="6">
        <v>3.33</v>
      </c>
      <c r="AU150" s="6">
        <v>4.13</v>
      </c>
      <c r="AV150" s="6">
        <v>5.76</v>
      </c>
      <c r="AW150" s="6">
        <v>2.58</v>
      </c>
      <c r="AX150" s="6">
        <v>5.25</v>
      </c>
      <c r="AY150" s="6">
        <v>7.23</v>
      </c>
      <c r="AZ150" s="6">
        <v>4.82</v>
      </c>
      <c r="BA150" s="6">
        <v>3.98</v>
      </c>
      <c r="BB150" s="6">
        <v>6.03</v>
      </c>
      <c r="BC150" s="6">
        <f>5.44+0.43</f>
        <v>5.87</v>
      </c>
      <c r="BD150" s="6">
        <v>3.9656799999999999</v>
      </c>
      <c r="BE150" s="6">
        <v>4.79</v>
      </c>
      <c r="BF150" s="6">
        <v>5.09</v>
      </c>
      <c r="BG150" s="6">
        <v>6.23</v>
      </c>
      <c r="BH150" s="6">
        <v>6.19</v>
      </c>
      <c r="BI150" s="7">
        <v>5.63</v>
      </c>
      <c r="BJ150" s="7">
        <v>4.21</v>
      </c>
      <c r="BK150" s="7">
        <v>5.54</v>
      </c>
      <c r="BL150" s="7">
        <v>5.93</v>
      </c>
      <c r="BM150" s="7">
        <v>6.21</v>
      </c>
      <c r="BN150" s="7">
        <v>6.52</v>
      </c>
      <c r="BO150" s="7">
        <v>6.11</v>
      </c>
      <c r="BP150" s="7">
        <v>5.35</v>
      </c>
      <c r="BQ150" s="7">
        <v>4.2</v>
      </c>
      <c r="BR150" s="7">
        <v>3.76</v>
      </c>
      <c r="BS150" s="7">
        <v>6.28</v>
      </c>
      <c r="BT150" s="7">
        <v>7.42</v>
      </c>
      <c r="BU150" s="7">
        <v>7.88</v>
      </c>
      <c r="BV150" s="7">
        <v>5.64</v>
      </c>
      <c r="BW150" s="7">
        <v>4.62</v>
      </c>
      <c r="BX150" s="7">
        <v>4.1399999999999997</v>
      </c>
      <c r="BY150" s="7">
        <v>5.91</v>
      </c>
      <c r="BZ150" s="7">
        <v>6.47</v>
      </c>
      <c r="CA150" s="7">
        <v>6.33</v>
      </c>
      <c r="CB150" s="7">
        <v>4.87</v>
      </c>
      <c r="CC150" s="7">
        <v>3.73</v>
      </c>
      <c r="CD150" s="6">
        <v>8.35</v>
      </c>
      <c r="CE150" s="6">
        <v>7.1999999999999993</v>
      </c>
      <c r="CF150" s="6">
        <v>4.46</v>
      </c>
      <c r="CG150" s="6">
        <v>5.09</v>
      </c>
      <c r="CH150" s="6"/>
    </row>
    <row r="151" spans="1:86" ht="15.75" customHeight="1" x14ac:dyDescent="0.25">
      <c r="A151" s="4">
        <v>149</v>
      </c>
      <c r="B151" s="2"/>
      <c r="C151" s="4">
        <v>29</v>
      </c>
      <c r="D151" s="6">
        <v>7.88</v>
      </c>
      <c r="E151" s="6">
        <v>7.13</v>
      </c>
      <c r="F151" s="6">
        <v>6.23</v>
      </c>
      <c r="G151" s="6">
        <v>8.08</v>
      </c>
      <c r="H151" s="6">
        <v>2.5299999999999998</v>
      </c>
      <c r="I151" s="6">
        <v>7.13</v>
      </c>
      <c r="J151" s="6">
        <v>5.33</v>
      </c>
      <c r="K151" s="6">
        <v>5.83</v>
      </c>
      <c r="L151" s="6">
        <v>6.08</v>
      </c>
      <c r="M151" s="6">
        <v>5.68</v>
      </c>
      <c r="N151" s="6">
        <v>7.38</v>
      </c>
      <c r="O151" s="6">
        <v>6.93</v>
      </c>
      <c r="P151" s="6">
        <v>5.73</v>
      </c>
      <c r="Q151" s="6">
        <v>5.83</v>
      </c>
      <c r="R151" s="6">
        <v>5.23</v>
      </c>
      <c r="S151" s="6">
        <v>5.03</v>
      </c>
      <c r="T151" s="6">
        <v>4.21</v>
      </c>
      <c r="U151" s="6">
        <v>5.23</v>
      </c>
      <c r="V151" s="6">
        <v>1.91</v>
      </c>
      <c r="W151" s="6">
        <v>4.93</v>
      </c>
      <c r="X151" s="6">
        <v>6.73</v>
      </c>
      <c r="Y151" s="6">
        <v>2.41</v>
      </c>
      <c r="Z151" s="6">
        <v>4.18</v>
      </c>
      <c r="AA151" s="6">
        <v>3.33</v>
      </c>
      <c r="AB151" s="6">
        <v>5.72</v>
      </c>
      <c r="AC151" s="6">
        <v>5.43</v>
      </c>
      <c r="AD151" s="6">
        <v>6.12</v>
      </c>
      <c r="AE151" s="6">
        <v>5.72</v>
      </c>
      <c r="AF151" s="6">
        <v>5.07</v>
      </c>
      <c r="AG151" s="6">
        <v>8.43</v>
      </c>
      <c r="AH151" s="6">
        <v>3.5</v>
      </c>
      <c r="AI151" s="6">
        <v>3.03</v>
      </c>
      <c r="AJ151" s="6">
        <v>3.57</v>
      </c>
      <c r="AK151" s="6">
        <v>8.16</v>
      </c>
      <c r="AL151" s="6">
        <v>2.96</v>
      </c>
      <c r="AM151" s="6">
        <v>5.19</v>
      </c>
      <c r="AN151" s="6">
        <v>4.99</v>
      </c>
      <c r="AO151" s="6">
        <v>6.2</v>
      </c>
      <c r="AP151" s="6">
        <v>7.42</v>
      </c>
      <c r="AQ151" s="6">
        <v>7.52</v>
      </c>
      <c r="AR151" s="6">
        <v>7.28</v>
      </c>
      <c r="AS151" s="6">
        <v>2.6</v>
      </c>
      <c r="AT151" s="6">
        <v>3.39</v>
      </c>
      <c r="AU151" s="6">
        <v>4.2300000000000004</v>
      </c>
      <c r="AV151" s="6">
        <v>5.88</v>
      </c>
      <c r="AW151" s="6">
        <v>2.63</v>
      </c>
      <c r="AX151" s="6">
        <v>5.31</v>
      </c>
      <c r="AY151" s="6">
        <v>7.34</v>
      </c>
      <c r="AZ151" s="6">
        <v>4.87</v>
      </c>
      <c r="BA151" s="6">
        <v>4.05</v>
      </c>
      <c r="BB151" s="6">
        <v>6.11</v>
      </c>
      <c r="BC151" s="6">
        <f t="shared" ref="BC151:BC152" si="6">5.45+0.43</f>
        <v>5.88</v>
      </c>
      <c r="BD151" s="6">
        <v>4.0571200000000003</v>
      </c>
      <c r="BE151" s="6">
        <v>4.8499999999999996</v>
      </c>
      <c r="BF151" s="6">
        <v>5.18</v>
      </c>
      <c r="BG151" s="6">
        <v>6.34</v>
      </c>
      <c r="BH151" s="6">
        <v>6.22</v>
      </c>
      <c r="BI151" s="7">
        <v>5.66</v>
      </c>
      <c r="BJ151" s="7">
        <v>4.37</v>
      </c>
      <c r="BK151" s="7">
        <v>5.7</v>
      </c>
      <c r="BL151" s="7">
        <v>6.02</v>
      </c>
      <c r="BM151" s="7">
        <v>6.21</v>
      </c>
      <c r="BN151" s="7">
        <v>6.5</v>
      </c>
      <c r="BO151" s="7">
        <v>6.11</v>
      </c>
      <c r="BP151" s="7">
        <v>5.35</v>
      </c>
      <c r="BQ151" s="7">
        <v>4.32</v>
      </c>
      <c r="BR151" s="7">
        <v>3.78</v>
      </c>
      <c r="BS151" s="7">
        <v>6.36</v>
      </c>
      <c r="BT151" s="7">
        <v>7.58</v>
      </c>
      <c r="BU151" s="7">
        <v>7.89</v>
      </c>
      <c r="BV151" s="7">
        <v>5.6499999999999995</v>
      </c>
      <c r="BW151" s="7">
        <v>4.63</v>
      </c>
      <c r="BX151" s="7">
        <v>4.0599999999999996</v>
      </c>
      <c r="BY151" s="7">
        <v>5.9799999999999995</v>
      </c>
      <c r="BZ151" s="7">
        <v>6.58</v>
      </c>
      <c r="CA151" s="7">
        <v>6.34</v>
      </c>
      <c r="CB151" s="7">
        <v>4.92</v>
      </c>
      <c r="CC151" s="7">
        <v>3.94</v>
      </c>
      <c r="CD151" s="6">
        <v>8.43</v>
      </c>
      <c r="CE151" s="6">
        <v>7.46</v>
      </c>
      <c r="CF151" s="6">
        <v>4.63</v>
      </c>
      <c r="CG151" s="6">
        <v>5.16</v>
      </c>
      <c r="CH151" s="6"/>
    </row>
    <row r="152" spans="1:86" ht="15.75" customHeight="1" x14ac:dyDescent="0.25">
      <c r="A152" s="4">
        <v>150</v>
      </c>
      <c r="B152" s="2"/>
      <c r="C152" s="4">
        <v>30</v>
      </c>
      <c r="D152" s="6">
        <v>7.98</v>
      </c>
      <c r="E152" s="6">
        <v>7.33</v>
      </c>
      <c r="F152" s="6">
        <v>6.53</v>
      </c>
      <c r="G152" s="6">
        <v>8.1300000000000008</v>
      </c>
      <c r="H152" s="6">
        <v>2.68</v>
      </c>
      <c r="I152" s="6">
        <v>7.03</v>
      </c>
      <c r="J152" s="6">
        <v>5.53</v>
      </c>
      <c r="K152" s="6">
        <v>5.93</v>
      </c>
      <c r="L152" s="6">
        <v>6.08</v>
      </c>
      <c r="M152" s="6">
        <v>5.73</v>
      </c>
      <c r="N152" s="6">
        <v>7.43</v>
      </c>
      <c r="O152" s="6">
        <v>7.01</v>
      </c>
      <c r="P152" s="6">
        <v>5.88</v>
      </c>
      <c r="Q152" s="6">
        <v>5.88</v>
      </c>
      <c r="R152" s="6">
        <v>5.33</v>
      </c>
      <c r="S152" s="6">
        <v>4.9800000000000004</v>
      </c>
      <c r="T152" s="6">
        <v>4.21</v>
      </c>
      <c r="U152" s="6">
        <v>5.56</v>
      </c>
      <c r="V152" s="6">
        <v>2.06</v>
      </c>
      <c r="W152" s="6">
        <v>5.0599999999999996</v>
      </c>
      <c r="X152" s="6">
        <v>6.91</v>
      </c>
      <c r="Y152" s="6">
        <v>2.73</v>
      </c>
      <c r="Z152" s="6">
        <v>4.41</v>
      </c>
      <c r="AA152" s="6">
        <v>3.61</v>
      </c>
      <c r="AB152" s="6">
        <v>5.87</v>
      </c>
      <c r="AC152" s="6">
        <v>5.51</v>
      </c>
      <c r="AD152" s="6">
        <v>6.22</v>
      </c>
      <c r="AE152" s="6">
        <v>5.74</v>
      </c>
      <c r="AF152" s="6">
        <v>5.57</v>
      </c>
      <c r="AG152" s="6">
        <v>8.43</v>
      </c>
      <c r="AH152" s="6">
        <v>3.64</v>
      </c>
      <c r="AI152" s="6">
        <v>3.03</v>
      </c>
      <c r="AJ152" s="6">
        <v>3.61</v>
      </c>
      <c r="AK152" s="6">
        <v>8.1300000000000008</v>
      </c>
      <c r="AL152" s="6">
        <v>3.19</v>
      </c>
      <c r="AM152" s="6">
        <v>5.28</v>
      </c>
      <c r="AN152" s="6">
        <v>5.07</v>
      </c>
      <c r="AO152" s="6">
        <v>6.28</v>
      </c>
      <c r="AP152" s="6">
        <v>7.52</v>
      </c>
      <c r="AQ152" s="6">
        <v>7.44</v>
      </c>
      <c r="AR152" s="6">
        <v>7.33</v>
      </c>
      <c r="AS152" s="6">
        <v>2.86</v>
      </c>
      <c r="AT152" s="6">
        <v>3.47</v>
      </c>
      <c r="AU152" s="6">
        <v>4.29</v>
      </c>
      <c r="AV152" s="6">
        <v>6</v>
      </c>
      <c r="AW152" s="6">
        <v>2.68</v>
      </c>
      <c r="AX152" s="6">
        <v>5.49</v>
      </c>
      <c r="AY152" s="6">
        <v>7.43</v>
      </c>
      <c r="AZ152" s="6">
        <v>4.95</v>
      </c>
      <c r="BA152" s="6">
        <v>4.12</v>
      </c>
      <c r="BB152" s="6">
        <v>6.13</v>
      </c>
      <c r="BC152" s="6">
        <f t="shared" si="6"/>
        <v>5.88</v>
      </c>
      <c r="BD152" s="6">
        <v>4.1790399999999996</v>
      </c>
      <c r="BE152" s="6">
        <v>5.12</v>
      </c>
      <c r="BF152" s="6">
        <v>5.27</v>
      </c>
      <c r="BG152" s="6">
        <v>6.43</v>
      </c>
      <c r="BH152" s="6">
        <v>6.19</v>
      </c>
      <c r="BI152" s="7">
        <v>5.95</v>
      </c>
      <c r="BJ152" s="7">
        <v>4.46</v>
      </c>
      <c r="BK152" s="7">
        <v>5.83</v>
      </c>
      <c r="BL152" s="7">
        <v>6.03</v>
      </c>
      <c r="BM152" s="7">
        <v>6.23</v>
      </c>
      <c r="BN152" s="7">
        <v>6.56</v>
      </c>
      <c r="BO152" s="7">
        <v>6.18</v>
      </c>
      <c r="BP152" s="7">
        <v>5.42</v>
      </c>
      <c r="BQ152" s="7">
        <v>4.51</v>
      </c>
      <c r="BR152" s="7">
        <v>3.77</v>
      </c>
      <c r="BS152" s="7">
        <v>6.42</v>
      </c>
      <c r="BT152" s="7">
        <v>7.7</v>
      </c>
      <c r="BU152" s="7">
        <v>7.79</v>
      </c>
      <c r="BV152" s="7">
        <v>5.7399999999999993</v>
      </c>
      <c r="BW152" s="7">
        <v>4.6399999999999997</v>
      </c>
      <c r="BX152" s="7">
        <v>4.17</v>
      </c>
      <c r="BY152" s="7">
        <v>6.08</v>
      </c>
      <c r="BZ152" s="7">
        <v>6.4799999999999995</v>
      </c>
      <c r="CA152" s="7">
        <v>6.4399999999999995</v>
      </c>
      <c r="CB152" s="7">
        <v>4.93</v>
      </c>
      <c r="CC152" s="7">
        <v>4.08</v>
      </c>
      <c r="CD152" s="6">
        <v>8.51</v>
      </c>
      <c r="CE152" s="6">
        <v>7.63</v>
      </c>
      <c r="CF152" s="6">
        <v>4.74</v>
      </c>
      <c r="CG152" s="6">
        <v>5.18</v>
      </c>
      <c r="CH152" s="6"/>
    </row>
    <row r="153" spans="1:86" ht="15.75" customHeight="1" x14ac:dyDescent="0.25">
      <c r="A153" s="4">
        <v>151</v>
      </c>
      <c r="B153" s="2"/>
      <c r="C153" s="4">
        <v>31</v>
      </c>
      <c r="D153" s="6">
        <v>8.0299999999999994</v>
      </c>
      <c r="E153" s="6">
        <v>7.48</v>
      </c>
      <c r="F153" s="6">
        <v>6.63</v>
      </c>
      <c r="G153" s="6">
        <v>8.1300000000000008</v>
      </c>
      <c r="H153" s="6">
        <v>2.88</v>
      </c>
      <c r="I153" s="6">
        <v>6.93</v>
      </c>
      <c r="J153" s="6">
        <v>5.63</v>
      </c>
      <c r="K153" s="6">
        <v>6.03</v>
      </c>
      <c r="L153" s="6">
        <v>6.03</v>
      </c>
      <c r="M153" s="6">
        <v>5.93</v>
      </c>
      <c r="N153" s="6">
        <v>7.38</v>
      </c>
      <c r="O153" s="6">
        <v>7.03</v>
      </c>
      <c r="P153" s="6">
        <v>5.93</v>
      </c>
      <c r="Q153" s="6">
        <v>5.98</v>
      </c>
      <c r="R153" s="6">
        <v>5.33</v>
      </c>
      <c r="S153" s="6">
        <v>4.9800000000000004</v>
      </c>
      <c r="T153" s="6">
        <v>4.2300000000000004</v>
      </c>
      <c r="U153" s="6">
        <v>5.64</v>
      </c>
      <c r="V153" s="6">
        <v>2.13</v>
      </c>
      <c r="W153" s="6">
        <v>5.13</v>
      </c>
      <c r="X153" s="6">
        <v>7.04</v>
      </c>
      <c r="Y153" s="6">
        <v>2.98</v>
      </c>
      <c r="Z153" s="6">
        <v>4.63</v>
      </c>
      <c r="AA153" s="6">
        <v>3.76</v>
      </c>
      <c r="AB153" s="6">
        <v>6.03</v>
      </c>
      <c r="AC153" s="6">
        <v>5.56</v>
      </c>
      <c r="AD153" s="6">
        <v>6.28</v>
      </c>
      <c r="AE153" s="6">
        <v>5.8</v>
      </c>
      <c r="AF153" s="6">
        <v>6</v>
      </c>
      <c r="AG153" s="6">
        <v>8.57</v>
      </c>
      <c r="AH153" s="6">
        <v>3.76</v>
      </c>
      <c r="AI153" s="6">
        <v>3</v>
      </c>
      <c r="AJ153" s="6">
        <v>3.81</v>
      </c>
      <c r="AK153" s="6">
        <v>8.15</v>
      </c>
      <c r="AL153" s="6">
        <v>3.39</v>
      </c>
      <c r="AM153" s="6">
        <v>5.39</v>
      </c>
      <c r="AN153" s="6">
        <v>5.16</v>
      </c>
      <c r="AO153" s="6">
        <v>6.36</v>
      </c>
      <c r="AP153" s="6">
        <v>7.6</v>
      </c>
      <c r="AQ153" s="6">
        <v>7.35</v>
      </c>
      <c r="AR153" s="6">
        <v>7.27</v>
      </c>
      <c r="AS153" s="6">
        <v>3.13</v>
      </c>
      <c r="AT153" s="6">
        <v>3.55</v>
      </c>
      <c r="AU153" s="6">
        <v>4.37</v>
      </c>
      <c r="AV153" s="6">
        <v>6.06</v>
      </c>
      <c r="AW153" s="6">
        <v>2.83</v>
      </c>
      <c r="AX153" s="6">
        <v>5.65</v>
      </c>
      <c r="AY153" s="6">
        <v>7.63</v>
      </c>
      <c r="AZ153" s="6">
        <v>5.0199999999999996</v>
      </c>
      <c r="BA153" s="6">
        <v>4.17</v>
      </c>
      <c r="BB153" s="6">
        <v>6.16</v>
      </c>
      <c r="BC153" s="6">
        <f>5.66+0.43</f>
        <v>6.09</v>
      </c>
      <c r="BD153" s="6">
        <v>4.3009599999999999</v>
      </c>
      <c r="BE153" s="6">
        <v>5.4</v>
      </c>
      <c r="BF153" s="6">
        <v>5.36</v>
      </c>
      <c r="BG153" s="6">
        <v>6.43</v>
      </c>
      <c r="BH153" s="6">
        <v>6.13</v>
      </c>
      <c r="BI153" s="7">
        <v>6.08</v>
      </c>
      <c r="BJ153" s="7">
        <v>4.54</v>
      </c>
      <c r="BK153" s="7">
        <v>5.93</v>
      </c>
      <c r="BL153" s="7">
        <v>6.09</v>
      </c>
      <c r="BM153" s="7">
        <v>6.39</v>
      </c>
      <c r="BN153" s="7">
        <v>6.63</v>
      </c>
      <c r="BO153" s="7">
        <v>6.26</v>
      </c>
      <c r="BP153" s="7">
        <v>5.55</v>
      </c>
      <c r="BQ153" s="7">
        <v>4.68</v>
      </c>
      <c r="BR153" s="7">
        <v>3.78</v>
      </c>
      <c r="BS153" s="7">
        <v>6.51</v>
      </c>
      <c r="BT153" s="7">
        <v>7.78</v>
      </c>
      <c r="BU153" s="7">
        <v>7.81</v>
      </c>
      <c r="BV153" s="7">
        <v>5.85</v>
      </c>
      <c r="BW153" s="7">
        <v>4.6399999999999997</v>
      </c>
      <c r="BX153" s="7">
        <v>4.2699999999999996</v>
      </c>
      <c r="BY153" s="7">
        <v>6.08</v>
      </c>
      <c r="BZ153" s="7">
        <v>6.43</v>
      </c>
      <c r="CA153" s="7">
        <v>6.51</v>
      </c>
      <c r="CB153" s="7">
        <v>5.3</v>
      </c>
      <c r="CC153" s="7">
        <v>4.05</v>
      </c>
      <c r="CD153" s="6">
        <v>8.61</v>
      </c>
      <c r="CE153" s="6">
        <v>7.6499999999999995</v>
      </c>
      <c r="CF153" s="6">
        <v>5.01</v>
      </c>
      <c r="CG153" s="6">
        <v>5.33</v>
      </c>
      <c r="CH153" s="6"/>
    </row>
    <row r="154" spans="1:86" ht="15.75" customHeight="1" x14ac:dyDescent="0.25">
      <c r="A154" s="4">
        <v>152</v>
      </c>
      <c r="B154" s="2" t="s">
        <v>9</v>
      </c>
      <c r="C154" s="4">
        <v>1</v>
      </c>
      <c r="D154" s="6">
        <v>8.1300000000000008</v>
      </c>
      <c r="E154" s="6">
        <v>7.68</v>
      </c>
      <c r="F154" s="6">
        <v>6.68</v>
      </c>
      <c r="G154" s="6">
        <v>8.08</v>
      </c>
      <c r="H154" s="6">
        <v>3.18</v>
      </c>
      <c r="I154" s="6">
        <v>6.88</v>
      </c>
      <c r="J154" s="6">
        <v>5.63</v>
      </c>
      <c r="K154" s="6">
        <v>6.03</v>
      </c>
      <c r="L154" s="6">
        <v>6.03</v>
      </c>
      <c r="M154" s="6">
        <v>5.93</v>
      </c>
      <c r="N154" s="6">
        <v>7.43</v>
      </c>
      <c r="O154" s="6">
        <v>7.08</v>
      </c>
      <c r="P154" s="6">
        <v>5.98</v>
      </c>
      <c r="Q154" s="6">
        <v>6.23</v>
      </c>
      <c r="R154" s="6">
        <v>5.43</v>
      </c>
      <c r="S154" s="6">
        <v>5.18</v>
      </c>
      <c r="T154" s="6">
        <v>4.28</v>
      </c>
      <c r="U154" s="6">
        <v>5.73</v>
      </c>
      <c r="V154" s="6">
        <v>2.31</v>
      </c>
      <c r="W154" s="6">
        <v>5.23</v>
      </c>
      <c r="X154" s="6">
        <v>7.31</v>
      </c>
      <c r="Y154" s="6">
        <v>3.13</v>
      </c>
      <c r="Z154" s="6">
        <v>4.83</v>
      </c>
      <c r="AA154" s="6">
        <v>3.92</v>
      </c>
      <c r="AB154" s="6">
        <v>6.19</v>
      </c>
      <c r="AC154" s="6">
        <v>5.7</v>
      </c>
      <c r="AD154" s="6">
        <v>6.34</v>
      </c>
      <c r="AE154" s="6">
        <v>5.85</v>
      </c>
      <c r="AF154" s="6">
        <v>6</v>
      </c>
      <c r="AG154" s="6">
        <v>8.52</v>
      </c>
      <c r="AH154" s="6">
        <v>3.85</v>
      </c>
      <c r="AI154" s="6">
        <v>3.02</v>
      </c>
      <c r="AJ154" s="6">
        <v>3.93</v>
      </c>
      <c r="AK154" s="6">
        <v>8.2200000000000006</v>
      </c>
      <c r="AL154" s="6">
        <v>3.59</v>
      </c>
      <c r="AM154" s="6">
        <v>5.51</v>
      </c>
      <c r="AN154" s="6">
        <v>5.28</v>
      </c>
      <c r="AO154" s="6">
        <v>6.39</v>
      </c>
      <c r="AP154" s="6">
        <v>7.71</v>
      </c>
      <c r="AQ154" s="6">
        <v>7.75</v>
      </c>
      <c r="AR154" s="6">
        <v>7.2</v>
      </c>
      <c r="AS154" s="6">
        <v>3.39</v>
      </c>
      <c r="AT154" s="6">
        <v>3.65</v>
      </c>
      <c r="AU154" s="6">
        <v>4.4400000000000004</v>
      </c>
      <c r="AV154" s="6">
        <v>6.05</v>
      </c>
      <c r="AW154" s="6">
        <v>2.97</v>
      </c>
      <c r="AX154" s="6">
        <v>5.75</v>
      </c>
      <c r="AY154" s="6">
        <v>7.77</v>
      </c>
      <c r="AZ154" s="6">
        <v>5.09</v>
      </c>
      <c r="BA154" s="6">
        <v>4.17</v>
      </c>
      <c r="BB154" s="6">
        <v>6.32</v>
      </c>
      <c r="BC154" s="6">
        <f>5.81+0.43</f>
        <v>6.2399999999999993</v>
      </c>
      <c r="BD154" s="6">
        <v>4.4838399999999998</v>
      </c>
      <c r="BE154" s="6">
        <v>5.7</v>
      </c>
      <c r="BF154" s="6">
        <v>5.45</v>
      </c>
      <c r="BG154" s="6">
        <v>6.43</v>
      </c>
      <c r="BH154" s="6">
        <v>6.18</v>
      </c>
      <c r="BI154" s="7">
        <v>6.21</v>
      </c>
      <c r="BJ154" s="7">
        <v>4.59</v>
      </c>
      <c r="BK154" s="7">
        <v>6</v>
      </c>
      <c r="BL154" s="7">
        <v>6.09</v>
      </c>
      <c r="BM154" s="7">
        <v>6.64</v>
      </c>
      <c r="BN154" s="7">
        <v>6.66</v>
      </c>
      <c r="BO154" s="7">
        <v>6.27</v>
      </c>
      <c r="BP154" s="7">
        <v>5.76</v>
      </c>
      <c r="BQ154" s="7">
        <v>4.78</v>
      </c>
      <c r="BR154" s="7">
        <v>3.81</v>
      </c>
      <c r="BS154" s="7">
        <v>6.59</v>
      </c>
      <c r="BT154" s="7">
        <v>7.93</v>
      </c>
      <c r="BU154" s="7">
        <v>7.9</v>
      </c>
      <c r="BV154" s="7">
        <v>5.97</v>
      </c>
      <c r="BW154" s="7">
        <v>4.67</v>
      </c>
      <c r="BX154" s="7">
        <v>4.38</v>
      </c>
      <c r="BY154" s="7">
        <v>6.2299999999999995</v>
      </c>
      <c r="BZ154" s="7">
        <v>6.46</v>
      </c>
      <c r="CA154" s="7">
        <v>6.66</v>
      </c>
      <c r="CB154" s="7">
        <v>5.3999999999999995</v>
      </c>
      <c r="CC154" s="7">
        <v>4.17</v>
      </c>
      <c r="CD154" s="7">
        <v>8.6999999999999993</v>
      </c>
      <c r="CE154" s="7">
        <v>7.6</v>
      </c>
      <c r="CF154" s="7">
        <v>5.19</v>
      </c>
      <c r="CG154" s="7">
        <v>5.47</v>
      </c>
      <c r="CH154" s="7"/>
    </row>
    <row r="155" spans="1:86" ht="15.75" customHeight="1" x14ac:dyDescent="0.25">
      <c r="A155" s="4">
        <v>153</v>
      </c>
      <c r="B155" s="2"/>
      <c r="C155" s="4">
        <v>2</v>
      </c>
      <c r="D155" s="6">
        <v>8.18</v>
      </c>
      <c r="E155" s="6">
        <v>7.78</v>
      </c>
      <c r="F155" s="6">
        <v>6.73</v>
      </c>
      <c r="G155" s="6">
        <v>8.0299999999999994</v>
      </c>
      <c r="H155" s="6">
        <v>3.43</v>
      </c>
      <c r="I155" s="6">
        <v>6.93</v>
      </c>
      <c r="J155" s="6">
        <v>5.63</v>
      </c>
      <c r="K155" s="6">
        <v>6.03</v>
      </c>
      <c r="L155" s="6">
        <v>5.98</v>
      </c>
      <c r="M155" s="6">
        <v>5.93</v>
      </c>
      <c r="N155" s="6">
        <v>7.63</v>
      </c>
      <c r="O155" s="6">
        <v>7.08</v>
      </c>
      <c r="P155" s="6">
        <v>6.03</v>
      </c>
      <c r="Q155" s="6">
        <v>6.48</v>
      </c>
      <c r="R155" s="6">
        <v>5.43</v>
      </c>
      <c r="S155" s="6">
        <v>5.38</v>
      </c>
      <c r="T155" s="6">
        <v>4.33</v>
      </c>
      <c r="U155" s="6">
        <v>5.91</v>
      </c>
      <c r="V155" s="6">
        <v>2.41</v>
      </c>
      <c r="W155" s="6">
        <v>5.26</v>
      </c>
      <c r="X155" s="6">
        <v>7.61</v>
      </c>
      <c r="Y155" s="6">
        <v>3.23</v>
      </c>
      <c r="Z155" s="6">
        <v>5.03</v>
      </c>
      <c r="AA155" s="6">
        <v>4.18</v>
      </c>
      <c r="AB155" s="6">
        <v>6.38</v>
      </c>
      <c r="AC155" s="6">
        <v>5.8</v>
      </c>
      <c r="AD155" s="6">
        <v>6.44</v>
      </c>
      <c r="AE155" s="6">
        <v>6.05</v>
      </c>
      <c r="AF155" s="6">
        <v>5.93</v>
      </c>
      <c r="AG155" s="6">
        <v>8.48</v>
      </c>
      <c r="AH155" s="6">
        <v>3.91</v>
      </c>
      <c r="AI155" s="6">
        <v>2.94</v>
      </c>
      <c r="AJ155" s="6">
        <v>3.93</v>
      </c>
      <c r="AK155" s="6">
        <v>8.25</v>
      </c>
      <c r="AL155" s="6">
        <v>3.85</v>
      </c>
      <c r="AM155" s="6">
        <v>5.71</v>
      </c>
      <c r="AN155" s="6">
        <v>5.41</v>
      </c>
      <c r="AO155" s="6">
        <v>6.45</v>
      </c>
      <c r="AP155" s="6">
        <v>7.96</v>
      </c>
      <c r="AQ155" s="6">
        <v>8.07</v>
      </c>
      <c r="AR155" s="6">
        <v>7.2</v>
      </c>
      <c r="AS155" s="6">
        <v>3.7</v>
      </c>
      <c r="AT155" s="6">
        <v>3.71</v>
      </c>
      <c r="AU155" s="6">
        <v>4.5199999999999996</v>
      </c>
      <c r="AV155" s="6">
        <v>6.06</v>
      </c>
      <c r="AW155" s="6">
        <v>3.05</v>
      </c>
      <c r="AX155" s="6">
        <v>5.75</v>
      </c>
      <c r="AY155" s="6">
        <v>7.77</v>
      </c>
      <c r="AZ155" s="6">
        <v>5.03</v>
      </c>
      <c r="BA155" s="6">
        <v>4.32</v>
      </c>
      <c r="BB155" s="6">
        <v>6.43</v>
      </c>
      <c r="BC155" s="6">
        <f>5.86+0.43</f>
        <v>6.29</v>
      </c>
      <c r="BD155" s="6">
        <v>4.6362399999999999</v>
      </c>
      <c r="BE155" s="6">
        <v>5.79</v>
      </c>
      <c r="BF155" s="6">
        <v>5.55</v>
      </c>
      <c r="BG155" s="6">
        <v>6.61</v>
      </c>
      <c r="BH155" s="6">
        <v>6.18</v>
      </c>
      <c r="BI155" s="7">
        <v>6.53</v>
      </c>
      <c r="BJ155" s="7">
        <v>4.6900000000000004</v>
      </c>
      <c r="BK155" s="7">
        <v>6.09</v>
      </c>
      <c r="BL155" s="7">
        <v>6.12</v>
      </c>
      <c r="BM155" s="7">
        <v>6.84</v>
      </c>
      <c r="BN155" s="7">
        <v>6.68</v>
      </c>
      <c r="BO155" s="7">
        <v>6.27</v>
      </c>
      <c r="BP155" s="7">
        <v>5.94</v>
      </c>
      <c r="BQ155" s="7">
        <v>4.83</v>
      </c>
      <c r="BR155" s="7">
        <v>3.92</v>
      </c>
      <c r="BS155" s="7">
        <v>6.7</v>
      </c>
      <c r="BT155" s="7">
        <v>8.0399999999999991</v>
      </c>
      <c r="BU155" s="7">
        <v>8.08</v>
      </c>
      <c r="BV155" s="7">
        <v>6.08</v>
      </c>
      <c r="BW155" s="7">
        <v>4.75</v>
      </c>
      <c r="BX155" s="7">
        <v>4.55</v>
      </c>
      <c r="BY155" s="7">
        <v>6.35</v>
      </c>
      <c r="BZ155" s="7">
        <v>6.43</v>
      </c>
      <c r="CA155" s="7">
        <v>6.63</v>
      </c>
      <c r="CB155" s="7">
        <v>5.54</v>
      </c>
      <c r="CC155" s="7">
        <v>4.33</v>
      </c>
      <c r="CD155" s="7">
        <v>8.81</v>
      </c>
      <c r="CE155" s="7">
        <v>7.35</v>
      </c>
      <c r="CF155" s="7">
        <v>5.28</v>
      </c>
      <c r="CG155" s="7">
        <v>5.59</v>
      </c>
      <c r="CH155" s="7"/>
    </row>
    <row r="156" spans="1:86" ht="15.75" customHeight="1" x14ac:dyDescent="0.25">
      <c r="A156" s="4">
        <v>154</v>
      </c>
      <c r="B156" s="2"/>
      <c r="C156" s="4">
        <v>3</v>
      </c>
      <c r="D156" s="6">
        <v>8.33</v>
      </c>
      <c r="E156" s="6">
        <v>7.83</v>
      </c>
      <c r="F156" s="6">
        <v>6.68</v>
      </c>
      <c r="G156" s="6">
        <v>7.93</v>
      </c>
      <c r="H156" s="6">
        <v>3.93</v>
      </c>
      <c r="I156" s="6">
        <v>7.03</v>
      </c>
      <c r="J156" s="6">
        <v>5.63</v>
      </c>
      <c r="K156" s="6">
        <v>6.13</v>
      </c>
      <c r="L156" s="6">
        <v>5.93</v>
      </c>
      <c r="M156" s="6">
        <v>5.93</v>
      </c>
      <c r="N156" s="6">
        <v>7.93</v>
      </c>
      <c r="O156" s="6">
        <v>7.08</v>
      </c>
      <c r="P156" s="6">
        <v>6.08</v>
      </c>
      <c r="Q156" s="6">
        <v>6.69</v>
      </c>
      <c r="R156" s="6">
        <v>5.73</v>
      </c>
      <c r="S156" s="6">
        <v>5.53</v>
      </c>
      <c r="T156" s="6">
        <v>4.58</v>
      </c>
      <c r="U156" s="6">
        <v>6.13</v>
      </c>
      <c r="V156" s="6">
        <v>2.5099999999999998</v>
      </c>
      <c r="W156" s="6">
        <v>5.35</v>
      </c>
      <c r="X156" s="6">
        <v>7.77</v>
      </c>
      <c r="Y156" s="6">
        <v>3.43</v>
      </c>
      <c r="Z156" s="6">
        <v>5.23</v>
      </c>
      <c r="AA156" s="6">
        <v>4.49</v>
      </c>
      <c r="AB156" s="6">
        <v>6.65</v>
      </c>
      <c r="AC156" s="6">
        <v>5.86</v>
      </c>
      <c r="AD156" s="6">
        <v>6.61</v>
      </c>
      <c r="AE156" s="6">
        <v>5.83</v>
      </c>
      <c r="AF156" s="6">
        <v>5.95</v>
      </c>
      <c r="AG156" s="6">
        <v>8.49</v>
      </c>
      <c r="AH156" s="6">
        <v>3.93</v>
      </c>
      <c r="AI156" s="6">
        <v>2.97</v>
      </c>
      <c r="AJ156" s="6">
        <v>4.2300000000000004</v>
      </c>
      <c r="AK156" s="6">
        <v>8.25</v>
      </c>
      <c r="AL156" s="6">
        <v>4.1900000000000004</v>
      </c>
      <c r="AM156" s="6">
        <v>5.92</v>
      </c>
      <c r="AN156" s="6">
        <v>5.45</v>
      </c>
      <c r="AO156" s="6">
        <v>6.55</v>
      </c>
      <c r="AP156" s="6">
        <v>8.36</v>
      </c>
      <c r="AQ156" s="6">
        <v>8.2200000000000006</v>
      </c>
      <c r="AR156" s="6">
        <v>7.21</v>
      </c>
      <c r="AS156" s="6">
        <v>3.92</v>
      </c>
      <c r="AT156" s="6">
        <v>3.75</v>
      </c>
      <c r="AU156" s="6">
        <v>4.62</v>
      </c>
      <c r="AV156" s="6">
        <v>6.09</v>
      </c>
      <c r="AW156" s="6">
        <v>3.11</v>
      </c>
      <c r="AX156" s="6">
        <v>5.74</v>
      </c>
      <c r="AY156" s="6">
        <v>7.74</v>
      </c>
      <c r="AZ156" s="6">
        <v>5.01</v>
      </c>
      <c r="BA156" s="6">
        <v>4.4400000000000004</v>
      </c>
      <c r="BB156" s="6">
        <v>6.54</v>
      </c>
      <c r="BC156" s="6">
        <f>5.93+0.43</f>
        <v>6.3599999999999994</v>
      </c>
      <c r="BD156" s="6">
        <v>4.78864</v>
      </c>
      <c r="BE156" s="6">
        <v>5.88</v>
      </c>
      <c r="BF156" s="6">
        <v>5.64</v>
      </c>
      <c r="BG156" s="6">
        <v>6.67</v>
      </c>
      <c r="BH156" s="6">
        <v>6.18</v>
      </c>
      <c r="BI156" s="7">
        <v>6.92</v>
      </c>
      <c r="BJ156" s="7">
        <v>4.6900000000000004</v>
      </c>
      <c r="BK156" s="7">
        <v>6.2</v>
      </c>
      <c r="BL156" s="7">
        <v>6.28</v>
      </c>
      <c r="BM156" s="7">
        <v>6.98</v>
      </c>
      <c r="BN156" s="7">
        <v>6.74</v>
      </c>
      <c r="BO156" s="7">
        <v>6.28</v>
      </c>
      <c r="BP156" s="7">
        <v>6</v>
      </c>
      <c r="BQ156" s="7">
        <v>4.96</v>
      </c>
      <c r="BR156" s="7">
        <v>3.92</v>
      </c>
      <c r="BS156" s="7">
        <v>6.88</v>
      </c>
      <c r="BT156" s="7">
        <v>8.16</v>
      </c>
      <c r="BU156" s="7">
        <v>8.19</v>
      </c>
      <c r="BV156" s="7">
        <v>6.1999999999999993</v>
      </c>
      <c r="BW156" s="7">
        <v>4.7699999999999996</v>
      </c>
      <c r="BX156" s="7">
        <v>4.6399999999999997</v>
      </c>
      <c r="BY156" s="7">
        <v>6.51</v>
      </c>
      <c r="BZ156" s="7">
        <v>6.42</v>
      </c>
      <c r="CA156" s="7">
        <v>6.8199999999999994</v>
      </c>
      <c r="CB156" s="7">
        <v>5.2399999999999993</v>
      </c>
      <c r="CC156" s="7">
        <v>4.4000000000000004</v>
      </c>
      <c r="CD156" s="7">
        <v>8.91</v>
      </c>
      <c r="CE156" s="7">
        <v>7.42</v>
      </c>
      <c r="CF156" s="7">
        <v>5.35</v>
      </c>
      <c r="CG156" s="7">
        <v>5.76</v>
      </c>
      <c r="CH156" s="7"/>
    </row>
    <row r="157" spans="1:86" ht="15.75" customHeight="1" x14ac:dyDescent="0.25">
      <c r="A157" s="4">
        <v>155</v>
      </c>
      <c r="B157" s="2"/>
      <c r="C157" s="4">
        <v>4</v>
      </c>
      <c r="D157" s="6">
        <v>8.43</v>
      </c>
      <c r="E157" s="6">
        <v>8.0299999999999994</v>
      </c>
      <c r="F157" s="6">
        <v>6.63</v>
      </c>
      <c r="G157" s="6">
        <v>8.0299999999999994</v>
      </c>
      <c r="H157" s="6">
        <v>4.13</v>
      </c>
      <c r="I157" s="6">
        <v>7.13</v>
      </c>
      <c r="J157" s="6">
        <v>5.73</v>
      </c>
      <c r="K157" s="6">
        <v>6.13</v>
      </c>
      <c r="L157" s="6">
        <v>5.93</v>
      </c>
      <c r="M157" s="6">
        <v>6.03</v>
      </c>
      <c r="N157" s="6">
        <v>7.98</v>
      </c>
      <c r="O157" s="6">
        <v>7.08</v>
      </c>
      <c r="P157" s="6">
        <v>6.18</v>
      </c>
      <c r="Q157" s="6">
        <v>6.91</v>
      </c>
      <c r="R157" s="6">
        <v>5.98</v>
      </c>
      <c r="S157" s="6">
        <v>5.53</v>
      </c>
      <c r="T157" s="6">
        <v>4.8499999999999996</v>
      </c>
      <c r="U157" s="6">
        <v>6.41</v>
      </c>
      <c r="V157" s="6">
        <v>2.61</v>
      </c>
      <c r="W157" s="6">
        <v>5.58</v>
      </c>
      <c r="X157" s="6">
        <v>7.92</v>
      </c>
      <c r="Y157" s="6">
        <v>3.71</v>
      </c>
      <c r="Z157" s="6">
        <v>5.36</v>
      </c>
      <c r="AA157" s="6">
        <v>4.9800000000000004</v>
      </c>
      <c r="AB157" s="6">
        <v>6.9</v>
      </c>
      <c r="AC157" s="6">
        <v>5.92</v>
      </c>
      <c r="AD157" s="6">
        <v>6.83</v>
      </c>
      <c r="AE157" s="6">
        <v>6.03</v>
      </c>
      <c r="AF157" s="6">
        <v>6.55</v>
      </c>
      <c r="AG157" s="6">
        <v>8.5299999999999994</v>
      </c>
      <c r="AH157" s="6">
        <v>3.93</v>
      </c>
      <c r="AI157" s="6">
        <v>3.06</v>
      </c>
      <c r="AJ157" s="6">
        <v>4.5199999999999996</v>
      </c>
      <c r="AK157" s="6">
        <v>8.27</v>
      </c>
      <c r="AL157" s="6">
        <v>4.49</v>
      </c>
      <c r="AM157" s="6">
        <v>6.08</v>
      </c>
      <c r="AN157" s="6">
        <v>5.66</v>
      </c>
      <c r="AO157" s="6">
        <v>6.49</v>
      </c>
      <c r="AP157" s="6">
        <v>8.6</v>
      </c>
      <c r="AQ157" s="6">
        <v>8.36</v>
      </c>
      <c r="AR157" s="6">
        <v>7.12</v>
      </c>
      <c r="AS157" s="6">
        <v>4.1399999999999997</v>
      </c>
      <c r="AT157" s="6">
        <v>3.85</v>
      </c>
      <c r="AU157" s="6">
        <v>4.83</v>
      </c>
      <c r="AV157" s="6">
        <v>6.1</v>
      </c>
      <c r="AW157" s="6">
        <v>3.21</v>
      </c>
      <c r="AX157" s="6">
        <v>5.74</v>
      </c>
      <c r="AY157" s="6">
        <v>7.74</v>
      </c>
      <c r="AZ157" s="6">
        <v>5.13</v>
      </c>
      <c r="BA157" s="6">
        <v>4.57</v>
      </c>
      <c r="BB157" s="6">
        <v>6.67</v>
      </c>
      <c r="BC157" s="6">
        <f>5.97+0.43</f>
        <v>6.3999999999999995</v>
      </c>
      <c r="BD157" s="6">
        <v>4.9105600000000003</v>
      </c>
      <c r="BE157" s="6">
        <v>5.92</v>
      </c>
      <c r="BF157" s="6">
        <v>5.79</v>
      </c>
      <c r="BG157" s="6">
        <v>6.73</v>
      </c>
      <c r="BH157" s="6">
        <v>6.28</v>
      </c>
      <c r="BI157" s="7">
        <v>7.11</v>
      </c>
      <c r="BJ157" s="7">
        <v>4.6900000000000004</v>
      </c>
      <c r="BK157" s="7">
        <v>6.37</v>
      </c>
      <c r="BL157" s="7">
        <v>6.36</v>
      </c>
      <c r="BM157" s="7">
        <v>7.11</v>
      </c>
      <c r="BN157" s="7">
        <v>6.77</v>
      </c>
      <c r="BO157" s="7">
        <v>6.28</v>
      </c>
      <c r="BP157" s="7">
        <v>6.05</v>
      </c>
      <c r="BQ157" s="7">
        <v>5.1100000000000003</v>
      </c>
      <c r="BR157" s="7">
        <v>3.88</v>
      </c>
      <c r="BS157" s="7">
        <v>6.99</v>
      </c>
      <c r="BT157" s="7">
        <v>8.33</v>
      </c>
      <c r="BU157" s="7">
        <v>8.2799999999999994</v>
      </c>
      <c r="BV157" s="7">
        <v>6.34</v>
      </c>
      <c r="BW157" s="7">
        <v>4.84</v>
      </c>
      <c r="BX157" s="7">
        <v>4.84</v>
      </c>
      <c r="BY157" s="7">
        <v>6.58</v>
      </c>
      <c r="BZ157" s="7">
        <v>6.5</v>
      </c>
      <c r="CA157" s="7">
        <v>6.7799999999999994</v>
      </c>
      <c r="CB157" s="7">
        <v>5.34</v>
      </c>
      <c r="CC157" s="7">
        <v>4.6399999999999997</v>
      </c>
      <c r="CD157" s="7">
        <v>8.99</v>
      </c>
      <c r="CE157" s="7">
        <v>7.64</v>
      </c>
      <c r="CF157" s="7">
        <v>5.48</v>
      </c>
      <c r="CG157" s="7">
        <v>5.89</v>
      </c>
      <c r="CH157" s="7"/>
    </row>
    <row r="158" spans="1:86" ht="15.75" customHeight="1" x14ac:dyDescent="0.25">
      <c r="A158" s="4">
        <v>156</v>
      </c>
      <c r="B158" s="2"/>
      <c r="C158" s="4">
        <v>5</v>
      </c>
      <c r="D158" s="6">
        <v>8.58</v>
      </c>
      <c r="E158" s="6">
        <v>8.0299999999999994</v>
      </c>
      <c r="F158" s="6">
        <v>6.48</v>
      </c>
      <c r="G158" s="6">
        <v>8.0299999999999994</v>
      </c>
      <c r="H158" s="6">
        <v>4.33</v>
      </c>
      <c r="I158" s="6">
        <v>7.23</v>
      </c>
      <c r="J158" s="6">
        <v>5.83</v>
      </c>
      <c r="K158" s="6">
        <v>6.13</v>
      </c>
      <c r="L158" s="6">
        <v>5.93</v>
      </c>
      <c r="M158" s="6">
        <v>6.03</v>
      </c>
      <c r="N158" s="6">
        <v>8.1300000000000008</v>
      </c>
      <c r="O158" s="6">
        <v>7.05</v>
      </c>
      <c r="P158" s="6">
        <v>6.33</v>
      </c>
      <c r="Q158" s="6">
        <v>7.13</v>
      </c>
      <c r="R158" s="6">
        <v>6.13</v>
      </c>
      <c r="S158" s="6">
        <v>5.63</v>
      </c>
      <c r="T158" s="6">
        <v>4.8499999999999996</v>
      </c>
      <c r="U158" s="6">
        <v>6.55</v>
      </c>
      <c r="V158" s="6">
        <v>2.71</v>
      </c>
      <c r="W158" s="6">
        <v>5.78</v>
      </c>
      <c r="X158" s="6">
        <v>8.1</v>
      </c>
      <c r="Y158" s="6">
        <v>3.73</v>
      </c>
      <c r="Z158" s="6">
        <v>5.43</v>
      </c>
      <c r="AA158" s="6">
        <v>5.42</v>
      </c>
      <c r="AB158" s="6">
        <v>7.13</v>
      </c>
      <c r="AC158" s="6">
        <v>5.98</v>
      </c>
      <c r="AD158" s="6">
        <v>7.03</v>
      </c>
      <c r="AE158" s="6">
        <v>6.23</v>
      </c>
      <c r="AF158" s="6">
        <v>6.76</v>
      </c>
      <c r="AG158" s="6">
        <v>8.59</v>
      </c>
      <c r="AH158" s="6">
        <v>3.94</v>
      </c>
      <c r="AI158" s="6">
        <v>3.05</v>
      </c>
      <c r="AJ158" s="6">
        <v>4.75</v>
      </c>
      <c r="AK158" s="6">
        <v>8.31</v>
      </c>
      <c r="AL158" s="6">
        <v>4.71</v>
      </c>
      <c r="AM158" s="6">
        <v>6.18</v>
      </c>
      <c r="AN158" s="6">
        <v>5.82</v>
      </c>
      <c r="AO158" s="6">
        <v>6.71</v>
      </c>
      <c r="AP158" s="6">
        <v>8.76</v>
      </c>
      <c r="AQ158" s="6">
        <v>8.4600000000000009</v>
      </c>
      <c r="AR158" s="6">
        <v>7.28</v>
      </c>
      <c r="AS158" s="6">
        <v>4.46</v>
      </c>
      <c r="AT158" s="6">
        <v>3.95</v>
      </c>
      <c r="AU158" s="6">
        <v>5.0199999999999996</v>
      </c>
      <c r="AV158" s="6">
        <v>6.27</v>
      </c>
      <c r="AW158" s="6">
        <v>3.33</v>
      </c>
      <c r="AX158" s="6">
        <v>5.8</v>
      </c>
      <c r="AY158" s="6">
        <v>7.87</v>
      </c>
      <c r="AZ158" s="6">
        <v>5.21</v>
      </c>
      <c r="BA158" s="6">
        <v>4.68</v>
      </c>
      <c r="BB158" s="6">
        <v>6.73</v>
      </c>
      <c r="BC158" s="6">
        <f t="shared" ref="BC158:BC159" si="7">6+0.43</f>
        <v>6.43</v>
      </c>
      <c r="BD158" s="6">
        <v>4.9715199999999999</v>
      </c>
      <c r="BE158" s="6">
        <v>6.06</v>
      </c>
      <c r="BF158" s="6">
        <v>5.91</v>
      </c>
      <c r="BG158" s="6">
        <v>6.83</v>
      </c>
      <c r="BH158" s="6">
        <v>6.28</v>
      </c>
      <c r="BI158" s="7">
        <v>7.15</v>
      </c>
      <c r="BJ158" s="7">
        <v>4.91</v>
      </c>
      <c r="BK158" s="7">
        <v>6.44</v>
      </c>
      <c r="BL158" s="7">
        <v>6.46</v>
      </c>
      <c r="BM158" s="7">
        <v>7.27</v>
      </c>
      <c r="BN158" s="7">
        <v>6.82</v>
      </c>
      <c r="BO158" s="7">
        <v>6.3</v>
      </c>
      <c r="BP158" s="7">
        <v>6.18</v>
      </c>
      <c r="BQ158" s="7">
        <v>5.22</v>
      </c>
      <c r="BR158" s="7">
        <v>3.92</v>
      </c>
      <c r="BS158" s="7">
        <v>7.11</v>
      </c>
      <c r="BT158" s="7">
        <v>8.56</v>
      </c>
      <c r="BU158" s="7">
        <v>8.2899999999999991</v>
      </c>
      <c r="BV158" s="7">
        <v>6.4499999999999993</v>
      </c>
      <c r="BW158" s="7">
        <v>4.8999999999999995</v>
      </c>
      <c r="BX158" s="7">
        <v>5.01</v>
      </c>
      <c r="BY158" s="7">
        <v>6.68</v>
      </c>
      <c r="BZ158" s="7">
        <v>6.4399999999999995</v>
      </c>
      <c r="CA158" s="7">
        <v>6.76</v>
      </c>
      <c r="CB158" s="7">
        <v>5.39</v>
      </c>
      <c r="CC158" s="7">
        <v>4.68</v>
      </c>
      <c r="CD158" s="7">
        <v>9.09</v>
      </c>
      <c r="CE158" s="7">
        <v>7.68</v>
      </c>
      <c r="CF158" s="7">
        <v>5.7</v>
      </c>
      <c r="CG158" s="7">
        <v>6.07</v>
      </c>
      <c r="CH158" s="7"/>
    </row>
    <row r="159" spans="1:86" ht="15.75" customHeight="1" x14ac:dyDescent="0.25">
      <c r="A159" s="4">
        <v>157</v>
      </c>
      <c r="B159" s="2"/>
      <c r="C159" s="4">
        <v>6</v>
      </c>
      <c r="D159" s="6">
        <v>8.6300000000000008</v>
      </c>
      <c r="E159" s="6">
        <v>8.1300000000000008</v>
      </c>
      <c r="F159" s="6">
        <v>6.53</v>
      </c>
      <c r="G159" s="6">
        <v>8.1300000000000008</v>
      </c>
      <c r="H159" s="6">
        <v>4.53</v>
      </c>
      <c r="I159" s="6">
        <v>7.23</v>
      </c>
      <c r="J159" s="6">
        <v>5.88</v>
      </c>
      <c r="K159" s="6">
        <v>6.23</v>
      </c>
      <c r="L159" s="6">
        <v>6.23</v>
      </c>
      <c r="M159" s="6">
        <v>6.13</v>
      </c>
      <c r="N159" s="6">
        <v>8.23</v>
      </c>
      <c r="O159" s="6">
        <v>7.03</v>
      </c>
      <c r="P159" s="6">
        <v>6.53</v>
      </c>
      <c r="Q159" s="6">
        <v>7.33</v>
      </c>
      <c r="R159" s="6">
        <v>6.2</v>
      </c>
      <c r="S159" s="6">
        <v>5.78</v>
      </c>
      <c r="T159" s="6">
        <v>5.23</v>
      </c>
      <c r="U159" s="6">
        <v>6.83</v>
      </c>
      <c r="V159" s="6">
        <v>2.71</v>
      </c>
      <c r="W159" s="6">
        <v>5.95</v>
      </c>
      <c r="X159" s="6">
        <v>8.2899999999999991</v>
      </c>
      <c r="Y159" s="6">
        <v>3.95</v>
      </c>
      <c r="Z159" s="6">
        <v>5.53</v>
      </c>
      <c r="AA159" s="6">
        <v>5.66</v>
      </c>
      <c r="AB159" s="6">
        <v>7.34</v>
      </c>
      <c r="AC159" s="6">
        <v>6.06</v>
      </c>
      <c r="AD159" s="6">
        <v>7.2</v>
      </c>
      <c r="AE159" s="6">
        <v>6.4</v>
      </c>
      <c r="AF159" s="6">
        <v>6.89</v>
      </c>
      <c r="AG159" s="6">
        <v>8.65</v>
      </c>
      <c r="AH159" s="6">
        <v>3.93</v>
      </c>
      <c r="AI159" s="6">
        <v>3.05</v>
      </c>
      <c r="AJ159" s="6">
        <v>4.9000000000000004</v>
      </c>
      <c r="AK159" s="6">
        <v>8.44</v>
      </c>
      <c r="AL159" s="6">
        <v>4.87</v>
      </c>
      <c r="AM159" s="6">
        <v>6.38</v>
      </c>
      <c r="AN159" s="6">
        <v>5.95</v>
      </c>
      <c r="AO159" s="6">
        <v>6.81</v>
      </c>
      <c r="AP159" s="6">
        <v>8.8000000000000007</v>
      </c>
      <c r="AQ159" s="6">
        <v>8.4700000000000006</v>
      </c>
      <c r="AR159" s="6">
        <v>7.4</v>
      </c>
      <c r="AS159" s="6">
        <v>4.76</v>
      </c>
      <c r="AT159" s="6">
        <v>4.09</v>
      </c>
      <c r="AU159" s="6">
        <v>5.2</v>
      </c>
      <c r="AV159" s="6">
        <v>6.34</v>
      </c>
      <c r="AW159" s="6">
        <v>3.43</v>
      </c>
      <c r="AX159" s="6">
        <v>6.01</v>
      </c>
      <c r="AY159" s="6">
        <v>7.99</v>
      </c>
      <c r="AZ159" s="6">
        <v>5.29</v>
      </c>
      <c r="BA159" s="6">
        <v>4.79</v>
      </c>
      <c r="BB159" s="6">
        <v>6.76</v>
      </c>
      <c r="BC159" s="6">
        <f t="shared" si="7"/>
        <v>6.43</v>
      </c>
      <c r="BD159" s="6">
        <v>5.1848799999999997</v>
      </c>
      <c r="BE159" s="6">
        <v>6.23</v>
      </c>
      <c r="BF159" s="6">
        <v>6.03</v>
      </c>
      <c r="BG159" s="6">
        <v>6.89</v>
      </c>
      <c r="BH159" s="6">
        <v>6.18</v>
      </c>
      <c r="BI159" s="7">
        <v>7.15</v>
      </c>
      <c r="BJ159" s="7">
        <v>4.95</v>
      </c>
      <c r="BK159" s="7">
        <v>6.56</v>
      </c>
      <c r="BL159" s="7">
        <v>6.47</v>
      </c>
      <c r="BM159" s="7">
        <v>7.26</v>
      </c>
      <c r="BN159" s="7">
        <v>6.84</v>
      </c>
      <c r="BO159" s="7">
        <v>6.35</v>
      </c>
      <c r="BP159" s="7">
        <v>6.32</v>
      </c>
      <c r="BQ159" s="7">
        <v>5.35</v>
      </c>
      <c r="BR159" s="7">
        <v>3.85</v>
      </c>
      <c r="BS159" s="7">
        <v>7.25</v>
      </c>
      <c r="BT159" s="7">
        <v>8.85</v>
      </c>
      <c r="BU159" s="7">
        <v>8.17</v>
      </c>
      <c r="BV159" s="7">
        <v>6.54</v>
      </c>
      <c r="BW159" s="7">
        <v>4.9499999999999993</v>
      </c>
      <c r="BX159" s="7">
        <v>5.1499999999999995</v>
      </c>
      <c r="BY159" s="7">
        <v>6.85</v>
      </c>
      <c r="BZ159" s="7">
        <v>6.4799999999999995</v>
      </c>
      <c r="CA159" s="7">
        <v>6.8599999999999994</v>
      </c>
      <c r="CB159" s="7">
        <v>5.56</v>
      </c>
      <c r="CC159" s="7">
        <v>4.8099999999999996</v>
      </c>
      <c r="CD159" s="7">
        <v>9.18</v>
      </c>
      <c r="CE159" s="7">
        <v>7.8199999999999994</v>
      </c>
      <c r="CF159" s="7">
        <v>5.98</v>
      </c>
      <c r="CG159" s="7">
        <v>6.21</v>
      </c>
      <c r="CH159" s="7"/>
    </row>
    <row r="160" spans="1:86" ht="15.75" customHeight="1" x14ac:dyDescent="0.25">
      <c r="A160" s="4">
        <v>158</v>
      </c>
      <c r="B160" s="2"/>
      <c r="C160" s="4">
        <v>7</v>
      </c>
      <c r="D160" s="6">
        <v>8.73</v>
      </c>
      <c r="E160" s="6">
        <v>8.18</v>
      </c>
      <c r="F160" s="6">
        <v>6.53</v>
      </c>
      <c r="G160" s="6">
        <v>8.23</v>
      </c>
      <c r="H160" s="6">
        <v>4.68</v>
      </c>
      <c r="I160" s="6">
        <v>7.33</v>
      </c>
      <c r="J160" s="6">
        <v>5.93</v>
      </c>
      <c r="K160" s="6">
        <v>6.43</v>
      </c>
      <c r="L160" s="6">
        <v>6.43</v>
      </c>
      <c r="M160" s="6">
        <v>6.13</v>
      </c>
      <c r="N160" s="6">
        <v>8.33</v>
      </c>
      <c r="O160" s="6">
        <v>6.96</v>
      </c>
      <c r="P160" s="6">
        <v>6.73</v>
      </c>
      <c r="Q160" s="6">
        <v>7.58</v>
      </c>
      <c r="R160" s="6">
        <v>6.23</v>
      </c>
      <c r="S160" s="6">
        <v>5.88</v>
      </c>
      <c r="T160" s="6">
        <v>5.53</v>
      </c>
      <c r="U160" s="6">
        <v>7.01</v>
      </c>
      <c r="V160" s="6">
        <v>2.88</v>
      </c>
      <c r="W160" s="6">
        <v>6.13</v>
      </c>
      <c r="X160" s="6">
        <v>8.44</v>
      </c>
      <c r="Y160" s="6">
        <v>4.18</v>
      </c>
      <c r="Z160" s="6">
        <v>5.61</v>
      </c>
      <c r="AA160" s="6">
        <v>5.9</v>
      </c>
      <c r="AB160" s="6">
        <v>7.56</v>
      </c>
      <c r="AC160" s="6">
        <v>6.12</v>
      </c>
      <c r="AD160" s="6">
        <v>7.38</v>
      </c>
      <c r="AE160" s="6">
        <v>6.44</v>
      </c>
      <c r="AF160" s="6">
        <v>6.99</v>
      </c>
      <c r="AG160" s="6">
        <v>8.67</v>
      </c>
      <c r="AH160" s="6">
        <v>3.91</v>
      </c>
      <c r="AI160" s="6">
        <v>3.21</v>
      </c>
      <c r="AJ160" s="6">
        <v>5.07</v>
      </c>
      <c r="AK160" s="6">
        <v>8.56</v>
      </c>
      <c r="AL160" s="6">
        <v>5.26</v>
      </c>
      <c r="AM160" s="6">
        <v>6.59</v>
      </c>
      <c r="AN160" s="6">
        <v>6.69</v>
      </c>
      <c r="AO160" s="6">
        <v>6.85</v>
      </c>
      <c r="AP160" s="6">
        <v>8.8800000000000008</v>
      </c>
      <c r="AQ160" s="6">
        <v>8.5399999999999991</v>
      </c>
      <c r="AR160" s="6">
        <v>7.6</v>
      </c>
      <c r="AS160" s="6">
        <v>4.9800000000000004</v>
      </c>
      <c r="AT160" s="6">
        <v>4.2699999999999996</v>
      </c>
      <c r="AU160" s="6">
        <v>5.37</v>
      </c>
      <c r="AV160" s="6">
        <v>6.33</v>
      </c>
      <c r="AW160" s="6">
        <v>3.56</v>
      </c>
      <c r="AX160" s="6">
        <v>6.21</v>
      </c>
      <c r="AY160" s="6">
        <v>7.99</v>
      </c>
      <c r="AZ160" s="6">
        <v>5.38</v>
      </c>
      <c r="BA160" s="6">
        <v>4.84</v>
      </c>
      <c r="BB160" s="6">
        <v>6.73</v>
      </c>
      <c r="BC160" s="6">
        <f>6.1+0.43</f>
        <v>6.5299999999999994</v>
      </c>
      <c r="BD160" s="6">
        <v>5.3372799999999998</v>
      </c>
      <c r="BE160" s="6">
        <v>6.28</v>
      </c>
      <c r="BF160" s="6">
        <v>6.28</v>
      </c>
      <c r="BG160" s="6">
        <v>6.98</v>
      </c>
      <c r="BH160" s="6">
        <v>6.18</v>
      </c>
      <c r="BI160" s="7">
        <v>7.09</v>
      </c>
      <c r="BJ160" s="7">
        <v>5.08</v>
      </c>
      <c r="BK160" s="7">
        <v>6.67</v>
      </c>
      <c r="BL160" s="7">
        <v>6.52</v>
      </c>
      <c r="BM160" s="7">
        <v>7.29</v>
      </c>
      <c r="BN160" s="7">
        <v>6.89</v>
      </c>
      <c r="BO160" s="7">
        <v>6.38</v>
      </c>
      <c r="BP160" s="7">
        <v>6.42</v>
      </c>
      <c r="BQ160" s="7">
        <v>5.47</v>
      </c>
      <c r="BR160" s="7">
        <v>3.81</v>
      </c>
      <c r="BS160" s="7">
        <v>7.28</v>
      </c>
      <c r="BT160" s="7">
        <v>9.02</v>
      </c>
      <c r="BU160" s="7">
        <v>8.09</v>
      </c>
      <c r="BV160" s="7">
        <v>6.68</v>
      </c>
      <c r="BW160" s="7">
        <v>5.0299999999999994</v>
      </c>
      <c r="BX160" s="7">
        <v>5.3</v>
      </c>
      <c r="BY160" s="7">
        <v>6.91</v>
      </c>
      <c r="BZ160" s="7">
        <v>6.55</v>
      </c>
      <c r="CA160" s="7">
        <v>6.88</v>
      </c>
      <c r="CB160" s="7">
        <v>5.68</v>
      </c>
      <c r="CC160" s="7">
        <v>4.88</v>
      </c>
      <c r="CD160" s="7">
        <v>9.26</v>
      </c>
      <c r="CE160" s="7">
        <v>8.18</v>
      </c>
      <c r="CF160" s="7">
        <v>6.34</v>
      </c>
      <c r="CG160" s="7">
        <v>6.39</v>
      </c>
      <c r="CH160" s="7"/>
    </row>
    <row r="161" spans="1:86" ht="15.75" customHeight="1" x14ac:dyDescent="0.25">
      <c r="A161" s="4">
        <v>159</v>
      </c>
      <c r="B161" s="2"/>
      <c r="C161" s="4">
        <v>8</v>
      </c>
      <c r="D161" s="6">
        <v>8.7799999999999994</v>
      </c>
      <c r="E161" s="6">
        <v>8.18</v>
      </c>
      <c r="F161" s="6">
        <v>6.53</v>
      </c>
      <c r="G161" s="6">
        <v>8.33</v>
      </c>
      <c r="H161" s="6">
        <v>4.93</v>
      </c>
      <c r="I161" s="6">
        <v>7.43</v>
      </c>
      <c r="J161" s="6">
        <v>6.03</v>
      </c>
      <c r="K161" s="6">
        <v>6.53</v>
      </c>
      <c r="L161" s="6">
        <v>6.68</v>
      </c>
      <c r="M161" s="6">
        <v>6.18</v>
      </c>
      <c r="N161" s="6">
        <v>8.3800000000000008</v>
      </c>
      <c r="O161" s="6">
        <v>7.01</v>
      </c>
      <c r="P161" s="6">
        <v>6.88</v>
      </c>
      <c r="Q161" s="6">
        <v>7.58</v>
      </c>
      <c r="R161" s="6">
        <v>6.13</v>
      </c>
      <c r="S161" s="6">
        <v>5.93</v>
      </c>
      <c r="T161" s="6">
        <v>5.53</v>
      </c>
      <c r="U161" s="6">
        <v>7.21</v>
      </c>
      <c r="V161" s="6">
        <v>2.93</v>
      </c>
      <c r="W161" s="6">
        <v>6.23</v>
      </c>
      <c r="X161" s="6">
        <v>8.56</v>
      </c>
      <c r="Y161" s="6">
        <v>4.41</v>
      </c>
      <c r="Z161" s="6">
        <v>5.76</v>
      </c>
      <c r="AA161" s="6">
        <v>6.21</v>
      </c>
      <c r="AB161" s="6">
        <v>7.79</v>
      </c>
      <c r="AC161" s="6">
        <v>6.19</v>
      </c>
      <c r="AD161" s="6">
        <v>7.5</v>
      </c>
      <c r="AE161" s="6">
        <v>6.52</v>
      </c>
      <c r="AF161" s="6">
        <v>7.01</v>
      </c>
      <c r="AG161" s="6">
        <v>8.7100000000000009</v>
      </c>
      <c r="AH161" s="6">
        <v>3.89</v>
      </c>
      <c r="AI161" s="6">
        <v>3.25</v>
      </c>
      <c r="AJ161" s="6">
        <v>5.22</v>
      </c>
      <c r="AK161" s="6">
        <v>8.67</v>
      </c>
      <c r="AL161" s="6">
        <v>5.59</v>
      </c>
      <c r="AM161" s="6">
        <v>6.77</v>
      </c>
      <c r="AN161" s="6">
        <v>6.83</v>
      </c>
      <c r="AO161" s="6">
        <v>6.79</v>
      </c>
      <c r="AP161" s="6">
        <v>8.8800000000000008</v>
      </c>
      <c r="AQ161" s="6">
        <v>8.6199999999999992</v>
      </c>
      <c r="AR161" s="6">
        <v>7.81</v>
      </c>
      <c r="AS161" s="6">
        <v>4.93</v>
      </c>
      <c r="AT161" s="6">
        <v>4.46</v>
      </c>
      <c r="AU161" s="6">
        <v>5.46</v>
      </c>
      <c r="AV161" s="6">
        <v>6.31</v>
      </c>
      <c r="AW161" s="6">
        <v>3.7</v>
      </c>
      <c r="AX161" s="6">
        <v>6.41</v>
      </c>
      <c r="AY161" s="6">
        <v>7.83</v>
      </c>
      <c r="AZ161" s="6">
        <v>5.4</v>
      </c>
      <c r="BA161" s="6">
        <v>4.79</v>
      </c>
      <c r="BB161" s="6">
        <v>6.83</v>
      </c>
      <c r="BC161" s="6">
        <f>6.23+0.43</f>
        <v>6.66</v>
      </c>
      <c r="BD161" s="6">
        <v>5.4287200000000002</v>
      </c>
      <c r="BE161" s="6">
        <v>6.41</v>
      </c>
      <c r="BF161" s="6">
        <v>6.58</v>
      </c>
      <c r="BG161" s="6">
        <v>6.98</v>
      </c>
      <c r="BH161" s="6">
        <v>6.23</v>
      </c>
      <c r="BI161" s="7">
        <v>7.29</v>
      </c>
      <c r="BJ161" s="7">
        <v>5.19</v>
      </c>
      <c r="BK161" s="7">
        <v>6.6929999999999996</v>
      </c>
      <c r="BL161" s="7">
        <v>6.58</v>
      </c>
      <c r="BM161" s="7">
        <v>7.43</v>
      </c>
      <c r="BN161" s="7">
        <v>6.96</v>
      </c>
      <c r="BO161" s="7">
        <v>6.41</v>
      </c>
      <c r="BP161" s="7">
        <v>6.52</v>
      </c>
      <c r="BQ161" s="7">
        <v>5.58</v>
      </c>
      <c r="BR161" s="7">
        <v>3.72</v>
      </c>
      <c r="BS161" s="7">
        <v>7.39</v>
      </c>
      <c r="BT161" s="7">
        <v>9.14</v>
      </c>
      <c r="BU161" s="7">
        <v>8.06</v>
      </c>
      <c r="BV161" s="7">
        <v>6.76</v>
      </c>
      <c r="BW161" s="7">
        <v>5.05</v>
      </c>
      <c r="BX161" s="7">
        <v>5.4399999999999995</v>
      </c>
      <c r="BY161" s="7">
        <v>7.0299999999999994</v>
      </c>
      <c r="BZ161" s="7">
        <v>6.58</v>
      </c>
      <c r="CA161" s="7">
        <v>6.9799999999999995</v>
      </c>
      <c r="CB161" s="7">
        <v>5.64</v>
      </c>
      <c r="CC161" s="7">
        <v>4.92</v>
      </c>
      <c r="CD161" s="7">
        <v>9.33</v>
      </c>
      <c r="CE161" s="7">
        <v>8.1</v>
      </c>
      <c r="CF161" s="7">
        <v>6.57</v>
      </c>
      <c r="CG161" s="7">
        <v>6.57</v>
      </c>
      <c r="CH161" s="7"/>
    </row>
    <row r="162" spans="1:86" ht="15.75" customHeight="1" x14ac:dyDescent="0.25">
      <c r="A162" s="4">
        <v>160</v>
      </c>
      <c r="B162" s="2"/>
      <c r="C162" s="4">
        <v>9</v>
      </c>
      <c r="D162" s="6">
        <v>8.73</v>
      </c>
      <c r="E162" s="6">
        <v>8.18</v>
      </c>
      <c r="F162" s="6">
        <v>6.68</v>
      </c>
      <c r="G162" s="6">
        <v>8.3800000000000008</v>
      </c>
      <c r="H162" s="6">
        <v>5.33</v>
      </c>
      <c r="I162" s="6">
        <v>7.48</v>
      </c>
      <c r="J162" s="6">
        <v>6.13</v>
      </c>
      <c r="K162" s="6">
        <v>6.73</v>
      </c>
      <c r="L162" s="6">
        <v>6.68</v>
      </c>
      <c r="M162" s="6">
        <v>6.23</v>
      </c>
      <c r="N162" s="6">
        <v>8.3800000000000008</v>
      </c>
      <c r="O162" s="6">
        <v>7.03</v>
      </c>
      <c r="P162" s="6">
        <v>6.98</v>
      </c>
      <c r="Q162" s="6">
        <v>7.83</v>
      </c>
      <c r="R162" s="6">
        <v>5.98</v>
      </c>
      <c r="S162" s="6">
        <v>6.03</v>
      </c>
      <c r="T162" s="6">
        <v>5.63</v>
      </c>
      <c r="U162" s="6">
        <v>7.21</v>
      </c>
      <c r="V162" s="6">
        <v>3.23</v>
      </c>
      <c r="W162" s="6">
        <v>6.33</v>
      </c>
      <c r="X162" s="6">
        <v>8.73</v>
      </c>
      <c r="Y162" s="6">
        <v>4.7300000000000004</v>
      </c>
      <c r="Z162" s="6">
        <v>5.88</v>
      </c>
      <c r="AA162" s="6">
        <v>6.39</v>
      </c>
      <c r="AB162" s="6">
        <v>8.0299999999999994</v>
      </c>
      <c r="AC162" s="6">
        <v>6.29</v>
      </c>
      <c r="AD162" s="6">
        <v>7.6</v>
      </c>
      <c r="AE162" s="6">
        <v>6.52</v>
      </c>
      <c r="AF162" s="6">
        <v>7.09</v>
      </c>
      <c r="AG162" s="6">
        <v>8.74</v>
      </c>
      <c r="AH162" s="6">
        <v>3.9</v>
      </c>
      <c r="AI162" s="6">
        <v>3.25</v>
      </c>
      <c r="AJ162" s="6">
        <v>5.31</v>
      </c>
      <c r="AK162" s="6">
        <v>8.75</v>
      </c>
      <c r="AL162" s="6">
        <v>5.73</v>
      </c>
      <c r="AM162" s="6">
        <v>6.94</v>
      </c>
      <c r="AN162" s="6">
        <v>7.29</v>
      </c>
      <c r="AO162" s="6">
        <v>6.9</v>
      </c>
      <c r="AP162" s="6">
        <v>8.84</v>
      </c>
      <c r="AQ162" s="6">
        <v>8.6999999999999993</v>
      </c>
      <c r="AR162" s="6">
        <v>8.01</v>
      </c>
      <c r="AS162" s="6">
        <v>5.25</v>
      </c>
      <c r="AT162" s="6">
        <v>4.67</v>
      </c>
      <c r="AU162" s="6">
        <v>5.52</v>
      </c>
      <c r="AV162" s="6">
        <v>6.36</v>
      </c>
      <c r="AW162" s="6">
        <v>3.78</v>
      </c>
      <c r="AX162" s="6">
        <v>6.47</v>
      </c>
      <c r="AY162" s="6">
        <v>7.83</v>
      </c>
      <c r="AZ162" s="6">
        <v>5.43</v>
      </c>
      <c r="BA162" s="6">
        <v>4.74</v>
      </c>
      <c r="BB162" s="6">
        <v>6.91</v>
      </c>
      <c r="BC162" s="6">
        <f>6.33+0.43</f>
        <v>6.76</v>
      </c>
      <c r="BD162" s="6">
        <v>5.5201599999999997</v>
      </c>
      <c r="BE162" s="6">
        <v>6.48</v>
      </c>
      <c r="BF162" s="6">
        <v>6.58</v>
      </c>
      <c r="BG162" s="6">
        <v>7.17</v>
      </c>
      <c r="BH162" s="6">
        <v>6.33</v>
      </c>
      <c r="BI162" s="7">
        <v>7.65</v>
      </c>
      <c r="BJ162" s="7">
        <v>5.25</v>
      </c>
      <c r="BK162" s="7">
        <v>6.78</v>
      </c>
      <c r="BL162" s="7">
        <v>6.56</v>
      </c>
      <c r="BM162" s="7">
        <v>7.5</v>
      </c>
      <c r="BN162" s="7">
        <v>7.03</v>
      </c>
      <c r="BO162" s="7">
        <v>6.51</v>
      </c>
      <c r="BP162" s="7">
        <v>6.64</v>
      </c>
      <c r="BQ162" s="7">
        <v>5.62</v>
      </c>
      <c r="BR162" s="7">
        <v>3.71</v>
      </c>
      <c r="BS162" s="7">
        <v>7.39</v>
      </c>
      <c r="BT162" s="7">
        <v>9.23</v>
      </c>
      <c r="BU162" s="7">
        <v>8</v>
      </c>
      <c r="BV162" s="7">
        <v>6.79</v>
      </c>
      <c r="BW162" s="7">
        <v>5.08</v>
      </c>
      <c r="BX162" s="7">
        <v>5.51</v>
      </c>
      <c r="BY162" s="7">
        <v>7.0299999999999994</v>
      </c>
      <c r="BZ162" s="7">
        <v>6.4799999999999995</v>
      </c>
      <c r="CA162" s="7">
        <v>7.04</v>
      </c>
      <c r="CB162" s="7">
        <v>5.83</v>
      </c>
      <c r="CC162" s="7">
        <v>4.97</v>
      </c>
      <c r="CD162" s="7">
        <v>9.34</v>
      </c>
      <c r="CE162" s="7">
        <v>7.8999999999999995</v>
      </c>
      <c r="CF162" s="7">
        <v>6.79</v>
      </c>
      <c r="CG162" s="7">
        <v>6.63</v>
      </c>
      <c r="CH162" s="7"/>
    </row>
    <row r="163" spans="1:86" ht="15.75" customHeight="1" x14ac:dyDescent="0.25">
      <c r="A163" s="4">
        <v>161</v>
      </c>
      <c r="B163" s="2"/>
      <c r="C163" s="4">
        <v>10</v>
      </c>
      <c r="D163" s="6">
        <v>8.73</v>
      </c>
      <c r="E163" s="6">
        <v>8.23</v>
      </c>
      <c r="F163" s="6">
        <v>6.93</v>
      </c>
      <c r="G163" s="6">
        <v>8.48</v>
      </c>
      <c r="H163" s="6">
        <v>5.28</v>
      </c>
      <c r="I163" s="6">
        <v>7.43</v>
      </c>
      <c r="J163" s="6">
        <v>6.18</v>
      </c>
      <c r="K163" s="6">
        <v>6.93</v>
      </c>
      <c r="L163" s="6">
        <v>6.73</v>
      </c>
      <c r="M163" s="6">
        <v>6.33</v>
      </c>
      <c r="N163" s="6">
        <v>8.33</v>
      </c>
      <c r="O163" s="6">
        <v>7.06</v>
      </c>
      <c r="P163" s="6">
        <v>7.03</v>
      </c>
      <c r="Q163" s="6">
        <v>7.88</v>
      </c>
      <c r="R163" s="6">
        <v>5.88</v>
      </c>
      <c r="S163" s="6">
        <v>6.13</v>
      </c>
      <c r="T163" s="6">
        <v>5.73</v>
      </c>
      <c r="U163" s="6">
        <v>7.21</v>
      </c>
      <c r="V163" s="6">
        <v>3.53</v>
      </c>
      <c r="W163" s="6">
        <v>6.53</v>
      </c>
      <c r="X163" s="6">
        <v>8.86</v>
      </c>
      <c r="Y163" s="6">
        <v>5.03</v>
      </c>
      <c r="Z163" s="6">
        <v>6.03</v>
      </c>
      <c r="AA163" s="6">
        <v>6.47</v>
      </c>
      <c r="AB163" s="6">
        <v>8.24</v>
      </c>
      <c r="AC163" s="6">
        <v>6.41</v>
      </c>
      <c r="AD163" s="6">
        <v>7.65</v>
      </c>
      <c r="AE163" s="6">
        <v>6.84</v>
      </c>
      <c r="AF163" s="6">
        <v>7.18</v>
      </c>
      <c r="AG163" s="6">
        <v>8.76</v>
      </c>
      <c r="AH163" s="6">
        <v>3.87</v>
      </c>
      <c r="AI163" s="6">
        <v>3.33</v>
      </c>
      <c r="AJ163" s="6">
        <v>5.43</v>
      </c>
      <c r="AK163" s="6">
        <v>8.84</v>
      </c>
      <c r="AL163" s="6">
        <v>5.92</v>
      </c>
      <c r="AM163" s="6">
        <v>7.16</v>
      </c>
      <c r="AN163" s="6">
        <v>7.45</v>
      </c>
      <c r="AO163" s="6">
        <v>7.13</v>
      </c>
      <c r="AP163" s="6">
        <v>8.86</v>
      </c>
      <c r="AQ163" s="6">
        <v>8.7799999999999994</v>
      </c>
      <c r="AR163" s="6">
        <v>8.1199999999999992</v>
      </c>
      <c r="AS163" s="6">
        <v>5.38</v>
      </c>
      <c r="AT163" s="6">
        <v>4.8899999999999997</v>
      </c>
      <c r="AU163" s="6">
        <v>5.62</v>
      </c>
      <c r="AV163" s="6">
        <v>6.35</v>
      </c>
      <c r="AW163" s="6">
        <v>3.87</v>
      </c>
      <c r="AX163" s="6">
        <v>6.55</v>
      </c>
      <c r="AY163" s="6">
        <v>7.83</v>
      </c>
      <c r="AZ163" s="6">
        <v>5.32</v>
      </c>
      <c r="BA163" s="6">
        <v>4.71</v>
      </c>
      <c r="BB163" s="6">
        <v>6.95</v>
      </c>
      <c r="BC163" s="6">
        <f>6.43+0.43</f>
        <v>6.8599999999999994</v>
      </c>
      <c r="BD163" s="6">
        <v>5.6725599999999998</v>
      </c>
      <c r="BE163" s="6">
        <v>6.54</v>
      </c>
      <c r="BF163" s="6">
        <v>6.73</v>
      </c>
      <c r="BG163" s="6">
        <v>7.22</v>
      </c>
      <c r="BH163" s="6">
        <v>6.33</v>
      </c>
      <c r="BI163" s="7">
        <v>7.74</v>
      </c>
      <c r="BJ163" s="7">
        <v>5.25</v>
      </c>
      <c r="BK163" s="7">
        <v>6.77</v>
      </c>
      <c r="BL163" s="7">
        <v>6.65</v>
      </c>
      <c r="BM163" s="7">
        <v>7.55</v>
      </c>
      <c r="BN163" s="7">
        <v>7.08</v>
      </c>
      <c r="BO163" s="7">
        <v>6.57</v>
      </c>
      <c r="BP163" s="7">
        <v>6.65</v>
      </c>
      <c r="BQ163" s="7">
        <v>5.62</v>
      </c>
      <c r="BR163" s="7">
        <v>3.76</v>
      </c>
      <c r="BS163" s="7">
        <v>7.5</v>
      </c>
      <c r="BT163" s="7">
        <v>9.31</v>
      </c>
      <c r="BU163" s="7">
        <v>7.96</v>
      </c>
      <c r="BV163" s="7">
        <v>6.87</v>
      </c>
      <c r="BW163" s="7">
        <v>5.12</v>
      </c>
      <c r="BX163" s="7">
        <v>5.55</v>
      </c>
      <c r="BY163" s="7">
        <v>7.05</v>
      </c>
      <c r="BZ163" s="7">
        <v>6.5699999999999994</v>
      </c>
      <c r="CA163" s="7">
        <v>7.14</v>
      </c>
      <c r="CB163" s="7">
        <v>5.8999999999999995</v>
      </c>
      <c r="CC163" s="7">
        <v>4.8899999999999997</v>
      </c>
      <c r="CD163" s="7">
        <v>9.3699999999999992</v>
      </c>
      <c r="CE163" s="7">
        <v>8.33</v>
      </c>
      <c r="CF163" s="7">
        <v>6.94</v>
      </c>
      <c r="CG163" s="7">
        <v>6.74</v>
      </c>
      <c r="CH163" s="7"/>
    </row>
    <row r="164" spans="1:86" ht="15.75" customHeight="1" x14ac:dyDescent="0.25">
      <c r="A164" s="4">
        <v>162</v>
      </c>
      <c r="B164" s="2"/>
      <c r="C164" s="4">
        <v>11</v>
      </c>
      <c r="D164" s="6">
        <v>8.7799999999999994</v>
      </c>
      <c r="E164" s="6">
        <v>8.3800000000000008</v>
      </c>
      <c r="F164" s="6">
        <v>7.13</v>
      </c>
      <c r="G164" s="6">
        <v>8.48</v>
      </c>
      <c r="H164" s="6">
        <v>5.43</v>
      </c>
      <c r="I164" s="6">
        <v>7.43</v>
      </c>
      <c r="J164" s="6">
        <v>6.13</v>
      </c>
      <c r="K164" s="6">
        <v>7.03</v>
      </c>
      <c r="L164" s="6">
        <v>6.78</v>
      </c>
      <c r="M164" s="6">
        <v>6.43</v>
      </c>
      <c r="N164" s="6">
        <v>8.2799999999999994</v>
      </c>
      <c r="O164" s="6">
        <v>7.23</v>
      </c>
      <c r="P164" s="6">
        <v>6.98</v>
      </c>
      <c r="Q164" s="6">
        <v>8.33</v>
      </c>
      <c r="R164" s="6">
        <v>5.78</v>
      </c>
      <c r="S164" s="6">
        <v>6.18</v>
      </c>
      <c r="T164" s="6">
        <v>5.83</v>
      </c>
      <c r="U164" s="6">
        <v>7.18</v>
      </c>
      <c r="V164" s="6">
        <v>3.68</v>
      </c>
      <c r="W164" s="6">
        <v>6.63</v>
      </c>
      <c r="X164" s="6">
        <v>8.93</v>
      </c>
      <c r="Y164" s="6">
        <v>5.41</v>
      </c>
      <c r="Z164" s="6">
        <v>6.11</v>
      </c>
      <c r="AA164" s="6">
        <v>6.45</v>
      </c>
      <c r="AB164" s="6">
        <v>8.3800000000000008</v>
      </c>
      <c r="AC164" s="6">
        <v>6.61</v>
      </c>
      <c r="AD164" s="6">
        <v>7.68</v>
      </c>
      <c r="AE164" s="6">
        <v>6.98</v>
      </c>
      <c r="AF164" s="6">
        <v>7.24</v>
      </c>
      <c r="AG164" s="6">
        <v>8.82</v>
      </c>
      <c r="AH164" s="6">
        <v>3.84</v>
      </c>
      <c r="AI164" s="6">
        <v>3.51</v>
      </c>
      <c r="AJ164" s="6">
        <v>5.8</v>
      </c>
      <c r="AK164" s="6">
        <v>8.92</v>
      </c>
      <c r="AL164" s="6">
        <v>5.97</v>
      </c>
      <c r="AM164" s="6">
        <v>7.33</v>
      </c>
      <c r="AN164" s="6">
        <v>7.55</v>
      </c>
      <c r="AO164" s="6">
        <v>7.33</v>
      </c>
      <c r="AP164" s="6">
        <v>8.76</v>
      </c>
      <c r="AQ164" s="6">
        <v>8.86</v>
      </c>
      <c r="AR164" s="6">
        <v>8.1999999999999993</v>
      </c>
      <c r="AS164" s="6">
        <v>5.42</v>
      </c>
      <c r="AT164" s="6">
        <v>5.13</v>
      </c>
      <c r="AU164" s="6">
        <v>5.74</v>
      </c>
      <c r="AV164" s="6">
        <v>6.37</v>
      </c>
      <c r="AW164" s="6">
        <v>3.98</v>
      </c>
      <c r="AX164" s="6">
        <v>6.67</v>
      </c>
      <c r="AY164" s="6">
        <v>7.83</v>
      </c>
      <c r="AZ164" s="6">
        <v>5.42</v>
      </c>
      <c r="BA164" s="6">
        <v>4.63</v>
      </c>
      <c r="BB164" s="6">
        <v>7</v>
      </c>
      <c r="BC164" s="6">
        <f t="shared" ref="BC164:BC166" si="8">6.49+0.43</f>
        <v>6.92</v>
      </c>
      <c r="BD164" s="6">
        <v>5.7640000000000002</v>
      </c>
      <c r="BE164" s="6">
        <v>6.73</v>
      </c>
      <c r="BF164" s="6">
        <v>6.73</v>
      </c>
      <c r="BG164" s="6">
        <v>7.31</v>
      </c>
      <c r="BH164" s="6">
        <v>6.38</v>
      </c>
      <c r="BI164" s="7">
        <v>7.97</v>
      </c>
      <c r="BJ164" s="7">
        <v>5.23</v>
      </c>
      <c r="BK164" s="7">
        <v>6.98</v>
      </c>
      <c r="BL164" s="7">
        <v>6.74</v>
      </c>
      <c r="BM164" s="7">
        <v>7.63</v>
      </c>
      <c r="BN164" s="7">
        <v>7.14</v>
      </c>
      <c r="BO164" s="7">
        <v>6.59</v>
      </c>
      <c r="BP164" s="7">
        <v>6.7</v>
      </c>
      <c r="BQ164" s="7">
        <v>5.62</v>
      </c>
      <c r="BR164" s="7">
        <v>3.79</v>
      </c>
      <c r="BS164" s="7">
        <v>7.58</v>
      </c>
      <c r="BT164" s="7">
        <v>9.33</v>
      </c>
      <c r="BU164" s="7">
        <v>7.94</v>
      </c>
      <c r="BV164" s="7">
        <v>6.9399999999999995</v>
      </c>
      <c r="BW164" s="7">
        <v>5.21</v>
      </c>
      <c r="BX164" s="7">
        <v>5.59</v>
      </c>
      <c r="BY164" s="7">
        <v>7.0699999999999994</v>
      </c>
      <c r="BZ164" s="7">
        <v>6.56</v>
      </c>
      <c r="CA164" s="7">
        <v>7.18</v>
      </c>
      <c r="CB164" s="7">
        <v>5.9499999999999993</v>
      </c>
      <c r="CC164" s="7">
        <v>5.08</v>
      </c>
      <c r="CD164" s="7">
        <v>9.4</v>
      </c>
      <c r="CE164" s="7">
        <v>8.120000000000001</v>
      </c>
      <c r="CF164" s="7">
        <v>6.99</v>
      </c>
      <c r="CG164" s="7">
        <v>6.82</v>
      </c>
      <c r="CH164" s="7"/>
    </row>
    <row r="165" spans="1:86" ht="15.75" customHeight="1" x14ac:dyDescent="0.25">
      <c r="A165" s="4">
        <v>163</v>
      </c>
      <c r="B165" s="2"/>
      <c r="C165" s="4">
        <v>12</v>
      </c>
      <c r="D165" s="6">
        <v>8.83</v>
      </c>
      <c r="E165" s="6">
        <v>8.5299999999999994</v>
      </c>
      <c r="F165" s="6">
        <v>7.43</v>
      </c>
      <c r="G165" s="6">
        <v>8.5299999999999994</v>
      </c>
      <c r="H165" s="6">
        <v>5.53</v>
      </c>
      <c r="I165" s="6">
        <v>7.43</v>
      </c>
      <c r="J165" s="6">
        <v>6.28</v>
      </c>
      <c r="K165" s="6">
        <v>7.13</v>
      </c>
      <c r="L165" s="6">
        <v>6.83</v>
      </c>
      <c r="M165" s="6">
        <v>6.63</v>
      </c>
      <c r="N165" s="6">
        <v>8.23</v>
      </c>
      <c r="O165" s="6">
        <v>7.43</v>
      </c>
      <c r="P165" s="6">
        <v>6.98</v>
      </c>
      <c r="Q165" s="6">
        <v>8.3800000000000008</v>
      </c>
      <c r="R165" s="6">
        <v>5.78</v>
      </c>
      <c r="S165" s="6">
        <v>6.28</v>
      </c>
      <c r="T165" s="6">
        <v>5.88</v>
      </c>
      <c r="U165" s="6">
        <v>7.06</v>
      </c>
      <c r="V165" s="6">
        <v>3.94</v>
      </c>
      <c r="W165" s="6">
        <v>6.83</v>
      </c>
      <c r="X165" s="6">
        <v>8.91</v>
      </c>
      <c r="Y165" s="6">
        <v>5.63</v>
      </c>
      <c r="Z165" s="6">
        <v>6.18</v>
      </c>
      <c r="AA165" s="6">
        <v>6.43</v>
      </c>
      <c r="AB165" s="6">
        <v>8.4700000000000006</v>
      </c>
      <c r="AC165" s="6">
        <v>6.77</v>
      </c>
      <c r="AD165" s="6">
        <v>7.68</v>
      </c>
      <c r="AE165" s="6">
        <v>7.17</v>
      </c>
      <c r="AF165" s="6">
        <v>7.33</v>
      </c>
      <c r="AG165" s="6">
        <v>8.83</v>
      </c>
      <c r="AH165" s="6">
        <v>3.82</v>
      </c>
      <c r="AI165" s="6">
        <v>3.54</v>
      </c>
      <c r="AJ165" s="6">
        <v>5.94</v>
      </c>
      <c r="AK165" s="6">
        <v>9.0299999999999994</v>
      </c>
      <c r="AL165" s="6">
        <v>6.09</v>
      </c>
      <c r="AM165" s="6">
        <v>7.5</v>
      </c>
      <c r="AN165" s="6">
        <v>7.71</v>
      </c>
      <c r="AO165" s="6">
        <v>7.35</v>
      </c>
      <c r="AP165" s="6">
        <v>8.4</v>
      </c>
      <c r="AQ165" s="6">
        <v>8.9600000000000009</v>
      </c>
      <c r="AR165" s="6">
        <v>8.1</v>
      </c>
      <c r="AS165" s="6">
        <v>5.55</v>
      </c>
      <c r="AT165" s="6">
        <v>5.3</v>
      </c>
      <c r="AU165" s="6">
        <v>5.81</v>
      </c>
      <c r="AV165" s="6">
        <v>6.34</v>
      </c>
      <c r="AW165" s="6">
        <v>4.0599999999999996</v>
      </c>
      <c r="AX165" s="6">
        <v>6.67</v>
      </c>
      <c r="AY165" s="6">
        <v>7.93</v>
      </c>
      <c r="AZ165" s="6">
        <v>5.53</v>
      </c>
      <c r="BA165" s="6">
        <v>4.63</v>
      </c>
      <c r="BB165" s="6">
        <v>7.07</v>
      </c>
      <c r="BC165" s="6">
        <f t="shared" si="8"/>
        <v>6.92</v>
      </c>
      <c r="BD165" s="6">
        <v>5.9164000000000003</v>
      </c>
      <c r="BE165" s="6">
        <v>6.98</v>
      </c>
      <c r="BF165" s="6">
        <v>6.83</v>
      </c>
      <c r="BG165" s="6">
        <v>7.38</v>
      </c>
      <c r="BH165" s="6">
        <v>6.4</v>
      </c>
      <c r="BI165" s="7">
        <v>8.2100000000000009</v>
      </c>
      <c r="BJ165" s="7">
        <v>5.42</v>
      </c>
      <c r="BK165" s="7">
        <v>7.05</v>
      </c>
      <c r="BL165" s="7">
        <v>6.82</v>
      </c>
      <c r="BM165" s="7">
        <v>7.75</v>
      </c>
      <c r="BN165" s="7">
        <v>7.17</v>
      </c>
      <c r="BO165" s="7">
        <v>6.62</v>
      </c>
      <c r="BP165" s="7">
        <v>6.77</v>
      </c>
      <c r="BQ165" s="7">
        <v>5.81</v>
      </c>
      <c r="BR165" s="7">
        <v>3.87</v>
      </c>
      <c r="BS165" s="7">
        <v>7.64</v>
      </c>
      <c r="BT165" s="7">
        <v>9.3800000000000008</v>
      </c>
      <c r="BU165" s="7">
        <v>8.06</v>
      </c>
      <c r="BV165" s="7">
        <v>6.97</v>
      </c>
      <c r="BW165" s="7">
        <v>5.2799999999999994</v>
      </c>
      <c r="BX165" s="7">
        <v>5.64</v>
      </c>
      <c r="BY165" s="7">
        <v>7.13</v>
      </c>
      <c r="BZ165" s="7">
        <v>6.64</v>
      </c>
      <c r="CA165" s="7">
        <v>7.2399999999999993</v>
      </c>
      <c r="CB165" s="7">
        <v>6.01</v>
      </c>
      <c r="CC165" s="7">
        <v>5.0999999999999996</v>
      </c>
      <c r="CD165" s="7">
        <v>9.5</v>
      </c>
      <c r="CE165" s="7">
        <v>8.36</v>
      </c>
      <c r="CF165" s="7">
        <v>7.11</v>
      </c>
      <c r="CG165" s="7">
        <v>6.94</v>
      </c>
      <c r="CH165" s="7"/>
    </row>
    <row r="166" spans="1:86" ht="15.75" customHeight="1" x14ac:dyDescent="0.25">
      <c r="A166" s="4">
        <v>164</v>
      </c>
      <c r="B166" s="2"/>
      <c r="C166" s="4">
        <v>13</v>
      </c>
      <c r="D166" s="6">
        <v>8.93</v>
      </c>
      <c r="E166" s="6">
        <v>8.68</v>
      </c>
      <c r="F166" s="6">
        <v>7.73</v>
      </c>
      <c r="G166" s="6">
        <v>8.5299999999999994</v>
      </c>
      <c r="H166" s="6">
        <v>5.63</v>
      </c>
      <c r="I166" s="6">
        <v>7.53</v>
      </c>
      <c r="J166" s="6">
        <v>6.43</v>
      </c>
      <c r="K166" s="6">
        <v>7.13</v>
      </c>
      <c r="L166" s="6">
        <v>6.93</v>
      </c>
      <c r="M166" s="6">
        <v>6.83</v>
      </c>
      <c r="N166" s="6">
        <v>8.23</v>
      </c>
      <c r="O166" s="6">
        <v>7.58</v>
      </c>
      <c r="P166" s="6">
        <v>6.88</v>
      </c>
      <c r="Q166" s="6">
        <v>8.23</v>
      </c>
      <c r="R166" s="6">
        <v>5.73</v>
      </c>
      <c r="S166" s="6">
        <v>6.38</v>
      </c>
      <c r="T166" s="6">
        <v>5.88</v>
      </c>
      <c r="U166" s="6">
        <v>7.03</v>
      </c>
      <c r="V166" s="6">
        <v>4.09</v>
      </c>
      <c r="W166" s="6">
        <v>7.05</v>
      </c>
      <c r="X166" s="6">
        <v>8.86</v>
      </c>
      <c r="Y166" s="6">
        <v>5.71</v>
      </c>
      <c r="Z166" s="6">
        <v>6.23</v>
      </c>
      <c r="AA166" s="6">
        <v>6.38</v>
      </c>
      <c r="AB166" s="6">
        <v>8.52</v>
      </c>
      <c r="AC166" s="6">
        <v>6.86</v>
      </c>
      <c r="AD166" s="6">
        <v>7.68</v>
      </c>
      <c r="AE166" s="6">
        <v>6.88</v>
      </c>
      <c r="AF166" s="6">
        <v>7.47</v>
      </c>
      <c r="AG166" s="6">
        <v>8.8800000000000008</v>
      </c>
      <c r="AH166" s="6">
        <v>3.9</v>
      </c>
      <c r="AI166" s="6">
        <v>3.56</v>
      </c>
      <c r="AJ166" s="6">
        <v>6.02</v>
      </c>
      <c r="AK166" s="6">
        <v>9.07</v>
      </c>
      <c r="AL166" s="6">
        <v>6.15</v>
      </c>
      <c r="AM166" s="6">
        <v>7.81</v>
      </c>
      <c r="AN166" s="6">
        <v>7.79</v>
      </c>
      <c r="AO166" s="6">
        <v>7.53</v>
      </c>
      <c r="AP166" s="6">
        <v>8.6999999999999993</v>
      </c>
      <c r="AQ166" s="6">
        <v>8.92</v>
      </c>
      <c r="AR166" s="6">
        <v>8.1999999999999993</v>
      </c>
      <c r="AS166" s="6">
        <v>5.63</v>
      </c>
      <c r="AT166" s="6">
        <v>5.5</v>
      </c>
      <c r="AU166" s="6">
        <v>5.9</v>
      </c>
      <c r="AV166" s="6">
        <v>6.45</v>
      </c>
      <c r="AW166" s="6">
        <v>4.07</v>
      </c>
      <c r="AX166" s="6">
        <v>6.76</v>
      </c>
      <c r="AY166" s="6">
        <v>8</v>
      </c>
      <c r="AZ166" s="6">
        <v>5.56</v>
      </c>
      <c r="BA166" s="6">
        <v>4.7</v>
      </c>
      <c r="BB166" s="6">
        <v>7.01</v>
      </c>
      <c r="BC166" s="6">
        <f t="shared" si="8"/>
        <v>6.92</v>
      </c>
      <c r="BD166" s="6">
        <v>6.1297600000000001</v>
      </c>
      <c r="BE166" s="6">
        <v>7.23</v>
      </c>
      <c r="BF166" s="6">
        <v>6.89</v>
      </c>
      <c r="BG166" s="6">
        <v>7.48</v>
      </c>
      <c r="BH166" s="6">
        <v>6.5</v>
      </c>
      <c r="BI166" s="7">
        <v>8.4700000000000006</v>
      </c>
      <c r="BJ166" s="7">
        <v>5.43</v>
      </c>
      <c r="BK166" s="7">
        <v>7.11</v>
      </c>
      <c r="BL166" s="7">
        <v>6.86</v>
      </c>
      <c r="BM166" s="7">
        <v>7.78</v>
      </c>
      <c r="BN166" s="7">
        <v>7.21</v>
      </c>
      <c r="BO166" s="7">
        <v>6.71</v>
      </c>
      <c r="BP166" s="7">
        <v>6.81</v>
      </c>
      <c r="BQ166" s="7">
        <v>5.99</v>
      </c>
      <c r="BR166" s="7">
        <v>4</v>
      </c>
      <c r="BS166" s="7">
        <v>7.69</v>
      </c>
      <c r="BT166" s="7">
        <v>9.4499999999999993</v>
      </c>
      <c r="BU166" s="7">
        <v>8.24</v>
      </c>
      <c r="BV166" s="7">
        <v>7.04</v>
      </c>
      <c r="BW166" s="7">
        <v>5.3999999999999995</v>
      </c>
      <c r="BX166" s="7">
        <v>5.72</v>
      </c>
      <c r="BY166" s="7">
        <v>7.18</v>
      </c>
      <c r="BZ166" s="7">
        <v>6.8999999999999995</v>
      </c>
      <c r="CA166" s="7">
        <v>7.33</v>
      </c>
      <c r="CB166" s="7">
        <v>6.13</v>
      </c>
      <c r="CC166" s="7">
        <v>5.18</v>
      </c>
      <c r="CD166" s="7">
        <v>9.5499999999999989</v>
      </c>
      <c r="CE166" s="7">
        <v>8.51</v>
      </c>
      <c r="CF166" s="7">
        <v>7.2</v>
      </c>
      <c r="CG166" s="7">
        <v>7.08</v>
      </c>
      <c r="CH166" s="7"/>
    </row>
    <row r="167" spans="1:86" ht="15.75" customHeight="1" x14ac:dyDescent="0.25">
      <c r="A167" s="4">
        <v>165</v>
      </c>
      <c r="B167" s="2"/>
      <c r="C167" s="4">
        <v>14</v>
      </c>
      <c r="D167" s="6">
        <v>8.98</v>
      </c>
      <c r="E167" s="6">
        <v>8.93</v>
      </c>
      <c r="F167" s="6">
        <v>8.1300000000000008</v>
      </c>
      <c r="G167" s="6">
        <v>8.6300000000000008</v>
      </c>
      <c r="H167" s="6">
        <v>5.73</v>
      </c>
      <c r="I167" s="6">
        <v>7.63</v>
      </c>
      <c r="J167" s="6">
        <v>6.48</v>
      </c>
      <c r="K167" s="6">
        <v>7.23</v>
      </c>
      <c r="L167" s="6">
        <v>6.98</v>
      </c>
      <c r="M167" s="6">
        <v>7.03</v>
      </c>
      <c r="N167" s="6">
        <v>8.23</v>
      </c>
      <c r="O167" s="6">
        <v>7.68</v>
      </c>
      <c r="P167" s="6">
        <v>6.8</v>
      </c>
      <c r="Q167" s="6">
        <v>8.2799999999999994</v>
      </c>
      <c r="R167" s="6">
        <v>5.83</v>
      </c>
      <c r="S167" s="6">
        <v>6.53</v>
      </c>
      <c r="T167" s="6">
        <v>6.03</v>
      </c>
      <c r="U167" s="6">
        <v>7.13</v>
      </c>
      <c r="V167" s="6">
        <v>4.2300000000000004</v>
      </c>
      <c r="W167" s="6">
        <v>7.23</v>
      </c>
      <c r="X167" s="6">
        <v>8.8000000000000007</v>
      </c>
      <c r="Y167" s="6">
        <v>5.78</v>
      </c>
      <c r="Z167" s="6">
        <v>6.28</v>
      </c>
      <c r="AA167" s="6">
        <v>6.36</v>
      </c>
      <c r="AB167" s="6">
        <v>8.4700000000000006</v>
      </c>
      <c r="AC167" s="6">
        <v>6.92</v>
      </c>
      <c r="AD167" s="6">
        <v>7.69</v>
      </c>
      <c r="AE167" s="6">
        <v>7.32</v>
      </c>
      <c r="AF167" s="6">
        <v>7.1</v>
      </c>
      <c r="AG167" s="6">
        <v>8.98</v>
      </c>
      <c r="AH167" s="6">
        <v>3.95</v>
      </c>
      <c r="AI167" s="6">
        <v>3.56</v>
      </c>
      <c r="AJ167" s="6">
        <v>5.95</v>
      </c>
      <c r="AK167" s="6">
        <v>9.18</v>
      </c>
      <c r="AL167" s="6">
        <v>6.31</v>
      </c>
      <c r="AM167" s="6">
        <v>8.07</v>
      </c>
      <c r="AN167" s="6">
        <v>7.83</v>
      </c>
      <c r="AO167" s="6">
        <v>7.65</v>
      </c>
      <c r="AP167" s="6">
        <v>8.86</v>
      </c>
      <c r="AQ167" s="6">
        <v>9.14</v>
      </c>
      <c r="AR167" s="6">
        <v>8.44</v>
      </c>
      <c r="AS167" s="6">
        <v>5.67</v>
      </c>
      <c r="AT167" s="6">
        <v>5.7</v>
      </c>
      <c r="AU167" s="6">
        <v>6.01</v>
      </c>
      <c r="AV167" s="6">
        <v>6.28</v>
      </c>
      <c r="AW167" s="6">
        <v>4.2300000000000004</v>
      </c>
      <c r="AX167" s="6">
        <v>6.81</v>
      </c>
      <c r="AY167" s="6">
        <v>8.11</v>
      </c>
      <c r="AZ167" s="6">
        <v>5.61</v>
      </c>
      <c r="BA167" s="6">
        <v>4.8099999999999996</v>
      </c>
      <c r="BB167" s="6">
        <v>7.01</v>
      </c>
      <c r="BC167" s="6">
        <f>6.68+0.43</f>
        <v>7.1099999999999994</v>
      </c>
      <c r="BD167" s="6">
        <v>6.2516800000000003</v>
      </c>
      <c r="BE167" s="6">
        <v>7.38</v>
      </c>
      <c r="BF167" s="6">
        <v>6.89</v>
      </c>
      <c r="BG167" s="6">
        <v>7.53</v>
      </c>
      <c r="BH167" s="6">
        <v>6.83</v>
      </c>
      <c r="BI167" s="7">
        <v>8.6300000000000008</v>
      </c>
      <c r="BJ167" s="7">
        <v>5.5</v>
      </c>
      <c r="BK167" s="7">
        <v>7.18</v>
      </c>
      <c r="BL167" s="7">
        <v>6.91</v>
      </c>
      <c r="BM167" s="7">
        <v>7.85</v>
      </c>
      <c r="BN167" s="7">
        <v>7.27</v>
      </c>
      <c r="BO167" s="7">
        <v>6.81</v>
      </c>
      <c r="BP167" s="7">
        <v>6.88</v>
      </c>
      <c r="BQ167" s="7">
        <v>6.1</v>
      </c>
      <c r="BR167" s="7">
        <v>4.0599999999999996</v>
      </c>
      <c r="BS167" s="7">
        <v>7.73</v>
      </c>
      <c r="BT167" s="7">
        <v>9.4499999999999993</v>
      </c>
      <c r="BU167" s="7">
        <v>8.42</v>
      </c>
      <c r="BV167" s="7">
        <v>7.1099999999999994</v>
      </c>
      <c r="BW167" s="7">
        <v>5.4499999999999993</v>
      </c>
      <c r="BX167" s="7">
        <v>5.81</v>
      </c>
      <c r="BY167" s="7">
        <v>7.21</v>
      </c>
      <c r="BZ167" s="7">
        <v>6.97</v>
      </c>
      <c r="CA167" s="7">
        <v>7.43</v>
      </c>
      <c r="CB167" s="7">
        <v>6.33</v>
      </c>
      <c r="CC167" s="7">
        <v>5.38</v>
      </c>
      <c r="CD167" s="7">
        <v>9.58</v>
      </c>
      <c r="CE167" s="7">
        <v>8.61</v>
      </c>
      <c r="CF167" s="7">
        <v>7.3</v>
      </c>
      <c r="CG167" s="7">
        <v>7.18</v>
      </c>
      <c r="CH167" s="7"/>
    </row>
    <row r="168" spans="1:86" ht="15.75" customHeight="1" x14ac:dyDescent="0.25">
      <c r="A168" s="4">
        <v>166</v>
      </c>
      <c r="B168" s="2"/>
      <c r="C168" s="4">
        <v>15</v>
      </c>
      <c r="D168" s="6">
        <v>9.0299999999999994</v>
      </c>
      <c r="E168" s="6">
        <v>9.18</v>
      </c>
      <c r="F168" s="6">
        <v>8.33</v>
      </c>
      <c r="G168" s="6">
        <v>8.73</v>
      </c>
      <c r="H168" s="6">
        <v>5.83</v>
      </c>
      <c r="I168" s="6">
        <v>7.68</v>
      </c>
      <c r="J168" s="6">
        <v>6.78</v>
      </c>
      <c r="K168" s="6">
        <v>7.33</v>
      </c>
      <c r="L168" s="6">
        <v>7.03</v>
      </c>
      <c r="M168" s="6">
        <v>7.23</v>
      </c>
      <c r="N168" s="6">
        <v>8.2799999999999994</v>
      </c>
      <c r="O168" s="6">
        <v>7.73</v>
      </c>
      <c r="P168" s="6">
        <v>6.83</v>
      </c>
      <c r="Q168" s="6">
        <v>8.31</v>
      </c>
      <c r="R168" s="6">
        <v>5.93</v>
      </c>
      <c r="S168" s="6">
        <v>6.63</v>
      </c>
      <c r="T168" s="6">
        <v>6.33</v>
      </c>
      <c r="U168" s="6">
        <v>7.23</v>
      </c>
      <c r="V168" s="6">
        <v>4.3899999999999997</v>
      </c>
      <c r="W168" s="6">
        <v>7.43</v>
      </c>
      <c r="X168" s="6">
        <v>8.77</v>
      </c>
      <c r="Y168" s="6">
        <v>5.78</v>
      </c>
      <c r="Z168" s="6">
        <v>6.38</v>
      </c>
      <c r="AA168" s="6">
        <v>6.33</v>
      </c>
      <c r="AB168" s="6">
        <v>8.41</v>
      </c>
      <c r="AC168" s="6">
        <v>6.96</v>
      </c>
      <c r="AD168" s="6">
        <v>7.72</v>
      </c>
      <c r="AE168" s="6">
        <v>7.51</v>
      </c>
      <c r="AF168" s="6">
        <v>7.08</v>
      </c>
      <c r="AG168" s="6">
        <v>9.0299999999999994</v>
      </c>
      <c r="AH168" s="6">
        <v>4.04</v>
      </c>
      <c r="AI168" s="6">
        <v>3.56</v>
      </c>
      <c r="AJ168" s="6">
        <v>6.05</v>
      </c>
      <c r="AK168" s="6">
        <v>9.2899999999999991</v>
      </c>
      <c r="AL168" s="6">
        <v>6.4</v>
      </c>
      <c r="AM168" s="6">
        <v>8.23</v>
      </c>
      <c r="AN168" s="6">
        <v>7.91</v>
      </c>
      <c r="AO168" s="6">
        <v>7.83</v>
      </c>
      <c r="AP168" s="6">
        <v>9</v>
      </c>
      <c r="AQ168" s="6">
        <v>9.24</v>
      </c>
      <c r="AR168" s="6">
        <v>8.6300000000000008</v>
      </c>
      <c r="AS168" s="6">
        <v>5.84</v>
      </c>
      <c r="AT168" s="6">
        <v>5.95</v>
      </c>
      <c r="AU168" s="6">
        <v>6.11</v>
      </c>
      <c r="AV168" s="6">
        <v>6.21</v>
      </c>
      <c r="AW168" s="6">
        <v>4.43</v>
      </c>
      <c r="AX168" s="6">
        <v>6.91</v>
      </c>
      <c r="AY168" s="6">
        <v>8.19</v>
      </c>
      <c r="AZ168" s="6">
        <v>5.68</v>
      </c>
      <c r="BA168" s="6">
        <v>4.8099999999999996</v>
      </c>
      <c r="BB168" s="6">
        <v>7.2</v>
      </c>
      <c r="BC168" s="6">
        <f>6.73+0.43</f>
        <v>7.16</v>
      </c>
      <c r="BD168" s="6">
        <v>6.3735999999999997</v>
      </c>
      <c r="BE168" s="6">
        <v>7.48</v>
      </c>
      <c r="BF168" s="6">
        <v>6.89</v>
      </c>
      <c r="BG168" s="6">
        <v>7.63</v>
      </c>
      <c r="BH168" s="6">
        <v>7.03</v>
      </c>
      <c r="BI168" s="7">
        <v>8.73</v>
      </c>
      <c r="BJ168" s="7">
        <v>5.55</v>
      </c>
      <c r="BK168" s="7">
        <v>7.19</v>
      </c>
      <c r="BL168" s="7">
        <v>6.94</v>
      </c>
      <c r="BM168" s="7">
        <v>8.0299999999999994</v>
      </c>
      <c r="BN168" s="7">
        <v>7.37</v>
      </c>
      <c r="BO168" s="7">
        <v>6.92</v>
      </c>
      <c r="BP168" s="7">
        <v>6.89</v>
      </c>
      <c r="BQ168" s="7">
        <v>6.22</v>
      </c>
      <c r="BR168" s="7">
        <v>4.2</v>
      </c>
      <c r="BS168" s="7">
        <v>7.82</v>
      </c>
      <c r="BT168" s="7">
        <v>9.34</v>
      </c>
      <c r="BU168" s="7">
        <v>8.57</v>
      </c>
      <c r="BV168" s="7">
        <v>7.16</v>
      </c>
      <c r="BW168" s="7">
        <v>5.5299999999999994</v>
      </c>
      <c r="BX168" s="7">
        <v>5.89</v>
      </c>
      <c r="BY168" s="7">
        <v>7.25</v>
      </c>
      <c r="BZ168" s="7">
        <v>7.14</v>
      </c>
      <c r="CA168" s="7">
        <v>7.43</v>
      </c>
      <c r="CB168" s="7">
        <v>6.35</v>
      </c>
      <c r="CC168" s="7">
        <v>5.43</v>
      </c>
      <c r="CD168" s="7">
        <v>9.59</v>
      </c>
      <c r="CE168" s="7">
        <v>8.52</v>
      </c>
      <c r="CF168" s="7">
        <v>7.3</v>
      </c>
      <c r="CG168" s="7">
        <v>7.29</v>
      </c>
      <c r="CH168" s="7"/>
    </row>
    <row r="169" spans="1:86" ht="15.75" customHeight="1" x14ac:dyDescent="0.25">
      <c r="A169" s="4">
        <v>167</v>
      </c>
      <c r="B169" s="2"/>
      <c r="C169" s="4">
        <v>16</v>
      </c>
      <c r="D169" s="6">
        <v>9.1300000000000008</v>
      </c>
      <c r="E169" s="6">
        <v>9.3800000000000008</v>
      </c>
      <c r="F169" s="6">
        <v>8.5299999999999994</v>
      </c>
      <c r="G169" s="6">
        <v>8.73</v>
      </c>
      <c r="H169" s="6">
        <v>5.93</v>
      </c>
      <c r="I169" s="6">
        <v>7.63</v>
      </c>
      <c r="J169" s="6">
        <v>6.83</v>
      </c>
      <c r="K169" s="6">
        <v>7.48</v>
      </c>
      <c r="L169" s="6">
        <v>7.13</v>
      </c>
      <c r="M169" s="6">
        <v>7.33</v>
      </c>
      <c r="N169" s="6">
        <v>8.33</v>
      </c>
      <c r="O169" s="6">
        <v>7.73</v>
      </c>
      <c r="P169" s="6">
        <v>6.95</v>
      </c>
      <c r="Q169" s="6">
        <v>8.2799999999999994</v>
      </c>
      <c r="R169" s="6">
        <v>6.03</v>
      </c>
      <c r="S169" s="6">
        <v>6.73</v>
      </c>
      <c r="T169" s="6">
        <v>6.53</v>
      </c>
      <c r="U169" s="6">
        <v>7.43</v>
      </c>
      <c r="V169" s="6">
        <v>4.63</v>
      </c>
      <c r="W169" s="6">
        <v>7.53</v>
      </c>
      <c r="X169" s="6">
        <v>8.81</v>
      </c>
      <c r="Y169" s="6">
        <v>5.75</v>
      </c>
      <c r="Z169" s="6">
        <v>6.52</v>
      </c>
      <c r="AA169" s="6">
        <v>6.31</v>
      </c>
      <c r="AB169" s="6">
        <v>8.3699999999999992</v>
      </c>
      <c r="AC169" s="6">
        <v>6.99</v>
      </c>
      <c r="AD169" s="6">
        <v>7.73</v>
      </c>
      <c r="AE169" s="6">
        <v>7.39</v>
      </c>
      <c r="AF169" s="6">
        <v>7.2</v>
      </c>
      <c r="AG169" s="6">
        <v>9.08</v>
      </c>
      <c r="AH169" s="6">
        <v>4.2</v>
      </c>
      <c r="AI169" s="6">
        <v>3.56</v>
      </c>
      <c r="AJ169" s="6">
        <v>6.08</v>
      </c>
      <c r="AK169" s="6">
        <v>9.43</v>
      </c>
      <c r="AL169" s="6">
        <v>6.73</v>
      </c>
      <c r="AM169" s="6">
        <v>8.33</v>
      </c>
      <c r="AN169" s="6">
        <v>7.98</v>
      </c>
      <c r="AO169" s="6">
        <v>8.01</v>
      </c>
      <c r="AP169" s="6">
        <v>9.0399999999999991</v>
      </c>
      <c r="AQ169" s="6">
        <v>9.2799999999999994</v>
      </c>
      <c r="AR169" s="6">
        <v>8.8800000000000008</v>
      </c>
      <c r="AS169" s="6">
        <v>5.94</v>
      </c>
      <c r="AT169" s="6">
        <v>6.15</v>
      </c>
      <c r="AU169" s="6">
        <v>6.15</v>
      </c>
      <c r="AV169" s="6">
        <v>6.23</v>
      </c>
      <c r="AW169" s="6">
        <v>4.62</v>
      </c>
      <c r="AX169" s="6">
        <v>7.04</v>
      </c>
      <c r="AY169" s="6">
        <v>8.1999999999999993</v>
      </c>
      <c r="AZ169" s="6">
        <v>5.74</v>
      </c>
      <c r="BA169" s="6">
        <v>4.99</v>
      </c>
      <c r="BB169" s="6">
        <v>7.3</v>
      </c>
      <c r="BC169" s="6">
        <f>6.75+0.43</f>
        <v>7.18</v>
      </c>
      <c r="BD169" s="6">
        <v>6.4650400000000001</v>
      </c>
      <c r="BE169" s="6">
        <v>7.56</v>
      </c>
      <c r="BF169" s="6">
        <v>6.92</v>
      </c>
      <c r="BG169" s="6">
        <v>7.8</v>
      </c>
      <c r="BH169" s="6">
        <v>7.08</v>
      </c>
      <c r="BI169" s="6">
        <v>8.8699999999999992</v>
      </c>
      <c r="BJ169" s="6">
        <v>5.6</v>
      </c>
      <c r="BK169" s="6">
        <v>7.11</v>
      </c>
      <c r="BL169" s="6">
        <v>6.94</v>
      </c>
      <c r="BM169" s="6">
        <v>8.0299999999999994</v>
      </c>
      <c r="BN169" s="6">
        <v>7.42</v>
      </c>
      <c r="BO169" s="6">
        <v>7.04</v>
      </c>
      <c r="BP169" s="6">
        <v>6.96</v>
      </c>
      <c r="BQ169" s="6">
        <v>6.28</v>
      </c>
      <c r="BR169" s="6">
        <v>4.38</v>
      </c>
      <c r="BS169" s="6">
        <v>7.95</v>
      </c>
      <c r="BT169" s="6">
        <v>9.35</v>
      </c>
      <c r="BU169" s="6">
        <v>8.74</v>
      </c>
      <c r="BV169" s="6">
        <v>7.33</v>
      </c>
      <c r="BW169" s="6">
        <v>5.6999999999999993</v>
      </c>
      <c r="BX169" s="6">
        <v>5.9799999999999995</v>
      </c>
      <c r="BY169" s="6">
        <v>7.31</v>
      </c>
      <c r="BZ169" s="6">
        <v>7.35</v>
      </c>
      <c r="CA169" s="6">
        <v>7.53</v>
      </c>
      <c r="CB169" s="6">
        <v>6.3599999999999994</v>
      </c>
      <c r="CC169" s="6">
        <v>5.48</v>
      </c>
      <c r="CD169" s="7">
        <v>9.6199999999999992</v>
      </c>
      <c r="CE169" s="7">
        <v>8.81</v>
      </c>
      <c r="CF169" s="7">
        <v>7.45</v>
      </c>
      <c r="CG169" s="7">
        <v>7.38</v>
      </c>
      <c r="CH169" s="7"/>
    </row>
    <row r="170" spans="1:86" ht="15.75" customHeight="1" x14ac:dyDescent="0.25">
      <c r="A170" s="4">
        <v>168</v>
      </c>
      <c r="B170" s="2"/>
      <c r="C170" s="4">
        <v>17</v>
      </c>
      <c r="D170" s="6">
        <v>9.18</v>
      </c>
      <c r="E170" s="6">
        <v>9.5299999999999994</v>
      </c>
      <c r="F170" s="6">
        <v>8.6300000000000008</v>
      </c>
      <c r="G170" s="6">
        <v>8.7799999999999994</v>
      </c>
      <c r="H170" s="6">
        <v>6.03</v>
      </c>
      <c r="I170" s="6">
        <v>7.73</v>
      </c>
      <c r="J170" s="6">
        <v>6.93</v>
      </c>
      <c r="K170" s="6">
        <v>7.63</v>
      </c>
      <c r="L170" s="6">
        <v>7.23</v>
      </c>
      <c r="M170" s="6">
        <v>7.38</v>
      </c>
      <c r="N170" s="6">
        <v>8.43</v>
      </c>
      <c r="O170" s="6">
        <v>7.86</v>
      </c>
      <c r="P170" s="6">
        <v>7.08</v>
      </c>
      <c r="Q170" s="6">
        <v>8.2799999999999994</v>
      </c>
      <c r="R170" s="6">
        <v>6.08</v>
      </c>
      <c r="S170" s="6">
        <v>6.93</v>
      </c>
      <c r="T170" s="6">
        <v>6.78</v>
      </c>
      <c r="U170" s="6">
        <v>7.55</v>
      </c>
      <c r="V170" s="6">
        <v>4.88</v>
      </c>
      <c r="W170" s="6">
        <v>7.63</v>
      </c>
      <c r="X170" s="6">
        <v>8.8000000000000007</v>
      </c>
      <c r="Y170" s="6">
        <v>5.78</v>
      </c>
      <c r="Z170" s="6">
        <v>6.62</v>
      </c>
      <c r="AA170" s="6">
        <v>6.32</v>
      </c>
      <c r="AB170" s="6">
        <v>8.43</v>
      </c>
      <c r="AC170" s="6">
        <v>7.09</v>
      </c>
      <c r="AD170" s="6">
        <v>7.75</v>
      </c>
      <c r="AE170" s="6">
        <v>7.61</v>
      </c>
      <c r="AF170" s="6">
        <v>7.28</v>
      </c>
      <c r="AG170" s="6">
        <v>9.2899999999999991</v>
      </c>
      <c r="AH170" s="6">
        <v>4.55</v>
      </c>
      <c r="AI170" s="6">
        <v>3.54</v>
      </c>
      <c r="AJ170" s="6">
        <v>6.17</v>
      </c>
      <c r="AK170" s="6">
        <v>9.56</v>
      </c>
      <c r="AL170" s="6">
        <v>7</v>
      </c>
      <c r="AM170" s="6">
        <v>8.09</v>
      </c>
      <c r="AN170" s="6">
        <v>8.01</v>
      </c>
      <c r="AO170" s="6">
        <v>8.26</v>
      </c>
      <c r="AP170" s="6">
        <v>9.06</v>
      </c>
      <c r="AQ170" s="6">
        <v>9.18</v>
      </c>
      <c r="AR170" s="6">
        <v>9</v>
      </c>
      <c r="AS170" s="6">
        <v>6.02</v>
      </c>
      <c r="AT170" s="6">
        <v>6.3</v>
      </c>
      <c r="AU170" s="6">
        <v>6.22</v>
      </c>
      <c r="AV170" s="6">
        <v>6.25</v>
      </c>
      <c r="AW170" s="6">
        <v>4.78</v>
      </c>
      <c r="AX170" s="6">
        <v>7.17</v>
      </c>
      <c r="AY170" s="6">
        <v>8.23</v>
      </c>
      <c r="AZ170" s="6">
        <v>5.68</v>
      </c>
      <c r="BA170" s="6">
        <v>5.07</v>
      </c>
      <c r="BB170" s="6">
        <v>7.31</v>
      </c>
      <c r="BC170" s="6">
        <f>6.79+0.43</f>
        <v>7.22</v>
      </c>
      <c r="BD170" s="6">
        <v>6.5869600000000004</v>
      </c>
      <c r="BE170" s="6">
        <v>7.65</v>
      </c>
      <c r="BF170" s="6">
        <v>6.92</v>
      </c>
      <c r="BG170" s="6">
        <v>7.92</v>
      </c>
      <c r="BH170" s="6">
        <v>7.13</v>
      </c>
      <c r="BI170" s="6">
        <v>8.9499999999999993</v>
      </c>
      <c r="BJ170" s="6">
        <v>5.6</v>
      </c>
      <c r="BK170" s="6">
        <v>7.1</v>
      </c>
      <c r="BL170" s="6">
        <v>7.04</v>
      </c>
      <c r="BM170" s="6">
        <v>8.15</v>
      </c>
      <c r="BN170" s="6">
        <v>7.46</v>
      </c>
      <c r="BO170" s="6">
        <v>7.09</v>
      </c>
      <c r="BP170" s="6">
        <v>6.98</v>
      </c>
      <c r="BQ170" s="6">
        <v>6.43</v>
      </c>
      <c r="BR170" s="6">
        <v>4.5</v>
      </c>
      <c r="BS170" s="6">
        <v>8.0399999999999991</v>
      </c>
      <c r="BT170" s="6">
        <v>9.5299999999999994</v>
      </c>
      <c r="BU170" s="6">
        <v>8.91</v>
      </c>
      <c r="BV170" s="6">
        <v>7.3999999999999995</v>
      </c>
      <c r="BW170" s="6">
        <v>5.8199999999999994</v>
      </c>
      <c r="BX170" s="6">
        <v>6.08</v>
      </c>
      <c r="BY170" s="6">
        <v>7.35</v>
      </c>
      <c r="BZ170" s="6">
        <v>7.3999999999999995</v>
      </c>
      <c r="CA170" s="6">
        <v>7.6</v>
      </c>
      <c r="CB170" s="6">
        <v>6.52</v>
      </c>
      <c r="CC170" s="6">
        <v>5.55</v>
      </c>
      <c r="CD170" s="7">
        <v>9.68</v>
      </c>
      <c r="CE170" s="7">
        <v>8.89</v>
      </c>
      <c r="CF170" s="7">
        <v>7.56</v>
      </c>
      <c r="CG170" s="7">
        <v>7.52</v>
      </c>
      <c r="CH170" s="7"/>
    </row>
    <row r="171" spans="1:86" ht="15.75" customHeight="1" x14ac:dyDescent="0.25">
      <c r="A171" s="4">
        <v>169</v>
      </c>
      <c r="B171" s="2"/>
      <c r="C171" s="4">
        <v>18</v>
      </c>
      <c r="D171" s="6">
        <v>9.23</v>
      </c>
      <c r="E171" s="6">
        <v>9.58</v>
      </c>
      <c r="F171" s="6">
        <v>8.73</v>
      </c>
      <c r="G171" s="6">
        <v>8.8800000000000008</v>
      </c>
      <c r="H171" s="6">
        <v>6.13</v>
      </c>
      <c r="I171" s="6">
        <v>7.73</v>
      </c>
      <c r="J171" s="6">
        <v>7.03</v>
      </c>
      <c r="K171" s="6">
        <v>7.83</v>
      </c>
      <c r="L171" s="6">
        <v>7.48</v>
      </c>
      <c r="M171" s="6">
        <v>7.48</v>
      </c>
      <c r="N171" s="6">
        <v>8.43</v>
      </c>
      <c r="O171" s="6">
        <v>8.11</v>
      </c>
      <c r="P171" s="6">
        <v>7.15</v>
      </c>
      <c r="Q171" s="6">
        <v>8.33</v>
      </c>
      <c r="R171" s="6">
        <v>6.33</v>
      </c>
      <c r="S171" s="6">
        <v>6.98</v>
      </c>
      <c r="T171" s="6">
        <v>7.03</v>
      </c>
      <c r="U171" s="6">
        <v>7.63</v>
      </c>
      <c r="V171" s="6">
        <v>5.08</v>
      </c>
      <c r="W171" s="6">
        <v>7.83</v>
      </c>
      <c r="X171" s="6">
        <v>8.8000000000000007</v>
      </c>
      <c r="Y171" s="6">
        <v>5.81</v>
      </c>
      <c r="Z171" s="6">
        <v>6.73</v>
      </c>
      <c r="AA171" s="6">
        <v>6.28</v>
      </c>
      <c r="AB171" s="6">
        <v>8.49</v>
      </c>
      <c r="AC171" s="6">
        <v>7.3</v>
      </c>
      <c r="AD171" s="6">
        <v>7.77</v>
      </c>
      <c r="AE171" s="6">
        <v>7.63</v>
      </c>
      <c r="AF171" s="6">
        <v>7.36</v>
      </c>
      <c r="AG171" s="6">
        <v>9.43</v>
      </c>
      <c r="AH171" s="6">
        <v>4.84</v>
      </c>
      <c r="AI171" s="6">
        <v>3.64</v>
      </c>
      <c r="AJ171" s="6">
        <v>6.31</v>
      </c>
      <c r="AK171" s="6">
        <v>9.64</v>
      </c>
      <c r="AL171" s="6">
        <v>7.07</v>
      </c>
      <c r="AM171" s="6">
        <v>8.2100000000000009</v>
      </c>
      <c r="AN171" s="6">
        <v>8.08</v>
      </c>
      <c r="AO171" s="6">
        <v>8.48</v>
      </c>
      <c r="AP171" s="6">
        <v>9.1999999999999993</v>
      </c>
      <c r="AQ171" s="6">
        <v>9.36</v>
      </c>
      <c r="AR171" s="6">
        <v>9.1</v>
      </c>
      <c r="AS171" s="6">
        <v>6.1</v>
      </c>
      <c r="AT171" s="6">
        <v>6.45</v>
      </c>
      <c r="AU171" s="6">
        <v>6.29</v>
      </c>
      <c r="AV171" s="6">
        <v>6.28</v>
      </c>
      <c r="AW171" s="6">
        <v>4.8899999999999997</v>
      </c>
      <c r="AX171" s="6">
        <v>7.21</v>
      </c>
      <c r="AY171" s="6">
        <v>8.2100000000000009</v>
      </c>
      <c r="AZ171" s="6">
        <v>5.8</v>
      </c>
      <c r="BA171" s="6">
        <v>5.12</v>
      </c>
      <c r="BB171" s="6">
        <v>7.55</v>
      </c>
      <c r="BC171" s="6">
        <f>6.86+0.43</f>
        <v>7.29</v>
      </c>
      <c r="BD171" s="6">
        <v>6.6479200000000001</v>
      </c>
      <c r="BE171" s="6">
        <v>7.65</v>
      </c>
      <c r="BF171" s="6">
        <v>6.99</v>
      </c>
      <c r="BG171" s="6">
        <v>8.08</v>
      </c>
      <c r="BH171" s="6">
        <v>7.23</v>
      </c>
      <c r="BI171" s="6">
        <v>9.0299999999999994</v>
      </c>
      <c r="BJ171" s="6">
        <v>5.54</v>
      </c>
      <c r="BK171" s="6">
        <v>7.22</v>
      </c>
      <c r="BL171" s="6">
        <v>7.12</v>
      </c>
      <c r="BM171" s="6">
        <v>8.1999999999999993</v>
      </c>
      <c r="BN171" s="6">
        <v>7.54</v>
      </c>
      <c r="BO171" s="6">
        <v>7.13</v>
      </c>
      <c r="BP171" s="6">
        <v>6.96</v>
      </c>
      <c r="BQ171" s="6">
        <v>6.44</v>
      </c>
      <c r="BR171" s="6">
        <v>4.63</v>
      </c>
      <c r="BS171" s="6">
        <v>8.1</v>
      </c>
      <c r="BT171" s="6">
        <v>9.51</v>
      </c>
      <c r="BU171" s="6">
        <v>9</v>
      </c>
      <c r="BV171" s="6">
        <v>7.51</v>
      </c>
      <c r="BW171" s="6">
        <v>5.87</v>
      </c>
      <c r="BX171" s="6">
        <v>6.22</v>
      </c>
      <c r="BY171" s="6">
        <v>7.43</v>
      </c>
      <c r="BZ171" s="6">
        <v>7.5299999999999994</v>
      </c>
      <c r="CA171" s="6">
        <v>7.72</v>
      </c>
      <c r="CB171" s="6">
        <v>6.58</v>
      </c>
      <c r="CC171" s="6">
        <v>5.55</v>
      </c>
      <c r="CD171" s="7">
        <v>9.7099999999999991</v>
      </c>
      <c r="CE171" s="7">
        <v>8.99</v>
      </c>
      <c r="CF171" s="7">
        <v>7.62</v>
      </c>
      <c r="CG171" s="7">
        <v>7.61</v>
      </c>
      <c r="CH171" s="7"/>
    </row>
    <row r="172" spans="1:86" ht="15.75" customHeight="1" x14ac:dyDescent="0.25">
      <c r="A172" s="4">
        <v>170</v>
      </c>
      <c r="B172" s="2"/>
      <c r="C172" s="4">
        <v>19</v>
      </c>
      <c r="D172" s="6">
        <v>9.2799999999999994</v>
      </c>
      <c r="E172" s="6">
        <v>9.68</v>
      </c>
      <c r="F172" s="6">
        <v>8.8800000000000008</v>
      </c>
      <c r="G172" s="6">
        <v>8.93</v>
      </c>
      <c r="H172" s="6">
        <v>6.23</v>
      </c>
      <c r="I172" s="6">
        <v>7.73</v>
      </c>
      <c r="J172" s="6">
        <v>7.03</v>
      </c>
      <c r="K172" s="6">
        <v>8.0299999999999994</v>
      </c>
      <c r="L172" s="6">
        <v>7.63</v>
      </c>
      <c r="M172" s="6">
        <v>7.73</v>
      </c>
      <c r="N172" s="6">
        <v>8.6300000000000008</v>
      </c>
      <c r="O172" s="6">
        <v>8.31</v>
      </c>
      <c r="P172" s="6">
        <v>7.18</v>
      </c>
      <c r="Q172" s="6">
        <v>8.43</v>
      </c>
      <c r="R172" s="6">
        <v>6.63</v>
      </c>
      <c r="S172" s="6">
        <v>7.03</v>
      </c>
      <c r="T172" s="6">
        <v>7.19</v>
      </c>
      <c r="U172" s="6">
        <v>7.63</v>
      </c>
      <c r="V172" s="6">
        <v>5.28</v>
      </c>
      <c r="W172" s="6">
        <v>8.01</v>
      </c>
      <c r="X172" s="6">
        <v>8.8000000000000007</v>
      </c>
      <c r="Y172" s="6">
        <v>5.86</v>
      </c>
      <c r="Z172" s="6">
        <v>6.8</v>
      </c>
      <c r="AA172" s="6">
        <v>6.32</v>
      </c>
      <c r="AB172" s="6">
        <v>8.56</v>
      </c>
      <c r="AC172" s="6">
        <v>7.49</v>
      </c>
      <c r="AD172" s="6">
        <v>7.72</v>
      </c>
      <c r="AE172" s="6">
        <v>7.67</v>
      </c>
      <c r="AF172" s="6">
        <v>7.36</v>
      </c>
      <c r="AG172" s="6">
        <v>9.49</v>
      </c>
      <c r="AH172" s="6">
        <v>5.05</v>
      </c>
      <c r="AI172" s="6">
        <v>3.66</v>
      </c>
      <c r="AJ172" s="6">
        <v>6.35</v>
      </c>
      <c r="AK172" s="6">
        <v>9.7200000000000006</v>
      </c>
      <c r="AL172" s="6">
        <v>7.15</v>
      </c>
      <c r="AM172" s="6">
        <v>8.3699999999999992</v>
      </c>
      <c r="AN172" s="6">
        <v>8.23</v>
      </c>
      <c r="AO172" s="6">
        <v>8.3000000000000007</v>
      </c>
      <c r="AP172" s="6">
        <v>9.32</v>
      </c>
      <c r="AQ172" s="6">
        <v>9.44</v>
      </c>
      <c r="AR172" s="6">
        <v>9.19</v>
      </c>
      <c r="AS172" s="6">
        <v>6.16</v>
      </c>
      <c r="AT172" s="6">
        <v>6.6</v>
      </c>
      <c r="AU172" s="6">
        <v>6.38</v>
      </c>
      <c r="AV172" s="6">
        <v>6.35</v>
      </c>
      <c r="AW172" s="6">
        <v>4.96</v>
      </c>
      <c r="AX172" s="6">
        <v>7.26</v>
      </c>
      <c r="AY172" s="6">
        <v>8.43</v>
      </c>
      <c r="AZ172" s="6">
        <v>5.86</v>
      </c>
      <c r="BA172" s="6">
        <v>5.18</v>
      </c>
      <c r="BB172" s="6">
        <v>7.59</v>
      </c>
      <c r="BC172" s="6">
        <f t="shared" ref="BC172:BC173" si="9">6.89+0.43</f>
        <v>7.3199999999999994</v>
      </c>
      <c r="BD172" s="6">
        <v>6.6783999999999999</v>
      </c>
      <c r="BE172" s="6">
        <v>7.68</v>
      </c>
      <c r="BF172" s="6">
        <v>6.95</v>
      </c>
      <c r="BG172" s="6">
        <v>8.14</v>
      </c>
      <c r="BH172" s="6">
        <v>7.25</v>
      </c>
      <c r="BI172" s="6">
        <v>9.09</v>
      </c>
      <c r="BJ172" s="6">
        <v>5.82</v>
      </c>
      <c r="BK172" s="6">
        <v>7.31</v>
      </c>
      <c r="BL172" s="6">
        <v>7.22</v>
      </c>
      <c r="BM172" s="6">
        <v>8.25</v>
      </c>
      <c r="BN172" s="6">
        <v>7.52</v>
      </c>
      <c r="BO172" s="6">
        <v>7.2</v>
      </c>
      <c r="BP172" s="6">
        <v>7.03</v>
      </c>
      <c r="BQ172" s="6">
        <v>6.52</v>
      </c>
      <c r="BR172" s="6">
        <v>4.8099999999999996</v>
      </c>
      <c r="BS172" s="6">
        <v>8.1300000000000008</v>
      </c>
      <c r="BT172" s="6">
        <v>9.5</v>
      </c>
      <c r="BU172" s="6">
        <v>9.09</v>
      </c>
      <c r="BV172" s="6">
        <v>7.59</v>
      </c>
      <c r="BW172" s="6">
        <v>6.01</v>
      </c>
      <c r="BX172" s="6">
        <v>6.3199999999999994</v>
      </c>
      <c r="BY172" s="6">
        <v>7.4899999999999993</v>
      </c>
      <c r="BZ172" s="6">
        <v>7.6499999999999995</v>
      </c>
      <c r="CA172" s="6">
        <v>7.83</v>
      </c>
      <c r="CB172" s="6">
        <v>6.6999999999999993</v>
      </c>
      <c r="CC172" s="6">
        <v>5.65</v>
      </c>
      <c r="CD172" s="7">
        <v>9.7799999999999994</v>
      </c>
      <c r="CE172" s="7">
        <v>9.0299999999999994</v>
      </c>
      <c r="CF172" s="7">
        <v>7.93</v>
      </c>
      <c r="CG172" s="7">
        <v>7.71</v>
      </c>
      <c r="CH172" s="7"/>
    </row>
    <row r="173" spans="1:86" ht="15.75" customHeight="1" x14ac:dyDescent="0.25">
      <c r="A173" s="4">
        <v>171</v>
      </c>
      <c r="B173" s="2"/>
      <c r="C173" s="4">
        <v>20</v>
      </c>
      <c r="D173" s="6">
        <v>9.33</v>
      </c>
      <c r="E173" s="6">
        <v>9.73</v>
      </c>
      <c r="F173" s="6">
        <v>9.0299999999999994</v>
      </c>
      <c r="G173" s="6">
        <v>8.93</v>
      </c>
      <c r="H173" s="6">
        <v>6.53</v>
      </c>
      <c r="I173" s="6">
        <v>7.73</v>
      </c>
      <c r="J173" s="6">
        <v>7.13</v>
      </c>
      <c r="K173" s="6">
        <v>8.23</v>
      </c>
      <c r="L173" s="6">
        <v>7.78</v>
      </c>
      <c r="M173" s="6">
        <v>7.98</v>
      </c>
      <c r="N173" s="6">
        <v>8.7799999999999994</v>
      </c>
      <c r="O173" s="6">
        <v>8.43</v>
      </c>
      <c r="P173" s="6">
        <v>7.21</v>
      </c>
      <c r="Q173" s="6">
        <v>8.5299999999999994</v>
      </c>
      <c r="R173" s="6">
        <v>6.73</v>
      </c>
      <c r="S173" s="6">
        <v>7.13</v>
      </c>
      <c r="T173" s="6">
        <v>7.33</v>
      </c>
      <c r="U173" s="6">
        <v>7.83</v>
      </c>
      <c r="V173" s="6">
        <v>5.43</v>
      </c>
      <c r="W173" s="6">
        <v>8.23</v>
      </c>
      <c r="X173" s="6">
        <v>8.8000000000000007</v>
      </c>
      <c r="Y173" s="6">
        <v>6.06</v>
      </c>
      <c r="Z173" s="6">
        <v>6.8</v>
      </c>
      <c r="AA173" s="6">
        <v>6.43</v>
      </c>
      <c r="AB173" s="6">
        <v>8.6</v>
      </c>
      <c r="AC173" s="6">
        <v>7.63</v>
      </c>
      <c r="AD173" s="6">
        <v>7.66</v>
      </c>
      <c r="AE173" s="6">
        <v>7.61</v>
      </c>
      <c r="AF173" s="6">
        <v>7.29</v>
      </c>
      <c r="AG173" s="6">
        <v>9.5</v>
      </c>
      <c r="AH173" s="6">
        <v>5.2</v>
      </c>
      <c r="AI173" s="6">
        <v>3.69</v>
      </c>
      <c r="AJ173" s="6">
        <v>6.43</v>
      </c>
      <c r="AK173" s="6">
        <v>9.7899999999999991</v>
      </c>
      <c r="AL173" s="6">
        <v>7.34</v>
      </c>
      <c r="AM173" s="6">
        <v>8.5500000000000007</v>
      </c>
      <c r="AN173" s="6">
        <v>8.3800000000000008</v>
      </c>
      <c r="AO173" s="6">
        <v>8.5500000000000007</v>
      </c>
      <c r="AP173" s="6">
        <v>9.43</v>
      </c>
      <c r="AQ173" s="6">
        <v>9.48</v>
      </c>
      <c r="AR173" s="6">
        <v>9.06</v>
      </c>
      <c r="AS173" s="6">
        <v>6.34</v>
      </c>
      <c r="AT173" s="6">
        <v>6.71</v>
      </c>
      <c r="AU173" s="6">
        <v>6.47</v>
      </c>
      <c r="AV173" s="6">
        <v>6.51</v>
      </c>
      <c r="AW173" s="6">
        <v>5.0599999999999996</v>
      </c>
      <c r="AX173" s="6">
        <v>7.38</v>
      </c>
      <c r="AY173" s="6">
        <v>8.5399999999999991</v>
      </c>
      <c r="AZ173" s="6">
        <v>5.97</v>
      </c>
      <c r="BA173" s="6">
        <v>5.27</v>
      </c>
      <c r="BB173" s="6">
        <v>7.65</v>
      </c>
      <c r="BC173" s="6">
        <f t="shared" si="9"/>
        <v>7.3199999999999994</v>
      </c>
      <c r="BD173" s="6">
        <v>6.8308</v>
      </c>
      <c r="BE173" s="6">
        <v>7.68</v>
      </c>
      <c r="BF173" s="6">
        <v>6.92</v>
      </c>
      <c r="BG173" s="6">
        <v>8.2899999999999991</v>
      </c>
      <c r="BH173" s="6">
        <v>7.25</v>
      </c>
      <c r="BI173" s="6">
        <v>9.15</v>
      </c>
      <c r="BJ173" s="6">
        <v>5.9</v>
      </c>
      <c r="BK173" s="6">
        <v>7.39</v>
      </c>
      <c r="BL173" s="6">
        <v>7.23</v>
      </c>
      <c r="BM173" s="6">
        <v>8.25</v>
      </c>
      <c r="BN173" s="6">
        <v>7.52</v>
      </c>
      <c r="BO173" s="6">
        <v>7.23</v>
      </c>
      <c r="BP173" s="6">
        <v>7.1</v>
      </c>
      <c r="BQ173" s="6">
        <v>6.52</v>
      </c>
      <c r="BR173" s="6">
        <v>4.83</v>
      </c>
      <c r="BS173" s="6">
        <v>8.19</v>
      </c>
      <c r="BT173" s="6">
        <v>9.26</v>
      </c>
      <c r="BU173" s="6">
        <v>9.11</v>
      </c>
      <c r="BV173" s="6">
        <v>7.64</v>
      </c>
      <c r="BW173" s="6">
        <v>6.18</v>
      </c>
      <c r="BX173" s="6">
        <v>6.43</v>
      </c>
      <c r="BY173" s="6">
        <v>7.5299999999999994</v>
      </c>
      <c r="BZ173" s="6">
        <v>7.75</v>
      </c>
      <c r="CA173" s="6">
        <v>7.94</v>
      </c>
      <c r="CB173" s="6">
        <v>6.71</v>
      </c>
      <c r="CC173" s="6">
        <v>5.67</v>
      </c>
      <c r="CD173" s="7">
        <v>9.83</v>
      </c>
      <c r="CE173" s="7">
        <v>9.129999999999999</v>
      </c>
      <c r="CF173" s="7">
        <v>8.14</v>
      </c>
      <c r="CG173" s="7">
        <v>7.85</v>
      </c>
      <c r="CH173" s="7"/>
    </row>
    <row r="174" spans="1:86" ht="15.75" customHeight="1" x14ac:dyDescent="0.25">
      <c r="A174" s="4">
        <v>172</v>
      </c>
      <c r="B174" s="2"/>
      <c r="C174" s="4">
        <v>21</v>
      </c>
      <c r="D174" s="6">
        <v>9.33</v>
      </c>
      <c r="E174" s="6">
        <v>9.83</v>
      </c>
      <c r="F174" s="6">
        <v>9.23</v>
      </c>
      <c r="G174" s="6">
        <v>8.93</v>
      </c>
      <c r="H174" s="6">
        <v>6.73</v>
      </c>
      <c r="I174" s="6">
        <v>7.83</v>
      </c>
      <c r="J174" s="6">
        <v>7.23</v>
      </c>
      <c r="K174" s="6">
        <v>8.33</v>
      </c>
      <c r="L174" s="6">
        <v>7.93</v>
      </c>
      <c r="M174" s="6">
        <v>8.1300000000000008</v>
      </c>
      <c r="N174" s="6">
        <v>8.93</v>
      </c>
      <c r="O174" s="6">
        <v>8.48</v>
      </c>
      <c r="P174" s="6">
        <v>7.2</v>
      </c>
      <c r="Q174" s="6">
        <v>8.6300000000000008</v>
      </c>
      <c r="R174" s="6">
        <v>6.83</v>
      </c>
      <c r="S174" s="6">
        <v>7.28</v>
      </c>
      <c r="T174" s="6">
        <v>7.38</v>
      </c>
      <c r="U174" s="6">
        <v>7.93</v>
      </c>
      <c r="V174" s="6">
        <v>5.53</v>
      </c>
      <c r="W174" s="6">
        <v>8.43</v>
      </c>
      <c r="X174" s="6">
        <v>8.86</v>
      </c>
      <c r="Y174" s="6">
        <v>6.33</v>
      </c>
      <c r="Z174" s="6">
        <v>6.83</v>
      </c>
      <c r="AA174" s="6">
        <v>6.59</v>
      </c>
      <c r="AB174" s="6">
        <v>8.7200000000000006</v>
      </c>
      <c r="AC174" s="6">
        <v>7.7</v>
      </c>
      <c r="AD174" s="6">
        <v>7.69</v>
      </c>
      <c r="AE174" s="6">
        <v>7.5</v>
      </c>
      <c r="AF174" s="6">
        <v>7.35</v>
      </c>
      <c r="AG174" s="6">
        <v>9.5500000000000007</v>
      </c>
      <c r="AH174" s="6">
        <v>5.24</v>
      </c>
      <c r="AI174" s="6">
        <v>3.76</v>
      </c>
      <c r="AJ174" s="6">
        <v>6.55</v>
      </c>
      <c r="AK174" s="6">
        <v>9.84</v>
      </c>
      <c r="AL174" s="6">
        <v>7.54</v>
      </c>
      <c r="AM174" s="6">
        <v>8.65</v>
      </c>
      <c r="AN174" s="6">
        <v>8.5</v>
      </c>
      <c r="AO174" s="6">
        <v>8.76</v>
      </c>
      <c r="AP174" s="6">
        <v>9.5</v>
      </c>
      <c r="AQ174" s="6">
        <v>9.5399999999999991</v>
      </c>
      <c r="AR174" s="6">
        <v>9.23</v>
      </c>
      <c r="AS174" s="6">
        <v>6.31</v>
      </c>
      <c r="AT174" s="6">
        <v>6.81</v>
      </c>
      <c r="AU174" s="6">
        <v>6.62</v>
      </c>
      <c r="AV174" s="6">
        <v>6.3</v>
      </c>
      <c r="AW174" s="6">
        <v>5.23</v>
      </c>
      <c r="AX174" s="6">
        <v>7.33</v>
      </c>
      <c r="AY174" s="6">
        <v>8.6199999999999992</v>
      </c>
      <c r="AZ174" s="6">
        <v>6.01</v>
      </c>
      <c r="BA174" s="6">
        <v>5.32</v>
      </c>
      <c r="BB174" s="6">
        <v>7.73</v>
      </c>
      <c r="BC174" s="6">
        <f>6.92+0.43</f>
        <v>7.35</v>
      </c>
      <c r="BD174" s="6">
        <v>7.0136799999999999</v>
      </c>
      <c r="BE174" s="6">
        <v>7.77</v>
      </c>
      <c r="BF174" s="6">
        <v>6.95</v>
      </c>
      <c r="BG174" s="6">
        <v>8.2899999999999991</v>
      </c>
      <c r="BH174" s="6">
        <v>7.18</v>
      </c>
      <c r="BI174" s="6">
        <v>9.23</v>
      </c>
      <c r="BJ174" s="6">
        <v>5.88</v>
      </c>
      <c r="BK174" s="6">
        <v>7.45</v>
      </c>
      <c r="BL174" s="6">
        <v>7.27</v>
      </c>
      <c r="BM174" s="6">
        <v>8.25</v>
      </c>
      <c r="BN174" s="6">
        <v>7.61</v>
      </c>
      <c r="BO174" s="6">
        <v>7.34</v>
      </c>
      <c r="BP174" s="6">
        <v>7.22</v>
      </c>
      <c r="BQ174" s="6">
        <v>6.58</v>
      </c>
      <c r="BR174" s="6">
        <v>4.8899999999999997</v>
      </c>
      <c r="BS174" s="6">
        <v>8.33</v>
      </c>
      <c r="BT174" s="6">
        <v>9.17</v>
      </c>
      <c r="BU174" s="6">
        <v>9.07</v>
      </c>
      <c r="BV174" s="6">
        <v>7.67</v>
      </c>
      <c r="BW174" s="6">
        <v>6.33</v>
      </c>
      <c r="BX174" s="6">
        <v>6.5299999999999994</v>
      </c>
      <c r="BY174" s="6">
        <v>7.55</v>
      </c>
      <c r="BZ174" s="6">
        <v>7.8</v>
      </c>
      <c r="CA174" s="6">
        <v>8.08</v>
      </c>
      <c r="CB174" s="6">
        <v>6.76</v>
      </c>
      <c r="CC174" s="6">
        <v>5.75</v>
      </c>
      <c r="CD174" s="7">
        <v>9.84</v>
      </c>
      <c r="CE174" s="7">
        <v>9.24</v>
      </c>
      <c r="CF174" s="7">
        <v>8.33</v>
      </c>
      <c r="CG174" s="7">
        <v>7.91</v>
      </c>
      <c r="CH174" s="7"/>
    </row>
    <row r="175" spans="1:86" ht="15.75" customHeight="1" x14ac:dyDescent="0.25">
      <c r="A175" s="4">
        <v>173</v>
      </c>
      <c r="B175" s="2"/>
      <c r="C175" s="4">
        <v>22</v>
      </c>
      <c r="D175" s="6">
        <v>9.3800000000000008</v>
      </c>
      <c r="E175" s="6">
        <v>9.8800000000000008</v>
      </c>
      <c r="F175" s="6">
        <v>9.33</v>
      </c>
      <c r="G175" s="6">
        <v>8.93</v>
      </c>
      <c r="H175" s="6">
        <v>6.88</v>
      </c>
      <c r="I175" s="6">
        <v>7.93</v>
      </c>
      <c r="J175" s="6">
        <v>7.23</v>
      </c>
      <c r="K175" s="6">
        <v>8.43</v>
      </c>
      <c r="L175" s="6">
        <v>8.1300000000000008</v>
      </c>
      <c r="M175" s="6">
        <v>8.23</v>
      </c>
      <c r="N175" s="6">
        <v>9.0299999999999994</v>
      </c>
      <c r="O175" s="6">
        <v>8.5500000000000007</v>
      </c>
      <c r="P175" s="6">
        <v>7.21</v>
      </c>
      <c r="Q175" s="6">
        <v>8.43</v>
      </c>
      <c r="R175" s="6">
        <v>7.03</v>
      </c>
      <c r="S175" s="6">
        <v>7.38</v>
      </c>
      <c r="T175" s="6">
        <v>7.43</v>
      </c>
      <c r="U175" s="6">
        <v>7.98</v>
      </c>
      <c r="V175" s="6">
        <v>5.83</v>
      </c>
      <c r="W175" s="6">
        <v>8.5299999999999994</v>
      </c>
      <c r="X175" s="6">
        <v>8.99</v>
      </c>
      <c r="Y175" s="6">
        <v>6.53</v>
      </c>
      <c r="Z175" s="6">
        <v>6.83</v>
      </c>
      <c r="AA175" s="6">
        <v>6.69</v>
      </c>
      <c r="AB175" s="6">
        <v>8.82</v>
      </c>
      <c r="AC175" s="6">
        <v>7.78</v>
      </c>
      <c r="AD175" s="6">
        <v>7.77</v>
      </c>
      <c r="AE175" s="6">
        <v>7.45</v>
      </c>
      <c r="AF175" s="6">
        <v>7.71</v>
      </c>
      <c r="AG175" s="6">
        <v>9.4700000000000006</v>
      </c>
      <c r="AH175" s="6">
        <v>5.49</v>
      </c>
      <c r="AI175" s="6">
        <v>3.95</v>
      </c>
      <c r="AJ175" s="6">
        <v>6.68</v>
      </c>
      <c r="AK175" s="6">
        <v>9.8800000000000008</v>
      </c>
      <c r="AL175" s="6">
        <v>7.71</v>
      </c>
      <c r="AM175" s="6">
        <v>8.65</v>
      </c>
      <c r="AN175" s="6">
        <v>8.61</v>
      </c>
      <c r="AO175" s="6">
        <v>8.8800000000000008</v>
      </c>
      <c r="AP175" s="6">
        <v>9.58</v>
      </c>
      <c r="AQ175" s="6">
        <v>9.6199999999999992</v>
      </c>
      <c r="AR175" s="6">
        <v>9.31</v>
      </c>
      <c r="AS175" s="6">
        <v>6.29</v>
      </c>
      <c r="AT175" s="6">
        <v>6.88</v>
      </c>
      <c r="AU175" s="6">
        <v>6.75</v>
      </c>
      <c r="AV175" s="6">
        <v>6.33</v>
      </c>
      <c r="AW175" s="6">
        <v>5.49</v>
      </c>
      <c r="AX175" s="6">
        <v>7.31</v>
      </c>
      <c r="AY175" s="6">
        <v>8.66</v>
      </c>
      <c r="AZ175" s="6">
        <v>6.1</v>
      </c>
      <c r="BA175" s="6">
        <v>5.4</v>
      </c>
      <c r="BB175" s="6">
        <v>7.88</v>
      </c>
      <c r="BC175" s="6">
        <f>7.09+0.43</f>
        <v>7.52</v>
      </c>
      <c r="BD175" s="6">
        <v>7.1356000000000002</v>
      </c>
      <c r="BE175" s="6">
        <v>7.82</v>
      </c>
      <c r="BF175" s="6">
        <v>6.95</v>
      </c>
      <c r="BG175" s="6">
        <v>8.3800000000000008</v>
      </c>
      <c r="BH175" s="6">
        <v>7.18</v>
      </c>
      <c r="BI175" s="6">
        <v>9.24</v>
      </c>
      <c r="BJ175" s="6">
        <v>5.96</v>
      </c>
      <c r="BK175" s="6">
        <v>7.52</v>
      </c>
      <c r="BL175" s="6">
        <v>7.31</v>
      </c>
      <c r="BM175" s="6">
        <v>8.34</v>
      </c>
      <c r="BN175" s="6">
        <v>7.66</v>
      </c>
      <c r="BO175" s="6">
        <v>7.38</v>
      </c>
      <c r="BP175" s="6">
        <v>7.3</v>
      </c>
      <c r="BQ175" s="6">
        <v>6.55</v>
      </c>
      <c r="BR175" s="6">
        <v>5.12</v>
      </c>
      <c r="BS175" s="6">
        <v>8.4499999999999993</v>
      </c>
      <c r="BT175" s="6">
        <v>9.0299999999999994</v>
      </c>
      <c r="BU175" s="6">
        <v>9.02</v>
      </c>
      <c r="BV175" s="6">
        <v>7.7299999999999995</v>
      </c>
      <c r="BW175" s="6">
        <v>6.42</v>
      </c>
      <c r="BX175" s="6">
        <v>6.64</v>
      </c>
      <c r="BY175" s="6">
        <v>7.68</v>
      </c>
      <c r="BZ175" s="6">
        <v>7.8599999999999994</v>
      </c>
      <c r="CA175" s="6">
        <v>8.52</v>
      </c>
      <c r="CB175" s="6">
        <v>6.8199999999999994</v>
      </c>
      <c r="CC175" s="6">
        <v>5.94</v>
      </c>
      <c r="CD175" s="7">
        <v>9.85</v>
      </c>
      <c r="CE175" s="7">
        <v>9.6</v>
      </c>
      <c r="CF175" s="7">
        <v>8.42</v>
      </c>
      <c r="CG175" s="7">
        <v>8.01</v>
      </c>
      <c r="CH175" s="7"/>
    </row>
    <row r="176" spans="1:86" ht="15.75" customHeight="1" x14ac:dyDescent="0.25">
      <c r="A176" s="4">
        <v>174</v>
      </c>
      <c r="B176" s="2"/>
      <c r="C176" s="4">
        <v>23</v>
      </c>
      <c r="D176" s="6">
        <v>9.43</v>
      </c>
      <c r="E176" s="6">
        <v>9.93</v>
      </c>
      <c r="F176" s="6">
        <v>9.43</v>
      </c>
      <c r="G176" s="6">
        <v>8.93</v>
      </c>
      <c r="H176" s="6">
        <v>7.03</v>
      </c>
      <c r="I176" s="6">
        <v>8.1300000000000008</v>
      </c>
      <c r="J176" s="6">
        <v>7.23</v>
      </c>
      <c r="K176" s="6">
        <v>8.43</v>
      </c>
      <c r="L176" s="6">
        <v>8.23</v>
      </c>
      <c r="M176" s="6">
        <v>8.43</v>
      </c>
      <c r="N176" s="6">
        <v>9.08</v>
      </c>
      <c r="O176" s="6">
        <v>8.58</v>
      </c>
      <c r="P176" s="6">
        <v>7.26</v>
      </c>
      <c r="Q176" s="6">
        <v>8.83</v>
      </c>
      <c r="R176" s="6">
        <v>7.23</v>
      </c>
      <c r="S176" s="6">
        <v>7.48</v>
      </c>
      <c r="T176" s="6">
        <v>7.73</v>
      </c>
      <c r="U176" s="6">
        <v>8.01</v>
      </c>
      <c r="V176" s="6">
        <v>6.03</v>
      </c>
      <c r="W176" s="6">
        <v>8.6300000000000008</v>
      </c>
      <c r="X176" s="6">
        <v>9.23</v>
      </c>
      <c r="Y176" s="6">
        <v>6.81</v>
      </c>
      <c r="Z176" s="6">
        <v>6.85</v>
      </c>
      <c r="AA176" s="6">
        <v>6.68</v>
      </c>
      <c r="AB176" s="6">
        <v>8.85</v>
      </c>
      <c r="AC176" s="6">
        <v>7.82</v>
      </c>
      <c r="AD176" s="6">
        <v>7.93</v>
      </c>
      <c r="AE176" s="6">
        <v>7.44</v>
      </c>
      <c r="AF176" s="6">
        <v>7.71</v>
      </c>
      <c r="AG176" s="6">
        <v>9.19</v>
      </c>
      <c r="AH176" s="6">
        <v>5.65</v>
      </c>
      <c r="AI176" s="6">
        <v>4.0199999999999996</v>
      </c>
      <c r="AJ176" s="6">
        <v>6.77</v>
      </c>
      <c r="AK176" s="6">
        <v>9.8000000000000007</v>
      </c>
      <c r="AL176" s="6">
        <v>7.91</v>
      </c>
      <c r="AM176" s="6">
        <v>8.67</v>
      </c>
      <c r="AN176" s="6">
        <v>8.7799999999999994</v>
      </c>
      <c r="AO176" s="6">
        <v>8.98</v>
      </c>
      <c r="AP176" s="6">
        <v>9.64</v>
      </c>
      <c r="AQ176" s="6">
        <v>9.68</v>
      </c>
      <c r="AR176" s="6">
        <v>9.36</v>
      </c>
      <c r="AS176" s="6">
        <v>6.26</v>
      </c>
      <c r="AT176" s="6">
        <v>6.91</v>
      </c>
      <c r="AU176" s="6">
        <v>6.83</v>
      </c>
      <c r="AV176" s="6">
        <v>6.4</v>
      </c>
      <c r="AW176" s="6">
        <v>5.67</v>
      </c>
      <c r="AX176" s="6">
        <v>7.34</v>
      </c>
      <c r="AY176" s="6">
        <v>8.68</v>
      </c>
      <c r="AZ176" s="6">
        <v>6.23</v>
      </c>
      <c r="BA176" s="6">
        <v>5.6</v>
      </c>
      <c r="BB176" s="6">
        <v>8</v>
      </c>
      <c r="BC176" s="6">
        <f>7.17+0.43</f>
        <v>7.6</v>
      </c>
      <c r="BD176" s="6">
        <v>7.2880000000000003</v>
      </c>
      <c r="BE176" s="6">
        <v>7.9</v>
      </c>
      <c r="BF176" s="6">
        <v>6.89</v>
      </c>
      <c r="BG176" s="6">
        <v>8.56</v>
      </c>
      <c r="BH176" s="6">
        <v>7.13</v>
      </c>
      <c r="BI176" s="6">
        <v>9.23</v>
      </c>
      <c r="BJ176" s="6">
        <v>6</v>
      </c>
      <c r="BK176" s="6">
        <v>7.6</v>
      </c>
      <c r="BL176" s="6">
        <v>7.36</v>
      </c>
      <c r="BM176" s="6">
        <v>8.42</v>
      </c>
      <c r="BN176" s="6">
        <v>7.7</v>
      </c>
      <c r="BO176" s="6">
        <v>7.42</v>
      </c>
      <c r="BP176" s="6">
        <v>7.42</v>
      </c>
      <c r="BQ176" s="6">
        <v>6.58</v>
      </c>
      <c r="BR176" s="6">
        <v>5.29</v>
      </c>
      <c r="BS176" s="6">
        <v>8.5399999999999991</v>
      </c>
      <c r="BT176" s="6">
        <v>9.02</v>
      </c>
      <c r="BU176" s="6">
        <v>8.92</v>
      </c>
      <c r="BV176" s="6">
        <v>7.77</v>
      </c>
      <c r="BW176" s="6">
        <v>6.6499999999999995</v>
      </c>
      <c r="BX176" s="6">
        <v>6.6899999999999995</v>
      </c>
      <c r="BY176" s="6">
        <v>7.77</v>
      </c>
      <c r="BZ176" s="6">
        <v>7.9499999999999993</v>
      </c>
      <c r="CA176" s="6">
        <v>8.73</v>
      </c>
      <c r="CB176" s="6">
        <v>6.92</v>
      </c>
      <c r="CC176" s="6">
        <v>6.11</v>
      </c>
      <c r="CD176" s="7">
        <v>9.93</v>
      </c>
      <c r="CE176" s="7">
        <v>9.6999999999999993</v>
      </c>
      <c r="CF176" s="7">
        <v>8.5</v>
      </c>
      <c r="CG176" s="7">
        <v>8.0399999999999991</v>
      </c>
      <c r="CH176" s="7"/>
    </row>
    <row r="177" spans="1:86" ht="15.75" customHeight="1" x14ac:dyDescent="0.25">
      <c r="A177" s="4">
        <v>175</v>
      </c>
      <c r="B177" s="2"/>
      <c r="C177" s="4">
        <v>24</v>
      </c>
      <c r="D177" s="6">
        <v>9.5299999999999994</v>
      </c>
      <c r="E177" s="6">
        <v>9.93</v>
      </c>
      <c r="F177" s="6">
        <v>9.43</v>
      </c>
      <c r="G177" s="6">
        <v>8.93</v>
      </c>
      <c r="H177" s="6">
        <v>7.18</v>
      </c>
      <c r="I177" s="6">
        <v>8.43</v>
      </c>
      <c r="J177" s="6">
        <v>7.33</v>
      </c>
      <c r="K177" s="6">
        <v>8.5299999999999994</v>
      </c>
      <c r="L177" s="6">
        <v>8.33</v>
      </c>
      <c r="M177" s="6">
        <v>8.5299999999999994</v>
      </c>
      <c r="N177" s="6">
        <v>9.08</v>
      </c>
      <c r="O177" s="6">
        <v>8.65</v>
      </c>
      <c r="P177" s="6">
        <v>7.31</v>
      </c>
      <c r="Q177" s="6">
        <v>8.93</v>
      </c>
      <c r="R177" s="6">
        <v>7.53</v>
      </c>
      <c r="S177" s="6">
        <v>7.53</v>
      </c>
      <c r="T177" s="6">
        <v>7.73</v>
      </c>
      <c r="U177" s="6">
        <v>8.08</v>
      </c>
      <c r="V177" s="6">
        <v>6.16</v>
      </c>
      <c r="W177" s="6">
        <v>8.73</v>
      </c>
      <c r="X177" s="6">
        <v>9.35</v>
      </c>
      <c r="Y177" s="6">
        <v>7.01</v>
      </c>
      <c r="Z177" s="6">
        <v>6.91</v>
      </c>
      <c r="AA177" s="6">
        <v>6.67</v>
      </c>
      <c r="AB177" s="6">
        <v>8.8699999999999992</v>
      </c>
      <c r="AC177" s="6">
        <v>7.9</v>
      </c>
      <c r="AD177" s="6">
        <v>8.17</v>
      </c>
      <c r="AE177" s="6">
        <v>7.48</v>
      </c>
      <c r="AF177" s="6">
        <v>7.71</v>
      </c>
      <c r="AG177" s="6">
        <v>9.11</v>
      </c>
      <c r="AH177" s="6">
        <v>6.03</v>
      </c>
      <c r="AI177" s="6">
        <v>3.99</v>
      </c>
      <c r="AJ177" s="6">
        <v>6.9</v>
      </c>
      <c r="AK177" s="6">
        <v>9.74</v>
      </c>
      <c r="AL177" s="6">
        <v>8.0500000000000007</v>
      </c>
      <c r="AM177" s="6">
        <v>8.61</v>
      </c>
      <c r="AN177" s="6">
        <v>9.01</v>
      </c>
      <c r="AO177" s="6">
        <v>9.2100000000000009</v>
      </c>
      <c r="AP177" s="6">
        <v>9.7799999999999994</v>
      </c>
      <c r="AQ177" s="6">
        <v>9.5399999999999991</v>
      </c>
      <c r="AR177" s="6">
        <v>8.93</v>
      </c>
      <c r="AS177" s="6">
        <v>6.02</v>
      </c>
      <c r="AT177" s="6">
        <v>6.92</v>
      </c>
      <c r="AU177" s="6">
        <v>6.95</v>
      </c>
      <c r="AV177" s="6">
        <v>6.63</v>
      </c>
      <c r="AW177" s="6">
        <v>5.81</v>
      </c>
      <c r="AX177" s="6">
        <v>7.34</v>
      </c>
      <c r="AY177" s="6">
        <v>8.6300000000000008</v>
      </c>
      <c r="AZ177" s="6">
        <v>6.26</v>
      </c>
      <c r="BA177" s="6">
        <v>5.85</v>
      </c>
      <c r="BB177" s="6">
        <v>8.14</v>
      </c>
      <c r="BC177" s="6">
        <f t="shared" ref="BC177:BC178" si="10">7.26+0.43</f>
        <v>7.6899999999999995</v>
      </c>
      <c r="BD177" s="6">
        <v>7.35</v>
      </c>
      <c r="BE177" s="6">
        <v>7.96</v>
      </c>
      <c r="BF177" s="6">
        <v>7.01</v>
      </c>
      <c r="BG177" s="6">
        <v>8.66</v>
      </c>
      <c r="BH177" s="6">
        <v>7.07</v>
      </c>
      <c r="BI177" s="6">
        <v>9.25</v>
      </c>
      <c r="BJ177" s="6">
        <v>6</v>
      </c>
      <c r="BK177" s="6">
        <v>7.68</v>
      </c>
      <c r="BL177" s="6">
        <v>7.48</v>
      </c>
      <c r="BM177" s="6">
        <v>8.49</v>
      </c>
      <c r="BN177" s="6">
        <v>7.74</v>
      </c>
      <c r="BO177" s="6">
        <v>7.45</v>
      </c>
      <c r="BP177" s="6">
        <v>7.46</v>
      </c>
      <c r="BQ177" s="6">
        <v>6.71</v>
      </c>
      <c r="BR177" s="6">
        <v>5.36</v>
      </c>
      <c r="BS177" s="6">
        <v>8.61</v>
      </c>
      <c r="BT177" s="6">
        <v>9.0299999999999994</v>
      </c>
      <c r="BU177" s="6">
        <v>8.86</v>
      </c>
      <c r="BV177" s="6">
        <v>7.8199999999999994</v>
      </c>
      <c r="BW177" s="6">
        <v>6.68</v>
      </c>
      <c r="BX177" s="6">
        <v>6.84</v>
      </c>
      <c r="BY177" s="6">
        <v>7.87</v>
      </c>
      <c r="BZ177" s="6">
        <v>8.01</v>
      </c>
      <c r="CA177" s="6">
        <v>8.9</v>
      </c>
      <c r="CB177" s="6">
        <v>7.06</v>
      </c>
      <c r="CC177" s="6">
        <v>6.16</v>
      </c>
      <c r="CD177" s="7">
        <v>9.9599999999999991</v>
      </c>
      <c r="CE177" s="7">
        <v>9.7199999999999989</v>
      </c>
      <c r="CF177" s="7">
        <v>8.58</v>
      </c>
      <c r="CG177" s="7">
        <v>8.11</v>
      </c>
      <c r="CH177" s="7"/>
    </row>
    <row r="178" spans="1:86" ht="15.75" customHeight="1" x14ac:dyDescent="0.25">
      <c r="A178" s="4">
        <v>176</v>
      </c>
      <c r="B178" s="2"/>
      <c r="C178" s="4">
        <v>25</v>
      </c>
      <c r="D178" s="6">
        <v>9.6300000000000008</v>
      </c>
      <c r="E178" s="6">
        <v>9.93</v>
      </c>
      <c r="F178" s="6">
        <v>9.43</v>
      </c>
      <c r="G178" s="6">
        <v>8.93</v>
      </c>
      <c r="H178" s="6">
        <v>7.33</v>
      </c>
      <c r="I178" s="6">
        <v>8.83</v>
      </c>
      <c r="J178" s="6">
        <v>7.43</v>
      </c>
      <c r="K178" s="6">
        <v>8.68</v>
      </c>
      <c r="L178" s="6">
        <v>8.43</v>
      </c>
      <c r="M178" s="6">
        <v>8.6300000000000008</v>
      </c>
      <c r="N178" s="6">
        <v>9.1300000000000008</v>
      </c>
      <c r="O178" s="6">
        <v>8.7799999999999994</v>
      </c>
      <c r="P178" s="6">
        <v>7.35</v>
      </c>
      <c r="Q178" s="6">
        <v>9.0299999999999994</v>
      </c>
      <c r="R178" s="6">
        <v>7.63</v>
      </c>
      <c r="S178" s="6">
        <v>7.83</v>
      </c>
      <c r="T178" s="6">
        <v>7.73</v>
      </c>
      <c r="U178" s="6">
        <v>8.1999999999999993</v>
      </c>
      <c r="V178" s="6">
        <v>6.28</v>
      </c>
      <c r="W178" s="6">
        <v>8.7799999999999994</v>
      </c>
      <c r="X178" s="6">
        <v>9.44</v>
      </c>
      <c r="Y178" s="6">
        <v>7.15</v>
      </c>
      <c r="Z178" s="6">
        <v>6.93</v>
      </c>
      <c r="AA178" s="6">
        <v>6.77</v>
      </c>
      <c r="AB178" s="6">
        <v>8.9600000000000009</v>
      </c>
      <c r="AC178" s="6">
        <v>7.94</v>
      </c>
      <c r="AD178" s="6">
        <v>8.36</v>
      </c>
      <c r="AE178" s="6">
        <v>7.53</v>
      </c>
      <c r="AF178" s="6">
        <v>7.92</v>
      </c>
      <c r="AG178" s="6">
        <v>9.3000000000000007</v>
      </c>
      <c r="AH178" s="6">
        <v>6.15</v>
      </c>
      <c r="AI178" s="6">
        <v>4.16</v>
      </c>
      <c r="AJ178" s="6">
        <v>7.1</v>
      </c>
      <c r="AK178" s="6">
        <v>9.67</v>
      </c>
      <c r="AL178" s="6">
        <v>8.16</v>
      </c>
      <c r="AM178" s="6">
        <v>8.57</v>
      </c>
      <c r="AN178" s="6">
        <v>9.2100000000000009</v>
      </c>
      <c r="AO178" s="6">
        <v>9.39</v>
      </c>
      <c r="AP178" s="6">
        <v>9.8000000000000007</v>
      </c>
      <c r="AQ178" s="6">
        <v>9.6999999999999993</v>
      </c>
      <c r="AR178" s="6">
        <v>8.66</v>
      </c>
      <c r="AS178" s="6">
        <v>6.19</v>
      </c>
      <c r="AT178" s="6">
        <v>6.96</v>
      </c>
      <c r="AU178" s="6">
        <v>7.06</v>
      </c>
      <c r="AV178" s="6">
        <v>6.55</v>
      </c>
      <c r="AW178" s="6">
        <v>5.93</v>
      </c>
      <c r="AX178" s="6">
        <v>7.44</v>
      </c>
      <c r="AY178" s="6">
        <v>8.6300000000000008</v>
      </c>
      <c r="AZ178" s="6">
        <v>6.26</v>
      </c>
      <c r="BA178" s="6">
        <v>5.91</v>
      </c>
      <c r="BB178" s="6">
        <v>8.2200000000000006</v>
      </c>
      <c r="BC178" s="6">
        <f t="shared" si="10"/>
        <v>7.6899999999999995</v>
      </c>
      <c r="BD178" s="6">
        <v>7.4099199999999996</v>
      </c>
      <c r="BE178" s="6">
        <v>7.98</v>
      </c>
      <c r="BF178" s="6">
        <v>6.98</v>
      </c>
      <c r="BG178" s="6">
        <v>8.7200000000000006</v>
      </c>
      <c r="BH178" s="6">
        <v>7.23</v>
      </c>
      <c r="BI178" s="6">
        <v>9.33</v>
      </c>
      <c r="BJ178" s="6">
        <v>6.04</v>
      </c>
      <c r="BK178" s="6">
        <v>7.8</v>
      </c>
      <c r="BL178" s="6">
        <v>7.54</v>
      </c>
      <c r="BM178" s="6">
        <v>8.5500000000000007</v>
      </c>
      <c r="BN178" s="6">
        <v>7.75</v>
      </c>
      <c r="BO178" s="6">
        <v>7.51</v>
      </c>
      <c r="BP178" s="6">
        <v>7.54</v>
      </c>
      <c r="BQ178" s="6">
        <v>6.75</v>
      </c>
      <c r="BR178" s="6">
        <v>5.48</v>
      </c>
      <c r="BS178" s="6">
        <v>8.69</v>
      </c>
      <c r="BT178" s="6">
        <v>9.0299999999999994</v>
      </c>
      <c r="BU178" s="6">
        <v>8.83</v>
      </c>
      <c r="BV178" s="6">
        <v>7.83</v>
      </c>
      <c r="BW178" s="6">
        <v>6.79</v>
      </c>
      <c r="BX178" s="6">
        <v>6.9899999999999993</v>
      </c>
      <c r="BY178" s="6">
        <v>8.01</v>
      </c>
      <c r="BZ178" s="6">
        <v>8.0299999999999994</v>
      </c>
      <c r="CA178" s="6">
        <v>9.02</v>
      </c>
      <c r="CB178" s="6">
        <v>7.27</v>
      </c>
      <c r="CC178" s="6">
        <v>6.31</v>
      </c>
      <c r="CD178" s="7">
        <v>10.029999999999999</v>
      </c>
      <c r="CE178" s="7">
        <v>9.92</v>
      </c>
      <c r="CF178" s="7">
        <v>8.67</v>
      </c>
      <c r="CG178" s="7">
        <v>8.18</v>
      </c>
      <c r="CH178" s="7"/>
    </row>
    <row r="179" spans="1:86" ht="15.75" customHeight="1" x14ac:dyDescent="0.25">
      <c r="A179" s="4">
        <v>177</v>
      </c>
      <c r="B179" s="2"/>
      <c r="C179" s="4">
        <v>26</v>
      </c>
      <c r="D179" s="6">
        <v>9.73</v>
      </c>
      <c r="E179" s="6">
        <v>9.98</v>
      </c>
      <c r="F179" s="6">
        <v>9.3800000000000008</v>
      </c>
      <c r="G179" s="6">
        <v>8.98</v>
      </c>
      <c r="H179" s="6">
        <v>7.43</v>
      </c>
      <c r="I179" s="6">
        <v>9.0299999999999994</v>
      </c>
      <c r="J179" s="6">
        <v>7.43</v>
      </c>
      <c r="K179" s="6">
        <v>8.83</v>
      </c>
      <c r="L179" s="6">
        <v>8.5299999999999994</v>
      </c>
      <c r="M179" s="6">
        <v>8.83</v>
      </c>
      <c r="N179" s="6">
        <v>9.23</v>
      </c>
      <c r="O179" s="6">
        <v>8.91</v>
      </c>
      <c r="P179" s="6">
        <v>7.38</v>
      </c>
      <c r="Q179" s="6">
        <v>9.0299999999999994</v>
      </c>
      <c r="R179" s="6">
        <v>7.73</v>
      </c>
      <c r="S179" s="6">
        <v>8.1300000000000008</v>
      </c>
      <c r="T179" s="6">
        <v>7.73</v>
      </c>
      <c r="U179" s="6">
        <v>8.33</v>
      </c>
      <c r="V179" s="6">
        <v>6.38</v>
      </c>
      <c r="W179" s="6">
        <v>8.85</v>
      </c>
      <c r="X179" s="6">
        <v>9.4700000000000006</v>
      </c>
      <c r="Y179" s="6">
        <v>7.13</v>
      </c>
      <c r="Z179" s="6">
        <v>7.03</v>
      </c>
      <c r="AA179" s="6">
        <v>6.91</v>
      </c>
      <c r="AB179" s="6">
        <v>9.09</v>
      </c>
      <c r="AC179" s="6">
        <v>8</v>
      </c>
      <c r="AD179" s="6">
        <v>8.5</v>
      </c>
      <c r="AE179" s="6">
        <v>7.51</v>
      </c>
      <c r="AF179" s="6">
        <v>8.1300000000000008</v>
      </c>
      <c r="AG179" s="6">
        <v>9.35</v>
      </c>
      <c r="AH179" s="6">
        <v>6.23</v>
      </c>
      <c r="AI179" s="6">
        <v>4.2699999999999996</v>
      </c>
      <c r="AJ179" s="6">
        <v>7.25</v>
      </c>
      <c r="AK179" s="6">
        <v>9.69</v>
      </c>
      <c r="AL179" s="6">
        <v>8.25</v>
      </c>
      <c r="AM179" s="6">
        <v>8.65</v>
      </c>
      <c r="AN179" s="6">
        <v>9.4700000000000006</v>
      </c>
      <c r="AO179" s="6">
        <v>9.5299999999999994</v>
      </c>
      <c r="AP179" s="6">
        <v>9.7799999999999994</v>
      </c>
      <c r="AQ179" s="6">
        <v>9.68</v>
      </c>
      <c r="AR179" s="6">
        <v>8.94</v>
      </c>
      <c r="AS179" s="6">
        <v>6.4</v>
      </c>
      <c r="AT179" s="6">
        <v>7</v>
      </c>
      <c r="AU179" s="6">
        <v>7.18</v>
      </c>
      <c r="AV179" s="6">
        <v>6.61</v>
      </c>
      <c r="AW179" s="6">
        <v>5.98</v>
      </c>
      <c r="AX179" s="6">
        <v>7.46</v>
      </c>
      <c r="AY179" s="6">
        <v>8.66</v>
      </c>
      <c r="AZ179" s="6">
        <v>6.26</v>
      </c>
      <c r="BA179" s="6">
        <v>6.13</v>
      </c>
      <c r="BB179" s="6">
        <v>8.33</v>
      </c>
      <c r="BC179" s="6">
        <f t="shared" ref="BC179:BC180" si="11">7.34+0.43</f>
        <v>7.77</v>
      </c>
      <c r="BD179" s="6">
        <v>7.4404000000000003</v>
      </c>
      <c r="BE179" s="6">
        <v>8.0299999999999994</v>
      </c>
      <c r="BF179" s="6">
        <v>7.04</v>
      </c>
      <c r="BG179" s="6">
        <v>8.81</v>
      </c>
      <c r="BH179" s="6">
        <v>7.26</v>
      </c>
      <c r="BI179" s="6">
        <v>9.39</v>
      </c>
      <c r="BJ179" s="6">
        <v>6.3</v>
      </c>
      <c r="BK179" s="6">
        <v>7.95</v>
      </c>
      <c r="BL179" s="6">
        <v>7.67</v>
      </c>
      <c r="BM179" s="6">
        <v>8.61</v>
      </c>
      <c r="BN179" s="6">
        <v>7.77</v>
      </c>
      <c r="BO179" s="6">
        <v>7.59</v>
      </c>
      <c r="BP179" s="6">
        <v>7.61</v>
      </c>
      <c r="BQ179" s="6">
        <v>6.86</v>
      </c>
      <c r="BR179" s="6">
        <v>5.62</v>
      </c>
      <c r="BS179" s="6">
        <v>8.75</v>
      </c>
      <c r="BT179" s="6">
        <v>9.08</v>
      </c>
      <c r="BU179" s="6">
        <v>8.81</v>
      </c>
      <c r="BV179" s="6">
        <v>7.9399999999999995</v>
      </c>
      <c r="BW179" s="6">
        <v>6.87</v>
      </c>
      <c r="BX179" s="6">
        <v>7.1099999999999994</v>
      </c>
      <c r="BY179" s="6">
        <v>8.11</v>
      </c>
      <c r="BZ179" s="6">
        <v>8.1999999999999993</v>
      </c>
      <c r="CA179" s="6">
        <v>8.93</v>
      </c>
      <c r="CB179" s="6">
        <v>7.43</v>
      </c>
      <c r="CC179" s="6">
        <v>6.39</v>
      </c>
      <c r="CD179" s="7">
        <v>10.049999999999999</v>
      </c>
      <c r="CE179" s="7">
        <v>9.99</v>
      </c>
      <c r="CF179" s="7">
        <v>8.6999999999999993</v>
      </c>
      <c r="CG179" s="7">
        <v>8.2799999999999994</v>
      </c>
      <c r="CH179" s="7"/>
    </row>
    <row r="180" spans="1:86" ht="15.75" customHeight="1" x14ac:dyDescent="0.25">
      <c r="A180" s="4">
        <v>178</v>
      </c>
      <c r="B180" s="2"/>
      <c r="C180" s="4">
        <v>27</v>
      </c>
      <c r="D180" s="6">
        <v>9.7799999999999994</v>
      </c>
      <c r="E180" s="6">
        <v>10.029999999999999</v>
      </c>
      <c r="F180" s="6">
        <v>9.33</v>
      </c>
      <c r="G180" s="6">
        <v>9.08</v>
      </c>
      <c r="H180" s="6">
        <v>7.53</v>
      </c>
      <c r="I180" s="6">
        <v>9.18</v>
      </c>
      <c r="J180" s="6">
        <v>7.43</v>
      </c>
      <c r="K180" s="6">
        <v>8.93</v>
      </c>
      <c r="L180" s="6">
        <v>8.58</v>
      </c>
      <c r="M180" s="6">
        <v>8.98</v>
      </c>
      <c r="N180" s="6">
        <v>9.43</v>
      </c>
      <c r="O180" s="6">
        <v>9.1</v>
      </c>
      <c r="P180" s="6">
        <v>7.73</v>
      </c>
      <c r="Q180" s="6">
        <v>9.01</v>
      </c>
      <c r="R180" s="6">
        <v>7.78</v>
      </c>
      <c r="S180" s="6">
        <v>8.33</v>
      </c>
      <c r="T180" s="6">
        <v>7.73</v>
      </c>
      <c r="U180" s="6">
        <v>8.43</v>
      </c>
      <c r="V180" s="6">
        <v>6.41</v>
      </c>
      <c r="W180" s="6">
        <v>9.0299999999999994</v>
      </c>
      <c r="X180" s="6">
        <v>9.5399999999999991</v>
      </c>
      <c r="Y180" s="6">
        <v>7.08</v>
      </c>
      <c r="Z180" s="6">
        <v>7.13</v>
      </c>
      <c r="AA180" s="6">
        <v>7.07</v>
      </c>
      <c r="AB180" s="6">
        <v>9.1999999999999993</v>
      </c>
      <c r="AC180" s="6">
        <v>8.1</v>
      </c>
      <c r="AD180" s="6">
        <v>8.64</v>
      </c>
      <c r="AE180" s="6">
        <v>7.51</v>
      </c>
      <c r="AF180" s="6">
        <v>8.35</v>
      </c>
      <c r="AG180" s="6">
        <v>9.41</v>
      </c>
      <c r="AH180" s="6">
        <v>6.35</v>
      </c>
      <c r="AI180" s="6">
        <v>4.2699999999999996</v>
      </c>
      <c r="AJ180" s="6">
        <v>7.35</v>
      </c>
      <c r="AK180" s="6">
        <v>9.7100000000000009</v>
      </c>
      <c r="AL180" s="6">
        <v>8.33</v>
      </c>
      <c r="AM180" s="6">
        <v>8.8000000000000007</v>
      </c>
      <c r="AN180" s="6">
        <v>9.61</v>
      </c>
      <c r="AO180" s="6">
        <v>9.58</v>
      </c>
      <c r="AP180" s="6">
        <v>10.02</v>
      </c>
      <c r="AQ180" s="6">
        <v>9.66</v>
      </c>
      <c r="AR180" s="6">
        <v>9</v>
      </c>
      <c r="AS180" s="6">
        <v>6.4</v>
      </c>
      <c r="AT180" s="6">
        <v>7.09</v>
      </c>
      <c r="AU180" s="6">
        <v>7.23</v>
      </c>
      <c r="AV180" s="6">
        <v>6.73</v>
      </c>
      <c r="AW180" s="6">
        <v>6.01</v>
      </c>
      <c r="AX180" s="6">
        <v>7.66</v>
      </c>
      <c r="AY180" s="6">
        <v>8.67</v>
      </c>
      <c r="AZ180" s="6">
        <v>6.38</v>
      </c>
      <c r="BA180" s="6">
        <v>6.36</v>
      </c>
      <c r="BB180" s="6">
        <v>8.3699999999999992</v>
      </c>
      <c r="BC180" s="6">
        <f t="shared" si="11"/>
        <v>7.77</v>
      </c>
      <c r="BD180" s="6">
        <v>7.5928000000000004</v>
      </c>
      <c r="BE180" s="6">
        <v>8.18</v>
      </c>
      <c r="BF180" s="6">
        <v>7.07</v>
      </c>
      <c r="BG180" s="6">
        <v>8.93</v>
      </c>
      <c r="BH180" s="6">
        <v>7.29</v>
      </c>
      <c r="BI180" s="6">
        <v>9.48</v>
      </c>
      <c r="BJ180" s="6">
        <v>6.46</v>
      </c>
      <c r="BK180" s="6">
        <v>8.1</v>
      </c>
      <c r="BL180" s="6">
        <v>7.69</v>
      </c>
      <c r="BM180" s="6">
        <v>8.61</v>
      </c>
      <c r="BN180" s="6">
        <v>7.8</v>
      </c>
      <c r="BO180" s="6">
        <v>7.75</v>
      </c>
      <c r="BP180" s="6">
        <v>7.68</v>
      </c>
      <c r="BQ180" s="6">
        <v>6.98</v>
      </c>
      <c r="BR180" s="6">
        <v>5.73</v>
      </c>
      <c r="BS180" s="6">
        <v>8.77</v>
      </c>
      <c r="BT180" s="6">
        <v>9.25</v>
      </c>
      <c r="BU180" s="6">
        <v>8.82</v>
      </c>
      <c r="BV180" s="6">
        <v>7.9799999999999995</v>
      </c>
      <c r="BW180" s="6">
        <v>7.0430000000000001</v>
      </c>
      <c r="BX180" s="6">
        <v>7.1899999999999995</v>
      </c>
      <c r="BY180" s="6">
        <v>8.120000000000001</v>
      </c>
      <c r="BZ180" s="6">
        <v>8.2799999999999994</v>
      </c>
      <c r="CA180" s="6">
        <v>8.9600000000000009</v>
      </c>
      <c r="CB180" s="6">
        <v>7.4799999999999995</v>
      </c>
      <c r="CC180" s="6">
        <v>6.31</v>
      </c>
      <c r="CD180" s="7">
        <v>10.06</v>
      </c>
      <c r="CE180" s="7">
        <v>10.08</v>
      </c>
      <c r="CF180" s="7">
        <v>8.74</v>
      </c>
      <c r="CG180" s="7">
        <v>8.3699999999999992</v>
      </c>
      <c r="CH180" s="7"/>
    </row>
    <row r="181" spans="1:86" ht="15.75" customHeight="1" x14ac:dyDescent="0.25">
      <c r="A181" s="4">
        <v>179</v>
      </c>
      <c r="B181" s="2"/>
      <c r="C181" s="4">
        <v>28</v>
      </c>
      <c r="D181" s="6">
        <v>9.83</v>
      </c>
      <c r="E181" s="6">
        <v>10.08</v>
      </c>
      <c r="F181" s="6">
        <v>9.23</v>
      </c>
      <c r="G181" s="6">
        <v>9.18</v>
      </c>
      <c r="H181" s="6">
        <v>7.63</v>
      </c>
      <c r="I181" s="6">
        <v>9.43</v>
      </c>
      <c r="J181" s="6">
        <v>7.48</v>
      </c>
      <c r="K181" s="6">
        <v>9.0299999999999994</v>
      </c>
      <c r="L181" s="6">
        <v>8.58</v>
      </c>
      <c r="M181" s="6">
        <v>9.0299999999999994</v>
      </c>
      <c r="N181" s="6">
        <v>9.5299999999999994</v>
      </c>
      <c r="O181" s="6">
        <v>9.2799999999999994</v>
      </c>
      <c r="P181" s="6">
        <v>7.93</v>
      </c>
      <c r="Q181" s="6">
        <v>8.9499999999999993</v>
      </c>
      <c r="R181" s="6">
        <v>7.83</v>
      </c>
      <c r="S181" s="6">
        <v>8.48</v>
      </c>
      <c r="T181" s="6">
        <v>7.78</v>
      </c>
      <c r="U181" s="6">
        <v>8.4600000000000009</v>
      </c>
      <c r="V181" s="6">
        <v>6.41</v>
      </c>
      <c r="W181" s="6">
        <v>9.1300000000000008</v>
      </c>
      <c r="X181" s="6">
        <v>9.6300000000000008</v>
      </c>
      <c r="Y181" s="6">
        <v>7.21</v>
      </c>
      <c r="Z181" s="6">
        <v>7.33</v>
      </c>
      <c r="AA181" s="6">
        <v>7.3</v>
      </c>
      <c r="AB181" s="6">
        <v>9.2799999999999994</v>
      </c>
      <c r="AC181" s="6">
        <v>8.25</v>
      </c>
      <c r="AD181" s="6">
        <v>8.77</v>
      </c>
      <c r="AE181" s="6">
        <v>7.83</v>
      </c>
      <c r="AF181" s="6">
        <v>8.56</v>
      </c>
      <c r="AG181" s="6">
        <v>9.4700000000000006</v>
      </c>
      <c r="AH181" s="6">
        <v>6.58</v>
      </c>
      <c r="AI181" s="6">
        <v>4.41</v>
      </c>
      <c r="AJ181" s="6">
        <v>7.43</v>
      </c>
      <c r="AK181" s="6">
        <v>9.75</v>
      </c>
      <c r="AL181" s="6">
        <v>8.49</v>
      </c>
      <c r="AM181" s="6">
        <v>9.0299999999999994</v>
      </c>
      <c r="AN181" s="6">
        <v>9.75</v>
      </c>
      <c r="AO181" s="6">
        <v>9.5299999999999994</v>
      </c>
      <c r="AP181" s="6">
        <v>10.15</v>
      </c>
      <c r="AQ181" s="6">
        <v>9.68</v>
      </c>
      <c r="AR181" s="6">
        <v>9.06</v>
      </c>
      <c r="AS181" s="6">
        <v>6.82</v>
      </c>
      <c r="AT181" s="6">
        <v>7.18</v>
      </c>
      <c r="AU181" s="6">
        <v>7.33</v>
      </c>
      <c r="AV181" s="6">
        <v>6.91</v>
      </c>
      <c r="AW181" s="6">
        <v>6.1</v>
      </c>
      <c r="AX181" s="6">
        <v>7.77</v>
      </c>
      <c r="AY181" s="6">
        <v>8.66</v>
      </c>
      <c r="AZ181" s="6">
        <v>6.4</v>
      </c>
      <c r="BA181" s="6">
        <v>6.37</v>
      </c>
      <c r="BB181" s="6">
        <v>8.39</v>
      </c>
      <c r="BC181" s="6">
        <f>7.48+0.43</f>
        <v>7.91</v>
      </c>
      <c r="BD181" s="6">
        <v>7.6537600000000001</v>
      </c>
      <c r="BE181" s="6">
        <v>8.2799999999999994</v>
      </c>
      <c r="BF181" s="6">
        <v>7.65</v>
      </c>
      <c r="BG181" s="6">
        <v>9</v>
      </c>
      <c r="BH181" s="6">
        <v>7.48</v>
      </c>
      <c r="BI181" s="6">
        <v>9.58</v>
      </c>
      <c r="BJ181" s="6">
        <v>6.51</v>
      </c>
      <c r="BK181" s="6">
        <v>8.23</v>
      </c>
      <c r="BL181" s="6">
        <v>7.73</v>
      </c>
      <c r="BM181" s="6">
        <v>8.65</v>
      </c>
      <c r="BN181" s="6">
        <v>7.88</v>
      </c>
      <c r="BO181" s="6">
        <v>7.84</v>
      </c>
      <c r="BP181" s="6">
        <v>7.75</v>
      </c>
      <c r="BQ181" s="6">
        <v>7.06</v>
      </c>
      <c r="BR181" s="6">
        <v>5.8</v>
      </c>
      <c r="BS181" s="6">
        <v>8.81</v>
      </c>
      <c r="BT181" s="6">
        <v>9.43</v>
      </c>
      <c r="BU181" s="6">
        <v>8.77</v>
      </c>
      <c r="BV181" s="6">
        <v>8.06</v>
      </c>
      <c r="BW181" s="6">
        <v>7.1</v>
      </c>
      <c r="BX181" s="6">
        <v>7.2799999999999994</v>
      </c>
      <c r="BY181" s="6">
        <v>8.25</v>
      </c>
      <c r="BZ181" s="6">
        <v>8.370000000000001</v>
      </c>
      <c r="CA181" s="6">
        <v>9.18</v>
      </c>
      <c r="CB181" s="6">
        <v>7.59</v>
      </c>
      <c r="CC181" s="6">
        <v>6.41</v>
      </c>
      <c r="CD181" s="7">
        <v>10.08</v>
      </c>
      <c r="CE181" s="7">
        <v>10.31</v>
      </c>
      <c r="CF181" s="7">
        <v>8.7899999999999991</v>
      </c>
      <c r="CG181" s="7">
        <v>8.4700000000000006</v>
      </c>
      <c r="CH181" s="7"/>
    </row>
    <row r="182" spans="1:86" ht="15.75" customHeight="1" x14ac:dyDescent="0.25">
      <c r="A182" s="4">
        <v>180</v>
      </c>
      <c r="B182" s="2"/>
      <c r="C182" s="4">
        <v>29</v>
      </c>
      <c r="D182" s="6">
        <v>9.83</v>
      </c>
      <c r="E182" s="6">
        <v>10.130000000000001</v>
      </c>
      <c r="F182" s="6">
        <v>9.23</v>
      </c>
      <c r="G182" s="6">
        <v>9.2799999999999994</v>
      </c>
      <c r="H182" s="6">
        <v>7.73</v>
      </c>
      <c r="I182" s="6">
        <v>9.5299999999999994</v>
      </c>
      <c r="J182" s="6">
        <v>7.63</v>
      </c>
      <c r="K182" s="6">
        <v>9.0299999999999994</v>
      </c>
      <c r="L182" s="6">
        <v>8.6300000000000008</v>
      </c>
      <c r="M182" s="6">
        <v>9.08</v>
      </c>
      <c r="N182" s="6">
        <v>9.68</v>
      </c>
      <c r="O182" s="6">
        <v>9.43</v>
      </c>
      <c r="P182" s="6">
        <v>8.08</v>
      </c>
      <c r="Q182" s="6">
        <v>8.93</v>
      </c>
      <c r="R182" s="6">
        <v>7.83</v>
      </c>
      <c r="S182" s="6">
        <v>8.5299999999999994</v>
      </c>
      <c r="T182" s="6">
        <v>7.83</v>
      </c>
      <c r="U182" s="6">
        <v>8.48</v>
      </c>
      <c r="V182" s="6">
        <v>6.35</v>
      </c>
      <c r="W182" s="6">
        <v>9.18</v>
      </c>
      <c r="X182" s="6">
        <v>9.75</v>
      </c>
      <c r="Y182" s="6">
        <v>7.35</v>
      </c>
      <c r="Z182" s="6">
        <v>7.48</v>
      </c>
      <c r="AA182" s="6">
        <v>7.62</v>
      </c>
      <c r="AB182" s="6">
        <v>9.32</v>
      </c>
      <c r="AC182" s="6">
        <v>8.4</v>
      </c>
      <c r="AD182" s="6">
        <v>8.89</v>
      </c>
      <c r="AE182" s="6">
        <v>8.16</v>
      </c>
      <c r="AF182" s="6">
        <v>8.65</v>
      </c>
      <c r="AG182" s="6">
        <v>9.4499999999999993</v>
      </c>
      <c r="AH182" s="6">
        <v>6.28</v>
      </c>
      <c r="AI182" s="6">
        <v>4.5199999999999996</v>
      </c>
      <c r="AJ182" s="6">
        <v>7.6</v>
      </c>
      <c r="AK182" s="6">
        <v>9.91</v>
      </c>
      <c r="AL182" s="6">
        <v>8.41</v>
      </c>
      <c r="AM182" s="6">
        <v>9.16</v>
      </c>
      <c r="AN182" s="6">
        <v>9.89</v>
      </c>
      <c r="AO182" s="6">
        <v>9.4499999999999993</v>
      </c>
      <c r="AP182" s="6">
        <v>10.18</v>
      </c>
      <c r="AQ182" s="6">
        <v>9.6199999999999992</v>
      </c>
      <c r="AR182" s="6">
        <v>9.1</v>
      </c>
      <c r="AS182" s="6">
        <v>7.06</v>
      </c>
      <c r="AT182" s="6">
        <v>7.28</v>
      </c>
      <c r="AU182" s="6">
        <v>7.51</v>
      </c>
      <c r="AV182" s="6">
        <v>7.11</v>
      </c>
      <c r="AW182" s="6">
        <v>6.24</v>
      </c>
      <c r="AX182" s="6">
        <v>7.85</v>
      </c>
      <c r="AY182" s="6">
        <v>8.75</v>
      </c>
      <c r="AZ182" s="6">
        <v>6.53</v>
      </c>
      <c r="BA182" s="6">
        <v>6.49</v>
      </c>
      <c r="BB182" s="6">
        <v>8.56</v>
      </c>
      <c r="BC182" s="6">
        <f>7.56+0.43</f>
        <v>7.9899999999999993</v>
      </c>
      <c r="BD182" s="6">
        <v>7.7147199999999998</v>
      </c>
      <c r="BE182" s="6">
        <v>8.32</v>
      </c>
      <c r="BF182" s="6">
        <v>7.98</v>
      </c>
      <c r="BG182" s="6">
        <v>9.0299999999999994</v>
      </c>
      <c r="BH182" s="6">
        <v>7.73</v>
      </c>
      <c r="BI182" s="6">
        <v>9.65</v>
      </c>
      <c r="BJ182" s="6">
        <v>6.64</v>
      </c>
      <c r="BK182" s="6">
        <v>8.2799999999999994</v>
      </c>
      <c r="BL182" s="6">
        <v>7.83</v>
      </c>
      <c r="BM182" s="6">
        <v>8.73</v>
      </c>
      <c r="BN182" s="6">
        <v>7.88</v>
      </c>
      <c r="BO182" s="6">
        <v>7.96</v>
      </c>
      <c r="BP182" s="6">
        <v>7.88</v>
      </c>
      <c r="BQ182" s="6">
        <v>7.18</v>
      </c>
      <c r="BR182" s="6">
        <v>5.87</v>
      </c>
      <c r="BS182" s="6">
        <v>8.83</v>
      </c>
      <c r="BT182" s="6">
        <v>9.51</v>
      </c>
      <c r="BU182" s="6">
        <v>8.77</v>
      </c>
      <c r="BV182" s="6">
        <v>8.06</v>
      </c>
      <c r="BW182" s="6">
        <v>7.25</v>
      </c>
      <c r="BX182" s="6">
        <v>7.3599999999999994</v>
      </c>
      <c r="BY182" s="6">
        <v>8.35</v>
      </c>
      <c r="BZ182" s="6">
        <v>8.4499999999999993</v>
      </c>
      <c r="CA182" s="6">
        <v>9.19</v>
      </c>
      <c r="CB182" s="6">
        <v>7.7299999999999995</v>
      </c>
      <c r="CC182" s="6">
        <v>6.37</v>
      </c>
      <c r="CD182" s="7">
        <v>10.119999999999999</v>
      </c>
      <c r="CE182" s="7">
        <v>10.45</v>
      </c>
      <c r="CF182" s="7">
        <v>8.86</v>
      </c>
      <c r="CG182" s="7">
        <v>8.49</v>
      </c>
      <c r="CH182" s="7"/>
    </row>
    <row r="183" spans="1:86" ht="15.75" customHeight="1" x14ac:dyDescent="0.25">
      <c r="A183" s="4">
        <v>181</v>
      </c>
      <c r="B183" s="2"/>
      <c r="C183" s="4">
        <v>30</v>
      </c>
      <c r="D183" s="6">
        <v>9.83</v>
      </c>
      <c r="E183" s="6">
        <v>10.23</v>
      </c>
      <c r="F183" s="6">
        <v>9.23</v>
      </c>
      <c r="G183" s="6">
        <v>9.43</v>
      </c>
      <c r="H183" s="6">
        <v>7.83</v>
      </c>
      <c r="I183" s="6">
        <v>9.5299999999999994</v>
      </c>
      <c r="J183" s="6">
        <v>7.78</v>
      </c>
      <c r="K183" s="6">
        <v>9.1300000000000008</v>
      </c>
      <c r="L183" s="6">
        <v>8.6300000000000008</v>
      </c>
      <c r="M183" s="6">
        <v>9.08</v>
      </c>
      <c r="N183" s="6">
        <v>9.73</v>
      </c>
      <c r="O183" s="6">
        <v>9.48</v>
      </c>
      <c r="P183" s="6">
        <v>8.23</v>
      </c>
      <c r="Q183" s="6">
        <v>8.93</v>
      </c>
      <c r="R183" s="6">
        <v>8.23</v>
      </c>
      <c r="S183" s="6">
        <v>8.68</v>
      </c>
      <c r="T183" s="6">
        <v>7.93</v>
      </c>
      <c r="U183" s="6">
        <v>8.51</v>
      </c>
      <c r="V183" s="6">
        <v>6.35</v>
      </c>
      <c r="W183" s="6">
        <v>9.23</v>
      </c>
      <c r="X183" s="6">
        <v>9.85</v>
      </c>
      <c r="Y183" s="6">
        <v>7.41</v>
      </c>
      <c r="Z183" s="6">
        <v>7.58</v>
      </c>
      <c r="AA183" s="6">
        <v>7.85</v>
      </c>
      <c r="AB183" s="6">
        <v>9.36</v>
      </c>
      <c r="AC183" s="6">
        <v>8.57</v>
      </c>
      <c r="AD183" s="6">
        <v>8.98</v>
      </c>
      <c r="AE183" s="6">
        <v>8.24</v>
      </c>
      <c r="AF183" s="6">
        <v>8.7799999999999994</v>
      </c>
      <c r="AG183" s="6">
        <v>9.52</v>
      </c>
      <c r="AH183" s="6">
        <v>6.69</v>
      </c>
      <c r="AI183" s="6">
        <v>4.6399999999999997</v>
      </c>
      <c r="AJ183" s="6">
        <v>7.72</v>
      </c>
      <c r="AK183" s="6">
        <v>10.08</v>
      </c>
      <c r="AL183" s="6">
        <v>8.36</v>
      </c>
      <c r="AM183" s="6">
        <v>9.3000000000000007</v>
      </c>
      <c r="AN183" s="6">
        <v>10.08</v>
      </c>
      <c r="AO183" s="6">
        <v>9.4499999999999993</v>
      </c>
      <c r="AP183" s="6">
        <v>10.15</v>
      </c>
      <c r="AQ183" s="6">
        <v>9.5399999999999991</v>
      </c>
      <c r="AR183" s="6">
        <v>9.08</v>
      </c>
      <c r="AS183" s="6">
        <v>6.8</v>
      </c>
      <c r="AT183" s="6">
        <v>7.31</v>
      </c>
      <c r="AU183" s="6">
        <v>7.63</v>
      </c>
      <c r="AV183" s="6">
        <v>7.46</v>
      </c>
      <c r="AW183" s="6">
        <v>6.34</v>
      </c>
      <c r="AX183" s="6">
        <v>7.85</v>
      </c>
      <c r="AY183" s="6">
        <v>8.7200000000000006</v>
      </c>
      <c r="AZ183" s="6">
        <v>6.59</v>
      </c>
      <c r="BA183" s="6">
        <v>6.68</v>
      </c>
      <c r="BB183" s="6">
        <v>8.67</v>
      </c>
      <c r="BC183" s="6">
        <f>7.62+0.43</f>
        <v>8.0500000000000007</v>
      </c>
      <c r="BD183" s="6">
        <v>7.7451999999999996</v>
      </c>
      <c r="BE183" s="6">
        <v>8.4499999999999993</v>
      </c>
      <c r="BF183" s="6">
        <v>8.01</v>
      </c>
      <c r="BG183" s="6">
        <v>9.18</v>
      </c>
      <c r="BH183" s="6">
        <v>7.83</v>
      </c>
      <c r="BI183" s="6">
        <v>9.7100000000000009</v>
      </c>
      <c r="BJ183" s="6">
        <v>6.59</v>
      </c>
      <c r="BK183" s="6">
        <v>8.42</v>
      </c>
      <c r="BL183" s="6">
        <v>7.86</v>
      </c>
      <c r="BM183" s="6">
        <v>8.76</v>
      </c>
      <c r="BN183" s="6">
        <v>7.93</v>
      </c>
      <c r="BO183" s="6">
        <v>8.07</v>
      </c>
      <c r="BP183" s="6">
        <v>7.93</v>
      </c>
      <c r="BQ183" s="6">
        <v>7.18</v>
      </c>
      <c r="BR183" s="6">
        <v>5.99</v>
      </c>
      <c r="BS183" s="6">
        <v>8.86</v>
      </c>
      <c r="BT183" s="6">
        <v>9.51</v>
      </c>
      <c r="BU183" s="6">
        <v>8.75</v>
      </c>
      <c r="BV183" s="6">
        <v>8.14</v>
      </c>
      <c r="BW183" s="6">
        <v>7.35</v>
      </c>
      <c r="BX183" s="6">
        <v>7.43</v>
      </c>
      <c r="BY183" s="6">
        <v>8.4499999999999993</v>
      </c>
      <c r="BZ183" s="6">
        <v>8.5</v>
      </c>
      <c r="CA183" s="6">
        <v>9.34</v>
      </c>
      <c r="CB183" s="6">
        <v>7.75</v>
      </c>
      <c r="CC183" s="6">
        <v>6.51</v>
      </c>
      <c r="CD183" s="7">
        <v>10.15</v>
      </c>
      <c r="CE183" s="7">
        <v>10.57</v>
      </c>
      <c r="CF183" s="7">
        <v>8.94</v>
      </c>
      <c r="CG183" s="7">
        <v>8.5299999999999994</v>
      </c>
      <c r="CH183" s="7"/>
    </row>
    <row r="184" spans="1:86" ht="15.75" customHeight="1" x14ac:dyDescent="0.25">
      <c r="A184" s="4">
        <v>182</v>
      </c>
      <c r="B184" s="2" t="s">
        <v>10</v>
      </c>
      <c r="C184" s="4">
        <v>1</v>
      </c>
      <c r="D184" s="6">
        <v>9.83</v>
      </c>
      <c r="E184" s="6">
        <v>10.23</v>
      </c>
      <c r="F184" s="6">
        <v>9.3800000000000008</v>
      </c>
      <c r="G184" s="6">
        <v>9.5299999999999994</v>
      </c>
      <c r="H184" s="6">
        <v>7.88</v>
      </c>
      <c r="I184" s="6">
        <v>9.5299999999999994</v>
      </c>
      <c r="J184" s="6">
        <v>7.93</v>
      </c>
      <c r="K184" s="6">
        <v>9.1300000000000008</v>
      </c>
      <c r="L184" s="6">
        <v>8.68</v>
      </c>
      <c r="M184" s="6">
        <v>9.08</v>
      </c>
      <c r="N184" s="6">
        <v>9.83</v>
      </c>
      <c r="O184" s="6">
        <v>9.6300000000000008</v>
      </c>
      <c r="P184" s="6">
        <v>8.43</v>
      </c>
      <c r="Q184" s="6">
        <v>9.0299999999999994</v>
      </c>
      <c r="R184" s="6">
        <v>8.1300000000000008</v>
      </c>
      <c r="S184" s="6">
        <v>8.83</v>
      </c>
      <c r="T184" s="6">
        <v>8.14</v>
      </c>
      <c r="U184" s="6">
        <v>8.58</v>
      </c>
      <c r="V184" s="6">
        <v>6.51</v>
      </c>
      <c r="W184" s="6">
        <v>9.2799999999999994</v>
      </c>
      <c r="X184" s="6">
        <v>9.9</v>
      </c>
      <c r="Y184" s="6">
        <v>7.43</v>
      </c>
      <c r="Z184" s="6">
        <v>7.6</v>
      </c>
      <c r="AA184" s="6">
        <v>8.01</v>
      </c>
      <c r="AB184" s="6">
        <v>9.39</v>
      </c>
      <c r="AC184" s="6">
        <v>8.76</v>
      </c>
      <c r="AD184" s="6">
        <v>9.0399999999999991</v>
      </c>
      <c r="AE184" s="6">
        <v>8.2799999999999994</v>
      </c>
      <c r="AF184" s="6">
        <v>8.5299999999999994</v>
      </c>
      <c r="AG184" s="6">
        <v>9.5500000000000007</v>
      </c>
      <c r="AH184" s="6">
        <v>6.63</v>
      </c>
      <c r="AI184" s="6">
        <v>4.66</v>
      </c>
      <c r="AJ184" s="6">
        <v>7.78</v>
      </c>
      <c r="AK184" s="6">
        <v>10.3</v>
      </c>
      <c r="AL184" s="6">
        <v>8.35</v>
      </c>
      <c r="AM184" s="6">
        <v>9.84</v>
      </c>
      <c r="AN184" s="6">
        <v>10.24</v>
      </c>
      <c r="AO184" s="6">
        <v>9.4700000000000006</v>
      </c>
      <c r="AP184" s="6">
        <v>10.25</v>
      </c>
      <c r="AQ184" s="6">
        <v>9.4700000000000006</v>
      </c>
      <c r="AR184" s="6">
        <v>9.07</v>
      </c>
      <c r="AS184" s="6">
        <v>7.25</v>
      </c>
      <c r="AT184" s="6">
        <v>7.34</v>
      </c>
      <c r="AU184" s="6">
        <v>7.8</v>
      </c>
      <c r="AV184" s="6">
        <v>7.71</v>
      </c>
      <c r="AW184" s="6">
        <v>6.44</v>
      </c>
      <c r="AX184" s="6">
        <v>7.85</v>
      </c>
      <c r="AY184" s="6">
        <v>8.75</v>
      </c>
      <c r="AZ184" s="6">
        <v>6.65</v>
      </c>
      <c r="BA184" s="6">
        <v>6.85</v>
      </c>
      <c r="BB184" s="6">
        <v>8.76</v>
      </c>
      <c r="BC184" s="6">
        <f>7.68+0.43</f>
        <v>8.11</v>
      </c>
      <c r="BD184" s="6">
        <v>7.7756800000000004</v>
      </c>
      <c r="BE184" s="6">
        <v>8.51</v>
      </c>
      <c r="BF184" s="6">
        <v>8.17</v>
      </c>
      <c r="BG184" s="6">
        <v>9.26</v>
      </c>
      <c r="BH184" s="6">
        <v>7.93</v>
      </c>
      <c r="BI184" s="6">
        <v>9.76</v>
      </c>
      <c r="BJ184" s="6">
        <v>6.56</v>
      </c>
      <c r="BK184" s="6">
        <v>8.52</v>
      </c>
      <c r="BL184" s="6">
        <v>7.96</v>
      </c>
      <c r="BM184" s="6">
        <v>8.81</v>
      </c>
      <c r="BN184" s="6">
        <v>7.99</v>
      </c>
      <c r="BO184" s="6">
        <v>8.18</v>
      </c>
      <c r="BP184" s="6">
        <v>8.0299999999999994</v>
      </c>
      <c r="BQ184" s="6">
        <v>7.32</v>
      </c>
      <c r="BR184" s="6">
        <v>6.03</v>
      </c>
      <c r="BS184" s="6">
        <v>8.93</v>
      </c>
      <c r="BT184" s="6">
        <v>9.44</v>
      </c>
      <c r="BU184" s="6">
        <v>8.7199999999999989</v>
      </c>
      <c r="BV184" s="6">
        <v>8.14</v>
      </c>
      <c r="BW184" s="6">
        <v>7.4899999999999993</v>
      </c>
      <c r="BX184" s="6">
        <v>7.63</v>
      </c>
      <c r="BY184" s="6">
        <v>8.5</v>
      </c>
      <c r="BZ184" s="6">
        <v>8.5499999999999989</v>
      </c>
      <c r="CA184" s="6">
        <v>9.5399999999999991</v>
      </c>
      <c r="CB184" s="6">
        <v>8.08</v>
      </c>
      <c r="CC184" s="6">
        <v>6.67</v>
      </c>
      <c r="CD184" s="7">
        <v>10.14</v>
      </c>
      <c r="CE184" s="7">
        <v>10.629999999999999</v>
      </c>
      <c r="CF184" s="7">
        <v>8.9600000000000009</v>
      </c>
      <c r="CG184" s="7">
        <v>8.58</v>
      </c>
      <c r="CH184" s="7"/>
    </row>
    <row r="185" spans="1:86" ht="15.75" customHeight="1" x14ac:dyDescent="0.25">
      <c r="A185" s="4">
        <v>183</v>
      </c>
      <c r="B185" s="2"/>
      <c r="C185" s="4">
        <v>2</v>
      </c>
      <c r="D185" s="6">
        <v>9.8800000000000008</v>
      </c>
      <c r="E185" s="6">
        <v>10.23</v>
      </c>
      <c r="F185" s="6">
        <v>9.5299999999999994</v>
      </c>
      <c r="G185" s="6">
        <v>9.6300000000000008</v>
      </c>
      <c r="H185" s="6">
        <v>8.0299999999999994</v>
      </c>
      <c r="I185" s="6">
        <v>9.5299999999999994</v>
      </c>
      <c r="J185" s="6">
        <v>7.98</v>
      </c>
      <c r="K185" s="6">
        <v>9.1</v>
      </c>
      <c r="L185" s="6">
        <v>8.73</v>
      </c>
      <c r="M185" s="6">
        <v>9.08</v>
      </c>
      <c r="N185" s="6">
        <v>9.8800000000000008</v>
      </c>
      <c r="O185" s="6">
        <v>9.73</v>
      </c>
      <c r="P185" s="6">
        <v>8.5299999999999994</v>
      </c>
      <c r="Q185" s="6">
        <v>9.1300000000000008</v>
      </c>
      <c r="R185" s="6">
        <v>8.26</v>
      </c>
      <c r="S185" s="6">
        <v>8.93</v>
      </c>
      <c r="T185" s="6">
        <v>8.23</v>
      </c>
      <c r="U185" s="6">
        <v>8.6300000000000008</v>
      </c>
      <c r="V185" s="6">
        <v>6.58</v>
      </c>
      <c r="W185" s="6">
        <v>9.3800000000000008</v>
      </c>
      <c r="X185" s="6">
        <v>9.93</v>
      </c>
      <c r="Y185" s="6">
        <v>7.53</v>
      </c>
      <c r="Z185" s="6">
        <v>7.63</v>
      </c>
      <c r="AA185" s="6">
        <v>8.08</v>
      </c>
      <c r="AB185" s="6">
        <v>9.41</v>
      </c>
      <c r="AC185" s="6">
        <v>8.93</v>
      </c>
      <c r="AD185" s="6">
        <v>9.06</v>
      </c>
      <c r="AE185" s="6">
        <v>8.43</v>
      </c>
      <c r="AF185" s="6">
        <v>8.65</v>
      </c>
      <c r="AG185" s="6">
        <v>9.57</v>
      </c>
      <c r="AH185" s="6">
        <v>6.89</v>
      </c>
      <c r="AI185" s="6">
        <v>4.8499999999999996</v>
      </c>
      <c r="AJ185" s="6">
        <v>7.93</v>
      </c>
      <c r="AK185" s="6">
        <v>10.45</v>
      </c>
      <c r="AL185" s="6">
        <v>8.43</v>
      </c>
      <c r="AM185" s="6">
        <v>9.65</v>
      </c>
      <c r="AN185" s="6">
        <v>10.41</v>
      </c>
      <c r="AO185" s="6">
        <v>9.4600000000000009</v>
      </c>
      <c r="AP185" s="6">
        <v>10.36</v>
      </c>
      <c r="AQ185" s="6">
        <v>9.5500000000000007</v>
      </c>
      <c r="AR185" s="6">
        <v>9.08</v>
      </c>
      <c r="AS185" s="6">
        <v>7.4</v>
      </c>
      <c r="AT185" s="6">
        <v>7.41</v>
      </c>
      <c r="AU185" s="6">
        <v>8.0299999999999994</v>
      </c>
      <c r="AV185" s="6">
        <v>7.92</v>
      </c>
      <c r="AW185" s="6">
        <v>6.59</v>
      </c>
      <c r="AX185" s="6">
        <v>7.8</v>
      </c>
      <c r="AY185" s="6">
        <v>8.8000000000000007</v>
      </c>
      <c r="AZ185" s="6">
        <v>6.82</v>
      </c>
      <c r="BA185" s="6">
        <v>7.02</v>
      </c>
      <c r="BB185" s="6">
        <v>8.83</v>
      </c>
      <c r="BC185" s="6">
        <f t="shared" ref="BC185:BC186" si="12">7.72+0.43</f>
        <v>8.15</v>
      </c>
      <c r="BD185" s="6">
        <v>7.8061600000000002</v>
      </c>
      <c r="BE185" s="6">
        <v>8.57</v>
      </c>
      <c r="BF185" s="6">
        <v>8.26</v>
      </c>
      <c r="BG185" s="6">
        <v>9.39</v>
      </c>
      <c r="BH185" s="6">
        <v>7.93</v>
      </c>
      <c r="BI185" s="6">
        <v>9.83</v>
      </c>
      <c r="BJ185" s="6">
        <v>6.57</v>
      </c>
      <c r="BK185" s="6">
        <v>8.6199999999999992</v>
      </c>
      <c r="BL185" s="6">
        <v>8.06</v>
      </c>
      <c r="BM185" s="6">
        <v>8.84</v>
      </c>
      <c r="BN185" s="6">
        <v>8.06</v>
      </c>
      <c r="BO185" s="6">
        <v>8.41</v>
      </c>
      <c r="BP185" s="6">
        <v>8.17</v>
      </c>
      <c r="BQ185" s="6">
        <v>7.47</v>
      </c>
      <c r="BR185" s="6">
        <v>6.12</v>
      </c>
      <c r="BS185" s="6">
        <v>8.9600000000000009</v>
      </c>
      <c r="BT185" s="6">
        <v>9.52</v>
      </c>
      <c r="BU185" s="6">
        <v>8.7099999999999991</v>
      </c>
      <c r="BV185" s="6">
        <v>8.2100000000000009</v>
      </c>
      <c r="BW185" s="6">
        <v>7.52</v>
      </c>
      <c r="BX185" s="6">
        <v>7.7399999999999993</v>
      </c>
      <c r="BY185" s="6">
        <v>8.51</v>
      </c>
      <c r="BZ185" s="6">
        <v>8.64</v>
      </c>
      <c r="CA185" s="6">
        <v>9.84</v>
      </c>
      <c r="CB185" s="6">
        <v>8.3800000000000008</v>
      </c>
      <c r="CC185" s="6">
        <v>6.77</v>
      </c>
      <c r="CD185" s="7">
        <v>10.14</v>
      </c>
      <c r="CE185" s="7">
        <v>10.65</v>
      </c>
      <c r="CF185" s="7">
        <v>8.99</v>
      </c>
      <c r="CG185" s="7">
        <v>8.6199999999999992</v>
      </c>
      <c r="CH185" s="7"/>
    </row>
    <row r="186" spans="1:86" ht="15.75" customHeight="1" x14ac:dyDescent="0.25">
      <c r="A186" s="4">
        <v>184</v>
      </c>
      <c r="B186" s="2"/>
      <c r="C186" s="4">
        <v>3</v>
      </c>
      <c r="D186" s="6">
        <v>9.93</v>
      </c>
      <c r="E186" s="6">
        <v>10.23</v>
      </c>
      <c r="F186" s="6">
        <v>9.7799999999999994</v>
      </c>
      <c r="G186" s="6">
        <v>9.73</v>
      </c>
      <c r="H186" s="6">
        <v>8.18</v>
      </c>
      <c r="I186" s="6">
        <v>9.5299999999999994</v>
      </c>
      <c r="J186" s="6">
        <v>8.0299999999999994</v>
      </c>
      <c r="K186" s="6">
        <v>9.08</v>
      </c>
      <c r="L186" s="6">
        <v>8.93</v>
      </c>
      <c r="M186" s="6">
        <v>9.1300000000000008</v>
      </c>
      <c r="N186" s="6">
        <v>9.98</v>
      </c>
      <c r="O186" s="6">
        <v>9.83</v>
      </c>
      <c r="P186" s="6">
        <v>8.58</v>
      </c>
      <c r="Q186" s="6">
        <v>9.27</v>
      </c>
      <c r="R186" s="6">
        <v>8.33</v>
      </c>
      <c r="S186" s="6">
        <v>9.0299999999999994</v>
      </c>
      <c r="T186" s="6">
        <v>8.2799999999999994</v>
      </c>
      <c r="U186" s="6">
        <v>8.6300000000000008</v>
      </c>
      <c r="V186" s="6">
        <v>6.63</v>
      </c>
      <c r="W186" s="6">
        <v>9.5500000000000007</v>
      </c>
      <c r="X186" s="6">
        <v>9.93</v>
      </c>
      <c r="Y186" s="6">
        <v>7.71</v>
      </c>
      <c r="Z186" s="6">
        <v>7.72</v>
      </c>
      <c r="AA186" s="6">
        <v>8.1</v>
      </c>
      <c r="AB186" s="6">
        <v>9.5</v>
      </c>
      <c r="AC186" s="6">
        <v>9.07</v>
      </c>
      <c r="AD186" s="6">
        <v>9.08</v>
      </c>
      <c r="AE186" s="6">
        <v>8.7200000000000006</v>
      </c>
      <c r="AF186" s="6">
        <v>8.86</v>
      </c>
      <c r="AG186" s="6">
        <v>9.51</v>
      </c>
      <c r="AH186" s="6">
        <v>6.98</v>
      </c>
      <c r="AI186" s="6">
        <v>4.9000000000000004</v>
      </c>
      <c r="AJ186" s="6">
        <v>8.0500000000000007</v>
      </c>
      <c r="AK186" s="6">
        <v>10.55</v>
      </c>
      <c r="AL186" s="6">
        <v>8.5500000000000007</v>
      </c>
      <c r="AM186" s="6">
        <v>9.83</v>
      </c>
      <c r="AN186" s="6">
        <v>10.55</v>
      </c>
      <c r="AO186" s="6">
        <v>9.43</v>
      </c>
      <c r="AP186" s="6">
        <v>10.44</v>
      </c>
      <c r="AQ186" s="6">
        <v>9.61</v>
      </c>
      <c r="AR186" s="6">
        <v>9.02</v>
      </c>
      <c r="AS186" s="6">
        <v>7.54</v>
      </c>
      <c r="AT186" s="6">
        <v>7.49</v>
      </c>
      <c r="AU186" s="6">
        <v>8.2100000000000009</v>
      </c>
      <c r="AV186" s="6">
        <v>8.1199999999999992</v>
      </c>
      <c r="AW186" s="6">
        <v>6.72</v>
      </c>
      <c r="AX186" s="6">
        <v>7.8</v>
      </c>
      <c r="AY186" s="6">
        <v>9.0500000000000007</v>
      </c>
      <c r="AZ186" s="6">
        <v>6.96</v>
      </c>
      <c r="BA186" s="6">
        <v>7.13</v>
      </c>
      <c r="BB186" s="6">
        <v>8.93</v>
      </c>
      <c r="BC186" s="6">
        <f t="shared" si="12"/>
        <v>8.15</v>
      </c>
      <c r="BD186" s="6">
        <v>7.7451999999999996</v>
      </c>
      <c r="BE186" s="6">
        <v>8.73</v>
      </c>
      <c r="BF186" s="6">
        <v>8.2899999999999991</v>
      </c>
      <c r="BG186" s="6">
        <v>9.5399999999999991</v>
      </c>
      <c r="BH186" s="6">
        <v>7.96</v>
      </c>
      <c r="BI186" s="6">
        <v>9.8699999999999992</v>
      </c>
      <c r="BJ186" s="6">
        <v>6.81</v>
      </c>
      <c r="BK186" s="6">
        <v>8.7200000000000006</v>
      </c>
      <c r="BL186" s="6">
        <v>8.11</v>
      </c>
      <c r="BM186" s="6">
        <v>8.89</v>
      </c>
      <c r="BN186" s="6">
        <v>8.1199999999999992</v>
      </c>
      <c r="BO186" s="6">
        <v>8.66</v>
      </c>
      <c r="BP186" s="6">
        <v>8.42</v>
      </c>
      <c r="BQ186" s="6">
        <v>7.62</v>
      </c>
      <c r="BR186" s="6">
        <v>6.2</v>
      </c>
      <c r="BS186" s="6">
        <v>9.02</v>
      </c>
      <c r="BT186" s="6">
        <v>9.6199999999999992</v>
      </c>
      <c r="BU186" s="6">
        <v>8.86</v>
      </c>
      <c r="BV186" s="6">
        <v>8.24</v>
      </c>
      <c r="BW186" s="6">
        <v>7.63</v>
      </c>
      <c r="BX186" s="6">
        <v>7.79</v>
      </c>
      <c r="BY186" s="6">
        <v>8.65</v>
      </c>
      <c r="BZ186" s="6">
        <v>8.7199999999999989</v>
      </c>
      <c r="CA186" s="6">
        <v>10.26</v>
      </c>
      <c r="CB186" s="6">
        <v>8.5399999999999991</v>
      </c>
      <c r="CC186" s="6">
        <v>6.83</v>
      </c>
      <c r="CD186" s="7">
        <v>10.19</v>
      </c>
      <c r="CE186" s="7">
        <v>10.74</v>
      </c>
      <c r="CF186" s="7">
        <v>9.18</v>
      </c>
      <c r="CG186" s="7">
        <v>8.65</v>
      </c>
      <c r="CH186" s="7"/>
    </row>
    <row r="187" spans="1:86" ht="15.75" customHeight="1" x14ac:dyDescent="0.25">
      <c r="A187" s="4">
        <v>185</v>
      </c>
      <c r="B187" s="2"/>
      <c r="C187" s="4">
        <v>4</v>
      </c>
      <c r="D187" s="6">
        <v>10.029999999999999</v>
      </c>
      <c r="E187" s="6">
        <v>10.130000000000001</v>
      </c>
      <c r="F187" s="6">
        <v>9.83</v>
      </c>
      <c r="G187" s="6">
        <v>9.83</v>
      </c>
      <c r="H187" s="6">
        <v>8.2799999999999994</v>
      </c>
      <c r="I187" s="6">
        <v>9.48</v>
      </c>
      <c r="J187" s="6">
        <v>8.18</v>
      </c>
      <c r="K187" s="6">
        <v>9.0299999999999994</v>
      </c>
      <c r="L187" s="6">
        <v>9.0299999999999994</v>
      </c>
      <c r="M187" s="6">
        <v>9.08</v>
      </c>
      <c r="N187" s="6">
        <v>10.08</v>
      </c>
      <c r="O187" s="6">
        <v>9.9</v>
      </c>
      <c r="P187" s="6">
        <v>8.51</v>
      </c>
      <c r="Q187" s="6">
        <v>9.43</v>
      </c>
      <c r="R187" s="6">
        <v>8.43</v>
      </c>
      <c r="S187" s="6">
        <v>9.0299999999999994</v>
      </c>
      <c r="T187" s="6">
        <v>8.33</v>
      </c>
      <c r="U187" s="6">
        <v>8.65</v>
      </c>
      <c r="V187" s="6">
        <v>6.83</v>
      </c>
      <c r="W187" s="6">
        <v>9.68</v>
      </c>
      <c r="X187" s="6">
        <v>9.99</v>
      </c>
      <c r="Y187" s="6">
        <v>7.85</v>
      </c>
      <c r="Z187" s="6">
        <v>7.83</v>
      </c>
      <c r="AA187" s="6">
        <v>8.14</v>
      </c>
      <c r="AB187" s="6">
        <v>9.6300000000000008</v>
      </c>
      <c r="AC187" s="6">
        <v>9.16</v>
      </c>
      <c r="AD187" s="6">
        <v>9.07</v>
      </c>
      <c r="AE187" s="6">
        <v>8.86</v>
      </c>
      <c r="AF187" s="6">
        <v>9.08</v>
      </c>
      <c r="AG187" s="6">
        <v>9.48</v>
      </c>
      <c r="AH187" s="6">
        <v>6.68</v>
      </c>
      <c r="AI187" s="6">
        <v>4.96</v>
      </c>
      <c r="AJ187" s="6">
        <v>8.35</v>
      </c>
      <c r="AK187" s="6">
        <v>10.73</v>
      </c>
      <c r="AL187" s="6">
        <v>8.65</v>
      </c>
      <c r="AM187" s="6">
        <v>10.029999999999999</v>
      </c>
      <c r="AN187" s="6">
        <v>10.64</v>
      </c>
      <c r="AO187" s="6">
        <v>9.52</v>
      </c>
      <c r="AP187" s="6">
        <v>10.5</v>
      </c>
      <c r="AQ187" s="6">
        <v>9.59</v>
      </c>
      <c r="AR187" s="6">
        <v>9.18</v>
      </c>
      <c r="AS187" s="6">
        <v>7.67</v>
      </c>
      <c r="AT187" s="6">
        <v>7.55</v>
      </c>
      <c r="AU187" s="6">
        <v>8.31</v>
      </c>
      <c r="AV187" s="6">
        <v>8.16</v>
      </c>
      <c r="AW187" s="6">
        <v>6.78</v>
      </c>
      <c r="AX187" s="6">
        <v>7.88</v>
      </c>
      <c r="AY187" s="6">
        <v>9.33</v>
      </c>
      <c r="AZ187" s="6">
        <v>7.07</v>
      </c>
      <c r="BA187" s="6">
        <v>7.21</v>
      </c>
      <c r="BB187" s="6">
        <v>8.99</v>
      </c>
      <c r="BC187" s="6">
        <f>7.74+0.43</f>
        <v>8.17</v>
      </c>
      <c r="BD187" s="6">
        <v>7.9280799999999996</v>
      </c>
      <c r="BE187" s="6">
        <v>8.8800000000000008</v>
      </c>
      <c r="BF187" s="6">
        <v>8.24</v>
      </c>
      <c r="BG187" s="6">
        <v>9.6</v>
      </c>
      <c r="BH187" s="6">
        <v>7.99</v>
      </c>
      <c r="BI187" s="6">
        <v>9.8699999999999992</v>
      </c>
      <c r="BJ187" s="6">
        <v>6.82</v>
      </c>
      <c r="BK187" s="6">
        <v>8.82</v>
      </c>
      <c r="BL187" s="6">
        <v>8.1199999999999992</v>
      </c>
      <c r="BM187" s="6">
        <v>8.93</v>
      </c>
      <c r="BN187" s="6">
        <v>8.14</v>
      </c>
      <c r="BO187" s="6">
        <v>8.9</v>
      </c>
      <c r="BP187" s="6">
        <v>8.57</v>
      </c>
      <c r="BQ187" s="6">
        <v>7.74</v>
      </c>
      <c r="BR187" s="6">
        <v>6.24</v>
      </c>
      <c r="BS187" s="6">
        <v>9.06</v>
      </c>
      <c r="BT187" s="6">
        <v>9.69</v>
      </c>
      <c r="BU187" s="6">
        <v>9.0499999999999989</v>
      </c>
      <c r="BV187" s="6">
        <v>8.24</v>
      </c>
      <c r="BW187" s="6">
        <v>7.71</v>
      </c>
      <c r="BX187" s="6">
        <v>7.81</v>
      </c>
      <c r="BY187" s="6">
        <v>8.7099999999999991</v>
      </c>
      <c r="BZ187" s="6">
        <v>8.81</v>
      </c>
      <c r="CA187" s="6">
        <v>10.34</v>
      </c>
      <c r="CB187" s="6">
        <v>8.49</v>
      </c>
      <c r="CC187" s="6">
        <v>6.89</v>
      </c>
      <c r="CD187" s="7">
        <v>10.199999999999999</v>
      </c>
      <c r="CE187" s="7">
        <v>10.78</v>
      </c>
      <c r="CF187" s="7">
        <v>9.26</v>
      </c>
      <c r="CG187" s="7">
        <v>8.7200000000000006</v>
      </c>
      <c r="CH187" s="7"/>
    </row>
    <row r="188" spans="1:86" ht="15.75" customHeight="1" x14ac:dyDescent="0.25">
      <c r="A188" s="4">
        <v>186</v>
      </c>
      <c r="B188" s="2"/>
      <c r="C188" s="4">
        <v>5</v>
      </c>
      <c r="D188" s="6">
        <v>10.18</v>
      </c>
      <c r="E188" s="6">
        <v>10.08</v>
      </c>
      <c r="F188" s="6">
        <v>9.93</v>
      </c>
      <c r="G188" s="6">
        <v>9.83</v>
      </c>
      <c r="H188" s="6">
        <v>8.33</v>
      </c>
      <c r="I188" s="6">
        <v>9.43</v>
      </c>
      <c r="J188" s="6">
        <v>8.18</v>
      </c>
      <c r="K188" s="6">
        <v>8.93</v>
      </c>
      <c r="L188" s="6">
        <v>9.23</v>
      </c>
      <c r="M188" s="6">
        <v>9.08</v>
      </c>
      <c r="N188" s="6">
        <v>10.08</v>
      </c>
      <c r="O188" s="6">
        <v>9.93</v>
      </c>
      <c r="P188" s="6">
        <v>8.5299999999999994</v>
      </c>
      <c r="Q188" s="6">
        <v>9.6300000000000008</v>
      </c>
      <c r="R188" s="6">
        <v>8.48</v>
      </c>
      <c r="S188" s="6">
        <v>9.08</v>
      </c>
      <c r="T188" s="6">
        <v>8.33</v>
      </c>
      <c r="U188" s="6">
        <v>8.65</v>
      </c>
      <c r="V188" s="6">
        <v>6.98</v>
      </c>
      <c r="W188" s="6">
        <v>9.81</v>
      </c>
      <c r="X188" s="6">
        <v>10.06</v>
      </c>
      <c r="Y188" s="6">
        <v>7.91</v>
      </c>
      <c r="Z188" s="6">
        <v>7.83</v>
      </c>
      <c r="AA188" s="6">
        <v>8.26</v>
      </c>
      <c r="AB188" s="6">
        <v>9.73</v>
      </c>
      <c r="AC188" s="6">
        <v>9.1999999999999993</v>
      </c>
      <c r="AD188" s="6">
        <v>9.01</v>
      </c>
      <c r="AE188" s="6">
        <v>8.91</v>
      </c>
      <c r="AF188" s="6">
        <v>9.2899999999999991</v>
      </c>
      <c r="AG188" s="6">
        <v>9.51</v>
      </c>
      <c r="AH188" s="6">
        <v>6.52</v>
      </c>
      <c r="AI188" s="6">
        <v>5.05</v>
      </c>
      <c r="AJ188" s="6">
        <v>8.4600000000000009</v>
      </c>
      <c r="AK188" s="6">
        <v>10.98</v>
      </c>
      <c r="AL188" s="6">
        <v>8.73</v>
      </c>
      <c r="AM188" s="6">
        <v>10.130000000000001</v>
      </c>
      <c r="AN188" s="6">
        <v>10.71</v>
      </c>
      <c r="AO188" s="6">
        <v>9.64</v>
      </c>
      <c r="AP188" s="6">
        <v>10.55</v>
      </c>
      <c r="AQ188" s="6">
        <v>9.64</v>
      </c>
      <c r="AR188" s="6">
        <v>9.2799999999999994</v>
      </c>
      <c r="AS188" s="6">
        <v>7.78</v>
      </c>
      <c r="AT188" s="6">
        <v>7.59</v>
      </c>
      <c r="AU188" s="6">
        <v>8.41</v>
      </c>
      <c r="AV188" s="6">
        <v>8.19</v>
      </c>
      <c r="AW188" s="6">
        <v>6.85</v>
      </c>
      <c r="AX188" s="6">
        <v>7.88</v>
      </c>
      <c r="AY188" s="6">
        <v>9.5500000000000007</v>
      </c>
      <c r="AZ188" s="6">
        <v>7.14</v>
      </c>
      <c r="BA188" s="6">
        <v>7.25</v>
      </c>
      <c r="BB188" s="6">
        <v>9.01</v>
      </c>
      <c r="BC188" s="6">
        <f>7.92+0.43</f>
        <v>8.35</v>
      </c>
      <c r="BD188" s="6">
        <v>7.9280799999999996</v>
      </c>
      <c r="BE188" s="6">
        <v>9.0299999999999994</v>
      </c>
      <c r="BF188" s="6">
        <v>8.11</v>
      </c>
      <c r="BG188" s="6">
        <v>9.6</v>
      </c>
      <c r="BH188" s="6">
        <v>7.99</v>
      </c>
      <c r="BI188" s="6">
        <v>9.92</v>
      </c>
      <c r="BJ188" s="6">
        <v>6.88</v>
      </c>
      <c r="BK188" s="6">
        <v>8.91</v>
      </c>
      <c r="BL188" s="6">
        <v>8.07</v>
      </c>
      <c r="BM188" s="6">
        <v>8.98</v>
      </c>
      <c r="BN188" s="6">
        <v>8.17</v>
      </c>
      <c r="BO188" s="6">
        <v>9.11</v>
      </c>
      <c r="BP188" s="6">
        <v>8.7100000000000009</v>
      </c>
      <c r="BQ188" s="6">
        <v>7.81</v>
      </c>
      <c r="BR188" s="6">
        <v>6.35</v>
      </c>
      <c r="BS188" s="6">
        <v>9.1300000000000008</v>
      </c>
      <c r="BT188" s="6">
        <v>9.69</v>
      </c>
      <c r="BU188" s="6">
        <v>9.2799999999999994</v>
      </c>
      <c r="BV188" s="7">
        <v>8.2799999999999994</v>
      </c>
      <c r="BW188" s="7">
        <v>7.83</v>
      </c>
      <c r="BX188" s="7">
        <v>7.83</v>
      </c>
      <c r="BY188" s="7">
        <v>8.81</v>
      </c>
      <c r="BZ188" s="7">
        <v>8.879999999999999</v>
      </c>
      <c r="CA188" s="7">
        <v>10.58</v>
      </c>
      <c r="CB188" s="6">
        <v>8.5</v>
      </c>
      <c r="CC188" s="6">
        <v>6.9499999999999993</v>
      </c>
      <c r="CD188" s="7">
        <v>10.219999999999999</v>
      </c>
      <c r="CE188" s="7">
        <v>10.86</v>
      </c>
      <c r="CF188" s="7">
        <v>9.35</v>
      </c>
      <c r="CG188" s="7">
        <v>8.74</v>
      </c>
      <c r="CH188" s="7"/>
    </row>
    <row r="189" spans="1:86" ht="15.75" customHeight="1" x14ac:dyDescent="0.25">
      <c r="A189" s="4">
        <v>187</v>
      </c>
      <c r="B189" s="2"/>
      <c r="C189" s="4">
        <v>6</v>
      </c>
      <c r="D189" s="6">
        <v>10.23</v>
      </c>
      <c r="E189" s="6">
        <v>10.029999999999999</v>
      </c>
      <c r="F189" s="6">
        <v>10.029999999999999</v>
      </c>
      <c r="G189" s="6">
        <v>9.8800000000000008</v>
      </c>
      <c r="H189" s="6">
        <v>8.3800000000000008</v>
      </c>
      <c r="I189" s="6">
        <v>9.33</v>
      </c>
      <c r="J189" s="6">
        <v>8.2799999999999994</v>
      </c>
      <c r="K189" s="6">
        <v>8.93</v>
      </c>
      <c r="L189" s="6">
        <v>9.43</v>
      </c>
      <c r="M189" s="6">
        <v>9.1300000000000008</v>
      </c>
      <c r="N189" s="6">
        <v>10.130000000000001</v>
      </c>
      <c r="O189" s="6">
        <v>10.01</v>
      </c>
      <c r="P189" s="6">
        <v>8.43</v>
      </c>
      <c r="Q189" s="6">
        <v>9.83</v>
      </c>
      <c r="R189" s="6">
        <v>8.5299999999999994</v>
      </c>
      <c r="S189" s="6">
        <v>9.08</v>
      </c>
      <c r="T189" s="6">
        <v>8.33</v>
      </c>
      <c r="U189" s="6">
        <v>8.68</v>
      </c>
      <c r="V189" s="6">
        <v>7.18</v>
      </c>
      <c r="W189" s="6">
        <v>9.9</v>
      </c>
      <c r="X189" s="6">
        <v>10.11</v>
      </c>
      <c r="Y189" s="6">
        <v>7.98</v>
      </c>
      <c r="Z189" s="6">
        <v>7.83</v>
      </c>
      <c r="AA189" s="6">
        <v>8.3800000000000008</v>
      </c>
      <c r="AB189" s="6">
        <v>9.76</v>
      </c>
      <c r="AC189" s="6">
        <v>9.24</v>
      </c>
      <c r="AD189" s="6">
        <v>8.9</v>
      </c>
      <c r="AE189" s="6">
        <v>8.91</v>
      </c>
      <c r="AF189" s="6">
        <v>9.51</v>
      </c>
      <c r="AG189" s="6">
        <v>9.6300000000000008</v>
      </c>
      <c r="AH189" s="6">
        <v>6.66</v>
      </c>
      <c r="AI189" s="6">
        <v>5.12</v>
      </c>
      <c r="AJ189" s="6">
        <v>8.61</v>
      </c>
      <c r="AK189" s="6">
        <v>11.15</v>
      </c>
      <c r="AL189" s="6">
        <v>8.89</v>
      </c>
      <c r="AM189" s="6">
        <v>9.81</v>
      </c>
      <c r="AN189" s="6">
        <v>10.76</v>
      </c>
      <c r="AO189" s="6">
        <v>9.75</v>
      </c>
      <c r="AP189" s="6">
        <v>10.6</v>
      </c>
      <c r="AQ189" s="6">
        <v>9.6999999999999993</v>
      </c>
      <c r="AR189" s="6">
        <v>9.42</v>
      </c>
      <c r="AS189" s="6">
        <v>7.9</v>
      </c>
      <c r="AT189" s="6">
        <v>7.62</v>
      </c>
      <c r="AU189" s="6">
        <v>8.49</v>
      </c>
      <c r="AV189" s="6">
        <v>8.31</v>
      </c>
      <c r="AW189" s="6">
        <v>6.9</v>
      </c>
      <c r="AX189" s="6">
        <v>7.88</v>
      </c>
      <c r="AY189" s="6">
        <v>9.6199999999999992</v>
      </c>
      <c r="AZ189" s="6">
        <v>7.17</v>
      </c>
      <c r="BA189" s="6">
        <v>7.19</v>
      </c>
      <c r="BB189" s="6">
        <v>9.1</v>
      </c>
      <c r="BC189" s="6">
        <f>7.96+0.43</f>
        <v>8.39</v>
      </c>
      <c r="BD189" s="6">
        <v>7.9890400000000001</v>
      </c>
      <c r="BE189" s="6">
        <v>9.09</v>
      </c>
      <c r="BF189" s="6">
        <v>7.89</v>
      </c>
      <c r="BG189" s="6">
        <v>9.73</v>
      </c>
      <c r="BH189" s="6">
        <v>7.98</v>
      </c>
      <c r="BI189" s="6">
        <v>9.99</v>
      </c>
      <c r="BJ189" s="6">
        <v>6.74</v>
      </c>
      <c r="BK189" s="6">
        <v>8.93</v>
      </c>
      <c r="BL189" s="6">
        <v>8.09</v>
      </c>
      <c r="BM189" s="6">
        <v>9.0299999999999994</v>
      </c>
      <c r="BN189" s="6">
        <v>8.24</v>
      </c>
      <c r="BO189" s="6">
        <v>9.17</v>
      </c>
      <c r="BP189" s="6">
        <v>8.7799999999999994</v>
      </c>
      <c r="BQ189" s="6">
        <v>7.87</v>
      </c>
      <c r="BR189" s="6">
        <v>6.5</v>
      </c>
      <c r="BS189" s="6">
        <v>9.16</v>
      </c>
      <c r="BT189" s="6">
        <v>9.7799999999999994</v>
      </c>
      <c r="BU189" s="6">
        <v>9.43</v>
      </c>
      <c r="BV189" s="7">
        <v>8.2799999999999994</v>
      </c>
      <c r="BW189" s="7">
        <v>7.83</v>
      </c>
      <c r="BX189" s="7">
        <v>7.85</v>
      </c>
      <c r="BY189" s="7">
        <v>8.85</v>
      </c>
      <c r="BZ189" s="7">
        <v>9.0399999999999991</v>
      </c>
      <c r="CA189" s="7">
        <v>10.53</v>
      </c>
      <c r="CB189" s="6">
        <v>8.5</v>
      </c>
      <c r="CC189" s="7">
        <v>6.9499999999999993</v>
      </c>
      <c r="CD189" s="7">
        <v>10.24</v>
      </c>
      <c r="CE189" s="7">
        <v>10.84</v>
      </c>
      <c r="CF189" s="7">
        <v>9.42</v>
      </c>
      <c r="CG189" s="7">
        <v>8.82</v>
      </c>
      <c r="CH189" s="7"/>
    </row>
    <row r="190" spans="1:86" ht="15.75" customHeight="1" x14ac:dyDescent="0.25">
      <c r="A190" s="4">
        <v>188</v>
      </c>
      <c r="B190" s="2"/>
      <c r="C190" s="4">
        <v>7</v>
      </c>
      <c r="D190" s="6">
        <v>10.33</v>
      </c>
      <c r="E190" s="6">
        <v>10.029999999999999</v>
      </c>
      <c r="F190" s="6">
        <v>10.130000000000001</v>
      </c>
      <c r="G190" s="6">
        <v>9.83</v>
      </c>
      <c r="H190" s="6">
        <v>8.43</v>
      </c>
      <c r="I190" s="6">
        <v>9.43</v>
      </c>
      <c r="J190" s="6">
        <v>8.43</v>
      </c>
      <c r="K190" s="6">
        <v>9.0299999999999994</v>
      </c>
      <c r="L190" s="6">
        <v>9.58</v>
      </c>
      <c r="M190" s="6">
        <v>9.23</v>
      </c>
      <c r="N190" s="6">
        <v>10.23</v>
      </c>
      <c r="O190" s="6">
        <v>10.08</v>
      </c>
      <c r="P190" s="6">
        <v>8.33</v>
      </c>
      <c r="Q190" s="6">
        <v>9.9700000000000006</v>
      </c>
      <c r="R190" s="6">
        <v>8.5299999999999994</v>
      </c>
      <c r="S190" s="6">
        <v>9.08</v>
      </c>
      <c r="T190" s="6">
        <v>8.3800000000000008</v>
      </c>
      <c r="U190" s="6">
        <v>8.6300000000000008</v>
      </c>
      <c r="V190" s="6">
        <v>7.33</v>
      </c>
      <c r="W190" s="6">
        <v>9.9</v>
      </c>
      <c r="X190" s="6">
        <v>10.23</v>
      </c>
      <c r="Y190" s="6">
        <v>8.01</v>
      </c>
      <c r="Z190" s="6">
        <v>7.83</v>
      </c>
      <c r="AA190" s="6">
        <v>8.43</v>
      </c>
      <c r="AB190" s="6">
        <v>9.76</v>
      </c>
      <c r="AC190" s="6">
        <v>9.31</v>
      </c>
      <c r="AD190" s="6">
        <v>8.8800000000000008</v>
      </c>
      <c r="AE190" s="6">
        <v>8.93</v>
      </c>
      <c r="AF190" s="6">
        <v>9.6</v>
      </c>
      <c r="AG190" s="6">
        <v>9.77</v>
      </c>
      <c r="AH190" s="6">
        <v>6.72</v>
      </c>
      <c r="AI190" s="6">
        <v>5.18</v>
      </c>
      <c r="AJ190" s="6">
        <v>8.6999999999999993</v>
      </c>
      <c r="AK190" s="6">
        <v>11.31</v>
      </c>
      <c r="AL190" s="6">
        <v>9.0500000000000007</v>
      </c>
      <c r="AM190" s="6">
        <v>9.7899999999999991</v>
      </c>
      <c r="AN190" s="6">
        <v>10.83</v>
      </c>
      <c r="AO190" s="6">
        <v>9.86</v>
      </c>
      <c r="AP190" s="6">
        <v>10.67</v>
      </c>
      <c r="AQ190" s="6">
        <v>9.83</v>
      </c>
      <c r="AR190" s="6">
        <v>9.4600000000000009</v>
      </c>
      <c r="AS190" s="6">
        <v>7.96</v>
      </c>
      <c r="AT190" s="6">
        <v>7.65</v>
      </c>
      <c r="AU190" s="6">
        <v>8.65</v>
      </c>
      <c r="AV190" s="6">
        <v>8.39</v>
      </c>
      <c r="AW190" s="6">
        <v>6.98</v>
      </c>
      <c r="AX190" s="6">
        <v>7.95</v>
      </c>
      <c r="AY190" s="6">
        <v>9.6300000000000008</v>
      </c>
      <c r="AZ190" s="6">
        <v>7.2</v>
      </c>
      <c r="BA190" s="6">
        <v>7.3</v>
      </c>
      <c r="BB190" s="6">
        <v>9.1999999999999993</v>
      </c>
      <c r="BC190" s="6">
        <f>8.09+0.43</f>
        <v>8.52</v>
      </c>
      <c r="BD190" s="6">
        <v>8.0804799999999997</v>
      </c>
      <c r="BE190" s="6">
        <v>9.15</v>
      </c>
      <c r="BF190" s="6">
        <v>7.74</v>
      </c>
      <c r="BG190" s="6">
        <v>9.81</v>
      </c>
      <c r="BH190" s="6">
        <v>8.0299999999999994</v>
      </c>
      <c r="BI190" s="6">
        <v>9.99</v>
      </c>
      <c r="BJ190" s="6">
        <v>6.81</v>
      </c>
      <c r="BK190" s="6">
        <v>8.9700000000000006</v>
      </c>
      <c r="BL190" s="6">
        <v>8.09</v>
      </c>
      <c r="BM190" s="6">
        <v>9.14</v>
      </c>
      <c r="BN190" s="6">
        <v>8.27</v>
      </c>
      <c r="BO190" s="6">
        <v>9.32</v>
      </c>
      <c r="BP190" s="6">
        <v>8.9</v>
      </c>
      <c r="BQ190" s="6">
        <v>8.0299999999999994</v>
      </c>
      <c r="BR190" s="6">
        <v>6.67</v>
      </c>
      <c r="BS190" s="6">
        <v>9.27</v>
      </c>
      <c r="BT190" s="6">
        <v>9.85</v>
      </c>
      <c r="BU190" s="6">
        <v>9.59</v>
      </c>
      <c r="BV190" s="7">
        <v>8.2900000000000009</v>
      </c>
      <c r="BW190" s="7">
        <v>7.8999999999999995</v>
      </c>
      <c r="BX190" s="7">
        <v>7.9899999999999993</v>
      </c>
      <c r="BY190" s="7">
        <v>8.9499999999999993</v>
      </c>
      <c r="BZ190" s="7">
        <v>9.1999999999999993</v>
      </c>
      <c r="CA190" s="7">
        <v>10.61</v>
      </c>
      <c r="CB190" s="6">
        <v>8.4499999999999993</v>
      </c>
      <c r="CC190" s="7">
        <v>7.01</v>
      </c>
      <c r="CD190" s="7">
        <v>10.23</v>
      </c>
      <c r="CE190" s="7">
        <v>10.78</v>
      </c>
      <c r="CF190" s="7">
        <v>9.4600000000000009</v>
      </c>
      <c r="CG190" s="7">
        <v>8.8699999999999992</v>
      </c>
      <c r="CH190" s="7"/>
    </row>
    <row r="191" spans="1:86" ht="15.75" customHeight="1" x14ac:dyDescent="0.25">
      <c r="A191" s="4">
        <v>189</v>
      </c>
      <c r="B191" s="2"/>
      <c r="C191" s="4">
        <v>8</v>
      </c>
      <c r="D191" s="6">
        <v>10.33</v>
      </c>
      <c r="E191" s="6">
        <v>10.130000000000001</v>
      </c>
      <c r="F191" s="6">
        <v>10.130000000000001</v>
      </c>
      <c r="G191" s="6">
        <v>9.83</v>
      </c>
      <c r="H191" s="6">
        <v>8.43</v>
      </c>
      <c r="I191" s="6">
        <v>9.43</v>
      </c>
      <c r="J191" s="6">
        <v>8.6300000000000008</v>
      </c>
      <c r="K191" s="6">
        <v>9.0299999999999994</v>
      </c>
      <c r="L191" s="6">
        <v>9.73</v>
      </c>
      <c r="M191" s="6">
        <v>9.3800000000000008</v>
      </c>
      <c r="N191" s="6">
        <v>10.23</v>
      </c>
      <c r="O191" s="6">
        <v>10.08</v>
      </c>
      <c r="P191" s="6">
        <v>8.3000000000000007</v>
      </c>
      <c r="Q191" s="6">
        <v>10.11</v>
      </c>
      <c r="R191" s="6">
        <v>8.5299999999999994</v>
      </c>
      <c r="S191" s="6">
        <v>9.0299999999999994</v>
      </c>
      <c r="T191" s="6">
        <v>8.5500000000000007</v>
      </c>
      <c r="U191" s="6">
        <v>8.61</v>
      </c>
      <c r="V191" s="6">
        <v>7.43</v>
      </c>
      <c r="W191" s="6">
        <v>9.93</v>
      </c>
      <c r="X191" s="6">
        <v>10.3</v>
      </c>
      <c r="Y191" s="6">
        <v>8.01</v>
      </c>
      <c r="Z191" s="6">
        <v>7.68</v>
      </c>
      <c r="AA191" s="6">
        <v>8.51</v>
      </c>
      <c r="AB191" s="6">
        <v>9.77</v>
      </c>
      <c r="AC191" s="6">
        <v>9.4</v>
      </c>
      <c r="AD191" s="6">
        <v>8.89</v>
      </c>
      <c r="AE191" s="6">
        <v>8.98</v>
      </c>
      <c r="AF191" s="6">
        <v>9.65</v>
      </c>
      <c r="AG191" s="6">
        <v>9.9</v>
      </c>
      <c r="AH191" s="6">
        <v>6.72</v>
      </c>
      <c r="AI191" s="6">
        <v>5.27</v>
      </c>
      <c r="AJ191" s="6">
        <v>8.68</v>
      </c>
      <c r="AK191" s="6">
        <v>11.43</v>
      </c>
      <c r="AL191" s="6">
        <v>9.09</v>
      </c>
      <c r="AM191" s="6">
        <v>9.7899999999999991</v>
      </c>
      <c r="AN191" s="6">
        <v>10.9</v>
      </c>
      <c r="AO191" s="6">
        <v>9.9600000000000009</v>
      </c>
      <c r="AP191" s="6">
        <v>10.77</v>
      </c>
      <c r="AQ191" s="6">
        <v>9.84</v>
      </c>
      <c r="AR191" s="6">
        <v>9.58</v>
      </c>
      <c r="AS191" s="6">
        <v>8.08</v>
      </c>
      <c r="AT191" s="6">
        <v>7.74</v>
      </c>
      <c r="AU191" s="6">
        <v>8.7799999999999994</v>
      </c>
      <c r="AV191" s="6">
        <v>8.25</v>
      </c>
      <c r="AW191" s="6">
        <v>7.08</v>
      </c>
      <c r="AX191" s="6">
        <v>7.99</v>
      </c>
      <c r="AY191" s="6">
        <v>9.82</v>
      </c>
      <c r="AZ191" s="6">
        <v>7.33</v>
      </c>
      <c r="BA191" s="6">
        <v>7.38</v>
      </c>
      <c r="BB191" s="6">
        <v>9.33</v>
      </c>
      <c r="BC191" s="6">
        <f>8.16+0.43</f>
        <v>8.59</v>
      </c>
      <c r="BD191" s="6">
        <v>8.1109600000000004</v>
      </c>
      <c r="BE191" s="6">
        <v>9.2100000000000009</v>
      </c>
      <c r="BF191" s="6">
        <v>7.74</v>
      </c>
      <c r="BG191" s="6">
        <v>9.89</v>
      </c>
      <c r="BH191" s="6">
        <v>8.08</v>
      </c>
      <c r="BI191" s="6">
        <v>10.01</v>
      </c>
      <c r="BJ191" s="6">
        <v>6.81</v>
      </c>
      <c r="BK191" s="6">
        <v>9.0399999999999991</v>
      </c>
      <c r="BL191" s="6">
        <v>8.11</v>
      </c>
      <c r="BM191" s="6">
        <v>9.2200000000000006</v>
      </c>
      <c r="BN191" s="6">
        <v>8.41</v>
      </c>
      <c r="BO191" s="6">
        <v>9.4</v>
      </c>
      <c r="BP191" s="6">
        <v>8.91</v>
      </c>
      <c r="BQ191" s="6">
        <v>8.2200000000000006</v>
      </c>
      <c r="BR191" s="6">
        <v>6.82</v>
      </c>
      <c r="BS191" s="6">
        <v>9.36</v>
      </c>
      <c r="BT191" s="6">
        <v>10.06</v>
      </c>
      <c r="BU191" s="6">
        <v>9.65</v>
      </c>
      <c r="BV191" s="6">
        <v>8.25</v>
      </c>
      <c r="BW191" s="6">
        <v>7.97</v>
      </c>
      <c r="BX191" s="6">
        <v>7.9899999999999993</v>
      </c>
      <c r="BY191" s="6">
        <v>9.0299999999999994</v>
      </c>
      <c r="BZ191" s="6">
        <v>9.32</v>
      </c>
      <c r="CA191" s="6">
        <v>10.66</v>
      </c>
      <c r="CB191" s="6">
        <v>8.65</v>
      </c>
      <c r="CC191" s="6">
        <v>7.17</v>
      </c>
      <c r="CD191" s="7">
        <v>10.16</v>
      </c>
      <c r="CE191" s="7">
        <v>10.74</v>
      </c>
      <c r="CF191" s="7">
        <v>9.42</v>
      </c>
      <c r="CG191" s="7">
        <v>8.91</v>
      </c>
      <c r="CH191" s="7"/>
    </row>
    <row r="192" spans="1:86" ht="15.75" customHeight="1" x14ac:dyDescent="0.25">
      <c r="A192" s="4">
        <v>190</v>
      </c>
      <c r="B192" s="2"/>
      <c r="C192" s="4">
        <v>9</v>
      </c>
      <c r="D192" s="6">
        <v>10.33</v>
      </c>
      <c r="E192" s="6">
        <v>10.23</v>
      </c>
      <c r="F192" s="6">
        <v>10.130000000000001</v>
      </c>
      <c r="G192" s="6">
        <v>9.83</v>
      </c>
      <c r="H192" s="6">
        <v>8.3800000000000008</v>
      </c>
      <c r="I192" s="6">
        <v>9.43</v>
      </c>
      <c r="J192" s="6">
        <v>8.83</v>
      </c>
      <c r="K192" s="6">
        <v>9.0299999999999994</v>
      </c>
      <c r="L192" s="6">
        <v>9.93</v>
      </c>
      <c r="M192" s="6">
        <v>9.5299999999999994</v>
      </c>
      <c r="N192" s="6">
        <v>10.38</v>
      </c>
      <c r="O192" s="6">
        <v>10.18</v>
      </c>
      <c r="P192" s="6">
        <v>8.33</v>
      </c>
      <c r="Q192" s="6">
        <v>10.130000000000001</v>
      </c>
      <c r="R192" s="6">
        <v>8.58</v>
      </c>
      <c r="S192" s="6">
        <v>9.08</v>
      </c>
      <c r="T192" s="6">
        <v>8.73</v>
      </c>
      <c r="U192" s="6">
        <v>8.58</v>
      </c>
      <c r="V192" s="6">
        <v>7.63</v>
      </c>
      <c r="W192" s="6">
        <v>9.93</v>
      </c>
      <c r="X192" s="6">
        <v>10.33</v>
      </c>
      <c r="Y192" s="6">
        <v>8.0500000000000007</v>
      </c>
      <c r="Z192" s="6">
        <v>7.61</v>
      </c>
      <c r="AA192" s="6">
        <v>8.7100000000000009</v>
      </c>
      <c r="AB192" s="6">
        <v>9.83</v>
      </c>
      <c r="AC192" s="6">
        <v>9.48</v>
      </c>
      <c r="AD192" s="6">
        <v>8.93</v>
      </c>
      <c r="AE192" s="6">
        <v>9.02</v>
      </c>
      <c r="AF192" s="6">
        <v>9.67</v>
      </c>
      <c r="AG192" s="6">
        <v>10.25</v>
      </c>
      <c r="AH192" s="6">
        <v>6.82</v>
      </c>
      <c r="AI192" s="6">
        <v>5.4</v>
      </c>
      <c r="AJ192" s="6">
        <v>8.66</v>
      </c>
      <c r="AK192" s="6">
        <v>11.47</v>
      </c>
      <c r="AL192" s="6">
        <v>9.19</v>
      </c>
      <c r="AM192" s="6">
        <v>9.85</v>
      </c>
      <c r="AN192" s="6">
        <v>10.81</v>
      </c>
      <c r="AO192" s="6">
        <v>10.06</v>
      </c>
      <c r="AP192" s="6">
        <v>10.79</v>
      </c>
      <c r="AQ192" s="6">
        <v>10.02</v>
      </c>
      <c r="AR192" s="6">
        <v>9.66</v>
      </c>
      <c r="AS192" s="6">
        <v>8.17</v>
      </c>
      <c r="AT192" s="6">
        <v>7.82</v>
      </c>
      <c r="AU192" s="6">
        <v>8.89</v>
      </c>
      <c r="AV192" s="6">
        <v>8.11</v>
      </c>
      <c r="AW192" s="6">
        <v>7.15</v>
      </c>
      <c r="AX192" s="6">
        <v>8.0500000000000007</v>
      </c>
      <c r="AY192" s="6">
        <v>9.59</v>
      </c>
      <c r="AZ192" s="6">
        <v>7.51</v>
      </c>
      <c r="BA192" s="6">
        <v>7.38</v>
      </c>
      <c r="BB192" s="6">
        <v>9.3800000000000008</v>
      </c>
      <c r="BC192" s="6">
        <f>8.23+0.43</f>
        <v>8.66</v>
      </c>
      <c r="BD192" s="6">
        <v>8.1719200000000001</v>
      </c>
      <c r="BE192" s="6">
        <v>9.6300000000000008</v>
      </c>
      <c r="BF192" s="6">
        <v>7.92</v>
      </c>
      <c r="BG192" s="6">
        <v>10.08</v>
      </c>
      <c r="BH192" s="6">
        <v>8.33</v>
      </c>
      <c r="BI192" s="6">
        <v>10.029999999999999</v>
      </c>
      <c r="BJ192" s="6">
        <v>6.69</v>
      </c>
      <c r="BK192" s="6">
        <v>9.14</v>
      </c>
      <c r="BL192" s="6">
        <v>8.1999999999999993</v>
      </c>
      <c r="BM192" s="6">
        <v>9.31</v>
      </c>
      <c r="BN192" s="6">
        <v>8.5299999999999994</v>
      </c>
      <c r="BO192" s="6">
        <v>9.49</v>
      </c>
      <c r="BP192" s="6">
        <v>8.9499999999999993</v>
      </c>
      <c r="BQ192" s="6">
        <v>8.23</v>
      </c>
      <c r="BR192" s="6">
        <v>6.95</v>
      </c>
      <c r="BS192" s="6">
        <v>9.4600000000000009</v>
      </c>
      <c r="BT192" s="6">
        <v>10.119999999999999</v>
      </c>
      <c r="BU192" s="6">
        <v>9.65</v>
      </c>
      <c r="BV192" s="6">
        <v>8.23</v>
      </c>
      <c r="BW192" s="6">
        <v>8</v>
      </c>
      <c r="BX192" s="6">
        <v>8.0400000000000009</v>
      </c>
      <c r="BY192" s="6">
        <v>9.11</v>
      </c>
      <c r="BZ192" s="6">
        <v>9.43</v>
      </c>
      <c r="CA192" s="6">
        <v>10.64</v>
      </c>
      <c r="CB192" s="6">
        <v>8.7999999999999989</v>
      </c>
      <c r="CC192" s="6">
        <v>7.2399999999999993</v>
      </c>
      <c r="CD192" s="7">
        <v>10.19</v>
      </c>
      <c r="CE192" s="7">
        <v>10.75</v>
      </c>
      <c r="CF192" s="7">
        <v>9.64</v>
      </c>
      <c r="CG192" s="7">
        <v>8.9600000000000009</v>
      </c>
      <c r="CH192" s="7"/>
    </row>
    <row r="193" spans="1:86" ht="15.75" customHeight="1" x14ac:dyDescent="0.25">
      <c r="A193" s="4">
        <v>191</v>
      </c>
      <c r="B193" s="2"/>
      <c r="C193" s="4">
        <v>10</v>
      </c>
      <c r="D193" s="6">
        <v>10.33</v>
      </c>
      <c r="E193" s="6">
        <v>10.33</v>
      </c>
      <c r="F193" s="6">
        <v>10.130000000000001</v>
      </c>
      <c r="G193" s="6">
        <v>9.83</v>
      </c>
      <c r="H193" s="6">
        <v>8.3800000000000008</v>
      </c>
      <c r="I193" s="6">
        <v>9.5299999999999994</v>
      </c>
      <c r="J193" s="6">
        <v>9.0299999999999994</v>
      </c>
      <c r="K193" s="6">
        <v>9.0299999999999994</v>
      </c>
      <c r="L193" s="6">
        <v>9.98</v>
      </c>
      <c r="M193" s="6">
        <v>9.68</v>
      </c>
      <c r="N193" s="6">
        <v>10.48</v>
      </c>
      <c r="O193" s="6">
        <v>10.23</v>
      </c>
      <c r="P193" s="6">
        <v>8.31</v>
      </c>
      <c r="Q193" s="6">
        <v>10.130000000000001</v>
      </c>
      <c r="R193" s="6">
        <v>8.61</v>
      </c>
      <c r="S193" s="6">
        <v>9.0299999999999994</v>
      </c>
      <c r="T193" s="6">
        <v>8.8800000000000008</v>
      </c>
      <c r="U193" s="6">
        <v>8.58</v>
      </c>
      <c r="V193" s="6">
        <v>7.93</v>
      </c>
      <c r="W193" s="6">
        <v>9.91</v>
      </c>
      <c r="X193" s="6">
        <v>10.3</v>
      </c>
      <c r="Y193" s="6">
        <v>8.18</v>
      </c>
      <c r="Z193" s="6">
        <v>7.56</v>
      </c>
      <c r="AA193" s="6">
        <v>8.83</v>
      </c>
      <c r="AB193" s="6">
        <v>9.99</v>
      </c>
      <c r="AC193" s="6">
        <v>9.52</v>
      </c>
      <c r="AD193" s="6">
        <v>8.9700000000000006</v>
      </c>
      <c r="AE193" s="6">
        <v>8.6300000000000008</v>
      </c>
      <c r="AF193" s="6">
        <v>9.5500000000000007</v>
      </c>
      <c r="AG193" s="6">
        <v>10.37</v>
      </c>
      <c r="AH193" s="6">
        <v>6.8</v>
      </c>
      <c r="AI193" s="6">
        <v>5.4</v>
      </c>
      <c r="AJ193" s="6">
        <v>8.6999999999999993</v>
      </c>
      <c r="AK193" s="6">
        <v>11.4</v>
      </c>
      <c r="AL193" s="6">
        <v>9.25</v>
      </c>
      <c r="AM193" s="6">
        <v>9.8699999999999992</v>
      </c>
      <c r="AN193" s="6">
        <v>10.72</v>
      </c>
      <c r="AO193" s="6">
        <v>10.210000000000001</v>
      </c>
      <c r="AP193" s="6">
        <v>10.81</v>
      </c>
      <c r="AQ193" s="6">
        <v>10.14</v>
      </c>
      <c r="AR193" s="6">
        <v>9.64</v>
      </c>
      <c r="AS193" s="6">
        <v>8.2799999999999994</v>
      </c>
      <c r="AT193" s="6">
        <v>7.86</v>
      </c>
      <c r="AU193" s="6">
        <v>9</v>
      </c>
      <c r="AV193" s="6">
        <v>8.11</v>
      </c>
      <c r="AW193" s="6">
        <v>7.23</v>
      </c>
      <c r="AX193" s="6">
        <v>8.2100000000000009</v>
      </c>
      <c r="AY193" s="6">
        <v>9.6300000000000008</v>
      </c>
      <c r="AZ193" s="6">
        <v>7.77</v>
      </c>
      <c r="BA193" s="6">
        <v>7.43</v>
      </c>
      <c r="BB193" s="6">
        <v>9.42</v>
      </c>
      <c r="BC193" s="6">
        <f>8.27+0.43</f>
        <v>8.6999999999999993</v>
      </c>
      <c r="BD193" s="6">
        <v>8.3243200000000002</v>
      </c>
      <c r="BE193" s="6">
        <v>9.68</v>
      </c>
      <c r="BF193" s="6">
        <v>8.0500000000000007</v>
      </c>
      <c r="BG193" s="6">
        <v>10.18</v>
      </c>
      <c r="BH193" s="6">
        <v>8.4499999999999993</v>
      </c>
      <c r="BI193" s="6">
        <v>10</v>
      </c>
      <c r="BJ193" s="6">
        <v>6.86</v>
      </c>
      <c r="BK193" s="6">
        <v>9.32</v>
      </c>
      <c r="BL193" s="6">
        <v>8.35</v>
      </c>
      <c r="BM193" s="6">
        <v>9.41</v>
      </c>
      <c r="BN193" s="6">
        <v>8.6300000000000008</v>
      </c>
      <c r="BO193" s="6">
        <v>9.57</v>
      </c>
      <c r="BP193" s="6">
        <v>9.06</v>
      </c>
      <c r="BQ193" s="6">
        <v>8.34</v>
      </c>
      <c r="BR193" s="6">
        <v>7.06</v>
      </c>
      <c r="BS193" s="6">
        <v>9.51</v>
      </c>
      <c r="BT193" s="6">
        <v>10.15</v>
      </c>
      <c r="BU193" s="6">
        <v>9.6129999999999995</v>
      </c>
      <c r="BV193" s="6">
        <v>8.23</v>
      </c>
      <c r="BW193" s="6">
        <v>8.0440000000000005</v>
      </c>
      <c r="BX193" s="6">
        <v>8.09</v>
      </c>
      <c r="BY193" s="6">
        <v>9.17</v>
      </c>
      <c r="BZ193" s="6">
        <v>9.43</v>
      </c>
      <c r="CA193" s="6">
        <v>10.79</v>
      </c>
      <c r="CB193" s="6">
        <v>9.11</v>
      </c>
      <c r="CC193" s="6">
        <v>7.29</v>
      </c>
      <c r="CD193" s="7">
        <v>10.19</v>
      </c>
      <c r="CE193" s="7">
        <v>10.78</v>
      </c>
      <c r="CF193" s="7">
        <v>9.64</v>
      </c>
      <c r="CG193" s="7">
        <v>9.0399999999999991</v>
      </c>
      <c r="CH193" s="7"/>
    </row>
    <row r="194" spans="1:86" ht="15.75" customHeight="1" x14ac:dyDescent="0.25">
      <c r="A194" s="4">
        <v>192</v>
      </c>
      <c r="B194" s="2"/>
      <c r="C194" s="4">
        <v>11</v>
      </c>
      <c r="D194" s="6">
        <v>10.33</v>
      </c>
      <c r="E194" s="6">
        <v>10.43</v>
      </c>
      <c r="F194" s="6">
        <v>10.130000000000001</v>
      </c>
      <c r="G194" s="6">
        <v>9.93</v>
      </c>
      <c r="H194" s="6">
        <v>8.33</v>
      </c>
      <c r="I194" s="6">
        <v>9.7799999999999994</v>
      </c>
      <c r="J194" s="6">
        <v>9.2799999999999994</v>
      </c>
      <c r="K194" s="6">
        <v>9.08</v>
      </c>
      <c r="L194" s="6">
        <v>10.029999999999999</v>
      </c>
      <c r="M194" s="6">
        <v>9.7799999999999994</v>
      </c>
      <c r="N194" s="6">
        <v>10.53</v>
      </c>
      <c r="O194" s="6">
        <v>10.33</v>
      </c>
      <c r="P194" s="6">
        <v>8.23</v>
      </c>
      <c r="Q194" s="6">
        <v>10.23</v>
      </c>
      <c r="R194" s="6">
        <v>8.6300000000000008</v>
      </c>
      <c r="S194" s="6">
        <v>9</v>
      </c>
      <c r="T194" s="6">
        <v>8.8800000000000008</v>
      </c>
      <c r="U194" s="6">
        <v>8.7799999999999994</v>
      </c>
      <c r="V194" s="6">
        <v>8.1300000000000008</v>
      </c>
      <c r="W194" s="6">
        <v>9.9499999999999993</v>
      </c>
      <c r="X194" s="6">
        <v>10.3</v>
      </c>
      <c r="Y194" s="6">
        <v>8.35</v>
      </c>
      <c r="Z194" s="6">
        <v>7.56</v>
      </c>
      <c r="AA194" s="6">
        <v>8.86</v>
      </c>
      <c r="AB194" s="6">
        <v>10.119999999999999</v>
      </c>
      <c r="AC194" s="6">
        <v>9.51</v>
      </c>
      <c r="AD194" s="6">
        <v>9.01</v>
      </c>
      <c r="AE194" s="6">
        <v>9.1300000000000008</v>
      </c>
      <c r="AF194" s="6">
        <v>9.5500000000000007</v>
      </c>
      <c r="AG194" s="6">
        <v>10.48</v>
      </c>
      <c r="AH194" s="6">
        <v>6.7</v>
      </c>
      <c r="AI194" s="6">
        <v>5.54</v>
      </c>
      <c r="AJ194" s="6">
        <v>8.69</v>
      </c>
      <c r="AK194" s="6">
        <v>11.45</v>
      </c>
      <c r="AL194" s="6">
        <v>9.31</v>
      </c>
      <c r="AM194" s="6">
        <v>9.85</v>
      </c>
      <c r="AN194" s="6">
        <v>10.61</v>
      </c>
      <c r="AO194" s="6">
        <v>10.31</v>
      </c>
      <c r="AP194" s="6">
        <v>10.74</v>
      </c>
      <c r="AQ194" s="6">
        <v>10.199999999999999</v>
      </c>
      <c r="AR194" s="6">
        <v>9.6199999999999992</v>
      </c>
      <c r="AS194" s="6">
        <v>8.24</v>
      </c>
      <c r="AT194" s="6">
        <v>7.9</v>
      </c>
      <c r="AU194" s="6">
        <v>9.1</v>
      </c>
      <c r="AV194" s="6">
        <v>8.18</v>
      </c>
      <c r="AW194" s="6">
        <v>7.29</v>
      </c>
      <c r="AX194" s="6">
        <v>8.27</v>
      </c>
      <c r="AY194" s="6">
        <v>9.58</v>
      </c>
      <c r="AZ194" s="6">
        <v>8.17</v>
      </c>
      <c r="BA194" s="6">
        <v>7.47</v>
      </c>
      <c r="BB194" s="6">
        <v>9.4700000000000006</v>
      </c>
      <c r="BC194" s="6">
        <f>8.28+0.43</f>
        <v>8.7099999999999991</v>
      </c>
      <c r="BD194" s="6">
        <v>8.4767200000000003</v>
      </c>
      <c r="BE194" s="6">
        <v>9.93</v>
      </c>
      <c r="BF194" s="6">
        <v>8.11</v>
      </c>
      <c r="BG194" s="6">
        <v>10.15</v>
      </c>
      <c r="BH194" s="6">
        <v>8.58</v>
      </c>
      <c r="BI194" s="6">
        <v>9.9600000000000009</v>
      </c>
      <c r="BJ194" s="6">
        <v>6.87</v>
      </c>
      <c r="BK194" s="6">
        <v>9.42</v>
      </c>
      <c r="BL194" s="6">
        <v>8.39</v>
      </c>
      <c r="BM194" s="6">
        <v>9.5</v>
      </c>
      <c r="BN194" s="6">
        <v>8.65</v>
      </c>
      <c r="BO194" s="6">
        <v>9.69</v>
      </c>
      <c r="BP194" s="6">
        <v>9.14</v>
      </c>
      <c r="BQ194" s="6">
        <v>8.3699999999999992</v>
      </c>
      <c r="BR194" s="6">
        <v>7.14</v>
      </c>
      <c r="BS194" s="6">
        <v>9.58</v>
      </c>
      <c r="BT194" s="6">
        <v>10.050000000000001</v>
      </c>
      <c r="BU194" s="6">
        <v>9.56</v>
      </c>
      <c r="BV194" s="6">
        <v>8.26</v>
      </c>
      <c r="BW194" s="6">
        <v>8.16</v>
      </c>
      <c r="BX194" s="6">
        <v>7.88</v>
      </c>
      <c r="BY194" s="6">
        <v>9.23</v>
      </c>
      <c r="BZ194" s="6">
        <v>9.35</v>
      </c>
      <c r="CA194" s="6">
        <v>10.86</v>
      </c>
      <c r="CB194" s="6">
        <v>9.14</v>
      </c>
      <c r="CC194" s="6">
        <v>7.3</v>
      </c>
      <c r="CD194" s="7">
        <v>10.16</v>
      </c>
      <c r="CE194" s="7">
        <v>10.77</v>
      </c>
      <c r="CF194" s="7">
        <v>9.67</v>
      </c>
      <c r="CG194" s="7">
        <v>9.09</v>
      </c>
      <c r="CH194" s="7"/>
    </row>
    <row r="195" spans="1:86" ht="15.75" customHeight="1" x14ac:dyDescent="0.25">
      <c r="A195" s="4">
        <v>193</v>
      </c>
      <c r="B195" s="2"/>
      <c r="C195" s="4">
        <v>12</v>
      </c>
      <c r="D195" s="6">
        <v>10.33</v>
      </c>
      <c r="E195" s="6">
        <v>10.48</v>
      </c>
      <c r="F195" s="6">
        <v>10.18</v>
      </c>
      <c r="G195" s="6">
        <v>9.93</v>
      </c>
      <c r="H195" s="6">
        <v>8.33</v>
      </c>
      <c r="I195" s="6">
        <v>9.8800000000000008</v>
      </c>
      <c r="J195" s="6">
        <v>9.33</v>
      </c>
      <c r="K195" s="6">
        <v>9.1300000000000008</v>
      </c>
      <c r="L195" s="6">
        <v>10.130000000000001</v>
      </c>
      <c r="M195" s="6">
        <v>9.93</v>
      </c>
      <c r="N195" s="6">
        <v>10.58</v>
      </c>
      <c r="O195" s="6">
        <v>10.46</v>
      </c>
      <c r="P195" s="6">
        <v>8.15</v>
      </c>
      <c r="Q195" s="6">
        <v>10.23</v>
      </c>
      <c r="R195" s="6">
        <v>8.73</v>
      </c>
      <c r="S195" s="6">
        <v>8.93</v>
      </c>
      <c r="T195" s="6">
        <v>8.83</v>
      </c>
      <c r="U195" s="6">
        <v>8.83</v>
      </c>
      <c r="V195" s="6">
        <v>8.26</v>
      </c>
      <c r="W195" s="6">
        <v>9.98</v>
      </c>
      <c r="X195" s="6">
        <v>10.3</v>
      </c>
      <c r="Y195" s="6">
        <v>8.5500000000000007</v>
      </c>
      <c r="Z195" s="6">
        <v>7.58</v>
      </c>
      <c r="AA195" s="6">
        <v>8.89</v>
      </c>
      <c r="AB195" s="6">
        <v>10.19</v>
      </c>
      <c r="AC195" s="6">
        <v>9.51</v>
      </c>
      <c r="AD195" s="6">
        <v>9.0399999999999991</v>
      </c>
      <c r="AE195" s="6">
        <v>9.26</v>
      </c>
      <c r="AF195" s="6">
        <v>9.7100000000000009</v>
      </c>
      <c r="AG195" s="6">
        <v>10.55</v>
      </c>
      <c r="AH195" s="6">
        <v>6.69</v>
      </c>
      <c r="AI195" s="6">
        <v>5.69</v>
      </c>
      <c r="AJ195" s="6">
        <v>8.57</v>
      </c>
      <c r="AK195" s="6">
        <v>11.42</v>
      </c>
      <c r="AL195" s="6">
        <v>9.33</v>
      </c>
      <c r="AM195" s="6">
        <v>9.85</v>
      </c>
      <c r="AN195" s="6">
        <v>10.83</v>
      </c>
      <c r="AO195" s="6">
        <v>10.08</v>
      </c>
      <c r="AP195" s="6">
        <v>10.86</v>
      </c>
      <c r="AQ195" s="6">
        <v>10.27</v>
      </c>
      <c r="AR195" s="6">
        <v>9.6199999999999992</v>
      </c>
      <c r="AS195" s="6">
        <v>7.96</v>
      </c>
      <c r="AT195" s="6">
        <v>7.93</v>
      </c>
      <c r="AU195" s="6">
        <v>9.19</v>
      </c>
      <c r="AV195" s="6">
        <v>8.2200000000000006</v>
      </c>
      <c r="AW195" s="6">
        <v>7.62</v>
      </c>
      <c r="AX195" s="6">
        <v>8.33</v>
      </c>
      <c r="AY195" s="6">
        <v>9.5500000000000007</v>
      </c>
      <c r="AZ195" s="6">
        <v>8.3000000000000007</v>
      </c>
      <c r="BA195" s="6">
        <v>7.5</v>
      </c>
      <c r="BB195" s="6">
        <v>9.49</v>
      </c>
      <c r="BC195" s="6">
        <f>8.45+0.43</f>
        <v>8.879999999999999</v>
      </c>
      <c r="BD195" s="6">
        <v>8.5681600000000007</v>
      </c>
      <c r="BE195" s="6">
        <v>10.029999999999999</v>
      </c>
      <c r="BF195" s="6">
        <v>8.41</v>
      </c>
      <c r="BG195" s="6">
        <v>10.31</v>
      </c>
      <c r="BH195" s="6">
        <v>8.58</v>
      </c>
      <c r="BI195" s="6">
        <v>9.9600000000000009</v>
      </c>
      <c r="BJ195" s="6">
        <v>6.9</v>
      </c>
      <c r="BK195" s="6">
        <v>9.52</v>
      </c>
      <c r="BL195" s="6">
        <v>8.4499999999999993</v>
      </c>
      <c r="BM195" s="6">
        <v>9.5</v>
      </c>
      <c r="BN195" s="6">
        <v>8.73</v>
      </c>
      <c r="BO195" s="6">
        <v>9.81</v>
      </c>
      <c r="BP195" s="6">
        <v>9.2100000000000009</v>
      </c>
      <c r="BQ195" s="6">
        <v>8.41</v>
      </c>
      <c r="BR195" s="6">
        <v>7.23</v>
      </c>
      <c r="BS195" s="6">
        <v>9.66</v>
      </c>
      <c r="BT195" s="6">
        <v>10.01</v>
      </c>
      <c r="BU195" s="6">
        <v>9.59</v>
      </c>
      <c r="BV195" s="6">
        <v>8.2900000000000009</v>
      </c>
      <c r="BW195" s="6">
        <v>8.19</v>
      </c>
      <c r="BX195" s="6">
        <v>7.88</v>
      </c>
      <c r="BY195" s="6">
        <v>9.23</v>
      </c>
      <c r="BZ195" s="6">
        <v>9.42</v>
      </c>
      <c r="CA195" s="6">
        <v>10.959999999999999</v>
      </c>
      <c r="CB195" s="6">
        <v>9.23</v>
      </c>
      <c r="CC195" s="6">
        <v>7.34</v>
      </c>
      <c r="CD195" s="7">
        <v>10.129999999999999</v>
      </c>
      <c r="CE195" s="7">
        <v>10.69</v>
      </c>
      <c r="CF195" s="7">
        <v>9.75</v>
      </c>
      <c r="CG195" s="7">
        <v>9.17</v>
      </c>
      <c r="CH195" s="7"/>
    </row>
    <row r="196" spans="1:86" ht="15.75" customHeight="1" x14ac:dyDescent="0.25">
      <c r="A196" s="4">
        <v>194</v>
      </c>
      <c r="B196" s="2"/>
      <c r="C196" s="4">
        <v>13</v>
      </c>
      <c r="D196" s="6">
        <v>10.38</v>
      </c>
      <c r="E196" s="6">
        <v>10.58</v>
      </c>
      <c r="F196" s="6">
        <v>10.28</v>
      </c>
      <c r="G196" s="6">
        <v>9.93</v>
      </c>
      <c r="H196" s="6">
        <v>8.33</v>
      </c>
      <c r="I196" s="6">
        <v>10.029999999999999</v>
      </c>
      <c r="J196" s="6">
        <v>9.43</v>
      </c>
      <c r="K196" s="6">
        <v>9.23</v>
      </c>
      <c r="L196" s="6">
        <v>10.23</v>
      </c>
      <c r="M196" s="6">
        <v>10.029999999999999</v>
      </c>
      <c r="N196" s="6">
        <v>10.63</v>
      </c>
      <c r="O196" s="6">
        <v>10.58</v>
      </c>
      <c r="P196" s="6">
        <v>8.09</v>
      </c>
      <c r="Q196" s="6">
        <v>10.33</v>
      </c>
      <c r="R196" s="6">
        <v>8.83</v>
      </c>
      <c r="S196" s="6">
        <v>8.93</v>
      </c>
      <c r="T196" s="6">
        <v>8.83</v>
      </c>
      <c r="U196" s="6">
        <v>8.98</v>
      </c>
      <c r="V196" s="6">
        <v>8.33</v>
      </c>
      <c r="W196" s="6">
        <v>9.98</v>
      </c>
      <c r="X196" s="6">
        <v>10.3</v>
      </c>
      <c r="Y196" s="6">
        <v>8.69</v>
      </c>
      <c r="Z196" s="6">
        <v>7.58</v>
      </c>
      <c r="AA196" s="6">
        <v>9.02</v>
      </c>
      <c r="AB196" s="6">
        <v>10.26</v>
      </c>
      <c r="AC196" s="6">
        <v>9.5</v>
      </c>
      <c r="AD196" s="6">
        <v>9.11</v>
      </c>
      <c r="AE196" s="6">
        <v>9.43</v>
      </c>
      <c r="AF196" s="6">
        <v>9.69</v>
      </c>
      <c r="AG196" s="6">
        <v>10.44</v>
      </c>
      <c r="AH196" s="6">
        <v>6.75</v>
      </c>
      <c r="AI196" s="6">
        <v>5.79</v>
      </c>
      <c r="AJ196" s="6">
        <v>8.7100000000000009</v>
      </c>
      <c r="AK196" s="6">
        <v>11.39</v>
      </c>
      <c r="AL196" s="6">
        <v>9.41</v>
      </c>
      <c r="AM196" s="6">
        <v>9.82</v>
      </c>
      <c r="AN196" s="6">
        <v>10.69</v>
      </c>
      <c r="AO196" s="6">
        <v>10.41</v>
      </c>
      <c r="AP196" s="6">
        <v>10.89</v>
      </c>
      <c r="AQ196" s="6">
        <v>10.32</v>
      </c>
      <c r="AR196" s="6">
        <v>9.5</v>
      </c>
      <c r="AS196" s="6">
        <v>7.72</v>
      </c>
      <c r="AT196" s="6">
        <v>7.97</v>
      </c>
      <c r="AU196" s="6">
        <v>9.17</v>
      </c>
      <c r="AV196" s="6">
        <v>8.42</v>
      </c>
      <c r="AW196" s="6">
        <v>7.93</v>
      </c>
      <c r="AX196" s="6">
        <v>8.33</v>
      </c>
      <c r="AY196" s="6">
        <v>9.68</v>
      </c>
      <c r="AZ196" s="6">
        <v>8.42</v>
      </c>
      <c r="BA196" s="6">
        <v>7.54</v>
      </c>
      <c r="BB196" s="6">
        <v>9.6</v>
      </c>
      <c r="BC196" s="6">
        <f>8.57+0.43</f>
        <v>9</v>
      </c>
      <c r="BD196" s="6">
        <v>8.7205600000000008</v>
      </c>
      <c r="BE196" s="6">
        <v>10.15</v>
      </c>
      <c r="BF196" s="6">
        <v>8.7200000000000006</v>
      </c>
      <c r="BG196" s="6">
        <v>10.38</v>
      </c>
      <c r="BH196" s="6">
        <v>8.66</v>
      </c>
      <c r="BI196" s="6">
        <v>9.9600000000000009</v>
      </c>
      <c r="BJ196" s="6">
        <v>6.92</v>
      </c>
      <c r="BK196" s="6">
        <v>9.58</v>
      </c>
      <c r="BL196" s="6">
        <v>8.49</v>
      </c>
      <c r="BM196" s="6">
        <v>9.6</v>
      </c>
      <c r="BN196" s="6">
        <v>8.82</v>
      </c>
      <c r="BO196" s="6">
        <v>9.9499999999999993</v>
      </c>
      <c r="BP196" s="6">
        <v>9.31</v>
      </c>
      <c r="BQ196" s="6">
        <v>8.49</v>
      </c>
      <c r="BR196" s="6">
        <v>7.31</v>
      </c>
      <c r="BS196" s="6">
        <v>9.73</v>
      </c>
      <c r="BT196" s="6">
        <v>10.07</v>
      </c>
      <c r="BU196" s="6">
        <v>9.6</v>
      </c>
      <c r="BV196" s="6">
        <v>8.3000000000000007</v>
      </c>
      <c r="BW196" s="6">
        <v>8.24</v>
      </c>
      <c r="BX196" s="6">
        <v>7.92</v>
      </c>
      <c r="BY196" s="6">
        <v>9.48</v>
      </c>
      <c r="BZ196" s="6">
        <v>9.5499999999999989</v>
      </c>
      <c r="CA196" s="6">
        <v>11.04</v>
      </c>
      <c r="CB196" s="6">
        <v>9.34</v>
      </c>
      <c r="CC196" s="6">
        <v>7.52</v>
      </c>
      <c r="CD196" s="7">
        <v>10.199999999999999</v>
      </c>
      <c r="CE196" s="7">
        <v>10.469999999999999</v>
      </c>
      <c r="CF196" s="7">
        <v>9.73</v>
      </c>
      <c r="CG196" s="7">
        <v>9.27</v>
      </c>
      <c r="CH196" s="7"/>
    </row>
    <row r="197" spans="1:86" ht="15.75" customHeight="1" x14ac:dyDescent="0.25">
      <c r="A197" s="4">
        <v>195</v>
      </c>
      <c r="B197" s="2"/>
      <c r="C197" s="4">
        <v>14</v>
      </c>
      <c r="D197" s="6">
        <v>10.48</v>
      </c>
      <c r="E197" s="6">
        <v>10.68</v>
      </c>
      <c r="F197" s="6">
        <v>10.33</v>
      </c>
      <c r="G197" s="6">
        <v>9.93</v>
      </c>
      <c r="H197" s="6">
        <v>8.3800000000000008</v>
      </c>
      <c r="I197" s="6">
        <v>10.130000000000001</v>
      </c>
      <c r="J197" s="6">
        <v>9.43</v>
      </c>
      <c r="K197" s="6">
        <v>9.33</v>
      </c>
      <c r="L197" s="6">
        <v>10.38</v>
      </c>
      <c r="M197" s="6">
        <v>10.08</v>
      </c>
      <c r="N197" s="6">
        <v>10.63</v>
      </c>
      <c r="O197" s="6">
        <v>10.71</v>
      </c>
      <c r="P197" s="6">
        <v>8.11</v>
      </c>
      <c r="Q197" s="6">
        <v>10.33</v>
      </c>
      <c r="R197" s="6">
        <v>8.93</v>
      </c>
      <c r="S197" s="6">
        <v>8.83</v>
      </c>
      <c r="T197" s="6">
        <v>8.93</v>
      </c>
      <c r="U197" s="6">
        <v>9.1300000000000008</v>
      </c>
      <c r="V197" s="6">
        <v>8.33</v>
      </c>
      <c r="W197" s="6">
        <v>10.01</v>
      </c>
      <c r="X197" s="6">
        <v>10.28</v>
      </c>
      <c r="Y197" s="6">
        <v>8.75</v>
      </c>
      <c r="Z197" s="6">
        <v>7.63</v>
      </c>
      <c r="AA197" s="6">
        <v>9.08</v>
      </c>
      <c r="AB197" s="6">
        <v>10.31</v>
      </c>
      <c r="AC197" s="6">
        <v>9.49</v>
      </c>
      <c r="AD197" s="6">
        <v>9.2100000000000009</v>
      </c>
      <c r="AE197" s="6">
        <v>9.58</v>
      </c>
      <c r="AF197" s="6">
        <v>9.82</v>
      </c>
      <c r="AG197" s="6">
        <v>10.199999999999999</v>
      </c>
      <c r="AH197" s="6">
        <v>6.83</v>
      </c>
      <c r="AI197" s="6">
        <v>5.92</v>
      </c>
      <c r="AJ197" s="6">
        <v>8.7899999999999991</v>
      </c>
      <c r="AK197" s="6">
        <v>11.39</v>
      </c>
      <c r="AL197" s="6">
        <v>9.5500000000000007</v>
      </c>
      <c r="AM197" s="6">
        <v>9.82</v>
      </c>
      <c r="AN197" s="6">
        <v>10.89</v>
      </c>
      <c r="AO197" s="6">
        <v>10.55</v>
      </c>
      <c r="AP197" s="6">
        <v>10.95</v>
      </c>
      <c r="AQ197" s="6">
        <v>10.37</v>
      </c>
      <c r="AR197" s="6">
        <v>9.4</v>
      </c>
      <c r="AS197" s="6">
        <v>7.62</v>
      </c>
      <c r="AT197" s="6">
        <v>7.99</v>
      </c>
      <c r="AU197" s="6">
        <v>9.08</v>
      </c>
      <c r="AV197" s="6">
        <v>8.34</v>
      </c>
      <c r="AW197" s="6">
        <v>8.11</v>
      </c>
      <c r="AX197" s="6">
        <v>8.4</v>
      </c>
      <c r="AY197" s="6">
        <v>9.85</v>
      </c>
      <c r="AZ197" s="6">
        <v>8.5399999999999991</v>
      </c>
      <c r="BA197" s="6">
        <v>7.69</v>
      </c>
      <c r="BB197" s="6">
        <v>9.67</v>
      </c>
      <c r="BC197" s="6">
        <f>8.66+0.43</f>
        <v>9.09</v>
      </c>
      <c r="BD197" s="6">
        <v>8.8119999999999994</v>
      </c>
      <c r="BE197" s="6">
        <v>10.24</v>
      </c>
      <c r="BF197" s="6">
        <v>8.84</v>
      </c>
      <c r="BG197" s="6">
        <v>10.53</v>
      </c>
      <c r="BH197" s="6">
        <v>8.73</v>
      </c>
      <c r="BI197" s="6">
        <v>9.9600000000000009</v>
      </c>
      <c r="BJ197" s="6">
        <v>7.02</v>
      </c>
      <c r="BK197" s="6">
        <v>9.64</v>
      </c>
      <c r="BL197" s="6">
        <v>8.58</v>
      </c>
      <c r="BM197" s="6">
        <v>9.7100000000000009</v>
      </c>
      <c r="BN197" s="6">
        <v>8.84</v>
      </c>
      <c r="BO197" s="6">
        <v>10.09</v>
      </c>
      <c r="BP197" s="6">
        <v>9.33</v>
      </c>
      <c r="BQ197" s="6">
        <v>8.51</v>
      </c>
      <c r="BR197" s="6">
        <v>7.4</v>
      </c>
      <c r="BS197" s="6">
        <v>9.81</v>
      </c>
      <c r="BT197" s="6">
        <v>10.11</v>
      </c>
      <c r="BU197" s="6">
        <v>9.677999999999999</v>
      </c>
      <c r="BV197" s="6">
        <v>8.34</v>
      </c>
      <c r="BW197" s="6">
        <v>8.34</v>
      </c>
      <c r="BX197" s="6">
        <v>8.1300000000000008</v>
      </c>
      <c r="BY197" s="6">
        <v>9.58</v>
      </c>
      <c r="BZ197" s="6">
        <v>9.629999999999999</v>
      </c>
      <c r="CA197" s="6">
        <v>11.1</v>
      </c>
      <c r="CB197" s="6">
        <v>9.32</v>
      </c>
      <c r="CC197" s="6">
        <v>7.52</v>
      </c>
      <c r="CD197" s="6">
        <v>10.27</v>
      </c>
      <c r="CE197" s="6">
        <v>10.57</v>
      </c>
      <c r="CF197" s="6">
        <v>9.5500000000000007</v>
      </c>
      <c r="CG197" s="6">
        <v>9.25</v>
      </c>
      <c r="CH197" s="6"/>
    </row>
    <row r="198" spans="1:86" ht="15.75" customHeight="1" x14ac:dyDescent="0.25">
      <c r="A198" s="4">
        <v>196</v>
      </c>
      <c r="B198" s="2"/>
      <c r="C198" s="4">
        <v>15</v>
      </c>
      <c r="D198" s="6">
        <v>10.53</v>
      </c>
      <c r="E198" s="6">
        <v>10.68</v>
      </c>
      <c r="F198" s="6">
        <v>10.38</v>
      </c>
      <c r="G198" s="6">
        <v>9.93</v>
      </c>
      <c r="H198" s="6">
        <v>8.73</v>
      </c>
      <c r="I198" s="6">
        <v>10.23</v>
      </c>
      <c r="J198" s="6">
        <v>9.43</v>
      </c>
      <c r="K198" s="6">
        <v>9.33</v>
      </c>
      <c r="L198" s="6">
        <v>10.43</v>
      </c>
      <c r="M198" s="6">
        <v>10.08</v>
      </c>
      <c r="N198" s="6">
        <v>10.48</v>
      </c>
      <c r="O198" s="6">
        <v>10.83</v>
      </c>
      <c r="P198" s="6">
        <v>8.17</v>
      </c>
      <c r="Q198" s="6">
        <v>10.43</v>
      </c>
      <c r="R198" s="6">
        <v>9.0299999999999994</v>
      </c>
      <c r="S198" s="6">
        <v>8.83</v>
      </c>
      <c r="T198" s="6">
        <v>9.08</v>
      </c>
      <c r="U198" s="6">
        <v>9.2799999999999994</v>
      </c>
      <c r="V198" s="6">
        <v>8.43</v>
      </c>
      <c r="W198" s="6">
        <v>9.98</v>
      </c>
      <c r="X198" s="6">
        <v>10.27</v>
      </c>
      <c r="Y198" s="6">
        <v>8.75</v>
      </c>
      <c r="Z198" s="6">
        <v>7.68</v>
      </c>
      <c r="AA198" s="6">
        <v>9.07</v>
      </c>
      <c r="AB198" s="6">
        <v>10.36</v>
      </c>
      <c r="AC198" s="6">
        <v>9.4499999999999993</v>
      </c>
      <c r="AD198" s="6">
        <v>9.41</v>
      </c>
      <c r="AE198" s="6">
        <v>9.69</v>
      </c>
      <c r="AF198" s="6">
        <v>9.83</v>
      </c>
      <c r="AG198" s="6">
        <v>10.199999999999999</v>
      </c>
      <c r="AH198" s="6">
        <v>6.91</v>
      </c>
      <c r="AI198" s="6">
        <v>5.97</v>
      </c>
      <c r="AJ198" s="6">
        <v>8.7899999999999991</v>
      </c>
      <c r="AK198" s="6">
        <v>11.36</v>
      </c>
      <c r="AL198" s="6">
        <v>9.65</v>
      </c>
      <c r="AM198" s="6">
        <v>9.59</v>
      </c>
      <c r="AN198" s="6">
        <v>10.88</v>
      </c>
      <c r="AO198" s="6">
        <v>10.69</v>
      </c>
      <c r="AP198" s="6">
        <v>10.94</v>
      </c>
      <c r="AQ198" s="6">
        <v>10.45</v>
      </c>
      <c r="AR198" s="6">
        <v>9.36</v>
      </c>
      <c r="AS198" s="6">
        <v>7.57</v>
      </c>
      <c r="AT198" s="6">
        <v>8.0299999999999994</v>
      </c>
      <c r="AU198" s="6">
        <v>9.09</v>
      </c>
      <c r="AV198" s="6">
        <v>8.51</v>
      </c>
      <c r="AW198" s="6">
        <v>8.2799999999999994</v>
      </c>
      <c r="AX198" s="6">
        <v>8.44</v>
      </c>
      <c r="AY198" s="6">
        <v>9.9700000000000006</v>
      </c>
      <c r="AZ198" s="6">
        <v>8.52</v>
      </c>
      <c r="BA198" s="6">
        <v>7.79</v>
      </c>
      <c r="BB198" s="6">
        <v>9.74</v>
      </c>
      <c r="BC198" s="6">
        <f>8.75+0.43</f>
        <v>9.18</v>
      </c>
      <c r="BD198" s="6">
        <v>8.8119999999999994</v>
      </c>
      <c r="BE198" s="6">
        <v>10.34</v>
      </c>
      <c r="BF198" s="6">
        <v>9.02</v>
      </c>
      <c r="BG198" s="6">
        <v>10.63</v>
      </c>
      <c r="BH198" s="6">
        <v>8.83</v>
      </c>
      <c r="BI198" s="6">
        <v>9.9600000000000009</v>
      </c>
      <c r="BJ198" s="6">
        <v>6.99</v>
      </c>
      <c r="BK198" s="6">
        <v>9.7100000000000009</v>
      </c>
      <c r="BL198" s="6">
        <v>8.6300000000000008</v>
      </c>
      <c r="BM198" s="6">
        <v>9.7799999999999994</v>
      </c>
      <c r="BN198" s="6">
        <v>8.84</v>
      </c>
      <c r="BO198" s="6">
        <v>10.14</v>
      </c>
      <c r="BP198" s="6">
        <v>9.3800000000000008</v>
      </c>
      <c r="BQ198" s="6">
        <v>8.5500000000000007</v>
      </c>
      <c r="BR198" s="6">
        <v>7.54</v>
      </c>
      <c r="BS198" s="6">
        <v>9.8800000000000008</v>
      </c>
      <c r="BT198" s="6">
        <v>10.11</v>
      </c>
      <c r="BU198" s="6">
        <v>9.7609999999999992</v>
      </c>
      <c r="BV198" s="6">
        <v>8.35</v>
      </c>
      <c r="BW198" s="6">
        <v>8.43</v>
      </c>
      <c r="BX198" s="6">
        <v>8.17</v>
      </c>
      <c r="BY198" s="6">
        <v>9.629999999999999</v>
      </c>
      <c r="BZ198" s="6">
        <v>9.68</v>
      </c>
      <c r="CA198" s="6">
        <v>11.2</v>
      </c>
      <c r="CB198" s="6">
        <v>9.33</v>
      </c>
      <c r="CC198" s="6">
        <v>7.5699999999999994</v>
      </c>
      <c r="CD198" s="6">
        <v>10.27</v>
      </c>
      <c r="CE198" s="6">
        <v>10.68</v>
      </c>
      <c r="CF198" s="6">
        <v>9.1999999999999993</v>
      </c>
      <c r="CG198" s="6">
        <v>9.33</v>
      </c>
      <c r="CH198" s="6"/>
    </row>
    <row r="199" spans="1:86" ht="15.75" customHeight="1" x14ac:dyDescent="0.25">
      <c r="A199" s="4">
        <v>197</v>
      </c>
      <c r="B199" s="2"/>
      <c r="C199" s="4">
        <v>16</v>
      </c>
      <c r="D199" s="6">
        <v>10.58</v>
      </c>
      <c r="E199" s="6">
        <v>10.68</v>
      </c>
      <c r="F199" s="6">
        <v>10.43</v>
      </c>
      <c r="G199" s="6">
        <v>9.98</v>
      </c>
      <c r="H199" s="6">
        <v>8.8800000000000008</v>
      </c>
      <c r="I199" s="6">
        <v>10.33</v>
      </c>
      <c r="J199" s="6">
        <v>9.43</v>
      </c>
      <c r="K199" s="6">
        <v>9.43</v>
      </c>
      <c r="L199" s="6">
        <v>10.63</v>
      </c>
      <c r="M199" s="6">
        <v>10.029999999999999</v>
      </c>
      <c r="N199" s="6">
        <v>10.43</v>
      </c>
      <c r="O199" s="6">
        <v>10.88</v>
      </c>
      <c r="P199" s="6">
        <v>8.31</v>
      </c>
      <c r="Q199" s="6">
        <v>10.48</v>
      </c>
      <c r="R199" s="6">
        <v>9.1300000000000008</v>
      </c>
      <c r="S199" s="6">
        <v>8.93</v>
      </c>
      <c r="T199" s="6">
        <v>9.23</v>
      </c>
      <c r="U199" s="6">
        <v>9.3800000000000008</v>
      </c>
      <c r="V199" s="6">
        <v>8.43</v>
      </c>
      <c r="W199" s="6">
        <v>10.029999999999999</v>
      </c>
      <c r="X199" s="6">
        <v>10.27</v>
      </c>
      <c r="Y199" s="6">
        <v>8.73</v>
      </c>
      <c r="Z199" s="6">
        <v>7.63</v>
      </c>
      <c r="AA199" s="6">
        <v>9.02</v>
      </c>
      <c r="AB199" s="6">
        <v>10.4</v>
      </c>
      <c r="AC199" s="6">
        <v>9.4</v>
      </c>
      <c r="AD199" s="6">
        <v>9.64</v>
      </c>
      <c r="AE199" s="6">
        <v>9.7200000000000006</v>
      </c>
      <c r="AF199" s="6">
        <v>9.8800000000000008</v>
      </c>
      <c r="AG199" s="6">
        <v>10.58</v>
      </c>
      <c r="AH199" s="6">
        <v>7.2</v>
      </c>
      <c r="AI199" s="6">
        <v>6.1</v>
      </c>
      <c r="AJ199" s="6">
        <v>8.92</v>
      </c>
      <c r="AK199" s="6">
        <v>11.23</v>
      </c>
      <c r="AL199" s="6">
        <v>9.69</v>
      </c>
      <c r="AM199" s="6">
        <v>9.75</v>
      </c>
      <c r="AN199" s="6">
        <v>10.9</v>
      </c>
      <c r="AO199" s="6">
        <v>10.81</v>
      </c>
      <c r="AP199" s="6">
        <v>10.92</v>
      </c>
      <c r="AQ199" s="6">
        <v>10.5</v>
      </c>
      <c r="AR199" s="6">
        <v>9.48</v>
      </c>
      <c r="AS199" s="6">
        <v>7.78</v>
      </c>
      <c r="AT199" s="6">
        <v>8.1199999999999992</v>
      </c>
      <c r="AU199" s="6">
        <v>9.17</v>
      </c>
      <c r="AV199" s="6">
        <v>8.6300000000000008</v>
      </c>
      <c r="AW199" s="6">
        <v>8.31</v>
      </c>
      <c r="AX199" s="6">
        <v>8.56</v>
      </c>
      <c r="AY199" s="6">
        <v>10.23</v>
      </c>
      <c r="AZ199" s="6">
        <v>8.52</v>
      </c>
      <c r="BA199" s="6">
        <v>7.89</v>
      </c>
      <c r="BB199" s="6">
        <v>9.85</v>
      </c>
      <c r="BC199" s="6">
        <f>8.84+0.43</f>
        <v>9.27</v>
      </c>
      <c r="BD199" s="6">
        <v>8.8424800000000001</v>
      </c>
      <c r="BE199" s="6">
        <v>10.34</v>
      </c>
      <c r="BF199" s="6">
        <v>9.08</v>
      </c>
      <c r="BG199" s="6">
        <v>10.67</v>
      </c>
      <c r="BH199" s="6">
        <v>8.93</v>
      </c>
      <c r="BI199" s="6">
        <v>9.92</v>
      </c>
      <c r="BJ199" s="6">
        <v>7.09</v>
      </c>
      <c r="BK199" s="6">
        <v>9.82</v>
      </c>
      <c r="BL199" s="6">
        <v>8.81</v>
      </c>
      <c r="BM199" s="6">
        <v>9.85</v>
      </c>
      <c r="BN199" s="6">
        <v>8.89</v>
      </c>
      <c r="BO199" s="6">
        <v>10.23</v>
      </c>
      <c r="BP199" s="6">
        <v>9.3800000000000008</v>
      </c>
      <c r="BQ199" s="6">
        <v>8.6300000000000008</v>
      </c>
      <c r="BR199" s="6">
        <v>7.6</v>
      </c>
      <c r="BS199" s="6">
        <v>9.93</v>
      </c>
      <c r="BT199" s="6">
        <v>10.1</v>
      </c>
      <c r="BU199" s="6">
        <v>9.8699999999999992</v>
      </c>
      <c r="BV199" s="6">
        <v>8.3569999999999993</v>
      </c>
      <c r="BW199" s="6">
        <v>8.5</v>
      </c>
      <c r="BX199" s="6">
        <v>8.2100000000000009</v>
      </c>
      <c r="BY199" s="6">
        <v>9.73</v>
      </c>
      <c r="BZ199" s="6">
        <v>9.7099999999999991</v>
      </c>
      <c r="CA199" s="6">
        <v>11.32</v>
      </c>
      <c r="CB199" s="6">
        <v>9.42</v>
      </c>
      <c r="CC199" s="6">
        <v>7.58</v>
      </c>
      <c r="CD199" s="6">
        <v>10.29</v>
      </c>
      <c r="CE199" s="6">
        <v>10.73</v>
      </c>
      <c r="CF199" s="6">
        <v>9.2100000000000009</v>
      </c>
      <c r="CG199" s="6">
        <v>9.41</v>
      </c>
      <c r="CH199" s="6"/>
    </row>
    <row r="200" spans="1:86" ht="15.75" customHeight="1" x14ac:dyDescent="0.25">
      <c r="A200" s="4">
        <v>198</v>
      </c>
      <c r="B200" s="2"/>
      <c r="C200" s="4">
        <v>17</v>
      </c>
      <c r="D200" s="6">
        <v>10.58</v>
      </c>
      <c r="E200" s="6">
        <v>10.63</v>
      </c>
      <c r="F200" s="6">
        <v>10.48</v>
      </c>
      <c r="G200" s="6">
        <v>10.08</v>
      </c>
      <c r="H200" s="6">
        <v>9.0299999999999994</v>
      </c>
      <c r="I200" s="6">
        <v>10.43</v>
      </c>
      <c r="J200" s="6">
        <v>9.43</v>
      </c>
      <c r="K200" s="6">
        <v>9.6300000000000008</v>
      </c>
      <c r="L200" s="6">
        <v>10.73</v>
      </c>
      <c r="M200" s="6">
        <v>10.01</v>
      </c>
      <c r="N200" s="6">
        <v>10.43</v>
      </c>
      <c r="O200" s="6">
        <v>10.9</v>
      </c>
      <c r="P200" s="6">
        <v>8.3800000000000008</v>
      </c>
      <c r="Q200" s="6">
        <v>10.55</v>
      </c>
      <c r="R200" s="6">
        <v>9.15</v>
      </c>
      <c r="S200" s="6">
        <v>8.98</v>
      </c>
      <c r="T200" s="6">
        <v>9.33</v>
      </c>
      <c r="U200" s="6">
        <v>9.3800000000000008</v>
      </c>
      <c r="V200" s="6">
        <v>8.48</v>
      </c>
      <c r="W200" s="6">
        <v>9.98</v>
      </c>
      <c r="X200" s="6">
        <v>10.33</v>
      </c>
      <c r="Y200" s="6">
        <v>8.73</v>
      </c>
      <c r="Z200" s="6">
        <v>7.68</v>
      </c>
      <c r="AA200" s="6">
        <v>8.9499999999999993</v>
      </c>
      <c r="AB200" s="6">
        <v>10.45</v>
      </c>
      <c r="AC200" s="6">
        <v>9.4600000000000009</v>
      </c>
      <c r="AD200" s="6">
        <v>9.81</v>
      </c>
      <c r="AE200" s="6">
        <v>9.76</v>
      </c>
      <c r="AF200" s="6">
        <v>9.93</v>
      </c>
      <c r="AG200" s="6">
        <v>10.5</v>
      </c>
      <c r="AH200" s="6">
        <v>7.41</v>
      </c>
      <c r="AI200" s="6">
        <v>6.28</v>
      </c>
      <c r="AJ200" s="6">
        <v>9.01</v>
      </c>
      <c r="AK200" s="6">
        <v>11.4</v>
      </c>
      <c r="AL200" s="6">
        <v>9.75</v>
      </c>
      <c r="AM200" s="6">
        <v>9.83</v>
      </c>
      <c r="AN200" s="6">
        <v>10.93</v>
      </c>
      <c r="AO200" s="6">
        <v>10.91</v>
      </c>
      <c r="AP200" s="6">
        <v>10.96</v>
      </c>
      <c r="AQ200" s="6">
        <v>10.53</v>
      </c>
      <c r="AR200" s="6">
        <v>9.52</v>
      </c>
      <c r="AS200" s="6">
        <v>8.2799999999999994</v>
      </c>
      <c r="AT200" s="6">
        <v>8.1999999999999993</v>
      </c>
      <c r="AU200" s="6">
        <v>9.32</v>
      </c>
      <c r="AV200" s="6">
        <v>9</v>
      </c>
      <c r="AW200" s="6">
        <v>8.1199999999999992</v>
      </c>
      <c r="AX200" s="6">
        <v>8.61</v>
      </c>
      <c r="AY200" s="6">
        <v>10.38</v>
      </c>
      <c r="AZ200" s="6">
        <v>8.4</v>
      </c>
      <c r="BA200" s="6">
        <v>7.98</v>
      </c>
      <c r="BB200" s="6">
        <v>10.02</v>
      </c>
      <c r="BC200" s="6">
        <f>9.42+0.43</f>
        <v>9.85</v>
      </c>
      <c r="BD200" s="6">
        <v>8.9643999999999995</v>
      </c>
      <c r="BE200" s="6">
        <v>10.49</v>
      </c>
      <c r="BF200" s="6">
        <v>9.02</v>
      </c>
      <c r="BG200" s="6">
        <v>10.76</v>
      </c>
      <c r="BH200" s="6">
        <v>8.9600000000000009</v>
      </c>
      <c r="BI200" s="6">
        <v>9.74</v>
      </c>
      <c r="BJ200" s="6">
        <v>7.19</v>
      </c>
      <c r="BK200" s="6">
        <v>9.9600000000000009</v>
      </c>
      <c r="BL200" s="6">
        <v>8.8800000000000008</v>
      </c>
      <c r="BM200" s="6">
        <v>9.8800000000000008</v>
      </c>
      <c r="BN200" s="6">
        <v>8.8699999999999992</v>
      </c>
      <c r="BO200" s="6">
        <v>10.33</v>
      </c>
      <c r="BP200" s="6">
        <v>9.51</v>
      </c>
      <c r="BQ200" s="6">
        <v>8.7799999999999994</v>
      </c>
      <c r="BR200" s="6">
        <v>7.66</v>
      </c>
      <c r="BS200" s="6">
        <v>9.99</v>
      </c>
      <c r="BT200" s="6">
        <v>10.08</v>
      </c>
      <c r="BU200" s="6">
        <v>9.9499999999999993</v>
      </c>
      <c r="BV200" s="6">
        <v>8.35</v>
      </c>
      <c r="BW200" s="6">
        <v>8.56</v>
      </c>
      <c r="BX200" s="6">
        <v>8.27</v>
      </c>
      <c r="BY200" s="6">
        <v>9.83</v>
      </c>
      <c r="BZ200" s="6">
        <v>9.82</v>
      </c>
      <c r="CA200" s="6">
        <v>11.299999999999999</v>
      </c>
      <c r="CB200" s="6">
        <v>9.5399999999999991</v>
      </c>
      <c r="CC200" s="6">
        <v>7.6899999999999995</v>
      </c>
      <c r="CD200" s="6">
        <v>10.34</v>
      </c>
      <c r="CE200" s="6">
        <v>10.799999999999999</v>
      </c>
      <c r="CF200" s="6">
        <v>9.42</v>
      </c>
      <c r="CG200" s="6">
        <v>9.5299999999999994</v>
      </c>
      <c r="CH200" s="6"/>
    </row>
    <row r="201" spans="1:86" ht="15.75" customHeight="1" x14ac:dyDescent="0.25">
      <c r="A201" s="4">
        <v>199</v>
      </c>
      <c r="B201" s="2"/>
      <c r="C201" s="4">
        <v>18</v>
      </c>
      <c r="D201" s="6">
        <v>10.63</v>
      </c>
      <c r="E201" s="6">
        <v>10.58</v>
      </c>
      <c r="F201" s="6">
        <v>10.48</v>
      </c>
      <c r="G201" s="6">
        <v>10.08</v>
      </c>
      <c r="H201" s="6">
        <v>9.23</v>
      </c>
      <c r="I201" s="6">
        <v>10.48</v>
      </c>
      <c r="J201" s="6">
        <v>9.43</v>
      </c>
      <c r="K201" s="6">
        <v>9.6300000000000008</v>
      </c>
      <c r="L201" s="6">
        <v>10.88</v>
      </c>
      <c r="M201" s="6">
        <v>9.93</v>
      </c>
      <c r="N201" s="6">
        <v>10.43</v>
      </c>
      <c r="O201" s="6">
        <v>10.93</v>
      </c>
      <c r="P201" s="6">
        <v>8.58</v>
      </c>
      <c r="Q201" s="6">
        <v>10.63</v>
      </c>
      <c r="R201" s="6">
        <v>9.23</v>
      </c>
      <c r="S201" s="6">
        <v>9.0299999999999994</v>
      </c>
      <c r="T201" s="6">
        <v>9.43</v>
      </c>
      <c r="U201" s="6">
        <v>9.3800000000000008</v>
      </c>
      <c r="V201" s="6">
        <v>8.58</v>
      </c>
      <c r="W201" s="6">
        <v>10.08</v>
      </c>
      <c r="X201" s="6">
        <v>10.42</v>
      </c>
      <c r="Y201" s="6">
        <v>8.81</v>
      </c>
      <c r="Z201" s="6">
        <v>7.73</v>
      </c>
      <c r="AA201" s="6">
        <v>8.92</v>
      </c>
      <c r="AB201" s="6">
        <v>10.52</v>
      </c>
      <c r="AC201" s="6">
        <v>9.52</v>
      </c>
      <c r="AD201" s="6">
        <v>9.9700000000000006</v>
      </c>
      <c r="AE201" s="6">
        <v>9.31</v>
      </c>
      <c r="AF201" s="6">
        <v>9.98</v>
      </c>
      <c r="AG201" s="6">
        <v>10.41</v>
      </c>
      <c r="AH201" s="6">
        <v>7.41</v>
      </c>
      <c r="AI201" s="6">
        <v>6.3</v>
      </c>
      <c r="AJ201" s="6">
        <v>9.0299999999999994</v>
      </c>
      <c r="AK201" s="6">
        <v>11.39</v>
      </c>
      <c r="AL201" s="6">
        <v>9.81</v>
      </c>
      <c r="AM201" s="6">
        <v>9.9600000000000009</v>
      </c>
      <c r="AN201" s="6">
        <v>11.01</v>
      </c>
      <c r="AO201" s="6">
        <v>11.01</v>
      </c>
      <c r="AP201" s="6">
        <v>10.94</v>
      </c>
      <c r="AQ201" s="6">
        <v>10.54</v>
      </c>
      <c r="AR201" s="6">
        <v>9.52</v>
      </c>
      <c r="AS201" s="6">
        <v>8.4499999999999993</v>
      </c>
      <c r="AT201" s="6">
        <v>8.23</v>
      </c>
      <c r="AU201" s="6">
        <v>9.43</v>
      </c>
      <c r="AV201" s="6">
        <v>9.2899999999999991</v>
      </c>
      <c r="AW201" s="6">
        <v>8.0399999999999991</v>
      </c>
      <c r="AX201" s="6">
        <v>8.73</v>
      </c>
      <c r="AY201" s="6">
        <v>10.43</v>
      </c>
      <c r="AZ201" s="6">
        <v>8.49</v>
      </c>
      <c r="BA201" s="6">
        <v>8.02</v>
      </c>
      <c r="BB201" s="6">
        <v>10.11</v>
      </c>
      <c r="BC201" s="6">
        <f>9.55+0.43</f>
        <v>9.98</v>
      </c>
      <c r="BD201" s="6">
        <v>9.0863200000000006</v>
      </c>
      <c r="BE201" s="6">
        <v>10.49</v>
      </c>
      <c r="BF201" s="6">
        <v>9.02</v>
      </c>
      <c r="BG201" s="6">
        <v>10.88</v>
      </c>
      <c r="BH201" s="6">
        <v>8.99</v>
      </c>
      <c r="BI201" s="6">
        <v>9.74</v>
      </c>
      <c r="BJ201" s="6">
        <v>7.27</v>
      </c>
      <c r="BK201" s="6">
        <v>10</v>
      </c>
      <c r="BL201" s="6">
        <v>8.9600000000000009</v>
      </c>
      <c r="BM201" s="6">
        <v>9.9499999999999993</v>
      </c>
      <c r="BN201" s="6">
        <v>8.81</v>
      </c>
      <c r="BO201" s="6">
        <v>10.48</v>
      </c>
      <c r="BP201" s="6">
        <v>9.56</v>
      </c>
      <c r="BQ201" s="6">
        <v>8.8800000000000008</v>
      </c>
      <c r="BR201" s="6">
        <v>7.73</v>
      </c>
      <c r="BS201" s="6">
        <v>10.050000000000001</v>
      </c>
      <c r="BT201" s="6">
        <v>10.11</v>
      </c>
      <c r="BU201" s="6">
        <v>10.032</v>
      </c>
      <c r="BV201" s="6">
        <v>8.35</v>
      </c>
      <c r="BW201" s="6">
        <v>8.64</v>
      </c>
      <c r="BX201" s="6">
        <v>8.35</v>
      </c>
      <c r="BY201" s="6">
        <v>9.86</v>
      </c>
      <c r="BZ201" s="6">
        <v>9.93</v>
      </c>
      <c r="CA201" s="6">
        <v>11.27</v>
      </c>
      <c r="CB201" s="6">
        <v>9.5299999999999994</v>
      </c>
      <c r="CC201" s="6">
        <v>7.8199999999999994</v>
      </c>
      <c r="CD201" s="6">
        <v>10.379999999999999</v>
      </c>
      <c r="CE201" s="6">
        <v>10.91</v>
      </c>
      <c r="CF201" s="6">
        <v>9.44</v>
      </c>
      <c r="CG201" s="6">
        <v>9.6</v>
      </c>
      <c r="CH201" s="6"/>
    </row>
    <row r="202" spans="1:86" ht="15.75" customHeight="1" x14ac:dyDescent="0.25">
      <c r="A202" s="4">
        <v>200</v>
      </c>
      <c r="B202" s="2"/>
      <c r="C202" s="4">
        <v>19</v>
      </c>
      <c r="D202" s="6">
        <v>10.68</v>
      </c>
      <c r="E202" s="6">
        <v>10.53</v>
      </c>
      <c r="F202" s="6">
        <v>10.48</v>
      </c>
      <c r="G202" s="6">
        <v>10.23</v>
      </c>
      <c r="H202" s="6">
        <v>9.33</v>
      </c>
      <c r="I202" s="6">
        <v>10.53</v>
      </c>
      <c r="J202" s="6">
        <v>9.43</v>
      </c>
      <c r="K202" s="6">
        <v>9.93</v>
      </c>
      <c r="L202" s="6">
        <v>10.93</v>
      </c>
      <c r="M202" s="6">
        <v>9.98</v>
      </c>
      <c r="N202" s="6">
        <v>10.43</v>
      </c>
      <c r="O202" s="6">
        <v>10.95</v>
      </c>
      <c r="P202" s="6">
        <v>8.7100000000000009</v>
      </c>
      <c r="Q202" s="6">
        <v>10.71</v>
      </c>
      <c r="R202" s="6">
        <v>9.23</v>
      </c>
      <c r="S202" s="6">
        <v>9.0299999999999994</v>
      </c>
      <c r="T202" s="6">
        <v>9.5299999999999994</v>
      </c>
      <c r="U202" s="6">
        <v>9.51</v>
      </c>
      <c r="V202" s="6">
        <v>8.58</v>
      </c>
      <c r="W202" s="6">
        <v>10.23</v>
      </c>
      <c r="X202" s="6">
        <v>10.51</v>
      </c>
      <c r="Y202" s="6">
        <v>8.85</v>
      </c>
      <c r="Z202" s="6">
        <v>7.88</v>
      </c>
      <c r="AA202" s="6">
        <v>9.02</v>
      </c>
      <c r="AB202" s="6">
        <v>10.61</v>
      </c>
      <c r="AC202" s="6">
        <v>9.76</v>
      </c>
      <c r="AD202" s="6">
        <v>10.09</v>
      </c>
      <c r="AE202" s="6">
        <v>9.7899999999999991</v>
      </c>
      <c r="AF202" s="6">
        <v>10.119999999999999</v>
      </c>
      <c r="AG202" s="6">
        <v>10.37</v>
      </c>
      <c r="AH202" s="6">
        <v>7.68</v>
      </c>
      <c r="AI202" s="6">
        <v>6.41</v>
      </c>
      <c r="AJ202" s="6">
        <v>9.07</v>
      </c>
      <c r="AK202" s="6">
        <v>11.37</v>
      </c>
      <c r="AL202" s="6">
        <v>9.83</v>
      </c>
      <c r="AM202" s="6">
        <v>10.09</v>
      </c>
      <c r="AN202" s="6">
        <v>11.07</v>
      </c>
      <c r="AO202" s="6">
        <v>11.09</v>
      </c>
      <c r="AP202" s="6">
        <v>11.06</v>
      </c>
      <c r="AQ202" s="6">
        <v>10.55</v>
      </c>
      <c r="AR202" s="6">
        <v>9.51</v>
      </c>
      <c r="AS202" s="6">
        <v>8.56</v>
      </c>
      <c r="AT202" s="6">
        <v>8.25</v>
      </c>
      <c r="AU202" s="6">
        <v>9.49</v>
      </c>
      <c r="AV202" s="6">
        <v>9.43</v>
      </c>
      <c r="AW202" s="6">
        <v>8.31</v>
      </c>
      <c r="AX202" s="6">
        <v>8.7899999999999991</v>
      </c>
      <c r="AY202" s="6">
        <v>10.45</v>
      </c>
      <c r="AZ202" s="6">
        <v>8.51</v>
      </c>
      <c r="BA202" s="6">
        <v>8.15</v>
      </c>
      <c r="BB202" s="6">
        <v>10.130000000000001</v>
      </c>
      <c r="BC202" s="6">
        <f>9.74+0.43</f>
        <v>10.17</v>
      </c>
      <c r="BD202" s="6">
        <v>9.2691999999999997</v>
      </c>
      <c r="BE202" s="6">
        <v>10.58</v>
      </c>
      <c r="BF202" s="6">
        <v>9.0500000000000007</v>
      </c>
      <c r="BG202" s="6">
        <v>10.88</v>
      </c>
      <c r="BH202" s="6">
        <v>9.1300000000000008</v>
      </c>
      <c r="BI202" s="6">
        <v>9.66</v>
      </c>
      <c r="BJ202" s="6">
        <v>7.35</v>
      </c>
      <c r="BK202" s="6">
        <v>10.050000000000001</v>
      </c>
      <c r="BL202" s="6">
        <v>9.0299999999999994</v>
      </c>
      <c r="BM202" s="6">
        <v>9.9499999999999993</v>
      </c>
      <c r="BN202" s="6">
        <v>8.86</v>
      </c>
      <c r="BO202" s="6">
        <v>10.59</v>
      </c>
      <c r="BP202" s="6">
        <v>9.6999999999999993</v>
      </c>
      <c r="BQ202" s="6">
        <v>8.9499999999999993</v>
      </c>
      <c r="BR202" s="6">
        <v>7.83</v>
      </c>
      <c r="BS202" s="6">
        <v>10.050000000000001</v>
      </c>
      <c r="BT202" s="6">
        <v>10.19</v>
      </c>
      <c r="BU202" s="6">
        <v>10.09</v>
      </c>
      <c r="BV202" s="6">
        <v>8.39</v>
      </c>
      <c r="BW202" s="6">
        <v>8.73</v>
      </c>
      <c r="BX202" s="6">
        <v>8.4</v>
      </c>
      <c r="BY202" s="6">
        <v>9.93</v>
      </c>
      <c r="BZ202" s="6">
        <v>10.35</v>
      </c>
      <c r="CA202" s="6">
        <v>11.22</v>
      </c>
      <c r="CB202" s="6">
        <v>9.73</v>
      </c>
      <c r="CC202" s="6">
        <v>7.8999999999999995</v>
      </c>
      <c r="CD202" s="6">
        <v>10.35</v>
      </c>
      <c r="CE202" s="6">
        <v>10.89</v>
      </c>
      <c r="CF202" s="6">
        <v>9.44</v>
      </c>
      <c r="CG202" s="6">
        <v>9.66</v>
      </c>
      <c r="CH202" s="6"/>
    </row>
    <row r="203" spans="1:86" ht="15.75" customHeight="1" x14ac:dyDescent="0.25">
      <c r="A203" s="4">
        <v>201</v>
      </c>
      <c r="B203" s="2"/>
      <c r="C203" s="4">
        <v>20</v>
      </c>
      <c r="D203" s="6">
        <v>10.78</v>
      </c>
      <c r="E203" s="6">
        <v>10.58</v>
      </c>
      <c r="F203" s="6">
        <v>10.48</v>
      </c>
      <c r="G203" s="6">
        <v>10.33</v>
      </c>
      <c r="H203" s="6">
        <v>9.48</v>
      </c>
      <c r="I203" s="6">
        <v>10.43</v>
      </c>
      <c r="J203" s="6">
        <v>9.43</v>
      </c>
      <c r="K203" s="6">
        <v>9.93</v>
      </c>
      <c r="L203" s="6">
        <v>11.03</v>
      </c>
      <c r="M203" s="6">
        <v>9.98</v>
      </c>
      <c r="N203" s="6">
        <v>10.48</v>
      </c>
      <c r="O203" s="6">
        <v>11.03</v>
      </c>
      <c r="P203" s="6">
        <v>8.81</v>
      </c>
      <c r="Q203" s="6">
        <v>10.73</v>
      </c>
      <c r="R203" s="6">
        <v>9.23</v>
      </c>
      <c r="S203" s="6">
        <v>9.0299999999999994</v>
      </c>
      <c r="T203" s="6">
        <v>9.68</v>
      </c>
      <c r="U203" s="6">
        <v>9.5299999999999994</v>
      </c>
      <c r="V203" s="6">
        <v>8.6300000000000008</v>
      </c>
      <c r="W203" s="6">
        <v>10.41</v>
      </c>
      <c r="X203" s="6">
        <v>10.6</v>
      </c>
      <c r="Y203" s="6">
        <v>8.9499999999999993</v>
      </c>
      <c r="Z203" s="6">
        <v>8.0299999999999994</v>
      </c>
      <c r="AA203" s="6">
        <v>9.1</v>
      </c>
      <c r="AB203" s="6">
        <v>10.68</v>
      </c>
      <c r="AC203" s="6">
        <v>9.9</v>
      </c>
      <c r="AD203" s="6">
        <v>10.199999999999999</v>
      </c>
      <c r="AE203" s="6">
        <v>10.029999999999999</v>
      </c>
      <c r="AF203" s="6">
        <v>10.01</v>
      </c>
      <c r="AG203" s="6">
        <v>10.220000000000001</v>
      </c>
      <c r="AH203" s="6">
        <v>7.76</v>
      </c>
      <c r="AI203" s="6">
        <v>6.47</v>
      </c>
      <c r="AJ203" s="6">
        <v>9.11</v>
      </c>
      <c r="AK203" s="6">
        <v>11.47</v>
      </c>
      <c r="AL203" s="6">
        <v>9.93</v>
      </c>
      <c r="AM203" s="6">
        <v>9.98</v>
      </c>
      <c r="AN203" s="6">
        <v>11.12</v>
      </c>
      <c r="AO203" s="6">
        <v>11.17</v>
      </c>
      <c r="AP203" s="6">
        <v>11.18</v>
      </c>
      <c r="AQ203" s="6">
        <v>10.4</v>
      </c>
      <c r="AR203" s="6">
        <v>9.7100000000000009</v>
      </c>
      <c r="AS203" s="6">
        <v>8.6199999999999992</v>
      </c>
      <c r="AT203" s="6">
        <v>8.2799999999999994</v>
      </c>
      <c r="AU203" s="6">
        <v>9.57</v>
      </c>
      <c r="AV203" s="6">
        <v>9.5299999999999994</v>
      </c>
      <c r="AW203" s="6">
        <v>8.6300000000000008</v>
      </c>
      <c r="AX203" s="6">
        <v>8.83</v>
      </c>
      <c r="AY203" s="6">
        <v>10.4</v>
      </c>
      <c r="AZ203" s="6">
        <v>8.5399999999999991</v>
      </c>
      <c r="BA203" s="6">
        <v>8.18</v>
      </c>
      <c r="BB203" s="6">
        <v>10.34</v>
      </c>
      <c r="BC203" s="6">
        <f>9.81+0.43</f>
        <v>10.24</v>
      </c>
      <c r="BD203" s="6">
        <v>9.4215999999999998</v>
      </c>
      <c r="BE203" s="6">
        <v>10.58</v>
      </c>
      <c r="BF203" s="6">
        <v>9.1999999999999993</v>
      </c>
      <c r="BG203" s="6">
        <v>10.85</v>
      </c>
      <c r="BH203" s="6">
        <v>9.23</v>
      </c>
      <c r="BI203" s="6">
        <v>9.57</v>
      </c>
      <c r="BJ203" s="6">
        <v>7.38</v>
      </c>
      <c r="BK203" s="6">
        <v>10.050000000000001</v>
      </c>
      <c r="BL203" s="6">
        <v>9.16</v>
      </c>
      <c r="BM203" s="6">
        <v>9.99</v>
      </c>
      <c r="BN203" s="6">
        <v>8.84</v>
      </c>
      <c r="BO203" s="6">
        <v>10.68</v>
      </c>
      <c r="BP203" s="6">
        <v>9.75</v>
      </c>
      <c r="BQ203" s="6">
        <v>9.01</v>
      </c>
      <c r="BR203" s="6">
        <v>7.93</v>
      </c>
      <c r="BS203" s="6">
        <v>10.09</v>
      </c>
      <c r="BT203" s="6">
        <v>10.19</v>
      </c>
      <c r="BU203" s="6">
        <v>10.147</v>
      </c>
      <c r="BV203" s="6">
        <v>8.34</v>
      </c>
      <c r="BW203" s="6">
        <v>8.81</v>
      </c>
      <c r="BX203" s="6">
        <v>8.5499999999999989</v>
      </c>
      <c r="BY203" s="6">
        <v>10.029999999999999</v>
      </c>
      <c r="BZ203" s="6">
        <v>10.78</v>
      </c>
      <c r="CA203" s="6">
        <v>11.19</v>
      </c>
      <c r="CB203" s="6">
        <v>9.9</v>
      </c>
      <c r="CC203" s="6">
        <v>7.9899999999999993</v>
      </c>
      <c r="CD203" s="6">
        <v>10.43</v>
      </c>
      <c r="CE203" s="6">
        <v>10.98</v>
      </c>
      <c r="CF203" s="6">
        <v>9.4499999999999993</v>
      </c>
      <c r="CG203" s="6">
        <v>9.76</v>
      </c>
      <c r="CH203" s="6"/>
    </row>
    <row r="204" spans="1:86" ht="15.75" customHeight="1" x14ac:dyDescent="0.25">
      <c r="A204" s="4">
        <v>202</v>
      </c>
      <c r="B204" s="2"/>
      <c r="C204" s="4">
        <v>21</v>
      </c>
      <c r="D204" s="6">
        <v>10.78</v>
      </c>
      <c r="E204" s="6">
        <v>10.68</v>
      </c>
      <c r="F204" s="6">
        <v>10.48</v>
      </c>
      <c r="G204" s="6">
        <v>10.48</v>
      </c>
      <c r="H204" s="6">
        <v>9.6300000000000008</v>
      </c>
      <c r="I204" s="6">
        <v>10.53</v>
      </c>
      <c r="J204" s="6">
        <v>9.33</v>
      </c>
      <c r="K204" s="6">
        <v>10.029999999999999</v>
      </c>
      <c r="L204" s="6">
        <v>11.13</v>
      </c>
      <c r="M204" s="6">
        <v>9.98</v>
      </c>
      <c r="N204" s="6">
        <v>10.63</v>
      </c>
      <c r="O204" s="6">
        <v>11.08</v>
      </c>
      <c r="P204" s="6">
        <v>8.9</v>
      </c>
      <c r="Q204" s="6">
        <v>10.78</v>
      </c>
      <c r="R204" s="6">
        <v>9.33</v>
      </c>
      <c r="S204" s="6">
        <v>9.0299999999999994</v>
      </c>
      <c r="T204" s="6">
        <v>9.7799999999999994</v>
      </c>
      <c r="U204" s="6">
        <v>9.61</v>
      </c>
      <c r="V204" s="6">
        <v>8.7799999999999994</v>
      </c>
      <c r="W204" s="6">
        <v>10.48</v>
      </c>
      <c r="X204" s="6">
        <v>10.68</v>
      </c>
      <c r="Y204" s="6">
        <v>8.98</v>
      </c>
      <c r="Z204" s="6">
        <v>8.1300000000000008</v>
      </c>
      <c r="AA204" s="6">
        <v>9.1300000000000008</v>
      </c>
      <c r="AB204" s="6">
        <v>10.71</v>
      </c>
      <c r="AC204" s="6">
        <v>10.01</v>
      </c>
      <c r="AD204" s="6">
        <v>10.29</v>
      </c>
      <c r="AE204" s="6">
        <v>10.1</v>
      </c>
      <c r="AF204" s="6">
        <v>9.86</v>
      </c>
      <c r="AG204" s="6">
        <v>10.25</v>
      </c>
      <c r="AH204" s="6">
        <v>7.78</v>
      </c>
      <c r="AI204" s="6">
        <v>6.64</v>
      </c>
      <c r="AJ204" s="6">
        <v>9.09</v>
      </c>
      <c r="AK204" s="6">
        <v>11.57</v>
      </c>
      <c r="AL204" s="6">
        <v>10.029999999999999</v>
      </c>
      <c r="AM204" s="6">
        <v>10.15</v>
      </c>
      <c r="AN204" s="6">
        <v>11.17</v>
      </c>
      <c r="AO204" s="6">
        <v>11.21</v>
      </c>
      <c r="AP204" s="6">
        <v>11.24</v>
      </c>
      <c r="AQ204" s="6">
        <v>10.34</v>
      </c>
      <c r="AR204" s="6">
        <v>9.69</v>
      </c>
      <c r="AS204" s="6">
        <v>8.67</v>
      </c>
      <c r="AT204" s="6">
        <v>8.33</v>
      </c>
      <c r="AU204" s="6">
        <v>9.6300000000000008</v>
      </c>
      <c r="AV204" s="6">
        <v>9.68</v>
      </c>
      <c r="AW204" s="6">
        <v>8.83</v>
      </c>
      <c r="AX204" s="6">
        <v>8.89</v>
      </c>
      <c r="AY204" s="6">
        <v>10.34</v>
      </c>
      <c r="AZ204" s="6">
        <v>8.57</v>
      </c>
      <c r="BA204" s="6">
        <v>8.32</v>
      </c>
      <c r="BB204" s="6">
        <v>10.52</v>
      </c>
      <c r="BC204" s="6">
        <f>9.87+0.43</f>
        <v>10.299999999999999</v>
      </c>
      <c r="BD204" s="6">
        <v>9.4215999999999998</v>
      </c>
      <c r="BE204" s="6">
        <v>10.58</v>
      </c>
      <c r="BF204" s="6">
        <v>9.39</v>
      </c>
      <c r="BG204" s="6">
        <v>11.03</v>
      </c>
      <c r="BH204" s="6">
        <v>9.2799999999999994</v>
      </c>
      <c r="BI204" s="6">
        <v>9.5299999999999994</v>
      </c>
      <c r="BJ204" s="6">
        <v>7.44</v>
      </c>
      <c r="BK204" s="6">
        <v>10.11</v>
      </c>
      <c r="BL204" s="6">
        <v>9.25</v>
      </c>
      <c r="BM204" s="6">
        <v>10.11</v>
      </c>
      <c r="BN204" s="6">
        <v>8.84</v>
      </c>
      <c r="BO204" s="6">
        <v>10.78</v>
      </c>
      <c r="BP204" s="6">
        <v>9.82</v>
      </c>
      <c r="BQ204" s="6">
        <v>9.1300000000000008</v>
      </c>
      <c r="BR204" s="6">
        <v>8.01</v>
      </c>
      <c r="BS204" s="6">
        <v>10.19</v>
      </c>
      <c r="BT204" s="6">
        <v>10.17</v>
      </c>
      <c r="BU204" s="6">
        <v>10.23</v>
      </c>
      <c r="BV204" s="6">
        <v>8.3439999999999994</v>
      </c>
      <c r="BW204" s="6">
        <v>8.82</v>
      </c>
      <c r="BX204" s="6">
        <v>8.67</v>
      </c>
      <c r="BY204" s="6">
        <v>10.11</v>
      </c>
      <c r="BZ204" s="6">
        <v>10.879999999999999</v>
      </c>
      <c r="CA204" s="6">
        <v>11.38</v>
      </c>
      <c r="CB204" s="6">
        <v>10.049999999999999</v>
      </c>
      <c r="CC204" s="6">
        <v>8.120000000000001</v>
      </c>
      <c r="CD204" s="6">
        <v>10.53</v>
      </c>
      <c r="CE204" s="6">
        <v>11.03</v>
      </c>
      <c r="CF204" s="6">
        <v>9.4700000000000006</v>
      </c>
      <c r="CG204" s="6">
        <v>9.8800000000000008</v>
      </c>
      <c r="CH204" s="6"/>
    </row>
    <row r="205" spans="1:86" ht="15.75" customHeight="1" x14ac:dyDescent="0.25">
      <c r="A205" s="4">
        <v>203</v>
      </c>
      <c r="B205" s="2"/>
      <c r="C205" s="4">
        <v>22</v>
      </c>
      <c r="D205" s="6">
        <v>10.93</v>
      </c>
      <c r="E205" s="6">
        <v>10.73</v>
      </c>
      <c r="F205" s="6">
        <v>10.48</v>
      </c>
      <c r="G205" s="6">
        <v>10.63</v>
      </c>
      <c r="H205" s="6">
        <v>9.83</v>
      </c>
      <c r="I205" s="6">
        <v>10.53</v>
      </c>
      <c r="J205" s="6">
        <v>9.23</v>
      </c>
      <c r="K205" s="6">
        <v>10.029999999999999</v>
      </c>
      <c r="L205" s="6">
        <v>11.18</v>
      </c>
      <c r="M205" s="6">
        <v>10.029999999999999</v>
      </c>
      <c r="N205" s="6">
        <v>10.73</v>
      </c>
      <c r="O205" s="6">
        <v>11.13</v>
      </c>
      <c r="P205" s="6">
        <v>9.0299999999999994</v>
      </c>
      <c r="Q205" s="6">
        <v>10.92</v>
      </c>
      <c r="R205" s="6">
        <v>9.33</v>
      </c>
      <c r="S205" s="6">
        <v>9.0299999999999994</v>
      </c>
      <c r="T205" s="6">
        <v>9.93</v>
      </c>
      <c r="U205" s="6">
        <v>9.6999999999999993</v>
      </c>
      <c r="V205" s="6">
        <v>8.73</v>
      </c>
      <c r="W205" s="6">
        <v>10.53</v>
      </c>
      <c r="X205" s="6">
        <v>10.78</v>
      </c>
      <c r="Y205" s="6">
        <v>9.01</v>
      </c>
      <c r="Z205" s="6">
        <v>8.1300000000000008</v>
      </c>
      <c r="AA205" s="6">
        <v>9.14</v>
      </c>
      <c r="AB205" s="6">
        <v>10.75</v>
      </c>
      <c r="AC205" s="6">
        <v>10.11</v>
      </c>
      <c r="AD205" s="6">
        <v>10.35</v>
      </c>
      <c r="AE205" s="6">
        <v>10.210000000000001</v>
      </c>
      <c r="AF205" s="6">
        <v>10.29</v>
      </c>
      <c r="AG205" s="6">
        <v>10.18</v>
      </c>
      <c r="AH205" s="6">
        <v>8.1300000000000008</v>
      </c>
      <c r="AI205" s="6">
        <v>6.61</v>
      </c>
      <c r="AJ205" s="6">
        <v>8.9700000000000006</v>
      </c>
      <c r="AK205" s="6">
        <v>11.67</v>
      </c>
      <c r="AL205" s="6">
        <v>10.130000000000001</v>
      </c>
      <c r="AM205" s="6">
        <v>10.029999999999999</v>
      </c>
      <c r="AN205" s="6">
        <v>11.14</v>
      </c>
      <c r="AO205" s="6">
        <v>11.27</v>
      </c>
      <c r="AP205" s="6">
        <v>11.26</v>
      </c>
      <c r="AQ205" s="6">
        <v>10.199999999999999</v>
      </c>
      <c r="AR205" s="6">
        <v>9.69</v>
      </c>
      <c r="AS205" s="6">
        <v>8.73</v>
      </c>
      <c r="AT205" s="6">
        <v>8.41</v>
      </c>
      <c r="AU205" s="6">
        <v>9.67</v>
      </c>
      <c r="AV205" s="6">
        <v>9.82</v>
      </c>
      <c r="AW205" s="6">
        <v>8.9600000000000009</v>
      </c>
      <c r="AX205" s="6">
        <v>8.93</v>
      </c>
      <c r="AY205" s="6">
        <v>10.31</v>
      </c>
      <c r="AZ205" s="6">
        <v>8.5500000000000007</v>
      </c>
      <c r="BA205" s="6">
        <v>8.44</v>
      </c>
      <c r="BB205" s="6">
        <v>10.74</v>
      </c>
      <c r="BC205" s="6">
        <f>9.97+0.43</f>
        <v>10.4</v>
      </c>
      <c r="BD205" s="6">
        <v>9.4825599999999994</v>
      </c>
      <c r="BE205" s="6">
        <v>10.58</v>
      </c>
      <c r="BF205" s="6">
        <v>9.57</v>
      </c>
      <c r="BG205" s="6">
        <v>11.03</v>
      </c>
      <c r="BH205" s="6">
        <v>9.33</v>
      </c>
      <c r="BI205" s="6">
        <v>9.7100000000000009</v>
      </c>
      <c r="BJ205" s="6">
        <v>7.44</v>
      </c>
      <c r="BK205" s="6">
        <v>10.15</v>
      </c>
      <c r="BL205" s="6">
        <v>9.41</v>
      </c>
      <c r="BM205" s="6">
        <v>10.15</v>
      </c>
      <c r="BN205" s="6">
        <v>8.8699999999999992</v>
      </c>
      <c r="BO205" s="6">
        <v>10.78</v>
      </c>
      <c r="BP205" s="6">
        <v>9.86</v>
      </c>
      <c r="BQ205" s="6">
        <v>9.19</v>
      </c>
      <c r="BR205" s="6">
        <v>8.11</v>
      </c>
      <c r="BS205" s="6">
        <v>10.210000000000001</v>
      </c>
      <c r="BT205" s="6">
        <v>10.130000000000001</v>
      </c>
      <c r="BU205" s="6">
        <v>10.32</v>
      </c>
      <c r="BV205" s="6">
        <v>8.3800000000000008</v>
      </c>
      <c r="BW205" s="6">
        <v>8.89</v>
      </c>
      <c r="BX205" s="6">
        <v>8.83</v>
      </c>
      <c r="BY205" s="6">
        <v>10.129999999999999</v>
      </c>
      <c r="BZ205" s="6">
        <v>11.02</v>
      </c>
      <c r="CA205" s="6">
        <v>11.36</v>
      </c>
      <c r="CB205" s="6">
        <v>9.86</v>
      </c>
      <c r="CC205" s="6">
        <v>8.120000000000001</v>
      </c>
      <c r="CD205" s="6">
        <v>10.58</v>
      </c>
      <c r="CE205" s="6">
        <v>11.04</v>
      </c>
      <c r="CF205" s="6">
        <v>9.44</v>
      </c>
      <c r="CG205" s="6">
        <v>9.94</v>
      </c>
      <c r="CH205" s="6"/>
    </row>
    <row r="206" spans="1:86" ht="15.75" customHeight="1" x14ac:dyDescent="0.25">
      <c r="A206" s="4">
        <v>204</v>
      </c>
      <c r="B206" s="2"/>
      <c r="C206" s="4">
        <v>23</v>
      </c>
      <c r="D206" s="6">
        <v>10.98</v>
      </c>
      <c r="E206" s="6">
        <v>10.78</v>
      </c>
      <c r="F206" s="6">
        <v>10.53</v>
      </c>
      <c r="G206" s="6">
        <v>10.73</v>
      </c>
      <c r="H206" s="6">
        <v>9.93</v>
      </c>
      <c r="I206" s="6">
        <v>10.63</v>
      </c>
      <c r="J206" s="6">
        <v>9.23</v>
      </c>
      <c r="K206" s="6">
        <v>10.029999999999999</v>
      </c>
      <c r="L206" s="6">
        <v>11.23</v>
      </c>
      <c r="M206" s="6">
        <v>10.029999999999999</v>
      </c>
      <c r="N206" s="6">
        <v>10.83</v>
      </c>
      <c r="O206" s="6">
        <v>11.16</v>
      </c>
      <c r="P206" s="6">
        <v>9.23</v>
      </c>
      <c r="Q206" s="6">
        <v>11.02</v>
      </c>
      <c r="R206" s="6">
        <v>9.48</v>
      </c>
      <c r="S206" s="6">
        <v>9.18</v>
      </c>
      <c r="T206" s="6">
        <v>10.029999999999999</v>
      </c>
      <c r="U206" s="6">
        <v>9.75</v>
      </c>
      <c r="V206" s="6">
        <v>8.7799999999999994</v>
      </c>
      <c r="W206" s="6">
        <v>10.58</v>
      </c>
      <c r="X206" s="6">
        <v>10.82</v>
      </c>
      <c r="Y206" s="6">
        <v>9.0299999999999994</v>
      </c>
      <c r="Z206" s="6">
        <v>8.1300000000000008</v>
      </c>
      <c r="AA206" s="6">
        <v>9.09</v>
      </c>
      <c r="AB206" s="6">
        <v>10.84</v>
      </c>
      <c r="AC206" s="6">
        <v>10.17</v>
      </c>
      <c r="AD206" s="6">
        <v>10.38</v>
      </c>
      <c r="AE206" s="6">
        <v>10.29</v>
      </c>
      <c r="AF206" s="6">
        <v>10.51</v>
      </c>
      <c r="AG206" s="6">
        <v>10.18</v>
      </c>
      <c r="AH206" s="6">
        <v>8.44</v>
      </c>
      <c r="AI206" s="6">
        <v>6.57</v>
      </c>
      <c r="AJ206" s="6">
        <v>9.19</v>
      </c>
      <c r="AK206" s="6">
        <v>11.73</v>
      </c>
      <c r="AL206" s="6">
        <v>10.23</v>
      </c>
      <c r="AM206" s="6">
        <v>10.18</v>
      </c>
      <c r="AN206" s="6">
        <v>11.13</v>
      </c>
      <c r="AO206" s="6">
        <v>11.33</v>
      </c>
      <c r="AP206" s="6">
        <v>11.32</v>
      </c>
      <c r="AQ206" s="6">
        <v>10.24</v>
      </c>
      <c r="AR206" s="6">
        <v>9.6999999999999993</v>
      </c>
      <c r="AS206" s="6">
        <v>8.8000000000000007</v>
      </c>
      <c r="AT206" s="6">
        <v>8.4600000000000009</v>
      </c>
      <c r="AU206" s="6">
        <v>10.02</v>
      </c>
      <c r="AV206" s="6">
        <v>9.89</v>
      </c>
      <c r="AW206" s="6">
        <v>8.9499999999999993</v>
      </c>
      <c r="AX206" s="6">
        <v>8.99</v>
      </c>
      <c r="AY206" s="6">
        <v>10.18</v>
      </c>
      <c r="AZ206" s="6">
        <v>8.6</v>
      </c>
      <c r="BA206" s="6">
        <v>8.52</v>
      </c>
      <c r="BB206" s="6">
        <v>10.88</v>
      </c>
      <c r="BC206" s="6">
        <f>10.02+0.43</f>
        <v>10.45</v>
      </c>
      <c r="BD206" s="6">
        <v>9.5739999999999998</v>
      </c>
      <c r="BE206" s="6">
        <v>10.58</v>
      </c>
      <c r="BF206" s="6">
        <v>9.81</v>
      </c>
      <c r="BG206" s="6">
        <v>11.06</v>
      </c>
      <c r="BH206" s="6">
        <v>9.2799999999999994</v>
      </c>
      <c r="BI206" s="6">
        <v>9.7100000000000009</v>
      </c>
      <c r="BJ206" s="6">
        <v>7.5</v>
      </c>
      <c r="BK206" s="6">
        <v>10.23</v>
      </c>
      <c r="BL206" s="6">
        <v>9.51</v>
      </c>
      <c r="BM206" s="6">
        <v>10.19</v>
      </c>
      <c r="BN206" s="6">
        <v>8.91</v>
      </c>
      <c r="BO206" s="6">
        <v>10.75</v>
      </c>
      <c r="BP206" s="6">
        <v>9.8699999999999992</v>
      </c>
      <c r="BQ206" s="6">
        <v>9.3000000000000007</v>
      </c>
      <c r="BR206" s="6">
        <v>8.24</v>
      </c>
      <c r="BS206" s="6">
        <v>10.26</v>
      </c>
      <c r="BT206" s="6">
        <v>10.15</v>
      </c>
      <c r="BU206" s="6">
        <v>10.43</v>
      </c>
      <c r="BV206" s="6">
        <v>8.43</v>
      </c>
      <c r="BW206" s="6">
        <v>8.9599999999999991</v>
      </c>
      <c r="BX206" s="6">
        <v>8.9599999999999991</v>
      </c>
      <c r="BY206" s="6">
        <v>10.209999999999999</v>
      </c>
      <c r="BZ206" s="6">
        <v>11.17</v>
      </c>
      <c r="CA206" s="6">
        <v>11.23</v>
      </c>
      <c r="CB206" s="6">
        <v>9.7999999999999989</v>
      </c>
      <c r="CC206" s="6">
        <v>8.26</v>
      </c>
      <c r="CD206" s="6">
        <v>10.5</v>
      </c>
      <c r="CE206" s="6">
        <v>11.06</v>
      </c>
      <c r="CF206" s="6">
        <v>9.5</v>
      </c>
      <c r="CG206" s="6">
        <v>10.06</v>
      </c>
      <c r="CH206" s="6"/>
    </row>
    <row r="207" spans="1:86" ht="15.75" customHeight="1" x14ac:dyDescent="0.25">
      <c r="A207" s="4">
        <v>205</v>
      </c>
      <c r="B207" s="2"/>
      <c r="C207" s="4">
        <v>24</v>
      </c>
      <c r="D207" s="6">
        <v>11.03</v>
      </c>
      <c r="E207" s="6">
        <v>10.83</v>
      </c>
      <c r="F207" s="6">
        <v>10.58</v>
      </c>
      <c r="G207" s="6">
        <v>10.83</v>
      </c>
      <c r="H207" s="6">
        <v>9.98</v>
      </c>
      <c r="I207" s="6">
        <v>10.53</v>
      </c>
      <c r="J207" s="6">
        <v>9.2799999999999994</v>
      </c>
      <c r="K207" s="6">
        <v>10.1</v>
      </c>
      <c r="L207" s="6">
        <v>11.23</v>
      </c>
      <c r="M207" s="6">
        <v>10.029999999999999</v>
      </c>
      <c r="N207" s="6">
        <v>10.93</v>
      </c>
      <c r="O207" s="6">
        <v>11.21</v>
      </c>
      <c r="P207" s="6">
        <v>9.33</v>
      </c>
      <c r="Q207" s="6">
        <v>11.05</v>
      </c>
      <c r="R207" s="6">
        <v>9.7100000000000009</v>
      </c>
      <c r="S207" s="6">
        <v>9.1300000000000008</v>
      </c>
      <c r="T207" s="6">
        <v>10.18</v>
      </c>
      <c r="U207" s="6">
        <v>9.75</v>
      </c>
      <c r="V207" s="6">
        <v>8.8800000000000008</v>
      </c>
      <c r="W207" s="6">
        <v>10.63</v>
      </c>
      <c r="X207" s="6">
        <v>10.88</v>
      </c>
      <c r="Y207" s="6">
        <v>9.16</v>
      </c>
      <c r="Z207" s="6">
        <v>8.1300000000000008</v>
      </c>
      <c r="AA207" s="6">
        <v>9.0500000000000007</v>
      </c>
      <c r="AB207" s="6">
        <v>10.89</v>
      </c>
      <c r="AC207" s="6">
        <v>10.25</v>
      </c>
      <c r="AD207" s="6">
        <v>10.26</v>
      </c>
      <c r="AE207" s="6">
        <v>10.44</v>
      </c>
      <c r="AF207" s="6">
        <v>10.57</v>
      </c>
      <c r="AG207" s="6">
        <v>10.210000000000001</v>
      </c>
      <c r="AH207" s="6">
        <v>8.58</v>
      </c>
      <c r="AI207" s="6">
        <v>6.59</v>
      </c>
      <c r="AJ207" s="6">
        <v>9.18</v>
      </c>
      <c r="AK207" s="6">
        <v>11.8</v>
      </c>
      <c r="AL207" s="6">
        <v>10.27</v>
      </c>
      <c r="AM207" s="6">
        <v>10.19</v>
      </c>
      <c r="AN207" s="6">
        <v>11.09</v>
      </c>
      <c r="AO207" s="6">
        <v>11.23</v>
      </c>
      <c r="AP207" s="6">
        <v>11.4</v>
      </c>
      <c r="AQ207" s="6">
        <v>10.32</v>
      </c>
      <c r="AR207" s="6">
        <v>9.7799999999999994</v>
      </c>
      <c r="AS207" s="6">
        <v>8.84</v>
      </c>
      <c r="AT207" s="6">
        <v>8.51</v>
      </c>
      <c r="AU207" s="6">
        <v>10.17</v>
      </c>
      <c r="AV207" s="6">
        <v>9.9700000000000006</v>
      </c>
      <c r="AW207" s="6">
        <v>8.9</v>
      </c>
      <c r="AX207" s="6">
        <v>9.1999999999999993</v>
      </c>
      <c r="AY207" s="6">
        <v>10.33</v>
      </c>
      <c r="AZ207" s="6">
        <v>8.75</v>
      </c>
      <c r="BA207" s="6">
        <v>8.6199999999999992</v>
      </c>
      <c r="BB207" s="6">
        <v>10.92</v>
      </c>
      <c r="BC207" s="6">
        <f>10.05+0.43</f>
        <v>10.48</v>
      </c>
      <c r="BD207" s="6">
        <v>9.5739999999999998</v>
      </c>
      <c r="BE207" s="6">
        <v>10.48</v>
      </c>
      <c r="BF207" s="6">
        <v>9.91</v>
      </c>
      <c r="BG207" s="6">
        <v>11.09</v>
      </c>
      <c r="BH207" s="6">
        <v>9.2100000000000009</v>
      </c>
      <c r="BI207" s="6">
        <v>9.7899999999999991</v>
      </c>
      <c r="BJ207" s="6">
        <v>7.54</v>
      </c>
      <c r="BK207" s="6">
        <v>10.27</v>
      </c>
      <c r="BL207" s="6">
        <v>9.5500000000000007</v>
      </c>
      <c r="BM207" s="6">
        <v>10.18</v>
      </c>
      <c r="BN207" s="6">
        <v>8.9</v>
      </c>
      <c r="BO207" s="6">
        <v>10.79</v>
      </c>
      <c r="BP207" s="6">
        <v>9.94</v>
      </c>
      <c r="BQ207" s="6">
        <v>9.4</v>
      </c>
      <c r="BR207" s="6">
        <v>8.3699999999999992</v>
      </c>
      <c r="BS207" s="6">
        <v>10.28</v>
      </c>
      <c r="BT207" s="6">
        <v>10.17</v>
      </c>
      <c r="BU207" s="6">
        <v>10.43</v>
      </c>
      <c r="BV207" s="6">
        <v>8.51</v>
      </c>
      <c r="BW207" s="6">
        <v>8.99</v>
      </c>
      <c r="BX207" s="6">
        <v>9.06</v>
      </c>
      <c r="BY207" s="6">
        <v>10.25</v>
      </c>
      <c r="BZ207" s="6">
        <v>11.34</v>
      </c>
      <c r="CA207" s="6">
        <v>11.35</v>
      </c>
      <c r="CB207" s="6">
        <v>9.879999999999999</v>
      </c>
      <c r="CC207" s="6">
        <v>8.25</v>
      </c>
      <c r="CD207" s="6">
        <v>10.5</v>
      </c>
      <c r="CE207" s="6">
        <v>11.07</v>
      </c>
      <c r="CF207" s="6">
        <v>9.52</v>
      </c>
      <c r="CG207" s="6">
        <v>10.15</v>
      </c>
      <c r="CH207" s="6"/>
    </row>
    <row r="208" spans="1:86" ht="15.75" customHeight="1" x14ac:dyDescent="0.25">
      <c r="A208" s="4">
        <v>206</v>
      </c>
      <c r="B208" s="2"/>
      <c r="C208" s="4">
        <v>25</v>
      </c>
      <c r="D208" s="6">
        <v>11.03</v>
      </c>
      <c r="E208" s="6">
        <v>10.88</v>
      </c>
      <c r="F208" s="6">
        <v>10.63</v>
      </c>
      <c r="G208" s="6">
        <v>10.93</v>
      </c>
      <c r="H208" s="6">
        <v>10.029999999999999</v>
      </c>
      <c r="I208" s="6">
        <v>10.53</v>
      </c>
      <c r="J208" s="6">
        <v>9.33</v>
      </c>
      <c r="K208" s="6">
        <v>10.029999999999999</v>
      </c>
      <c r="L208" s="6">
        <v>11.28</v>
      </c>
      <c r="M208" s="6">
        <v>10.029999999999999</v>
      </c>
      <c r="N208" s="6">
        <v>10.91</v>
      </c>
      <c r="O208" s="6">
        <v>11.23</v>
      </c>
      <c r="P208" s="6">
        <v>9.43</v>
      </c>
      <c r="Q208" s="6">
        <v>11.13</v>
      </c>
      <c r="R208" s="6">
        <v>9.92</v>
      </c>
      <c r="S208" s="6">
        <v>9.1300000000000008</v>
      </c>
      <c r="T208" s="6">
        <v>10.18</v>
      </c>
      <c r="U208" s="6">
        <v>9.75</v>
      </c>
      <c r="V208" s="6">
        <v>8.98</v>
      </c>
      <c r="W208" s="6">
        <v>10.63</v>
      </c>
      <c r="X208" s="6">
        <v>10.97</v>
      </c>
      <c r="Y208" s="6">
        <v>9.23</v>
      </c>
      <c r="Z208" s="6">
        <v>8.18</v>
      </c>
      <c r="AA208" s="6">
        <v>9.0399999999999991</v>
      </c>
      <c r="AB208" s="6">
        <v>10.9</v>
      </c>
      <c r="AC208" s="6">
        <v>10.34</v>
      </c>
      <c r="AD208" s="6">
        <v>10.199999999999999</v>
      </c>
      <c r="AE208" s="6">
        <v>10.43</v>
      </c>
      <c r="AF208" s="6">
        <v>10.68</v>
      </c>
      <c r="AG208" s="6">
        <v>10.27</v>
      </c>
      <c r="AH208" s="6">
        <v>8.7100000000000009</v>
      </c>
      <c r="AI208" s="6">
        <v>6.91</v>
      </c>
      <c r="AJ208" s="6">
        <v>9.67</v>
      </c>
      <c r="AK208" s="6">
        <v>11.83</v>
      </c>
      <c r="AL208" s="6">
        <v>10.33</v>
      </c>
      <c r="AM208" s="6">
        <v>10.130000000000001</v>
      </c>
      <c r="AN208" s="6">
        <v>10.93</v>
      </c>
      <c r="AO208" s="6">
        <v>11.3</v>
      </c>
      <c r="AP208" s="6">
        <v>11.46</v>
      </c>
      <c r="AQ208" s="6">
        <v>10.119999999999999</v>
      </c>
      <c r="AR208" s="6">
        <v>9.6300000000000008</v>
      </c>
      <c r="AS208" s="6">
        <v>8.9</v>
      </c>
      <c r="AT208" s="6">
        <v>8.57</v>
      </c>
      <c r="AU208" s="6">
        <v>10.27</v>
      </c>
      <c r="AV208" s="6">
        <v>10.07</v>
      </c>
      <c r="AW208" s="6">
        <v>8.91</v>
      </c>
      <c r="AX208" s="6">
        <v>9.32</v>
      </c>
      <c r="AY208" s="6">
        <v>10.53</v>
      </c>
      <c r="AZ208" s="6">
        <v>8.8699999999999992</v>
      </c>
      <c r="BA208" s="6">
        <v>8.6199999999999992</v>
      </c>
      <c r="BB208" s="6">
        <v>10.97</v>
      </c>
      <c r="BC208" s="6">
        <f>10.01+0.43</f>
        <v>10.44</v>
      </c>
      <c r="BD208" s="6">
        <v>9.6349599999999995</v>
      </c>
      <c r="BE208" s="6">
        <v>10.48</v>
      </c>
      <c r="BF208" s="6">
        <v>9.8800000000000008</v>
      </c>
      <c r="BG208" s="6">
        <v>11.06</v>
      </c>
      <c r="BH208" s="6">
        <v>9.2100000000000009</v>
      </c>
      <c r="BI208" s="6">
        <v>9.7899999999999991</v>
      </c>
      <c r="BJ208" s="6">
        <v>7.64</v>
      </c>
      <c r="BK208" s="6">
        <v>10.31</v>
      </c>
      <c r="BL208" s="6">
        <v>9.6199999999999992</v>
      </c>
      <c r="BM208" s="6">
        <v>10.17</v>
      </c>
      <c r="BN208" s="6">
        <v>8.9</v>
      </c>
      <c r="BO208" s="6">
        <v>10.76</v>
      </c>
      <c r="BP208" s="6">
        <v>10</v>
      </c>
      <c r="BQ208" s="6">
        <v>9.48</v>
      </c>
      <c r="BR208" s="6">
        <v>8.36</v>
      </c>
      <c r="BS208" s="6">
        <v>10.3</v>
      </c>
      <c r="BT208" s="6">
        <v>10.23</v>
      </c>
      <c r="BU208" s="6">
        <v>10.48</v>
      </c>
      <c r="BV208" s="6">
        <v>8.51</v>
      </c>
      <c r="BW208" s="6">
        <v>9.02</v>
      </c>
      <c r="BX208" s="6">
        <v>9.129999999999999</v>
      </c>
      <c r="BY208" s="6">
        <v>10.31</v>
      </c>
      <c r="BZ208" s="6">
        <v>11.52</v>
      </c>
      <c r="CA208" s="6">
        <v>11.29</v>
      </c>
      <c r="CB208" s="6">
        <v>10.07</v>
      </c>
      <c r="CC208" s="6">
        <v>8.27</v>
      </c>
      <c r="CD208" s="6">
        <v>10.6</v>
      </c>
      <c r="CE208" s="6">
        <v>11.07</v>
      </c>
      <c r="CF208" s="6">
        <v>9.57</v>
      </c>
      <c r="CG208" s="6">
        <v>10.27</v>
      </c>
      <c r="CH208" s="6"/>
    </row>
    <row r="209" spans="1:86" ht="15.75" customHeight="1" x14ac:dyDescent="0.25">
      <c r="A209" s="4">
        <v>207</v>
      </c>
      <c r="B209" s="2"/>
      <c r="C209" s="4">
        <v>26</v>
      </c>
      <c r="D209" s="6">
        <v>11.13</v>
      </c>
      <c r="E209" s="6">
        <v>10.93</v>
      </c>
      <c r="F209" s="6">
        <v>10.73</v>
      </c>
      <c r="G209" s="6">
        <v>11.13</v>
      </c>
      <c r="H209" s="6">
        <v>10.130000000000001</v>
      </c>
      <c r="I209" s="6">
        <v>10.53</v>
      </c>
      <c r="J209" s="6">
        <v>9.43</v>
      </c>
      <c r="K209" s="6">
        <v>10.029999999999999</v>
      </c>
      <c r="L209" s="6">
        <v>11.43</v>
      </c>
      <c r="M209" s="6">
        <v>9.93</v>
      </c>
      <c r="N209" s="6">
        <v>10.88</v>
      </c>
      <c r="O209" s="6">
        <v>11.23</v>
      </c>
      <c r="P209" s="6">
        <v>9.58</v>
      </c>
      <c r="Q209" s="6">
        <v>10.93</v>
      </c>
      <c r="R209" s="6">
        <v>10.130000000000001</v>
      </c>
      <c r="S209" s="6">
        <v>9.1300000000000008</v>
      </c>
      <c r="T209" s="6">
        <v>10.23</v>
      </c>
      <c r="U209" s="6">
        <v>9.85</v>
      </c>
      <c r="V209" s="6">
        <v>8.93</v>
      </c>
      <c r="W209" s="6">
        <v>10.66</v>
      </c>
      <c r="X209" s="6">
        <v>11.06</v>
      </c>
      <c r="Y209" s="6">
        <v>9.26</v>
      </c>
      <c r="Z209" s="6">
        <v>8.26</v>
      </c>
      <c r="AA209" s="6">
        <v>9.1300000000000008</v>
      </c>
      <c r="AB209" s="6">
        <v>10.95</v>
      </c>
      <c r="AC209" s="6">
        <v>10.49</v>
      </c>
      <c r="AD209" s="6">
        <v>10.18</v>
      </c>
      <c r="AE209" s="6">
        <v>10.53</v>
      </c>
      <c r="AF209" s="6">
        <v>10.73</v>
      </c>
      <c r="AG209" s="6">
        <v>10.29</v>
      </c>
      <c r="AH209" s="6">
        <v>8.77</v>
      </c>
      <c r="AI209" s="6">
        <v>7.2</v>
      </c>
      <c r="AJ209" s="6">
        <v>9.15</v>
      </c>
      <c r="AK209" s="6">
        <v>11.88</v>
      </c>
      <c r="AL209" s="6">
        <v>10.41</v>
      </c>
      <c r="AM209" s="6">
        <v>10.029999999999999</v>
      </c>
      <c r="AN209" s="6">
        <v>10.82</v>
      </c>
      <c r="AO209" s="6">
        <v>11.17</v>
      </c>
      <c r="AP209" s="6">
        <v>11.5</v>
      </c>
      <c r="AQ209" s="6">
        <v>10.199999999999999</v>
      </c>
      <c r="AR209" s="6">
        <v>9.82</v>
      </c>
      <c r="AS209" s="6">
        <v>8.9600000000000009</v>
      </c>
      <c r="AT209" s="6">
        <v>8.6300000000000008</v>
      </c>
      <c r="AU209" s="6">
        <v>10.36</v>
      </c>
      <c r="AV209" s="6">
        <v>10.16</v>
      </c>
      <c r="AW209" s="6">
        <v>9.08</v>
      </c>
      <c r="AX209" s="6">
        <v>9.52</v>
      </c>
      <c r="AY209" s="6">
        <v>10.68</v>
      </c>
      <c r="AZ209" s="6">
        <v>9.1199999999999992</v>
      </c>
      <c r="BA209" s="6">
        <v>8.69</v>
      </c>
      <c r="BB209" s="6">
        <v>11.02</v>
      </c>
      <c r="BC209" s="6">
        <f>10.03+0.43</f>
        <v>10.459999999999999</v>
      </c>
      <c r="BD209" s="6">
        <v>9.7568800000000007</v>
      </c>
      <c r="BE209" s="6">
        <v>10.48</v>
      </c>
      <c r="BF209" s="6">
        <v>9.93</v>
      </c>
      <c r="BG209" s="6">
        <v>11.06</v>
      </c>
      <c r="BH209" s="6">
        <v>9.2799999999999994</v>
      </c>
      <c r="BI209" s="6">
        <v>9.8000000000000007</v>
      </c>
      <c r="BJ209" s="6">
        <v>7.69</v>
      </c>
      <c r="BK209" s="6">
        <v>10.39</v>
      </c>
      <c r="BL209" s="6">
        <v>9.66</v>
      </c>
      <c r="BM209" s="6">
        <v>10.23</v>
      </c>
      <c r="BN209" s="6">
        <v>9.02</v>
      </c>
      <c r="BO209" s="6">
        <v>10.74</v>
      </c>
      <c r="BP209" s="6">
        <v>10.08</v>
      </c>
      <c r="BQ209" s="6">
        <v>9.57</v>
      </c>
      <c r="BR209" s="6">
        <v>8.3699999999999992</v>
      </c>
      <c r="BS209" s="6">
        <v>10.3</v>
      </c>
      <c r="BT209" s="6">
        <v>10.19</v>
      </c>
      <c r="BU209" s="6">
        <v>10.43</v>
      </c>
      <c r="BV209" s="6">
        <v>8.56</v>
      </c>
      <c r="BW209" s="6">
        <v>9.14</v>
      </c>
      <c r="BX209" s="6">
        <v>9.23</v>
      </c>
      <c r="BY209" s="6">
        <v>10.33</v>
      </c>
      <c r="BZ209" s="6">
        <v>11.62</v>
      </c>
      <c r="CA209" s="6">
        <v>11.5</v>
      </c>
      <c r="CB209" s="6">
        <v>9.9499999999999993</v>
      </c>
      <c r="CC209" s="6">
        <v>8.36</v>
      </c>
      <c r="CD209" s="6">
        <v>10.64</v>
      </c>
      <c r="CE209" s="6">
        <v>10.94</v>
      </c>
      <c r="CF209" s="6">
        <v>9.68</v>
      </c>
      <c r="CG209" s="6">
        <v>10.35</v>
      </c>
      <c r="CH209" s="6"/>
    </row>
    <row r="210" spans="1:86" ht="15.75" customHeight="1" x14ac:dyDescent="0.25">
      <c r="A210" s="4">
        <v>208</v>
      </c>
      <c r="B210" s="2"/>
      <c r="C210" s="4">
        <v>27</v>
      </c>
      <c r="D210" s="6">
        <v>11.23</v>
      </c>
      <c r="E210" s="6">
        <v>10.93</v>
      </c>
      <c r="F210" s="6">
        <v>10.83</v>
      </c>
      <c r="G210" s="6">
        <v>11.13</v>
      </c>
      <c r="H210" s="6">
        <v>10.23</v>
      </c>
      <c r="I210" s="6">
        <v>10.53</v>
      </c>
      <c r="J210" s="6">
        <v>9.43</v>
      </c>
      <c r="K210" s="6">
        <v>10.029999999999999</v>
      </c>
      <c r="L210" s="6">
        <v>11.53</v>
      </c>
      <c r="M210" s="6">
        <v>9.98</v>
      </c>
      <c r="N210" s="6">
        <v>10.83</v>
      </c>
      <c r="O210" s="6">
        <v>11.23</v>
      </c>
      <c r="P210" s="6">
        <v>9.61</v>
      </c>
      <c r="Q210" s="6">
        <v>11.01</v>
      </c>
      <c r="R210" s="6">
        <v>10.31</v>
      </c>
      <c r="S210" s="6">
        <v>9.08</v>
      </c>
      <c r="T210" s="6">
        <v>10.33</v>
      </c>
      <c r="U210" s="6">
        <v>9.93</v>
      </c>
      <c r="V210" s="6">
        <v>8.98</v>
      </c>
      <c r="W210" s="6">
        <v>10.81</v>
      </c>
      <c r="X210" s="6">
        <v>11.15</v>
      </c>
      <c r="Y210" s="6">
        <v>9.2899999999999991</v>
      </c>
      <c r="Z210" s="6">
        <v>8.33</v>
      </c>
      <c r="AA210" s="6">
        <v>9.2200000000000006</v>
      </c>
      <c r="AB210" s="6">
        <v>11</v>
      </c>
      <c r="AC210" s="6">
        <v>10.61</v>
      </c>
      <c r="AD210" s="6">
        <v>10.25</v>
      </c>
      <c r="AE210" s="6">
        <v>10.56</v>
      </c>
      <c r="AF210" s="6">
        <v>10.69</v>
      </c>
      <c r="AG210" s="6">
        <v>10.43</v>
      </c>
      <c r="AH210" s="6">
        <v>8.76</v>
      </c>
      <c r="AI210" s="6">
        <v>7.35</v>
      </c>
      <c r="AJ210" s="6">
        <v>9.7200000000000006</v>
      </c>
      <c r="AK210" s="6">
        <v>11.97</v>
      </c>
      <c r="AL210" s="6">
        <v>10.46</v>
      </c>
      <c r="AM210" s="6">
        <v>9.98</v>
      </c>
      <c r="AN210" s="6">
        <v>10.74</v>
      </c>
      <c r="AO210" s="6">
        <v>11.25</v>
      </c>
      <c r="AP210" s="6">
        <v>11.51</v>
      </c>
      <c r="AQ210" s="6">
        <v>10.1</v>
      </c>
      <c r="AR210" s="6">
        <v>9.93</v>
      </c>
      <c r="AS210" s="6">
        <v>9.07</v>
      </c>
      <c r="AT210" s="6">
        <v>8.69</v>
      </c>
      <c r="AU210" s="6">
        <v>10.48</v>
      </c>
      <c r="AV210" s="6">
        <v>10.1</v>
      </c>
      <c r="AW210" s="6">
        <v>9.36</v>
      </c>
      <c r="AX210" s="6">
        <v>9.6999999999999993</v>
      </c>
      <c r="AY210" s="6">
        <v>10.73</v>
      </c>
      <c r="AZ210" s="6">
        <v>9.27</v>
      </c>
      <c r="BA210" s="6">
        <v>8.77</v>
      </c>
      <c r="BB210" s="6">
        <v>10.98</v>
      </c>
      <c r="BC210" s="6">
        <f>9.96+0.43</f>
        <v>10.39</v>
      </c>
      <c r="BD210" s="6">
        <v>9.9397599999999997</v>
      </c>
      <c r="BE210" s="6">
        <v>10.61</v>
      </c>
      <c r="BF210" s="6">
        <v>10.029999999999999</v>
      </c>
      <c r="BG210" s="6">
        <v>11.03</v>
      </c>
      <c r="BH210" s="6">
        <v>9.3800000000000008</v>
      </c>
      <c r="BI210" s="6">
        <v>9.83</v>
      </c>
      <c r="BJ210" s="6">
        <v>7.7</v>
      </c>
      <c r="BK210" s="6">
        <v>10.39</v>
      </c>
      <c r="BL210" s="6">
        <v>9.73</v>
      </c>
      <c r="BM210" s="6">
        <v>10.29</v>
      </c>
      <c r="BN210" s="6">
        <v>8.99</v>
      </c>
      <c r="BO210" s="6">
        <v>10.66</v>
      </c>
      <c r="BP210" s="6">
        <v>10.119999999999999</v>
      </c>
      <c r="BQ210" s="6">
        <v>9.59</v>
      </c>
      <c r="BR210" s="6">
        <v>8.48</v>
      </c>
      <c r="BS210" s="6">
        <v>10.34</v>
      </c>
      <c r="BT210" s="6">
        <v>10.27</v>
      </c>
      <c r="BU210" s="6">
        <v>10.4</v>
      </c>
      <c r="BV210" s="6">
        <v>8.6199999999999992</v>
      </c>
      <c r="BW210" s="6">
        <v>9.129999999999999</v>
      </c>
      <c r="BX210" s="6">
        <v>9.32</v>
      </c>
      <c r="BY210" s="6">
        <v>10.43</v>
      </c>
      <c r="BZ210" s="6">
        <v>11.69</v>
      </c>
      <c r="CA210" s="6">
        <v>11.66</v>
      </c>
      <c r="CB210" s="6">
        <v>10.01</v>
      </c>
      <c r="CC210" s="6">
        <v>8.4599999999999991</v>
      </c>
      <c r="CD210" s="6">
        <v>10.69</v>
      </c>
      <c r="CE210" s="6">
        <v>10.89</v>
      </c>
      <c r="CF210" s="6">
        <v>9.7100000000000009</v>
      </c>
      <c r="CG210" s="6">
        <v>10.38</v>
      </c>
      <c r="CH210" s="6"/>
    </row>
    <row r="211" spans="1:86" ht="15.75" customHeight="1" x14ac:dyDescent="0.25">
      <c r="A211" s="4">
        <v>209</v>
      </c>
      <c r="B211" s="2"/>
      <c r="C211" s="4">
        <v>28</v>
      </c>
      <c r="D211" s="6">
        <v>11.33</v>
      </c>
      <c r="E211" s="6">
        <v>10.93</v>
      </c>
      <c r="F211" s="6">
        <v>10.83</v>
      </c>
      <c r="G211" s="6">
        <v>11.13</v>
      </c>
      <c r="H211" s="6">
        <v>10.28</v>
      </c>
      <c r="I211" s="6">
        <v>10.53</v>
      </c>
      <c r="J211" s="6">
        <v>9.48</v>
      </c>
      <c r="K211" s="6">
        <v>10.029999999999999</v>
      </c>
      <c r="L211" s="6">
        <v>11.68</v>
      </c>
      <c r="M211" s="6">
        <v>10.18</v>
      </c>
      <c r="N211" s="6">
        <v>10.88</v>
      </c>
      <c r="O211" s="6">
        <v>11.31</v>
      </c>
      <c r="P211" s="6">
        <v>9.6300000000000008</v>
      </c>
      <c r="Q211" s="6">
        <v>11.03</v>
      </c>
      <c r="R211" s="6">
        <v>10.48</v>
      </c>
      <c r="S211" s="6">
        <v>9.1300000000000008</v>
      </c>
      <c r="T211" s="6">
        <v>10.38</v>
      </c>
      <c r="U211" s="6">
        <v>9.98</v>
      </c>
      <c r="V211" s="6">
        <v>9.0299999999999994</v>
      </c>
      <c r="W211" s="6">
        <v>10.98</v>
      </c>
      <c r="X211" s="6">
        <v>11.19</v>
      </c>
      <c r="Y211" s="6">
        <v>9.5299999999999994</v>
      </c>
      <c r="Z211" s="6">
        <v>8.3800000000000008</v>
      </c>
      <c r="AA211" s="6">
        <v>9.25</v>
      </c>
      <c r="AB211" s="6">
        <v>11.08</v>
      </c>
      <c r="AC211" s="6">
        <v>10.69</v>
      </c>
      <c r="AD211" s="6">
        <v>10.31</v>
      </c>
      <c r="AE211" s="6">
        <v>10.53</v>
      </c>
      <c r="AF211" s="6">
        <v>10.69</v>
      </c>
      <c r="AG211" s="6">
        <v>10.56</v>
      </c>
      <c r="AH211" s="6">
        <v>8.6999999999999993</v>
      </c>
      <c r="AI211" s="6">
        <v>7.53</v>
      </c>
      <c r="AJ211" s="6">
        <v>9.73</v>
      </c>
      <c r="AK211" s="6">
        <v>11.99</v>
      </c>
      <c r="AL211" s="6">
        <v>10.4</v>
      </c>
      <c r="AM211" s="6">
        <v>9.92</v>
      </c>
      <c r="AN211" s="6">
        <v>10.71</v>
      </c>
      <c r="AO211" s="6">
        <v>11.28</v>
      </c>
      <c r="AP211" s="6">
        <v>11.36</v>
      </c>
      <c r="AQ211" s="6">
        <v>10.02</v>
      </c>
      <c r="AR211" s="6">
        <v>10.01</v>
      </c>
      <c r="AS211" s="6">
        <v>9.15</v>
      </c>
      <c r="AT211" s="6">
        <v>8.75</v>
      </c>
      <c r="AU211" s="6">
        <v>10.57</v>
      </c>
      <c r="AV211" s="6">
        <v>10.23</v>
      </c>
      <c r="AW211" s="6">
        <v>9.5</v>
      </c>
      <c r="AX211" s="6">
        <v>9.69</v>
      </c>
      <c r="AY211" s="6">
        <v>10.74</v>
      </c>
      <c r="AZ211" s="6">
        <v>9.24</v>
      </c>
      <c r="BA211" s="6">
        <v>8.86</v>
      </c>
      <c r="BB211" s="6">
        <v>10.98</v>
      </c>
      <c r="BC211" s="6">
        <f>9.78+0.43</f>
        <v>10.209999999999999</v>
      </c>
      <c r="BD211" s="6">
        <v>9.9702400000000004</v>
      </c>
      <c r="BE211" s="6">
        <v>10.61</v>
      </c>
      <c r="BF211" s="6">
        <v>10.119999999999999</v>
      </c>
      <c r="BG211" s="6">
        <v>11.08</v>
      </c>
      <c r="BH211" s="6">
        <v>9.48</v>
      </c>
      <c r="BI211" s="6">
        <v>9.83</v>
      </c>
      <c r="BJ211" s="6">
        <v>7.78</v>
      </c>
      <c r="BK211" s="6">
        <v>10.37</v>
      </c>
      <c r="BL211" s="6">
        <v>9.74</v>
      </c>
      <c r="BM211" s="6">
        <v>10.32</v>
      </c>
      <c r="BN211" s="6">
        <v>9.0500000000000007</v>
      </c>
      <c r="BO211" s="6">
        <v>10.61</v>
      </c>
      <c r="BP211" s="6">
        <v>10.16</v>
      </c>
      <c r="BQ211" s="6">
        <v>9.65</v>
      </c>
      <c r="BR211" s="6">
        <v>8.48</v>
      </c>
      <c r="BS211" s="6">
        <v>10.38</v>
      </c>
      <c r="BT211" s="6">
        <v>10.38</v>
      </c>
      <c r="BU211" s="6">
        <v>10.39</v>
      </c>
      <c r="BV211" s="6">
        <v>8.68</v>
      </c>
      <c r="BW211" s="6">
        <v>9.18</v>
      </c>
      <c r="BX211" s="6">
        <v>9.42</v>
      </c>
      <c r="BY211" s="6">
        <v>10.51</v>
      </c>
      <c r="BZ211" s="6">
        <v>11.74</v>
      </c>
      <c r="CA211" s="6">
        <v>11.75</v>
      </c>
      <c r="CB211" s="6">
        <v>10.1</v>
      </c>
      <c r="CC211" s="6">
        <v>8.52</v>
      </c>
      <c r="CD211" s="6">
        <v>10.74</v>
      </c>
      <c r="CE211" s="6">
        <v>10.879999999999999</v>
      </c>
      <c r="CF211" s="6">
        <v>9.77</v>
      </c>
      <c r="CG211" s="6">
        <v>10.44</v>
      </c>
      <c r="CH211" s="6"/>
    </row>
    <row r="212" spans="1:86" ht="15.75" customHeight="1" x14ac:dyDescent="0.25">
      <c r="A212" s="4">
        <v>210</v>
      </c>
      <c r="B212" s="2"/>
      <c r="C212" s="4">
        <v>29</v>
      </c>
      <c r="D212" s="6">
        <v>11.48</v>
      </c>
      <c r="E212" s="6">
        <v>11.13</v>
      </c>
      <c r="F212" s="6">
        <v>10.93</v>
      </c>
      <c r="G212" s="6">
        <v>11.13</v>
      </c>
      <c r="H212" s="6">
        <v>10.38</v>
      </c>
      <c r="I212" s="6">
        <v>10.53</v>
      </c>
      <c r="J212" s="6">
        <v>9.5299999999999994</v>
      </c>
      <c r="K212" s="6">
        <v>10.130000000000001</v>
      </c>
      <c r="L212" s="6">
        <v>11.73</v>
      </c>
      <c r="M212" s="6">
        <v>10.28</v>
      </c>
      <c r="N212" s="6">
        <v>10.91</v>
      </c>
      <c r="O212" s="6">
        <v>11.33</v>
      </c>
      <c r="P212" s="6">
        <v>9.68</v>
      </c>
      <c r="Q212" s="6">
        <v>11.07</v>
      </c>
      <c r="R212" s="6">
        <v>10.53</v>
      </c>
      <c r="S212" s="6">
        <v>9.1300000000000008</v>
      </c>
      <c r="T212" s="6">
        <v>10.43</v>
      </c>
      <c r="U212" s="6">
        <v>10.11</v>
      </c>
      <c r="V212" s="6">
        <v>9.1300000000000008</v>
      </c>
      <c r="W212" s="6">
        <v>11.13</v>
      </c>
      <c r="X212" s="6">
        <v>11.15</v>
      </c>
      <c r="Y212" s="6">
        <v>9.61</v>
      </c>
      <c r="Z212" s="6">
        <v>8.43</v>
      </c>
      <c r="AA212" s="6">
        <v>9.26</v>
      </c>
      <c r="AB212" s="6">
        <v>11.11</v>
      </c>
      <c r="AC212" s="6">
        <v>10.77</v>
      </c>
      <c r="AD212" s="6">
        <v>10.17</v>
      </c>
      <c r="AE212" s="6">
        <v>10.65</v>
      </c>
      <c r="AF212" s="6">
        <v>10.7</v>
      </c>
      <c r="AG212" s="6">
        <v>10.67</v>
      </c>
      <c r="AH212" s="6">
        <v>8.7100000000000009</v>
      </c>
      <c r="AI212" s="6">
        <v>7.74</v>
      </c>
      <c r="AJ212" s="6">
        <v>9.81</v>
      </c>
      <c r="AK212" s="6">
        <v>12.04</v>
      </c>
      <c r="AL212" s="6">
        <v>10.43</v>
      </c>
      <c r="AM212" s="6">
        <v>9.91</v>
      </c>
      <c r="AN212" s="6">
        <v>10.69</v>
      </c>
      <c r="AO212" s="6">
        <v>11.21</v>
      </c>
      <c r="AP212" s="6">
        <v>11.33</v>
      </c>
      <c r="AQ212" s="6">
        <v>10.14</v>
      </c>
      <c r="AR212" s="6">
        <v>10.029999999999999</v>
      </c>
      <c r="AS212" s="6">
        <v>9.2200000000000006</v>
      </c>
      <c r="AT212" s="6">
        <v>8.82</v>
      </c>
      <c r="AU212" s="6">
        <v>10.65</v>
      </c>
      <c r="AV212" s="6">
        <v>10.29</v>
      </c>
      <c r="AW212" s="6">
        <v>9.6</v>
      </c>
      <c r="AX212" s="6">
        <v>9.7799999999999994</v>
      </c>
      <c r="AY212" s="6">
        <v>10.74</v>
      </c>
      <c r="AZ212" s="6">
        <v>9.19</v>
      </c>
      <c r="BA212" s="6">
        <v>8.98</v>
      </c>
      <c r="BB212" s="6">
        <v>11</v>
      </c>
      <c r="BC212" s="6">
        <f>9.91+0.43</f>
        <v>10.34</v>
      </c>
      <c r="BD212" s="6">
        <v>10.09216</v>
      </c>
      <c r="BE212" s="6">
        <v>10.61</v>
      </c>
      <c r="BF212" s="6">
        <v>10.09</v>
      </c>
      <c r="BG212" s="6">
        <v>11.12</v>
      </c>
      <c r="BH212" s="6">
        <v>9.49</v>
      </c>
      <c r="BI212" s="6">
        <v>10.029999999999999</v>
      </c>
      <c r="BJ212" s="6">
        <v>7.74</v>
      </c>
      <c r="BK212" s="6">
        <v>10.39</v>
      </c>
      <c r="BL212" s="6">
        <v>9.91</v>
      </c>
      <c r="BM212" s="6">
        <v>10.37</v>
      </c>
      <c r="BN212" s="6">
        <v>9.07</v>
      </c>
      <c r="BO212" s="6">
        <v>10.55</v>
      </c>
      <c r="BP212" s="6">
        <v>10.16</v>
      </c>
      <c r="BQ212" s="6">
        <v>9.77</v>
      </c>
      <c r="BR212" s="6">
        <v>8.48</v>
      </c>
      <c r="BS212" s="6">
        <v>10.44</v>
      </c>
      <c r="BT212" s="6">
        <v>10.55</v>
      </c>
      <c r="BU212" s="6">
        <v>10.35</v>
      </c>
      <c r="BV212" s="6">
        <v>8.68</v>
      </c>
      <c r="BW212" s="6">
        <v>9.31</v>
      </c>
      <c r="BX212" s="6">
        <v>9.49</v>
      </c>
      <c r="BY212" s="6">
        <v>10.53</v>
      </c>
      <c r="BZ212" s="6">
        <v>11.66</v>
      </c>
      <c r="CA212" s="6">
        <v>11.78</v>
      </c>
      <c r="CB212" s="6">
        <v>10.24</v>
      </c>
      <c r="CC212" s="6">
        <v>8.6199999999999992</v>
      </c>
      <c r="CD212" s="6">
        <v>10.79</v>
      </c>
      <c r="CE212" s="6">
        <v>10.89</v>
      </c>
      <c r="CF212" s="6">
        <v>9.83</v>
      </c>
      <c r="CG212" s="6">
        <v>10.52</v>
      </c>
      <c r="CH212" s="6"/>
    </row>
    <row r="213" spans="1:86" ht="15.75" customHeight="1" x14ac:dyDescent="0.25">
      <c r="A213" s="4">
        <v>211</v>
      </c>
      <c r="B213" s="2"/>
      <c r="C213" s="4">
        <v>30</v>
      </c>
      <c r="D213" s="6">
        <v>11.53</v>
      </c>
      <c r="E213" s="6">
        <v>11.18</v>
      </c>
      <c r="F213" s="6">
        <v>11.03</v>
      </c>
      <c r="G213" s="6">
        <v>11.13</v>
      </c>
      <c r="H213" s="6">
        <v>10.43</v>
      </c>
      <c r="I213" s="6">
        <v>10.53</v>
      </c>
      <c r="J213" s="6">
        <v>9.58</v>
      </c>
      <c r="K213" s="6">
        <v>10.23</v>
      </c>
      <c r="L213" s="6">
        <v>11.88</v>
      </c>
      <c r="M213" s="6">
        <v>10.33</v>
      </c>
      <c r="N213" s="6">
        <v>10.93</v>
      </c>
      <c r="O213" s="6">
        <v>11.33</v>
      </c>
      <c r="P213" s="6">
        <v>9.7100000000000009</v>
      </c>
      <c r="Q213" s="6">
        <v>11.03</v>
      </c>
      <c r="R213" s="6">
        <v>10.68</v>
      </c>
      <c r="S213" s="6">
        <v>9.1</v>
      </c>
      <c r="T213" s="6">
        <v>10.43</v>
      </c>
      <c r="U213" s="6">
        <v>10.029999999999999</v>
      </c>
      <c r="V213" s="6">
        <v>9.2799999999999994</v>
      </c>
      <c r="W213" s="6">
        <v>11.28</v>
      </c>
      <c r="X213" s="6">
        <v>11.12</v>
      </c>
      <c r="Y213" s="6">
        <v>9.68</v>
      </c>
      <c r="Z213" s="6">
        <v>8.4600000000000009</v>
      </c>
      <c r="AA213" s="6">
        <v>9.3000000000000007</v>
      </c>
      <c r="AB213" s="6">
        <v>11.09</v>
      </c>
      <c r="AC213" s="6">
        <v>10.83</v>
      </c>
      <c r="AD213" s="6">
        <v>10.119999999999999</v>
      </c>
      <c r="AE213" s="6">
        <v>10.7</v>
      </c>
      <c r="AF213" s="6">
        <v>10.7</v>
      </c>
      <c r="AG213" s="6">
        <v>10.7</v>
      </c>
      <c r="AH213" s="6">
        <v>8.67</v>
      </c>
      <c r="AI213" s="6">
        <v>7.77</v>
      </c>
      <c r="AJ213" s="6">
        <v>9.59</v>
      </c>
      <c r="AK213" s="6">
        <v>12.11</v>
      </c>
      <c r="AL213" s="6">
        <v>10.46</v>
      </c>
      <c r="AM213" s="6">
        <v>9.86</v>
      </c>
      <c r="AN213" s="6">
        <v>10.65</v>
      </c>
      <c r="AO213" s="6">
        <v>11.15</v>
      </c>
      <c r="AP213" s="6">
        <v>11.47</v>
      </c>
      <c r="AQ213" s="6">
        <v>10.17</v>
      </c>
      <c r="AR213" s="6">
        <v>9.82</v>
      </c>
      <c r="AS213" s="6">
        <v>9.23</v>
      </c>
      <c r="AT213" s="6">
        <v>8.8800000000000008</v>
      </c>
      <c r="AU213" s="6">
        <v>10.57</v>
      </c>
      <c r="AV213" s="6">
        <v>10.31</v>
      </c>
      <c r="AW213" s="6">
        <v>9.59</v>
      </c>
      <c r="AX213" s="6">
        <v>9.81</v>
      </c>
      <c r="AY213" s="6">
        <v>10.84</v>
      </c>
      <c r="AZ213" s="6">
        <v>9.26</v>
      </c>
      <c r="BA213" s="6">
        <v>9.07</v>
      </c>
      <c r="BB213" s="6">
        <v>10.97</v>
      </c>
      <c r="BC213" s="6">
        <f>10.1+0.43</f>
        <v>10.53</v>
      </c>
      <c r="BD213" s="6">
        <v>10.122640000000001</v>
      </c>
      <c r="BE213" s="6">
        <v>10.79</v>
      </c>
      <c r="BF213" s="6">
        <v>10.029999999999999</v>
      </c>
      <c r="BG213" s="6">
        <v>11.12</v>
      </c>
      <c r="BH213" s="6">
        <v>9.58</v>
      </c>
      <c r="BI213" s="6">
        <v>10.130000000000001</v>
      </c>
      <c r="BJ213" s="6">
        <v>7.71</v>
      </c>
      <c r="BK213" s="6">
        <v>10.42</v>
      </c>
      <c r="BL213" s="6">
        <v>9.9700000000000006</v>
      </c>
      <c r="BM213" s="6">
        <v>10.37</v>
      </c>
      <c r="BN213" s="6">
        <v>9.16</v>
      </c>
      <c r="BO213" s="6">
        <v>10.58</v>
      </c>
      <c r="BP213" s="6">
        <v>10.210000000000001</v>
      </c>
      <c r="BQ213" s="6">
        <v>9.85</v>
      </c>
      <c r="BR213" s="6">
        <v>8.57</v>
      </c>
      <c r="BS213" s="6">
        <v>10.47</v>
      </c>
      <c r="BT213" s="6">
        <v>10.57</v>
      </c>
      <c r="BU213" s="6">
        <v>10.31</v>
      </c>
      <c r="BV213" s="6">
        <v>8.77</v>
      </c>
      <c r="BW213" s="6">
        <v>9.39</v>
      </c>
      <c r="BX213" s="6">
        <v>9.5739999999999998</v>
      </c>
      <c r="BY213" s="6">
        <v>10.549999999999999</v>
      </c>
      <c r="BZ213" s="6">
        <v>11.629999999999999</v>
      </c>
      <c r="CA213" s="6">
        <v>11.85</v>
      </c>
      <c r="CB213" s="6">
        <v>10.4</v>
      </c>
      <c r="CC213" s="6">
        <v>8.6</v>
      </c>
      <c r="CD213" s="6">
        <v>10.86</v>
      </c>
      <c r="CE213" s="6">
        <v>10.959999999999999</v>
      </c>
      <c r="CF213" s="6">
        <v>10.06</v>
      </c>
      <c r="CG213" s="6">
        <v>10.6</v>
      </c>
      <c r="CH213" s="6"/>
    </row>
    <row r="214" spans="1:86" ht="15.75" customHeight="1" x14ac:dyDescent="0.25">
      <c r="A214" s="4">
        <v>212</v>
      </c>
      <c r="B214" s="2"/>
      <c r="C214" s="4">
        <v>31</v>
      </c>
      <c r="D214" s="6">
        <v>11.58</v>
      </c>
      <c r="E214" s="6">
        <v>11.23</v>
      </c>
      <c r="F214" s="6">
        <v>11.13</v>
      </c>
      <c r="G214" s="6">
        <v>11.13</v>
      </c>
      <c r="H214" s="6">
        <v>10.43</v>
      </c>
      <c r="I214" s="6">
        <v>10.53</v>
      </c>
      <c r="J214" s="6">
        <v>9.6300000000000008</v>
      </c>
      <c r="K214" s="6">
        <v>10.33</v>
      </c>
      <c r="L214" s="6">
        <v>11.93</v>
      </c>
      <c r="M214" s="6">
        <v>10.43</v>
      </c>
      <c r="N214" s="6">
        <v>10.96</v>
      </c>
      <c r="O214" s="6">
        <v>11.33</v>
      </c>
      <c r="P214" s="6">
        <v>9.81</v>
      </c>
      <c r="Q214" s="6">
        <v>11.13</v>
      </c>
      <c r="R214" s="6">
        <v>10.71</v>
      </c>
      <c r="S214" s="6">
        <v>9.0299999999999994</v>
      </c>
      <c r="T214" s="6">
        <v>10.43</v>
      </c>
      <c r="U214" s="6">
        <v>10.130000000000001</v>
      </c>
      <c r="V214" s="6">
        <v>9.43</v>
      </c>
      <c r="W214" s="6">
        <v>11.33</v>
      </c>
      <c r="X214" s="6">
        <v>11.12</v>
      </c>
      <c r="Y214" s="6">
        <v>9.7799999999999994</v>
      </c>
      <c r="Z214" s="6">
        <v>8.48</v>
      </c>
      <c r="AA214" s="6">
        <v>9.35</v>
      </c>
      <c r="AB214" s="6">
        <v>11.1</v>
      </c>
      <c r="AC214" s="6">
        <v>10.85</v>
      </c>
      <c r="AD214" s="6">
        <v>10.09</v>
      </c>
      <c r="AE214" s="6">
        <v>10.56</v>
      </c>
      <c r="AF214" s="6">
        <v>10.69</v>
      </c>
      <c r="AG214" s="6">
        <v>10.8</v>
      </c>
      <c r="AH214" s="6">
        <v>8.61</v>
      </c>
      <c r="AI214" s="6">
        <v>7.88</v>
      </c>
      <c r="AJ214" s="6">
        <v>9.4700000000000006</v>
      </c>
      <c r="AK214" s="6">
        <v>12.27</v>
      </c>
      <c r="AL214" s="6">
        <v>10.46</v>
      </c>
      <c r="AM214" s="6">
        <v>9.91</v>
      </c>
      <c r="AN214" s="6">
        <v>10.61</v>
      </c>
      <c r="AO214" s="6">
        <v>11.23</v>
      </c>
      <c r="AP214" s="6">
        <v>11.51</v>
      </c>
      <c r="AQ214" s="6">
        <v>10.19</v>
      </c>
      <c r="AR214" s="6">
        <v>9.7799999999999994</v>
      </c>
      <c r="AS214" s="6">
        <v>9.32</v>
      </c>
      <c r="AT214" s="6">
        <v>8.94</v>
      </c>
      <c r="AU214" s="6">
        <v>10.67</v>
      </c>
      <c r="AV214" s="6">
        <v>10.35</v>
      </c>
      <c r="AW214" s="6">
        <v>9.36</v>
      </c>
      <c r="AX214" s="6">
        <v>9.83</v>
      </c>
      <c r="AY214" s="6">
        <v>11</v>
      </c>
      <c r="AZ214" s="6">
        <v>9.3000000000000007</v>
      </c>
      <c r="BA214" s="6">
        <v>9.15</v>
      </c>
      <c r="BB214" s="6">
        <v>10.93</v>
      </c>
      <c r="BC214" s="6">
        <f>10.16+0.43</f>
        <v>10.59</v>
      </c>
      <c r="BD214" s="6">
        <v>10.122640000000001</v>
      </c>
      <c r="BE214" s="6">
        <v>10.93</v>
      </c>
      <c r="BF214" s="6">
        <v>9.93</v>
      </c>
      <c r="BG214" s="6">
        <v>11.19</v>
      </c>
      <c r="BH214" s="6">
        <v>9.6</v>
      </c>
      <c r="BI214" s="6">
        <v>10.28</v>
      </c>
      <c r="BJ214" s="6">
        <v>7.83</v>
      </c>
      <c r="BK214" s="6">
        <v>10.46</v>
      </c>
      <c r="BL214" s="6">
        <v>10.029999999999999</v>
      </c>
      <c r="BM214" s="6">
        <v>10.38</v>
      </c>
      <c r="BN214" s="6">
        <v>9.19</v>
      </c>
      <c r="BO214" s="6">
        <v>10.61</v>
      </c>
      <c r="BP214" s="6">
        <v>10.32</v>
      </c>
      <c r="BQ214" s="6">
        <v>9.9</v>
      </c>
      <c r="BR214" s="6">
        <v>8.58</v>
      </c>
      <c r="BS214" s="6">
        <v>10.5</v>
      </c>
      <c r="BT214" s="6">
        <v>10.56</v>
      </c>
      <c r="BU214" s="6">
        <v>10.4</v>
      </c>
      <c r="BV214" s="6">
        <v>8.879999999999999</v>
      </c>
      <c r="BW214" s="6">
        <v>9.4599999999999991</v>
      </c>
      <c r="BX214" s="6">
        <v>9.67</v>
      </c>
      <c r="BY214" s="6">
        <v>10.61</v>
      </c>
      <c r="BZ214" s="6">
        <v>11.7</v>
      </c>
      <c r="CA214" s="6">
        <v>11.81</v>
      </c>
      <c r="CB214" s="6">
        <v>10.39</v>
      </c>
      <c r="CC214" s="6">
        <v>8.68</v>
      </c>
      <c r="CD214" s="6">
        <v>10.89</v>
      </c>
      <c r="CE214" s="6">
        <v>11.049999999999999</v>
      </c>
      <c r="CF214" s="6">
        <v>10.17</v>
      </c>
      <c r="CG214" s="6">
        <v>10.63</v>
      </c>
      <c r="CH214" s="6"/>
    </row>
    <row r="215" spans="1:86" ht="15.75" customHeight="1" x14ac:dyDescent="0.25">
      <c r="A215" s="4">
        <v>213</v>
      </c>
      <c r="B215" s="2" t="s">
        <v>11</v>
      </c>
      <c r="C215" s="4">
        <v>1</v>
      </c>
      <c r="D215" s="6">
        <v>11.63</v>
      </c>
      <c r="E215" s="6">
        <v>11.13</v>
      </c>
      <c r="F215" s="6">
        <v>11.13</v>
      </c>
      <c r="G215" s="6">
        <v>11.13</v>
      </c>
      <c r="H215" s="6">
        <v>10.53</v>
      </c>
      <c r="I215" s="6">
        <v>10.53</v>
      </c>
      <c r="J215" s="6">
        <v>9.6300000000000008</v>
      </c>
      <c r="K215" s="6">
        <v>10.53</v>
      </c>
      <c r="L215" s="6">
        <v>11.93</v>
      </c>
      <c r="M215" s="6">
        <v>10.58</v>
      </c>
      <c r="N215" s="6">
        <v>11.01</v>
      </c>
      <c r="O215" s="6">
        <v>11.38</v>
      </c>
      <c r="P215" s="6">
        <v>9.8800000000000008</v>
      </c>
      <c r="Q215" s="6">
        <v>11.05</v>
      </c>
      <c r="R215" s="6">
        <v>10.61</v>
      </c>
      <c r="S215" s="6">
        <v>9.0299999999999994</v>
      </c>
      <c r="T215" s="6">
        <v>10.48</v>
      </c>
      <c r="U215" s="6">
        <v>10.08</v>
      </c>
      <c r="V215" s="6">
        <v>9.6300000000000008</v>
      </c>
      <c r="W215" s="6">
        <v>11.36</v>
      </c>
      <c r="X215" s="6">
        <v>11.15</v>
      </c>
      <c r="Y215" s="6">
        <v>9.85</v>
      </c>
      <c r="Z215" s="6">
        <v>8.5299999999999994</v>
      </c>
      <c r="AA215" s="6">
        <v>9.43</v>
      </c>
      <c r="AB215" s="6">
        <v>11.11</v>
      </c>
      <c r="AC215" s="6">
        <v>10.85</v>
      </c>
      <c r="AD215" s="6">
        <v>10.07</v>
      </c>
      <c r="AE215" s="6">
        <v>10.62</v>
      </c>
      <c r="AF215" s="6">
        <v>10.62</v>
      </c>
      <c r="AG215" s="6">
        <v>10.84</v>
      </c>
      <c r="AH215" s="6">
        <v>8.5500000000000007</v>
      </c>
      <c r="AI215" s="6">
        <v>8</v>
      </c>
      <c r="AJ215" s="6">
        <v>9.67</v>
      </c>
      <c r="AK215" s="6">
        <v>12.43</v>
      </c>
      <c r="AL215" s="6">
        <v>10.47</v>
      </c>
      <c r="AM215" s="6">
        <v>9.98</v>
      </c>
      <c r="AN215" s="6">
        <v>10.59</v>
      </c>
      <c r="AO215" s="6">
        <v>11.18</v>
      </c>
      <c r="AP215" s="6">
        <v>11.5</v>
      </c>
      <c r="AQ215" s="6">
        <v>10.18</v>
      </c>
      <c r="AR215" s="6">
        <v>9.91</v>
      </c>
      <c r="AS215" s="6">
        <v>9.36</v>
      </c>
      <c r="AT215" s="6">
        <v>9.01</v>
      </c>
      <c r="AU215" s="6">
        <v>10.65</v>
      </c>
      <c r="AV215" s="6">
        <v>10.31</v>
      </c>
      <c r="AW215" s="6">
        <v>9.2799999999999994</v>
      </c>
      <c r="AX215" s="6">
        <v>9.8800000000000008</v>
      </c>
      <c r="AY215" s="6">
        <v>11.07</v>
      </c>
      <c r="AZ215" s="6">
        <v>9.36</v>
      </c>
      <c r="BA215" s="6">
        <v>9.23</v>
      </c>
      <c r="BB215" s="6">
        <v>10.79</v>
      </c>
      <c r="BC215" s="6">
        <f>10.25+0.43</f>
        <v>10.68</v>
      </c>
      <c r="BD215" s="6">
        <v>10.210000000000001</v>
      </c>
      <c r="BE215" s="6">
        <v>10.88</v>
      </c>
      <c r="BF215" s="6">
        <v>9.93</v>
      </c>
      <c r="BG215" s="6">
        <v>11.19</v>
      </c>
      <c r="BH215" s="6">
        <v>9.66</v>
      </c>
      <c r="BI215" s="6">
        <v>10.36</v>
      </c>
      <c r="BJ215" s="6">
        <v>7.83</v>
      </c>
      <c r="BK215" s="6">
        <v>10.48</v>
      </c>
      <c r="BL215" s="6">
        <v>10.07</v>
      </c>
      <c r="BM215" s="6">
        <v>10.4</v>
      </c>
      <c r="BN215" s="6">
        <v>9.1999999999999993</v>
      </c>
      <c r="BO215" s="6">
        <v>10.79</v>
      </c>
      <c r="BP215" s="6">
        <v>10.38</v>
      </c>
      <c r="BQ215" s="6">
        <v>10</v>
      </c>
      <c r="BR215" s="6">
        <v>8.58</v>
      </c>
      <c r="BS215" s="6">
        <v>10.54</v>
      </c>
      <c r="BT215" s="6">
        <v>10.54</v>
      </c>
      <c r="BU215" s="6">
        <v>10.52</v>
      </c>
      <c r="BV215" s="6">
        <v>8.94</v>
      </c>
      <c r="BW215" s="6">
        <v>9.5499999999999989</v>
      </c>
      <c r="BX215" s="6">
        <v>9.67</v>
      </c>
      <c r="BY215" s="6">
        <v>10.709999999999999</v>
      </c>
      <c r="BZ215" s="6">
        <v>11.75</v>
      </c>
      <c r="CA215" s="6">
        <v>11.92</v>
      </c>
      <c r="CB215" s="6">
        <v>10.34</v>
      </c>
      <c r="CC215" s="6">
        <v>8.77</v>
      </c>
      <c r="CD215" s="6">
        <v>10.93</v>
      </c>
      <c r="CE215" s="6">
        <v>11.27</v>
      </c>
      <c r="CF215" s="6">
        <v>10.210000000000001</v>
      </c>
      <c r="CG215" s="6">
        <v>10.7</v>
      </c>
      <c r="CH215" s="6"/>
    </row>
    <row r="216" spans="1:86" ht="15.75" customHeight="1" x14ac:dyDescent="0.25">
      <c r="A216" s="4">
        <v>214</v>
      </c>
      <c r="B216" s="2"/>
      <c r="C216" s="4">
        <v>2</v>
      </c>
      <c r="D216" s="6">
        <v>11.63</v>
      </c>
      <c r="E216" s="6">
        <v>10.98</v>
      </c>
      <c r="F216" s="6">
        <v>11.13</v>
      </c>
      <c r="G216" s="6">
        <v>11.23</v>
      </c>
      <c r="H216" s="6">
        <v>10.63</v>
      </c>
      <c r="I216" s="6">
        <v>10.58</v>
      </c>
      <c r="J216" s="6">
        <v>9.73</v>
      </c>
      <c r="K216" s="6">
        <v>10.68</v>
      </c>
      <c r="L216" s="6">
        <v>11.88</v>
      </c>
      <c r="M216" s="6">
        <v>10.63</v>
      </c>
      <c r="N216" s="6">
        <v>11.03</v>
      </c>
      <c r="O216" s="6">
        <v>11.41</v>
      </c>
      <c r="P216" s="6">
        <v>9.98</v>
      </c>
      <c r="Q216" s="6">
        <v>11.03</v>
      </c>
      <c r="R216" s="6">
        <v>10.55</v>
      </c>
      <c r="S216" s="6">
        <v>9.0299999999999994</v>
      </c>
      <c r="T216" s="6">
        <v>10.43</v>
      </c>
      <c r="U216" s="6">
        <v>10.01</v>
      </c>
      <c r="V216" s="6">
        <v>9.73</v>
      </c>
      <c r="W216" s="6">
        <v>11.31</v>
      </c>
      <c r="X216" s="6">
        <v>11.21</v>
      </c>
      <c r="Y216" s="6">
        <v>9.91</v>
      </c>
      <c r="Z216" s="6">
        <v>8.73</v>
      </c>
      <c r="AA216" s="6">
        <v>9.42</v>
      </c>
      <c r="AB216" s="6">
        <v>11.11</v>
      </c>
      <c r="AC216" s="6">
        <v>10.82</v>
      </c>
      <c r="AD216" s="6">
        <v>10.06</v>
      </c>
      <c r="AE216" s="6">
        <v>10.39</v>
      </c>
      <c r="AF216" s="6">
        <v>10.65</v>
      </c>
      <c r="AG216" s="6">
        <v>11.03</v>
      </c>
      <c r="AH216" s="6">
        <v>8.51</v>
      </c>
      <c r="AI216" s="6">
        <v>8.1999999999999993</v>
      </c>
      <c r="AJ216" s="6">
        <v>9.7899999999999991</v>
      </c>
      <c r="AK216" s="6">
        <v>12.55</v>
      </c>
      <c r="AL216" s="6">
        <v>10.54</v>
      </c>
      <c r="AM216" s="6">
        <v>10.050000000000001</v>
      </c>
      <c r="AN216" s="6">
        <v>10.61</v>
      </c>
      <c r="AO216" s="6">
        <v>11.26</v>
      </c>
      <c r="AP216" s="6">
        <v>11.55</v>
      </c>
      <c r="AQ216" s="6">
        <v>10.42</v>
      </c>
      <c r="AR216" s="6">
        <v>10</v>
      </c>
      <c r="AS216" s="6">
        <v>9.42</v>
      </c>
      <c r="AT216" s="6">
        <v>9.0500000000000007</v>
      </c>
      <c r="AU216" s="6">
        <v>10.61</v>
      </c>
      <c r="AV216" s="6">
        <v>10.41</v>
      </c>
      <c r="AW216" s="6">
        <v>9.3699999999999992</v>
      </c>
      <c r="AX216" s="6">
        <v>9.91</v>
      </c>
      <c r="AY216" s="6">
        <v>11.1</v>
      </c>
      <c r="AZ216" s="6">
        <v>9.4</v>
      </c>
      <c r="BA216" s="6">
        <v>9.31</v>
      </c>
      <c r="BB216" s="6">
        <v>10.76</v>
      </c>
      <c r="BC216" s="6">
        <f>10.35+0.43</f>
        <v>10.78</v>
      </c>
      <c r="BD216" s="6">
        <v>10.23</v>
      </c>
      <c r="BE216" s="6">
        <v>10.93</v>
      </c>
      <c r="BF216" s="6">
        <v>10.119999999999999</v>
      </c>
      <c r="BG216" s="6">
        <v>11.13</v>
      </c>
      <c r="BH216" s="6">
        <v>9.83</v>
      </c>
      <c r="BI216" s="6">
        <v>10.51</v>
      </c>
      <c r="BJ216" s="6">
        <v>7.85</v>
      </c>
      <c r="BK216" s="6">
        <v>10.51</v>
      </c>
      <c r="BL216" s="6">
        <v>10.07</v>
      </c>
      <c r="BM216" s="6">
        <v>10.47</v>
      </c>
      <c r="BN216" s="6">
        <v>9.2799999999999994</v>
      </c>
      <c r="BO216" s="6">
        <v>10.88</v>
      </c>
      <c r="BP216" s="6">
        <v>10.39</v>
      </c>
      <c r="BQ216" s="6">
        <v>10.039999999999999</v>
      </c>
      <c r="BR216" s="6">
        <v>8.6</v>
      </c>
      <c r="BS216" s="6">
        <v>10.54</v>
      </c>
      <c r="BT216" s="6">
        <v>10.77</v>
      </c>
      <c r="BU216" s="6">
        <v>10.54</v>
      </c>
      <c r="BV216" s="6">
        <v>8.99</v>
      </c>
      <c r="BW216" s="6">
        <v>9.66</v>
      </c>
      <c r="BX216" s="6">
        <v>9.73</v>
      </c>
      <c r="BY216" s="6">
        <v>10.78</v>
      </c>
      <c r="BZ216" s="6">
        <v>11.81</v>
      </c>
      <c r="CA216" s="6">
        <v>11.87</v>
      </c>
      <c r="CB216" s="6">
        <v>10.34</v>
      </c>
      <c r="CC216" s="6">
        <v>9.18</v>
      </c>
      <c r="CD216" s="6">
        <v>10.959999999999999</v>
      </c>
      <c r="CE216" s="6">
        <v>11.37</v>
      </c>
      <c r="CF216" s="6">
        <v>10.26</v>
      </c>
      <c r="CG216" s="6">
        <v>10.73</v>
      </c>
      <c r="CH216" s="6"/>
    </row>
    <row r="217" spans="1:86" ht="15.75" customHeight="1" x14ac:dyDescent="0.25">
      <c r="A217" s="4">
        <v>215</v>
      </c>
      <c r="B217" s="2"/>
      <c r="C217" s="4">
        <v>3</v>
      </c>
      <c r="D217" s="6">
        <v>11.73</v>
      </c>
      <c r="E217" s="6">
        <v>10.93</v>
      </c>
      <c r="F217" s="6">
        <v>11.08</v>
      </c>
      <c r="G217" s="6">
        <v>11.23</v>
      </c>
      <c r="H217" s="6">
        <v>10.83</v>
      </c>
      <c r="I217" s="6">
        <v>10.58</v>
      </c>
      <c r="J217" s="6">
        <v>9.83</v>
      </c>
      <c r="K217" s="6">
        <v>10.83</v>
      </c>
      <c r="L217" s="6">
        <v>11.88</v>
      </c>
      <c r="M217" s="6">
        <v>10.73</v>
      </c>
      <c r="N217" s="6">
        <v>11.1</v>
      </c>
      <c r="O217" s="6">
        <v>11.41</v>
      </c>
      <c r="P217" s="6">
        <v>10.029999999999999</v>
      </c>
      <c r="Q217" s="6">
        <v>11.07</v>
      </c>
      <c r="R217" s="6">
        <v>10.43</v>
      </c>
      <c r="S217" s="6">
        <v>9.08</v>
      </c>
      <c r="T217" s="6">
        <v>10.43</v>
      </c>
      <c r="U217" s="6">
        <v>10.029999999999999</v>
      </c>
      <c r="V217" s="6">
        <v>9.7799999999999994</v>
      </c>
      <c r="W217" s="6">
        <v>11.23</v>
      </c>
      <c r="X217" s="6">
        <v>11.3</v>
      </c>
      <c r="Y217" s="6">
        <v>9.93</v>
      </c>
      <c r="Z217" s="6">
        <v>8.8800000000000008</v>
      </c>
      <c r="AA217" s="6">
        <v>9.44</v>
      </c>
      <c r="AB217" s="6">
        <v>11.11</v>
      </c>
      <c r="AC217" s="6">
        <v>10.81</v>
      </c>
      <c r="AD217" s="6">
        <v>10.050000000000001</v>
      </c>
      <c r="AE217" s="6">
        <v>10.69</v>
      </c>
      <c r="AF217" s="6">
        <v>10.67</v>
      </c>
      <c r="AG217" s="6">
        <v>11.07</v>
      </c>
      <c r="AH217" s="6">
        <v>8.4499999999999993</v>
      </c>
      <c r="AI217" s="6">
        <v>8.3000000000000007</v>
      </c>
      <c r="AJ217" s="6">
        <v>9.8699999999999992</v>
      </c>
      <c r="AK217" s="6">
        <v>12.58</v>
      </c>
      <c r="AL217" s="6">
        <v>10.59</v>
      </c>
      <c r="AM217" s="6">
        <v>10.130000000000001</v>
      </c>
      <c r="AN217" s="6">
        <v>10.64</v>
      </c>
      <c r="AO217" s="6">
        <v>11.41</v>
      </c>
      <c r="AP217" s="6">
        <v>11.56</v>
      </c>
      <c r="AQ217" s="6">
        <v>10.36</v>
      </c>
      <c r="AR217" s="6">
        <v>9.9700000000000006</v>
      </c>
      <c r="AS217" s="6">
        <v>9.49</v>
      </c>
      <c r="AT217" s="6">
        <v>9.08</v>
      </c>
      <c r="AU217" s="6">
        <v>10.67</v>
      </c>
      <c r="AV217" s="6">
        <v>10.48</v>
      </c>
      <c r="AW217" s="6">
        <v>9.4700000000000006</v>
      </c>
      <c r="AX217" s="6">
        <v>9.93</v>
      </c>
      <c r="AY217" s="6">
        <v>11.13</v>
      </c>
      <c r="AZ217" s="6">
        <v>9.4499999999999993</v>
      </c>
      <c r="BA217" s="6">
        <v>9.33</v>
      </c>
      <c r="BB217" s="6">
        <v>10.85</v>
      </c>
      <c r="BC217" s="6">
        <f>10.41+0.43</f>
        <v>10.84</v>
      </c>
      <c r="BD217" s="6">
        <v>10.23</v>
      </c>
      <c r="BE217" s="6">
        <v>11.03</v>
      </c>
      <c r="BF217" s="6">
        <v>10.119999999999999</v>
      </c>
      <c r="BG217" s="6">
        <v>11.19</v>
      </c>
      <c r="BH217" s="6">
        <v>9.98</v>
      </c>
      <c r="BI217" s="6">
        <v>10.55</v>
      </c>
      <c r="BJ217" s="6">
        <v>7.89</v>
      </c>
      <c r="BK217" s="6">
        <v>10.57</v>
      </c>
      <c r="BL217" s="6">
        <v>10.18</v>
      </c>
      <c r="BM217" s="6">
        <v>10.55</v>
      </c>
      <c r="BN217" s="6">
        <v>9.2899999999999991</v>
      </c>
      <c r="BO217" s="6">
        <v>10.9</v>
      </c>
      <c r="BP217" s="6">
        <v>10.44</v>
      </c>
      <c r="BQ217" s="6">
        <v>10.07</v>
      </c>
      <c r="BR217" s="6">
        <v>8.6199999999999992</v>
      </c>
      <c r="BS217" s="6">
        <v>10.63</v>
      </c>
      <c r="BT217" s="6">
        <v>11</v>
      </c>
      <c r="BU217" s="6">
        <v>10.69</v>
      </c>
      <c r="BV217" s="6">
        <v>9.0299999999999994</v>
      </c>
      <c r="BW217" s="6">
        <v>9.734</v>
      </c>
      <c r="BX217" s="6">
        <v>9.7099999999999991</v>
      </c>
      <c r="BY217" s="6">
        <v>10.81</v>
      </c>
      <c r="BZ217" s="6">
        <v>11.92</v>
      </c>
      <c r="CA217" s="6">
        <v>12.03</v>
      </c>
      <c r="CB217" s="6">
        <v>10.5</v>
      </c>
      <c r="CC217" s="6">
        <v>9.2999999999999989</v>
      </c>
      <c r="CD217" s="6">
        <v>11.049999999999999</v>
      </c>
      <c r="CE217" s="6">
        <v>11.41</v>
      </c>
      <c r="CF217" s="6">
        <v>10.36</v>
      </c>
      <c r="CG217" s="6">
        <v>10.79</v>
      </c>
      <c r="CH217" s="6"/>
    </row>
    <row r="218" spans="1:86" ht="15.75" customHeight="1" x14ac:dyDescent="0.25">
      <c r="A218" s="4">
        <v>216</v>
      </c>
      <c r="B218" s="2"/>
      <c r="C218" s="4">
        <v>4</v>
      </c>
      <c r="D218" s="6">
        <v>11.83</v>
      </c>
      <c r="E218" s="6">
        <v>10.83</v>
      </c>
      <c r="F218" s="6">
        <v>11.13</v>
      </c>
      <c r="G218" s="6">
        <v>11.23</v>
      </c>
      <c r="H218" s="6">
        <v>10.83</v>
      </c>
      <c r="I218" s="6">
        <v>10.58</v>
      </c>
      <c r="J218" s="6">
        <v>9.8800000000000008</v>
      </c>
      <c r="K218" s="6">
        <v>10.83</v>
      </c>
      <c r="L218" s="6">
        <v>11.88</v>
      </c>
      <c r="M218" s="6">
        <v>10.83</v>
      </c>
      <c r="N218" s="6">
        <v>11.08</v>
      </c>
      <c r="O218" s="6">
        <v>11.43</v>
      </c>
      <c r="P218" s="6">
        <v>10.130000000000001</v>
      </c>
      <c r="Q218" s="6">
        <v>11.11</v>
      </c>
      <c r="R218" s="6">
        <v>10.38</v>
      </c>
      <c r="S218" s="6">
        <v>9.08</v>
      </c>
      <c r="T218" s="6">
        <v>10.43</v>
      </c>
      <c r="U218" s="6">
        <v>10.01</v>
      </c>
      <c r="V218" s="6">
        <v>9.83</v>
      </c>
      <c r="W218" s="6">
        <v>11.13</v>
      </c>
      <c r="X218" s="6">
        <v>11.33</v>
      </c>
      <c r="Y218" s="6">
        <v>9.91</v>
      </c>
      <c r="Z218" s="6">
        <v>8.93</v>
      </c>
      <c r="AA218" s="6">
        <v>9.4600000000000009</v>
      </c>
      <c r="AB218" s="6">
        <v>11.14</v>
      </c>
      <c r="AC218" s="6">
        <v>10.81</v>
      </c>
      <c r="AD218" s="6">
        <v>10.06</v>
      </c>
      <c r="AE218" s="6">
        <v>10.64</v>
      </c>
      <c r="AF218" s="6">
        <v>10.69</v>
      </c>
      <c r="AG218" s="6">
        <v>11.1</v>
      </c>
      <c r="AH218" s="6">
        <v>8.4499999999999993</v>
      </c>
      <c r="AI218" s="6">
        <v>8.35</v>
      </c>
      <c r="AJ218" s="6">
        <v>9.99</v>
      </c>
      <c r="AK218" s="6">
        <v>12.58</v>
      </c>
      <c r="AL218" s="6">
        <v>10.64</v>
      </c>
      <c r="AM218" s="6">
        <v>10.15</v>
      </c>
      <c r="AN218" s="6">
        <v>10.75</v>
      </c>
      <c r="AO218" s="6">
        <v>11.43</v>
      </c>
      <c r="AP218" s="6">
        <v>11.53</v>
      </c>
      <c r="AQ218" s="6">
        <v>10.34</v>
      </c>
      <c r="AR218" s="6">
        <v>9.91</v>
      </c>
      <c r="AS218" s="6">
        <v>9.5500000000000007</v>
      </c>
      <c r="AT218" s="6">
        <v>9.1</v>
      </c>
      <c r="AU218" s="6">
        <v>10.65</v>
      </c>
      <c r="AV218" s="6">
        <v>10.43</v>
      </c>
      <c r="AW218" s="6">
        <v>9.5399999999999991</v>
      </c>
      <c r="AX218" s="6">
        <v>9.8699999999999992</v>
      </c>
      <c r="AY218" s="6">
        <v>11.19</v>
      </c>
      <c r="AZ218" s="6">
        <v>9.48</v>
      </c>
      <c r="BA218" s="6">
        <v>9.49</v>
      </c>
      <c r="BB218" s="6">
        <v>11</v>
      </c>
      <c r="BC218" s="6">
        <f>10.47+0.43</f>
        <v>10.9</v>
      </c>
      <c r="BD218" s="6">
        <v>10.27</v>
      </c>
      <c r="BE218" s="6">
        <v>11.03</v>
      </c>
      <c r="BF218" s="6">
        <v>10.06</v>
      </c>
      <c r="BG218" s="6">
        <v>11.2</v>
      </c>
      <c r="BH218" s="6">
        <v>10.06</v>
      </c>
      <c r="BI218" s="6">
        <v>10.49</v>
      </c>
      <c r="BJ218" s="6">
        <v>7.93</v>
      </c>
      <c r="BK218" s="6">
        <v>10.57</v>
      </c>
      <c r="BL218" s="6">
        <v>10.18</v>
      </c>
      <c r="BM218" s="6">
        <v>10.55</v>
      </c>
      <c r="BN218" s="6">
        <v>9.3000000000000007</v>
      </c>
      <c r="BO218" s="6">
        <v>10.86</v>
      </c>
      <c r="BP218" s="6">
        <v>10.47</v>
      </c>
      <c r="BQ218" s="6">
        <v>10.16</v>
      </c>
      <c r="BR218" s="6">
        <v>8.76</v>
      </c>
      <c r="BS218" s="6">
        <v>10.63</v>
      </c>
      <c r="BT218" s="6">
        <v>11.07</v>
      </c>
      <c r="BU218" s="6">
        <v>10.85</v>
      </c>
      <c r="BV218" s="6">
        <v>9.08</v>
      </c>
      <c r="BW218" s="6">
        <v>9.7799999999999994</v>
      </c>
      <c r="BX218" s="6">
        <v>9.7799999999999994</v>
      </c>
      <c r="BY218" s="6">
        <v>10.85</v>
      </c>
      <c r="BZ218" s="6">
        <v>11.85</v>
      </c>
      <c r="CA218" s="6">
        <v>12.049999999999999</v>
      </c>
      <c r="CB218" s="6">
        <v>10.66</v>
      </c>
      <c r="CC218" s="6">
        <v>9.2999999999999989</v>
      </c>
      <c r="CD218" s="6">
        <v>11.16</v>
      </c>
      <c r="CE218" s="6">
        <v>11.5</v>
      </c>
      <c r="CF218" s="6">
        <v>10.38</v>
      </c>
      <c r="CG218" s="6">
        <v>10.78</v>
      </c>
      <c r="CH218" s="6"/>
    </row>
    <row r="219" spans="1:86" ht="15.75" customHeight="1" x14ac:dyDescent="0.25">
      <c r="A219" s="4">
        <v>217</v>
      </c>
      <c r="B219" s="2"/>
      <c r="C219" s="4">
        <v>5</v>
      </c>
      <c r="D219" s="6">
        <v>11.83</v>
      </c>
      <c r="E219" s="6">
        <v>10.83</v>
      </c>
      <c r="F219" s="6">
        <v>11.18</v>
      </c>
      <c r="G219" s="6">
        <v>11.28</v>
      </c>
      <c r="H219" s="6">
        <v>10.83</v>
      </c>
      <c r="I219" s="6">
        <v>10.53</v>
      </c>
      <c r="J219" s="6">
        <v>9.93</v>
      </c>
      <c r="K219" s="6">
        <v>10.88</v>
      </c>
      <c r="L219" s="6">
        <v>11.81</v>
      </c>
      <c r="M219" s="6">
        <v>10.88</v>
      </c>
      <c r="N219" s="6">
        <v>11.18</v>
      </c>
      <c r="O219" s="6">
        <v>11.46</v>
      </c>
      <c r="P219" s="6">
        <v>10.18</v>
      </c>
      <c r="Q219" s="6">
        <v>11.13</v>
      </c>
      <c r="R219" s="6">
        <v>10.33</v>
      </c>
      <c r="S219" s="6">
        <v>9.08</v>
      </c>
      <c r="T219" s="6">
        <v>10.53</v>
      </c>
      <c r="U219" s="6">
        <v>9.98</v>
      </c>
      <c r="V219" s="6">
        <v>9.93</v>
      </c>
      <c r="W219" s="6">
        <v>11.13</v>
      </c>
      <c r="X219" s="6">
        <v>11.36</v>
      </c>
      <c r="Y219" s="6">
        <v>9.89</v>
      </c>
      <c r="Z219" s="6">
        <v>9.0299999999999994</v>
      </c>
      <c r="AA219" s="6">
        <v>9.48</v>
      </c>
      <c r="AB219" s="6">
        <v>11.22</v>
      </c>
      <c r="AC219" s="6">
        <v>10.86</v>
      </c>
      <c r="AD219" s="6">
        <v>10.07</v>
      </c>
      <c r="AE219" s="6">
        <v>10.59</v>
      </c>
      <c r="AF219" s="6">
        <v>10.62</v>
      </c>
      <c r="AG219" s="6">
        <v>11.17</v>
      </c>
      <c r="AH219" s="6">
        <v>8.4499999999999993</v>
      </c>
      <c r="AI219" s="6">
        <v>8.27</v>
      </c>
      <c r="AJ219" s="6">
        <v>10.029999999999999</v>
      </c>
      <c r="AK219" s="6">
        <v>12.54</v>
      </c>
      <c r="AL219" s="6">
        <v>10.68</v>
      </c>
      <c r="AM219" s="6">
        <v>10.24</v>
      </c>
      <c r="AN219" s="6">
        <v>10.87</v>
      </c>
      <c r="AO219" s="6">
        <v>11.43</v>
      </c>
      <c r="AP219" s="6">
        <v>11.53</v>
      </c>
      <c r="AQ219" s="6">
        <v>10.58</v>
      </c>
      <c r="AR219" s="6">
        <v>10.119999999999999</v>
      </c>
      <c r="AS219" s="6">
        <v>9.6</v>
      </c>
      <c r="AT219" s="6">
        <v>9.11</v>
      </c>
      <c r="AU219" s="6">
        <v>10.67</v>
      </c>
      <c r="AV219" s="6">
        <v>10.57</v>
      </c>
      <c r="AW219" s="6">
        <v>9.61</v>
      </c>
      <c r="AX219" s="6">
        <v>9.91</v>
      </c>
      <c r="AY219" s="6">
        <v>11.22</v>
      </c>
      <c r="AZ219" s="6">
        <v>9.7200000000000006</v>
      </c>
      <c r="BA219" s="6">
        <v>9.6199999999999992</v>
      </c>
      <c r="BB219" s="6">
        <v>11.06</v>
      </c>
      <c r="BC219" s="6">
        <f>10.51+0.43</f>
        <v>10.94</v>
      </c>
      <c r="BD219" s="6">
        <v>10.27</v>
      </c>
      <c r="BE219" s="6">
        <v>11.03</v>
      </c>
      <c r="BF219" s="6">
        <v>10.08</v>
      </c>
      <c r="BG219" s="6">
        <v>11.2</v>
      </c>
      <c r="BH219" s="6">
        <v>10.16</v>
      </c>
      <c r="BI219" s="6">
        <v>10.41</v>
      </c>
      <c r="BJ219" s="6">
        <v>7.93</v>
      </c>
      <c r="BK219" s="6">
        <v>10.58</v>
      </c>
      <c r="BL219" s="6">
        <v>10.28</v>
      </c>
      <c r="BM219" s="6">
        <v>10.56</v>
      </c>
      <c r="BN219" s="6">
        <v>9.3000000000000007</v>
      </c>
      <c r="BO219" s="6">
        <v>10.91</v>
      </c>
      <c r="BP219" s="6">
        <v>10.48</v>
      </c>
      <c r="BQ219" s="6">
        <v>10.220000000000001</v>
      </c>
      <c r="BR219" s="6">
        <v>8.7899999999999991</v>
      </c>
      <c r="BS219" s="6">
        <v>10.66</v>
      </c>
      <c r="BT219" s="6">
        <v>11.13</v>
      </c>
      <c r="BU219" s="6">
        <v>10.87</v>
      </c>
      <c r="BV219" s="6">
        <v>9.11</v>
      </c>
      <c r="BW219" s="6">
        <v>9.84</v>
      </c>
      <c r="BX219" s="6">
        <v>9.7999999999999989</v>
      </c>
      <c r="BY219" s="6">
        <v>10.879999999999999</v>
      </c>
      <c r="BZ219" s="6">
        <v>11.79</v>
      </c>
      <c r="CA219" s="6">
        <v>12.07</v>
      </c>
      <c r="CB219" s="6">
        <v>10.82</v>
      </c>
      <c r="CC219" s="6">
        <v>9.31</v>
      </c>
      <c r="CD219" s="6">
        <v>11.29</v>
      </c>
      <c r="CE219" s="6">
        <v>11.54</v>
      </c>
      <c r="CF219" s="6">
        <v>10.33</v>
      </c>
      <c r="CG219" s="6">
        <v>10.8</v>
      </c>
      <c r="CH219" s="6"/>
    </row>
    <row r="220" spans="1:86" ht="15.75" customHeight="1" x14ac:dyDescent="0.25">
      <c r="A220" s="4">
        <v>218</v>
      </c>
      <c r="B220" s="2"/>
      <c r="C220" s="4">
        <v>6</v>
      </c>
      <c r="D220" s="6">
        <v>11.93</v>
      </c>
      <c r="E220" s="6">
        <v>10.83</v>
      </c>
      <c r="F220" s="6">
        <v>11.23</v>
      </c>
      <c r="G220" s="6">
        <v>11.33</v>
      </c>
      <c r="H220" s="6">
        <v>10.83</v>
      </c>
      <c r="I220" s="6">
        <v>10.58</v>
      </c>
      <c r="J220" s="6">
        <v>9.98</v>
      </c>
      <c r="K220" s="6">
        <v>10.93</v>
      </c>
      <c r="L220" s="6">
        <v>11.78</v>
      </c>
      <c r="M220" s="6">
        <v>10.93</v>
      </c>
      <c r="N220" s="6">
        <v>11.33</v>
      </c>
      <c r="O220" s="6">
        <v>11.46</v>
      </c>
      <c r="P220" s="6">
        <v>10.23</v>
      </c>
      <c r="Q220" s="6">
        <v>11.11</v>
      </c>
      <c r="R220" s="6">
        <v>10.23</v>
      </c>
      <c r="S220" s="6">
        <v>9.1300000000000008</v>
      </c>
      <c r="T220" s="6">
        <v>10.53</v>
      </c>
      <c r="U220" s="6">
        <v>9.9499999999999993</v>
      </c>
      <c r="V220" s="6">
        <v>9.98</v>
      </c>
      <c r="W220" s="6">
        <v>11.13</v>
      </c>
      <c r="X220" s="6">
        <v>11.33</v>
      </c>
      <c r="Y220" s="6">
        <v>9.8699999999999992</v>
      </c>
      <c r="Z220" s="6">
        <v>9.1300000000000008</v>
      </c>
      <c r="AA220" s="6">
        <v>9.5399999999999991</v>
      </c>
      <c r="AB220" s="6">
        <v>11.39</v>
      </c>
      <c r="AC220" s="6">
        <v>10.87</v>
      </c>
      <c r="AD220" s="6">
        <v>10.09</v>
      </c>
      <c r="AE220" s="6">
        <v>10.78</v>
      </c>
      <c r="AF220" s="6">
        <v>10.55</v>
      </c>
      <c r="AG220" s="6">
        <v>11.19</v>
      </c>
      <c r="AH220" s="6">
        <v>8.4499999999999993</v>
      </c>
      <c r="AI220" s="6">
        <v>8.34</v>
      </c>
      <c r="AJ220" s="6">
        <v>9.94</v>
      </c>
      <c r="AK220" s="6">
        <v>12.46</v>
      </c>
      <c r="AL220" s="6">
        <v>10.74</v>
      </c>
      <c r="AM220" s="6">
        <v>10.23</v>
      </c>
      <c r="AN220" s="6">
        <v>10.88</v>
      </c>
      <c r="AO220" s="6">
        <v>11.31</v>
      </c>
      <c r="AP220" s="6">
        <v>11.5</v>
      </c>
      <c r="AQ220" s="6">
        <v>10.66</v>
      </c>
      <c r="AR220" s="6">
        <v>10.23</v>
      </c>
      <c r="AS220" s="6">
        <v>9.6199999999999992</v>
      </c>
      <c r="AT220" s="6">
        <v>9.15</v>
      </c>
      <c r="AU220" s="6">
        <v>10.75</v>
      </c>
      <c r="AV220" s="6">
        <v>10.66</v>
      </c>
      <c r="AW220" s="6">
        <v>9.7100000000000009</v>
      </c>
      <c r="AX220" s="6">
        <v>9.82</v>
      </c>
      <c r="AY220" s="6">
        <v>11.25</v>
      </c>
      <c r="AZ220" s="6">
        <v>9.92</v>
      </c>
      <c r="BA220" s="6">
        <v>9.7200000000000006</v>
      </c>
      <c r="BB220" s="6">
        <v>11.13</v>
      </c>
      <c r="BC220" s="6">
        <f>10.57+0.43</f>
        <v>11</v>
      </c>
      <c r="BD220" s="6">
        <v>10.29</v>
      </c>
      <c r="BE220" s="6">
        <v>11.23</v>
      </c>
      <c r="BF220" s="6">
        <v>10.09</v>
      </c>
      <c r="BG220" s="6">
        <v>11.2</v>
      </c>
      <c r="BH220" s="6">
        <v>10.27</v>
      </c>
      <c r="BI220" s="6">
        <v>10.35</v>
      </c>
      <c r="BJ220" s="6">
        <v>7.97</v>
      </c>
      <c r="BK220" s="6">
        <v>10.67</v>
      </c>
      <c r="BL220" s="6">
        <v>10.33</v>
      </c>
      <c r="BM220" s="6">
        <v>10.52</v>
      </c>
      <c r="BN220" s="6">
        <v>9.34</v>
      </c>
      <c r="BO220" s="6">
        <v>10.96</v>
      </c>
      <c r="BP220" s="6">
        <v>10.48</v>
      </c>
      <c r="BQ220" s="6">
        <v>10.29</v>
      </c>
      <c r="BR220" s="6">
        <v>8.8800000000000008</v>
      </c>
      <c r="BS220" s="6">
        <v>10.7</v>
      </c>
      <c r="BT220" s="6">
        <v>11.04</v>
      </c>
      <c r="BU220" s="6">
        <v>11.01</v>
      </c>
      <c r="BV220" s="6">
        <v>9.16</v>
      </c>
      <c r="BW220" s="6">
        <v>9.9</v>
      </c>
      <c r="BX220" s="6">
        <v>9.86</v>
      </c>
      <c r="BY220" s="6">
        <v>10.959999999999999</v>
      </c>
      <c r="BZ220" s="6">
        <v>11.86</v>
      </c>
      <c r="CA220" s="6">
        <v>12.08</v>
      </c>
      <c r="CB220" s="6">
        <v>10.86</v>
      </c>
      <c r="CC220" s="6">
        <v>9.32</v>
      </c>
      <c r="CD220" s="6">
        <v>11.44</v>
      </c>
      <c r="CE220" s="6">
        <v>11.56</v>
      </c>
      <c r="CF220" s="6">
        <v>10.36</v>
      </c>
      <c r="CG220" s="6">
        <v>10.77</v>
      </c>
      <c r="CH220" s="6"/>
    </row>
    <row r="221" spans="1:86" ht="15.75" customHeight="1" x14ac:dyDescent="0.25">
      <c r="A221" s="4">
        <v>219</v>
      </c>
      <c r="B221" s="2"/>
      <c r="C221" s="4">
        <v>7</v>
      </c>
      <c r="D221" s="6">
        <v>12.03</v>
      </c>
      <c r="E221" s="6">
        <v>10.78</v>
      </c>
      <c r="F221" s="6">
        <v>11.33</v>
      </c>
      <c r="G221" s="6">
        <v>11.28</v>
      </c>
      <c r="H221" s="6">
        <v>10.83</v>
      </c>
      <c r="I221" s="6">
        <v>10.63</v>
      </c>
      <c r="J221" s="6">
        <v>10.08</v>
      </c>
      <c r="K221" s="6">
        <v>10.98</v>
      </c>
      <c r="L221" s="6">
        <v>11.73</v>
      </c>
      <c r="M221" s="6">
        <v>11.03</v>
      </c>
      <c r="N221" s="6">
        <v>11.39</v>
      </c>
      <c r="O221" s="6">
        <v>11.48</v>
      </c>
      <c r="P221" s="6">
        <v>10.23</v>
      </c>
      <c r="Q221" s="6">
        <v>11.11</v>
      </c>
      <c r="R221" s="6">
        <v>10.23</v>
      </c>
      <c r="S221" s="6">
        <v>9.2100000000000009</v>
      </c>
      <c r="T221" s="6">
        <v>10.55</v>
      </c>
      <c r="U221" s="6">
        <v>10.050000000000001</v>
      </c>
      <c r="V221" s="6">
        <v>10.130000000000001</v>
      </c>
      <c r="W221" s="6">
        <v>11.13</v>
      </c>
      <c r="X221" s="6">
        <v>11.36</v>
      </c>
      <c r="Y221" s="6">
        <v>9.93</v>
      </c>
      <c r="Z221" s="6">
        <v>9.1300000000000008</v>
      </c>
      <c r="AA221" s="6">
        <v>9.57</v>
      </c>
      <c r="AB221" s="6">
        <v>11.57</v>
      </c>
      <c r="AC221" s="6">
        <v>10.89</v>
      </c>
      <c r="AD221" s="6">
        <v>10.11</v>
      </c>
      <c r="AE221" s="6">
        <v>10.84</v>
      </c>
      <c r="AF221" s="6">
        <v>10.55</v>
      </c>
      <c r="AG221" s="6">
        <v>11.22</v>
      </c>
      <c r="AH221" s="6">
        <v>8.5500000000000007</v>
      </c>
      <c r="AI221" s="6">
        <v>8.5</v>
      </c>
      <c r="AJ221" s="6">
        <v>10.029999999999999</v>
      </c>
      <c r="AK221" s="6">
        <v>12.34</v>
      </c>
      <c r="AL221" s="6">
        <v>10.83</v>
      </c>
      <c r="AM221" s="6">
        <v>10.33</v>
      </c>
      <c r="AN221" s="6">
        <v>10.91</v>
      </c>
      <c r="AO221" s="6">
        <v>11.25</v>
      </c>
      <c r="AP221" s="6">
        <v>11.52</v>
      </c>
      <c r="AQ221" s="6">
        <v>10.72</v>
      </c>
      <c r="AR221" s="6">
        <v>10.3</v>
      </c>
      <c r="AS221" s="6">
        <v>9.67</v>
      </c>
      <c r="AT221" s="6">
        <v>9.1999999999999993</v>
      </c>
      <c r="AU221" s="6">
        <v>10.8</v>
      </c>
      <c r="AV221" s="6">
        <v>10.73</v>
      </c>
      <c r="AW221" s="6">
        <v>9.67</v>
      </c>
      <c r="AX221" s="6">
        <v>9.73</v>
      </c>
      <c r="AY221" s="6">
        <v>11.33</v>
      </c>
      <c r="AZ221" s="6">
        <v>10.050000000000001</v>
      </c>
      <c r="BA221" s="6">
        <v>9.82</v>
      </c>
      <c r="BB221" s="6">
        <v>11.28</v>
      </c>
      <c r="BC221" s="6">
        <f>10.59+0.43</f>
        <v>11.02</v>
      </c>
      <c r="BD221" s="6">
        <v>10.3</v>
      </c>
      <c r="BE221" s="6">
        <v>11.28</v>
      </c>
      <c r="BF221" s="6">
        <v>9.9</v>
      </c>
      <c r="BG221" s="6">
        <v>11.2</v>
      </c>
      <c r="BH221" s="6">
        <v>10.31</v>
      </c>
      <c r="BI221" s="6">
        <v>10.29</v>
      </c>
      <c r="BJ221" s="6">
        <v>8.09</v>
      </c>
      <c r="BK221" s="6">
        <v>10.75</v>
      </c>
      <c r="BL221" s="6">
        <v>10.41</v>
      </c>
      <c r="BM221" s="6">
        <v>10.5</v>
      </c>
      <c r="BN221" s="6">
        <v>9.3699999999999992</v>
      </c>
      <c r="BO221" s="6">
        <v>10.98</v>
      </c>
      <c r="BP221" s="6">
        <v>10.53</v>
      </c>
      <c r="BQ221" s="6">
        <v>10.32</v>
      </c>
      <c r="BR221" s="6">
        <v>8.98</v>
      </c>
      <c r="BS221" s="6">
        <v>10.73</v>
      </c>
      <c r="BT221" s="6">
        <v>10.94</v>
      </c>
      <c r="BU221" s="6">
        <v>11.09</v>
      </c>
      <c r="BV221" s="6">
        <v>9.2199999999999989</v>
      </c>
      <c r="BW221" s="6">
        <v>9.99</v>
      </c>
      <c r="BX221" s="6">
        <v>9.86</v>
      </c>
      <c r="BY221" s="6">
        <v>10.969999999999999</v>
      </c>
      <c r="BZ221" s="6">
        <v>11.78</v>
      </c>
      <c r="CA221" s="6">
        <v>12.04</v>
      </c>
      <c r="CB221" s="6">
        <v>11.129999999999999</v>
      </c>
      <c r="CC221" s="6">
        <v>9.4</v>
      </c>
      <c r="CD221" s="6">
        <v>11.56</v>
      </c>
      <c r="CE221" s="6">
        <v>11.57</v>
      </c>
      <c r="CF221" s="6">
        <v>10.37</v>
      </c>
      <c r="CG221" s="6">
        <v>10.77</v>
      </c>
      <c r="CH221" s="6"/>
    </row>
    <row r="222" spans="1:86" ht="15.75" customHeight="1" x14ac:dyDescent="0.25">
      <c r="A222" s="4">
        <v>220</v>
      </c>
      <c r="B222" s="2"/>
      <c r="C222" s="4">
        <v>8</v>
      </c>
      <c r="D222" s="6">
        <v>12.23</v>
      </c>
      <c r="E222" s="6">
        <v>10.73</v>
      </c>
      <c r="F222" s="6">
        <v>11.43</v>
      </c>
      <c r="G222" s="6">
        <v>11.28</v>
      </c>
      <c r="H222" s="6">
        <v>10.83</v>
      </c>
      <c r="I222" s="6">
        <v>10.68</v>
      </c>
      <c r="J222" s="6">
        <v>10.23</v>
      </c>
      <c r="K222" s="6">
        <v>11.03</v>
      </c>
      <c r="L222" s="6">
        <v>11.73</v>
      </c>
      <c r="M222" s="6">
        <v>11.08</v>
      </c>
      <c r="N222" s="6">
        <v>11.43</v>
      </c>
      <c r="O222" s="6">
        <v>11.53</v>
      </c>
      <c r="P222" s="6">
        <v>10.33</v>
      </c>
      <c r="Q222" s="6">
        <v>11.13</v>
      </c>
      <c r="R222" s="6">
        <v>10.26</v>
      </c>
      <c r="S222" s="6">
        <v>9.25</v>
      </c>
      <c r="T222" s="6">
        <v>10.5</v>
      </c>
      <c r="U222" s="6">
        <v>10.210000000000001</v>
      </c>
      <c r="V222" s="6">
        <v>10.23</v>
      </c>
      <c r="W222" s="6">
        <v>11.23</v>
      </c>
      <c r="X222" s="6">
        <v>11.39</v>
      </c>
      <c r="Y222" s="6">
        <v>9.98</v>
      </c>
      <c r="Z222" s="6">
        <v>9.18</v>
      </c>
      <c r="AA222" s="6">
        <v>9.5500000000000007</v>
      </c>
      <c r="AB222" s="6">
        <v>11.68</v>
      </c>
      <c r="AC222" s="6">
        <v>10.95</v>
      </c>
      <c r="AD222" s="6">
        <v>10.130000000000001</v>
      </c>
      <c r="AE222" s="6">
        <v>10.89</v>
      </c>
      <c r="AF222" s="6">
        <v>10.54</v>
      </c>
      <c r="AG222" s="6">
        <v>11.22</v>
      </c>
      <c r="AH222" s="6">
        <v>8.65</v>
      </c>
      <c r="AI222" s="6">
        <v>8.6</v>
      </c>
      <c r="AJ222" s="6">
        <v>9.91</v>
      </c>
      <c r="AK222" s="6">
        <v>12.29</v>
      </c>
      <c r="AL222" s="6">
        <v>10.87</v>
      </c>
      <c r="AM222" s="6">
        <v>10.43</v>
      </c>
      <c r="AN222" s="6">
        <v>10.71</v>
      </c>
      <c r="AO222" s="6">
        <v>11.25</v>
      </c>
      <c r="AP222" s="6">
        <v>11.44</v>
      </c>
      <c r="AQ222" s="6">
        <v>10.72</v>
      </c>
      <c r="AR222" s="6">
        <v>10.44</v>
      </c>
      <c r="AS222" s="6">
        <v>9.69</v>
      </c>
      <c r="AT222" s="6">
        <v>9.25</v>
      </c>
      <c r="AU222" s="6">
        <v>10.82</v>
      </c>
      <c r="AV222" s="6">
        <v>10.8</v>
      </c>
      <c r="AW222" s="6">
        <v>9.82</v>
      </c>
      <c r="AX222" s="6">
        <v>9.7899999999999991</v>
      </c>
      <c r="AY222" s="6">
        <v>11.36</v>
      </c>
      <c r="AZ222" s="6">
        <v>10.130000000000001</v>
      </c>
      <c r="BA222" s="6">
        <v>9.93</v>
      </c>
      <c r="BB222" s="6">
        <v>11.33</v>
      </c>
      <c r="BC222" s="6">
        <f>10.63+0.43</f>
        <v>11.06</v>
      </c>
      <c r="BD222" s="6">
        <v>10.38</v>
      </c>
      <c r="BE222" s="6">
        <v>11.34</v>
      </c>
      <c r="BF222" s="6">
        <v>9.9</v>
      </c>
      <c r="BG222" s="6">
        <v>11.21</v>
      </c>
      <c r="BH222" s="6">
        <v>10.34</v>
      </c>
      <c r="BI222" s="6">
        <v>10.34</v>
      </c>
      <c r="BJ222" s="6">
        <v>8.17</v>
      </c>
      <c r="BK222" s="6">
        <v>10.77</v>
      </c>
      <c r="BL222" s="6">
        <v>10.43</v>
      </c>
      <c r="BM222" s="6">
        <v>10.5</v>
      </c>
      <c r="BN222" s="6">
        <v>9.32</v>
      </c>
      <c r="BO222" s="6">
        <v>10.98</v>
      </c>
      <c r="BP222" s="6">
        <v>10.57</v>
      </c>
      <c r="BQ222" s="6">
        <v>10.37</v>
      </c>
      <c r="BR222" s="6">
        <v>9.02</v>
      </c>
      <c r="BS222" s="6">
        <v>10.7</v>
      </c>
      <c r="BT222" s="6">
        <v>10.89</v>
      </c>
      <c r="BU222" s="6">
        <v>11.14</v>
      </c>
      <c r="BV222" s="6">
        <v>9.2899999999999991</v>
      </c>
      <c r="BW222" s="6">
        <v>10.06</v>
      </c>
      <c r="BX222" s="6">
        <v>9.9</v>
      </c>
      <c r="BY222" s="6">
        <v>11.049999999999999</v>
      </c>
      <c r="BZ222" s="6">
        <v>11.68</v>
      </c>
      <c r="CA222" s="6">
        <v>11.99</v>
      </c>
      <c r="CB222" s="6">
        <v>11.23</v>
      </c>
      <c r="CC222" s="6">
        <v>9.74</v>
      </c>
      <c r="CD222" s="6">
        <v>11.58</v>
      </c>
      <c r="CE222" s="6">
        <v>11.54</v>
      </c>
      <c r="CF222" s="6">
        <v>10.1</v>
      </c>
      <c r="CG222" s="6">
        <v>10.77</v>
      </c>
      <c r="CH222" s="6"/>
    </row>
    <row r="223" spans="1:86" ht="15.75" customHeight="1" x14ac:dyDescent="0.25">
      <c r="A223" s="4">
        <v>221</v>
      </c>
      <c r="B223" s="2"/>
      <c r="C223" s="4">
        <v>9</v>
      </c>
      <c r="D223" s="6">
        <v>12.28</v>
      </c>
      <c r="E223" s="6">
        <v>10.73</v>
      </c>
      <c r="F223" s="6">
        <v>11.58</v>
      </c>
      <c r="G223" s="6">
        <v>11.28</v>
      </c>
      <c r="H223" s="6">
        <v>10.83</v>
      </c>
      <c r="I223" s="6">
        <v>10.73</v>
      </c>
      <c r="J223" s="6">
        <v>10.43</v>
      </c>
      <c r="K223" s="6">
        <v>11.03</v>
      </c>
      <c r="L223" s="6">
        <v>11.68</v>
      </c>
      <c r="M223" s="6">
        <v>11.13</v>
      </c>
      <c r="N223" s="6">
        <v>11.48</v>
      </c>
      <c r="O223" s="6">
        <v>11.53</v>
      </c>
      <c r="P223" s="6">
        <v>10.36</v>
      </c>
      <c r="Q223" s="6">
        <v>11.2</v>
      </c>
      <c r="R223" s="6">
        <v>10.23</v>
      </c>
      <c r="S223" s="6">
        <v>9.3800000000000008</v>
      </c>
      <c r="T223" s="6">
        <v>10.48</v>
      </c>
      <c r="U223" s="6">
        <v>10.23</v>
      </c>
      <c r="V223" s="6">
        <v>10.33</v>
      </c>
      <c r="W223" s="6">
        <v>11.28</v>
      </c>
      <c r="X223" s="6">
        <v>11.39</v>
      </c>
      <c r="Y223" s="6">
        <v>9.98</v>
      </c>
      <c r="Z223" s="6">
        <v>9.3000000000000007</v>
      </c>
      <c r="AA223" s="6">
        <v>9.57</v>
      </c>
      <c r="AB223" s="6">
        <v>11.75</v>
      </c>
      <c r="AC223" s="6">
        <v>11.02</v>
      </c>
      <c r="AD223" s="6">
        <v>10.15</v>
      </c>
      <c r="AE223" s="6">
        <v>10.93</v>
      </c>
      <c r="AF223" s="6">
        <v>10.54</v>
      </c>
      <c r="AG223" s="6">
        <v>11.25</v>
      </c>
      <c r="AH223" s="6">
        <v>8.67</v>
      </c>
      <c r="AI223" s="6">
        <v>8.5299999999999994</v>
      </c>
      <c r="AJ223" s="6">
        <v>9.9700000000000006</v>
      </c>
      <c r="AK223" s="6">
        <v>12.23</v>
      </c>
      <c r="AL223" s="6">
        <v>10.96</v>
      </c>
      <c r="AM223" s="6">
        <v>10.57</v>
      </c>
      <c r="AN223" s="6">
        <v>10.77</v>
      </c>
      <c r="AO223" s="6">
        <v>11.37</v>
      </c>
      <c r="AP223" s="6">
        <v>11.47</v>
      </c>
      <c r="AQ223" s="6">
        <v>10.6</v>
      </c>
      <c r="AR223" s="6">
        <v>10.36</v>
      </c>
      <c r="AS223" s="6">
        <v>9.73</v>
      </c>
      <c r="AT223" s="6">
        <v>9.31</v>
      </c>
      <c r="AU223" s="6">
        <v>10.82</v>
      </c>
      <c r="AV223" s="6">
        <v>10.82</v>
      </c>
      <c r="AW223" s="6">
        <v>9.98</v>
      </c>
      <c r="AX223" s="6">
        <v>9.7899999999999991</v>
      </c>
      <c r="AY223" s="6">
        <v>11.26</v>
      </c>
      <c r="AZ223" s="6">
        <v>10.25</v>
      </c>
      <c r="BA223" s="6">
        <v>10.02</v>
      </c>
      <c r="BB223" s="6">
        <v>11.31</v>
      </c>
      <c r="BC223" s="6">
        <f>10.61+0.43</f>
        <v>11.04</v>
      </c>
      <c r="BD223" s="6">
        <v>10.43</v>
      </c>
      <c r="BE223" s="6">
        <v>11.37</v>
      </c>
      <c r="BF223" s="6">
        <v>9.93</v>
      </c>
      <c r="BG223" s="6">
        <v>11.21</v>
      </c>
      <c r="BH223" s="6">
        <v>10.39</v>
      </c>
      <c r="BI223" s="6">
        <v>10.45</v>
      </c>
      <c r="BJ223" s="6">
        <v>8.27</v>
      </c>
      <c r="BK223" s="6">
        <v>10.75</v>
      </c>
      <c r="BL223" s="6">
        <v>10.43</v>
      </c>
      <c r="BM223" s="6">
        <v>10.51</v>
      </c>
      <c r="BN223" s="6">
        <v>9.32</v>
      </c>
      <c r="BO223" s="6">
        <v>11.01</v>
      </c>
      <c r="BP223" s="6">
        <v>10.58</v>
      </c>
      <c r="BQ223" s="6">
        <v>10.36</v>
      </c>
      <c r="BR223" s="6">
        <v>9.06</v>
      </c>
      <c r="BS223" s="6">
        <v>10.7</v>
      </c>
      <c r="BT223" s="6">
        <v>10.94</v>
      </c>
      <c r="BU223" s="6">
        <v>11.16</v>
      </c>
      <c r="BV223" s="6">
        <v>9.36</v>
      </c>
      <c r="BW223" s="6">
        <v>10.08</v>
      </c>
      <c r="BX223" s="6">
        <v>9.89</v>
      </c>
      <c r="BY223" s="6">
        <v>11.129999999999999</v>
      </c>
      <c r="BZ223" s="6">
        <v>11.62</v>
      </c>
      <c r="CA223" s="6">
        <v>12.08</v>
      </c>
      <c r="CB223" s="6">
        <v>11.299999999999999</v>
      </c>
      <c r="CC223" s="6">
        <v>9.75</v>
      </c>
      <c r="CD223" s="6">
        <v>11.64</v>
      </c>
      <c r="CE223" s="6">
        <v>11.57</v>
      </c>
      <c r="CF223" s="6">
        <v>10.210000000000001</v>
      </c>
      <c r="CG223" s="6">
        <v>10.74</v>
      </c>
      <c r="CH223" s="6"/>
    </row>
    <row r="224" spans="1:86" ht="15.75" customHeight="1" x14ac:dyDescent="0.25">
      <c r="A224" s="4">
        <v>222</v>
      </c>
      <c r="B224" s="2"/>
      <c r="C224" s="4">
        <v>10</v>
      </c>
      <c r="D224" s="6">
        <v>12.28</v>
      </c>
      <c r="E224" s="6">
        <v>10.73</v>
      </c>
      <c r="F224" s="6">
        <v>11.63</v>
      </c>
      <c r="G224" s="6">
        <v>11.28</v>
      </c>
      <c r="H224" s="6">
        <v>10.83</v>
      </c>
      <c r="I224" s="6">
        <v>10.83</v>
      </c>
      <c r="J224" s="6">
        <v>10.53</v>
      </c>
      <c r="K224" s="6">
        <v>11.08</v>
      </c>
      <c r="L224" s="6">
        <v>11.68</v>
      </c>
      <c r="M224" s="6">
        <v>11.13</v>
      </c>
      <c r="N224" s="6">
        <v>11.48</v>
      </c>
      <c r="O224" s="6">
        <v>11.58</v>
      </c>
      <c r="P224" s="6">
        <v>10.43</v>
      </c>
      <c r="Q224" s="6">
        <v>11.33</v>
      </c>
      <c r="R224" s="6">
        <v>10.28</v>
      </c>
      <c r="S224" s="6">
        <v>9.48</v>
      </c>
      <c r="T224" s="6">
        <v>10.43</v>
      </c>
      <c r="U224" s="6">
        <v>10.41</v>
      </c>
      <c r="V224" s="6">
        <v>10.43</v>
      </c>
      <c r="W224" s="6">
        <v>11.35</v>
      </c>
      <c r="X224" s="6">
        <v>11.39</v>
      </c>
      <c r="Y224" s="6">
        <v>10.050000000000001</v>
      </c>
      <c r="Z224" s="6">
        <v>9.36</v>
      </c>
      <c r="AA224" s="6">
        <v>9.7200000000000006</v>
      </c>
      <c r="AB224" s="6">
        <v>11.77</v>
      </c>
      <c r="AC224" s="6">
        <v>11.06</v>
      </c>
      <c r="AD224" s="6">
        <v>10.26</v>
      </c>
      <c r="AE224" s="6">
        <v>10.98</v>
      </c>
      <c r="AF224" s="6">
        <v>10.46</v>
      </c>
      <c r="AG224" s="6">
        <v>11.11</v>
      </c>
      <c r="AH224" s="6">
        <v>8.69</v>
      </c>
      <c r="AI224" s="6">
        <v>8.33</v>
      </c>
      <c r="AJ224" s="6">
        <v>10.23</v>
      </c>
      <c r="AK224" s="6">
        <v>12.23</v>
      </c>
      <c r="AL224" s="6">
        <v>11.07</v>
      </c>
      <c r="AM224" s="6">
        <v>10.63</v>
      </c>
      <c r="AN224" s="6">
        <v>10.81</v>
      </c>
      <c r="AO224" s="6">
        <v>11.3</v>
      </c>
      <c r="AP224" s="6">
        <v>11.52</v>
      </c>
      <c r="AQ224" s="6">
        <v>10.6</v>
      </c>
      <c r="AR224" s="6">
        <v>10.5</v>
      </c>
      <c r="AS224" s="6">
        <v>9.76</v>
      </c>
      <c r="AT224" s="6">
        <v>9.3800000000000008</v>
      </c>
      <c r="AU224" s="6">
        <v>10.91</v>
      </c>
      <c r="AV224" s="6">
        <v>10.83</v>
      </c>
      <c r="AW224" s="6">
        <v>10.130000000000001</v>
      </c>
      <c r="AX224" s="6">
        <v>9.7899999999999991</v>
      </c>
      <c r="AY224" s="6">
        <v>11.33</v>
      </c>
      <c r="AZ224" s="6">
        <v>10.31</v>
      </c>
      <c r="BA224" s="6">
        <v>10.09</v>
      </c>
      <c r="BB224" s="6">
        <v>11.37</v>
      </c>
      <c r="BC224" s="6">
        <f>10.55+0.43</f>
        <v>10.98</v>
      </c>
      <c r="BD224" s="6">
        <v>10.43</v>
      </c>
      <c r="BE224" s="6">
        <v>11.34</v>
      </c>
      <c r="BF224" s="6">
        <v>9.93</v>
      </c>
      <c r="BG224" s="6">
        <v>11.21</v>
      </c>
      <c r="BH224" s="6">
        <v>10.44</v>
      </c>
      <c r="BI224" s="6">
        <v>10.48</v>
      </c>
      <c r="BJ224" s="6">
        <v>8.3800000000000008</v>
      </c>
      <c r="BK224" s="6">
        <v>10.74</v>
      </c>
      <c r="BL224" s="6">
        <v>10.42</v>
      </c>
      <c r="BM224" s="6">
        <v>10.55</v>
      </c>
      <c r="BN224" s="6">
        <v>9.4600000000000009</v>
      </c>
      <c r="BO224" s="6">
        <v>11.04</v>
      </c>
      <c r="BP224" s="6">
        <v>10.61</v>
      </c>
      <c r="BQ224" s="6">
        <v>10.38</v>
      </c>
      <c r="BR224" s="6">
        <v>9.1199999999999992</v>
      </c>
      <c r="BS224" s="6">
        <v>10.73</v>
      </c>
      <c r="BT224" s="6">
        <v>10.9</v>
      </c>
      <c r="BU224" s="6">
        <v>11.219999999999999</v>
      </c>
      <c r="BV224" s="6">
        <v>9.379999999999999</v>
      </c>
      <c r="BW224" s="6">
        <v>10.16</v>
      </c>
      <c r="BX224" s="6">
        <v>9.879999999999999</v>
      </c>
      <c r="BY224" s="6">
        <v>11.1</v>
      </c>
      <c r="BZ224" s="6">
        <v>11.51</v>
      </c>
      <c r="CA224" s="6">
        <v>12.03</v>
      </c>
      <c r="CB224" s="6">
        <v>11.219999999999999</v>
      </c>
      <c r="CC224" s="6">
        <v>9.85</v>
      </c>
      <c r="CD224" s="6">
        <v>11.57</v>
      </c>
      <c r="CE224" s="6">
        <v>11.53</v>
      </c>
      <c r="CF224" s="6">
        <v>10.19</v>
      </c>
      <c r="CG224" s="6">
        <v>10.74</v>
      </c>
      <c r="CH224" s="6"/>
    </row>
    <row r="225" spans="1:86" ht="15.75" customHeight="1" x14ac:dyDescent="0.25">
      <c r="A225" s="4">
        <v>223</v>
      </c>
      <c r="B225" s="2"/>
      <c r="C225" s="4">
        <v>11</v>
      </c>
      <c r="D225" s="6">
        <v>12.23</v>
      </c>
      <c r="E225" s="6">
        <v>10.63</v>
      </c>
      <c r="F225" s="6">
        <v>11.58</v>
      </c>
      <c r="G225" s="6">
        <v>11.38</v>
      </c>
      <c r="H225" s="6">
        <v>10.78</v>
      </c>
      <c r="I225" s="6">
        <v>10.88</v>
      </c>
      <c r="J225" s="6">
        <v>10.53</v>
      </c>
      <c r="K225" s="6">
        <v>11.08</v>
      </c>
      <c r="L225" s="6">
        <v>11.68</v>
      </c>
      <c r="M225" s="6">
        <v>11.18</v>
      </c>
      <c r="N225" s="6">
        <v>11.45</v>
      </c>
      <c r="O225" s="6">
        <v>11.68</v>
      </c>
      <c r="P225" s="6">
        <v>10.43</v>
      </c>
      <c r="Q225" s="6">
        <v>11.41</v>
      </c>
      <c r="R225" s="6">
        <v>10.28</v>
      </c>
      <c r="S225" s="6">
        <v>9.7100000000000009</v>
      </c>
      <c r="T225" s="6">
        <v>10.38</v>
      </c>
      <c r="U225" s="6">
        <v>10.61</v>
      </c>
      <c r="V225" s="6">
        <v>10.51</v>
      </c>
      <c r="W225" s="6">
        <v>11.43</v>
      </c>
      <c r="X225" s="6">
        <v>11.43</v>
      </c>
      <c r="Y225" s="6">
        <v>10.15</v>
      </c>
      <c r="Z225" s="6">
        <v>9.39</v>
      </c>
      <c r="AA225" s="6">
        <v>9.83</v>
      </c>
      <c r="AB225" s="6">
        <v>11.77</v>
      </c>
      <c r="AC225" s="6">
        <v>11.07</v>
      </c>
      <c r="AD225" s="6">
        <v>10.37</v>
      </c>
      <c r="AE225" s="6">
        <v>11.02</v>
      </c>
      <c r="AF225" s="6">
        <v>10.59</v>
      </c>
      <c r="AG225" s="6">
        <v>10.94</v>
      </c>
      <c r="AH225" s="6">
        <v>8.64</v>
      </c>
      <c r="AI225" s="6">
        <v>8.51</v>
      </c>
      <c r="AJ225" s="6">
        <v>10.3</v>
      </c>
      <c r="AK225" s="6">
        <v>12.25</v>
      </c>
      <c r="AL225" s="6">
        <v>11.13</v>
      </c>
      <c r="AM225" s="6">
        <v>10.65</v>
      </c>
      <c r="AN225" s="6">
        <v>10.86</v>
      </c>
      <c r="AO225" s="6">
        <v>11.36</v>
      </c>
      <c r="AP225" s="6">
        <v>11.4</v>
      </c>
      <c r="AQ225" s="6">
        <v>10.68</v>
      </c>
      <c r="AR225" s="6">
        <v>10.54</v>
      </c>
      <c r="AS225" s="6">
        <v>9.8000000000000007</v>
      </c>
      <c r="AT225" s="6">
        <v>9.41</v>
      </c>
      <c r="AU225" s="6">
        <v>10.93</v>
      </c>
      <c r="AV225" s="6">
        <v>10.75</v>
      </c>
      <c r="AW225" s="6">
        <v>10.17</v>
      </c>
      <c r="AX225" s="6">
        <v>9.7899999999999991</v>
      </c>
      <c r="AY225" s="6">
        <v>11.34</v>
      </c>
      <c r="AZ225" s="6">
        <v>10.38</v>
      </c>
      <c r="BA225" s="6">
        <v>10.23</v>
      </c>
      <c r="BB225" s="6">
        <v>11.4</v>
      </c>
      <c r="BC225" s="6">
        <f>10.58+0.43</f>
        <v>11.01</v>
      </c>
      <c r="BD225" s="6">
        <v>10.44</v>
      </c>
      <c r="BE225" s="6">
        <v>11.34</v>
      </c>
      <c r="BF225" s="6">
        <v>9.8699999999999992</v>
      </c>
      <c r="BG225" s="6">
        <v>11.28</v>
      </c>
      <c r="BH225" s="6">
        <v>10.39</v>
      </c>
      <c r="BI225" s="6">
        <v>10.51</v>
      </c>
      <c r="BJ225" s="6">
        <v>8.4499999999999993</v>
      </c>
      <c r="BK225" s="6">
        <v>10.74</v>
      </c>
      <c r="BL225" s="6">
        <v>10.42</v>
      </c>
      <c r="BM225" s="6">
        <v>10.59</v>
      </c>
      <c r="BN225" s="6">
        <v>9.4600000000000009</v>
      </c>
      <c r="BO225" s="6">
        <v>11.11</v>
      </c>
      <c r="BP225" s="6">
        <v>10.61</v>
      </c>
      <c r="BQ225" s="6">
        <v>10.4</v>
      </c>
      <c r="BR225" s="6">
        <v>9.2100000000000009</v>
      </c>
      <c r="BS225" s="6">
        <v>10.81</v>
      </c>
      <c r="BT225" s="6">
        <v>10.83</v>
      </c>
      <c r="BU225" s="6">
        <v>11.259</v>
      </c>
      <c r="BV225" s="6">
        <v>9.36</v>
      </c>
      <c r="BW225" s="6">
        <v>10.17</v>
      </c>
      <c r="BX225" s="6">
        <v>9.879999999999999</v>
      </c>
      <c r="BY225" s="6">
        <v>11.14</v>
      </c>
      <c r="BZ225" s="6">
        <v>11.48</v>
      </c>
      <c r="CA225" s="6">
        <v>12.01</v>
      </c>
      <c r="CB225" s="6">
        <v>11.04</v>
      </c>
      <c r="CC225" s="6">
        <v>9.9</v>
      </c>
      <c r="CD225" s="6">
        <v>11.629999999999999</v>
      </c>
      <c r="CE225" s="6">
        <v>11.4</v>
      </c>
      <c r="CF225" s="6">
        <v>10.15</v>
      </c>
      <c r="CG225" s="6">
        <v>10.71</v>
      </c>
      <c r="CH225" s="6"/>
    </row>
    <row r="226" spans="1:86" ht="15.75" customHeight="1" x14ac:dyDescent="0.25">
      <c r="A226" s="4">
        <v>224</v>
      </c>
      <c r="B226" s="2"/>
      <c r="C226" s="4">
        <v>12</v>
      </c>
      <c r="D226" s="6">
        <v>12.18</v>
      </c>
      <c r="E226" s="6">
        <v>10.63</v>
      </c>
      <c r="F226" s="6">
        <v>11.53</v>
      </c>
      <c r="G226" s="6">
        <v>11.43</v>
      </c>
      <c r="H226" s="6">
        <v>10.73</v>
      </c>
      <c r="I226" s="6">
        <v>10.88</v>
      </c>
      <c r="J226" s="6">
        <v>10.58</v>
      </c>
      <c r="K226" s="6">
        <v>11.08</v>
      </c>
      <c r="L226" s="6">
        <v>11.73</v>
      </c>
      <c r="M226" s="6">
        <v>11.18</v>
      </c>
      <c r="N226" s="6">
        <v>11.43</v>
      </c>
      <c r="O226" s="6">
        <v>11.81</v>
      </c>
      <c r="P226" s="6">
        <v>10.37</v>
      </c>
      <c r="Q226" s="6">
        <v>11.43</v>
      </c>
      <c r="R226" s="6">
        <v>10.33</v>
      </c>
      <c r="S226" s="6">
        <v>9.83</v>
      </c>
      <c r="T226" s="6">
        <v>10.33</v>
      </c>
      <c r="U226" s="6">
        <v>10.78</v>
      </c>
      <c r="V226" s="6">
        <v>10.6</v>
      </c>
      <c r="W226" s="6">
        <v>11.43</v>
      </c>
      <c r="X226" s="6">
        <v>11.49</v>
      </c>
      <c r="Y226" s="6">
        <v>10.26</v>
      </c>
      <c r="Z226" s="6">
        <v>9.35</v>
      </c>
      <c r="AA226" s="6">
        <v>9.94</v>
      </c>
      <c r="AB226" s="6">
        <v>11.76</v>
      </c>
      <c r="AC226" s="6">
        <v>11.11</v>
      </c>
      <c r="AD226" s="6">
        <v>10.41</v>
      </c>
      <c r="AE226" s="6">
        <v>11.03</v>
      </c>
      <c r="AF226" s="6">
        <v>10.66</v>
      </c>
      <c r="AG226" s="6">
        <v>10.82</v>
      </c>
      <c r="AH226" s="6">
        <v>8.64</v>
      </c>
      <c r="AI226" s="6">
        <v>8.6300000000000008</v>
      </c>
      <c r="AJ226" s="6">
        <v>10.14</v>
      </c>
      <c r="AK226" s="6">
        <v>12.31</v>
      </c>
      <c r="AL226" s="6">
        <v>11.22</v>
      </c>
      <c r="AM226" s="6">
        <v>10.69</v>
      </c>
      <c r="AN226" s="6">
        <v>10.99</v>
      </c>
      <c r="AO226" s="6">
        <v>11.45</v>
      </c>
      <c r="AP226" s="6">
        <v>11.32</v>
      </c>
      <c r="AQ226" s="6">
        <v>10.71</v>
      </c>
      <c r="AR226" s="6">
        <v>10.61</v>
      </c>
      <c r="AS226" s="6">
        <v>9.82</v>
      </c>
      <c r="AT226" s="6">
        <v>9.4600000000000009</v>
      </c>
      <c r="AU226" s="6">
        <v>11.03</v>
      </c>
      <c r="AV226" s="6">
        <v>10.89</v>
      </c>
      <c r="AW226" s="6">
        <v>10.210000000000001</v>
      </c>
      <c r="AX226" s="6">
        <v>9.7899999999999991</v>
      </c>
      <c r="AY226" s="6">
        <v>11.34</v>
      </c>
      <c r="AZ226" s="6">
        <v>10.32</v>
      </c>
      <c r="BA226" s="6">
        <v>10.32</v>
      </c>
      <c r="BB226" s="6">
        <v>11.38</v>
      </c>
      <c r="BC226" s="6">
        <f>10.5+0.43</f>
        <v>10.93</v>
      </c>
      <c r="BD226" s="6">
        <v>10.45</v>
      </c>
      <c r="BE226" s="6">
        <v>11.34</v>
      </c>
      <c r="BF226" s="6">
        <v>9.8699999999999992</v>
      </c>
      <c r="BG226" s="6">
        <v>11.28</v>
      </c>
      <c r="BH226" s="6">
        <v>10.45</v>
      </c>
      <c r="BI226" s="6">
        <v>10.53</v>
      </c>
      <c r="BJ226" s="6">
        <v>8.51</v>
      </c>
      <c r="BK226" s="6">
        <v>10.76</v>
      </c>
      <c r="BL226" s="6">
        <v>10.46</v>
      </c>
      <c r="BM226" s="6">
        <v>10.6</v>
      </c>
      <c r="BN226" s="6">
        <v>9.5</v>
      </c>
      <c r="BO226" s="6">
        <v>11.12</v>
      </c>
      <c r="BP226" s="6">
        <v>10.63</v>
      </c>
      <c r="BQ226" s="6">
        <v>10.43</v>
      </c>
      <c r="BR226" s="6">
        <v>9.24</v>
      </c>
      <c r="BS226" s="6">
        <v>10.82</v>
      </c>
      <c r="BT226" s="6">
        <v>10.74</v>
      </c>
      <c r="BU226" s="6">
        <v>11.355</v>
      </c>
      <c r="BV226" s="6">
        <v>9.4</v>
      </c>
      <c r="BW226" s="6">
        <v>10.17</v>
      </c>
      <c r="BX226" s="6">
        <v>9.9599999999999991</v>
      </c>
      <c r="BY226" s="6">
        <v>11.129999999999999</v>
      </c>
      <c r="BZ226" s="6">
        <v>11.469999999999999</v>
      </c>
      <c r="CA226" s="6">
        <v>12.06</v>
      </c>
      <c r="CB226" s="6">
        <v>11.129999999999999</v>
      </c>
      <c r="CC226" s="6">
        <v>9.99</v>
      </c>
      <c r="CD226" s="6">
        <v>11.629999999999999</v>
      </c>
      <c r="CE226" s="6">
        <v>11.32</v>
      </c>
      <c r="CF226" s="6">
        <v>10.15</v>
      </c>
      <c r="CG226" s="6">
        <v>10.73</v>
      </c>
      <c r="CH226" s="6"/>
    </row>
    <row r="227" spans="1:86" ht="15.75" customHeight="1" x14ac:dyDescent="0.25">
      <c r="A227" s="4">
        <v>225</v>
      </c>
      <c r="B227" s="2"/>
      <c r="C227" s="4">
        <v>13</v>
      </c>
      <c r="D227" s="6">
        <v>12.18</v>
      </c>
      <c r="E227" s="6">
        <v>10.73</v>
      </c>
      <c r="F227" s="6">
        <v>11.48</v>
      </c>
      <c r="G227" s="6">
        <v>11.43</v>
      </c>
      <c r="H227" s="6">
        <v>10.68</v>
      </c>
      <c r="I227" s="6">
        <v>10.88</v>
      </c>
      <c r="J227" s="6">
        <v>10.63</v>
      </c>
      <c r="K227" s="6">
        <v>11.1</v>
      </c>
      <c r="L227" s="6">
        <v>11.78</v>
      </c>
      <c r="M227" s="6">
        <v>11.23</v>
      </c>
      <c r="N227" s="6">
        <v>11.33</v>
      </c>
      <c r="O227" s="6">
        <v>11.83</v>
      </c>
      <c r="P227" s="6">
        <v>10.33</v>
      </c>
      <c r="Q227" s="6">
        <v>11.53</v>
      </c>
      <c r="R227" s="6">
        <v>10.3</v>
      </c>
      <c r="S227" s="6">
        <v>9.93</v>
      </c>
      <c r="T227" s="6">
        <v>10.33</v>
      </c>
      <c r="U227" s="6">
        <v>10.88</v>
      </c>
      <c r="V227" s="6">
        <v>10.69</v>
      </c>
      <c r="W227" s="6">
        <v>11.48</v>
      </c>
      <c r="X227" s="6">
        <v>11.49</v>
      </c>
      <c r="Y227" s="6">
        <v>10.33</v>
      </c>
      <c r="Z227" s="6">
        <v>9.33</v>
      </c>
      <c r="AA227" s="6">
        <v>10.039999999999999</v>
      </c>
      <c r="AB227" s="6">
        <v>11.78</v>
      </c>
      <c r="AC227" s="6">
        <v>11.13</v>
      </c>
      <c r="AD227" s="6">
        <v>10.43</v>
      </c>
      <c r="AE227" s="6">
        <v>11.04</v>
      </c>
      <c r="AF227" s="6">
        <v>10.86</v>
      </c>
      <c r="AG227" s="6">
        <v>10.91</v>
      </c>
      <c r="AH227" s="6">
        <v>8.64</v>
      </c>
      <c r="AI227" s="6">
        <v>8.8699999999999992</v>
      </c>
      <c r="AJ227" s="6">
        <v>10.14</v>
      </c>
      <c r="AK227" s="6">
        <v>12.27</v>
      </c>
      <c r="AL227" s="6">
        <v>11.26</v>
      </c>
      <c r="AM227" s="6">
        <v>10.69</v>
      </c>
      <c r="AN227" s="6">
        <v>11.08</v>
      </c>
      <c r="AO227" s="6">
        <v>11.56</v>
      </c>
      <c r="AP227" s="6">
        <v>11.34</v>
      </c>
      <c r="AQ227" s="6">
        <v>10.74</v>
      </c>
      <c r="AR227" s="6">
        <v>10.83</v>
      </c>
      <c r="AS227" s="6">
        <v>9.83</v>
      </c>
      <c r="AT227" s="6">
        <v>9.49</v>
      </c>
      <c r="AU227" s="6">
        <v>11.19</v>
      </c>
      <c r="AV227" s="6">
        <v>10.93</v>
      </c>
      <c r="AW227" s="6">
        <v>10.33</v>
      </c>
      <c r="AX227" s="6">
        <v>9.7899999999999991</v>
      </c>
      <c r="AY227" s="6">
        <v>11.28</v>
      </c>
      <c r="AZ227" s="6">
        <v>10.42</v>
      </c>
      <c r="BA227" s="6">
        <v>10.41</v>
      </c>
      <c r="BB227" s="6">
        <v>11.36</v>
      </c>
      <c r="BC227" s="6">
        <f>10.34+0.43</f>
        <v>10.77</v>
      </c>
      <c r="BD227" s="6">
        <v>10.45</v>
      </c>
      <c r="BE227" s="6">
        <v>11.28</v>
      </c>
      <c r="BF227" s="6">
        <v>9.9700000000000006</v>
      </c>
      <c r="BG227" s="6">
        <v>11.28</v>
      </c>
      <c r="BH227" s="6">
        <v>10.48</v>
      </c>
      <c r="BI227" s="6">
        <v>10.39</v>
      </c>
      <c r="BJ227" s="6">
        <v>8.57</v>
      </c>
      <c r="BK227" s="6">
        <v>10.82</v>
      </c>
      <c r="BL227" s="6">
        <v>10.47</v>
      </c>
      <c r="BM227" s="6">
        <v>10.63</v>
      </c>
      <c r="BN227" s="6">
        <v>9.5299999999999994</v>
      </c>
      <c r="BO227" s="6">
        <v>11.13</v>
      </c>
      <c r="BP227" s="6">
        <v>10.59</v>
      </c>
      <c r="BQ227" s="6">
        <v>10.44</v>
      </c>
      <c r="BR227" s="6">
        <v>9.32</v>
      </c>
      <c r="BS227" s="6">
        <v>10.83</v>
      </c>
      <c r="BT227" s="6">
        <v>10.71</v>
      </c>
      <c r="BU227" s="6">
        <v>11.41</v>
      </c>
      <c r="BV227" s="6">
        <v>9.42</v>
      </c>
      <c r="BW227" s="6">
        <v>10.129999999999999</v>
      </c>
      <c r="BX227" s="6">
        <v>9.92</v>
      </c>
      <c r="BY227" s="6">
        <v>11.1</v>
      </c>
      <c r="BZ227" s="6">
        <v>11.4</v>
      </c>
      <c r="CA227" s="6">
        <v>11.95</v>
      </c>
      <c r="CB227" s="6">
        <v>11.23</v>
      </c>
      <c r="CC227" s="6">
        <v>10.039999999999999</v>
      </c>
      <c r="CD227" s="6">
        <v>11.68</v>
      </c>
      <c r="CE227" s="6">
        <v>11.27</v>
      </c>
      <c r="CF227" s="6">
        <v>10.08</v>
      </c>
      <c r="CG227" s="6">
        <v>10.7</v>
      </c>
      <c r="CH227" s="6"/>
    </row>
    <row r="228" spans="1:86" ht="15.75" customHeight="1" x14ac:dyDescent="0.25">
      <c r="A228" s="4">
        <v>226</v>
      </c>
      <c r="B228" s="2"/>
      <c r="C228" s="4">
        <v>14</v>
      </c>
      <c r="D228" s="6">
        <v>12.23</v>
      </c>
      <c r="E228" s="6">
        <v>10.83</v>
      </c>
      <c r="F228" s="6">
        <v>11.48</v>
      </c>
      <c r="G228" s="6">
        <v>11.38</v>
      </c>
      <c r="H228" s="6">
        <v>10.63</v>
      </c>
      <c r="I228" s="6">
        <v>10.88</v>
      </c>
      <c r="J228" s="6">
        <v>10.63</v>
      </c>
      <c r="K228" s="6">
        <v>11.13</v>
      </c>
      <c r="L228" s="6">
        <v>11.83</v>
      </c>
      <c r="M228" s="6">
        <v>11.23</v>
      </c>
      <c r="N228" s="6">
        <v>11.36</v>
      </c>
      <c r="O228" s="6">
        <v>11.81</v>
      </c>
      <c r="P228" s="6">
        <v>10.23</v>
      </c>
      <c r="Q228" s="6">
        <v>11.53</v>
      </c>
      <c r="R228" s="6">
        <v>10.28</v>
      </c>
      <c r="S228" s="6">
        <v>9.93</v>
      </c>
      <c r="T228" s="6">
        <v>10.43</v>
      </c>
      <c r="U228" s="6">
        <v>10.85</v>
      </c>
      <c r="V228" s="6">
        <v>10.73</v>
      </c>
      <c r="W228" s="6">
        <v>11.53</v>
      </c>
      <c r="X228" s="6">
        <v>11.46</v>
      </c>
      <c r="Y228" s="6">
        <v>10.43</v>
      </c>
      <c r="Z228" s="6">
        <v>9.31</v>
      </c>
      <c r="AA228" s="6">
        <v>10.18</v>
      </c>
      <c r="AB228" s="6">
        <v>11.79</v>
      </c>
      <c r="AC228" s="6">
        <v>11.11</v>
      </c>
      <c r="AD228" s="6">
        <v>10.35</v>
      </c>
      <c r="AE228" s="6">
        <v>11.11</v>
      </c>
      <c r="AF228" s="6">
        <v>10.95</v>
      </c>
      <c r="AG228" s="6">
        <v>10.87</v>
      </c>
      <c r="AH228" s="6">
        <v>8.61</v>
      </c>
      <c r="AI228" s="6">
        <v>9.09</v>
      </c>
      <c r="AJ228" s="6">
        <v>10.1</v>
      </c>
      <c r="AK228" s="6">
        <v>12.18</v>
      </c>
      <c r="AL228" s="6">
        <v>11.29</v>
      </c>
      <c r="AM228" s="6">
        <v>10.71</v>
      </c>
      <c r="AN228" s="6">
        <v>11.13</v>
      </c>
      <c r="AO228" s="6">
        <v>11.48</v>
      </c>
      <c r="AP228" s="6">
        <v>11.4</v>
      </c>
      <c r="AQ228" s="6">
        <v>10.77</v>
      </c>
      <c r="AR228" s="6">
        <v>10.87</v>
      </c>
      <c r="AS228" s="6">
        <v>9.86</v>
      </c>
      <c r="AT228" s="6">
        <v>9.5500000000000007</v>
      </c>
      <c r="AU228" s="6">
        <v>11.27</v>
      </c>
      <c r="AV228" s="6">
        <v>10.94</v>
      </c>
      <c r="AW228" s="6">
        <v>10.53</v>
      </c>
      <c r="AX228" s="6">
        <v>9.7899999999999991</v>
      </c>
      <c r="AY228" s="6">
        <v>11.3</v>
      </c>
      <c r="AZ228" s="6">
        <v>10.4</v>
      </c>
      <c r="BA228" s="6">
        <v>10.46</v>
      </c>
      <c r="BB228" s="6">
        <v>11.33</v>
      </c>
      <c r="BC228" s="6">
        <f>10.15+0.43</f>
        <v>10.58</v>
      </c>
      <c r="BD228" s="6">
        <v>10.4</v>
      </c>
      <c r="BE228" s="6">
        <v>11.34</v>
      </c>
      <c r="BF228" s="6">
        <v>10.029999999999999</v>
      </c>
      <c r="BG228" s="6">
        <v>11.28</v>
      </c>
      <c r="BH228" s="6">
        <v>10.51</v>
      </c>
      <c r="BI228" s="6">
        <v>10.33</v>
      </c>
      <c r="BJ228" s="6">
        <v>8.73</v>
      </c>
      <c r="BK228" s="6">
        <v>10.85</v>
      </c>
      <c r="BL228" s="6">
        <v>10.53</v>
      </c>
      <c r="BM228" s="6">
        <v>10.63</v>
      </c>
      <c r="BN228" s="6">
        <v>9.59</v>
      </c>
      <c r="BO228" s="6">
        <v>11.16</v>
      </c>
      <c r="BP228" s="6">
        <v>10.64</v>
      </c>
      <c r="BQ228" s="6">
        <v>10.5</v>
      </c>
      <c r="BR228" s="6">
        <v>9.41</v>
      </c>
      <c r="BS228" s="6">
        <v>10.83</v>
      </c>
      <c r="BT228" s="6">
        <v>10.67</v>
      </c>
      <c r="BU228" s="6">
        <v>11.44</v>
      </c>
      <c r="BV228" s="6">
        <v>9.43</v>
      </c>
      <c r="BW228" s="6">
        <v>10.08</v>
      </c>
      <c r="BX228" s="6">
        <v>9.9499999999999993</v>
      </c>
      <c r="BY228" s="6">
        <v>11.11</v>
      </c>
      <c r="BZ228" s="6">
        <v>11.31</v>
      </c>
      <c r="CA228" s="6">
        <v>11.86</v>
      </c>
      <c r="CB228" s="6">
        <v>11.34</v>
      </c>
      <c r="CC228" s="6">
        <v>10.119999999999999</v>
      </c>
      <c r="CD228" s="6">
        <v>11.67</v>
      </c>
      <c r="CE228" s="6">
        <v>11.27</v>
      </c>
      <c r="CF228" s="6">
        <v>9.9499999999999993</v>
      </c>
      <c r="CG228" s="6">
        <v>10.71</v>
      </c>
      <c r="CH228" s="6"/>
    </row>
    <row r="229" spans="1:86" ht="15.75" customHeight="1" x14ac:dyDescent="0.25">
      <c r="A229" s="4">
        <v>227</v>
      </c>
      <c r="B229" s="2"/>
      <c r="C229" s="4">
        <v>15</v>
      </c>
      <c r="D229" s="6">
        <v>12.23</v>
      </c>
      <c r="E229" s="6">
        <v>10.98</v>
      </c>
      <c r="F229" s="6">
        <v>11.48</v>
      </c>
      <c r="G229" s="6">
        <v>11.43</v>
      </c>
      <c r="H229" s="6">
        <v>10.58</v>
      </c>
      <c r="I229" s="6">
        <v>10.88</v>
      </c>
      <c r="J229" s="6">
        <v>10.63</v>
      </c>
      <c r="K229" s="6">
        <v>11.18</v>
      </c>
      <c r="L229" s="6">
        <v>11.88</v>
      </c>
      <c r="M229" s="6">
        <v>11.28</v>
      </c>
      <c r="N229" s="6">
        <v>11.33</v>
      </c>
      <c r="O229" s="6">
        <v>11.73</v>
      </c>
      <c r="P229" s="6">
        <v>10.11</v>
      </c>
      <c r="Q229" s="6">
        <v>11.53</v>
      </c>
      <c r="R229" s="6">
        <v>10.210000000000001</v>
      </c>
      <c r="S229" s="6">
        <v>9.93</v>
      </c>
      <c r="T229" s="6">
        <v>10.43</v>
      </c>
      <c r="U229" s="6">
        <v>10.87</v>
      </c>
      <c r="V229" s="6">
        <v>10.68</v>
      </c>
      <c r="W229" s="6">
        <v>11.53</v>
      </c>
      <c r="X229" s="6">
        <v>11.39</v>
      </c>
      <c r="Y229" s="6">
        <v>10.53</v>
      </c>
      <c r="Z229" s="6">
        <v>9.31</v>
      </c>
      <c r="AA229" s="6">
        <v>10.33</v>
      </c>
      <c r="AB229" s="6">
        <v>11.83</v>
      </c>
      <c r="AC229" s="6">
        <v>11.06</v>
      </c>
      <c r="AD229" s="6">
        <v>10.33</v>
      </c>
      <c r="AE229" s="6">
        <v>11.15</v>
      </c>
      <c r="AF229" s="6">
        <v>11.04</v>
      </c>
      <c r="AG229" s="6">
        <v>10.91</v>
      </c>
      <c r="AH229" s="6">
        <v>8.64</v>
      </c>
      <c r="AI229" s="6">
        <v>9.2100000000000009</v>
      </c>
      <c r="AJ229" s="6">
        <v>10.09</v>
      </c>
      <c r="AK229" s="6">
        <v>12.14</v>
      </c>
      <c r="AL229" s="6">
        <v>11.32</v>
      </c>
      <c r="AM229" s="6">
        <v>10.8</v>
      </c>
      <c r="AN229" s="6">
        <v>11.15</v>
      </c>
      <c r="AO229" s="6">
        <v>11.52</v>
      </c>
      <c r="AP229" s="6">
        <v>11.54</v>
      </c>
      <c r="AQ229" s="6">
        <v>10.74</v>
      </c>
      <c r="AR229" s="6">
        <v>10.9</v>
      </c>
      <c r="AS229" s="6">
        <v>9.8699999999999992</v>
      </c>
      <c r="AT229" s="6">
        <v>9.61</v>
      </c>
      <c r="AU229" s="6">
        <v>11.27</v>
      </c>
      <c r="AV229" s="6">
        <v>10.78</v>
      </c>
      <c r="AW229" s="6">
        <v>10.64</v>
      </c>
      <c r="AX229" s="6">
        <v>9.84</v>
      </c>
      <c r="AY229" s="6">
        <v>11.21</v>
      </c>
      <c r="AZ229" s="6">
        <v>10.42</v>
      </c>
      <c r="BA229" s="6">
        <v>10.52</v>
      </c>
      <c r="BB229" s="6">
        <v>11.3</v>
      </c>
      <c r="BC229" s="6">
        <f>10.08+0.43</f>
        <v>10.51</v>
      </c>
      <c r="BD229" s="6">
        <v>10.5</v>
      </c>
      <c r="BE229" s="6">
        <v>11.34</v>
      </c>
      <c r="BF229" s="6">
        <v>10.18</v>
      </c>
      <c r="BG229" s="6">
        <v>11.28</v>
      </c>
      <c r="BH229" s="6">
        <v>10.51</v>
      </c>
      <c r="BI229" s="6">
        <v>10.3</v>
      </c>
      <c r="BJ229" s="6">
        <v>8.7899999999999991</v>
      </c>
      <c r="BK229" s="6">
        <v>10.87</v>
      </c>
      <c r="BL229" s="6">
        <v>10.54</v>
      </c>
      <c r="BM229" s="6">
        <v>10.64</v>
      </c>
      <c r="BN229" s="6">
        <v>9.6199999999999992</v>
      </c>
      <c r="BO229" s="6">
        <v>11.16</v>
      </c>
      <c r="BP229" s="6">
        <v>10.69</v>
      </c>
      <c r="BQ229" s="6">
        <v>10.53</v>
      </c>
      <c r="BR229" s="6">
        <v>9.4600000000000009</v>
      </c>
      <c r="BS229" s="6">
        <v>10.83</v>
      </c>
      <c r="BT229" s="6">
        <v>10.62</v>
      </c>
      <c r="BU229" s="6">
        <v>11.45</v>
      </c>
      <c r="BV229" s="6">
        <v>9.42</v>
      </c>
      <c r="BW229" s="6">
        <v>10.11</v>
      </c>
      <c r="BX229" s="6">
        <v>9.9499999999999993</v>
      </c>
      <c r="BY229" s="6">
        <v>11.129999999999999</v>
      </c>
      <c r="BZ229" s="6">
        <v>11.2</v>
      </c>
      <c r="CA229" s="6">
        <v>11.83</v>
      </c>
      <c r="CB229" s="6">
        <v>11.37</v>
      </c>
      <c r="CC229" s="6">
        <v>10.219999999999999</v>
      </c>
      <c r="CD229" s="6">
        <v>11.81</v>
      </c>
      <c r="CE229" s="6">
        <v>11.26</v>
      </c>
      <c r="CF229" s="6">
        <v>9.9</v>
      </c>
      <c r="CG229" s="6">
        <v>10.69</v>
      </c>
      <c r="CH229" s="6"/>
    </row>
    <row r="230" spans="1:86" ht="15.75" customHeight="1" x14ac:dyDescent="0.25">
      <c r="A230" s="4">
        <v>228</v>
      </c>
      <c r="B230" s="2"/>
      <c r="C230" s="4">
        <v>16</v>
      </c>
      <c r="D230" s="6">
        <v>12.18</v>
      </c>
      <c r="E230" s="6">
        <v>10.98</v>
      </c>
      <c r="F230" s="6">
        <v>11.48</v>
      </c>
      <c r="G230" s="6">
        <v>11.43</v>
      </c>
      <c r="H230" s="6">
        <v>10.53</v>
      </c>
      <c r="I230" s="6">
        <v>10.88</v>
      </c>
      <c r="J230" s="6">
        <v>10.73</v>
      </c>
      <c r="K230" s="6">
        <v>11.23</v>
      </c>
      <c r="L230" s="6">
        <v>11.93</v>
      </c>
      <c r="M230" s="6">
        <v>11.38</v>
      </c>
      <c r="N230" s="6">
        <v>11.33</v>
      </c>
      <c r="O230" s="6">
        <v>11.68</v>
      </c>
      <c r="P230" s="6">
        <v>10.029999999999999</v>
      </c>
      <c r="Q230" s="6">
        <v>11.51</v>
      </c>
      <c r="R230" s="6">
        <v>10.17</v>
      </c>
      <c r="S230" s="6">
        <v>9.83</v>
      </c>
      <c r="T230" s="6">
        <v>10.43</v>
      </c>
      <c r="U230" s="6">
        <v>10.83</v>
      </c>
      <c r="V230" s="6">
        <v>10.63</v>
      </c>
      <c r="W230" s="6">
        <v>11.68</v>
      </c>
      <c r="X230" s="6">
        <v>11.33</v>
      </c>
      <c r="Y230" s="6">
        <v>10.48</v>
      </c>
      <c r="Z230" s="6">
        <v>9.2799999999999994</v>
      </c>
      <c r="AA230" s="6">
        <v>10.47</v>
      </c>
      <c r="AB230" s="6">
        <v>11.87</v>
      </c>
      <c r="AC230" s="6">
        <v>11.01</v>
      </c>
      <c r="AD230" s="6">
        <v>10.32</v>
      </c>
      <c r="AE230" s="6">
        <v>11.16</v>
      </c>
      <c r="AF230" s="6">
        <v>11.11</v>
      </c>
      <c r="AG230" s="6">
        <v>11.09</v>
      </c>
      <c r="AH230" s="6">
        <v>8.6300000000000008</v>
      </c>
      <c r="AI230" s="6">
        <v>9.31</v>
      </c>
      <c r="AJ230" s="6">
        <v>10.199999999999999</v>
      </c>
      <c r="AK230" s="6">
        <v>12.11</v>
      </c>
      <c r="AL230" s="6">
        <v>11.37</v>
      </c>
      <c r="AM230" s="6">
        <v>10.85</v>
      </c>
      <c r="AN230" s="6">
        <v>11.17</v>
      </c>
      <c r="AO230" s="6">
        <v>11.63</v>
      </c>
      <c r="AP230" s="6">
        <v>11.58</v>
      </c>
      <c r="AQ230" s="6">
        <v>11.01</v>
      </c>
      <c r="AR230" s="6">
        <v>10.96</v>
      </c>
      <c r="AS230" s="6">
        <v>9.8800000000000008</v>
      </c>
      <c r="AT230" s="6">
        <v>9.7100000000000009</v>
      </c>
      <c r="AU230" s="6">
        <v>11.28</v>
      </c>
      <c r="AV230" s="6">
        <v>10.66</v>
      </c>
      <c r="AW230" s="6">
        <v>10.71</v>
      </c>
      <c r="AX230" s="6">
        <v>9.69</v>
      </c>
      <c r="AY230" s="6">
        <v>11.24</v>
      </c>
      <c r="AZ230" s="6">
        <v>10.41</v>
      </c>
      <c r="BA230" s="6">
        <v>10.54</v>
      </c>
      <c r="BB230" s="6">
        <v>11.3</v>
      </c>
      <c r="BC230" s="6">
        <f>10.18+0.43</f>
        <v>10.61</v>
      </c>
      <c r="BD230" s="6">
        <v>10.45</v>
      </c>
      <c r="BE230" s="6">
        <v>11.28</v>
      </c>
      <c r="BF230" s="6">
        <v>10.24</v>
      </c>
      <c r="BG230" s="6">
        <v>11.23</v>
      </c>
      <c r="BH230" s="6">
        <v>10.73</v>
      </c>
      <c r="BI230" s="6">
        <v>10.25</v>
      </c>
      <c r="BJ230" s="6">
        <v>8.82</v>
      </c>
      <c r="BK230" s="6">
        <v>10.86</v>
      </c>
      <c r="BL230" s="6">
        <v>10.58</v>
      </c>
      <c r="BM230" s="6">
        <v>10.65</v>
      </c>
      <c r="BN230" s="6">
        <v>9.7799999999999994</v>
      </c>
      <c r="BO230" s="6">
        <v>11.11</v>
      </c>
      <c r="BP230" s="6">
        <v>10.69</v>
      </c>
      <c r="BQ230" s="6">
        <v>10.53</v>
      </c>
      <c r="BR230" s="6">
        <v>9.52</v>
      </c>
      <c r="BS230" s="6">
        <v>10.85</v>
      </c>
      <c r="BT230" s="6">
        <v>10.64</v>
      </c>
      <c r="BU230" s="6">
        <v>11.493</v>
      </c>
      <c r="BV230" s="6">
        <v>9.42</v>
      </c>
      <c r="BW230" s="6">
        <v>10.17</v>
      </c>
      <c r="BX230" s="6">
        <v>9.93</v>
      </c>
      <c r="BY230" s="6">
        <v>11.17</v>
      </c>
      <c r="BZ230" s="6">
        <v>11.15</v>
      </c>
      <c r="CA230" s="6">
        <v>11.879999999999999</v>
      </c>
      <c r="CB230" s="6">
        <v>11.61</v>
      </c>
      <c r="CC230" s="6">
        <v>10.28</v>
      </c>
      <c r="CD230" s="6">
        <v>11.959999999999999</v>
      </c>
      <c r="CE230" s="6">
        <v>11.25</v>
      </c>
      <c r="CF230" s="6">
        <v>9.8699999999999992</v>
      </c>
      <c r="CG230" s="6">
        <v>10.7</v>
      </c>
      <c r="CH230" s="6"/>
    </row>
    <row r="231" spans="1:86" ht="15.75" customHeight="1" x14ac:dyDescent="0.25">
      <c r="A231" s="4">
        <v>229</v>
      </c>
      <c r="B231" s="2"/>
      <c r="C231" s="4">
        <v>17</v>
      </c>
      <c r="D231" s="6">
        <v>12.18</v>
      </c>
      <c r="E231" s="6">
        <v>10.93</v>
      </c>
      <c r="F231" s="6">
        <v>11.53</v>
      </c>
      <c r="G231" s="6">
        <v>11.43</v>
      </c>
      <c r="H231" s="6">
        <v>10.43</v>
      </c>
      <c r="I231" s="6">
        <v>10.88</v>
      </c>
      <c r="J231" s="6">
        <v>10.83</v>
      </c>
      <c r="K231" s="6">
        <v>11.28</v>
      </c>
      <c r="L231" s="6">
        <v>12.03</v>
      </c>
      <c r="M231" s="6">
        <v>11.43</v>
      </c>
      <c r="N231" s="6">
        <v>11.31</v>
      </c>
      <c r="O231" s="6">
        <v>11.63</v>
      </c>
      <c r="P231" s="6">
        <v>9.98</v>
      </c>
      <c r="Q231" s="6">
        <v>11.5</v>
      </c>
      <c r="R231" s="6">
        <v>10.19</v>
      </c>
      <c r="S231" s="6">
        <v>9.83</v>
      </c>
      <c r="T231" s="6">
        <v>10.53</v>
      </c>
      <c r="U231" s="6">
        <v>10.83</v>
      </c>
      <c r="V231" s="6">
        <v>10.58</v>
      </c>
      <c r="W231" s="6">
        <v>11.73</v>
      </c>
      <c r="X231" s="6">
        <v>11.27</v>
      </c>
      <c r="Y231" s="6">
        <v>10.53</v>
      </c>
      <c r="Z231" s="6">
        <v>9.43</v>
      </c>
      <c r="AA231" s="6">
        <v>10.63</v>
      </c>
      <c r="AB231" s="6">
        <v>11.9</v>
      </c>
      <c r="AC231" s="6">
        <v>10.98</v>
      </c>
      <c r="AD231" s="6">
        <v>10.51</v>
      </c>
      <c r="AE231" s="6">
        <v>11.15</v>
      </c>
      <c r="AF231" s="6">
        <v>11.24</v>
      </c>
      <c r="AG231" s="6">
        <v>10.95</v>
      </c>
      <c r="AH231" s="6">
        <v>8.59</v>
      </c>
      <c r="AI231" s="6">
        <v>9.27</v>
      </c>
      <c r="AJ231" s="6">
        <v>10.25</v>
      </c>
      <c r="AK231" s="6">
        <v>12.12</v>
      </c>
      <c r="AL231" s="6">
        <v>11.37</v>
      </c>
      <c r="AM231" s="6">
        <v>10.79</v>
      </c>
      <c r="AN231" s="6">
        <v>11.18</v>
      </c>
      <c r="AO231" s="6">
        <v>11.61</v>
      </c>
      <c r="AP231" s="6">
        <v>11.62</v>
      </c>
      <c r="AQ231" s="6">
        <v>10.98</v>
      </c>
      <c r="AR231" s="6">
        <v>10.88</v>
      </c>
      <c r="AS231" s="6">
        <v>9.92</v>
      </c>
      <c r="AT231" s="6">
        <v>9.7899999999999991</v>
      </c>
      <c r="AU231" s="6">
        <v>11.28</v>
      </c>
      <c r="AV231" s="6">
        <v>10.65</v>
      </c>
      <c r="AW231" s="6">
        <v>10.78</v>
      </c>
      <c r="AX231" s="6">
        <v>9.5399999999999991</v>
      </c>
      <c r="AY231" s="6">
        <v>11.24</v>
      </c>
      <c r="AZ231" s="6">
        <v>10.37</v>
      </c>
      <c r="BA231" s="6">
        <v>10.54</v>
      </c>
      <c r="BB231" s="6">
        <v>11.33</v>
      </c>
      <c r="BC231" s="6">
        <f>10.39+0.43</f>
        <v>10.82</v>
      </c>
      <c r="BD231" s="6">
        <v>10.44</v>
      </c>
      <c r="BE231" s="6">
        <v>11.28</v>
      </c>
      <c r="BF231" s="6">
        <v>10.33</v>
      </c>
      <c r="BG231" s="6">
        <v>11.18</v>
      </c>
      <c r="BH231" s="6">
        <v>10.73</v>
      </c>
      <c r="BI231" s="6">
        <v>10.23</v>
      </c>
      <c r="BJ231" s="6">
        <v>8.82</v>
      </c>
      <c r="BK231" s="6">
        <v>10.87</v>
      </c>
      <c r="BL231" s="6">
        <v>10.52</v>
      </c>
      <c r="BM231" s="6">
        <v>10.66</v>
      </c>
      <c r="BN231" s="6">
        <v>9.85</v>
      </c>
      <c r="BO231" s="6">
        <v>11.1</v>
      </c>
      <c r="BP231" s="6">
        <v>10.7</v>
      </c>
      <c r="BQ231" s="6">
        <v>10.56</v>
      </c>
      <c r="BR231" s="6">
        <v>9.5500000000000007</v>
      </c>
      <c r="BS231" s="6">
        <v>10.9</v>
      </c>
      <c r="BT231" s="6">
        <v>10.64</v>
      </c>
      <c r="BU231" s="6">
        <v>11.39</v>
      </c>
      <c r="BV231" s="6">
        <v>9.4499999999999993</v>
      </c>
      <c r="BW231" s="6">
        <v>10.219999999999999</v>
      </c>
      <c r="BX231" s="6">
        <v>9.93</v>
      </c>
      <c r="BY231" s="6">
        <v>11.19</v>
      </c>
      <c r="BZ231" s="6">
        <v>11.2</v>
      </c>
      <c r="CA231" s="6">
        <v>11.85</v>
      </c>
      <c r="CB231" s="6">
        <v>11.53</v>
      </c>
      <c r="CC231" s="6">
        <v>10.35</v>
      </c>
      <c r="CD231" s="6">
        <v>12.02</v>
      </c>
      <c r="CE231" s="6">
        <v>11.23</v>
      </c>
      <c r="CF231" s="6">
        <v>9.86</v>
      </c>
      <c r="CG231" s="6">
        <v>10.68</v>
      </c>
      <c r="CH231" s="6"/>
    </row>
    <row r="232" spans="1:86" ht="15.75" customHeight="1" x14ac:dyDescent="0.25">
      <c r="A232" s="4">
        <v>230</v>
      </c>
      <c r="B232" s="2"/>
      <c r="C232" s="4">
        <v>18</v>
      </c>
      <c r="D232" s="6">
        <v>12.18</v>
      </c>
      <c r="E232" s="6">
        <v>10.93</v>
      </c>
      <c r="F232" s="6">
        <v>11.53</v>
      </c>
      <c r="G232" s="6">
        <v>11.53</v>
      </c>
      <c r="H232" s="6">
        <v>10.63</v>
      </c>
      <c r="I232" s="6">
        <v>10.88</v>
      </c>
      <c r="J232" s="6">
        <v>10.88</v>
      </c>
      <c r="K232" s="6">
        <v>11.33</v>
      </c>
      <c r="L232" s="6">
        <v>12.08</v>
      </c>
      <c r="M232" s="6">
        <v>11.53</v>
      </c>
      <c r="N232" s="6">
        <v>11.31</v>
      </c>
      <c r="O232" s="6">
        <v>11.65</v>
      </c>
      <c r="P232" s="6">
        <v>9.93</v>
      </c>
      <c r="Q232" s="6">
        <v>11.45</v>
      </c>
      <c r="R232" s="6">
        <v>10.210000000000001</v>
      </c>
      <c r="S232" s="6">
        <v>9.83</v>
      </c>
      <c r="T232" s="6">
        <v>10.63</v>
      </c>
      <c r="U232" s="6">
        <v>10.86</v>
      </c>
      <c r="V232" s="6">
        <v>10.63</v>
      </c>
      <c r="W232" s="6">
        <v>11.73</v>
      </c>
      <c r="X232" s="6">
        <v>11.23</v>
      </c>
      <c r="Y232" s="6">
        <v>10.5</v>
      </c>
      <c r="Z232" s="6">
        <v>9.5299999999999994</v>
      </c>
      <c r="AA232" s="6">
        <v>10.76</v>
      </c>
      <c r="AB232" s="6">
        <v>11.93</v>
      </c>
      <c r="AC232" s="6">
        <v>10.97</v>
      </c>
      <c r="AD232" s="6">
        <v>10.64</v>
      </c>
      <c r="AE232" s="6">
        <v>11.14</v>
      </c>
      <c r="AF232" s="6">
        <v>11.3</v>
      </c>
      <c r="AG232" s="6">
        <v>10.88</v>
      </c>
      <c r="AH232" s="6">
        <v>8.58</v>
      </c>
      <c r="AI232" s="6">
        <v>9.36</v>
      </c>
      <c r="AJ232" s="6">
        <v>10.31</v>
      </c>
      <c r="AK232" s="6">
        <v>12.13</v>
      </c>
      <c r="AL232" s="6">
        <v>11.43</v>
      </c>
      <c r="AM232" s="6">
        <v>10.73</v>
      </c>
      <c r="AN232" s="6">
        <v>11.19</v>
      </c>
      <c r="AO232" s="6">
        <v>11.61</v>
      </c>
      <c r="AP232" s="6">
        <v>11.64</v>
      </c>
      <c r="AQ232" s="6">
        <v>10.94</v>
      </c>
      <c r="AR232" s="6">
        <v>10.68</v>
      </c>
      <c r="AS232" s="6">
        <v>9.94</v>
      </c>
      <c r="AT232" s="6">
        <v>9.83</v>
      </c>
      <c r="AU232" s="6">
        <v>11.28</v>
      </c>
      <c r="AV232" s="6">
        <v>10.65</v>
      </c>
      <c r="AW232" s="6">
        <v>10.84</v>
      </c>
      <c r="AX232" s="6">
        <v>9.5500000000000007</v>
      </c>
      <c r="AY232" s="6">
        <v>11.19</v>
      </c>
      <c r="AZ232" s="6">
        <v>10.34</v>
      </c>
      <c r="BA232" s="6">
        <v>10.63</v>
      </c>
      <c r="BB232" s="6">
        <v>11.31</v>
      </c>
      <c r="BC232" s="6">
        <f>10.43+0.43</f>
        <v>10.86</v>
      </c>
      <c r="BD232" s="6">
        <v>10.46</v>
      </c>
      <c r="BE232" s="6">
        <v>11.28</v>
      </c>
      <c r="BF232" s="6">
        <v>10.33</v>
      </c>
      <c r="BG232" s="6">
        <v>11.28</v>
      </c>
      <c r="BH232" s="6">
        <v>10.89</v>
      </c>
      <c r="BI232" s="6">
        <v>10.19</v>
      </c>
      <c r="BJ232" s="6">
        <v>8.91</v>
      </c>
      <c r="BK232" s="6">
        <v>10.87</v>
      </c>
      <c r="BL232" s="6">
        <v>10.48</v>
      </c>
      <c r="BM232" s="6">
        <v>10.73</v>
      </c>
      <c r="BN232" s="6">
        <v>9.8699999999999992</v>
      </c>
      <c r="BO232" s="6">
        <v>11.16</v>
      </c>
      <c r="BP232" s="6">
        <v>10.81</v>
      </c>
      <c r="BQ232" s="6">
        <v>10.59</v>
      </c>
      <c r="BR232" s="6">
        <v>9.5500000000000007</v>
      </c>
      <c r="BS232" s="6">
        <v>10.9</v>
      </c>
      <c r="BT232" s="6">
        <v>10.75</v>
      </c>
      <c r="BU232" s="6">
        <v>11.35</v>
      </c>
      <c r="BV232" s="6">
        <v>9.4599999999999991</v>
      </c>
      <c r="BW232" s="6">
        <v>10.26</v>
      </c>
      <c r="BX232" s="6">
        <v>9.9699999999999989</v>
      </c>
      <c r="BY232" s="6">
        <v>11.209999999999999</v>
      </c>
      <c r="BZ232" s="6">
        <v>11.25</v>
      </c>
      <c r="CA232" s="6">
        <v>11.83</v>
      </c>
      <c r="CB232" s="6">
        <v>11.53</v>
      </c>
      <c r="CC232" s="6">
        <v>10.379999999999999</v>
      </c>
      <c r="CD232" s="6">
        <v>12.06</v>
      </c>
      <c r="CE232" s="6">
        <v>11.27</v>
      </c>
      <c r="CF232" s="6">
        <v>9.82</v>
      </c>
      <c r="CG232" s="6">
        <v>10.65</v>
      </c>
      <c r="CH232" s="6"/>
    </row>
    <row r="233" spans="1:86" ht="15.75" customHeight="1" x14ac:dyDescent="0.25">
      <c r="A233" s="4">
        <v>231</v>
      </c>
      <c r="B233" s="2"/>
      <c r="C233" s="4">
        <v>19</v>
      </c>
      <c r="D233" s="6">
        <v>12.18</v>
      </c>
      <c r="E233" s="6">
        <v>10.83</v>
      </c>
      <c r="F233" s="6">
        <v>11.63</v>
      </c>
      <c r="G233" s="6">
        <v>11.63</v>
      </c>
      <c r="H233" s="6">
        <v>10.63</v>
      </c>
      <c r="I233" s="6">
        <v>10.88</v>
      </c>
      <c r="J233" s="6">
        <v>10.88</v>
      </c>
      <c r="K233" s="6">
        <v>11.38</v>
      </c>
      <c r="L233" s="6">
        <v>12.03</v>
      </c>
      <c r="M233" s="6">
        <v>11.43</v>
      </c>
      <c r="N233" s="6">
        <v>11.32</v>
      </c>
      <c r="O233" s="6">
        <v>11.71</v>
      </c>
      <c r="P233" s="6">
        <v>9.91</v>
      </c>
      <c r="Q233" s="6">
        <v>11.39</v>
      </c>
      <c r="R233" s="6">
        <v>10.28</v>
      </c>
      <c r="S233" s="6">
        <v>9.9499999999999993</v>
      </c>
      <c r="T233" s="6">
        <v>10.63</v>
      </c>
      <c r="U233" s="6">
        <v>10.91</v>
      </c>
      <c r="V233" s="6">
        <v>10.68</v>
      </c>
      <c r="W233" s="6">
        <v>11.78</v>
      </c>
      <c r="X233" s="6">
        <v>11.21</v>
      </c>
      <c r="Y233" s="6">
        <v>10.46</v>
      </c>
      <c r="Z233" s="6">
        <v>9.61</v>
      </c>
      <c r="AA233" s="6">
        <v>10.85</v>
      </c>
      <c r="AB233" s="6">
        <v>11.96</v>
      </c>
      <c r="AC233" s="6">
        <v>10.98</v>
      </c>
      <c r="AD233" s="6">
        <v>10.7</v>
      </c>
      <c r="AE233" s="6">
        <v>11.18</v>
      </c>
      <c r="AF233" s="6">
        <v>11.31</v>
      </c>
      <c r="AG233" s="6">
        <v>10.78</v>
      </c>
      <c r="AH233" s="6">
        <v>8.65</v>
      </c>
      <c r="AI233" s="6">
        <v>9.4600000000000009</v>
      </c>
      <c r="AJ233" s="6">
        <v>10.33</v>
      </c>
      <c r="AK233" s="6">
        <v>12.08</v>
      </c>
      <c r="AL233" s="6">
        <v>11.49</v>
      </c>
      <c r="AM233" s="6">
        <v>10.83</v>
      </c>
      <c r="AN233" s="6">
        <v>11.16</v>
      </c>
      <c r="AO233" s="6">
        <v>11.63</v>
      </c>
      <c r="AP233" s="6">
        <v>11.64</v>
      </c>
      <c r="AQ233" s="6">
        <v>10.8</v>
      </c>
      <c r="AR233" s="6">
        <v>10.57</v>
      </c>
      <c r="AS233" s="6">
        <v>10</v>
      </c>
      <c r="AT233" s="6">
        <v>9.8699999999999992</v>
      </c>
      <c r="AU233" s="6">
        <v>11.23</v>
      </c>
      <c r="AV233" s="6">
        <v>10.61</v>
      </c>
      <c r="AW233" s="6">
        <v>10.86</v>
      </c>
      <c r="AX233" s="6">
        <v>9.69</v>
      </c>
      <c r="AY233" s="6">
        <v>11.16</v>
      </c>
      <c r="AZ233" s="6">
        <v>10.43</v>
      </c>
      <c r="BA233" s="6">
        <v>10.66</v>
      </c>
      <c r="BB233" s="6">
        <v>11.25</v>
      </c>
      <c r="BC233" s="6">
        <f>10.53+0.43</f>
        <v>10.959999999999999</v>
      </c>
      <c r="BD233" s="6">
        <v>10.57</v>
      </c>
      <c r="BE233" s="6">
        <v>11.28</v>
      </c>
      <c r="BF233" s="6">
        <v>10.33</v>
      </c>
      <c r="BG233" s="6">
        <v>11.43</v>
      </c>
      <c r="BH233" s="6">
        <v>10.96</v>
      </c>
      <c r="BI233" s="6">
        <v>10.31</v>
      </c>
      <c r="BJ233" s="6">
        <v>8.91</v>
      </c>
      <c r="BK233" s="6">
        <v>10.96</v>
      </c>
      <c r="BL233" s="6">
        <v>10.55</v>
      </c>
      <c r="BM233" s="6">
        <v>10.74</v>
      </c>
      <c r="BN233" s="6">
        <v>10.16</v>
      </c>
      <c r="BO233" s="6">
        <v>11.26</v>
      </c>
      <c r="BP233" s="6">
        <v>10.93</v>
      </c>
      <c r="BQ233" s="6">
        <v>10.55</v>
      </c>
      <c r="BR233" s="6">
        <v>9.52</v>
      </c>
      <c r="BS233" s="6">
        <v>10.93</v>
      </c>
      <c r="BT233" s="6">
        <v>10.81</v>
      </c>
      <c r="BU233" s="6">
        <v>11.28</v>
      </c>
      <c r="BV233" s="6">
        <v>9.56</v>
      </c>
      <c r="BW233" s="6">
        <v>10.299999999999999</v>
      </c>
      <c r="BX233" s="6">
        <v>10</v>
      </c>
      <c r="BY233" s="6">
        <v>11.23</v>
      </c>
      <c r="BZ233" s="6">
        <v>11.219999999999999</v>
      </c>
      <c r="CA233" s="6">
        <v>11.81</v>
      </c>
      <c r="CB233" s="6">
        <v>11.549999999999999</v>
      </c>
      <c r="CC233" s="6">
        <v>10.4</v>
      </c>
      <c r="CD233" s="6">
        <v>12.14</v>
      </c>
      <c r="CE233" s="6">
        <v>11.23</v>
      </c>
      <c r="CF233" s="6">
        <v>9.7799999999999994</v>
      </c>
      <c r="CG233" s="6">
        <v>10.67</v>
      </c>
      <c r="CH233" s="6"/>
    </row>
    <row r="234" spans="1:86" ht="15.75" customHeight="1" x14ac:dyDescent="0.25">
      <c r="A234" s="4">
        <v>232</v>
      </c>
      <c r="B234" s="2"/>
      <c r="C234" s="4">
        <v>20</v>
      </c>
      <c r="D234" s="6">
        <v>12.18</v>
      </c>
      <c r="E234" s="6">
        <v>10.83</v>
      </c>
      <c r="F234" s="6">
        <v>11.53</v>
      </c>
      <c r="G234" s="6">
        <v>11.73</v>
      </c>
      <c r="H234" s="6">
        <v>10.63</v>
      </c>
      <c r="I234" s="6">
        <v>10.88</v>
      </c>
      <c r="J234" s="6">
        <v>10.88</v>
      </c>
      <c r="K234" s="6">
        <v>11.38</v>
      </c>
      <c r="L234" s="6">
        <v>11.98</v>
      </c>
      <c r="M234" s="6">
        <v>11.33</v>
      </c>
      <c r="N234" s="6">
        <v>11.37</v>
      </c>
      <c r="O234" s="6">
        <v>11.71</v>
      </c>
      <c r="P234" s="6">
        <v>9.91</v>
      </c>
      <c r="Q234" s="6">
        <v>11.33</v>
      </c>
      <c r="R234" s="6">
        <v>10.35</v>
      </c>
      <c r="S234" s="6">
        <v>10.029999999999999</v>
      </c>
      <c r="T234" s="6">
        <v>10.68</v>
      </c>
      <c r="U234" s="6">
        <v>10.93</v>
      </c>
      <c r="V234" s="6">
        <v>10.68</v>
      </c>
      <c r="W234" s="6">
        <v>11.83</v>
      </c>
      <c r="X234" s="6">
        <v>11.18</v>
      </c>
      <c r="Y234" s="6">
        <v>10.43</v>
      </c>
      <c r="Z234" s="6">
        <v>9.73</v>
      </c>
      <c r="AA234" s="6">
        <v>10.84</v>
      </c>
      <c r="AB234" s="6">
        <v>11.97</v>
      </c>
      <c r="AC234" s="6">
        <v>10.96</v>
      </c>
      <c r="AD234" s="6">
        <v>10.72</v>
      </c>
      <c r="AE234" s="6">
        <v>11.18</v>
      </c>
      <c r="AF234" s="6">
        <v>11.07</v>
      </c>
      <c r="AG234" s="6">
        <v>10.63</v>
      </c>
      <c r="AH234" s="6">
        <v>8.57</v>
      </c>
      <c r="AI234" s="6">
        <v>9.58</v>
      </c>
      <c r="AJ234" s="6">
        <v>10.37</v>
      </c>
      <c r="AK234" s="6">
        <v>12.05</v>
      </c>
      <c r="AL234" s="6">
        <v>11.43</v>
      </c>
      <c r="AM234" s="6">
        <v>10.87</v>
      </c>
      <c r="AN234" s="6">
        <v>11.01</v>
      </c>
      <c r="AO234" s="6">
        <v>11.55</v>
      </c>
      <c r="AP234" s="6">
        <v>11.56</v>
      </c>
      <c r="AQ234" s="6">
        <v>10.87</v>
      </c>
      <c r="AR234" s="6">
        <v>10.54</v>
      </c>
      <c r="AS234" s="6">
        <v>10.029999999999999</v>
      </c>
      <c r="AT234" s="6">
        <v>9.89</v>
      </c>
      <c r="AU234" s="6">
        <v>11.15</v>
      </c>
      <c r="AV234" s="6">
        <v>10.6</v>
      </c>
      <c r="AW234" s="6">
        <v>10.88</v>
      </c>
      <c r="AX234" s="6">
        <v>9.7799999999999994</v>
      </c>
      <c r="AY234" s="6">
        <v>11.16</v>
      </c>
      <c r="AZ234" s="6">
        <v>10.5</v>
      </c>
      <c r="BA234" s="6">
        <v>10.69</v>
      </c>
      <c r="BB234" s="6">
        <v>11.18</v>
      </c>
      <c r="BC234" s="6">
        <f>10.56+0.43</f>
        <v>10.99</v>
      </c>
      <c r="BD234" s="6">
        <v>10.47</v>
      </c>
      <c r="BE234" s="6">
        <v>11.18</v>
      </c>
      <c r="BF234" s="6">
        <v>10.18</v>
      </c>
      <c r="BG234" s="6">
        <v>11.43</v>
      </c>
      <c r="BH234" s="6">
        <v>10.98</v>
      </c>
      <c r="BI234" s="6">
        <v>10.27</v>
      </c>
      <c r="BJ234" s="6">
        <v>8.94</v>
      </c>
      <c r="BK234" s="6">
        <v>10.81</v>
      </c>
      <c r="BL234" s="6">
        <v>10.55</v>
      </c>
      <c r="BM234" s="6">
        <v>10.76</v>
      </c>
      <c r="BN234" s="6">
        <v>10.19</v>
      </c>
      <c r="BO234" s="6">
        <v>11.34</v>
      </c>
      <c r="BP234" s="6">
        <v>10.98</v>
      </c>
      <c r="BQ234" s="6">
        <v>10.55</v>
      </c>
      <c r="BR234" s="6">
        <v>9.52</v>
      </c>
      <c r="BS234" s="6">
        <v>10.92</v>
      </c>
      <c r="BT234" s="6">
        <v>10.75</v>
      </c>
      <c r="BU234" s="6">
        <v>11.23</v>
      </c>
      <c r="BV234" s="6">
        <v>9.629999999999999</v>
      </c>
      <c r="BW234" s="6">
        <v>10.41</v>
      </c>
      <c r="BX234" s="6">
        <v>10.049999999999999</v>
      </c>
      <c r="BY234" s="6">
        <v>11.23</v>
      </c>
      <c r="BZ234" s="6">
        <v>11.27</v>
      </c>
      <c r="CA234" s="6">
        <v>11.84</v>
      </c>
      <c r="CB234" s="6">
        <v>11.62</v>
      </c>
      <c r="CC234" s="6">
        <v>10.33</v>
      </c>
      <c r="CD234" s="6">
        <v>12.1</v>
      </c>
      <c r="CE234" s="6">
        <v>11.18</v>
      </c>
      <c r="CF234" s="6">
        <v>9.83</v>
      </c>
      <c r="CG234" s="6">
        <v>10.65</v>
      </c>
      <c r="CH234" s="6"/>
    </row>
    <row r="235" spans="1:86" ht="15.75" customHeight="1" x14ac:dyDescent="0.25">
      <c r="A235" s="4">
        <v>233</v>
      </c>
      <c r="B235" s="2"/>
      <c r="C235" s="4">
        <v>21</v>
      </c>
      <c r="D235" s="6">
        <v>12.18</v>
      </c>
      <c r="E235" s="6">
        <v>10.83</v>
      </c>
      <c r="F235" s="6">
        <v>11.53</v>
      </c>
      <c r="G235" s="6">
        <v>11.83</v>
      </c>
      <c r="H235" s="6">
        <v>10.63</v>
      </c>
      <c r="I235" s="6">
        <v>10.83</v>
      </c>
      <c r="J235" s="6">
        <v>10.88</v>
      </c>
      <c r="K235" s="6">
        <v>11.38</v>
      </c>
      <c r="L235" s="6">
        <v>11.93</v>
      </c>
      <c r="M235" s="6">
        <v>11.31</v>
      </c>
      <c r="N235" s="6">
        <v>11.38</v>
      </c>
      <c r="O235" s="6">
        <v>11.73</v>
      </c>
      <c r="P235" s="6">
        <v>9.91</v>
      </c>
      <c r="Q235" s="6">
        <v>11.38</v>
      </c>
      <c r="R235" s="6">
        <v>10.38</v>
      </c>
      <c r="S235" s="6">
        <v>10.23</v>
      </c>
      <c r="T235" s="6">
        <v>10.73</v>
      </c>
      <c r="U235" s="6">
        <v>10.88</v>
      </c>
      <c r="V235" s="6">
        <v>10.68</v>
      </c>
      <c r="W235" s="6">
        <v>11.86</v>
      </c>
      <c r="X235" s="6">
        <v>11.18</v>
      </c>
      <c r="Y235" s="6">
        <v>10.4</v>
      </c>
      <c r="Z235" s="6">
        <v>9.83</v>
      </c>
      <c r="AA235" s="6">
        <v>10.79</v>
      </c>
      <c r="AB235" s="6">
        <v>11.97</v>
      </c>
      <c r="AC235" s="6">
        <v>10.95</v>
      </c>
      <c r="AD235" s="6">
        <v>10.74</v>
      </c>
      <c r="AE235" s="6">
        <v>11.07</v>
      </c>
      <c r="AF235" s="6">
        <v>11.16</v>
      </c>
      <c r="AG235" s="6">
        <v>10.55</v>
      </c>
      <c r="AH235" s="6">
        <v>8.5299999999999994</v>
      </c>
      <c r="AI235" s="6">
        <v>9.35</v>
      </c>
      <c r="AJ235" s="6">
        <v>10.54</v>
      </c>
      <c r="AK235" s="6">
        <v>12.03</v>
      </c>
      <c r="AL235" s="6">
        <v>11.47</v>
      </c>
      <c r="AM235" s="6">
        <v>10.87</v>
      </c>
      <c r="AN235" s="6">
        <v>10.91</v>
      </c>
      <c r="AO235" s="6">
        <v>11.51</v>
      </c>
      <c r="AP235" s="6">
        <v>11.52</v>
      </c>
      <c r="AQ235" s="6">
        <v>10.98</v>
      </c>
      <c r="AR235" s="6">
        <v>10.54</v>
      </c>
      <c r="AS235" s="6">
        <v>10</v>
      </c>
      <c r="AT235" s="6">
        <v>9.94</v>
      </c>
      <c r="AU235" s="6">
        <v>11.13</v>
      </c>
      <c r="AV235" s="6">
        <v>10.63</v>
      </c>
      <c r="AW235" s="6">
        <v>10.92</v>
      </c>
      <c r="AX235" s="6">
        <v>9.73</v>
      </c>
      <c r="AY235" s="6">
        <v>11.12</v>
      </c>
      <c r="AZ235" s="6">
        <v>10.52</v>
      </c>
      <c r="BA235" s="6">
        <v>10.69</v>
      </c>
      <c r="BB235" s="6">
        <v>11.05</v>
      </c>
      <c r="BC235" s="6">
        <f>10.66+0.43</f>
        <v>11.09</v>
      </c>
      <c r="BD235" s="6">
        <v>10.39</v>
      </c>
      <c r="BE235" s="6">
        <v>11.21</v>
      </c>
      <c r="BF235" s="6">
        <v>10.18</v>
      </c>
      <c r="BG235" s="6">
        <v>11.5</v>
      </c>
      <c r="BH235" s="6">
        <v>11.1</v>
      </c>
      <c r="BI235" s="6">
        <v>10.23</v>
      </c>
      <c r="BJ235" s="6">
        <v>9.06</v>
      </c>
      <c r="BK235" s="6">
        <v>10.82</v>
      </c>
      <c r="BL235" s="6">
        <v>10.58</v>
      </c>
      <c r="BM235" s="6">
        <v>10.8</v>
      </c>
      <c r="BN235" s="6">
        <v>10.210000000000001</v>
      </c>
      <c r="BO235" s="6">
        <v>11.37</v>
      </c>
      <c r="BP235" s="6">
        <v>11.05</v>
      </c>
      <c r="BQ235" s="6">
        <v>10.55</v>
      </c>
      <c r="BR235" s="6">
        <v>9.52</v>
      </c>
      <c r="BS235" s="6">
        <v>10.94</v>
      </c>
      <c r="BT235" s="6">
        <v>10.7</v>
      </c>
      <c r="BU235" s="6">
        <v>11.209999999999999</v>
      </c>
      <c r="BV235" s="6">
        <v>9.64</v>
      </c>
      <c r="BW235" s="6">
        <v>10.41</v>
      </c>
      <c r="BX235" s="6">
        <v>10.09</v>
      </c>
      <c r="BY235" s="6">
        <v>11.219999999999999</v>
      </c>
      <c r="BZ235" s="6">
        <v>11.11</v>
      </c>
      <c r="CA235" s="6">
        <v>11.85</v>
      </c>
      <c r="CB235" s="6">
        <v>11.68</v>
      </c>
      <c r="CC235" s="6">
        <v>10.35</v>
      </c>
      <c r="CD235" s="6">
        <v>12.11</v>
      </c>
      <c r="CE235" s="6">
        <v>11.16</v>
      </c>
      <c r="CF235" s="6">
        <v>9.85</v>
      </c>
      <c r="CG235" s="6">
        <v>10.59</v>
      </c>
      <c r="CH235" s="6"/>
    </row>
    <row r="236" spans="1:86" ht="15.75" customHeight="1" x14ac:dyDescent="0.25">
      <c r="A236" s="4">
        <v>234</v>
      </c>
      <c r="B236" s="2"/>
      <c r="C236" s="4">
        <v>22</v>
      </c>
      <c r="D236" s="6">
        <v>12.18</v>
      </c>
      <c r="E236" s="6">
        <v>10.83</v>
      </c>
      <c r="F236" s="6">
        <v>11.58</v>
      </c>
      <c r="G236" s="6">
        <v>11.83</v>
      </c>
      <c r="H236" s="6">
        <v>10.63</v>
      </c>
      <c r="I236" s="6">
        <v>10.83</v>
      </c>
      <c r="J236" s="6">
        <v>10.88</v>
      </c>
      <c r="K236" s="6">
        <v>11.33</v>
      </c>
      <c r="L236" s="6">
        <v>11.88</v>
      </c>
      <c r="M236" s="6">
        <v>11.28</v>
      </c>
      <c r="N236" s="6">
        <v>11.33</v>
      </c>
      <c r="O236" s="6">
        <v>11.88</v>
      </c>
      <c r="P236" s="6">
        <v>9.89</v>
      </c>
      <c r="Q236" s="6">
        <v>11.38</v>
      </c>
      <c r="R236" s="6">
        <v>10.43</v>
      </c>
      <c r="S236" s="6">
        <v>10.029999999999999</v>
      </c>
      <c r="T236" s="6">
        <v>10.71</v>
      </c>
      <c r="U236" s="6">
        <v>10.88</v>
      </c>
      <c r="V236" s="6">
        <v>10.63</v>
      </c>
      <c r="W236" s="6">
        <v>11.91</v>
      </c>
      <c r="X236" s="6">
        <v>11.18</v>
      </c>
      <c r="Y236" s="6">
        <v>10.33</v>
      </c>
      <c r="Z236" s="6">
        <v>9.83</v>
      </c>
      <c r="AA236" s="6">
        <v>10.74</v>
      </c>
      <c r="AB236" s="6">
        <v>11.96</v>
      </c>
      <c r="AC236" s="6">
        <v>10.92</v>
      </c>
      <c r="AD236" s="6">
        <v>10.71</v>
      </c>
      <c r="AE236" s="6">
        <v>11.24</v>
      </c>
      <c r="AF236" s="6">
        <v>11.23</v>
      </c>
      <c r="AG236" s="6">
        <v>10.57</v>
      </c>
      <c r="AH236" s="6">
        <v>8.5</v>
      </c>
      <c r="AI236" s="6">
        <v>9.43</v>
      </c>
      <c r="AJ236" s="6">
        <v>10.55</v>
      </c>
      <c r="AK236" s="6">
        <v>12.18</v>
      </c>
      <c r="AL236" s="6">
        <v>11.47</v>
      </c>
      <c r="AM236" s="6">
        <v>10.89</v>
      </c>
      <c r="AN236" s="6">
        <v>10.83</v>
      </c>
      <c r="AO236" s="6">
        <v>11.45</v>
      </c>
      <c r="AP236" s="6">
        <v>11.34</v>
      </c>
      <c r="AQ236" s="6">
        <v>10.98</v>
      </c>
      <c r="AR236" s="6">
        <v>10.53</v>
      </c>
      <c r="AS236" s="6">
        <v>10.029999999999999</v>
      </c>
      <c r="AT236" s="6">
        <v>9.9700000000000006</v>
      </c>
      <c r="AU236" s="6">
        <v>11.11</v>
      </c>
      <c r="AV236" s="6">
        <v>10.65</v>
      </c>
      <c r="AW236" s="6">
        <v>10.89</v>
      </c>
      <c r="AX236" s="6">
        <v>9.7799999999999994</v>
      </c>
      <c r="AY236" s="6">
        <v>11.03</v>
      </c>
      <c r="AZ236" s="6">
        <v>10.78</v>
      </c>
      <c r="BA236" s="6">
        <v>10.67</v>
      </c>
      <c r="BB236" s="6">
        <v>10.95</v>
      </c>
      <c r="BC236" s="6">
        <f>10.64+0.43</f>
        <v>11.07</v>
      </c>
      <c r="BD236" s="6">
        <v>10.43</v>
      </c>
      <c r="BE236" s="6">
        <v>11.28</v>
      </c>
      <c r="BF236" s="6">
        <v>10.119999999999999</v>
      </c>
      <c r="BG236" s="6">
        <v>11.49</v>
      </c>
      <c r="BH236" s="6">
        <v>11.15</v>
      </c>
      <c r="BI236" s="6">
        <v>10.29</v>
      </c>
      <c r="BJ236" s="6">
        <v>9.09</v>
      </c>
      <c r="BK236" s="6">
        <v>10.83</v>
      </c>
      <c r="BL236" s="6">
        <v>10.59</v>
      </c>
      <c r="BM236" s="6">
        <v>10.77</v>
      </c>
      <c r="BN236" s="6">
        <v>10.18</v>
      </c>
      <c r="BO236" s="6">
        <v>11.39</v>
      </c>
      <c r="BP236" s="6">
        <v>11.1</v>
      </c>
      <c r="BQ236" s="6">
        <v>10.48</v>
      </c>
      <c r="BR236" s="6">
        <v>9.5</v>
      </c>
      <c r="BS236" s="6">
        <v>10.94</v>
      </c>
      <c r="BT236" s="6">
        <v>10.66</v>
      </c>
      <c r="BU236" s="6">
        <v>11.17</v>
      </c>
      <c r="BV236" s="6">
        <v>9.68</v>
      </c>
      <c r="BW236" s="6">
        <v>10.456</v>
      </c>
      <c r="BX236" s="6">
        <v>10.129999999999999</v>
      </c>
      <c r="BY236" s="6">
        <v>11.25</v>
      </c>
      <c r="BZ236" s="6">
        <v>11.12</v>
      </c>
      <c r="CA236" s="6">
        <v>12.04</v>
      </c>
      <c r="CB236" s="6">
        <v>11.799999999999999</v>
      </c>
      <c r="CC236" s="6">
        <v>10.299999999999999</v>
      </c>
      <c r="CD236" s="6">
        <v>12.12</v>
      </c>
      <c r="CE236" s="6">
        <v>11.129999999999999</v>
      </c>
      <c r="CF236" s="6">
        <v>9.81</v>
      </c>
      <c r="CG236" s="6">
        <v>10.53</v>
      </c>
      <c r="CH236" s="6"/>
    </row>
    <row r="237" spans="1:86" ht="15.75" customHeight="1" x14ac:dyDescent="0.25">
      <c r="A237" s="4">
        <v>235</v>
      </c>
      <c r="B237" s="2"/>
      <c r="C237" s="4">
        <v>23</v>
      </c>
      <c r="D237" s="6">
        <v>12.18</v>
      </c>
      <c r="E237" s="6">
        <v>10.83</v>
      </c>
      <c r="F237" s="6">
        <v>11.58</v>
      </c>
      <c r="G237" s="6">
        <v>11.83</v>
      </c>
      <c r="H237" s="6">
        <v>10.63</v>
      </c>
      <c r="I237" s="6">
        <v>10.83</v>
      </c>
      <c r="J237" s="6">
        <v>10.88</v>
      </c>
      <c r="K237" s="6">
        <v>11.38</v>
      </c>
      <c r="L237" s="6">
        <v>11.78</v>
      </c>
      <c r="M237" s="6">
        <v>11.31</v>
      </c>
      <c r="N237" s="6">
        <v>11.33</v>
      </c>
      <c r="O237" s="6">
        <v>12.05</v>
      </c>
      <c r="P237" s="6">
        <v>9.85</v>
      </c>
      <c r="Q237" s="6">
        <v>11.43</v>
      </c>
      <c r="R237" s="6">
        <v>10.48</v>
      </c>
      <c r="S237" s="6">
        <v>10</v>
      </c>
      <c r="T237" s="6">
        <v>10.73</v>
      </c>
      <c r="U237" s="6">
        <v>10.83</v>
      </c>
      <c r="V237" s="6">
        <v>10.63</v>
      </c>
      <c r="W237" s="6">
        <v>11.95</v>
      </c>
      <c r="X237" s="6">
        <v>11.21</v>
      </c>
      <c r="Y237" s="6">
        <v>10.28</v>
      </c>
      <c r="Z237" s="6">
        <v>9.8800000000000008</v>
      </c>
      <c r="AA237" s="6">
        <v>10.67</v>
      </c>
      <c r="AB237" s="6">
        <v>11.95</v>
      </c>
      <c r="AC237" s="6">
        <v>10.89</v>
      </c>
      <c r="AD237" s="6">
        <v>10.59</v>
      </c>
      <c r="AE237" s="6">
        <v>11.28</v>
      </c>
      <c r="AF237" s="6">
        <v>11.24</v>
      </c>
      <c r="AG237" s="6">
        <v>10.63</v>
      </c>
      <c r="AH237" s="6">
        <v>8.57</v>
      </c>
      <c r="AI237" s="6">
        <v>9.43</v>
      </c>
      <c r="AJ237" s="6">
        <v>10.57</v>
      </c>
      <c r="AK237" s="6">
        <v>12.19</v>
      </c>
      <c r="AL237" s="6">
        <v>11.49</v>
      </c>
      <c r="AM237" s="6">
        <v>10.89</v>
      </c>
      <c r="AN237" s="6">
        <v>10.79</v>
      </c>
      <c r="AO237" s="6">
        <v>11.45</v>
      </c>
      <c r="AP237" s="6">
        <v>11.45</v>
      </c>
      <c r="AQ237" s="6">
        <v>11.12</v>
      </c>
      <c r="AR237" s="6">
        <v>10.51</v>
      </c>
      <c r="AS237" s="6">
        <v>10.039999999999999</v>
      </c>
      <c r="AT237" s="6">
        <v>10.050000000000001</v>
      </c>
      <c r="AU237" s="6">
        <v>11.1</v>
      </c>
      <c r="AV237" s="6">
        <v>10.57</v>
      </c>
      <c r="AW237" s="6">
        <v>10.9</v>
      </c>
      <c r="AX237" s="6">
        <v>9.83</v>
      </c>
      <c r="AY237" s="6">
        <v>10.95</v>
      </c>
      <c r="AZ237" s="6">
        <v>10.93</v>
      </c>
      <c r="BA237" s="6">
        <v>10.65</v>
      </c>
      <c r="BB237" s="6">
        <v>10.89</v>
      </c>
      <c r="BC237" s="6">
        <f>10.7+0.43</f>
        <v>11.129999999999999</v>
      </c>
      <c r="BD237" s="6">
        <v>10.4</v>
      </c>
      <c r="BE237" s="6">
        <v>11.37</v>
      </c>
      <c r="BF237" s="6">
        <v>10.119999999999999</v>
      </c>
      <c r="BG237" s="6">
        <v>11.46</v>
      </c>
      <c r="BH237" s="6">
        <v>11.15</v>
      </c>
      <c r="BI237" s="6">
        <v>10.25</v>
      </c>
      <c r="BJ237" s="6">
        <v>9.19</v>
      </c>
      <c r="BK237" s="6">
        <v>10.83</v>
      </c>
      <c r="BL237" s="6">
        <v>10.56</v>
      </c>
      <c r="BM237" s="6">
        <v>10.76</v>
      </c>
      <c r="BN237" s="6">
        <v>10.210000000000001</v>
      </c>
      <c r="BO237" s="6">
        <v>11.39</v>
      </c>
      <c r="BP237" s="6">
        <v>11.18</v>
      </c>
      <c r="BQ237" s="6">
        <v>10.45</v>
      </c>
      <c r="BR237" s="6">
        <v>9.5</v>
      </c>
      <c r="BS237" s="6">
        <v>10.87</v>
      </c>
      <c r="BT237" s="6">
        <v>10.73</v>
      </c>
      <c r="BU237" s="6">
        <v>11.2</v>
      </c>
      <c r="BV237" s="6">
        <v>9.74</v>
      </c>
      <c r="BW237" s="6">
        <v>10.469999999999999</v>
      </c>
      <c r="BX237" s="6">
        <v>10.23</v>
      </c>
      <c r="BY237" s="6">
        <v>11.24</v>
      </c>
      <c r="BZ237" s="6">
        <v>11.07</v>
      </c>
      <c r="CA237" s="6">
        <v>12.129999999999999</v>
      </c>
      <c r="CB237" s="6">
        <v>11.61</v>
      </c>
      <c r="CC237" s="6">
        <v>10.32</v>
      </c>
      <c r="CD237" s="6">
        <v>12.12</v>
      </c>
      <c r="CE237" s="6">
        <v>11.11</v>
      </c>
      <c r="CF237" s="6">
        <v>9.8000000000000007</v>
      </c>
      <c r="CG237" s="6">
        <v>10.48</v>
      </c>
      <c r="CH237" s="6"/>
    </row>
    <row r="238" spans="1:86" ht="15.75" customHeight="1" x14ac:dyDescent="0.25">
      <c r="A238" s="4">
        <v>236</v>
      </c>
      <c r="B238" s="2"/>
      <c r="C238" s="4">
        <v>24</v>
      </c>
      <c r="D238" s="6">
        <v>12.18</v>
      </c>
      <c r="E238" s="6">
        <v>10.93</v>
      </c>
      <c r="F238" s="6">
        <v>11.58</v>
      </c>
      <c r="G238" s="6">
        <v>11.83</v>
      </c>
      <c r="H238" s="6">
        <v>10.68</v>
      </c>
      <c r="I238" s="6">
        <v>10.88</v>
      </c>
      <c r="J238" s="6">
        <v>10.93</v>
      </c>
      <c r="K238" s="6">
        <v>11.33</v>
      </c>
      <c r="L238" s="6">
        <v>11.78</v>
      </c>
      <c r="M238" s="6">
        <v>11.28</v>
      </c>
      <c r="N238" s="6">
        <v>11.4</v>
      </c>
      <c r="O238" s="6">
        <v>12.05</v>
      </c>
      <c r="P238" s="6">
        <v>9.83</v>
      </c>
      <c r="Q238" s="6">
        <v>11.45</v>
      </c>
      <c r="R238" s="6">
        <v>10.53</v>
      </c>
      <c r="S238" s="6">
        <v>9.93</v>
      </c>
      <c r="T238" s="6">
        <v>10.78</v>
      </c>
      <c r="U238" s="6">
        <v>10.81</v>
      </c>
      <c r="V238" s="6">
        <v>10.58</v>
      </c>
      <c r="W238" s="6">
        <v>11.95</v>
      </c>
      <c r="X238" s="6">
        <v>11.24</v>
      </c>
      <c r="Y238" s="6">
        <v>10.210000000000001</v>
      </c>
      <c r="Z238" s="6">
        <v>9.91</v>
      </c>
      <c r="AA238" s="6">
        <v>10.58</v>
      </c>
      <c r="AB238" s="6">
        <v>11.91</v>
      </c>
      <c r="AC238" s="6">
        <v>10.83</v>
      </c>
      <c r="AD238" s="6">
        <v>10.56</v>
      </c>
      <c r="AE238" s="6">
        <v>11.29</v>
      </c>
      <c r="AF238" s="6">
        <v>11.26</v>
      </c>
      <c r="AG238" s="6">
        <v>10.63</v>
      </c>
      <c r="AH238" s="6">
        <v>8.6</v>
      </c>
      <c r="AI238" s="6">
        <v>9.27</v>
      </c>
      <c r="AJ238" s="6">
        <v>10.75</v>
      </c>
      <c r="AK238" s="6">
        <v>12.21</v>
      </c>
      <c r="AL238" s="6">
        <v>11.41</v>
      </c>
      <c r="AM238" s="6">
        <v>10.92</v>
      </c>
      <c r="AN238" s="6">
        <v>10.69</v>
      </c>
      <c r="AO238" s="6">
        <v>11.59</v>
      </c>
      <c r="AP238" s="6">
        <v>11.44</v>
      </c>
      <c r="AQ238" s="6">
        <v>10.97</v>
      </c>
      <c r="AR238" s="6">
        <v>10.51</v>
      </c>
      <c r="AS238" s="6">
        <v>10.06</v>
      </c>
      <c r="AT238" s="6">
        <v>10.119999999999999</v>
      </c>
      <c r="AU238" s="6">
        <v>11.1</v>
      </c>
      <c r="AV238" s="6">
        <v>10.56</v>
      </c>
      <c r="AW238" s="6">
        <v>10.89</v>
      </c>
      <c r="AX238" s="6">
        <v>9.73</v>
      </c>
      <c r="AY238" s="6">
        <v>10.92</v>
      </c>
      <c r="AZ238" s="6">
        <v>11.11</v>
      </c>
      <c r="BA238" s="6">
        <v>10.62</v>
      </c>
      <c r="BB238" s="6">
        <v>10.91</v>
      </c>
      <c r="BC238" s="6">
        <f>10.77+0.43</f>
        <v>11.2</v>
      </c>
      <c r="BD238" s="6">
        <v>10.42</v>
      </c>
      <c r="BE238" s="6">
        <v>11.37</v>
      </c>
      <c r="BF238" s="6">
        <v>10</v>
      </c>
      <c r="BG238" s="6">
        <v>11.49</v>
      </c>
      <c r="BH238" s="6">
        <v>11.17</v>
      </c>
      <c r="BI238" s="6">
        <v>10.25</v>
      </c>
      <c r="BJ238" s="6">
        <v>9.25</v>
      </c>
      <c r="BK238" s="6">
        <v>10.81</v>
      </c>
      <c r="BL238" s="6">
        <v>10.56</v>
      </c>
      <c r="BM238" s="6">
        <v>10.79</v>
      </c>
      <c r="BN238" s="6">
        <v>10.119999999999999</v>
      </c>
      <c r="BO238" s="6">
        <v>11.35</v>
      </c>
      <c r="BP238" s="6">
        <v>11.2</v>
      </c>
      <c r="BQ238" s="6">
        <v>10.45</v>
      </c>
      <c r="BR238" s="6">
        <v>9.4700000000000006</v>
      </c>
      <c r="BS238" s="6">
        <v>10.92</v>
      </c>
      <c r="BT238" s="6">
        <v>10.77</v>
      </c>
      <c r="BU238" s="6">
        <v>11.219999999999999</v>
      </c>
      <c r="BV238" s="6">
        <v>9.73</v>
      </c>
      <c r="BW238" s="6">
        <v>10.456</v>
      </c>
      <c r="BX238" s="6">
        <v>10.276999999999999</v>
      </c>
      <c r="BY238" s="6">
        <v>11.2</v>
      </c>
      <c r="BZ238" s="6">
        <v>11.06</v>
      </c>
      <c r="CA238" s="6">
        <v>12.209999999999999</v>
      </c>
      <c r="CB238" s="6">
        <v>11.58</v>
      </c>
      <c r="CC238" s="6">
        <v>10.27</v>
      </c>
      <c r="CD238" s="6">
        <v>12.12</v>
      </c>
      <c r="CE238" s="6">
        <v>11.17</v>
      </c>
      <c r="CF238" s="6">
        <v>9.75</v>
      </c>
      <c r="CG238" s="6">
        <v>10.39</v>
      </c>
      <c r="CH238" s="6"/>
    </row>
    <row r="239" spans="1:86" ht="15.75" customHeight="1" x14ac:dyDescent="0.25">
      <c r="A239" s="4">
        <v>237</v>
      </c>
      <c r="B239" s="2"/>
      <c r="C239" s="4">
        <v>25</v>
      </c>
      <c r="D239" s="6">
        <v>12.18</v>
      </c>
      <c r="E239" s="6">
        <v>11.03</v>
      </c>
      <c r="F239" s="6">
        <v>11.58</v>
      </c>
      <c r="G239" s="6">
        <v>11.78</v>
      </c>
      <c r="H239" s="6">
        <v>10.73</v>
      </c>
      <c r="I239" s="6">
        <v>10.88</v>
      </c>
      <c r="J239" s="6">
        <v>10.93</v>
      </c>
      <c r="K239" s="6">
        <v>11.23</v>
      </c>
      <c r="L239" s="6">
        <v>11.78</v>
      </c>
      <c r="M239" s="6">
        <v>11.23</v>
      </c>
      <c r="N239" s="6">
        <v>11.41</v>
      </c>
      <c r="O239" s="6">
        <v>12.01</v>
      </c>
      <c r="P239" s="6">
        <v>9.7899999999999991</v>
      </c>
      <c r="Q239" s="6">
        <v>11.47</v>
      </c>
      <c r="R239" s="6">
        <v>10.53</v>
      </c>
      <c r="S239" s="6">
        <v>9.93</v>
      </c>
      <c r="T239" s="6">
        <v>10.73</v>
      </c>
      <c r="U239" s="6">
        <v>10.73</v>
      </c>
      <c r="V239" s="6">
        <v>10.51</v>
      </c>
      <c r="W239" s="6">
        <v>11.95</v>
      </c>
      <c r="X239" s="6">
        <v>11.25</v>
      </c>
      <c r="Y239" s="6">
        <v>10.15</v>
      </c>
      <c r="Z239" s="6">
        <v>9.98</v>
      </c>
      <c r="AA239" s="6">
        <v>10.49</v>
      </c>
      <c r="AB239" s="6">
        <v>11.91</v>
      </c>
      <c r="AC239" s="6">
        <v>10.79</v>
      </c>
      <c r="AD239" s="6">
        <v>10.51</v>
      </c>
      <c r="AE239" s="6">
        <v>11.29</v>
      </c>
      <c r="AF239" s="6">
        <v>11.21</v>
      </c>
      <c r="AG239" s="6">
        <v>10.65</v>
      </c>
      <c r="AH239" s="6">
        <v>8.73</v>
      </c>
      <c r="AI239" s="6">
        <v>9.3699999999999992</v>
      </c>
      <c r="AJ239" s="6">
        <v>10.95</v>
      </c>
      <c r="AK239" s="6">
        <v>12.21</v>
      </c>
      <c r="AL239" s="6">
        <v>11.41</v>
      </c>
      <c r="AM239" s="6">
        <v>10.93</v>
      </c>
      <c r="AN239" s="6">
        <v>10.72</v>
      </c>
      <c r="AO239" s="6">
        <v>11.61</v>
      </c>
      <c r="AP239" s="6">
        <v>11.32</v>
      </c>
      <c r="AQ239" s="6">
        <v>10.95</v>
      </c>
      <c r="AR239" s="6">
        <v>10.52</v>
      </c>
      <c r="AS239" s="6">
        <v>10.07</v>
      </c>
      <c r="AT239" s="6">
        <v>10.17</v>
      </c>
      <c r="AU239" s="6">
        <v>11.07</v>
      </c>
      <c r="AV239" s="6">
        <v>10.56</v>
      </c>
      <c r="AW239" s="6">
        <v>10.89</v>
      </c>
      <c r="AX239" s="6">
        <v>9.56</v>
      </c>
      <c r="AY239" s="6">
        <v>10.95</v>
      </c>
      <c r="AZ239" s="6">
        <v>11.13</v>
      </c>
      <c r="BA239" s="6">
        <v>10.62</v>
      </c>
      <c r="BB239" s="6">
        <v>10.76</v>
      </c>
      <c r="BC239" s="6">
        <f>10.91+0.43</f>
        <v>11.34</v>
      </c>
      <c r="BD239" s="6">
        <v>10.46</v>
      </c>
      <c r="BE239" s="6">
        <v>11.37</v>
      </c>
      <c r="BF239" s="6">
        <v>9.93</v>
      </c>
      <c r="BG239" s="6">
        <v>11.49</v>
      </c>
      <c r="BH239" s="6">
        <v>11.23</v>
      </c>
      <c r="BI239" s="6">
        <v>10.25</v>
      </c>
      <c r="BJ239" s="6">
        <v>9.26</v>
      </c>
      <c r="BK239" s="6">
        <v>10.8</v>
      </c>
      <c r="BL239" s="6">
        <v>10.54</v>
      </c>
      <c r="BM239" s="6">
        <v>10.79</v>
      </c>
      <c r="BN239" s="6">
        <v>10.119999999999999</v>
      </c>
      <c r="BO239" s="6">
        <v>11.34</v>
      </c>
      <c r="BP239" s="6">
        <v>11.15</v>
      </c>
      <c r="BQ239" s="6">
        <v>10.39</v>
      </c>
      <c r="BR239" s="6">
        <v>9.4600000000000009</v>
      </c>
      <c r="BS239" s="6">
        <v>10.98</v>
      </c>
      <c r="BT239" s="6">
        <v>10.88</v>
      </c>
      <c r="BU239" s="6">
        <v>11.2</v>
      </c>
      <c r="BV239" s="6">
        <v>9.7199999999999989</v>
      </c>
      <c r="BW239" s="6">
        <v>10.5</v>
      </c>
      <c r="BX239" s="6">
        <v>10.33</v>
      </c>
      <c r="BY239" s="6">
        <v>11.209999999999999</v>
      </c>
      <c r="BZ239" s="6">
        <v>10.92</v>
      </c>
      <c r="CA239" s="6">
        <v>12.26</v>
      </c>
      <c r="CB239" s="6">
        <v>11.52</v>
      </c>
      <c r="CC239" s="6">
        <v>10.24</v>
      </c>
      <c r="CD239" s="6">
        <v>12.09</v>
      </c>
      <c r="CE239" s="6">
        <v>11.15</v>
      </c>
      <c r="CF239" s="6">
        <v>9.75</v>
      </c>
      <c r="CG239" s="6">
        <v>10.3</v>
      </c>
      <c r="CH239" s="6"/>
    </row>
    <row r="240" spans="1:86" ht="15.75" customHeight="1" x14ac:dyDescent="0.25">
      <c r="A240" s="4">
        <v>238</v>
      </c>
      <c r="B240" s="2"/>
      <c r="C240" s="4">
        <v>26</v>
      </c>
      <c r="D240" s="6">
        <v>12.13</v>
      </c>
      <c r="E240" s="6">
        <v>11.08</v>
      </c>
      <c r="F240" s="6">
        <v>11.58</v>
      </c>
      <c r="G240" s="6">
        <v>11.73</v>
      </c>
      <c r="H240" s="6">
        <v>10.73</v>
      </c>
      <c r="I240" s="6">
        <v>10.88</v>
      </c>
      <c r="J240" s="6">
        <v>10.93</v>
      </c>
      <c r="K240" s="6">
        <v>11.23</v>
      </c>
      <c r="L240" s="6">
        <v>11.78</v>
      </c>
      <c r="M240" s="6">
        <v>11.23</v>
      </c>
      <c r="N240" s="6">
        <v>11.42</v>
      </c>
      <c r="O240" s="6">
        <v>11.98</v>
      </c>
      <c r="P240" s="6">
        <v>9.73</v>
      </c>
      <c r="Q240" s="6">
        <v>11.5</v>
      </c>
      <c r="R240" s="6">
        <v>10.53</v>
      </c>
      <c r="S240" s="6">
        <v>10.029999999999999</v>
      </c>
      <c r="T240" s="6">
        <v>10.7</v>
      </c>
      <c r="U240" s="6">
        <v>10.68</v>
      </c>
      <c r="V240" s="6">
        <v>10.43</v>
      </c>
      <c r="W240" s="6">
        <v>11.93</v>
      </c>
      <c r="X240" s="6">
        <v>11.24</v>
      </c>
      <c r="Y240" s="6">
        <v>10.130000000000001</v>
      </c>
      <c r="Z240" s="6">
        <v>10.08</v>
      </c>
      <c r="AA240" s="6">
        <v>10.47</v>
      </c>
      <c r="AB240" s="6">
        <v>11.93</v>
      </c>
      <c r="AC240" s="6">
        <v>10.74</v>
      </c>
      <c r="AD240" s="6">
        <v>10.63</v>
      </c>
      <c r="AE240" s="6">
        <v>11.25</v>
      </c>
      <c r="AF240" s="6">
        <v>11.23</v>
      </c>
      <c r="AG240" s="6">
        <v>10.67</v>
      </c>
      <c r="AH240" s="6">
        <v>8.86</v>
      </c>
      <c r="AI240" s="6">
        <v>9.3699999999999992</v>
      </c>
      <c r="AJ240" s="6">
        <v>10.93</v>
      </c>
      <c r="AK240" s="6">
        <v>12.22</v>
      </c>
      <c r="AL240" s="6">
        <v>11.39</v>
      </c>
      <c r="AM240" s="6">
        <v>10.94</v>
      </c>
      <c r="AN240" s="6">
        <v>10.69</v>
      </c>
      <c r="AO240" s="6">
        <v>11.49</v>
      </c>
      <c r="AP240" s="6">
        <v>11.2</v>
      </c>
      <c r="AQ240" s="6">
        <v>10.92</v>
      </c>
      <c r="AR240" s="6">
        <v>10.54</v>
      </c>
      <c r="AS240" s="6">
        <v>10.06</v>
      </c>
      <c r="AT240" s="6">
        <v>10.210000000000001</v>
      </c>
      <c r="AU240" s="6">
        <v>11.07</v>
      </c>
      <c r="AV240" s="6">
        <v>10.58</v>
      </c>
      <c r="AW240" s="6">
        <v>10.85</v>
      </c>
      <c r="AX240" s="6">
        <v>9.41</v>
      </c>
      <c r="AY240" s="6">
        <v>10.92</v>
      </c>
      <c r="AZ240" s="6">
        <v>11.16</v>
      </c>
      <c r="BA240" s="6">
        <v>10.62</v>
      </c>
      <c r="BB240" s="6">
        <v>10.7</v>
      </c>
      <c r="BC240" s="6">
        <f t="shared" ref="BC240:BC241" si="13">10.97+0.43</f>
        <v>11.4</v>
      </c>
      <c r="BD240" s="6">
        <v>10.44</v>
      </c>
      <c r="BE240" s="6">
        <v>11.37</v>
      </c>
      <c r="BF240" s="6">
        <v>9.93</v>
      </c>
      <c r="BG240" s="6">
        <v>11.43</v>
      </c>
      <c r="BH240" s="6">
        <v>11.27</v>
      </c>
      <c r="BI240" s="6">
        <v>10.199999999999999</v>
      </c>
      <c r="BJ240" s="6">
        <v>9.27</v>
      </c>
      <c r="BK240" s="6">
        <v>10.81</v>
      </c>
      <c r="BL240" s="6">
        <v>10.62</v>
      </c>
      <c r="BM240" s="6">
        <v>10.79</v>
      </c>
      <c r="BN240" s="6">
        <v>10.1</v>
      </c>
      <c r="BO240" s="6">
        <v>11.35</v>
      </c>
      <c r="BP240" s="6">
        <v>11.17</v>
      </c>
      <c r="BQ240" s="6">
        <v>10.37</v>
      </c>
      <c r="BR240" s="6">
        <v>9.49</v>
      </c>
      <c r="BS240" s="6">
        <v>10.95</v>
      </c>
      <c r="BT240" s="6">
        <v>11</v>
      </c>
      <c r="BU240" s="6">
        <v>11.19</v>
      </c>
      <c r="BV240" s="6">
        <v>9.6999999999999993</v>
      </c>
      <c r="BW240" s="6">
        <v>10.53</v>
      </c>
      <c r="BX240" s="6">
        <v>10.37</v>
      </c>
      <c r="BY240" s="6">
        <v>11.15</v>
      </c>
      <c r="BZ240" s="6">
        <v>10.91</v>
      </c>
      <c r="CA240" s="6">
        <v>12.26</v>
      </c>
      <c r="CB240" s="6">
        <v>11.54</v>
      </c>
      <c r="CC240" s="6">
        <v>10.199999999999999</v>
      </c>
      <c r="CD240" s="6">
        <v>12.11</v>
      </c>
      <c r="CE240" s="6">
        <v>11.24</v>
      </c>
      <c r="CF240" s="6">
        <v>9.76</v>
      </c>
      <c r="CG240" s="6">
        <v>10.210000000000001</v>
      </c>
      <c r="CH240" s="6"/>
    </row>
    <row r="241" spans="1:86" ht="15.75" customHeight="1" x14ac:dyDescent="0.25">
      <c r="A241" s="4">
        <v>239</v>
      </c>
      <c r="B241" s="2"/>
      <c r="C241" s="4">
        <v>27</v>
      </c>
      <c r="D241" s="6">
        <v>12.03</v>
      </c>
      <c r="E241" s="6">
        <v>11.08</v>
      </c>
      <c r="F241" s="6">
        <v>11.53</v>
      </c>
      <c r="G241" s="6">
        <v>11.68</v>
      </c>
      <c r="H241" s="6">
        <v>10.78</v>
      </c>
      <c r="I241" s="6">
        <v>10.73</v>
      </c>
      <c r="J241" s="6">
        <v>10.93</v>
      </c>
      <c r="K241" s="6">
        <v>11.18</v>
      </c>
      <c r="L241" s="6">
        <v>11.78</v>
      </c>
      <c r="M241" s="6">
        <v>11.23</v>
      </c>
      <c r="N241" s="6">
        <v>11.38</v>
      </c>
      <c r="O241" s="6">
        <v>11.98</v>
      </c>
      <c r="P241" s="6">
        <v>9.7100000000000009</v>
      </c>
      <c r="Q241" s="6">
        <v>11.53</v>
      </c>
      <c r="R241" s="6">
        <v>10.51</v>
      </c>
      <c r="S241" s="6">
        <v>10.029999999999999</v>
      </c>
      <c r="T241" s="6">
        <v>10.7</v>
      </c>
      <c r="U241" s="6">
        <v>10.73</v>
      </c>
      <c r="V241" s="6">
        <v>10.43</v>
      </c>
      <c r="W241" s="6">
        <v>11.9</v>
      </c>
      <c r="X241" s="6">
        <v>11.21</v>
      </c>
      <c r="Y241" s="6">
        <v>10.09</v>
      </c>
      <c r="Z241" s="6">
        <v>10.130000000000001</v>
      </c>
      <c r="AA241" s="6">
        <v>10.51</v>
      </c>
      <c r="AB241" s="6">
        <v>11.94</v>
      </c>
      <c r="AC241" s="6">
        <v>10.71</v>
      </c>
      <c r="AD241" s="6">
        <v>10.73</v>
      </c>
      <c r="AE241" s="6">
        <v>11.23</v>
      </c>
      <c r="AF241" s="6">
        <v>11.25</v>
      </c>
      <c r="AG241" s="6">
        <v>10.59</v>
      </c>
      <c r="AH241" s="6">
        <v>8.98</v>
      </c>
      <c r="AI241" s="6">
        <v>9.3699999999999992</v>
      </c>
      <c r="AJ241" s="6">
        <v>10.76</v>
      </c>
      <c r="AK241" s="6">
        <v>12.17</v>
      </c>
      <c r="AL241" s="6">
        <v>11.37</v>
      </c>
      <c r="AM241" s="6">
        <v>10.95</v>
      </c>
      <c r="AN241" s="6">
        <v>10.66</v>
      </c>
      <c r="AO241" s="6">
        <v>11.39</v>
      </c>
      <c r="AP241" s="6">
        <v>11.2</v>
      </c>
      <c r="AQ241" s="6">
        <v>10.9</v>
      </c>
      <c r="AR241" s="6">
        <v>10.61</v>
      </c>
      <c r="AS241" s="6">
        <v>10.06</v>
      </c>
      <c r="AT241" s="6">
        <v>10.25</v>
      </c>
      <c r="AU241" s="6">
        <v>11.03</v>
      </c>
      <c r="AV241" s="6">
        <v>10.59</v>
      </c>
      <c r="AW241" s="6">
        <v>10.83</v>
      </c>
      <c r="AX241" s="6">
        <v>9.3699999999999992</v>
      </c>
      <c r="AY241" s="6">
        <v>10.86</v>
      </c>
      <c r="AZ241" s="6">
        <v>11.31</v>
      </c>
      <c r="BA241" s="6">
        <v>10.62</v>
      </c>
      <c r="BB241" s="6">
        <v>10.68</v>
      </c>
      <c r="BC241" s="6">
        <f t="shared" si="13"/>
        <v>11.4</v>
      </c>
      <c r="BD241" s="6">
        <v>10.43</v>
      </c>
      <c r="BE241" s="6">
        <v>11.18</v>
      </c>
      <c r="BF241" s="6">
        <v>9.8699999999999992</v>
      </c>
      <c r="BG241" s="6">
        <v>11.38</v>
      </c>
      <c r="BH241" s="6">
        <v>11.29</v>
      </c>
      <c r="BI241" s="6">
        <v>10.199999999999999</v>
      </c>
      <c r="BJ241" s="6">
        <v>9.27</v>
      </c>
      <c r="BK241" s="6">
        <v>10.81</v>
      </c>
      <c r="BL241" s="6">
        <v>10.63</v>
      </c>
      <c r="BM241" s="6">
        <v>10.81</v>
      </c>
      <c r="BN241" s="6">
        <v>10.15</v>
      </c>
      <c r="BO241" s="6">
        <v>11.33</v>
      </c>
      <c r="BP241" s="6">
        <v>11.29</v>
      </c>
      <c r="BQ241" s="6">
        <v>10.4</v>
      </c>
      <c r="BR241" s="6">
        <v>9.51</v>
      </c>
      <c r="BS241" s="6">
        <v>10.98</v>
      </c>
      <c r="BT241" s="6">
        <v>11</v>
      </c>
      <c r="BU241" s="6">
        <v>11.12</v>
      </c>
      <c r="BV241" s="6">
        <v>9.73</v>
      </c>
      <c r="BW241" s="6">
        <v>10.52</v>
      </c>
      <c r="BX241" s="6">
        <v>10.459</v>
      </c>
      <c r="BY241" s="6">
        <v>11.1</v>
      </c>
      <c r="BZ241" s="6">
        <v>10.87</v>
      </c>
      <c r="CA241" s="6">
        <v>12.25</v>
      </c>
      <c r="CB241" s="6">
        <v>11.43</v>
      </c>
      <c r="CC241" s="6">
        <v>10.19</v>
      </c>
      <c r="CD241" s="6">
        <v>12.03</v>
      </c>
      <c r="CE241" s="6">
        <v>11.31</v>
      </c>
      <c r="CF241" s="6">
        <v>9.74</v>
      </c>
      <c r="CG241" s="6">
        <v>10.130000000000001</v>
      </c>
      <c r="CH241" s="6"/>
    </row>
    <row r="242" spans="1:86" ht="15.75" customHeight="1" x14ac:dyDescent="0.25">
      <c r="A242" s="4">
        <v>240</v>
      </c>
      <c r="B242" s="2"/>
      <c r="C242" s="4">
        <v>28</v>
      </c>
      <c r="D242" s="6">
        <v>11.98</v>
      </c>
      <c r="E242" s="6">
        <v>11.03</v>
      </c>
      <c r="F242" s="6">
        <v>11.53</v>
      </c>
      <c r="G242" s="6">
        <v>11.68</v>
      </c>
      <c r="H242" s="6">
        <v>10.78</v>
      </c>
      <c r="I242" s="6">
        <v>10.73</v>
      </c>
      <c r="J242" s="6">
        <v>10.93</v>
      </c>
      <c r="K242" s="6">
        <v>11.13</v>
      </c>
      <c r="L242" s="6">
        <v>11.73</v>
      </c>
      <c r="M242" s="6">
        <v>11.28</v>
      </c>
      <c r="N242" s="6">
        <v>11.33</v>
      </c>
      <c r="O242" s="6">
        <v>11.93</v>
      </c>
      <c r="P242" s="6">
        <v>9.68</v>
      </c>
      <c r="Q242" s="6">
        <v>11.53</v>
      </c>
      <c r="R242" s="6">
        <v>10.48</v>
      </c>
      <c r="S242" s="6">
        <v>10.01</v>
      </c>
      <c r="T242" s="6">
        <v>10.68</v>
      </c>
      <c r="U242" s="6">
        <v>10.78</v>
      </c>
      <c r="V242" s="6">
        <v>10.33</v>
      </c>
      <c r="W242" s="6">
        <v>11.9</v>
      </c>
      <c r="X242" s="6">
        <v>11.18</v>
      </c>
      <c r="Y242" s="6">
        <v>10.06</v>
      </c>
      <c r="Z242" s="6">
        <v>10.08</v>
      </c>
      <c r="AA242" s="6">
        <v>10.59</v>
      </c>
      <c r="AB242" s="6">
        <v>11.93</v>
      </c>
      <c r="AC242" s="6">
        <v>10.71</v>
      </c>
      <c r="AD242" s="6">
        <v>10.73</v>
      </c>
      <c r="AE242" s="6">
        <v>11.19</v>
      </c>
      <c r="AF242" s="6">
        <v>11.27</v>
      </c>
      <c r="AG242" s="6">
        <v>10.61</v>
      </c>
      <c r="AH242" s="6">
        <v>8.8699999999999992</v>
      </c>
      <c r="AI242" s="6">
        <v>9.25</v>
      </c>
      <c r="AJ242" s="6">
        <v>10.64</v>
      </c>
      <c r="AK242" s="6">
        <v>12.15</v>
      </c>
      <c r="AL242" s="6">
        <v>11.35</v>
      </c>
      <c r="AM242" s="6">
        <v>10.99</v>
      </c>
      <c r="AN242" s="6">
        <v>10.61</v>
      </c>
      <c r="AO242" s="6">
        <v>11.28</v>
      </c>
      <c r="AP242" s="6">
        <v>11.18</v>
      </c>
      <c r="AQ242" s="6">
        <v>10.8</v>
      </c>
      <c r="AR242" s="6">
        <v>10.79</v>
      </c>
      <c r="AS242" s="6">
        <v>10.09</v>
      </c>
      <c r="AT242" s="6">
        <v>10.29</v>
      </c>
      <c r="AU242" s="6">
        <v>11.02</v>
      </c>
      <c r="AV242" s="6">
        <v>10.6</v>
      </c>
      <c r="AW242" s="6">
        <v>10.81</v>
      </c>
      <c r="AX242" s="6">
        <v>9.27</v>
      </c>
      <c r="AY242" s="6">
        <v>10.86</v>
      </c>
      <c r="AZ242" s="6">
        <v>11.39</v>
      </c>
      <c r="BA242" s="6">
        <v>10.61</v>
      </c>
      <c r="BB242" s="6">
        <v>10.63</v>
      </c>
      <c r="BC242" s="6">
        <f>10.91+0.43</f>
        <v>11.34</v>
      </c>
      <c r="BD242" s="6">
        <v>10.33</v>
      </c>
      <c r="BE242" s="6">
        <v>11.28</v>
      </c>
      <c r="BF242" s="6">
        <v>9.7200000000000006</v>
      </c>
      <c r="BG242" s="6">
        <v>11.28</v>
      </c>
      <c r="BH242" s="6">
        <v>11.26</v>
      </c>
      <c r="BI242" s="6">
        <v>10.130000000000001</v>
      </c>
      <c r="BJ242" s="6">
        <v>9.35</v>
      </c>
      <c r="BK242" s="6">
        <v>10.77</v>
      </c>
      <c r="BL242" s="6">
        <v>10.65</v>
      </c>
      <c r="BM242" s="6">
        <v>10.82</v>
      </c>
      <c r="BN242" s="6">
        <v>10.119999999999999</v>
      </c>
      <c r="BO242" s="6">
        <v>11.28</v>
      </c>
      <c r="BP242" s="6">
        <v>11.26</v>
      </c>
      <c r="BQ242" s="6">
        <v>10.41</v>
      </c>
      <c r="BR242" s="6">
        <v>9.4600000000000009</v>
      </c>
      <c r="BS242" s="6">
        <v>10.98</v>
      </c>
      <c r="BT242" s="6">
        <v>10.96</v>
      </c>
      <c r="BU242" s="6">
        <v>11.14</v>
      </c>
      <c r="BV242" s="6">
        <v>9.67</v>
      </c>
      <c r="BW242" s="6">
        <v>10.48</v>
      </c>
      <c r="BX242" s="6">
        <v>10.45</v>
      </c>
      <c r="BY242" s="6">
        <v>11.06</v>
      </c>
      <c r="BZ242" s="6">
        <v>10.9</v>
      </c>
      <c r="CA242" s="6">
        <v>12.12</v>
      </c>
      <c r="CB242" s="6">
        <v>11.379999999999999</v>
      </c>
      <c r="CC242" s="6">
        <v>10.06</v>
      </c>
      <c r="CD242" s="6">
        <v>12.03</v>
      </c>
      <c r="CE242" s="6">
        <v>11.33</v>
      </c>
      <c r="CF242" s="6">
        <v>9.7200000000000006</v>
      </c>
      <c r="CG242" s="6">
        <v>10.039999999999999</v>
      </c>
      <c r="CH242" s="6"/>
    </row>
    <row r="243" spans="1:86" ht="15.75" customHeight="1" x14ac:dyDescent="0.25">
      <c r="A243" s="4">
        <v>241</v>
      </c>
      <c r="B243" s="2"/>
      <c r="C243" s="4">
        <v>29</v>
      </c>
      <c r="D243" s="6">
        <v>11.93</v>
      </c>
      <c r="E243" s="6">
        <v>10.98</v>
      </c>
      <c r="F243" s="6">
        <v>11.53</v>
      </c>
      <c r="G243" s="6">
        <v>11.63</v>
      </c>
      <c r="H243" s="6">
        <v>10.73</v>
      </c>
      <c r="I243" s="6">
        <v>10.63</v>
      </c>
      <c r="J243" s="6">
        <v>10.93</v>
      </c>
      <c r="K243" s="6">
        <v>11.23</v>
      </c>
      <c r="L243" s="6">
        <v>11.73</v>
      </c>
      <c r="M243" s="6">
        <v>11.28</v>
      </c>
      <c r="N243" s="6">
        <v>11.28</v>
      </c>
      <c r="O243" s="6">
        <v>11.83</v>
      </c>
      <c r="P243" s="6">
        <v>9.61</v>
      </c>
      <c r="Q243" s="6">
        <v>11.55</v>
      </c>
      <c r="R243" s="6">
        <v>10.48</v>
      </c>
      <c r="S243" s="6">
        <v>10.029999999999999</v>
      </c>
      <c r="T243" s="6">
        <v>10.71</v>
      </c>
      <c r="U243" s="6">
        <v>10.81</v>
      </c>
      <c r="V243" s="6">
        <v>10.28</v>
      </c>
      <c r="W243" s="6">
        <v>11.83</v>
      </c>
      <c r="X243" s="6">
        <v>11.18</v>
      </c>
      <c r="Y243" s="6">
        <v>10.08</v>
      </c>
      <c r="Z243" s="6">
        <v>10.050000000000001</v>
      </c>
      <c r="AA243" s="6">
        <v>10.63</v>
      </c>
      <c r="AB243" s="6">
        <v>11.92</v>
      </c>
      <c r="AC243" s="6">
        <v>10.71</v>
      </c>
      <c r="AD243" s="6">
        <v>10.74</v>
      </c>
      <c r="AE243" s="6">
        <v>11.16</v>
      </c>
      <c r="AF243" s="6">
        <v>11.31</v>
      </c>
      <c r="AG243" s="6">
        <v>10.6</v>
      </c>
      <c r="AH243" s="6">
        <v>8.91</v>
      </c>
      <c r="AI243" s="6">
        <v>9.15</v>
      </c>
      <c r="AJ243" s="6">
        <v>10.56</v>
      </c>
      <c r="AK243" s="6">
        <v>12.13</v>
      </c>
      <c r="AL243" s="6">
        <v>11.27</v>
      </c>
      <c r="AM243" s="6">
        <v>11.07</v>
      </c>
      <c r="AN243" s="6">
        <v>10.58</v>
      </c>
      <c r="AO243" s="6">
        <v>11.27</v>
      </c>
      <c r="AP243" s="6">
        <v>11.16</v>
      </c>
      <c r="AQ243" s="6">
        <v>10.84</v>
      </c>
      <c r="AR243" s="6">
        <v>10.85</v>
      </c>
      <c r="AS243" s="6">
        <v>10.1</v>
      </c>
      <c r="AT243" s="6">
        <v>10.29</v>
      </c>
      <c r="AU243" s="6">
        <v>10.99</v>
      </c>
      <c r="AV243" s="6">
        <v>10.63</v>
      </c>
      <c r="AW243" s="6">
        <v>10.88</v>
      </c>
      <c r="AX243" s="6">
        <v>9.27</v>
      </c>
      <c r="AY243" s="6">
        <v>10.91</v>
      </c>
      <c r="AZ243" s="6">
        <v>11.43</v>
      </c>
      <c r="BA243" s="6">
        <v>10.62</v>
      </c>
      <c r="BB243" s="6">
        <v>10.59</v>
      </c>
      <c r="BC243" s="6">
        <f>10.85+0.43</f>
        <v>11.28</v>
      </c>
      <c r="BD243" s="6">
        <v>10.38</v>
      </c>
      <c r="BE243" s="6">
        <v>11.37</v>
      </c>
      <c r="BF243" s="6">
        <v>9.76</v>
      </c>
      <c r="BG243" s="6">
        <v>11.21</v>
      </c>
      <c r="BH243" s="6">
        <v>11.2</v>
      </c>
      <c r="BI243" s="6">
        <v>10.18</v>
      </c>
      <c r="BJ243" s="6">
        <v>9.35</v>
      </c>
      <c r="BK243" s="6">
        <v>10.78</v>
      </c>
      <c r="BL243" s="6">
        <v>10.66</v>
      </c>
      <c r="BM243" s="6">
        <v>10.79</v>
      </c>
      <c r="BN243" s="6">
        <v>10.11</v>
      </c>
      <c r="BO243" s="6">
        <v>11.29</v>
      </c>
      <c r="BP243" s="6">
        <v>11.33</v>
      </c>
      <c r="BQ243" s="6">
        <v>10.33</v>
      </c>
      <c r="BR243" s="6">
        <v>9.43</v>
      </c>
      <c r="BS243" s="6">
        <v>10.99</v>
      </c>
      <c r="BT243" s="6">
        <v>10.84</v>
      </c>
      <c r="BU243" s="6">
        <v>10.99</v>
      </c>
      <c r="BV243" s="6">
        <v>9.69</v>
      </c>
      <c r="BW243" s="6">
        <v>10.49</v>
      </c>
      <c r="BX243" s="6">
        <v>10.491999999999999</v>
      </c>
      <c r="BY243" s="6">
        <v>11.1</v>
      </c>
      <c r="BZ243" s="6">
        <v>10.85</v>
      </c>
      <c r="CA243" s="6">
        <v>12.12</v>
      </c>
      <c r="CB243" s="6">
        <v>11.34</v>
      </c>
      <c r="CC243" s="6">
        <v>10.06</v>
      </c>
      <c r="CD243" s="6">
        <v>12.07</v>
      </c>
      <c r="CE243" s="6">
        <v>11.4</v>
      </c>
      <c r="CF243" s="6">
        <v>9.68</v>
      </c>
      <c r="CG243" s="6">
        <v>9.91</v>
      </c>
      <c r="CH243" s="6"/>
    </row>
    <row r="244" spans="1:86" ht="15.75" customHeight="1" x14ac:dyDescent="0.25">
      <c r="A244" s="4">
        <v>242</v>
      </c>
      <c r="B244" s="2"/>
      <c r="C244" s="4">
        <v>30</v>
      </c>
      <c r="D244" s="6">
        <v>11.83</v>
      </c>
      <c r="E244" s="6">
        <v>10.93</v>
      </c>
      <c r="F244" s="6">
        <v>11.53</v>
      </c>
      <c r="G244" s="6">
        <v>11.63</v>
      </c>
      <c r="H244" s="6">
        <v>10.63</v>
      </c>
      <c r="I244" s="6">
        <v>10.53</v>
      </c>
      <c r="J244" s="6">
        <v>10.88</v>
      </c>
      <c r="K244" s="6">
        <v>11.23</v>
      </c>
      <c r="L244" s="6">
        <v>11.73</v>
      </c>
      <c r="M244" s="6">
        <v>11.33</v>
      </c>
      <c r="N244" s="6">
        <v>11.23</v>
      </c>
      <c r="O244" s="6">
        <v>11.9</v>
      </c>
      <c r="P244" s="6">
        <v>9.5299999999999994</v>
      </c>
      <c r="Q244" s="6">
        <v>11.55</v>
      </c>
      <c r="R244" s="6">
        <v>10.33</v>
      </c>
      <c r="S244" s="6">
        <v>10.08</v>
      </c>
      <c r="T244" s="6">
        <v>10.71</v>
      </c>
      <c r="U244" s="6">
        <v>10.83</v>
      </c>
      <c r="V244" s="6">
        <v>10.18</v>
      </c>
      <c r="W244" s="6">
        <v>11.83</v>
      </c>
      <c r="X244" s="6">
        <v>11.21</v>
      </c>
      <c r="Y244" s="6">
        <v>10.130000000000001</v>
      </c>
      <c r="Z244" s="6">
        <v>10.029999999999999</v>
      </c>
      <c r="AA244" s="6">
        <v>10.66</v>
      </c>
      <c r="AB244" s="6">
        <v>11.97</v>
      </c>
      <c r="AC244" s="6">
        <v>10.73</v>
      </c>
      <c r="AD244" s="6">
        <v>10.74</v>
      </c>
      <c r="AE244" s="6">
        <v>11.13</v>
      </c>
      <c r="AF244" s="6">
        <v>11.34</v>
      </c>
      <c r="AG244" s="6">
        <v>10.42</v>
      </c>
      <c r="AH244" s="6">
        <v>9.01</v>
      </c>
      <c r="AI244" s="6">
        <v>9.1</v>
      </c>
      <c r="AJ244" s="6">
        <v>10.55</v>
      </c>
      <c r="AK244" s="6">
        <v>12.11</v>
      </c>
      <c r="AL244" s="6">
        <v>11.25</v>
      </c>
      <c r="AM244" s="6">
        <v>11.14</v>
      </c>
      <c r="AN244" s="6">
        <v>10.58</v>
      </c>
      <c r="AO244" s="6">
        <v>11.48</v>
      </c>
      <c r="AP244" s="6">
        <v>11.37</v>
      </c>
      <c r="AQ244" s="6">
        <v>10.88</v>
      </c>
      <c r="AR244" s="6">
        <v>10.76</v>
      </c>
      <c r="AS244" s="6">
        <v>10.09</v>
      </c>
      <c r="AT244" s="6">
        <v>10.31</v>
      </c>
      <c r="AU244" s="6">
        <v>10.97</v>
      </c>
      <c r="AV244" s="6">
        <v>10.67</v>
      </c>
      <c r="AW244" s="6">
        <v>10.89</v>
      </c>
      <c r="AX244" s="6">
        <v>9.25</v>
      </c>
      <c r="AY244" s="6">
        <v>10.86</v>
      </c>
      <c r="AZ244" s="6">
        <v>11.47</v>
      </c>
      <c r="BA244" s="6">
        <v>10.56</v>
      </c>
      <c r="BB244" s="6">
        <v>10.51</v>
      </c>
      <c r="BC244" s="6">
        <f>10.86+0.43</f>
        <v>11.29</v>
      </c>
      <c r="BD244" s="6">
        <v>10.33</v>
      </c>
      <c r="BE244" s="6">
        <v>11.43</v>
      </c>
      <c r="BF244" s="6">
        <v>9.73</v>
      </c>
      <c r="BG244" s="6">
        <v>11.15</v>
      </c>
      <c r="BH244" s="6">
        <v>11.22</v>
      </c>
      <c r="BI244" s="6">
        <v>10.15</v>
      </c>
      <c r="BJ244" s="6">
        <v>9.35</v>
      </c>
      <c r="BK244" s="6">
        <v>10.78</v>
      </c>
      <c r="BL244" s="6">
        <v>10.74</v>
      </c>
      <c r="BM244" s="6">
        <v>10.79</v>
      </c>
      <c r="BN244" s="6">
        <v>10.02</v>
      </c>
      <c r="BO244" s="6">
        <v>11.24</v>
      </c>
      <c r="BP244" s="6">
        <v>11.13</v>
      </c>
      <c r="BQ244" s="6">
        <v>10.35</v>
      </c>
      <c r="BR244" s="6">
        <v>9.41</v>
      </c>
      <c r="BS244" s="6">
        <v>10.93</v>
      </c>
      <c r="BT244" s="6">
        <v>10.79</v>
      </c>
      <c r="BU244" s="6">
        <v>11.03</v>
      </c>
      <c r="BV244" s="6">
        <v>9.68</v>
      </c>
      <c r="BW244" s="6">
        <v>10.52</v>
      </c>
      <c r="BX244" s="6">
        <v>10.49</v>
      </c>
      <c r="BY244" s="6">
        <v>11.049999999999999</v>
      </c>
      <c r="BZ244" s="6">
        <v>10.81</v>
      </c>
      <c r="CA244" s="6">
        <v>12.18</v>
      </c>
      <c r="CB244" s="6">
        <v>11.219999999999999</v>
      </c>
      <c r="CC244" s="6">
        <v>10.01</v>
      </c>
      <c r="CD244" s="6">
        <v>12.09</v>
      </c>
      <c r="CE244" s="6">
        <v>11.39</v>
      </c>
      <c r="CF244" s="6">
        <v>9.64</v>
      </c>
      <c r="CG244" s="6">
        <v>9.9</v>
      </c>
      <c r="CH244" s="6"/>
    </row>
    <row r="245" spans="1:86" ht="15.75" customHeight="1" x14ac:dyDescent="0.25">
      <c r="A245" s="4">
        <v>243</v>
      </c>
      <c r="B245" s="2"/>
      <c r="C245" s="4">
        <v>31</v>
      </c>
      <c r="D245" s="6">
        <v>11.78</v>
      </c>
      <c r="E245" s="6">
        <v>10.93</v>
      </c>
      <c r="F245" s="6">
        <v>11.58</v>
      </c>
      <c r="G245" s="6">
        <v>11.68</v>
      </c>
      <c r="H245" s="6">
        <v>10.53</v>
      </c>
      <c r="I245" s="6">
        <v>10.33</v>
      </c>
      <c r="J245" s="6">
        <v>10.93</v>
      </c>
      <c r="K245" s="6">
        <v>11.28</v>
      </c>
      <c r="L245" s="6">
        <v>11.73</v>
      </c>
      <c r="M245" s="6">
        <v>11.33</v>
      </c>
      <c r="N245" s="6">
        <v>11.13</v>
      </c>
      <c r="O245" s="6">
        <v>11.84</v>
      </c>
      <c r="P245" s="6">
        <v>9.4600000000000009</v>
      </c>
      <c r="Q245" s="6">
        <v>11.51</v>
      </c>
      <c r="R245" s="6">
        <v>10.37</v>
      </c>
      <c r="S245" s="6">
        <v>10.029999999999999</v>
      </c>
      <c r="T245" s="6">
        <v>10.81</v>
      </c>
      <c r="U245" s="6">
        <v>10.83</v>
      </c>
      <c r="V245" s="6">
        <v>10.06</v>
      </c>
      <c r="W245" s="6">
        <v>11.83</v>
      </c>
      <c r="X245" s="6">
        <v>11.21</v>
      </c>
      <c r="Y245" s="6">
        <v>10.18</v>
      </c>
      <c r="Z245" s="6">
        <v>10.029999999999999</v>
      </c>
      <c r="AA245" s="6">
        <v>10.67</v>
      </c>
      <c r="AB245" s="6">
        <v>11.99</v>
      </c>
      <c r="AC245" s="6">
        <v>10.73</v>
      </c>
      <c r="AD245" s="6">
        <v>10.74</v>
      </c>
      <c r="AE245" s="6">
        <v>11.1</v>
      </c>
      <c r="AF245" s="6">
        <v>11.36</v>
      </c>
      <c r="AG245" s="6">
        <v>10.220000000000001</v>
      </c>
      <c r="AH245" s="6">
        <v>9.07</v>
      </c>
      <c r="AI245" s="6">
        <v>9.14</v>
      </c>
      <c r="AJ245" s="6">
        <v>10.53</v>
      </c>
      <c r="AK245" s="6">
        <v>12.05</v>
      </c>
      <c r="AL245" s="6">
        <v>11.09</v>
      </c>
      <c r="AM245" s="6">
        <v>11.18</v>
      </c>
      <c r="AN245" s="6">
        <v>10.58</v>
      </c>
      <c r="AO245" s="6">
        <v>11.58</v>
      </c>
      <c r="AP245" s="6">
        <v>11.33</v>
      </c>
      <c r="AQ245" s="6">
        <v>10.7</v>
      </c>
      <c r="AR245" s="6">
        <v>10.85</v>
      </c>
      <c r="AS245" s="6">
        <v>10.23</v>
      </c>
      <c r="AT245" s="6">
        <v>10.33</v>
      </c>
      <c r="AU245" s="6">
        <v>10.94</v>
      </c>
      <c r="AV245" s="6">
        <v>10.83</v>
      </c>
      <c r="AW245" s="6">
        <v>10.87</v>
      </c>
      <c r="AX245" s="6">
        <v>9.24</v>
      </c>
      <c r="AY245" s="6">
        <v>10.82</v>
      </c>
      <c r="AZ245" s="6">
        <v>11.44</v>
      </c>
      <c r="BA245" s="6">
        <v>10.55</v>
      </c>
      <c r="BB245" s="6">
        <v>10.49</v>
      </c>
      <c r="BC245" s="6">
        <f>10.76+0.43</f>
        <v>11.19</v>
      </c>
      <c r="BD245" s="6">
        <v>10.36</v>
      </c>
      <c r="BE245" s="6">
        <v>11.43</v>
      </c>
      <c r="BF245" s="6">
        <v>9.73</v>
      </c>
      <c r="BG245" s="6">
        <v>11.03</v>
      </c>
      <c r="BH245" s="6">
        <v>11.18</v>
      </c>
      <c r="BI245" s="6">
        <v>10.130000000000001</v>
      </c>
      <c r="BJ245" s="6">
        <v>9.3800000000000008</v>
      </c>
      <c r="BK245" s="6">
        <v>10.78</v>
      </c>
      <c r="BL245" s="6">
        <v>10.73</v>
      </c>
      <c r="BM245" s="6">
        <v>10.79</v>
      </c>
      <c r="BN245" s="6">
        <v>9.92</v>
      </c>
      <c r="BO245" s="6">
        <v>11.23</v>
      </c>
      <c r="BP245" s="6">
        <v>11.18</v>
      </c>
      <c r="BQ245" s="6">
        <v>10.43</v>
      </c>
      <c r="BR245" s="6">
        <v>9.41</v>
      </c>
      <c r="BS245" s="6">
        <v>11.13</v>
      </c>
      <c r="BT245" s="6">
        <v>10.78</v>
      </c>
      <c r="BU245" s="6">
        <v>11.07</v>
      </c>
      <c r="BV245" s="6">
        <v>9.76</v>
      </c>
      <c r="BW245" s="6">
        <v>10.53</v>
      </c>
      <c r="BX245" s="6">
        <v>10.5</v>
      </c>
      <c r="BY245" s="6">
        <v>11.03</v>
      </c>
      <c r="BZ245" s="6">
        <v>10.82</v>
      </c>
      <c r="CA245" s="6">
        <v>12.29</v>
      </c>
      <c r="CB245" s="6">
        <v>11.209999999999999</v>
      </c>
      <c r="CC245" s="6">
        <v>9.9499999999999993</v>
      </c>
      <c r="CD245" s="6">
        <v>12.049999999999999</v>
      </c>
      <c r="CE245" s="6">
        <v>11.45</v>
      </c>
      <c r="CF245" s="6">
        <v>9.58</v>
      </c>
      <c r="CG245" s="6">
        <v>9.85</v>
      </c>
      <c r="CH245" s="6"/>
    </row>
    <row r="246" spans="1:86" ht="15.75" customHeight="1" x14ac:dyDescent="0.25">
      <c r="A246" s="4">
        <v>244</v>
      </c>
      <c r="B246" s="2" t="s">
        <v>12</v>
      </c>
      <c r="C246" s="4">
        <v>1</v>
      </c>
      <c r="D246" s="6">
        <v>11.78</v>
      </c>
      <c r="E246" s="6">
        <v>10.98</v>
      </c>
      <c r="F246" s="6">
        <v>11.58</v>
      </c>
      <c r="G246" s="6">
        <v>11.68</v>
      </c>
      <c r="H246" s="6">
        <v>10.48</v>
      </c>
      <c r="I246" s="6">
        <v>10.23</v>
      </c>
      <c r="J246" s="6">
        <v>10.93</v>
      </c>
      <c r="K246" s="6">
        <v>11.28</v>
      </c>
      <c r="L246" s="6">
        <v>11.73</v>
      </c>
      <c r="M246" s="6">
        <v>11.33</v>
      </c>
      <c r="N246" s="6">
        <v>11.03</v>
      </c>
      <c r="O246" s="6">
        <v>11.78</v>
      </c>
      <c r="P246" s="6">
        <v>9.43</v>
      </c>
      <c r="Q246" s="6">
        <v>11.45</v>
      </c>
      <c r="R246" s="6">
        <v>10.31</v>
      </c>
      <c r="S246" s="6">
        <v>10.130000000000001</v>
      </c>
      <c r="T246" s="6">
        <v>10.83</v>
      </c>
      <c r="U246" s="6">
        <v>10.83</v>
      </c>
      <c r="V246" s="6">
        <v>9.9600000000000009</v>
      </c>
      <c r="W246" s="6">
        <v>11.81</v>
      </c>
      <c r="X246" s="6">
        <v>11.15</v>
      </c>
      <c r="Y246" s="6">
        <v>10.210000000000001</v>
      </c>
      <c r="Z246" s="6">
        <v>10.130000000000001</v>
      </c>
      <c r="AA246" s="6">
        <v>10.64</v>
      </c>
      <c r="AB246" s="6">
        <v>11.99</v>
      </c>
      <c r="AC246" s="6">
        <v>10.75</v>
      </c>
      <c r="AD246" s="6">
        <v>10.73</v>
      </c>
      <c r="AE246" s="6">
        <v>11.11</v>
      </c>
      <c r="AF246" s="6">
        <v>11.37</v>
      </c>
      <c r="AG246" s="6">
        <v>10.35</v>
      </c>
      <c r="AH246" s="6">
        <v>9.15</v>
      </c>
      <c r="AI246" s="6">
        <v>9.2799999999999994</v>
      </c>
      <c r="AJ246" s="6">
        <v>10.5</v>
      </c>
      <c r="AK246" s="6">
        <v>11.99</v>
      </c>
      <c r="AL246" s="6">
        <v>10.97</v>
      </c>
      <c r="AM246" s="6">
        <v>11.24</v>
      </c>
      <c r="AN246" s="6">
        <v>10.55</v>
      </c>
      <c r="AO246" s="6">
        <v>11.6</v>
      </c>
      <c r="AP246" s="6">
        <v>11.34</v>
      </c>
      <c r="AQ246" s="6">
        <v>10.52</v>
      </c>
      <c r="AR246" s="6">
        <v>10.77</v>
      </c>
      <c r="AS246" s="6">
        <v>10.27</v>
      </c>
      <c r="AT246" s="6">
        <v>10.37</v>
      </c>
      <c r="AU246" s="6">
        <v>10.88</v>
      </c>
      <c r="AV246" s="6">
        <v>10.84</v>
      </c>
      <c r="AW246" s="6">
        <v>10.84</v>
      </c>
      <c r="AX246" s="6">
        <v>9.2100000000000009</v>
      </c>
      <c r="AY246" s="6">
        <v>10.76</v>
      </c>
      <c r="AZ246" s="6">
        <v>11.44</v>
      </c>
      <c r="BA246" s="6">
        <v>10.59</v>
      </c>
      <c r="BB246" s="6">
        <v>10.5</v>
      </c>
      <c r="BC246" s="6">
        <f>10.79+0.43</f>
        <v>11.219999999999999</v>
      </c>
      <c r="BD246" s="6">
        <v>10.31</v>
      </c>
      <c r="BE246" s="6">
        <v>11.52</v>
      </c>
      <c r="BF246" s="6">
        <v>9.5399999999999991</v>
      </c>
      <c r="BG246" s="6">
        <v>11.06</v>
      </c>
      <c r="BH246" s="6">
        <v>11.14</v>
      </c>
      <c r="BI246" s="6">
        <v>10.11</v>
      </c>
      <c r="BJ246" s="6">
        <v>9.3699999999999992</v>
      </c>
      <c r="BK246" s="6">
        <v>10.78</v>
      </c>
      <c r="BL246" s="6">
        <v>10.68</v>
      </c>
      <c r="BM246" s="6">
        <v>10.78</v>
      </c>
      <c r="BN246" s="6">
        <v>9.91</v>
      </c>
      <c r="BO246" s="6">
        <v>11.23</v>
      </c>
      <c r="BP246" s="6">
        <v>10.89</v>
      </c>
      <c r="BQ246" s="6">
        <v>10.67</v>
      </c>
      <c r="BR246" s="6">
        <v>9.43</v>
      </c>
      <c r="BS246" s="6">
        <v>11.13</v>
      </c>
      <c r="BT246" s="6">
        <v>10.71</v>
      </c>
      <c r="BU246" s="6">
        <v>11.01</v>
      </c>
      <c r="BV246" s="6">
        <v>9.94</v>
      </c>
      <c r="BW246" s="6">
        <v>10.49</v>
      </c>
      <c r="BX246" s="6">
        <v>10.52</v>
      </c>
      <c r="BY246" s="6">
        <v>10.98</v>
      </c>
      <c r="BZ246" s="6">
        <v>10.78</v>
      </c>
      <c r="CA246" s="6">
        <v>12.19</v>
      </c>
      <c r="CB246" s="6">
        <v>11.1</v>
      </c>
      <c r="CC246" s="6">
        <v>10.01</v>
      </c>
      <c r="CD246" s="6">
        <v>12.03</v>
      </c>
      <c r="CE246" s="6">
        <v>11.469999999999999</v>
      </c>
      <c r="CF246" s="6">
        <v>9.5</v>
      </c>
      <c r="CG246" s="6">
        <v>9.82</v>
      </c>
      <c r="CH246" s="6"/>
    </row>
    <row r="247" spans="1:86" ht="15.75" customHeight="1" x14ac:dyDescent="0.25">
      <c r="A247" s="4">
        <v>245</v>
      </c>
      <c r="B247" s="2"/>
      <c r="C247" s="4">
        <v>2</v>
      </c>
      <c r="D247" s="6">
        <v>11.78</v>
      </c>
      <c r="E247" s="6">
        <v>11.03</v>
      </c>
      <c r="F247" s="6">
        <v>11.58</v>
      </c>
      <c r="G247" s="6">
        <v>11.73</v>
      </c>
      <c r="H247" s="6">
        <v>10.43</v>
      </c>
      <c r="I247" s="6">
        <v>10.130000000000001</v>
      </c>
      <c r="J247" s="6">
        <v>10.98</v>
      </c>
      <c r="K247" s="6">
        <v>11.23</v>
      </c>
      <c r="L247" s="6">
        <v>11.83</v>
      </c>
      <c r="M247" s="6">
        <v>11.31</v>
      </c>
      <c r="N247" s="6">
        <v>11.03</v>
      </c>
      <c r="O247" s="6">
        <v>11.73</v>
      </c>
      <c r="P247" s="6">
        <v>9.36</v>
      </c>
      <c r="Q247" s="6">
        <v>11.43</v>
      </c>
      <c r="R247" s="6">
        <v>10.33</v>
      </c>
      <c r="S247" s="6">
        <v>10.11</v>
      </c>
      <c r="T247" s="6">
        <v>10.83</v>
      </c>
      <c r="U247" s="6">
        <v>10.81</v>
      </c>
      <c r="V247" s="6">
        <v>9.98</v>
      </c>
      <c r="W247" s="6">
        <v>11.73</v>
      </c>
      <c r="X247" s="6">
        <v>11.09</v>
      </c>
      <c r="Y247" s="6">
        <v>10.210000000000001</v>
      </c>
      <c r="Z247" s="6">
        <v>10.23</v>
      </c>
      <c r="AA247" s="6">
        <v>10.59</v>
      </c>
      <c r="AB247" s="6">
        <v>11.98</v>
      </c>
      <c r="AC247" s="6">
        <v>10.75</v>
      </c>
      <c r="AD247" s="6">
        <v>10.73</v>
      </c>
      <c r="AE247" s="6">
        <v>11.17</v>
      </c>
      <c r="AF247" s="6">
        <v>11.4</v>
      </c>
      <c r="AG247" s="6">
        <v>10.29</v>
      </c>
      <c r="AH247" s="6">
        <v>9.39</v>
      </c>
      <c r="AI247" s="6">
        <v>9.33</v>
      </c>
      <c r="AJ247" s="6">
        <v>10.52</v>
      </c>
      <c r="AK247" s="6">
        <v>11.95</v>
      </c>
      <c r="AL247" s="6">
        <v>10.91</v>
      </c>
      <c r="AM247" s="6">
        <v>11.31</v>
      </c>
      <c r="AN247" s="6">
        <v>10.53</v>
      </c>
      <c r="AO247" s="6">
        <v>11.56</v>
      </c>
      <c r="AP247" s="6">
        <v>11.35</v>
      </c>
      <c r="AQ247" s="6">
        <v>10.52</v>
      </c>
      <c r="AR247" s="6">
        <v>10.74</v>
      </c>
      <c r="AS247" s="6">
        <v>10.3</v>
      </c>
      <c r="AT247" s="6">
        <v>10.39</v>
      </c>
      <c r="AU247" s="6">
        <v>10.86</v>
      </c>
      <c r="AV247" s="6">
        <v>10.99</v>
      </c>
      <c r="AW247" s="6">
        <v>10.83</v>
      </c>
      <c r="AX247" s="6">
        <v>9.14</v>
      </c>
      <c r="AY247" s="6">
        <v>10.76</v>
      </c>
      <c r="AZ247" s="6">
        <v>11.44</v>
      </c>
      <c r="BA247" s="6">
        <v>10.59</v>
      </c>
      <c r="BB247" s="6">
        <v>10.46</v>
      </c>
      <c r="BC247" s="6">
        <f>10.64+0.43</f>
        <v>11.07</v>
      </c>
      <c r="BD247" s="6">
        <v>10.3</v>
      </c>
      <c r="BE247" s="6">
        <v>11.52</v>
      </c>
      <c r="BF247" s="6">
        <v>9.5399999999999991</v>
      </c>
      <c r="BG247" s="6">
        <v>11.08</v>
      </c>
      <c r="BH247" s="6">
        <v>11.13</v>
      </c>
      <c r="BI247" s="6">
        <v>10.09</v>
      </c>
      <c r="BJ247" s="6">
        <v>9.31</v>
      </c>
      <c r="BK247" s="6">
        <v>10.77</v>
      </c>
      <c r="BL247" s="6">
        <v>10.79</v>
      </c>
      <c r="BM247" s="6">
        <v>10.77</v>
      </c>
      <c r="BN247" s="6">
        <v>9.83</v>
      </c>
      <c r="BO247" s="6">
        <v>11.19</v>
      </c>
      <c r="BP247" s="6">
        <v>10.8</v>
      </c>
      <c r="BQ247" s="6">
        <v>10.55</v>
      </c>
      <c r="BR247" s="6">
        <v>9.43</v>
      </c>
      <c r="BS247" s="6">
        <v>11.08</v>
      </c>
      <c r="BT247" s="6">
        <v>10.59</v>
      </c>
      <c r="BU247" s="6">
        <v>10.92</v>
      </c>
      <c r="BV247" s="6">
        <v>10.14</v>
      </c>
      <c r="BW247" s="6">
        <v>10.5</v>
      </c>
      <c r="BX247" s="6">
        <v>10.52</v>
      </c>
      <c r="BY247" s="6">
        <v>10.95</v>
      </c>
      <c r="BZ247" s="6">
        <v>10.75</v>
      </c>
      <c r="CA247" s="6">
        <v>12.2</v>
      </c>
      <c r="CB247" s="6">
        <v>11.07</v>
      </c>
      <c r="CC247" s="6">
        <v>9.9699999999999989</v>
      </c>
      <c r="CD247" s="6">
        <v>12.01</v>
      </c>
      <c r="CE247" s="6">
        <v>11.48</v>
      </c>
      <c r="CF247" s="6">
        <v>9.49</v>
      </c>
      <c r="CG247" s="6">
        <v>9.82</v>
      </c>
      <c r="CH247" s="6"/>
    </row>
    <row r="248" spans="1:86" ht="15.75" customHeight="1" x14ac:dyDescent="0.25">
      <c r="A248" s="4">
        <v>246</v>
      </c>
      <c r="B248" s="2"/>
      <c r="C248" s="4">
        <v>3</v>
      </c>
      <c r="D248" s="6">
        <v>11.73</v>
      </c>
      <c r="E248" s="6">
        <v>11.03</v>
      </c>
      <c r="F248" s="6">
        <v>11.58</v>
      </c>
      <c r="G248" s="6">
        <v>11.73</v>
      </c>
      <c r="H248" s="6">
        <v>10.33</v>
      </c>
      <c r="I248" s="6">
        <v>10.130000000000001</v>
      </c>
      <c r="J248" s="6">
        <v>11.03</v>
      </c>
      <c r="K248" s="6">
        <v>11.23</v>
      </c>
      <c r="L248" s="6">
        <v>11.93</v>
      </c>
      <c r="M248" s="6">
        <v>11.29</v>
      </c>
      <c r="N248" s="6">
        <v>11.03</v>
      </c>
      <c r="O248" s="6">
        <v>11.68</v>
      </c>
      <c r="P248" s="6">
        <v>9.33</v>
      </c>
      <c r="Q248" s="6">
        <v>11.43</v>
      </c>
      <c r="R248" s="6">
        <v>10.33</v>
      </c>
      <c r="S248" s="6">
        <v>10.029999999999999</v>
      </c>
      <c r="T248" s="6">
        <v>10.83</v>
      </c>
      <c r="U248" s="6">
        <v>10.73</v>
      </c>
      <c r="V248" s="6">
        <v>10.029999999999999</v>
      </c>
      <c r="W248" s="6">
        <v>11.68</v>
      </c>
      <c r="X248" s="6">
        <v>11.03</v>
      </c>
      <c r="Y248" s="6">
        <v>10.24</v>
      </c>
      <c r="Z248" s="6">
        <v>10.31</v>
      </c>
      <c r="AA248" s="6">
        <v>10.56</v>
      </c>
      <c r="AB248" s="6">
        <v>11.94</v>
      </c>
      <c r="AC248" s="6">
        <v>10.79</v>
      </c>
      <c r="AD248" s="6">
        <v>10.66</v>
      </c>
      <c r="AE248" s="6">
        <v>11.17</v>
      </c>
      <c r="AF248" s="6">
        <v>11.46</v>
      </c>
      <c r="AG248" s="6">
        <v>10.119999999999999</v>
      </c>
      <c r="AH248" s="6">
        <v>9.67</v>
      </c>
      <c r="AI248" s="6">
        <v>9.41</v>
      </c>
      <c r="AJ248" s="6">
        <v>10.65</v>
      </c>
      <c r="AK248" s="6">
        <v>11.91</v>
      </c>
      <c r="AL248" s="6">
        <v>10.79</v>
      </c>
      <c r="AM248" s="6">
        <v>11.33</v>
      </c>
      <c r="AN248" s="6">
        <v>10.53</v>
      </c>
      <c r="AO248" s="6">
        <v>11.68</v>
      </c>
      <c r="AP248" s="6">
        <v>11.34</v>
      </c>
      <c r="AQ248" s="6">
        <v>10.49</v>
      </c>
      <c r="AR248" s="6">
        <v>10.7</v>
      </c>
      <c r="AS248" s="6">
        <v>10.33</v>
      </c>
      <c r="AT248" s="6">
        <v>10.44</v>
      </c>
      <c r="AU248" s="6">
        <v>10.86</v>
      </c>
      <c r="AV248" s="6">
        <v>11.15</v>
      </c>
      <c r="AW248" s="6">
        <v>10.81</v>
      </c>
      <c r="AX248" s="6">
        <v>8.98</v>
      </c>
      <c r="AY248" s="6">
        <v>10.63</v>
      </c>
      <c r="AZ248" s="6">
        <v>11.42</v>
      </c>
      <c r="BA248" s="6">
        <v>10.59</v>
      </c>
      <c r="BB248" s="6">
        <v>10.43</v>
      </c>
      <c r="BC248" s="6">
        <f>10.78+0.43</f>
        <v>11.209999999999999</v>
      </c>
      <c r="BD248" s="6">
        <v>10.28</v>
      </c>
      <c r="BE248" s="6">
        <v>11.48</v>
      </c>
      <c r="BF248" s="6">
        <v>9.5399999999999991</v>
      </c>
      <c r="BG248" s="6">
        <v>11.23</v>
      </c>
      <c r="BH248" s="6">
        <v>11.11</v>
      </c>
      <c r="BI248" s="6">
        <v>10.039999999999999</v>
      </c>
      <c r="BJ248" s="6">
        <v>9.2899999999999991</v>
      </c>
      <c r="BK248" s="6">
        <v>10.75</v>
      </c>
      <c r="BL248" s="6">
        <v>10.8</v>
      </c>
      <c r="BM248" s="6">
        <v>10.8</v>
      </c>
      <c r="BN248" s="6">
        <v>9.8000000000000007</v>
      </c>
      <c r="BO248" s="6">
        <v>11.15</v>
      </c>
      <c r="BP248" s="6">
        <v>10.75</v>
      </c>
      <c r="BQ248" s="6">
        <v>10.44</v>
      </c>
      <c r="BR248" s="6">
        <v>9.41</v>
      </c>
      <c r="BS248" s="6">
        <v>10.93</v>
      </c>
      <c r="BT248" s="6">
        <v>10.56</v>
      </c>
      <c r="BU248" s="6">
        <v>10.89</v>
      </c>
      <c r="BV248" s="6">
        <v>10.209999999999999</v>
      </c>
      <c r="BW248" s="6">
        <v>10.52</v>
      </c>
      <c r="BX248" s="6">
        <v>10.54</v>
      </c>
      <c r="BY248" s="6">
        <v>10.92</v>
      </c>
      <c r="BZ248" s="6">
        <v>10.76</v>
      </c>
      <c r="CA248" s="6">
        <v>12.31</v>
      </c>
      <c r="CB248" s="6">
        <v>11.12</v>
      </c>
      <c r="CC248" s="6">
        <v>9.93</v>
      </c>
      <c r="CD248" s="6">
        <v>11.92</v>
      </c>
      <c r="CE248" s="6">
        <v>11.549999999999999</v>
      </c>
      <c r="CF248" s="6">
        <v>9.4</v>
      </c>
      <c r="CG248" s="6">
        <v>9.7899999999999991</v>
      </c>
      <c r="CH248" s="6"/>
    </row>
    <row r="249" spans="1:86" ht="15.75" customHeight="1" x14ac:dyDescent="0.25">
      <c r="A249" s="4">
        <v>247</v>
      </c>
      <c r="B249" s="2"/>
      <c r="C249" s="4">
        <v>4</v>
      </c>
      <c r="D249" s="6">
        <v>11.73</v>
      </c>
      <c r="E249" s="6">
        <v>11.03</v>
      </c>
      <c r="F249" s="6">
        <v>11.43</v>
      </c>
      <c r="G249" s="6">
        <v>11.73</v>
      </c>
      <c r="H249" s="6">
        <v>10.33</v>
      </c>
      <c r="I249" s="6">
        <v>10.029999999999999</v>
      </c>
      <c r="J249" s="6">
        <v>11.03</v>
      </c>
      <c r="K249" s="6">
        <v>11.23</v>
      </c>
      <c r="L249" s="6">
        <v>11.93</v>
      </c>
      <c r="M249" s="6">
        <v>11.23</v>
      </c>
      <c r="N249" s="6">
        <v>11.11</v>
      </c>
      <c r="O249" s="6">
        <v>11.63</v>
      </c>
      <c r="P249" s="6">
        <v>9.31</v>
      </c>
      <c r="Q249" s="6">
        <v>11.39</v>
      </c>
      <c r="R249" s="6">
        <v>10.41</v>
      </c>
      <c r="S249" s="6">
        <v>10.01</v>
      </c>
      <c r="T249" s="6">
        <v>10.93</v>
      </c>
      <c r="U249" s="6">
        <v>10.75</v>
      </c>
      <c r="V249" s="6">
        <v>10.029999999999999</v>
      </c>
      <c r="W249" s="6">
        <v>11.63</v>
      </c>
      <c r="X249" s="6">
        <v>11.03</v>
      </c>
      <c r="Y249" s="6">
        <v>10.27</v>
      </c>
      <c r="Z249" s="6">
        <v>10.31</v>
      </c>
      <c r="AA249" s="6">
        <v>10.54</v>
      </c>
      <c r="AB249" s="6">
        <v>11.88</v>
      </c>
      <c r="AC249" s="6">
        <v>10.81</v>
      </c>
      <c r="AD249" s="6">
        <v>10.6</v>
      </c>
      <c r="AE249" s="6">
        <v>11.19</v>
      </c>
      <c r="AF249" s="6">
        <v>11.45</v>
      </c>
      <c r="AG249" s="6">
        <v>10.27</v>
      </c>
      <c r="AH249" s="6">
        <v>9.7799999999999994</v>
      </c>
      <c r="AI249" s="6">
        <v>9.4700000000000006</v>
      </c>
      <c r="AJ249" s="6">
        <v>10.68</v>
      </c>
      <c r="AK249" s="6">
        <v>11.83</v>
      </c>
      <c r="AL249" s="6">
        <v>10.73</v>
      </c>
      <c r="AM249" s="6">
        <v>11.33</v>
      </c>
      <c r="AN249" s="6">
        <v>10.65</v>
      </c>
      <c r="AO249" s="6">
        <v>11.72</v>
      </c>
      <c r="AP249" s="6">
        <v>11.28</v>
      </c>
      <c r="AQ249" s="6">
        <v>10.53</v>
      </c>
      <c r="AR249" s="6">
        <v>10.75</v>
      </c>
      <c r="AS249" s="6">
        <v>10.34</v>
      </c>
      <c r="AT249" s="6">
        <v>10.5</v>
      </c>
      <c r="AU249" s="6">
        <v>10.87</v>
      </c>
      <c r="AV249" s="6">
        <v>11.19</v>
      </c>
      <c r="AW249" s="6">
        <v>10.8</v>
      </c>
      <c r="AX249" s="6">
        <v>8.9</v>
      </c>
      <c r="AY249" s="6">
        <v>10.63</v>
      </c>
      <c r="AZ249" s="6">
        <v>11.29</v>
      </c>
      <c r="BA249" s="6">
        <v>10.59</v>
      </c>
      <c r="BB249" s="6">
        <v>10.41</v>
      </c>
      <c r="BC249" s="6">
        <f>10.91+0.43</f>
        <v>11.34</v>
      </c>
      <c r="BD249" s="6">
        <v>10.15</v>
      </c>
      <c r="BE249" s="6">
        <v>11.48</v>
      </c>
      <c r="BF249" s="6">
        <v>9.48</v>
      </c>
      <c r="BG249" s="6">
        <v>11.21</v>
      </c>
      <c r="BH249" s="6">
        <v>11.05</v>
      </c>
      <c r="BI249" s="6">
        <v>10.01</v>
      </c>
      <c r="BJ249" s="6">
        <v>9.2899999999999991</v>
      </c>
      <c r="BK249" s="6">
        <v>10.72</v>
      </c>
      <c r="BL249" s="6">
        <v>10.8</v>
      </c>
      <c r="BM249" s="6">
        <v>10.77</v>
      </c>
      <c r="BN249" s="6">
        <v>9.74</v>
      </c>
      <c r="BO249" s="6">
        <v>11.02</v>
      </c>
      <c r="BP249" s="6">
        <v>10.74</v>
      </c>
      <c r="BQ249" s="6">
        <v>10.44</v>
      </c>
      <c r="BR249" s="6">
        <v>9.36</v>
      </c>
      <c r="BS249" s="6">
        <v>10.88</v>
      </c>
      <c r="BT249" s="6">
        <v>10.49</v>
      </c>
      <c r="BU249" s="6">
        <v>10.82</v>
      </c>
      <c r="BV249" s="6">
        <v>10.24</v>
      </c>
      <c r="BW249" s="6">
        <v>10.459999999999999</v>
      </c>
      <c r="BX249" s="6">
        <v>10.53</v>
      </c>
      <c r="BY249" s="6">
        <v>10.86</v>
      </c>
      <c r="BZ249" s="6">
        <v>10.6</v>
      </c>
      <c r="CA249" s="6">
        <v>12.34</v>
      </c>
      <c r="CB249" s="6">
        <v>11.11</v>
      </c>
      <c r="CC249" s="6">
        <v>9.89</v>
      </c>
      <c r="CD249" s="6">
        <v>11.98</v>
      </c>
      <c r="CE249" s="6">
        <v>11.51</v>
      </c>
      <c r="CF249" s="6">
        <v>9.34</v>
      </c>
      <c r="CG249" s="6">
        <v>9.75</v>
      </c>
      <c r="CH249" s="6"/>
    </row>
    <row r="250" spans="1:86" ht="15.75" customHeight="1" x14ac:dyDescent="0.25">
      <c r="A250" s="4">
        <v>248</v>
      </c>
      <c r="B250" s="2"/>
      <c r="C250" s="4">
        <v>5</v>
      </c>
      <c r="D250" s="6">
        <v>11.73</v>
      </c>
      <c r="E250" s="6">
        <v>11.03</v>
      </c>
      <c r="F250" s="6">
        <v>11.38</v>
      </c>
      <c r="G250" s="6">
        <v>11.68</v>
      </c>
      <c r="H250" s="6">
        <v>10.23</v>
      </c>
      <c r="I250" s="6">
        <v>10.08</v>
      </c>
      <c r="J250" s="6">
        <v>11.03</v>
      </c>
      <c r="K250" s="6">
        <v>11.13</v>
      </c>
      <c r="L250" s="6">
        <v>11.88</v>
      </c>
      <c r="M250" s="6">
        <v>11.18</v>
      </c>
      <c r="N250" s="6">
        <v>11.08</v>
      </c>
      <c r="O250" s="6">
        <v>11.63</v>
      </c>
      <c r="P250" s="6">
        <v>9.3800000000000008</v>
      </c>
      <c r="Q250" s="6">
        <v>11.33</v>
      </c>
      <c r="R250" s="6">
        <v>10.43</v>
      </c>
      <c r="S250" s="6">
        <v>9.93</v>
      </c>
      <c r="T250" s="6">
        <v>10.96</v>
      </c>
      <c r="U250" s="6">
        <v>10.83</v>
      </c>
      <c r="V250" s="6">
        <v>10.08</v>
      </c>
      <c r="W250" s="6">
        <v>11.63</v>
      </c>
      <c r="X250" s="6">
        <v>10.97</v>
      </c>
      <c r="Y250" s="6">
        <v>10.23</v>
      </c>
      <c r="Z250" s="6">
        <v>10.33</v>
      </c>
      <c r="AA250" s="6">
        <v>10.46</v>
      </c>
      <c r="AB250" s="6">
        <v>11.8</v>
      </c>
      <c r="AC250" s="6">
        <v>10.8</v>
      </c>
      <c r="AD250" s="6">
        <v>10.59</v>
      </c>
      <c r="AE250" s="6">
        <v>11.25</v>
      </c>
      <c r="AF250" s="6">
        <v>11.43</v>
      </c>
      <c r="AG250" s="6">
        <v>10.23</v>
      </c>
      <c r="AH250" s="6">
        <v>9.86</v>
      </c>
      <c r="AI250" s="6">
        <v>9.49</v>
      </c>
      <c r="AJ250" s="6">
        <v>10.89</v>
      </c>
      <c r="AK250" s="6">
        <v>11.74</v>
      </c>
      <c r="AL250" s="6">
        <v>10.69</v>
      </c>
      <c r="AM250" s="6">
        <v>11.21</v>
      </c>
      <c r="AN250" s="6">
        <v>10.57</v>
      </c>
      <c r="AO250" s="6">
        <v>11.75</v>
      </c>
      <c r="AP250" s="6">
        <v>11.18</v>
      </c>
      <c r="AQ250" s="6">
        <v>10.57</v>
      </c>
      <c r="AR250" s="6">
        <v>10.75</v>
      </c>
      <c r="AS250" s="6">
        <v>10.38</v>
      </c>
      <c r="AT250" s="6">
        <v>10.53</v>
      </c>
      <c r="AU250" s="6">
        <v>10.8</v>
      </c>
      <c r="AV250" s="6">
        <v>11.21</v>
      </c>
      <c r="AW250" s="6">
        <v>10.77</v>
      </c>
      <c r="AX250" s="6">
        <v>8.84</v>
      </c>
      <c r="AY250" s="6">
        <v>10.53</v>
      </c>
      <c r="AZ250" s="6">
        <v>11.23</v>
      </c>
      <c r="BA250" s="6">
        <v>10.59</v>
      </c>
      <c r="BB250" s="6">
        <v>10.25</v>
      </c>
      <c r="BC250" s="6">
        <f>11.03+0.43</f>
        <v>11.459999999999999</v>
      </c>
      <c r="BD250" s="6">
        <v>10.210000000000001</v>
      </c>
      <c r="BE250" s="6">
        <v>11.43</v>
      </c>
      <c r="BF250" s="6">
        <v>9.43</v>
      </c>
      <c r="BG250" s="6">
        <v>11.31</v>
      </c>
      <c r="BH250" s="6">
        <v>11.05</v>
      </c>
      <c r="BI250" s="6">
        <v>10.01</v>
      </c>
      <c r="BJ250" s="6">
        <v>9.26</v>
      </c>
      <c r="BK250" s="6">
        <v>10.69</v>
      </c>
      <c r="BL250" s="6">
        <v>10.88</v>
      </c>
      <c r="BM250" s="6">
        <v>10.76</v>
      </c>
      <c r="BN250" s="6">
        <v>9.69</v>
      </c>
      <c r="BO250" s="6">
        <v>10.99</v>
      </c>
      <c r="BP250" s="6">
        <v>10.83</v>
      </c>
      <c r="BQ250" s="6">
        <v>10.4</v>
      </c>
      <c r="BR250" s="6">
        <v>9.33</v>
      </c>
      <c r="BS250" s="6">
        <v>10.82</v>
      </c>
      <c r="BT250" s="6">
        <v>10.43</v>
      </c>
      <c r="BU250" s="6">
        <v>10.8</v>
      </c>
      <c r="BV250" s="6">
        <v>10.18</v>
      </c>
      <c r="BW250" s="6">
        <v>10.51</v>
      </c>
      <c r="BX250" s="6">
        <v>10.53</v>
      </c>
      <c r="BY250" s="6">
        <v>10.86</v>
      </c>
      <c r="BZ250" s="6">
        <v>10.64</v>
      </c>
      <c r="CA250" s="6">
        <v>12.28</v>
      </c>
      <c r="CB250" s="6">
        <v>11.03</v>
      </c>
      <c r="CC250" s="6">
        <v>10.01</v>
      </c>
      <c r="CD250" s="6">
        <v>11.91</v>
      </c>
      <c r="CE250" s="6">
        <v>11.54</v>
      </c>
      <c r="CF250" s="6">
        <v>9.34</v>
      </c>
      <c r="CG250" s="6">
        <v>9.67</v>
      </c>
      <c r="CH250" s="6"/>
    </row>
    <row r="251" spans="1:86" ht="15.75" customHeight="1" x14ac:dyDescent="0.25">
      <c r="A251" s="4">
        <v>249</v>
      </c>
      <c r="B251" s="2"/>
      <c r="C251" s="4">
        <v>6</v>
      </c>
      <c r="D251" s="6">
        <v>11.68</v>
      </c>
      <c r="E251" s="6">
        <v>11.03</v>
      </c>
      <c r="F251" s="6">
        <v>11.28</v>
      </c>
      <c r="G251" s="6">
        <v>11.68</v>
      </c>
      <c r="H251" s="6">
        <v>10.130000000000001</v>
      </c>
      <c r="I251" s="6">
        <v>10.130000000000001</v>
      </c>
      <c r="J251" s="6">
        <v>10.93</v>
      </c>
      <c r="K251" s="6">
        <v>11.13</v>
      </c>
      <c r="L251" s="6">
        <v>11.88</v>
      </c>
      <c r="M251" s="6">
        <v>11.13</v>
      </c>
      <c r="N251" s="6">
        <v>11.08</v>
      </c>
      <c r="O251" s="6">
        <v>11.63</v>
      </c>
      <c r="P251" s="6">
        <v>9.43</v>
      </c>
      <c r="Q251" s="6">
        <v>11.3</v>
      </c>
      <c r="R251" s="6">
        <v>10.43</v>
      </c>
      <c r="S251" s="6">
        <v>9.93</v>
      </c>
      <c r="T251" s="6">
        <v>10.96</v>
      </c>
      <c r="U251" s="6">
        <v>10.88</v>
      </c>
      <c r="V251" s="6">
        <v>10.18</v>
      </c>
      <c r="W251" s="6">
        <v>11.43</v>
      </c>
      <c r="X251" s="6">
        <v>10.94</v>
      </c>
      <c r="Y251" s="6">
        <v>10.210000000000001</v>
      </c>
      <c r="Z251" s="6">
        <v>10.28</v>
      </c>
      <c r="AA251" s="6">
        <v>10.41</v>
      </c>
      <c r="AB251" s="6">
        <v>11.76</v>
      </c>
      <c r="AC251" s="6">
        <v>10.78</v>
      </c>
      <c r="AD251" s="6">
        <v>10.58</v>
      </c>
      <c r="AE251" s="6">
        <v>11.37</v>
      </c>
      <c r="AF251" s="6">
        <v>11.41</v>
      </c>
      <c r="AG251" s="6">
        <v>10.29</v>
      </c>
      <c r="AH251" s="6">
        <v>9.91</v>
      </c>
      <c r="AI251" s="6">
        <v>9.5399999999999991</v>
      </c>
      <c r="AJ251" s="6">
        <v>11</v>
      </c>
      <c r="AK251" s="6">
        <v>11.65</v>
      </c>
      <c r="AL251" s="6">
        <v>10.71</v>
      </c>
      <c r="AM251" s="6">
        <v>11.11</v>
      </c>
      <c r="AN251" s="6">
        <v>10.63</v>
      </c>
      <c r="AO251" s="6">
        <v>11.75</v>
      </c>
      <c r="AP251" s="6">
        <v>11.2</v>
      </c>
      <c r="AQ251" s="6">
        <v>10.51</v>
      </c>
      <c r="AR251" s="6">
        <v>10.67</v>
      </c>
      <c r="AS251" s="6">
        <v>10.4</v>
      </c>
      <c r="AT251" s="6">
        <v>10.55</v>
      </c>
      <c r="AU251" s="6">
        <v>10.78</v>
      </c>
      <c r="AV251" s="6">
        <v>11.23</v>
      </c>
      <c r="AW251" s="6">
        <v>10.77</v>
      </c>
      <c r="AX251" s="6">
        <v>8.8699999999999992</v>
      </c>
      <c r="AY251" s="6">
        <v>10.38</v>
      </c>
      <c r="AZ251" s="6">
        <v>11.23</v>
      </c>
      <c r="BA251" s="6">
        <v>10.52</v>
      </c>
      <c r="BB251" s="6">
        <v>10.26</v>
      </c>
      <c r="BC251" s="6">
        <f>11+0.43</f>
        <v>11.43</v>
      </c>
      <c r="BD251" s="6">
        <v>10.220000000000001</v>
      </c>
      <c r="BE251" s="6">
        <v>11.34</v>
      </c>
      <c r="BF251" s="6">
        <v>9.39</v>
      </c>
      <c r="BG251" s="6">
        <v>11.28</v>
      </c>
      <c r="BH251" s="6">
        <v>11</v>
      </c>
      <c r="BI251" s="6">
        <v>10.01</v>
      </c>
      <c r="BJ251" s="6">
        <v>9.2200000000000006</v>
      </c>
      <c r="BK251" s="6">
        <v>10.69</v>
      </c>
      <c r="BL251" s="6">
        <v>10.88</v>
      </c>
      <c r="BM251" s="6">
        <v>10.69</v>
      </c>
      <c r="BN251" s="6">
        <v>9.67</v>
      </c>
      <c r="BO251" s="6">
        <v>10.84</v>
      </c>
      <c r="BP251" s="6">
        <v>10.98</v>
      </c>
      <c r="BQ251" s="6">
        <v>10.3</v>
      </c>
      <c r="BR251" s="6">
        <v>9.31</v>
      </c>
      <c r="BS251" s="6">
        <v>10.72</v>
      </c>
      <c r="BT251" s="6">
        <v>10.39</v>
      </c>
      <c r="BU251" s="6">
        <v>10.81</v>
      </c>
      <c r="BV251" s="6">
        <v>10.039999999999999</v>
      </c>
      <c r="BW251" s="6">
        <v>10.459999999999999</v>
      </c>
      <c r="BX251" s="6">
        <v>10.51</v>
      </c>
      <c r="BY251" s="6">
        <v>10.84</v>
      </c>
      <c r="BZ251" s="6">
        <v>10.66</v>
      </c>
      <c r="CA251" s="6">
        <v>12.37</v>
      </c>
      <c r="CB251" s="6">
        <v>11.03</v>
      </c>
      <c r="CC251" s="6">
        <v>10.09</v>
      </c>
      <c r="CD251" s="6">
        <v>11.91</v>
      </c>
      <c r="CE251" s="6">
        <v>11.56</v>
      </c>
      <c r="CF251" s="6">
        <v>9.23</v>
      </c>
      <c r="CG251" s="6">
        <v>9.57</v>
      </c>
      <c r="CH251" s="6"/>
    </row>
    <row r="252" spans="1:86" ht="15.75" customHeight="1" x14ac:dyDescent="0.25">
      <c r="A252" s="4">
        <v>250</v>
      </c>
      <c r="B252" s="2"/>
      <c r="C252" s="4">
        <v>7</v>
      </c>
      <c r="D252" s="6">
        <v>11.68</v>
      </c>
      <c r="E252" s="6">
        <v>11.03</v>
      </c>
      <c r="F252" s="6">
        <v>11.28</v>
      </c>
      <c r="G252" s="6">
        <v>11.63</v>
      </c>
      <c r="H252" s="6">
        <v>10.08</v>
      </c>
      <c r="I252" s="6">
        <v>10.130000000000001</v>
      </c>
      <c r="J252" s="6">
        <v>10.83</v>
      </c>
      <c r="K252" s="6">
        <v>11.03</v>
      </c>
      <c r="L252" s="6">
        <v>11.88</v>
      </c>
      <c r="M252" s="6">
        <v>11.08</v>
      </c>
      <c r="N252" s="6">
        <v>11.03</v>
      </c>
      <c r="O252" s="6">
        <v>11.63</v>
      </c>
      <c r="P252" s="6">
        <v>9.5</v>
      </c>
      <c r="Q252" s="6">
        <v>11.2</v>
      </c>
      <c r="R252" s="6">
        <v>10.43</v>
      </c>
      <c r="S252" s="6">
        <v>9.83</v>
      </c>
      <c r="T252" s="6">
        <v>10.9</v>
      </c>
      <c r="U252" s="6">
        <v>10.83</v>
      </c>
      <c r="V252" s="6">
        <v>10.130000000000001</v>
      </c>
      <c r="W252" s="6">
        <v>11.31</v>
      </c>
      <c r="X252" s="6">
        <v>10.91</v>
      </c>
      <c r="Y252" s="6">
        <v>10.18</v>
      </c>
      <c r="Z252" s="6">
        <v>10.23</v>
      </c>
      <c r="AA252" s="6">
        <v>10.38</v>
      </c>
      <c r="AB252" s="6">
        <v>11.72</v>
      </c>
      <c r="AC252" s="6">
        <v>10.75</v>
      </c>
      <c r="AD252" s="6">
        <v>10.57</v>
      </c>
      <c r="AE252" s="6">
        <v>11.43</v>
      </c>
      <c r="AF252" s="6">
        <v>11.28</v>
      </c>
      <c r="AG252" s="6">
        <v>10.32</v>
      </c>
      <c r="AH252" s="6">
        <v>9.93</v>
      </c>
      <c r="AI252" s="6">
        <v>9.5500000000000007</v>
      </c>
      <c r="AJ252" s="6">
        <v>11.04</v>
      </c>
      <c r="AK252" s="6">
        <v>11.59</v>
      </c>
      <c r="AL252" s="6">
        <v>10.77</v>
      </c>
      <c r="AM252" s="6">
        <v>10.99</v>
      </c>
      <c r="AN252" s="6">
        <v>10.54</v>
      </c>
      <c r="AO252" s="6">
        <v>11.71</v>
      </c>
      <c r="AP252" s="6">
        <v>11.24</v>
      </c>
      <c r="AQ252" s="6">
        <v>10.43</v>
      </c>
      <c r="AR252" s="6">
        <v>10.72</v>
      </c>
      <c r="AS252" s="6">
        <v>10.41</v>
      </c>
      <c r="AT252" s="6">
        <v>10.56</v>
      </c>
      <c r="AU252" s="6">
        <v>10.73</v>
      </c>
      <c r="AV252" s="6">
        <v>11.25</v>
      </c>
      <c r="AW252" s="6">
        <v>10.76</v>
      </c>
      <c r="AX252" s="6">
        <v>8.85</v>
      </c>
      <c r="AY252" s="6">
        <v>10.33</v>
      </c>
      <c r="AZ252" s="6">
        <v>11.28</v>
      </c>
      <c r="BA252" s="6">
        <v>10.48</v>
      </c>
      <c r="BB252" s="6">
        <v>10.29</v>
      </c>
      <c r="BC252" s="6">
        <f>11.04+0.43</f>
        <v>11.469999999999999</v>
      </c>
      <c r="BD252" s="6">
        <v>10.220000000000001</v>
      </c>
      <c r="BE252" s="6">
        <v>11.22</v>
      </c>
      <c r="BF252" s="6">
        <v>9.33</v>
      </c>
      <c r="BG252" s="6">
        <v>11.21</v>
      </c>
      <c r="BH252" s="6">
        <v>10.98</v>
      </c>
      <c r="BI252" s="6">
        <v>10.01</v>
      </c>
      <c r="BJ252" s="6">
        <v>9.19</v>
      </c>
      <c r="BK252" s="6">
        <v>10.72</v>
      </c>
      <c r="BL252" s="6">
        <v>10.85</v>
      </c>
      <c r="BM252" s="6">
        <v>10.71</v>
      </c>
      <c r="BN252" s="6">
        <v>9.65</v>
      </c>
      <c r="BO252" s="6">
        <v>10.8</v>
      </c>
      <c r="BP252" s="6">
        <v>11</v>
      </c>
      <c r="BQ252" s="6">
        <v>10.210000000000001</v>
      </c>
      <c r="BR252" s="6">
        <v>9.24</v>
      </c>
      <c r="BS252" s="6">
        <v>10.74</v>
      </c>
      <c r="BT252" s="6">
        <v>10.37</v>
      </c>
      <c r="BU252" s="6">
        <v>10.81</v>
      </c>
      <c r="BV252" s="6">
        <v>9.9499999999999993</v>
      </c>
      <c r="BW252" s="6">
        <v>10.37</v>
      </c>
      <c r="BX252" s="6">
        <v>10.45</v>
      </c>
      <c r="BY252" s="6">
        <v>10.84</v>
      </c>
      <c r="BZ252" s="6">
        <v>10.709999999999999</v>
      </c>
      <c r="CA252" s="6">
        <v>12.469999999999999</v>
      </c>
      <c r="CB252" s="6">
        <v>11.02</v>
      </c>
      <c r="CC252" s="6">
        <v>10.11</v>
      </c>
      <c r="CD252" s="6">
        <v>11.69</v>
      </c>
      <c r="CE252" s="6">
        <v>11.59</v>
      </c>
      <c r="CF252" s="6">
        <v>9.15</v>
      </c>
      <c r="CG252" s="6">
        <v>9.48</v>
      </c>
      <c r="CH252" s="6"/>
    </row>
    <row r="253" spans="1:86" ht="15.75" customHeight="1" x14ac:dyDescent="0.25">
      <c r="A253" s="4">
        <v>251</v>
      </c>
      <c r="B253" s="2"/>
      <c r="C253" s="4">
        <v>8</v>
      </c>
      <c r="D253" s="6">
        <v>11.68</v>
      </c>
      <c r="E253" s="6">
        <v>11.03</v>
      </c>
      <c r="F253" s="6">
        <v>11.23</v>
      </c>
      <c r="G253" s="6">
        <v>11.63</v>
      </c>
      <c r="H253" s="6">
        <v>10.029999999999999</v>
      </c>
      <c r="I253" s="6">
        <v>10.08</v>
      </c>
      <c r="J253" s="6">
        <v>10.83</v>
      </c>
      <c r="K253" s="6">
        <v>11.03</v>
      </c>
      <c r="L253" s="6">
        <v>11.83</v>
      </c>
      <c r="M253" s="6">
        <v>11.03</v>
      </c>
      <c r="N253" s="6">
        <v>10.96</v>
      </c>
      <c r="O253" s="6">
        <v>11.63</v>
      </c>
      <c r="P253" s="6">
        <v>9.4600000000000009</v>
      </c>
      <c r="Q253" s="6">
        <v>11.18</v>
      </c>
      <c r="R253" s="6">
        <v>10.38</v>
      </c>
      <c r="S253" s="6">
        <v>9.73</v>
      </c>
      <c r="T253" s="6">
        <v>10.83</v>
      </c>
      <c r="U253" s="6">
        <v>10.83</v>
      </c>
      <c r="V253" s="6">
        <v>10.09</v>
      </c>
      <c r="W253" s="6">
        <v>11.23</v>
      </c>
      <c r="X253" s="6">
        <v>10.85</v>
      </c>
      <c r="Y253" s="6">
        <v>10.11</v>
      </c>
      <c r="Z253" s="6">
        <v>10.19</v>
      </c>
      <c r="AA253" s="6">
        <v>10.37</v>
      </c>
      <c r="AB253" s="6">
        <v>11.71</v>
      </c>
      <c r="AC253" s="6">
        <v>10.69</v>
      </c>
      <c r="AD253" s="6">
        <v>10.56</v>
      </c>
      <c r="AE253" s="6">
        <v>11.45</v>
      </c>
      <c r="AF253" s="6">
        <v>11.15</v>
      </c>
      <c r="AG253" s="6">
        <v>10.34</v>
      </c>
      <c r="AH253" s="6">
        <v>9.9499999999999993</v>
      </c>
      <c r="AI253" s="6">
        <v>9.56</v>
      </c>
      <c r="AJ253" s="6">
        <v>11.05</v>
      </c>
      <c r="AK253" s="6">
        <v>11.59</v>
      </c>
      <c r="AL253" s="6">
        <v>10.79</v>
      </c>
      <c r="AM253" s="6">
        <v>10.84</v>
      </c>
      <c r="AN253" s="6">
        <v>10.42</v>
      </c>
      <c r="AO253" s="6">
        <v>11.63</v>
      </c>
      <c r="AP253" s="6">
        <v>11.24</v>
      </c>
      <c r="AQ253" s="6">
        <v>10.36</v>
      </c>
      <c r="AR253" s="6">
        <v>10.7</v>
      </c>
      <c r="AS253" s="6">
        <v>10.25</v>
      </c>
      <c r="AT253" s="6">
        <v>10.57</v>
      </c>
      <c r="AU253" s="6">
        <v>10.69</v>
      </c>
      <c r="AV253" s="6">
        <v>11.28</v>
      </c>
      <c r="AW253" s="6">
        <v>10.77</v>
      </c>
      <c r="AX253" s="6">
        <v>8.81</v>
      </c>
      <c r="AY253" s="6">
        <v>10.18</v>
      </c>
      <c r="AZ253" s="6">
        <v>11.28</v>
      </c>
      <c r="BA253" s="6">
        <v>10.51</v>
      </c>
      <c r="BB253" s="6">
        <v>10.25</v>
      </c>
      <c r="BC253" s="6">
        <f>10.98+0.43</f>
        <v>11.41</v>
      </c>
      <c r="BD253" s="6">
        <v>10.199999999999999</v>
      </c>
      <c r="BE253" s="6">
        <v>11.13</v>
      </c>
      <c r="BF253" s="6">
        <v>9.23</v>
      </c>
      <c r="BG253" s="6">
        <v>11.18</v>
      </c>
      <c r="BH253" s="6">
        <v>10.84</v>
      </c>
      <c r="BI253" s="6">
        <v>10.01</v>
      </c>
      <c r="BJ253" s="6">
        <v>9.16</v>
      </c>
      <c r="BK253" s="6">
        <v>10.67</v>
      </c>
      <c r="BL253" s="6">
        <v>10.76</v>
      </c>
      <c r="BM253" s="6">
        <v>10.65</v>
      </c>
      <c r="BN253" s="6">
        <v>9.61</v>
      </c>
      <c r="BO253" s="6">
        <v>10.74</v>
      </c>
      <c r="BP253" s="6">
        <v>10.98</v>
      </c>
      <c r="BQ253" s="6">
        <v>10.19</v>
      </c>
      <c r="BR253" s="6">
        <v>9.24</v>
      </c>
      <c r="BS253" s="6">
        <v>10.72</v>
      </c>
      <c r="BT253" s="6">
        <v>10.28</v>
      </c>
      <c r="BU253" s="6">
        <v>10.84</v>
      </c>
      <c r="BV253" s="6">
        <v>9.9859999999999989</v>
      </c>
      <c r="BW253" s="6">
        <v>10.4</v>
      </c>
      <c r="BX253" s="6">
        <v>10.44</v>
      </c>
      <c r="BY253" s="6">
        <v>10.87</v>
      </c>
      <c r="BZ253" s="6">
        <v>10.61</v>
      </c>
      <c r="CA253" s="6">
        <v>12.4</v>
      </c>
      <c r="CB253" s="6">
        <v>11</v>
      </c>
      <c r="CC253" s="6">
        <v>10.01</v>
      </c>
      <c r="CD253" s="6">
        <v>11.48</v>
      </c>
      <c r="CE253" s="6">
        <v>11.61</v>
      </c>
      <c r="CF253" s="6">
        <v>9.06</v>
      </c>
      <c r="CG253" s="6">
        <v>9.3699999999999992</v>
      </c>
      <c r="CH253" s="6"/>
    </row>
    <row r="254" spans="1:86" ht="15.75" customHeight="1" x14ac:dyDescent="0.25">
      <c r="A254" s="4">
        <v>252</v>
      </c>
      <c r="B254" s="2"/>
      <c r="C254" s="4">
        <v>9</v>
      </c>
      <c r="D254" s="6">
        <v>11.78</v>
      </c>
      <c r="E254" s="6">
        <v>11.03</v>
      </c>
      <c r="F254" s="6">
        <v>11.23</v>
      </c>
      <c r="G254" s="6">
        <v>11.63</v>
      </c>
      <c r="H254" s="6">
        <v>9.93</v>
      </c>
      <c r="I254" s="6">
        <v>9.98</v>
      </c>
      <c r="J254" s="6">
        <v>10.83</v>
      </c>
      <c r="K254" s="6">
        <v>10.98</v>
      </c>
      <c r="L254" s="6">
        <v>11.73</v>
      </c>
      <c r="M254" s="6">
        <v>10.88</v>
      </c>
      <c r="N254" s="6">
        <v>10.93</v>
      </c>
      <c r="O254" s="6">
        <v>11.61</v>
      </c>
      <c r="P254" s="6">
        <v>9.3800000000000008</v>
      </c>
      <c r="Q254" s="6">
        <v>11.18</v>
      </c>
      <c r="R254" s="6">
        <v>10.33</v>
      </c>
      <c r="S254" s="6">
        <v>9.73</v>
      </c>
      <c r="T254" s="6">
        <v>10.8</v>
      </c>
      <c r="U254" s="6">
        <v>10.81</v>
      </c>
      <c r="V254" s="6">
        <v>9.98</v>
      </c>
      <c r="W254" s="6">
        <v>11.15</v>
      </c>
      <c r="X254" s="6">
        <v>10.75</v>
      </c>
      <c r="Y254" s="6">
        <v>10.08</v>
      </c>
      <c r="Z254" s="6">
        <v>10.15</v>
      </c>
      <c r="AA254" s="6">
        <v>10.37</v>
      </c>
      <c r="AB254" s="6">
        <v>11.67</v>
      </c>
      <c r="AC254" s="6">
        <v>10.63</v>
      </c>
      <c r="AD254" s="6">
        <v>10.57</v>
      </c>
      <c r="AE254" s="6">
        <v>11.43</v>
      </c>
      <c r="AF254" s="6">
        <v>11.03</v>
      </c>
      <c r="AG254" s="6">
        <v>10.35</v>
      </c>
      <c r="AH254" s="6">
        <v>9.98</v>
      </c>
      <c r="AI254" s="6">
        <v>9.6300000000000008</v>
      </c>
      <c r="AJ254" s="6">
        <v>10.87</v>
      </c>
      <c r="AK254" s="6">
        <v>11.54</v>
      </c>
      <c r="AL254" s="6">
        <v>10.78</v>
      </c>
      <c r="AM254" s="6">
        <v>10.81</v>
      </c>
      <c r="AN254" s="6">
        <v>10.34</v>
      </c>
      <c r="AO254" s="6">
        <v>11.57</v>
      </c>
      <c r="AP254" s="6">
        <v>11.24</v>
      </c>
      <c r="AQ254" s="6">
        <v>10.31</v>
      </c>
      <c r="AR254" s="6">
        <v>10.6</v>
      </c>
      <c r="AS254" s="6">
        <v>10.34</v>
      </c>
      <c r="AT254" s="6">
        <v>10.57</v>
      </c>
      <c r="AU254" s="6">
        <v>10.69</v>
      </c>
      <c r="AV254" s="6">
        <v>11.2</v>
      </c>
      <c r="AW254" s="6">
        <v>10.7</v>
      </c>
      <c r="AX254" s="6">
        <v>8.7899999999999991</v>
      </c>
      <c r="AY254" s="6">
        <v>10.06</v>
      </c>
      <c r="AZ254" s="6">
        <v>11.2</v>
      </c>
      <c r="BA254" s="6">
        <v>10.45</v>
      </c>
      <c r="BB254" s="6">
        <v>10.26</v>
      </c>
      <c r="BC254" s="6">
        <f>10.91+0.43</f>
        <v>11.34</v>
      </c>
      <c r="BD254" s="6">
        <v>10.18</v>
      </c>
      <c r="BE254" s="6">
        <v>11.04</v>
      </c>
      <c r="BF254" s="6">
        <v>9.23</v>
      </c>
      <c r="BG254" s="6">
        <v>11.08</v>
      </c>
      <c r="BH254" s="6">
        <v>10.78</v>
      </c>
      <c r="BI254" s="6">
        <v>10.01</v>
      </c>
      <c r="BJ254" s="6">
        <v>9.09</v>
      </c>
      <c r="BK254" s="6">
        <v>10.6</v>
      </c>
      <c r="BL254" s="6">
        <v>10.78</v>
      </c>
      <c r="BM254" s="6">
        <v>10.65</v>
      </c>
      <c r="BN254" s="6">
        <v>9.5399999999999991</v>
      </c>
      <c r="BO254" s="6">
        <v>10.72</v>
      </c>
      <c r="BP254" s="6">
        <v>10.93</v>
      </c>
      <c r="BQ254" s="6">
        <v>10.25</v>
      </c>
      <c r="BR254" s="6">
        <v>9.16</v>
      </c>
      <c r="BS254" s="6">
        <v>10.73</v>
      </c>
      <c r="BT254" s="6">
        <v>10.210000000000001</v>
      </c>
      <c r="BU254" s="6">
        <v>10.82</v>
      </c>
      <c r="BV254" s="6">
        <v>10.01</v>
      </c>
      <c r="BW254" s="6">
        <v>10.379999999999999</v>
      </c>
      <c r="BX254" s="6">
        <v>10.44</v>
      </c>
      <c r="BY254" s="6">
        <v>10.83</v>
      </c>
      <c r="BZ254" s="6">
        <v>10.5</v>
      </c>
      <c r="CA254" s="6">
        <v>12.379999999999999</v>
      </c>
      <c r="CB254" s="6">
        <v>10.89</v>
      </c>
      <c r="CC254" s="6">
        <v>9.7999999999999989</v>
      </c>
      <c r="CD254" s="6">
        <v>11.36</v>
      </c>
      <c r="CE254" s="6">
        <v>11.629999999999999</v>
      </c>
      <c r="CF254" s="6">
        <v>8.86</v>
      </c>
      <c r="CG254" s="6">
        <v>9.3000000000000007</v>
      </c>
      <c r="CH254" s="6"/>
    </row>
    <row r="255" spans="1:86" ht="15.75" customHeight="1" x14ac:dyDescent="0.25">
      <c r="A255" s="4">
        <v>253</v>
      </c>
      <c r="B255" s="2"/>
      <c r="C255" s="4">
        <v>10</v>
      </c>
      <c r="D255" s="6">
        <v>11.78</v>
      </c>
      <c r="E255" s="6">
        <v>11.03</v>
      </c>
      <c r="F255" s="6">
        <v>11.23</v>
      </c>
      <c r="G255" s="6">
        <v>11.58</v>
      </c>
      <c r="H255" s="6">
        <v>9.83</v>
      </c>
      <c r="I255" s="6">
        <v>9.93</v>
      </c>
      <c r="J255" s="6">
        <v>10.95</v>
      </c>
      <c r="K255" s="6">
        <v>10.93</v>
      </c>
      <c r="L255" s="6">
        <v>11.83</v>
      </c>
      <c r="M255" s="6">
        <v>10.73</v>
      </c>
      <c r="N255" s="6">
        <v>10.83</v>
      </c>
      <c r="O255" s="6">
        <v>11.53</v>
      </c>
      <c r="P255" s="6">
        <v>9.4</v>
      </c>
      <c r="Q255" s="6">
        <v>11.23</v>
      </c>
      <c r="R255" s="6">
        <v>10.26</v>
      </c>
      <c r="S255" s="6">
        <v>9.73</v>
      </c>
      <c r="T255" s="6">
        <v>10.81</v>
      </c>
      <c r="U255" s="6">
        <v>10.77</v>
      </c>
      <c r="V255" s="6">
        <v>9.93</v>
      </c>
      <c r="W255" s="6">
        <v>11.12</v>
      </c>
      <c r="X255" s="6">
        <v>10.69</v>
      </c>
      <c r="Y255" s="6">
        <v>10.029999999999999</v>
      </c>
      <c r="Z255" s="6">
        <v>10.11</v>
      </c>
      <c r="AA255" s="6">
        <v>10.34</v>
      </c>
      <c r="AB255" s="6">
        <v>11.64</v>
      </c>
      <c r="AC255" s="6">
        <v>10.59</v>
      </c>
      <c r="AD255" s="6">
        <v>10.57</v>
      </c>
      <c r="AE255" s="6">
        <v>11.42</v>
      </c>
      <c r="AF255" s="6">
        <v>10.91</v>
      </c>
      <c r="AG255" s="6">
        <v>10.51</v>
      </c>
      <c r="AH255" s="6">
        <v>10.15</v>
      </c>
      <c r="AI255" s="6">
        <v>9.6199999999999992</v>
      </c>
      <c r="AJ255" s="6">
        <v>10.77</v>
      </c>
      <c r="AK255" s="6">
        <v>11.45</v>
      </c>
      <c r="AL255" s="6">
        <v>10.9</v>
      </c>
      <c r="AM255" s="6">
        <v>10.78</v>
      </c>
      <c r="AN255" s="6">
        <v>10.26</v>
      </c>
      <c r="AO255" s="6">
        <v>11.49</v>
      </c>
      <c r="AP255" s="6">
        <v>11.2</v>
      </c>
      <c r="AQ255" s="6">
        <v>10.63</v>
      </c>
      <c r="AR255" s="6">
        <v>10.47</v>
      </c>
      <c r="AS255" s="6">
        <v>10.37</v>
      </c>
      <c r="AT255" s="6">
        <v>10.55</v>
      </c>
      <c r="AU255" s="6">
        <v>10.7</v>
      </c>
      <c r="AV255" s="6">
        <v>11.11</v>
      </c>
      <c r="AW255" s="6">
        <v>10.71</v>
      </c>
      <c r="AX255" s="6">
        <v>8.7200000000000006</v>
      </c>
      <c r="AY255" s="6">
        <v>10.06</v>
      </c>
      <c r="AZ255" s="6">
        <v>11.16</v>
      </c>
      <c r="BA255" s="6">
        <v>10.45</v>
      </c>
      <c r="BB255" s="6">
        <v>10.24</v>
      </c>
      <c r="BC255" s="6">
        <f>10.88+0.43</f>
        <v>11.31</v>
      </c>
      <c r="BD255" s="6">
        <v>10.09</v>
      </c>
      <c r="BE255" s="6">
        <v>10.82</v>
      </c>
      <c r="BF255" s="6">
        <v>9.14</v>
      </c>
      <c r="BG255" s="6">
        <v>10.95</v>
      </c>
      <c r="BH255" s="6">
        <v>10.7</v>
      </c>
      <c r="BI255" s="6">
        <v>10.09</v>
      </c>
      <c r="BJ255" s="6">
        <v>8.99</v>
      </c>
      <c r="BK255" s="6">
        <v>10.68</v>
      </c>
      <c r="BL255" s="6">
        <v>10.74</v>
      </c>
      <c r="BM255" s="6">
        <v>10.61</v>
      </c>
      <c r="BN255" s="6">
        <v>9.5399999999999991</v>
      </c>
      <c r="BO255" s="6">
        <v>10.65</v>
      </c>
      <c r="BP255" s="6">
        <v>11</v>
      </c>
      <c r="BQ255" s="6">
        <v>10.16</v>
      </c>
      <c r="BR255" s="6">
        <v>9.14</v>
      </c>
      <c r="BS255" s="6">
        <v>10.68</v>
      </c>
      <c r="BT255" s="6">
        <v>10.130000000000001</v>
      </c>
      <c r="BU255" s="6">
        <v>10.73</v>
      </c>
      <c r="BV255" s="6">
        <v>10.049999999999999</v>
      </c>
      <c r="BW255" s="6">
        <v>10.39</v>
      </c>
      <c r="BX255" s="6">
        <v>10.379999999999999</v>
      </c>
      <c r="BY255" s="6">
        <v>10.79</v>
      </c>
      <c r="BZ255" s="6">
        <v>10.459999999999999</v>
      </c>
      <c r="CA255" s="6">
        <v>12.39</v>
      </c>
      <c r="CB255" s="6">
        <v>10.85</v>
      </c>
      <c r="CC255" s="6">
        <v>9.6</v>
      </c>
      <c r="CD255" s="6">
        <v>11.31</v>
      </c>
      <c r="CE255" s="6">
        <v>11.66</v>
      </c>
      <c r="CF255" s="6">
        <v>8.83</v>
      </c>
      <c r="CG255" s="6">
        <v>9.23</v>
      </c>
      <c r="CH255" s="6"/>
    </row>
    <row r="256" spans="1:86" ht="15.75" customHeight="1" x14ac:dyDescent="0.25">
      <c r="A256" s="4">
        <v>254</v>
      </c>
      <c r="B256" s="2"/>
      <c r="C256" s="4">
        <v>11</v>
      </c>
      <c r="D256" s="6">
        <v>11.78</v>
      </c>
      <c r="E256" s="6">
        <v>11.03</v>
      </c>
      <c r="F256" s="6">
        <v>11.23</v>
      </c>
      <c r="G256" s="6">
        <v>11.43</v>
      </c>
      <c r="H256" s="6">
        <v>9.8800000000000008</v>
      </c>
      <c r="I256" s="6">
        <v>9.7799999999999994</v>
      </c>
      <c r="J256" s="6">
        <v>10.98</v>
      </c>
      <c r="K256" s="6">
        <v>10.88</v>
      </c>
      <c r="L256" s="6">
        <v>11.63</v>
      </c>
      <c r="M256" s="6">
        <v>10.73</v>
      </c>
      <c r="N256" s="6">
        <v>10.78</v>
      </c>
      <c r="O256" s="6">
        <v>11.48</v>
      </c>
      <c r="P256" s="6">
        <v>9.43</v>
      </c>
      <c r="Q256" s="6">
        <v>11.28</v>
      </c>
      <c r="R256" s="6">
        <v>10.33</v>
      </c>
      <c r="S256" s="6">
        <v>9.68</v>
      </c>
      <c r="T256" s="6">
        <v>10.78</v>
      </c>
      <c r="U256" s="6">
        <v>10.75</v>
      </c>
      <c r="V256" s="6">
        <v>9.81</v>
      </c>
      <c r="W256" s="6">
        <v>11.12</v>
      </c>
      <c r="X256" s="6">
        <v>10.63</v>
      </c>
      <c r="Y256" s="6">
        <v>9.98</v>
      </c>
      <c r="Z256" s="6">
        <v>10.050000000000001</v>
      </c>
      <c r="AA256" s="6">
        <v>10.31</v>
      </c>
      <c r="AB256" s="6">
        <v>11.63</v>
      </c>
      <c r="AC256" s="6">
        <v>10.55</v>
      </c>
      <c r="AD256" s="6">
        <v>10.56</v>
      </c>
      <c r="AE256" s="6">
        <v>11.41</v>
      </c>
      <c r="AF256" s="6">
        <v>10.87</v>
      </c>
      <c r="AG256" s="6">
        <v>10.53</v>
      </c>
      <c r="AH256" s="6">
        <v>10.210000000000001</v>
      </c>
      <c r="AI256" s="6">
        <v>9.6199999999999992</v>
      </c>
      <c r="AJ256" s="6">
        <v>10.75</v>
      </c>
      <c r="AK256" s="6">
        <v>11.39</v>
      </c>
      <c r="AL256" s="6">
        <v>10.7</v>
      </c>
      <c r="AM256" s="6">
        <v>10.75</v>
      </c>
      <c r="AN256" s="6">
        <v>10.23</v>
      </c>
      <c r="AO256" s="6">
        <v>11.46</v>
      </c>
      <c r="AP256" s="6">
        <v>11.12</v>
      </c>
      <c r="AQ256" s="6">
        <v>10.66</v>
      </c>
      <c r="AR256" s="6">
        <v>10.47</v>
      </c>
      <c r="AS256" s="6">
        <v>10.4</v>
      </c>
      <c r="AT256" s="6">
        <v>10.57</v>
      </c>
      <c r="AU256" s="6">
        <v>10.66</v>
      </c>
      <c r="AV256" s="6">
        <v>11.09</v>
      </c>
      <c r="AW256" s="6">
        <v>10.69</v>
      </c>
      <c r="AX256" s="6">
        <v>8.64</v>
      </c>
      <c r="AY256" s="6">
        <v>10.039999999999999</v>
      </c>
      <c r="AZ256" s="6">
        <v>11.07</v>
      </c>
      <c r="BA256" s="6">
        <v>10.43</v>
      </c>
      <c r="BB256" s="6">
        <v>10.19</v>
      </c>
      <c r="BC256" s="6">
        <f>10.95+0.43</f>
        <v>11.379999999999999</v>
      </c>
      <c r="BD256" s="6">
        <v>10.029999999999999</v>
      </c>
      <c r="BE256" s="6">
        <v>10.76</v>
      </c>
      <c r="BF256" s="6">
        <v>9.08</v>
      </c>
      <c r="BG256" s="6">
        <v>10.88</v>
      </c>
      <c r="BH256" s="6">
        <v>10.6</v>
      </c>
      <c r="BI256" s="6">
        <v>10.210000000000001</v>
      </c>
      <c r="BJ256" s="6">
        <v>9.0399999999999991</v>
      </c>
      <c r="BK256" s="6">
        <v>10.63</v>
      </c>
      <c r="BL256" s="6">
        <v>10.72</v>
      </c>
      <c r="BM256" s="6">
        <v>10.59</v>
      </c>
      <c r="BN256" s="6">
        <v>9.4499999999999993</v>
      </c>
      <c r="BO256" s="6">
        <v>10.6</v>
      </c>
      <c r="BP256" s="6">
        <v>10.9</v>
      </c>
      <c r="BQ256" s="6">
        <v>10.029999999999999</v>
      </c>
      <c r="BR256" s="6">
        <v>9.11</v>
      </c>
      <c r="BS256" s="6">
        <v>10.61</v>
      </c>
      <c r="BT256" s="6">
        <v>10.08</v>
      </c>
      <c r="BU256" s="6">
        <v>10.71</v>
      </c>
      <c r="BV256" s="6">
        <v>10.07</v>
      </c>
      <c r="BW256" s="6">
        <v>10.36</v>
      </c>
      <c r="BX256" s="6">
        <v>10.4</v>
      </c>
      <c r="BY256" s="6">
        <v>10.79</v>
      </c>
      <c r="BZ256" s="6">
        <v>10.45</v>
      </c>
      <c r="CA256" s="6">
        <v>12.35</v>
      </c>
      <c r="CB256" s="6">
        <v>10.86</v>
      </c>
      <c r="CC256" s="6">
        <v>9.4</v>
      </c>
      <c r="CD256" s="6">
        <v>11.16</v>
      </c>
      <c r="CE256" s="6">
        <v>11.61</v>
      </c>
      <c r="CF256" s="6">
        <v>8.75</v>
      </c>
      <c r="CG256" s="6">
        <v>9.16</v>
      </c>
      <c r="CH256" s="6"/>
    </row>
    <row r="257" spans="1:86" ht="15.75" customHeight="1" x14ac:dyDescent="0.25">
      <c r="A257" s="4">
        <v>255</v>
      </c>
      <c r="B257" s="2"/>
      <c r="C257" s="4">
        <v>12</v>
      </c>
      <c r="D257" s="6">
        <v>11.73</v>
      </c>
      <c r="E257" s="6">
        <v>11.03</v>
      </c>
      <c r="F257" s="6">
        <v>11.23</v>
      </c>
      <c r="G257" s="6">
        <v>11.43</v>
      </c>
      <c r="H257" s="6">
        <v>9.93</v>
      </c>
      <c r="I257" s="6">
        <v>9.68</v>
      </c>
      <c r="J257" s="6">
        <v>11.03</v>
      </c>
      <c r="K257" s="6">
        <v>10.73</v>
      </c>
      <c r="L257" s="6">
        <v>11.58</v>
      </c>
      <c r="M257" s="6">
        <v>10.68</v>
      </c>
      <c r="N257" s="6">
        <v>10.73</v>
      </c>
      <c r="O257" s="6">
        <v>11.43</v>
      </c>
      <c r="P257" s="6">
        <v>9.41</v>
      </c>
      <c r="Q257" s="6">
        <v>11.3</v>
      </c>
      <c r="R257" s="6">
        <v>10.23</v>
      </c>
      <c r="S257" s="6">
        <v>9.6300000000000008</v>
      </c>
      <c r="T257" s="6">
        <v>10.73</v>
      </c>
      <c r="U257" s="6">
        <v>10.75</v>
      </c>
      <c r="V257" s="6">
        <v>9.6999999999999993</v>
      </c>
      <c r="W257" s="6">
        <v>11.13</v>
      </c>
      <c r="X257" s="6">
        <v>10.63</v>
      </c>
      <c r="Y257" s="6">
        <v>9.93</v>
      </c>
      <c r="Z257" s="6">
        <v>9.98</v>
      </c>
      <c r="AA257" s="6">
        <v>10.3</v>
      </c>
      <c r="AB257" s="6">
        <v>11.59</v>
      </c>
      <c r="AC257" s="6">
        <v>10.54</v>
      </c>
      <c r="AD257" s="6">
        <v>10.56</v>
      </c>
      <c r="AE257" s="6">
        <v>11.4</v>
      </c>
      <c r="AF257" s="6">
        <v>10.77</v>
      </c>
      <c r="AG257" s="6">
        <v>10.29</v>
      </c>
      <c r="AH257" s="6">
        <v>10.27</v>
      </c>
      <c r="AI257" s="6">
        <v>9.64</v>
      </c>
      <c r="AJ257" s="6">
        <v>10.69</v>
      </c>
      <c r="AK257" s="6">
        <v>11.29</v>
      </c>
      <c r="AL257" s="6">
        <v>10.69</v>
      </c>
      <c r="AM257" s="6">
        <v>10.69</v>
      </c>
      <c r="AN257" s="6">
        <v>10.210000000000001</v>
      </c>
      <c r="AO257" s="6">
        <v>11.37</v>
      </c>
      <c r="AP257" s="6">
        <v>11.02</v>
      </c>
      <c r="AQ257" s="6">
        <v>10.73</v>
      </c>
      <c r="AR257" s="6">
        <v>10.45</v>
      </c>
      <c r="AS257" s="6">
        <v>10.4</v>
      </c>
      <c r="AT257" s="6">
        <v>10.59</v>
      </c>
      <c r="AU257" s="6">
        <v>10.58</v>
      </c>
      <c r="AV257" s="6">
        <v>11.01</v>
      </c>
      <c r="AW257" s="6">
        <v>10.66</v>
      </c>
      <c r="AX257" s="6">
        <v>8.6300000000000008</v>
      </c>
      <c r="AY257" s="6">
        <v>10.029999999999999</v>
      </c>
      <c r="AZ257" s="6">
        <v>10.97</v>
      </c>
      <c r="BA257" s="6">
        <v>10.37</v>
      </c>
      <c r="BB257" s="6">
        <v>10.15</v>
      </c>
      <c r="BC257" s="6">
        <f>10.9+0.43</f>
        <v>11.33</v>
      </c>
      <c r="BD257" s="6">
        <v>10.029999999999999</v>
      </c>
      <c r="BE257" s="6">
        <v>10.73</v>
      </c>
      <c r="BF257" s="6">
        <v>8.9600000000000009</v>
      </c>
      <c r="BG257" s="6">
        <v>10.79</v>
      </c>
      <c r="BH257" s="6">
        <v>10.58</v>
      </c>
      <c r="BI257" s="6">
        <v>10.3</v>
      </c>
      <c r="BJ257" s="6">
        <v>8.99</v>
      </c>
      <c r="BK257" s="6">
        <v>10.59</v>
      </c>
      <c r="BL257" s="6">
        <v>10.71</v>
      </c>
      <c r="BM257" s="6">
        <v>10.55</v>
      </c>
      <c r="BN257" s="6">
        <v>9.4</v>
      </c>
      <c r="BO257" s="6">
        <v>10.57</v>
      </c>
      <c r="BP257" s="6">
        <v>10.91</v>
      </c>
      <c r="BQ257" s="6">
        <v>9.98</v>
      </c>
      <c r="BR257" s="6">
        <v>9.07</v>
      </c>
      <c r="BS257" s="6">
        <v>10.64</v>
      </c>
      <c r="BT257" s="6">
        <v>10</v>
      </c>
      <c r="BU257" s="6">
        <v>10.71</v>
      </c>
      <c r="BV257" s="6">
        <v>10.129999999999999</v>
      </c>
      <c r="BW257" s="6">
        <v>10.32</v>
      </c>
      <c r="BX257" s="6">
        <v>10.375999999999999</v>
      </c>
      <c r="BY257" s="6">
        <v>10.75</v>
      </c>
      <c r="BZ257" s="6">
        <v>10.25</v>
      </c>
      <c r="CA257" s="6">
        <v>12.32</v>
      </c>
      <c r="CB257" s="6">
        <v>10.84</v>
      </c>
      <c r="CC257" s="6">
        <v>9.24</v>
      </c>
      <c r="CD257" s="6">
        <v>11.1</v>
      </c>
      <c r="CE257" s="6">
        <v>11.59</v>
      </c>
      <c r="CF257" s="6">
        <v>8.64</v>
      </c>
      <c r="CG257" s="6">
        <v>9.06</v>
      </c>
      <c r="CH257" s="6"/>
    </row>
    <row r="258" spans="1:86" ht="15.75" customHeight="1" x14ac:dyDescent="0.25">
      <c r="A258" s="4">
        <v>256</v>
      </c>
      <c r="B258" s="2"/>
      <c r="C258" s="4">
        <v>13</v>
      </c>
      <c r="D258" s="6">
        <v>11.68</v>
      </c>
      <c r="E258" s="6">
        <v>10.98</v>
      </c>
      <c r="F258" s="6">
        <v>11.23</v>
      </c>
      <c r="G258" s="6">
        <v>11.43</v>
      </c>
      <c r="H258" s="6">
        <v>9.93</v>
      </c>
      <c r="I258" s="6">
        <v>9.5299999999999994</v>
      </c>
      <c r="J258" s="6">
        <v>11.08</v>
      </c>
      <c r="K258" s="6">
        <v>10.63</v>
      </c>
      <c r="L258" s="6">
        <v>11.43</v>
      </c>
      <c r="M258" s="6">
        <v>10.63</v>
      </c>
      <c r="N258" s="6">
        <v>10.68</v>
      </c>
      <c r="O258" s="6">
        <v>11.43</v>
      </c>
      <c r="P258" s="6">
        <v>9.41</v>
      </c>
      <c r="Q258" s="6">
        <v>11.31</v>
      </c>
      <c r="R258" s="6">
        <v>10.18</v>
      </c>
      <c r="S258" s="6">
        <v>9.43</v>
      </c>
      <c r="T258" s="6">
        <v>10.73</v>
      </c>
      <c r="U258" s="6">
        <v>10.73</v>
      </c>
      <c r="V258" s="6">
        <v>9.6300000000000008</v>
      </c>
      <c r="W258" s="6">
        <v>11.13</v>
      </c>
      <c r="X258" s="6">
        <v>10.63</v>
      </c>
      <c r="Y258" s="6">
        <v>9.8800000000000008</v>
      </c>
      <c r="Z258" s="6">
        <v>9.8800000000000008</v>
      </c>
      <c r="AA258" s="6">
        <v>10.33</v>
      </c>
      <c r="AB258" s="6">
        <v>11.55</v>
      </c>
      <c r="AC258" s="6">
        <v>10.53</v>
      </c>
      <c r="AD258" s="6">
        <v>10.56</v>
      </c>
      <c r="AE258" s="6">
        <v>11.22</v>
      </c>
      <c r="AF258" s="6">
        <v>10.7</v>
      </c>
      <c r="AG258" s="6">
        <v>10.24</v>
      </c>
      <c r="AH258" s="6">
        <v>10.29</v>
      </c>
      <c r="AI258" s="6">
        <v>9.65</v>
      </c>
      <c r="AJ258" s="6">
        <v>10.67</v>
      </c>
      <c r="AK258" s="6">
        <v>11.18</v>
      </c>
      <c r="AL258" s="6">
        <v>10.77</v>
      </c>
      <c r="AM258" s="6">
        <v>10.56</v>
      </c>
      <c r="AN258" s="6">
        <v>10.16</v>
      </c>
      <c r="AO258" s="6">
        <v>11.33</v>
      </c>
      <c r="AP258" s="6">
        <v>10.98</v>
      </c>
      <c r="AQ258" s="6">
        <v>10.6</v>
      </c>
      <c r="AR258" s="6">
        <v>10.48</v>
      </c>
      <c r="AS258" s="6">
        <v>10.37</v>
      </c>
      <c r="AT258" s="6">
        <v>10.62</v>
      </c>
      <c r="AU258" s="6">
        <v>10.53</v>
      </c>
      <c r="AV258" s="6">
        <v>10.88</v>
      </c>
      <c r="AW258" s="6">
        <v>10.64</v>
      </c>
      <c r="AX258" s="6">
        <v>8.6300000000000008</v>
      </c>
      <c r="AY258" s="6">
        <v>9.98</v>
      </c>
      <c r="AZ258" s="6">
        <v>10.93</v>
      </c>
      <c r="BA258" s="6">
        <v>10.31</v>
      </c>
      <c r="BB258" s="6">
        <v>10.08</v>
      </c>
      <c r="BC258" s="6">
        <f>11.04+0.43</f>
        <v>11.469999999999999</v>
      </c>
      <c r="BD258" s="6">
        <v>9.98</v>
      </c>
      <c r="BE258" s="6">
        <v>10.73</v>
      </c>
      <c r="BF258" s="6">
        <v>8.8699999999999992</v>
      </c>
      <c r="BG258" s="6">
        <v>10.7</v>
      </c>
      <c r="BH258" s="6">
        <v>10.57</v>
      </c>
      <c r="BI258" s="6">
        <v>10.220000000000001</v>
      </c>
      <c r="BJ258" s="6">
        <v>8.9499999999999993</v>
      </c>
      <c r="BK258" s="6">
        <v>10.58</v>
      </c>
      <c r="BL258" s="6">
        <v>10.63</v>
      </c>
      <c r="BM258" s="6">
        <v>10.52</v>
      </c>
      <c r="BN258" s="6">
        <v>9.3800000000000008</v>
      </c>
      <c r="BO258" s="6">
        <v>10.56</v>
      </c>
      <c r="BP258" s="6">
        <v>10.79</v>
      </c>
      <c r="BQ258" s="6">
        <v>9.93</v>
      </c>
      <c r="BR258" s="6">
        <v>9.0500000000000007</v>
      </c>
      <c r="BS258" s="6">
        <v>10.63</v>
      </c>
      <c r="BT258" s="6">
        <v>10.050000000000001</v>
      </c>
      <c r="BU258" s="6">
        <v>10.73</v>
      </c>
      <c r="BV258" s="6">
        <v>10.199999999999999</v>
      </c>
      <c r="BW258" s="6">
        <v>10.29</v>
      </c>
      <c r="BX258" s="6">
        <v>10.298999999999999</v>
      </c>
      <c r="BY258" s="6">
        <v>10.76</v>
      </c>
      <c r="BZ258" s="6">
        <v>10.25</v>
      </c>
      <c r="CA258" s="6">
        <v>12.12</v>
      </c>
      <c r="CB258" s="6">
        <v>10.629999999999999</v>
      </c>
      <c r="CC258" s="6">
        <v>9.27</v>
      </c>
      <c r="CD258" s="6">
        <v>11.049999999999999</v>
      </c>
      <c r="CE258" s="6">
        <v>11.52</v>
      </c>
      <c r="CF258" s="6">
        <v>8.5</v>
      </c>
      <c r="CG258" s="6">
        <v>8.9499999999999993</v>
      </c>
      <c r="CH258" s="6"/>
    </row>
    <row r="259" spans="1:86" ht="15.75" customHeight="1" x14ac:dyDescent="0.25">
      <c r="A259" s="4">
        <v>257</v>
      </c>
      <c r="B259" s="2"/>
      <c r="C259" s="4">
        <v>14</v>
      </c>
      <c r="D259" s="6">
        <v>11.53</v>
      </c>
      <c r="E259" s="6">
        <v>10.93</v>
      </c>
      <c r="F259" s="6">
        <v>11.23</v>
      </c>
      <c r="G259" s="6">
        <v>11.28</v>
      </c>
      <c r="H259" s="6">
        <v>9.93</v>
      </c>
      <c r="I259" s="6">
        <v>9.43</v>
      </c>
      <c r="J259" s="6">
        <v>11.13</v>
      </c>
      <c r="K259" s="6">
        <v>10.53</v>
      </c>
      <c r="L259" s="6">
        <v>11.38</v>
      </c>
      <c r="M259" s="6">
        <v>10.58</v>
      </c>
      <c r="N259" s="6">
        <v>10.63</v>
      </c>
      <c r="O259" s="6">
        <v>11.4</v>
      </c>
      <c r="P259" s="6">
        <v>9.41</v>
      </c>
      <c r="Q259" s="6">
        <v>11.26</v>
      </c>
      <c r="R259" s="6">
        <v>10.029999999999999</v>
      </c>
      <c r="S259" s="6">
        <v>9.43</v>
      </c>
      <c r="T259" s="6">
        <v>10.68</v>
      </c>
      <c r="U259" s="6">
        <v>10.7</v>
      </c>
      <c r="V259" s="6">
        <v>9.51</v>
      </c>
      <c r="W259" s="6">
        <v>11.13</v>
      </c>
      <c r="X259" s="6">
        <v>10.65</v>
      </c>
      <c r="Y259" s="6">
        <v>9.85</v>
      </c>
      <c r="Z259" s="6">
        <v>9.83</v>
      </c>
      <c r="AA259" s="6">
        <v>10.31</v>
      </c>
      <c r="AB259" s="6">
        <v>11.53</v>
      </c>
      <c r="AC259" s="6">
        <v>10.57</v>
      </c>
      <c r="AD259" s="6">
        <v>10.55</v>
      </c>
      <c r="AE259" s="6">
        <v>10.98</v>
      </c>
      <c r="AF259" s="6">
        <v>10.65</v>
      </c>
      <c r="AG259" s="6">
        <v>10.24</v>
      </c>
      <c r="AH259" s="6">
        <v>10.27</v>
      </c>
      <c r="AI259" s="6">
        <v>9.67</v>
      </c>
      <c r="AJ259" s="6">
        <v>10.67</v>
      </c>
      <c r="AK259" s="6">
        <v>11.12</v>
      </c>
      <c r="AL259" s="6">
        <v>10.76</v>
      </c>
      <c r="AM259" s="6">
        <v>10.48</v>
      </c>
      <c r="AN259" s="6">
        <v>10.11</v>
      </c>
      <c r="AO259" s="6">
        <v>11.28</v>
      </c>
      <c r="AP259" s="6">
        <v>11</v>
      </c>
      <c r="AQ259" s="6">
        <v>10.45</v>
      </c>
      <c r="AR259" s="6">
        <v>10.48</v>
      </c>
      <c r="AS259" s="6">
        <v>10.34</v>
      </c>
      <c r="AT259" s="6">
        <v>10.63</v>
      </c>
      <c r="AU259" s="6">
        <v>10.48</v>
      </c>
      <c r="AV259" s="6">
        <v>10.8</v>
      </c>
      <c r="AW259" s="6">
        <v>10.65</v>
      </c>
      <c r="AX259" s="6">
        <v>8.58</v>
      </c>
      <c r="AY259" s="6">
        <v>9.93</v>
      </c>
      <c r="AZ259" s="6">
        <v>10.88</v>
      </c>
      <c r="BA259" s="6">
        <v>10.26</v>
      </c>
      <c r="BB259" s="6">
        <v>10.18</v>
      </c>
      <c r="BC259" s="6">
        <f>11+0.43</f>
        <v>11.43</v>
      </c>
      <c r="BD259" s="6">
        <v>9.89</v>
      </c>
      <c r="BE259" s="6">
        <v>10.61</v>
      </c>
      <c r="BF259" s="6">
        <v>8.81</v>
      </c>
      <c r="BG259" s="6">
        <v>10.68</v>
      </c>
      <c r="BH259" s="6">
        <v>10.59</v>
      </c>
      <c r="BI259" s="6">
        <v>10.17</v>
      </c>
      <c r="BJ259" s="6">
        <v>8.91</v>
      </c>
      <c r="BK259" s="6">
        <v>10.56</v>
      </c>
      <c r="BL259" s="6">
        <v>10.58</v>
      </c>
      <c r="BM259" s="6">
        <v>10.52</v>
      </c>
      <c r="BN259" s="6">
        <v>9.35</v>
      </c>
      <c r="BO259" s="6">
        <v>10.51</v>
      </c>
      <c r="BP259" s="6">
        <v>10.81</v>
      </c>
      <c r="BQ259" s="6">
        <v>9.94</v>
      </c>
      <c r="BR259" s="6">
        <v>8.9</v>
      </c>
      <c r="BS259" s="6">
        <v>10.63</v>
      </c>
      <c r="BT259" s="6">
        <v>10.029999999999999</v>
      </c>
      <c r="BU259" s="6">
        <v>10.82</v>
      </c>
      <c r="BV259" s="6">
        <v>10.18</v>
      </c>
      <c r="BW259" s="6">
        <v>10.23</v>
      </c>
      <c r="BX259" s="6">
        <v>10.28</v>
      </c>
      <c r="BY259" s="6">
        <v>10.68</v>
      </c>
      <c r="BZ259" s="6">
        <v>10.19</v>
      </c>
      <c r="CA259" s="6">
        <v>12.29</v>
      </c>
      <c r="CB259" s="6">
        <v>10.69</v>
      </c>
      <c r="CC259" s="6">
        <v>9.14</v>
      </c>
      <c r="CD259" s="6">
        <v>10.92</v>
      </c>
      <c r="CE259" s="6">
        <v>11.44</v>
      </c>
      <c r="CF259" s="6">
        <v>8.43</v>
      </c>
      <c r="CG259" s="6">
        <v>8.85</v>
      </c>
      <c r="CH259" s="6"/>
    </row>
    <row r="260" spans="1:86" ht="15.75" customHeight="1" x14ac:dyDescent="0.25">
      <c r="A260" s="4">
        <v>258</v>
      </c>
      <c r="B260" s="2"/>
      <c r="C260" s="4">
        <v>15</v>
      </c>
      <c r="D260" s="6">
        <v>11.43</v>
      </c>
      <c r="E260" s="6">
        <v>10.88</v>
      </c>
      <c r="F260" s="6">
        <v>11.13</v>
      </c>
      <c r="G260" s="6">
        <v>11.38</v>
      </c>
      <c r="H260" s="6">
        <v>9.93</v>
      </c>
      <c r="I260" s="6">
        <v>9.43</v>
      </c>
      <c r="J260" s="6">
        <v>11.13</v>
      </c>
      <c r="K260" s="6">
        <v>10.38</v>
      </c>
      <c r="L260" s="6">
        <v>11.38</v>
      </c>
      <c r="M260" s="6">
        <v>10.53</v>
      </c>
      <c r="N260" s="6">
        <v>10.53</v>
      </c>
      <c r="O260" s="6">
        <v>11.31</v>
      </c>
      <c r="P260" s="6">
        <v>9.4700000000000006</v>
      </c>
      <c r="Q260" s="6">
        <v>11.2</v>
      </c>
      <c r="R260" s="6">
        <v>9.98</v>
      </c>
      <c r="S260" s="6">
        <v>9.3800000000000008</v>
      </c>
      <c r="T260" s="6">
        <v>10.63</v>
      </c>
      <c r="U260" s="6">
        <v>10.63</v>
      </c>
      <c r="V260" s="6">
        <v>9.43</v>
      </c>
      <c r="W260" s="6">
        <v>11.23</v>
      </c>
      <c r="X260" s="6">
        <v>10.65</v>
      </c>
      <c r="Y260" s="6">
        <v>9.85</v>
      </c>
      <c r="Z260" s="6">
        <v>9.75</v>
      </c>
      <c r="AA260" s="6">
        <v>10.3</v>
      </c>
      <c r="AB260" s="6">
        <v>11.48</v>
      </c>
      <c r="AC260" s="6">
        <v>10.64</v>
      </c>
      <c r="AD260" s="6">
        <v>10.53</v>
      </c>
      <c r="AE260" s="6">
        <v>10.94</v>
      </c>
      <c r="AF260" s="6">
        <v>10.61</v>
      </c>
      <c r="AG260" s="6">
        <v>10.26</v>
      </c>
      <c r="AH260" s="6">
        <v>10.33</v>
      </c>
      <c r="AI260" s="6">
        <v>9.67</v>
      </c>
      <c r="AJ260" s="6">
        <v>10.61</v>
      </c>
      <c r="AK260" s="6">
        <v>11.05</v>
      </c>
      <c r="AL260" s="6">
        <v>10.73</v>
      </c>
      <c r="AM260" s="6">
        <v>10.39</v>
      </c>
      <c r="AN260" s="6">
        <v>10.050000000000001</v>
      </c>
      <c r="AO260" s="6">
        <v>11.23</v>
      </c>
      <c r="AP260" s="6">
        <v>10.98</v>
      </c>
      <c r="AQ260" s="6">
        <v>10.4</v>
      </c>
      <c r="AR260" s="6">
        <v>10.5</v>
      </c>
      <c r="AS260" s="6">
        <v>10.220000000000001</v>
      </c>
      <c r="AT260" s="6">
        <v>10.63</v>
      </c>
      <c r="AU260" s="6">
        <v>10.46</v>
      </c>
      <c r="AV260" s="6">
        <v>10.79</v>
      </c>
      <c r="AW260" s="6">
        <v>10.69</v>
      </c>
      <c r="AX260" s="6">
        <v>8.5299999999999994</v>
      </c>
      <c r="AY260" s="6">
        <v>9.8800000000000008</v>
      </c>
      <c r="AZ260" s="6">
        <v>10.82</v>
      </c>
      <c r="BA260" s="6">
        <v>10.24</v>
      </c>
      <c r="BB260" s="6">
        <v>10.130000000000001</v>
      </c>
      <c r="BC260" s="6">
        <f>10.87+0.43</f>
        <v>11.299999999999999</v>
      </c>
      <c r="BD260" s="6">
        <v>9.83</v>
      </c>
      <c r="BE260" s="6">
        <v>10.73</v>
      </c>
      <c r="BF260" s="6">
        <v>8.7200000000000006</v>
      </c>
      <c r="BG260" s="6">
        <v>10.68</v>
      </c>
      <c r="BH260" s="6">
        <v>10.47</v>
      </c>
      <c r="BI260" s="6">
        <v>10.15</v>
      </c>
      <c r="BJ260" s="6">
        <v>8.83</v>
      </c>
      <c r="BK260" s="6">
        <v>10.56</v>
      </c>
      <c r="BL260" s="6">
        <v>10.57</v>
      </c>
      <c r="BM260" s="6">
        <v>10.52</v>
      </c>
      <c r="BN260" s="6">
        <v>9.25</v>
      </c>
      <c r="BO260" s="6">
        <v>10.44</v>
      </c>
      <c r="BP260" s="6">
        <v>10.81</v>
      </c>
      <c r="BQ260" s="6">
        <v>9.94</v>
      </c>
      <c r="BR260" s="6">
        <v>8.9</v>
      </c>
      <c r="BS260" s="6">
        <v>10.81</v>
      </c>
      <c r="BT260" s="6">
        <v>9.94</v>
      </c>
      <c r="BU260" s="6">
        <v>10.83</v>
      </c>
      <c r="BV260" s="6">
        <v>10.14</v>
      </c>
      <c r="BW260" s="6">
        <v>10.19</v>
      </c>
      <c r="BX260" s="6">
        <v>10.26</v>
      </c>
      <c r="BY260" s="6">
        <v>10.709999999999999</v>
      </c>
      <c r="BZ260" s="6">
        <v>10.33</v>
      </c>
      <c r="CA260" s="6">
        <v>12.17</v>
      </c>
      <c r="CB260" s="6">
        <v>10.73</v>
      </c>
      <c r="CC260" s="6">
        <v>8.7999999999999989</v>
      </c>
      <c r="CD260" s="6">
        <v>10.87</v>
      </c>
      <c r="CE260" s="6">
        <v>11.4</v>
      </c>
      <c r="CF260" s="6">
        <v>8.3699999999999992</v>
      </c>
      <c r="CG260" s="6">
        <v>8.74</v>
      </c>
      <c r="CH260" s="6"/>
    </row>
    <row r="261" spans="1:86" ht="15.75" customHeight="1" x14ac:dyDescent="0.25">
      <c r="A261" s="4">
        <v>259</v>
      </c>
      <c r="B261" s="2"/>
      <c r="C261" s="4">
        <v>16</v>
      </c>
      <c r="D261" s="6">
        <v>11.38</v>
      </c>
      <c r="E261" s="6">
        <v>10.88</v>
      </c>
      <c r="F261" s="6">
        <v>11.03</v>
      </c>
      <c r="G261" s="6">
        <v>11.33</v>
      </c>
      <c r="H261" s="6">
        <v>9.93</v>
      </c>
      <c r="I261" s="6">
        <v>9.33</v>
      </c>
      <c r="J261" s="6">
        <v>11.08</v>
      </c>
      <c r="K261" s="6">
        <v>10.23</v>
      </c>
      <c r="L261" s="6">
        <v>11.28</v>
      </c>
      <c r="M261" s="6">
        <v>10.53</v>
      </c>
      <c r="N261" s="6">
        <v>10.51</v>
      </c>
      <c r="O261" s="6">
        <v>11.21</v>
      </c>
      <c r="P261" s="6">
        <v>9.51</v>
      </c>
      <c r="Q261" s="6">
        <v>11.18</v>
      </c>
      <c r="R261" s="6">
        <v>9.85</v>
      </c>
      <c r="S261" s="6">
        <v>9.33</v>
      </c>
      <c r="T261" s="6">
        <v>10.58</v>
      </c>
      <c r="U261" s="6">
        <v>10.58</v>
      </c>
      <c r="V261" s="6">
        <v>9.35</v>
      </c>
      <c r="W261" s="6">
        <v>11.21</v>
      </c>
      <c r="X261" s="6">
        <v>10.63</v>
      </c>
      <c r="Y261" s="6">
        <v>9.8800000000000008</v>
      </c>
      <c r="Z261" s="6">
        <v>9.7100000000000009</v>
      </c>
      <c r="AA261" s="6">
        <v>10.26</v>
      </c>
      <c r="AB261" s="6">
        <v>11.4</v>
      </c>
      <c r="AC261" s="6">
        <v>10.66</v>
      </c>
      <c r="AD261" s="6">
        <v>10.5</v>
      </c>
      <c r="AE261" s="6">
        <v>10.83</v>
      </c>
      <c r="AF261" s="6">
        <v>10.54</v>
      </c>
      <c r="AG261" s="6">
        <v>10.199999999999999</v>
      </c>
      <c r="AH261" s="6">
        <v>10.43</v>
      </c>
      <c r="AI261" s="6">
        <v>9.74</v>
      </c>
      <c r="AJ261" s="6">
        <v>10.55</v>
      </c>
      <c r="AK261" s="6">
        <v>10.99</v>
      </c>
      <c r="AL261" s="6">
        <v>10.71</v>
      </c>
      <c r="AM261" s="6">
        <v>10.29</v>
      </c>
      <c r="AN261" s="6">
        <v>10.14</v>
      </c>
      <c r="AO261" s="6">
        <v>11.23</v>
      </c>
      <c r="AP261" s="6">
        <v>10.88</v>
      </c>
      <c r="AQ261" s="6">
        <v>10.34</v>
      </c>
      <c r="AR261" s="6">
        <v>10.48</v>
      </c>
      <c r="AS261" s="6">
        <v>10.3</v>
      </c>
      <c r="AT261" s="6">
        <v>10.58</v>
      </c>
      <c r="AU261" s="6">
        <v>10.4</v>
      </c>
      <c r="AV261" s="6">
        <v>10.75</v>
      </c>
      <c r="AW261" s="6">
        <v>10.69</v>
      </c>
      <c r="AX261" s="6">
        <v>8.4499999999999993</v>
      </c>
      <c r="AY261" s="6">
        <v>9.85</v>
      </c>
      <c r="AZ261" s="6">
        <v>10.74</v>
      </c>
      <c r="BA261" s="6">
        <v>10.18</v>
      </c>
      <c r="BB261" s="6">
        <v>10.1</v>
      </c>
      <c r="BC261" s="6">
        <f>10.78+0.43</f>
        <v>11.209999999999999</v>
      </c>
      <c r="BD261" s="6">
        <v>9.7899999999999991</v>
      </c>
      <c r="BE261" s="6">
        <v>10.67</v>
      </c>
      <c r="BF261" s="6">
        <v>8.6199999999999992</v>
      </c>
      <c r="BG261" s="6">
        <v>11.07</v>
      </c>
      <c r="BH261" s="6">
        <v>10.42</v>
      </c>
      <c r="BI261" s="6">
        <v>10.1</v>
      </c>
      <c r="BJ261" s="6">
        <v>8.7899999999999991</v>
      </c>
      <c r="BK261" s="6">
        <v>10.45</v>
      </c>
      <c r="BL261" s="6">
        <v>10.51</v>
      </c>
      <c r="BM261" s="6">
        <v>10.55</v>
      </c>
      <c r="BN261" s="6">
        <v>9.24</v>
      </c>
      <c r="BO261" s="6">
        <v>10.37</v>
      </c>
      <c r="BP261" s="6">
        <v>10.88</v>
      </c>
      <c r="BQ261" s="6">
        <v>9.94</v>
      </c>
      <c r="BR261" s="6">
        <v>8.84</v>
      </c>
      <c r="BS261" s="6">
        <v>10.8</v>
      </c>
      <c r="BT261" s="6">
        <v>9.83</v>
      </c>
      <c r="BU261" s="6">
        <v>10.82</v>
      </c>
      <c r="BV261" s="6">
        <v>9.92</v>
      </c>
      <c r="BW261" s="6">
        <v>10.16</v>
      </c>
      <c r="BX261" s="6">
        <v>10.19</v>
      </c>
      <c r="BY261" s="6">
        <v>10.67</v>
      </c>
      <c r="BZ261" s="6">
        <v>10.41</v>
      </c>
      <c r="CA261" s="6">
        <v>12.23</v>
      </c>
      <c r="CB261" s="6">
        <v>10.7</v>
      </c>
      <c r="CC261" s="6">
        <v>8.59</v>
      </c>
      <c r="CD261" s="6">
        <v>10.76</v>
      </c>
      <c r="CE261" s="6">
        <v>11.36</v>
      </c>
      <c r="CF261" s="6">
        <v>8.32</v>
      </c>
      <c r="CG261" s="6">
        <v>8.65</v>
      </c>
      <c r="CH261" s="6"/>
    </row>
    <row r="262" spans="1:86" ht="15.75" customHeight="1" x14ac:dyDescent="0.25">
      <c r="A262" s="4">
        <v>260</v>
      </c>
      <c r="B262" s="2"/>
      <c r="C262" s="4">
        <v>17</v>
      </c>
      <c r="D262" s="6">
        <v>11.33</v>
      </c>
      <c r="E262" s="6">
        <v>10.93</v>
      </c>
      <c r="F262" s="6">
        <v>10.93</v>
      </c>
      <c r="G262" s="6">
        <v>11.33</v>
      </c>
      <c r="H262" s="6">
        <v>9.93</v>
      </c>
      <c r="I262" s="6">
        <v>9.33</v>
      </c>
      <c r="J262" s="6">
        <v>11.03</v>
      </c>
      <c r="K262" s="6">
        <v>10.130000000000001</v>
      </c>
      <c r="L262" s="6">
        <v>11.28</v>
      </c>
      <c r="M262" s="6">
        <v>10.48</v>
      </c>
      <c r="N262" s="6">
        <v>10.43</v>
      </c>
      <c r="O262" s="6">
        <v>11.13</v>
      </c>
      <c r="P262" s="6">
        <v>9.33</v>
      </c>
      <c r="Q262" s="6">
        <v>11.08</v>
      </c>
      <c r="R262" s="6">
        <v>9.7799999999999994</v>
      </c>
      <c r="S262" s="6">
        <v>9.2799999999999994</v>
      </c>
      <c r="T262" s="6">
        <v>10.58</v>
      </c>
      <c r="U262" s="6">
        <v>10.43</v>
      </c>
      <c r="V262" s="6">
        <v>9.35</v>
      </c>
      <c r="W262" s="6">
        <v>11.15</v>
      </c>
      <c r="X262" s="6">
        <v>10.61</v>
      </c>
      <c r="Y262" s="6">
        <v>9.93</v>
      </c>
      <c r="Z262" s="6">
        <v>9.68</v>
      </c>
      <c r="AA262" s="6">
        <v>10.25</v>
      </c>
      <c r="AB262" s="6">
        <v>11.33</v>
      </c>
      <c r="AC262" s="6">
        <v>10.7</v>
      </c>
      <c r="AD262" s="6">
        <v>10.51</v>
      </c>
      <c r="AE262" s="6">
        <v>10.89</v>
      </c>
      <c r="AF262" s="6">
        <v>10.5</v>
      </c>
      <c r="AG262" s="6">
        <v>10.25</v>
      </c>
      <c r="AH262" s="6">
        <v>10.49</v>
      </c>
      <c r="AI262" s="6">
        <v>9.65</v>
      </c>
      <c r="AJ262" s="6">
        <v>10.41</v>
      </c>
      <c r="AK262" s="6">
        <v>10.89</v>
      </c>
      <c r="AL262" s="6">
        <v>10.67</v>
      </c>
      <c r="AM262" s="6">
        <v>10.17</v>
      </c>
      <c r="AN262" s="6">
        <v>10.25</v>
      </c>
      <c r="AO262" s="6">
        <v>11.27</v>
      </c>
      <c r="AP262" s="6">
        <v>10.81</v>
      </c>
      <c r="AQ262" s="6">
        <v>10.48</v>
      </c>
      <c r="AR262" s="6">
        <v>10.33</v>
      </c>
      <c r="AS262" s="6">
        <v>10.29</v>
      </c>
      <c r="AT262" s="6">
        <v>10.55</v>
      </c>
      <c r="AU262" s="6">
        <v>10.4</v>
      </c>
      <c r="AV262" s="6">
        <v>10.73</v>
      </c>
      <c r="AW262" s="6">
        <v>10.65</v>
      </c>
      <c r="AX262" s="6">
        <v>8.36</v>
      </c>
      <c r="AY262" s="6">
        <v>9.73</v>
      </c>
      <c r="AZ262" s="6">
        <v>10.72</v>
      </c>
      <c r="BA262" s="6">
        <v>10.130000000000001</v>
      </c>
      <c r="BB262" s="6">
        <v>10.130000000000001</v>
      </c>
      <c r="BC262" s="6">
        <f>10.7+0.43</f>
        <v>11.129999999999999</v>
      </c>
      <c r="BD262" s="6">
        <v>9.73</v>
      </c>
      <c r="BE262" s="6">
        <v>10.76</v>
      </c>
      <c r="BF262" s="6">
        <v>8.6199999999999992</v>
      </c>
      <c r="BG262" s="6">
        <v>11.23</v>
      </c>
      <c r="BH262" s="6">
        <v>10.39</v>
      </c>
      <c r="BI262" s="6">
        <v>10.06</v>
      </c>
      <c r="BJ262" s="6">
        <v>8.74</v>
      </c>
      <c r="BK262" s="6">
        <v>10.42</v>
      </c>
      <c r="BL262" s="6">
        <v>10.54</v>
      </c>
      <c r="BM262" s="6">
        <v>10.55</v>
      </c>
      <c r="BN262" s="6">
        <v>9.24</v>
      </c>
      <c r="BO262" s="6">
        <v>10.32</v>
      </c>
      <c r="BP262" s="6">
        <v>10.76</v>
      </c>
      <c r="BQ262" s="6">
        <v>9.84</v>
      </c>
      <c r="BR262" s="6">
        <v>8.81</v>
      </c>
      <c r="BS262" s="6">
        <v>10.73</v>
      </c>
      <c r="BT262" s="6">
        <v>9.75</v>
      </c>
      <c r="BU262" s="6">
        <v>10.82</v>
      </c>
      <c r="BV262" s="6">
        <v>9.7899999999999991</v>
      </c>
      <c r="BW262" s="6">
        <v>10.11</v>
      </c>
      <c r="BX262" s="6">
        <v>10.16</v>
      </c>
      <c r="BY262" s="6">
        <v>10.65</v>
      </c>
      <c r="BZ262" s="6">
        <v>10.35</v>
      </c>
      <c r="CA262" s="6">
        <v>12</v>
      </c>
      <c r="CB262" s="6">
        <v>10.59</v>
      </c>
      <c r="CC262" s="6">
        <v>8.44</v>
      </c>
      <c r="CD262" s="6">
        <v>10.68</v>
      </c>
      <c r="CE262" s="6">
        <v>11.28</v>
      </c>
      <c r="CF262" s="6">
        <v>8.0399999999999991</v>
      </c>
      <c r="CG262" s="6">
        <v>8.57</v>
      </c>
      <c r="CH262" s="6"/>
    </row>
    <row r="263" spans="1:86" ht="15.75" customHeight="1" x14ac:dyDescent="0.25">
      <c r="A263" s="4">
        <v>261</v>
      </c>
      <c r="B263" s="2"/>
      <c r="C263" s="4">
        <v>18</v>
      </c>
      <c r="D263" s="6">
        <v>11.33</v>
      </c>
      <c r="E263" s="6">
        <v>11.03</v>
      </c>
      <c r="F263" s="6">
        <v>10.83</v>
      </c>
      <c r="G263" s="6">
        <v>11.28</v>
      </c>
      <c r="H263" s="6">
        <v>10.029999999999999</v>
      </c>
      <c r="I263" s="6">
        <v>9.23</v>
      </c>
      <c r="J263" s="6">
        <v>10.98</v>
      </c>
      <c r="K263" s="6">
        <v>10.029999999999999</v>
      </c>
      <c r="L263" s="6">
        <v>10.93</v>
      </c>
      <c r="M263" s="6">
        <v>10.38</v>
      </c>
      <c r="N263" s="6">
        <v>10.43</v>
      </c>
      <c r="O263" s="6">
        <v>11.08</v>
      </c>
      <c r="P263" s="6">
        <v>9.2799999999999994</v>
      </c>
      <c r="Q263" s="6">
        <v>10.99</v>
      </c>
      <c r="R263" s="6">
        <v>9.6999999999999993</v>
      </c>
      <c r="S263" s="6">
        <v>9.23</v>
      </c>
      <c r="T263" s="6">
        <v>10.58</v>
      </c>
      <c r="U263" s="6">
        <v>10.43</v>
      </c>
      <c r="V263" s="6">
        <v>9.3000000000000007</v>
      </c>
      <c r="W263" s="6">
        <v>11.03</v>
      </c>
      <c r="X263" s="6">
        <v>10.58</v>
      </c>
      <c r="Y263" s="6">
        <v>9.93</v>
      </c>
      <c r="Z263" s="6">
        <v>9.66</v>
      </c>
      <c r="AA263" s="6">
        <v>10.26</v>
      </c>
      <c r="AB263" s="6">
        <v>11.31</v>
      </c>
      <c r="AC263" s="6">
        <v>10.73</v>
      </c>
      <c r="AD263" s="6">
        <v>10.49</v>
      </c>
      <c r="AE263" s="6">
        <v>10.9</v>
      </c>
      <c r="AF263" s="6">
        <v>10.49</v>
      </c>
      <c r="AG263" s="6">
        <v>10.17</v>
      </c>
      <c r="AH263" s="6">
        <v>10.51</v>
      </c>
      <c r="AI263" s="6">
        <v>9.6199999999999992</v>
      </c>
      <c r="AJ263" s="6">
        <v>10.27</v>
      </c>
      <c r="AK263" s="6">
        <v>10.81</v>
      </c>
      <c r="AL263" s="6">
        <v>10.55</v>
      </c>
      <c r="AM263" s="6">
        <v>10.050000000000001</v>
      </c>
      <c r="AN263" s="6">
        <v>10.29</v>
      </c>
      <c r="AO263" s="6">
        <v>11.23</v>
      </c>
      <c r="AP263" s="6">
        <v>10.79</v>
      </c>
      <c r="AQ263" s="6">
        <v>10.37</v>
      </c>
      <c r="AR263" s="6">
        <v>10.28</v>
      </c>
      <c r="AS263" s="6">
        <v>10.24</v>
      </c>
      <c r="AT263" s="6">
        <v>10.54</v>
      </c>
      <c r="AU263" s="6">
        <v>10.36</v>
      </c>
      <c r="AV263" s="6">
        <v>10.72</v>
      </c>
      <c r="AW263" s="6">
        <v>10.63</v>
      </c>
      <c r="AX263" s="6">
        <v>8.26</v>
      </c>
      <c r="AY263" s="6">
        <v>9.73</v>
      </c>
      <c r="AZ263" s="6">
        <v>10.7</v>
      </c>
      <c r="BA263" s="6">
        <v>10.07</v>
      </c>
      <c r="BB263" s="6">
        <v>10.130000000000001</v>
      </c>
      <c r="BC263" s="6">
        <f>10.65+0.43</f>
        <v>11.08</v>
      </c>
      <c r="BD263" s="6">
        <v>9.58</v>
      </c>
      <c r="BE263" s="6">
        <v>10.76</v>
      </c>
      <c r="BF263" s="6">
        <v>8.5299999999999994</v>
      </c>
      <c r="BG263" s="6">
        <v>11.28</v>
      </c>
      <c r="BH263" s="6">
        <v>10.33</v>
      </c>
      <c r="BI263" s="6">
        <v>10.02</v>
      </c>
      <c r="BJ263" s="6">
        <v>8.77</v>
      </c>
      <c r="BK263" s="6">
        <v>10.39</v>
      </c>
      <c r="BL263" s="6">
        <v>10.49</v>
      </c>
      <c r="BM263" s="6">
        <v>10.51</v>
      </c>
      <c r="BN263" s="6">
        <v>9.2100000000000009</v>
      </c>
      <c r="BO263" s="6">
        <v>10.27</v>
      </c>
      <c r="BP263" s="6">
        <v>10.66</v>
      </c>
      <c r="BQ263" s="6">
        <v>9.77</v>
      </c>
      <c r="BR263" s="6">
        <v>8.66</v>
      </c>
      <c r="BS263" s="6">
        <v>10.58</v>
      </c>
      <c r="BT263" s="6">
        <v>9.66</v>
      </c>
      <c r="BU263" s="6">
        <v>10.59</v>
      </c>
      <c r="BV263" s="6">
        <v>9.76</v>
      </c>
      <c r="BW263" s="6">
        <v>10.08</v>
      </c>
      <c r="BX263" s="6">
        <v>10.15</v>
      </c>
      <c r="BY263" s="6">
        <v>10.629999999999999</v>
      </c>
      <c r="BZ263" s="6">
        <v>9.92</v>
      </c>
      <c r="CA263" s="6">
        <v>11.92</v>
      </c>
      <c r="CB263" s="6">
        <v>10.53</v>
      </c>
      <c r="CC263" s="6">
        <v>8.34</v>
      </c>
      <c r="CD263" s="6">
        <v>10.6</v>
      </c>
      <c r="CE263" s="6">
        <v>11.35</v>
      </c>
      <c r="CF263" s="6">
        <v>7.89</v>
      </c>
      <c r="CG263" s="6">
        <v>8.5299999999999994</v>
      </c>
      <c r="CH263" s="6"/>
    </row>
    <row r="264" spans="1:86" ht="15.75" customHeight="1" x14ac:dyDescent="0.25">
      <c r="A264" s="4">
        <v>262</v>
      </c>
      <c r="B264" s="2"/>
      <c r="C264" s="4">
        <v>19</v>
      </c>
      <c r="D264" s="6">
        <v>11.33</v>
      </c>
      <c r="E264" s="6">
        <v>11.08</v>
      </c>
      <c r="F264" s="6">
        <v>10.78</v>
      </c>
      <c r="G264" s="6">
        <v>11.23</v>
      </c>
      <c r="H264" s="6">
        <v>10.130000000000001</v>
      </c>
      <c r="I264" s="6">
        <v>9.18</v>
      </c>
      <c r="J264" s="6">
        <v>10.93</v>
      </c>
      <c r="K264" s="6">
        <v>9.83</v>
      </c>
      <c r="L264" s="6">
        <v>10.93</v>
      </c>
      <c r="M264" s="6">
        <v>10.33</v>
      </c>
      <c r="N264" s="6">
        <v>10.33</v>
      </c>
      <c r="O264" s="6">
        <v>11.08</v>
      </c>
      <c r="P264" s="6">
        <v>9.23</v>
      </c>
      <c r="Q264" s="6">
        <v>10.9</v>
      </c>
      <c r="R264" s="6">
        <v>9.5</v>
      </c>
      <c r="S264" s="6">
        <v>9.1300000000000008</v>
      </c>
      <c r="T264" s="6">
        <v>10.58</v>
      </c>
      <c r="U264" s="6">
        <v>10.43</v>
      </c>
      <c r="V264" s="6">
        <v>9.1999999999999993</v>
      </c>
      <c r="W264" s="6">
        <v>10.98</v>
      </c>
      <c r="X264" s="6">
        <v>10.55</v>
      </c>
      <c r="Y264" s="6">
        <v>9.89</v>
      </c>
      <c r="Z264" s="6">
        <v>9.64</v>
      </c>
      <c r="AA264" s="6">
        <v>10.29</v>
      </c>
      <c r="AB264" s="6">
        <v>11.28</v>
      </c>
      <c r="AC264" s="6">
        <v>10.72</v>
      </c>
      <c r="AD264" s="6">
        <v>10.48</v>
      </c>
      <c r="AE264" s="6">
        <v>10.82</v>
      </c>
      <c r="AF264" s="6">
        <v>10.47</v>
      </c>
      <c r="AG264" s="6">
        <v>9.94</v>
      </c>
      <c r="AH264" s="6">
        <v>10.45</v>
      </c>
      <c r="AI264" s="6">
        <v>9.58</v>
      </c>
      <c r="AJ264" s="6">
        <v>10.28</v>
      </c>
      <c r="AK264" s="6">
        <v>10.67</v>
      </c>
      <c r="AL264" s="6">
        <v>10.53</v>
      </c>
      <c r="AM264" s="6">
        <v>9.89</v>
      </c>
      <c r="AN264" s="6">
        <v>10.01</v>
      </c>
      <c r="AO264" s="6">
        <v>11.21</v>
      </c>
      <c r="AP264" s="6">
        <v>10.93</v>
      </c>
      <c r="AQ264" s="6">
        <v>10.32</v>
      </c>
      <c r="AR264" s="6">
        <v>10.23</v>
      </c>
      <c r="AS264" s="6">
        <v>10.18</v>
      </c>
      <c r="AT264" s="6">
        <v>10.5</v>
      </c>
      <c r="AU264" s="6">
        <v>10.31</v>
      </c>
      <c r="AV264" s="6">
        <v>10.64</v>
      </c>
      <c r="AW264" s="6">
        <v>10.61</v>
      </c>
      <c r="AX264" s="6">
        <v>8.1999999999999993</v>
      </c>
      <c r="AY264" s="6">
        <v>9.7799999999999994</v>
      </c>
      <c r="AZ264" s="6">
        <v>10.68</v>
      </c>
      <c r="BA264" s="6">
        <v>10.02</v>
      </c>
      <c r="BB264" s="6">
        <v>10.130000000000001</v>
      </c>
      <c r="BC264" s="6">
        <f>10.48+0.43</f>
        <v>10.91</v>
      </c>
      <c r="BD264" s="6">
        <v>9.5299999999999994</v>
      </c>
      <c r="BE264" s="6">
        <v>10.85</v>
      </c>
      <c r="BF264" s="6">
        <v>8.42</v>
      </c>
      <c r="BG264" s="6">
        <v>11.31</v>
      </c>
      <c r="BH264" s="6">
        <v>10.33</v>
      </c>
      <c r="BI264" s="6">
        <v>10</v>
      </c>
      <c r="BJ264" s="6">
        <v>8.74</v>
      </c>
      <c r="BK264" s="6">
        <v>10.37</v>
      </c>
      <c r="BL264" s="6">
        <v>10.45</v>
      </c>
      <c r="BM264" s="6">
        <v>10.47</v>
      </c>
      <c r="BN264" s="6">
        <v>9.17</v>
      </c>
      <c r="BO264" s="6">
        <v>10.199999999999999</v>
      </c>
      <c r="BP264" s="6">
        <v>10.56</v>
      </c>
      <c r="BQ264" s="6">
        <v>9.74</v>
      </c>
      <c r="BR264" s="6">
        <v>8.66</v>
      </c>
      <c r="BS264" s="6">
        <v>10.58</v>
      </c>
      <c r="BT264" s="6">
        <v>9.5500000000000007</v>
      </c>
      <c r="BU264" s="6">
        <v>10.53</v>
      </c>
      <c r="BV264" s="6">
        <v>9.68</v>
      </c>
      <c r="BW264" s="6">
        <v>10.039999999999999</v>
      </c>
      <c r="BX264" s="6">
        <v>10.1</v>
      </c>
      <c r="BY264" s="6">
        <v>10.62</v>
      </c>
      <c r="BZ264" s="6">
        <v>10.01</v>
      </c>
      <c r="CA264" s="6">
        <v>11.84</v>
      </c>
      <c r="CB264" s="6">
        <v>10.459999999999999</v>
      </c>
      <c r="CC264" s="6">
        <v>8.2799999999999994</v>
      </c>
      <c r="CD264" s="6">
        <v>10.59</v>
      </c>
      <c r="CE264" s="6">
        <v>11.27</v>
      </c>
      <c r="CF264" s="6">
        <v>7.76</v>
      </c>
      <c r="CG264" s="6">
        <v>8.42</v>
      </c>
      <c r="CH264" s="6"/>
    </row>
    <row r="265" spans="1:86" ht="15.75" customHeight="1" x14ac:dyDescent="0.25">
      <c r="A265" s="4">
        <v>263</v>
      </c>
      <c r="B265" s="2"/>
      <c r="C265" s="4">
        <v>20</v>
      </c>
      <c r="D265" s="6">
        <v>11.28</v>
      </c>
      <c r="E265" s="6">
        <v>11.08</v>
      </c>
      <c r="F265" s="6">
        <v>10.63</v>
      </c>
      <c r="G265" s="6">
        <v>11.18</v>
      </c>
      <c r="H265" s="6">
        <v>10.130000000000001</v>
      </c>
      <c r="I265" s="6">
        <v>9.08</v>
      </c>
      <c r="J265" s="6">
        <v>10.83</v>
      </c>
      <c r="K265" s="6">
        <v>9.73</v>
      </c>
      <c r="L265" s="6">
        <v>10.93</v>
      </c>
      <c r="M265" s="6">
        <v>10.33</v>
      </c>
      <c r="N265" s="6">
        <v>10.23</v>
      </c>
      <c r="O265" s="6">
        <v>11.13</v>
      </c>
      <c r="P265" s="6">
        <v>9.1300000000000008</v>
      </c>
      <c r="Q265" s="6">
        <v>10.85</v>
      </c>
      <c r="R265" s="6">
        <v>9.5299999999999994</v>
      </c>
      <c r="S265" s="6">
        <v>9.0299999999999994</v>
      </c>
      <c r="T265" s="6">
        <v>10.53</v>
      </c>
      <c r="U265" s="6">
        <v>10.43</v>
      </c>
      <c r="V265" s="6">
        <v>9.1300000000000008</v>
      </c>
      <c r="W265" s="6">
        <v>10.88</v>
      </c>
      <c r="X265" s="6">
        <v>10.54</v>
      </c>
      <c r="Y265" s="6">
        <v>9.85</v>
      </c>
      <c r="Z265" s="6">
        <v>9.61</v>
      </c>
      <c r="AA265" s="6">
        <v>10.31</v>
      </c>
      <c r="AB265" s="6">
        <v>11.21</v>
      </c>
      <c r="AC265" s="6">
        <v>10.69</v>
      </c>
      <c r="AD265" s="6">
        <v>10.39</v>
      </c>
      <c r="AE265" s="6">
        <v>10.64</v>
      </c>
      <c r="AF265" s="6">
        <v>10.47</v>
      </c>
      <c r="AG265" s="6">
        <v>9.83</v>
      </c>
      <c r="AH265" s="6">
        <v>10.42</v>
      </c>
      <c r="AI265" s="6">
        <v>9.66</v>
      </c>
      <c r="AJ265" s="6">
        <v>10.29</v>
      </c>
      <c r="AK265" s="6">
        <v>10.56</v>
      </c>
      <c r="AL265" s="6">
        <v>10.47</v>
      </c>
      <c r="AM265" s="6">
        <v>9.7100000000000009</v>
      </c>
      <c r="AN265" s="6">
        <v>10.09</v>
      </c>
      <c r="AO265" s="6">
        <v>11.03</v>
      </c>
      <c r="AP265" s="6">
        <v>10.95</v>
      </c>
      <c r="AQ265" s="6">
        <v>10.28</v>
      </c>
      <c r="AR265" s="6">
        <v>10.199999999999999</v>
      </c>
      <c r="AS265" s="6">
        <v>10.18</v>
      </c>
      <c r="AT265" s="6">
        <v>10.46</v>
      </c>
      <c r="AU265" s="6">
        <v>10.27</v>
      </c>
      <c r="AV265" s="6">
        <v>10.48</v>
      </c>
      <c r="AW265" s="6">
        <v>10.61</v>
      </c>
      <c r="AX265" s="6">
        <v>8.1300000000000008</v>
      </c>
      <c r="AY265" s="6">
        <v>9.82</v>
      </c>
      <c r="AZ265" s="6">
        <v>10.67</v>
      </c>
      <c r="BA265" s="6">
        <v>9.93</v>
      </c>
      <c r="BB265" s="6">
        <v>10.08</v>
      </c>
      <c r="BC265" s="6">
        <f>10.5+0.43</f>
        <v>10.93</v>
      </c>
      <c r="BD265" s="6">
        <v>9.43</v>
      </c>
      <c r="BE265" s="6">
        <v>10.94</v>
      </c>
      <c r="BF265" s="6">
        <v>8.33</v>
      </c>
      <c r="BG265" s="6">
        <v>11.28</v>
      </c>
      <c r="BH265" s="6">
        <v>10.24</v>
      </c>
      <c r="BI265" s="6">
        <v>9.98</v>
      </c>
      <c r="BJ265" s="6">
        <v>8.65</v>
      </c>
      <c r="BK265" s="6">
        <v>10.32</v>
      </c>
      <c r="BL265" s="6">
        <v>10.39</v>
      </c>
      <c r="BM265" s="6">
        <v>10.35</v>
      </c>
      <c r="BN265" s="6">
        <v>9.1300000000000008</v>
      </c>
      <c r="BO265" s="6">
        <v>10.14</v>
      </c>
      <c r="BP265" s="6">
        <v>10.38</v>
      </c>
      <c r="BQ265" s="6">
        <v>9.6999999999999993</v>
      </c>
      <c r="BR265" s="6">
        <v>8.66</v>
      </c>
      <c r="BS265" s="6">
        <v>10.38</v>
      </c>
      <c r="BT265" s="6">
        <v>9.41</v>
      </c>
      <c r="BU265" s="6">
        <v>10.549999999999999</v>
      </c>
      <c r="BV265" s="6">
        <v>9.6</v>
      </c>
      <c r="BW265" s="6">
        <v>9.99</v>
      </c>
      <c r="BX265" s="6">
        <v>10</v>
      </c>
      <c r="BY265" s="6">
        <v>10.629999999999999</v>
      </c>
      <c r="BZ265" s="6">
        <v>10.08</v>
      </c>
      <c r="CA265" s="6">
        <v>11.65</v>
      </c>
      <c r="CB265" s="6">
        <v>10.45</v>
      </c>
      <c r="CC265" s="6">
        <v>8.1</v>
      </c>
      <c r="CD265" s="6">
        <v>10.54</v>
      </c>
      <c r="CE265" s="6">
        <v>11.18</v>
      </c>
      <c r="CF265" s="6">
        <v>7.61</v>
      </c>
      <c r="CG265" s="6">
        <v>8.34</v>
      </c>
      <c r="CH265" s="6"/>
    </row>
    <row r="266" spans="1:86" ht="15.75" customHeight="1" x14ac:dyDescent="0.25">
      <c r="A266" s="4">
        <v>264</v>
      </c>
      <c r="B266" s="2"/>
      <c r="C266" s="4">
        <v>21</v>
      </c>
      <c r="D266" s="6">
        <v>11.23</v>
      </c>
      <c r="E266" s="6">
        <v>11.03</v>
      </c>
      <c r="F266" s="6">
        <v>10.53</v>
      </c>
      <c r="G266" s="6">
        <v>11.13</v>
      </c>
      <c r="H266" s="6">
        <v>10.130000000000001</v>
      </c>
      <c r="I266" s="6">
        <v>8.93</v>
      </c>
      <c r="J266" s="6">
        <v>10.78</v>
      </c>
      <c r="K266" s="6">
        <v>9.6300000000000008</v>
      </c>
      <c r="L266" s="6">
        <v>11.03</v>
      </c>
      <c r="M266" s="6">
        <v>10.43</v>
      </c>
      <c r="N266" s="6">
        <v>10.15</v>
      </c>
      <c r="O266" s="6">
        <v>11.13</v>
      </c>
      <c r="P266" s="6">
        <v>8.98</v>
      </c>
      <c r="Q266" s="6">
        <v>10.75</v>
      </c>
      <c r="R266" s="6">
        <v>9.5299999999999994</v>
      </c>
      <c r="S266" s="6">
        <v>8.93</v>
      </c>
      <c r="T266" s="6">
        <v>10.53</v>
      </c>
      <c r="U266" s="6">
        <v>10.38</v>
      </c>
      <c r="V266" s="6">
        <v>9.08</v>
      </c>
      <c r="W266" s="6">
        <v>10.88</v>
      </c>
      <c r="X266" s="6">
        <v>10.53</v>
      </c>
      <c r="Y266" s="6">
        <v>9.83</v>
      </c>
      <c r="Z266" s="6">
        <v>9.56</v>
      </c>
      <c r="AA266" s="6">
        <v>10.33</v>
      </c>
      <c r="AB266" s="6">
        <v>11.12</v>
      </c>
      <c r="AC266" s="6">
        <v>10.68</v>
      </c>
      <c r="AD266" s="6">
        <v>10.32</v>
      </c>
      <c r="AE266" s="6">
        <v>10.53</v>
      </c>
      <c r="AF266" s="6">
        <v>10.48</v>
      </c>
      <c r="AG266" s="6">
        <v>9.81</v>
      </c>
      <c r="AH266" s="6">
        <v>10.43</v>
      </c>
      <c r="AI266" s="6">
        <v>9.64</v>
      </c>
      <c r="AJ266" s="6">
        <v>10.52</v>
      </c>
      <c r="AK266" s="6">
        <v>10.47</v>
      </c>
      <c r="AL266" s="6">
        <v>10.42</v>
      </c>
      <c r="AM266" s="6">
        <v>9.6300000000000008</v>
      </c>
      <c r="AN266" s="6">
        <v>10.210000000000001</v>
      </c>
      <c r="AO266" s="6">
        <v>11.11</v>
      </c>
      <c r="AP266" s="6">
        <v>10.9</v>
      </c>
      <c r="AQ266" s="6">
        <v>10.16</v>
      </c>
      <c r="AR266" s="6">
        <v>10.18</v>
      </c>
      <c r="AS266" s="6">
        <v>10.14</v>
      </c>
      <c r="AT266" s="6">
        <v>10.47</v>
      </c>
      <c r="AU266" s="6">
        <v>10.24</v>
      </c>
      <c r="AV266" s="6">
        <v>10.4</v>
      </c>
      <c r="AW266" s="6">
        <v>10.59</v>
      </c>
      <c r="AX266" s="6">
        <v>8.01</v>
      </c>
      <c r="AY266" s="6">
        <v>9.73</v>
      </c>
      <c r="AZ266" s="6">
        <v>10.67</v>
      </c>
      <c r="BA266" s="6">
        <v>9.8800000000000008</v>
      </c>
      <c r="BB266" s="6">
        <v>10.130000000000001</v>
      </c>
      <c r="BC266" s="6">
        <f>10.43+0.43</f>
        <v>10.86</v>
      </c>
      <c r="BD266" s="6">
        <v>9.3000000000000007</v>
      </c>
      <c r="BE266" s="6">
        <v>10.94</v>
      </c>
      <c r="BF266" s="6">
        <v>8.2100000000000009</v>
      </c>
      <c r="BG266" s="6">
        <v>11.23</v>
      </c>
      <c r="BH266" s="6">
        <v>10.09</v>
      </c>
      <c r="BI266" s="6">
        <v>9.9600000000000009</v>
      </c>
      <c r="BJ266" s="6">
        <v>8.61</v>
      </c>
      <c r="BK266" s="6">
        <v>10.28</v>
      </c>
      <c r="BL266" s="6">
        <v>10.39</v>
      </c>
      <c r="BM266" s="6">
        <v>10.35</v>
      </c>
      <c r="BN266" s="6">
        <v>9.1</v>
      </c>
      <c r="BO266" s="6">
        <v>10.14</v>
      </c>
      <c r="BP266" s="6">
        <v>10.24</v>
      </c>
      <c r="BQ266" s="6">
        <v>9.68</v>
      </c>
      <c r="BR266" s="6">
        <v>8.6300000000000008</v>
      </c>
      <c r="BS266" s="6">
        <v>10.09</v>
      </c>
      <c r="BT266" s="6">
        <v>9.39</v>
      </c>
      <c r="BU266" s="6">
        <v>10.49</v>
      </c>
      <c r="BV266" s="6">
        <v>9.44</v>
      </c>
      <c r="BW266" s="6">
        <v>9.91</v>
      </c>
      <c r="BX266" s="6">
        <v>9.94</v>
      </c>
      <c r="BY266" s="6">
        <v>10.629999999999999</v>
      </c>
      <c r="BZ266" s="6">
        <v>9.92</v>
      </c>
      <c r="CA266" s="6">
        <v>11.73</v>
      </c>
      <c r="CB266" s="6">
        <v>10.42</v>
      </c>
      <c r="CC266" s="6">
        <v>8.18</v>
      </c>
      <c r="CD266" s="6">
        <v>10.45</v>
      </c>
      <c r="CE266" s="6">
        <v>11.17</v>
      </c>
      <c r="CF266" s="6">
        <v>7.45</v>
      </c>
      <c r="CG266" s="6">
        <v>8.24</v>
      </c>
      <c r="CH266" s="6"/>
    </row>
    <row r="267" spans="1:86" ht="15.75" customHeight="1" x14ac:dyDescent="0.25">
      <c r="A267" s="4">
        <v>265</v>
      </c>
      <c r="B267" s="2"/>
      <c r="C267" s="4">
        <v>22</v>
      </c>
      <c r="D267" s="6">
        <v>11.18</v>
      </c>
      <c r="E267" s="6">
        <v>10.98</v>
      </c>
      <c r="F267" s="6">
        <v>10.43</v>
      </c>
      <c r="G267" s="6">
        <v>11.08</v>
      </c>
      <c r="H267" s="6">
        <v>10.130000000000001</v>
      </c>
      <c r="I267" s="6">
        <v>8.83</v>
      </c>
      <c r="J267" s="6">
        <v>10.73</v>
      </c>
      <c r="K267" s="6">
        <v>9.6300000000000008</v>
      </c>
      <c r="L267" s="6">
        <v>11.08</v>
      </c>
      <c r="M267" s="6">
        <v>10.51</v>
      </c>
      <c r="N267" s="6">
        <v>10.130000000000001</v>
      </c>
      <c r="O267" s="6">
        <v>11.05</v>
      </c>
      <c r="P267" s="6">
        <v>8.89</v>
      </c>
      <c r="Q267" s="6">
        <v>10.73</v>
      </c>
      <c r="R267" s="6">
        <v>9.5299999999999994</v>
      </c>
      <c r="S267" s="6">
        <v>8.83</v>
      </c>
      <c r="T267" s="6">
        <v>10.48</v>
      </c>
      <c r="U267" s="6">
        <v>10.33</v>
      </c>
      <c r="V267" s="6">
        <v>9.08</v>
      </c>
      <c r="W267" s="6">
        <v>10.91</v>
      </c>
      <c r="X267" s="6">
        <v>10.49</v>
      </c>
      <c r="Y267" s="6">
        <v>9.81</v>
      </c>
      <c r="Z267" s="6">
        <v>9.49</v>
      </c>
      <c r="AA267" s="6">
        <v>10.3</v>
      </c>
      <c r="AB267" s="6">
        <v>11.04</v>
      </c>
      <c r="AC267" s="6">
        <v>10.67</v>
      </c>
      <c r="AD267" s="6">
        <v>10.27</v>
      </c>
      <c r="AE267" s="6">
        <v>10.47</v>
      </c>
      <c r="AF267" s="6">
        <v>10.5</v>
      </c>
      <c r="AG267" s="6">
        <v>9.75</v>
      </c>
      <c r="AH267" s="6">
        <v>10.37</v>
      </c>
      <c r="AI267" s="6">
        <v>9.65</v>
      </c>
      <c r="AJ267" s="6">
        <v>10.57</v>
      </c>
      <c r="AK267" s="6">
        <v>10.36</v>
      </c>
      <c r="AL267" s="6">
        <v>10.33</v>
      </c>
      <c r="AM267" s="6">
        <v>9.5299999999999994</v>
      </c>
      <c r="AN267" s="6">
        <v>10.130000000000001</v>
      </c>
      <c r="AO267" s="6">
        <v>11.07</v>
      </c>
      <c r="AP267" s="6">
        <v>10.82</v>
      </c>
      <c r="AQ267" s="6">
        <v>9.99</v>
      </c>
      <c r="AR267" s="6">
        <v>10.15</v>
      </c>
      <c r="AS267" s="6">
        <v>9.7799999999999994</v>
      </c>
      <c r="AT267" s="6">
        <v>10.39</v>
      </c>
      <c r="AU267" s="6">
        <v>10.18</v>
      </c>
      <c r="AV267" s="6">
        <v>10.38</v>
      </c>
      <c r="AW267" s="6">
        <v>10.58</v>
      </c>
      <c r="AX267" s="6">
        <v>7.91</v>
      </c>
      <c r="AY267" s="6">
        <v>9.6999999999999993</v>
      </c>
      <c r="AZ267" s="6">
        <v>10.64</v>
      </c>
      <c r="BA267" s="6">
        <v>9.89</v>
      </c>
      <c r="BB267" s="6">
        <v>10.199999999999999</v>
      </c>
      <c r="BC267" s="6">
        <f>10.4+0.43</f>
        <v>10.83</v>
      </c>
      <c r="BD267" s="6">
        <v>9.18</v>
      </c>
      <c r="BE267" s="6">
        <v>10.88</v>
      </c>
      <c r="BF267" s="6">
        <v>8.08</v>
      </c>
      <c r="BG267" s="6">
        <v>11.18</v>
      </c>
      <c r="BH267" s="6">
        <v>9.64</v>
      </c>
      <c r="BI267" s="6">
        <v>9.93</v>
      </c>
      <c r="BJ267" s="6">
        <v>8.5500000000000007</v>
      </c>
      <c r="BK267" s="6">
        <v>10.23</v>
      </c>
      <c r="BL267" s="6">
        <v>10.3</v>
      </c>
      <c r="BM267" s="6">
        <v>10.37</v>
      </c>
      <c r="BN267" s="6">
        <v>9.1</v>
      </c>
      <c r="BO267" s="6">
        <v>10.039999999999999</v>
      </c>
      <c r="BP267" s="6">
        <v>10.17</v>
      </c>
      <c r="BQ267" s="6">
        <v>9.6</v>
      </c>
      <c r="BR267" s="6">
        <v>8.6</v>
      </c>
      <c r="BS267" s="6">
        <v>10.210000000000001</v>
      </c>
      <c r="BT267" s="6">
        <v>9.27</v>
      </c>
      <c r="BU267" s="6">
        <v>10.41</v>
      </c>
      <c r="BV267" s="6">
        <v>9.4</v>
      </c>
      <c r="BW267" s="6">
        <v>9.89</v>
      </c>
      <c r="BX267" s="6">
        <v>9.94</v>
      </c>
      <c r="BY267" s="6">
        <v>10.57</v>
      </c>
      <c r="BZ267" s="6">
        <v>9.7799999999999994</v>
      </c>
      <c r="CA267" s="6">
        <v>11.53</v>
      </c>
      <c r="CB267" s="6">
        <v>10.24</v>
      </c>
      <c r="CC267" s="6">
        <v>8.18</v>
      </c>
      <c r="CD267" s="6">
        <v>10.379999999999999</v>
      </c>
      <c r="CE267" s="6">
        <v>11.129999999999999</v>
      </c>
      <c r="CF267" s="6">
        <v>7.38</v>
      </c>
      <c r="CG267" s="6">
        <v>8.1300000000000008</v>
      </c>
      <c r="CH267" s="6"/>
    </row>
    <row r="268" spans="1:86" ht="15.75" customHeight="1" x14ac:dyDescent="0.25">
      <c r="A268" s="4">
        <v>266</v>
      </c>
      <c r="B268" s="2"/>
      <c r="C268" s="4">
        <v>23</v>
      </c>
      <c r="D268" s="6">
        <v>11.13</v>
      </c>
      <c r="E268" s="6">
        <v>10.93</v>
      </c>
      <c r="F268" s="6">
        <v>10.33</v>
      </c>
      <c r="G268" s="6">
        <v>11.03</v>
      </c>
      <c r="H268" s="6">
        <v>10.029999999999999</v>
      </c>
      <c r="I268" s="6">
        <v>8.68</v>
      </c>
      <c r="J268" s="6">
        <v>10.68</v>
      </c>
      <c r="K268" s="6">
        <v>9.5299999999999994</v>
      </c>
      <c r="L268" s="6">
        <v>11.13</v>
      </c>
      <c r="M268" s="6">
        <v>10.53</v>
      </c>
      <c r="N268" s="6">
        <v>10.11</v>
      </c>
      <c r="O268" s="6">
        <v>10.98</v>
      </c>
      <c r="P268" s="6">
        <v>8.83</v>
      </c>
      <c r="Q268" s="6">
        <v>10.78</v>
      </c>
      <c r="R268" s="6">
        <v>9.68</v>
      </c>
      <c r="S268" s="6">
        <v>8.68</v>
      </c>
      <c r="T268" s="6">
        <v>10.43</v>
      </c>
      <c r="U268" s="6">
        <v>10.23</v>
      </c>
      <c r="V268" s="6">
        <v>9.1</v>
      </c>
      <c r="W268" s="6">
        <v>10.85</v>
      </c>
      <c r="X268" s="6">
        <v>10.42</v>
      </c>
      <c r="Y268" s="6">
        <v>9.81</v>
      </c>
      <c r="Z268" s="6">
        <v>9.41</v>
      </c>
      <c r="AA268" s="6">
        <v>10.3</v>
      </c>
      <c r="AB268" s="6">
        <v>10.95</v>
      </c>
      <c r="AC268" s="6">
        <v>10.64</v>
      </c>
      <c r="AD268" s="6">
        <v>10.220000000000001</v>
      </c>
      <c r="AE268" s="6">
        <v>10.42</v>
      </c>
      <c r="AF268" s="6">
        <v>10.53</v>
      </c>
      <c r="AG268" s="6">
        <v>9.6300000000000008</v>
      </c>
      <c r="AH268" s="6">
        <v>10.32</v>
      </c>
      <c r="AI268" s="6">
        <v>9.6300000000000008</v>
      </c>
      <c r="AJ268" s="6">
        <v>10.49</v>
      </c>
      <c r="AK268" s="6">
        <v>10.31</v>
      </c>
      <c r="AL268" s="6">
        <v>10.31</v>
      </c>
      <c r="AM268" s="6">
        <v>9.44</v>
      </c>
      <c r="AN268" s="6">
        <v>10.1</v>
      </c>
      <c r="AO268" s="6">
        <v>11.05</v>
      </c>
      <c r="AP268" s="6">
        <v>10.78</v>
      </c>
      <c r="AQ268" s="6">
        <v>9.8800000000000008</v>
      </c>
      <c r="AR268" s="6">
        <v>10.11</v>
      </c>
      <c r="AS268" s="6">
        <v>9.6</v>
      </c>
      <c r="AT268" s="6">
        <v>10.32</v>
      </c>
      <c r="AU268" s="6">
        <v>10.050000000000001</v>
      </c>
      <c r="AV268" s="6">
        <v>10.37</v>
      </c>
      <c r="AW268" s="6">
        <v>10.55</v>
      </c>
      <c r="AX268" s="6">
        <v>7.83</v>
      </c>
      <c r="AY268" s="6">
        <v>9.61</v>
      </c>
      <c r="AZ268" s="6">
        <v>10.58</v>
      </c>
      <c r="BA268" s="6">
        <v>9.89</v>
      </c>
      <c r="BB268" s="6">
        <v>10.28</v>
      </c>
      <c r="BC268" s="6">
        <f>10.33+0.43</f>
        <v>10.76</v>
      </c>
      <c r="BD268" s="6">
        <v>9.0299999999999994</v>
      </c>
      <c r="BE268" s="6">
        <v>10.82</v>
      </c>
      <c r="BF268" s="6">
        <v>8.01</v>
      </c>
      <c r="BG268" s="6">
        <v>11.08</v>
      </c>
      <c r="BH268" s="6">
        <v>9.4700000000000006</v>
      </c>
      <c r="BI268" s="6">
        <v>9.9</v>
      </c>
      <c r="BJ268" s="6">
        <v>8.49</v>
      </c>
      <c r="BK268" s="6">
        <v>10.18</v>
      </c>
      <c r="BL268" s="6">
        <v>10.27</v>
      </c>
      <c r="BM268" s="6">
        <v>10.32</v>
      </c>
      <c r="BN268" s="6">
        <v>9.0500000000000007</v>
      </c>
      <c r="BO268" s="6">
        <v>9.99</v>
      </c>
      <c r="BP268" s="6">
        <v>10.130000000000001</v>
      </c>
      <c r="BQ268" s="6">
        <v>9.6</v>
      </c>
      <c r="BR268" s="6">
        <v>8.57</v>
      </c>
      <c r="BS268" s="6">
        <v>10.24</v>
      </c>
      <c r="BT268" s="6">
        <v>9.2100000000000009</v>
      </c>
      <c r="BU268" s="6">
        <v>10.32</v>
      </c>
      <c r="BV268" s="6">
        <v>9.43</v>
      </c>
      <c r="BW268" s="6">
        <v>9.8699999999999992</v>
      </c>
      <c r="BX268" s="6">
        <v>9.89</v>
      </c>
      <c r="BY268" s="6">
        <v>10.549999999999999</v>
      </c>
      <c r="BZ268" s="6">
        <v>9.6199999999999992</v>
      </c>
      <c r="CA268" s="6">
        <v>11.33</v>
      </c>
      <c r="CB268" s="6">
        <v>10.520000000000001</v>
      </c>
      <c r="CC268" s="6">
        <v>8.09</v>
      </c>
      <c r="CD268" s="6">
        <v>10.4</v>
      </c>
      <c r="CE268" s="6">
        <v>11.01</v>
      </c>
      <c r="CF268" s="6">
        <v>7.23</v>
      </c>
      <c r="CG268" s="6">
        <v>8</v>
      </c>
      <c r="CH268" s="6"/>
    </row>
    <row r="269" spans="1:86" ht="15.75" customHeight="1" x14ac:dyDescent="0.25">
      <c r="A269" s="4">
        <v>267</v>
      </c>
      <c r="B269" s="2"/>
      <c r="C269" s="4">
        <v>24</v>
      </c>
      <c r="D269" s="6">
        <v>11.03</v>
      </c>
      <c r="E269" s="6">
        <v>10.88</v>
      </c>
      <c r="F269" s="6">
        <v>10.23</v>
      </c>
      <c r="G269" s="6">
        <v>11.03</v>
      </c>
      <c r="H269" s="6">
        <v>10.029999999999999</v>
      </c>
      <c r="I269" s="6">
        <v>8.58</v>
      </c>
      <c r="J269" s="6">
        <v>10.68</v>
      </c>
      <c r="K269" s="6">
        <v>9.4600000000000009</v>
      </c>
      <c r="L269" s="6">
        <v>10.98</v>
      </c>
      <c r="M269" s="6">
        <v>10.53</v>
      </c>
      <c r="N269" s="6">
        <v>10.029999999999999</v>
      </c>
      <c r="O269" s="6">
        <v>10.91</v>
      </c>
      <c r="P269" s="6">
        <v>8.73</v>
      </c>
      <c r="Q269" s="6">
        <v>10.83</v>
      </c>
      <c r="R269" s="6">
        <v>9.73</v>
      </c>
      <c r="S269" s="6">
        <v>8.5299999999999994</v>
      </c>
      <c r="T269" s="6">
        <v>10.43</v>
      </c>
      <c r="U269" s="6">
        <v>10.130000000000001</v>
      </c>
      <c r="V269" s="6">
        <v>9.1300000000000008</v>
      </c>
      <c r="W269" s="6">
        <v>10.78</v>
      </c>
      <c r="X269" s="6">
        <v>10.31</v>
      </c>
      <c r="Y269" s="6">
        <v>9.73</v>
      </c>
      <c r="Z269" s="6">
        <v>9.35</v>
      </c>
      <c r="AA269" s="6">
        <v>10.29</v>
      </c>
      <c r="AB269" s="6">
        <v>10.85</v>
      </c>
      <c r="AC269" s="6">
        <v>10.61</v>
      </c>
      <c r="AD269" s="6">
        <v>10.199999999999999</v>
      </c>
      <c r="AE269" s="6">
        <v>10.42</v>
      </c>
      <c r="AF269" s="6">
        <v>10.45</v>
      </c>
      <c r="AG269" s="6">
        <v>9.6</v>
      </c>
      <c r="AH269" s="6">
        <v>10.37</v>
      </c>
      <c r="AI269" s="6">
        <v>9.5500000000000007</v>
      </c>
      <c r="AJ269" s="6">
        <v>10.56</v>
      </c>
      <c r="AK269" s="6">
        <v>10.27</v>
      </c>
      <c r="AL269" s="6">
        <v>10.25</v>
      </c>
      <c r="AM269" s="6">
        <v>9.35</v>
      </c>
      <c r="AN269" s="6">
        <v>10.07</v>
      </c>
      <c r="AO269" s="6">
        <v>10.96</v>
      </c>
      <c r="AP269" s="6">
        <v>10.76</v>
      </c>
      <c r="AQ269" s="6">
        <v>9.8000000000000007</v>
      </c>
      <c r="AR269" s="6">
        <v>10.06</v>
      </c>
      <c r="AS269" s="6">
        <v>9.8800000000000008</v>
      </c>
      <c r="AT269" s="6">
        <v>10.33</v>
      </c>
      <c r="AU269" s="6">
        <v>9.9600000000000009</v>
      </c>
      <c r="AV269" s="6">
        <v>10.41</v>
      </c>
      <c r="AW269" s="6">
        <v>10.51</v>
      </c>
      <c r="AX269" s="6">
        <v>7.76</v>
      </c>
      <c r="AY269" s="6">
        <v>9.5299999999999994</v>
      </c>
      <c r="AZ269" s="6">
        <v>10.61</v>
      </c>
      <c r="BA269" s="6">
        <v>9.7899999999999991</v>
      </c>
      <c r="BB269" s="6">
        <v>10.18</v>
      </c>
      <c r="BC269" s="6">
        <f>10.3+0.43</f>
        <v>10.73</v>
      </c>
      <c r="BD269" s="6">
        <v>8.9600000000000009</v>
      </c>
      <c r="BE269" s="6">
        <v>10.91</v>
      </c>
      <c r="BF269" s="6">
        <v>7.98</v>
      </c>
      <c r="BG269" s="6">
        <v>10.97</v>
      </c>
      <c r="BH269" s="6">
        <v>9.27</v>
      </c>
      <c r="BI269" s="6">
        <v>9.83</v>
      </c>
      <c r="BJ269" s="6">
        <v>8.31</v>
      </c>
      <c r="BK269" s="6">
        <v>10.130000000000001</v>
      </c>
      <c r="BL269" s="6">
        <v>10.27</v>
      </c>
      <c r="BM269" s="6">
        <v>10.35</v>
      </c>
      <c r="BN269" s="6">
        <v>9.0299999999999994</v>
      </c>
      <c r="BO269" s="6">
        <v>9.91</v>
      </c>
      <c r="BP269" s="6">
        <v>10.029999999999999</v>
      </c>
      <c r="BQ269" s="6">
        <v>9.68</v>
      </c>
      <c r="BR269" s="6">
        <v>8.4499999999999993</v>
      </c>
      <c r="BS269" s="6">
        <v>10.19</v>
      </c>
      <c r="BT269" s="6">
        <v>9.2100000000000009</v>
      </c>
      <c r="BU269" s="6">
        <v>10.209999999999999</v>
      </c>
      <c r="BV269" s="6">
        <v>9.35</v>
      </c>
      <c r="BW269" s="6">
        <v>9.84</v>
      </c>
      <c r="BX269" s="6">
        <v>9.7999999999999989</v>
      </c>
      <c r="BY269" s="6">
        <v>10.51</v>
      </c>
      <c r="BZ269" s="6">
        <v>9.5399999999999991</v>
      </c>
      <c r="CA269" s="6">
        <v>11.68</v>
      </c>
      <c r="CB269" s="6">
        <v>10.3</v>
      </c>
      <c r="CC269" s="6">
        <v>7.89</v>
      </c>
      <c r="CD269" s="6">
        <v>10.37</v>
      </c>
      <c r="CE269" s="6">
        <v>10.86</v>
      </c>
      <c r="CF269" s="6">
        <v>7.07</v>
      </c>
      <c r="CG269" s="6">
        <v>7.88</v>
      </c>
      <c r="CH269" s="6"/>
    </row>
    <row r="270" spans="1:86" ht="15.75" customHeight="1" x14ac:dyDescent="0.25">
      <c r="A270" s="4">
        <v>268</v>
      </c>
      <c r="B270" s="2"/>
      <c r="C270" s="4">
        <v>25</v>
      </c>
      <c r="D270" s="6">
        <v>10.95</v>
      </c>
      <c r="E270" s="6">
        <v>10.83</v>
      </c>
      <c r="F270" s="6">
        <v>10.130000000000001</v>
      </c>
      <c r="G270" s="6">
        <v>10.93</v>
      </c>
      <c r="H270" s="6">
        <v>10.029999999999999</v>
      </c>
      <c r="I270" s="6">
        <v>8.5299999999999994</v>
      </c>
      <c r="J270" s="6">
        <v>10.63</v>
      </c>
      <c r="K270" s="6">
        <v>9.3800000000000008</v>
      </c>
      <c r="L270" s="6">
        <v>11.13</v>
      </c>
      <c r="M270" s="6">
        <v>10.53</v>
      </c>
      <c r="N270" s="6">
        <v>9.98</v>
      </c>
      <c r="O270" s="6">
        <v>10.83</v>
      </c>
      <c r="P270" s="6">
        <v>8.68</v>
      </c>
      <c r="Q270" s="6">
        <v>10.88</v>
      </c>
      <c r="R270" s="6">
        <v>9.7799999999999994</v>
      </c>
      <c r="S270" s="6">
        <v>8.48</v>
      </c>
      <c r="T270" s="6">
        <v>10.28</v>
      </c>
      <c r="U270" s="6">
        <v>10.08</v>
      </c>
      <c r="V270" s="6">
        <v>9.15</v>
      </c>
      <c r="W270" s="6">
        <v>10.68</v>
      </c>
      <c r="X270" s="6">
        <v>10.18</v>
      </c>
      <c r="Y270" s="6">
        <v>9.73</v>
      </c>
      <c r="Z270" s="6">
        <v>9.33</v>
      </c>
      <c r="AA270" s="6">
        <v>10.25</v>
      </c>
      <c r="AB270" s="6">
        <v>10.75</v>
      </c>
      <c r="AC270" s="6">
        <v>10.59</v>
      </c>
      <c r="AD270" s="6">
        <v>10.18</v>
      </c>
      <c r="AE270" s="6">
        <v>10.78</v>
      </c>
      <c r="AF270" s="6">
        <v>10.47</v>
      </c>
      <c r="AG270" s="6">
        <v>9.85</v>
      </c>
      <c r="AH270" s="6">
        <v>10.42</v>
      </c>
      <c r="AI270" s="6">
        <v>9.4700000000000006</v>
      </c>
      <c r="AJ270" s="6">
        <v>10.48</v>
      </c>
      <c r="AK270" s="6">
        <v>10.17</v>
      </c>
      <c r="AL270" s="6">
        <v>10.17</v>
      </c>
      <c r="AM270" s="6">
        <v>9.27</v>
      </c>
      <c r="AN270" s="6">
        <v>10.09</v>
      </c>
      <c r="AO270" s="6">
        <v>10.91</v>
      </c>
      <c r="AP270" s="6">
        <v>10.78</v>
      </c>
      <c r="AQ270" s="6">
        <v>9.7200000000000006</v>
      </c>
      <c r="AR270" s="6">
        <v>10.029999999999999</v>
      </c>
      <c r="AS270" s="6">
        <v>9.9700000000000006</v>
      </c>
      <c r="AT270" s="6">
        <v>10.36</v>
      </c>
      <c r="AU270" s="6">
        <v>9.89</v>
      </c>
      <c r="AV270" s="6">
        <v>10.5</v>
      </c>
      <c r="AW270" s="6">
        <v>10.49</v>
      </c>
      <c r="AX270" s="6">
        <v>7.65</v>
      </c>
      <c r="AY270" s="6">
        <v>9.48</v>
      </c>
      <c r="AZ270" s="6">
        <v>10.59</v>
      </c>
      <c r="BA270" s="6">
        <v>9.74</v>
      </c>
      <c r="BB270" s="6">
        <v>10.11</v>
      </c>
      <c r="BC270" s="6">
        <f>10.18+0.43</f>
        <v>10.61</v>
      </c>
      <c r="BD270" s="6">
        <v>8.73</v>
      </c>
      <c r="BE270" s="6">
        <v>10.88</v>
      </c>
      <c r="BF270" s="6">
        <v>7.89</v>
      </c>
      <c r="BG270" s="6">
        <v>10.94</v>
      </c>
      <c r="BH270" s="6">
        <v>9.17</v>
      </c>
      <c r="BI270" s="6">
        <v>9.7799999999999994</v>
      </c>
      <c r="BJ270" s="6">
        <v>8.31</v>
      </c>
      <c r="BK270" s="6">
        <v>10.130000000000001</v>
      </c>
      <c r="BL270" s="6">
        <v>10.24</v>
      </c>
      <c r="BM270" s="6">
        <v>10.27</v>
      </c>
      <c r="BN270" s="6">
        <v>8.9600000000000009</v>
      </c>
      <c r="BO270" s="6">
        <v>9.83</v>
      </c>
      <c r="BP270" s="6">
        <v>10.029999999999999</v>
      </c>
      <c r="BQ270" s="6">
        <v>9.76</v>
      </c>
      <c r="BR270" s="6">
        <v>8.3699999999999992</v>
      </c>
      <c r="BS270" s="6">
        <v>10.15</v>
      </c>
      <c r="BT270" s="6">
        <v>9.24</v>
      </c>
      <c r="BU270" s="6">
        <v>10.15</v>
      </c>
      <c r="BV270" s="6">
        <v>9.34</v>
      </c>
      <c r="BW270" s="6">
        <v>9.82</v>
      </c>
      <c r="BX270" s="6">
        <v>9.7999999999999989</v>
      </c>
      <c r="BY270" s="6">
        <v>10.41</v>
      </c>
      <c r="BZ270" s="6">
        <v>9.5</v>
      </c>
      <c r="CA270" s="6">
        <v>11.31</v>
      </c>
      <c r="CB270" s="6">
        <v>10.190000000000001</v>
      </c>
      <c r="CC270" s="6">
        <v>7.6999999999999993</v>
      </c>
      <c r="CD270" s="6">
        <v>10.37</v>
      </c>
      <c r="CE270" s="6">
        <v>10.67</v>
      </c>
      <c r="CF270" s="6">
        <v>6.88</v>
      </c>
      <c r="CG270" s="6">
        <v>7.67</v>
      </c>
      <c r="CH270" s="6"/>
    </row>
    <row r="271" spans="1:86" ht="15.75" customHeight="1" x14ac:dyDescent="0.25">
      <c r="A271" s="4">
        <v>269</v>
      </c>
      <c r="B271" s="2"/>
      <c r="C271" s="4">
        <v>26</v>
      </c>
      <c r="D271" s="6">
        <v>10.93</v>
      </c>
      <c r="E271" s="6">
        <v>10.73</v>
      </c>
      <c r="F271" s="6">
        <v>10.029999999999999</v>
      </c>
      <c r="G271" s="6">
        <v>10.93</v>
      </c>
      <c r="H271" s="6">
        <v>9.93</v>
      </c>
      <c r="I271" s="6">
        <v>8.43</v>
      </c>
      <c r="J271" s="6">
        <v>10.63</v>
      </c>
      <c r="K271" s="6">
        <v>9.33</v>
      </c>
      <c r="L271" s="6">
        <v>11.08</v>
      </c>
      <c r="M271" s="6">
        <v>10.53</v>
      </c>
      <c r="N271" s="6">
        <v>9.93</v>
      </c>
      <c r="O271" s="6">
        <v>10.78</v>
      </c>
      <c r="P271" s="6">
        <v>8.5500000000000007</v>
      </c>
      <c r="Q271" s="6">
        <v>10.93</v>
      </c>
      <c r="R271" s="6">
        <v>9.51</v>
      </c>
      <c r="S271" s="6">
        <v>8.43</v>
      </c>
      <c r="T271" s="6">
        <v>10.130000000000001</v>
      </c>
      <c r="U271" s="6">
        <v>10.029999999999999</v>
      </c>
      <c r="V271" s="6">
        <v>9.11</v>
      </c>
      <c r="W271" s="6">
        <v>10.53</v>
      </c>
      <c r="X271" s="6">
        <v>10.11</v>
      </c>
      <c r="Y271" s="6">
        <v>9.73</v>
      </c>
      <c r="Z271" s="6">
        <v>9.33</v>
      </c>
      <c r="AA271" s="6">
        <v>10.19</v>
      </c>
      <c r="AB271" s="6">
        <v>10.67</v>
      </c>
      <c r="AC271" s="6">
        <v>10.58</v>
      </c>
      <c r="AD271" s="6">
        <v>10.17</v>
      </c>
      <c r="AE271" s="6">
        <v>10.91</v>
      </c>
      <c r="AF271" s="6">
        <v>10.46</v>
      </c>
      <c r="AG271" s="6">
        <v>9.64</v>
      </c>
      <c r="AH271" s="6">
        <v>10.44</v>
      </c>
      <c r="AI271" s="6">
        <v>9.43</v>
      </c>
      <c r="AJ271" s="6">
        <v>10.52</v>
      </c>
      <c r="AK271" s="6">
        <v>10.11</v>
      </c>
      <c r="AL271" s="6">
        <v>10.11</v>
      </c>
      <c r="AM271" s="6">
        <v>9.2100000000000009</v>
      </c>
      <c r="AN271" s="6">
        <v>10.07</v>
      </c>
      <c r="AO271" s="6">
        <v>10.87</v>
      </c>
      <c r="AP271" s="6">
        <v>10.7</v>
      </c>
      <c r="AQ271" s="6">
        <v>9.66</v>
      </c>
      <c r="AR271" s="6">
        <v>9.9600000000000009</v>
      </c>
      <c r="AS271" s="6">
        <v>9.9700000000000006</v>
      </c>
      <c r="AT271" s="6">
        <v>10.36</v>
      </c>
      <c r="AU271" s="6">
        <v>9.86</v>
      </c>
      <c r="AV271" s="6">
        <v>10.53</v>
      </c>
      <c r="AW271" s="6">
        <v>10.46</v>
      </c>
      <c r="AX271" s="6">
        <v>7.63</v>
      </c>
      <c r="AY271" s="6">
        <v>9.43</v>
      </c>
      <c r="AZ271" s="6">
        <v>10.57</v>
      </c>
      <c r="BA271" s="6">
        <v>9.73</v>
      </c>
      <c r="BB271" s="6">
        <v>9.94</v>
      </c>
      <c r="BC271" s="6">
        <f>10.1+0.43</f>
        <v>10.53</v>
      </c>
      <c r="BD271" s="6">
        <v>8.7799999999999994</v>
      </c>
      <c r="BE271" s="6">
        <v>10.8</v>
      </c>
      <c r="BF271" s="6">
        <v>7.8</v>
      </c>
      <c r="BG271" s="6">
        <v>10.94</v>
      </c>
      <c r="BH271" s="6">
        <v>8.89</v>
      </c>
      <c r="BI271" s="6">
        <v>9.76</v>
      </c>
      <c r="BJ271" s="6">
        <v>8.31</v>
      </c>
      <c r="BK271" s="6">
        <v>10.039999999999999</v>
      </c>
      <c r="BL271" s="6">
        <v>10.210000000000001</v>
      </c>
      <c r="BM271" s="6">
        <v>10.220000000000001</v>
      </c>
      <c r="BN271" s="6">
        <v>8.91</v>
      </c>
      <c r="BO271" s="6">
        <v>9.82</v>
      </c>
      <c r="BP271" s="6">
        <v>9.99</v>
      </c>
      <c r="BQ271" s="6">
        <v>9.91</v>
      </c>
      <c r="BR271" s="6">
        <v>8.33</v>
      </c>
      <c r="BS271" s="6">
        <v>10.15</v>
      </c>
      <c r="BT271" s="6">
        <v>9.09</v>
      </c>
      <c r="BU271" s="6">
        <v>10.18</v>
      </c>
      <c r="BV271" s="6">
        <v>9.24</v>
      </c>
      <c r="BW271" s="6">
        <v>9.7999999999999989</v>
      </c>
      <c r="BX271" s="6">
        <v>9.69</v>
      </c>
      <c r="BY271" s="6">
        <v>10.32</v>
      </c>
      <c r="BZ271" s="6">
        <v>9.2899999999999991</v>
      </c>
      <c r="CA271" s="6">
        <v>11.25</v>
      </c>
      <c r="CB271" s="6">
        <v>10.06</v>
      </c>
      <c r="CC271" s="6">
        <v>7.54</v>
      </c>
      <c r="CD271" s="6">
        <v>10.37</v>
      </c>
      <c r="CE271" s="6">
        <v>10.61</v>
      </c>
      <c r="CF271" s="6">
        <v>6.85</v>
      </c>
      <c r="CG271" s="6">
        <v>7.54</v>
      </c>
      <c r="CH271" s="6"/>
    </row>
    <row r="272" spans="1:86" ht="15.75" customHeight="1" x14ac:dyDescent="0.25">
      <c r="A272" s="4">
        <v>270</v>
      </c>
      <c r="B272" s="2"/>
      <c r="C272" s="4">
        <v>27</v>
      </c>
      <c r="D272" s="6">
        <v>10.88</v>
      </c>
      <c r="E272" s="6">
        <v>10.63</v>
      </c>
      <c r="F272" s="6">
        <v>9.93</v>
      </c>
      <c r="G272" s="6">
        <v>10.83</v>
      </c>
      <c r="H272" s="6">
        <v>9.83</v>
      </c>
      <c r="I272" s="6">
        <v>8.33</v>
      </c>
      <c r="J272" s="6">
        <v>10.53</v>
      </c>
      <c r="K272" s="6">
        <v>9.23</v>
      </c>
      <c r="L272" s="6">
        <v>11.03</v>
      </c>
      <c r="M272" s="6">
        <v>10.53</v>
      </c>
      <c r="N272" s="6">
        <v>9.83</v>
      </c>
      <c r="O272" s="6">
        <v>10.83</v>
      </c>
      <c r="P272" s="6">
        <v>8.43</v>
      </c>
      <c r="Q272" s="6">
        <v>10.91</v>
      </c>
      <c r="R272" s="6">
        <v>9.3800000000000008</v>
      </c>
      <c r="S272" s="6">
        <v>8.33</v>
      </c>
      <c r="T272" s="6">
        <v>10.029999999999999</v>
      </c>
      <c r="U272" s="6">
        <v>9.93</v>
      </c>
      <c r="V272" s="6">
        <v>9.0299999999999994</v>
      </c>
      <c r="W272" s="6">
        <v>10.43</v>
      </c>
      <c r="X272" s="6">
        <v>9.99</v>
      </c>
      <c r="Y272" s="6">
        <v>9.68</v>
      </c>
      <c r="Z272" s="6">
        <v>9.2799999999999994</v>
      </c>
      <c r="AA272" s="6">
        <v>10.130000000000001</v>
      </c>
      <c r="AB272" s="6">
        <v>10.61</v>
      </c>
      <c r="AC272" s="6">
        <v>10.58</v>
      </c>
      <c r="AD272" s="6">
        <v>10.15</v>
      </c>
      <c r="AE272" s="6">
        <v>10.84</v>
      </c>
      <c r="AF272" s="6">
        <v>10.39</v>
      </c>
      <c r="AG272" s="6">
        <v>9.59</v>
      </c>
      <c r="AH272" s="6">
        <v>10.44</v>
      </c>
      <c r="AI272" s="6">
        <v>9.39</v>
      </c>
      <c r="AJ272" s="6">
        <v>10.44</v>
      </c>
      <c r="AK272" s="6">
        <v>10.01</v>
      </c>
      <c r="AL272" s="6">
        <v>10.050000000000001</v>
      </c>
      <c r="AM272" s="6">
        <v>9.24</v>
      </c>
      <c r="AN272" s="6">
        <v>9.8699999999999992</v>
      </c>
      <c r="AO272" s="6">
        <v>10.85</v>
      </c>
      <c r="AP272" s="6">
        <v>10.62</v>
      </c>
      <c r="AQ272" s="6">
        <v>9.58</v>
      </c>
      <c r="AR272" s="6">
        <v>9.92</v>
      </c>
      <c r="AS272" s="6">
        <v>9.94</v>
      </c>
      <c r="AT272" s="6">
        <v>10.37</v>
      </c>
      <c r="AU272" s="6">
        <v>9.8000000000000007</v>
      </c>
      <c r="AV272" s="6">
        <v>10.63</v>
      </c>
      <c r="AW272" s="6">
        <v>10.47</v>
      </c>
      <c r="AX272" s="6">
        <v>7.73</v>
      </c>
      <c r="AY272" s="6">
        <v>9.33</v>
      </c>
      <c r="AZ272" s="6">
        <v>10.57</v>
      </c>
      <c r="BA272" s="6">
        <v>9.68</v>
      </c>
      <c r="BB272" s="6">
        <v>9.85</v>
      </c>
      <c r="BC272" s="6">
        <f>10.26+0.43</f>
        <v>10.69</v>
      </c>
      <c r="BD272" s="6">
        <v>8.73</v>
      </c>
      <c r="BE272" s="6">
        <v>10.73</v>
      </c>
      <c r="BF272" s="6">
        <v>7.68</v>
      </c>
      <c r="BG272" s="6">
        <v>10.85</v>
      </c>
      <c r="BH272" s="6">
        <v>8.8800000000000008</v>
      </c>
      <c r="BI272" s="6">
        <v>9.75</v>
      </c>
      <c r="BJ272" s="6">
        <v>8.19</v>
      </c>
      <c r="BK272" s="6">
        <v>10.02</v>
      </c>
      <c r="BL272" s="6">
        <v>10.16</v>
      </c>
      <c r="BM272" s="6">
        <v>10.11</v>
      </c>
      <c r="BN272" s="6">
        <v>8.92</v>
      </c>
      <c r="BO272" s="6">
        <v>9.7200000000000006</v>
      </c>
      <c r="BP272" s="6">
        <v>9.99</v>
      </c>
      <c r="BQ272" s="6">
        <v>9.85</v>
      </c>
      <c r="BR272" s="6">
        <v>8.31</v>
      </c>
      <c r="BS272" s="6">
        <v>10.51</v>
      </c>
      <c r="BT272" s="6">
        <v>9.06</v>
      </c>
      <c r="BU272" s="6">
        <v>10.129999999999999</v>
      </c>
      <c r="BV272" s="6">
        <v>9.2059999999999995</v>
      </c>
      <c r="BW272" s="6">
        <v>9.7999999999999989</v>
      </c>
      <c r="BX272" s="6">
        <v>9.67</v>
      </c>
      <c r="BY272" s="6">
        <v>10.27</v>
      </c>
      <c r="BZ272" s="6">
        <v>9.26</v>
      </c>
      <c r="CA272" s="6">
        <v>11.42</v>
      </c>
      <c r="CB272" s="6">
        <v>10.040000000000001</v>
      </c>
      <c r="CC272" s="6">
        <v>7.46</v>
      </c>
      <c r="CD272" s="6">
        <v>10.33</v>
      </c>
      <c r="CE272" s="6">
        <v>10.469999999999999</v>
      </c>
      <c r="CF272" s="6">
        <v>6.72</v>
      </c>
      <c r="CG272" s="6">
        <v>7.4</v>
      </c>
      <c r="CH272" s="6"/>
    </row>
    <row r="273" spans="1:86" ht="15.75" customHeight="1" x14ac:dyDescent="0.25">
      <c r="A273" s="4">
        <v>271</v>
      </c>
      <c r="B273" s="2"/>
      <c r="C273" s="4">
        <v>28</v>
      </c>
      <c r="D273" s="6">
        <v>10.83</v>
      </c>
      <c r="E273" s="6">
        <v>10.53</v>
      </c>
      <c r="F273" s="6">
        <v>9.83</v>
      </c>
      <c r="G273" s="6">
        <v>10.78</v>
      </c>
      <c r="H273" s="6">
        <v>9.73</v>
      </c>
      <c r="I273" s="6">
        <v>8.23</v>
      </c>
      <c r="J273" s="6">
        <v>10.43</v>
      </c>
      <c r="K273" s="6">
        <v>9.18</v>
      </c>
      <c r="L273" s="6">
        <v>10.93</v>
      </c>
      <c r="M273" s="6">
        <v>10.53</v>
      </c>
      <c r="N273" s="6">
        <v>9.73</v>
      </c>
      <c r="O273" s="6">
        <v>10.65</v>
      </c>
      <c r="P273" s="6">
        <v>8.3800000000000008</v>
      </c>
      <c r="Q273" s="6">
        <v>10.93</v>
      </c>
      <c r="R273" s="6">
        <v>9.23</v>
      </c>
      <c r="S273" s="6">
        <v>8.23</v>
      </c>
      <c r="T273" s="6">
        <v>9.83</v>
      </c>
      <c r="U273" s="6">
        <v>9.85</v>
      </c>
      <c r="V273" s="6">
        <v>8.91</v>
      </c>
      <c r="W273" s="6">
        <v>10.33</v>
      </c>
      <c r="X273" s="6">
        <v>9.92</v>
      </c>
      <c r="Y273" s="6">
        <v>9.68</v>
      </c>
      <c r="Z273" s="6">
        <v>9.23</v>
      </c>
      <c r="AA273" s="6">
        <v>10.11</v>
      </c>
      <c r="AB273" s="6">
        <v>10.58</v>
      </c>
      <c r="AC273" s="6">
        <v>10.61</v>
      </c>
      <c r="AD273" s="6">
        <v>10.1</v>
      </c>
      <c r="AE273" s="6">
        <v>10.93</v>
      </c>
      <c r="AF273" s="6">
        <v>10.220000000000001</v>
      </c>
      <c r="AG273" s="6">
        <v>9.65</v>
      </c>
      <c r="AH273" s="6">
        <v>10.45</v>
      </c>
      <c r="AI273" s="6">
        <v>9.3699999999999992</v>
      </c>
      <c r="AJ273" s="6">
        <v>10.51</v>
      </c>
      <c r="AK273" s="6">
        <v>9.91</v>
      </c>
      <c r="AL273" s="6">
        <v>9.9499999999999993</v>
      </c>
      <c r="AM273" s="6">
        <v>9.26</v>
      </c>
      <c r="AN273" s="6">
        <v>9.75</v>
      </c>
      <c r="AO273" s="6">
        <v>10.83</v>
      </c>
      <c r="AP273" s="6">
        <v>10.56</v>
      </c>
      <c r="AQ273" s="6">
        <v>9.58</v>
      </c>
      <c r="AR273" s="6">
        <v>9.85</v>
      </c>
      <c r="AS273" s="6">
        <v>9.93</v>
      </c>
      <c r="AT273" s="6">
        <v>10.36</v>
      </c>
      <c r="AU273" s="6">
        <v>9.6999999999999993</v>
      </c>
      <c r="AV273" s="6">
        <v>10.79</v>
      </c>
      <c r="AW273" s="6">
        <v>10.45</v>
      </c>
      <c r="AX273" s="6">
        <v>7.83</v>
      </c>
      <c r="AY273" s="6">
        <v>9.2799999999999994</v>
      </c>
      <c r="AZ273" s="6">
        <v>10.52</v>
      </c>
      <c r="BA273" s="6">
        <v>9.6300000000000008</v>
      </c>
      <c r="BB273" s="6">
        <v>9.85</v>
      </c>
      <c r="BC273" s="6">
        <f>10.5+0.43</f>
        <v>10.93</v>
      </c>
      <c r="BD273" s="6">
        <v>8.65</v>
      </c>
      <c r="BE273" s="6">
        <v>10.58</v>
      </c>
      <c r="BF273" s="6">
        <v>7.59</v>
      </c>
      <c r="BG273" s="6">
        <v>10.79</v>
      </c>
      <c r="BH273" s="6">
        <v>8.8699999999999992</v>
      </c>
      <c r="BI273" s="6">
        <v>9.7200000000000006</v>
      </c>
      <c r="BJ273" s="6">
        <v>8.0500000000000007</v>
      </c>
      <c r="BK273" s="6">
        <v>9.93</v>
      </c>
      <c r="BL273" s="6">
        <v>9.99</v>
      </c>
      <c r="BM273" s="6">
        <v>10.07</v>
      </c>
      <c r="BN273" s="6">
        <v>8.91</v>
      </c>
      <c r="BO273" s="6">
        <v>9.6300000000000008</v>
      </c>
      <c r="BP273" s="6">
        <v>9.8800000000000008</v>
      </c>
      <c r="BQ273" s="6">
        <v>9.6300000000000008</v>
      </c>
      <c r="BR273" s="6">
        <v>8.01</v>
      </c>
      <c r="BS273" s="6">
        <v>10.38</v>
      </c>
      <c r="BT273" s="6">
        <v>9.02</v>
      </c>
      <c r="BU273" s="6">
        <v>9.98</v>
      </c>
      <c r="BV273" s="6">
        <v>9.2099999999999991</v>
      </c>
      <c r="BW273" s="6">
        <v>9.76</v>
      </c>
      <c r="BX273" s="6">
        <v>9.56</v>
      </c>
      <c r="BY273" s="6">
        <v>10.219999999999999</v>
      </c>
      <c r="BZ273" s="6">
        <v>8.9</v>
      </c>
      <c r="CA273" s="6">
        <v>11.28</v>
      </c>
      <c r="CB273" s="6">
        <v>9.9500000000000011</v>
      </c>
      <c r="CC273" s="6">
        <v>7.29</v>
      </c>
      <c r="CD273" s="6">
        <v>10.19</v>
      </c>
      <c r="CE273" s="6">
        <v>10.34</v>
      </c>
      <c r="CF273" s="6">
        <v>6.69</v>
      </c>
      <c r="CG273" s="6">
        <v>7.24</v>
      </c>
      <c r="CH273" s="6"/>
    </row>
    <row r="274" spans="1:86" ht="15.75" customHeight="1" x14ac:dyDescent="0.25">
      <c r="A274" s="4">
        <v>272</v>
      </c>
      <c r="B274" s="2"/>
      <c r="C274" s="4">
        <v>29</v>
      </c>
      <c r="D274" s="6">
        <v>10.78</v>
      </c>
      <c r="E274" s="6">
        <v>10.43</v>
      </c>
      <c r="F274" s="6">
        <v>9.73</v>
      </c>
      <c r="G274" s="6">
        <v>10.68</v>
      </c>
      <c r="H274" s="6">
        <v>9.6300000000000008</v>
      </c>
      <c r="I274" s="6">
        <v>8.23</v>
      </c>
      <c r="J274" s="6">
        <v>10.43</v>
      </c>
      <c r="K274" s="6">
        <v>9.1300000000000008</v>
      </c>
      <c r="L274" s="6">
        <v>10.73</v>
      </c>
      <c r="M274" s="6">
        <v>10.63</v>
      </c>
      <c r="N274" s="6">
        <v>9.6300000000000008</v>
      </c>
      <c r="O274" s="6">
        <v>10.65</v>
      </c>
      <c r="P274" s="6">
        <v>8.31</v>
      </c>
      <c r="Q274" s="6">
        <v>10.83</v>
      </c>
      <c r="R274" s="6">
        <v>9.0299999999999994</v>
      </c>
      <c r="S274" s="6">
        <v>8.1300000000000008</v>
      </c>
      <c r="T274" s="6">
        <v>9.73</v>
      </c>
      <c r="U274" s="6">
        <v>9.7799999999999994</v>
      </c>
      <c r="V274" s="6">
        <v>8.7799999999999994</v>
      </c>
      <c r="W274" s="6">
        <v>10.23</v>
      </c>
      <c r="X274" s="6">
        <v>9.7100000000000009</v>
      </c>
      <c r="Y274" s="6">
        <v>9.68</v>
      </c>
      <c r="Z274" s="6">
        <v>9.2100000000000009</v>
      </c>
      <c r="AA274" s="6">
        <v>10.06</v>
      </c>
      <c r="AB274" s="6">
        <v>10.53</v>
      </c>
      <c r="AC274" s="6">
        <v>10.7</v>
      </c>
      <c r="AD274" s="6">
        <v>10.050000000000001</v>
      </c>
      <c r="AE274" s="6">
        <v>10.83</v>
      </c>
      <c r="AF274" s="6">
        <v>10.119999999999999</v>
      </c>
      <c r="AG274" s="6">
        <v>9.7100000000000009</v>
      </c>
      <c r="AH274" s="6">
        <v>10.37</v>
      </c>
      <c r="AI274" s="6">
        <v>9.33</v>
      </c>
      <c r="AJ274" s="6">
        <v>10.47</v>
      </c>
      <c r="AK274" s="6">
        <v>9.86</v>
      </c>
      <c r="AL274" s="6">
        <v>9.8699999999999992</v>
      </c>
      <c r="AM274" s="6">
        <v>9.24</v>
      </c>
      <c r="AN274" s="6">
        <v>9.65</v>
      </c>
      <c r="AO274" s="6">
        <v>10.79</v>
      </c>
      <c r="AP274" s="6">
        <v>10.52</v>
      </c>
      <c r="AQ274" s="6">
        <v>9.67</v>
      </c>
      <c r="AR274" s="6">
        <v>9.83</v>
      </c>
      <c r="AS274" s="6">
        <v>9.91</v>
      </c>
      <c r="AT274" s="6">
        <v>10.19</v>
      </c>
      <c r="AU274" s="6">
        <v>9.64</v>
      </c>
      <c r="AV274" s="6">
        <v>10.85</v>
      </c>
      <c r="AW274" s="6">
        <v>10.45</v>
      </c>
      <c r="AX274" s="6">
        <v>7.8</v>
      </c>
      <c r="AY274" s="6">
        <v>9.1300000000000008</v>
      </c>
      <c r="AZ274" s="6">
        <v>10.64</v>
      </c>
      <c r="BA274" s="6">
        <v>9.6300000000000008</v>
      </c>
      <c r="BB274" s="6">
        <v>9.84</v>
      </c>
      <c r="BC274" s="6">
        <f>10.57+0.43</f>
        <v>11</v>
      </c>
      <c r="BD274" s="6">
        <v>8.58</v>
      </c>
      <c r="BE274" s="6">
        <v>10.49</v>
      </c>
      <c r="BF274" s="6">
        <v>7.47</v>
      </c>
      <c r="BG274" s="6">
        <v>10.67</v>
      </c>
      <c r="BH274" s="6">
        <v>8.86</v>
      </c>
      <c r="BI274" s="6">
        <v>9.81</v>
      </c>
      <c r="BJ274" s="6">
        <v>8.01</v>
      </c>
      <c r="BK274" s="6">
        <v>9.8699999999999992</v>
      </c>
      <c r="BL274" s="6">
        <v>9.89</v>
      </c>
      <c r="BM274" s="6">
        <v>10.029999999999999</v>
      </c>
      <c r="BN274" s="6">
        <v>8.8699999999999992</v>
      </c>
      <c r="BO274" s="6">
        <v>9.5</v>
      </c>
      <c r="BP274" s="6">
        <v>9.94</v>
      </c>
      <c r="BQ274" s="6">
        <v>9.5399999999999991</v>
      </c>
      <c r="BR274" s="6">
        <v>7.92</v>
      </c>
      <c r="BS274" s="6">
        <v>10.18</v>
      </c>
      <c r="BT274" s="6">
        <v>8.9</v>
      </c>
      <c r="BU274" s="6">
        <v>9.9600000000000009</v>
      </c>
      <c r="BV274" s="6">
        <v>9.129999999999999</v>
      </c>
      <c r="BW274" s="6">
        <v>9.7199999999999989</v>
      </c>
      <c r="BX274" s="6">
        <v>9.4599999999999991</v>
      </c>
      <c r="BY274" s="6">
        <v>10.129999999999999</v>
      </c>
      <c r="BZ274" s="6">
        <v>8.89</v>
      </c>
      <c r="CA274" s="6">
        <v>11.2</v>
      </c>
      <c r="CB274" s="6">
        <v>10.1</v>
      </c>
      <c r="CC274" s="6">
        <v>7.08</v>
      </c>
      <c r="CD274" s="6">
        <v>10.199999999999999</v>
      </c>
      <c r="CE274" s="6">
        <v>10.34</v>
      </c>
      <c r="CF274" s="6">
        <v>6.58</v>
      </c>
      <c r="CG274" s="6">
        <v>7.02</v>
      </c>
      <c r="CH274" s="6"/>
    </row>
    <row r="275" spans="1:86" ht="15.75" customHeight="1" x14ac:dyDescent="0.25">
      <c r="A275" s="4">
        <v>273</v>
      </c>
      <c r="B275" s="2"/>
      <c r="C275" s="4">
        <v>30</v>
      </c>
      <c r="D275" s="6">
        <v>10.63</v>
      </c>
      <c r="E275" s="6">
        <v>10.43</v>
      </c>
      <c r="F275" s="6">
        <v>9.6300000000000008</v>
      </c>
      <c r="G275" s="6">
        <v>10.53</v>
      </c>
      <c r="H275" s="6">
        <v>9.5299999999999994</v>
      </c>
      <c r="I275" s="6">
        <v>8.1300000000000008</v>
      </c>
      <c r="J275" s="6">
        <v>10.33</v>
      </c>
      <c r="K275" s="6">
        <v>9.1300000000000008</v>
      </c>
      <c r="L275" s="6">
        <v>10.53</v>
      </c>
      <c r="M275" s="6">
        <v>10.53</v>
      </c>
      <c r="N275" s="6">
        <v>9.58</v>
      </c>
      <c r="O275" s="6">
        <v>10.7</v>
      </c>
      <c r="P275" s="6">
        <v>8.18</v>
      </c>
      <c r="Q275" s="6">
        <v>10.82</v>
      </c>
      <c r="R275" s="6">
        <v>8.8800000000000008</v>
      </c>
      <c r="S275" s="6">
        <v>7.73</v>
      </c>
      <c r="T275" s="6">
        <v>9.6300000000000008</v>
      </c>
      <c r="U275" s="6">
        <v>9.75</v>
      </c>
      <c r="V275" s="6">
        <v>8.6300000000000008</v>
      </c>
      <c r="W275" s="6">
        <v>10.130000000000001</v>
      </c>
      <c r="X275" s="6">
        <v>9.75</v>
      </c>
      <c r="Y275" s="6">
        <v>9.68</v>
      </c>
      <c r="Z275" s="6">
        <v>9.1300000000000008</v>
      </c>
      <c r="AA275" s="6">
        <v>9.98</v>
      </c>
      <c r="AB275" s="6">
        <v>10.51</v>
      </c>
      <c r="AC275" s="6">
        <v>10.8</v>
      </c>
      <c r="AD275" s="6">
        <v>9.99</v>
      </c>
      <c r="AE275" s="6">
        <v>10.55</v>
      </c>
      <c r="AF275" s="6">
        <v>10.050000000000001</v>
      </c>
      <c r="AG275" s="6">
        <v>9.64</v>
      </c>
      <c r="AH275" s="6">
        <v>10.3</v>
      </c>
      <c r="AI275" s="6">
        <v>9.31</v>
      </c>
      <c r="AJ275" s="6">
        <v>10.33</v>
      </c>
      <c r="AK275" s="6">
        <v>9.77</v>
      </c>
      <c r="AL275" s="6">
        <v>9.7899999999999991</v>
      </c>
      <c r="AM275" s="6">
        <v>9.2100000000000009</v>
      </c>
      <c r="AN275" s="6">
        <v>9.59</v>
      </c>
      <c r="AO275" s="6">
        <v>10.74</v>
      </c>
      <c r="AP275" s="6">
        <v>10.47</v>
      </c>
      <c r="AQ275" s="6">
        <v>9.67</v>
      </c>
      <c r="AR275" s="6">
        <v>9.7899999999999991</v>
      </c>
      <c r="AS275" s="6">
        <v>9.8800000000000008</v>
      </c>
      <c r="AT275" s="6">
        <v>10.11</v>
      </c>
      <c r="AU275" s="6">
        <v>9.64</v>
      </c>
      <c r="AV275" s="6">
        <v>10.69</v>
      </c>
      <c r="AW275" s="6">
        <v>10.43</v>
      </c>
      <c r="AX275" s="6">
        <v>7.72</v>
      </c>
      <c r="AY275" s="6">
        <v>9.0299999999999994</v>
      </c>
      <c r="AZ275" s="6">
        <v>10.88</v>
      </c>
      <c r="BA275" s="6">
        <v>9.58</v>
      </c>
      <c r="BB275" s="6">
        <v>9.74</v>
      </c>
      <c r="BC275" s="6">
        <f>10.46+0.43</f>
        <v>10.89</v>
      </c>
      <c r="BD275" s="6">
        <v>8.4499999999999993</v>
      </c>
      <c r="BE275" s="6">
        <v>10.37</v>
      </c>
      <c r="BF275" s="6">
        <v>7.4</v>
      </c>
      <c r="BG275" s="6">
        <v>10.32</v>
      </c>
      <c r="BH275" s="6">
        <v>8.7799999999999994</v>
      </c>
      <c r="BI275" s="6">
        <v>10.01</v>
      </c>
      <c r="BJ275" s="6">
        <v>8.01</v>
      </c>
      <c r="BK275" s="6">
        <v>9.83</v>
      </c>
      <c r="BL275" s="6">
        <v>9.89</v>
      </c>
      <c r="BM275" s="6">
        <v>9.99</v>
      </c>
      <c r="BN275" s="6">
        <v>8.83</v>
      </c>
      <c r="BO275" s="6">
        <v>9.49</v>
      </c>
      <c r="BP275" s="6">
        <v>9.89</v>
      </c>
      <c r="BQ275" s="6">
        <v>9.59</v>
      </c>
      <c r="BR275" s="6">
        <v>7.81</v>
      </c>
      <c r="BS275" s="6">
        <v>10.029999999999999</v>
      </c>
      <c r="BT275" s="6">
        <v>8.7799999999999994</v>
      </c>
      <c r="BU275" s="6">
        <v>9.9700000000000006</v>
      </c>
      <c r="BV275" s="6">
        <v>9.09</v>
      </c>
      <c r="BW275" s="6">
        <v>9.68</v>
      </c>
      <c r="BX275" s="6">
        <v>9.4</v>
      </c>
      <c r="BY275" s="6">
        <v>10.049999999999999</v>
      </c>
      <c r="BZ275" s="6">
        <v>8.9699999999999989</v>
      </c>
      <c r="CA275" s="6">
        <v>11.28</v>
      </c>
      <c r="CB275" s="6">
        <v>9.9</v>
      </c>
      <c r="CC275" s="6">
        <v>7.1</v>
      </c>
      <c r="CD275" s="6">
        <v>10.11</v>
      </c>
      <c r="CE275" s="6">
        <v>10.28</v>
      </c>
      <c r="CF275" s="6">
        <v>6.43</v>
      </c>
      <c r="CG275" s="6">
        <v>6.92</v>
      </c>
      <c r="CH275" s="6"/>
    </row>
    <row r="276" spans="1:86" ht="15.75" customHeight="1" x14ac:dyDescent="0.25">
      <c r="A276" s="4">
        <v>274</v>
      </c>
      <c r="B276" s="2" t="s">
        <v>13</v>
      </c>
      <c r="C276" s="4">
        <v>1</v>
      </c>
      <c r="D276" s="6">
        <v>10.53</v>
      </c>
      <c r="E276" s="6">
        <v>10.43</v>
      </c>
      <c r="F276" s="6">
        <v>9.5299999999999994</v>
      </c>
      <c r="G276" s="6">
        <v>10.48</v>
      </c>
      <c r="H276" s="6">
        <v>9.43</v>
      </c>
      <c r="I276" s="6">
        <v>8.0299999999999994</v>
      </c>
      <c r="J276" s="6">
        <v>10.28</v>
      </c>
      <c r="K276" s="6">
        <v>9.08</v>
      </c>
      <c r="L276" s="6">
        <v>10.43</v>
      </c>
      <c r="M276" s="6">
        <v>10.33</v>
      </c>
      <c r="N276" s="6">
        <v>9.5299999999999994</v>
      </c>
      <c r="O276" s="6">
        <v>10.63</v>
      </c>
      <c r="P276" s="6">
        <v>8.18</v>
      </c>
      <c r="Q276" s="6">
        <v>10.81</v>
      </c>
      <c r="R276" s="6">
        <v>8.68</v>
      </c>
      <c r="S276" s="6">
        <v>7.53</v>
      </c>
      <c r="T276" s="6">
        <v>9.5299999999999994</v>
      </c>
      <c r="U276" s="6">
        <v>9.7100000000000009</v>
      </c>
      <c r="V276" s="6">
        <v>8.43</v>
      </c>
      <c r="W276" s="6">
        <v>10.029999999999999</v>
      </c>
      <c r="X276" s="6">
        <v>9.65</v>
      </c>
      <c r="Y276" s="6">
        <v>9.68</v>
      </c>
      <c r="Z276" s="6">
        <v>9.0500000000000007</v>
      </c>
      <c r="AA276" s="6">
        <v>9.91</v>
      </c>
      <c r="AB276" s="6">
        <v>10.51</v>
      </c>
      <c r="AC276" s="6">
        <v>10.84</v>
      </c>
      <c r="AD276" s="6">
        <v>9.92</v>
      </c>
      <c r="AE276" s="6">
        <v>10.81</v>
      </c>
      <c r="AF276" s="6">
        <v>9.9499999999999993</v>
      </c>
      <c r="AG276" s="6">
        <v>9.65</v>
      </c>
      <c r="AH276" s="6">
        <v>10.220000000000001</v>
      </c>
      <c r="AI276" s="6">
        <v>9.24</v>
      </c>
      <c r="AJ276" s="6">
        <v>10.119999999999999</v>
      </c>
      <c r="AK276" s="6">
        <v>9.68</v>
      </c>
      <c r="AL276" s="6">
        <v>9.7899999999999991</v>
      </c>
      <c r="AM276" s="6">
        <v>9.16</v>
      </c>
      <c r="AN276" s="6">
        <v>9.49</v>
      </c>
      <c r="AO276" s="6">
        <v>10.61</v>
      </c>
      <c r="AP276" s="6">
        <v>10.43</v>
      </c>
      <c r="AQ276" s="6">
        <v>9.59</v>
      </c>
      <c r="AR276" s="6">
        <v>9.7200000000000006</v>
      </c>
      <c r="AS276" s="6">
        <v>9.83</v>
      </c>
      <c r="AT276" s="6">
        <v>10.08</v>
      </c>
      <c r="AU276" s="6">
        <v>9.56</v>
      </c>
      <c r="AV276" s="6">
        <v>10.52</v>
      </c>
      <c r="AW276" s="6">
        <v>10.37</v>
      </c>
      <c r="AX276" s="6">
        <v>7.69</v>
      </c>
      <c r="AY276" s="6">
        <v>8.93</v>
      </c>
      <c r="AZ276" s="6">
        <v>10.88</v>
      </c>
      <c r="BA276" s="6">
        <v>9.5299999999999994</v>
      </c>
      <c r="BB276" s="6">
        <v>9.69</v>
      </c>
      <c r="BC276" s="6">
        <f>10.36+0.43</f>
        <v>10.79</v>
      </c>
      <c r="BD276" s="6">
        <v>8.33</v>
      </c>
      <c r="BE276" s="6">
        <v>10.28</v>
      </c>
      <c r="BF276" s="6">
        <v>7.31</v>
      </c>
      <c r="BG276" s="6">
        <v>10.18</v>
      </c>
      <c r="BH276" s="6">
        <v>8.75</v>
      </c>
      <c r="BI276" s="6">
        <v>10.09</v>
      </c>
      <c r="BJ276" s="6">
        <v>7.95</v>
      </c>
      <c r="BK276" s="6">
        <v>9.67</v>
      </c>
      <c r="BL276" s="6">
        <v>9.89</v>
      </c>
      <c r="BM276" s="6">
        <v>9.91</v>
      </c>
      <c r="BN276" s="6">
        <v>8.74</v>
      </c>
      <c r="BO276" s="6">
        <v>9.4</v>
      </c>
      <c r="BP276" s="6">
        <v>9.85</v>
      </c>
      <c r="BQ276" s="6">
        <v>9.61</v>
      </c>
      <c r="BR276" s="6">
        <v>7.72</v>
      </c>
      <c r="BS276" s="6">
        <v>10.07</v>
      </c>
      <c r="BT276" s="6">
        <v>8.68</v>
      </c>
      <c r="BU276" s="6">
        <v>9.93</v>
      </c>
      <c r="BV276" s="6">
        <v>9.09</v>
      </c>
      <c r="BW276" s="6">
        <v>9.66</v>
      </c>
      <c r="BX276" s="6">
        <v>9.26</v>
      </c>
      <c r="BY276" s="6">
        <v>9.99</v>
      </c>
      <c r="BZ276" s="6">
        <v>8.92</v>
      </c>
      <c r="CA276" s="6">
        <v>11.13</v>
      </c>
      <c r="CB276" s="6">
        <v>9.91</v>
      </c>
      <c r="CC276" s="6">
        <v>7.01</v>
      </c>
      <c r="CD276" s="6">
        <v>10.049999999999999</v>
      </c>
      <c r="CE276" s="6">
        <v>10.219999999999999</v>
      </c>
      <c r="CF276" s="6">
        <v>6.26</v>
      </c>
      <c r="CG276" s="6">
        <v>6.86</v>
      </c>
      <c r="CH276" s="6"/>
    </row>
    <row r="277" spans="1:86" ht="15.75" customHeight="1" x14ac:dyDescent="0.25">
      <c r="A277" s="4">
        <v>275</v>
      </c>
      <c r="B277" s="2"/>
      <c r="C277" s="4">
        <v>2</v>
      </c>
      <c r="D277" s="6">
        <v>10.43</v>
      </c>
      <c r="E277" s="6">
        <v>10.43</v>
      </c>
      <c r="F277" s="6">
        <v>9.43</v>
      </c>
      <c r="G277" s="6">
        <v>10.33</v>
      </c>
      <c r="H277" s="6">
        <v>9.33</v>
      </c>
      <c r="I277" s="6">
        <v>7.98</v>
      </c>
      <c r="J277" s="6">
        <v>10.23</v>
      </c>
      <c r="K277" s="6">
        <v>9.0299999999999994</v>
      </c>
      <c r="L277" s="6">
        <v>10.33</v>
      </c>
      <c r="M277" s="6">
        <v>10.33</v>
      </c>
      <c r="N277" s="6">
        <v>9.48</v>
      </c>
      <c r="O277" s="6">
        <v>10.55</v>
      </c>
      <c r="P277" s="6">
        <v>8.18</v>
      </c>
      <c r="Q277" s="6">
        <v>10.73</v>
      </c>
      <c r="R277" s="6">
        <v>8.5299999999999994</v>
      </c>
      <c r="S277" s="6">
        <v>7.28</v>
      </c>
      <c r="T277" s="6">
        <v>9.43</v>
      </c>
      <c r="U277" s="6">
        <v>9.6300000000000008</v>
      </c>
      <c r="V277" s="6">
        <v>8.3699999999999992</v>
      </c>
      <c r="W277" s="6">
        <v>9.93</v>
      </c>
      <c r="X277" s="6">
        <v>9.5500000000000007</v>
      </c>
      <c r="Y277" s="6">
        <v>9.61</v>
      </c>
      <c r="Z277" s="6">
        <v>9.01</v>
      </c>
      <c r="AA277" s="6">
        <v>9.84</v>
      </c>
      <c r="AB277" s="6">
        <v>10.52</v>
      </c>
      <c r="AC277" s="6">
        <v>10.84</v>
      </c>
      <c r="AD277" s="6">
        <v>9.75</v>
      </c>
      <c r="AE277" s="6">
        <v>10.49</v>
      </c>
      <c r="AF277" s="6">
        <v>9.8800000000000008</v>
      </c>
      <c r="AG277" s="6">
        <v>9.66</v>
      </c>
      <c r="AH277" s="6">
        <v>10.11</v>
      </c>
      <c r="AI277" s="6">
        <v>9.15</v>
      </c>
      <c r="AJ277" s="6">
        <v>9.9700000000000006</v>
      </c>
      <c r="AK277" s="6">
        <v>9.59</v>
      </c>
      <c r="AL277" s="6">
        <v>9.67</v>
      </c>
      <c r="AM277" s="6">
        <v>9.09</v>
      </c>
      <c r="AN277" s="6">
        <v>9.34</v>
      </c>
      <c r="AO277" s="6">
        <v>10.49</v>
      </c>
      <c r="AP277" s="6">
        <v>10.3</v>
      </c>
      <c r="AQ277" s="6">
        <v>9.5299999999999994</v>
      </c>
      <c r="AR277" s="6">
        <v>9.68</v>
      </c>
      <c r="AS277" s="6">
        <v>9.73</v>
      </c>
      <c r="AT277" s="6">
        <v>10.050000000000001</v>
      </c>
      <c r="AU277" s="6">
        <v>9.5299999999999994</v>
      </c>
      <c r="AV277" s="6">
        <v>10.42</v>
      </c>
      <c r="AW277" s="6">
        <v>10.19</v>
      </c>
      <c r="AX277" s="6">
        <v>7.65</v>
      </c>
      <c r="AY277" s="6">
        <v>8.83</v>
      </c>
      <c r="AZ277" s="6">
        <v>10.88</v>
      </c>
      <c r="BA277" s="6">
        <v>9.4600000000000009</v>
      </c>
      <c r="BB277" s="6">
        <v>9.59</v>
      </c>
      <c r="BC277" s="6">
        <f>10.24+0.43</f>
        <v>10.67</v>
      </c>
      <c r="BD277" s="6">
        <v>8.23</v>
      </c>
      <c r="BE277" s="6">
        <v>10.28</v>
      </c>
      <c r="BF277" s="6">
        <v>7.22</v>
      </c>
      <c r="BG277" s="6">
        <v>10.029999999999999</v>
      </c>
      <c r="BH277" s="6">
        <v>8.7200000000000006</v>
      </c>
      <c r="BI277" s="6">
        <v>10.11</v>
      </c>
      <c r="BJ277" s="6">
        <v>7.92</v>
      </c>
      <c r="BK277" s="6">
        <v>9.6300000000000008</v>
      </c>
      <c r="BL277" s="6">
        <v>9.8000000000000007</v>
      </c>
      <c r="BM277" s="6">
        <v>9.84</v>
      </c>
      <c r="BN277" s="6">
        <v>8.6199999999999992</v>
      </c>
      <c r="BO277" s="6">
        <v>9.24</v>
      </c>
      <c r="BP277" s="6">
        <v>9.81</v>
      </c>
      <c r="BQ277" s="6">
        <v>9.43</v>
      </c>
      <c r="BR277" s="6">
        <v>7.62</v>
      </c>
      <c r="BS277" s="6">
        <v>9.98</v>
      </c>
      <c r="BT277" s="6">
        <v>8.67</v>
      </c>
      <c r="BU277" s="6">
        <v>9.86</v>
      </c>
      <c r="BV277" s="6">
        <v>8.99</v>
      </c>
      <c r="BW277" s="6">
        <v>9.57</v>
      </c>
      <c r="BX277" s="6">
        <v>9.11</v>
      </c>
      <c r="BY277" s="6">
        <v>9.879999999999999</v>
      </c>
      <c r="BZ277" s="6">
        <v>8.49</v>
      </c>
      <c r="CA277" s="6">
        <v>10.95</v>
      </c>
      <c r="CB277" s="6">
        <v>9.8099999999999987</v>
      </c>
      <c r="CC277" s="6">
        <v>6.92</v>
      </c>
      <c r="CD277" s="6">
        <v>10.01</v>
      </c>
      <c r="CE277" s="6">
        <v>10.219999999999999</v>
      </c>
      <c r="CF277" s="6">
        <v>6.09</v>
      </c>
      <c r="CG277" s="6">
        <v>6.69</v>
      </c>
      <c r="CH277" s="6"/>
    </row>
    <row r="278" spans="1:86" ht="15.75" customHeight="1" x14ac:dyDescent="0.25">
      <c r="A278" s="4">
        <v>276</v>
      </c>
      <c r="B278" s="2"/>
      <c r="C278" s="4">
        <v>3</v>
      </c>
      <c r="D278" s="6">
        <v>10.38</v>
      </c>
      <c r="E278" s="6">
        <v>10.33</v>
      </c>
      <c r="F278" s="6">
        <v>9.33</v>
      </c>
      <c r="G278" s="6">
        <v>10.23</v>
      </c>
      <c r="H278" s="6">
        <v>9.23</v>
      </c>
      <c r="I278" s="6">
        <v>7.98</v>
      </c>
      <c r="J278" s="6">
        <v>10.130000000000001</v>
      </c>
      <c r="K278" s="6">
        <v>8.93</v>
      </c>
      <c r="L278" s="6">
        <v>10.23</v>
      </c>
      <c r="M278" s="6">
        <v>10.23</v>
      </c>
      <c r="N278" s="6">
        <v>9.43</v>
      </c>
      <c r="O278" s="6">
        <v>10.48</v>
      </c>
      <c r="P278" s="6">
        <v>8</v>
      </c>
      <c r="Q278" s="6">
        <v>10.71</v>
      </c>
      <c r="R278" s="6">
        <v>8.3800000000000008</v>
      </c>
      <c r="S278" s="6">
        <v>7.03</v>
      </c>
      <c r="T278" s="6">
        <v>9.33</v>
      </c>
      <c r="U278" s="6">
        <v>9.6300000000000008</v>
      </c>
      <c r="V278" s="6">
        <v>8.23</v>
      </c>
      <c r="W278" s="6">
        <v>9.83</v>
      </c>
      <c r="X278" s="6">
        <v>9.4499999999999993</v>
      </c>
      <c r="Y278" s="6">
        <v>9.61</v>
      </c>
      <c r="Z278" s="6">
        <v>8.9499999999999993</v>
      </c>
      <c r="AA278" s="6">
        <v>9.7799999999999994</v>
      </c>
      <c r="AB278" s="6">
        <v>10.53</v>
      </c>
      <c r="AC278" s="6">
        <v>10.77</v>
      </c>
      <c r="AD278" s="6">
        <v>9.61</v>
      </c>
      <c r="AE278" s="6">
        <v>10.77</v>
      </c>
      <c r="AF278" s="6">
        <v>9.7899999999999991</v>
      </c>
      <c r="AG278" s="6">
        <v>9.76</v>
      </c>
      <c r="AH278" s="6">
        <v>10</v>
      </c>
      <c r="AI278" s="6">
        <v>9.11</v>
      </c>
      <c r="AJ278" s="6">
        <v>9.83</v>
      </c>
      <c r="AK278" s="6">
        <v>9.48</v>
      </c>
      <c r="AL278" s="6">
        <v>9.6300000000000008</v>
      </c>
      <c r="AM278" s="6">
        <v>9.01</v>
      </c>
      <c r="AN278" s="6">
        <v>9.23</v>
      </c>
      <c r="AO278" s="6">
        <v>10.47</v>
      </c>
      <c r="AP278" s="6">
        <v>10.199999999999999</v>
      </c>
      <c r="AQ278" s="6">
        <v>9.4700000000000006</v>
      </c>
      <c r="AR278" s="6">
        <v>9.64</v>
      </c>
      <c r="AS278" s="6">
        <v>9.27</v>
      </c>
      <c r="AT278" s="6">
        <v>9.99</v>
      </c>
      <c r="AU278" s="6">
        <v>9.49</v>
      </c>
      <c r="AV278" s="6">
        <v>10.42</v>
      </c>
      <c r="AW278" s="6">
        <v>10.11</v>
      </c>
      <c r="AX278" s="6">
        <v>7.72</v>
      </c>
      <c r="AY278" s="6">
        <v>8.7799999999999994</v>
      </c>
      <c r="AZ278" s="6">
        <v>10.68</v>
      </c>
      <c r="BA278" s="6">
        <v>9.3699999999999992</v>
      </c>
      <c r="BB278" s="6">
        <v>9.49</v>
      </c>
      <c r="BC278" s="6">
        <f>10.1+0.43</f>
        <v>10.53</v>
      </c>
      <c r="BD278" s="6">
        <v>8.2100000000000009</v>
      </c>
      <c r="BE278" s="6">
        <v>10.33</v>
      </c>
      <c r="BF278" s="6">
        <v>7.13</v>
      </c>
      <c r="BG278" s="6">
        <v>10.029999999999999</v>
      </c>
      <c r="BH278" s="6">
        <v>8.84</v>
      </c>
      <c r="BI278" s="6">
        <v>9.9</v>
      </c>
      <c r="BJ278" s="6">
        <v>7.88</v>
      </c>
      <c r="BK278" s="6">
        <v>9.5500000000000007</v>
      </c>
      <c r="BL278" s="6">
        <v>9.73</v>
      </c>
      <c r="BM278" s="6">
        <v>9.74</v>
      </c>
      <c r="BN278" s="6">
        <v>8.5500000000000007</v>
      </c>
      <c r="BO278" s="6">
        <v>8.9700000000000006</v>
      </c>
      <c r="BP278" s="6">
        <v>9.81</v>
      </c>
      <c r="BQ278" s="6">
        <v>9.3000000000000007</v>
      </c>
      <c r="BR278" s="6">
        <v>7.59</v>
      </c>
      <c r="BS278" s="6">
        <v>9.94</v>
      </c>
      <c r="BT278" s="6">
        <v>8.5</v>
      </c>
      <c r="BU278" s="6">
        <v>9.77</v>
      </c>
      <c r="BV278" s="6">
        <v>9.0280000000000005</v>
      </c>
      <c r="BW278" s="6">
        <v>9.5</v>
      </c>
      <c r="BX278" s="6">
        <v>8.9599999999999991</v>
      </c>
      <c r="BY278" s="6">
        <v>9.77</v>
      </c>
      <c r="BZ278" s="6">
        <v>8.27</v>
      </c>
      <c r="CA278" s="6">
        <v>10.89</v>
      </c>
      <c r="CB278" s="6">
        <v>9.4599999999999991</v>
      </c>
      <c r="CC278" s="6">
        <v>6.92</v>
      </c>
      <c r="CD278" s="6">
        <v>10</v>
      </c>
      <c r="CE278" s="6">
        <v>10.15</v>
      </c>
      <c r="CF278" s="6">
        <v>5.98</v>
      </c>
      <c r="CG278" s="6">
        <v>6.55</v>
      </c>
      <c r="CH278" s="6"/>
    </row>
    <row r="279" spans="1:86" ht="15.75" customHeight="1" x14ac:dyDescent="0.25">
      <c r="A279" s="4">
        <v>277</v>
      </c>
      <c r="B279" s="2"/>
      <c r="C279" s="4">
        <v>4</v>
      </c>
      <c r="D279" s="6">
        <v>10.33</v>
      </c>
      <c r="E279" s="6">
        <v>10.28</v>
      </c>
      <c r="F279" s="6">
        <v>9.18</v>
      </c>
      <c r="G279" s="6">
        <v>10.130000000000001</v>
      </c>
      <c r="H279" s="6">
        <v>9.1300000000000008</v>
      </c>
      <c r="I279" s="6">
        <v>7.93</v>
      </c>
      <c r="J279" s="6">
        <v>10.08</v>
      </c>
      <c r="K279" s="6">
        <v>8.83</v>
      </c>
      <c r="L279" s="6">
        <v>10.23</v>
      </c>
      <c r="M279" s="6">
        <v>10.23</v>
      </c>
      <c r="N279" s="6">
        <v>9.3800000000000008</v>
      </c>
      <c r="O279" s="6">
        <v>10.41</v>
      </c>
      <c r="P279" s="6">
        <v>7.88</v>
      </c>
      <c r="Q279" s="6">
        <v>10.71</v>
      </c>
      <c r="R279" s="6">
        <v>8.18</v>
      </c>
      <c r="S279" s="6">
        <v>6.83</v>
      </c>
      <c r="T279" s="6">
        <v>9.2799999999999994</v>
      </c>
      <c r="U279" s="6">
        <v>9.48</v>
      </c>
      <c r="V279" s="6">
        <v>8.0299999999999994</v>
      </c>
      <c r="W279" s="6">
        <v>9.73</v>
      </c>
      <c r="X279" s="6">
        <v>9.3800000000000008</v>
      </c>
      <c r="Y279" s="6">
        <v>9.5299999999999994</v>
      </c>
      <c r="Z279" s="6">
        <v>8.8800000000000008</v>
      </c>
      <c r="AA279" s="6">
        <v>9.75</v>
      </c>
      <c r="AB279" s="6">
        <v>10.47</v>
      </c>
      <c r="AC279" s="6">
        <v>10.66</v>
      </c>
      <c r="AD279" s="6">
        <v>9.5</v>
      </c>
      <c r="AE279" s="6">
        <v>10.89</v>
      </c>
      <c r="AF279" s="6">
        <v>9.7200000000000006</v>
      </c>
      <c r="AG279" s="6">
        <v>9.5</v>
      </c>
      <c r="AH279" s="6">
        <v>9.9499999999999993</v>
      </c>
      <c r="AI279" s="6">
        <v>9.07</v>
      </c>
      <c r="AJ279" s="6">
        <v>9.7100000000000009</v>
      </c>
      <c r="AK279" s="6">
        <v>9.36</v>
      </c>
      <c r="AL279" s="6">
        <v>9.58</v>
      </c>
      <c r="AM279" s="6">
        <v>8.8699999999999992</v>
      </c>
      <c r="AN279" s="6">
        <v>9</v>
      </c>
      <c r="AO279" s="6">
        <v>10.37</v>
      </c>
      <c r="AP279" s="6">
        <v>10.119999999999999</v>
      </c>
      <c r="AQ279" s="6">
        <v>9.4</v>
      </c>
      <c r="AR279" s="6">
        <v>9.5500000000000007</v>
      </c>
      <c r="AS279" s="6">
        <v>9.31</v>
      </c>
      <c r="AT279" s="6">
        <v>9.94</v>
      </c>
      <c r="AU279" s="6">
        <v>9.4499999999999993</v>
      </c>
      <c r="AV279" s="6">
        <v>10.42</v>
      </c>
      <c r="AW279" s="6">
        <v>10.050000000000001</v>
      </c>
      <c r="AX279" s="6">
        <v>7.76</v>
      </c>
      <c r="AY279" s="6">
        <v>8.73</v>
      </c>
      <c r="AZ279" s="6">
        <v>10.56</v>
      </c>
      <c r="BA279" s="6">
        <v>9.2799999999999994</v>
      </c>
      <c r="BB279" s="6">
        <v>9.36</v>
      </c>
      <c r="BC279" s="6">
        <f>9.94+0.43</f>
        <v>10.37</v>
      </c>
      <c r="BD279" s="6">
        <v>8.1300000000000008</v>
      </c>
      <c r="BE279" s="6">
        <v>10.23</v>
      </c>
      <c r="BF279" s="6">
        <v>7.04</v>
      </c>
      <c r="BG279" s="6">
        <v>10.029999999999999</v>
      </c>
      <c r="BH279" s="6">
        <v>8.98</v>
      </c>
      <c r="BI279" s="6">
        <v>9.7799999999999994</v>
      </c>
      <c r="BJ279" s="6">
        <v>7.85</v>
      </c>
      <c r="BK279" s="6">
        <v>9.4600000000000009</v>
      </c>
      <c r="BL279" s="6">
        <v>9.6199999999999992</v>
      </c>
      <c r="BM279" s="6">
        <v>9.69</v>
      </c>
      <c r="BN279" s="6">
        <v>8.4600000000000009</v>
      </c>
      <c r="BO279" s="6">
        <v>8.9</v>
      </c>
      <c r="BP279" s="6">
        <v>9.85</v>
      </c>
      <c r="BQ279" s="6">
        <v>9.1199999999999992</v>
      </c>
      <c r="BR279" s="6">
        <v>7.53</v>
      </c>
      <c r="BS279" s="6">
        <v>10.08</v>
      </c>
      <c r="BT279" s="6">
        <v>8.36</v>
      </c>
      <c r="BU279" s="6">
        <v>9.64</v>
      </c>
      <c r="BV279" s="6">
        <v>8.9740000000000002</v>
      </c>
      <c r="BW279" s="6">
        <v>9.39</v>
      </c>
      <c r="BX279" s="6">
        <v>8.83</v>
      </c>
      <c r="BY279" s="6">
        <v>9.7099999999999991</v>
      </c>
      <c r="BZ279" s="6">
        <v>8.32</v>
      </c>
      <c r="CA279" s="6">
        <v>10.83</v>
      </c>
      <c r="CB279" s="6">
        <v>9.27</v>
      </c>
      <c r="CC279" s="6">
        <v>6.92</v>
      </c>
      <c r="CD279" s="6">
        <v>9.94</v>
      </c>
      <c r="CE279" s="6">
        <v>10.119999999999999</v>
      </c>
      <c r="CF279" s="6">
        <v>5.84</v>
      </c>
      <c r="CG279" s="6">
        <v>6.5</v>
      </c>
      <c r="CH279" s="6"/>
    </row>
    <row r="280" spans="1:86" ht="15.75" customHeight="1" x14ac:dyDescent="0.25">
      <c r="A280" s="4">
        <v>278</v>
      </c>
      <c r="B280" s="2"/>
      <c r="C280" s="4">
        <v>5</v>
      </c>
      <c r="D280" s="6">
        <v>10.33</v>
      </c>
      <c r="E280" s="6">
        <v>10.130000000000001</v>
      </c>
      <c r="F280" s="6">
        <v>9.0299999999999994</v>
      </c>
      <c r="G280" s="6">
        <v>10.08</v>
      </c>
      <c r="H280" s="6">
        <v>9.1300000000000008</v>
      </c>
      <c r="I280" s="6">
        <v>7.93</v>
      </c>
      <c r="J280" s="6">
        <v>10.029999999999999</v>
      </c>
      <c r="K280" s="6">
        <v>8.73</v>
      </c>
      <c r="L280" s="6">
        <v>10.18</v>
      </c>
      <c r="M280" s="6">
        <v>10.130000000000001</v>
      </c>
      <c r="N280" s="6">
        <v>9.33</v>
      </c>
      <c r="O280" s="6">
        <v>10.33</v>
      </c>
      <c r="P280" s="6">
        <v>7.93</v>
      </c>
      <c r="Q280" s="6">
        <v>10.73</v>
      </c>
      <c r="R280" s="6">
        <v>8.0299999999999994</v>
      </c>
      <c r="S280" s="6">
        <v>6.68</v>
      </c>
      <c r="T280" s="6">
        <v>9.33</v>
      </c>
      <c r="U280" s="6">
        <v>9.43</v>
      </c>
      <c r="V280" s="6">
        <v>7.87</v>
      </c>
      <c r="W280" s="6">
        <v>9.6300000000000008</v>
      </c>
      <c r="X280" s="6">
        <v>9.35</v>
      </c>
      <c r="Y280" s="6">
        <v>9.43</v>
      </c>
      <c r="Z280" s="6">
        <v>8.7799999999999994</v>
      </c>
      <c r="AA280" s="6">
        <v>9.66</v>
      </c>
      <c r="AB280" s="6">
        <v>10.4</v>
      </c>
      <c r="AC280" s="6">
        <v>10.51</v>
      </c>
      <c r="AD280" s="6">
        <v>9.4499999999999993</v>
      </c>
      <c r="AE280" s="6">
        <v>10.89</v>
      </c>
      <c r="AF280" s="6">
        <v>9.65</v>
      </c>
      <c r="AG280" s="6">
        <v>9.26</v>
      </c>
      <c r="AH280" s="6">
        <v>9.9</v>
      </c>
      <c r="AI280" s="6">
        <v>9.17</v>
      </c>
      <c r="AJ280" s="6">
        <v>9.61</v>
      </c>
      <c r="AK280" s="6">
        <v>9.27</v>
      </c>
      <c r="AL280" s="6">
        <v>9.51</v>
      </c>
      <c r="AM280" s="6">
        <v>8.81</v>
      </c>
      <c r="AN280" s="6">
        <v>8.94</v>
      </c>
      <c r="AO280" s="6">
        <v>10.31</v>
      </c>
      <c r="AP280" s="6">
        <v>10.039999999999999</v>
      </c>
      <c r="AQ280" s="6">
        <v>9.31</v>
      </c>
      <c r="AR280" s="6">
        <v>9.5</v>
      </c>
      <c r="AS280" s="6">
        <v>9.2200000000000006</v>
      </c>
      <c r="AT280" s="6">
        <v>9.89</v>
      </c>
      <c r="AU280" s="6">
        <v>9.44</v>
      </c>
      <c r="AV280" s="6">
        <v>10.38</v>
      </c>
      <c r="AW280" s="6">
        <v>9.93</v>
      </c>
      <c r="AX280" s="6">
        <v>7.86</v>
      </c>
      <c r="AY280" s="6">
        <v>8.6300000000000008</v>
      </c>
      <c r="AZ280" s="6">
        <v>10.42</v>
      </c>
      <c r="BA280" s="6">
        <v>9.0299999999999994</v>
      </c>
      <c r="BB280" s="6">
        <v>9.36</v>
      </c>
      <c r="BC280" s="6">
        <f>9.84+0.43</f>
        <v>10.27</v>
      </c>
      <c r="BD280" s="6">
        <v>7.99</v>
      </c>
      <c r="BE280" s="6">
        <v>10.18</v>
      </c>
      <c r="BF280" s="6">
        <v>6.95</v>
      </c>
      <c r="BG280" s="6">
        <v>9.98</v>
      </c>
      <c r="BH280" s="6">
        <v>9.02</v>
      </c>
      <c r="BI280" s="6">
        <v>9.6999999999999993</v>
      </c>
      <c r="BJ280" s="6">
        <v>7.83</v>
      </c>
      <c r="BK280" s="6">
        <v>9.33</v>
      </c>
      <c r="BL280" s="6">
        <v>9.5399999999999991</v>
      </c>
      <c r="BM280" s="6">
        <v>9.68</v>
      </c>
      <c r="BN280" s="6">
        <v>8.3699999999999992</v>
      </c>
      <c r="BO280" s="6">
        <v>8.9700000000000006</v>
      </c>
      <c r="BP280" s="6">
        <v>9.76</v>
      </c>
      <c r="BQ280" s="6">
        <v>9.01</v>
      </c>
      <c r="BR280" s="6">
        <v>7.3</v>
      </c>
      <c r="BS280" s="6">
        <v>9.73</v>
      </c>
      <c r="BT280" s="6">
        <v>8.2200000000000006</v>
      </c>
      <c r="BU280" s="6">
        <v>9.5399999999999991</v>
      </c>
      <c r="BV280" s="6">
        <v>8.879999999999999</v>
      </c>
      <c r="BW280" s="6">
        <v>9.26</v>
      </c>
      <c r="BX280" s="6">
        <v>8.69</v>
      </c>
      <c r="BY280" s="6">
        <v>9.629999999999999</v>
      </c>
      <c r="BZ280" s="6">
        <v>8.23</v>
      </c>
      <c r="CA280" s="6">
        <v>10.79</v>
      </c>
      <c r="CB280" s="6">
        <v>9.0899999999999981</v>
      </c>
      <c r="CC280" s="6">
        <v>6.77</v>
      </c>
      <c r="CD280" s="6">
        <v>9.91</v>
      </c>
      <c r="CE280" s="6">
        <v>10.199999999999999</v>
      </c>
      <c r="CF280" s="6">
        <v>5.7</v>
      </c>
      <c r="CG280" s="6">
        <v>6.34</v>
      </c>
      <c r="CH280" s="6"/>
    </row>
    <row r="281" spans="1:86" ht="15.75" customHeight="1" x14ac:dyDescent="0.25">
      <c r="A281" s="4">
        <v>279</v>
      </c>
      <c r="B281" s="2"/>
      <c r="C281" s="4">
        <v>6</v>
      </c>
      <c r="D281" s="6">
        <v>10.23</v>
      </c>
      <c r="E281" s="6">
        <v>9.98</v>
      </c>
      <c r="F281" s="6">
        <v>8.93</v>
      </c>
      <c r="G281" s="6">
        <v>10.029999999999999</v>
      </c>
      <c r="H281" s="6">
        <v>9.1300000000000008</v>
      </c>
      <c r="I281" s="6">
        <v>7.83</v>
      </c>
      <c r="J281" s="6">
        <v>9.93</v>
      </c>
      <c r="K281" s="6">
        <v>8.73</v>
      </c>
      <c r="L281" s="6">
        <v>10.18</v>
      </c>
      <c r="M281" s="6">
        <v>10.029999999999999</v>
      </c>
      <c r="N281" s="6">
        <v>9.23</v>
      </c>
      <c r="O281" s="6">
        <v>10.28</v>
      </c>
      <c r="P281" s="6">
        <v>7.99</v>
      </c>
      <c r="Q281" s="6">
        <v>10.75</v>
      </c>
      <c r="R281" s="6">
        <v>7.88</v>
      </c>
      <c r="S281" s="6">
        <v>6.53</v>
      </c>
      <c r="T281" s="6">
        <v>9.14</v>
      </c>
      <c r="U281" s="6">
        <v>9.33</v>
      </c>
      <c r="V281" s="6">
        <v>7.73</v>
      </c>
      <c r="W281" s="6">
        <v>9.6</v>
      </c>
      <c r="X281" s="6">
        <v>9.31</v>
      </c>
      <c r="Y281" s="6">
        <v>9.43</v>
      </c>
      <c r="Z281" s="6">
        <v>8.69</v>
      </c>
      <c r="AA281" s="6">
        <v>9.5399999999999991</v>
      </c>
      <c r="AB281" s="6">
        <v>10.27</v>
      </c>
      <c r="AC281" s="6">
        <v>10.44</v>
      </c>
      <c r="AD281" s="6">
        <v>9.4499999999999993</v>
      </c>
      <c r="AE281" s="6">
        <v>10.79</v>
      </c>
      <c r="AF281" s="6">
        <v>9.6300000000000008</v>
      </c>
      <c r="AG281" s="6">
        <v>9.24</v>
      </c>
      <c r="AH281" s="6">
        <v>9.8699999999999992</v>
      </c>
      <c r="AI281" s="6">
        <v>9.31</v>
      </c>
      <c r="AJ281" s="6">
        <v>9.5299999999999994</v>
      </c>
      <c r="AK281" s="6">
        <v>9.2100000000000009</v>
      </c>
      <c r="AL281" s="6">
        <v>9.41</v>
      </c>
      <c r="AM281" s="6">
        <v>8.73</v>
      </c>
      <c r="AN281" s="6">
        <v>8.99</v>
      </c>
      <c r="AO281" s="6">
        <v>10.29</v>
      </c>
      <c r="AP281" s="6">
        <v>9.9</v>
      </c>
      <c r="AQ281" s="6">
        <v>9.2100000000000009</v>
      </c>
      <c r="AR281" s="6">
        <v>9.52</v>
      </c>
      <c r="AS281" s="6">
        <v>9.5</v>
      </c>
      <c r="AT281" s="6">
        <v>9.83</v>
      </c>
      <c r="AU281" s="6">
        <v>9.5299999999999994</v>
      </c>
      <c r="AV281" s="6">
        <v>10.36</v>
      </c>
      <c r="AW281" s="6">
        <v>9.81</v>
      </c>
      <c r="AX281" s="6">
        <v>7.89</v>
      </c>
      <c r="AY281" s="6">
        <v>8.57</v>
      </c>
      <c r="AZ281" s="6">
        <v>10.28</v>
      </c>
      <c r="BA281" s="6">
        <v>9.0299999999999994</v>
      </c>
      <c r="BB281" s="6">
        <v>9.32</v>
      </c>
      <c r="BC281" s="6">
        <f t="shared" ref="BC281:BC282" si="14">9.86+0.43</f>
        <v>10.29</v>
      </c>
      <c r="BD281" s="6">
        <v>7.88</v>
      </c>
      <c r="BE281" s="6">
        <v>10.09</v>
      </c>
      <c r="BF281" s="6">
        <v>6.76</v>
      </c>
      <c r="BG281" s="6">
        <v>9.9700000000000006</v>
      </c>
      <c r="BH281" s="6">
        <v>9.1199999999999992</v>
      </c>
      <c r="BI281" s="6">
        <v>9.66</v>
      </c>
      <c r="BJ281" s="6">
        <v>7.8</v>
      </c>
      <c r="BK281" s="6">
        <v>9.23</v>
      </c>
      <c r="BL281" s="6">
        <v>9.4600000000000009</v>
      </c>
      <c r="BM281" s="6">
        <v>9.6300000000000008</v>
      </c>
      <c r="BN281" s="6">
        <v>8.25</v>
      </c>
      <c r="BO281" s="6">
        <v>8.9</v>
      </c>
      <c r="BP281" s="6">
        <v>9.61</v>
      </c>
      <c r="BQ281" s="6">
        <v>8.94</v>
      </c>
      <c r="BR281" s="6">
        <v>7.21</v>
      </c>
      <c r="BS281" s="6">
        <v>9.48</v>
      </c>
      <c r="BT281" s="6">
        <v>8.1300000000000008</v>
      </c>
      <c r="BU281" s="6">
        <v>9.4</v>
      </c>
      <c r="BV281" s="6">
        <v>8.85</v>
      </c>
      <c r="BW281" s="6">
        <v>9.19</v>
      </c>
      <c r="BX281" s="6">
        <v>8.5499999999999989</v>
      </c>
      <c r="BY281" s="6">
        <v>9.59</v>
      </c>
      <c r="BZ281" s="6">
        <v>8.15</v>
      </c>
      <c r="CA281" s="6">
        <v>10.75</v>
      </c>
      <c r="CB281" s="6">
        <v>8.9199999999999982</v>
      </c>
      <c r="CC281" s="6">
        <v>6.7399999999999993</v>
      </c>
      <c r="CD281" s="6">
        <v>9.85</v>
      </c>
      <c r="CE281" s="6">
        <v>10.199999999999999</v>
      </c>
      <c r="CF281" s="6">
        <v>5.61</v>
      </c>
      <c r="CG281" s="6">
        <v>6.24</v>
      </c>
      <c r="CH281" s="6"/>
    </row>
    <row r="282" spans="1:86" ht="15.75" customHeight="1" x14ac:dyDescent="0.25">
      <c r="A282" s="4">
        <v>280</v>
      </c>
      <c r="B282" s="2"/>
      <c r="C282" s="4">
        <v>7</v>
      </c>
      <c r="D282" s="6">
        <v>10.130000000000001</v>
      </c>
      <c r="E282" s="6">
        <v>9.83</v>
      </c>
      <c r="F282" s="6">
        <v>8.83</v>
      </c>
      <c r="G282" s="6">
        <v>9.93</v>
      </c>
      <c r="H282" s="6">
        <v>9.0299999999999994</v>
      </c>
      <c r="I282" s="6">
        <v>7.78</v>
      </c>
      <c r="J282" s="6">
        <v>9.8800000000000008</v>
      </c>
      <c r="K282" s="6">
        <v>8.5299999999999994</v>
      </c>
      <c r="L282" s="6">
        <v>10.130000000000001</v>
      </c>
      <c r="M282" s="6">
        <v>9.93</v>
      </c>
      <c r="N282" s="6">
        <v>9.1300000000000008</v>
      </c>
      <c r="O282" s="6">
        <v>10.28</v>
      </c>
      <c r="P282" s="6">
        <v>8.0299999999999994</v>
      </c>
      <c r="Q282" s="6">
        <v>10.76</v>
      </c>
      <c r="R282" s="6">
        <v>7.73</v>
      </c>
      <c r="S282" s="6">
        <v>6.33</v>
      </c>
      <c r="T282" s="6">
        <v>9.1300000000000008</v>
      </c>
      <c r="U282" s="6">
        <v>9.23</v>
      </c>
      <c r="V282" s="6">
        <v>7.61</v>
      </c>
      <c r="W282" s="6">
        <v>9.5299999999999994</v>
      </c>
      <c r="X282" s="6">
        <v>9.18</v>
      </c>
      <c r="Y282" s="6">
        <v>9.43</v>
      </c>
      <c r="Z282" s="6">
        <v>8.58</v>
      </c>
      <c r="AA282" s="6">
        <v>9.43</v>
      </c>
      <c r="AB282" s="6">
        <v>10.119999999999999</v>
      </c>
      <c r="AC282" s="6">
        <v>10.31</v>
      </c>
      <c r="AD282" s="6">
        <v>9.4499999999999993</v>
      </c>
      <c r="AE282" s="6">
        <v>10.73</v>
      </c>
      <c r="AF282" s="6">
        <v>9.74</v>
      </c>
      <c r="AG282" s="6">
        <v>9.16</v>
      </c>
      <c r="AH282" s="6">
        <v>9.89</v>
      </c>
      <c r="AI282" s="6">
        <v>9.35</v>
      </c>
      <c r="AJ282" s="6">
        <v>9.4499999999999993</v>
      </c>
      <c r="AK282" s="6">
        <v>9.08</v>
      </c>
      <c r="AL282" s="6">
        <v>9.32</v>
      </c>
      <c r="AM282" s="6">
        <v>8.56</v>
      </c>
      <c r="AN282" s="6">
        <v>9.17</v>
      </c>
      <c r="AO282" s="6">
        <v>10.17</v>
      </c>
      <c r="AP282" s="6">
        <v>9.74</v>
      </c>
      <c r="AQ282" s="6">
        <v>9.14</v>
      </c>
      <c r="AR282" s="6">
        <v>9.48</v>
      </c>
      <c r="AS282" s="6">
        <v>9.56</v>
      </c>
      <c r="AT282" s="6">
        <v>9.75</v>
      </c>
      <c r="AU282" s="6">
        <v>9.43</v>
      </c>
      <c r="AV282" s="6">
        <v>10.16</v>
      </c>
      <c r="AW282" s="6">
        <v>9.73</v>
      </c>
      <c r="AX282" s="6">
        <v>7.93</v>
      </c>
      <c r="AY282" s="6">
        <v>8.42</v>
      </c>
      <c r="AZ282" s="6">
        <v>10.19</v>
      </c>
      <c r="BA282" s="6">
        <v>8.98</v>
      </c>
      <c r="BB282" s="6">
        <v>9.3000000000000007</v>
      </c>
      <c r="BC282" s="6">
        <f t="shared" si="14"/>
        <v>10.29</v>
      </c>
      <c r="BD282" s="6">
        <v>7.78</v>
      </c>
      <c r="BE282" s="6">
        <v>9.9700000000000006</v>
      </c>
      <c r="BF282" s="6">
        <v>6.72</v>
      </c>
      <c r="BG282" s="6">
        <v>9.93</v>
      </c>
      <c r="BH282" s="6">
        <v>9.2799999999999994</v>
      </c>
      <c r="BI282" s="6">
        <v>9.5299999999999994</v>
      </c>
      <c r="BJ282" s="6">
        <v>7.71</v>
      </c>
      <c r="BK282" s="6">
        <v>9.16</v>
      </c>
      <c r="BL282" s="6">
        <v>9.43</v>
      </c>
      <c r="BM282" s="6">
        <v>9.58</v>
      </c>
      <c r="BN282" s="6">
        <v>8.1300000000000008</v>
      </c>
      <c r="BO282" s="6">
        <v>8.81</v>
      </c>
      <c r="BP282" s="6">
        <v>9.57</v>
      </c>
      <c r="BQ282" s="6">
        <v>8.9600000000000009</v>
      </c>
      <c r="BR282" s="6">
        <v>7.1</v>
      </c>
      <c r="BS282" s="6">
        <v>9.2799999999999994</v>
      </c>
      <c r="BT282" s="6">
        <v>8.27</v>
      </c>
      <c r="BU282" s="6">
        <v>9.24</v>
      </c>
      <c r="BV282" s="6">
        <v>8.82</v>
      </c>
      <c r="BW282" s="6">
        <v>9.07</v>
      </c>
      <c r="BX282" s="6">
        <v>8.36</v>
      </c>
      <c r="BY282" s="6">
        <v>9.5299999999999994</v>
      </c>
      <c r="BZ282" s="6">
        <v>8.08</v>
      </c>
      <c r="CA282" s="6">
        <v>10.64</v>
      </c>
      <c r="CB282" s="6">
        <v>8.7299999999999986</v>
      </c>
      <c r="CC282" s="6">
        <v>6.63</v>
      </c>
      <c r="CD282" s="6">
        <v>9.76</v>
      </c>
      <c r="CE282" s="6">
        <v>10.129999999999999</v>
      </c>
      <c r="CF282" s="6">
        <v>5.38</v>
      </c>
      <c r="CG282" s="6">
        <v>6.1</v>
      </c>
      <c r="CH282" s="6"/>
    </row>
    <row r="283" spans="1:86" ht="15.75" customHeight="1" x14ac:dyDescent="0.25">
      <c r="A283" s="4">
        <v>281</v>
      </c>
      <c r="B283" s="2"/>
      <c r="C283" s="4">
        <v>8</v>
      </c>
      <c r="D283" s="6">
        <v>10.029999999999999</v>
      </c>
      <c r="E283" s="6">
        <v>9.68</v>
      </c>
      <c r="F283" s="6">
        <v>8.68</v>
      </c>
      <c r="G283" s="6">
        <v>9.93</v>
      </c>
      <c r="H283" s="6">
        <v>9.0299999999999994</v>
      </c>
      <c r="I283" s="6">
        <v>7.63</v>
      </c>
      <c r="J283" s="6">
        <v>9.83</v>
      </c>
      <c r="K283" s="6">
        <v>8.3800000000000008</v>
      </c>
      <c r="L283" s="6">
        <v>9.93</v>
      </c>
      <c r="M283" s="6">
        <v>9.83</v>
      </c>
      <c r="N283" s="6">
        <v>9.0299999999999994</v>
      </c>
      <c r="O283" s="6">
        <v>10.28</v>
      </c>
      <c r="P283" s="6">
        <v>7.95</v>
      </c>
      <c r="Q283" s="6">
        <v>10.78</v>
      </c>
      <c r="R283" s="6">
        <v>7.53</v>
      </c>
      <c r="S283" s="6">
        <v>6.23</v>
      </c>
      <c r="T283" s="6">
        <v>9.08</v>
      </c>
      <c r="U283" s="6">
        <v>9.11</v>
      </c>
      <c r="V283" s="6">
        <v>7.48</v>
      </c>
      <c r="W283" s="6">
        <v>9.43</v>
      </c>
      <c r="X283" s="6">
        <v>9.11</v>
      </c>
      <c r="Y283" s="6">
        <v>9.43</v>
      </c>
      <c r="Z283" s="6">
        <v>8.4600000000000009</v>
      </c>
      <c r="AA283" s="6">
        <v>9.3699999999999992</v>
      </c>
      <c r="AB283" s="6">
        <v>9.98</v>
      </c>
      <c r="AC283" s="6">
        <v>10.24</v>
      </c>
      <c r="AD283" s="6">
        <v>9.41</v>
      </c>
      <c r="AE283" s="6">
        <v>10.67</v>
      </c>
      <c r="AF283" s="6">
        <v>9.75</v>
      </c>
      <c r="AG283" s="6">
        <v>9.09</v>
      </c>
      <c r="AH283" s="6">
        <v>9.91</v>
      </c>
      <c r="AI283" s="6">
        <v>9.18</v>
      </c>
      <c r="AJ283" s="6">
        <v>9.39</v>
      </c>
      <c r="AK283" s="6">
        <v>8.9700000000000006</v>
      </c>
      <c r="AL283" s="6">
        <v>9.25</v>
      </c>
      <c r="AM283" s="6">
        <v>8.4700000000000006</v>
      </c>
      <c r="AN283" s="6">
        <v>9.07</v>
      </c>
      <c r="AO283" s="6">
        <v>10.01</v>
      </c>
      <c r="AP283" s="6">
        <v>9.68</v>
      </c>
      <c r="AQ283" s="6">
        <v>9.08</v>
      </c>
      <c r="AR283" s="6">
        <v>9.43</v>
      </c>
      <c r="AS283" s="6">
        <v>9.57</v>
      </c>
      <c r="AT283" s="6">
        <v>9.67</v>
      </c>
      <c r="AU283" s="6">
        <v>9.26</v>
      </c>
      <c r="AV283" s="6">
        <v>9.99</v>
      </c>
      <c r="AW283" s="6">
        <v>9.65</v>
      </c>
      <c r="AX283" s="6">
        <v>7.88</v>
      </c>
      <c r="AY283" s="6">
        <v>8.33</v>
      </c>
      <c r="AZ283" s="6">
        <v>10.130000000000001</v>
      </c>
      <c r="BA283" s="6">
        <v>8.98</v>
      </c>
      <c r="BB283" s="6">
        <v>9.2200000000000006</v>
      </c>
      <c r="BC283" s="6">
        <f t="shared" ref="BC283:BC285" si="15">10.13+0.43</f>
        <v>10.56</v>
      </c>
      <c r="BD283" s="6">
        <v>7.68</v>
      </c>
      <c r="BE283" s="6">
        <v>10.029999999999999</v>
      </c>
      <c r="BF283" s="6">
        <v>6.76</v>
      </c>
      <c r="BG283" s="6">
        <v>9.8800000000000008</v>
      </c>
      <c r="BH283" s="6">
        <v>9.34</v>
      </c>
      <c r="BI283" s="6">
        <v>9.43</v>
      </c>
      <c r="BJ283" s="6">
        <v>7.65</v>
      </c>
      <c r="BK283" s="6">
        <v>9.25</v>
      </c>
      <c r="BL283" s="6">
        <v>9.4</v>
      </c>
      <c r="BM283" s="6">
        <v>9.5299999999999994</v>
      </c>
      <c r="BN283" s="6">
        <v>8.01</v>
      </c>
      <c r="BO283" s="6">
        <v>8.6999999999999993</v>
      </c>
      <c r="BP283" s="6">
        <v>9.5299999999999994</v>
      </c>
      <c r="BQ283" s="6">
        <v>8.81</v>
      </c>
      <c r="BR283" s="6">
        <v>7.03</v>
      </c>
      <c r="BS283" s="6">
        <v>9.18</v>
      </c>
      <c r="BT283" s="6">
        <v>8.3000000000000007</v>
      </c>
      <c r="BU283" s="6">
        <v>9.2100000000000009</v>
      </c>
      <c r="BV283" s="6">
        <v>8.83</v>
      </c>
      <c r="BW283" s="6">
        <v>8.9499999999999993</v>
      </c>
      <c r="BX283" s="6">
        <v>8.2100000000000009</v>
      </c>
      <c r="BY283" s="6">
        <v>9.4</v>
      </c>
      <c r="BZ283" s="6">
        <v>8.02</v>
      </c>
      <c r="CA283" s="6">
        <v>10.55</v>
      </c>
      <c r="CB283" s="6">
        <v>8.61</v>
      </c>
      <c r="CC283" s="6">
        <v>6.63</v>
      </c>
      <c r="CD283" s="6">
        <v>9.7199999999999989</v>
      </c>
      <c r="CE283" s="6">
        <v>10</v>
      </c>
      <c r="CF283" s="6">
        <v>5.35</v>
      </c>
      <c r="CG283" s="6">
        <v>5.96</v>
      </c>
      <c r="CH283" s="6"/>
    </row>
    <row r="284" spans="1:86" ht="15.75" customHeight="1" x14ac:dyDescent="0.25">
      <c r="A284" s="4">
        <v>282</v>
      </c>
      <c r="B284" s="2"/>
      <c r="C284" s="4">
        <v>9</v>
      </c>
      <c r="D284" s="6">
        <v>9.98</v>
      </c>
      <c r="E284" s="6">
        <v>9.5299999999999994</v>
      </c>
      <c r="F284" s="6">
        <v>8.58</v>
      </c>
      <c r="G284" s="6">
        <v>9.83</v>
      </c>
      <c r="H284" s="6">
        <v>9.0299999999999994</v>
      </c>
      <c r="I284" s="6">
        <v>7.58</v>
      </c>
      <c r="J284" s="6">
        <v>9.7799999999999994</v>
      </c>
      <c r="K284" s="6">
        <v>8.23</v>
      </c>
      <c r="L284" s="6">
        <v>9.83</v>
      </c>
      <c r="M284" s="6">
        <v>9.68</v>
      </c>
      <c r="N284" s="6">
        <v>8.93</v>
      </c>
      <c r="O284" s="6">
        <v>10.31</v>
      </c>
      <c r="P284" s="6">
        <v>7.93</v>
      </c>
      <c r="Q284" s="6">
        <v>10.78</v>
      </c>
      <c r="R284" s="6">
        <v>7.43</v>
      </c>
      <c r="S284" s="6">
        <v>6.06</v>
      </c>
      <c r="T284" s="6">
        <v>9.0299999999999994</v>
      </c>
      <c r="U284" s="6">
        <v>9.0299999999999994</v>
      </c>
      <c r="V284" s="6">
        <v>7.33</v>
      </c>
      <c r="W284" s="6">
        <v>9.2799999999999994</v>
      </c>
      <c r="X284" s="6">
        <v>8.99</v>
      </c>
      <c r="Y284" s="6">
        <v>9.43</v>
      </c>
      <c r="Z284" s="6">
        <v>8.3800000000000008</v>
      </c>
      <c r="AA284" s="6">
        <v>9.35</v>
      </c>
      <c r="AB284" s="6">
        <v>9.84</v>
      </c>
      <c r="AC284" s="6">
        <v>10.18</v>
      </c>
      <c r="AD284" s="6">
        <v>9.3800000000000008</v>
      </c>
      <c r="AE284" s="6">
        <v>10.61</v>
      </c>
      <c r="AF284" s="6">
        <v>9.74</v>
      </c>
      <c r="AG284" s="6">
        <v>9.1999999999999993</v>
      </c>
      <c r="AH284" s="6">
        <v>9.93</v>
      </c>
      <c r="AI284" s="6">
        <v>9.1199999999999992</v>
      </c>
      <c r="AJ284" s="6">
        <v>9.33</v>
      </c>
      <c r="AK284" s="6">
        <v>8.92</v>
      </c>
      <c r="AL284" s="6">
        <v>9.24</v>
      </c>
      <c r="AM284" s="6">
        <v>8.4499999999999993</v>
      </c>
      <c r="AN284" s="6">
        <v>8.91</v>
      </c>
      <c r="AO284" s="6">
        <v>9.89</v>
      </c>
      <c r="AP284" s="6">
        <v>9.66</v>
      </c>
      <c r="AQ284" s="6">
        <v>8.98</v>
      </c>
      <c r="AR284" s="6">
        <v>9.39</v>
      </c>
      <c r="AS284" s="6">
        <v>9.56</v>
      </c>
      <c r="AT284" s="6">
        <v>9.59</v>
      </c>
      <c r="AU284" s="6">
        <v>9.23</v>
      </c>
      <c r="AV284" s="6">
        <v>9.83</v>
      </c>
      <c r="AW284" s="6">
        <v>9.6300000000000008</v>
      </c>
      <c r="AX284" s="6">
        <v>7.88</v>
      </c>
      <c r="AY284" s="6">
        <v>8.33</v>
      </c>
      <c r="AZ284" s="6">
        <v>10.08</v>
      </c>
      <c r="BA284" s="6">
        <v>8.73</v>
      </c>
      <c r="BB284" s="6">
        <v>9.2100000000000009</v>
      </c>
      <c r="BC284" s="6">
        <f t="shared" si="15"/>
        <v>10.56</v>
      </c>
      <c r="BD284" s="6">
        <v>7.61</v>
      </c>
      <c r="BE284" s="6">
        <v>9.8699999999999992</v>
      </c>
      <c r="BF284" s="6">
        <v>6.52</v>
      </c>
      <c r="BG284" s="6">
        <v>10.029999999999999</v>
      </c>
      <c r="BH284" s="6">
        <v>9.44</v>
      </c>
      <c r="BI284" s="6">
        <v>9.34</v>
      </c>
      <c r="BJ284" s="6">
        <v>7.65</v>
      </c>
      <c r="BK284" s="6">
        <v>9.24</v>
      </c>
      <c r="BL284" s="6">
        <v>9.3699999999999992</v>
      </c>
      <c r="BM284" s="6">
        <v>9.4600000000000009</v>
      </c>
      <c r="BN284" s="6">
        <v>7.86</v>
      </c>
      <c r="BO284" s="6">
        <v>8.51</v>
      </c>
      <c r="BP284" s="6">
        <v>9.5299999999999994</v>
      </c>
      <c r="BQ284" s="6">
        <v>8.7100000000000009</v>
      </c>
      <c r="BR284" s="6">
        <v>6.98</v>
      </c>
      <c r="BS284" s="6">
        <v>9.02</v>
      </c>
      <c r="BT284" s="6">
        <v>8.3689999999999998</v>
      </c>
      <c r="BU284" s="6">
        <v>9.09</v>
      </c>
      <c r="BV284" s="6">
        <v>8.7899999999999991</v>
      </c>
      <c r="BW284" s="6">
        <v>8.85</v>
      </c>
      <c r="BX284" s="6">
        <v>8.02</v>
      </c>
      <c r="BY284" s="6">
        <v>9.31</v>
      </c>
      <c r="BZ284" s="6">
        <v>7.9899999999999993</v>
      </c>
      <c r="CA284" s="6">
        <v>10.48</v>
      </c>
      <c r="CB284" s="6">
        <v>8.5399999999999991</v>
      </c>
      <c r="CC284" s="6">
        <v>6.62</v>
      </c>
      <c r="CD284" s="6">
        <v>9.69</v>
      </c>
      <c r="CE284" s="6">
        <v>9.9699999999999989</v>
      </c>
      <c r="CF284" s="6">
        <v>5.25</v>
      </c>
      <c r="CG284" s="6">
        <v>5.88</v>
      </c>
      <c r="CH284" s="6"/>
    </row>
    <row r="285" spans="1:86" ht="15.75" customHeight="1" x14ac:dyDescent="0.25">
      <c r="A285" s="4">
        <v>283</v>
      </c>
      <c r="B285" s="2"/>
      <c r="C285" s="4">
        <v>10</v>
      </c>
      <c r="D285" s="6">
        <v>9.7799999999999994</v>
      </c>
      <c r="E285" s="6">
        <v>9.43</v>
      </c>
      <c r="F285" s="6">
        <v>8.48</v>
      </c>
      <c r="G285" s="6">
        <v>9.83</v>
      </c>
      <c r="H285" s="6">
        <v>9.0299999999999994</v>
      </c>
      <c r="I285" s="6">
        <v>7.53</v>
      </c>
      <c r="J285" s="6">
        <v>9.73</v>
      </c>
      <c r="K285" s="6">
        <v>8.1300000000000008</v>
      </c>
      <c r="L285" s="6">
        <v>9.7799999999999994</v>
      </c>
      <c r="M285" s="6">
        <v>9.6300000000000008</v>
      </c>
      <c r="N285" s="6">
        <v>8.83</v>
      </c>
      <c r="O285" s="6">
        <v>10.33</v>
      </c>
      <c r="P285" s="6">
        <v>7.88</v>
      </c>
      <c r="Q285" s="6">
        <v>10.63</v>
      </c>
      <c r="R285" s="6">
        <v>7.28</v>
      </c>
      <c r="S285" s="6">
        <v>6.03</v>
      </c>
      <c r="T285" s="6">
        <v>8.93</v>
      </c>
      <c r="U285" s="6">
        <v>8.8800000000000008</v>
      </c>
      <c r="V285" s="6">
        <v>7.33</v>
      </c>
      <c r="W285" s="6">
        <v>9.1300000000000008</v>
      </c>
      <c r="X285" s="6">
        <v>8.85</v>
      </c>
      <c r="Y285" s="6">
        <v>9.41</v>
      </c>
      <c r="Z285" s="6">
        <v>8.23</v>
      </c>
      <c r="AA285" s="6">
        <v>9.33</v>
      </c>
      <c r="AB285" s="6">
        <v>9.69</v>
      </c>
      <c r="AC285" s="6">
        <v>10.15</v>
      </c>
      <c r="AD285" s="6">
        <v>9.33</v>
      </c>
      <c r="AE285" s="6">
        <v>10.53</v>
      </c>
      <c r="AF285" s="6">
        <v>9.6999999999999993</v>
      </c>
      <c r="AG285" s="6">
        <v>9.0299999999999994</v>
      </c>
      <c r="AH285" s="6">
        <v>9.89</v>
      </c>
      <c r="AI285" s="6">
        <v>8.98</v>
      </c>
      <c r="AJ285" s="6">
        <v>9.26</v>
      </c>
      <c r="AK285" s="6">
        <v>8.9499999999999993</v>
      </c>
      <c r="AL285" s="6">
        <v>9.19</v>
      </c>
      <c r="AM285" s="6">
        <v>8.6300000000000008</v>
      </c>
      <c r="AN285" s="6">
        <v>8.7799999999999994</v>
      </c>
      <c r="AO285" s="6">
        <v>9.7799999999999994</v>
      </c>
      <c r="AP285" s="6">
        <v>9.6</v>
      </c>
      <c r="AQ285" s="6">
        <v>8.9600000000000009</v>
      </c>
      <c r="AR285" s="6">
        <v>9.5</v>
      </c>
      <c r="AS285" s="6">
        <v>9.32</v>
      </c>
      <c r="AT285" s="6">
        <v>9.5500000000000007</v>
      </c>
      <c r="AU285" s="6">
        <v>9.09</v>
      </c>
      <c r="AV285" s="6">
        <v>9.73</v>
      </c>
      <c r="AW285" s="6">
        <v>9.59</v>
      </c>
      <c r="AX285" s="6">
        <v>7.96</v>
      </c>
      <c r="AY285" s="6">
        <v>8.23</v>
      </c>
      <c r="AZ285" s="6">
        <v>10.01</v>
      </c>
      <c r="BA285" s="6">
        <v>8.6300000000000008</v>
      </c>
      <c r="BB285" s="6">
        <v>9.2799999999999994</v>
      </c>
      <c r="BC285" s="6">
        <f t="shared" si="15"/>
        <v>10.56</v>
      </c>
      <c r="BD285" s="6">
        <v>7.56</v>
      </c>
      <c r="BE285" s="6">
        <v>9.8699999999999992</v>
      </c>
      <c r="BF285" s="6">
        <v>6.43</v>
      </c>
      <c r="BG285" s="6">
        <v>9.94</v>
      </c>
      <c r="BH285" s="6">
        <v>9.42</v>
      </c>
      <c r="BI285" s="6">
        <v>9.3000000000000007</v>
      </c>
      <c r="BJ285" s="6">
        <v>7.59</v>
      </c>
      <c r="BK285" s="6">
        <v>9.17</v>
      </c>
      <c r="BL285" s="6">
        <v>9.32</v>
      </c>
      <c r="BM285" s="6">
        <v>9.43</v>
      </c>
      <c r="BN285" s="6">
        <v>7.65</v>
      </c>
      <c r="BO285" s="6">
        <v>8.4499999999999993</v>
      </c>
      <c r="BP285" s="6">
        <v>9.41</v>
      </c>
      <c r="BQ285" s="6">
        <v>8.73</v>
      </c>
      <c r="BR285" s="6">
        <v>6.85</v>
      </c>
      <c r="BS285" s="6">
        <v>8.82</v>
      </c>
      <c r="BT285" s="6">
        <v>8.2799999999999994</v>
      </c>
      <c r="BU285" s="6">
        <v>9</v>
      </c>
      <c r="BV285" s="6">
        <v>8.74</v>
      </c>
      <c r="BW285" s="6">
        <v>8.76</v>
      </c>
      <c r="BX285" s="6">
        <v>7.77</v>
      </c>
      <c r="BY285" s="6">
        <v>9.23</v>
      </c>
      <c r="BZ285" s="6">
        <v>7.91</v>
      </c>
      <c r="CA285" s="6">
        <v>10.38</v>
      </c>
      <c r="CB285" s="6">
        <v>8.31</v>
      </c>
      <c r="CC285" s="6">
        <v>6.6099999999999994</v>
      </c>
      <c r="CD285" s="6">
        <v>9.67</v>
      </c>
      <c r="CE285" s="6">
        <v>9.9</v>
      </c>
      <c r="CF285" s="6">
        <v>5.18</v>
      </c>
      <c r="CG285" s="6">
        <v>5.78</v>
      </c>
      <c r="CH285" s="6"/>
    </row>
    <row r="286" spans="1:86" ht="15.75" customHeight="1" x14ac:dyDescent="0.25">
      <c r="A286" s="4">
        <v>284</v>
      </c>
      <c r="B286" s="2"/>
      <c r="C286" s="4">
        <v>11</v>
      </c>
      <c r="D286" s="6">
        <v>9.6300000000000008</v>
      </c>
      <c r="E286" s="6">
        <v>9.33</v>
      </c>
      <c r="F286" s="6">
        <v>8.33</v>
      </c>
      <c r="G286" s="6">
        <v>9.83</v>
      </c>
      <c r="H286" s="6">
        <v>8.93</v>
      </c>
      <c r="I286" s="6">
        <v>7.43</v>
      </c>
      <c r="J286" s="6">
        <v>9.73</v>
      </c>
      <c r="K286" s="6">
        <v>8.06</v>
      </c>
      <c r="L286" s="6">
        <v>9.68</v>
      </c>
      <c r="M286" s="6">
        <v>9.48</v>
      </c>
      <c r="N286" s="6">
        <v>8.68</v>
      </c>
      <c r="O286" s="6">
        <v>10.33</v>
      </c>
      <c r="P286" s="6">
        <v>7.83</v>
      </c>
      <c r="Q286" s="6">
        <v>10.61</v>
      </c>
      <c r="R286" s="6">
        <v>7.13</v>
      </c>
      <c r="S286" s="6">
        <v>5.95</v>
      </c>
      <c r="T286" s="6">
        <v>8.93</v>
      </c>
      <c r="U286" s="6">
        <v>8.73</v>
      </c>
      <c r="V286" s="6">
        <v>7.31</v>
      </c>
      <c r="W286" s="6">
        <v>9.01</v>
      </c>
      <c r="X286" s="6">
        <v>8.7100000000000009</v>
      </c>
      <c r="Y286" s="6">
        <v>9.33</v>
      </c>
      <c r="Z286" s="6">
        <v>8.2799999999999994</v>
      </c>
      <c r="AA286" s="6">
        <v>9.2899999999999991</v>
      </c>
      <c r="AB286" s="6">
        <v>9.6300000000000008</v>
      </c>
      <c r="AC286" s="6">
        <v>10.1</v>
      </c>
      <c r="AD286" s="6">
        <v>9.25</v>
      </c>
      <c r="AE286" s="6">
        <v>10.46</v>
      </c>
      <c r="AF286" s="6">
        <v>9.7100000000000009</v>
      </c>
      <c r="AG286" s="6">
        <v>8.89</v>
      </c>
      <c r="AH286" s="6">
        <v>9.8699999999999992</v>
      </c>
      <c r="AI286" s="6">
        <v>8.93</v>
      </c>
      <c r="AJ286" s="6">
        <v>9.19</v>
      </c>
      <c r="AK286" s="6">
        <v>8.86</v>
      </c>
      <c r="AL286" s="6">
        <v>9.15</v>
      </c>
      <c r="AM286" s="6">
        <v>8.49</v>
      </c>
      <c r="AN286" s="6">
        <v>8.64</v>
      </c>
      <c r="AO286" s="6">
        <v>9.68</v>
      </c>
      <c r="AP286" s="6">
        <v>9.58</v>
      </c>
      <c r="AQ286" s="6">
        <v>8.9</v>
      </c>
      <c r="AR286" s="6">
        <v>9.36</v>
      </c>
      <c r="AS286" s="6">
        <v>9.1</v>
      </c>
      <c r="AT286" s="6">
        <v>9.51</v>
      </c>
      <c r="AU286" s="6">
        <v>8.99</v>
      </c>
      <c r="AV286" s="6">
        <v>9.6300000000000008</v>
      </c>
      <c r="AW286" s="6">
        <v>9.6</v>
      </c>
      <c r="AX286" s="6">
        <v>7.96</v>
      </c>
      <c r="AY286" s="6">
        <v>8.1300000000000008</v>
      </c>
      <c r="AZ286" s="6">
        <v>9.93</v>
      </c>
      <c r="BA286" s="6">
        <v>8.48</v>
      </c>
      <c r="BB286" s="6">
        <v>9.44</v>
      </c>
      <c r="BC286" s="6">
        <f t="shared" ref="BC286:BC288" si="16">10.16+0.43</f>
        <v>10.59</v>
      </c>
      <c r="BD286" s="6">
        <v>7.43</v>
      </c>
      <c r="BE286" s="6">
        <v>9.6300000000000008</v>
      </c>
      <c r="BF286" s="6">
        <v>6.37</v>
      </c>
      <c r="BG286" s="6">
        <v>9.6999999999999993</v>
      </c>
      <c r="BH286" s="6">
        <v>9.3800000000000008</v>
      </c>
      <c r="BI286" s="6">
        <v>9.2799999999999994</v>
      </c>
      <c r="BJ286" s="6">
        <v>7.55</v>
      </c>
      <c r="BK286" s="6">
        <v>9.0299999999999994</v>
      </c>
      <c r="BL286" s="6">
        <v>9.2799999999999994</v>
      </c>
      <c r="BM286" s="6">
        <v>9.35</v>
      </c>
      <c r="BN286" s="6">
        <v>7.59</v>
      </c>
      <c r="BO286" s="6">
        <v>8.34</v>
      </c>
      <c r="BP286" s="6">
        <v>9.3800000000000008</v>
      </c>
      <c r="BQ286" s="6">
        <v>8.73</v>
      </c>
      <c r="BR286" s="6">
        <v>6.75</v>
      </c>
      <c r="BS286" s="6">
        <v>8.69</v>
      </c>
      <c r="BT286" s="6">
        <v>8.07</v>
      </c>
      <c r="BU286" s="6">
        <v>8.91</v>
      </c>
      <c r="BV286" s="6">
        <v>8.7199999999999989</v>
      </c>
      <c r="BW286" s="6">
        <v>8.6999999999999993</v>
      </c>
      <c r="BX286" s="6">
        <v>7.51</v>
      </c>
      <c r="BY286" s="6">
        <v>9.129999999999999</v>
      </c>
      <c r="BZ286" s="6">
        <v>8.17</v>
      </c>
      <c r="CA286" s="6">
        <v>10.32</v>
      </c>
      <c r="CB286" s="6">
        <v>8.41</v>
      </c>
      <c r="CC286" s="6">
        <v>6.6</v>
      </c>
      <c r="CD286" s="6">
        <v>9.629999999999999</v>
      </c>
      <c r="CE286" s="6">
        <v>9.91</v>
      </c>
      <c r="CF286" s="6">
        <v>5.1100000000000003</v>
      </c>
      <c r="CG286" s="6">
        <v>5.8</v>
      </c>
      <c r="CH286" s="6"/>
    </row>
    <row r="287" spans="1:86" ht="15.75" customHeight="1" x14ac:dyDescent="0.25">
      <c r="A287" s="4">
        <v>285</v>
      </c>
      <c r="B287" s="2"/>
      <c r="C287" s="4">
        <v>12</v>
      </c>
      <c r="D287" s="6">
        <v>9.43</v>
      </c>
      <c r="E287" s="6">
        <v>9.23</v>
      </c>
      <c r="F287" s="6">
        <v>8.18</v>
      </c>
      <c r="G287" s="6">
        <v>9.7799999999999994</v>
      </c>
      <c r="H287" s="6">
        <v>8.83</v>
      </c>
      <c r="I287" s="6">
        <v>7.38</v>
      </c>
      <c r="J287" s="6">
        <v>9.73</v>
      </c>
      <c r="K287" s="6">
        <v>7.99</v>
      </c>
      <c r="L287" s="6">
        <v>9.6300000000000008</v>
      </c>
      <c r="M287" s="6">
        <v>9.33</v>
      </c>
      <c r="N287" s="6">
        <v>8.5299999999999994</v>
      </c>
      <c r="O287" s="6">
        <v>10.31</v>
      </c>
      <c r="P287" s="6">
        <v>7.73</v>
      </c>
      <c r="Q287" s="6">
        <v>10.48</v>
      </c>
      <c r="R287" s="6">
        <v>6.98</v>
      </c>
      <c r="S287" s="6">
        <v>5.93</v>
      </c>
      <c r="T287" s="6">
        <v>8.8800000000000008</v>
      </c>
      <c r="U287" s="6">
        <v>8.6300000000000008</v>
      </c>
      <c r="V287" s="6">
        <v>7.21</v>
      </c>
      <c r="W287" s="6">
        <v>8.8800000000000008</v>
      </c>
      <c r="X287" s="6">
        <v>8.5299999999999994</v>
      </c>
      <c r="Y287" s="6">
        <v>9.23</v>
      </c>
      <c r="Z287" s="6">
        <v>8.1999999999999993</v>
      </c>
      <c r="AA287" s="6">
        <v>9.2100000000000009</v>
      </c>
      <c r="AB287" s="6">
        <v>9.6199999999999992</v>
      </c>
      <c r="AC287" s="6">
        <v>9.99</v>
      </c>
      <c r="AD287" s="6">
        <v>9.0500000000000007</v>
      </c>
      <c r="AE287" s="6">
        <v>10.37</v>
      </c>
      <c r="AF287" s="6">
        <v>9.68</v>
      </c>
      <c r="AG287" s="6">
        <v>8.8000000000000007</v>
      </c>
      <c r="AH287" s="6">
        <v>9.8000000000000007</v>
      </c>
      <c r="AI287" s="6">
        <v>8.91</v>
      </c>
      <c r="AJ287" s="6">
        <v>9.15</v>
      </c>
      <c r="AK287" s="6">
        <v>8.76</v>
      </c>
      <c r="AL287" s="6">
        <v>9.08</v>
      </c>
      <c r="AM287" s="6">
        <v>8.51</v>
      </c>
      <c r="AN287" s="6">
        <v>8.4700000000000006</v>
      </c>
      <c r="AO287" s="6">
        <v>9.61</v>
      </c>
      <c r="AP287" s="6">
        <v>9.5299999999999994</v>
      </c>
      <c r="AQ287" s="6">
        <v>8.77</v>
      </c>
      <c r="AR287" s="6">
        <v>9.1999999999999993</v>
      </c>
      <c r="AS287" s="6">
        <v>8.99</v>
      </c>
      <c r="AT287" s="6">
        <v>9.4600000000000009</v>
      </c>
      <c r="AU287" s="6">
        <v>8.93</v>
      </c>
      <c r="AV287" s="6">
        <v>9.49</v>
      </c>
      <c r="AW287" s="6">
        <v>9.57</v>
      </c>
      <c r="AX287" s="6">
        <v>7.99</v>
      </c>
      <c r="AY287" s="6">
        <v>8.0299999999999994</v>
      </c>
      <c r="AZ287" s="6">
        <v>9.82</v>
      </c>
      <c r="BA287" s="6">
        <v>8.36</v>
      </c>
      <c r="BB287" s="6">
        <v>9.49</v>
      </c>
      <c r="BC287" s="6">
        <f t="shared" si="16"/>
        <v>10.59</v>
      </c>
      <c r="BD287" s="6">
        <v>7.26</v>
      </c>
      <c r="BE287" s="6">
        <v>9.51</v>
      </c>
      <c r="BF287" s="6">
        <v>6.22</v>
      </c>
      <c r="BG287" s="6">
        <v>9.42</v>
      </c>
      <c r="BH287" s="6">
        <v>9.42</v>
      </c>
      <c r="BI287" s="6">
        <v>9.25</v>
      </c>
      <c r="BJ287" s="6">
        <v>7.44</v>
      </c>
      <c r="BK287" s="6">
        <v>8.61</v>
      </c>
      <c r="BL287" s="6">
        <v>9.25</v>
      </c>
      <c r="BM287" s="6">
        <v>9.36</v>
      </c>
      <c r="BN287" s="6">
        <v>7.43</v>
      </c>
      <c r="BO287" s="6">
        <v>8.2100000000000009</v>
      </c>
      <c r="BP287" s="6">
        <v>9.43</v>
      </c>
      <c r="BQ287" s="6">
        <v>8.69</v>
      </c>
      <c r="BR287" s="6">
        <v>6.58</v>
      </c>
      <c r="BS287" s="6">
        <v>8.4700000000000006</v>
      </c>
      <c r="BT287" s="6">
        <v>8.01</v>
      </c>
      <c r="BU287" s="6">
        <v>8.81</v>
      </c>
      <c r="BV287" s="6">
        <v>8.6649999999999991</v>
      </c>
      <c r="BW287" s="6">
        <v>8.57</v>
      </c>
      <c r="BX287" s="6">
        <v>7.26</v>
      </c>
      <c r="BY287" s="6">
        <v>9.02</v>
      </c>
      <c r="BZ287" s="6">
        <v>8.07</v>
      </c>
      <c r="CA287" s="6">
        <v>10.199999999999999</v>
      </c>
      <c r="CB287" s="6">
        <v>8.69</v>
      </c>
      <c r="CC287" s="6">
        <v>6.59</v>
      </c>
      <c r="CD287" s="6">
        <v>9.51</v>
      </c>
      <c r="CE287" s="6">
        <v>9.7199999999999989</v>
      </c>
      <c r="CF287" s="6">
        <v>5.0599999999999996</v>
      </c>
      <c r="CG287" s="6">
        <v>5.72</v>
      </c>
      <c r="CH287" s="6"/>
    </row>
    <row r="288" spans="1:86" ht="15.75" customHeight="1" x14ac:dyDescent="0.25">
      <c r="A288" s="4">
        <v>286</v>
      </c>
      <c r="B288" s="2"/>
      <c r="C288" s="4">
        <v>13</v>
      </c>
      <c r="D288" s="6">
        <v>9.33</v>
      </c>
      <c r="E288" s="6">
        <v>9.08</v>
      </c>
      <c r="F288" s="6">
        <v>7.98</v>
      </c>
      <c r="G288" s="6">
        <v>9.68</v>
      </c>
      <c r="H288" s="6">
        <v>8.73</v>
      </c>
      <c r="I288" s="6">
        <v>7.28</v>
      </c>
      <c r="J288" s="6">
        <v>9.73</v>
      </c>
      <c r="K288" s="6">
        <v>7.92</v>
      </c>
      <c r="L288" s="6">
        <v>9.58</v>
      </c>
      <c r="M288" s="6">
        <v>9.23</v>
      </c>
      <c r="N288" s="6">
        <v>8.3800000000000008</v>
      </c>
      <c r="O288" s="6">
        <v>10.23</v>
      </c>
      <c r="P288" s="6">
        <v>7.7</v>
      </c>
      <c r="Q288" s="6">
        <v>10.33</v>
      </c>
      <c r="R288" s="6">
        <v>6.88</v>
      </c>
      <c r="S288" s="6">
        <v>5.98</v>
      </c>
      <c r="T288" s="6">
        <v>8.83</v>
      </c>
      <c r="U288" s="6">
        <v>8.48</v>
      </c>
      <c r="V288" s="6">
        <v>7.13</v>
      </c>
      <c r="W288" s="6">
        <v>8.73</v>
      </c>
      <c r="X288" s="6">
        <v>8.3800000000000008</v>
      </c>
      <c r="Y288" s="6">
        <v>9.11</v>
      </c>
      <c r="Z288" s="6">
        <v>8.11</v>
      </c>
      <c r="AA288" s="6">
        <v>9.1199999999999992</v>
      </c>
      <c r="AB288" s="6">
        <v>9.58</v>
      </c>
      <c r="AC288" s="6">
        <v>9.92</v>
      </c>
      <c r="AD288" s="6">
        <v>8.92</v>
      </c>
      <c r="AE288" s="6">
        <v>10.23</v>
      </c>
      <c r="AF288" s="6">
        <v>9.6300000000000008</v>
      </c>
      <c r="AG288" s="6">
        <v>8.69</v>
      </c>
      <c r="AH288" s="6">
        <v>9.8000000000000007</v>
      </c>
      <c r="AI288" s="6">
        <v>8.8699999999999992</v>
      </c>
      <c r="AJ288" s="6">
        <v>9.07</v>
      </c>
      <c r="AK288" s="6">
        <v>8.64</v>
      </c>
      <c r="AL288" s="6">
        <v>9.01</v>
      </c>
      <c r="AM288" s="6">
        <v>8.5299999999999994</v>
      </c>
      <c r="AN288" s="6">
        <v>8.33</v>
      </c>
      <c r="AO288" s="6">
        <v>9.5299999999999994</v>
      </c>
      <c r="AP288" s="6">
        <v>9.51</v>
      </c>
      <c r="AQ288" s="6">
        <v>8.6999999999999993</v>
      </c>
      <c r="AR288" s="6">
        <v>9.1199999999999992</v>
      </c>
      <c r="AS288" s="6">
        <v>9.0399999999999991</v>
      </c>
      <c r="AT288" s="6">
        <v>9.32</v>
      </c>
      <c r="AU288" s="6">
        <v>9.1</v>
      </c>
      <c r="AV288" s="6">
        <v>9.3800000000000008</v>
      </c>
      <c r="AW288" s="6">
        <v>9.52</v>
      </c>
      <c r="AX288" s="6">
        <v>8.06</v>
      </c>
      <c r="AY288" s="6">
        <v>7.83</v>
      </c>
      <c r="AZ288" s="6">
        <v>9.73</v>
      </c>
      <c r="BA288" s="6">
        <v>8.2799999999999994</v>
      </c>
      <c r="BB288" s="6">
        <v>9.2200000000000006</v>
      </c>
      <c r="BC288" s="6">
        <f t="shared" si="16"/>
        <v>10.59</v>
      </c>
      <c r="BD288" s="6">
        <v>7.17</v>
      </c>
      <c r="BE288" s="6">
        <v>9.42</v>
      </c>
      <c r="BF288" s="6">
        <v>6.12</v>
      </c>
      <c r="BG288" s="6">
        <v>9.23</v>
      </c>
      <c r="BH288" s="6">
        <v>9.4600000000000009</v>
      </c>
      <c r="BI288" s="6">
        <v>9.17</v>
      </c>
      <c r="BJ288" s="6">
        <v>7.24</v>
      </c>
      <c r="BK288" s="6">
        <v>8.3800000000000008</v>
      </c>
      <c r="BL288" s="6">
        <v>9.2100000000000009</v>
      </c>
      <c r="BM288" s="6">
        <v>9.3000000000000007</v>
      </c>
      <c r="BN288" s="6">
        <v>7.31</v>
      </c>
      <c r="BO288" s="6">
        <v>8.0540000000000003</v>
      </c>
      <c r="BP288" s="6">
        <v>9.43</v>
      </c>
      <c r="BQ288" s="6">
        <v>8.73</v>
      </c>
      <c r="BR288" s="6">
        <v>6.53</v>
      </c>
      <c r="BS288" s="6">
        <v>8.34</v>
      </c>
      <c r="BT288" s="6">
        <v>7.91</v>
      </c>
      <c r="BU288" s="6">
        <v>8.7200000000000006</v>
      </c>
      <c r="BV288" s="6">
        <v>8.6240000000000006</v>
      </c>
      <c r="BW288" s="6">
        <v>8.4699999999999989</v>
      </c>
      <c r="BX288" s="6">
        <v>7</v>
      </c>
      <c r="BY288" s="6">
        <v>8.879999999999999</v>
      </c>
      <c r="BZ288" s="6">
        <v>7.92</v>
      </c>
      <c r="CA288" s="6">
        <v>10.09</v>
      </c>
      <c r="CB288" s="6">
        <v>8.5</v>
      </c>
      <c r="CC288" s="6">
        <v>6.58</v>
      </c>
      <c r="CD288" s="6">
        <v>9.4599999999999991</v>
      </c>
      <c r="CE288" s="6">
        <v>9.65</v>
      </c>
      <c r="CF288" s="6">
        <v>4.9400000000000004</v>
      </c>
      <c r="CG288" s="6">
        <v>5.6</v>
      </c>
      <c r="CH288" s="6"/>
    </row>
    <row r="289" spans="1:86" ht="15.75" customHeight="1" x14ac:dyDescent="0.25">
      <c r="A289" s="4">
        <v>287</v>
      </c>
      <c r="B289" s="2"/>
      <c r="C289" s="4">
        <v>14</v>
      </c>
      <c r="D289" s="6">
        <v>9.18</v>
      </c>
      <c r="E289" s="6">
        <v>8.93</v>
      </c>
      <c r="F289" s="6">
        <v>7.93</v>
      </c>
      <c r="G289" s="6">
        <v>9.58</v>
      </c>
      <c r="H289" s="6">
        <v>8.68</v>
      </c>
      <c r="I289" s="6">
        <v>7.18</v>
      </c>
      <c r="J289" s="6">
        <v>9.68</v>
      </c>
      <c r="K289" s="6">
        <v>7.85</v>
      </c>
      <c r="L289" s="6">
        <v>9.43</v>
      </c>
      <c r="M289" s="6">
        <v>9.0299999999999994</v>
      </c>
      <c r="N289" s="6">
        <v>8.23</v>
      </c>
      <c r="O289" s="6">
        <v>10.18</v>
      </c>
      <c r="P289" s="6">
        <v>7.63</v>
      </c>
      <c r="Q289" s="6">
        <v>10.18</v>
      </c>
      <c r="R289" s="6">
        <v>6.88</v>
      </c>
      <c r="S289" s="6">
        <v>5.98</v>
      </c>
      <c r="T289" s="6">
        <v>8.73</v>
      </c>
      <c r="U289" s="6">
        <v>8.48</v>
      </c>
      <c r="V289" s="6">
        <v>7.13</v>
      </c>
      <c r="W289" s="6">
        <v>8.6300000000000008</v>
      </c>
      <c r="X289" s="6">
        <v>8.23</v>
      </c>
      <c r="Y289" s="6">
        <v>9.01</v>
      </c>
      <c r="Z289" s="6">
        <v>8.0500000000000007</v>
      </c>
      <c r="AA289" s="6">
        <v>9.01</v>
      </c>
      <c r="AB289" s="6">
        <v>9.49</v>
      </c>
      <c r="AC289" s="6">
        <v>9.8699999999999992</v>
      </c>
      <c r="AD289" s="6">
        <v>8.7899999999999991</v>
      </c>
      <c r="AE289" s="6">
        <v>9.99</v>
      </c>
      <c r="AF289" s="6">
        <v>9.59</v>
      </c>
      <c r="AG289" s="6">
        <v>8.59</v>
      </c>
      <c r="AH289" s="6">
        <v>9.77</v>
      </c>
      <c r="AI289" s="6">
        <v>8.83</v>
      </c>
      <c r="AJ289" s="6">
        <v>9.0399999999999991</v>
      </c>
      <c r="AK289" s="6">
        <v>8.5399999999999991</v>
      </c>
      <c r="AL289" s="6">
        <v>9.07</v>
      </c>
      <c r="AM289" s="6">
        <v>8.43</v>
      </c>
      <c r="AN289" s="6">
        <v>8.31</v>
      </c>
      <c r="AO289" s="6">
        <v>9.4499999999999993</v>
      </c>
      <c r="AP289" s="6">
        <v>9.44</v>
      </c>
      <c r="AQ289" s="6">
        <v>8.65</v>
      </c>
      <c r="AR289" s="6">
        <v>9.01</v>
      </c>
      <c r="AS289" s="6">
        <v>9</v>
      </c>
      <c r="AT289" s="6">
        <v>9.2100000000000009</v>
      </c>
      <c r="AU289" s="6">
        <v>9.18</v>
      </c>
      <c r="AV289" s="6">
        <v>9.33</v>
      </c>
      <c r="AW289" s="6">
        <v>9.5500000000000007</v>
      </c>
      <c r="AX289" s="6">
        <v>8.1300000000000008</v>
      </c>
      <c r="AY289" s="6">
        <v>7.73</v>
      </c>
      <c r="AZ289" s="6">
        <v>9.6300000000000008</v>
      </c>
      <c r="BA289" s="6">
        <v>8.25</v>
      </c>
      <c r="BB289" s="6">
        <v>9.0299999999999994</v>
      </c>
      <c r="BC289" s="6">
        <f t="shared" ref="BC289:BC290" si="17">10.1+0.43</f>
        <v>10.53</v>
      </c>
      <c r="BD289" s="6">
        <v>6.88</v>
      </c>
      <c r="BE289" s="6">
        <v>9.39</v>
      </c>
      <c r="BF289" s="6">
        <v>6.06</v>
      </c>
      <c r="BG289" s="6">
        <v>9.1300000000000008</v>
      </c>
      <c r="BH289" s="6">
        <v>9.41</v>
      </c>
      <c r="BI289" s="6">
        <v>9.0399999999999991</v>
      </c>
      <c r="BJ289" s="6">
        <v>7.17</v>
      </c>
      <c r="BK289" s="6">
        <v>8.64</v>
      </c>
      <c r="BL289" s="6">
        <v>9.17</v>
      </c>
      <c r="BM289" s="6">
        <v>9.2799999999999994</v>
      </c>
      <c r="BN289" s="6">
        <v>7.25</v>
      </c>
      <c r="BO289" s="6">
        <v>8</v>
      </c>
      <c r="BP289" s="6">
        <v>9.36</v>
      </c>
      <c r="BQ289" s="6">
        <v>8.7100000000000009</v>
      </c>
      <c r="BR289" s="6">
        <v>6.49</v>
      </c>
      <c r="BS289" s="6">
        <v>8.25</v>
      </c>
      <c r="BT289" s="6">
        <v>7.87</v>
      </c>
      <c r="BU289" s="6">
        <v>8.6199999999999992</v>
      </c>
      <c r="BV289" s="6">
        <v>8.6199999999999992</v>
      </c>
      <c r="BW289" s="6">
        <v>8.4499999999999993</v>
      </c>
      <c r="BX289" s="6">
        <v>6.76</v>
      </c>
      <c r="BY289" s="6">
        <v>8.77</v>
      </c>
      <c r="BZ289" s="6">
        <v>7.8</v>
      </c>
      <c r="CA289" s="6">
        <v>9.98</v>
      </c>
      <c r="CB289" s="6">
        <v>8.0500000000000007</v>
      </c>
      <c r="CC289" s="6">
        <v>6.5699999999999994</v>
      </c>
      <c r="CD289" s="6">
        <v>9.379999999999999</v>
      </c>
      <c r="CE289" s="6">
        <v>9.4599999999999991</v>
      </c>
      <c r="CF289" s="6">
        <v>4.88</v>
      </c>
      <c r="CG289" s="6">
        <v>5.53</v>
      </c>
      <c r="CH289" s="6"/>
    </row>
    <row r="290" spans="1:86" ht="15.75" customHeight="1" x14ac:dyDescent="0.25">
      <c r="A290" s="4">
        <v>288</v>
      </c>
      <c r="B290" s="2"/>
      <c r="C290" s="4">
        <v>15</v>
      </c>
      <c r="D290" s="6">
        <v>9.0299999999999994</v>
      </c>
      <c r="E290" s="6">
        <v>8.83</v>
      </c>
      <c r="F290" s="6">
        <v>7.83</v>
      </c>
      <c r="G290" s="6">
        <v>9.43</v>
      </c>
      <c r="H290" s="6">
        <v>8.6300000000000008</v>
      </c>
      <c r="I290" s="6">
        <v>7.13</v>
      </c>
      <c r="J290" s="6">
        <v>9.6300000000000008</v>
      </c>
      <c r="K290" s="6">
        <v>7.78</v>
      </c>
      <c r="L290" s="6">
        <v>9.23</v>
      </c>
      <c r="M290" s="6">
        <v>8.93</v>
      </c>
      <c r="N290" s="6">
        <v>8.0299999999999994</v>
      </c>
      <c r="O290" s="6">
        <v>10.08</v>
      </c>
      <c r="P290" s="6">
        <v>7.53</v>
      </c>
      <c r="Q290" s="6">
        <v>10.029999999999999</v>
      </c>
      <c r="R290" s="6">
        <v>6.53</v>
      </c>
      <c r="S290" s="6">
        <v>5.88</v>
      </c>
      <c r="T290" s="6">
        <v>8.68</v>
      </c>
      <c r="U290" s="6">
        <v>8.43</v>
      </c>
      <c r="V290" s="6">
        <v>7.13</v>
      </c>
      <c r="W290" s="6">
        <v>8.48</v>
      </c>
      <c r="X290" s="6">
        <v>8.08</v>
      </c>
      <c r="Y290" s="6">
        <v>8.93</v>
      </c>
      <c r="Z290" s="6">
        <v>7.98</v>
      </c>
      <c r="AA290" s="6">
        <v>8.9</v>
      </c>
      <c r="AB290" s="6">
        <v>9.39</v>
      </c>
      <c r="AC290" s="6">
        <v>9.82</v>
      </c>
      <c r="AD290" s="6">
        <v>8.7100000000000009</v>
      </c>
      <c r="AE290" s="6">
        <v>9.75</v>
      </c>
      <c r="AF290" s="6">
        <v>9.51</v>
      </c>
      <c r="AG290" s="6">
        <v>8.4499999999999993</v>
      </c>
      <c r="AH290" s="6">
        <v>9.73</v>
      </c>
      <c r="AI290" s="6">
        <v>8.9</v>
      </c>
      <c r="AJ290" s="6">
        <v>9.0500000000000007</v>
      </c>
      <c r="AK290" s="6">
        <v>8.43</v>
      </c>
      <c r="AL290" s="6">
        <v>9.16</v>
      </c>
      <c r="AM290" s="6">
        <v>8.3699999999999992</v>
      </c>
      <c r="AN290" s="6">
        <v>8.25</v>
      </c>
      <c r="AO290" s="6">
        <v>9.27</v>
      </c>
      <c r="AP290" s="6">
        <v>9.36</v>
      </c>
      <c r="AQ290" s="6">
        <v>8.56</v>
      </c>
      <c r="AR290" s="6">
        <v>8.93</v>
      </c>
      <c r="AS290" s="6">
        <v>8.92</v>
      </c>
      <c r="AT290" s="6">
        <v>9.11</v>
      </c>
      <c r="AU290" s="6">
        <v>9.2899999999999991</v>
      </c>
      <c r="AV290" s="6">
        <v>9.33</v>
      </c>
      <c r="AW290" s="6">
        <v>9.5</v>
      </c>
      <c r="AX290" s="6">
        <v>8.19</v>
      </c>
      <c r="AY290" s="6">
        <v>7.63</v>
      </c>
      <c r="AZ290" s="6">
        <v>9.69</v>
      </c>
      <c r="BA290" s="6">
        <v>8.19</v>
      </c>
      <c r="BB290" s="6">
        <v>8.81</v>
      </c>
      <c r="BC290" s="6">
        <f t="shared" si="17"/>
        <v>10.53</v>
      </c>
      <c r="BD290" s="6">
        <v>7.03</v>
      </c>
      <c r="BE290" s="6">
        <v>9.39</v>
      </c>
      <c r="BF290" s="6">
        <v>6</v>
      </c>
      <c r="BG290" s="6">
        <v>9.0500000000000007</v>
      </c>
      <c r="BH290" s="6">
        <v>9.36</v>
      </c>
      <c r="BI290" s="6">
        <v>8.99</v>
      </c>
      <c r="BJ290" s="6">
        <v>7.09</v>
      </c>
      <c r="BK290" s="6">
        <v>8.6199999999999992</v>
      </c>
      <c r="BL290" s="6">
        <v>9.1300000000000008</v>
      </c>
      <c r="BM290" s="6">
        <v>9.25</v>
      </c>
      <c r="BN290" s="6">
        <v>7.09</v>
      </c>
      <c r="BO290" s="6">
        <v>7.9</v>
      </c>
      <c r="BP290" s="6">
        <v>9.2799999999999994</v>
      </c>
      <c r="BQ290" s="6">
        <v>8.7100000000000009</v>
      </c>
      <c r="BR290" s="6">
        <v>6.41</v>
      </c>
      <c r="BS290" s="6">
        <v>8.14</v>
      </c>
      <c r="BT290" s="6">
        <v>7.86</v>
      </c>
      <c r="BU290" s="6">
        <v>8.5299999999999994</v>
      </c>
      <c r="BV290" s="6">
        <v>8.5399999999999991</v>
      </c>
      <c r="BW290" s="6">
        <v>8.370000000000001</v>
      </c>
      <c r="BX290" s="6">
        <v>6.52</v>
      </c>
      <c r="BY290" s="6">
        <v>8.65</v>
      </c>
      <c r="BZ290" s="6">
        <v>8.02</v>
      </c>
      <c r="CA290" s="6">
        <v>9.8800000000000008</v>
      </c>
      <c r="CB290" s="6">
        <v>8.1999999999999993</v>
      </c>
      <c r="CC290" s="6">
        <v>6.56</v>
      </c>
      <c r="CD290" s="6">
        <v>9.629999999999999</v>
      </c>
      <c r="CE290" s="6">
        <v>9.24</v>
      </c>
      <c r="CF290" s="6">
        <v>4.76</v>
      </c>
      <c r="CG290" s="6">
        <v>5.49</v>
      </c>
      <c r="CH290" s="6"/>
    </row>
    <row r="291" spans="1:86" ht="15.75" customHeight="1" x14ac:dyDescent="0.25">
      <c r="A291" s="4">
        <v>289</v>
      </c>
      <c r="B291" s="2"/>
      <c r="C291" s="4">
        <v>16</v>
      </c>
      <c r="D291" s="6">
        <v>8.8800000000000008</v>
      </c>
      <c r="E291" s="6">
        <v>8.73</v>
      </c>
      <c r="F291" s="6">
        <v>7.78</v>
      </c>
      <c r="G291" s="6">
        <v>9.23</v>
      </c>
      <c r="H291" s="6">
        <v>8.58</v>
      </c>
      <c r="I291" s="6">
        <v>7.03</v>
      </c>
      <c r="J291" s="6">
        <v>9.5299999999999994</v>
      </c>
      <c r="K291" s="6">
        <v>7.7</v>
      </c>
      <c r="L291" s="6">
        <v>9.0299999999999994</v>
      </c>
      <c r="M291" s="6">
        <v>8.8800000000000008</v>
      </c>
      <c r="N291" s="6">
        <v>7.98</v>
      </c>
      <c r="O291" s="6">
        <v>9.9499999999999993</v>
      </c>
      <c r="P291" s="6">
        <v>7.39</v>
      </c>
      <c r="Q291" s="6">
        <v>9.91</v>
      </c>
      <c r="R291" s="6">
        <v>6.38</v>
      </c>
      <c r="S291" s="6">
        <v>5.73</v>
      </c>
      <c r="T291" s="6">
        <v>8.64</v>
      </c>
      <c r="U291" s="6">
        <v>8.33</v>
      </c>
      <c r="V291" s="6">
        <v>7.13</v>
      </c>
      <c r="W291" s="6">
        <v>8.3800000000000008</v>
      </c>
      <c r="X291" s="6">
        <v>7.95</v>
      </c>
      <c r="Y291" s="6">
        <v>8.83</v>
      </c>
      <c r="Z291" s="6">
        <v>7.93</v>
      </c>
      <c r="AA291" s="6">
        <v>8.59</v>
      </c>
      <c r="AB291" s="6">
        <v>9.26</v>
      </c>
      <c r="AC291" s="6">
        <v>9.77</v>
      </c>
      <c r="AD291" s="6">
        <v>8.59</v>
      </c>
      <c r="AE291" s="6">
        <v>9.69</v>
      </c>
      <c r="AF291" s="6">
        <v>9.33</v>
      </c>
      <c r="AG291" s="6">
        <v>8.36</v>
      </c>
      <c r="AH291" s="6">
        <v>9.7100000000000009</v>
      </c>
      <c r="AI291" s="6">
        <v>8.7799999999999994</v>
      </c>
      <c r="AJ291" s="6">
        <v>9.0500000000000007</v>
      </c>
      <c r="AK291" s="6">
        <v>8.25</v>
      </c>
      <c r="AL291" s="6">
        <v>9.19</v>
      </c>
      <c r="AM291" s="6">
        <v>8.33</v>
      </c>
      <c r="AN291" s="6">
        <v>8.11</v>
      </c>
      <c r="AO291" s="6">
        <v>9.09</v>
      </c>
      <c r="AP291" s="6">
        <v>9.27</v>
      </c>
      <c r="AQ291" s="6">
        <v>8.4499999999999993</v>
      </c>
      <c r="AR291" s="6">
        <v>8.84</v>
      </c>
      <c r="AS291" s="6">
        <v>8.8800000000000008</v>
      </c>
      <c r="AT291" s="6">
        <v>8.9700000000000006</v>
      </c>
      <c r="AU291" s="6">
        <v>9.23</v>
      </c>
      <c r="AV291" s="6">
        <v>9.4499999999999993</v>
      </c>
      <c r="AW291" s="6">
        <v>9.33</v>
      </c>
      <c r="AX291" s="6">
        <v>8.19</v>
      </c>
      <c r="AY291" s="6">
        <v>7.53</v>
      </c>
      <c r="AZ291" s="6">
        <v>9.84</v>
      </c>
      <c r="BA291" s="6">
        <v>8.09</v>
      </c>
      <c r="BB291" s="6">
        <v>8.6300000000000008</v>
      </c>
      <c r="BC291" s="6">
        <f>9.99+0.43</f>
        <v>10.42</v>
      </c>
      <c r="BD291" s="6">
        <v>6.83</v>
      </c>
      <c r="BE291" s="6">
        <v>9.39</v>
      </c>
      <c r="BF291" s="6">
        <v>5.97</v>
      </c>
      <c r="BG291" s="6">
        <v>8.83</v>
      </c>
      <c r="BH291" s="6">
        <v>9.2200000000000006</v>
      </c>
      <c r="BI291" s="6">
        <v>8.94</v>
      </c>
      <c r="BJ291" s="6">
        <v>7.07</v>
      </c>
      <c r="BK291" s="6">
        <v>8.07</v>
      </c>
      <c r="BL291" s="6">
        <v>9.1300000000000008</v>
      </c>
      <c r="BM291" s="6">
        <v>9.18</v>
      </c>
      <c r="BN291" s="6">
        <v>6.99</v>
      </c>
      <c r="BO291" s="6">
        <v>7.82</v>
      </c>
      <c r="BP291" s="6">
        <v>9.31</v>
      </c>
      <c r="BQ291" s="6">
        <v>8.74</v>
      </c>
      <c r="BR291" s="6">
        <v>6.34</v>
      </c>
      <c r="BS291" s="6">
        <v>8.11</v>
      </c>
      <c r="BT291" s="6">
        <v>7.86</v>
      </c>
      <c r="BU291" s="6">
        <v>8.39</v>
      </c>
      <c r="BV291" s="6">
        <v>8.5</v>
      </c>
      <c r="BW291" s="6">
        <v>8.26</v>
      </c>
      <c r="BX291" s="6">
        <v>6.31</v>
      </c>
      <c r="BY291" s="6">
        <v>8.58</v>
      </c>
      <c r="BZ291" s="6">
        <v>7.9799999999999995</v>
      </c>
      <c r="CA291" s="6">
        <v>9.73</v>
      </c>
      <c r="CB291" s="6">
        <v>8.0299999999999994</v>
      </c>
      <c r="CC291" s="6">
        <v>6.56</v>
      </c>
      <c r="CD291" s="6">
        <v>9.629999999999999</v>
      </c>
      <c r="CE291" s="6">
        <v>9.15</v>
      </c>
      <c r="CF291" s="6">
        <v>4.55</v>
      </c>
      <c r="CG291" s="6">
        <v>5.38</v>
      </c>
      <c r="CH291" s="6"/>
    </row>
    <row r="292" spans="1:86" ht="15.75" customHeight="1" x14ac:dyDescent="0.25">
      <c r="A292" s="4">
        <v>290</v>
      </c>
      <c r="B292" s="2"/>
      <c r="C292" s="4">
        <v>17</v>
      </c>
      <c r="D292" s="6">
        <v>8.73</v>
      </c>
      <c r="E292" s="6">
        <v>8.6300000000000008</v>
      </c>
      <c r="F292" s="6">
        <v>7.73</v>
      </c>
      <c r="G292" s="6">
        <v>9.1300000000000008</v>
      </c>
      <c r="H292" s="6">
        <v>8.58</v>
      </c>
      <c r="I292" s="6">
        <v>6.98</v>
      </c>
      <c r="J292" s="6">
        <v>9.3800000000000008</v>
      </c>
      <c r="K292" s="6">
        <v>7.63</v>
      </c>
      <c r="L292" s="6">
        <v>8.93</v>
      </c>
      <c r="M292" s="6">
        <v>8.7799999999999994</v>
      </c>
      <c r="N292" s="6">
        <v>7.83</v>
      </c>
      <c r="O292" s="6">
        <v>9.83</v>
      </c>
      <c r="P292" s="6">
        <v>7.23</v>
      </c>
      <c r="Q292" s="6">
        <v>9.7799999999999994</v>
      </c>
      <c r="R292" s="6">
        <v>6.28</v>
      </c>
      <c r="S292" s="6">
        <v>5.63</v>
      </c>
      <c r="T292" s="6">
        <v>8.64</v>
      </c>
      <c r="U292" s="6">
        <v>8.2799999999999994</v>
      </c>
      <c r="V292" s="6">
        <v>7.13</v>
      </c>
      <c r="W292" s="6">
        <v>8.2799999999999994</v>
      </c>
      <c r="X292" s="6">
        <v>7.81</v>
      </c>
      <c r="Y292" s="6">
        <v>8.75</v>
      </c>
      <c r="Z292" s="6">
        <v>7.78</v>
      </c>
      <c r="AA292" s="6">
        <v>8.64</v>
      </c>
      <c r="AB292" s="6">
        <v>9.1300000000000008</v>
      </c>
      <c r="AC292" s="6">
        <v>9.68</v>
      </c>
      <c r="AD292" s="6">
        <v>8.56</v>
      </c>
      <c r="AE292" s="6">
        <v>9.58</v>
      </c>
      <c r="AF292" s="6">
        <v>9.1199999999999992</v>
      </c>
      <c r="AG292" s="6">
        <v>8.2200000000000006</v>
      </c>
      <c r="AH292" s="6">
        <v>9.67</v>
      </c>
      <c r="AI292" s="6">
        <v>8.8800000000000008</v>
      </c>
      <c r="AJ292" s="6">
        <v>8.99</v>
      </c>
      <c r="AK292" s="6">
        <v>7.97</v>
      </c>
      <c r="AL292" s="6">
        <v>9.17</v>
      </c>
      <c r="AM292" s="6">
        <v>8.19</v>
      </c>
      <c r="AN292" s="6">
        <v>7.96</v>
      </c>
      <c r="AO292" s="6">
        <v>9.09</v>
      </c>
      <c r="AP292" s="6">
        <v>9.24</v>
      </c>
      <c r="AQ292" s="6">
        <v>8.31</v>
      </c>
      <c r="AR292" s="6">
        <v>8.8000000000000007</v>
      </c>
      <c r="AS292" s="6">
        <v>8.8000000000000007</v>
      </c>
      <c r="AT292" s="6">
        <v>8.85</v>
      </c>
      <c r="AU292" s="6">
        <v>9.39</v>
      </c>
      <c r="AV292" s="6">
        <v>9.52</v>
      </c>
      <c r="AW292" s="6">
        <v>9.18</v>
      </c>
      <c r="AX292" s="6">
        <v>8.24</v>
      </c>
      <c r="AY292" s="6">
        <v>7.49</v>
      </c>
      <c r="AZ292" s="6">
        <v>9.99</v>
      </c>
      <c r="BA292" s="6">
        <v>8</v>
      </c>
      <c r="BB292" s="6">
        <v>8.65</v>
      </c>
      <c r="BC292" s="6">
        <f>9.85+0.43</f>
        <v>10.28</v>
      </c>
      <c r="BD292" s="6">
        <v>6.73</v>
      </c>
      <c r="BE292" s="6">
        <v>9.66</v>
      </c>
      <c r="BF292" s="6">
        <v>5.82</v>
      </c>
      <c r="BG292" s="6">
        <v>8.6300000000000008</v>
      </c>
      <c r="BH292" s="6">
        <v>9.14</v>
      </c>
      <c r="BI292" s="6">
        <v>8.8800000000000008</v>
      </c>
      <c r="BJ292" s="6">
        <v>6.99</v>
      </c>
      <c r="BK292" s="6">
        <v>7.94</v>
      </c>
      <c r="BL292" s="6">
        <v>9.07</v>
      </c>
      <c r="BM292" s="6">
        <v>9.1199999999999992</v>
      </c>
      <c r="BN292" s="6">
        <v>6.89</v>
      </c>
      <c r="BO292" s="6">
        <v>7.79</v>
      </c>
      <c r="BP292" s="6">
        <v>9.2799999999999994</v>
      </c>
      <c r="BQ292" s="6">
        <v>8.74</v>
      </c>
      <c r="BR292" s="6">
        <v>6.31</v>
      </c>
      <c r="BS292" s="6">
        <v>8.06</v>
      </c>
      <c r="BT292" s="6">
        <v>7.97</v>
      </c>
      <c r="BU292" s="6">
        <v>8.359</v>
      </c>
      <c r="BV292" s="6">
        <v>8.41</v>
      </c>
      <c r="BW292" s="6">
        <v>8.19</v>
      </c>
      <c r="BX292" s="6">
        <v>6.18</v>
      </c>
      <c r="BY292" s="6">
        <v>8.43</v>
      </c>
      <c r="BZ292" s="6">
        <v>7.88</v>
      </c>
      <c r="CA292" s="6">
        <v>9.68</v>
      </c>
      <c r="CB292" s="6">
        <v>8.02</v>
      </c>
      <c r="CC292" s="6">
        <v>6.55</v>
      </c>
      <c r="CD292" s="6">
        <v>9.5299999999999994</v>
      </c>
      <c r="CE292" s="6">
        <v>9</v>
      </c>
      <c r="CF292" s="6">
        <v>4.43</v>
      </c>
      <c r="CG292" s="6">
        <v>5.3</v>
      </c>
      <c r="CH292" s="6"/>
    </row>
    <row r="293" spans="1:86" ht="15.75" customHeight="1" x14ac:dyDescent="0.25">
      <c r="A293" s="4">
        <v>291</v>
      </c>
      <c r="B293" s="2"/>
      <c r="C293" s="4">
        <v>18</v>
      </c>
      <c r="D293" s="6">
        <v>8.58</v>
      </c>
      <c r="E293" s="6">
        <v>8.5299999999999994</v>
      </c>
      <c r="F293" s="6">
        <v>7.73</v>
      </c>
      <c r="G293" s="6">
        <v>8.98</v>
      </c>
      <c r="H293" s="6">
        <v>8.5299999999999994</v>
      </c>
      <c r="I293" s="6">
        <v>6.93</v>
      </c>
      <c r="J293" s="6">
        <v>9.23</v>
      </c>
      <c r="K293" s="6">
        <v>7.53</v>
      </c>
      <c r="L293" s="6">
        <v>8.83</v>
      </c>
      <c r="M293" s="6">
        <v>8.73</v>
      </c>
      <c r="N293" s="6">
        <v>7.53</v>
      </c>
      <c r="O293" s="6">
        <v>9.73</v>
      </c>
      <c r="P293" s="6">
        <v>7.03</v>
      </c>
      <c r="Q293" s="6">
        <v>9.6300000000000008</v>
      </c>
      <c r="R293" s="6">
        <v>6.18</v>
      </c>
      <c r="S293" s="6">
        <v>5.58</v>
      </c>
      <c r="T293" s="6">
        <v>8.33</v>
      </c>
      <c r="U293" s="6">
        <v>8.1300000000000008</v>
      </c>
      <c r="V293" s="6">
        <v>7.03</v>
      </c>
      <c r="W293" s="6">
        <v>8.1</v>
      </c>
      <c r="X293" s="6">
        <v>7.68</v>
      </c>
      <c r="Y293" s="6">
        <v>8.7100000000000009</v>
      </c>
      <c r="Z293" s="6">
        <v>7.58</v>
      </c>
      <c r="AA293" s="6">
        <v>8.51</v>
      </c>
      <c r="AB293" s="6">
        <v>8.9700000000000006</v>
      </c>
      <c r="AC293" s="6">
        <v>9.59</v>
      </c>
      <c r="AD293" s="6">
        <v>8.5299999999999994</v>
      </c>
      <c r="AE293" s="6">
        <v>9.48</v>
      </c>
      <c r="AF293" s="6">
        <v>8.9700000000000006</v>
      </c>
      <c r="AG293" s="6">
        <v>8.2100000000000009</v>
      </c>
      <c r="AH293" s="6">
        <v>9.66</v>
      </c>
      <c r="AI293" s="6">
        <v>8.8800000000000008</v>
      </c>
      <c r="AJ293" s="6">
        <v>8.89</v>
      </c>
      <c r="AK293" s="6">
        <v>7.76</v>
      </c>
      <c r="AL293" s="6">
        <v>9.15</v>
      </c>
      <c r="AM293" s="6">
        <v>8.19</v>
      </c>
      <c r="AN293" s="6">
        <v>7.85</v>
      </c>
      <c r="AO293" s="6">
        <v>9.0299999999999994</v>
      </c>
      <c r="AP293" s="6">
        <v>9.2200000000000006</v>
      </c>
      <c r="AQ293" s="6">
        <v>8.1199999999999992</v>
      </c>
      <c r="AR293" s="6">
        <v>8.74</v>
      </c>
      <c r="AS293" s="6">
        <v>8.75</v>
      </c>
      <c r="AT293" s="6">
        <v>8.75</v>
      </c>
      <c r="AU293" s="6">
        <v>9.48</v>
      </c>
      <c r="AV293" s="6">
        <v>9.6</v>
      </c>
      <c r="AW293" s="6">
        <v>9.23</v>
      </c>
      <c r="AX293" s="6">
        <v>8.24</v>
      </c>
      <c r="AY293" s="6">
        <v>7.33</v>
      </c>
      <c r="AZ293" s="6">
        <v>10.01</v>
      </c>
      <c r="BA293" s="6">
        <v>7.86</v>
      </c>
      <c r="BB293" s="6">
        <v>8.65</v>
      </c>
      <c r="BC293" s="6">
        <f>9.69+0.43</f>
        <v>10.119999999999999</v>
      </c>
      <c r="BD293" s="6">
        <v>6.68</v>
      </c>
      <c r="BE293" s="6">
        <v>9.66</v>
      </c>
      <c r="BF293" s="6">
        <v>5.73</v>
      </c>
      <c r="BG293" s="6">
        <v>8.43</v>
      </c>
      <c r="BH293" s="6">
        <v>9.06</v>
      </c>
      <c r="BI293" s="6">
        <v>8.74</v>
      </c>
      <c r="BJ293" s="6">
        <v>6.93</v>
      </c>
      <c r="BK293" s="6">
        <v>7.94</v>
      </c>
      <c r="BL293" s="6">
        <v>8.93</v>
      </c>
      <c r="BM293" s="6">
        <v>9.0500000000000007</v>
      </c>
      <c r="BN293" s="6">
        <v>6.8</v>
      </c>
      <c r="BO293" s="6">
        <v>7.7</v>
      </c>
      <c r="BP293" s="6">
        <v>9.35</v>
      </c>
      <c r="BQ293" s="6">
        <v>8.67</v>
      </c>
      <c r="BR293" s="6">
        <v>6.3</v>
      </c>
      <c r="BS293" s="6">
        <v>7.68</v>
      </c>
      <c r="BT293" s="6">
        <v>8.0399999999999991</v>
      </c>
      <c r="BU293" s="6">
        <v>8.3010000000000002</v>
      </c>
      <c r="BV293" s="6">
        <v>8.32</v>
      </c>
      <c r="BW293" s="6">
        <v>8.11</v>
      </c>
      <c r="BX293" s="6">
        <v>6.0270000000000001</v>
      </c>
      <c r="BY293" s="6">
        <v>8.370000000000001</v>
      </c>
      <c r="BZ293" s="6">
        <v>7.7399999999999993</v>
      </c>
      <c r="CA293" s="6">
        <v>9.58</v>
      </c>
      <c r="CB293" s="6">
        <v>7.54</v>
      </c>
      <c r="CC293" s="6">
        <v>6.55</v>
      </c>
      <c r="CD293" s="6">
        <v>9.6</v>
      </c>
      <c r="CE293" s="6">
        <v>9.02</v>
      </c>
      <c r="CF293" s="6">
        <v>4.33</v>
      </c>
      <c r="CG293" s="6">
        <v>5.29</v>
      </c>
      <c r="CH293" s="6"/>
    </row>
    <row r="294" spans="1:86" ht="15.75" customHeight="1" x14ac:dyDescent="0.25">
      <c r="A294" s="4">
        <v>292</v>
      </c>
      <c r="B294" s="2"/>
      <c r="C294" s="4">
        <v>19</v>
      </c>
      <c r="D294" s="6">
        <v>8.43</v>
      </c>
      <c r="E294" s="6">
        <v>8.5299999999999994</v>
      </c>
      <c r="F294" s="6">
        <v>7.63</v>
      </c>
      <c r="G294" s="6">
        <v>8.83</v>
      </c>
      <c r="H294" s="6">
        <v>8.48</v>
      </c>
      <c r="I294" s="6">
        <v>6.83</v>
      </c>
      <c r="J294" s="6">
        <v>9.0299999999999994</v>
      </c>
      <c r="K294" s="6">
        <v>7.43</v>
      </c>
      <c r="L294" s="6">
        <v>8.73</v>
      </c>
      <c r="M294" s="6">
        <v>8.6300000000000008</v>
      </c>
      <c r="N294" s="6">
        <v>7.28</v>
      </c>
      <c r="O294" s="6">
        <v>9.6300000000000008</v>
      </c>
      <c r="P294" s="6">
        <v>6.93</v>
      </c>
      <c r="Q294" s="6">
        <v>9.58</v>
      </c>
      <c r="R294" s="6">
        <v>6.08</v>
      </c>
      <c r="S294" s="6">
        <v>5.58</v>
      </c>
      <c r="T294" s="6">
        <v>8.2799999999999994</v>
      </c>
      <c r="U294" s="6">
        <v>8.0299999999999994</v>
      </c>
      <c r="V294" s="6">
        <v>6.95</v>
      </c>
      <c r="W294" s="6">
        <v>7.88</v>
      </c>
      <c r="X294" s="6">
        <v>7.51</v>
      </c>
      <c r="Y294" s="6">
        <v>8.68</v>
      </c>
      <c r="Z294" s="6">
        <v>7.38</v>
      </c>
      <c r="AA294" s="6">
        <v>8.4</v>
      </c>
      <c r="AB294" s="6">
        <v>8.7899999999999991</v>
      </c>
      <c r="AC294" s="6">
        <v>9.51</v>
      </c>
      <c r="AD294" s="6">
        <v>8.61</v>
      </c>
      <c r="AE294" s="6">
        <v>9.3699999999999992</v>
      </c>
      <c r="AF294" s="6">
        <v>8.8000000000000007</v>
      </c>
      <c r="AG294" s="6">
        <v>8.16</v>
      </c>
      <c r="AH294" s="6">
        <v>9.61</v>
      </c>
      <c r="AI294" s="6">
        <v>8.89</v>
      </c>
      <c r="AJ294" s="6">
        <v>8.84</v>
      </c>
      <c r="AK294" s="6">
        <v>7.6</v>
      </c>
      <c r="AL294" s="6">
        <v>9.09</v>
      </c>
      <c r="AM294" s="6">
        <v>8.11</v>
      </c>
      <c r="AN294" s="6">
        <v>7.92</v>
      </c>
      <c r="AO294" s="6">
        <v>8.9499999999999993</v>
      </c>
      <c r="AP294" s="6">
        <v>9.15</v>
      </c>
      <c r="AQ294" s="6">
        <v>7.93</v>
      </c>
      <c r="AR294" s="6">
        <v>8.7200000000000006</v>
      </c>
      <c r="AS294" s="6">
        <v>8.68</v>
      </c>
      <c r="AT294" s="6">
        <v>8.65</v>
      </c>
      <c r="AU294" s="6">
        <v>9.33</v>
      </c>
      <c r="AV294" s="6">
        <v>9.6300000000000008</v>
      </c>
      <c r="AW294" s="6">
        <v>9</v>
      </c>
      <c r="AX294" s="6">
        <v>8.34</v>
      </c>
      <c r="AY294" s="6">
        <v>7.11</v>
      </c>
      <c r="AZ294" s="6">
        <v>9.82</v>
      </c>
      <c r="BA294" s="6">
        <v>7.69</v>
      </c>
      <c r="BB294" s="6">
        <v>8.66</v>
      </c>
      <c r="BC294" s="6">
        <f>9.45+0.43</f>
        <v>9.879999999999999</v>
      </c>
      <c r="BD294" s="6">
        <v>6.43</v>
      </c>
      <c r="BE294" s="6">
        <v>9.43</v>
      </c>
      <c r="BF294" s="6">
        <v>5.64</v>
      </c>
      <c r="BG294" s="6">
        <v>8.33</v>
      </c>
      <c r="BH294" s="6">
        <v>9.0399999999999991</v>
      </c>
      <c r="BI294" s="6">
        <v>8.7200000000000006</v>
      </c>
      <c r="BJ294" s="6">
        <v>6.87</v>
      </c>
      <c r="BK294" s="6">
        <v>7.74</v>
      </c>
      <c r="BL294" s="6">
        <v>8.86</v>
      </c>
      <c r="BM294" s="6">
        <v>9.0299999999999994</v>
      </c>
      <c r="BN294" s="6">
        <v>6.77</v>
      </c>
      <c r="BO294" s="6">
        <v>7.66</v>
      </c>
      <c r="BP294" s="6">
        <v>9.2899999999999991</v>
      </c>
      <c r="BQ294" s="6">
        <v>8.4</v>
      </c>
      <c r="BR294" s="6">
        <v>6.13</v>
      </c>
      <c r="BS294" s="6">
        <v>7.61</v>
      </c>
      <c r="BT294" s="6">
        <v>8.0399999999999991</v>
      </c>
      <c r="BU294" s="6">
        <v>8.2349999999999994</v>
      </c>
      <c r="BV294" s="6">
        <v>8.2900000000000009</v>
      </c>
      <c r="BW294" s="6">
        <v>8.06</v>
      </c>
      <c r="BX294" s="6">
        <v>5.8999999999999995</v>
      </c>
      <c r="BY294" s="6">
        <v>8.34</v>
      </c>
      <c r="BZ294" s="6">
        <v>7.6</v>
      </c>
      <c r="CA294" s="6">
        <v>9.48</v>
      </c>
      <c r="CB294" s="6">
        <v>7.29</v>
      </c>
      <c r="CC294" s="6">
        <v>6.54</v>
      </c>
      <c r="CD294" s="6">
        <v>9.51</v>
      </c>
      <c r="CE294" s="6">
        <v>8.9499999999999993</v>
      </c>
      <c r="CF294" s="6">
        <v>4.2300000000000004</v>
      </c>
      <c r="CG294" s="6">
        <v>5.25</v>
      </c>
      <c r="CH294" s="6"/>
    </row>
    <row r="295" spans="1:86" ht="15.75" customHeight="1" x14ac:dyDescent="0.25">
      <c r="A295" s="4">
        <v>293</v>
      </c>
      <c r="B295" s="2"/>
      <c r="C295" s="4">
        <v>20</v>
      </c>
      <c r="D295" s="6">
        <v>8.23</v>
      </c>
      <c r="E295" s="6">
        <v>8.5299999999999994</v>
      </c>
      <c r="F295" s="6">
        <v>7.43</v>
      </c>
      <c r="G295" s="6">
        <v>8.6300000000000008</v>
      </c>
      <c r="H295" s="6">
        <v>8.43</v>
      </c>
      <c r="I295" s="6">
        <v>6.83</v>
      </c>
      <c r="J295" s="6">
        <v>8.93</v>
      </c>
      <c r="K295" s="6">
        <v>7.33</v>
      </c>
      <c r="L295" s="6">
        <v>8.58</v>
      </c>
      <c r="M295" s="6">
        <v>8.5299999999999994</v>
      </c>
      <c r="N295" s="6">
        <v>7.03</v>
      </c>
      <c r="O295" s="6">
        <v>9.6300000000000008</v>
      </c>
      <c r="P295" s="6">
        <v>6.91</v>
      </c>
      <c r="Q295" s="6">
        <v>9.5299999999999994</v>
      </c>
      <c r="R295" s="6">
        <v>5.98</v>
      </c>
      <c r="S295" s="6">
        <v>5.53</v>
      </c>
      <c r="T295" s="6">
        <v>8.1300000000000008</v>
      </c>
      <c r="U295" s="6">
        <v>8.08</v>
      </c>
      <c r="V295" s="6">
        <v>6.88</v>
      </c>
      <c r="W295" s="6">
        <v>7.68</v>
      </c>
      <c r="X295" s="6">
        <v>7.28</v>
      </c>
      <c r="Y295" s="6">
        <v>8.6300000000000008</v>
      </c>
      <c r="Z295" s="6">
        <v>7.23</v>
      </c>
      <c r="AA295" s="6">
        <v>8.3000000000000007</v>
      </c>
      <c r="AB295" s="6">
        <v>8.61</v>
      </c>
      <c r="AC295" s="6">
        <v>9.44</v>
      </c>
      <c r="AD295" s="6">
        <v>8.6300000000000008</v>
      </c>
      <c r="AE295" s="6">
        <v>9.33</v>
      </c>
      <c r="AF295" s="6">
        <v>8.8000000000000007</v>
      </c>
      <c r="AG295" s="6">
        <v>8.01</v>
      </c>
      <c r="AH295" s="6">
        <v>9.52</v>
      </c>
      <c r="AI295" s="6">
        <v>8.91</v>
      </c>
      <c r="AJ295" s="6">
        <v>8.7100000000000009</v>
      </c>
      <c r="AK295" s="6">
        <v>7.39</v>
      </c>
      <c r="AL295" s="6">
        <v>9.0399999999999991</v>
      </c>
      <c r="AM295" s="6">
        <v>8.1</v>
      </c>
      <c r="AN295" s="6">
        <v>8.06</v>
      </c>
      <c r="AO295" s="6">
        <v>8.9499999999999993</v>
      </c>
      <c r="AP295" s="6">
        <v>9.14</v>
      </c>
      <c r="AQ295" s="6">
        <v>7.83</v>
      </c>
      <c r="AR295" s="6">
        <v>8.6300000000000008</v>
      </c>
      <c r="AS295" s="6">
        <v>8.6</v>
      </c>
      <c r="AT295" s="6">
        <v>8.5299999999999994</v>
      </c>
      <c r="AU295" s="6">
        <v>9.43</v>
      </c>
      <c r="AV295" s="6">
        <v>9.65</v>
      </c>
      <c r="AW295" s="6">
        <v>8.75</v>
      </c>
      <c r="AX295" s="6">
        <v>8.0299999999999994</v>
      </c>
      <c r="AY295" s="6">
        <v>6.83</v>
      </c>
      <c r="AZ295" s="6">
        <v>9.6300000000000008</v>
      </c>
      <c r="BA295" s="6">
        <v>7.62</v>
      </c>
      <c r="BB295" s="6">
        <v>8.51</v>
      </c>
      <c r="BC295" s="6">
        <f>9.37+0.43</f>
        <v>9.7999999999999989</v>
      </c>
      <c r="BD295" s="6">
        <v>6.38</v>
      </c>
      <c r="BE295" s="6">
        <v>9.33</v>
      </c>
      <c r="BF295" s="6">
        <v>5.52</v>
      </c>
      <c r="BG295" s="6">
        <v>8.26</v>
      </c>
      <c r="BH295" s="6">
        <v>9.02</v>
      </c>
      <c r="BI295" s="6">
        <v>8.69</v>
      </c>
      <c r="BJ295" s="6">
        <v>6.79</v>
      </c>
      <c r="BK295" s="6">
        <v>7.39</v>
      </c>
      <c r="BL295" s="6">
        <v>8.7899999999999991</v>
      </c>
      <c r="BM295" s="6">
        <v>8.92</v>
      </c>
      <c r="BN295" s="6">
        <v>6.7</v>
      </c>
      <c r="BO295" s="6">
        <v>7.57</v>
      </c>
      <c r="BP295" s="6">
        <v>9.2200000000000006</v>
      </c>
      <c r="BQ295" s="6">
        <v>8.14</v>
      </c>
      <c r="BR295" s="6">
        <v>6.05</v>
      </c>
      <c r="BS295" s="6">
        <v>7.48</v>
      </c>
      <c r="BT295" s="6">
        <v>7.98</v>
      </c>
      <c r="BU295" s="6">
        <v>8.120000000000001</v>
      </c>
      <c r="BV295" s="6">
        <v>8.2100000000000009</v>
      </c>
      <c r="BW295" s="6">
        <v>7.9799999999999995</v>
      </c>
      <c r="BX295" s="6">
        <v>5.83</v>
      </c>
      <c r="BY295" s="6">
        <v>8.25</v>
      </c>
      <c r="BZ295" s="6">
        <v>7.6</v>
      </c>
      <c r="CA295" s="6">
        <v>9.3699999999999992</v>
      </c>
      <c r="CB295" s="6">
        <v>7.31</v>
      </c>
      <c r="CC295" s="6">
        <v>6.54</v>
      </c>
      <c r="CD295" s="6">
        <v>9.32</v>
      </c>
      <c r="CE295" s="6">
        <v>8.92</v>
      </c>
      <c r="CF295" s="6">
        <v>4.1500000000000004</v>
      </c>
      <c r="CG295" s="6">
        <v>5.24</v>
      </c>
      <c r="CH295" s="6"/>
    </row>
    <row r="296" spans="1:86" ht="15.75" customHeight="1" x14ac:dyDescent="0.25">
      <c r="A296" s="4">
        <v>294</v>
      </c>
      <c r="B296" s="2"/>
      <c r="C296" s="4">
        <v>21</v>
      </c>
      <c r="D296" s="6">
        <v>8.0299999999999994</v>
      </c>
      <c r="E296" s="6">
        <v>8.43</v>
      </c>
      <c r="F296" s="6">
        <v>7.28</v>
      </c>
      <c r="G296" s="6">
        <v>8.43</v>
      </c>
      <c r="H296" s="6">
        <v>8.3800000000000008</v>
      </c>
      <c r="I296" s="6">
        <v>6.73</v>
      </c>
      <c r="J296" s="6">
        <v>8.73</v>
      </c>
      <c r="K296" s="6">
        <v>7.28</v>
      </c>
      <c r="L296" s="6">
        <v>8.5299999999999994</v>
      </c>
      <c r="M296" s="6">
        <v>8.48</v>
      </c>
      <c r="N296" s="6">
        <v>6.93</v>
      </c>
      <c r="O296" s="6">
        <v>9.68</v>
      </c>
      <c r="P296" s="6">
        <v>6.93</v>
      </c>
      <c r="Q296" s="6">
        <v>9.48</v>
      </c>
      <c r="R296" s="6">
        <v>5.93</v>
      </c>
      <c r="S296" s="6">
        <v>5.38</v>
      </c>
      <c r="T296" s="6">
        <v>8.0299999999999994</v>
      </c>
      <c r="U296" s="6">
        <v>8.08</v>
      </c>
      <c r="V296" s="6">
        <v>6.83</v>
      </c>
      <c r="W296" s="6">
        <v>7.48</v>
      </c>
      <c r="X296" s="6">
        <v>7.13</v>
      </c>
      <c r="Y296" s="6">
        <v>8.58</v>
      </c>
      <c r="Z296" s="6">
        <v>7.1</v>
      </c>
      <c r="AA296" s="6">
        <v>8.19</v>
      </c>
      <c r="AB296" s="6">
        <v>8.43</v>
      </c>
      <c r="AC296" s="6">
        <v>9.39</v>
      </c>
      <c r="AD296" s="6">
        <v>8.57</v>
      </c>
      <c r="AE296" s="6">
        <v>9.25</v>
      </c>
      <c r="AF296" s="6">
        <v>8.68</v>
      </c>
      <c r="AG296" s="6">
        <v>7.97</v>
      </c>
      <c r="AH296" s="6">
        <v>9.48</v>
      </c>
      <c r="AI296" s="6">
        <v>8.91</v>
      </c>
      <c r="AJ296" s="6">
        <v>8.5500000000000007</v>
      </c>
      <c r="AK296" s="6">
        <v>7.23</v>
      </c>
      <c r="AL296" s="6">
        <v>9.0299999999999994</v>
      </c>
      <c r="AM296" s="6">
        <v>8.06</v>
      </c>
      <c r="AN296" s="6">
        <v>8.07</v>
      </c>
      <c r="AO296" s="6">
        <v>8.9700000000000006</v>
      </c>
      <c r="AP296" s="6">
        <v>9.06</v>
      </c>
      <c r="AQ296" s="6">
        <v>7.72</v>
      </c>
      <c r="AR296" s="6">
        <v>8.43</v>
      </c>
      <c r="AS296" s="6">
        <v>8.52</v>
      </c>
      <c r="AT296" s="6">
        <v>8.41</v>
      </c>
      <c r="AU296" s="6">
        <v>9.43</v>
      </c>
      <c r="AV296" s="6">
        <v>9.56</v>
      </c>
      <c r="AW296" s="6">
        <v>8.67</v>
      </c>
      <c r="AX296" s="6">
        <v>7.87</v>
      </c>
      <c r="AY296" s="6">
        <v>6.63</v>
      </c>
      <c r="AZ296" s="6">
        <v>9.43</v>
      </c>
      <c r="BA296" s="6">
        <v>7.54</v>
      </c>
      <c r="BB296" s="6">
        <v>8.3699999999999992</v>
      </c>
      <c r="BC296" s="6">
        <f>9.22+0.43</f>
        <v>9.65</v>
      </c>
      <c r="BD296" s="6">
        <v>6.33</v>
      </c>
      <c r="BE296" s="6">
        <v>9.18</v>
      </c>
      <c r="BF296" s="6">
        <v>5.52</v>
      </c>
      <c r="BG296" s="6">
        <v>8.14</v>
      </c>
      <c r="BH296" s="6">
        <v>9</v>
      </c>
      <c r="BI296" s="6">
        <v>8.65</v>
      </c>
      <c r="BJ296" s="6">
        <v>6.69</v>
      </c>
      <c r="BK296" s="6">
        <v>7.09</v>
      </c>
      <c r="BL296" s="6">
        <v>8.75</v>
      </c>
      <c r="BM296" s="6">
        <v>8.92</v>
      </c>
      <c r="BN296" s="6">
        <v>6.58</v>
      </c>
      <c r="BO296" s="6">
        <v>7.52</v>
      </c>
      <c r="BP296" s="6">
        <v>9.06</v>
      </c>
      <c r="BQ296" s="6">
        <v>8.02</v>
      </c>
      <c r="BR296" s="6">
        <v>6.05</v>
      </c>
      <c r="BS296" s="6">
        <v>7.36</v>
      </c>
      <c r="BT296" s="6">
        <v>7.93</v>
      </c>
      <c r="BU296" s="6">
        <v>8.02</v>
      </c>
      <c r="BV296" s="6">
        <v>8.14</v>
      </c>
      <c r="BW296" s="6">
        <v>7.9499999999999993</v>
      </c>
      <c r="BX296" s="6">
        <v>5.77</v>
      </c>
      <c r="BY296" s="6">
        <v>8.1300000000000008</v>
      </c>
      <c r="BZ296" s="6">
        <v>7.5299999999999994</v>
      </c>
      <c r="CA296" s="6">
        <v>9.17</v>
      </c>
      <c r="CB296" s="6">
        <v>7.3</v>
      </c>
      <c r="CC296" s="6">
        <v>6.5299999999999994</v>
      </c>
      <c r="CD296" s="6">
        <v>9.23</v>
      </c>
      <c r="CE296" s="6">
        <v>8.74</v>
      </c>
      <c r="CF296" s="6">
        <v>4.09</v>
      </c>
      <c r="CG296" s="6">
        <v>5.18</v>
      </c>
      <c r="CH296" s="6"/>
    </row>
    <row r="297" spans="1:86" ht="15.75" customHeight="1" x14ac:dyDescent="0.25">
      <c r="A297" s="4">
        <v>295</v>
      </c>
      <c r="B297" s="2"/>
      <c r="C297" s="4">
        <v>22</v>
      </c>
      <c r="D297" s="6">
        <v>7.93</v>
      </c>
      <c r="E297" s="6">
        <v>8.43</v>
      </c>
      <c r="F297" s="6">
        <v>7.08</v>
      </c>
      <c r="G297" s="6">
        <v>8.33</v>
      </c>
      <c r="H297" s="6">
        <v>8.33</v>
      </c>
      <c r="I297" s="6">
        <v>6.58</v>
      </c>
      <c r="J297" s="6">
        <v>8.68</v>
      </c>
      <c r="K297" s="6">
        <v>7.23</v>
      </c>
      <c r="L297" s="6">
        <v>8.43</v>
      </c>
      <c r="M297" s="6">
        <v>8.3800000000000008</v>
      </c>
      <c r="N297" s="6">
        <v>6.88</v>
      </c>
      <c r="O297" s="6">
        <v>9.6300000000000008</v>
      </c>
      <c r="P297" s="6">
        <v>6.93</v>
      </c>
      <c r="Q297" s="6">
        <v>9.5299999999999994</v>
      </c>
      <c r="R297" s="6">
        <v>5.88</v>
      </c>
      <c r="S297" s="6">
        <v>5.33</v>
      </c>
      <c r="T297" s="6">
        <v>7.93</v>
      </c>
      <c r="U297" s="6">
        <v>8.1300000000000008</v>
      </c>
      <c r="V297" s="6">
        <v>6.78</v>
      </c>
      <c r="W297" s="6">
        <v>7.33</v>
      </c>
      <c r="X297" s="6">
        <v>6.93</v>
      </c>
      <c r="Y297" s="6">
        <v>8.5299999999999994</v>
      </c>
      <c r="Z297" s="6">
        <v>6.97</v>
      </c>
      <c r="AA297" s="6">
        <v>8.1300000000000008</v>
      </c>
      <c r="AB297" s="6">
        <v>8.24</v>
      </c>
      <c r="AC297" s="6">
        <v>9.34</v>
      </c>
      <c r="AD297" s="6">
        <v>8.3800000000000008</v>
      </c>
      <c r="AE297" s="6">
        <v>9.19</v>
      </c>
      <c r="AF297" s="6">
        <v>8.67</v>
      </c>
      <c r="AG297" s="6">
        <v>7.77</v>
      </c>
      <c r="AH297" s="6">
        <v>9.43</v>
      </c>
      <c r="AI297" s="6">
        <v>8.85</v>
      </c>
      <c r="AJ297" s="6">
        <v>8.36</v>
      </c>
      <c r="AK297" s="6">
        <v>7.03</v>
      </c>
      <c r="AL297" s="6">
        <v>9.0299999999999994</v>
      </c>
      <c r="AM297" s="6">
        <v>8.02</v>
      </c>
      <c r="AN297" s="6">
        <v>8.06</v>
      </c>
      <c r="AO297" s="6">
        <v>8.81</v>
      </c>
      <c r="AP297" s="6">
        <v>8.84</v>
      </c>
      <c r="AQ297" s="6">
        <v>7.64</v>
      </c>
      <c r="AR297" s="6">
        <v>8.42</v>
      </c>
      <c r="AS297" s="6">
        <v>8.4</v>
      </c>
      <c r="AT297" s="6">
        <v>8.26</v>
      </c>
      <c r="AU297" s="6">
        <v>9.43</v>
      </c>
      <c r="AV297" s="6">
        <v>9.41</v>
      </c>
      <c r="AW297" s="6">
        <v>8.64</v>
      </c>
      <c r="AX297" s="6">
        <v>7.75</v>
      </c>
      <c r="AY297" s="6">
        <v>6.48</v>
      </c>
      <c r="AZ297" s="6">
        <v>9.3000000000000007</v>
      </c>
      <c r="BA297" s="6">
        <v>7.45</v>
      </c>
      <c r="BB297" s="6">
        <v>8.33</v>
      </c>
      <c r="BC297" s="6">
        <f>9.15+0.43</f>
        <v>9.58</v>
      </c>
      <c r="BD297" s="6">
        <v>6.23</v>
      </c>
      <c r="BE297" s="6">
        <v>9.08</v>
      </c>
      <c r="BF297" s="6">
        <v>5.42</v>
      </c>
      <c r="BG297" s="6">
        <v>7.98</v>
      </c>
      <c r="BH297" s="6">
        <v>8.98</v>
      </c>
      <c r="BI297" s="6">
        <v>8.59</v>
      </c>
      <c r="BJ297" s="6">
        <v>6.49</v>
      </c>
      <c r="BK297" s="6">
        <v>6.81</v>
      </c>
      <c r="BL297" s="6">
        <v>8.65</v>
      </c>
      <c r="BM297" s="6">
        <v>8.8699999999999992</v>
      </c>
      <c r="BN297" s="6">
        <v>6.49</v>
      </c>
      <c r="BO297" s="6">
        <v>7.51</v>
      </c>
      <c r="BP297" s="6">
        <v>9</v>
      </c>
      <c r="BQ297" s="6">
        <v>7.93</v>
      </c>
      <c r="BR297" s="6">
        <v>5.98</v>
      </c>
      <c r="BS297" s="6">
        <v>7.28</v>
      </c>
      <c r="BT297" s="6">
        <v>8.11</v>
      </c>
      <c r="BU297" s="6">
        <v>7.88</v>
      </c>
      <c r="BV297" s="6">
        <v>8.06</v>
      </c>
      <c r="BW297" s="6">
        <v>7.8599999999999994</v>
      </c>
      <c r="BX297" s="6">
        <v>5.72</v>
      </c>
      <c r="BY297" s="6">
        <v>8.08</v>
      </c>
      <c r="BZ297" s="6">
        <v>7.71</v>
      </c>
      <c r="CA297" s="6">
        <v>9.09</v>
      </c>
      <c r="CB297" s="6">
        <v>7.3999999999999995</v>
      </c>
      <c r="CC297" s="6">
        <v>6.5299999999999994</v>
      </c>
      <c r="CD297" s="6">
        <v>9.23</v>
      </c>
      <c r="CE297" s="6">
        <v>8.7099999999999991</v>
      </c>
      <c r="CF297" s="6">
        <v>3.98</v>
      </c>
      <c r="CG297" s="6">
        <v>5.14</v>
      </c>
      <c r="CH297" s="6"/>
    </row>
    <row r="298" spans="1:86" ht="15.75" customHeight="1" x14ac:dyDescent="0.25">
      <c r="A298" s="4">
        <v>296</v>
      </c>
      <c r="B298" s="2"/>
      <c r="C298" s="4">
        <v>23</v>
      </c>
      <c r="D298" s="6">
        <v>7.73</v>
      </c>
      <c r="E298" s="6">
        <v>8.43</v>
      </c>
      <c r="F298" s="6">
        <v>6.93</v>
      </c>
      <c r="G298" s="6">
        <v>8.18</v>
      </c>
      <c r="H298" s="6">
        <v>8.2799999999999994</v>
      </c>
      <c r="I298" s="6">
        <v>6.43</v>
      </c>
      <c r="J298" s="6">
        <v>8.6300000000000008</v>
      </c>
      <c r="K298" s="6">
        <v>7.13</v>
      </c>
      <c r="L298" s="6">
        <v>8.18</v>
      </c>
      <c r="M298" s="6">
        <v>8.23</v>
      </c>
      <c r="N298" s="6">
        <v>6.83</v>
      </c>
      <c r="O298" s="6">
        <v>9.5299999999999994</v>
      </c>
      <c r="P298" s="6">
        <v>6.96</v>
      </c>
      <c r="Q298" s="6">
        <v>9.48</v>
      </c>
      <c r="R298" s="6">
        <v>5.89</v>
      </c>
      <c r="S298" s="6">
        <v>5.33</v>
      </c>
      <c r="T298" s="6">
        <v>7.88</v>
      </c>
      <c r="U298" s="6">
        <v>8.0299999999999994</v>
      </c>
      <c r="V298" s="6">
        <v>6.68</v>
      </c>
      <c r="W298" s="6">
        <v>7.18</v>
      </c>
      <c r="X298" s="6">
        <v>6.81</v>
      </c>
      <c r="Y298" s="6">
        <v>8.43</v>
      </c>
      <c r="Z298" s="6">
        <v>6.93</v>
      </c>
      <c r="AA298" s="6">
        <v>8.1</v>
      </c>
      <c r="AB298" s="6">
        <v>8.0500000000000007</v>
      </c>
      <c r="AC298" s="6">
        <v>9.2799999999999994</v>
      </c>
      <c r="AD298" s="6">
        <v>8.24</v>
      </c>
      <c r="AE298" s="6">
        <v>9.09</v>
      </c>
      <c r="AF298" s="6">
        <v>8.59</v>
      </c>
      <c r="AG298" s="6">
        <v>7.79</v>
      </c>
      <c r="AH298" s="6">
        <v>9.43</v>
      </c>
      <c r="AI298" s="6">
        <v>8.6300000000000008</v>
      </c>
      <c r="AJ298" s="6">
        <v>8.24</v>
      </c>
      <c r="AK298" s="6">
        <v>6.93</v>
      </c>
      <c r="AL298" s="6">
        <v>8.8699999999999992</v>
      </c>
      <c r="AM298" s="6">
        <v>8.2100000000000009</v>
      </c>
      <c r="AN298" s="6">
        <v>8.09</v>
      </c>
      <c r="AO298" s="6">
        <v>8.7799999999999994</v>
      </c>
      <c r="AP298" s="6">
        <v>8.6199999999999992</v>
      </c>
      <c r="AQ298" s="6">
        <v>7.6</v>
      </c>
      <c r="AR298" s="6">
        <v>8.51</v>
      </c>
      <c r="AS298" s="6">
        <v>8.32</v>
      </c>
      <c r="AT298" s="6">
        <v>8.15</v>
      </c>
      <c r="AU298" s="6">
        <v>9.3800000000000008</v>
      </c>
      <c r="AV298" s="6">
        <v>9.3000000000000007</v>
      </c>
      <c r="AW298" s="6">
        <v>8.61</v>
      </c>
      <c r="AX298" s="6">
        <v>7.63</v>
      </c>
      <c r="AY298" s="6">
        <v>6.48</v>
      </c>
      <c r="AZ298" s="6">
        <v>9.01</v>
      </c>
      <c r="BA298" s="6">
        <v>7.38</v>
      </c>
      <c r="BB298" s="6">
        <v>8.25</v>
      </c>
      <c r="BC298" s="6">
        <f>9+0.43</f>
        <v>9.43</v>
      </c>
      <c r="BD298" s="6">
        <v>6.13</v>
      </c>
      <c r="BE298" s="6">
        <v>8.99</v>
      </c>
      <c r="BF298" s="6">
        <v>5.36</v>
      </c>
      <c r="BG298" s="6">
        <v>7.87</v>
      </c>
      <c r="BH298" s="6">
        <v>9.0399999999999991</v>
      </c>
      <c r="BI298" s="6">
        <v>8.52</v>
      </c>
      <c r="BJ298" s="6">
        <v>6.39</v>
      </c>
      <c r="BK298" s="6">
        <v>6.68</v>
      </c>
      <c r="BL298" s="6">
        <v>8.6</v>
      </c>
      <c r="BM298" s="6">
        <v>8.83</v>
      </c>
      <c r="BN298" s="6">
        <v>6.34</v>
      </c>
      <c r="BO298" s="6">
        <v>7.38</v>
      </c>
      <c r="BP298" s="6">
        <v>8.89</v>
      </c>
      <c r="BQ298" s="6">
        <v>7.84</v>
      </c>
      <c r="BR298" s="6">
        <v>5.91</v>
      </c>
      <c r="BS298" s="6">
        <v>7.15</v>
      </c>
      <c r="BT298" s="6">
        <v>8.17</v>
      </c>
      <c r="BU298" s="6">
        <v>7.7799999999999994</v>
      </c>
      <c r="BV298" s="6">
        <v>7.97</v>
      </c>
      <c r="BW298" s="6">
        <v>7.8199999999999994</v>
      </c>
      <c r="BX298" s="6">
        <v>5.67</v>
      </c>
      <c r="BY298" s="6">
        <v>7.91</v>
      </c>
      <c r="BZ298" s="6">
        <v>7.54</v>
      </c>
      <c r="CA298" s="6">
        <v>9.18</v>
      </c>
      <c r="CB298" s="6">
        <v>7.4899999999999993</v>
      </c>
      <c r="CC298" s="6">
        <v>6.5299999999999994</v>
      </c>
      <c r="CD298" s="6">
        <v>9.1199999999999992</v>
      </c>
      <c r="CE298" s="6">
        <v>8.41</v>
      </c>
      <c r="CF298" s="6">
        <v>3.94</v>
      </c>
      <c r="CG298" s="6">
        <v>5.0199999999999996</v>
      </c>
      <c r="CH298" s="6"/>
    </row>
    <row r="299" spans="1:86" ht="15.75" customHeight="1" x14ac:dyDescent="0.25">
      <c r="A299" s="4">
        <v>297</v>
      </c>
      <c r="B299" s="2"/>
      <c r="C299" s="4">
        <v>24</v>
      </c>
      <c r="D299" s="6">
        <v>7.53</v>
      </c>
      <c r="E299" s="6">
        <v>8.33</v>
      </c>
      <c r="F299" s="6">
        <v>6.78</v>
      </c>
      <c r="G299" s="6">
        <v>8.1300000000000008</v>
      </c>
      <c r="H299" s="6">
        <v>8.23</v>
      </c>
      <c r="I299" s="6">
        <v>6.38</v>
      </c>
      <c r="J299" s="6">
        <v>8.5299999999999994</v>
      </c>
      <c r="K299" s="6">
        <v>7.03</v>
      </c>
      <c r="L299" s="6">
        <v>8.0299999999999994</v>
      </c>
      <c r="M299" s="6">
        <v>8.23</v>
      </c>
      <c r="N299" s="6">
        <v>6.78</v>
      </c>
      <c r="O299" s="6">
        <v>9.43</v>
      </c>
      <c r="P299" s="6">
        <v>6.94</v>
      </c>
      <c r="Q299" s="6">
        <v>9.43</v>
      </c>
      <c r="R299" s="6">
        <v>5.78</v>
      </c>
      <c r="S299" s="6">
        <v>5.43</v>
      </c>
      <c r="T299" s="6">
        <v>7.83</v>
      </c>
      <c r="U299" s="6">
        <v>7.91</v>
      </c>
      <c r="V299" s="6">
        <v>6.63</v>
      </c>
      <c r="W299" s="6">
        <v>7.03</v>
      </c>
      <c r="X299" s="6">
        <v>6.43</v>
      </c>
      <c r="Y299" s="6">
        <v>8.33</v>
      </c>
      <c r="Z299" s="6">
        <v>6.73</v>
      </c>
      <c r="AA299" s="6">
        <v>8.1</v>
      </c>
      <c r="AB299" s="6">
        <v>7.85</v>
      </c>
      <c r="AC299" s="6">
        <v>9.1999999999999993</v>
      </c>
      <c r="AD299" s="6">
        <v>8.1300000000000008</v>
      </c>
      <c r="AE299" s="6">
        <v>8.9499999999999993</v>
      </c>
      <c r="AF299" s="6">
        <v>8.5</v>
      </c>
      <c r="AG299" s="6">
        <v>7.6</v>
      </c>
      <c r="AH299" s="6">
        <v>9.74</v>
      </c>
      <c r="AI299" s="6">
        <v>8.57</v>
      </c>
      <c r="AJ299" s="6">
        <v>8.1199999999999992</v>
      </c>
      <c r="AK299" s="6">
        <v>6.83</v>
      </c>
      <c r="AL299" s="6">
        <v>8.67</v>
      </c>
      <c r="AM299" s="6">
        <v>8.08</v>
      </c>
      <c r="AN299" s="6">
        <v>8.16</v>
      </c>
      <c r="AO299" s="6">
        <v>8.73</v>
      </c>
      <c r="AP299" s="6">
        <v>8.4700000000000006</v>
      </c>
      <c r="AQ299" s="6">
        <v>7.64</v>
      </c>
      <c r="AR299" s="6">
        <v>8.5</v>
      </c>
      <c r="AS299" s="6">
        <v>8.24</v>
      </c>
      <c r="AT299" s="6">
        <v>8.07</v>
      </c>
      <c r="AU299" s="6">
        <v>9.41</v>
      </c>
      <c r="AV299" s="6">
        <v>9.34</v>
      </c>
      <c r="AW299" s="6">
        <v>8.83</v>
      </c>
      <c r="AX299" s="6">
        <v>7.56</v>
      </c>
      <c r="AY299" s="6">
        <v>6.53</v>
      </c>
      <c r="AZ299" s="6">
        <v>8.7899999999999991</v>
      </c>
      <c r="BA299" s="6">
        <v>7.3</v>
      </c>
      <c r="BB299" s="6">
        <v>8.07</v>
      </c>
      <c r="BC299" s="6">
        <f>8.85+0.43</f>
        <v>9.2799999999999994</v>
      </c>
      <c r="BD299" s="6">
        <v>6.18</v>
      </c>
      <c r="BE299" s="6">
        <v>8.8699999999999992</v>
      </c>
      <c r="BF299" s="6">
        <v>5.33</v>
      </c>
      <c r="BG299" s="6">
        <v>7.75</v>
      </c>
      <c r="BH299" s="6">
        <v>9.0299999999999994</v>
      </c>
      <c r="BI299" s="6">
        <v>8.59</v>
      </c>
      <c r="BJ299" s="6">
        <v>6.36</v>
      </c>
      <c r="BK299" s="6">
        <v>6.45</v>
      </c>
      <c r="BL299" s="6">
        <v>8.57</v>
      </c>
      <c r="BM299" s="6">
        <v>8.74</v>
      </c>
      <c r="BN299" s="6">
        <v>6.25</v>
      </c>
      <c r="BO299" s="6">
        <v>7.36</v>
      </c>
      <c r="BP299" s="6">
        <v>8.81</v>
      </c>
      <c r="BQ299" s="6">
        <v>7.67</v>
      </c>
      <c r="BR299" s="6">
        <v>5.83</v>
      </c>
      <c r="BS299" s="6">
        <v>7.05</v>
      </c>
      <c r="BT299" s="6">
        <v>8.0299999999999994</v>
      </c>
      <c r="BU299" s="6">
        <v>7.68</v>
      </c>
      <c r="BV299" s="6">
        <v>7.8999999999999995</v>
      </c>
      <c r="BW299" s="6">
        <v>7.77</v>
      </c>
      <c r="BX299" s="6">
        <v>5.67</v>
      </c>
      <c r="BY299" s="6">
        <v>7.8</v>
      </c>
      <c r="BZ299" s="6">
        <v>7.35</v>
      </c>
      <c r="CA299" s="6">
        <v>9.08</v>
      </c>
      <c r="CB299" s="6">
        <v>7.47</v>
      </c>
      <c r="CC299" s="6">
        <v>6.4799999999999995</v>
      </c>
      <c r="CD299" s="6">
        <v>8.99</v>
      </c>
      <c r="CE299" s="6">
        <v>8.3000000000000007</v>
      </c>
      <c r="CF299" s="6">
        <v>3.93</v>
      </c>
      <c r="CG299" s="6">
        <v>4.92</v>
      </c>
      <c r="CH299" s="6"/>
    </row>
    <row r="300" spans="1:86" ht="15.75" customHeight="1" x14ac:dyDescent="0.25">
      <c r="A300" s="4">
        <v>298</v>
      </c>
      <c r="B300" s="2"/>
      <c r="C300" s="4">
        <v>25</v>
      </c>
      <c r="D300" s="6">
        <v>7.33</v>
      </c>
      <c r="E300" s="6">
        <v>8.23</v>
      </c>
      <c r="F300" s="6">
        <v>6.73</v>
      </c>
      <c r="G300" s="6">
        <v>8.0299999999999994</v>
      </c>
      <c r="H300" s="6">
        <v>8.18</v>
      </c>
      <c r="I300" s="6">
        <v>6.33</v>
      </c>
      <c r="J300" s="6">
        <v>8.5299999999999994</v>
      </c>
      <c r="K300" s="6">
        <v>6.98</v>
      </c>
      <c r="L300" s="6">
        <v>7.73</v>
      </c>
      <c r="M300" s="6">
        <v>8.08</v>
      </c>
      <c r="N300" s="6">
        <v>6.53</v>
      </c>
      <c r="O300" s="6">
        <v>9.33</v>
      </c>
      <c r="P300" s="6">
        <v>6.91</v>
      </c>
      <c r="Q300" s="6">
        <v>9.4</v>
      </c>
      <c r="R300" s="6">
        <v>5.73</v>
      </c>
      <c r="S300" s="6">
        <v>5.63</v>
      </c>
      <c r="T300" s="6">
        <v>7.73</v>
      </c>
      <c r="U300" s="6">
        <v>7.75</v>
      </c>
      <c r="V300" s="6">
        <v>6.63</v>
      </c>
      <c r="W300" s="6">
        <v>6.98</v>
      </c>
      <c r="X300" s="6">
        <v>6.23</v>
      </c>
      <c r="Y300" s="6">
        <v>8.23</v>
      </c>
      <c r="Z300" s="6">
        <v>6.53</v>
      </c>
      <c r="AA300" s="6">
        <v>8.06</v>
      </c>
      <c r="AB300" s="6">
        <v>7.68</v>
      </c>
      <c r="AC300" s="6">
        <v>9.1300000000000008</v>
      </c>
      <c r="AD300" s="6">
        <v>8.02</v>
      </c>
      <c r="AE300" s="6">
        <v>8.7200000000000006</v>
      </c>
      <c r="AF300" s="6">
        <v>8.2799999999999994</v>
      </c>
      <c r="AG300" s="6">
        <v>7.26</v>
      </c>
      <c r="AH300" s="6">
        <v>9.77</v>
      </c>
      <c r="AI300" s="6">
        <v>8.4</v>
      </c>
      <c r="AJ300" s="6">
        <v>8.01</v>
      </c>
      <c r="AK300" s="6">
        <v>6.71</v>
      </c>
      <c r="AL300" s="6">
        <v>8.5500000000000007</v>
      </c>
      <c r="AM300" s="6">
        <v>8.0500000000000007</v>
      </c>
      <c r="AN300" s="6">
        <v>8.26</v>
      </c>
      <c r="AO300" s="6">
        <v>8.69</v>
      </c>
      <c r="AP300" s="6">
        <v>8.36</v>
      </c>
      <c r="AQ300" s="6">
        <v>7.47</v>
      </c>
      <c r="AR300" s="6">
        <v>8.4600000000000009</v>
      </c>
      <c r="AS300" s="6">
        <v>7.93</v>
      </c>
      <c r="AT300" s="6">
        <v>7.97</v>
      </c>
      <c r="AU300" s="6">
        <v>9.27</v>
      </c>
      <c r="AV300" s="6">
        <v>9.0500000000000007</v>
      </c>
      <c r="AW300" s="6">
        <v>8.9</v>
      </c>
      <c r="AX300" s="6">
        <v>7.49</v>
      </c>
      <c r="AY300" s="6">
        <v>6.53</v>
      </c>
      <c r="AZ300" s="6">
        <v>8.61</v>
      </c>
      <c r="BA300" s="6">
        <v>7.18</v>
      </c>
      <c r="BB300" s="6">
        <v>7.87</v>
      </c>
      <c r="BC300" s="6">
        <f>8.78+0.43</f>
        <v>9.2099999999999991</v>
      </c>
      <c r="BD300" s="6">
        <v>6.19</v>
      </c>
      <c r="BE300" s="6">
        <v>8.7799999999999994</v>
      </c>
      <c r="BF300" s="6">
        <v>5.21</v>
      </c>
      <c r="BG300" s="6">
        <v>7.47</v>
      </c>
      <c r="BH300" s="6">
        <v>9</v>
      </c>
      <c r="BI300" s="6">
        <v>8.5299999999999994</v>
      </c>
      <c r="BJ300" s="6">
        <v>6.24</v>
      </c>
      <c r="BK300" s="6">
        <v>6.29</v>
      </c>
      <c r="BL300" s="6">
        <v>8.51</v>
      </c>
      <c r="BM300" s="6">
        <v>8.69</v>
      </c>
      <c r="BN300" s="6">
        <v>6.21</v>
      </c>
      <c r="BO300" s="6">
        <v>7.33</v>
      </c>
      <c r="BP300" s="6">
        <v>8.86</v>
      </c>
      <c r="BQ300" s="6">
        <v>7.62</v>
      </c>
      <c r="BR300" s="6">
        <v>5.76</v>
      </c>
      <c r="BS300" s="6">
        <v>7.11</v>
      </c>
      <c r="BT300" s="6">
        <v>7.89</v>
      </c>
      <c r="BU300" s="6">
        <v>7.56</v>
      </c>
      <c r="BV300" s="6">
        <v>7.84</v>
      </c>
      <c r="BW300" s="6">
        <v>7.75</v>
      </c>
      <c r="BX300" s="6">
        <v>5.56</v>
      </c>
      <c r="BY300" s="6">
        <v>7.71</v>
      </c>
      <c r="BZ300" s="6">
        <v>7.37</v>
      </c>
      <c r="CA300" s="6">
        <v>8.879999999999999</v>
      </c>
      <c r="CB300" s="6">
        <v>7.55</v>
      </c>
      <c r="CC300" s="6">
        <v>6.4499999999999993</v>
      </c>
      <c r="CD300" s="6">
        <v>9.1199999999999992</v>
      </c>
      <c r="CE300" s="6">
        <v>8.18</v>
      </c>
      <c r="CF300" s="6">
        <v>3.96</v>
      </c>
      <c r="CG300" s="6">
        <v>4.91</v>
      </c>
      <c r="CH300" s="6"/>
    </row>
    <row r="301" spans="1:86" ht="15.75" customHeight="1" x14ac:dyDescent="0.25">
      <c r="A301" s="4">
        <v>299</v>
      </c>
      <c r="B301" s="2"/>
      <c r="C301" s="4">
        <v>26</v>
      </c>
      <c r="D301" s="6">
        <v>7.18</v>
      </c>
      <c r="E301" s="6">
        <v>8.1300000000000008</v>
      </c>
      <c r="F301" s="6">
        <v>6.68</v>
      </c>
      <c r="G301" s="6">
        <v>7.93</v>
      </c>
      <c r="H301" s="6">
        <v>8.1300000000000008</v>
      </c>
      <c r="I301" s="6">
        <v>6.23</v>
      </c>
      <c r="J301" s="6">
        <v>8.48</v>
      </c>
      <c r="K301" s="6">
        <v>6.93</v>
      </c>
      <c r="L301" s="6">
        <v>7.73</v>
      </c>
      <c r="M301" s="6">
        <v>7.93</v>
      </c>
      <c r="N301" s="6">
        <v>6.43</v>
      </c>
      <c r="O301" s="6">
        <v>9.25</v>
      </c>
      <c r="P301" s="6">
        <v>6.91</v>
      </c>
      <c r="Q301" s="6">
        <v>9.35</v>
      </c>
      <c r="R301" s="6">
        <v>5.63</v>
      </c>
      <c r="S301" s="6">
        <v>5.73</v>
      </c>
      <c r="T301" s="6">
        <v>7.63</v>
      </c>
      <c r="U301" s="6">
        <v>7.7</v>
      </c>
      <c r="V301" s="6">
        <v>6.8</v>
      </c>
      <c r="W301" s="6">
        <v>6.88</v>
      </c>
      <c r="X301" s="6">
        <v>6.03</v>
      </c>
      <c r="Y301" s="6">
        <v>8.0299999999999994</v>
      </c>
      <c r="Z301" s="6">
        <v>6.41</v>
      </c>
      <c r="AA301" s="6">
        <v>7.97</v>
      </c>
      <c r="AB301" s="6">
        <v>7.52</v>
      </c>
      <c r="AC301" s="6">
        <v>9.01</v>
      </c>
      <c r="AD301" s="6">
        <v>7.94</v>
      </c>
      <c r="AE301" s="6">
        <v>8.67</v>
      </c>
      <c r="AF301" s="6">
        <v>8.24</v>
      </c>
      <c r="AG301" s="6">
        <v>7.37</v>
      </c>
      <c r="AH301" s="6">
        <v>9.74</v>
      </c>
      <c r="AI301" s="6">
        <v>8.31</v>
      </c>
      <c r="AJ301" s="6">
        <v>7.91</v>
      </c>
      <c r="AK301" s="6">
        <v>6.7</v>
      </c>
      <c r="AL301" s="6">
        <v>8.33</v>
      </c>
      <c r="AM301" s="6">
        <v>8.31</v>
      </c>
      <c r="AN301" s="6">
        <v>8.32</v>
      </c>
      <c r="AO301" s="6">
        <v>8.5500000000000007</v>
      </c>
      <c r="AP301" s="6">
        <v>8.36</v>
      </c>
      <c r="AQ301" s="6">
        <v>7.36</v>
      </c>
      <c r="AR301" s="6">
        <v>8.3800000000000008</v>
      </c>
      <c r="AS301" s="6">
        <v>7.74</v>
      </c>
      <c r="AT301" s="6">
        <v>7.89</v>
      </c>
      <c r="AU301" s="6">
        <v>9.15</v>
      </c>
      <c r="AV301" s="6">
        <v>8.89</v>
      </c>
      <c r="AW301" s="6">
        <v>8.77</v>
      </c>
      <c r="AX301" s="6">
        <v>7.33</v>
      </c>
      <c r="AY301" s="6">
        <v>6.43</v>
      </c>
      <c r="AZ301" s="6">
        <v>8.6</v>
      </c>
      <c r="BA301" s="6">
        <v>7.04</v>
      </c>
      <c r="BB301" s="6">
        <v>7.93</v>
      </c>
      <c r="BC301" s="6">
        <f>8.84+0.43</f>
        <v>9.27</v>
      </c>
      <c r="BD301" s="6">
        <v>5.93</v>
      </c>
      <c r="BE301" s="6">
        <v>8.69</v>
      </c>
      <c r="BF301" s="6">
        <v>5.12</v>
      </c>
      <c r="BG301" s="6">
        <v>7.29</v>
      </c>
      <c r="BH301" s="6">
        <v>9.06</v>
      </c>
      <c r="BI301" s="6">
        <v>8.48</v>
      </c>
      <c r="BJ301" s="6">
        <v>6.19</v>
      </c>
      <c r="BK301" s="6">
        <v>6.15</v>
      </c>
      <c r="BL301" s="6">
        <v>8.51</v>
      </c>
      <c r="BM301" s="6">
        <v>8.6300000000000008</v>
      </c>
      <c r="BN301" s="6">
        <v>6.11</v>
      </c>
      <c r="BO301" s="6">
        <v>7.33</v>
      </c>
      <c r="BP301" s="6">
        <v>8.7899999999999991</v>
      </c>
      <c r="BQ301" s="6">
        <v>7.47</v>
      </c>
      <c r="BR301" s="6">
        <v>5.73</v>
      </c>
      <c r="BS301" s="6">
        <v>6.88</v>
      </c>
      <c r="BT301" s="6">
        <v>7.81</v>
      </c>
      <c r="BU301" s="6">
        <v>7.51</v>
      </c>
      <c r="BV301" s="6">
        <v>7.7399999999999993</v>
      </c>
      <c r="BW301" s="6">
        <v>7.71</v>
      </c>
      <c r="BX301" s="6">
        <v>5.5</v>
      </c>
      <c r="BY301" s="6">
        <v>7.6099999999999994</v>
      </c>
      <c r="BZ301" s="6">
        <v>7.33</v>
      </c>
      <c r="CA301" s="6">
        <v>8.7799999999999994</v>
      </c>
      <c r="CB301" s="6">
        <v>7.26</v>
      </c>
      <c r="CC301" s="6">
        <v>6.37</v>
      </c>
      <c r="CD301" s="6">
        <v>9.129999999999999</v>
      </c>
      <c r="CE301" s="6">
        <v>8</v>
      </c>
      <c r="CF301" s="6">
        <v>4.1100000000000003</v>
      </c>
      <c r="CG301" s="6">
        <v>4.87</v>
      </c>
      <c r="CH301" s="6"/>
    </row>
    <row r="302" spans="1:86" ht="15.75" customHeight="1" x14ac:dyDescent="0.25">
      <c r="A302" s="4">
        <v>300</v>
      </c>
      <c r="B302" s="2"/>
      <c r="C302" s="4">
        <v>27</v>
      </c>
      <c r="D302" s="6">
        <v>7.03</v>
      </c>
      <c r="E302" s="6">
        <v>7.93</v>
      </c>
      <c r="F302" s="6">
        <v>6.63</v>
      </c>
      <c r="G302" s="6">
        <v>7.88</v>
      </c>
      <c r="H302" s="6">
        <v>8.1300000000000008</v>
      </c>
      <c r="I302" s="6">
        <v>6.03</v>
      </c>
      <c r="J302" s="6">
        <v>8.43</v>
      </c>
      <c r="K302" s="6">
        <v>6.93</v>
      </c>
      <c r="L302" s="6">
        <v>7.73</v>
      </c>
      <c r="M302" s="6">
        <v>7.83</v>
      </c>
      <c r="N302" s="6">
        <v>6.38</v>
      </c>
      <c r="O302" s="6">
        <v>9.18</v>
      </c>
      <c r="P302" s="6">
        <v>6.98</v>
      </c>
      <c r="Q302" s="6">
        <v>9.33</v>
      </c>
      <c r="R302" s="6">
        <v>5.53</v>
      </c>
      <c r="S302" s="6">
        <v>5.73</v>
      </c>
      <c r="T302" s="6">
        <v>7.53</v>
      </c>
      <c r="U302" s="6">
        <v>7.55</v>
      </c>
      <c r="V302" s="6">
        <v>6.88</v>
      </c>
      <c r="W302" s="6">
        <v>6.83</v>
      </c>
      <c r="X302" s="6">
        <v>5.83</v>
      </c>
      <c r="Y302" s="6">
        <v>7.86</v>
      </c>
      <c r="Z302" s="6">
        <v>6.28</v>
      </c>
      <c r="AA302" s="6">
        <v>7.84</v>
      </c>
      <c r="AB302" s="6">
        <v>7.42</v>
      </c>
      <c r="AC302" s="6">
        <v>8.94</v>
      </c>
      <c r="AD302" s="6">
        <v>7.82</v>
      </c>
      <c r="AE302" s="6">
        <v>8.9</v>
      </c>
      <c r="AF302" s="6">
        <v>8.15</v>
      </c>
      <c r="AG302" s="6">
        <v>7.19</v>
      </c>
      <c r="AH302" s="6">
        <v>9.7200000000000006</v>
      </c>
      <c r="AI302" s="6">
        <v>8.2100000000000009</v>
      </c>
      <c r="AJ302" s="6">
        <v>7.83</v>
      </c>
      <c r="AK302" s="6">
        <v>6.69</v>
      </c>
      <c r="AL302" s="6">
        <v>8.18</v>
      </c>
      <c r="AM302" s="6">
        <v>8.1999999999999993</v>
      </c>
      <c r="AN302" s="6">
        <v>8.25</v>
      </c>
      <c r="AO302" s="6">
        <v>8.49</v>
      </c>
      <c r="AP302" s="6">
        <v>8.06</v>
      </c>
      <c r="AQ302" s="6">
        <v>7.15</v>
      </c>
      <c r="AR302" s="6">
        <v>8.31</v>
      </c>
      <c r="AS302" s="6">
        <v>7.7</v>
      </c>
      <c r="AT302" s="6">
        <v>7.79</v>
      </c>
      <c r="AU302" s="6">
        <v>9.06</v>
      </c>
      <c r="AV302" s="6">
        <v>8.82</v>
      </c>
      <c r="AW302" s="6">
        <v>8.64</v>
      </c>
      <c r="AX302" s="6">
        <v>7.13</v>
      </c>
      <c r="AY302" s="6">
        <v>6.33</v>
      </c>
      <c r="AZ302" s="6">
        <v>8.23</v>
      </c>
      <c r="BA302" s="6">
        <v>6.97</v>
      </c>
      <c r="BB302" s="6">
        <v>7.88</v>
      </c>
      <c r="BC302" s="6">
        <f>8.7+0.43</f>
        <v>9.129999999999999</v>
      </c>
      <c r="BD302" s="6">
        <v>6.03</v>
      </c>
      <c r="BE302" s="6">
        <v>8.56</v>
      </c>
      <c r="BF302" s="6">
        <v>5.03</v>
      </c>
      <c r="BG302" s="6">
        <v>7.18</v>
      </c>
      <c r="BH302" s="6">
        <v>9.0399999999999991</v>
      </c>
      <c r="BI302" s="6">
        <v>8.43</v>
      </c>
      <c r="BJ302" s="6">
        <v>6.15</v>
      </c>
      <c r="BK302" s="6">
        <v>6.05</v>
      </c>
      <c r="BL302" s="6">
        <v>8.34</v>
      </c>
      <c r="BM302" s="6">
        <v>8.56</v>
      </c>
      <c r="BN302" s="6">
        <v>6.09</v>
      </c>
      <c r="BO302" s="6">
        <v>7.29</v>
      </c>
      <c r="BP302" s="6">
        <v>8.86</v>
      </c>
      <c r="BQ302" s="6">
        <v>7.37</v>
      </c>
      <c r="BR302" s="6">
        <v>5.69</v>
      </c>
      <c r="BS302" s="6">
        <v>6.88</v>
      </c>
      <c r="BT302" s="6">
        <v>7.68</v>
      </c>
      <c r="BU302" s="6">
        <v>7.39</v>
      </c>
      <c r="BV302" s="6">
        <v>7.5699999999999994</v>
      </c>
      <c r="BW302" s="6">
        <v>7.68</v>
      </c>
      <c r="BX302" s="6">
        <v>5.59</v>
      </c>
      <c r="BY302" s="6">
        <v>7.55</v>
      </c>
      <c r="BZ302" s="6">
        <v>7.17</v>
      </c>
      <c r="CA302" s="6">
        <v>8.68</v>
      </c>
      <c r="CB302" s="6">
        <v>7.18</v>
      </c>
      <c r="CC302" s="6">
        <v>6.37</v>
      </c>
      <c r="CD302" s="6">
        <v>9.0499999999999989</v>
      </c>
      <c r="CE302" s="6">
        <v>7.89</v>
      </c>
      <c r="CF302" s="6">
        <v>4.24</v>
      </c>
      <c r="CG302" s="6">
        <v>4.7699999999999996</v>
      </c>
      <c r="CH302" s="6"/>
    </row>
    <row r="303" spans="1:86" ht="15.75" customHeight="1" x14ac:dyDescent="0.25">
      <c r="A303" s="4">
        <v>301</v>
      </c>
      <c r="B303" s="2"/>
      <c r="C303" s="4">
        <v>28</v>
      </c>
      <c r="D303" s="6">
        <v>6.83</v>
      </c>
      <c r="E303" s="6">
        <v>7.83</v>
      </c>
      <c r="F303" s="6">
        <v>6.58</v>
      </c>
      <c r="G303" s="6">
        <v>7.83</v>
      </c>
      <c r="H303" s="6">
        <v>8.08</v>
      </c>
      <c r="I303" s="6">
        <v>5.98</v>
      </c>
      <c r="J303" s="6">
        <v>8.23</v>
      </c>
      <c r="K303" s="6">
        <v>6.88</v>
      </c>
      <c r="L303" s="6">
        <v>7.73</v>
      </c>
      <c r="M303" s="6">
        <v>7.83</v>
      </c>
      <c r="N303" s="6">
        <v>6.28</v>
      </c>
      <c r="O303" s="6">
        <v>9.1300000000000008</v>
      </c>
      <c r="P303" s="6">
        <v>6.95</v>
      </c>
      <c r="Q303" s="6">
        <v>9.23</v>
      </c>
      <c r="R303" s="6">
        <v>5.48</v>
      </c>
      <c r="S303" s="6">
        <v>5.73</v>
      </c>
      <c r="T303" s="6">
        <v>7.43</v>
      </c>
      <c r="U303" s="6">
        <v>7.43</v>
      </c>
      <c r="V303" s="6">
        <v>6.93</v>
      </c>
      <c r="W303" s="6">
        <v>6.73</v>
      </c>
      <c r="X303" s="6">
        <v>5.73</v>
      </c>
      <c r="Y303" s="6">
        <v>7.68</v>
      </c>
      <c r="Z303" s="6">
        <v>6.17</v>
      </c>
      <c r="AA303" s="6">
        <v>7.68</v>
      </c>
      <c r="AB303" s="6">
        <v>7.37</v>
      </c>
      <c r="AC303" s="6">
        <v>8.85</v>
      </c>
      <c r="AD303" s="6">
        <v>7.75</v>
      </c>
      <c r="AE303" s="6">
        <v>8.84</v>
      </c>
      <c r="AF303" s="6">
        <v>8.14</v>
      </c>
      <c r="AG303" s="6">
        <v>6.92</v>
      </c>
      <c r="AH303" s="6">
        <v>9.5500000000000007</v>
      </c>
      <c r="AI303" s="6">
        <v>8.14</v>
      </c>
      <c r="AJ303" s="6">
        <v>7.86</v>
      </c>
      <c r="AK303" s="6">
        <v>6.85</v>
      </c>
      <c r="AL303" s="6">
        <v>8.0500000000000007</v>
      </c>
      <c r="AM303" s="6">
        <v>7.99</v>
      </c>
      <c r="AN303" s="6">
        <v>8.17</v>
      </c>
      <c r="AO303" s="6">
        <v>8.43</v>
      </c>
      <c r="AP303" s="6">
        <v>7.76</v>
      </c>
      <c r="AQ303" s="6">
        <v>7.06</v>
      </c>
      <c r="AR303" s="6">
        <v>8.2100000000000009</v>
      </c>
      <c r="AS303" s="6">
        <v>7.61</v>
      </c>
      <c r="AT303" s="6">
        <v>7.68</v>
      </c>
      <c r="AU303" s="6">
        <v>9.06</v>
      </c>
      <c r="AV303" s="6">
        <v>8.69</v>
      </c>
      <c r="AW303" s="6">
        <v>8.57</v>
      </c>
      <c r="AX303" s="6">
        <v>7.06</v>
      </c>
      <c r="AY303" s="6">
        <v>6.23</v>
      </c>
      <c r="AZ303" s="6">
        <v>8.0299999999999994</v>
      </c>
      <c r="BA303" s="6">
        <v>6.89</v>
      </c>
      <c r="BB303" s="6">
        <v>7.83</v>
      </c>
      <c r="BC303" s="6">
        <f>8.6+0.43</f>
        <v>9.0299999999999994</v>
      </c>
      <c r="BD303" s="6">
        <v>5.92</v>
      </c>
      <c r="BE303" s="6">
        <v>8.3800000000000008</v>
      </c>
      <c r="BF303" s="6">
        <v>5.03</v>
      </c>
      <c r="BG303" s="6">
        <v>7.03</v>
      </c>
      <c r="BH303" s="6">
        <v>8.7799999999999994</v>
      </c>
      <c r="BI303" s="6">
        <v>8.33</v>
      </c>
      <c r="BJ303" s="6">
        <v>6.03</v>
      </c>
      <c r="BK303" s="6">
        <v>5.87</v>
      </c>
      <c r="BL303" s="6">
        <v>8.34</v>
      </c>
      <c r="BM303" s="6">
        <v>8.43</v>
      </c>
      <c r="BN303" s="6">
        <v>6.09</v>
      </c>
      <c r="BO303" s="6">
        <v>7.28</v>
      </c>
      <c r="BP303" s="6">
        <v>8.7799999999999994</v>
      </c>
      <c r="BQ303" s="6">
        <v>7.33</v>
      </c>
      <c r="BR303" s="6">
        <v>5.69</v>
      </c>
      <c r="BS303" s="6">
        <v>6.79</v>
      </c>
      <c r="BT303" s="6">
        <v>7.61</v>
      </c>
      <c r="BU303" s="6">
        <v>7.34</v>
      </c>
      <c r="BV303" s="6">
        <v>7.4399999999999995</v>
      </c>
      <c r="BW303" s="6">
        <v>7.72</v>
      </c>
      <c r="BX303" s="6">
        <v>5.52</v>
      </c>
      <c r="BY303" s="6">
        <v>7.5</v>
      </c>
      <c r="BZ303" s="6">
        <v>7.14</v>
      </c>
      <c r="CA303" s="6">
        <v>8.58</v>
      </c>
      <c r="CB303" s="6">
        <v>7.26</v>
      </c>
      <c r="CC303" s="6">
        <v>6.3199999999999994</v>
      </c>
      <c r="CD303" s="6">
        <v>8.73</v>
      </c>
      <c r="CE303" s="6">
        <v>7.8</v>
      </c>
      <c r="CF303" s="6">
        <v>4.21</v>
      </c>
      <c r="CG303" s="6">
        <v>4.71</v>
      </c>
      <c r="CH303" s="6"/>
    </row>
    <row r="304" spans="1:86" ht="15.75" customHeight="1" x14ac:dyDescent="0.25">
      <c r="A304" s="4">
        <v>302</v>
      </c>
      <c r="B304" s="2"/>
      <c r="C304" s="4">
        <v>29</v>
      </c>
      <c r="D304" s="6">
        <v>6.73</v>
      </c>
      <c r="E304" s="6">
        <v>7.63</v>
      </c>
      <c r="F304" s="6">
        <v>6.53</v>
      </c>
      <c r="G304" s="6">
        <v>7.68</v>
      </c>
      <c r="H304" s="6">
        <v>8.0299999999999994</v>
      </c>
      <c r="I304" s="6">
        <v>5.93</v>
      </c>
      <c r="J304" s="6">
        <v>8.1300000000000008</v>
      </c>
      <c r="K304" s="6">
        <v>6.83</v>
      </c>
      <c r="L304" s="6">
        <v>7.68</v>
      </c>
      <c r="M304" s="6">
        <v>7.73</v>
      </c>
      <c r="N304" s="6">
        <v>6.18</v>
      </c>
      <c r="O304" s="6">
        <v>9.1300000000000008</v>
      </c>
      <c r="P304" s="6">
        <v>6.93</v>
      </c>
      <c r="Q304" s="6">
        <v>9.3000000000000007</v>
      </c>
      <c r="R304" s="6">
        <v>5.43</v>
      </c>
      <c r="S304" s="6">
        <v>5.53</v>
      </c>
      <c r="T304" s="6">
        <v>7.33</v>
      </c>
      <c r="U304" s="6">
        <v>7.28</v>
      </c>
      <c r="V304" s="6">
        <v>7.03</v>
      </c>
      <c r="W304" s="6">
        <v>6.63</v>
      </c>
      <c r="X304" s="6">
        <v>5.58</v>
      </c>
      <c r="Y304" s="6">
        <v>7.53</v>
      </c>
      <c r="Z304" s="6">
        <v>6.08</v>
      </c>
      <c r="AA304" s="6">
        <v>7.51</v>
      </c>
      <c r="AB304" s="6">
        <v>7.31</v>
      </c>
      <c r="AC304" s="6">
        <v>8.76</v>
      </c>
      <c r="AD304" s="6">
        <v>7.69</v>
      </c>
      <c r="AE304" s="6">
        <v>8.75</v>
      </c>
      <c r="AF304" s="6">
        <v>8.1300000000000008</v>
      </c>
      <c r="AG304" s="6">
        <v>6.68</v>
      </c>
      <c r="AH304" s="6">
        <v>9.4600000000000009</v>
      </c>
      <c r="AI304" s="6">
        <v>8.02</v>
      </c>
      <c r="AJ304" s="6">
        <v>7.89</v>
      </c>
      <c r="AK304" s="6">
        <v>6.69</v>
      </c>
      <c r="AL304" s="6">
        <v>7.95</v>
      </c>
      <c r="AM304" s="6">
        <v>8.11</v>
      </c>
      <c r="AN304" s="6">
        <v>8.11</v>
      </c>
      <c r="AO304" s="6">
        <v>8.5500000000000007</v>
      </c>
      <c r="AP304" s="6">
        <v>7.56</v>
      </c>
      <c r="AQ304" s="6">
        <v>6.87</v>
      </c>
      <c r="AR304" s="6">
        <v>8.1</v>
      </c>
      <c r="AS304" s="6">
        <v>7.52</v>
      </c>
      <c r="AT304" s="6">
        <v>7.61</v>
      </c>
      <c r="AU304" s="6">
        <v>9.06</v>
      </c>
      <c r="AV304" s="6">
        <v>8.59</v>
      </c>
      <c r="AW304" s="6">
        <v>8.4700000000000006</v>
      </c>
      <c r="AX304" s="6">
        <v>6.93</v>
      </c>
      <c r="AY304" s="6">
        <v>6.13</v>
      </c>
      <c r="AZ304" s="6">
        <v>7.91</v>
      </c>
      <c r="BA304" s="6">
        <v>6.82</v>
      </c>
      <c r="BB304" s="6"/>
      <c r="BC304" s="6">
        <f>8.48+0.43</f>
        <v>8.91</v>
      </c>
      <c r="BD304" s="6">
        <v>5.87</v>
      </c>
      <c r="BE304" s="6">
        <v>8.2899999999999991</v>
      </c>
      <c r="BF304" s="6">
        <v>5.03</v>
      </c>
      <c r="BG304" s="6">
        <v>6.93</v>
      </c>
      <c r="BH304" s="6">
        <v>8.66</v>
      </c>
      <c r="BI304" s="6">
        <v>8.14</v>
      </c>
      <c r="BJ304" s="6">
        <v>5.88</v>
      </c>
      <c r="BK304" s="6">
        <v>5.93</v>
      </c>
      <c r="BL304" s="6">
        <v>8.2899999999999991</v>
      </c>
      <c r="BM304" s="6">
        <v>8.34</v>
      </c>
      <c r="BN304" s="6">
        <v>6.03</v>
      </c>
      <c r="BO304" s="6">
        <v>7.41</v>
      </c>
      <c r="BP304" s="6">
        <v>8.6199999999999992</v>
      </c>
      <c r="BQ304" s="6">
        <v>7.28</v>
      </c>
      <c r="BR304" s="6">
        <v>5.68</v>
      </c>
      <c r="BS304" s="6">
        <v>6.78</v>
      </c>
      <c r="BT304" s="6">
        <v>7.51</v>
      </c>
      <c r="BU304" s="6">
        <v>7.26</v>
      </c>
      <c r="BV304" s="6">
        <v>7.3</v>
      </c>
      <c r="BW304" s="6">
        <v>7.6999999999999993</v>
      </c>
      <c r="BX304" s="6">
        <v>5.5</v>
      </c>
      <c r="BY304" s="6">
        <v>7.43</v>
      </c>
      <c r="BZ304" s="6">
        <v>7.0299999999999994</v>
      </c>
      <c r="CA304" s="6">
        <v>8.48</v>
      </c>
      <c r="CB304" s="6">
        <v>7.18</v>
      </c>
      <c r="CC304" s="6">
        <v>6.3</v>
      </c>
      <c r="CD304" s="6">
        <v>9.7899999999999991</v>
      </c>
      <c r="CE304" s="6">
        <v>7.81</v>
      </c>
      <c r="CF304" s="6">
        <v>4.1900000000000004</v>
      </c>
      <c r="CG304" s="6">
        <v>4.66</v>
      </c>
      <c r="CH304" s="6"/>
    </row>
    <row r="305" spans="1:86" ht="15.75" customHeight="1" x14ac:dyDescent="0.25">
      <c r="A305" s="4">
        <v>303</v>
      </c>
      <c r="B305" s="2"/>
      <c r="C305" s="4">
        <v>30</v>
      </c>
      <c r="D305" s="6">
        <v>6.63</v>
      </c>
      <c r="E305" s="6">
        <v>7.43</v>
      </c>
      <c r="F305" s="6">
        <v>6.43</v>
      </c>
      <c r="G305" s="6">
        <v>7.53</v>
      </c>
      <c r="H305" s="6">
        <v>7.93</v>
      </c>
      <c r="I305" s="6">
        <v>5.83</v>
      </c>
      <c r="J305" s="6">
        <v>8.08</v>
      </c>
      <c r="K305" s="6">
        <v>6.83</v>
      </c>
      <c r="L305" s="6">
        <v>7.63</v>
      </c>
      <c r="M305" s="6">
        <v>7.73</v>
      </c>
      <c r="N305" s="6">
        <v>6.13</v>
      </c>
      <c r="O305" s="6">
        <v>9.2100000000000009</v>
      </c>
      <c r="P305" s="6">
        <v>6.88</v>
      </c>
      <c r="Q305" s="6">
        <v>9.3000000000000007</v>
      </c>
      <c r="R305" s="6">
        <v>5.48</v>
      </c>
      <c r="S305" s="6">
        <v>5.43</v>
      </c>
      <c r="T305" s="6">
        <v>7.23</v>
      </c>
      <c r="U305" s="6">
        <v>6.93</v>
      </c>
      <c r="V305" s="6">
        <v>7.03</v>
      </c>
      <c r="W305" s="6">
        <v>6.63</v>
      </c>
      <c r="X305" s="6">
        <v>5.48</v>
      </c>
      <c r="Y305" s="6">
        <v>7.36</v>
      </c>
      <c r="Z305" s="6">
        <v>5.98</v>
      </c>
      <c r="AA305" s="6">
        <v>7.37</v>
      </c>
      <c r="AB305" s="6">
        <v>7.18</v>
      </c>
      <c r="AC305" s="6">
        <v>8.67</v>
      </c>
      <c r="AD305" s="6">
        <v>7.65</v>
      </c>
      <c r="AE305" s="6">
        <v>8.5299999999999994</v>
      </c>
      <c r="AF305" s="6">
        <v>8.07</v>
      </c>
      <c r="AG305" s="6">
        <v>6.56</v>
      </c>
      <c r="AH305" s="6">
        <v>9.4</v>
      </c>
      <c r="AI305" s="6">
        <v>7.95</v>
      </c>
      <c r="AJ305" s="6">
        <v>7.99</v>
      </c>
      <c r="AK305" s="6">
        <v>6.5</v>
      </c>
      <c r="AL305" s="6">
        <v>7.89</v>
      </c>
      <c r="AM305" s="6">
        <v>8.0399999999999991</v>
      </c>
      <c r="AN305" s="6">
        <v>8.1300000000000008</v>
      </c>
      <c r="AO305" s="6">
        <v>8.5500000000000007</v>
      </c>
      <c r="AP305" s="6">
        <v>7.45</v>
      </c>
      <c r="AQ305" s="6">
        <v>6.75</v>
      </c>
      <c r="AR305" s="6">
        <v>7.93</v>
      </c>
      <c r="AS305" s="6">
        <v>7.47</v>
      </c>
      <c r="AT305" s="6">
        <v>7.51</v>
      </c>
      <c r="AU305" s="6">
        <v>9.1300000000000008</v>
      </c>
      <c r="AV305" s="6">
        <v>8.51</v>
      </c>
      <c r="AW305" s="6">
        <v>8.3699999999999992</v>
      </c>
      <c r="AX305" s="6">
        <v>6.9</v>
      </c>
      <c r="AY305" s="6">
        <v>6.13</v>
      </c>
      <c r="AZ305" s="6">
        <v>7.81</v>
      </c>
      <c r="BA305" s="6">
        <v>6.74</v>
      </c>
      <c r="BB305" s="6"/>
      <c r="BC305" s="6">
        <f>8.3+0.43</f>
        <v>8.73</v>
      </c>
      <c r="BD305" s="6">
        <v>5.83</v>
      </c>
      <c r="BE305" s="6">
        <v>8.17</v>
      </c>
      <c r="BF305" s="6">
        <v>5.03</v>
      </c>
      <c r="BG305" s="6">
        <v>6.77</v>
      </c>
      <c r="BH305" s="6">
        <v>8.6</v>
      </c>
      <c r="BI305" s="6">
        <v>7.99</v>
      </c>
      <c r="BJ305" s="6">
        <v>5.95</v>
      </c>
      <c r="BK305" s="6">
        <v>5.83</v>
      </c>
      <c r="BL305" s="6">
        <v>8.27</v>
      </c>
      <c r="BM305" s="6">
        <v>8.25</v>
      </c>
      <c r="BN305" s="6">
        <v>5.93</v>
      </c>
      <c r="BO305" s="6">
        <v>7.31</v>
      </c>
      <c r="BP305" s="6">
        <v>8.52</v>
      </c>
      <c r="BQ305" s="6">
        <v>7.24</v>
      </c>
      <c r="BR305" s="6">
        <v>5.63</v>
      </c>
      <c r="BS305" s="6">
        <v>6.74</v>
      </c>
      <c r="BT305" s="6">
        <v>7.51</v>
      </c>
      <c r="BU305" s="6">
        <v>7.22</v>
      </c>
      <c r="BV305" s="6">
        <v>7.22</v>
      </c>
      <c r="BW305" s="6">
        <v>7.6999999999999993</v>
      </c>
      <c r="BX305" s="6">
        <v>5.56</v>
      </c>
      <c r="BY305" s="6">
        <v>7.31</v>
      </c>
      <c r="BZ305" s="6">
        <v>7.22</v>
      </c>
      <c r="CA305" s="6">
        <v>8.1300000000000008</v>
      </c>
      <c r="CB305" s="6">
        <v>7.2399999999999993</v>
      </c>
      <c r="CC305" s="6">
        <v>6.21</v>
      </c>
      <c r="CD305" s="6">
        <v>8.86</v>
      </c>
      <c r="CE305" s="6">
        <v>7.8599999999999994</v>
      </c>
      <c r="CF305" s="6">
        <v>4.24</v>
      </c>
      <c r="CG305" s="6">
        <v>4.58</v>
      </c>
      <c r="CH305" s="6"/>
    </row>
    <row r="306" spans="1:86" ht="15.75" customHeight="1" x14ac:dyDescent="0.25">
      <c r="A306" s="4">
        <v>304</v>
      </c>
      <c r="B306" s="2"/>
      <c r="C306" s="4">
        <v>31</v>
      </c>
      <c r="D306" s="6">
        <v>6.53</v>
      </c>
      <c r="E306" s="6">
        <v>7.23</v>
      </c>
      <c r="F306" s="6">
        <v>6.33</v>
      </c>
      <c r="G306" s="6">
        <v>7.43</v>
      </c>
      <c r="H306" s="6">
        <v>7.98</v>
      </c>
      <c r="I306" s="6">
        <v>5.78</v>
      </c>
      <c r="J306" s="6">
        <v>8.0299999999999994</v>
      </c>
      <c r="K306" s="6">
        <v>6.78</v>
      </c>
      <c r="L306" s="6">
        <v>7.53</v>
      </c>
      <c r="M306" s="6">
        <v>7.73</v>
      </c>
      <c r="N306" s="6">
        <v>6.03</v>
      </c>
      <c r="O306" s="6">
        <v>9.18</v>
      </c>
      <c r="P306" s="6">
        <v>6.78</v>
      </c>
      <c r="Q306" s="6">
        <v>9.3000000000000007</v>
      </c>
      <c r="R306" s="6">
        <v>5.46</v>
      </c>
      <c r="S306" s="6">
        <v>5.35</v>
      </c>
      <c r="T306" s="6">
        <v>7.18</v>
      </c>
      <c r="U306" s="6">
        <v>6.92</v>
      </c>
      <c r="V306" s="6">
        <v>7.03</v>
      </c>
      <c r="W306" s="6">
        <v>6.61</v>
      </c>
      <c r="X306" s="6">
        <v>5.43</v>
      </c>
      <c r="Y306" s="6">
        <v>7.28</v>
      </c>
      <c r="Z306" s="6">
        <v>5.88</v>
      </c>
      <c r="AA306" s="6">
        <v>7.23</v>
      </c>
      <c r="AB306" s="6">
        <v>7.06</v>
      </c>
      <c r="AC306" s="6">
        <v>8.67</v>
      </c>
      <c r="AD306" s="6">
        <v>7.63</v>
      </c>
      <c r="AE306" s="6">
        <v>8.51</v>
      </c>
      <c r="AF306" s="6">
        <v>8.02</v>
      </c>
      <c r="AG306" s="6">
        <v>6.44</v>
      </c>
      <c r="AH306" s="6">
        <v>9.35</v>
      </c>
      <c r="AI306" s="6">
        <v>7.9</v>
      </c>
      <c r="AJ306" s="6">
        <v>7.98</v>
      </c>
      <c r="AK306" s="6">
        <v>6.43</v>
      </c>
      <c r="AL306" s="6">
        <v>7.81</v>
      </c>
      <c r="AM306" s="6">
        <v>7.91</v>
      </c>
      <c r="AN306" s="6">
        <v>8.11</v>
      </c>
      <c r="AO306" s="6">
        <v>8.5500000000000007</v>
      </c>
      <c r="AP306" s="6">
        <v>7.4</v>
      </c>
      <c r="AQ306" s="6">
        <v>6.74</v>
      </c>
      <c r="AR306" s="6">
        <v>7.62</v>
      </c>
      <c r="AS306" s="6">
        <v>7.37</v>
      </c>
      <c r="AT306" s="6">
        <v>7.43</v>
      </c>
      <c r="AU306" s="6">
        <v>9.1300000000000008</v>
      </c>
      <c r="AV306" s="6">
        <v>8.35</v>
      </c>
      <c r="AW306" s="6">
        <v>8.2799999999999994</v>
      </c>
      <c r="AX306" s="6">
        <v>6.93</v>
      </c>
      <c r="AY306" s="6">
        <v>6.13</v>
      </c>
      <c r="AZ306" s="6">
        <v>7.66</v>
      </c>
      <c r="BA306" s="6">
        <v>6.66</v>
      </c>
      <c r="BB306" s="6"/>
      <c r="BC306" s="6">
        <f t="shared" ref="BC306:BC307" si="18">8.18+0.43</f>
        <v>8.61</v>
      </c>
      <c r="BD306" s="6">
        <v>5.78</v>
      </c>
      <c r="BE306" s="6">
        <v>8.08</v>
      </c>
      <c r="BF306" s="6">
        <v>5.03</v>
      </c>
      <c r="BG306" s="6">
        <v>6.74</v>
      </c>
      <c r="BH306" s="6">
        <v>8.48</v>
      </c>
      <c r="BI306" s="6">
        <v>7.99</v>
      </c>
      <c r="BJ306" s="6">
        <v>5.89</v>
      </c>
      <c r="BK306" s="6">
        <v>5.81</v>
      </c>
      <c r="BL306" s="6">
        <v>8.27</v>
      </c>
      <c r="BM306" s="6">
        <v>8.1300000000000008</v>
      </c>
      <c r="BN306" s="6">
        <v>5.83</v>
      </c>
      <c r="BO306" s="6">
        <v>7.35</v>
      </c>
      <c r="BP306" s="6">
        <v>8.43</v>
      </c>
      <c r="BQ306" s="6">
        <v>7.17</v>
      </c>
      <c r="BR306" s="6">
        <v>5.63</v>
      </c>
      <c r="BS306" s="6">
        <v>6.62</v>
      </c>
      <c r="BT306" s="6">
        <v>7.49</v>
      </c>
      <c r="BU306" s="6">
        <v>7.1999999999999993</v>
      </c>
      <c r="BV306" s="6">
        <v>7.13</v>
      </c>
      <c r="BW306" s="6">
        <v>7.76</v>
      </c>
      <c r="BX306" s="6">
        <v>5.56</v>
      </c>
      <c r="BY306" s="6">
        <v>7.21</v>
      </c>
      <c r="BZ306" s="6">
        <v>7.25</v>
      </c>
      <c r="CA306" s="6">
        <v>8.0299999999999994</v>
      </c>
      <c r="CB306" s="6">
        <v>7.16</v>
      </c>
      <c r="CC306" s="6">
        <v>6.1499999999999995</v>
      </c>
      <c r="CD306" s="6">
        <v>8.69</v>
      </c>
      <c r="CE306" s="6">
        <v>7.87</v>
      </c>
      <c r="CF306" s="6">
        <v>4.21</v>
      </c>
      <c r="CG306" s="6">
        <v>4.51</v>
      </c>
      <c r="CH306" s="6"/>
    </row>
    <row r="307" spans="1:86" ht="15.75" customHeight="1" x14ac:dyDescent="0.25">
      <c r="A307" s="4">
        <v>305</v>
      </c>
      <c r="B307" s="2" t="s">
        <v>14</v>
      </c>
      <c r="C307" s="4">
        <v>1</v>
      </c>
      <c r="D307" s="6">
        <v>6.43</v>
      </c>
      <c r="E307" s="6">
        <v>7.03</v>
      </c>
      <c r="F307" s="6">
        <v>6.28</v>
      </c>
      <c r="G307" s="6">
        <v>7.28</v>
      </c>
      <c r="H307" s="6">
        <v>7.83</v>
      </c>
      <c r="I307" s="6">
        <v>5.73</v>
      </c>
      <c r="J307" s="6">
        <v>8.0299999999999994</v>
      </c>
      <c r="K307" s="6">
        <v>6.63</v>
      </c>
      <c r="L307" s="6">
        <v>7.33</v>
      </c>
      <c r="M307" s="6">
        <v>7.58</v>
      </c>
      <c r="N307" s="6">
        <v>5.93</v>
      </c>
      <c r="O307" s="6">
        <v>9.2100000000000009</v>
      </c>
      <c r="P307" s="6">
        <v>6.73</v>
      </c>
      <c r="Q307" s="6">
        <v>9.31</v>
      </c>
      <c r="R307" s="6">
        <v>5.43</v>
      </c>
      <c r="S307" s="6">
        <v>5.33</v>
      </c>
      <c r="T307" s="6">
        <v>7.18</v>
      </c>
      <c r="U307" s="6">
        <v>6.91</v>
      </c>
      <c r="V307" s="6">
        <v>7.18</v>
      </c>
      <c r="W307" s="6">
        <v>6.58</v>
      </c>
      <c r="X307" s="6">
        <v>5.35</v>
      </c>
      <c r="Y307" s="6">
        <v>7.13</v>
      </c>
      <c r="Z307" s="6">
        <v>5.78</v>
      </c>
      <c r="AA307" s="6">
        <v>7.11</v>
      </c>
      <c r="AB307" s="6">
        <v>6.98</v>
      </c>
      <c r="AC307" s="6">
        <v>8.52</v>
      </c>
      <c r="AD307" s="6">
        <v>7.68</v>
      </c>
      <c r="AE307" s="6">
        <v>8.5</v>
      </c>
      <c r="AF307" s="6">
        <v>7.97</v>
      </c>
      <c r="AG307" s="6">
        <v>6.39</v>
      </c>
      <c r="AH307" s="6">
        <v>9.27</v>
      </c>
      <c r="AI307" s="6">
        <v>7.83</v>
      </c>
      <c r="AJ307" s="6">
        <v>7.93</v>
      </c>
      <c r="AK307" s="6">
        <v>6.25</v>
      </c>
      <c r="AL307" s="6">
        <v>8.01</v>
      </c>
      <c r="AM307" s="6">
        <v>7.81</v>
      </c>
      <c r="AN307" s="6">
        <v>8.07</v>
      </c>
      <c r="AO307" s="6">
        <v>8.51</v>
      </c>
      <c r="AP307" s="6">
        <v>7.26</v>
      </c>
      <c r="AQ307" s="6">
        <v>6.71</v>
      </c>
      <c r="AR307" s="6">
        <v>7.67</v>
      </c>
      <c r="AS307" s="6">
        <v>7.28</v>
      </c>
      <c r="AT307" s="6">
        <v>7.37</v>
      </c>
      <c r="AU307" s="6">
        <v>8.93</v>
      </c>
      <c r="AV307" s="6">
        <v>8.2100000000000009</v>
      </c>
      <c r="AW307" s="6">
        <v>8.23</v>
      </c>
      <c r="AX307" s="6">
        <v>6.99</v>
      </c>
      <c r="AY307" s="6">
        <v>6.03</v>
      </c>
      <c r="AZ307" s="6">
        <v>7.51</v>
      </c>
      <c r="BA307" s="6">
        <v>6.48</v>
      </c>
      <c r="BB307" s="6">
        <v>7.42</v>
      </c>
      <c r="BC307" s="6">
        <f t="shared" si="18"/>
        <v>8.61</v>
      </c>
      <c r="BD307" s="6">
        <v>5.83</v>
      </c>
      <c r="BE307" s="6">
        <v>7.98</v>
      </c>
      <c r="BF307" s="6">
        <v>5.03</v>
      </c>
      <c r="BG307" s="6">
        <v>6.53</v>
      </c>
      <c r="BH307" s="6">
        <v>8.4</v>
      </c>
      <c r="BI307" s="6">
        <v>7.9</v>
      </c>
      <c r="BJ307" s="6">
        <v>5.84</v>
      </c>
      <c r="BK307" s="6">
        <v>5.69</v>
      </c>
      <c r="BL307" s="6">
        <v>8.1999999999999993</v>
      </c>
      <c r="BM307" s="6">
        <v>7.9</v>
      </c>
      <c r="BN307" s="6">
        <v>5.81</v>
      </c>
      <c r="BO307" s="6">
        <v>7.2</v>
      </c>
      <c r="BP307" s="6">
        <v>8.24</v>
      </c>
      <c r="BQ307" s="6">
        <v>7.1</v>
      </c>
      <c r="BR307" s="6">
        <v>5.45</v>
      </c>
      <c r="BS307" s="6">
        <v>6.63</v>
      </c>
      <c r="BT307" s="6">
        <v>7.46</v>
      </c>
      <c r="BU307" s="6">
        <v>7.13</v>
      </c>
      <c r="BV307" s="6">
        <v>6.96</v>
      </c>
      <c r="BW307" s="6">
        <v>7.76</v>
      </c>
      <c r="BX307" s="6">
        <v>5.4899999999999993</v>
      </c>
      <c r="BY307" s="6">
        <v>7.17</v>
      </c>
      <c r="BZ307" s="6">
        <v>7.22</v>
      </c>
      <c r="CA307" s="6">
        <v>7.8199999999999994</v>
      </c>
      <c r="CB307" s="6">
        <v>7.09</v>
      </c>
      <c r="CC307" s="6">
        <v>6.05</v>
      </c>
      <c r="CD307" s="6">
        <v>8.51</v>
      </c>
      <c r="CE307" s="6">
        <v>7.92</v>
      </c>
      <c r="CF307" s="6">
        <v>4.22</v>
      </c>
      <c r="CG307" s="6">
        <v>4.4000000000000004</v>
      </c>
      <c r="CH307" s="6"/>
    </row>
    <row r="308" spans="1:86" ht="15.75" customHeight="1" x14ac:dyDescent="0.25">
      <c r="A308" s="4">
        <v>306</v>
      </c>
      <c r="B308" s="2"/>
      <c r="C308" s="4">
        <v>2</v>
      </c>
      <c r="D308" s="6">
        <v>6.33</v>
      </c>
      <c r="E308" s="6">
        <v>6.83</v>
      </c>
      <c r="F308" s="6">
        <v>6.23</v>
      </c>
      <c r="G308" s="6">
        <v>7.13</v>
      </c>
      <c r="H308" s="6">
        <v>7.73</v>
      </c>
      <c r="I308" s="6">
        <v>5.63</v>
      </c>
      <c r="J308" s="6">
        <v>7.93</v>
      </c>
      <c r="K308" s="6">
        <v>6.43</v>
      </c>
      <c r="L308" s="6">
        <v>7.23</v>
      </c>
      <c r="M308" s="6">
        <v>7.48</v>
      </c>
      <c r="N308" s="6">
        <v>5.83</v>
      </c>
      <c r="O308" s="6">
        <v>9.09</v>
      </c>
      <c r="P308" s="6">
        <v>6.67</v>
      </c>
      <c r="Q308" s="6">
        <v>9.11</v>
      </c>
      <c r="R308" s="6">
        <v>5.48</v>
      </c>
      <c r="S308" s="6">
        <v>5.23</v>
      </c>
      <c r="T308" s="6">
        <v>7.23</v>
      </c>
      <c r="U308" s="6">
        <v>6.91</v>
      </c>
      <c r="V308" s="6">
        <v>7.38</v>
      </c>
      <c r="W308" s="6">
        <v>6.53</v>
      </c>
      <c r="X308" s="6">
        <v>5.33</v>
      </c>
      <c r="Y308" s="6">
        <v>6.95</v>
      </c>
      <c r="Z308" s="6">
        <v>5.73</v>
      </c>
      <c r="AA308" s="6">
        <v>6.98</v>
      </c>
      <c r="AB308" s="6">
        <v>6.9</v>
      </c>
      <c r="AC308" s="6">
        <v>8.43</v>
      </c>
      <c r="AD308" s="6">
        <v>7.67</v>
      </c>
      <c r="AE308" s="6">
        <v>8.4700000000000006</v>
      </c>
      <c r="AF308" s="6">
        <v>7.74</v>
      </c>
      <c r="AG308" s="6">
        <v>6.4</v>
      </c>
      <c r="AH308" s="6">
        <v>9.1300000000000008</v>
      </c>
      <c r="AI308" s="6">
        <v>7.85</v>
      </c>
      <c r="AJ308" s="6">
        <v>7.84</v>
      </c>
      <c r="AK308" s="6">
        <v>6.03</v>
      </c>
      <c r="AL308" s="6">
        <v>8.0500000000000007</v>
      </c>
      <c r="AM308" s="6">
        <v>7.57</v>
      </c>
      <c r="AN308" s="6">
        <v>8.02</v>
      </c>
      <c r="AO308" s="6">
        <v>8.51</v>
      </c>
      <c r="AP308" s="6">
        <v>7.12</v>
      </c>
      <c r="AQ308" s="6">
        <v>6.65</v>
      </c>
      <c r="AR308" s="6">
        <v>7.45</v>
      </c>
      <c r="AS308" s="6">
        <v>7.12</v>
      </c>
      <c r="AT308" s="6">
        <v>7.35</v>
      </c>
      <c r="AU308" s="6">
        <v>8.9</v>
      </c>
      <c r="AV308" s="6">
        <v>8.07</v>
      </c>
      <c r="AW308" s="6">
        <v>8.2100000000000009</v>
      </c>
      <c r="AX308" s="6">
        <v>6.99</v>
      </c>
      <c r="AY308" s="6">
        <v>5.93</v>
      </c>
      <c r="AZ308" s="6">
        <v>7.32</v>
      </c>
      <c r="BA308" s="6">
        <v>6.44</v>
      </c>
      <c r="BB308" s="6">
        <v>7.42</v>
      </c>
      <c r="BC308" s="6">
        <f>8.11+0.43</f>
        <v>8.5399999999999991</v>
      </c>
      <c r="BD308" s="6">
        <v>5.81</v>
      </c>
      <c r="BE308" s="6">
        <v>7.95</v>
      </c>
      <c r="BF308" s="6">
        <v>4.88</v>
      </c>
      <c r="BG308" s="6">
        <v>6.43</v>
      </c>
      <c r="BH308" s="6">
        <v>8.42</v>
      </c>
      <c r="BI308" s="6">
        <v>7.78</v>
      </c>
      <c r="BJ308" s="6">
        <v>5.77</v>
      </c>
      <c r="BK308" s="6">
        <v>5.73</v>
      </c>
      <c r="BL308" s="6">
        <v>8.1199999999999992</v>
      </c>
      <c r="BM308" s="6">
        <v>7.83</v>
      </c>
      <c r="BN308" s="6">
        <v>5.77</v>
      </c>
      <c r="BO308" s="6">
        <v>7.14</v>
      </c>
      <c r="BP308" s="6">
        <v>8.19</v>
      </c>
      <c r="BQ308" s="6">
        <v>7.04</v>
      </c>
      <c r="BR308" s="6">
        <v>5.43</v>
      </c>
      <c r="BS308" s="6">
        <v>6.5</v>
      </c>
      <c r="BT308" s="6">
        <v>7.26</v>
      </c>
      <c r="BU308" s="6">
        <v>7.1040000000000001</v>
      </c>
      <c r="BV308" s="6">
        <v>6.9399999999999995</v>
      </c>
      <c r="BW308" s="6">
        <v>7.7299999999999995</v>
      </c>
      <c r="BX308" s="6">
        <v>5.39</v>
      </c>
      <c r="BY308" s="6">
        <v>7.12</v>
      </c>
      <c r="BZ308" s="6">
        <v>7.4499999999999993</v>
      </c>
      <c r="CA308" s="6">
        <v>7.72</v>
      </c>
      <c r="CB308" s="6">
        <v>6.96</v>
      </c>
      <c r="CC308" s="6">
        <v>6.01</v>
      </c>
      <c r="CD308" s="6">
        <v>8.3800000000000008</v>
      </c>
      <c r="CE308" s="6">
        <v>8.1</v>
      </c>
      <c r="CF308" s="6">
        <v>4.1900000000000004</v>
      </c>
      <c r="CG308" s="6">
        <v>4.3</v>
      </c>
      <c r="CH308" s="6"/>
    </row>
    <row r="309" spans="1:86" ht="15.75" customHeight="1" x14ac:dyDescent="0.25">
      <c r="A309" s="4">
        <v>307</v>
      </c>
      <c r="B309" s="2"/>
      <c r="C309" s="4">
        <v>3</v>
      </c>
      <c r="D309" s="6">
        <v>6.23</v>
      </c>
      <c r="E309" s="6">
        <v>6.68</v>
      </c>
      <c r="F309" s="6">
        <v>6.23</v>
      </c>
      <c r="G309" s="6">
        <v>6.93</v>
      </c>
      <c r="H309" s="6">
        <v>7.68</v>
      </c>
      <c r="I309" s="6">
        <v>5.63</v>
      </c>
      <c r="J309" s="6">
        <v>7.83</v>
      </c>
      <c r="K309" s="6">
        <v>6.23</v>
      </c>
      <c r="L309" s="6">
        <v>7.08</v>
      </c>
      <c r="M309" s="6">
        <v>7.33</v>
      </c>
      <c r="N309" s="6">
        <v>5.81</v>
      </c>
      <c r="O309" s="6">
        <v>9.0299999999999994</v>
      </c>
      <c r="P309" s="6">
        <v>6.71</v>
      </c>
      <c r="Q309" s="6">
        <v>8.91</v>
      </c>
      <c r="R309" s="6">
        <v>5.43</v>
      </c>
      <c r="S309" s="6">
        <v>5.43</v>
      </c>
      <c r="T309" s="6">
        <v>7.43</v>
      </c>
      <c r="U309" s="6">
        <v>6.91</v>
      </c>
      <c r="V309" s="6">
        <v>7.51</v>
      </c>
      <c r="W309" s="6">
        <v>6.43</v>
      </c>
      <c r="X309" s="6">
        <v>5.33</v>
      </c>
      <c r="Y309" s="6">
        <v>6.86</v>
      </c>
      <c r="Z309" s="6">
        <v>5.67</v>
      </c>
      <c r="AA309" s="6">
        <v>6.86</v>
      </c>
      <c r="AB309" s="6">
        <v>6.79</v>
      </c>
      <c r="AC309" s="6">
        <v>8.31</v>
      </c>
      <c r="AD309" s="6">
        <v>7.65</v>
      </c>
      <c r="AE309" s="6">
        <v>8.5</v>
      </c>
      <c r="AF309" s="6">
        <v>7.53</v>
      </c>
      <c r="AG309" s="6">
        <v>6.47</v>
      </c>
      <c r="AH309" s="6">
        <v>8.9499999999999993</v>
      </c>
      <c r="AI309" s="6">
        <v>7.97</v>
      </c>
      <c r="AJ309" s="6">
        <v>7.75</v>
      </c>
      <c r="AK309" s="6">
        <v>5.91</v>
      </c>
      <c r="AL309" s="6">
        <v>7.95</v>
      </c>
      <c r="AM309" s="6">
        <v>7.55</v>
      </c>
      <c r="AN309" s="6">
        <v>7.89</v>
      </c>
      <c r="AO309" s="6">
        <v>8.49</v>
      </c>
      <c r="AP309" s="6">
        <v>7.07</v>
      </c>
      <c r="AQ309" s="6">
        <v>6.61</v>
      </c>
      <c r="AR309" s="6">
        <v>7.31</v>
      </c>
      <c r="AS309" s="6">
        <v>6.98</v>
      </c>
      <c r="AT309" s="6">
        <v>7.43</v>
      </c>
      <c r="AU309" s="6">
        <v>8.93</v>
      </c>
      <c r="AV309" s="6">
        <v>7.98</v>
      </c>
      <c r="AW309" s="6">
        <v>8.15</v>
      </c>
      <c r="AX309" s="6">
        <v>7.01</v>
      </c>
      <c r="AY309" s="6">
        <v>5.83</v>
      </c>
      <c r="AZ309" s="6">
        <v>7.23</v>
      </c>
      <c r="BA309" s="6">
        <v>6.23</v>
      </c>
      <c r="BB309" s="6">
        <v>7.35</v>
      </c>
      <c r="BC309" s="6">
        <f>8.05+0.43</f>
        <v>8.48</v>
      </c>
      <c r="BD309" s="6">
        <v>5.73</v>
      </c>
      <c r="BE309" s="6">
        <v>7.86</v>
      </c>
      <c r="BF309" s="6">
        <v>4.78</v>
      </c>
      <c r="BG309" s="6">
        <v>6.43</v>
      </c>
      <c r="BH309" s="6">
        <v>8.36</v>
      </c>
      <c r="BI309" s="6">
        <v>7.72</v>
      </c>
      <c r="BJ309" s="6">
        <v>5.65</v>
      </c>
      <c r="BK309" s="6">
        <v>5.75</v>
      </c>
      <c r="BL309" s="6">
        <v>8.0399999999999991</v>
      </c>
      <c r="BM309" s="6">
        <v>7.72</v>
      </c>
      <c r="BN309" s="6">
        <v>5.69</v>
      </c>
      <c r="BO309" s="6">
        <v>7.13</v>
      </c>
      <c r="BP309" s="6">
        <v>8.1300000000000008</v>
      </c>
      <c r="BQ309" s="6">
        <v>6.91</v>
      </c>
      <c r="BR309" s="6">
        <v>5.36</v>
      </c>
      <c r="BS309" s="6">
        <v>6.42</v>
      </c>
      <c r="BT309" s="6">
        <v>7.26</v>
      </c>
      <c r="BU309" s="6">
        <v>7.06</v>
      </c>
      <c r="BV309" s="6">
        <v>6.81</v>
      </c>
      <c r="BW309" s="6">
        <v>7.72</v>
      </c>
      <c r="BX309" s="6">
        <v>5.34</v>
      </c>
      <c r="BY309" s="6">
        <v>6.9399999999999995</v>
      </c>
      <c r="BZ309" s="6">
        <v>7.34</v>
      </c>
      <c r="CA309" s="6">
        <v>7.47</v>
      </c>
      <c r="CB309" s="6">
        <v>6.85</v>
      </c>
      <c r="CC309" s="6">
        <v>5.8199999999999994</v>
      </c>
      <c r="CD309" s="6">
        <v>8.3000000000000007</v>
      </c>
      <c r="CE309" s="6">
        <v>8.27</v>
      </c>
      <c r="CF309" s="6">
        <v>4.1500000000000004</v>
      </c>
      <c r="CG309" s="6">
        <v>4.2</v>
      </c>
      <c r="CH309" s="6"/>
    </row>
    <row r="310" spans="1:86" ht="15.75" customHeight="1" x14ac:dyDescent="0.25">
      <c r="A310" s="4">
        <v>308</v>
      </c>
      <c r="B310" s="2"/>
      <c r="C310" s="4">
        <v>4</v>
      </c>
      <c r="D310" s="6">
        <v>6.08</v>
      </c>
      <c r="E310" s="6">
        <v>6.53</v>
      </c>
      <c r="F310" s="6">
        <v>6.18</v>
      </c>
      <c r="G310" s="6">
        <v>6.73</v>
      </c>
      <c r="H310" s="6">
        <v>7.63</v>
      </c>
      <c r="I310" s="6">
        <v>5.63</v>
      </c>
      <c r="J310" s="6">
        <v>7.83</v>
      </c>
      <c r="K310" s="6">
        <v>6.08</v>
      </c>
      <c r="L310" s="6">
        <v>6.93</v>
      </c>
      <c r="M310" s="6">
        <v>7.18</v>
      </c>
      <c r="N310" s="6">
        <v>5.73</v>
      </c>
      <c r="O310" s="6">
        <v>8.93</v>
      </c>
      <c r="P310" s="6">
        <v>6.67</v>
      </c>
      <c r="Q310" s="6">
        <v>8.8699999999999992</v>
      </c>
      <c r="R310" s="6">
        <v>5.48</v>
      </c>
      <c r="S310" s="6">
        <v>5.53</v>
      </c>
      <c r="T310" s="6">
        <v>7.58</v>
      </c>
      <c r="U310" s="6">
        <v>6.98</v>
      </c>
      <c r="V310" s="6">
        <v>7.53</v>
      </c>
      <c r="W310" s="6">
        <v>6.38</v>
      </c>
      <c r="X310" s="6">
        <v>5.31</v>
      </c>
      <c r="Y310" s="6">
        <v>6.73</v>
      </c>
      <c r="Z310" s="6">
        <v>5.66</v>
      </c>
      <c r="AA310" s="6">
        <v>6.75</v>
      </c>
      <c r="AB310" s="6">
        <v>6.67</v>
      </c>
      <c r="AC310" s="6">
        <v>8.1999999999999993</v>
      </c>
      <c r="AD310" s="6">
        <v>7.57</v>
      </c>
      <c r="AE310" s="6">
        <v>8.4600000000000009</v>
      </c>
      <c r="AF310" s="6">
        <v>7.48</v>
      </c>
      <c r="AG310" s="6">
        <v>6.55</v>
      </c>
      <c r="AH310" s="6">
        <v>8.7899999999999991</v>
      </c>
      <c r="AI310" s="6">
        <v>8.06</v>
      </c>
      <c r="AJ310" s="6">
        <v>7.6</v>
      </c>
      <c r="AK310" s="6">
        <v>5.77</v>
      </c>
      <c r="AL310" s="6">
        <v>7.77</v>
      </c>
      <c r="AM310" s="6">
        <v>7.37</v>
      </c>
      <c r="AN310" s="6">
        <v>7.74</v>
      </c>
      <c r="AO310" s="6">
        <v>8.2100000000000009</v>
      </c>
      <c r="AP310" s="6">
        <v>6.93</v>
      </c>
      <c r="AQ310" s="6">
        <v>6.61</v>
      </c>
      <c r="AR310" s="6">
        <v>7.21</v>
      </c>
      <c r="AS310" s="6">
        <v>6.85</v>
      </c>
      <c r="AT310" s="6">
        <v>7.32</v>
      </c>
      <c r="AU310" s="6">
        <v>8.93</v>
      </c>
      <c r="AV310" s="6">
        <v>7.95</v>
      </c>
      <c r="AW310" s="6">
        <v>8.1</v>
      </c>
      <c r="AX310" s="6">
        <v>7.07</v>
      </c>
      <c r="AY310" s="6">
        <v>5.83</v>
      </c>
      <c r="AZ310" s="6">
        <v>6.98</v>
      </c>
      <c r="BA310" s="6">
        <v>6.13</v>
      </c>
      <c r="BB310" s="6">
        <v>7.32</v>
      </c>
      <c r="BC310" s="6">
        <f>7.99+0.43</f>
        <v>8.42</v>
      </c>
      <c r="BD310" s="6">
        <v>5.7</v>
      </c>
      <c r="BE310" s="6">
        <v>7.94</v>
      </c>
      <c r="BF310" s="6">
        <v>4.88</v>
      </c>
      <c r="BG310" s="6">
        <v>6.34</v>
      </c>
      <c r="BH310" s="6">
        <v>8.3000000000000007</v>
      </c>
      <c r="BI310" s="6">
        <v>7.68</v>
      </c>
      <c r="BJ310" s="6">
        <v>5.59</v>
      </c>
      <c r="BK310" s="6">
        <v>5.76</v>
      </c>
      <c r="BL310" s="6">
        <v>7.99</v>
      </c>
      <c r="BM310" s="6">
        <v>7.62</v>
      </c>
      <c r="BN310" s="6">
        <v>5.66</v>
      </c>
      <c r="BO310" s="6">
        <v>7.11</v>
      </c>
      <c r="BP310" s="6">
        <v>8.07</v>
      </c>
      <c r="BQ310" s="6">
        <v>6.84</v>
      </c>
      <c r="BR310" s="6">
        <v>5.35</v>
      </c>
      <c r="BS310" s="6">
        <v>6.38</v>
      </c>
      <c r="BT310" s="6">
        <v>7.26</v>
      </c>
      <c r="BU310" s="6">
        <v>6.96</v>
      </c>
      <c r="BV310" s="6">
        <v>6.72</v>
      </c>
      <c r="BW310" s="6">
        <v>7.68</v>
      </c>
      <c r="BX310" s="6">
        <v>5.31</v>
      </c>
      <c r="BY310" s="6">
        <v>6.91</v>
      </c>
      <c r="BZ310" s="6">
        <v>7.35</v>
      </c>
      <c r="CA310" s="6">
        <v>7.38</v>
      </c>
      <c r="CB310" s="6">
        <v>6.9399999999999995</v>
      </c>
      <c r="CC310" s="6">
        <v>5.7299999999999995</v>
      </c>
      <c r="CD310" s="6">
        <v>8.2799999999999994</v>
      </c>
      <c r="CE310" s="6">
        <v>8.39</v>
      </c>
      <c r="CF310" s="6">
        <v>4.12</v>
      </c>
      <c r="CG310" s="6">
        <v>4.0999999999999996</v>
      </c>
      <c r="CH310" s="6"/>
    </row>
    <row r="311" spans="1:86" ht="15.75" customHeight="1" x14ac:dyDescent="0.25">
      <c r="A311" s="4">
        <v>309</v>
      </c>
      <c r="B311" s="2"/>
      <c r="C311" s="4">
        <v>5</v>
      </c>
      <c r="D311" s="6">
        <v>5.93</v>
      </c>
      <c r="E311" s="6">
        <v>6.43</v>
      </c>
      <c r="F311" s="6">
        <v>6.13</v>
      </c>
      <c r="G311" s="6">
        <v>6.63</v>
      </c>
      <c r="H311" s="6">
        <v>7.53</v>
      </c>
      <c r="I311" s="6">
        <v>5.73</v>
      </c>
      <c r="J311" s="6">
        <v>7.73</v>
      </c>
      <c r="K311" s="6">
        <v>5.93</v>
      </c>
      <c r="L311" s="6">
        <v>6.83</v>
      </c>
      <c r="M311" s="6">
        <v>7.03</v>
      </c>
      <c r="N311" s="6">
        <v>5.76</v>
      </c>
      <c r="O311" s="6">
        <v>8.9</v>
      </c>
      <c r="P311" s="6">
        <v>6.58</v>
      </c>
      <c r="Q311" s="6">
        <v>8.81</v>
      </c>
      <c r="R311" s="6">
        <v>5.48</v>
      </c>
      <c r="S311" s="6">
        <v>5.58</v>
      </c>
      <c r="T311" s="6">
        <v>7.68</v>
      </c>
      <c r="U311" s="6">
        <v>6.78</v>
      </c>
      <c r="V311" s="6">
        <v>7.41</v>
      </c>
      <c r="W311" s="6">
        <v>6.33</v>
      </c>
      <c r="X311" s="6">
        <v>5.31</v>
      </c>
      <c r="Y311" s="6">
        <v>6.58</v>
      </c>
      <c r="Z311" s="6">
        <v>5.78</v>
      </c>
      <c r="AA311" s="6">
        <v>6.71</v>
      </c>
      <c r="AB311" s="6">
        <v>6.56</v>
      </c>
      <c r="AC311" s="6">
        <v>8.09</v>
      </c>
      <c r="AD311" s="6">
        <v>7.44</v>
      </c>
      <c r="AE311" s="6">
        <v>8.39</v>
      </c>
      <c r="AF311" s="6">
        <v>7.44</v>
      </c>
      <c r="AG311" s="6">
        <v>6.68</v>
      </c>
      <c r="AH311" s="6">
        <v>8.64</v>
      </c>
      <c r="AI311" s="6">
        <v>8.01</v>
      </c>
      <c r="AJ311" s="6">
        <v>7.42</v>
      </c>
      <c r="AK311" s="6">
        <v>5.68</v>
      </c>
      <c r="AL311" s="6">
        <v>7.63</v>
      </c>
      <c r="AM311" s="6">
        <v>7.29</v>
      </c>
      <c r="AN311" s="6">
        <v>7.67</v>
      </c>
      <c r="AO311" s="6">
        <v>7.95</v>
      </c>
      <c r="AP311" s="6">
        <v>6.79</v>
      </c>
      <c r="AQ311" s="6">
        <v>6.55</v>
      </c>
      <c r="AR311" s="6">
        <v>7.12</v>
      </c>
      <c r="AS311" s="6">
        <v>6.76</v>
      </c>
      <c r="AT311" s="6">
        <v>7.35</v>
      </c>
      <c r="AU311" s="6">
        <v>8.9700000000000006</v>
      </c>
      <c r="AV311" s="6">
        <v>7.87</v>
      </c>
      <c r="AW311" s="6">
        <v>8.11</v>
      </c>
      <c r="AX311" s="6">
        <v>7.04</v>
      </c>
      <c r="AY311" s="6">
        <v>5.93</v>
      </c>
      <c r="AZ311" s="6">
        <v>6.91</v>
      </c>
      <c r="BA311" s="6">
        <v>6.03</v>
      </c>
      <c r="BB311" s="6">
        <v>7.23</v>
      </c>
      <c r="BC311" s="6">
        <f>7.95+0.43</f>
        <v>8.3800000000000008</v>
      </c>
      <c r="BD311" s="6">
        <v>5.63</v>
      </c>
      <c r="BE311" s="6">
        <v>7.71</v>
      </c>
      <c r="BF311" s="6">
        <v>4.84</v>
      </c>
      <c r="BG311" s="6">
        <v>6.22</v>
      </c>
      <c r="BH311" s="6">
        <v>8.24</v>
      </c>
      <c r="BI311" s="6">
        <v>7.59</v>
      </c>
      <c r="BJ311" s="6">
        <v>5.49</v>
      </c>
      <c r="BK311" s="6">
        <v>5.82</v>
      </c>
      <c r="BL311" s="6">
        <v>8.1</v>
      </c>
      <c r="BM311" s="6">
        <v>7.5</v>
      </c>
      <c r="BN311" s="6">
        <v>5.59</v>
      </c>
      <c r="BO311" s="6">
        <v>7.22</v>
      </c>
      <c r="BP311" s="6">
        <v>7.98</v>
      </c>
      <c r="BQ311" s="6">
        <v>6.82</v>
      </c>
      <c r="BR311" s="6">
        <v>5.28</v>
      </c>
      <c r="BS311" s="6">
        <v>6.31</v>
      </c>
      <c r="BT311" s="6">
        <v>7.29</v>
      </c>
      <c r="BU311" s="6">
        <v>6.91</v>
      </c>
      <c r="BV311" s="6">
        <v>6.72</v>
      </c>
      <c r="BW311" s="6">
        <v>7.6099999999999994</v>
      </c>
      <c r="BX311" s="6">
        <v>5.21</v>
      </c>
      <c r="BY311" s="6">
        <v>6.8</v>
      </c>
      <c r="BZ311" s="6">
        <v>7.39</v>
      </c>
      <c r="CA311" s="6">
        <v>7.16</v>
      </c>
      <c r="CB311" s="6">
        <v>6.8199999999999994</v>
      </c>
      <c r="CC311" s="6">
        <v>5.81</v>
      </c>
      <c r="CD311" s="6">
        <v>8.31</v>
      </c>
      <c r="CE311" s="6">
        <v>8.39</v>
      </c>
      <c r="CF311" s="6">
        <v>4.08</v>
      </c>
      <c r="CG311" s="6">
        <v>4</v>
      </c>
      <c r="CH311" s="6"/>
    </row>
    <row r="312" spans="1:86" ht="15.75" customHeight="1" x14ac:dyDescent="0.25">
      <c r="A312" s="4">
        <v>310</v>
      </c>
      <c r="B312" s="2"/>
      <c r="C312" s="4">
        <v>6</v>
      </c>
      <c r="D312" s="6">
        <v>5.83</v>
      </c>
      <c r="E312" s="6">
        <v>6.33</v>
      </c>
      <c r="F312" s="6">
        <v>6.03</v>
      </c>
      <c r="G312" s="6">
        <v>6.48</v>
      </c>
      <c r="H312" s="6">
        <v>7.23</v>
      </c>
      <c r="I312" s="6">
        <v>5.83</v>
      </c>
      <c r="J312" s="6">
        <v>7.63</v>
      </c>
      <c r="K312" s="6">
        <v>5.83</v>
      </c>
      <c r="L312" s="6">
        <v>6.73</v>
      </c>
      <c r="M312" s="6">
        <v>6.93</v>
      </c>
      <c r="N312" s="6">
        <v>5.76</v>
      </c>
      <c r="O312" s="6">
        <v>8.83</v>
      </c>
      <c r="P312" s="6">
        <v>6.43</v>
      </c>
      <c r="Q312" s="6">
        <v>8.75</v>
      </c>
      <c r="R312" s="6">
        <v>5.61</v>
      </c>
      <c r="S312" s="6">
        <v>5.63</v>
      </c>
      <c r="T312" s="6">
        <v>7.63</v>
      </c>
      <c r="U312" s="6">
        <v>6.68</v>
      </c>
      <c r="V312" s="6">
        <v>7.41</v>
      </c>
      <c r="W312" s="6">
        <v>6.23</v>
      </c>
      <c r="X312" s="6">
        <v>5.25</v>
      </c>
      <c r="Y312" s="6">
        <v>6.43</v>
      </c>
      <c r="Z312" s="6">
        <v>5.82</v>
      </c>
      <c r="AA312" s="6">
        <v>6.67</v>
      </c>
      <c r="AB312" s="6">
        <v>6.47</v>
      </c>
      <c r="AC312" s="6">
        <v>7.98</v>
      </c>
      <c r="AD312" s="6">
        <v>7.36</v>
      </c>
      <c r="AE312" s="6">
        <v>8.32</v>
      </c>
      <c r="AF312" s="6">
        <v>7.28</v>
      </c>
      <c r="AG312" s="6">
        <v>6.83</v>
      </c>
      <c r="AH312" s="6">
        <v>8.41</v>
      </c>
      <c r="AI312" s="6">
        <v>7.83</v>
      </c>
      <c r="AJ312" s="6">
        <v>7.31</v>
      </c>
      <c r="AK312" s="6">
        <v>5.61</v>
      </c>
      <c r="AL312" s="6">
        <v>7.52</v>
      </c>
      <c r="AM312" s="6">
        <v>7.19</v>
      </c>
      <c r="AN312" s="6">
        <v>7.65</v>
      </c>
      <c r="AO312" s="6">
        <v>7.93</v>
      </c>
      <c r="AP312" s="6">
        <v>6.83</v>
      </c>
      <c r="AQ312" s="6">
        <v>6.53</v>
      </c>
      <c r="AR312" s="6">
        <v>7.05</v>
      </c>
      <c r="AS312" s="6">
        <v>6.74</v>
      </c>
      <c r="AT312" s="6">
        <v>7.51</v>
      </c>
      <c r="AU312" s="6">
        <v>9.0299999999999994</v>
      </c>
      <c r="AV312" s="6">
        <v>7.95</v>
      </c>
      <c r="AW312" s="6">
        <v>8.09</v>
      </c>
      <c r="AX312" s="6">
        <v>6.98</v>
      </c>
      <c r="AY312" s="6">
        <v>5.93</v>
      </c>
      <c r="AZ312" s="6">
        <v>6.86</v>
      </c>
      <c r="BA312" s="6">
        <v>5.98</v>
      </c>
      <c r="BB312" s="6">
        <v>7.22</v>
      </c>
      <c r="BC312" s="6">
        <f>7.8+0.43</f>
        <v>8.23</v>
      </c>
      <c r="BD312" s="6">
        <v>5.58</v>
      </c>
      <c r="BE312" s="6">
        <v>7.63</v>
      </c>
      <c r="BF312" s="6">
        <v>4.79</v>
      </c>
      <c r="BG312" s="6">
        <v>6.22</v>
      </c>
      <c r="BH312" s="6">
        <v>8.27</v>
      </c>
      <c r="BI312" s="6">
        <v>7.7</v>
      </c>
      <c r="BJ312" s="6">
        <v>5.53</v>
      </c>
      <c r="BK312" s="6">
        <v>5.83</v>
      </c>
      <c r="BL312" s="6">
        <v>8.0500000000000007</v>
      </c>
      <c r="BM312" s="6">
        <v>7.45</v>
      </c>
      <c r="BN312" s="6">
        <v>5.53</v>
      </c>
      <c r="BO312" s="6">
        <v>7.18</v>
      </c>
      <c r="BP312" s="6">
        <v>7.96</v>
      </c>
      <c r="BQ312" s="6">
        <v>6.78</v>
      </c>
      <c r="BR312" s="6">
        <v>5.28</v>
      </c>
      <c r="BS312" s="6">
        <v>6.25</v>
      </c>
      <c r="BT312" s="6">
        <v>7.42</v>
      </c>
      <c r="BU312" s="6">
        <v>6.87</v>
      </c>
      <c r="BV312" s="6">
        <v>6.67</v>
      </c>
      <c r="BW312" s="6">
        <v>7.56</v>
      </c>
      <c r="BX312" s="6">
        <v>5.21</v>
      </c>
      <c r="BY312" s="6">
        <v>6.7799999999999994</v>
      </c>
      <c r="BZ312" s="6">
        <v>7.17</v>
      </c>
      <c r="CA312" s="6">
        <v>7.04</v>
      </c>
      <c r="CB312" s="6">
        <v>6.84</v>
      </c>
      <c r="CC312" s="6">
        <v>5.81</v>
      </c>
      <c r="CD312" s="6">
        <v>8.24</v>
      </c>
      <c r="CE312" s="6">
        <v>8.65</v>
      </c>
      <c r="CF312" s="6">
        <v>4.0199999999999996</v>
      </c>
      <c r="CG312" s="6">
        <v>3.97</v>
      </c>
      <c r="CH312" s="6"/>
    </row>
    <row r="313" spans="1:86" ht="15.75" customHeight="1" x14ac:dyDescent="0.25">
      <c r="A313" s="4">
        <v>311</v>
      </c>
      <c r="B313" s="2"/>
      <c r="C313" s="4">
        <v>7</v>
      </c>
      <c r="D313" s="6">
        <v>5.73</v>
      </c>
      <c r="E313" s="6">
        <v>6.23</v>
      </c>
      <c r="F313" s="6">
        <v>5.93</v>
      </c>
      <c r="G313" s="6">
        <v>6.48</v>
      </c>
      <c r="H313" s="6">
        <v>7.13</v>
      </c>
      <c r="I313" s="6">
        <v>5.78</v>
      </c>
      <c r="J313" s="6">
        <v>7.53</v>
      </c>
      <c r="K313" s="6">
        <v>5.68</v>
      </c>
      <c r="L313" s="6">
        <v>6.63</v>
      </c>
      <c r="M313" s="6">
        <v>6.83</v>
      </c>
      <c r="N313" s="6">
        <v>5.73</v>
      </c>
      <c r="O313" s="6">
        <v>8.77</v>
      </c>
      <c r="P313" s="6">
        <v>6.38</v>
      </c>
      <c r="Q313" s="6">
        <v>8.6999999999999993</v>
      </c>
      <c r="R313" s="6">
        <v>5.67</v>
      </c>
      <c r="S313" s="6">
        <v>5.63</v>
      </c>
      <c r="T313" s="6">
        <v>7.48</v>
      </c>
      <c r="U313" s="6">
        <v>6.43</v>
      </c>
      <c r="V313" s="6">
        <v>7.41</v>
      </c>
      <c r="W313" s="6">
        <v>6.13</v>
      </c>
      <c r="X313" s="6">
        <v>5.21</v>
      </c>
      <c r="Y313" s="6">
        <v>6.35</v>
      </c>
      <c r="Z313" s="6">
        <v>5.93</v>
      </c>
      <c r="AA313" s="6">
        <v>6.64</v>
      </c>
      <c r="AB313" s="6">
        <v>6.41</v>
      </c>
      <c r="AC313" s="6">
        <v>7.89</v>
      </c>
      <c r="AD313" s="6">
        <v>7.27</v>
      </c>
      <c r="AE313" s="6">
        <v>8.16</v>
      </c>
      <c r="AF313" s="6">
        <v>7.15</v>
      </c>
      <c r="AG313" s="6">
        <v>7.31</v>
      </c>
      <c r="AH313" s="6">
        <v>8.36</v>
      </c>
      <c r="AI313" s="6">
        <v>7.63</v>
      </c>
      <c r="AJ313" s="6">
        <v>7.22</v>
      </c>
      <c r="AK313" s="6">
        <v>5.55</v>
      </c>
      <c r="AL313" s="6">
        <v>7.38</v>
      </c>
      <c r="AM313" s="6">
        <v>7.15</v>
      </c>
      <c r="AN313" s="6">
        <v>7.59</v>
      </c>
      <c r="AO313" s="6">
        <v>7.88</v>
      </c>
      <c r="AP313" s="6">
        <v>6.64</v>
      </c>
      <c r="AQ313" s="6">
        <v>6.59</v>
      </c>
      <c r="AR313" s="6">
        <v>6.95</v>
      </c>
      <c r="AS313" s="6">
        <v>6.68</v>
      </c>
      <c r="AT313" s="6">
        <v>7.49</v>
      </c>
      <c r="AU313" s="6">
        <v>9.1300000000000008</v>
      </c>
      <c r="AV313" s="6">
        <v>7.95</v>
      </c>
      <c r="AW313" s="6">
        <v>8.02</v>
      </c>
      <c r="AX313" s="6">
        <v>7.03</v>
      </c>
      <c r="AY313" s="6">
        <v>5.98</v>
      </c>
      <c r="AZ313" s="6">
        <v>6.73</v>
      </c>
      <c r="BA313" s="6">
        <v>5.89</v>
      </c>
      <c r="BB313" s="6">
        <v>7.01</v>
      </c>
      <c r="BC313" s="6">
        <f t="shared" ref="BC313:BC314" si="19">7.65+0.43</f>
        <v>8.08</v>
      </c>
      <c r="BD313" s="6">
        <v>5.78</v>
      </c>
      <c r="BE313" s="6">
        <v>7.58</v>
      </c>
      <c r="BF313" s="6">
        <v>4.67</v>
      </c>
      <c r="BG313" s="6">
        <v>6.1</v>
      </c>
      <c r="BH313" s="6">
        <v>8.15</v>
      </c>
      <c r="BI313" s="6">
        <v>7.64</v>
      </c>
      <c r="BJ313" s="6">
        <v>5.47</v>
      </c>
      <c r="BK313" s="6">
        <v>5.83</v>
      </c>
      <c r="BL313" s="6">
        <v>8.08</v>
      </c>
      <c r="BM313" s="6">
        <v>7.33</v>
      </c>
      <c r="BN313" s="6">
        <v>5.48</v>
      </c>
      <c r="BO313" s="6">
        <v>7.11</v>
      </c>
      <c r="BP313" s="6">
        <v>7.92</v>
      </c>
      <c r="BQ313" s="6">
        <v>6.77</v>
      </c>
      <c r="BR313" s="6">
        <v>5.31</v>
      </c>
      <c r="BS313" s="6">
        <v>6.17</v>
      </c>
      <c r="BT313" s="6">
        <v>7.55</v>
      </c>
      <c r="BU313" s="6">
        <v>6.8199999999999994</v>
      </c>
      <c r="BV313" s="6">
        <v>6.5699999999999994</v>
      </c>
      <c r="BW313" s="6">
        <v>7.5299999999999994</v>
      </c>
      <c r="BX313" s="6">
        <v>5.21</v>
      </c>
      <c r="BY313" s="6">
        <v>6.71</v>
      </c>
      <c r="BZ313" s="6">
        <v>7.25</v>
      </c>
      <c r="CA313" s="6">
        <v>6.9399999999999995</v>
      </c>
      <c r="CB313" s="6">
        <v>6.71</v>
      </c>
      <c r="CC313" s="6">
        <v>5.87</v>
      </c>
      <c r="CD313" s="6">
        <v>8.24</v>
      </c>
      <c r="CE313" s="6">
        <v>8.7099999999999991</v>
      </c>
      <c r="CF313" s="6">
        <v>4.0599999999999996</v>
      </c>
      <c r="CG313" s="6">
        <v>3.94</v>
      </c>
      <c r="CH313" s="6"/>
    </row>
    <row r="314" spans="1:86" ht="15.75" customHeight="1" x14ac:dyDescent="0.25">
      <c r="A314" s="4">
        <v>312</v>
      </c>
      <c r="B314" s="2"/>
      <c r="C314" s="4">
        <v>8</v>
      </c>
      <c r="D314" s="6">
        <v>5.63</v>
      </c>
      <c r="E314" s="6">
        <v>6.28</v>
      </c>
      <c r="F314" s="6">
        <v>5.83</v>
      </c>
      <c r="G314" s="6">
        <v>6.48</v>
      </c>
      <c r="H314" s="6">
        <v>7.03</v>
      </c>
      <c r="I314" s="6">
        <v>5.73</v>
      </c>
      <c r="J314" s="6">
        <v>7.43</v>
      </c>
      <c r="K314" s="6">
        <v>5.58</v>
      </c>
      <c r="L314" s="6">
        <v>6.58</v>
      </c>
      <c r="M314" s="6">
        <v>6.73</v>
      </c>
      <c r="N314" s="6">
        <v>5.63</v>
      </c>
      <c r="O314" s="6">
        <v>8.73</v>
      </c>
      <c r="P314" s="6">
        <v>6.28</v>
      </c>
      <c r="Q314" s="6">
        <v>8.68</v>
      </c>
      <c r="R314" s="6">
        <v>5.68</v>
      </c>
      <c r="S314" s="6">
        <v>5.63</v>
      </c>
      <c r="T314" s="6">
        <v>7.48</v>
      </c>
      <c r="U314" s="6">
        <v>6.35</v>
      </c>
      <c r="V314" s="6">
        <v>7.38</v>
      </c>
      <c r="W314" s="6">
        <v>6.03</v>
      </c>
      <c r="X314" s="6">
        <v>5.21</v>
      </c>
      <c r="Y314" s="6">
        <v>6.18</v>
      </c>
      <c r="Z314" s="6">
        <v>6.01</v>
      </c>
      <c r="AA314" s="6">
        <v>6.61</v>
      </c>
      <c r="AB314" s="6">
        <v>6.36</v>
      </c>
      <c r="AC314" s="6">
        <v>7.8</v>
      </c>
      <c r="AD314" s="6">
        <v>7.15</v>
      </c>
      <c r="AE314" s="6">
        <v>8.08</v>
      </c>
      <c r="AF314" s="6">
        <v>7.01</v>
      </c>
      <c r="AG314" s="6">
        <v>7.15</v>
      </c>
      <c r="AH314" s="6">
        <v>8.1300000000000008</v>
      </c>
      <c r="AI314" s="6">
        <v>7.51</v>
      </c>
      <c r="AJ314" s="6">
        <v>7.15</v>
      </c>
      <c r="AK314" s="6">
        <v>5.47</v>
      </c>
      <c r="AL314" s="6">
        <v>7.34</v>
      </c>
      <c r="AM314" s="6">
        <v>7.25</v>
      </c>
      <c r="AN314" s="6">
        <v>7.53</v>
      </c>
      <c r="AO314" s="6">
        <v>7.8</v>
      </c>
      <c r="AP314" s="6">
        <v>6.43</v>
      </c>
      <c r="AQ314" s="6">
        <v>6.39</v>
      </c>
      <c r="AR314" s="6">
        <v>6.85</v>
      </c>
      <c r="AS314" s="6">
        <v>6.6</v>
      </c>
      <c r="AT314" s="6">
        <v>7.51</v>
      </c>
      <c r="AU314" s="6">
        <v>9.0299999999999994</v>
      </c>
      <c r="AV314" s="6">
        <v>7.73</v>
      </c>
      <c r="AW314" s="6">
        <v>7.98</v>
      </c>
      <c r="AX314" s="6">
        <v>7.03</v>
      </c>
      <c r="AY314" s="6">
        <v>5.98</v>
      </c>
      <c r="AZ314" s="6">
        <v>6.66</v>
      </c>
      <c r="BA314" s="6">
        <v>5.67</v>
      </c>
      <c r="BB314" s="6">
        <v>7.04</v>
      </c>
      <c r="BC314" s="6">
        <f t="shared" si="19"/>
        <v>8.08</v>
      </c>
      <c r="BD314" s="6">
        <v>5.73</v>
      </c>
      <c r="BE314" s="6">
        <v>7.48</v>
      </c>
      <c r="BF314" s="6">
        <v>4.54</v>
      </c>
      <c r="BG314" s="6">
        <v>6.1</v>
      </c>
      <c r="BH314" s="6">
        <v>8.02</v>
      </c>
      <c r="BI314" s="6">
        <v>7.6</v>
      </c>
      <c r="BJ314" s="6">
        <v>5.39</v>
      </c>
      <c r="BK314" s="6">
        <v>5.8</v>
      </c>
      <c r="BL314" s="6">
        <v>8.0399999999999991</v>
      </c>
      <c r="BM314" s="6">
        <v>7.13</v>
      </c>
      <c r="BN314" s="6">
        <v>5.48</v>
      </c>
      <c r="BO314" s="6">
        <v>7.1</v>
      </c>
      <c r="BP314" s="6">
        <v>7.87</v>
      </c>
      <c r="BQ314" s="6">
        <v>6.75</v>
      </c>
      <c r="BR314" s="6">
        <v>5.23</v>
      </c>
      <c r="BS314" s="6">
        <v>6.1</v>
      </c>
      <c r="BT314" s="6">
        <v>7.51</v>
      </c>
      <c r="BU314" s="6">
        <v>6.78</v>
      </c>
      <c r="BV314" s="6">
        <v>6.42</v>
      </c>
      <c r="BW314" s="6">
        <v>7.4499999999999993</v>
      </c>
      <c r="BX314" s="6">
        <v>5.1499999999999995</v>
      </c>
      <c r="BY314" s="6">
        <v>6.6999999999999993</v>
      </c>
      <c r="BZ314" s="6">
        <v>7.27</v>
      </c>
      <c r="CA314" s="6">
        <v>6.94</v>
      </c>
      <c r="CB314" s="6">
        <v>6.629999999999999</v>
      </c>
      <c r="CC314" s="6">
        <v>5.91</v>
      </c>
      <c r="CD314" s="6">
        <v>8.11</v>
      </c>
      <c r="CE314" s="6">
        <v>8.74</v>
      </c>
      <c r="CF314" s="6">
        <v>4.0999999999999996</v>
      </c>
      <c r="CG314" s="6">
        <v>3.92</v>
      </c>
      <c r="CH314" s="6"/>
    </row>
    <row r="315" spans="1:86" ht="15.75" customHeight="1" x14ac:dyDescent="0.25">
      <c r="A315" s="4">
        <v>313</v>
      </c>
      <c r="B315" s="2"/>
      <c r="C315" s="4">
        <v>9</v>
      </c>
      <c r="D315" s="6">
        <v>5.58</v>
      </c>
      <c r="E315" s="6">
        <v>5.93</v>
      </c>
      <c r="F315" s="6">
        <v>5.68</v>
      </c>
      <c r="G315" s="6">
        <v>6.38</v>
      </c>
      <c r="H315" s="6">
        <v>6.93</v>
      </c>
      <c r="I315" s="6">
        <v>5.73</v>
      </c>
      <c r="J315" s="6">
        <v>7.33</v>
      </c>
      <c r="K315" s="6">
        <v>5.53</v>
      </c>
      <c r="L315" s="6">
        <v>6.58</v>
      </c>
      <c r="M315" s="6">
        <v>6.63</v>
      </c>
      <c r="N315" s="6">
        <v>5.53</v>
      </c>
      <c r="O315" s="6">
        <v>8.7799999999999994</v>
      </c>
      <c r="P315" s="6">
        <v>6.23</v>
      </c>
      <c r="Q315" s="6">
        <v>8.68</v>
      </c>
      <c r="R315" s="6">
        <v>5.58</v>
      </c>
      <c r="S315" s="6">
        <v>5.63</v>
      </c>
      <c r="T315" s="6">
        <v>7.23</v>
      </c>
      <c r="U315" s="6">
        <v>6.28</v>
      </c>
      <c r="V315" s="6">
        <v>7.38</v>
      </c>
      <c r="W315" s="6">
        <v>5.98</v>
      </c>
      <c r="X315" s="6">
        <v>5.21</v>
      </c>
      <c r="Y315" s="6">
        <v>5.95</v>
      </c>
      <c r="Z315" s="6">
        <v>5.98</v>
      </c>
      <c r="AA315" s="6">
        <v>6.49</v>
      </c>
      <c r="AB315" s="6">
        <v>6.34</v>
      </c>
      <c r="AC315" s="6">
        <v>7.7</v>
      </c>
      <c r="AD315" s="6">
        <v>7.06</v>
      </c>
      <c r="AE315" s="6">
        <v>7.91</v>
      </c>
      <c r="AF315" s="6">
        <v>6.94</v>
      </c>
      <c r="AG315" s="6">
        <v>6.98</v>
      </c>
      <c r="AH315" s="6">
        <v>8.0399999999999991</v>
      </c>
      <c r="AI315" s="6">
        <v>7.47</v>
      </c>
      <c r="AJ315" s="6">
        <v>7.11</v>
      </c>
      <c r="AK315" s="6">
        <v>5.37</v>
      </c>
      <c r="AL315" s="6">
        <v>7.37</v>
      </c>
      <c r="AM315" s="6">
        <v>7.21</v>
      </c>
      <c r="AN315" s="6">
        <v>7.47</v>
      </c>
      <c r="AO315" s="6">
        <v>7.65</v>
      </c>
      <c r="AP315" s="6">
        <v>6.3</v>
      </c>
      <c r="AQ315" s="6">
        <v>6.52</v>
      </c>
      <c r="AR315" s="6">
        <v>6.78</v>
      </c>
      <c r="AS315" s="6">
        <v>6.52</v>
      </c>
      <c r="AT315" s="6">
        <v>7.47</v>
      </c>
      <c r="AU315" s="6">
        <v>9.23</v>
      </c>
      <c r="AV315" s="6">
        <v>7.59</v>
      </c>
      <c r="AW315" s="6">
        <v>7.89</v>
      </c>
      <c r="AX315" s="6">
        <v>7.07</v>
      </c>
      <c r="AY315" s="6">
        <v>5.92</v>
      </c>
      <c r="AZ315" s="6">
        <v>6.53</v>
      </c>
      <c r="BA315" s="6">
        <v>5.54</v>
      </c>
      <c r="BB315" s="6">
        <v>7.07</v>
      </c>
      <c r="BC315" s="6">
        <f>7.55+0.43</f>
        <v>7.9799999999999995</v>
      </c>
      <c r="BD315" s="6">
        <v>5.79</v>
      </c>
      <c r="BE315" s="6">
        <v>7.44</v>
      </c>
      <c r="BF315" s="6">
        <v>4.42</v>
      </c>
      <c r="BG315" s="6">
        <v>5.94</v>
      </c>
      <c r="BH315" s="6">
        <v>7.98</v>
      </c>
      <c r="BI315" s="6">
        <v>7.56</v>
      </c>
      <c r="BJ315" s="6">
        <v>5.35</v>
      </c>
      <c r="BK315" s="6">
        <v>5.78</v>
      </c>
      <c r="BL315" s="6">
        <v>7.99</v>
      </c>
      <c r="BM315" s="6">
        <v>7.07</v>
      </c>
      <c r="BN315" s="6">
        <v>5.6</v>
      </c>
      <c r="BO315" s="6">
        <v>7.06</v>
      </c>
      <c r="BP315" s="6">
        <v>7.74</v>
      </c>
      <c r="BQ315" s="6">
        <v>6.72</v>
      </c>
      <c r="BR315" s="6">
        <v>5.08</v>
      </c>
      <c r="BS315" s="6">
        <v>5.99</v>
      </c>
      <c r="BT315" s="6">
        <v>7.23</v>
      </c>
      <c r="BU315" s="6">
        <v>6.71</v>
      </c>
      <c r="BV315" s="6">
        <v>6.2959999999999994</v>
      </c>
      <c r="BW315" s="6">
        <v>7.3999999999999995</v>
      </c>
      <c r="BX315" s="6">
        <v>5.16</v>
      </c>
      <c r="BY315" s="6">
        <v>6.6499999999999995</v>
      </c>
      <c r="BZ315" s="6">
        <v>7.2399999999999993</v>
      </c>
      <c r="CA315" s="6">
        <v>6.96</v>
      </c>
      <c r="CB315" s="6">
        <v>6.58</v>
      </c>
      <c r="CC315" s="6">
        <v>6.14</v>
      </c>
      <c r="CD315" s="6">
        <v>7.79</v>
      </c>
      <c r="CE315" s="6">
        <v>8.8699999999999992</v>
      </c>
      <c r="CF315" s="6">
        <v>4.12</v>
      </c>
      <c r="CG315" s="6">
        <v>3.95</v>
      </c>
      <c r="CH315" s="6"/>
    </row>
    <row r="316" spans="1:86" ht="15.75" customHeight="1" x14ac:dyDescent="0.25">
      <c r="A316" s="4">
        <v>314</v>
      </c>
      <c r="B316" s="2"/>
      <c r="C316" s="4">
        <v>10</v>
      </c>
      <c r="D316" s="6">
        <v>5.53</v>
      </c>
      <c r="E316" s="6">
        <v>5.83</v>
      </c>
      <c r="F316" s="6">
        <v>5.53</v>
      </c>
      <c r="G316" s="6">
        <v>6.33</v>
      </c>
      <c r="H316" s="6">
        <v>6.83</v>
      </c>
      <c r="I316" s="6">
        <v>5.78</v>
      </c>
      <c r="J316" s="6">
        <v>7.23</v>
      </c>
      <c r="K316" s="6">
        <v>5.48</v>
      </c>
      <c r="L316" s="6">
        <v>6.53</v>
      </c>
      <c r="M316" s="6">
        <v>6.53</v>
      </c>
      <c r="N316" s="6">
        <v>5.53</v>
      </c>
      <c r="O316" s="6">
        <v>8.82</v>
      </c>
      <c r="P316" s="6">
        <v>6.14</v>
      </c>
      <c r="Q316" s="6">
        <v>8.6300000000000008</v>
      </c>
      <c r="R316" s="6">
        <v>5.48</v>
      </c>
      <c r="S316" s="6">
        <v>5.58</v>
      </c>
      <c r="T316" s="6">
        <v>7.08</v>
      </c>
      <c r="U316" s="6">
        <v>6.28</v>
      </c>
      <c r="V316" s="6">
        <v>7.33</v>
      </c>
      <c r="W316" s="6">
        <v>5.88</v>
      </c>
      <c r="X316" s="6">
        <v>5.23</v>
      </c>
      <c r="Y316" s="6">
        <v>5.78</v>
      </c>
      <c r="Z316" s="6">
        <v>6.08</v>
      </c>
      <c r="AA316" s="6">
        <v>6.34</v>
      </c>
      <c r="AB316" s="6">
        <v>6.28</v>
      </c>
      <c r="AC316" s="6">
        <v>7.62</v>
      </c>
      <c r="AD316" s="6">
        <v>6.97</v>
      </c>
      <c r="AE316" s="6">
        <v>7.84</v>
      </c>
      <c r="AF316" s="6">
        <v>6.88</v>
      </c>
      <c r="AG316" s="6">
        <v>7</v>
      </c>
      <c r="AH316" s="6">
        <v>8</v>
      </c>
      <c r="AI316" s="6">
        <v>7.35</v>
      </c>
      <c r="AJ316" s="6">
        <v>6.98</v>
      </c>
      <c r="AK316" s="6">
        <v>5.31</v>
      </c>
      <c r="AL316" s="6">
        <v>7.42</v>
      </c>
      <c r="AM316" s="6">
        <v>7.07</v>
      </c>
      <c r="AN316" s="6">
        <v>7.35</v>
      </c>
      <c r="AO316" s="6">
        <v>7.57</v>
      </c>
      <c r="AP316" s="6">
        <v>6.2</v>
      </c>
      <c r="AQ316" s="6">
        <v>6.42</v>
      </c>
      <c r="AR316" s="6">
        <v>6.71</v>
      </c>
      <c r="AS316" s="6">
        <v>6.44</v>
      </c>
      <c r="AT316" s="6">
        <v>7.41</v>
      </c>
      <c r="AU316" s="6">
        <v>9.42</v>
      </c>
      <c r="AV316" s="6">
        <v>7.47</v>
      </c>
      <c r="AW316" s="6">
        <v>7.95</v>
      </c>
      <c r="AX316" s="6">
        <v>7.04</v>
      </c>
      <c r="AY316" s="6">
        <v>5.82</v>
      </c>
      <c r="AZ316" s="6">
        <v>6.41</v>
      </c>
      <c r="BA316" s="6">
        <v>5.49</v>
      </c>
      <c r="BB316" s="6">
        <v>7.09</v>
      </c>
      <c r="BC316" s="6">
        <f>7.4+0.43</f>
        <v>7.83</v>
      </c>
      <c r="BD316" s="6">
        <v>5.79</v>
      </c>
      <c r="BE316" s="6">
        <v>7.32</v>
      </c>
      <c r="BF316" s="6">
        <v>4.2699999999999996</v>
      </c>
      <c r="BG316" s="6">
        <v>5.98</v>
      </c>
      <c r="BH316" s="6">
        <v>7.92</v>
      </c>
      <c r="BI316" s="6">
        <v>7.46</v>
      </c>
      <c r="BJ316" s="6">
        <v>5.25</v>
      </c>
      <c r="BK316" s="6">
        <v>5.78</v>
      </c>
      <c r="BL316" s="6">
        <v>7.96</v>
      </c>
      <c r="BM316" s="6">
        <v>6.99</v>
      </c>
      <c r="BN316" s="6">
        <v>5.66</v>
      </c>
      <c r="BO316" s="6">
        <v>7.03</v>
      </c>
      <c r="BP316" s="6">
        <v>7.74</v>
      </c>
      <c r="BQ316" s="6">
        <v>6.66</v>
      </c>
      <c r="BR316" s="6">
        <v>4.9800000000000004</v>
      </c>
      <c r="BS316" s="6">
        <v>5.96</v>
      </c>
      <c r="BT316" s="6">
        <v>7.11</v>
      </c>
      <c r="BU316" s="6">
        <v>6.6499999999999995</v>
      </c>
      <c r="BV316" s="6">
        <v>6.1499999999999995</v>
      </c>
      <c r="BW316" s="6">
        <v>7.3599999999999994</v>
      </c>
      <c r="BX316" s="6">
        <v>5.12</v>
      </c>
      <c r="BY316" s="6">
        <v>6.6</v>
      </c>
      <c r="BZ316" s="6">
        <v>7.1</v>
      </c>
      <c r="CA316" s="6">
        <v>6.88</v>
      </c>
      <c r="CB316" s="6">
        <v>6.63</v>
      </c>
      <c r="CC316" s="6">
        <v>6.2399999999999993</v>
      </c>
      <c r="CD316" s="6">
        <v>7.52</v>
      </c>
      <c r="CE316" s="6">
        <v>8.9</v>
      </c>
      <c r="CF316" s="6">
        <v>4.13</v>
      </c>
      <c r="CG316" s="6">
        <v>3.9</v>
      </c>
      <c r="CH316" s="6"/>
    </row>
    <row r="317" spans="1:86" ht="15.75" customHeight="1" x14ac:dyDescent="0.25">
      <c r="A317" s="4">
        <v>315</v>
      </c>
      <c r="B317" s="2"/>
      <c r="C317" s="4">
        <v>11</v>
      </c>
      <c r="D317" s="6">
        <v>5.43</v>
      </c>
      <c r="E317" s="6">
        <v>5.68</v>
      </c>
      <c r="F317" s="6">
        <v>5.43</v>
      </c>
      <c r="G317" s="6">
        <v>6.28</v>
      </c>
      <c r="H317" s="6">
        <v>6.73</v>
      </c>
      <c r="I317" s="6">
        <v>5.78</v>
      </c>
      <c r="J317" s="6">
        <v>7.23</v>
      </c>
      <c r="K317" s="6">
        <v>5.43</v>
      </c>
      <c r="L317" s="6">
        <v>6.58</v>
      </c>
      <c r="M317" s="6">
        <v>6.43</v>
      </c>
      <c r="N317" s="6">
        <v>5.43</v>
      </c>
      <c r="O317" s="6">
        <v>8.75</v>
      </c>
      <c r="P317" s="6">
        <v>6.08</v>
      </c>
      <c r="Q317" s="6">
        <v>8.58</v>
      </c>
      <c r="R317" s="6">
        <v>5.43</v>
      </c>
      <c r="S317" s="6">
        <v>5.53</v>
      </c>
      <c r="T317" s="6">
        <v>6.98</v>
      </c>
      <c r="U317" s="6">
        <v>6.25</v>
      </c>
      <c r="V317" s="6">
        <v>7.38</v>
      </c>
      <c r="W317" s="6">
        <v>5.81</v>
      </c>
      <c r="X317" s="6">
        <v>5.33</v>
      </c>
      <c r="Y317" s="6">
        <v>5.63</v>
      </c>
      <c r="Z317" s="6">
        <v>6.05</v>
      </c>
      <c r="AA317" s="6">
        <v>6.24</v>
      </c>
      <c r="AB317" s="6">
        <v>6.2</v>
      </c>
      <c r="AC317" s="6">
        <v>7.59</v>
      </c>
      <c r="AD317" s="6">
        <v>6.91</v>
      </c>
      <c r="AE317" s="6">
        <v>7.68</v>
      </c>
      <c r="AF317" s="6">
        <v>6.83</v>
      </c>
      <c r="AG317" s="6">
        <v>6.93</v>
      </c>
      <c r="AH317" s="6">
        <v>7.91</v>
      </c>
      <c r="AI317" s="6">
        <v>7.23</v>
      </c>
      <c r="AJ317" s="6">
        <v>6.87</v>
      </c>
      <c r="AK317" s="6">
        <v>5.19</v>
      </c>
      <c r="AL317" s="6">
        <v>7.37</v>
      </c>
      <c r="AM317" s="6">
        <v>6.97</v>
      </c>
      <c r="AN317" s="6">
        <v>7.28</v>
      </c>
      <c r="AO317" s="6">
        <v>7.55</v>
      </c>
      <c r="AP317" s="6">
        <v>6.08</v>
      </c>
      <c r="AQ317" s="6">
        <v>6.38</v>
      </c>
      <c r="AR317" s="6">
        <v>6.74</v>
      </c>
      <c r="AS317" s="6">
        <v>6.35</v>
      </c>
      <c r="AT317" s="6">
        <v>7.31</v>
      </c>
      <c r="AU317" s="6">
        <v>9.35</v>
      </c>
      <c r="AV317" s="6">
        <v>7.39</v>
      </c>
      <c r="AW317" s="6">
        <v>8.1300000000000008</v>
      </c>
      <c r="AX317" s="6">
        <v>7.03</v>
      </c>
      <c r="AY317" s="6">
        <v>5.64</v>
      </c>
      <c r="AZ317" s="6">
        <v>6.28</v>
      </c>
      <c r="BA317" s="6">
        <v>5.47</v>
      </c>
      <c r="BB317" s="6">
        <v>7.12</v>
      </c>
      <c r="BC317" s="6">
        <f>7.3+0.43</f>
        <v>7.7299999999999995</v>
      </c>
      <c r="BD317" s="6">
        <v>5.85</v>
      </c>
      <c r="BE317" s="6">
        <v>7.23</v>
      </c>
      <c r="BF317" s="6">
        <v>4.24</v>
      </c>
      <c r="BG317" s="6">
        <v>5.98</v>
      </c>
      <c r="BH317" s="6">
        <v>7.86</v>
      </c>
      <c r="BI317" s="6">
        <v>7.42</v>
      </c>
      <c r="BJ317" s="6">
        <v>5.14</v>
      </c>
      <c r="BK317" s="6">
        <v>5.82</v>
      </c>
      <c r="BL317" s="6">
        <v>8.01</v>
      </c>
      <c r="BM317" s="6">
        <v>6.88</v>
      </c>
      <c r="BN317" s="6">
        <v>5.74</v>
      </c>
      <c r="BO317" s="6">
        <v>6.97</v>
      </c>
      <c r="BP317" s="6">
        <v>7.54</v>
      </c>
      <c r="BQ317" s="6">
        <v>6.62</v>
      </c>
      <c r="BR317" s="6">
        <v>4.87</v>
      </c>
      <c r="BS317" s="6">
        <v>5.96</v>
      </c>
      <c r="BT317" s="6">
        <v>6.99</v>
      </c>
      <c r="BU317" s="6">
        <v>6.55</v>
      </c>
      <c r="BV317" s="6">
        <v>6.1</v>
      </c>
      <c r="BW317" s="6">
        <v>7.3</v>
      </c>
      <c r="BX317" s="6">
        <v>5.0699999999999994</v>
      </c>
      <c r="BY317" s="6">
        <v>6.5699999999999994</v>
      </c>
      <c r="BZ317" s="6">
        <v>6.9799999999999995</v>
      </c>
      <c r="CA317" s="6">
        <v>6.6499999999999995</v>
      </c>
      <c r="CB317" s="6">
        <v>6.53</v>
      </c>
      <c r="CC317" s="6">
        <v>6.34</v>
      </c>
      <c r="CD317" s="6">
        <v>7.42</v>
      </c>
      <c r="CE317" s="6">
        <v>8.81</v>
      </c>
      <c r="CF317" s="6">
        <v>4.13</v>
      </c>
      <c r="CG317" s="6">
        <v>3.85</v>
      </c>
      <c r="CH317" s="6"/>
    </row>
    <row r="318" spans="1:86" ht="15.75" customHeight="1" x14ac:dyDescent="0.25">
      <c r="A318" s="4">
        <v>316</v>
      </c>
      <c r="B318" s="2"/>
      <c r="C318" s="4">
        <v>12</v>
      </c>
      <c r="D318" s="6">
        <v>5.43</v>
      </c>
      <c r="E318" s="6">
        <v>5.58</v>
      </c>
      <c r="F318" s="6">
        <v>5.33</v>
      </c>
      <c r="G318" s="6">
        <v>6.23</v>
      </c>
      <c r="H318" s="6">
        <v>6.63</v>
      </c>
      <c r="I318" s="6">
        <v>5.78</v>
      </c>
      <c r="J318" s="6">
        <v>7.23</v>
      </c>
      <c r="K318" s="6">
        <v>5.43</v>
      </c>
      <c r="L318" s="6">
        <v>6.48</v>
      </c>
      <c r="M318" s="6">
        <v>6.33</v>
      </c>
      <c r="N318" s="6">
        <v>5.33</v>
      </c>
      <c r="O318" s="6">
        <v>8.68</v>
      </c>
      <c r="P318" s="6">
        <v>6.03</v>
      </c>
      <c r="Q318" s="6">
        <v>8.48</v>
      </c>
      <c r="R318" s="6">
        <v>5.33</v>
      </c>
      <c r="S318" s="6">
        <v>5.48</v>
      </c>
      <c r="T318" s="6">
        <v>6.93</v>
      </c>
      <c r="U318" s="6">
        <v>6.28</v>
      </c>
      <c r="V318" s="6">
        <v>7.38</v>
      </c>
      <c r="W318" s="6">
        <v>5.73</v>
      </c>
      <c r="X318" s="6">
        <v>5.38</v>
      </c>
      <c r="Y318" s="6">
        <v>5.51</v>
      </c>
      <c r="Z318" s="6">
        <v>5.98</v>
      </c>
      <c r="AA318" s="6">
        <v>6.2</v>
      </c>
      <c r="AB318" s="6">
        <v>6.11</v>
      </c>
      <c r="AC318" s="6">
        <v>7.47</v>
      </c>
      <c r="AD318" s="6">
        <v>6.76</v>
      </c>
      <c r="AE318" s="6">
        <v>7.6</v>
      </c>
      <c r="AF318" s="6">
        <v>6.77</v>
      </c>
      <c r="AG318" s="6">
        <v>7.17</v>
      </c>
      <c r="AH318" s="6">
        <v>7.85</v>
      </c>
      <c r="AI318" s="6">
        <v>7.07</v>
      </c>
      <c r="AJ318" s="6">
        <v>6.82</v>
      </c>
      <c r="AK318" s="6">
        <v>5.07</v>
      </c>
      <c r="AL318" s="6">
        <v>7.42</v>
      </c>
      <c r="AM318" s="6">
        <v>6.84</v>
      </c>
      <c r="AN318" s="6">
        <v>7.2</v>
      </c>
      <c r="AO318" s="6">
        <v>7.49</v>
      </c>
      <c r="AP318" s="6">
        <v>5.96</v>
      </c>
      <c r="AQ318" s="6">
        <v>6.13</v>
      </c>
      <c r="AR318" s="6">
        <v>6.62</v>
      </c>
      <c r="AS318" s="6">
        <v>6.25</v>
      </c>
      <c r="AT318" s="6">
        <v>7.25</v>
      </c>
      <c r="AU318" s="6">
        <v>9.3000000000000007</v>
      </c>
      <c r="AV318" s="6">
        <v>7.3</v>
      </c>
      <c r="AW318" s="6">
        <v>8.18</v>
      </c>
      <c r="AX318" s="6">
        <v>6.98</v>
      </c>
      <c r="AY318" s="6">
        <v>5.53</v>
      </c>
      <c r="AZ318" s="6">
        <v>6.25</v>
      </c>
      <c r="BA318" s="6">
        <v>5.38</v>
      </c>
      <c r="BB318" s="6">
        <v>7.12</v>
      </c>
      <c r="BC318" s="6">
        <f>7.18+0.43</f>
        <v>7.6099999999999994</v>
      </c>
      <c r="BD318" s="6">
        <v>5.88</v>
      </c>
      <c r="BE318" s="6">
        <v>7.13</v>
      </c>
      <c r="BF318" s="6">
        <v>4.24</v>
      </c>
      <c r="BG318" s="6">
        <v>5.97</v>
      </c>
      <c r="BH318" s="6">
        <v>7.72</v>
      </c>
      <c r="BI318" s="4">
        <v>7.37</v>
      </c>
      <c r="BJ318" s="4">
        <v>5.04</v>
      </c>
      <c r="BK318" s="6">
        <v>5.9</v>
      </c>
      <c r="BL318" s="6">
        <v>8.0299999999999994</v>
      </c>
      <c r="BM318" s="6">
        <v>6.8</v>
      </c>
      <c r="BN318" s="6">
        <v>5.89</v>
      </c>
      <c r="BO318" s="6">
        <v>6.84</v>
      </c>
      <c r="BP318" s="6">
        <v>7.46</v>
      </c>
      <c r="BQ318" s="6">
        <v>6.6</v>
      </c>
      <c r="BR318" s="6">
        <v>4.75</v>
      </c>
      <c r="BS318" s="6">
        <v>5.83</v>
      </c>
      <c r="BT318" s="6">
        <v>6.93</v>
      </c>
      <c r="BU318" s="6">
        <v>6.41</v>
      </c>
      <c r="BV318" s="6">
        <v>6.09</v>
      </c>
      <c r="BW318" s="6">
        <v>7.26</v>
      </c>
      <c r="BX318" s="6">
        <v>5.08</v>
      </c>
      <c r="BY318" s="6">
        <v>6.54</v>
      </c>
      <c r="BZ318" s="6">
        <v>6.7799999999999994</v>
      </c>
      <c r="CA318" s="6">
        <v>6.5</v>
      </c>
      <c r="CB318" s="6">
        <v>6.43</v>
      </c>
      <c r="CC318" s="6">
        <v>6.34</v>
      </c>
      <c r="CD318" s="6">
        <v>7.34</v>
      </c>
      <c r="CE318" s="6">
        <v>8.7899999999999991</v>
      </c>
      <c r="CF318" s="6">
        <v>4.09</v>
      </c>
      <c r="CG318" s="6">
        <v>3.83</v>
      </c>
      <c r="CH318" s="6"/>
    </row>
    <row r="319" spans="1:86" ht="15.75" customHeight="1" x14ac:dyDescent="0.25">
      <c r="A319" s="4">
        <v>317</v>
      </c>
      <c r="B319" s="2"/>
      <c r="C319" s="4">
        <v>13</v>
      </c>
      <c r="D319" s="6">
        <v>5.33</v>
      </c>
      <c r="E319" s="6">
        <v>5.53</v>
      </c>
      <c r="F319" s="6">
        <v>5.23</v>
      </c>
      <c r="G319" s="6">
        <v>6.13</v>
      </c>
      <c r="H319" s="6">
        <v>6.53</v>
      </c>
      <c r="I319" s="6">
        <v>5.78</v>
      </c>
      <c r="J319" s="6">
        <v>7.23</v>
      </c>
      <c r="K319" s="6">
        <v>5.43</v>
      </c>
      <c r="L319" s="6">
        <v>6.38</v>
      </c>
      <c r="M319" s="6">
        <v>6.23</v>
      </c>
      <c r="N319" s="6">
        <v>5.28</v>
      </c>
      <c r="O319" s="6">
        <v>8.61</v>
      </c>
      <c r="P319" s="6">
        <v>5.98</v>
      </c>
      <c r="Q319" s="6">
        <v>8.43</v>
      </c>
      <c r="R319" s="6">
        <v>5.28</v>
      </c>
      <c r="S319" s="6">
        <v>5.43</v>
      </c>
      <c r="T319" s="6">
        <v>6.83</v>
      </c>
      <c r="U319" s="6">
        <v>6.23</v>
      </c>
      <c r="V319" s="6">
        <v>7.43</v>
      </c>
      <c r="W319" s="6">
        <v>5.68</v>
      </c>
      <c r="X319" s="6">
        <v>5.38</v>
      </c>
      <c r="Y319" s="6">
        <v>5.38</v>
      </c>
      <c r="Z319" s="6">
        <v>5.91</v>
      </c>
      <c r="AA319" s="6">
        <v>6.14</v>
      </c>
      <c r="AB319" s="6">
        <v>6.01</v>
      </c>
      <c r="AC319" s="6">
        <v>7.27</v>
      </c>
      <c r="AD319" s="6">
        <v>6.69</v>
      </c>
      <c r="AE319" s="6">
        <v>7.92</v>
      </c>
      <c r="AF319" s="6">
        <v>6.73</v>
      </c>
      <c r="AG319" s="6">
        <v>7.29</v>
      </c>
      <c r="AH319" s="6">
        <v>7.81</v>
      </c>
      <c r="AI319" s="6">
        <v>7.15</v>
      </c>
      <c r="AJ319" s="6">
        <v>6.73</v>
      </c>
      <c r="AK319" s="6">
        <v>4.97</v>
      </c>
      <c r="AL319" s="6">
        <v>7.42</v>
      </c>
      <c r="AM319" s="6">
        <v>6.65</v>
      </c>
      <c r="AN319" s="6">
        <v>7.18</v>
      </c>
      <c r="AO319" s="6">
        <v>7.26</v>
      </c>
      <c r="AP319" s="6">
        <v>5.86</v>
      </c>
      <c r="AQ319" s="6">
        <v>6</v>
      </c>
      <c r="AR319" s="6">
        <v>6.56</v>
      </c>
      <c r="AS319" s="6">
        <v>6.2</v>
      </c>
      <c r="AT319" s="6">
        <v>7.15</v>
      </c>
      <c r="AU319" s="6">
        <v>9.17</v>
      </c>
      <c r="AV319" s="6">
        <v>7.21</v>
      </c>
      <c r="AW319" s="6">
        <v>8.18</v>
      </c>
      <c r="AX319" s="6">
        <v>6.88</v>
      </c>
      <c r="AY319" s="6">
        <v>5.43</v>
      </c>
      <c r="AZ319" s="6">
        <v>6.14</v>
      </c>
      <c r="BA319" s="6">
        <v>5.28</v>
      </c>
      <c r="BB319" s="6">
        <v>7.12</v>
      </c>
      <c r="BC319" s="6">
        <f>7.16+0.43</f>
        <v>7.59</v>
      </c>
      <c r="BD319" s="6">
        <v>5.53</v>
      </c>
      <c r="BE319" s="6">
        <v>7.04</v>
      </c>
      <c r="BF319" s="6">
        <v>4.24</v>
      </c>
      <c r="BG319" s="6">
        <v>5.94</v>
      </c>
      <c r="BH319" s="6">
        <v>7.58</v>
      </c>
      <c r="BI319" s="6">
        <v>7.18</v>
      </c>
      <c r="BJ319" s="6">
        <v>5.16</v>
      </c>
      <c r="BK319" s="6">
        <v>5.9</v>
      </c>
      <c r="BL319" s="6">
        <v>8</v>
      </c>
      <c r="BM319" s="6">
        <v>6.75</v>
      </c>
      <c r="BN319" s="6">
        <v>5.89</v>
      </c>
      <c r="BO319" s="6">
        <v>6.72</v>
      </c>
      <c r="BP319" s="6">
        <v>7.38</v>
      </c>
      <c r="BQ319" s="6">
        <v>6.56</v>
      </c>
      <c r="BR319" s="6">
        <v>4.6500000000000004</v>
      </c>
      <c r="BS319" s="6">
        <v>5.71</v>
      </c>
      <c r="BT319" s="6">
        <v>6.87</v>
      </c>
      <c r="BU319" s="6">
        <v>6.3599999999999994</v>
      </c>
      <c r="BV319" s="6">
        <v>6.1499999999999995</v>
      </c>
      <c r="BW319" s="6">
        <v>7.2299999999999995</v>
      </c>
      <c r="BX319" s="6">
        <v>5.0599999999999996</v>
      </c>
      <c r="BY319" s="6">
        <v>6.52</v>
      </c>
      <c r="BZ319" s="6">
        <v>6.6899999999999995</v>
      </c>
      <c r="CA319" s="6">
        <v>6.7799999999999994</v>
      </c>
      <c r="CB319" s="6">
        <v>6.43</v>
      </c>
      <c r="CC319" s="6">
        <v>6.33</v>
      </c>
      <c r="CD319" s="6">
        <v>7.27</v>
      </c>
      <c r="CE319" s="6">
        <v>8.7899999999999991</v>
      </c>
      <c r="CF319" s="6">
        <v>4.08</v>
      </c>
      <c r="CG319" s="6">
        <v>3.87</v>
      </c>
      <c r="CH319" s="6"/>
    </row>
    <row r="320" spans="1:86" ht="15.75" customHeight="1" x14ac:dyDescent="0.25">
      <c r="A320" s="4">
        <v>318</v>
      </c>
      <c r="B320" s="2"/>
      <c r="C320" s="4">
        <v>14</v>
      </c>
      <c r="D320" s="6">
        <v>5.23</v>
      </c>
      <c r="E320" s="6">
        <v>5.53</v>
      </c>
      <c r="F320" s="6">
        <v>5.13</v>
      </c>
      <c r="G320" s="6">
        <v>6.03</v>
      </c>
      <c r="H320" s="6">
        <v>6.43</v>
      </c>
      <c r="I320" s="6">
        <v>5.83</v>
      </c>
      <c r="J320" s="6">
        <v>7.23</v>
      </c>
      <c r="K320" s="6">
        <v>5.33</v>
      </c>
      <c r="L320" s="6">
        <v>6.23</v>
      </c>
      <c r="M320" s="6">
        <v>6.13</v>
      </c>
      <c r="N320" s="6">
        <v>5.23</v>
      </c>
      <c r="O320" s="6">
        <v>8.58</v>
      </c>
      <c r="P320" s="6">
        <v>5.93</v>
      </c>
      <c r="Q320" s="6">
        <v>8.33</v>
      </c>
      <c r="R320" s="6">
        <v>5.19</v>
      </c>
      <c r="S320" s="6">
        <v>5.38</v>
      </c>
      <c r="T320" s="6">
        <v>6.83</v>
      </c>
      <c r="U320" s="6">
        <v>6.33</v>
      </c>
      <c r="V320" s="6">
        <v>7.37</v>
      </c>
      <c r="W320" s="6">
        <v>5.83</v>
      </c>
      <c r="X320" s="6">
        <v>5.33</v>
      </c>
      <c r="Y320" s="6">
        <v>5.28</v>
      </c>
      <c r="Z320" s="6">
        <v>5.93</v>
      </c>
      <c r="AA320" s="6">
        <v>6.05</v>
      </c>
      <c r="AB320" s="6">
        <v>5.88</v>
      </c>
      <c r="AC320" s="6">
        <v>7.26</v>
      </c>
      <c r="AD320" s="6">
        <v>6.6</v>
      </c>
      <c r="AE320" s="6">
        <v>7.77</v>
      </c>
      <c r="AF320" s="6">
        <v>6.72</v>
      </c>
      <c r="AG320" s="6">
        <v>7.07</v>
      </c>
      <c r="AH320" s="6">
        <v>7.73</v>
      </c>
      <c r="AI320" s="6">
        <v>7.11</v>
      </c>
      <c r="AJ320" s="6">
        <v>6.62</v>
      </c>
      <c r="AK320" s="6">
        <v>4.97</v>
      </c>
      <c r="AL320" s="6">
        <v>7.38</v>
      </c>
      <c r="AM320" s="6">
        <v>6.61</v>
      </c>
      <c r="AN320" s="6">
        <v>7.15</v>
      </c>
      <c r="AO320" s="6">
        <v>7.05</v>
      </c>
      <c r="AP320" s="6">
        <v>5.68</v>
      </c>
      <c r="AQ320" s="6">
        <v>5.86</v>
      </c>
      <c r="AR320" s="6">
        <v>6.46</v>
      </c>
      <c r="AS320" s="6">
        <v>6.12</v>
      </c>
      <c r="AT320" s="6">
        <v>7.05</v>
      </c>
      <c r="AU320" s="6">
        <v>9.0399999999999991</v>
      </c>
      <c r="AV320" s="6">
        <v>7.12</v>
      </c>
      <c r="AW320" s="6">
        <v>8</v>
      </c>
      <c r="AX320" s="6">
        <v>6.85</v>
      </c>
      <c r="AY320" s="6">
        <v>5.37</v>
      </c>
      <c r="AZ320" s="6">
        <v>6.05</v>
      </c>
      <c r="BA320" s="6">
        <v>5.13</v>
      </c>
      <c r="BB320" s="6">
        <v>7.43</v>
      </c>
      <c r="BC320" s="6">
        <f>6.9+0.43</f>
        <v>7.33</v>
      </c>
      <c r="BD320" s="6">
        <v>5.63</v>
      </c>
      <c r="BE320" s="6">
        <v>6.99</v>
      </c>
      <c r="BF320" s="6">
        <v>4.24</v>
      </c>
      <c r="BG320" s="6">
        <v>5.88</v>
      </c>
      <c r="BH320" s="6">
        <v>7.38</v>
      </c>
      <c r="BI320" s="6">
        <v>7.12</v>
      </c>
      <c r="BJ320" s="6">
        <v>5.25</v>
      </c>
      <c r="BK320" s="6">
        <v>5.92</v>
      </c>
      <c r="BL320" s="6">
        <v>7.99</v>
      </c>
      <c r="BM320" s="6">
        <v>6.65</v>
      </c>
      <c r="BN320" s="6">
        <v>5.9</v>
      </c>
      <c r="BO320" s="6">
        <v>6.61</v>
      </c>
      <c r="BP320" s="6">
        <v>7.3</v>
      </c>
      <c r="BQ320" s="6">
        <v>6.56</v>
      </c>
      <c r="BR320" s="6">
        <v>4.51</v>
      </c>
      <c r="BS320" s="6">
        <v>5.62</v>
      </c>
      <c r="BT320" s="6">
        <v>6.76</v>
      </c>
      <c r="BU320" s="6">
        <v>6.3</v>
      </c>
      <c r="BV320" s="6">
        <v>6.18</v>
      </c>
      <c r="BW320" s="6">
        <v>7.12</v>
      </c>
      <c r="BX320" s="6">
        <v>5.0699999999999994</v>
      </c>
      <c r="BY320" s="6">
        <v>6.33</v>
      </c>
      <c r="BZ320" s="6">
        <v>6.6499999999999995</v>
      </c>
      <c r="CA320" s="6">
        <v>6.75</v>
      </c>
      <c r="CB320" s="6">
        <v>6.29</v>
      </c>
      <c r="CC320" s="6">
        <v>6.31</v>
      </c>
      <c r="CD320" s="6">
        <v>7.1899999999999995</v>
      </c>
      <c r="CE320" s="6">
        <v>8.6999999999999993</v>
      </c>
      <c r="CF320" s="6">
        <v>4.04</v>
      </c>
      <c r="CG320" s="6">
        <v>3.85</v>
      </c>
      <c r="CH320" s="6"/>
    </row>
    <row r="321" spans="1:86" ht="15.75" customHeight="1" x14ac:dyDescent="0.25">
      <c r="A321" s="4">
        <v>319</v>
      </c>
      <c r="B321" s="2"/>
      <c r="C321" s="4">
        <v>15</v>
      </c>
      <c r="D321" s="6">
        <v>5.13</v>
      </c>
      <c r="E321" s="6">
        <v>5.53</v>
      </c>
      <c r="F321" s="6">
        <v>5.03</v>
      </c>
      <c r="G321" s="6">
        <v>5.88</v>
      </c>
      <c r="H321" s="6">
        <v>6.28</v>
      </c>
      <c r="I321" s="6">
        <v>5.93</v>
      </c>
      <c r="J321" s="6">
        <v>7.23</v>
      </c>
      <c r="K321" s="6">
        <v>5.13</v>
      </c>
      <c r="L321" s="6">
        <v>6.03</v>
      </c>
      <c r="M321" s="6">
        <v>6.03</v>
      </c>
      <c r="N321" s="6">
        <v>5.18</v>
      </c>
      <c r="O321" s="6">
        <v>8.5299999999999994</v>
      </c>
      <c r="P321" s="6">
        <v>5.88</v>
      </c>
      <c r="Q321" s="6">
        <v>8.27</v>
      </c>
      <c r="R321" s="6">
        <v>5.13</v>
      </c>
      <c r="S321" s="6">
        <v>5.23</v>
      </c>
      <c r="T321" s="6">
        <v>6.83</v>
      </c>
      <c r="U321" s="6">
        <v>6.38</v>
      </c>
      <c r="V321" s="6">
        <v>7.21</v>
      </c>
      <c r="W321" s="6">
        <v>5.98</v>
      </c>
      <c r="X321" s="6">
        <v>5.33</v>
      </c>
      <c r="Y321" s="6">
        <v>5.13</v>
      </c>
      <c r="Z321" s="6">
        <v>5.98</v>
      </c>
      <c r="AA321" s="6">
        <v>5.99</v>
      </c>
      <c r="AB321" s="6">
        <v>5.74</v>
      </c>
      <c r="AC321" s="6">
        <v>7.11</v>
      </c>
      <c r="AD321" s="6">
        <v>6.48</v>
      </c>
      <c r="AE321" s="6">
        <v>7.78</v>
      </c>
      <c r="AF321" s="6">
        <v>6.73</v>
      </c>
      <c r="AG321" s="6">
        <v>7.14</v>
      </c>
      <c r="AH321" s="6">
        <v>7.64</v>
      </c>
      <c r="AI321" s="6">
        <v>7.01</v>
      </c>
      <c r="AJ321" s="6">
        <v>6.53</v>
      </c>
      <c r="AK321" s="6">
        <v>4.91</v>
      </c>
      <c r="AL321" s="6">
        <v>7.37</v>
      </c>
      <c r="AM321" s="6">
        <v>6.51</v>
      </c>
      <c r="AN321" s="6">
        <v>7.15</v>
      </c>
      <c r="AO321" s="6">
        <v>6.91</v>
      </c>
      <c r="AP321" s="6">
        <v>5.58</v>
      </c>
      <c r="AQ321" s="6">
        <v>5.74</v>
      </c>
      <c r="AR321" s="6">
        <v>6.39</v>
      </c>
      <c r="AS321" s="6">
        <v>6.04</v>
      </c>
      <c r="AT321" s="6">
        <v>6.97</v>
      </c>
      <c r="AU321" s="6">
        <v>9.16</v>
      </c>
      <c r="AV321" s="6">
        <v>6.99</v>
      </c>
      <c r="AW321" s="6">
        <v>7.92</v>
      </c>
      <c r="AX321" s="6">
        <v>6.77</v>
      </c>
      <c r="AY321" s="6">
        <v>5.33</v>
      </c>
      <c r="AZ321" s="6">
        <v>5.96</v>
      </c>
      <c r="BA321" s="6">
        <v>4.97</v>
      </c>
      <c r="BB321" s="6">
        <v>7.57</v>
      </c>
      <c r="BC321" s="6">
        <f>6.87+0.43</f>
        <v>7.3</v>
      </c>
      <c r="BD321" s="6">
        <v>5.68</v>
      </c>
      <c r="BE321" s="6">
        <v>6.83</v>
      </c>
      <c r="BF321" s="6">
        <v>4.24</v>
      </c>
      <c r="BG321" s="6">
        <v>5.82</v>
      </c>
      <c r="BH321" s="6">
        <v>7.28</v>
      </c>
      <c r="BI321" s="6">
        <v>7.02</v>
      </c>
      <c r="BJ321" s="6">
        <v>5.23</v>
      </c>
      <c r="BK321" s="6">
        <v>5.92</v>
      </c>
      <c r="BL321" s="6">
        <v>7.94</v>
      </c>
      <c r="BM321" s="6">
        <v>6.54</v>
      </c>
      <c r="BN321" s="6">
        <v>6.03</v>
      </c>
      <c r="BO321" s="6">
        <v>6.45</v>
      </c>
      <c r="BP321" s="6">
        <v>7.2</v>
      </c>
      <c r="BQ321" s="6">
        <v>6.53</v>
      </c>
      <c r="BR321" s="6">
        <v>4.47</v>
      </c>
      <c r="BS321" s="6">
        <v>5.68</v>
      </c>
      <c r="BT321" s="6">
        <v>6.93</v>
      </c>
      <c r="BU321" s="6">
        <v>6.2299999999999995</v>
      </c>
      <c r="BV321" s="6">
        <v>6.06</v>
      </c>
      <c r="BW321" s="6">
        <v>7.04</v>
      </c>
      <c r="BX321" s="6">
        <v>5.09</v>
      </c>
      <c r="BY321" s="6">
        <v>6.2799999999999994</v>
      </c>
      <c r="BZ321" s="6">
        <v>6.59</v>
      </c>
      <c r="CA321" s="6">
        <v>6.41</v>
      </c>
      <c r="CB321" s="6">
        <v>6.2299999999999995</v>
      </c>
      <c r="CC321" s="6">
        <v>6.3199999999999994</v>
      </c>
      <c r="CD321" s="6">
        <v>7.04</v>
      </c>
      <c r="CE321" s="6">
        <v>8.4599999999999991</v>
      </c>
      <c r="CF321" s="6">
        <v>4.0599999999999996</v>
      </c>
      <c r="CG321" s="6">
        <v>3.92</v>
      </c>
      <c r="CH321" s="6"/>
    </row>
    <row r="322" spans="1:86" ht="15.75" customHeight="1" x14ac:dyDescent="0.25">
      <c r="A322" s="4">
        <v>320</v>
      </c>
      <c r="B322" s="2"/>
      <c r="C322" s="4">
        <v>16</v>
      </c>
      <c r="D322" s="6">
        <v>5.03</v>
      </c>
      <c r="E322" s="6">
        <v>5.53</v>
      </c>
      <c r="F322" s="6">
        <v>4.93</v>
      </c>
      <c r="G322" s="6">
        <v>5.73</v>
      </c>
      <c r="H322" s="6">
        <v>6.13</v>
      </c>
      <c r="I322" s="6">
        <v>6.03</v>
      </c>
      <c r="J322" s="6">
        <v>7.23</v>
      </c>
      <c r="K322" s="6">
        <v>5.03</v>
      </c>
      <c r="L322" s="6">
        <v>5.93</v>
      </c>
      <c r="M322" s="6">
        <v>5.98</v>
      </c>
      <c r="N322" s="6">
        <v>5.13</v>
      </c>
      <c r="O322" s="6">
        <v>8.51</v>
      </c>
      <c r="P322" s="6">
        <v>5.85</v>
      </c>
      <c r="Q322" s="6">
        <v>8.2100000000000009</v>
      </c>
      <c r="R322" s="6">
        <v>5.08</v>
      </c>
      <c r="S322" s="6">
        <v>5.13</v>
      </c>
      <c r="T322" s="6">
        <v>6.73</v>
      </c>
      <c r="U322" s="6">
        <v>6.63</v>
      </c>
      <c r="V322" s="6">
        <v>7.03</v>
      </c>
      <c r="W322" s="6">
        <v>6.03</v>
      </c>
      <c r="X322" s="6">
        <v>5.18</v>
      </c>
      <c r="Y322" s="6">
        <v>5.03</v>
      </c>
      <c r="Z322" s="6">
        <v>6.01</v>
      </c>
      <c r="AA322" s="6">
        <v>5.91</v>
      </c>
      <c r="AB322" s="6">
        <v>5.58</v>
      </c>
      <c r="AC322" s="6">
        <v>6.92</v>
      </c>
      <c r="AD322" s="6">
        <v>6.34</v>
      </c>
      <c r="AE322" s="6">
        <v>7.89</v>
      </c>
      <c r="AF322" s="6">
        <v>6.78</v>
      </c>
      <c r="AG322" s="6">
        <v>7.02</v>
      </c>
      <c r="AH322" s="6">
        <v>7.57</v>
      </c>
      <c r="AI322" s="6">
        <v>6.92</v>
      </c>
      <c r="AJ322" s="6">
        <v>6.42</v>
      </c>
      <c r="AK322" s="6">
        <v>4.88</v>
      </c>
      <c r="AL322" s="6">
        <v>7.28</v>
      </c>
      <c r="AM322" s="6">
        <v>6.45</v>
      </c>
      <c r="AN322" s="6">
        <v>7.25</v>
      </c>
      <c r="AO322" s="6">
        <v>6.88</v>
      </c>
      <c r="AP322" s="6">
        <v>5.45</v>
      </c>
      <c r="AQ322" s="6">
        <v>5.66</v>
      </c>
      <c r="AR322" s="6">
        <v>6.29</v>
      </c>
      <c r="AS322" s="6">
        <v>5.94</v>
      </c>
      <c r="AT322" s="6">
        <v>6.91</v>
      </c>
      <c r="AU322" s="6">
        <v>9.24</v>
      </c>
      <c r="AV322" s="6">
        <v>6.87</v>
      </c>
      <c r="AW322" s="6">
        <v>7.83</v>
      </c>
      <c r="AX322" s="6">
        <v>6.75</v>
      </c>
      <c r="AY322" s="6">
        <v>5.36</v>
      </c>
      <c r="AZ322" s="6">
        <v>5.86</v>
      </c>
      <c r="BA322" s="6">
        <v>4.84</v>
      </c>
      <c r="BB322" s="6">
        <v>7.7</v>
      </c>
      <c r="BC322" s="6">
        <f>6.83+0.43</f>
        <v>7.26</v>
      </c>
      <c r="BD322" s="6">
        <v>5.78</v>
      </c>
      <c r="BE322" s="6">
        <v>6.76</v>
      </c>
      <c r="BF322" s="6">
        <v>4.1100000000000003</v>
      </c>
      <c r="BG322" s="6">
        <v>5.76</v>
      </c>
      <c r="BH322" s="6">
        <v>7.2</v>
      </c>
      <c r="BI322" s="6">
        <v>6.82</v>
      </c>
      <c r="BJ322" s="6">
        <v>5.31</v>
      </c>
      <c r="BK322" s="6">
        <v>5.96</v>
      </c>
      <c r="BL322" s="6">
        <v>7.9</v>
      </c>
      <c r="BM322" s="6">
        <v>6.53</v>
      </c>
      <c r="BN322" s="6">
        <v>6.11</v>
      </c>
      <c r="BO322" s="6">
        <v>6.33</v>
      </c>
      <c r="BP322" s="6">
        <v>7.12</v>
      </c>
      <c r="BQ322" s="6">
        <v>6.49</v>
      </c>
      <c r="BR322" s="6">
        <v>4.3099999999999996</v>
      </c>
      <c r="BS322" s="6">
        <v>5.69</v>
      </c>
      <c r="BT322" s="6">
        <v>7.21</v>
      </c>
      <c r="BU322" s="6">
        <v>6.1</v>
      </c>
      <c r="BV322" s="6">
        <v>5.9899999999999993</v>
      </c>
      <c r="BW322" s="6">
        <v>6.9399999999999995</v>
      </c>
      <c r="BX322" s="6">
        <v>5.09</v>
      </c>
      <c r="BY322" s="6">
        <v>6.2299999999999995</v>
      </c>
      <c r="BZ322" s="6">
        <v>6.5299999999999994</v>
      </c>
      <c r="CA322" s="6">
        <v>6.26</v>
      </c>
      <c r="CB322" s="6">
        <v>6.21</v>
      </c>
      <c r="CC322" s="6">
        <v>6.3199999999999994</v>
      </c>
      <c r="CD322" s="6">
        <v>6.9399999999999995</v>
      </c>
      <c r="CE322" s="6">
        <v>8.25</v>
      </c>
      <c r="CF322" s="6">
        <v>4.08</v>
      </c>
      <c r="CG322" s="6">
        <v>3.95</v>
      </c>
      <c r="CH322" s="6"/>
    </row>
    <row r="323" spans="1:86" ht="15.75" customHeight="1" x14ac:dyDescent="0.25">
      <c r="A323" s="4">
        <v>321</v>
      </c>
      <c r="B323" s="2"/>
      <c r="C323" s="4">
        <v>17</v>
      </c>
      <c r="D323" s="6">
        <v>5.03</v>
      </c>
      <c r="E323" s="6">
        <v>5.58</v>
      </c>
      <c r="F323" s="6">
        <v>4.83</v>
      </c>
      <c r="G323" s="6">
        <v>5.58</v>
      </c>
      <c r="H323" s="6">
        <v>6.03</v>
      </c>
      <c r="I323" s="6">
        <v>6.08</v>
      </c>
      <c r="J323" s="6">
        <v>7.23</v>
      </c>
      <c r="K323" s="6">
        <v>4.93</v>
      </c>
      <c r="L323" s="6">
        <v>5.83</v>
      </c>
      <c r="M323" s="6">
        <v>5.98</v>
      </c>
      <c r="N323" s="6">
        <v>5.13</v>
      </c>
      <c r="O323" s="6">
        <v>8.48</v>
      </c>
      <c r="P323" s="6">
        <v>5.81</v>
      </c>
      <c r="Q323" s="6">
        <v>8.1300000000000008</v>
      </c>
      <c r="R323" s="6">
        <v>5.03</v>
      </c>
      <c r="S323" s="6">
        <v>5.08</v>
      </c>
      <c r="T323" s="6">
        <v>6.63</v>
      </c>
      <c r="U323" s="6">
        <v>6.73</v>
      </c>
      <c r="V323" s="6">
        <v>6.97</v>
      </c>
      <c r="W323" s="6">
        <v>5.98</v>
      </c>
      <c r="X323" s="6">
        <v>5.03</v>
      </c>
      <c r="Y323" s="6">
        <v>4.95</v>
      </c>
      <c r="Z323" s="6">
        <v>6.07</v>
      </c>
      <c r="AA323" s="6">
        <v>5.89</v>
      </c>
      <c r="AB323" s="6">
        <v>5.42</v>
      </c>
      <c r="AC323" s="6">
        <v>6.8</v>
      </c>
      <c r="AD323" s="6">
        <v>6.16</v>
      </c>
      <c r="AE323" s="6">
        <v>7.9</v>
      </c>
      <c r="AF323" s="6">
        <v>6.79</v>
      </c>
      <c r="AG323" s="6">
        <v>6.99</v>
      </c>
      <c r="AH323" s="6">
        <v>7.51</v>
      </c>
      <c r="AI323" s="6">
        <v>6.73</v>
      </c>
      <c r="AJ323" s="6">
        <v>6.31</v>
      </c>
      <c r="AK323" s="6">
        <v>4.8099999999999996</v>
      </c>
      <c r="AL323" s="6">
        <v>7.15</v>
      </c>
      <c r="AM323" s="6">
        <v>6.45</v>
      </c>
      <c r="AN323" s="6">
        <v>7.12</v>
      </c>
      <c r="AO323" s="6">
        <v>6.81</v>
      </c>
      <c r="AP323" s="6">
        <v>5.61</v>
      </c>
      <c r="AQ323" s="6">
        <v>5.52</v>
      </c>
      <c r="AR323" s="6">
        <v>6.19</v>
      </c>
      <c r="AS323" s="6">
        <v>5.84</v>
      </c>
      <c r="AT323" s="6">
        <v>6.81</v>
      </c>
      <c r="AU323" s="6">
        <v>9.1300000000000008</v>
      </c>
      <c r="AV323" s="6">
        <v>6.83</v>
      </c>
      <c r="AW323" s="6">
        <v>7.82</v>
      </c>
      <c r="AX323" s="6">
        <v>6.69</v>
      </c>
      <c r="AY323" s="6">
        <v>5.34</v>
      </c>
      <c r="AZ323" s="6">
        <v>5.8</v>
      </c>
      <c r="BA323" s="6">
        <v>4.87</v>
      </c>
      <c r="BB323" s="6">
        <v>7.8</v>
      </c>
      <c r="BC323" s="6">
        <f>6.75+0.43</f>
        <v>7.18</v>
      </c>
      <c r="BD323" s="6">
        <v>5.8</v>
      </c>
      <c r="BE323" s="6">
        <v>6.7</v>
      </c>
      <c r="BF323" s="6">
        <v>4.08</v>
      </c>
      <c r="BG323" s="6">
        <v>5.79</v>
      </c>
      <c r="BH323" s="6">
        <v>7.12</v>
      </c>
      <c r="BI323" s="6">
        <v>7.02</v>
      </c>
      <c r="BJ323" s="6">
        <v>5.31</v>
      </c>
      <c r="BK323" s="6">
        <v>5.94</v>
      </c>
      <c r="BL323" s="6">
        <v>7.82</v>
      </c>
      <c r="BM323" s="6">
        <v>6.53</v>
      </c>
      <c r="BN323" s="6">
        <v>6.16</v>
      </c>
      <c r="BO323" s="6">
        <v>6.21</v>
      </c>
      <c r="BP323" s="6">
        <v>6.98</v>
      </c>
      <c r="BQ323" s="6">
        <v>6.45</v>
      </c>
      <c r="BR323" s="6">
        <v>4.28</v>
      </c>
      <c r="BS323" s="6">
        <v>5.73</v>
      </c>
      <c r="BT323" s="6">
        <v>7.34</v>
      </c>
      <c r="BU323" s="6">
        <v>6.0699999999999994</v>
      </c>
      <c r="BV323" s="6">
        <v>5.9499999999999993</v>
      </c>
      <c r="BW323" s="6">
        <v>6.84</v>
      </c>
      <c r="BX323" s="6">
        <v>5.1499999999999995</v>
      </c>
      <c r="BY323" s="6">
        <v>6.1099999999999994</v>
      </c>
      <c r="BZ323" s="6">
        <v>6.52</v>
      </c>
      <c r="CA323" s="6">
        <v>5.9399999999999995</v>
      </c>
      <c r="CB323" s="6">
        <v>6.1499999999999995</v>
      </c>
      <c r="CC323" s="6">
        <v>6.35</v>
      </c>
      <c r="CD323" s="6">
        <v>6.76</v>
      </c>
      <c r="CE323" s="6">
        <v>7.97</v>
      </c>
      <c r="CF323" s="6">
        <v>4.16</v>
      </c>
      <c r="CG323" s="6">
        <v>3.93</v>
      </c>
      <c r="CH323" s="6"/>
    </row>
    <row r="324" spans="1:86" ht="15.75" customHeight="1" x14ac:dyDescent="0.25">
      <c r="A324" s="4">
        <v>322</v>
      </c>
      <c r="B324" s="2"/>
      <c r="C324" s="4">
        <v>18</v>
      </c>
      <c r="D324" s="6">
        <v>4.83</v>
      </c>
      <c r="E324" s="6">
        <v>5.73</v>
      </c>
      <c r="F324" s="6">
        <v>4.78</v>
      </c>
      <c r="G324" s="6">
        <v>5.43</v>
      </c>
      <c r="H324" s="6">
        <v>5.98</v>
      </c>
      <c r="I324" s="6">
        <v>6.03</v>
      </c>
      <c r="J324" s="6">
        <v>7.13</v>
      </c>
      <c r="K324" s="6">
        <v>4.78</v>
      </c>
      <c r="L324" s="6">
        <v>5.73</v>
      </c>
      <c r="M324" s="6">
        <v>5.98</v>
      </c>
      <c r="N324" s="6">
        <v>5.23</v>
      </c>
      <c r="O324" s="6">
        <v>8.43</v>
      </c>
      <c r="P324" s="6">
        <v>5.78</v>
      </c>
      <c r="Q324" s="6">
        <v>8.1300000000000008</v>
      </c>
      <c r="R324" s="6">
        <v>5.03</v>
      </c>
      <c r="S324" s="6">
        <v>5.0199999999999996</v>
      </c>
      <c r="T324" s="6">
        <v>6.53</v>
      </c>
      <c r="U324" s="6">
        <v>6.73</v>
      </c>
      <c r="V324" s="6">
        <v>6.91</v>
      </c>
      <c r="W324" s="6">
        <v>5.91</v>
      </c>
      <c r="X324" s="6">
        <v>5.01</v>
      </c>
      <c r="Y324" s="6">
        <v>4.83</v>
      </c>
      <c r="Z324" s="6">
        <v>6.23</v>
      </c>
      <c r="AA324" s="6">
        <v>5.85</v>
      </c>
      <c r="AB324" s="6">
        <v>5.28</v>
      </c>
      <c r="AC324" s="6">
        <v>6.67</v>
      </c>
      <c r="AD324" s="6">
        <v>5.98</v>
      </c>
      <c r="AE324" s="6">
        <v>7.77</v>
      </c>
      <c r="AF324" s="6">
        <v>6.83</v>
      </c>
      <c r="AG324" s="6">
        <v>6.84</v>
      </c>
      <c r="AH324" s="6">
        <v>7.47</v>
      </c>
      <c r="AI324" s="6">
        <v>6.68</v>
      </c>
      <c r="AJ324" s="6">
        <v>6.11</v>
      </c>
      <c r="AK324" s="6">
        <v>4.71</v>
      </c>
      <c r="AL324" s="6">
        <v>7.07</v>
      </c>
      <c r="AM324" s="6">
        <v>6.25</v>
      </c>
      <c r="AN324" s="6">
        <v>7.03</v>
      </c>
      <c r="AO324" s="6">
        <v>6.77</v>
      </c>
      <c r="AP324" s="6">
        <v>5.74</v>
      </c>
      <c r="AQ324" s="6">
        <v>5.31</v>
      </c>
      <c r="AR324" s="6">
        <v>6.04</v>
      </c>
      <c r="AS324" s="6">
        <v>5.78</v>
      </c>
      <c r="AT324" s="6">
        <v>6.7</v>
      </c>
      <c r="AU324" s="6">
        <v>9.1300000000000008</v>
      </c>
      <c r="AV324" s="6">
        <v>6.77</v>
      </c>
      <c r="AW324" s="6">
        <v>7.99</v>
      </c>
      <c r="AX324" s="6">
        <v>6.8</v>
      </c>
      <c r="AY324" s="6">
        <v>5.43</v>
      </c>
      <c r="AZ324" s="6">
        <v>5.63</v>
      </c>
      <c r="BA324" s="6">
        <v>4.84</v>
      </c>
      <c r="BB324" s="6">
        <v>7.84</v>
      </c>
      <c r="BC324" s="6">
        <f>6.67+0.43</f>
        <v>7.1</v>
      </c>
      <c r="BD324" s="6">
        <v>5.82</v>
      </c>
      <c r="BE324" s="6">
        <v>6.61</v>
      </c>
      <c r="BF324" s="6">
        <v>4.08</v>
      </c>
      <c r="BG324" s="6">
        <v>5.79</v>
      </c>
      <c r="BH324" s="6">
        <v>7.02</v>
      </c>
      <c r="BI324" s="6">
        <v>6.71</v>
      </c>
      <c r="BJ324" s="6">
        <v>5.23</v>
      </c>
      <c r="BK324" s="6">
        <v>5.92</v>
      </c>
      <c r="BL324" s="6">
        <v>7.77</v>
      </c>
      <c r="BM324" s="6">
        <v>6.53</v>
      </c>
      <c r="BN324" s="6">
        <v>6.29</v>
      </c>
      <c r="BO324" s="6">
        <v>6.23</v>
      </c>
      <c r="BP324" s="6">
        <v>6.84</v>
      </c>
      <c r="BQ324" s="6">
        <v>6.46</v>
      </c>
      <c r="BR324" s="6">
        <v>4.26</v>
      </c>
      <c r="BS324" s="6">
        <v>5.83</v>
      </c>
      <c r="BT324" s="6">
        <v>7.49</v>
      </c>
      <c r="BU324" s="6">
        <v>6.01</v>
      </c>
      <c r="BV324" s="6">
        <v>5.89</v>
      </c>
      <c r="BW324" s="6">
        <v>6.83</v>
      </c>
      <c r="BX324" s="6">
        <v>5.17</v>
      </c>
      <c r="BY324" s="6">
        <v>6.1099999999999994</v>
      </c>
      <c r="BZ324" s="6">
        <v>6.4799999999999995</v>
      </c>
      <c r="CA324" s="6">
        <v>5.8999999999999995</v>
      </c>
      <c r="CB324" s="6">
        <v>6.01</v>
      </c>
      <c r="CC324" s="6">
        <v>6.3999999999999995</v>
      </c>
      <c r="CD324" s="6">
        <v>6.6</v>
      </c>
      <c r="CE324" s="6">
        <v>7.92</v>
      </c>
      <c r="CF324" s="6">
        <v>4.12</v>
      </c>
      <c r="CG324" s="6">
        <v>3.93</v>
      </c>
      <c r="CH324" s="6"/>
    </row>
    <row r="325" spans="1:86" ht="15.75" customHeight="1" x14ac:dyDescent="0.25">
      <c r="A325" s="4">
        <v>323</v>
      </c>
      <c r="B325" s="2"/>
      <c r="C325" s="4">
        <v>19</v>
      </c>
      <c r="D325" s="6">
        <v>4.7300000000000004</v>
      </c>
      <c r="E325" s="6">
        <v>5.93</v>
      </c>
      <c r="F325" s="6">
        <v>4.7300000000000004</v>
      </c>
      <c r="G325" s="6">
        <v>5.33</v>
      </c>
      <c r="H325" s="6">
        <v>5.98</v>
      </c>
      <c r="I325" s="6">
        <v>6.18</v>
      </c>
      <c r="J325" s="6">
        <v>7.03</v>
      </c>
      <c r="K325" s="6">
        <v>4.7300000000000004</v>
      </c>
      <c r="L325" s="6">
        <v>5.73</v>
      </c>
      <c r="M325" s="6">
        <v>5.93</v>
      </c>
      <c r="N325" s="6">
        <v>5.21</v>
      </c>
      <c r="O325" s="6">
        <v>8.44</v>
      </c>
      <c r="P325" s="6">
        <v>5.78</v>
      </c>
      <c r="Q325" s="6">
        <v>8.0299999999999994</v>
      </c>
      <c r="R325" s="6">
        <v>5.03</v>
      </c>
      <c r="S325" s="6">
        <v>5</v>
      </c>
      <c r="T325" s="6">
        <v>6.43</v>
      </c>
      <c r="U325" s="6">
        <v>6.63</v>
      </c>
      <c r="V325" s="6">
        <v>6.91</v>
      </c>
      <c r="W325" s="6">
        <v>5.79</v>
      </c>
      <c r="X325" s="6">
        <v>5.01</v>
      </c>
      <c r="Y325" s="6">
        <v>4.83</v>
      </c>
      <c r="Z325" s="6">
        <v>6.38</v>
      </c>
      <c r="AA325" s="6">
        <v>5.91</v>
      </c>
      <c r="AB325" s="6">
        <v>5.13</v>
      </c>
      <c r="AC325" s="6">
        <v>6.55</v>
      </c>
      <c r="AD325" s="6">
        <v>5.9</v>
      </c>
      <c r="AE325" s="6">
        <v>7.46</v>
      </c>
      <c r="AF325" s="6">
        <v>6.87</v>
      </c>
      <c r="AG325" s="6">
        <v>6.79</v>
      </c>
      <c r="AH325" s="6">
        <v>7.41</v>
      </c>
      <c r="AI325" s="6">
        <v>6.55</v>
      </c>
      <c r="AJ325" s="6">
        <v>5.98</v>
      </c>
      <c r="AK325" s="6">
        <v>4.6100000000000003</v>
      </c>
      <c r="AL325" s="6">
        <v>6.97</v>
      </c>
      <c r="AM325" s="6">
        <v>6.31</v>
      </c>
      <c r="AN325" s="6">
        <v>6.95</v>
      </c>
      <c r="AO325" s="6">
        <v>6.96</v>
      </c>
      <c r="AP325" s="6">
        <v>5.73</v>
      </c>
      <c r="AQ325" s="6">
        <v>5.14</v>
      </c>
      <c r="AR325" s="6">
        <v>5.9</v>
      </c>
      <c r="AS325" s="6">
        <v>5.69</v>
      </c>
      <c r="AT325" s="6">
        <v>6.62</v>
      </c>
      <c r="AU325" s="6">
        <v>9.1300000000000008</v>
      </c>
      <c r="AV325" s="6">
        <v>6.66</v>
      </c>
      <c r="AW325" s="6">
        <v>8.07</v>
      </c>
      <c r="AX325" s="6">
        <v>6.74</v>
      </c>
      <c r="AY325" s="6">
        <v>5.35</v>
      </c>
      <c r="AZ325" s="6">
        <v>5.69</v>
      </c>
      <c r="BA325" s="6">
        <v>4.84</v>
      </c>
      <c r="BB325" s="6">
        <v>7.86</v>
      </c>
      <c r="BC325" s="6">
        <f>6.5+0.43</f>
        <v>6.93</v>
      </c>
      <c r="BD325" s="6">
        <v>5.85</v>
      </c>
      <c r="BE325" s="6">
        <v>6.61</v>
      </c>
      <c r="BF325" s="6">
        <v>4.13</v>
      </c>
      <c r="BG325" s="6">
        <v>5.79</v>
      </c>
      <c r="BH325" s="6">
        <v>6.78</v>
      </c>
      <c r="BI325" s="6">
        <v>6.71</v>
      </c>
      <c r="BJ325" s="6">
        <v>5.19</v>
      </c>
      <c r="BK325" s="6">
        <v>5.94</v>
      </c>
      <c r="BL325" s="6">
        <v>7.81</v>
      </c>
      <c r="BM325" s="6">
        <v>6.46</v>
      </c>
      <c r="BN325" s="6">
        <v>6.31</v>
      </c>
      <c r="BO325" s="6">
        <v>6.25</v>
      </c>
      <c r="BP325" s="6">
        <v>6.73</v>
      </c>
      <c r="BQ325" s="6">
        <v>6.47</v>
      </c>
      <c r="BR325" s="6">
        <v>4.2</v>
      </c>
      <c r="BS325" s="6">
        <v>5.78</v>
      </c>
      <c r="BT325" s="6">
        <v>7.49</v>
      </c>
      <c r="BU325" s="6">
        <v>5.91</v>
      </c>
      <c r="BV325" s="6">
        <v>5.89</v>
      </c>
      <c r="BW325" s="6">
        <v>6.81</v>
      </c>
      <c r="BX325" s="6">
        <v>5.17</v>
      </c>
      <c r="BY325" s="6">
        <v>5.99</v>
      </c>
      <c r="BZ325" s="6">
        <v>6.43</v>
      </c>
      <c r="CA325" s="6">
        <v>5.9499999999999993</v>
      </c>
      <c r="CB325" s="6">
        <v>6.0399999999999991</v>
      </c>
      <c r="CC325" s="6">
        <v>6.54</v>
      </c>
      <c r="CD325" s="6">
        <v>6.4399999999999995</v>
      </c>
      <c r="CE325" s="6">
        <v>7.9399999999999995</v>
      </c>
      <c r="CF325" s="6">
        <v>4.1500000000000004</v>
      </c>
      <c r="CG325" s="6">
        <v>3.89</v>
      </c>
      <c r="CH325" s="6"/>
    </row>
    <row r="326" spans="1:86" ht="15.75" customHeight="1" x14ac:dyDescent="0.25">
      <c r="A326" s="4">
        <v>324</v>
      </c>
      <c r="B326" s="2"/>
      <c r="C326" s="4">
        <v>20</v>
      </c>
      <c r="D326" s="6">
        <v>4.53</v>
      </c>
      <c r="E326" s="6">
        <v>6.03</v>
      </c>
      <c r="F326" s="6">
        <v>4.7300000000000004</v>
      </c>
      <c r="G326" s="6">
        <v>5.23</v>
      </c>
      <c r="H326" s="6">
        <v>5.93</v>
      </c>
      <c r="I326" s="6">
        <v>6.43</v>
      </c>
      <c r="J326" s="6">
        <v>6.98</v>
      </c>
      <c r="K326" s="6">
        <v>4.68</v>
      </c>
      <c r="L326" s="6">
        <v>5.63</v>
      </c>
      <c r="M326" s="6">
        <v>5.83</v>
      </c>
      <c r="N326" s="6">
        <v>5.13</v>
      </c>
      <c r="O326" s="6">
        <v>8.33</v>
      </c>
      <c r="P326" s="6">
        <v>5.68</v>
      </c>
      <c r="Q326" s="6">
        <v>8.08</v>
      </c>
      <c r="R326" s="6">
        <v>4.93</v>
      </c>
      <c r="S326" s="6">
        <v>4.8099999999999996</v>
      </c>
      <c r="T326" s="6">
        <v>6.38</v>
      </c>
      <c r="U326" s="6">
        <v>6.33</v>
      </c>
      <c r="V326" s="6">
        <v>6.88</v>
      </c>
      <c r="W326" s="6">
        <v>5.7</v>
      </c>
      <c r="X326" s="6">
        <v>5.01</v>
      </c>
      <c r="Y326" s="6">
        <v>4.75</v>
      </c>
      <c r="Z326" s="6">
        <v>6.43</v>
      </c>
      <c r="AA326" s="6">
        <v>5.88</v>
      </c>
      <c r="AB326" s="6">
        <v>4.9800000000000004</v>
      </c>
      <c r="AC326" s="6">
        <v>6.42</v>
      </c>
      <c r="AD326" s="6">
        <v>5.76</v>
      </c>
      <c r="AE326" s="6">
        <v>7</v>
      </c>
      <c r="AF326" s="6">
        <v>6.88</v>
      </c>
      <c r="AG326" s="6">
        <v>6.82</v>
      </c>
      <c r="AH326" s="6">
        <v>7.21</v>
      </c>
      <c r="AI326" s="6">
        <v>6.45</v>
      </c>
      <c r="AJ326" s="6">
        <v>5.84</v>
      </c>
      <c r="AK326" s="6">
        <v>4.57</v>
      </c>
      <c r="AL326" s="6">
        <v>6.93</v>
      </c>
      <c r="AM326" s="6">
        <v>6.18</v>
      </c>
      <c r="AN326" s="6">
        <v>6.87</v>
      </c>
      <c r="AO326" s="6">
        <v>7.04</v>
      </c>
      <c r="AP326" s="6">
        <v>5.56</v>
      </c>
      <c r="AQ326" s="6">
        <v>4.97</v>
      </c>
      <c r="AR326" s="6">
        <v>5.76</v>
      </c>
      <c r="AS326" s="6">
        <v>5.67</v>
      </c>
      <c r="AT326" s="6">
        <v>6.31</v>
      </c>
      <c r="AU326" s="6">
        <v>9.08</v>
      </c>
      <c r="AV326" s="6">
        <v>6.57</v>
      </c>
      <c r="AW326" s="6">
        <v>8.09</v>
      </c>
      <c r="AX326" s="6">
        <v>6.83</v>
      </c>
      <c r="AY326" s="6">
        <v>5.37</v>
      </c>
      <c r="AZ326" s="6">
        <v>5.71</v>
      </c>
      <c r="BA326" s="6">
        <v>4.8899999999999997</v>
      </c>
      <c r="BB326" s="6">
        <v>7.86</v>
      </c>
      <c r="BC326" s="6">
        <f>6.4+0.43</f>
        <v>6.83</v>
      </c>
      <c r="BD326" s="6">
        <v>5.85</v>
      </c>
      <c r="BE326" s="6">
        <v>6.86</v>
      </c>
      <c r="BF326" s="6">
        <v>4.1100000000000003</v>
      </c>
      <c r="BG326" s="6">
        <v>5.83</v>
      </c>
      <c r="BH326" s="6">
        <v>6.67</v>
      </c>
      <c r="BI326" s="6">
        <v>6.62</v>
      </c>
      <c r="BJ326" s="6">
        <v>5.25</v>
      </c>
      <c r="BK326" s="6">
        <v>6.02</v>
      </c>
      <c r="BL326" s="6">
        <v>7.79</v>
      </c>
      <c r="BM326" s="6">
        <v>6.43</v>
      </c>
      <c r="BN326" s="6">
        <v>6.38</v>
      </c>
      <c r="BO326" s="6">
        <v>6.26</v>
      </c>
      <c r="BP326" s="6">
        <v>6.7</v>
      </c>
      <c r="BQ326" s="6">
        <v>6.49</v>
      </c>
      <c r="BR326" s="6">
        <v>4.1900000000000004</v>
      </c>
      <c r="BS326" s="6">
        <v>5.86</v>
      </c>
      <c r="BT326" s="6">
        <v>7.38</v>
      </c>
      <c r="BU326" s="6">
        <v>5.81</v>
      </c>
      <c r="BV326" s="6">
        <v>5.8999999999999995</v>
      </c>
      <c r="BW326" s="6">
        <v>6.6999999999999993</v>
      </c>
      <c r="BX326" s="6">
        <v>5.14</v>
      </c>
      <c r="BY326" s="6">
        <v>5.9</v>
      </c>
      <c r="BZ326" s="6">
        <v>6.3599999999999994</v>
      </c>
      <c r="CA326" s="6">
        <v>5.8999999999999995</v>
      </c>
      <c r="CB326" s="6">
        <v>5.9799999999999995</v>
      </c>
      <c r="CC326" s="6">
        <v>6.64</v>
      </c>
      <c r="CD326" s="6">
        <v>6.31</v>
      </c>
      <c r="CE326" s="6">
        <v>7.7399999999999993</v>
      </c>
      <c r="CF326" s="6">
        <v>4.16</v>
      </c>
      <c r="CG326" s="6">
        <v>3.87</v>
      </c>
      <c r="CH326" s="6"/>
    </row>
    <row r="327" spans="1:86" ht="15.75" customHeight="1" x14ac:dyDescent="0.25">
      <c r="A327" s="4">
        <v>325</v>
      </c>
      <c r="B327" s="2"/>
      <c r="C327" s="4">
        <v>21</v>
      </c>
      <c r="D327" s="6">
        <v>4.38</v>
      </c>
      <c r="E327" s="6">
        <v>5.98</v>
      </c>
      <c r="F327" s="6">
        <v>4.7300000000000004</v>
      </c>
      <c r="G327" s="6">
        <v>5.23</v>
      </c>
      <c r="H327" s="6">
        <v>5.83</v>
      </c>
      <c r="I327" s="6">
        <v>6.58</v>
      </c>
      <c r="J327" s="6">
        <v>6.93</v>
      </c>
      <c r="K327" s="6">
        <v>4.63</v>
      </c>
      <c r="L327" s="6">
        <v>5.53</v>
      </c>
      <c r="M327" s="6">
        <v>5.73</v>
      </c>
      <c r="N327" s="6">
        <v>5.03</v>
      </c>
      <c r="O327" s="6">
        <v>8.23</v>
      </c>
      <c r="P327" s="6">
        <v>5.61</v>
      </c>
      <c r="Q327" s="6">
        <v>7.9</v>
      </c>
      <c r="R327" s="6">
        <v>4.88</v>
      </c>
      <c r="S327" s="6">
        <v>4.68</v>
      </c>
      <c r="T327" s="6">
        <v>6.38</v>
      </c>
      <c r="U327" s="6">
        <v>6.43</v>
      </c>
      <c r="V327" s="6">
        <v>6.83</v>
      </c>
      <c r="W327" s="6">
        <v>5.58</v>
      </c>
      <c r="X327" s="6">
        <v>4.93</v>
      </c>
      <c r="Y327" s="6">
        <v>4.67</v>
      </c>
      <c r="Z327" s="6">
        <v>6.48</v>
      </c>
      <c r="AA327" s="6">
        <v>5.9</v>
      </c>
      <c r="AB327" s="6">
        <v>4.8099999999999996</v>
      </c>
      <c r="AC327" s="6">
        <v>6.31</v>
      </c>
      <c r="AD327" s="6">
        <v>5.65</v>
      </c>
      <c r="AE327" s="6">
        <v>6.66</v>
      </c>
      <c r="AF327" s="6">
        <v>6.85</v>
      </c>
      <c r="AG327" s="6">
        <v>6.7</v>
      </c>
      <c r="AH327" s="6">
        <v>7.11</v>
      </c>
      <c r="AI327" s="6">
        <v>6.48</v>
      </c>
      <c r="AJ327" s="6">
        <v>5.75</v>
      </c>
      <c r="AK327" s="6">
        <v>4.55</v>
      </c>
      <c r="AL327" s="6">
        <v>6.9</v>
      </c>
      <c r="AM327" s="6">
        <v>6.11</v>
      </c>
      <c r="AN327" s="6">
        <v>6.71</v>
      </c>
      <c r="AO327" s="6">
        <v>7.09</v>
      </c>
      <c r="AP327" s="6">
        <v>5.3</v>
      </c>
      <c r="AQ327" s="6">
        <v>4.79</v>
      </c>
      <c r="AR327" s="6">
        <v>5.62</v>
      </c>
      <c r="AS327" s="6">
        <v>5.67</v>
      </c>
      <c r="AT327" s="6">
        <v>6.39</v>
      </c>
      <c r="AU327" s="6">
        <v>8.98</v>
      </c>
      <c r="AV327" s="6">
        <v>6.45</v>
      </c>
      <c r="AW327" s="6">
        <v>8.07</v>
      </c>
      <c r="AX327" s="6">
        <v>6.83</v>
      </c>
      <c r="AY327" s="6">
        <v>5.26</v>
      </c>
      <c r="AZ327" s="6">
        <v>5.69</v>
      </c>
      <c r="BA327" s="6">
        <v>4.93</v>
      </c>
      <c r="BB327" s="6">
        <v>7.86</v>
      </c>
      <c r="BC327" s="6">
        <f t="shared" ref="BC327:BC328" si="20">6.27+0.43</f>
        <v>6.6999999999999993</v>
      </c>
      <c r="BD327" s="6">
        <v>6.03</v>
      </c>
      <c r="BE327" s="6">
        <v>6.67</v>
      </c>
      <c r="BF327" s="6">
        <v>4.08</v>
      </c>
      <c r="BG327" s="6">
        <v>5.85</v>
      </c>
      <c r="BH327" s="6">
        <v>6.5</v>
      </c>
      <c r="BI327" s="6">
        <v>6.62</v>
      </c>
      <c r="BJ327" s="6">
        <v>5.25</v>
      </c>
      <c r="BK327" s="6">
        <v>6.07</v>
      </c>
      <c r="BL327" s="6">
        <v>7.71</v>
      </c>
      <c r="BM327" s="6">
        <v>6.32</v>
      </c>
      <c r="BN327" s="6">
        <v>6.28</v>
      </c>
      <c r="BO327" s="6">
        <v>6.27</v>
      </c>
      <c r="BP327" s="6">
        <v>6.63</v>
      </c>
      <c r="BQ327" s="6">
        <v>6.46</v>
      </c>
      <c r="BR327" s="6">
        <v>4.17</v>
      </c>
      <c r="BS327" s="6">
        <v>5.92</v>
      </c>
      <c r="BT327" s="6">
        <v>7.19</v>
      </c>
      <c r="BU327" s="6">
        <v>5.7399999999999993</v>
      </c>
      <c r="BV327" s="6">
        <v>5.87</v>
      </c>
      <c r="BW327" s="6">
        <v>6.63</v>
      </c>
      <c r="BX327" s="6">
        <v>5.17</v>
      </c>
      <c r="BY327" s="6">
        <v>5.88</v>
      </c>
      <c r="BZ327" s="6">
        <v>6.26</v>
      </c>
      <c r="CA327" s="6">
        <v>5.9799999999999995</v>
      </c>
      <c r="CB327" s="6">
        <v>5.83</v>
      </c>
      <c r="CC327" s="6">
        <v>6.62</v>
      </c>
      <c r="CD327" s="6">
        <v>6.1099999999999994</v>
      </c>
      <c r="CE327" s="6">
        <v>7.68</v>
      </c>
      <c r="CF327" s="6">
        <v>4.17</v>
      </c>
      <c r="CG327" s="6">
        <v>3.81</v>
      </c>
      <c r="CH327" s="6"/>
    </row>
    <row r="328" spans="1:86" ht="15.75" customHeight="1" x14ac:dyDescent="0.25">
      <c r="A328" s="4">
        <v>326</v>
      </c>
      <c r="B328" s="2"/>
      <c r="C328" s="4">
        <v>22</v>
      </c>
      <c r="D328" s="6">
        <v>4.2300000000000004</v>
      </c>
      <c r="E328" s="6">
        <v>5.88</v>
      </c>
      <c r="F328" s="6">
        <v>4.7300000000000004</v>
      </c>
      <c r="G328" s="6">
        <v>5.13</v>
      </c>
      <c r="H328" s="6">
        <v>5.73</v>
      </c>
      <c r="I328" s="6">
        <v>6.73</v>
      </c>
      <c r="J328" s="6">
        <v>6.93</v>
      </c>
      <c r="K328" s="6">
        <v>4.58</v>
      </c>
      <c r="L328" s="6">
        <v>5.53</v>
      </c>
      <c r="M328" s="6">
        <v>5.63</v>
      </c>
      <c r="N328" s="6">
        <v>4.93</v>
      </c>
      <c r="O328" s="6">
        <v>8.1300000000000008</v>
      </c>
      <c r="P328" s="6">
        <v>5.63</v>
      </c>
      <c r="Q328" s="6">
        <v>7.83</v>
      </c>
      <c r="R328" s="6">
        <v>4.83</v>
      </c>
      <c r="S328" s="6">
        <v>4.55</v>
      </c>
      <c r="T328" s="6">
        <v>6.33</v>
      </c>
      <c r="U328" s="6">
        <v>6.33</v>
      </c>
      <c r="V328" s="6">
        <v>6.78</v>
      </c>
      <c r="W328" s="6">
        <v>5.43</v>
      </c>
      <c r="X328" s="6">
        <v>4.8099999999999996</v>
      </c>
      <c r="Y328" s="6">
        <v>4.53</v>
      </c>
      <c r="Z328" s="6">
        <v>6.51</v>
      </c>
      <c r="AA328" s="6">
        <v>5.89</v>
      </c>
      <c r="AB328" s="6">
        <v>4.6500000000000004</v>
      </c>
      <c r="AC328" s="6">
        <v>6.19</v>
      </c>
      <c r="AD328" s="6">
        <v>5.58</v>
      </c>
      <c r="AE328" s="6">
        <v>6.43</v>
      </c>
      <c r="AF328" s="6">
        <v>6.78</v>
      </c>
      <c r="AG328" s="6">
        <v>6.88</v>
      </c>
      <c r="AH328" s="6">
        <v>6.91</v>
      </c>
      <c r="AI328" s="6">
        <v>6.54</v>
      </c>
      <c r="AJ328" s="6">
        <v>5.68</v>
      </c>
      <c r="AK328" s="6">
        <v>4.53</v>
      </c>
      <c r="AL328" s="6">
        <v>6.89</v>
      </c>
      <c r="AM328" s="6">
        <v>5.9</v>
      </c>
      <c r="AN328" s="6">
        <v>6.6</v>
      </c>
      <c r="AO328" s="6">
        <v>7.13</v>
      </c>
      <c r="AP328" s="6">
        <v>5.28</v>
      </c>
      <c r="AQ328" s="6">
        <v>4.62</v>
      </c>
      <c r="AR328" s="6">
        <v>5.47</v>
      </c>
      <c r="AS328" s="6">
        <v>5.65</v>
      </c>
      <c r="AT328" s="6">
        <v>6.29</v>
      </c>
      <c r="AU328" s="6">
        <v>8.99</v>
      </c>
      <c r="AV328" s="6">
        <v>6.28</v>
      </c>
      <c r="AW328" s="6">
        <v>7.98</v>
      </c>
      <c r="AX328" s="6">
        <v>6.74</v>
      </c>
      <c r="AY328" s="6">
        <v>5.03</v>
      </c>
      <c r="AZ328" s="6">
        <v>5.69</v>
      </c>
      <c r="BA328" s="6">
        <v>4.91</v>
      </c>
      <c r="BB328" s="6">
        <v>7.5</v>
      </c>
      <c r="BC328" s="6">
        <f t="shared" si="20"/>
        <v>6.6999999999999993</v>
      </c>
      <c r="BD328" s="6">
        <v>6.12</v>
      </c>
      <c r="BE328" s="6">
        <v>6.73</v>
      </c>
      <c r="BF328" s="6">
        <v>4.0199999999999996</v>
      </c>
      <c r="BG328" s="6">
        <v>5.85</v>
      </c>
      <c r="BH328" s="6">
        <v>6.31</v>
      </c>
      <c r="BI328" s="6">
        <v>6.62</v>
      </c>
      <c r="BJ328" s="6">
        <v>5.19</v>
      </c>
      <c r="BK328" s="6">
        <v>6.11</v>
      </c>
      <c r="BL328" s="6">
        <v>7.71</v>
      </c>
      <c r="BM328" s="6">
        <v>6.23</v>
      </c>
      <c r="BN328" s="6">
        <v>6.45</v>
      </c>
      <c r="BO328" s="6">
        <v>6.29</v>
      </c>
      <c r="BP328" s="6">
        <v>6.54</v>
      </c>
      <c r="BQ328" s="6">
        <v>6.47</v>
      </c>
      <c r="BR328" s="6">
        <v>4.13</v>
      </c>
      <c r="BS328" s="6">
        <v>5.97</v>
      </c>
      <c r="BT328" s="6">
        <v>7.16</v>
      </c>
      <c r="BU328" s="6">
        <v>5.63</v>
      </c>
      <c r="BV328" s="6">
        <v>5.7399999999999993</v>
      </c>
      <c r="BW328" s="6">
        <v>6.5699999999999994</v>
      </c>
      <c r="BX328" s="6">
        <v>5.1099999999999994</v>
      </c>
      <c r="BY328" s="6">
        <v>5.85</v>
      </c>
      <c r="BZ328" s="6">
        <v>6.14</v>
      </c>
      <c r="CA328" s="6">
        <v>5.98</v>
      </c>
      <c r="CB328" s="6">
        <v>5.74</v>
      </c>
      <c r="CC328" s="6">
        <v>6.72</v>
      </c>
      <c r="CD328" s="6">
        <v>5.9399999999999995</v>
      </c>
      <c r="CE328" s="6">
        <v>7.96</v>
      </c>
      <c r="CF328" s="6">
        <v>4.2</v>
      </c>
      <c r="CG328" s="6">
        <v>3.81</v>
      </c>
      <c r="CH328" s="6"/>
    </row>
    <row r="329" spans="1:86" ht="15.75" customHeight="1" x14ac:dyDescent="0.25">
      <c r="A329" s="4">
        <v>327</v>
      </c>
      <c r="B329" s="2"/>
      <c r="C329" s="4">
        <v>23</v>
      </c>
      <c r="D329" s="6">
        <v>4.08</v>
      </c>
      <c r="E329" s="6">
        <v>5.78</v>
      </c>
      <c r="F329" s="6">
        <v>4.7300000000000004</v>
      </c>
      <c r="G329" s="6">
        <v>5.13</v>
      </c>
      <c r="H329" s="6">
        <v>5.58</v>
      </c>
      <c r="I329" s="6">
        <v>6.73</v>
      </c>
      <c r="J329" s="6">
        <v>6.83</v>
      </c>
      <c r="K329" s="6">
        <v>4.68</v>
      </c>
      <c r="L329" s="6">
        <v>5.53</v>
      </c>
      <c r="M329" s="6">
        <v>5.58</v>
      </c>
      <c r="N329" s="6">
        <v>4.83</v>
      </c>
      <c r="O329" s="6">
        <v>8.0299999999999994</v>
      </c>
      <c r="P329" s="6">
        <v>5.61</v>
      </c>
      <c r="Q329" s="6">
        <v>7.73</v>
      </c>
      <c r="R329" s="6">
        <v>4.83</v>
      </c>
      <c r="S329" s="6">
        <v>4.43</v>
      </c>
      <c r="T329" s="6">
        <v>6.23</v>
      </c>
      <c r="U329" s="6">
        <v>6.23</v>
      </c>
      <c r="V329" s="6">
        <v>6.73</v>
      </c>
      <c r="W329" s="6">
        <v>5.33</v>
      </c>
      <c r="X329" s="6">
        <v>4.67</v>
      </c>
      <c r="Y329" s="6">
        <v>4.41</v>
      </c>
      <c r="Z329" s="6">
        <v>6.45</v>
      </c>
      <c r="AA329" s="6">
        <v>5.93</v>
      </c>
      <c r="AB329" s="6">
        <v>4.49</v>
      </c>
      <c r="AC329" s="6">
        <v>6.29</v>
      </c>
      <c r="AD329" s="6">
        <v>5.54</v>
      </c>
      <c r="AE329" s="6">
        <v>6.24</v>
      </c>
      <c r="AF329" s="6">
        <v>6.73</v>
      </c>
      <c r="AG329" s="6">
        <v>6.34</v>
      </c>
      <c r="AH329" s="6">
        <v>6.84</v>
      </c>
      <c r="AI329" s="6">
        <v>6.6</v>
      </c>
      <c r="AJ329" s="6">
        <v>5.62</v>
      </c>
      <c r="AK329" s="6">
        <v>4.45</v>
      </c>
      <c r="AL329" s="6">
        <v>6.78</v>
      </c>
      <c r="AM329" s="6">
        <v>5.9</v>
      </c>
      <c r="AN329" s="6">
        <v>6.67</v>
      </c>
      <c r="AO329" s="6">
        <v>7.15</v>
      </c>
      <c r="AP329" s="6">
        <v>5.2</v>
      </c>
      <c r="AQ329" s="6">
        <v>4.4800000000000004</v>
      </c>
      <c r="AR329" s="6">
        <v>5.34</v>
      </c>
      <c r="AS329" s="6">
        <v>5.63</v>
      </c>
      <c r="AT329" s="6">
        <v>6.11</v>
      </c>
      <c r="AU329" s="6">
        <v>8.93</v>
      </c>
      <c r="AV329" s="6">
        <v>6.09</v>
      </c>
      <c r="AW329" s="6">
        <v>7.73</v>
      </c>
      <c r="AX329" s="6">
        <v>6.71</v>
      </c>
      <c r="AY329" s="6">
        <v>5.03</v>
      </c>
      <c r="AZ329" s="6">
        <v>5.65</v>
      </c>
      <c r="BA329" s="6">
        <v>4.87</v>
      </c>
      <c r="BB329" s="6">
        <v>7.77</v>
      </c>
      <c r="BC329" s="6">
        <f>6.2+0.43</f>
        <v>6.63</v>
      </c>
      <c r="BD329" s="6">
        <v>6.1</v>
      </c>
      <c r="BE329" s="6">
        <v>6.55</v>
      </c>
      <c r="BF329" s="6">
        <v>3.93</v>
      </c>
      <c r="BG329" s="6">
        <v>5.73</v>
      </c>
      <c r="BH329" s="6">
        <v>6.31</v>
      </c>
      <c r="BI329" s="6">
        <v>6.6</v>
      </c>
      <c r="BJ329" s="6">
        <v>5.17</v>
      </c>
      <c r="BK329" s="6">
        <v>6.14</v>
      </c>
      <c r="BL329" s="6">
        <v>7.59</v>
      </c>
      <c r="BM329" s="6">
        <v>6.23</v>
      </c>
      <c r="BN329" s="6">
        <v>6.44</v>
      </c>
      <c r="BO329" s="6">
        <v>6.21</v>
      </c>
      <c r="BP329" s="6">
        <v>6.48</v>
      </c>
      <c r="BQ329" s="6">
        <v>6.41</v>
      </c>
      <c r="BR329" s="6">
        <v>3.98</v>
      </c>
      <c r="BS329" s="6">
        <v>6.09</v>
      </c>
      <c r="BT329" s="6">
        <v>7.42</v>
      </c>
      <c r="BU329" s="6">
        <v>5.5</v>
      </c>
      <c r="BV329" s="6">
        <v>5.6999999999999993</v>
      </c>
      <c r="BW329" s="6">
        <v>6.51</v>
      </c>
      <c r="BX329" s="6">
        <v>5.12</v>
      </c>
      <c r="BY329" s="6">
        <v>5.84</v>
      </c>
      <c r="BZ329" s="6">
        <v>6.07</v>
      </c>
      <c r="CA329" s="6">
        <v>5.88</v>
      </c>
      <c r="CB329" s="6">
        <v>5.79</v>
      </c>
      <c r="CC329" s="6">
        <v>6.7399999999999993</v>
      </c>
      <c r="CD329" s="6">
        <v>5.8199999999999994</v>
      </c>
      <c r="CE329" s="6">
        <v>8.1</v>
      </c>
      <c r="CF329" s="6">
        <v>4.22</v>
      </c>
      <c r="CG329" s="6">
        <v>3.82</v>
      </c>
      <c r="CH329" s="6"/>
    </row>
    <row r="330" spans="1:86" ht="15.75" customHeight="1" x14ac:dyDescent="0.25">
      <c r="A330" s="4">
        <v>328</v>
      </c>
      <c r="B330" s="2"/>
      <c r="C330" s="4">
        <v>24</v>
      </c>
      <c r="D330" s="6">
        <v>4.03</v>
      </c>
      <c r="E330" s="6">
        <v>5.68</v>
      </c>
      <c r="F330" s="6">
        <v>4.78</v>
      </c>
      <c r="G330" s="6">
        <v>5.13</v>
      </c>
      <c r="H330" s="6">
        <v>5.43</v>
      </c>
      <c r="I330" s="6">
        <v>6.73</v>
      </c>
      <c r="J330" s="6">
        <v>6.83</v>
      </c>
      <c r="K330" s="6">
        <v>4.83</v>
      </c>
      <c r="L330" s="6">
        <v>5.53</v>
      </c>
      <c r="M330" s="6">
        <v>5.53</v>
      </c>
      <c r="N330" s="6">
        <v>4.78</v>
      </c>
      <c r="O330" s="6">
        <v>7.89</v>
      </c>
      <c r="P330" s="6">
        <v>5.58</v>
      </c>
      <c r="Q330" s="6">
        <v>7.63</v>
      </c>
      <c r="R330" s="6">
        <v>4.83</v>
      </c>
      <c r="S330" s="6">
        <v>4.38</v>
      </c>
      <c r="T330" s="6">
        <v>6.2</v>
      </c>
      <c r="U330" s="6">
        <v>6.03</v>
      </c>
      <c r="V330" s="6">
        <v>6.63</v>
      </c>
      <c r="W330" s="6">
        <v>5.28</v>
      </c>
      <c r="X330" s="6">
        <v>4.63</v>
      </c>
      <c r="Y330" s="6">
        <v>4.33</v>
      </c>
      <c r="Z330" s="6">
        <v>6.36</v>
      </c>
      <c r="AA330" s="6">
        <v>5.82</v>
      </c>
      <c r="AB330" s="6">
        <v>4.33</v>
      </c>
      <c r="AC330" s="6">
        <v>6.46</v>
      </c>
      <c r="AD330" s="6">
        <v>5.5</v>
      </c>
      <c r="AE330" s="6">
        <v>6.13</v>
      </c>
      <c r="AF330" s="6">
        <v>6.67</v>
      </c>
      <c r="AG330" s="6">
        <v>6.35</v>
      </c>
      <c r="AH330" s="6">
        <v>6.78</v>
      </c>
      <c r="AI330" s="6">
        <v>6.48</v>
      </c>
      <c r="AJ330" s="6">
        <v>5.6</v>
      </c>
      <c r="AK330" s="6">
        <v>4.3899999999999997</v>
      </c>
      <c r="AL330" s="6">
        <v>6.7</v>
      </c>
      <c r="AM330" s="6">
        <v>5.85</v>
      </c>
      <c r="AN330" s="6">
        <v>6.66</v>
      </c>
      <c r="AO330" s="6">
        <v>7.09</v>
      </c>
      <c r="AP330" s="6">
        <v>5.1100000000000003</v>
      </c>
      <c r="AQ330" s="6">
        <v>4.4000000000000004</v>
      </c>
      <c r="AR330" s="6">
        <v>5.16</v>
      </c>
      <c r="AS330" s="6">
        <v>5.6</v>
      </c>
      <c r="AT330" s="6">
        <v>6</v>
      </c>
      <c r="AU330" s="6">
        <v>9.1300000000000008</v>
      </c>
      <c r="AV330" s="6">
        <v>5.99</v>
      </c>
      <c r="AW330" s="6">
        <v>7.82</v>
      </c>
      <c r="AX330" s="6">
        <v>6.56</v>
      </c>
      <c r="AY330" s="6">
        <v>4.93</v>
      </c>
      <c r="AZ330" s="6">
        <v>5.55</v>
      </c>
      <c r="BA330" s="6">
        <v>4.96</v>
      </c>
      <c r="BB330" s="6">
        <v>7.45</v>
      </c>
      <c r="BC330" s="6">
        <f>6.1+0.43</f>
        <v>6.5299999999999994</v>
      </c>
      <c r="BD330" s="6">
        <v>6.07</v>
      </c>
      <c r="BE330" s="6">
        <v>6.61</v>
      </c>
      <c r="BF330" s="6">
        <v>3.87</v>
      </c>
      <c r="BG330" s="6">
        <v>5.67</v>
      </c>
      <c r="BH330" s="6">
        <v>6.2</v>
      </c>
      <c r="BI330" s="6">
        <v>6.44</v>
      </c>
      <c r="BJ330" s="6">
        <v>5.14</v>
      </c>
      <c r="BK330" s="6">
        <v>6.15</v>
      </c>
      <c r="BL330" s="6">
        <v>7.53</v>
      </c>
      <c r="BM330" s="6">
        <v>6.17</v>
      </c>
      <c r="BN330" s="6">
        <v>6.62</v>
      </c>
      <c r="BO330" s="6">
        <v>6.19</v>
      </c>
      <c r="BP330" s="6">
        <v>6.36</v>
      </c>
      <c r="BQ330" s="6">
        <v>6.41</v>
      </c>
      <c r="BR330" s="6">
        <v>3.85</v>
      </c>
      <c r="BS330" s="6">
        <v>6.15</v>
      </c>
      <c r="BT330" s="6">
        <v>7.5</v>
      </c>
      <c r="BU330" s="6">
        <v>5.41</v>
      </c>
      <c r="BV330" s="6">
        <v>5.6099999999999994</v>
      </c>
      <c r="BW330" s="6">
        <v>6.3</v>
      </c>
      <c r="BX330" s="6">
        <v>5.13</v>
      </c>
      <c r="BY330" s="6">
        <v>5.84</v>
      </c>
      <c r="BZ330" s="6">
        <v>5.83</v>
      </c>
      <c r="CA330" s="6">
        <v>5.6999999999999993</v>
      </c>
      <c r="CB330" s="6">
        <v>5.92</v>
      </c>
      <c r="CC330" s="6">
        <v>6.52</v>
      </c>
      <c r="CD330" s="6">
        <v>5.68</v>
      </c>
      <c r="CE330" s="6">
        <v>8.11</v>
      </c>
      <c r="CF330" s="6">
        <v>4.12</v>
      </c>
      <c r="CG330" s="6">
        <v>3.82</v>
      </c>
      <c r="CH330" s="6"/>
    </row>
    <row r="331" spans="1:86" ht="15.75" customHeight="1" x14ac:dyDescent="0.25">
      <c r="A331" s="4">
        <v>329</v>
      </c>
      <c r="B331" s="2"/>
      <c r="C331" s="4">
        <v>25</v>
      </c>
      <c r="D331" s="6">
        <v>3.93</v>
      </c>
      <c r="E331" s="6">
        <v>5.63</v>
      </c>
      <c r="F331" s="6">
        <v>4.78</v>
      </c>
      <c r="G331" s="6">
        <v>5.13</v>
      </c>
      <c r="H331" s="6">
        <v>5.23</v>
      </c>
      <c r="I331" s="6">
        <v>6.58</v>
      </c>
      <c r="J331" s="6">
        <v>6.93</v>
      </c>
      <c r="K331" s="6">
        <v>4.68</v>
      </c>
      <c r="L331" s="6">
        <v>5.48</v>
      </c>
      <c r="M331" s="6">
        <v>5.48</v>
      </c>
      <c r="N331" s="6">
        <v>5.13</v>
      </c>
      <c r="O331" s="6">
        <v>7.81</v>
      </c>
      <c r="P331" s="6">
        <v>5.53</v>
      </c>
      <c r="Q331" s="6">
        <v>7.23</v>
      </c>
      <c r="R331" s="6">
        <v>4.78</v>
      </c>
      <c r="S331" s="6">
        <v>4.28</v>
      </c>
      <c r="T331" s="6">
        <v>6.18</v>
      </c>
      <c r="U331" s="6">
        <v>5.81</v>
      </c>
      <c r="V331" s="6">
        <v>6.61</v>
      </c>
      <c r="W331" s="6">
        <v>5.23</v>
      </c>
      <c r="X331" s="6">
        <v>4.55</v>
      </c>
      <c r="Y331" s="6">
        <v>4.25</v>
      </c>
      <c r="Z331" s="6">
        <v>6.23</v>
      </c>
      <c r="AA331" s="6">
        <v>5.64</v>
      </c>
      <c r="AB331" s="6">
        <v>4.22</v>
      </c>
      <c r="AC331" s="6">
        <v>6.44</v>
      </c>
      <c r="AD331" s="6">
        <v>5.49</v>
      </c>
      <c r="AE331" s="6">
        <v>6.08</v>
      </c>
      <c r="AF331" s="6">
        <v>6.79</v>
      </c>
      <c r="AG331" s="6">
        <v>6.37</v>
      </c>
      <c r="AH331" s="6">
        <v>6.73</v>
      </c>
      <c r="AI331" s="6">
        <v>6.41</v>
      </c>
      <c r="AJ331" s="6">
        <v>5.52</v>
      </c>
      <c r="AK331" s="6">
        <v>4.25</v>
      </c>
      <c r="AL331" s="6">
        <v>6.8</v>
      </c>
      <c r="AM331" s="6">
        <v>5.79</v>
      </c>
      <c r="AN331" s="6">
        <v>6.61</v>
      </c>
      <c r="AO331" s="6">
        <v>6.94</v>
      </c>
      <c r="AP331" s="6">
        <v>4.97</v>
      </c>
      <c r="AQ331" s="6">
        <v>4.3</v>
      </c>
      <c r="AR331" s="6">
        <v>5.01</v>
      </c>
      <c r="AS331" s="6">
        <v>5.56</v>
      </c>
      <c r="AT331" s="6">
        <v>5.91</v>
      </c>
      <c r="AU331" s="6">
        <v>9.0299999999999994</v>
      </c>
      <c r="AV331" s="6">
        <v>5.89</v>
      </c>
      <c r="AW331" s="6">
        <v>7.9</v>
      </c>
      <c r="AX331" s="6">
        <v>6.47</v>
      </c>
      <c r="AY331" s="6">
        <v>4.83</v>
      </c>
      <c r="AZ331" s="6">
        <v>5.43</v>
      </c>
      <c r="BA331" s="6">
        <v>4.99</v>
      </c>
      <c r="BB331" s="6">
        <v>7.25</v>
      </c>
      <c r="BC331" s="6">
        <f>6.07+0.43</f>
        <v>6.5</v>
      </c>
      <c r="BD331" s="6">
        <v>6.11</v>
      </c>
      <c r="BE331" s="6">
        <v>6.67</v>
      </c>
      <c r="BF331" s="6">
        <v>3.87</v>
      </c>
      <c r="BG331" s="6">
        <v>5.61</v>
      </c>
      <c r="BH331" s="6">
        <v>6.04</v>
      </c>
      <c r="BI331" s="6">
        <v>6.24</v>
      </c>
      <c r="BJ331" s="6">
        <v>5.07</v>
      </c>
      <c r="BK331" s="6">
        <v>6.08</v>
      </c>
      <c r="BL331" s="6">
        <v>7.44</v>
      </c>
      <c r="BM331" s="6">
        <v>6.11</v>
      </c>
      <c r="BN331" s="6">
        <v>6.62</v>
      </c>
      <c r="BO331" s="6">
        <v>6.19</v>
      </c>
      <c r="BP331" s="6">
        <v>6.26</v>
      </c>
      <c r="BQ331" s="6">
        <v>6.5</v>
      </c>
      <c r="BR331" s="6">
        <v>3.85</v>
      </c>
      <c r="BS331" s="6">
        <v>6.23</v>
      </c>
      <c r="BT331" s="6">
        <v>7.56</v>
      </c>
      <c r="BU331" s="6">
        <v>5.3199999999999994</v>
      </c>
      <c r="BV331" s="6">
        <v>5.54</v>
      </c>
      <c r="BW331" s="6">
        <v>6.27</v>
      </c>
      <c r="BX331" s="6">
        <v>5.14</v>
      </c>
      <c r="BY331" s="6">
        <v>5.84</v>
      </c>
      <c r="BZ331" s="6">
        <v>5.67</v>
      </c>
      <c r="CA331" s="6">
        <v>5.62</v>
      </c>
      <c r="CB331" s="6">
        <v>6.17</v>
      </c>
      <c r="CC331" s="6">
        <v>6.37</v>
      </c>
      <c r="CD331" s="6">
        <v>5.59</v>
      </c>
      <c r="CE331" s="6">
        <v>8.1999999999999993</v>
      </c>
      <c r="CF331" s="6">
        <v>4.1100000000000003</v>
      </c>
      <c r="CG331" s="6">
        <v>3.84</v>
      </c>
      <c r="CH331" s="6"/>
    </row>
    <row r="332" spans="1:86" ht="15.75" customHeight="1" x14ac:dyDescent="0.25">
      <c r="A332" s="4">
        <v>330</v>
      </c>
      <c r="B332" s="2"/>
      <c r="C332" s="4">
        <v>26</v>
      </c>
      <c r="D332" s="6">
        <v>3.73</v>
      </c>
      <c r="E332" s="6">
        <v>5.53</v>
      </c>
      <c r="F332" s="6">
        <v>4.7300000000000004</v>
      </c>
      <c r="G332" s="6">
        <v>5.18</v>
      </c>
      <c r="H332" s="6">
        <v>5.18</v>
      </c>
      <c r="I332" s="6">
        <v>6.43</v>
      </c>
      <c r="J332" s="6">
        <v>6.93</v>
      </c>
      <c r="K332" s="6">
        <v>4.7300000000000004</v>
      </c>
      <c r="L332" s="6">
        <v>5.33</v>
      </c>
      <c r="M332" s="6">
        <v>5.43</v>
      </c>
      <c r="N332" s="6">
        <v>5.33</v>
      </c>
      <c r="O332" s="6">
        <v>7.78</v>
      </c>
      <c r="P332" s="6">
        <v>5.53</v>
      </c>
      <c r="Q332" s="6">
        <v>7.23</v>
      </c>
      <c r="R332" s="6">
        <v>4.78</v>
      </c>
      <c r="S332" s="6">
        <v>4.18</v>
      </c>
      <c r="T332" s="6">
        <v>6.15</v>
      </c>
      <c r="U332" s="6">
        <v>5.58</v>
      </c>
      <c r="V332" s="6">
        <v>6.61</v>
      </c>
      <c r="W332" s="6">
        <v>5.25</v>
      </c>
      <c r="X332" s="6">
        <v>4.53</v>
      </c>
      <c r="Y332" s="6">
        <v>4.21</v>
      </c>
      <c r="Z332" s="6">
        <v>6.08</v>
      </c>
      <c r="AA332" s="6">
        <v>5.5</v>
      </c>
      <c r="AB332" s="6">
        <v>4.18</v>
      </c>
      <c r="AC332" s="6">
        <v>6.38</v>
      </c>
      <c r="AD332" s="6">
        <v>5.47</v>
      </c>
      <c r="AE332" s="6">
        <v>6.02</v>
      </c>
      <c r="AF332" s="6">
        <v>6.93</v>
      </c>
      <c r="AG332" s="6">
        <v>6.46</v>
      </c>
      <c r="AH332" s="6">
        <v>6.66</v>
      </c>
      <c r="AI332" s="6">
        <v>6.37</v>
      </c>
      <c r="AJ332" s="6">
        <v>5.49</v>
      </c>
      <c r="AK332" s="6">
        <v>4.1100000000000003</v>
      </c>
      <c r="AL332" s="6">
        <v>6.75</v>
      </c>
      <c r="AM332" s="6">
        <v>5.73</v>
      </c>
      <c r="AN332" s="6">
        <v>6.65</v>
      </c>
      <c r="AO332" s="6">
        <v>6.78</v>
      </c>
      <c r="AP332" s="6">
        <v>4.83</v>
      </c>
      <c r="AQ332" s="6">
        <v>4.22</v>
      </c>
      <c r="AR332" s="6">
        <v>4.84</v>
      </c>
      <c r="AS332" s="6">
        <v>5.52</v>
      </c>
      <c r="AT332" s="6">
        <v>5.79</v>
      </c>
      <c r="AU332" s="6">
        <v>8.9499999999999993</v>
      </c>
      <c r="AV332" s="6">
        <v>5.78</v>
      </c>
      <c r="AW332" s="6">
        <v>7.93</v>
      </c>
      <c r="AX332" s="6">
        <v>6.38</v>
      </c>
      <c r="AY332" s="6">
        <v>4.7300000000000004</v>
      </c>
      <c r="AZ332" s="6">
        <v>5.44</v>
      </c>
      <c r="BA332" s="6">
        <v>5.04</v>
      </c>
      <c r="BB332" s="6">
        <v>7.21</v>
      </c>
      <c r="BC332" s="6">
        <f>6.05+0.43</f>
        <v>6.4799999999999995</v>
      </c>
      <c r="BD332" s="6">
        <v>5.96</v>
      </c>
      <c r="BE332" s="6">
        <v>6.95</v>
      </c>
      <c r="BF332" s="6">
        <v>3.84</v>
      </c>
      <c r="BG332" s="6">
        <v>5.58</v>
      </c>
      <c r="BH332" s="6">
        <v>5.92</v>
      </c>
      <c r="BI332" s="6">
        <v>6.04</v>
      </c>
      <c r="BJ332" s="6">
        <v>4.82</v>
      </c>
      <c r="BK332" s="6">
        <v>6.12</v>
      </c>
      <c r="BL332" s="6">
        <v>7.44</v>
      </c>
      <c r="BM332" s="6">
        <v>6.07</v>
      </c>
      <c r="BN332" s="6">
        <v>6.62</v>
      </c>
      <c r="BO332" s="6">
        <v>6.23</v>
      </c>
      <c r="BP332" s="6">
        <v>6.12</v>
      </c>
      <c r="BQ332" s="6">
        <v>6.65</v>
      </c>
      <c r="BR332" s="6">
        <v>3.81</v>
      </c>
      <c r="BS332" s="6">
        <v>6.29</v>
      </c>
      <c r="BT332" s="6">
        <v>7.5</v>
      </c>
      <c r="BU332" s="6">
        <v>5.2399999999999993</v>
      </c>
      <c r="BV332" s="6">
        <v>5.43</v>
      </c>
      <c r="BW332" s="6">
        <v>6.2399999999999993</v>
      </c>
      <c r="BX332" s="6">
        <v>5.13</v>
      </c>
      <c r="BY332" s="6">
        <v>5.81</v>
      </c>
      <c r="BZ332" s="6">
        <v>5.52</v>
      </c>
      <c r="CA332" s="6">
        <v>5.5699999999999994</v>
      </c>
      <c r="CB332" s="6">
        <v>6.39</v>
      </c>
      <c r="CC332" s="6">
        <v>6.37</v>
      </c>
      <c r="CD332" s="6">
        <v>5.52</v>
      </c>
      <c r="CE332" s="6">
        <v>8.16</v>
      </c>
      <c r="CF332" s="6">
        <v>4.05</v>
      </c>
      <c r="CG332" s="6">
        <v>3.79</v>
      </c>
      <c r="CH332" s="6"/>
    </row>
    <row r="333" spans="1:86" ht="15.75" customHeight="1" x14ac:dyDescent="0.25">
      <c r="A333" s="4">
        <v>331</v>
      </c>
      <c r="B333" s="2"/>
      <c r="C333" s="4">
        <v>27</v>
      </c>
      <c r="D333" s="6">
        <v>3.63</v>
      </c>
      <c r="E333" s="6">
        <v>5.43</v>
      </c>
      <c r="F333" s="6">
        <v>4.58</v>
      </c>
      <c r="G333" s="6">
        <v>5.23</v>
      </c>
      <c r="H333" s="6">
        <v>5.13</v>
      </c>
      <c r="I333" s="6">
        <v>6.33</v>
      </c>
      <c r="J333" s="6">
        <v>6.93</v>
      </c>
      <c r="K333" s="6">
        <v>4.63</v>
      </c>
      <c r="L333" s="6">
        <v>5.23</v>
      </c>
      <c r="M333" s="6">
        <v>5.33</v>
      </c>
      <c r="N333" s="6">
        <v>5.38</v>
      </c>
      <c r="O333" s="6">
        <v>7.68</v>
      </c>
      <c r="P333" s="6">
        <v>5.68</v>
      </c>
      <c r="Q333" s="6">
        <v>7.06</v>
      </c>
      <c r="R333" s="6">
        <v>4.78</v>
      </c>
      <c r="S333" s="6">
        <v>4.08</v>
      </c>
      <c r="T333" s="6">
        <v>6.11</v>
      </c>
      <c r="U333" s="6">
        <v>5.43</v>
      </c>
      <c r="V333" s="6">
        <v>6.61</v>
      </c>
      <c r="W333" s="6">
        <v>5.25</v>
      </c>
      <c r="X333" s="6">
        <v>4.59</v>
      </c>
      <c r="Y333" s="6">
        <v>4.13</v>
      </c>
      <c r="Z333" s="6">
        <v>5.94</v>
      </c>
      <c r="AA333" s="6">
        <v>5.36</v>
      </c>
      <c r="AB333" s="6">
        <v>4.2</v>
      </c>
      <c r="AC333" s="6">
        <v>6.28</v>
      </c>
      <c r="AD333" s="6">
        <v>5.45</v>
      </c>
      <c r="AE333" s="6">
        <v>6.01</v>
      </c>
      <c r="AF333" s="6">
        <v>6.96</v>
      </c>
      <c r="AG333" s="6">
        <v>6.61</v>
      </c>
      <c r="AH333" s="6">
        <v>6.6</v>
      </c>
      <c r="AI333" s="6">
        <v>6.3</v>
      </c>
      <c r="AJ333" s="6">
        <v>5.58</v>
      </c>
      <c r="AK333" s="6">
        <v>4.0199999999999996</v>
      </c>
      <c r="AL333" s="6">
        <v>6.72</v>
      </c>
      <c r="AM333" s="6">
        <v>5.67</v>
      </c>
      <c r="AN333" s="6">
        <v>6.65</v>
      </c>
      <c r="AO333" s="6">
        <v>6.67</v>
      </c>
      <c r="AP333" s="6">
        <v>4.66</v>
      </c>
      <c r="AQ333" s="6">
        <v>4.12</v>
      </c>
      <c r="AR333" s="6">
        <v>4.71</v>
      </c>
      <c r="AS333" s="6">
        <v>5.51</v>
      </c>
      <c r="AT333" s="6">
        <v>5.97</v>
      </c>
      <c r="AU333" s="6">
        <v>8.9499999999999993</v>
      </c>
      <c r="AV333" s="6">
        <v>5.65</v>
      </c>
      <c r="AW333" s="6">
        <v>7.9</v>
      </c>
      <c r="AX333" s="6">
        <v>6.23</v>
      </c>
      <c r="AY333" s="6">
        <v>4.68</v>
      </c>
      <c r="AZ333" s="6">
        <v>5.33</v>
      </c>
      <c r="BA333" s="6">
        <v>5.05</v>
      </c>
      <c r="BB333" s="6">
        <v>7.33</v>
      </c>
      <c r="BC333" s="6">
        <f>5.95+0.43</f>
        <v>6.38</v>
      </c>
      <c r="BD333" s="6">
        <v>5.82</v>
      </c>
      <c r="BE333" s="6">
        <v>6.95</v>
      </c>
      <c r="BF333" s="6">
        <v>3.78</v>
      </c>
      <c r="BG333" s="6">
        <v>5.53</v>
      </c>
      <c r="BH333" s="6">
        <v>5.79</v>
      </c>
      <c r="BI333" s="6">
        <v>5.9</v>
      </c>
      <c r="BJ333" s="6">
        <v>4.82</v>
      </c>
      <c r="BK333" s="6">
        <v>6.05</v>
      </c>
      <c r="BL333" s="6">
        <v>7.44</v>
      </c>
      <c r="BM333" s="6">
        <v>6.07</v>
      </c>
      <c r="BN333" s="6">
        <v>6.61</v>
      </c>
      <c r="BO333" s="6">
        <v>6.22</v>
      </c>
      <c r="BP333" s="6">
        <v>6.09</v>
      </c>
      <c r="BQ333" s="6">
        <v>6.7</v>
      </c>
      <c r="BR333" s="6">
        <v>3.81</v>
      </c>
      <c r="BS333" s="6">
        <v>6.33</v>
      </c>
      <c r="BT333" s="6">
        <v>7.45</v>
      </c>
      <c r="BU333" s="6">
        <v>5.16</v>
      </c>
      <c r="BV333" s="6">
        <v>5.37</v>
      </c>
      <c r="BW333" s="6">
        <v>6.2299999999999995</v>
      </c>
      <c r="BX333" s="6">
        <v>5.22</v>
      </c>
      <c r="BY333" s="6">
        <v>5.75</v>
      </c>
      <c r="BZ333" s="6">
        <v>5.3999999999999995</v>
      </c>
      <c r="CA333" s="6">
        <v>5.52</v>
      </c>
      <c r="CB333" s="6">
        <v>6.05</v>
      </c>
      <c r="CC333" s="6">
        <v>6.37</v>
      </c>
      <c r="CD333" s="6">
        <v>5.47</v>
      </c>
      <c r="CE333" s="6">
        <v>8.02</v>
      </c>
      <c r="CF333" s="6">
        <v>3.95</v>
      </c>
      <c r="CG333" s="6">
        <v>3.85</v>
      </c>
      <c r="CH333" s="6"/>
    </row>
    <row r="334" spans="1:86" ht="15.75" customHeight="1" x14ac:dyDescent="0.25">
      <c r="A334" s="4">
        <v>332</v>
      </c>
      <c r="B334" s="2"/>
      <c r="C334" s="4">
        <v>28</v>
      </c>
      <c r="D334" s="6">
        <v>3.53</v>
      </c>
      <c r="E334" s="6">
        <v>5.43</v>
      </c>
      <c r="F334" s="6">
        <v>4.4800000000000004</v>
      </c>
      <c r="G334" s="6">
        <v>5.18</v>
      </c>
      <c r="H334" s="6">
        <v>5.03</v>
      </c>
      <c r="I334" s="6">
        <v>6.23</v>
      </c>
      <c r="J334" s="6">
        <v>6.83</v>
      </c>
      <c r="K334" s="6">
        <v>4.53</v>
      </c>
      <c r="L334" s="6">
        <v>5.03</v>
      </c>
      <c r="M334" s="6">
        <v>5.23</v>
      </c>
      <c r="N334" s="6">
        <v>5.33</v>
      </c>
      <c r="O334" s="6">
        <v>7.51</v>
      </c>
      <c r="P334" s="6">
        <v>5.83</v>
      </c>
      <c r="Q334" s="6">
        <v>6.93</v>
      </c>
      <c r="R334" s="6">
        <v>4.7300000000000004</v>
      </c>
      <c r="S334" s="6">
        <v>3.96</v>
      </c>
      <c r="T334" s="6">
        <v>6.03</v>
      </c>
      <c r="U334" s="6">
        <v>5.35</v>
      </c>
      <c r="V334" s="6">
        <v>6.78</v>
      </c>
      <c r="W334" s="6">
        <v>5.28</v>
      </c>
      <c r="X334" s="6">
        <v>4.6100000000000003</v>
      </c>
      <c r="Y334" s="6">
        <v>4.01</v>
      </c>
      <c r="Z334" s="6">
        <v>5.93</v>
      </c>
      <c r="AA334" s="6">
        <v>5.21</v>
      </c>
      <c r="AB334" s="6">
        <v>4.28</v>
      </c>
      <c r="AC334" s="6">
        <v>6.28</v>
      </c>
      <c r="AD334" s="6">
        <v>5.4</v>
      </c>
      <c r="AE334" s="6">
        <v>6.17</v>
      </c>
      <c r="AF334" s="6">
        <v>6.88</v>
      </c>
      <c r="AG334" s="6">
        <v>6.3</v>
      </c>
      <c r="AH334" s="6">
        <v>6.61</v>
      </c>
      <c r="AI334" s="6">
        <v>6.13</v>
      </c>
      <c r="AJ334" s="6">
        <v>5.52</v>
      </c>
      <c r="AK334" s="6">
        <v>3.91</v>
      </c>
      <c r="AL334" s="6">
        <v>6.63</v>
      </c>
      <c r="AM334" s="6">
        <v>5.63</v>
      </c>
      <c r="AN334" s="6">
        <v>6.55</v>
      </c>
      <c r="AO334" s="6">
        <v>6.59</v>
      </c>
      <c r="AP334" s="6">
        <v>4.55</v>
      </c>
      <c r="AQ334" s="6">
        <v>4.05</v>
      </c>
      <c r="AR334" s="6">
        <v>4.5599999999999996</v>
      </c>
      <c r="AS334" s="6">
        <v>5.5</v>
      </c>
      <c r="AT334" s="6">
        <v>6.11</v>
      </c>
      <c r="AU334" s="6">
        <v>8.98</v>
      </c>
      <c r="AV334" s="6">
        <v>5.56</v>
      </c>
      <c r="AW334" s="6">
        <v>7.86</v>
      </c>
      <c r="AX334" s="6">
        <v>6.16</v>
      </c>
      <c r="AY334" s="6">
        <v>4.68</v>
      </c>
      <c r="AZ334" s="6">
        <v>5.23</v>
      </c>
      <c r="BA334" s="6">
        <v>4.93</v>
      </c>
      <c r="BB334" s="6">
        <v>7.32</v>
      </c>
      <c r="BC334" s="6">
        <f t="shared" ref="BC334:BC339" si="21">5.85+0.43</f>
        <v>6.2799999999999994</v>
      </c>
      <c r="BD334" s="6">
        <v>5.91</v>
      </c>
      <c r="BE334" s="6">
        <v>6.76</v>
      </c>
      <c r="BF334" s="6">
        <v>3.72</v>
      </c>
      <c r="BG334" s="6">
        <v>5.49</v>
      </c>
      <c r="BH334" s="6">
        <v>5.62</v>
      </c>
      <c r="BI334" s="6">
        <v>5.66</v>
      </c>
      <c r="BJ334" s="6">
        <v>4.79</v>
      </c>
      <c r="BK334" s="6">
        <v>6.04</v>
      </c>
      <c r="BL334" s="6">
        <v>7.39</v>
      </c>
      <c r="BM334" s="6">
        <v>5.86</v>
      </c>
      <c r="BN334" s="6">
        <v>6.57</v>
      </c>
      <c r="BO334" s="6">
        <v>6.3</v>
      </c>
      <c r="BP334" s="6">
        <v>6.03</v>
      </c>
      <c r="BQ334" s="6">
        <v>6.74</v>
      </c>
      <c r="BR334" s="6">
        <v>3.71</v>
      </c>
      <c r="BS334" s="6">
        <v>6.38</v>
      </c>
      <c r="BT334" s="6">
        <v>7.22</v>
      </c>
      <c r="BU334" s="6">
        <v>5.05</v>
      </c>
      <c r="BV334" s="6">
        <v>5.29</v>
      </c>
      <c r="BW334" s="6">
        <v>6.09</v>
      </c>
      <c r="BX334" s="6">
        <v>5.0999999999999996</v>
      </c>
      <c r="BY334" s="6">
        <v>5.71</v>
      </c>
      <c r="BZ334" s="6">
        <v>5.27</v>
      </c>
      <c r="CA334" s="6">
        <v>5.4899999999999993</v>
      </c>
      <c r="CB334" s="6">
        <v>6.08</v>
      </c>
      <c r="CC334" s="6">
        <v>6.3599999999999994</v>
      </c>
      <c r="CD334" s="6">
        <v>5.88</v>
      </c>
      <c r="CE334" s="6">
        <v>7.9499999999999993</v>
      </c>
      <c r="CF334" s="6">
        <v>3.89</v>
      </c>
      <c r="CG334" s="6">
        <v>3.89</v>
      </c>
      <c r="CH334" s="6"/>
    </row>
    <row r="335" spans="1:86" ht="15.75" customHeight="1" x14ac:dyDescent="0.25">
      <c r="A335" s="4">
        <v>333</v>
      </c>
      <c r="B335" s="2"/>
      <c r="C335" s="4">
        <v>29</v>
      </c>
      <c r="D335" s="6">
        <v>3.43</v>
      </c>
      <c r="E335" s="6">
        <v>5.33</v>
      </c>
      <c r="F335" s="6">
        <v>4.43</v>
      </c>
      <c r="G335" s="6">
        <v>5.13</v>
      </c>
      <c r="H335" s="6">
        <v>5.03</v>
      </c>
      <c r="I335" s="6">
        <v>6.01</v>
      </c>
      <c r="J335" s="6">
        <v>6.63</v>
      </c>
      <c r="K335" s="6">
        <v>4.43</v>
      </c>
      <c r="L335" s="6">
        <v>4.9800000000000004</v>
      </c>
      <c r="M335" s="6">
        <v>5.13</v>
      </c>
      <c r="N335" s="6">
        <v>5.23</v>
      </c>
      <c r="O335" s="6">
        <v>7.51</v>
      </c>
      <c r="P335" s="6">
        <v>6.01</v>
      </c>
      <c r="Q335" s="6">
        <v>6.73</v>
      </c>
      <c r="R335" s="6">
        <v>4.6500000000000004</v>
      </c>
      <c r="S335" s="6">
        <v>3.83</v>
      </c>
      <c r="T335" s="6">
        <v>5.98</v>
      </c>
      <c r="U335" s="6">
        <v>5.33</v>
      </c>
      <c r="V335" s="6">
        <v>6.88</v>
      </c>
      <c r="W335" s="6">
        <v>5.33</v>
      </c>
      <c r="X335" s="6">
        <v>4.55</v>
      </c>
      <c r="Y335" s="6">
        <v>3.93</v>
      </c>
      <c r="Z335" s="6">
        <v>5.93</v>
      </c>
      <c r="AA335" s="6">
        <v>5.21</v>
      </c>
      <c r="AB335" s="6">
        <v>4.37</v>
      </c>
      <c r="AC335" s="6">
        <v>6.28</v>
      </c>
      <c r="AD335" s="6">
        <v>5.34</v>
      </c>
      <c r="AE335" s="6">
        <v>6.48</v>
      </c>
      <c r="AF335" s="6">
        <v>6.82</v>
      </c>
      <c r="AG335" s="6">
        <v>6.15</v>
      </c>
      <c r="AH335" s="6">
        <v>6.7</v>
      </c>
      <c r="AI335" s="6">
        <v>5.99</v>
      </c>
      <c r="AJ335" s="6">
        <v>5.47</v>
      </c>
      <c r="AK335" s="6">
        <v>3.77</v>
      </c>
      <c r="AL335" s="6">
        <v>6.62</v>
      </c>
      <c r="AM335" s="6">
        <v>5.57</v>
      </c>
      <c r="AN335" s="6">
        <v>6.61</v>
      </c>
      <c r="AO335" s="6">
        <v>6.56</v>
      </c>
      <c r="AP335" s="6">
        <v>4.3899999999999997</v>
      </c>
      <c r="AQ335" s="6">
        <v>4</v>
      </c>
      <c r="AR335" s="6">
        <v>4.46</v>
      </c>
      <c r="AS335" s="6">
        <v>5.42</v>
      </c>
      <c r="AT335" s="6">
        <v>6.18</v>
      </c>
      <c r="AU335" s="6">
        <v>8.9600000000000009</v>
      </c>
      <c r="AV335" s="6">
        <v>5.45</v>
      </c>
      <c r="AW335" s="6">
        <v>7.87</v>
      </c>
      <c r="AX335" s="6">
        <v>6.05</v>
      </c>
      <c r="AY335" s="6">
        <v>4.6900000000000004</v>
      </c>
      <c r="AZ335" s="6">
        <v>5.15</v>
      </c>
      <c r="BA335" s="6">
        <v>4.96</v>
      </c>
      <c r="BB335" s="6">
        <v>7.18</v>
      </c>
      <c r="BC335" s="6">
        <f t="shared" si="21"/>
        <v>6.2799999999999994</v>
      </c>
      <c r="BD335" s="6">
        <v>5.83</v>
      </c>
      <c r="BE335" s="6">
        <v>6.58</v>
      </c>
      <c r="BF335" s="6">
        <v>3.78</v>
      </c>
      <c r="BG335" s="6">
        <v>5.34</v>
      </c>
      <c r="BH335" s="6">
        <v>5.47</v>
      </c>
      <c r="BI335" s="6">
        <v>5.52</v>
      </c>
      <c r="BJ335" s="6">
        <v>4.68</v>
      </c>
      <c r="BK335" s="6">
        <v>6.09</v>
      </c>
      <c r="BL335" s="6">
        <v>7.28</v>
      </c>
      <c r="BM335" s="6">
        <v>5.73</v>
      </c>
      <c r="BN335" s="6">
        <v>6.55</v>
      </c>
      <c r="BO335" s="6">
        <v>6.3</v>
      </c>
      <c r="BP335" s="6">
        <v>5.94</v>
      </c>
      <c r="BQ335" s="6">
        <v>6.82</v>
      </c>
      <c r="BR335" s="6">
        <v>3.71</v>
      </c>
      <c r="BS335" s="6">
        <v>6.55</v>
      </c>
      <c r="BT335" s="6">
        <v>7.07</v>
      </c>
      <c r="BU335" s="6">
        <v>5.0299999999999994</v>
      </c>
      <c r="BV335" s="6">
        <v>5.21</v>
      </c>
      <c r="BW335" s="6">
        <v>6.1099999999999994</v>
      </c>
      <c r="BX335" s="6">
        <v>5.01</v>
      </c>
      <c r="BY335" s="6">
        <v>5.63</v>
      </c>
      <c r="BZ335" s="6">
        <v>5.18</v>
      </c>
      <c r="CA335" s="6">
        <v>5.35</v>
      </c>
      <c r="CB335" s="6">
        <v>5.67</v>
      </c>
      <c r="CC335" s="6">
        <v>6.34</v>
      </c>
      <c r="CD335" s="6">
        <v>5.85</v>
      </c>
      <c r="CE335" s="6">
        <v>8.01</v>
      </c>
      <c r="CF335" s="6">
        <v>3.81</v>
      </c>
      <c r="CG335" s="6">
        <v>3.94</v>
      </c>
      <c r="CH335" s="6"/>
    </row>
    <row r="336" spans="1:86" ht="15.75" customHeight="1" x14ac:dyDescent="0.25">
      <c r="A336" s="4">
        <v>334</v>
      </c>
      <c r="B336" s="2"/>
      <c r="C336" s="4">
        <v>30</v>
      </c>
      <c r="D336" s="6">
        <v>3.43</v>
      </c>
      <c r="E336" s="6">
        <v>5.33</v>
      </c>
      <c r="F336" s="6">
        <v>4.43</v>
      </c>
      <c r="G336" s="6">
        <v>5.08</v>
      </c>
      <c r="H336" s="6">
        <v>4.93</v>
      </c>
      <c r="I336" s="6">
        <v>6.03</v>
      </c>
      <c r="J336" s="6">
        <v>6.53</v>
      </c>
      <c r="K336" s="6">
        <v>4.28</v>
      </c>
      <c r="L336" s="6">
        <v>4.9800000000000004</v>
      </c>
      <c r="M336" s="6">
        <v>5.03</v>
      </c>
      <c r="N336" s="6">
        <v>5.18</v>
      </c>
      <c r="O336" s="6">
        <v>7.43</v>
      </c>
      <c r="P336" s="6">
        <v>6.18</v>
      </c>
      <c r="Q336" s="6">
        <v>6.53</v>
      </c>
      <c r="R336" s="6">
        <v>4.6500000000000004</v>
      </c>
      <c r="S336" s="6">
        <v>3.73</v>
      </c>
      <c r="T336" s="6">
        <v>5.88</v>
      </c>
      <c r="U336" s="6">
        <v>5.31</v>
      </c>
      <c r="V336" s="6">
        <v>6.88</v>
      </c>
      <c r="W336" s="6">
        <v>5.33</v>
      </c>
      <c r="X336" s="6">
        <v>4.4800000000000004</v>
      </c>
      <c r="Y336" s="6">
        <v>3.83</v>
      </c>
      <c r="Z336" s="6">
        <v>6.03</v>
      </c>
      <c r="AA336" s="6">
        <v>5.21</v>
      </c>
      <c r="AB336" s="6">
        <v>4.45</v>
      </c>
      <c r="AC336" s="6">
        <v>6.11</v>
      </c>
      <c r="AD336" s="6">
        <v>5.26</v>
      </c>
      <c r="AE336" s="6">
        <v>6.23</v>
      </c>
      <c r="AF336" s="6">
        <v>6.98</v>
      </c>
      <c r="AG336" s="6">
        <v>5.95</v>
      </c>
      <c r="AH336" s="6">
        <v>6.79</v>
      </c>
      <c r="AI336" s="6">
        <v>6.07</v>
      </c>
      <c r="AJ336" s="6">
        <v>5.43</v>
      </c>
      <c r="AK336" s="6">
        <v>3.74</v>
      </c>
      <c r="AL336" s="6">
        <v>6.53</v>
      </c>
      <c r="AM336" s="6">
        <v>5.45</v>
      </c>
      <c r="AN336" s="6">
        <v>6.67</v>
      </c>
      <c r="AO336" s="6">
        <v>6.49</v>
      </c>
      <c r="AP336" s="6">
        <v>4.22</v>
      </c>
      <c r="AQ336" s="6">
        <v>3.96</v>
      </c>
      <c r="AR336" s="6">
        <v>4.3899999999999997</v>
      </c>
      <c r="AS336" s="6">
        <v>5.34</v>
      </c>
      <c r="AT336" s="6">
        <v>6.22</v>
      </c>
      <c r="AU336" s="6">
        <v>8.9</v>
      </c>
      <c r="AV336" s="6">
        <v>5.35</v>
      </c>
      <c r="AW336" s="6">
        <v>7.83</v>
      </c>
      <c r="AX336" s="6">
        <v>6.03</v>
      </c>
      <c r="AY336" s="6">
        <v>4.8099999999999996</v>
      </c>
      <c r="AZ336" s="6">
        <v>5.08</v>
      </c>
      <c r="BA336" s="6">
        <v>5.04</v>
      </c>
      <c r="BB336" s="6">
        <v>7.32</v>
      </c>
      <c r="BC336" s="6">
        <f t="shared" si="21"/>
        <v>6.2799999999999994</v>
      </c>
      <c r="BD336" s="6">
        <v>5.73</v>
      </c>
      <c r="BE336" s="6">
        <v>6.31</v>
      </c>
      <c r="BF336" s="6">
        <v>3.78</v>
      </c>
      <c r="BG336" s="6">
        <v>5.23</v>
      </c>
      <c r="BH336" s="6">
        <v>5.42</v>
      </c>
      <c r="BI336" s="6">
        <v>5.42</v>
      </c>
      <c r="BJ336" s="6">
        <v>4.59</v>
      </c>
      <c r="BK336" s="6">
        <v>6.05</v>
      </c>
      <c r="BL336" s="6">
        <v>7.14</v>
      </c>
      <c r="BM336" s="6">
        <v>5.7</v>
      </c>
      <c r="BN336" s="6">
        <v>6.51</v>
      </c>
      <c r="BO336" s="6">
        <v>6.32</v>
      </c>
      <c r="BP336" s="6">
        <v>5.81</v>
      </c>
      <c r="BQ336" s="6">
        <v>6.85</v>
      </c>
      <c r="BR336" s="6">
        <v>3.66</v>
      </c>
      <c r="BS336" s="6">
        <v>6.78</v>
      </c>
      <c r="BT336" s="6">
        <v>7.22</v>
      </c>
      <c r="BU336" s="6">
        <v>4.9899999999999993</v>
      </c>
      <c r="BV336" s="6">
        <v>5.13</v>
      </c>
      <c r="BW336" s="6">
        <v>6.05</v>
      </c>
      <c r="BX336" s="6">
        <v>4.9499999999999993</v>
      </c>
      <c r="BY336" s="6">
        <v>5.54</v>
      </c>
      <c r="BZ336" s="6">
        <v>5.09</v>
      </c>
      <c r="CA336" s="6">
        <v>5.21</v>
      </c>
      <c r="CB336" s="6">
        <v>5.54</v>
      </c>
      <c r="CC336" s="6">
        <v>6.29</v>
      </c>
      <c r="CD336" s="6">
        <v>5.6999999999999993</v>
      </c>
      <c r="CE336" s="6">
        <v>8.26</v>
      </c>
      <c r="CF336" s="6">
        <v>3.73</v>
      </c>
      <c r="CG336" s="6">
        <v>3.94</v>
      </c>
      <c r="CH336" s="6"/>
    </row>
    <row r="337" spans="1:86" ht="15.75" customHeight="1" x14ac:dyDescent="0.25">
      <c r="A337" s="4">
        <v>335</v>
      </c>
      <c r="B337" s="2" t="s">
        <v>15</v>
      </c>
      <c r="C337" s="4">
        <v>1</v>
      </c>
      <c r="D337" s="6">
        <v>3.53</v>
      </c>
      <c r="E337" s="6">
        <v>5.33</v>
      </c>
      <c r="F337" s="6">
        <v>4.43</v>
      </c>
      <c r="G337" s="6">
        <v>4.9800000000000004</v>
      </c>
      <c r="H337" s="6">
        <v>4.78</v>
      </c>
      <c r="I337" s="6">
        <v>5.93</v>
      </c>
      <c r="J337" s="6">
        <v>6.43</v>
      </c>
      <c r="K337" s="6">
        <v>4.2300000000000004</v>
      </c>
      <c r="L337" s="6">
        <v>4.9800000000000004</v>
      </c>
      <c r="M337" s="6">
        <v>4.93</v>
      </c>
      <c r="N337" s="6">
        <v>5.08</v>
      </c>
      <c r="O337" s="6">
        <v>7.31</v>
      </c>
      <c r="P337" s="6">
        <v>6.28</v>
      </c>
      <c r="Q337" s="6">
        <v>6.33</v>
      </c>
      <c r="R337" s="6">
        <v>4.6500000000000004</v>
      </c>
      <c r="S337" s="6">
        <v>3.63</v>
      </c>
      <c r="T337" s="6">
        <v>5.83</v>
      </c>
      <c r="U337" s="6">
        <v>5.23</v>
      </c>
      <c r="V337" s="6">
        <v>6.83</v>
      </c>
      <c r="W337" s="6">
        <v>5.33</v>
      </c>
      <c r="X337" s="6">
        <v>4.38</v>
      </c>
      <c r="Y337" s="6">
        <v>3.73</v>
      </c>
      <c r="Z337" s="6">
        <v>6.07</v>
      </c>
      <c r="AA337" s="6">
        <v>5.34</v>
      </c>
      <c r="AB337" s="6">
        <v>4.5199999999999996</v>
      </c>
      <c r="AC337" s="6">
        <v>5.83</v>
      </c>
      <c r="AD337" s="6">
        <v>5.22</v>
      </c>
      <c r="AE337" s="6">
        <v>6.02</v>
      </c>
      <c r="AF337" s="6">
        <v>7.01</v>
      </c>
      <c r="AG337" s="6">
        <v>5.87</v>
      </c>
      <c r="AH337" s="6">
        <v>6.76</v>
      </c>
      <c r="AI337" s="6">
        <v>5.96</v>
      </c>
      <c r="AJ337" s="6">
        <v>5.34</v>
      </c>
      <c r="AK337" s="6">
        <v>3.85</v>
      </c>
      <c r="AL337" s="6">
        <v>6.31</v>
      </c>
      <c r="AM337" s="6">
        <v>5.29</v>
      </c>
      <c r="AN337" s="6">
        <v>6.61</v>
      </c>
      <c r="AO337" s="6">
        <v>6.43</v>
      </c>
      <c r="AP337" s="6">
        <v>4.21</v>
      </c>
      <c r="AQ337" s="6">
        <v>3.94</v>
      </c>
      <c r="AR337" s="6">
        <v>4.3</v>
      </c>
      <c r="AS337" s="6">
        <v>5.29</v>
      </c>
      <c r="AT337" s="6">
        <v>6.21</v>
      </c>
      <c r="AU337" s="6">
        <v>8.83</v>
      </c>
      <c r="AV337" s="6">
        <v>5.31</v>
      </c>
      <c r="AW337" s="6">
        <v>7.75</v>
      </c>
      <c r="AX337" s="6">
        <v>5.91</v>
      </c>
      <c r="AY337" s="6">
        <v>4.88</v>
      </c>
      <c r="AZ337" s="6">
        <v>4.95</v>
      </c>
      <c r="BA337" s="6">
        <v>5.0999999999999996</v>
      </c>
      <c r="BB337" s="6">
        <v>7.28</v>
      </c>
      <c r="BC337" s="6">
        <f t="shared" si="21"/>
        <v>6.2799999999999994</v>
      </c>
      <c r="BD337" s="6">
        <v>5.41</v>
      </c>
      <c r="BE337" s="6">
        <v>6.52</v>
      </c>
      <c r="BF337" s="6">
        <v>3.78</v>
      </c>
      <c r="BG337" s="6">
        <v>5.21</v>
      </c>
      <c r="BH337" s="6">
        <v>5.36</v>
      </c>
      <c r="BI337" s="6">
        <v>5.38</v>
      </c>
      <c r="BJ337" s="6">
        <v>4.51</v>
      </c>
      <c r="BK337" s="6">
        <v>6.05</v>
      </c>
      <c r="BL337" s="6">
        <v>7.02</v>
      </c>
      <c r="BM337" s="6">
        <v>5.7</v>
      </c>
      <c r="BN337" s="6">
        <v>6.46</v>
      </c>
      <c r="BO337" s="6">
        <v>6.31</v>
      </c>
      <c r="BP337" s="6">
        <v>5.72</v>
      </c>
      <c r="BQ337" s="6">
        <v>6.93</v>
      </c>
      <c r="BR337" s="6">
        <v>3.7</v>
      </c>
      <c r="BS337" s="6">
        <v>6.84</v>
      </c>
      <c r="BT337" s="6">
        <v>7.32</v>
      </c>
      <c r="BU337" s="6">
        <v>4.8999999999999995</v>
      </c>
      <c r="BV337" s="6">
        <v>5.16</v>
      </c>
      <c r="BW337" s="6">
        <v>5.93</v>
      </c>
      <c r="BX337" s="6">
        <v>4.8999999999999995</v>
      </c>
      <c r="BY337" s="6">
        <v>5.4799999999999995</v>
      </c>
      <c r="BZ337" s="6">
        <v>5.04</v>
      </c>
      <c r="CA337" s="6">
        <v>5.1899999999999995</v>
      </c>
      <c r="CB337" s="6">
        <v>5.46</v>
      </c>
      <c r="CC337" s="6">
        <v>6.2399999999999993</v>
      </c>
      <c r="CD337" s="6">
        <v>5.68</v>
      </c>
      <c r="CE337" s="6">
        <v>8.31</v>
      </c>
      <c r="CF337" s="6">
        <v>3.57</v>
      </c>
      <c r="CG337" s="6">
        <v>4.0999999999999996</v>
      </c>
      <c r="CH337" s="6"/>
    </row>
    <row r="338" spans="1:86" ht="15.75" customHeight="1" x14ac:dyDescent="0.25">
      <c r="A338" s="4">
        <v>336</v>
      </c>
      <c r="B338" s="2"/>
      <c r="C338" s="4">
        <v>2</v>
      </c>
      <c r="D338" s="6">
        <v>3.63</v>
      </c>
      <c r="E338" s="6">
        <v>5.28</v>
      </c>
      <c r="F338" s="6">
        <v>4.43</v>
      </c>
      <c r="G338" s="6">
        <v>4.88</v>
      </c>
      <c r="H338" s="6">
        <v>4.7300000000000004</v>
      </c>
      <c r="I338" s="6">
        <v>5.78</v>
      </c>
      <c r="J338" s="6">
        <v>6.33</v>
      </c>
      <c r="K338" s="6">
        <v>4.13</v>
      </c>
      <c r="L338" s="6">
        <v>4.93</v>
      </c>
      <c r="M338" s="6">
        <v>4.83</v>
      </c>
      <c r="N338" s="6">
        <v>5.07</v>
      </c>
      <c r="O338" s="6">
        <v>7.23</v>
      </c>
      <c r="P338" s="6">
        <v>6.28</v>
      </c>
      <c r="Q338" s="6">
        <v>6.27</v>
      </c>
      <c r="R338" s="6">
        <v>4.6500000000000004</v>
      </c>
      <c r="S338" s="6">
        <v>3.53</v>
      </c>
      <c r="T338" s="6">
        <v>5.83</v>
      </c>
      <c r="U338" s="6">
        <v>5.18</v>
      </c>
      <c r="V338" s="6">
        <v>6.73</v>
      </c>
      <c r="W338" s="6">
        <v>5.33</v>
      </c>
      <c r="X338" s="6">
        <v>4.28</v>
      </c>
      <c r="Y338" s="6">
        <v>3.75</v>
      </c>
      <c r="Z338" s="6">
        <v>6.13</v>
      </c>
      <c r="AA338" s="6">
        <v>5.35</v>
      </c>
      <c r="AB338" s="6">
        <v>4.54</v>
      </c>
      <c r="AC338" s="6">
        <v>5.71</v>
      </c>
      <c r="AD338" s="6">
        <v>5.21</v>
      </c>
      <c r="AE338" s="6">
        <v>5.05</v>
      </c>
      <c r="AF338" s="6">
        <v>6.95</v>
      </c>
      <c r="AG338" s="6">
        <v>5.61</v>
      </c>
      <c r="AH338" s="6">
        <v>6.55</v>
      </c>
      <c r="AI338" s="6">
        <v>5.89</v>
      </c>
      <c r="AJ338" s="6">
        <v>5.32</v>
      </c>
      <c r="AK338" s="6">
        <v>3.68</v>
      </c>
      <c r="AL338" s="6">
        <v>6.11</v>
      </c>
      <c r="AM338" s="6">
        <v>5.15</v>
      </c>
      <c r="AN338" s="6">
        <v>6.42</v>
      </c>
      <c r="AO338" s="6">
        <v>6.37</v>
      </c>
      <c r="AP338" s="6">
        <v>4.17</v>
      </c>
      <c r="AQ338" s="6">
        <v>3.92</v>
      </c>
      <c r="AR338" s="6">
        <v>4.25</v>
      </c>
      <c r="AS338" s="6">
        <v>5.22</v>
      </c>
      <c r="AT338" s="6">
        <v>6.21</v>
      </c>
      <c r="AU338" s="6">
        <v>8.8800000000000008</v>
      </c>
      <c r="AV338" s="6">
        <v>5.26</v>
      </c>
      <c r="AW338" s="6">
        <v>8.1999999999999993</v>
      </c>
      <c r="AX338" s="6">
        <v>5.86</v>
      </c>
      <c r="AY338" s="6">
        <v>4.91</v>
      </c>
      <c r="AZ338" s="6">
        <v>4.82</v>
      </c>
      <c r="BA338" s="6">
        <v>5.13</v>
      </c>
      <c r="BB338" s="6">
        <v>7.06</v>
      </c>
      <c r="BC338" s="6">
        <f t="shared" si="21"/>
        <v>6.2799999999999994</v>
      </c>
      <c r="BD338" s="6">
        <v>5.56</v>
      </c>
      <c r="BE338" s="6">
        <v>6.61</v>
      </c>
      <c r="BF338" s="6">
        <v>3.78</v>
      </c>
      <c r="BG338" s="6">
        <v>5.21</v>
      </c>
      <c r="BH338" s="6">
        <v>5.26</v>
      </c>
      <c r="BI338" s="6">
        <v>5.34</v>
      </c>
      <c r="BJ338" s="6">
        <v>4.41</v>
      </c>
      <c r="BK338" s="6">
        <v>5.95</v>
      </c>
      <c r="BL338" s="6">
        <v>6.97</v>
      </c>
      <c r="BM338" s="6">
        <v>5.66</v>
      </c>
      <c r="BN338" s="6">
        <v>6.36</v>
      </c>
      <c r="BO338" s="6">
        <v>6.29</v>
      </c>
      <c r="BP338" s="6">
        <v>5.56</v>
      </c>
      <c r="BQ338" s="6">
        <v>7.01</v>
      </c>
      <c r="BR338" s="6">
        <v>3.64</v>
      </c>
      <c r="BS338" s="6">
        <v>6.96</v>
      </c>
      <c r="BT338" s="6">
        <v>7.19</v>
      </c>
      <c r="BU338" s="6">
        <v>4.88</v>
      </c>
      <c r="BV338" s="6">
        <v>5.2799999999999994</v>
      </c>
      <c r="BW338" s="6">
        <v>5.84</v>
      </c>
      <c r="BX338" s="6">
        <v>4.84</v>
      </c>
      <c r="BY338" s="6">
        <v>5.43</v>
      </c>
      <c r="BZ338" s="6">
        <v>4.9499999999999993</v>
      </c>
      <c r="CA338" s="6">
        <v>5.22</v>
      </c>
      <c r="CB338" s="6">
        <v>5.41</v>
      </c>
      <c r="CC338" s="6">
        <v>6.1899999999999995</v>
      </c>
      <c r="CD338" s="6">
        <v>5.47</v>
      </c>
      <c r="CE338" s="6">
        <v>8.16</v>
      </c>
      <c r="CF338" s="6">
        <v>3.52</v>
      </c>
      <c r="CG338" s="6">
        <v>4.3</v>
      </c>
      <c r="CH338" s="6"/>
    </row>
    <row r="339" spans="1:86" ht="15.75" customHeight="1" x14ac:dyDescent="0.25">
      <c r="A339" s="4">
        <v>337</v>
      </c>
      <c r="B339" s="2"/>
      <c r="C339" s="4">
        <v>3</v>
      </c>
      <c r="D339" s="6">
        <v>3.73</v>
      </c>
      <c r="E339" s="6">
        <v>5.23</v>
      </c>
      <c r="F339" s="6">
        <v>4.43</v>
      </c>
      <c r="G339" s="6">
        <v>4.7300000000000004</v>
      </c>
      <c r="H339" s="6">
        <v>4.63</v>
      </c>
      <c r="I339" s="6">
        <v>5.73</v>
      </c>
      <c r="J339" s="6">
        <v>6.13</v>
      </c>
      <c r="K339" s="6">
        <v>4.03</v>
      </c>
      <c r="L339" s="6">
        <v>4.88</v>
      </c>
      <c r="M339" s="6">
        <v>4.7300000000000004</v>
      </c>
      <c r="N339" s="6">
        <v>5.03</v>
      </c>
      <c r="O339" s="6">
        <v>7.13</v>
      </c>
      <c r="P339" s="6">
        <v>6.33</v>
      </c>
      <c r="Q339" s="6">
        <v>5.93</v>
      </c>
      <c r="R339" s="6">
        <v>4.63</v>
      </c>
      <c r="S339" s="6">
        <v>3.35</v>
      </c>
      <c r="T339" s="6">
        <v>5.88</v>
      </c>
      <c r="U339" s="6">
        <v>5.1100000000000003</v>
      </c>
      <c r="V339" s="6">
        <v>6.68</v>
      </c>
      <c r="W339" s="6">
        <v>5.28</v>
      </c>
      <c r="X339" s="6">
        <v>4.21</v>
      </c>
      <c r="Y339" s="6">
        <v>3.77</v>
      </c>
      <c r="Z339" s="6">
        <v>6.13</v>
      </c>
      <c r="AA339" s="6">
        <v>5.36</v>
      </c>
      <c r="AB339" s="6">
        <v>4.5</v>
      </c>
      <c r="AC339" s="6">
        <v>5.6</v>
      </c>
      <c r="AD339" s="6">
        <v>5.22</v>
      </c>
      <c r="AE339" s="6">
        <v>4.99</v>
      </c>
      <c r="AF339" s="6">
        <v>6.95</v>
      </c>
      <c r="AG339" s="6">
        <v>5.53</v>
      </c>
      <c r="AH339" s="6">
        <v>6.6</v>
      </c>
      <c r="AI339" s="6">
        <v>5.51</v>
      </c>
      <c r="AJ339" s="6">
        <v>5.32</v>
      </c>
      <c r="AK339" s="6">
        <v>3.61</v>
      </c>
      <c r="AL339" s="6">
        <v>5.89</v>
      </c>
      <c r="AM339" s="6">
        <v>5.05</v>
      </c>
      <c r="AN339" s="6">
        <v>6.33</v>
      </c>
      <c r="AO339" s="6">
        <v>6.32</v>
      </c>
      <c r="AP339" s="6">
        <v>4.0599999999999996</v>
      </c>
      <c r="AQ339" s="6">
        <v>3.9</v>
      </c>
      <c r="AR339" s="6">
        <v>4.17</v>
      </c>
      <c r="AS339" s="6">
        <v>5.09</v>
      </c>
      <c r="AT339" s="6">
        <v>6.16</v>
      </c>
      <c r="AU339" s="6">
        <v>8.81</v>
      </c>
      <c r="AV339" s="6">
        <v>5.1100000000000003</v>
      </c>
      <c r="AW339" s="6">
        <v>7.61</v>
      </c>
      <c r="AX339" s="6">
        <v>5.77</v>
      </c>
      <c r="AY339" s="6">
        <v>4.8899999999999997</v>
      </c>
      <c r="AZ339" s="6">
        <v>4.8499999999999996</v>
      </c>
      <c r="BA339" s="6">
        <v>5.14</v>
      </c>
      <c r="BB339" s="6">
        <v>6.71</v>
      </c>
      <c r="BC339" s="6">
        <f t="shared" si="21"/>
        <v>6.2799999999999994</v>
      </c>
      <c r="BD339" s="6">
        <v>5.36</v>
      </c>
      <c r="BE339" s="6">
        <v>6.58</v>
      </c>
      <c r="BF339" s="6">
        <v>3.73</v>
      </c>
      <c r="BG339" s="6">
        <v>5.21</v>
      </c>
      <c r="BH339" s="6">
        <v>5.24</v>
      </c>
      <c r="BI339" s="6">
        <v>5.21</v>
      </c>
      <c r="BJ339" s="6">
        <v>4.37</v>
      </c>
      <c r="BK339" s="6">
        <v>5.85</v>
      </c>
      <c r="BL339" s="6">
        <v>6.9</v>
      </c>
      <c r="BM339" s="6">
        <v>5.61</v>
      </c>
      <c r="BN339" s="6">
        <v>6.32</v>
      </c>
      <c r="BO339" s="6">
        <v>6.26</v>
      </c>
      <c r="BP339" s="6">
        <v>5.42</v>
      </c>
      <c r="BQ339" s="6">
        <v>6.88</v>
      </c>
      <c r="BR339" s="6">
        <v>3.64</v>
      </c>
      <c r="BS339" s="6">
        <v>6.9</v>
      </c>
      <c r="BT339" s="6">
        <v>6.99</v>
      </c>
      <c r="BU339" s="6">
        <v>4.7799999999999994</v>
      </c>
      <c r="BV339" s="6">
        <v>5.51</v>
      </c>
      <c r="BW339" s="6">
        <v>5.7399999999999993</v>
      </c>
      <c r="BX339" s="6">
        <v>4.7299999999999995</v>
      </c>
      <c r="BY339" s="6">
        <v>5.41</v>
      </c>
      <c r="BZ339" s="6">
        <v>4.83</v>
      </c>
      <c r="CA339" s="6">
        <v>5.42</v>
      </c>
      <c r="CB339" s="6">
        <v>5.23</v>
      </c>
      <c r="CC339" s="6">
        <v>6.09</v>
      </c>
      <c r="CD339" s="6">
        <v>5.3199999999999994</v>
      </c>
      <c r="CE339" s="6">
        <v>8.24</v>
      </c>
      <c r="CF339" s="6">
        <v>3.39</v>
      </c>
      <c r="CG339" s="6">
        <v>4.2699999999999996</v>
      </c>
      <c r="CH339" s="6"/>
    </row>
    <row r="340" spans="1:86" ht="15.75" customHeight="1" x14ac:dyDescent="0.25">
      <c r="A340" s="4">
        <v>338</v>
      </c>
      <c r="B340" s="2"/>
      <c r="C340" s="4">
        <v>4</v>
      </c>
      <c r="D340" s="6">
        <v>3.73</v>
      </c>
      <c r="E340" s="6">
        <v>5.13</v>
      </c>
      <c r="F340" s="6">
        <v>4.2300000000000004</v>
      </c>
      <c r="G340" s="6">
        <v>4.63</v>
      </c>
      <c r="H340" s="6">
        <v>4.2300000000000004</v>
      </c>
      <c r="I340" s="6">
        <v>5.58</v>
      </c>
      <c r="J340" s="6">
        <v>6.03</v>
      </c>
      <c r="K340" s="6">
        <v>3.93</v>
      </c>
      <c r="L340" s="6">
        <v>4.88</v>
      </c>
      <c r="M340" s="6">
        <v>4.63</v>
      </c>
      <c r="N340" s="6">
        <v>4.93</v>
      </c>
      <c r="O340" s="6">
        <v>7.18</v>
      </c>
      <c r="P340" s="6">
        <v>6.23</v>
      </c>
      <c r="Q340" s="6">
        <v>5.76</v>
      </c>
      <c r="R340" s="6">
        <v>4.53</v>
      </c>
      <c r="S340" s="6">
        <v>3.38</v>
      </c>
      <c r="T340" s="6">
        <v>5.88</v>
      </c>
      <c r="U340" s="6">
        <v>5.08</v>
      </c>
      <c r="V340" s="6">
        <v>6.68</v>
      </c>
      <c r="W340" s="6">
        <v>5.13</v>
      </c>
      <c r="X340" s="6">
        <v>4.13</v>
      </c>
      <c r="Y340" s="6">
        <v>3.75</v>
      </c>
      <c r="Z340" s="6">
        <v>6.06</v>
      </c>
      <c r="AA340" s="6">
        <v>5.31</v>
      </c>
      <c r="AB340" s="6">
        <v>4.3899999999999997</v>
      </c>
      <c r="AC340" s="6">
        <v>5.5</v>
      </c>
      <c r="AD340" s="6">
        <v>5.23</v>
      </c>
      <c r="AE340" s="6">
        <v>4.79</v>
      </c>
      <c r="AF340" s="6">
        <v>6.64</v>
      </c>
      <c r="AG340" s="6">
        <v>5.28</v>
      </c>
      <c r="AH340" s="6">
        <v>6.41</v>
      </c>
      <c r="AI340" s="6">
        <v>5.31</v>
      </c>
      <c r="AJ340" s="6">
        <v>5.29</v>
      </c>
      <c r="AK340" s="6">
        <v>3.55</v>
      </c>
      <c r="AL340" s="6">
        <v>5.73</v>
      </c>
      <c r="AM340" s="6">
        <v>4.87</v>
      </c>
      <c r="AN340" s="6">
        <v>6.33</v>
      </c>
      <c r="AO340" s="6">
        <v>6.21</v>
      </c>
      <c r="AP340" s="6">
        <v>3.99</v>
      </c>
      <c r="AQ340" s="6">
        <v>3.86</v>
      </c>
      <c r="AR340" s="6">
        <v>4.07</v>
      </c>
      <c r="AS340" s="6">
        <v>4.96</v>
      </c>
      <c r="AT340" s="6">
        <v>6.16</v>
      </c>
      <c r="AU340" s="6">
        <v>8.73</v>
      </c>
      <c r="AV340" s="6">
        <v>4.99</v>
      </c>
      <c r="AW340" s="6">
        <v>7.35</v>
      </c>
      <c r="AX340" s="6">
        <v>5.51</v>
      </c>
      <c r="AY340" s="6">
        <v>4.9800000000000004</v>
      </c>
      <c r="AZ340" s="6">
        <v>4.8499999999999996</v>
      </c>
      <c r="BA340" s="6">
        <v>5.08</v>
      </c>
      <c r="BB340" s="6">
        <v>6.76</v>
      </c>
      <c r="BC340" s="6">
        <f>5.78+0.43</f>
        <v>6.21</v>
      </c>
      <c r="BD340" s="6">
        <v>5.21</v>
      </c>
      <c r="BE340" s="6">
        <v>6.4</v>
      </c>
      <c r="BF340" s="6">
        <v>3.72</v>
      </c>
      <c r="BG340" s="6">
        <v>5.21</v>
      </c>
      <c r="BH340" s="6">
        <v>5.18</v>
      </c>
      <c r="BI340" s="6">
        <v>5.0599999999999996</v>
      </c>
      <c r="BJ340" s="6">
        <v>4.37</v>
      </c>
      <c r="BK340" s="6">
        <v>5.69</v>
      </c>
      <c r="BL340" s="6">
        <v>6.83</v>
      </c>
      <c r="BM340" s="6">
        <v>5.59</v>
      </c>
      <c r="BN340" s="6">
        <v>6.23</v>
      </c>
      <c r="BO340" s="6">
        <v>6.18</v>
      </c>
      <c r="BP340" s="6">
        <v>5.35</v>
      </c>
      <c r="BQ340" s="6">
        <v>6.84</v>
      </c>
      <c r="BR340" s="6">
        <v>3.6</v>
      </c>
      <c r="BS340" s="6">
        <v>6.9</v>
      </c>
      <c r="BT340" s="6">
        <v>6.93</v>
      </c>
      <c r="BU340" s="6">
        <v>4.7249999999999996</v>
      </c>
      <c r="BV340" s="6">
        <v>5.64</v>
      </c>
      <c r="BW340" s="6">
        <v>5.67</v>
      </c>
      <c r="BX340" s="6">
        <v>4.5699999999999994</v>
      </c>
      <c r="BY340" s="6">
        <v>5.33</v>
      </c>
      <c r="BZ340" s="6">
        <v>4.72</v>
      </c>
      <c r="CA340" s="6">
        <v>5.3199999999999994</v>
      </c>
      <c r="CB340" s="6">
        <v>5.04</v>
      </c>
      <c r="CC340" s="6">
        <v>5.9899999999999993</v>
      </c>
      <c r="CD340" s="6">
        <v>5.1099999999999994</v>
      </c>
      <c r="CE340" s="6">
        <v>7.92</v>
      </c>
      <c r="CF340" s="6">
        <v>3.29</v>
      </c>
      <c r="CG340" s="6">
        <v>4.2699999999999996</v>
      </c>
      <c r="CH340" s="6"/>
    </row>
    <row r="341" spans="1:86" ht="15.75" customHeight="1" x14ac:dyDescent="0.25">
      <c r="A341" s="4">
        <v>339</v>
      </c>
      <c r="B341" s="2"/>
      <c r="C341" s="4">
        <v>5</v>
      </c>
      <c r="D341" s="6">
        <v>3.63</v>
      </c>
      <c r="E341" s="6">
        <v>5.13</v>
      </c>
      <c r="F341" s="6">
        <v>4.2300000000000004</v>
      </c>
      <c r="G341" s="6">
        <v>4.58</v>
      </c>
      <c r="H341" s="6">
        <v>4.38</v>
      </c>
      <c r="I341" s="6">
        <v>5.53</v>
      </c>
      <c r="J341" s="6">
        <v>5.93</v>
      </c>
      <c r="K341" s="6">
        <v>3.73</v>
      </c>
      <c r="L341" s="6">
        <v>4.78</v>
      </c>
      <c r="M341" s="6">
        <v>4.63</v>
      </c>
      <c r="N341" s="6">
        <v>4.93</v>
      </c>
      <c r="O341" s="6">
        <v>7.13</v>
      </c>
      <c r="P341" s="6">
        <v>6.19</v>
      </c>
      <c r="Q341" s="6">
        <v>5.63</v>
      </c>
      <c r="R341" s="6">
        <v>4.43</v>
      </c>
      <c r="S341" s="6">
        <v>3.33</v>
      </c>
      <c r="T341" s="6">
        <v>5.83</v>
      </c>
      <c r="U341" s="6">
        <v>5.08</v>
      </c>
      <c r="V341" s="6">
        <v>6.68</v>
      </c>
      <c r="W341" s="6">
        <v>4.9800000000000004</v>
      </c>
      <c r="X341" s="6">
        <v>4.13</v>
      </c>
      <c r="Y341" s="6">
        <v>3.73</v>
      </c>
      <c r="Z341" s="6">
        <v>6.06</v>
      </c>
      <c r="AA341" s="6">
        <v>5.35</v>
      </c>
      <c r="AB341" s="6">
        <v>4.1900000000000004</v>
      </c>
      <c r="AC341" s="6">
        <v>5.34</v>
      </c>
      <c r="AD341" s="6">
        <v>5.33</v>
      </c>
      <c r="AE341" s="6">
        <v>4.66</v>
      </c>
      <c r="AF341" s="6">
        <v>6.33</v>
      </c>
      <c r="AG341" s="6">
        <v>5.08</v>
      </c>
      <c r="AH341" s="6">
        <v>6.15</v>
      </c>
      <c r="AI341" s="6">
        <v>5.17</v>
      </c>
      <c r="AJ341" s="6">
        <v>5.45</v>
      </c>
      <c r="AK341" s="6">
        <v>3.49</v>
      </c>
      <c r="AL341" s="6">
        <v>5.53</v>
      </c>
      <c r="AM341" s="6">
        <v>4.7699999999999996</v>
      </c>
      <c r="AN341" s="6">
        <v>6.01</v>
      </c>
      <c r="AO341" s="6">
        <v>6.01</v>
      </c>
      <c r="AP341" s="6">
        <v>3.96</v>
      </c>
      <c r="AQ341" s="6">
        <v>3.84</v>
      </c>
      <c r="AR341" s="6">
        <v>4</v>
      </c>
      <c r="AS341" s="6">
        <v>4.9000000000000004</v>
      </c>
      <c r="AT341" s="6">
        <v>6.13</v>
      </c>
      <c r="AU341" s="6">
        <v>8.6300000000000008</v>
      </c>
      <c r="AV341" s="6">
        <v>4.96</v>
      </c>
      <c r="AW341" s="6">
        <v>7.11</v>
      </c>
      <c r="AX341" s="6">
        <v>5.49</v>
      </c>
      <c r="AY341" s="6">
        <v>5.23</v>
      </c>
      <c r="AZ341" s="6">
        <v>4.83</v>
      </c>
      <c r="BA341" s="6">
        <v>5.09</v>
      </c>
      <c r="BB341" s="6">
        <v>6.8</v>
      </c>
      <c r="BC341" s="6">
        <f t="shared" ref="BC341:BC342" si="22">5.68+0.43</f>
        <v>6.1099999999999994</v>
      </c>
      <c r="BD341" s="6">
        <v>5.21</v>
      </c>
      <c r="BE341" s="6">
        <v>6.16</v>
      </c>
      <c r="BF341" s="6">
        <v>3.69</v>
      </c>
      <c r="BG341" s="6">
        <v>5.21</v>
      </c>
      <c r="BH341" s="6">
        <v>5.0199999999999996</v>
      </c>
      <c r="BI341" s="6">
        <v>5.0599999999999996</v>
      </c>
      <c r="BJ341" s="6">
        <v>4.24</v>
      </c>
      <c r="BK341" s="6">
        <v>5.69</v>
      </c>
      <c r="BL341" s="6">
        <v>6.77</v>
      </c>
      <c r="BM341" s="6">
        <v>5.53</v>
      </c>
      <c r="BN341" s="6">
        <v>6.16</v>
      </c>
      <c r="BO341" s="6">
        <v>6.24</v>
      </c>
      <c r="BP341" s="6">
        <v>5.29</v>
      </c>
      <c r="BQ341" s="6">
        <v>6.8</v>
      </c>
      <c r="BR341" s="6">
        <v>3.55</v>
      </c>
      <c r="BS341" s="6">
        <v>6.94</v>
      </c>
      <c r="BT341" s="6">
        <v>6.84</v>
      </c>
      <c r="BU341" s="6">
        <v>4.5999999999999996</v>
      </c>
      <c r="BV341" s="6">
        <v>5.63</v>
      </c>
      <c r="BW341" s="6">
        <v>5.6099999999999994</v>
      </c>
      <c r="BX341" s="6">
        <v>4.4899999999999993</v>
      </c>
      <c r="BY341" s="6">
        <v>5.3</v>
      </c>
      <c r="BZ341" s="6">
        <v>4.71</v>
      </c>
      <c r="CA341" s="6">
        <v>5.26</v>
      </c>
      <c r="CB341" s="6">
        <v>5.04</v>
      </c>
      <c r="CC341" s="6">
        <v>5.9399999999999995</v>
      </c>
      <c r="CD341" s="6">
        <v>4.97</v>
      </c>
      <c r="CE341" s="6">
        <v>7.87</v>
      </c>
      <c r="CF341" s="6">
        <v>3.29</v>
      </c>
      <c r="CG341" s="6">
        <v>4.21</v>
      </c>
      <c r="CH341" s="6"/>
    </row>
    <row r="342" spans="1:86" ht="15.75" customHeight="1" x14ac:dyDescent="0.25">
      <c r="A342" s="4">
        <v>340</v>
      </c>
      <c r="B342" s="2"/>
      <c r="C342" s="4">
        <v>6</v>
      </c>
      <c r="D342" s="6">
        <v>3.53</v>
      </c>
      <c r="E342" s="6">
        <v>5.03</v>
      </c>
      <c r="F342" s="6">
        <v>4.13</v>
      </c>
      <c r="G342" s="6">
        <v>4.4800000000000004</v>
      </c>
      <c r="H342" s="6">
        <v>4.13</v>
      </c>
      <c r="I342" s="6">
        <v>5.43</v>
      </c>
      <c r="J342" s="6">
        <v>5.93</v>
      </c>
      <c r="K342" s="6">
        <v>3.73</v>
      </c>
      <c r="L342" s="6">
        <v>4.68</v>
      </c>
      <c r="M342" s="6">
        <v>4.63</v>
      </c>
      <c r="N342" s="6">
        <v>4.93</v>
      </c>
      <c r="O342" s="6">
        <v>7.08</v>
      </c>
      <c r="P342" s="6">
        <v>6.13</v>
      </c>
      <c r="Q342" s="6">
        <v>5.48</v>
      </c>
      <c r="R342" s="6">
        <v>4.43</v>
      </c>
      <c r="S342" s="6">
        <v>3.33</v>
      </c>
      <c r="T342" s="6">
        <v>5.73</v>
      </c>
      <c r="U342" s="6">
        <v>5.08</v>
      </c>
      <c r="V342" s="6">
        <v>6.63</v>
      </c>
      <c r="W342" s="6">
        <v>4.83</v>
      </c>
      <c r="X342" s="6">
        <v>4.18</v>
      </c>
      <c r="Y342" s="6">
        <v>3.61</v>
      </c>
      <c r="Z342" s="6">
        <v>5.88</v>
      </c>
      <c r="AA342" s="6">
        <v>5.38</v>
      </c>
      <c r="AB342" s="6">
        <v>4.01</v>
      </c>
      <c r="AC342" s="6">
        <v>5.16</v>
      </c>
      <c r="AD342" s="6">
        <v>5.29</v>
      </c>
      <c r="AE342" s="6">
        <v>4.4000000000000004</v>
      </c>
      <c r="AF342" s="6">
        <v>6</v>
      </c>
      <c r="AG342" s="6">
        <v>5</v>
      </c>
      <c r="AH342" s="6">
        <v>5.97</v>
      </c>
      <c r="AI342" s="6">
        <v>5.07</v>
      </c>
      <c r="AJ342" s="6">
        <v>5.57</v>
      </c>
      <c r="AK342" s="6">
        <v>3.45</v>
      </c>
      <c r="AL342" s="6">
        <v>5.35</v>
      </c>
      <c r="AM342" s="6">
        <v>4.78</v>
      </c>
      <c r="AN342" s="6">
        <v>5.88</v>
      </c>
      <c r="AO342" s="6">
        <v>5.78</v>
      </c>
      <c r="AP342" s="6">
        <v>3.95</v>
      </c>
      <c r="AQ342" s="6">
        <v>4</v>
      </c>
      <c r="AR342" s="6">
        <v>3.95</v>
      </c>
      <c r="AS342" s="6">
        <v>4.82</v>
      </c>
      <c r="AT342" s="6">
        <v>6.13</v>
      </c>
      <c r="AU342" s="6">
        <v>8.5399999999999991</v>
      </c>
      <c r="AV342" s="6">
        <v>4.91</v>
      </c>
      <c r="AW342" s="6">
        <v>6.93</v>
      </c>
      <c r="AX342" s="6">
        <v>5.4</v>
      </c>
      <c r="AY342" s="6">
        <v>5.43</v>
      </c>
      <c r="AZ342" s="6">
        <v>4.82</v>
      </c>
      <c r="BA342" s="6">
        <v>5.01</v>
      </c>
      <c r="BB342" s="6">
        <v>6.73</v>
      </c>
      <c r="BC342" s="6">
        <f t="shared" si="22"/>
        <v>6.1099999999999994</v>
      </c>
      <c r="BD342" s="6">
        <v>5.1100000000000003</v>
      </c>
      <c r="BE342" s="6">
        <v>5.88</v>
      </c>
      <c r="BF342" s="6">
        <v>3.56</v>
      </c>
      <c r="BG342" s="6">
        <v>5.21</v>
      </c>
      <c r="BH342" s="6">
        <v>5.01</v>
      </c>
      <c r="BI342" s="6">
        <v>5.01</v>
      </c>
      <c r="BJ342" s="6">
        <v>4.17</v>
      </c>
      <c r="BK342" s="6">
        <v>5.49</v>
      </c>
      <c r="BL342" s="6">
        <v>6.61</v>
      </c>
      <c r="BM342" s="6">
        <v>5.48</v>
      </c>
      <c r="BN342" s="6">
        <v>6.12</v>
      </c>
      <c r="BO342" s="6">
        <v>6.23</v>
      </c>
      <c r="BP342" s="6">
        <v>5.17</v>
      </c>
      <c r="BQ342" s="6">
        <v>6.76</v>
      </c>
      <c r="BR342" s="6">
        <v>3.43</v>
      </c>
      <c r="BS342" s="6">
        <v>7.03</v>
      </c>
      <c r="BT342" s="6">
        <v>6.99</v>
      </c>
      <c r="BU342" s="6">
        <v>4.51</v>
      </c>
      <c r="BV342" s="6">
        <v>5.43</v>
      </c>
      <c r="BW342" s="6">
        <v>5.55</v>
      </c>
      <c r="BX342" s="6">
        <v>4.37</v>
      </c>
      <c r="BY342" s="6">
        <v>5.3</v>
      </c>
      <c r="BZ342" s="6">
        <v>4.71</v>
      </c>
      <c r="CA342" s="6">
        <v>5.0599999999999996</v>
      </c>
      <c r="CB342" s="6">
        <v>4.93</v>
      </c>
      <c r="CC342" s="6">
        <v>5.89</v>
      </c>
      <c r="CD342" s="6">
        <v>4.8999999999999995</v>
      </c>
      <c r="CE342" s="6">
        <v>7.5699999999999994</v>
      </c>
      <c r="CF342" s="6">
        <v>3.21</v>
      </c>
      <c r="CG342" s="6">
        <v>4.2699999999999996</v>
      </c>
      <c r="CH342" s="6"/>
    </row>
    <row r="343" spans="1:86" ht="15.75" customHeight="1" x14ac:dyDescent="0.25">
      <c r="A343" s="4">
        <v>341</v>
      </c>
      <c r="B343" s="2"/>
      <c r="C343" s="4">
        <v>7</v>
      </c>
      <c r="D343" s="6">
        <v>3.43</v>
      </c>
      <c r="E343" s="6">
        <v>4.93</v>
      </c>
      <c r="F343" s="6">
        <v>4.03</v>
      </c>
      <c r="G343" s="6">
        <v>4.43</v>
      </c>
      <c r="H343" s="6">
        <v>4.03</v>
      </c>
      <c r="I343" s="6">
        <v>5.33</v>
      </c>
      <c r="J343" s="6">
        <v>5.93</v>
      </c>
      <c r="K343" s="6">
        <v>3.68</v>
      </c>
      <c r="L343" s="6">
        <v>4.7300000000000004</v>
      </c>
      <c r="M343" s="6">
        <v>4.58</v>
      </c>
      <c r="N343" s="6">
        <v>5.03</v>
      </c>
      <c r="O343" s="6">
        <v>7.03</v>
      </c>
      <c r="P343" s="6">
        <v>6.03</v>
      </c>
      <c r="Q343" s="6">
        <v>5.43</v>
      </c>
      <c r="R343" s="6">
        <v>4.4800000000000004</v>
      </c>
      <c r="S343" s="6">
        <v>3.28</v>
      </c>
      <c r="T343" s="6">
        <v>5.58</v>
      </c>
      <c r="U343" s="6">
        <v>5.05</v>
      </c>
      <c r="V343" s="6">
        <v>6.48</v>
      </c>
      <c r="W343" s="6">
        <v>4.7300000000000004</v>
      </c>
      <c r="X343" s="6">
        <v>4.2300000000000004</v>
      </c>
      <c r="Y343" s="6">
        <v>3.52</v>
      </c>
      <c r="Z343" s="6">
        <v>5.75</v>
      </c>
      <c r="AA343" s="6">
        <v>5.37</v>
      </c>
      <c r="AB343" s="6">
        <v>3.89</v>
      </c>
      <c r="AC343" s="6">
        <v>5.03</v>
      </c>
      <c r="AD343" s="6">
        <v>5.2</v>
      </c>
      <c r="AE343" s="6">
        <v>4.28</v>
      </c>
      <c r="AF343" s="6">
        <v>5.79</v>
      </c>
      <c r="AG343" s="6">
        <v>4.91</v>
      </c>
      <c r="AH343" s="6">
        <v>5.88</v>
      </c>
      <c r="AI343" s="6">
        <v>4.97</v>
      </c>
      <c r="AJ343" s="6">
        <v>5.5</v>
      </c>
      <c r="AK343" s="6">
        <v>3.56</v>
      </c>
      <c r="AL343" s="6">
        <v>5.17</v>
      </c>
      <c r="AM343" s="6">
        <v>4.83</v>
      </c>
      <c r="AN343" s="6">
        <v>5.83</v>
      </c>
      <c r="AO343" s="6">
        <v>5.58</v>
      </c>
      <c r="AP343" s="6">
        <v>3.71</v>
      </c>
      <c r="AQ343" s="6">
        <v>4.12</v>
      </c>
      <c r="AR343" s="6">
        <v>3.99</v>
      </c>
      <c r="AS343" s="6">
        <v>4.72</v>
      </c>
      <c r="AT343" s="6">
        <v>6.11</v>
      </c>
      <c r="AU343" s="6">
        <v>8.48</v>
      </c>
      <c r="AV343" s="6">
        <v>4.83</v>
      </c>
      <c r="AW343" s="6">
        <v>6.81</v>
      </c>
      <c r="AX343" s="6">
        <v>5.35</v>
      </c>
      <c r="AY343" s="6">
        <v>5.46</v>
      </c>
      <c r="AZ343" s="6">
        <v>4.82</v>
      </c>
      <c r="BA343" s="6">
        <v>4.8600000000000003</v>
      </c>
      <c r="BB343" s="6">
        <v>6.62</v>
      </c>
      <c r="BC343" s="6">
        <f t="shared" ref="BC343:BC344" si="23">5.65+0.43</f>
        <v>6.08</v>
      </c>
      <c r="BD343" s="6">
        <v>5.01</v>
      </c>
      <c r="BE343" s="6">
        <v>5.79</v>
      </c>
      <c r="BF343" s="6">
        <v>3.47</v>
      </c>
      <c r="BG343" s="6">
        <v>5.21</v>
      </c>
      <c r="BH343" s="6">
        <v>5</v>
      </c>
      <c r="BI343" s="6">
        <v>4.9000000000000004</v>
      </c>
      <c r="BJ343" s="6">
        <v>4.1399999999999997</v>
      </c>
      <c r="BK343" s="6">
        <v>5.39</v>
      </c>
      <c r="BL343" s="6">
        <v>6.44</v>
      </c>
      <c r="BM343" s="6">
        <v>5.48</v>
      </c>
      <c r="BN343" s="6">
        <v>6.07</v>
      </c>
      <c r="BO343" s="6">
        <v>6.18</v>
      </c>
      <c r="BP343" s="6">
        <v>5.09</v>
      </c>
      <c r="BQ343" s="6">
        <v>6.68</v>
      </c>
      <c r="BR343" s="6">
        <v>3.27</v>
      </c>
      <c r="BS343" s="6">
        <v>6.91</v>
      </c>
      <c r="BT343" s="6">
        <v>6.88</v>
      </c>
      <c r="BU343" s="6">
        <v>4.42</v>
      </c>
      <c r="BV343" s="6">
        <v>5.33</v>
      </c>
      <c r="BW343" s="6">
        <v>5.51</v>
      </c>
      <c r="BX343" s="6">
        <v>4.29</v>
      </c>
      <c r="BY343" s="6">
        <v>5.41</v>
      </c>
      <c r="BZ343" s="6">
        <v>4.71</v>
      </c>
      <c r="CA343" s="6">
        <v>4.97</v>
      </c>
      <c r="CB343" s="6">
        <v>4.75</v>
      </c>
      <c r="CC343" s="6">
        <v>5.79</v>
      </c>
      <c r="CD343" s="6">
        <v>4.8499999999999996</v>
      </c>
      <c r="CE343" s="6">
        <v>7.3199999999999994</v>
      </c>
      <c r="CF343" s="6">
        <v>3.15</v>
      </c>
      <c r="CG343" s="6">
        <v>4.22</v>
      </c>
      <c r="CH343" s="6"/>
    </row>
    <row r="344" spans="1:86" ht="15.75" customHeight="1" x14ac:dyDescent="0.25">
      <c r="A344" s="4">
        <v>342</v>
      </c>
      <c r="B344" s="2"/>
      <c r="C344" s="4">
        <v>8</v>
      </c>
      <c r="D344" s="6">
        <v>3.33</v>
      </c>
      <c r="E344" s="6">
        <v>4.83</v>
      </c>
      <c r="F344" s="6">
        <v>4.03</v>
      </c>
      <c r="G344" s="6">
        <v>4.38</v>
      </c>
      <c r="H344" s="6">
        <v>3.93</v>
      </c>
      <c r="I344" s="6">
        <v>5.33</v>
      </c>
      <c r="J344" s="6">
        <v>5.93</v>
      </c>
      <c r="K344" s="6">
        <v>3.68</v>
      </c>
      <c r="L344" s="6">
        <v>4.7300000000000004</v>
      </c>
      <c r="M344" s="6">
        <v>4.53</v>
      </c>
      <c r="N344" s="6">
        <v>5.03</v>
      </c>
      <c r="O344" s="6">
        <v>6.87</v>
      </c>
      <c r="P344" s="6">
        <v>5.98</v>
      </c>
      <c r="Q344" s="6">
        <v>5.33</v>
      </c>
      <c r="R344" s="6">
        <v>4.63</v>
      </c>
      <c r="S344" s="6">
        <v>3.23</v>
      </c>
      <c r="T344" s="6">
        <v>5.43</v>
      </c>
      <c r="U344" s="6">
        <v>4.93</v>
      </c>
      <c r="V344" s="6">
        <v>6.43</v>
      </c>
      <c r="W344" s="6">
        <v>4.63</v>
      </c>
      <c r="X344" s="6">
        <v>4.25</v>
      </c>
      <c r="Y344" s="6">
        <v>3.48</v>
      </c>
      <c r="Z344" s="6">
        <v>5.63</v>
      </c>
      <c r="AA344" s="6">
        <v>5.37</v>
      </c>
      <c r="AB344" s="6">
        <v>3.79</v>
      </c>
      <c r="AC344" s="6">
        <v>4.92</v>
      </c>
      <c r="AD344" s="6">
        <v>5.24</v>
      </c>
      <c r="AE344" s="6">
        <v>4.1399999999999997</v>
      </c>
      <c r="AF344" s="6">
        <v>5.52</v>
      </c>
      <c r="AG344" s="6">
        <v>4.68</v>
      </c>
      <c r="AH344" s="6">
        <v>6.08</v>
      </c>
      <c r="AI344" s="6">
        <v>4.88</v>
      </c>
      <c r="AJ344" s="6">
        <v>5.37</v>
      </c>
      <c r="AK344" s="6">
        <v>3.79</v>
      </c>
      <c r="AL344" s="6">
        <v>4.9800000000000004</v>
      </c>
      <c r="AM344" s="6">
        <v>4.83</v>
      </c>
      <c r="AN344" s="6">
        <v>5.73</v>
      </c>
      <c r="AO344" s="6">
        <v>5.38</v>
      </c>
      <c r="AP344" s="6">
        <v>3.58</v>
      </c>
      <c r="AQ344" s="6">
        <v>4.07</v>
      </c>
      <c r="AR344" s="6">
        <v>3.99</v>
      </c>
      <c r="AS344" s="6">
        <v>4.6100000000000003</v>
      </c>
      <c r="AT344" s="6">
        <v>6.08</v>
      </c>
      <c r="AU344" s="6">
        <v>8.23</v>
      </c>
      <c r="AV344" s="6">
        <v>4.83</v>
      </c>
      <c r="AW344" s="6">
        <v>7.05</v>
      </c>
      <c r="AX344" s="6">
        <v>5.25</v>
      </c>
      <c r="AY344" s="6">
        <v>5.53</v>
      </c>
      <c r="AZ344" s="6">
        <v>4.88</v>
      </c>
      <c r="BA344" s="6">
        <v>4.8600000000000003</v>
      </c>
      <c r="BB344" s="6">
        <v>6.6</v>
      </c>
      <c r="BC344" s="6">
        <f t="shared" si="23"/>
        <v>6.08</v>
      </c>
      <c r="BD344" s="6">
        <v>4.8899999999999997</v>
      </c>
      <c r="BE344" s="6">
        <v>5.67</v>
      </c>
      <c r="BF344" s="6">
        <v>3.38</v>
      </c>
      <c r="BG344" s="6">
        <v>5.27</v>
      </c>
      <c r="BH344" s="6">
        <v>4.96</v>
      </c>
      <c r="BI344" s="6">
        <v>4.82</v>
      </c>
      <c r="BJ344" s="6">
        <v>4.0199999999999996</v>
      </c>
      <c r="BK344" s="6">
        <v>5.23</v>
      </c>
      <c r="BL344" s="6">
        <v>6.23</v>
      </c>
      <c r="BM344" s="6">
        <v>5.48</v>
      </c>
      <c r="BN344" s="6">
        <v>6.02</v>
      </c>
      <c r="BO344" s="6">
        <v>6.12</v>
      </c>
      <c r="BP344" s="6">
        <v>4.99</v>
      </c>
      <c r="BQ344" s="6">
        <v>6.68</v>
      </c>
      <c r="BR344" s="6">
        <v>3.23</v>
      </c>
      <c r="BS344" s="6">
        <v>6.93</v>
      </c>
      <c r="BT344" s="6">
        <v>6.88</v>
      </c>
      <c r="BU344" s="6">
        <v>4.32</v>
      </c>
      <c r="BV344" s="6">
        <v>5.1999999999999993</v>
      </c>
      <c r="BW344" s="6">
        <v>5.1899999999999995</v>
      </c>
      <c r="BX344" s="6">
        <v>4.34</v>
      </c>
      <c r="BY344" s="6">
        <v>5.43</v>
      </c>
      <c r="BZ344" s="6">
        <v>4.66</v>
      </c>
      <c r="CA344" s="6">
        <v>4.8499999999999996</v>
      </c>
      <c r="CB344" s="6">
        <v>4.6500000000000004</v>
      </c>
      <c r="CC344" s="6">
        <v>5.7399999999999993</v>
      </c>
      <c r="CD344" s="6">
        <v>4.8999999999999995</v>
      </c>
      <c r="CE344" s="6">
        <v>7.33</v>
      </c>
      <c r="CF344" s="6">
        <v>3.03</v>
      </c>
      <c r="CG344" s="6">
        <v>4.0999999999999996</v>
      </c>
      <c r="CH344" s="6"/>
    </row>
    <row r="345" spans="1:86" ht="15.75" customHeight="1" x14ac:dyDescent="0.25">
      <c r="A345" s="4">
        <v>343</v>
      </c>
      <c r="B345" s="2"/>
      <c r="C345" s="4">
        <v>9</v>
      </c>
      <c r="D345" s="6">
        <v>3.23</v>
      </c>
      <c r="E345" s="6">
        <v>4.78</v>
      </c>
      <c r="F345" s="6">
        <v>3.98</v>
      </c>
      <c r="G345" s="6">
        <v>4.28</v>
      </c>
      <c r="H345" s="6">
        <v>3.83</v>
      </c>
      <c r="I345" s="6">
        <v>5.23</v>
      </c>
      <c r="J345" s="6">
        <v>5.93</v>
      </c>
      <c r="K345" s="6">
        <v>3.63</v>
      </c>
      <c r="L345" s="6">
        <v>4.68</v>
      </c>
      <c r="M345" s="6">
        <v>4.53</v>
      </c>
      <c r="N345" s="6">
        <v>5.01</v>
      </c>
      <c r="O345" s="6">
        <v>6.73</v>
      </c>
      <c r="P345" s="6">
        <v>5.88</v>
      </c>
      <c r="Q345" s="6">
        <v>5.2</v>
      </c>
      <c r="R345" s="6">
        <v>4.63</v>
      </c>
      <c r="S345" s="6">
        <v>3.23</v>
      </c>
      <c r="T345" s="6">
        <v>5.23</v>
      </c>
      <c r="U345" s="6">
        <v>4.78</v>
      </c>
      <c r="V345" s="6">
        <v>6.33</v>
      </c>
      <c r="W345" s="6">
        <v>4.4800000000000004</v>
      </c>
      <c r="X345" s="6">
        <v>4.25</v>
      </c>
      <c r="Y345" s="6">
        <v>3.48</v>
      </c>
      <c r="Z345" s="6">
        <v>5.51</v>
      </c>
      <c r="AA345" s="6">
        <v>5.38</v>
      </c>
      <c r="AB345" s="6">
        <v>3.67</v>
      </c>
      <c r="AC345" s="6">
        <v>4.8</v>
      </c>
      <c r="AD345" s="6">
        <v>5.16</v>
      </c>
      <c r="AE345" s="6">
        <v>4.08</v>
      </c>
      <c r="AF345" s="6">
        <v>5.63</v>
      </c>
      <c r="AG345" s="6">
        <v>4.6500000000000004</v>
      </c>
      <c r="AH345" s="6">
        <v>5.97</v>
      </c>
      <c r="AI345" s="6">
        <v>4.7699999999999996</v>
      </c>
      <c r="AJ345" s="6">
        <v>5.54</v>
      </c>
      <c r="AK345" s="6">
        <v>3.79</v>
      </c>
      <c r="AL345" s="6">
        <v>4.79</v>
      </c>
      <c r="AM345" s="6">
        <v>4.75</v>
      </c>
      <c r="AN345" s="6">
        <v>5.65</v>
      </c>
      <c r="AO345" s="6">
        <v>5.36</v>
      </c>
      <c r="AP345" s="6">
        <v>3.6</v>
      </c>
      <c r="AQ345" s="6">
        <v>3.92</v>
      </c>
      <c r="AR345" s="6">
        <v>3.97</v>
      </c>
      <c r="AS345" s="6">
        <v>4.47</v>
      </c>
      <c r="AT345" s="6">
        <v>6.07</v>
      </c>
      <c r="AU345" s="6">
        <v>8.1300000000000008</v>
      </c>
      <c r="AV345" s="6">
        <v>4.83</v>
      </c>
      <c r="AW345" s="6">
        <v>7.21</v>
      </c>
      <c r="AX345" s="6">
        <v>5.18</v>
      </c>
      <c r="AY345" s="6">
        <v>5.53</v>
      </c>
      <c r="AZ345" s="6">
        <v>4.63</v>
      </c>
      <c r="BA345" s="6">
        <v>4.8600000000000003</v>
      </c>
      <c r="BB345" s="6">
        <v>6.6</v>
      </c>
      <c r="BC345" s="6">
        <f>5.6+0.43</f>
        <v>6.0299999999999994</v>
      </c>
      <c r="BD345" s="6">
        <v>4.6900000000000004</v>
      </c>
      <c r="BE345" s="6">
        <v>5.67</v>
      </c>
      <c r="BF345" s="6">
        <v>3.38</v>
      </c>
      <c r="BG345" s="6">
        <v>5.09</v>
      </c>
      <c r="BH345" s="6">
        <v>4.84</v>
      </c>
      <c r="BI345" s="6">
        <v>4.7699999999999996</v>
      </c>
      <c r="BJ345" s="6">
        <v>3.92</v>
      </c>
      <c r="BK345" s="6">
        <v>4.95</v>
      </c>
      <c r="BL345" s="6">
        <v>6.18</v>
      </c>
      <c r="BM345" s="6">
        <v>5.44</v>
      </c>
      <c r="BN345" s="6">
        <v>5.94</v>
      </c>
      <c r="BO345" s="6">
        <v>6.05</v>
      </c>
      <c r="BP345" s="6">
        <v>4.8600000000000003</v>
      </c>
      <c r="BQ345" s="6">
        <v>6.68</v>
      </c>
      <c r="BR345" s="6">
        <v>3.17</v>
      </c>
      <c r="BS345" s="6">
        <v>7.1</v>
      </c>
      <c r="BT345" s="6">
        <v>6.89</v>
      </c>
      <c r="BU345" s="6">
        <v>4.2</v>
      </c>
      <c r="BV345" s="6">
        <v>5.12</v>
      </c>
      <c r="BW345" s="6">
        <v>4.87</v>
      </c>
      <c r="BX345" s="6">
        <v>4.3499999999999996</v>
      </c>
      <c r="BY345" s="6">
        <v>5.4499999999999993</v>
      </c>
      <c r="BZ345" s="6">
        <v>4.5199999999999996</v>
      </c>
      <c r="CA345" s="6">
        <v>4.72</v>
      </c>
      <c r="CB345" s="6">
        <v>4.6500000000000004</v>
      </c>
      <c r="CC345" s="6">
        <v>5.6899999999999995</v>
      </c>
      <c r="CD345" s="6">
        <v>4.83</v>
      </c>
      <c r="CE345" s="6">
        <v>7.3999999999999995</v>
      </c>
      <c r="CF345" s="6">
        <v>3.07</v>
      </c>
      <c r="CG345" s="6">
        <v>4.07</v>
      </c>
      <c r="CH345" s="6"/>
    </row>
    <row r="346" spans="1:86" ht="15.75" customHeight="1" x14ac:dyDescent="0.25">
      <c r="A346" s="4">
        <v>344</v>
      </c>
      <c r="B346" s="2"/>
      <c r="C346" s="4">
        <v>10</v>
      </c>
      <c r="D346" s="6">
        <v>3.23</v>
      </c>
      <c r="E346" s="6">
        <v>4.7300000000000004</v>
      </c>
      <c r="F346" s="6">
        <v>3.93</v>
      </c>
      <c r="G346" s="6">
        <v>4.18</v>
      </c>
      <c r="H346" s="6">
        <v>3.73</v>
      </c>
      <c r="I346" s="6">
        <v>5.13</v>
      </c>
      <c r="J346" s="6">
        <v>5.83</v>
      </c>
      <c r="K346" s="6">
        <v>3.68</v>
      </c>
      <c r="L346" s="6">
        <v>4.6399999999999997</v>
      </c>
      <c r="M346" s="6">
        <v>4.43</v>
      </c>
      <c r="N346" s="6">
        <v>4.93</v>
      </c>
      <c r="O346" s="6">
        <v>6.61</v>
      </c>
      <c r="P346" s="6">
        <v>5.88</v>
      </c>
      <c r="Q346" s="6">
        <v>5.08</v>
      </c>
      <c r="R346" s="6">
        <v>4.53</v>
      </c>
      <c r="S346" s="6">
        <v>3.23</v>
      </c>
      <c r="T346" s="6">
        <v>5.15</v>
      </c>
      <c r="U346" s="6">
        <v>4.68</v>
      </c>
      <c r="V346" s="6">
        <v>6.33</v>
      </c>
      <c r="W346" s="6">
        <v>4.43</v>
      </c>
      <c r="X346" s="6">
        <v>4.2300000000000004</v>
      </c>
      <c r="Y346" s="6">
        <v>3.43</v>
      </c>
      <c r="Z346" s="6">
        <v>5.38</v>
      </c>
      <c r="AA346" s="6">
        <v>5.37</v>
      </c>
      <c r="AB346" s="6">
        <v>3.53</v>
      </c>
      <c r="AC346" s="6">
        <v>4.6399999999999997</v>
      </c>
      <c r="AD346" s="6">
        <v>4.96</v>
      </c>
      <c r="AE346" s="6">
        <v>4.03</v>
      </c>
      <c r="AF346" s="6">
        <v>5.33</v>
      </c>
      <c r="AG346" s="6">
        <v>4.53</v>
      </c>
      <c r="AH346" s="6">
        <v>5.75</v>
      </c>
      <c r="AI346" s="6">
        <v>4.72</v>
      </c>
      <c r="AJ346" s="6">
        <v>5.6</v>
      </c>
      <c r="AK346" s="6">
        <v>3.87</v>
      </c>
      <c r="AL346" s="6">
        <v>4.63</v>
      </c>
      <c r="AM346" s="6">
        <v>4.67</v>
      </c>
      <c r="AN346" s="6">
        <v>5.55</v>
      </c>
      <c r="AO346" s="6">
        <v>5.33</v>
      </c>
      <c r="AP346" s="6">
        <v>3.64</v>
      </c>
      <c r="AQ346" s="6">
        <v>3.94</v>
      </c>
      <c r="AR346" s="6">
        <v>3.95</v>
      </c>
      <c r="AS346" s="6">
        <v>4.3600000000000003</v>
      </c>
      <c r="AT346" s="6">
        <v>5.93</v>
      </c>
      <c r="AU346" s="6">
        <v>8.08</v>
      </c>
      <c r="AV346" s="6">
        <v>4.8499999999999996</v>
      </c>
      <c r="AW346" s="6">
        <v>7.22</v>
      </c>
      <c r="AX346" s="6">
        <v>4.82</v>
      </c>
      <c r="AY346" s="6">
        <v>5.56</v>
      </c>
      <c r="AZ346" s="6">
        <v>4.66</v>
      </c>
      <c r="BA346" s="6">
        <v>4.93</v>
      </c>
      <c r="BB346" s="6">
        <v>6.42</v>
      </c>
      <c r="BC346" s="6">
        <f>5.49+0.43</f>
        <v>5.92</v>
      </c>
      <c r="BD346" s="6">
        <v>4.6100000000000003</v>
      </c>
      <c r="BE346" s="6">
        <v>5.61</v>
      </c>
      <c r="BF346" s="6">
        <v>3.32</v>
      </c>
      <c r="BG346" s="6">
        <v>4.9400000000000004</v>
      </c>
      <c r="BH346" s="6">
        <v>4.74</v>
      </c>
      <c r="BI346" s="6">
        <v>4.7699999999999996</v>
      </c>
      <c r="BJ346" s="6">
        <v>3.82</v>
      </c>
      <c r="BK346" s="6">
        <v>4.84</v>
      </c>
      <c r="BL346" s="6">
        <v>6.13</v>
      </c>
      <c r="BM346" s="6">
        <v>5.4</v>
      </c>
      <c r="BN346" s="6">
        <v>5.92</v>
      </c>
      <c r="BO346" s="6">
        <v>5.92</v>
      </c>
      <c r="BP346" s="6">
        <v>4.7300000000000004</v>
      </c>
      <c r="BQ346" s="6">
        <v>6.68</v>
      </c>
      <c r="BR346" s="6">
        <v>3.13</v>
      </c>
      <c r="BS346" s="6">
        <v>6.74</v>
      </c>
      <c r="BT346" s="6">
        <v>6.86</v>
      </c>
      <c r="BU346" s="6">
        <v>4.17</v>
      </c>
      <c r="BV346" s="6">
        <v>5.01</v>
      </c>
      <c r="BW346" s="6">
        <v>4.72</v>
      </c>
      <c r="BX346" s="6">
        <v>4.3600000000000003</v>
      </c>
      <c r="BY346" s="6">
        <v>5.4899999999999993</v>
      </c>
      <c r="BZ346" s="6">
        <v>4.43</v>
      </c>
      <c r="CA346" s="6">
        <v>4.55</v>
      </c>
      <c r="CB346" s="6">
        <v>4.5999999999999996</v>
      </c>
      <c r="CC346" s="6">
        <v>5.64</v>
      </c>
      <c r="CD346" s="6">
        <v>4.75</v>
      </c>
      <c r="CE346" s="6">
        <v>7.46</v>
      </c>
      <c r="CF346" s="6">
        <v>3.01</v>
      </c>
      <c r="CG346" s="6">
        <v>3.85</v>
      </c>
      <c r="CH346" s="6"/>
    </row>
    <row r="347" spans="1:86" ht="15.75" customHeight="1" x14ac:dyDescent="0.25">
      <c r="A347" s="4">
        <v>345</v>
      </c>
      <c r="B347" s="2"/>
      <c r="C347" s="4">
        <v>11</v>
      </c>
      <c r="D347" s="6">
        <v>3.23</v>
      </c>
      <c r="E347" s="6">
        <v>4.68</v>
      </c>
      <c r="F347" s="6">
        <v>3.93</v>
      </c>
      <c r="G347" s="6">
        <v>4.13</v>
      </c>
      <c r="H347" s="6">
        <v>3.63</v>
      </c>
      <c r="I347" s="6">
        <v>5.03</v>
      </c>
      <c r="J347" s="6">
        <v>5.73</v>
      </c>
      <c r="K347" s="6">
        <v>3.68</v>
      </c>
      <c r="L347" s="6">
        <v>4.63</v>
      </c>
      <c r="M347" s="6">
        <v>4.38</v>
      </c>
      <c r="N347" s="6">
        <v>5.13</v>
      </c>
      <c r="O347" s="6">
        <v>6.43</v>
      </c>
      <c r="P347" s="6">
        <v>5.83</v>
      </c>
      <c r="Q347" s="6">
        <v>4.93</v>
      </c>
      <c r="R347" s="6">
        <v>4.46</v>
      </c>
      <c r="S347" s="6">
        <v>3.23</v>
      </c>
      <c r="T347" s="6">
        <v>5.03</v>
      </c>
      <c r="U347" s="6">
        <v>4.58</v>
      </c>
      <c r="V347" s="6">
        <v>6.33</v>
      </c>
      <c r="W347" s="6">
        <v>4.33</v>
      </c>
      <c r="X347" s="6">
        <v>4.18</v>
      </c>
      <c r="Y347" s="6">
        <v>3.3</v>
      </c>
      <c r="Z347" s="6">
        <v>5.25</v>
      </c>
      <c r="AA347" s="6">
        <v>5.36</v>
      </c>
      <c r="AB347" s="6">
        <v>3.42</v>
      </c>
      <c r="AC347" s="6">
        <v>4.49</v>
      </c>
      <c r="AD347" s="6">
        <v>4.8899999999999997</v>
      </c>
      <c r="AE347" s="6">
        <v>4.01</v>
      </c>
      <c r="AF347" s="6">
        <v>5.32</v>
      </c>
      <c r="AG347" s="6">
        <v>4.49</v>
      </c>
      <c r="AH347" s="6">
        <v>5.79</v>
      </c>
      <c r="AI347" s="6">
        <v>4.6500000000000004</v>
      </c>
      <c r="AJ347" s="6">
        <v>5.55</v>
      </c>
      <c r="AK347" s="6">
        <v>3.97</v>
      </c>
      <c r="AL347" s="6">
        <v>4.47</v>
      </c>
      <c r="AM347" s="6">
        <v>4.57</v>
      </c>
      <c r="AN347" s="6">
        <v>5.53</v>
      </c>
      <c r="AO347" s="6">
        <v>5.15</v>
      </c>
      <c r="AP347" s="6">
        <v>3.62</v>
      </c>
      <c r="AQ347" s="6">
        <v>3.92</v>
      </c>
      <c r="AR347" s="6">
        <v>3.92</v>
      </c>
      <c r="AS347" s="6">
        <v>4.2699999999999996</v>
      </c>
      <c r="AT347" s="6">
        <v>5.81</v>
      </c>
      <c r="AU347" s="6">
        <v>7.98</v>
      </c>
      <c r="AV347" s="6">
        <v>4.8499999999999996</v>
      </c>
      <c r="AW347" s="6">
        <v>7.19</v>
      </c>
      <c r="AX347" s="6">
        <v>4.7300000000000004</v>
      </c>
      <c r="AY347" s="6">
        <v>5.56</v>
      </c>
      <c r="AZ347" s="6">
        <v>4.6100000000000003</v>
      </c>
      <c r="BA347" s="6">
        <v>4.93</v>
      </c>
      <c r="BB347" s="6">
        <v>6.23</v>
      </c>
      <c r="BC347" s="6">
        <f>5.42+0.43</f>
        <v>5.85</v>
      </c>
      <c r="BD347" s="6">
        <v>4.41</v>
      </c>
      <c r="BE347" s="6">
        <v>5.58</v>
      </c>
      <c r="BF347" s="6">
        <v>3.32</v>
      </c>
      <c r="BG347" s="6">
        <v>4.8099999999999996</v>
      </c>
      <c r="BH347" s="6">
        <v>4.63</v>
      </c>
      <c r="BI347" s="6">
        <v>4.62</v>
      </c>
      <c r="BJ347" s="6">
        <v>3.75</v>
      </c>
      <c r="BK347" s="6">
        <v>4.76</v>
      </c>
      <c r="BL347" s="6">
        <v>6.02</v>
      </c>
      <c r="BM347" s="6">
        <v>5.36</v>
      </c>
      <c r="BN347" s="6">
        <v>5.84</v>
      </c>
      <c r="BO347" s="6">
        <v>5.78</v>
      </c>
      <c r="BP347" s="6">
        <v>4.6500000000000004</v>
      </c>
      <c r="BQ347" s="6">
        <v>6.65</v>
      </c>
      <c r="BR347" s="6">
        <v>3.03</v>
      </c>
      <c r="BS347" s="6">
        <v>6.53</v>
      </c>
      <c r="BT347" s="6">
        <v>6.74</v>
      </c>
      <c r="BU347" s="6">
        <v>4.09</v>
      </c>
      <c r="BV347" s="6">
        <v>4.9899999999999993</v>
      </c>
      <c r="BW347" s="6">
        <v>4.5699999999999994</v>
      </c>
      <c r="BX347" s="6">
        <v>4.3499999999999996</v>
      </c>
      <c r="BY347" s="6">
        <v>5.51</v>
      </c>
      <c r="BZ347" s="6">
        <v>4.29</v>
      </c>
      <c r="CA347" s="6">
        <v>4.37</v>
      </c>
      <c r="CB347" s="6">
        <v>4.49</v>
      </c>
      <c r="CC347" s="6">
        <v>5.54</v>
      </c>
      <c r="CD347" s="6">
        <v>4.6099999999999994</v>
      </c>
      <c r="CE347" s="6">
        <v>7.42</v>
      </c>
      <c r="CF347" s="6">
        <v>2.99</v>
      </c>
      <c r="CG347" s="6">
        <v>3.9</v>
      </c>
      <c r="CH347" s="6"/>
    </row>
    <row r="348" spans="1:86" ht="15.75" customHeight="1" x14ac:dyDescent="0.25">
      <c r="A348" s="4">
        <v>346</v>
      </c>
      <c r="B348" s="2"/>
      <c r="C348" s="4">
        <v>12</v>
      </c>
      <c r="D348" s="6">
        <v>3.28</v>
      </c>
      <c r="E348" s="6">
        <v>4.53</v>
      </c>
      <c r="F348" s="6">
        <v>3.88</v>
      </c>
      <c r="G348" s="6">
        <v>4.03</v>
      </c>
      <c r="H348" s="6">
        <v>3.53</v>
      </c>
      <c r="I348" s="6">
        <v>4.83</v>
      </c>
      <c r="J348" s="6">
        <v>5.63</v>
      </c>
      <c r="K348" s="6">
        <v>3.73</v>
      </c>
      <c r="L348" s="6">
        <v>4.53</v>
      </c>
      <c r="M348" s="6">
        <v>4.33</v>
      </c>
      <c r="N348" s="6">
        <v>5.08</v>
      </c>
      <c r="O348" s="6">
        <v>6.33</v>
      </c>
      <c r="P348" s="6">
        <v>5.73</v>
      </c>
      <c r="Q348" s="6">
        <v>4.68</v>
      </c>
      <c r="R348" s="6">
        <v>4.3600000000000003</v>
      </c>
      <c r="S348" s="6">
        <v>3.18</v>
      </c>
      <c r="T348" s="6">
        <v>4.83</v>
      </c>
      <c r="U348" s="6">
        <v>4.53</v>
      </c>
      <c r="V348" s="6">
        <v>6.23</v>
      </c>
      <c r="W348" s="6">
        <v>4.2</v>
      </c>
      <c r="X348" s="6">
        <v>4.13</v>
      </c>
      <c r="Y348" s="6">
        <v>3.23</v>
      </c>
      <c r="Z348" s="6">
        <v>5.18</v>
      </c>
      <c r="AA348" s="6">
        <v>5.3</v>
      </c>
      <c r="AB348" s="6">
        <v>3.37</v>
      </c>
      <c r="AC348" s="6">
        <v>4.3499999999999996</v>
      </c>
      <c r="AD348" s="6">
        <v>4.8</v>
      </c>
      <c r="AE348" s="6">
        <v>4.17</v>
      </c>
      <c r="AF348" s="6">
        <v>5.34</v>
      </c>
      <c r="AG348" s="6">
        <v>4.3899999999999997</v>
      </c>
      <c r="AH348" s="6">
        <v>5.8</v>
      </c>
      <c r="AI348" s="6">
        <v>4.72</v>
      </c>
      <c r="AJ348" s="6">
        <v>5.43</v>
      </c>
      <c r="AK348" s="6">
        <v>3.91</v>
      </c>
      <c r="AL348" s="6">
        <v>4.33</v>
      </c>
      <c r="AM348" s="6">
        <v>4.53</v>
      </c>
      <c r="AN348" s="6">
        <v>5.49</v>
      </c>
      <c r="AO348" s="6">
        <v>4.9800000000000004</v>
      </c>
      <c r="AP348" s="6">
        <v>3.48</v>
      </c>
      <c r="AQ348" s="6">
        <v>3.91</v>
      </c>
      <c r="AR348" s="6">
        <v>3.86</v>
      </c>
      <c r="AS348" s="6">
        <v>4.22</v>
      </c>
      <c r="AT348" s="6">
        <v>5.69</v>
      </c>
      <c r="AU348" s="6">
        <v>7.88</v>
      </c>
      <c r="AV348" s="6">
        <v>4.8499999999999996</v>
      </c>
      <c r="AW348" s="6">
        <v>7.13</v>
      </c>
      <c r="AX348" s="6">
        <v>4.63</v>
      </c>
      <c r="AY348" s="6">
        <v>5.28</v>
      </c>
      <c r="AZ348" s="6">
        <v>4.55</v>
      </c>
      <c r="BA348" s="6">
        <v>4.93</v>
      </c>
      <c r="BB348" s="6">
        <v>6.11</v>
      </c>
      <c r="BC348" s="6">
        <f>5.25+0.43</f>
        <v>5.68</v>
      </c>
      <c r="BD348" s="6">
        <v>4.41</v>
      </c>
      <c r="BE348" s="6">
        <v>5.48</v>
      </c>
      <c r="BF348" s="6">
        <v>3.35</v>
      </c>
      <c r="BG348" s="6">
        <v>4.72</v>
      </c>
      <c r="BH348" s="6">
        <v>4.43</v>
      </c>
      <c r="BI348" s="6">
        <v>4.5599999999999996</v>
      </c>
      <c r="BJ348" s="6">
        <v>3.75</v>
      </c>
      <c r="BK348" s="6">
        <v>4.6500000000000004</v>
      </c>
      <c r="BL348" s="6">
        <v>5.91</v>
      </c>
      <c r="BM348" s="6">
        <v>5.31</v>
      </c>
      <c r="BN348" s="6">
        <v>5.69</v>
      </c>
      <c r="BO348" s="6">
        <v>5.67</v>
      </c>
      <c r="BP348" s="6">
        <v>4.57</v>
      </c>
      <c r="BQ348" s="6">
        <v>6.64</v>
      </c>
      <c r="BR348" s="6">
        <v>2.98</v>
      </c>
      <c r="BS348" s="6">
        <v>6.48</v>
      </c>
      <c r="BT348" s="6">
        <v>6.62</v>
      </c>
      <c r="BU348" s="6">
        <v>4.04</v>
      </c>
      <c r="BV348" s="6">
        <v>4.8999999999999995</v>
      </c>
      <c r="BW348" s="6">
        <v>4.5599999999999996</v>
      </c>
      <c r="BX348" s="6">
        <v>4.3099999999999996</v>
      </c>
      <c r="BY348" s="6">
        <v>5.43</v>
      </c>
      <c r="BZ348" s="6">
        <v>4.13</v>
      </c>
      <c r="CA348" s="6">
        <v>4.25</v>
      </c>
      <c r="CB348" s="6">
        <v>4.38</v>
      </c>
      <c r="CC348" s="6">
        <v>5.4899999999999993</v>
      </c>
      <c r="CD348" s="6">
        <v>4.6899999999999995</v>
      </c>
      <c r="CE348" s="6">
        <v>7.39</v>
      </c>
      <c r="CF348" s="6">
        <v>2.85</v>
      </c>
      <c r="CG348" s="6">
        <v>3.8</v>
      </c>
      <c r="CH348" s="6"/>
    </row>
    <row r="349" spans="1:86" ht="15.75" customHeight="1" x14ac:dyDescent="0.25">
      <c r="A349" s="4">
        <v>347</v>
      </c>
      <c r="B349" s="2"/>
      <c r="C349" s="4">
        <v>13</v>
      </c>
      <c r="D349" s="6">
        <v>3.33</v>
      </c>
      <c r="E349" s="6">
        <v>4.43</v>
      </c>
      <c r="F349" s="6">
        <v>3.83</v>
      </c>
      <c r="G349" s="6">
        <v>3.93</v>
      </c>
      <c r="H349" s="6">
        <v>3.43</v>
      </c>
      <c r="I349" s="6">
        <v>4.7300000000000004</v>
      </c>
      <c r="J349" s="6">
        <v>5.43</v>
      </c>
      <c r="K349" s="6">
        <v>3.68</v>
      </c>
      <c r="L349" s="6">
        <v>4.53</v>
      </c>
      <c r="M349" s="6">
        <v>4.2300000000000004</v>
      </c>
      <c r="N349" s="6">
        <v>4.93</v>
      </c>
      <c r="O349" s="6">
        <v>6.21</v>
      </c>
      <c r="P349" s="6">
        <v>5.58</v>
      </c>
      <c r="Q349" s="6">
        <v>4.4800000000000004</v>
      </c>
      <c r="R349" s="6">
        <v>4.2</v>
      </c>
      <c r="S349" s="6">
        <v>3.07</v>
      </c>
      <c r="T349" s="6">
        <v>4.78</v>
      </c>
      <c r="U349" s="6">
        <v>4.53</v>
      </c>
      <c r="V349" s="6">
        <v>6.13</v>
      </c>
      <c r="W349" s="6">
        <v>4.03</v>
      </c>
      <c r="X349" s="6">
        <v>4.1100000000000003</v>
      </c>
      <c r="Y349" s="6">
        <v>3.23</v>
      </c>
      <c r="Z349" s="6">
        <v>4.91</v>
      </c>
      <c r="AA349" s="6">
        <v>5.27</v>
      </c>
      <c r="AB349" s="6">
        <v>3.3</v>
      </c>
      <c r="AC349" s="6">
        <v>4.21</v>
      </c>
      <c r="AD349" s="6">
        <v>4.7</v>
      </c>
      <c r="AE349" s="6">
        <v>3.99</v>
      </c>
      <c r="AF349" s="6">
        <v>5.31</v>
      </c>
      <c r="AG349" s="6">
        <v>4.2</v>
      </c>
      <c r="AH349" s="6">
        <v>5.81</v>
      </c>
      <c r="AI349" s="6">
        <v>4.75</v>
      </c>
      <c r="AJ349" s="6">
        <v>5.38</v>
      </c>
      <c r="AK349" s="6">
        <v>3.84</v>
      </c>
      <c r="AL349" s="6">
        <v>4.13</v>
      </c>
      <c r="AM349" s="6">
        <v>4.49</v>
      </c>
      <c r="AN349" s="6">
        <v>5.36</v>
      </c>
      <c r="AO349" s="6">
        <v>4.78</v>
      </c>
      <c r="AP349" s="6">
        <v>3.5</v>
      </c>
      <c r="AQ349" s="6">
        <v>3.88</v>
      </c>
      <c r="AR349" s="6">
        <v>3.81</v>
      </c>
      <c r="AS349" s="6">
        <v>4.1900000000000004</v>
      </c>
      <c r="AT349" s="6">
        <v>5.61</v>
      </c>
      <c r="AU349" s="6">
        <v>7.74</v>
      </c>
      <c r="AV349" s="6">
        <v>4.79</v>
      </c>
      <c r="AW349" s="6">
        <v>7.08</v>
      </c>
      <c r="AX349" s="6">
        <v>4.58</v>
      </c>
      <c r="AY349" s="6">
        <v>5.08</v>
      </c>
      <c r="AZ349" s="6">
        <v>4.5</v>
      </c>
      <c r="BA349" s="6">
        <v>4.93</v>
      </c>
      <c r="BB349" s="6">
        <v>6.3</v>
      </c>
      <c r="BC349" s="6">
        <f>5.3+0.43</f>
        <v>5.7299999999999995</v>
      </c>
      <c r="BD349" s="6">
        <v>4.3099999999999996</v>
      </c>
      <c r="BE349" s="6">
        <v>5.48</v>
      </c>
      <c r="BF349" s="6">
        <v>3.35</v>
      </c>
      <c r="BG349" s="6">
        <v>4.5999999999999996</v>
      </c>
      <c r="BH349" s="6">
        <v>4.3600000000000003</v>
      </c>
      <c r="BI349" s="6">
        <v>4.5</v>
      </c>
      <c r="BJ349" s="6">
        <v>3.74</v>
      </c>
      <c r="BK349" s="6">
        <v>4.58</v>
      </c>
      <c r="BL349" s="6">
        <v>5.78</v>
      </c>
      <c r="BM349" s="6">
        <v>5.27</v>
      </c>
      <c r="BN349" s="6">
        <v>5.38</v>
      </c>
      <c r="BO349" s="6">
        <v>5.57</v>
      </c>
      <c r="BP349" s="6">
        <v>4.46</v>
      </c>
      <c r="BQ349" s="6">
        <v>6.58</v>
      </c>
      <c r="BR349" s="6">
        <v>2.93</v>
      </c>
      <c r="BS349" s="6">
        <v>6.28</v>
      </c>
      <c r="BT349" s="6">
        <v>6.55</v>
      </c>
      <c r="BU349" s="6">
        <v>3.948</v>
      </c>
      <c r="BV349" s="6">
        <v>4.8899999999999997</v>
      </c>
      <c r="BW349" s="6">
        <v>4.55</v>
      </c>
      <c r="BX349" s="6">
        <v>4.29</v>
      </c>
      <c r="BY349" s="6">
        <v>5.43</v>
      </c>
      <c r="BZ349" s="6">
        <v>4.13</v>
      </c>
      <c r="CA349" s="6">
        <v>4.18</v>
      </c>
      <c r="CB349" s="6">
        <v>4.38</v>
      </c>
      <c r="CC349" s="6">
        <v>5.4399999999999995</v>
      </c>
      <c r="CD349" s="6">
        <v>4.84</v>
      </c>
      <c r="CE349" s="6">
        <v>7.34</v>
      </c>
      <c r="CF349" s="6">
        <v>2.91</v>
      </c>
      <c r="CG349" s="6">
        <v>3.58</v>
      </c>
      <c r="CH349" s="6"/>
    </row>
    <row r="350" spans="1:86" ht="15.75" customHeight="1" x14ac:dyDescent="0.25">
      <c r="A350" s="4">
        <v>348</v>
      </c>
      <c r="B350" s="2"/>
      <c r="C350" s="4">
        <v>14</v>
      </c>
      <c r="D350" s="6">
        <v>3.33</v>
      </c>
      <c r="E350" s="6">
        <v>4.33</v>
      </c>
      <c r="F350" s="6">
        <v>3.83</v>
      </c>
      <c r="G350" s="6">
        <v>3.88</v>
      </c>
      <c r="H350" s="6">
        <v>3.38</v>
      </c>
      <c r="I350" s="6">
        <v>4.7300000000000004</v>
      </c>
      <c r="J350" s="6">
        <v>5.43</v>
      </c>
      <c r="K350" s="6">
        <v>3.83</v>
      </c>
      <c r="L350" s="6">
        <v>4.53</v>
      </c>
      <c r="M350" s="6">
        <v>4.18</v>
      </c>
      <c r="N350" s="6">
        <v>4.7300000000000004</v>
      </c>
      <c r="O350" s="6">
        <v>6.21</v>
      </c>
      <c r="P350" s="6">
        <v>5.43</v>
      </c>
      <c r="Q350" s="6">
        <v>4.3499999999999996</v>
      </c>
      <c r="R350" s="6">
        <v>4.08</v>
      </c>
      <c r="S350" s="6">
        <v>3.03</v>
      </c>
      <c r="T350" s="6">
        <v>4.78</v>
      </c>
      <c r="U350" s="6">
        <v>4.58</v>
      </c>
      <c r="V350" s="6">
        <v>5.98</v>
      </c>
      <c r="W350" s="6">
        <v>3.9</v>
      </c>
      <c r="X350" s="6">
        <v>4.13</v>
      </c>
      <c r="Y350" s="6">
        <v>3.28</v>
      </c>
      <c r="Z350" s="6">
        <v>4.71</v>
      </c>
      <c r="AA350" s="6">
        <v>5.27</v>
      </c>
      <c r="AB350" s="6">
        <v>3.24</v>
      </c>
      <c r="AC350" s="6">
        <v>4.07</v>
      </c>
      <c r="AD350" s="6">
        <v>4.57</v>
      </c>
      <c r="AE350" s="6">
        <v>3.9</v>
      </c>
      <c r="AF350" s="6">
        <v>5.46</v>
      </c>
      <c r="AG350" s="6">
        <v>4.07</v>
      </c>
      <c r="AH350" s="6">
        <v>5.83</v>
      </c>
      <c r="AI350" s="6">
        <v>4.7699999999999996</v>
      </c>
      <c r="AJ350" s="6">
        <v>5.29</v>
      </c>
      <c r="AK350" s="6">
        <v>3.79</v>
      </c>
      <c r="AL350" s="6">
        <v>3.99</v>
      </c>
      <c r="AM350" s="6">
        <v>4.43</v>
      </c>
      <c r="AN350" s="6">
        <v>5.23</v>
      </c>
      <c r="AO350" s="6">
        <v>4.53</v>
      </c>
      <c r="AP350" s="6">
        <v>3.48</v>
      </c>
      <c r="AQ350" s="6">
        <v>3.96</v>
      </c>
      <c r="AR350" s="6">
        <v>3.81</v>
      </c>
      <c r="AS350" s="6">
        <v>4.0999999999999996</v>
      </c>
      <c r="AT350" s="6">
        <v>5.51</v>
      </c>
      <c r="AU350" s="6">
        <v>7.68</v>
      </c>
      <c r="AV350" s="6">
        <v>4.71</v>
      </c>
      <c r="AW350" s="6">
        <v>7.07</v>
      </c>
      <c r="AX350" s="6">
        <v>4.63</v>
      </c>
      <c r="AY350" s="6">
        <v>4.9800000000000004</v>
      </c>
      <c r="AZ350" s="6">
        <v>4.45</v>
      </c>
      <c r="BA350" s="6">
        <v>4.9000000000000004</v>
      </c>
      <c r="BB350" s="6">
        <v>6.32</v>
      </c>
      <c r="BC350" s="6">
        <f>5.2+0.43</f>
        <v>5.63</v>
      </c>
      <c r="BD350" s="6">
        <v>4.2</v>
      </c>
      <c r="BE350" s="6">
        <v>5.48</v>
      </c>
      <c r="BF350" s="6">
        <v>3.28</v>
      </c>
      <c r="BG350" s="6">
        <v>4.57</v>
      </c>
      <c r="BH350" s="6">
        <v>4.33</v>
      </c>
      <c r="BI350" s="6">
        <v>4.5</v>
      </c>
      <c r="BJ350" s="6">
        <v>3.69</v>
      </c>
      <c r="BK350" s="6">
        <v>4.45</v>
      </c>
      <c r="BL350" s="6">
        <v>5.56</v>
      </c>
      <c r="BM350" s="6">
        <v>5.07</v>
      </c>
      <c r="BN350" s="6">
        <v>5.26</v>
      </c>
      <c r="BO350" s="6">
        <v>5.52</v>
      </c>
      <c r="BP350" s="6">
        <v>4.46</v>
      </c>
      <c r="BQ350" s="6">
        <v>6.58</v>
      </c>
      <c r="BR350" s="6">
        <v>2.74</v>
      </c>
      <c r="BS350" s="6">
        <v>6.07</v>
      </c>
      <c r="BT350" s="6">
        <v>6.48</v>
      </c>
      <c r="BU350" s="6">
        <v>3.83</v>
      </c>
      <c r="BV350" s="6">
        <v>4.79</v>
      </c>
      <c r="BW350" s="6">
        <v>4.375</v>
      </c>
      <c r="BX350" s="6">
        <v>4.18</v>
      </c>
      <c r="BY350" s="6">
        <v>5.51</v>
      </c>
      <c r="BZ350" s="6">
        <v>4.09</v>
      </c>
      <c r="CA350" s="6">
        <v>3.9200000000000004</v>
      </c>
      <c r="CB350" s="6">
        <v>4.38</v>
      </c>
      <c r="CC350" s="6">
        <v>5.39</v>
      </c>
      <c r="CD350" s="6">
        <v>4.6999999999999993</v>
      </c>
      <c r="CE350" s="6">
        <v>7.1</v>
      </c>
      <c r="CF350" s="6">
        <v>2.83</v>
      </c>
      <c r="CG350" s="6">
        <v>3.48</v>
      </c>
      <c r="CH350" s="6"/>
    </row>
    <row r="351" spans="1:86" ht="15.75" customHeight="1" x14ac:dyDescent="0.25">
      <c r="A351" s="4">
        <v>349</v>
      </c>
      <c r="B351" s="2"/>
      <c r="C351" s="4">
        <v>15</v>
      </c>
      <c r="D351" s="6">
        <v>3.28</v>
      </c>
      <c r="E351" s="6">
        <v>4.2300000000000004</v>
      </c>
      <c r="F351" s="6">
        <v>3.83</v>
      </c>
      <c r="G351" s="6">
        <v>3.73</v>
      </c>
      <c r="H351" s="6">
        <v>3.33</v>
      </c>
      <c r="I351" s="6">
        <v>4.53</v>
      </c>
      <c r="J351" s="6">
        <v>5.43</v>
      </c>
      <c r="K351" s="6">
        <v>3.88</v>
      </c>
      <c r="L351" s="6">
        <v>4.43</v>
      </c>
      <c r="M351" s="6">
        <v>4.18</v>
      </c>
      <c r="N351" s="6">
        <v>4.63</v>
      </c>
      <c r="O351" s="6">
        <v>6.23</v>
      </c>
      <c r="P351" s="6">
        <v>5.23</v>
      </c>
      <c r="Q351" s="6">
        <v>4.28</v>
      </c>
      <c r="R351" s="6">
        <v>4.03</v>
      </c>
      <c r="S351" s="6">
        <v>2.83</v>
      </c>
      <c r="T351" s="6">
        <v>4.7300000000000004</v>
      </c>
      <c r="U351" s="6">
        <v>4.63</v>
      </c>
      <c r="V351" s="6">
        <v>5.83</v>
      </c>
      <c r="W351" s="6">
        <v>3.76</v>
      </c>
      <c r="X351" s="6">
        <v>4.13</v>
      </c>
      <c r="Y351" s="6">
        <v>3.31</v>
      </c>
      <c r="Z351" s="6">
        <v>4.5199999999999996</v>
      </c>
      <c r="AA351" s="6">
        <v>5.25</v>
      </c>
      <c r="AB351" s="6">
        <v>3.2</v>
      </c>
      <c r="AC351" s="6">
        <v>3.86</v>
      </c>
      <c r="AD351" s="6">
        <v>4.51</v>
      </c>
      <c r="AE351" s="6">
        <v>3.84</v>
      </c>
      <c r="AF351" s="6">
        <v>5.43</v>
      </c>
      <c r="AG351" s="6">
        <v>3.97</v>
      </c>
      <c r="AH351" s="6">
        <v>5.8</v>
      </c>
      <c r="AI351" s="6">
        <v>4.63</v>
      </c>
      <c r="AJ351" s="6">
        <v>5.19</v>
      </c>
      <c r="AK351" s="6">
        <v>3.72</v>
      </c>
      <c r="AL351" s="6">
        <v>3.83</v>
      </c>
      <c r="AM351" s="6">
        <v>4.3899999999999997</v>
      </c>
      <c r="AN351" s="6">
        <v>5.15</v>
      </c>
      <c r="AO351" s="6">
        <v>4.3600000000000003</v>
      </c>
      <c r="AP351" s="6">
        <v>3.4</v>
      </c>
      <c r="AQ351" s="6">
        <v>3.94</v>
      </c>
      <c r="AR351" s="6">
        <v>3.82</v>
      </c>
      <c r="AS351" s="6">
        <v>4</v>
      </c>
      <c r="AT351" s="6">
        <v>5.48</v>
      </c>
      <c r="AU351" s="6">
        <v>7.53</v>
      </c>
      <c r="AV351" s="6">
        <v>4.6399999999999997</v>
      </c>
      <c r="AW351" s="6">
        <v>6.98</v>
      </c>
      <c r="AX351" s="6">
        <v>4.63</v>
      </c>
      <c r="AY351" s="6">
        <v>4.9800000000000004</v>
      </c>
      <c r="AZ351" s="6">
        <v>4.42</v>
      </c>
      <c r="BA351" s="6">
        <v>4.93</v>
      </c>
      <c r="BB351" s="6">
        <v>6.01</v>
      </c>
      <c r="BC351" s="6">
        <f>5.16+0.43</f>
        <v>5.59</v>
      </c>
      <c r="BD351" s="6">
        <v>4.0999999999999996</v>
      </c>
      <c r="BE351" s="6">
        <v>5.45</v>
      </c>
      <c r="BF351" s="6">
        <v>3.29</v>
      </c>
      <c r="BG351" s="6">
        <v>4.54</v>
      </c>
      <c r="BH351" s="6">
        <v>4.22</v>
      </c>
      <c r="BI351" s="6">
        <v>4.42</v>
      </c>
      <c r="BJ351" s="6">
        <v>3.67</v>
      </c>
      <c r="BK351" s="6">
        <v>4.4000000000000004</v>
      </c>
      <c r="BL351" s="6">
        <v>5.45</v>
      </c>
      <c r="BM351" s="6">
        <v>4.95</v>
      </c>
      <c r="BN351" s="6">
        <v>5.17</v>
      </c>
      <c r="BO351" s="6">
        <v>5.43</v>
      </c>
      <c r="BP351" s="6">
        <v>4.45</v>
      </c>
      <c r="BQ351" s="6">
        <v>6.5</v>
      </c>
      <c r="BR351" s="6">
        <v>2.74</v>
      </c>
      <c r="BS351" s="6">
        <v>5.87</v>
      </c>
      <c r="BT351" s="6">
        <v>6.4</v>
      </c>
      <c r="BU351" s="6">
        <v>3.66</v>
      </c>
      <c r="BV351" s="6">
        <v>4.84</v>
      </c>
      <c r="BW351" s="6">
        <v>4.32</v>
      </c>
      <c r="BX351" s="6">
        <v>4.13</v>
      </c>
      <c r="BY351" s="6">
        <v>5.52</v>
      </c>
      <c r="BZ351" s="6">
        <v>3.8800000000000003</v>
      </c>
      <c r="CA351" s="6">
        <v>3.94</v>
      </c>
      <c r="CB351" s="6">
        <v>4.3600000000000003</v>
      </c>
      <c r="CC351" s="6">
        <v>5.34</v>
      </c>
      <c r="CD351" s="6">
        <v>4.7399999999999993</v>
      </c>
      <c r="CE351" s="6">
        <v>6.71</v>
      </c>
      <c r="CF351" s="6">
        <v>2.79</v>
      </c>
      <c r="CG351" s="6">
        <v>3.35</v>
      </c>
      <c r="CH351" s="6"/>
    </row>
    <row r="352" spans="1:86" ht="15.75" customHeight="1" x14ac:dyDescent="0.25">
      <c r="A352" s="4">
        <v>350</v>
      </c>
      <c r="B352" s="2"/>
      <c r="C352" s="4">
        <v>16</v>
      </c>
      <c r="D352" s="6">
        <v>3.13</v>
      </c>
      <c r="E352" s="6">
        <v>4.18</v>
      </c>
      <c r="F352" s="6">
        <v>3.83</v>
      </c>
      <c r="G352" s="6">
        <v>3.63</v>
      </c>
      <c r="H352" s="6">
        <v>3.33</v>
      </c>
      <c r="I352" s="6">
        <v>4.43</v>
      </c>
      <c r="J352" s="6">
        <v>5.43</v>
      </c>
      <c r="K352" s="6">
        <v>3.83</v>
      </c>
      <c r="L352" s="6">
        <v>4.43</v>
      </c>
      <c r="M352" s="6">
        <v>4.08</v>
      </c>
      <c r="N352" s="6">
        <v>4.43</v>
      </c>
      <c r="O352" s="6">
        <v>6.08</v>
      </c>
      <c r="P352" s="6">
        <v>4.9400000000000004</v>
      </c>
      <c r="Q352" s="6">
        <v>4.17</v>
      </c>
      <c r="R352" s="6">
        <v>3.93</v>
      </c>
      <c r="S352" s="6">
        <v>2.78</v>
      </c>
      <c r="T352" s="6">
        <v>4.71</v>
      </c>
      <c r="U352" s="6">
        <v>4.8099999999999996</v>
      </c>
      <c r="V352" s="6">
        <v>5.66</v>
      </c>
      <c r="W352" s="6">
        <v>3.63</v>
      </c>
      <c r="X352" s="6">
        <v>4.13</v>
      </c>
      <c r="Y352" s="6">
        <v>3.33</v>
      </c>
      <c r="Z352" s="6">
        <v>4.3099999999999996</v>
      </c>
      <c r="AA352" s="6">
        <v>5.31</v>
      </c>
      <c r="AB352" s="6">
        <v>3.12</v>
      </c>
      <c r="AC352" s="6">
        <v>3.71</v>
      </c>
      <c r="AD352" s="6">
        <v>4.5</v>
      </c>
      <c r="AE352" s="6">
        <v>3.82</v>
      </c>
      <c r="AF352" s="6">
        <v>5.14</v>
      </c>
      <c r="AG352" s="6">
        <v>3.83</v>
      </c>
      <c r="AH352" s="6">
        <v>5.72</v>
      </c>
      <c r="AI352" s="6">
        <v>4.5</v>
      </c>
      <c r="AJ352" s="6">
        <v>5.31</v>
      </c>
      <c r="AK352" s="6">
        <v>3.63</v>
      </c>
      <c r="AL352" s="6">
        <v>3.67</v>
      </c>
      <c r="AM352" s="6">
        <v>4.4000000000000004</v>
      </c>
      <c r="AN352" s="6">
        <v>5.1100000000000003</v>
      </c>
      <c r="AO352" s="6">
        <v>4.22</v>
      </c>
      <c r="AP352" s="6">
        <v>3.36</v>
      </c>
      <c r="AQ352" s="6">
        <v>3.82</v>
      </c>
      <c r="AR352" s="6">
        <v>3.9</v>
      </c>
      <c r="AS352" s="6">
        <v>3.87</v>
      </c>
      <c r="AT352" s="6">
        <v>5.53</v>
      </c>
      <c r="AU352" s="6">
        <v>7.43</v>
      </c>
      <c r="AV352" s="6">
        <v>4.59</v>
      </c>
      <c r="AW352" s="6">
        <v>6.89</v>
      </c>
      <c r="AX352" s="6">
        <v>4.8499999999999996</v>
      </c>
      <c r="AY352" s="6">
        <v>4.91</v>
      </c>
      <c r="AZ352" s="6">
        <v>4.22</v>
      </c>
      <c r="BA352" s="6">
        <v>4.8899999999999997</v>
      </c>
      <c r="BB352" s="6">
        <v>5.77</v>
      </c>
      <c r="BC352" s="6">
        <f>5.02+0.43</f>
        <v>5.4499999999999993</v>
      </c>
      <c r="BD352" s="6">
        <v>3.99</v>
      </c>
      <c r="BE352" s="6">
        <v>5.42</v>
      </c>
      <c r="BF352" s="6">
        <v>3.24</v>
      </c>
      <c r="BG352" s="6">
        <v>4.54</v>
      </c>
      <c r="BH352" s="6">
        <v>3.99</v>
      </c>
      <c r="BI352" s="6">
        <v>4.3499999999999996</v>
      </c>
      <c r="BJ352" s="6">
        <v>3.56</v>
      </c>
      <c r="BK352" s="6">
        <v>4.29</v>
      </c>
      <c r="BL352" s="6">
        <v>5.42</v>
      </c>
      <c r="BM352" s="6">
        <v>4.87</v>
      </c>
      <c r="BN352" s="6">
        <v>5.1100000000000003</v>
      </c>
      <c r="BO352" s="6">
        <v>5.38</v>
      </c>
      <c r="BP352" s="6">
        <v>4.33</v>
      </c>
      <c r="BQ352" s="6">
        <v>6.26</v>
      </c>
      <c r="BR352" s="6">
        <v>2.74</v>
      </c>
      <c r="BS352" s="6">
        <v>5.7729999999999997</v>
      </c>
      <c r="BT352" s="6">
        <v>6.39</v>
      </c>
      <c r="BU352" s="6">
        <v>3.58</v>
      </c>
      <c r="BV352" s="6">
        <v>4.88</v>
      </c>
      <c r="BW352" s="6">
        <v>4.24</v>
      </c>
      <c r="BX352" s="6">
        <v>4.05</v>
      </c>
      <c r="BY352" s="6">
        <v>5.5299999999999994</v>
      </c>
      <c r="BZ352" s="6">
        <v>3.66</v>
      </c>
      <c r="CA352" s="6">
        <v>3.73</v>
      </c>
      <c r="CB352" s="6">
        <v>4.3499999999999996</v>
      </c>
      <c r="CC352" s="6">
        <v>5.29</v>
      </c>
      <c r="CD352" s="6">
        <v>4.79</v>
      </c>
      <c r="CE352" s="6">
        <v>6.52</v>
      </c>
      <c r="CF352" s="6">
        <v>2.7</v>
      </c>
      <c r="CG352" s="6">
        <v>3.47</v>
      </c>
      <c r="CH352" s="6"/>
    </row>
    <row r="353" spans="1:86" ht="15.75" customHeight="1" x14ac:dyDescent="0.25">
      <c r="A353" s="4">
        <v>351</v>
      </c>
      <c r="B353" s="2"/>
      <c r="C353" s="4">
        <v>17</v>
      </c>
      <c r="D353" s="6">
        <v>3.03</v>
      </c>
      <c r="E353" s="6">
        <v>4.2300000000000004</v>
      </c>
      <c r="F353" s="6">
        <v>3.78</v>
      </c>
      <c r="G353" s="6">
        <v>3.53</v>
      </c>
      <c r="H353" s="6">
        <v>3.33</v>
      </c>
      <c r="I353" s="6">
        <v>4.2300000000000004</v>
      </c>
      <c r="J353" s="6">
        <v>5.43</v>
      </c>
      <c r="K353" s="6">
        <v>3.8</v>
      </c>
      <c r="L353" s="6">
        <v>4.33</v>
      </c>
      <c r="M353" s="6">
        <v>3.98</v>
      </c>
      <c r="N353" s="6">
        <v>4.2300000000000004</v>
      </c>
      <c r="O353" s="6">
        <v>5.88</v>
      </c>
      <c r="P353" s="6">
        <v>4.8099999999999996</v>
      </c>
      <c r="Q353" s="6">
        <v>4.0599999999999996</v>
      </c>
      <c r="R353" s="6">
        <v>3.98</v>
      </c>
      <c r="S353" s="6">
        <v>2.68</v>
      </c>
      <c r="T353" s="6">
        <v>4.71</v>
      </c>
      <c r="U353" s="6">
        <v>4.9800000000000004</v>
      </c>
      <c r="V353" s="6">
        <v>5.53</v>
      </c>
      <c r="W353" s="6">
        <v>3.53</v>
      </c>
      <c r="X353" s="6">
        <v>4.13</v>
      </c>
      <c r="Y353" s="6">
        <v>3.33</v>
      </c>
      <c r="Z353" s="6">
        <v>4.1500000000000004</v>
      </c>
      <c r="AA353" s="6">
        <v>5.35</v>
      </c>
      <c r="AB353" s="6">
        <v>3.03</v>
      </c>
      <c r="AC353" s="6">
        <v>3.58</v>
      </c>
      <c r="AD353" s="6">
        <v>4.32</v>
      </c>
      <c r="AE353" s="6">
        <v>3.81</v>
      </c>
      <c r="AF353" s="6">
        <v>4.9800000000000004</v>
      </c>
      <c r="AG353" s="6">
        <v>4.21</v>
      </c>
      <c r="AH353" s="6">
        <v>5.6</v>
      </c>
      <c r="AI353" s="6">
        <v>4.21</v>
      </c>
      <c r="AJ353" s="6">
        <v>5.41</v>
      </c>
      <c r="AK353" s="6">
        <v>3.39</v>
      </c>
      <c r="AL353" s="6">
        <v>3.49</v>
      </c>
      <c r="AM353" s="6">
        <v>4.4000000000000004</v>
      </c>
      <c r="AN353" s="6">
        <v>4.95</v>
      </c>
      <c r="AO353" s="6">
        <v>4.09</v>
      </c>
      <c r="AP353" s="6">
        <v>3.24</v>
      </c>
      <c r="AQ353" s="6">
        <v>3.74</v>
      </c>
      <c r="AR353" s="6">
        <v>4.3099999999999996</v>
      </c>
      <c r="AS353" s="6">
        <v>3.71</v>
      </c>
      <c r="AT353" s="6">
        <v>5.5</v>
      </c>
      <c r="AU353" s="6">
        <v>7.33</v>
      </c>
      <c r="AV353" s="6">
        <v>4.51</v>
      </c>
      <c r="AW353" s="6">
        <v>6.73</v>
      </c>
      <c r="AX353" s="6">
        <v>4.76</v>
      </c>
      <c r="AY353" s="6">
        <v>4.93</v>
      </c>
      <c r="AZ353" s="6">
        <v>4.2300000000000004</v>
      </c>
      <c r="BA353" s="6">
        <v>4.79</v>
      </c>
      <c r="BB353" s="6">
        <v>5.6</v>
      </c>
      <c r="BC353" s="6">
        <f>4.88+0.43</f>
        <v>5.31</v>
      </c>
      <c r="BD353" s="6">
        <v>3.91</v>
      </c>
      <c r="BE353" s="6">
        <v>5.42</v>
      </c>
      <c r="BF353" s="6">
        <v>3.11</v>
      </c>
      <c r="BG353" s="6">
        <v>4.4800000000000004</v>
      </c>
      <c r="BH353" s="6">
        <v>3.95</v>
      </c>
      <c r="BI353" s="6">
        <v>4.24</v>
      </c>
      <c r="BJ353" s="6">
        <v>3.44</v>
      </c>
      <c r="BK353" s="6">
        <v>4.21</v>
      </c>
      <c r="BL353" s="6">
        <v>5.35</v>
      </c>
      <c r="BM353" s="6">
        <v>4.68</v>
      </c>
      <c r="BN353" s="6">
        <v>5.05</v>
      </c>
      <c r="BO353" s="6">
        <v>5.26</v>
      </c>
      <c r="BP353" s="6">
        <v>4.16</v>
      </c>
      <c r="BQ353" s="6">
        <v>6.21</v>
      </c>
      <c r="BR353" s="6">
        <v>2.72</v>
      </c>
      <c r="BS353" s="6">
        <v>5.72</v>
      </c>
      <c r="BT353" s="6">
        <v>6.38</v>
      </c>
      <c r="BU353" s="6">
        <v>3.46</v>
      </c>
      <c r="BV353" s="6">
        <v>4.7399999999999993</v>
      </c>
      <c r="BW353" s="6">
        <v>4.16</v>
      </c>
      <c r="BX353" s="6">
        <v>4.03</v>
      </c>
      <c r="BY353" s="6">
        <v>5.54</v>
      </c>
      <c r="BZ353" s="6">
        <v>3.6300000000000003</v>
      </c>
      <c r="CA353" s="6">
        <v>3.6300000000000003</v>
      </c>
      <c r="CB353" s="6">
        <v>4.3</v>
      </c>
      <c r="CC353" s="6">
        <v>5.25</v>
      </c>
      <c r="CD353" s="6">
        <v>4.7399999999999993</v>
      </c>
      <c r="CE353" s="6">
        <v>6.39</v>
      </c>
      <c r="CF353" s="6">
        <v>2.6</v>
      </c>
      <c r="CG353" s="6">
        <v>3.45</v>
      </c>
      <c r="CH353" s="6"/>
    </row>
    <row r="354" spans="1:86" ht="15.75" customHeight="1" x14ac:dyDescent="0.25">
      <c r="A354" s="4">
        <v>352</v>
      </c>
      <c r="B354" s="2"/>
      <c r="C354" s="4">
        <v>18</v>
      </c>
      <c r="D354" s="6">
        <v>2.98</v>
      </c>
      <c r="E354" s="6">
        <v>4.33</v>
      </c>
      <c r="F354" s="6">
        <v>3.73</v>
      </c>
      <c r="G354" s="6">
        <v>3.38</v>
      </c>
      <c r="H354" s="6">
        <v>3.23</v>
      </c>
      <c r="I354" s="6">
        <v>4.03</v>
      </c>
      <c r="J354" s="6">
        <v>5.33</v>
      </c>
      <c r="K354" s="6">
        <v>3.78</v>
      </c>
      <c r="L354" s="6">
        <v>4.28</v>
      </c>
      <c r="M354" s="6">
        <v>3.93</v>
      </c>
      <c r="N354" s="6">
        <v>4.08</v>
      </c>
      <c r="O354" s="6">
        <v>5.68</v>
      </c>
      <c r="P354" s="6">
        <v>4.68</v>
      </c>
      <c r="Q354" s="6">
        <v>3.91</v>
      </c>
      <c r="R354" s="6">
        <v>4.03</v>
      </c>
      <c r="S354" s="6">
        <v>2.61</v>
      </c>
      <c r="T354" s="6">
        <v>4.6100000000000003</v>
      </c>
      <c r="U354" s="6">
        <v>4.9800000000000004</v>
      </c>
      <c r="V354" s="6">
        <v>5.43</v>
      </c>
      <c r="W354" s="6">
        <v>3.43</v>
      </c>
      <c r="X354" s="6">
        <v>4.03</v>
      </c>
      <c r="Y354" s="6">
        <v>3.33</v>
      </c>
      <c r="Z354" s="6">
        <v>4.03</v>
      </c>
      <c r="AA354" s="6">
        <v>5.35</v>
      </c>
      <c r="AB354" s="6">
        <v>2.96</v>
      </c>
      <c r="AC354" s="6">
        <v>3.46</v>
      </c>
      <c r="AD354" s="6">
        <v>4.29</v>
      </c>
      <c r="AE354" s="6">
        <v>3.74</v>
      </c>
      <c r="AF354" s="6">
        <v>4.84</v>
      </c>
      <c r="AG354" s="6">
        <v>4.05</v>
      </c>
      <c r="AH354" s="6">
        <v>5.37</v>
      </c>
      <c r="AI354" s="6">
        <v>3.97</v>
      </c>
      <c r="AJ354" s="6">
        <v>5.41</v>
      </c>
      <c r="AK354" s="6">
        <v>3.35</v>
      </c>
      <c r="AL354" s="6">
        <v>3.36</v>
      </c>
      <c r="AM354" s="6">
        <v>4.41</v>
      </c>
      <c r="AN354" s="6">
        <v>4.8600000000000003</v>
      </c>
      <c r="AO354" s="6">
        <v>3.96</v>
      </c>
      <c r="AP354" s="6">
        <v>3.03</v>
      </c>
      <c r="AQ354" s="6">
        <v>3.64</v>
      </c>
      <c r="AR354" s="6">
        <v>4.38</v>
      </c>
      <c r="AS354" s="6">
        <v>3.58</v>
      </c>
      <c r="AT354" s="6">
        <v>5.43</v>
      </c>
      <c r="AU354" s="6">
        <v>7.23</v>
      </c>
      <c r="AV354" s="6">
        <v>4.45</v>
      </c>
      <c r="AW354" s="6">
        <v>6.61</v>
      </c>
      <c r="AX354" s="6">
        <v>4.78</v>
      </c>
      <c r="AY354" s="6">
        <v>4.9800000000000004</v>
      </c>
      <c r="AZ354" s="6">
        <v>4.18</v>
      </c>
      <c r="BA354" s="6">
        <v>4.6399999999999997</v>
      </c>
      <c r="BB354" s="6">
        <v>5.38</v>
      </c>
      <c r="BC354" s="6">
        <f>4.85+0.43</f>
        <v>5.2799999999999994</v>
      </c>
      <c r="BD354" s="6">
        <v>3.81</v>
      </c>
      <c r="BE354" s="6">
        <v>5.33</v>
      </c>
      <c r="BF354" s="6">
        <v>3.14</v>
      </c>
      <c r="BG354" s="6">
        <v>4.45</v>
      </c>
      <c r="BH354" s="6">
        <v>3.9</v>
      </c>
      <c r="BI354" s="6">
        <v>4.0599999999999996</v>
      </c>
      <c r="BJ354" s="6">
        <v>3.44</v>
      </c>
      <c r="BK354" s="6">
        <v>4.08</v>
      </c>
      <c r="BL354" s="6">
        <v>5.29</v>
      </c>
      <c r="BM354" s="6">
        <v>4.6399999999999997</v>
      </c>
      <c r="BN354" s="6">
        <v>5.01</v>
      </c>
      <c r="BO354" s="6">
        <v>5.21</v>
      </c>
      <c r="BP354" s="6">
        <v>4.2</v>
      </c>
      <c r="BQ354" s="6">
        <v>6.06</v>
      </c>
      <c r="BR354" s="6">
        <v>2.7</v>
      </c>
      <c r="BS354" s="6">
        <v>5.76</v>
      </c>
      <c r="BT354" s="6">
        <v>6.37</v>
      </c>
      <c r="BU354" s="6">
        <v>3.43</v>
      </c>
      <c r="BV354" s="6">
        <v>4.4799999999999995</v>
      </c>
      <c r="BW354" s="6">
        <v>4.0999999999999996</v>
      </c>
      <c r="BX354" s="6">
        <v>3.93</v>
      </c>
      <c r="BY354" s="6">
        <v>5.43</v>
      </c>
      <c r="BZ354" s="6">
        <v>3.5300000000000002</v>
      </c>
      <c r="CA354" s="6">
        <v>3.41</v>
      </c>
      <c r="CB354" s="6">
        <v>4.25</v>
      </c>
      <c r="CC354" s="6">
        <v>5.21</v>
      </c>
      <c r="CD354" s="6">
        <v>4.68</v>
      </c>
      <c r="CE354" s="6">
        <v>6.4899999999999993</v>
      </c>
      <c r="CF354" s="6">
        <v>2.54</v>
      </c>
      <c r="CG354" s="6">
        <v>3.41</v>
      </c>
      <c r="CH354" s="6"/>
    </row>
    <row r="355" spans="1:86" ht="15.75" customHeight="1" x14ac:dyDescent="0.25">
      <c r="A355" s="4">
        <v>353</v>
      </c>
      <c r="B355" s="2"/>
      <c r="C355" s="4">
        <v>19</v>
      </c>
      <c r="D355" s="6">
        <v>2.98</v>
      </c>
      <c r="E355" s="6">
        <v>4.58</v>
      </c>
      <c r="F355" s="6">
        <v>3.63</v>
      </c>
      <c r="G355" s="6">
        <v>3.38</v>
      </c>
      <c r="H355" s="6">
        <v>3.03</v>
      </c>
      <c r="I355" s="6">
        <v>3.88</v>
      </c>
      <c r="J355" s="6">
        <v>5.23</v>
      </c>
      <c r="K355" s="6">
        <v>3.73</v>
      </c>
      <c r="L355" s="6">
        <v>4.18</v>
      </c>
      <c r="M355" s="6">
        <v>3.93</v>
      </c>
      <c r="N355" s="6">
        <v>3.93</v>
      </c>
      <c r="O355" s="6">
        <v>5.33</v>
      </c>
      <c r="P355" s="6">
        <v>4.63</v>
      </c>
      <c r="Q355" s="6">
        <v>3.76</v>
      </c>
      <c r="R355" s="6">
        <v>4.03</v>
      </c>
      <c r="S355" s="6">
        <v>2.48</v>
      </c>
      <c r="T355" s="6">
        <v>4.51</v>
      </c>
      <c r="U355" s="6">
        <v>4.91</v>
      </c>
      <c r="V355" s="6">
        <v>5.33</v>
      </c>
      <c r="W355" s="6">
        <v>3.3</v>
      </c>
      <c r="X355" s="6">
        <v>3.91</v>
      </c>
      <c r="Y355" s="6">
        <v>3.33</v>
      </c>
      <c r="Z355" s="6">
        <v>3.85</v>
      </c>
      <c r="AA355" s="6">
        <v>5.42</v>
      </c>
      <c r="AB355" s="6">
        <v>2.9</v>
      </c>
      <c r="AC355" s="6">
        <v>3.29</v>
      </c>
      <c r="AD355" s="6">
        <v>4.17</v>
      </c>
      <c r="AE355" s="6">
        <v>3.79</v>
      </c>
      <c r="AF355" s="6">
        <v>4.75</v>
      </c>
      <c r="AG355" s="6">
        <v>3.84</v>
      </c>
      <c r="AH355" s="6">
        <v>5.0599999999999996</v>
      </c>
      <c r="AI355" s="6">
        <v>3.79</v>
      </c>
      <c r="AJ355" s="6">
        <v>5.4</v>
      </c>
      <c r="AK355" s="6">
        <v>3.34</v>
      </c>
      <c r="AL355" s="6">
        <v>3.23</v>
      </c>
      <c r="AM355" s="6">
        <v>4.55</v>
      </c>
      <c r="AN355" s="6">
        <v>4.84</v>
      </c>
      <c r="AO355" s="6">
        <v>3.83</v>
      </c>
      <c r="AP355" s="6">
        <v>2.98</v>
      </c>
      <c r="AQ355" s="6">
        <v>3.48</v>
      </c>
      <c r="AR355" s="6">
        <v>4.42</v>
      </c>
      <c r="AS355" s="6">
        <v>3.52</v>
      </c>
      <c r="AT355" s="6">
        <v>5.34</v>
      </c>
      <c r="AU355" s="6">
        <v>7.17</v>
      </c>
      <c r="AV355" s="6">
        <v>4.41</v>
      </c>
      <c r="AW355" s="6">
        <v>6.48</v>
      </c>
      <c r="AX355" s="6">
        <v>4.7300000000000004</v>
      </c>
      <c r="AY355" s="6">
        <v>5.03</v>
      </c>
      <c r="AZ355" s="6">
        <v>4.12</v>
      </c>
      <c r="BA355" s="6">
        <v>4.4400000000000004</v>
      </c>
      <c r="BB355" s="6">
        <v>5.17</v>
      </c>
      <c r="BC355" s="6">
        <f>4.66+0.43</f>
        <v>5.09</v>
      </c>
      <c r="BD355" s="6">
        <v>3.81</v>
      </c>
      <c r="BE355" s="6">
        <v>5.33</v>
      </c>
      <c r="BF355" s="6">
        <v>3.05</v>
      </c>
      <c r="BG355" s="6">
        <v>4.3899999999999997</v>
      </c>
      <c r="BH355" s="6">
        <v>3.87</v>
      </c>
      <c r="BI355" s="6">
        <v>4.0599999999999996</v>
      </c>
      <c r="BJ355" s="6">
        <v>3.44</v>
      </c>
      <c r="BK355" s="6">
        <v>3.98</v>
      </c>
      <c r="BL355" s="6">
        <v>5.21</v>
      </c>
      <c r="BM355" s="6">
        <v>4.7300000000000004</v>
      </c>
      <c r="BN355" s="6">
        <v>4.95</v>
      </c>
      <c r="BO355" s="6">
        <v>5.19</v>
      </c>
      <c r="BP355" s="6">
        <v>4.1500000000000004</v>
      </c>
      <c r="BQ355" s="6">
        <v>6.13</v>
      </c>
      <c r="BR355" s="6">
        <v>2.67</v>
      </c>
      <c r="BS355" s="6">
        <v>5.73</v>
      </c>
      <c r="BT355" s="6">
        <v>6.31</v>
      </c>
      <c r="BU355" s="6">
        <v>3.3600000000000003</v>
      </c>
      <c r="BV355" s="6">
        <v>4.41</v>
      </c>
      <c r="BW355" s="6">
        <v>3.98</v>
      </c>
      <c r="BX355" s="6">
        <v>3.8800000000000003</v>
      </c>
      <c r="BY355" s="6">
        <v>5.2799999999999994</v>
      </c>
      <c r="BZ355" s="6">
        <v>3.44</v>
      </c>
      <c r="CA355" s="6">
        <v>3.3000000000000003</v>
      </c>
      <c r="CB355" s="6">
        <v>4.83</v>
      </c>
      <c r="CC355" s="6">
        <v>5.18</v>
      </c>
      <c r="CD355" s="6">
        <v>4.62</v>
      </c>
      <c r="CE355" s="6">
        <v>5.68</v>
      </c>
      <c r="CF355" s="6">
        <v>2.5299999999999998</v>
      </c>
      <c r="CG355" s="6">
        <v>3.4321999999999999</v>
      </c>
      <c r="CH355" s="6"/>
    </row>
    <row r="356" spans="1:86" ht="15.75" customHeight="1" x14ac:dyDescent="0.25">
      <c r="A356" s="4">
        <v>354</v>
      </c>
      <c r="B356" s="2"/>
      <c r="C356" s="4">
        <v>20</v>
      </c>
      <c r="D356" s="6">
        <v>2.93</v>
      </c>
      <c r="E356" s="6">
        <v>4.63</v>
      </c>
      <c r="F356" s="6">
        <v>3.58</v>
      </c>
      <c r="G356" s="6">
        <v>3.38</v>
      </c>
      <c r="H356" s="6">
        <v>2.93</v>
      </c>
      <c r="I356" s="6">
        <v>3.78</v>
      </c>
      <c r="J356" s="6">
        <v>5.03</v>
      </c>
      <c r="K356" s="6">
        <v>3.63</v>
      </c>
      <c r="L356" s="6">
        <v>4.08</v>
      </c>
      <c r="M356" s="6">
        <v>3.83</v>
      </c>
      <c r="N356" s="6">
        <v>3.83</v>
      </c>
      <c r="O356" s="6">
        <v>5.23</v>
      </c>
      <c r="P356" s="6">
        <v>4.6100000000000003</v>
      </c>
      <c r="Q356" s="6">
        <v>3.63</v>
      </c>
      <c r="R356" s="6">
        <v>4.03</v>
      </c>
      <c r="S356" s="6">
        <v>2.4300000000000002</v>
      </c>
      <c r="T356" s="6">
        <v>4.43</v>
      </c>
      <c r="U356" s="6">
        <v>4.93</v>
      </c>
      <c r="V356" s="6">
        <v>5.28</v>
      </c>
      <c r="W356" s="6">
        <v>3.21</v>
      </c>
      <c r="X356" s="6">
        <v>3.78</v>
      </c>
      <c r="Y356" s="6">
        <v>3.28</v>
      </c>
      <c r="Z356" s="6">
        <v>3.75</v>
      </c>
      <c r="AA356" s="6">
        <v>5.49</v>
      </c>
      <c r="AB356" s="6">
        <v>2.83</v>
      </c>
      <c r="AC356" s="6">
        <v>3.19</v>
      </c>
      <c r="AD356" s="6">
        <v>4.1500000000000004</v>
      </c>
      <c r="AE356" s="6">
        <v>3.69</v>
      </c>
      <c r="AF356" s="6">
        <v>4.6500000000000004</v>
      </c>
      <c r="AG356" s="6">
        <v>3.74</v>
      </c>
      <c r="AH356" s="6">
        <v>5</v>
      </c>
      <c r="AI356" s="6">
        <v>3.69</v>
      </c>
      <c r="AJ356" s="6">
        <v>5.34</v>
      </c>
      <c r="AK356" s="6">
        <v>3.34</v>
      </c>
      <c r="AL356" s="6">
        <v>3.08</v>
      </c>
      <c r="AM356" s="6">
        <v>4.55</v>
      </c>
      <c r="AN356" s="6">
        <v>4.75</v>
      </c>
      <c r="AO356" s="6">
        <v>3.63</v>
      </c>
      <c r="AP356" s="6">
        <v>3.08</v>
      </c>
      <c r="AQ356" s="6">
        <v>3.32</v>
      </c>
      <c r="AR356" s="6">
        <v>4.38</v>
      </c>
      <c r="AS356" s="6">
        <v>3.44</v>
      </c>
      <c r="AT356" s="6">
        <v>5.25</v>
      </c>
      <c r="AU356" s="6">
        <v>7.07</v>
      </c>
      <c r="AV356" s="6">
        <v>4.3</v>
      </c>
      <c r="AW356" s="6">
        <v>6.43</v>
      </c>
      <c r="AX356" s="6">
        <v>4.63</v>
      </c>
      <c r="AY356" s="6">
        <v>5.16</v>
      </c>
      <c r="AZ356" s="6">
        <v>4.05</v>
      </c>
      <c r="BA356" s="6">
        <v>4.3</v>
      </c>
      <c r="BB356" s="6">
        <v>4.87</v>
      </c>
      <c r="BC356" s="6">
        <f>4.63+0.43</f>
        <v>5.0599999999999996</v>
      </c>
      <c r="BD356" s="6">
        <v>3.66</v>
      </c>
      <c r="BE356" s="6">
        <v>5.28</v>
      </c>
      <c r="BF356" s="6">
        <v>2.96</v>
      </c>
      <c r="BG356" s="6">
        <v>4.24</v>
      </c>
      <c r="BH356" s="6">
        <v>3.78</v>
      </c>
      <c r="BI356" s="6">
        <v>4</v>
      </c>
      <c r="BJ356" s="6">
        <v>3.54</v>
      </c>
      <c r="BK356" s="6">
        <v>3.93</v>
      </c>
      <c r="BL356" s="6">
        <v>5.17</v>
      </c>
      <c r="BM356" s="6">
        <v>4.68</v>
      </c>
      <c r="BN356" s="6">
        <v>4.91</v>
      </c>
      <c r="BO356" s="6">
        <v>5.13</v>
      </c>
      <c r="BP356" s="6">
        <v>4.1500000000000004</v>
      </c>
      <c r="BQ356" s="6">
        <v>6.09</v>
      </c>
      <c r="BR356" s="6">
        <v>2.65</v>
      </c>
      <c r="BS356" s="6">
        <v>5.77</v>
      </c>
      <c r="BT356" s="6">
        <v>6.31</v>
      </c>
      <c r="BU356" s="6">
        <v>3.3200000000000003</v>
      </c>
      <c r="BV356" s="6">
        <v>4.28</v>
      </c>
      <c r="BW356" s="6">
        <v>3.93</v>
      </c>
      <c r="BX356" s="6">
        <v>3.83</v>
      </c>
      <c r="BY356" s="6">
        <v>5.13</v>
      </c>
      <c r="BZ356" s="6">
        <v>3.33</v>
      </c>
      <c r="CA356" s="6">
        <v>3.25</v>
      </c>
      <c r="CB356" s="6">
        <v>4.55</v>
      </c>
      <c r="CC356" s="6">
        <v>5.16</v>
      </c>
      <c r="CD356" s="6">
        <v>4.63</v>
      </c>
      <c r="CE356" s="6">
        <v>5.41</v>
      </c>
      <c r="CF356" s="6">
        <v>2.4500000000000002</v>
      </c>
      <c r="CG356" s="6">
        <v>3.2754479999999999</v>
      </c>
      <c r="CH356" s="6"/>
    </row>
    <row r="357" spans="1:86" ht="15.75" customHeight="1" x14ac:dyDescent="0.25">
      <c r="A357" s="4">
        <v>355</v>
      </c>
      <c r="B357" s="2"/>
      <c r="C357" s="4">
        <v>21</v>
      </c>
      <c r="D357" s="6">
        <v>2.93</v>
      </c>
      <c r="E357" s="6">
        <v>4.63</v>
      </c>
      <c r="F357" s="6">
        <v>3.53</v>
      </c>
      <c r="G357" s="6">
        <v>3.28</v>
      </c>
      <c r="H357" s="6">
        <v>2.83</v>
      </c>
      <c r="I357" s="6">
        <v>3.63</v>
      </c>
      <c r="J357" s="6">
        <v>4.83</v>
      </c>
      <c r="K357" s="6">
        <v>3.63</v>
      </c>
      <c r="L357" s="6">
        <v>3.98</v>
      </c>
      <c r="M357" s="6">
        <v>3.73</v>
      </c>
      <c r="N357" s="6">
        <v>3.78</v>
      </c>
      <c r="O357" s="6">
        <v>5.03</v>
      </c>
      <c r="P357" s="6">
        <v>4.53</v>
      </c>
      <c r="Q357" s="6">
        <v>3.53</v>
      </c>
      <c r="R357" s="6">
        <v>3.98</v>
      </c>
      <c r="S357" s="6">
        <v>2.33</v>
      </c>
      <c r="T357" s="6">
        <v>4.33</v>
      </c>
      <c r="U357" s="6">
        <v>4.88</v>
      </c>
      <c r="V357" s="6">
        <v>5.21</v>
      </c>
      <c r="W357" s="6">
        <v>3.13</v>
      </c>
      <c r="X357" s="6">
        <v>3.65</v>
      </c>
      <c r="Y357" s="6">
        <v>3.23</v>
      </c>
      <c r="Z357" s="6">
        <v>3.63</v>
      </c>
      <c r="AA357" s="6">
        <v>5.51</v>
      </c>
      <c r="AB357" s="6">
        <v>2.79</v>
      </c>
      <c r="AC357" s="6">
        <v>3.05</v>
      </c>
      <c r="AD357" s="6">
        <v>4.08</v>
      </c>
      <c r="AE357" s="6">
        <v>3.63</v>
      </c>
      <c r="AF357" s="6">
        <v>4.5599999999999996</v>
      </c>
      <c r="AG357" s="6">
        <v>3.64</v>
      </c>
      <c r="AH357" s="6">
        <v>4.79</v>
      </c>
      <c r="AI357" s="6">
        <v>3.57</v>
      </c>
      <c r="AJ357" s="6">
        <v>5.26</v>
      </c>
      <c r="AK357" s="6">
        <v>3.2</v>
      </c>
      <c r="AL357" s="6">
        <v>3.01</v>
      </c>
      <c r="AM357" s="6">
        <v>4.51</v>
      </c>
      <c r="AN357" s="6">
        <v>4.6900000000000004</v>
      </c>
      <c r="AO357" s="6">
        <v>3.53</v>
      </c>
      <c r="AP357" s="6">
        <v>3.11</v>
      </c>
      <c r="AQ357" s="6">
        <v>3.2</v>
      </c>
      <c r="AR357" s="6">
        <v>4.34</v>
      </c>
      <c r="AS357" s="6">
        <v>3.38</v>
      </c>
      <c r="AT357" s="6">
        <v>5.15</v>
      </c>
      <c r="AU357" s="6">
        <v>6.96</v>
      </c>
      <c r="AV357" s="6">
        <v>4.2</v>
      </c>
      <c r="AW357" s="6">
        <v>6.33</v>
      </c>
      <c r="AX357" s="6">
        <v>4.53</v>
      </c>
      <c r="AY357" s="6">
        <v>5.17</v>
      </c>
      <c r="AZ357" s="6">
        <v>4.03</v>
      </c>
      <c r="BA357" s="6">
        <v>4.13</v>
      </c>
      <c r="BB357" s="6">
        <v>4.79</v>
      </c>
      <c r="BC357" s="6">
        <f>4.55+0.43</f>
        <v>4.9799999999999995</v>
      </c>
      <c r="BD357" s="6">
        <v>3.55</v>
      </c>
      <c r="BE357" s="6">
        <v>5.22</v>
      </c>
      <c r="BF357" s="6">
        <v>2.84</v>
      </c>
      <c r="BG357" s="6">
        <v>4.12</v>
      </c>
      <c r="BH357" s="6">
        <v>3.74</v>
      </c>
      <c r="BI357" s="6">
        <v>3.9</v>
      </c>
      <c r="BJ357" s="6">
        <v>3.72</v>
      </c>
      <c r="BK357" s="6">
        <v>3.84</v>
      </c>
      <c r="BL357" s="6">
        <v>5.13</v>
      </c>
      <c r="BM357" s="6">
        <v>4.6500000000000004</v>
      </c>
      <c r="BN357" s="6">
        <v>4.79</v>
      </c>
      <c r="BO357" s="6">
        <v>5.0199999999999996</v>
      </c>
      <c r="BP357" s="6">
        <v>4.1100000000000003</v>
      </c>
      <c r="BQ357" s="6">
        <v>6.19</v>
      </c>
      <c r="BR357" s="6">
        <v>2.62</v>
      </c>
      <c r="BS357" s="6">
        <v>5.45</v>
      </c>
      <c r="BT357" s="6">
        <v>6.38</v>
      </c>
      <c r="BU357" s="6">
        <v>3.27</v>
      </c>
      <c r="BV357" s="6">
        <v>4.26</v>
      </c>
      <c r="BW357" s="6">
        <v>3.8600000000000003</v>
      </c>
      <c r="BX357" s="6">
        <v>3.71</v>
      </c>
      <c r="BY357" s="6">
        <v>4.9799999999999995</v>
      </c>
      <c r="BZ357" s="6">
        <v>3.3000000000000003</v>
      </c>
      <c r="CA357" s="6">
        <v>3.15</v>
      </c>
      <c r="CB357" s="6">
        <v>4.4000000000000004</v>
      </c>
      <c r="CC357" s="6">
        <v>5.16</v>
      </c>
      <c r="CD357" s="6">
        <v>5.14</v>
      </c>
      <c r="CE357" s="6">
        <v>5.22</v>
      </c>
      <c r="CF357" s="6">
        <v>2.39</v>
      </c>
      <c r="CG357" s="6">
        <v>3.1578840000000001</v>
      </c>
      <c r="CH357" s="6"/>
    </row>
    <row r="358" spans="1:86" ht="15.75" customHeight="1" x14ac:dyDescent="0.25">
      <c r="A358" s="4">
        <v>356</v>
      </c>
      <c r="B358" s="2"/>
      <c r="C358" s="4">
        <v>22</v>
      </c>
      <c r="D358" s="6">
        <v>2.93</v>
      </c>
      <c r="E358" s="6">
        <v>4.53</v>
      </c>
      <c r="F358" s="6">
        <v>3.48</v>
      </c>
      <c r="G358" s="6">
        <v>3.23</v>
      </c>
      <c r="H358" s="6">
        <v>2.73</v>
      </c>
      <c r="I358" s="6">
        <v>3.78</v>
      </c>
      <c r="J358" s="6">
        <v>4.63</v>
      </c>
      <c r="K358" s="6">
        <v>3.53</v>
      </c>
      <c r="L358" s="6">
        <v>3.88</v>
      </c>
      <c r="M358" s="6">
        <v>3.63</v>
      </c>
      <c r="N358" s="6">
        <v>3.78</v>
      </c>
      <c r="O358" s="6">
        <v>4.93</v>
      </c>
      <c r="P358" s="6">
        <v>4.45</v>
      </c>
      <c r="Q358" s="6">
        <v>3.43</v>
      </c>
      <c r="R358" s="6">
        <v>3.85</v>
      </c>
      <c r="S358" s="6">
        <v>2.23</v>
      </c>
      <c r="T358" s="6">
        <v>4.28</v>
      </c>
      <c r="U358" s="6">
        <v>4.83</v>
      </c>
      <c r="V358" s="6">
        <v>5.03</v>
      </c>
      <c r="W358" s="6">
        <v>3.03</v>
      </c>
      <c r="X358" s="6">
        <v>3.53</v>
      </c>
      <c r="Y358" s="6">
        <v>3.19</v>
      </c>
      <c r="Z358" s="6">
        <v>3.5</v>
      </c>
      <c r="AA358" s="6">
        <v>5.46</v>
      </c>
      <c r="AB358" s="6">
        <v>2.77</v>
      </c>
      <c r="AC358" s="6">
        <v>3.04</v>
      </c>
      <c r="AD358" s="6">
        <v>4.01</v>
      </c>
      <c r="AE358" s="6">
        <v>3.53</v>
      </c>
      <c r="AF358" s="6">
        <v>4.41</v>
      </c>
      <c r="AG358" s="6">
        <v>3.52</v>
      </c>
      <c r="AH358" s="6">
        <v>4.59</v>
      </c>
      <c r="AI358" s="6">
        <v>3.41</v>
      </c>
      <c r="AJ358" s="6">
        <v>5.17</v>
      </c>
      <c r="AK358" s="6">
        <v>3.19</v>
      </c>
      <c r="AL358" s="6">
        <v>2.93</v>
      </c>
      <c r="AM358" s="6">
        <v>4.45</v>
      </c>
      <c r="AN358" s="6">
        <v>4.6399999999999997</v>
      </c>
      <c r="AO358" s="6">
        <v>3.45</v>
      </c>
      <c r="AP358" s="6">
        <v>3.1</v>
      </c>
      <c r="AQ358" s="6">
        <v>3.14</v>
      </c>
      <c r="AR358" s="6">
        <v>4.0999999999999996</v>
      </c>
      <c r="AS358" s="6">
        <v>3.26</v>
      </c>
      <c r="AT358" s="6">
        <v>4.9400000000000004</v>
      </c>
      <c r="AU358" s="6">
        <v>6.83</v>
      </c>
      <c r="AV358" s="6">
        <v>4.1399999999999997</v>
      </c>
      <c r="AW358" s="6">
        <v>6.17</v>
      </c>
      <c r="AX358" s="6">
        <v>4.43</v>
      </c>
      <c r="AY358" s="6">
        <v>5.0999999999999996</v>
      </c>
      <c r="AZ358" s="6">
        <v>3.93</v>
      </c>
      <c r="BA358" s="6">
        <v>4.05</v>
      </c>
      <c r="BB358" s="6">
        <v>4.78</v>
      </c>
      <c r="BC358" s="6">
        <f>4.48+0.43</f>
        <v>4.91</v>
      </c>
      <c r="BD358" s="6">
        <v>3.52</v>
      </c>
      <c r="BE358" s="6">
        <v>5.22</v>
      </c>
      <c r="BF358" s="6">
        <v>2.71</v>
      </c>
      <c r="BG358" s="6">
        <v>4.0199999999999996</v>
      </c>
      <c r="BH358" s="6">
        <v>3.79</v>
      </c>
      <c r="BI358" s="6">
        <v>3.84</v>
      </c>
      <c r="BJ358" s="6">
        <v>3.677</v>
      </c>
      <c r="BK358" s="6">
        <v>3.84</v>
      </c>
      <c r="BL358" s="6">
        <v>4.84</v>
      </c>
      <c r="BM358" s="6">
        <v>4.55</v>
      </c>
      <c r="BN358" s="6">
        <v>4.5999999999999996</v>
      </c>
      <c r="BO358" s="6">
        <v>4.95</v>
      </c>
      <c r="BP358" s="6">
        <v>4.04</v>
      </c>
      <c r="BQ358" s="6">
        <v>6.46</v>
      </c>
      <c r="BR358" s="6">
        <v>2.59</v>
      </c>
      <c r="BS358" s="6">
        <v>5.28</v>
      </c>
      <c r="BT358" s="6">
        <v>6.43</v>
      </c>
      <c r="BU358" s="6">
        <v>3.19</v>
      </c>
      <c r="BV358" s="6">
        <v>4.22</v>
      </c>
      <c r="BW358" s="6">
        <v>3.8400000000000003</v>
      </c>
      <c r="BX358" s="6">
        <v>3.6</v>
      </c>
      <c r="BY358" s="6">
        <v>4.83</v>
      </c>
      <c r="BZ358" s="6">
        <v>3.1300000000000003</v>
      </c>
      <c r="CA358" s="6">
        <v>3.0900000000000003</v>
      </c>
      <c r="CB358" s="6">
        <v>4.04</v>
      </c>
      <c r="CC358" s="6">
        <v>5.13</v>
      </c>
      <c r="CD358" s="6">
        <v>5.1499999999999995</v>
      </c>
      <c r="CE358" s="6">
        <v>5.04</v>
      </c>
      <c r="CF358" s="6">
        <v>2.38</v>
      </c>
      <c r="CG358" s="6">
        <v>3.1284929999999997</v>
      </c>
      <c r="CH358" s="6"/>
    </row>
    <row r="359" spans="1:86" ht="15.75" customHeight="1" x14ac:dyDescent="0.25">
      <c r="A359" s="4">
        <v>357</v>
      </c>
      <c r="B359" s="2"/>
      <c r="C359" s="4">
        <v>23</v>
      </c>
      <c r="D359" s="6">
        <v>2.93</v>
      </c>
      <c r="E359" s="6">
        <v>4.43</v>
      </c>
      <c r="F359" s="6">
        <v>3.48</v>
      </c>
      <c r="G359" s="6">
        <v>3.13</v>
      </c>
      <c r="H359" s="6">
        <v>2.63</v>
      </c>
      <c r="I359" s="6">
        <v>3.88</v>
      </c>
      <c r="J359" s="6">
        <v>4.53</v>
      </c>
      <c r="K359" s="6">
        <v>3.53</v>
      </c>
      <c r="L359" s="6">
        <v>3.78</v>
      </c>
      <c r="M359" s="6">
        <v>3.53</v>
      </c>
      <c r="N359" s="6">
        <v>3.73</v>
      </c>
      <c r="O359" s="6">
        <v>4.83</v>
      </c>
      <c r="P359" s="6">
        <v>4.28</v>
      </c>
      <c r="Q359" s="6">
        <v>3.38</v>
      </c>
      <c r="R359" s="6">
        <v>3.73</v>
      </c>
      <c r="S359" s="6">
        <v>2.1800000000000002</v>
      </c>
      <c r="T359" s="6">
        <v>4.2300000000000004</v>
      </c>
      <c r="U359" s="6">
        <v>4.7300000000000004</v>
      </c>
      <c r="V359" s="6">
        <v>4.93</v>
      </c>
      <c r="W359" s="6">
        <v>2.93</v>
      </c>
      <c r="X359" s="6">
        <v>3.43</v>
      </c>
      <c r="Y359" s="6">
        <v>3.13</v>
      </c>
      <c r="Z359" s="6">
        <v>3.4</v>
      </c>
      <c r="AA359" s="6">
        <v>5.37</v>
      </c>
      <c r="AB359" s="6">
        <v>2.75</v>
      </c>
      <c r="AC359" s="6">
        <v>2.98</v>
      </c>
      <c r="AD359" s="6">
        <v>3.92</v>
      </c>
      <c r="AE359" s="6">
        <v>3.44</v>
      </c>
      <c r="AF359" s="6">
        <v>4.3499999999999996</v>
      </c>
      <c r="AG359" s="6">
        <v>3.49</v>
      </c>
      <c r="AH359" s="6">
        <v>4.4400000000000004</v>
      </c>
      <c r="AI359" s="6">
        <v>3.35</v>
      </c>
      <c r="AJ359" s="6">
        <v>5.15</v>
      </c>
      <c r="AK359" s="6">
        <v>3.24</v>
      </c>
      <c r="AL359" s="6">
        <v>2.86</v>
      </c>
      <c r="AM359" s="6">
        <v>4.3499999999999996</v>
      </c>
      <c r="AN359" s="6">
        <v>4.6100000000000003</v>
      </c>
      <c r="AO359" s="6">
        <v>3.38</v>
      </c>
      <c r="AP359" s="6">
        <v>3.04</v>
      </c>
      <c r="AQ359" s="6">
        <v>3.02</v>
      </c>
      <c r="AR359" s="6">
        <v>3.83</v>
      </c>
      <c r="AS359" s="6">
        <v>3.16</v>
      </c>
      <c r="AT359" s="6">
        <v>4.51</v>
      </c>
      <c r="AU359" s="6">
        <v>6.68</v>
      </c>
      <c r="AV359" s="6">
        <v>4.07</v>
      </c>
      <c r="AW359" s="6">
        <v>6</v>
      </c>
      <c r="AX359" s="6">
        <v>4.21</v>
      </c>
      <c r="AY359" s="6">
        <v>5.03</v>
      </c>
      <c r="AZ359" s="6">
        <v>3.83</v>
      </c>
      <c r="BA359" s="6">
        <v>4</v>
      </c>
      <c r="BB359" s="6">
        <v>4.68</v>
      </c>
      <c r="BC359" s="6">
        <f>4.39+0.43</f>
        <v>4.8199999999999994</v>
      </c>
      <c r="BD359" s="6">
        <v>3.41</v>
      </c>
      <c r="BE359" s="6">
        <v>5.0599999999999996</v>
      </c>
      <c r="BF359" s="6">
        <v>2.62</v>
      </c>
      <c r="BG359" s="6">
        <v>3.9</v>
      </c>
      <c r="BH359" s="6">
        <v>3.84</v>
      </c>
      <c r="BI359" s="6">
        <v>3.86</v>
      </c>
      <c r="BJ359" s="6">
        <v>3.59</v>
      </c>
      <c r="BK359" s="6">
        <v>3.73</v>
      </c>
      <c r="BL359" s="6">
        <v>4.76</v>
      </c>
      <c r="BM359" s="6">
        <v>4.5</v>
      </c>
      <c r="BN359" s="6">
        <v>4.49</v>
      </c>
      <c r="BO359" s="6">
        <v>4.84</v>
      </c>
      <c r="BP359" s="6">
        <v>3.98</v>
      </c>
      <c r="BQ359" s="6">
        <v>6.32</v>
      </c>
      <c r="BR359" s="6">
        <v>2.5299999999999998</v>
      </c>
      <c r="BS359" s="6">
        <v>5.12</v>
      </c>
      <c r="BT359" s="6">
        <v>6.52</v>
      </c>
      <c r="BU359" s="6">
        <v>3.1300000000000003</v>
      </c>
      <c r="BV359" s="6">
        <v>4.0599999999999996</v>
      </c>
      <c r="BW359" s="6">
        <v>3.77</v>
      </c>
      <c r="BX359" s="6">
        <v>3.49</v>
      </c>
      <c r="BY359" s="6">
        <v>4.76</v>
      </c>
      <c r="BZ359" s="6">
        <v>3.06</v>
      </c>
      <c r="CA359" s="6">
        <v>2.95</v>
      </c>
      <c r="CB359" s="6">
        <v>4.0199999999999996</v>
      </c>
      <c r="CC359" s="6">
        <v>5.0999999999999996</v>
      </c>
      <c r="CD359" s="6">
        <v>4.6499999999999995</v>
      </c>
      <c r="CE359" s="6">
        <v>4.76</v>
      </c>
      <c r="CF359" s="6">
        <v>2.35</v>
      </c>
      <c r="CG359" s="6">
        <v>2.8639739999999998</v>
      </c>
      <c r="CH359" s="6"/>
    </row>
    <row r="360" spans="1:86" ht="15.75" customHeight="1" x14ac:dyDescent="0.25">
      <c r="A360" s="4">
        <v>358</v>
      </c>
      <c r="B360" s="2"/>
      <c r="C360" s="4">
        <v>24</v>
      </c>
      <c r="D360" s="6">
        <v>2.98</v>
      </c>
      <c r="E360" s="6">
        <v>4.38</v>
      </c>
      <c r="F360" s="6">
        <v>3.48</v>
      </c>
      <c r="G360" s="6">
        <v>2.93</v>
      </c>
      <c r="H360" s="6">
        <v>2.5299999999999998</v>
      </c>
      <c r="I360" s="6">
        <v>3.93</v>
      </c>
      <c r="J360" s="6">
        <v>4.33</v>
      </c>
      <c r="K360" s="6">
        <v>3.63</v>
      </c>
      <c r="L360" s="6">
        <v>3.68</v>
      </c>
      <c r="M360" s="6">
        <v>3.43</v>
      </c>
      <c r="N360" s="6">
        <v>3.73</v>
      </c>
      <c r="O360" s="6">
        <v>4.78</v>
      </c>
      <c r="P360" s="6">
        <v>4.03</v>
      </c>
      <c r="Q360" s="6">
        <v>3.23</v>
      </c>
      <c r="R360" s="6">
        <v>3.63</v>
      </c>
      <c r="S360" s="6">
        <v>2.13</v>
      </c>
      <c r="T360" s="6">
        <v>4.33</v>
      </c>
      <c r="U360" s="6">
        <v>4.68</v>
      </c>
      <c r="V360" s="6">
        <v>4.93</v>
      </c>
      <c r="W360" s="6">
        <v>2.98</v>
      </c>
      <c r="X360" s="6">
        <v>3.31</v>
      </c>
      <c r="Y360" s="6">
        <v>3.03</v>
      </c>
      <c r="Z360" s="6">
        <v>3.23</v>
      </c>
      <c r="AA360" s="6">
        <v>5.2</v>
      </c>
      <c r="AB360" s="6">
        <v>2.75</v>
      </c>
      <c r="AC360" s="6">
        <v>2.85</v>
      </c>
      <c r="AD360" s="6">
        <v>3.85</v>
      </c>
      <c r="AE360" s="6">
        <v>3.34</v>
      </c>
      <c r="AF360" s="6">
        <v>4.28</v>
      </c>
      <c r="AG360" s="6">
        <v>3.51</v>
      </c>
      <c r="AH360" s="6">
        <v>4.22</v>
      </c>
      <c r="AI360" s="6">
        <v>3.29</v>
      </c>
      <c r="AJ360" s="6">
        <v>5.17</v>
      </c>
      <c r="AK360" s="6">
        <v>3.23</v>
      </c>
      <c r="AL360" s="6">
        <v>2.78</v>
      </c>
      <c r="AM360" s="6">
        <v>4.25</v>
      </c>
      <c r="AN360" s="6">
        <v>4.68</v>
      </c>
      <c r="AO360" s="6">
        <v>3.33</v>
      </c>
      <c r="AP360" s="6">
        <v>2.96</v>
      </c>
      <c r="AQ360" s="6">
        <v>2.94</v>
      </c>
      <c r="AR360" s="6">
        <v>3.67</v>
      </c>
      <c r="AS360" s="6">
        <v>3.1</v>
      </c>
      <c r="AT360" s="6">
        <v>4.3099999999999996</v>
      </c>
      <c r="AU360" s="6">
        <v>6.4</v>
      </c>
      <c r="AV360" s="6">
        <v>4.01</v>
      </c>
      <c r="AW360" s="6">
        <v>5.69</v>
      </c>
      <c r="AX360" s="6">
        <v>4.12</v>
      </c>
      <c r="AY360" s="6">
        <v>4.96</v>
      </c>
      <c r="AZ360" s="6">
        <v>3.76</v>
      </c>
      <c r="BA360" s="6">
        <v>3.94</v>
      </c>
      <c r="BB360" s="6">
        <v>4.5199999999999996</v>
      </c>
      <c r="BC360" s="6">
        <f>4.22+0.43</f>
        <v>4.6499999999999995</v>
      </c>
      <c r="BD360" s="6">
        <v>3.31</v>
      </c>
      <c r="BE360" s="6">
        <v>5.03</v>
      </c>
      <c r="BF360" s="6">
        <v>2.5299999999999998</v>
      </c>
      <c r="BG360" s="6">
        <v>3.78</v>
      </c>
      <c r="BH360" s="6">
        <v>3.83</v>
      </c>
      <c r="BI360" s="6">
        <v>3.71</v>
      </c>
      <c r="BJ360" s="6">
        <v>3.63</v>
      </c>
      <c r="BK360" s="6">
        <v>3.63</v>
      </c>
      <c r="BL360" s="6">
        <v>4.63</v>
      </c>
      <c r="BM360" s="6">
        <v>4.3600000000000003</v>
      </c>
      <c r="BN360" s="6">
        <v>4.3</v>
      </c>
      <c r="BO360" s="6">
        <v>4.71</v>
      </c>
      <c r="BP360" s="6">
        <v>3.98</v>
      </c>
      <c r="BQ360" s="6">
        <v>6.26</v>
      </c>
      <c r="BR360" s="6">
        <v>2.39</v>
      </c>
      <c r="BS360" s="6">
        <v>5.13</v>
      </c>
      <c r="BT360" s="6">
        <v>6.57</v>
      </c>
      <c r="BU360" s="6">
        <v>3.0700000000000003</v>
      </c>
      <c r="BV360" s="6">
        <v>4.05</v>
      </c>
      <c r="BW360" s="6">
        <v>3.74</v>
      </c>
      <c r="BX360" s="6">
        <v>3.45</v>
      </c>
      <c r="BY360" s="6">
        <v>4.6399999999999997</v>
      </c>
      <c r="BZ360" s="6">
        <v>2.94</v>
      </c>
      <c r="CA360" s="6">
        <v>2.8800000000000003</v>
      </c>
      <c r="CB360" s="6">
        <v>4.2299999999999995</v>
      </c>
      <c r="CC360" s="6">
        <v>5.08</v>
      </c>
      <c r="CD360" s="6">
        <v>4.3899999999999997</v>
      </c>
      <c r="CE360" s="6">
        <v>4.68</v>
      </c>
      <c r="CF360" s="6">
        <v>2.2999999999999998</v>
      </c>
      <c r="CG360" s="6">
        <v>2.6876280000000001</v>
      </c>
      <c r="CH360" s="6"/>
    </row>
    <row r="361" spans="1:86" ht="15.75" customHeight="1" x14ac:dyDescent="0.25">
      <c r="A361" s="4">
        <v>359</v>
      </c>
      <c r="B361" s="2"/>
      <c r="C361" s="4">
        <v>25</v>
      </c>
      <c r="D361" s="6">
        <v>3.03</v>
      </c>
      <c r="E361" s="6">
        <v>4.33</v>
      </c>
      <c r="F361" s="6">
        <v>3.48</v>
      </c>
      <c r="G361" s="6">
        <v>2.88</v>
      </c>
      <c r="H361" s="6">
        <v>2.48</v>
      </c>
      <c r="I361" s="6">
        <v>3.53</v>
      </c>
      <c r="J361" s="6">
        <v>4.22</v>
      </c>
      <c r="K361" s="6">
        <v>3.68</v>
      </c>
      <c r="L361" s="6">
        <v>3.58</v>
      </c>
      <c r="M361" s="6">
        <v>3.33</v>
      </c>
      <c r="N361" s="6">
        <v>3.83</v>
      </c>
      <c r="O361" s="6">
        <v>4.7300000000000004</v>
      </c>
      <c r="P361" s="6">
        <v>3.83</v>
      </c>
      <c r="Q361" s="6">
        <v>3.18</v>
      </c>
      <c r="R361" s="6">
        <v>3.53</v>
      </c>
      <c r="S361" s="6">
        <v>2.13</v>
      </c>
      <c r="T361" s="6">
        <v>4.43</v>
      </c>
      <c r="U361" s="6">
        <v>4.4800000000000004</v>
      </c>
      <c r="V361" s="6">
        <v>4.78</v>
      </c>
      <c r="W361" s="6">
        <v>2.93</v>
      </c>
      <c r="X361" s="6">
        <v>3.21</v>
      </c>
      <c r="Y361" s="6">
        <v>2.93</v>
      </c>
      <c r="Z361" s="6">
        <v>3.13</v>
      </c>
      <c r="AA361" s="6">
        <v>5.01</v>
      </c>
      <c r="AB361" s="6">
        <v>2.73</v>
      </c>
      <c r="AC361" s="6">
        <v>2.72</v>
      </c>
      <c r="AD361" s="6">
        <v>3.79</v>
      </c>
      <c r="AE361" s="6">
        <v>3.69</v>
      </c>
      <c r="AF361" s="6">
        <v>4.21</v>
      </c>
      <c r="AG361" s="6">
        <v>3.46</v>
      </c>
      <c r="AH361" s="6">
        <v>4.3099999999999996</v>
      </c>
      <c r="AI361" s="6">
        <v>3.26</v>
      </c>
      <c r="AJ361" s="6">
        <v>5.31</v>
      </c>
      <c r="AK361" s="6">
        <v>3.13</v>
      </c>
      <c r="AL361" s="6">
        <v>2.67</v>
      </c>
      <c r="AM361" s="6">
        <v>4.07</v>
      </c>
      <c r="AN361" s="6">
        <v>4.6500000000000004</v>
      </c>
      <c r="AO361" s="6">
        <v>3.17</v>
      </c>
      <c r="AP361" s="6">
        <v>2.94</v>
      </c>
      <c r="AQ361" s="6">
        <v>2.85</v>
      </c>
      <c r="AR361" s="6">
        <v>3.58</v>
      </c>
      <c r="AS361" s="6">
        <v>3.02</v>
      </c>
      <c r="AT361" s="6">
        <v>4.1500000000000004</v>
      </c>
      <c r="AU361" s="6">
        <v>6</v>
      </c>
      <c r="AV361" s="6">
        <v>3.91</v>
      </c>
      <c r="AW361" s="6">
        <v>5.2</v>
      </c>
      <c r="AX361" s="6">
        <v>3.81</v>
      </c>
      <c r="AY361" s="6">
        <v>4.88</v>
      </c>
      <c r="AZ361" s="6">
        <v>3.66</v>
      </c>
      <c r="BA361" s="6">
        <v>3.83</v>
      </c>
      <c r="BB361" s="6">
        <v>4.41</v>
      </c>
      <c r="BC361" s="6">
        <f>4.12+0.43</f>
        <v>4.55</v>
      </c>
      <c r="BD361" s="6">
        <v>3.23</v>
      </c>
      <c r="BE361" s="6">
        <v>5.0599999999999996</v>
      </c>
      <c r="BF361" s="6">
        <v>2.4700000000000002</v>
      </c>
      <c r="BG361" s="6">
        <v>3.72</v>
      </c>
      <c r="BH361" s="6">
        <v>3.81</v>
      </c>
      <c r="BI361" s="6">
        <v>3.64</v>
      </c>
      <c r="BJ361" s="6">
        <v>3.63</v>
      </c>
      <c r="BK361" s="6">
        <v>3.52</v>
      </c>
      <c r="BL361" s="6">
        <v>4.5199999999999996</v>
      </c>
      <c r="BM361" s="6">
        <v>4.32</v>
      </c>
      <c r="BN361" s="6">
        <v>4.16</v>
      </c>
      <c r="BO361" s="6">
        <v>4.63</v>
      </c>
      <c r="BP361" s="6">
        <v>3.99</v>
      </c>
      <c r="BQ361" s="6">
        <v>5.84</v>
      </c>
      <c r="BR361" s="6">
        <v>2.37</v>
      </c>
      <c r="BS361" s="6">
        <v>5.13</v>
      </c>
      <c r="BT361" s="6">
        <v>6.61</v>
      </c>
      <c r="BU361" s="6">
        <v>2.96</v>
      </c>
      <c r="BV361" s="6">
        <v>4.03</v>
      </c>
      <c r="BW361" s="6">
        <v>3.68</v>
      </c>
      <c r="BX361" s="6">
        <v>3.41</v>
      </c>
      <c r="BY361" s="6">
        <v>4.5299999999999994</v>
      </c>
      <c r="BZ361" s="6">
        <v>2.79</v>
      </c>
      <c r="CA361" s="6">
        <v>2.7600000000000002</v>
      </c>
      <c r="CB361" s="6">
        <v>4</v>
      </c>
      <c r="CC361" s="6">
        <v>5.05</v>
      </c>
      <c r="CD361" s="6">
        <v>4.26</v>
      </c>
      <c r="CE361" s="6">
        <v>4.5299999999999994</v>
      </c>
      <c r="CF361" s="6">
        <v>2.29</v>
      </c>
      <c r="CG361" s="6">
        <v>2.697425</v>
      </c>
      <c r="CH361" s="6"/>
    </row>
    <row r="362" spans="1:86" ht="15.75" customHeight="1" x14ac:dyDescent="0.25">
      <c r="A362" s="4">
        <v>360</v>
      </c>
      <c r="B362" s="2"/>
      <c r="C362" s="4">
        <v>26</v>
      </c>
      <c r="D362" s="6">
        <v>3.03</v>
      </c>
      <c r="E362" s="6">
        <v>4.33</v>
      </c>
      <c r="F362" s="6">
        <v>3.53</v>
      </c>
      <c r="G362" s="6">
        <v>2.83</v>
      </c>
      <c r="H362" s="6">
        <v>2.4300000000000002</v>
      </c>
      <c r="I362" s="6">
        <v>3.33</v>
      </c>
      <c r="J362" s="6">
        <v>4.13</v>
      </c>
      <c r="K362" s="6">
        <v>3.73</v>
      </c>
      <c r="L362" s="6">
        <v>3.48</v>
      </c>
      <c r="M362" s="6">
        <v>3.33</v>
      </c>
      <c r="N362" s="6">
        <v>3.93</v>
      </c>
      <c r="O362" s="6">
        <v>4.63</v>
      </c>
      <c r="P362" s="6">
        <v>3.73</v>
      </c>
      <c r="Q362" s="6">
        <v>3.13</v>
      </c>
      <c r="R362" s="6">
        <v>3.38</v>
      </c>
      <c r="S362" s="6">
        <v>2.1800000000000002</v>
      </c>
      <c r="T362" s="6">
        <v>4.33</v>
      </c>
      <c r="U362" s="6">
        <v>4.63</v>
      </c>
      <c r="V362" s="6">
        <v>4.53</v>
      </c>
      <c r="W362" s="6">
        <v>2.83</v>
      </c>
      <c r="X362" s="6">
        <v>3.11</v>
      </c>
      <c r="Y362" s="6">
        <v>2.78</v>
      </c>
      <c r="Z362" s="6">
        <v>3.03</v>
      </c>
      <c r="AA362" s="6">
        <v>4.82</v>
      </c>
      <c r="AB362" s="6">
        <v>2.69</v>
      </c>
      <c r="AC362" s="6">
        <v>2.67</v>
      </c>
      <c r="AD362" s="6">
        <v>3.76</v>
      </c>
      <c r="AE362" s="6">
        <v>3.84</v>
      </c>
      <c r="AF362" s="6">
        <v>4.1399999999999997</v>
      </c>
      <c r="AG362" s="6">
        <v>3.39</v>
      </c>
      <c r="AH362" s="6">
        <v>4.2300000000000004</v>
      </c>
      <c r="AI362" s="6">
        <v>3.24</v>
      </c>
      <c r="AJ362" s="6">
        <v>5.52</v>
      </c>
      <c r="AK362" s="6">
        <v>2.95</v>
      </c>
      <c r="AL362" s="6">
        <v>2.61</v>
      </c>
      <c r="AM362" s="6">
        <v>3.94</v>
      </c>
      <c r="AN362" s="6">
        <v>4.58</v>
      </c>
      <c r="AO362" s="6">
        <v>3.13</v>
      </c>
      <c r="AP362" s="6">
        <v>2.96</v>
      </c>
      <c r="AQ362" s="6">
        <v>2.74</v>
      </c>
      <c r="AR362" s="6">
        <v>3.48</v>
      </c>
      <c r="AS362" s="6">
        <v>2.94</v>
      </c>
      <c r="AT362" s="6">
        <v>4</v>
      </c>
      <c r="AU362" s="6">
        <v>5.73</v>
      </c>
      <c r="AV362" s="6">
        <v>3.79</v>
      </c>
      <c r="AW362" s="6">
        <v>4.79</v>
      </c>
      <c r="AX362" s="6">
        <v>3.49</v>
      </c>
      <c r="AY362" s="6">
        <v>4.78</v>
      </c>
      <c r="AZ362" s="6">
        <v>3.42</v>
      </c>
      <c r="BA362" s="6">
        <v>3.68</v>
      </c>
      <c r="BB362" s="6">
        <v>4.24</v>
      </c>
      <c r="BC362" s="6">
        <f>3.96+0.43</f>
        <v>4.3899999999999997</v>
      </c>
      <c r="BD362" s="6">
        <v>3.17</v>
      </c>
      <c r="BE362" s="6">
        <v>5.03</v>
      </c>
      <c r="BF362" s="6">
        <v>2.35</v>
      </c>
      <c r="BG362" s="6">
        <v>3.72</v>
      </c>
      <c r="BH362" s="6">
        <v>3.75</v>
      </c>
      <c r="BI362" s="6">
        <v>3.62</v>
      </c>
      <c r="BJ362" s="6">
        <v>3.72</v>
      </c>
      <c r="BK362" s="6">
        <v>3.33</v>
      </c>
      <c r="BL362" s="6">
        <v>4.4000000000000004</v>
      </c>
      <c r="BM362" s="6">
        <v>4.26</v>
      </c>
      <c r="BN362" s="6">
        <v>4.0199999999999996</v>
      </c>
      <c r="BO362" s="6">
        <v>4.5199999999999996</v>
      </c>
      <c r="BP362" s="6">
        <v>4</v>
      </c>
      <c r="BQ362" s="6">
        <v>5.45</v>
      </c>
      <c r="BR362" s="6">
        <v>2.2799999999999998</v>
      </c>
      <c r="BS362" s="6">
        <v>5.04</v>
      </c>
      <c r="BT362" s="6">
        <v>6.43</v>
      </c>
      <c r="BU362" s="6">
        <v>2.91</v>
      </c>
      <c r="BV362" s="6">
        <v>3.87</v>
      </c>
      <c r="BW362" s="6">
        <v>3.58</v>
      </c>
      <c r="BX362" s="6">
        <v>3.2800000000000002</v>
      </c>
      <c r="BY362" s="6">
        <v>4.41</v>
      </c>
      <c r="BZ362" s="6">
        <v>2.68</v>
      </c>
      <c r="CA362" s="6">
        <v>2.6500000000000004</v>
      </c>
      <c r="CB362" s="6">
        <v>3.96</v>
      </c>
      <c r="CC362" s="6">
        <v>5.0199999999999996</v>
      </c>
      <c r="CD362" s="6">
        <v>4.43</v>
      </c>
      <c r="CE362" s="6">
        <v>4.33</v>
      </c>
      <c r="CF362" s="6">
        <v>2.27</v>
      </c>
      <c r="CG362" s="6">
        <v>2.6386430000000001</v>
      </c>
      <c r="CH362" s="6"/>
    </row>
    <row r="363" spans="1:86" ht="15.75" customHeight="1" x14ac:dyDescent="0.25">
      <c r="A363" s="4">
        <v>361</v>
      </c>
      <c r="B363" s="2"/>
      <c r="C363" s="4">
        <v>27</v>
      </c>
      <c r="D363" s="6">
        <v>3.03</v>
      </c>
      <c r="E363" s="6">
        <v>4.33</v>
      </c>
      <c r="F363" s="6">
        <v>3.43</v>
      </c>
      <c r="G363" s="6">
        <v>2.88</v>
      </c>
      <c r="H363" s="6">
        <v>2.33</v>
      </c>
      <c r="I363" s="6">
        <v>2.93</v>
      </c>
      <c r="J363" s="6">
        <v>4.03</v>
      </c>
      <c r="K363" s="6">
        <v>3.73</v>
      </c>
      <c r="L363" s="6">
        <v>3.43</v>
      </c>
      <c r="M363" s="6">
        <v>3.23</v>
      </c>
      <c r="N363" s="6">
        <v>3.88</v>
      </c>
      <c r="O363" s="6">
        <v>4.4800000000000004</v>
      </c>
      <c r="P363" s="6">
        <v>3.63</v>
      </c>
      <c r="Q363" s="6">
        <v>3.1</v>
      </c>
      <c r="R363" s="6">
        <v>3.28</v>
      </c>
      <c r="S363" s="6">
        <v>2.08</v>
      </c>
      <c r="T363" s="6">
        <v>4.2300000000000004</v>
      </c>
      <c r="U363" s="6">
        <v>4.33</v>
      </c>
      <c r="V363" s="6">
        <v>4.43</v>
      </c>
      <c r="W363" s="6">
        <v>2.73</v>
      </c>
      <c r="X363" s="6">
        <v>3.01</v>
      </c>
      <c r="Y363" s="6">
        <v>2.73</v>
      </c>
      <c r="Z363" s="6">
        <v>2.95</v>
      </c>
      <c r="AA363" s="6">
        <v>4.7</v>
      </c>
      <c r="AB363" s="6">
        <v>2.68</v>
      </c>
      <c r="AC363" s="6">
        <v>2.58</v>
      </c>
      <c r="AD363" s="6">
        <v>3.7</v>
      </c>
      <c r="AE363" s="6">
        <v>3.91</v>
      </c>
      <c r="AF363" s="6">
        <v>4.07</v>
      </c>
      <c r="AG363" s="6">
        <v>3.3</v>
      </c>
      <c r="AH363" s="6">
        <v>3.99</v>
      </c>
      <c r="AI363" s="6">
        <v>3</v>
      </c>
      <c r="AJ363" s="6">
        <v>5.65</v>
      </c>
      <c r="AK363" s="6">
        <v>2.9</v>
      </c>
      <c r="AL363" s="6">
        <v>2.5299999999999998</v>
      </c>
      <c r="AM363" s="6">
        <v>3.87</v>
      </c>
      <c r="AN363" s="6">
        <v>4.63</v>
      </c>
      <c r="AO363" s="6">
        <v>3.37</v>
      </c>
      <c r="AP363" s="6">
        <v>3.14</v>
      </c>
      <c r="AQ363" s="6">
        <v>2.66</v>
      </c>
      <c r="AR363" s="6">
        <v>3.43</v>
      </c>
      <c r="AS363" s="6">
        <v>2.92</v>
      </c>
      <c r="AT363" s="6">
        <v>3.91</v>
      </c>
      <c r="AU363" s="6">
        <v>5.51</v>
      </c>
      <c r="AV363" s="6">
        <v>3.66</v>
      </c>
      <c r="AW363" s="6">
        <v>4.53</v>
      </c>
      <c r="AX363" s="6">
        <v>3.43</v>
      </c>
      <c r="AY363" s="6">
        <v>4.76</v>
      </c>
      <c r="AZ363" s="6">
        <v>3.33</v>
      </c>
      <c r="BA363" s="6">
        <v>3.58</v>
      </c>
      <c r="BB363" s="6">
        <v>4.08</v>
      </c>
      <c r="BC363" s="6">
        <f>3.9+0.43</f>
        <v>4.33</v>
      </c>
      <c r="BD363" s="6">
        <v>3.17</v>
      </c>
      <c r="BE363" s="6">
        <v>5.03</v>
      </c>
      <c r="BF363" s="6">
        <v>2.35</v>
      </c>
      <c r="BG363" s="6">
        <v>3.84</v>
      </c>
      <c r="BH363" s="6">
        <v>3.69</v>
      </c>
      <c r="BI363" s="6">
        <v>3.57</v>
      </c>
      <c r="BJ363" s="6">
        <v>3.81</v>
      </c>
      <c r="BK363" s="6">
        <v>3.22</v>
      </c>
      <c r="BL363" s="6">
        <v>4.34</v>
      </c>
      <c r="BM363" s="6">
        <v>4.1100000000000003</v>
      </c>
      <c r="BN363" s="6">
        <v>3.99</v>
      </c>
      <c r="BO363" s="6">
        <v>4.5199999999999996</v>
      </c>
      <c r="BP363" s="6">
        <v>4.13</v>
      </c>
      <c r="BQ363" s="6">
        <v>5.55</v>
      </c>
      <c r="BR363" s="6">
        <v>2.2799999999999998</v>
      </c>
      <c r="BS363" s="6">
        <v>4.9000000000000004</v>
      </c>
      <c r="BT363" s="6">
        <v>6.08</v>
      </c>
      <c r="BU363" s="6">
        <v>2.9930000000000003</v>
      </c>
      <c r="BV363" s="6">
        <v>3.79</v>
      </c>
      <c r="BW363" s="6">
        <v>3.48</v>
      </c>
      <c r="BX363" s="6">
        <v>3.21</v>
      </c>
      <c r="BY363" s="6">
        <v>4.33</v>
      </c>
      <c r="BZ363" s="6">
        <v>2.6300000000000003</v>
      </c>
      <c r="CA363" s="6">
        <v>2.7</v>
      </c>
      <c r="CB363" s="6">
        <v>3.8400000000000003</v>
      </c>
      <c r="CC363" s="6">
        <v>5.0199999999999996</v>
      </c>
      <c r="CD363" s="6">
        <v>4.29</v>
      </c>
      <c r="CE363" s="6">
        <v>4.25</v>
      </c>
      <c r="CF363" s="6">
        <v>2.2400000000000002</v>
      </c>
      <c r="CG363" s="6">
        <v>2.6876280000000001</v>
      </c>
      <c r="CH363" s="6"/>
    </row>
    <row r="364" spans="1:86" ht="15.75" customHeight="1" x14ac:dyDescent="0.25">
      <c r="A364" s="4">
        <v>362</v>
      </c>
      <c r="B364" s="2"/>
      <c r="C364" s="4">
        <v>28</v>
      </c>
      <c r="D364" s="6">
        <v>3.03</v>
      </c>
      <c r="E364" s="6">
        <v>4.2300000000000004</v>
      </c>
      <c r="F364" s="6">
        <v>3.33</v>
      </c>
      <c r="G364" s="6">
        <v>2.83</v>
      </c>
      <c r="H364" s="6">
        <v>2.2799999999999998</v>
      </c>
      <c r="I364" s="6">
        <v>2.63</v>
      </c>
      <c r="J364" s="6">
        <v>3.83</v>
      </c>
      <c r="K364" s="6">
        <v>3.78</v>
      </c>
      <c r="L364" s="6">
        <v>3.33</v>
      </c>
      <c r="M364" s="6">
        <v>3.23</v>
      </c>
      <c r="N364" s="6">
        <v>3.83</v>
      </c>
      <c r="O364" s="6">
        <v>4.43</v>
      </c>
      <c r="P364" s="6">
        <v>3.41</v>
      </c>
      <c r="Q364" s="6">
        <v>3.03</v>
      </c>
      <c r="R364" s="6">
        <v>3.28</v>
      </c>
      <c r="S364" s="6">
        <v>2.13</v>
      </c>
      <c r="T364" s="6">
        <v>4.13</v>
      </c>
      <c r="U364" s="6">
        <v>4.2</v>
      </c>
      <c r="V364" s="6">
        <v>4.3099999999999996</v>
      </c>
      <c r="W364" s="6">
        <v>2.63</v>
      </c>
      <c r="X364" s="6">
        <v>2.91</v>
      </c>
      <c r="Y364" s="6">
        <v>2.56</v>
      </c>
      <c r="Z364" s="6">
        <v>2.89</v>
      </c>
      <c r="AA364" s="6">
        <v>4.6399999999999997</v>
      </c>
      <c r="AB364" s="6">
        <v>2.65</v>
      </c>
      <c r="AC364" s="6">
        <v>2.46</v>
      </c>
      <c r="AD364" s="6">
        <v>3.66</v>
      </c>
      <c r="AE364" s="6">
        <v>3.93</v>
      </c>
      <c r="AF364" s="6">
        <v>4</v>
      </c>
      <c r="AG364" s="6">
        <v>3.16</v>
      </c>
      <c r="AH364" s="6">
        <v>3.94</v>
      </c>
      <c r="AI364" s="6">
        <v>2.87</v>
      </c>
      <c r="AJ364" s="6">
        <v>5.72</v>
      </c>
      <c r="AK364" s="6">
        <v>2.71</v>
      </c>
      <c r="AL364" s="6">
        <v>2.4500000000000002</v>
      </c>
      <c r="AM364" s="6">
        <v>3.79</v>
      </c>
      <c r="AN364" s="6">
        <v>4.49</v>
      </c>
      <c r="AO364" s="6">
        <v>3.17</v>
      </c>
      <c r="AP364" s="6">
        <v>3.2</v>
      </c>
      <c r="AQ364" s="6">
        <v>2.75</v>
      </c>
      <c r="AR364" s="6">
        <v>3.38</v>
      </c>
      <c r="AS364" s="6">
        <v>2.88</v>
      </c>
      <c r="AT364" s="6">
        <v>3.65</v>
      </c>
      <c r="AU364" s="6">
        <v>5.38</v>
      </c>
      <c r="AV364" s="6">
        <v>3.55</v>
      </c>
      <c r="AW364" s="6">
        <v>4.2699999999999996</v>
      </c>
      <c r="AX364" s="6">
        <v>3.43</v>
      </c>
      <c r="AY364" s="6">
        <v>4.68</v>
      </c>
      <c r="AZ364" s="6">
        <v>3.24</v>
      </c>
      <c r="BA364" s="6">
        <v>3.45</v>
      </c>
      <c r="BB364" s="6">
        <v>4.0199999999999996</v>
      </c>
      <c r="BC364" s="6">
        <f>3.82+0.43</f>
        <v>4.25</v>
      </c>
      <c r="BD364" s="6">
        <v>3.17</v>
      </c>
      <c r="BE364" s="6">
        <v>5.08</v>
      </c>
      <c r="BF364" s="6">
        <v>2.35</v>
      </c>
      <c r="BG364" s="6">
        <v>3.93</v>
      </c>
      <c r="BH364" s="6">
        <v>3.58</v>
      </c>
      <c r="BI364" s="6">
        <v>3.52</v>
      </c>
      <c r="BJ364" s="6">
        <v>3.86</v>
      </c>
      <c r="BK364" s="6">
        <v>3.17</v>
      </c>
      <c r="BL364" s="6">
        <v>4.17</v>
      </c>
      <c r="BM364" s="6">
        <v>4.1100000000000003</v>
      </c>
      <c r="BN364" s="6">
        <v>3.96</v>
      </c>
      <c r="BO364" s="6">
        <v>4.5599999999999996</v>
      </c>
      <c r="BP364" s="6">
        <v>4.13</v>
      </c>
      <c r="BQ364" s="6">
        <v>5.75</v>
      </c>
      <c r="BR364" s="6">
        <v>2.21</v>
      </c>
      <c r="BS364" s="6">
        <v>4.67</v>
      </c>
      <c r="BT364" s="6">
        <v>5.99</v>
      </c>
      <c r="BU364" s="6">
        <v>2.95</v>
      </c>
      <c r="BV364" s="6">
        <v>3.75</v>
      </c>
      <c r="BW364" s="6">
        <v>3.4200000000000004</v>
      </c>
      <c r="BX364" s="6">
        <v>3.14</v>
      </c>
      <c r="BY364" s="6">
        <v>4.33</v>
      </c>
      <c r="BZ364" s="6">
        <v>2.5500000000000003</v>
      </c>
      <c r="CA364" s="6">
        <v>2.69</v>
      </c>
      <c r="CB364" s="6">
        <v>3.79</v>
      </c>
      <c r="CC364" s="6">
        <v>4.79</v>
      </c>
      <c r="CD364" s="6">
        <v>4.2</v>
      </c>
      <c r="CE364" s="6">
        <v>4.1100000000000003</v>
      </c>
      <c r="CF364" s="6">
        <v>2.21</v>
      </c>
      <c r="CG364" s="6">
        <v>2.540673</v>
      </c>
      <c r="CH364" s="6"/>
    </row>
    <row r="365" spans="1:86" ht="15.75" customHeight="1" x14ac:dyDescent="0.25">
      <c r="A365" s="4">
        <v>363</v>
      </c>
      <c r="B365" s="2"/>
      <c r="C365" s="4">
        <v>29</v>
      </c>
      <c r="D365" s="6">
        <v>2.93</v>
      </c>
      <c r="E365" s="6">
        <v>4.08</v>
      </c>
      <c r="F365" s="6">
        <v>3.23</v>
      </c>
      <c r="G365" s="6">
        <v>2.83</v>
      </c>
      <c r="H365" s="6">
        <v>2.23</v>
      </c>
      <c r="I365" s="6">
        <v>2.4300000000000002</v>
      </c>
      <c r="J365" s="6">
        <v>3.73</v>
      </c>
      <c r="K365" s="6">
        <v>3.83</v>
      </c>
      <c r="L365" s="6">
        <v>3.28</v>
      </c>
      <c r="M365" s="6">
        <v>3.23</v>
      </c>
      <c r="N365" s="6">
        <v>3.73</v>
      </c>
      <c r="O365" s="6">
        <v>4.3600000000000003</v>
      </c>
      <c r="P365" s="6">
        <v>3.28</v>
      </c>
      <c r="Q365" s="6">
        <v>3.38</v>
      </c>
      <c r="R365" s="6">
        <v>3.23</v>
      </c>
      <c r="S365" s="6">
        <v>2.0499999999999998</v>
      </c>
      <c r="T365" s="6">
        <v>4.08</v>
      </c>
      <c r="U365" s="6">
        <v>4.0599999999999996</v>
      </c>
      <c r="V365" s="6">
        <v>4.21</v>
      </c>
      <c r="W365" s="6">
        <v>2.63</v>
      </c>
      <c r="X365" s="6">
        <v>2.88</v>
      </c>
      <c r="Y365" s="6">
        <v>2.5099999999999998</v>
      </c>
      <c r="Z365" s="6">
        <v>2.83</v>
      </c>
      <c r="AA365" s="6">
        <v>4.7</v>
      </c>
      <c r="AB365" s="6">
        <v>2.58</v>
      </c>
      <c r="AC365" s="6">
        <v>2.36</v>
      </c>
      <c r="AD365" s="6">
        <v>3.61</v>
      </c>
      <c r="AE365" s="6">
        <v>4.01</v>
      </c>
      <c r="AF365" s="6">
        <v>3.93</v>
      </c>
      <c r="AG365" s="6">
        <v>3.07</v>
      </c>
      <c r="AH365" s="6">
        <v>3.93</v>
      </c>
      <c r="AI365" s="6">
        <v>2.63</v>
      </c>
      <c r="AJ365" s="6">
        <v>5.46</v>
      </c>
      <c r="AK365" s="6">
        <v>2.57</v>
      </c>
      <c r="AL365" s="6">
        <v>2.39</v>
      </c>
      <c r="AM365" s="6">
        <v>3.71</v>
      </c>
      <c r="AN365" s="6">
        <v>4.3899999999999997</v>
      </c>
      <c r="AO365" s="6">
        <v>3.29</v>
      </c>
      <c r="AP365" s="6">
        <v>3.1</v>
      </c>
      <c r="AQ365" s="6">
        <v>2.68</v>
      </c>
      <c r="AR365" s="6">
        <v>3.28</v>
      </c>
      <c r="AS365" s="6">
        <v>2.83</v>
      </c>
      <c r="AT365" s="6">
        <v>3.47</v>
      </c>
      <c r="AU365" s="6">
        <v>5.23</v>
      </c>
      <c r="AV365" s="6">
        <v>3.45</v>
      </c>
      <c r="AW365" s="6">
        <v>4.09</v>
      </c>
      <c r="AX365" s="6">
        <v>3.29</v>
      </c>
      <c r="AY365" s="6">
        <v>4.6100000000000003</v>
      </c>
      <c r="AZ365" s="6">
        <v>3.2</v>
      </c>
      <c r="BA365" s="6">
        <v>3.36</v>
      </c>
      <c r="BB365" s="6">
        <v>3.98</v>
      </c>
      <c r="BC365" s="6">
        <f>3.75+0.43</f>
        <v>4.18</v>
      </c>
      <c r="BD365" s="6">
        <v>3.07</v>
      </c>
      <c r="BE365" s="6">
        <v>5.03</v>
      </c>
      <c r="BF365" s="6">
        <v>2.2200000000000002</v>
      </c>
      <c r="BG365" s="6">
        <v>3.93</v>
      </c>
      <c r="BH365" s="6">
        <v>3.5</v>
      </c>
      <c r="BI365" s="6">
        <v>3.48</v>
      </c>
      <c r="BJ365" s="6">
        <v>3.97</v>
      </c>
      <c r="BK365" s="6">
        <v>3.11</v>
      </c>
      <c r="BL365" s="6">
        <v>4.03</v>
      </c>
      <c r="BM365" s="6">
        <v>4.03</v>
      </c>
      <c r="BN365" s="6">
        <v>3.91</v>
      </c>
      <c r="BO365" s="6">
        <v>4.51</v>
      </c>
      <c r="BP365" s="6">
        <v>4.1500000000000004</v>
      </c>
      <c r="BQ365" s="6">
        <v>5.72</v>
      </c>
      <c r="BR365" s="6">
        <v>2.2200000000000002</v>
      </c>
      <c r="BS365" s="6">
        <v>4.47</v>
      </c>
      <c r="BT365" s="6">
        <v>5.85</v>
      </c>
      <c r="BU365" s="6">
        <v>3.02</v>
      </c>
      <c r="BV365" s="6">
        <v>3.6700000000000004</v>
      </c>
      <c r="BW365" s="6">
        <v>3.37</v>
      </c>
      <c r="BX365" s="6">
        <v>3.14</v>
      </c>
      <c r="BY365" s="6">
        <v>4.33</v>
      </c>
      <c r="BZ365" s="6">
        <v>2.5300000000000002</v>
      </c>
      <c r="CA365" s="6">
        <v>2.5500000000000003</v>
      </c>
      <c r="CB365" s="6">
        <v>3.7800000000000002</v>
      </c>
      <c r="CC365" s="6">
        <v>4.6499999999999995</v>
      </c>
      <c r="CD365" s="6">
        <v>4.1899999999999995</v>
      </c>
      <c r="CE365" s="6">
        <v>3.94</v>
      </c>
      <c r="CF365" s="6">
        <v>2.23</v>
      </c>
      <c r="CG365" s="6">
        <v>2.7170190000000001</v>
      </c>
      <c r="CH365" s="6"/>
    </row>
    <row r="366" spans="1:86" ht="15.75" customHeight="1" x14ac:dyDescent="0.25">
      <c r="A366" s="4">
        <v>364</v>
      </c>
      <c r="B366" s="2"/>
      <c r="C366" s="4">
        <v>30</v>
      </c>
      <c r="D366" s="6">
        <v>2.88</v>
      </c>
      <c r="E366" s="6">
        <v>4.08</v>
      </c>
      <c r="F366" s="6">
        <v>3.23</v>
      </c>
      <c r="G366" s="6">
        <v>2.83</v>
      </c>
      <c r="H366" s="6">
        <v>2.13</v>
      </c>
      <c r="I366" s="6">
        <v>2.33</v>
      </c>
      <c r="J366" s="6">
        <v>3.73</v>
      </c>
      <c r="K366" s="6">
        <v>3.84</v>
      </c>
      <c r="L366" s="6">
        <v>3.23</v>
      </c>
      <c r="M366" s="6">
        <v>3.13</v>
      </c>
      <c r="N366" s="6">
        <v>3.53</v>
      </c>
      <c r="O366" s="6">
        <v>4.2300000000000004</v>
      </c>
      <c r="P366" s="6">
        <v>3.42</v>
      </c>
      <c r="Q366" s="6">
        <v>3.48</v>
      </c>
      <c r="R366" s="6">
        <v>3.18</v>
      </c>
      <c r="S366" s="6">
        <v>2.08</v>
      </c>
      <c r="T366" s="6">
        <v>4</v>
      </c>
      <c r="U366" s="6">
        <v>3.93</v>
      </c>
      <c r="V366" s="6">
        <v>4.08</v>
      </c>
      <c r="W366" s="6">
        <v>2.58</v>
      </c>
      <c r="X366" s="6">
        <v>2.83</v>
      </c>
      <c r="Y366" s="6">
        <v>2.4900000000000002</v>
      </c>
      <c r="Z366" s="6">
        <v>2.73</v>
      </c>
      <c r="AA366" s="6">
        <v>4.75</v>
      </c>
      <c r="AB366" s="6">
        <v>2.5499999999999998</v>
      </c>
      <c r="AC366" s="6">
        <v>2.33</v>
      </c>
      <c r="AD366" s="6">
        <v>3.6</v>
      </c>
      <c r="AE366" s="6">
        <v>4.04</v>
      </c>
      <c r="AF366" s="6">
        <v>3.85</v>
      </c>
      <c r="AG366" s="6">
        <v>2.97</v>
      </c>
      <c r="AH366" s="6">
        <v>3.98</v>
      </c>
      <c r="AI366" s="6">
        <v>2.4</v>
      </c>
      <c r="AJ366" s="6">
        <v>5.29</v>
      </c>
      <c r="AK366" s="6">
        <v>2.4700000000000002</v>
      </c>
      <c r="AL366" s="6">
        <v>2.31</v>
      </c>
      <c r="AM366" s="6">
        <v>3.63</v>
      </c>
      <c r="AN366" s="6">
        <v>4.25</v>
      </c>
      <c r="AO366" s="6">
        <v>3.39</v>
      </c>
      <c r="AP366" s="6">
        <v>3.08</v>
      </c>
      <c r="AQ366" s="6">
        <v>2.6</v>
      </c>
      <c r="AR366" s="6">
        <v>3.19</v>
      </c>
      <c r="AS366" s="6">
        <v>2.78</v>
      </c>
      <c r="AT366" s="6">
        <v>3.31</v>
      </c>
      <c r="AU366" s="6">
        <v>5.13</v>
      </c>
      <c r="AV366" s="6">
        <v>3.35</v>
      </c>
      <c r="AW366" s="6">
        <v>3.92</v>
      </c>
      <c r="AX366" s="6">
        <v>3.17</v>
      </c>
      <c r="AY366" s="6">
        <v>4.51</v>
      </c>
      <c r="AZ366" s="6">
        <v>3.05</v>
      </c>
      <c r="BA366" s="6">
        <v>3.36</v>
      </c>
      <c r="BB366" s="6">
        <v>3.78</v>
      </c>
      <c r="BC366" s="6">
        <f>3.62+0.43</f>
        <v>4.05</v>
      </c>
      <c r="BD366" s="6">
        <v>2.91</v>
      </c>
      <c r="BE366" s="6">
        <v>4.9400000000000004</v>
      </c>
      <c r="BF366" s="6">
        <v>2.2200000000000002</v>
      </c>
      <c r="BG366" s="6">
        <v>4.1399999999999997</v>
      </c>
      <c r="BH366" s="6">
        <v>3.34</v>
      </c>
      <c r="BI366" s="6">
        <v>3.42</v>
      </c>
      <c r="BJ366" s="6">
        <v>4.01</v>
      </c>
      <c r="BK366" s="6">
        <v>3.09</v>
      </c>
      <c r="BL366" s="6">
        <v>3.98</v>
      </c>
      <c r="BM366" s="6">
        <v>3.99</v>
      </c>
      <c r="BN366" s="6">
        <v>3.79</v>
      </c>
      <c r="BO366" s="6">
        <v>4.42</v>
      </c>
      <c r="BP366" s="6">
        <v>4.1100000000000003</v>
      </c>
      <c r="BQ366" s="6">
        <v>5.44</v>
      </c>
      <c r="BR366" s="6">
        <v>2.17</v>
      </c>
      <c r="BS366" s="6">
        <v>4.3</v>
      </c>
      <c r="BT366" s="6">
        <v>5.74</v>
      </c>
      <c r="BU366" s="6">
        <v>2.99</v>
      </c>
      <c r="BV366" s="6">
        <v>3.5900000000000003</v>
      </c>
      <c r="BW366" s="6">
        <v>3.29</v>
      </c>
      <c r="BX366" s="6">
        <v>3.14</v>
      </c>
      <c r="BY366" s="6">
        <v>4.2299999999999995</v>
      </c>
      <c r="BZ366" s="6">
        <v>2.5300000000000002</v>
      </c>
      <c r="CA366" s="6">
        <v>2.52</v>
      </c>
      <c r="CB366" s="6">
        <v>3.7600000000000002</v>
      </c>
      <c r="CC366" s="6">
        <v>4.5999999999999996</v>
      </c>
      <c r="CD366" s="6">
        <v>4.12</v>
      </c>
      <c r="CE366" s="6">
        <v>3.72</v>
      </c>
      <c r="CF366" s="6">
        <v>2.23</v>
      </c>
      <c r="CG366" s="6">
        <v>2.69</v>
      </c>
      <c r="CH366" s="6"/>
    </row>
    <row r="367" spans="1:86" ht="15.75" customHeight="1" x14ac:dyDescent="0.25">
      <c r="A367" s="4">
        <v>365</v>
      </c>
      <c r="B367" s="2"/>
      <c r="C367" s="4">
        <v>31</v>
      </c>
      <c r="D367" s="6">
        <v>2.83</v>
      </c>
      <c r="E367" s="6">
        <v>3.93</v>
      </c>
      <c r="F367" s="6">
        <v>3.18</v>
      </c>
      <c r="G367" s="6">
        <v>2.88</v>
      </c>
      <c r="H367" s="6">
        <v>2.0299999999999998</v>
      </c>
      <c r="I367" s="6">
        <v>2.23</v>
      </c>
      <c r="J367" s="6">
        <v>3.73</v>
      </c>
      <c r="K367" s="6">
        <v>3.78</v>
      </c>
      <c r="L367" s="6">
        <v>3.18</v>
      </c>
      <c r="M367" s="6">
        <v>3.43</v>
      </c>
      <c r="N367" s="6">
        <v>3.23</v>
      </c>
      <c r="O367" s="6">
        <v>4.1100000000000003</v>
      </c>
      <c r="P367" s="6">
        <v>3.37</v>
      </c>
      <c r="Q367" s="6">
        <v>3.73</v>
      </c>
      <c r="R367" s="6">
        <v>3.23</v>
      </c>
      <c r="S367" s="6">
        <v>2.0299999999999998</v>
      </c>
      <c r="T367" s="6">
        <v>3.93</v>
      </c>
      <c r="U367" s="6">
        <v>3.8</v>
      </c>
      <c r="V367" s="6">
        <v>3.93</v>
      </c>
      <c r="W367" s="6">
        <v>2.5299999999999998</v>
      </c>
      <c r="X367" s="6">
        <v>2.78</v>
      </c>
      <c r="Y367" s="6">
        <v>2.59</v>
      </c>
      <c r="Z367" s="6">
        <v>2.66</v>
      </c>
      <c r="AA367" s="6">
        <v>4.8499999999999996</v>
      </c>
      <c r="AB367" s="6">
        <v>2.5299999999999998</v>
      </c>
      <c r="AC367" s="6">
        <v>2.34</v>
      </c>
      <c r="AD367" s="6">
        <v>3.54</v>
      </c>
      <c r="AE367" s="6">
        <v>3.96</v>
      </c>
      <c r="AF367" s="6">
        <v>3.99</v>
      </c>
      <c r="AG367" s="6">
        <v>2.99</v>
      </c>
      <c r="AH367" s="6">
        <v>3.81</v>
      </c>
      <c r="AI367" s="6">
        <v>2.33</v>
      </c>
      <c r="AJ367" s="6">
        <v>5.2</v>
      </c>
      <c r="AK367" s="6">
        <v>2.33</v>
      </c>
      <c r="AL367" s="6">
        <v>2.31</v>
      </c>
      <c r="AM367" s="6">
        <v>3.54</v>
      </c>
      <c r="AN367" s="6">
        <v>4.13</v>
      </c>
      <c r="AO367" s="6">
        <v>3.33</v>
      </c>
      <c r="AP367" s="6">
        <v>3.14</v>
      </c>
      <c r="AQ367" s="6">
        <v>2.5299999999999998</v>
      </c>
      <c r="AR367" s="6">
        <v>3.1</v>
      </c>
      <c r="AS367" s="6">
        <v>2.66</v>
      </c>
      <c r="AT367" s="6">
        <v>3.13</v>
      </c>
      <c r="AU367" s="6">
        <v>4.76</v>
      </c>
      <c r="AV367" s="6">
        <v>3.24</v>
      </c>
      <c r="AW367" s="6">
        <v>3.75</v>
      </c>
      <c r="AX367" s="6">
        <v>2.93</v>
      </c>
      <c r="AY367" s="6">
        <v>4.42</v>
      </c>
      <c r="AZ367" s="6">
        <v>2.93</v>
      </c>
      <c r="BA367" s="6">
        <v>3.17</v>
      </c>
      <c r="BB367" s="6">
        <v>3.72</v>
      </c>
      <c r="BC367" s="6">
        <f>3.56+0.43</f>
        <v>3.99</v>
      </c>
      <c r="BD367" s="6">
        <v>2.86</v>
      </c>
      <c r="BE367" s="6">
        <v>4.88</v>
      </c>
      <c r="BF367" s="6">
        <v>2.16</v>
      </c>
      <c r="BG367" s="6">
        <v>4.17</v>
      </c>
      <c r="BH367" s="6">
        <v>3.29</v>
      </c>
      <c r="BI367" s="6">
        <v>3.33</v>
      </c>
      <c r="BJ367" s="6">
        <v>4.0999999999999996</v>
      </c>
      <c r="BK367" s="6">
        <v>3.09</v>
      </c>
      <c r="BL367" s="6">
        <v>3.84</v>
      </c>
      <c r="BM367" s="6">
        <v>3.9</v>
      </c>
      <c r="BN367" s="6">
        <v>3.33</v>
      </c>
      <c r="BO367" s="6">
        <v>4.29</v>
      </c>
      <c r="BP367" s="6">
        <v>4.07</v>
      </c>
      <c r="BQ367" s="6">
        <v>5.17</v>
      </c>
      <c r="BR367" s="6">
        <v>2.15</v>
      </c>
      <c r="BS367" s="6">
        <v>4.17</v>
      </c>
      <c r="BT367" s="6">
        <v>5.56</v>
      </c>
      <c r="BU367" s="6">
        <v>2.96</v>
      </c>
      <c r="BV367" s="6">
        <v>3.5500000000000003</v>
      </c>
      <c r="BW367" s="6">
        <v>3.2600000000000002</v>
      </c>
      <c r="BX367" s="6">
        <v>3.06</v>
      </c>
      <c r="BY367" s="6">
        <v>4.3099999999999996</v>
      </c>
      <c r="BZ367" s="6">
        <v>2.46</v>
      </c>
      <c r="CA367" s="6">
        <v>2.4500000000000002</v>
      </c>
      <c r="CB367" s="6">
        <v>3.75</v>
      </c>
      <c r="CC367" s="6">
        <v>4.55</v>
      </c>
      <c r="CD367" s="6">
        <v>3.99</v>
      </c>
      <c r="CE367" s="6">
        <v>3.6100000000000003</v>
      </c>
      <c r="CF367" s="6">
        <v>2.2000000000000002</v>
      </c>
      <c r="CG367" s="6">
        <v>2.6</v>
      </c>
      <c r="CH367" s="6"/>
    </row>
  </sheetData>
  <dataValidations count="1">
    <dataValidation type="decimal" allowBlank="1" showInputMessage="1" showErrorMessage="1" prompt="Ingrese año de Evaluación - Debe estar comprendido entre 1943-2021" sqref="B3" xr:uid="{00000000-0002-0000-0300-000000000000}">
      <formula1>D1</formula1>
      <formula2>CD1</formula2>
    </dataValidation>
  </dataValidation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1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2" max="2" width="17.140625" customWidth="1"/>
    <col min="3" max="3" width="16" customWidth="1"/>
    <col min="4" max="4" width="24.42578125" customWidth="1"/>
  </cols>
  <sheetData>
    <row r="1" spans="1:40" x14ac:dyDescent="0.25">
      <c r="A1" s="28" t="s">
        <v>16</v>
      </c>
      <c r="B1" s="37" t="s">
        <v>17</v>
      </c>
      <c r="C1" s="38" t="s">
        <v>23</v>
      </c>
      <c r="D1" s="39" t="s">
        <v>18</v>
      </c>
      <c r="E1" s="40" t="s">
        <v>19</v>
      </c>
      <c r="F1" s="29"/>
      <c r="G1" s="30"/>
      <c r="H1" s="29"/>
      <c r="I1" s="29"/>
      <c r="J1" s="29"/>
      <c r="K1" s="29"/>
      <c r="L1" s="29"/>
      <c r="M1" s="29"/>
      <c r="Q1" s="35" t="s">
        <v>20</v>
      </c>
      <c r="R1" s="35" t="s">
        <v>24</v>
      </c>
      <c r="S1" s="35" t="s">
        <v>21</v>
      </c>
      <c r="T1" s="35" t="s">
        <v>22</v>
      </c>
      <c r="U1" s="35" t="s">
        <v>25</v>
      </c>
      <c r="V1" s="35" t="s">
        <v>26</v>
      </c>
      <c r="W1" s="35" t="s">
        <v>27</v>
      </c>
      <c r="X1" s="35" t="s">
        <v>28</v>
      </c>
      <c r="Y1" s="35" t="s">
        <v>29</v>
      </c>
      <c r="Z1" s="35" t="s">
        <v>30</v>
      </c>
      <c r="AA1" s="35" t="s">
        <v>31</v>
      </c>
      <c r="AB1" s="35" t="s">
        <v>32</v>
      </c>
      <c r="AC1" s="35" t="s">
        <v>33</v>
      </c>
      <c r="AD1" s="35" t="s">
        <v>34</v>
      </c>
      <c r="AE1" s="35" t="s">
        <v>35</v>
      </c>
      <c r="AF1" s="35" t="s">
        <v>36</v>
      </c>
      <c r="AG1" s="35" t="s">
        <v>37</v>
      </c>
      <c r="AH1" s="35" t="s">
        <v>38</v>
      </c>
      <c r="AI1" s="35" t="s">
        <v>39</v>
      </c>
      <c r="AJ1" s="35" t="s">
        <v>40</v>
      </c>
      <c r="AK1" s="35" t="s">
        <v>41</v>
      </c>
      <c r="AL1" s="35" t="s">
        <v>42</v>
      </c>
      <c r="AM1" s="35" t="s">
        <v>43</v>
      </c>
      <c r="AN1" s="35" t="s">
        <v>44</v>
      </c>
    </row>
    <row r="2" spans="1:40" x14ac:dyDescent="0.25">
      <c r="A2" s="36">
        <v>39814</v>
      </c>
      <c r="B2" s="7">
        <v>43.65</v>
      </c>
      <c r="C2" s="7">
        <v>25.34</v>
      </c>
      <c r="D2" s="7">
        <v>8.3000000000000007</v>
      </c>
      <c r="E2" s="7">
        <v>4.93</v>
      </c>
      <c r="F2" s="29"/>
      <c r="G2" s="30"/>
      <c r="H2" s="29"/>
      <c r="I2" s="29"/>
      <c r="J2" s="29"/>
      <c r="K2" s="29"/>
      <c r="L2" s="29"/>
      <c r="M2" s="29"/>
    </row>
    <row r="3" spans="1:40" x14ac:dyDescent="0.25">
      <c r="A3" s="36">
        <v>39815</v>
      </c>
      <c r="B3" s="7">
        <v>43.5</v>
      </c>
      <c r="C3" s="7">
        <v>25.17</v>
      </c>
      <c r="D3" s="7">
        <v>8.02</v>
      </c>
      <c r="E3" s="7">
        <v>4.7300000000000004</v>
      </c>
      <c r="F3" s="29"/>
      <c r="G3" s="30"/>
      <c r="H3" s="29"/>
      <c r="I3" s="29"/>
      <c r="J3" s="29"/>
      <c r="K3" s="29"/>
      <c r="L3" s="29"/>
      <c r="M3" s="29"/>
    </row>
    <row r="4" spans="1:40" x14ac:dyDescent="0.25">
      <c r="A4" s="36">
        <v>39816</v>
      </c>
      <c r="B4" s="7">
        <v>43.33</v>
      </c>
      <c r="C4" s="7">
        <v>24.98</v>
      </c>
      <c r="D4" s="7">
        <v>7.8</v>
      </c>
      <c r="E4" s="7">
        <v>4.67</v>
      </c>
      <c r="F4" s="29"/>
      <c r="G4" s="30"/>
      <c r="H4" s="29"/>
      <c r="I4" s="29"/>
      <c r="J4" s="29"/>
      <c r="K4" s="30"/>
      <c r="L4" s="32"/>
      <c r="M4" s="29"/>
    </row>
    <row r="5" spans="1:40" x14ac:dyDescent="0.25">
      <c r="A5" s="36">
        <v>39817</v>
      </c>
      <c r="B5" s="7">
        <v>43.21</v>
      </c>
      <c r="C5" s="7">
        <v>24.74</v>
      </c>
      <c r="D5" s="7">
        <v>7.7</v>
      </c>
      <c r="E5" s="7">
        <v>4.7699999999999996</v>
      </c>
      <c r="F5" s="29"/>
      <c r="G5" s="29"/>
      <c r="H5" s="29"/>
      <c r="I5" s="29"/>
      <c r="J5" s="29"/>
      <c r="K5" s="30"/>
      <c r="L5" s="32"/>
      <c r="M5" s="29"/>
    </row>
    <row r="6" spans="1:40" x14ac:dyDescent="0.25">
      <c r="A6" s="36">
        <v>39818</v>
      </c>
      <c r="B6" s="7">
        <v>43.12</v>
      </c>
      <c r="C6" s="7">
        <v>24.6</v>
      </c>
      <c r="D6" s="7">
        <v>7.6</v>
      </c>
      <c r="E6" s="7">
        <v>4.6500000000000004</v>
      </c>
      <c r="F6" s="29"/>
      <c r="G6" s="30"/>
      <c r="H6" s="29"/>
      <c r="I6" s="29"/>
      <c r="J6" s="29"/>
      <c r="K6" s="30"/>
      <c r="L6" s="32"/>
      <c r="M6" s="29"/>
    </row>
    <row r="7" spans="1:40" x14ac:dyDescent="0.25">
      <c r="A7" s="36">
        <v>39819</v>
      </c>
      <c r="B7" s="7">
        <v>43.04</v>
      </c>
      <c r="C7" s="7">
        <v>24.46</v>
      </c>
      <c r="D7" s="7">
        <v>7.52</v>
      </c>
      <c r="E7" s="7">
        <v>4.63</v>
      </c>
      <c r="F7" s="29"/>
      <c r="G7" s="30"/>
      <c r="H7" s="29"/>
      <c r="I7" s="29"/>
      <c r="J7" s="29"/>
      <c r="K7" s="30"/>
      <c r="L7" s="32"/>
      <c r="M7" s="29"/>
    </row>
    <row r="8" spans="1:40" x14ac:dyDescent="0.25">
      <c r="A8" s="36">
        <v>39820</v>
      </c>
      <c r="B8" s="7">
        <v>43.02</v>
      </c>
      <c r="C8" s="7">
        <v>24.36</v>
      </c>
      <c r="D8" s="7">
        <v>7.42</v>
      </c>
      <c r="E8" s="7">
        <v>4.5999999999999996</v>
      </c>
      <c r="F8" s="29"/>
      <c r="G8" s="29"/>
      <c r="H8" s="29"/>
      <c r="I8" s="29"/>
      <c r="J8" s="29"/>
      <c r="K8" s="30"/>
      <c r="L8" s="29"/>
      <c r="M8" s="29"/>
    </row>
    <row r="9" spans="1:40" x14ac:dyDescent="0.25">
      <c r="A9" s="36">
        <v>39821</v>
      </c>
      <c r="B9" s="7">
        <v>43.04</v>
      </c>
      <c r="C9" s="7">
        <v>24.24</v>
      </c>
      <c r="D9" s="7">
        <v>7.4</v>
      </c>
      <c r="E9" s="7">
        <v>4.51</v>
      </c>
      <c r="F9" s="29"/>
      <c r="G9" s="29"/>
      <c r="H9" s="29"/>
      <c r="I9" s="29"/>
      <c r="J9" s="29"/>
      <c r="K9" s="30"/>
      <c r="L9" s="32"/>
      <c r="M9" s="29"/>
    </row>
    <row r="10" spans="1:40" x14ac:dyDescent="0.25">
      <c r="A10" s="36">
        <v>39822</v>
      </c>
      <c r="B10" s="7">
        <v>43.08</v>
      </c>
      <c r="C10" s="7">
        <v>24.17</v>
      </c>
      <c r="D10" s="7">
        <v>7.3</v>
      </c>
      <c r="E10" s="7">
        <v>4.34</v>
      </c>
      <c r="F10" s="29"/>
      <c r="G10" s="30"/>
      <c r="H10" s="29"/>
      <c r="I10" s="29"/>
      <c r="J10" s="29"/>
      <c r="K10" s="30"/>
      <c r="L10" s="32"/>
      <c r="M10" s="29"/>
    </row>
    <row r="11" spans="1:40" x14ac:dyDescent="0.25">
      <c r="A11" s="36">
        <v>39823</v>
      </c>
      <c r="B11" s="7">
        <v>43.12</v>
      </c>
      <c r="C11" s="7">
        <v>24.08</v>
      </c>
      <c r="D11" s="7">
        <v>7.2</v>
      </c>
      <c r="E11" s="7">
        <v>4.18</v>
      </c>
      <c r="F11" s="29"/>
      <c r="G11" s="30"/>
      <c r="H11" s="29"/>
      <c r="I11" s="29"/>
      <c r="J11" s="29"/>
      <c r="K11" s="30"/>
      <c r="L11" s="32"/>
      <c r="M11" s="29"/>
    </row>
    <row r="12" spans="1:40" x14ac:dyDescent="0.25">
      <c r="A12" s="36">
        <v>39824</v>
      </c>
      <c r="B12" s="7">
        <v>43.18</v>
      </c>
      <c r="C12" s="7">
        <v>24.02</v>
      </c>
      <c r="D12" s="7">
        <v>7.1</v>
      </c>
      <c r="E12" s="7">
        <v>4.12</v>
      </c>
      <c r="F12" s="29"/>
      <c r="G12" s="30"/>
      <c r="H12" s="29"/>
      <c r="I12" s="29"/>
      <c r="J12" s="29"/>
      <c r="K12" s="30"/>
      <c r="L12" s="32"/>
      <c r="M12" s="29"/>
    </row>
    <row r="13" spans="1:40" x14ac:dyDescent="0.25">
      <c r="A13" s="36">
        <v>39825</v>
      </c>
      <c r="B13" s="7">
        <v>43.22</v>
      </c>
      <c r="C13" s="7">
        <v>23.96</v>
      </c>
      <c r="D13" s="7">
        <v>7</v>
      </c>
      <c r="E13" s="7">
        <v>3.96</v>
      </c>
      <c r="F13" s="29"/>
      <c r="G13" s="30"/>
      <c r="H13" s="29"/>
      <c r="I13" s="29"/>
      <c r="J13" s="29"/>
      <c r="K13" s="30"/>
      <c r="L13" s="32"/>
      <c r="M13" s="29"/>
    </row>
    <row r="14" spans="1:40" x14ac:dyDescent="0.25">
      <c r="A14" s="36">
        <v>39826</v>
      </c>
      <c r="B14" s="7">
        <v>43.28</v>
      </c>
      <c r="C14" s="7">
        <v>24.1</v>
      </c>
      <c r="D14" s="7">
        <v>6.96</v>
      </c>
      <c r="E14" s="7">
        <v>4.01</v>
      </c>
      <c r="F14" s="29"/>
      <c r="G14" s="30"/>
      <c r="H14" s="29"/>
      <c r="I14" s="29"/>
      <c r="J14" s="29"/>
      <c r="K14" s="30"/>
      <c r="L14" s="32"/>
      <c r="M14" s="29"/>
    </row>
    <row r="15" spans="1:40" x14ac:dyDescent="0.25">
      <c r="A15" s="36">
        <v>39827</v>
      </c>
      <c r="B15" s="7">
        <v>43.32</v>
      </c>
      <c r="C15" s="7">
        <v>24.16</v>
      </c>
      <c r="D15" s="7">
        <v>6.9</v>
      </c>
      <c r="E15" s="7">
        <v>3.97</v>
      </c>
      <c r="F15" s="29"/>
      <c r="G15" s="30"/>
      <c r="H15" s="29"/>
      <c r="I15" s="29"/>
      <c r="J15" s="29"/>
      <c r="K15" s="30"/>
      <c r="L15" s="32"/>
      <c r="M15" s="29"/>
    </row>
    <row r="16" spans="1:40" x14ac:dyDescent="0.25">
      <c r="A16" s="36">
        <v>39828</v>
      </c>
      <c r="B16" s="7">
        <v>43.4</v>
      </c>
      <c r="C16" s="7">
        <v>24.19</v>
      </c>
      <c r="D16" s="7">
        <v>6.8</v>
      </c>
      <c r="E16" s="7">
        <v>3.84</v>
      </c>
      <c r="F16" s="29"/>
      <c r="G16" s="30"/>
      <c r="H16" s="29"/>
      <c r="I16" s="29"/>
      <c r="J16" s="29"/>
      <c r="K16" s="30"/>
      <c r="L16" s="32"/>
      <c r="M16" s="29"/>
    </row>
    <row r="17" spans="1:40" x14ac:dyDescent="0.25">
      <c r="A17" s="36">
        <v>39829</v>
      </c>
      <c r="B17" s="7">
        <v>43.44</v>
      </c>
      <c r="C17" s="7">
        <v>24.24</v>
      </c>
      <c r="D17" s="7">
        <v>6.76</v>
      </c>
      <c r="E17" s="7">
        <v>3.58</v>
      </c>
      <c r="F17" s="29"/>
      <c r="G17" s="30"/>
      <c r="H17" s="29"/>
      <c r="I17" s="29"/>
      <c r="J17" s="29"/>
      <c r="K17" s="30"/>
      <c r="L17" s="32"/>
      <c r="M17" s="29"/>
    </row>
    <row r="18" spans="1:40" x14ac:dyDescent="0.25">
      <c r="A18" s="36">
        <v>39830</v>
      </c>
      <c r="B18" s="7">
        <v>43.44</v>
      </c>
      <c r="C18" s="7">
        <v>24.26</v>
      </c>
      <c r="D18" s="7">
        <v>6.68</v>
      </c>
      <c r="E18" s="7">
        <v>3.46</v>
      </c>
      <c r="F18" s="29"/>
      <c r="G18" s="30"/>
      <c r="H18" s="29"/>
      <c r="I18" s="29"/>
      <c r="J18" s="29"/>
      <c r="K18" s="30"/>
      <c r="L18" s="32"/>
      <c r="M18" s="29"/>
      <c r="P18" s="35" t="s">
        <v>45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 spans="1:40" x14ac:dyDescent="0.25">
      <c r="A19" s="36">
        <v>39831</v>
      </c>
      <c r="B19" s="7">
        <v>43.42</v>
      </c>
      <c r="C19" s="7">
        <v>24.3</v>
      </c>
      <c r="D19" s="7">
        <v>6.68</v>
      </c>
      <c r="E19" s="7">
        <v>3.56</v>
      </c>
      <c r="F19" s="29"/>
      <c r="G19" s="30"/>
      <c r="H19" s="29"/>
      <c r="I19" s="29"/>
      <c r="J19" s="29"/>
      <c r="K19" s="30"/>
      <c r="L19" s="32"/>
      <c r="M19" s="29"/>
    </row>
    <row r="20" spans="1:40" x14ac:dyDescent="0.25">
      <c r="A20" s="36">
        <v>39832</v>
      </c>
      <c r="B20" s="7">
        <v>43.42</v>
      </c>
      <c r="C20" s="7">
        <v>24.33</v>
      </c>
      <c r="D20" s="7">
        <v>6.6</v>
      </c>
      <c r="E20" s="7">
        <v>3.5</v>
      </c>
      <c r="F20" s="29"/>
      <c r="G20" s="29"/>
      <c r="H20" s="29"/>
      <c r="I20" s="29"/>
      <c r="J20" s="29"/>
      <c r="K20" s="30"/>
      <c r="L20" s="32"/>
      <c r="M20" s="29"/>
    </row>
    <row r="21" spans="1:40" x14ac:dyDescent="0.25">
      <c r="A21" s="36">
        <v>39833</v>
      </c>
      <c r="B21" s="7">
        <v>43.37</v>
      </c>
      <c r="C21" s="7">
        <v>24.38</v>
      </c>
      <c r="D21" s="7">
        <v>6.52</v>
      </c>
      <c r="E21" s="7">
        <v>3.39</v>
      </c>
      <c r="F21" s="29"/>
      <c r="G21" s="29"/>
      <c r="H21" s="29"/>
      <c r="I21" s="29"/>
      <c r="J21" s="29"/>
      <c r="K21" s="30"/>
      <c r="L21" s="32"/>
      <c r="M21" s="29"/>
    </row>
    <row r="22" spans="1:40" x14ac:dyDescent="0.25">
      <c r="A22" s="36">
        <v>39834</v>
      </c>
      <c r="B22" s="7">
        <v>43.3</v>
      </c>
      <c r="C22" s="7">
        <v>24.3</v>
      </c>
      <c r="D22" s="7">
        <v>6.46</v>
      </c>
      <c r="E22" s="7">
        <v>3.3</v>
      </c>
      <c r="F22" s="29"/>
      <c r="G22" s="29"/>
      <c r="H22" s="29"/>
      <c r="I22" s="29"/>
      <c r="J22" s="29"/>
      <c r="K22" s="30"/>
      <c r="L22" s="32"/>
      <c r="M22" s="29"/>
    </row>
    <row r="23" spans="1:40" x14ac:dyDescent="0.25">
      <c r="A23" s="36">
        <v>39835</v>
      </c>
      <c r="B23" s="7">
        <v>43.2</v>
      </c>
      <c r="C23" s="7">
        <v>24.24</v>
      </c>
      <c r="D23" s="7">
        <v>6.36</v>
      </c>
      <c r="E23" s="7">
        <v>3.25</v>
      </c>
      <c r="F23" s="29"/>
      <c r="G23" s="30"/>
      <c r="H23" s="29"/>
      <c r="I23" s="29"/>
      <c r="J23" s="29"/>
      <c r="K23" s="30"/>
      <c r="L23" s="32"/>
      <c r="M23" s="29"/>
    </row>
    <row r="24" spans="1:40" x14ac:dyDescent="0.25">
      <c r="A24" s="36">
        <v>39836</v>
      </c>
      <c r="B24" s="7">
        <v>43.06</v>
      </c>
      <c r="C24" s="7">
        <v>24.17</v>
      </c>
      <c r="D24" s="7">
        <v>6.32</v>
      </c>
      <c r="E24" s="7">
        <v>3.22</v>
      </c>
      <c r="F24" s="29"/>
      <c r="G24" s="30"/>
      <c r="H24" s="29"/>
      <c r="I24" s="29"/>
      <c r="J24" s="29"/>
      <c r="K24" s="30"/>
      <c r="L24" s="32"/>
      <c r="M24" s="29"/>
    </row>
    <row r="25" spans="1:40" x14ac:dyDescent="0.25">
      <c r="A25" s="36">
        <v>39837</v>
      </c>
      <c r="B25" s="7">
        <v>43</v>
      </c>
      <c r="C25" s="7">
        <v>24.08</v>
      </c>
      <c r="D25" s="7">
        <v>6.22</v>
      </c>
      <c r="E25" s="7">
        <v>3.17</v>
      </c>
      <c r="F25" s="29"/>
      <c r="G25" s="30"/>
      <c r="H25" s="29"/>
      <c r="I25" s="29"/>
      <c r="J25" s="29"/>
      <c r="K25" s="30"/>
      <c r="L25" s="32"/>
      <c r="M25" s="29"/>
    </row>
    <row r="26" spans="1:40" x14ac:dyDescent="0.25">
      <c r="A26" s="36">
        <v>39838</v>
      </c>
      <c r="B26" s="7">
        <v>42.88</v>
      </c>
      <c r="C26" s="7">
        <v>23.99</v>
      </c>
      <c r="D26" s="7">
        <v>6.14</v>
      </c>
      <c r="E26" s="7">
        <v>3.11</v>
      </c>
      <c r="F26" s="29"/>
      <c r="G26" s="30"/>
      <c r="H26" s="29"/>
      <c r="I26" s="29"/>
      <c r="J26" s="29"/>
      <c r="K26" s="30"/>
      <c r="L26" s="32"/>
      <c r="M26" s="29"/>
    </row>
    <row r="27" spans="1:40" x14ac:dyDescent="0.25">
      <c r="A27" s="36">
        <v>39839</v>
      </c>
      <c r="B27" s="7">
        <v>42.84</v>
      </c>
      <c r="C27" s="7">
        <v>23.88</v>
      </c>
      <c r="D27" s="7">
        <v>6.08</v>
      </c>
      <c r="E27" s="7">
        <v>3.05</v>
      </c>
      <c r="F27" s="29"/>
      <c r="G27" s="30"/>
      <c r="H27" s="29"/>
      <c r="I27" s="29"/>
      <c r="J27" s="29"/>
      <c r="K27" s="30"/>
      <c r="L27" s="32"/>
      <c r="M27" s="29"/>
    </row>
    <row r="28" spans="1:40" x14ac:dyDescent="0.25">
      <c r="A28" s="36">
        <v>39840</v>
      </c>
      <c r="B28" s="7">
        <v>42.73</v>
      </c>
      <c r="C28" s="7">
        <v>23.79</v>
      </c>
      <c r="D28" s="7">
        <v>5.98</v>
      </c>
      <c r="E28" s="7">
        <v>3.05</v>
      </c>
      <c r="F28" s="29"/>
      <c r="G28" s="30"/>
      <c r="H28" s="29"/>
      <c r="I28" s="29"/>
      <c r="J28" s="29"/>
      <c r="K28" s="30"/>
      <c r="L28" s="32"/>
      <c r="M28" s="29"/>
    </row>
    <row r="29" spans="1:40" x14ac:dyDescent="0.25">
      <c r="A29" s="36">
        <v>39841</v>
      </c>
      <c r="B29" s="7">
        <v>42.67</v>
      </c>
      <c r="C29" s="7">
        <v>23.68</v>
      </c>
      <c r="D29" s="7">
        <v>5.8</v>
      </c>
      <c r="E29" s="7">
        <v>3.05</v>
      </c>
      <c r="F29" s="29"/>
      <c r="G29" s="30"/>
      <c r="H29" s="29"/>
      <c r="I29" s="29"/>
      <c r="J29" s="29"/>
      <c r="K29" s="30"/>
      <c r="L29" s="32"/>
      <c r="M29" s="29"/>
    </row>
    <row r="30" spans="1:40" x14ac:dyDescent="0.25">
      <c r="A30" s="36">
        <v>39842</v>
      </c>
      <c r="B30" s="7">
        <v>42.61</v>
      </c>
      <c r="C30" s="7">
        <v>23.6</v>
      </c>
      <c r="D30" s="7">
        <v>5.8</v>
      </c>
      <c r="E30" s="7">
        <v>3</v>
      </c>
      <c r="F30" s="29"/>
      <c r="G30" s="30"/>
      <c r="H30" s="29"/>
      <c r="I30" s="29"/>
      <c r="J30" s="29"/>
      <c r="K30" s="30"/>
      <c r="L30" s="32"/>
      <c r="M30" s="29"/>
    </row>
    <row r="31" spans="1:40" x14ac:dyDescent="0.25">
      <c r="A31" s="36">
        <v>39843</v>
      </c>
      <c r="B31" s="7">
        <v>42.51</v>
      </c>
      <c r="C31" s="7">
        <v>23.54</v>
      </c>
      <c r="D31" s="7">
        <v>5.7</v>
      </c>
      <c r="E31" s="7">
        <v>2.96</v>
      </c>
      <c r="F31" s="29"/>
      <c r="G31" s="30"/>
      <c r="H31" s="29"/>
      <c r="I31" s="29"/>
      <c r="J31" s="29"/>
      <c r="K31" s="30"/>
      <c r="L31" s="32"/>
      <c r="M31" s="29"/>
    </row>
    <row r="32" spans="1:40" x14ac:dyDescent="0.25">
      <c r="A32" s="36">
        <v>39844</v>
      </c>
      <c r="B32" s="7">
        <v>42.44</v>
      </c>
      <c r="C32" s="7">
        <v>23.5</v>
      </c>
      <c r="D32" s="7">
        <v>5.7</v>
      </c>
      <c r="E32" s="7">
        <v>2.87</v>
      </c>
      <c r="F32" s="29"/>
      <c r="G32" s="30"/>
      <c r="H32" s="29"/>
      <c r="I32" s="29"/>
      <c r="J32" s="29"/>
      <c r="K32" s="30"/>
      <c r="L32" s="32"/>
      <c r="M32" s="29"/>
    </row>
    <row r="33" spans="1:13" x14ac:dyDescent="0.25">
      <c r="A33" s="36">
        <v>39845</v>
      </c>
      <c r="B33" s="7">
        <v>42.4</v>
      </c>
      <c r="C33" s="7">
        <v>23.47</v>
      </c>
      <c r="D33" s="7">
        <v>5.5</v>
      </c>
      <c r="E33" s="7">
        <v>2.79</v>
      </c>
      <c r="F33" s="29"/>
      <c r="G33" s="30"/>
      <c r="H33" s="29"/>
      <c r="I33" s="29"/>
      <c r="J33" s="29"/>
      <c r="K33" s="30"/>
      <c r="L33" s="32"/>
      <c r="M33" s="29"/>
    </row>
    <row r="34" spans="1:13" x14ac:dyDescent="0.25">
      <c r="A34" s="36">
        <v>39846</v>
      </c>
      <c r="B34" s="7">
        <v>42.42</v>
      </c>
      <c r="C34" s="7">
        <v>23.4</v>
      </c>
      <c r="D34" s="7">
        <v>5.42</v>
      </c>
      <c r="E34" s="7">
        <v>2.71</v>
      </c>
      <c r="F34" s="29"/>
      <c r="G34" s="30"/>
      <c r="H34" s="29"/>
      <c r="I34" s="29"/>
      <c r="J34" s="29"/>
      <c r="K34" s="30"/>
      <c r="L34" s="32"/>
      <c r="M34" s="29"/>
    </row>
    <row r="35" spans="1:13" x14ac:dyDescent="0.25">
      <c r="A35" s="36">
        <v>39847</v>
      </c>
      <c r="B35" s="7">
        <v>42.54</v>
      </c>
      <c r="C35" s="7">
        <v>23.4</v>
      </c>
      <c r="D35" s="7">
        <v>5.36</v>
      </c>
      <c r="E35" s="7">
        <v>2.63</v>
      </c>
      <c r="F35" s="29"/>
      <c r="G35" s="30"/>
      <c r="H35" s="29"/>
      <c r="I35" s="29"/>
      <c r="J35" s="29"/>
      <c r="K35" s="30"/>
      <c r="L35" s="32"/>
      <c r="M35" s="29"/>
    </row>
    <row r="36" spans="1:13" x14ac:dyDescent="0.25">
      <c r="A36" s="36">
        <v>39848</v>
      </c>
      <c r="B36" s="7">
        <v>42.66</v>
      </c>
      <c r="C36" s="7">
        <v>23.44</v>
      </c>
      <c r="D36" s="7">
        <v>5.32</v>
      </c>
      <c r="E36" s="7">
        <v>2.6</v>
      </c>
      <c r="F36" s="29"/>
      <c r="G36" s="30"/>
      <c r="H36" s="29"/>
      <c r="I36" s="29"/>
      <c r="J36" s="29"/>
      <c r="K36" s="30"/>
      <c r="L36" s="32"/>
      <c r="M36" s="29"/>
    </row>
    <row r="37" spans="1:13" x14ac:dyDescent="0.25">
      <c r="A37" s="36">
        <v>39849</v>
      </c>
      <c r="B37" s="7">
        <v>42.78</v>
      </c>
      <c r="C37" s="7">
        <v>23.44</v>
      </c>
      <c r="D37" s="7">
        <v>5.3</v>
      </c>
      <c r="E37" s="7">
        <v>2.58</v>
      </c>
      <c r="G37" s="31"/>
      <c r="K37" s="31"/>
      <c r="L37" s="33"/>
    </row>
    <row r="38" spans="1:13" x14ac:dyDescent="0.25">
      <c r="A38" s="36">
        <v>39850</v>
      </c>
      <c r="B38" s="7">
        <v>42.88</v>
      </c>
      <c r="C38" s="7">
        <v>23.47</v>
      </c>
      <c r="D38" s="7">
        <v>5.28</v>
      </c>
      <c r="E38" s="7">
        <v>2.58</v>
      </c>
      <c r="G38" s="31"/>
      <c r="K38" s="31"/>
      <c r="L38" s="33"/>
    </row>
    <row r="39" spans="1:13" x14ac:dyDescent="0.25">
      <c r="A39" s="36">
        <v>39851</v>
      </c>
      <c r="B39" s="7">
        <v>42.99</v>
      </c>
      <c r="C39" s="7">
        <v>23.5</v>
      </c>
      <c r="D39" s="7">
        <v>5.22</v>
      </c>
      <c r="E39" s="7">
        <v>2.5499999999999998</v>
      </c>
      <c r="G39" s="31"/>
      <c r="K39" s="31"/>
      <c r="L39" s="33"/>
    </row>
    <row r="40" spans="1:13" x14ac:dyDescent="0.25">
      <c r="A40" s="36">
        <v>39852</v>
      </c>
      <c r="B40" s="7">
        <v>43.04</v>
      </c>
      <c r="C40" s="7">
        <v>23.6</v>
      </c>
      <c r="D40" s="7">
        <v>5.16</v>
      </c>
      <c r="E40" s="7">
        <v>2.56</v>
      </c>
      <c r="G40" s="31"/>
      <c r="K40" s="31"/>
      <c r="L40" s="33"/>
    </row>
    <row r="41" spans="1:13" x14ac:dyDescent="0.25">
      <c r="A41" s="36">
        <v>39853</v>
      </c>
      <c r="B41" s="7">
        <v>43.07</v>
      </c>
      <c r="C41" s="7">
        <v>23.68</v>
      </c>
      <c r="D41" s="7">
        <v>5.16</v>
      </c>
      <c r="E41" s="7">
        <v>2.56</v>
      </c>
      <c r="G41" s="31"/>
      <c r="K41" s="31"/>
      <c r="L41" s="33"/>
    </row>
    <row r="42" spans="1:13" x14ac:dyDescent="0.25">
      <c r="A42" s="36">
        <v>39854</v>
      </c>
      <c r="B42" s="7">
        <v>43.05</v>
      </c>
      <c r="C42" s="7">
        <v>23.76</v>
      </c>
      <c r="D42" s="7">
        <v>5.3</v>
      </c>
      <c r="E42" s="7">
        <v>2.71</v>
      </c>
      <c r="G42" s="31"/>
      <c r="K42" s="31"/>
      <c r="L42" s="33"/>
    </row>
    <row r="43" spans="1:13" x14ac:dyDescent="0.25">
      <c r="A43" s="36">
        <v>39855</v>
      </c>
      <c r="B43" s="7">
        <v>43.01</v>
      </c>
      <c r="C43" s="7">
        <v>23.84</v>
      </c>
      <c r="D43" s="7">
        <v>5.26</v>
      </c>
      <c r="E43" s="7">
        <v>2.77</v>
      </c>
      <c r="G43" s="31"/>
      <c r="K43" s="31"/>
    </row>
    <row r="44" spans="1:13" x14ac:dyDescent="0.25">
      <c r="A44" s="36">
        <v>39856</v>
      </c>
      <c r="B44" s="7">
        <v>42.94</v>
      </c>
      <c r="C44" s="7">
        <v>23.88</v>
      </c>
      <c r="D44" s="7">
        <v>5.3</v>
      </c>
      <c r="E44" s="7">
        <v>2.77</v>
      </c>
      <c r="G44" s="31"/>
      <c r="K44" s="31"/>
    </row>
    <row r="45" spans="1:13" x14ac:dyDescent="0.25">
      <c r="A45" s="36">
        <v>39857</v>
      </c>
      <c r="B45" s="7">
        <v>42.84</v>
      </c>
      <c r="C45" s="7">
        <v>23.88</v>
      </c>
      <c r="D45" s="7">
        <v>5.4</v>
      </c>
      <c r="E45" s="7">
        <v>2.79</v>
      </c>
      <c r="G45" s="31"/>
      <c r="K45" s="31"/>
    </row>
    <row r="46" spans="1:13" x14ac:dyDescent="0.25">
      <c r="A46" s="36">
        <v>39858</v>
      </c>
      <c r="B46" s="7">
        <v>42.72</v>
      </c>
      <c r="C46" s="7">
        <v>23.83</v>
      </c>
      <c r="D46" s="7">
        <v>5.4</v>
      </c>
      <c r="E46" s="7">
        <v>2.74</v>
      </c>
      <c r="G46" s="31"/>
      <c r="K46" s="31"/>
    </row>
    <row r="47" spans="1:13" x14ac:dyDescent="0.25">
      <c r="A47" s="36">
        <v>39859</v>
      </c>
      <c r="B47" s="7">
        <v>42.6</v>
      </c>
      <c r="C47" s="7">
        <v>23.75</v>
      </c>
      <c r="D47" s="7">
        <v>5.4</v>
      </c>
      <c r="E47" s="7">
        <v>2.68</v>
      </c>
      <c r="G47" s="31"/>
      <c r="K47" s="31"/>
    </row>
    <row r="48" spans="1:13" x14ac:dyDescent="0.25">
      <c r="A48" s="36">
        <v>39860</v>
      </c>
      <c r="B48" s="7">
        <v>42.49</v>
      </c>
      <c r="C48" s="7">
        <v>23.68</v>
      </c>
      <c r="D48" s="7">
        <v>5.5</v>
      </c>
      <c r="E48" s="7">
        <v>2.68</v>
      </c>
      <c r="G48" s="31"/>
      <c r="K48" s="31"/>
    </row>
    <row r="49" spans="1:11" x14ac:dyDescent="0.25">
      <c r="A49" s="36">
        <v>39861</v>
      </c>
      <c r="B49" s="7">
        <v>42.41</v>
      </c>
      <c r="C49" s="7">
        <v>23.58</v>
      </c>
      <c r="D49" s="7">
        <v>5.68</v>
      </c>
      <c r="E49" s="7">
        <v>2.75</v>
      </c>
      <c r="G49" s="31"/>
      <c r="K49" s="31"/>
    </row>
    <row r="50" spans="1:11" x14ac:dyDescent="0.25">
      <c r="A50" s="36">
        <v>39862</v>
      </c>
      <c r="B50" s="7">
        <v>42.33</v>
      </c>
      <c r="C50" s="7">
        <v>23.48</v>
      </c>
      <c r="D50" s="7">
        <v>5.58</v>
      </c>
      <c r="E50" s="7">
        <v>2.73</v>
      </c>
      <c r="G50" s="31"/>
    </row>
    <row r="51" spans="1:11" x14ac:dyDescent="0.25">
      <c r="A51" s="36">
        <v>39863</v>
      </c>
      <c r="B51" s="7">
        <v>42.28</v>
      </c>
      <c r="C51" s="7">
        <v>23.38</v>
      </c>
      <c r="D51" s="7">
        <v>5.5</v>
      </c>
      <c r="E51" s="7">
        <v>2.71</v>
      </c>
      <c r="G51" s="31"/>
    </row>
    <row r="52" spans="1:11" x14ac:dyDescent="0.25">
      <c r="A52" s="36">
        <v>39864</v>
      </c>
      <c r="B52" s="7">
        <v>42.21</v>
      </c>
      <c r="C52" s="7">
        <v>23.3</v>
      </c>
      <c r="D52" s="7">
        <v>5.4</v>
      </c>
      <c r="E52" s="7">
        <v>2.68</v>
      </c>
      <c r="G52" s="31"/>
    </row>
    <row r="53" spans="1:11" x14ac:dyDescent="0.25">
      <c r="A53" s="36">
        <v>39865</v>
      </c>
      <c r="B53" s="7">
        <v>42.18</v>
      </c>
      <c r="C53" s="7">
        <v>23.24</v>
      </c>
      <c r="D53" s="7">
        <v>5.5</v>
      </c>
      <c r="E53" s="7">
        <v>2.69</v>
      </c>
      <c r="G53" s="31"/>
    </row>
    <row r="54" spans="1:11" x14ac:dyDescent="0.25">
      <c r="A54" s="36">
        <v>39866</v>
      </c>
      <c r="B54" s="7">
        <v>42.14</v>
      </c>
      <c r="C54" s="7">
        <v>23.18</v>
      </c>
      <c r="D54" s="7">
        <v>5.68</v>
      </c>
      <c r="E54" s="7">
        <v>2.67</v>
      </c>
      <c r="G54" s="31"/>
    </row>
    <row r="55" spans="1:11" x14ac:dyDescent="0.25">
      <c r="A55" s="36">
        <v>39867</v>
      </c>
      <c r="B55" s="7">
        <v>42.16</v>
      </c>
      <c r="C55" s="7">
        <v>23.14</v>
      </c>
      <c r="D55" s="7">
        <v>5.58</v>
      </c>
      <c r="E55" s="7">
        <v>2.62</v>
      </c>
      <c r="G55" s="31"/>
    </row>
    <row r="56" spans="1:11" x14ac:dyDescent="0.25">
      <c r="A56" s="36">
        <v>39868</v>
      </c>
      <c r="B56" s="7">
        <v>42.16</v>
      </c>
      <c r="C56" s="7">
        <v>23.08</v>
      </c>
      <c r="D56" s="7">
        <v>5.5</v>
      </c>
      <c r="E56" s="7">
        <v>2.62</v>
      </c>
      <c r="G56" s="31"/>
    </row>
    <row r="57" spans="1:11" x14ac:dyDescent="0.25">
      <c r="A57" s="36">
        <v>39869</v>
      </c>
      <c r="B57" s="7">
        <v>42.16</v>
      </c>
      <c r="C57" s="7">
        <v>23.04</v>
      </c>
      <c r="D57" s="7">
        <v>5.5</v>
      </c>
      <c r="E57" s="7">
        <v>2.63</v>
      </c>
      <c r="G57" s="31"/>
    </row>
    <row r="58" spans="1:11" x14ac:dyDescent="0.25">
      <c r="A58" s="36">
        <v>39870</v>
      </c>
      <c r="B58" s="7">
        <v>42.14</v>
      </c>
      <c r="C58" s="7">
        <v>23</v>
      </c>
      <c r="D58" s="7">
        <v>5.12</v>
      </c>
      <c r="E58" s="7">
        <v>2.61</v>
      </c>
      <c r="G58" s="31"/>
    </row>
    <row r="59" spans="1:11" x14ac:dyDescent="0.25">
      <c r="A59" s="36">
        <v>39871</v>
      </c>
      <c r="B59" s="7">
        <v>42.09</v>
      </c>
      <c r="C59" s="7">
        <v>22.99</v>
      </c>
      <c r="D59" s="7">
        <v>5.0599999999999996</v>
      </c>
      <c r="E59" s="7">
        <v>2.57</v>
      </c>
      <c r="G59" s="31"/>
    </row>
    <row r="60" spans="1:11" x14ac:dyDescent="0.25">
      <c r="A60" s="36">
        <v>39872</v>
      </c>
      <c r="B60" s="7">
        <v>41.99</v>
      </c>
      <c r="C60" s="7">
        <v>22.97</v>
      </c>
      <c r="D60" s="7">
        <v>4.92</v>
      </c>
      <c r="E60" s="7">
        <v>2.4900000000000002</v>
      </c>
      <c r="G60" s="31"/>
    </row>
    <row r="61" spans="1:11" x14ac:dyDescent="0.25">
      <c r="A61" s="36">
        <v>39873</v>
      </c>
      <c r="B61" s="7">
        <v>41.91</v>
      </c>
      <c r="C61" s="7">
        <v>22.95</v>
      </c>
      <c r="D61" s="7">
        <v>4.8</v>
      </c>
      <c r="E61" s="7">
        <v>2.44</v>
      </c>
      <c r="G61" s="31"/>
    </row>
    <row r="62" spans="1:11" x14ac:dyDescent="0.25">
      <c r="A62" s="36">
        <v>39874</v>
      </c>
      <c r="B62" s="7">
        <v>41.83</v>
      </c>
      <c r="C62" s="7">
        <v>22.94</v>
      </c>
      <c r="D62" s="7">
        <v>4.76</v>
      </c>
      <c r="E62" s="7">
        <v>2.39</v>
      </c>
      <c r="G62" s="31"/>
    </row>
    <row r="63" spans="1:11" x14ac:dyDescent="0.25">
      <c r="A63" s="36">
        <v>39875</v>
      </c>
      <c r="B63" s="7">
        <v>41.77</v>
      </c>
      <c r="C63" s="7">
        <v>22.9</v>
      </c>
      <c r="D63" s="7">
        <v>4.7</v>
      </c>
      <c r="E63" s="7">
        <v>2.38</v>
      </c>
      <c r="G63" s="31"/>
    </row>
    <row r="64" spans="1:11" x14ac:dyDescent="0.25">
      <c r="A64" s="36">
        <v>39876</v>
      </c>
      <c r="B64" s="7">
        <v>41.74</v>
      </c>
      <c r="C64" s="6">
        <v>22.86</v>
      </c>
      <c r="D64" s="7">
        <v>4.62</v>
      </c>
      <c r="E64" s="7">
        <v>2.29</v>
      </c>
      <c r="G64" s="31"/>
    </row>
    <row r="65" spans="1:7" x14ac:dyDescent="0.25">
      <c r="A65" s="36">
        <v>39877</v>
      </c>
      <c r="B65" s="7">
        <v>41.7</v>
      </c>
      <c r="C65" s="6">
        <v>22.82</v>
      </c>
      <c r="D65" s="7">
        <v>4.5599999999999996</v>
      </c>
      <c r="E65" s="6">
        <v>2.25</v>
      </c>
      <c r="G65" s="31"/>
    </row>
    <row r="66" spans="1:7" x14ac:dyDescent="0.25">
      <c r="A66" s="36">
        <v>39878</v>
      </c>
      <c r="B66" s="6">
        <v>41.67</v>
      </c>
      <c r="C66" s="6">
        <v>22.78</v>
      </c>
      <c r="D66" s="7">
        <v>4.5</v>
      </c>
      <c r="E66" s="6">
        <v>2.21</v>
      </c>
      <c r="G66" s="31"/>
    </row>
    <row r="67" spans="1:7" x14ac:dyDescent="0.25">
      <c r="A67" s="36">
        <v>39879</v>
      </c>
      <c r="B67" s="6">
        <v>41.64</v>
      </c>
      <c r="C67" s="6">
        <v>22.7</v>
      </c>
      <c r="D67" s="7">
        <v>4.46</v>
      </c>
      <c r="E67" s="6">
        <v>2.17</v>
      </c>
      <c r="G67" s="31"/>
    </row>
    <row r="68" spans="1:7" x14ac:dyDescent="0.25">
      <c r="A68" s="36">
        <v>39880</v>
      </c>
      <c r="B68" s="6">
        <v>41.62</v>
      </c>
      <c r="C68" s="6">
        <v>22.6</v>
      </c>
      <c r="D68" s="7">
        <v>4.38</v>
      </c>
      <c r="E68" s="6">
        <v>2.16</v>
      </c>
      <c r="G68" s="31"/>
    </row>
    <row r="69" spans="1:7" x14ac:dyDescent="0.25">
      <c r="A69" s="36">
        <v>39881</v>
      </c>
      <c r="B69" s="6">
        <v>41.62</v>
      </c>
      <c r="C69" s="6">
        <v>22.5</v>
      </c>
      <c r="D69" s="7">
        <v>4.32</v>
      </c>
      <c r="E69" s="6">
        <v>2.13</v>
      </c>
      <c r="G69" s="31"/>
    </row>
    <row r="70" spans="1:7" x14ac:dyDescent="0.25">
      <c r="A70" s="36">
        <v>39882</v>
      </c>
      <c r="B70" s="6">
        <v>41.62</v>
      </c>
      <c r="C70" s="6">
        <v>22.43</v>
      </c>
      <c r="D70" s="7">
        <v>4.32</v>
      </c>
      <c r="E70" s="6">
        <v>2.16</v>
      </c>
      <c r="G70" s="31"/>
    </row>
    <row r="71" spans="1:7" x14ac:dyDescent="0.25">
      <c r="A71" s="36">
        <v>39883</v>
      </c>
      <c r="B71" s="6">
        <v>41.64</v>
      </c>
      <c r="C71" s="6">
        <v>22.38</v>
      </c>
      <c r="D71" s="7">
        <v>4.3</v>
      </c>
      <c r="E71" s="6">
        <v>2.13</v>
      </c>
      <c r="G71" s="31"/>
    </row>
    <row r="72" spans="1:7" x14ac:dyDescent="0.25">
      <c r="A72" s="36">
        <v>39884</v>
      </c>
      <c r="B72" s="6">
        <v>41.68</v>
      </c>
      <c r="C72" s="6">
        <v>22.31</v>
      </c>
      <c r="D72" s="6">
        <v>4.2</v>
      </c>
      <c r="E72" s="6">
        <v>2.13</v>
      </c>
      <c r="G72" s="31"/>
    </row>
    <row r="73" spans="1:7" x14ac:dyDescent="0.25">
      <c r="A73" s="36">
        <v>39885</v>
      </c>
      <c r="B73" s="6">
        <v>41.68</v>
      </c>
      <c r="C73" s="6">
        <v>22.3</v>
      </c>
      <c r="D73" s="6">
        <v>4.16</v>
      </c>
      <c r="E73" s="6">
        <v>2.21</v>
      </c>
      <c r="G73" s="31"/>
    </row>
    <row r="74" spans="1:7" x14ac:dyDescent="0.25">
      <c r="A74" s="36">
        <v>39886</v>
      </c>
      <c r="B74" s="6">
        <v>41.7</v>
      </c>
      <c r="C74" s="6">
        <v>22.33</v>
      </c>
      <c r="D74" s="6">
        <v>4.28</v>
      </c>
      <c r="E74" s="6">
        <v>2.21</v>
      </c>
      <c r="G74" s="31"/>
    </row>
    <row r="75" spans="1:7" x14ac:dyDescent="0.25">
      <c r="A75" s="36">
        <v>39887</v>
      </c>
      <c r="B75" s="6">
        <v>41.7</v>
      </c>
      <c r="C75" s="6">
        <v>22.37</v>
      </c>
      <c r="D75" s="6">
        <v>4.25</v>
      </c>
      <c r="E75" s="6">
        <v>2.1800000000000002</v>
      </c>
      <c r="G75" s="31"/>
    </row>
    <row r="76" spans="1:7" x14ac:dyDescent="0.25">
      <c r="A76" s="36">
        <v>39888</v>
      </c>
      <c r="B76" s="6">
        <v>41.71</v>
      </c>
      <c r="C76" s="6">
        <v>22.45</v>
      </c>
      <c r="D76" s="6">
        <v>4.2</v>
      </c>
      <c r="E76" s="6">
        <v>2.04</v>
      </c>
      <c r="G76" s="31"/>
    </row>
    <row r="77" spans="1:7" x14ac:dyDescent="0.25">
      <c r="A77" s="36">
        <v>39889</v>
      </c>
      <c r="B77" s="6">
        <v>41.72</v>
      </c>
      <c r="C77" s="6">
        <v>22.48</v>
      </c>
      <c r="D77" s="6">
        <v>4.16</v>
      </c>
      <c r="E77" s="6">
        <v>2.04</v>
      </c>
      <c r="G77" s="31"/>
    </row>
    <row r="78" spans="1:7" x14ac:dyDescent="0.25">
      <c r="A78" s="36">
        <v>39890</v>
      </c>
      <c r="B78" s="6">
        <v>41.72</v>
      </c>
      <c r="C78" s="6">
        <v>22.5</v>
      </c>
      <c r="D78" s="6">
        <v>4.0999999999999996</v>
      </c>
      <c r="E78" s="6">
        <v>1.99</v>
      </c>
      <c r="G78" s="31"/>
    </row>
    <row r="79" spans="1:7" x14ac:dyDescent="0.25">
      <c r="A79" s="36">
        <v>39891</v>
      </c>
      <c r="B79" s="6">
        <v>41.71</v>
      </c>
      <c r="C79" s="6">
        <v>22.5</v>
      </c>
      <c r="D79" s="6">
        <v>4.0999999999999996</v>
      </c>
      <c r="E79" s="6">
        <v>1.94</v>
      </c>
      <c r="G79" s="31"/>
    </row>
    <row r="80" spans="1:7" x14ac:dyDescent="0.25">
      <c r="A80" s="36">
        <v>39892</v>
      </c>
      <c r="B80" s="6">
        <v>41.73</v>
      </c>
      <c r="C80" s="6">
        <v>22.48</v>
      </c>
      <c r="D80" s="6">
        <v>4.0599999999999996</v>
      </c>
      <c r="E80" s="6">
        <v>1.98</v>
      </c>
      <c r="G80" s="31"/>
    </row>
    <row r="81" spans="1:7" x14ac:dyDescent="0.25">
      <c r="A81" s="36">
        <v>39893</v>
      </c>
      <c r="B81" s="6">
        <v>41.82</v>
      </c>
      <c r="C81" s="6">
        <v>22.47</v>
      </c>
      <c r="D81" s="6">
        <v>4.08</v>
      </c>
      <c r="E81" s="6">
        <v>2.11</v>
      </c>
      <c r="G81" s="31"/>
    </row>
    <row r="82" spans="1:7" x14ac:dyDescent="0.25">
      <c r="A82" s="36">
        <v>39894</v>
      </c>
      <c r="B82" s="6">
        <v>41.88</v>
      </c>
      <c r="C82" s="6">
        <v>22.47</v>
      </c>
      <c r="D82" s="6">
        <v>4.0999999999999996</v>
      </c>
      <c r="E82" s="6">
        <v>2.14</v>
      </c>
      <c r="G82" s="31"/>
    </row>
    <row r="83" spans="1:7" x14ac:dyDescent="0.25">
      <c r="A83" s="36">
        <v>39895</v>
      </c>
      <c r="B83" s="6">
        <v>41.95</v>
      </c>
      <c r="C83" s="6">
        <v>22.47</v>
      </c>
      <c r="D83" s="6">
        <v>4.0999999999999996</v>
      </c>
      <c r="E83" s="6">
        <v>2.09</v>
      </c>
      <c r="G83" s="31"/>
    </row>
    <row r="84" spans="1:7" x14ac:dyDescent="0.25">
      <c r="A84" s="36">
        <v>39896</v>
      </c>
      <c r="B84" s="6">
        <v>42.01</v>
      </c>
      <c r="C84" s="6">
        <v>22.53</v>
      </c>
      <c r="D84" s="6">
        <v>4.3</v>
      </c>
      <c r="E84" s="6">
        <v>2.16</v>
      </c>
      <c r="G84" s="31"/>
    </row>
    <row r="85" spans="1:7" x14ac:dyDescent="0.25">
      <c r="A85" s="36">
        <v>39897</v>
      </c>
      <c r="B85" s="6">
        <v>42.1</v>
      </c>
      <c r="C85" s="6">
        <v>22.6</v>
      </c>
      <c r="D85" s="6">
        <v>4.3</v>
      </c>
      <c r="E85" s="6">
        <v>2.16</v>
      </c>
      <c r="G85" s="31"/>
    </row>
    <row r="86" spans="1:7" x14ac:dyDescent="0.25">
      <c r="A86" s="36">
        <v>39898</v>
      </c>
      <c r="B86" s="6">
        <v>42.18</v>
      </c>
      <c r="C86" s="6">
        <v>22.69</v>
      </c>
      <c r="D86" s="6">
        <v>4.3600000000000003</v>
      </c>
      <c r="E86" s="6">
        <v>2.1800000000000002</v>
      </c>
      <c r="G86" s="31"/>
    </row>
    <row r="87" spans="1:7" x14ac:dyDescent="0.25">
      <c r="A87" s="36">
        <v>39899</v>
      </c>
      <c r="B87" s="6">
        <v>42.24</v>
      </c>
      <c r="C87" s="6">
        <v>22.78</v>
      </c>
      <c r="D87" s="6">
        <v>4.5599999999999996</v>
      </c>
      <c r="E87" s="6">
        <v>2.29</v>
      </c>
      <c r="G87" s="31"/>
    </row>
    <row r="88" spans="1:7" x14ac:dyDescent="0.25">
      <c r="A88" s="36">
        <v>39900</v>
      </c>
      <c r="B88" s="6">
        <v>42.32</v>
      </c>
      <c r="C88" s="6">
        <v>22.89</v>
      </c>
      <c r="D88" s="6">
        <v>4.7</v>
      </c>
      <c r="E88" s="6">
        <v>2.4300000000000002</v>
      </c>
      <c r="G88" s="31"/>
    </row>
    <row r="89" spans="1:7" x14ac:dyDescent="0.25">
      <c r="A89" s="36">
        <v>39901</v>
      </c>
      <c r="B89" s="6">
        <v>42.38</v>
      </c>
      <c r="C89" s="6">
        <v>22.98</v>
      </c>
      <c r="D89" s="6">
        <v>4.84</v>
      </c>
      <c r="E89" s="6">
        <v>2.44</v>
      </c>
      <c r="G89" s="31"/>
    </row>
    <row r="90" spans="1:7" x14ac:dyDescent="0.25">
      <c r="A90" s="36">
        <v>39902</v>
      </c>
      <c r="B90" s="6">
        <v>42.48</v>
      </c>
      <c r="C90" s="6">
        <v>23.06</v>
      </c>
      <c r="D90" s="6">
        <v>4.92</v>
      </c>
      <c r="E90" s="6">
        <v>2.42</v>
      </c>
      <c r="G90" s="31"/>
    </row>
    <row r="91" spans="1:7" x14ac:dyDescent="0.25">
      <c r="A91" s="36">
        <v>39903</v>
      </c>
      <c r="B91" s="6">
        <v>42.58</v>
      </c>
      <c r="C91" s="6">
        <v>23.15</v>
      </c>
      <c r="D91" s="6">
        <v>4.8</v>
      </c>
      <c r="E91" s="6">
        <v>2.44</v>
      </c>
      <c r="G91" s="31"/>
    </row>
    <row r="92" spans="1:7" x14ac:dyDescent="0.25">
      <c r="A92" s="36">
        <v>39904</v>
      </c>
      <c r="B92" s="6">
        <v>42.61</v>
      </c>
      <c r="C92" s="6">
        <v>23.25</v>
      </c>
      <c r="D92" s="6">
        <v>4.9000000000000004</v>
      </c>
      <c r="E92" s="6">
        <v>2.44</v>
      </c>
      <c r="G92" s="31"/>
    </row>
    <row r="93" spans="1:7" x14ac:dyDescent="0.25">
      <c r="A93" s="36">
        <v>39905</v>
      </c>
      <c r="B93" s="6">
        <v>42.65</v>
      </c>
      <c r="C93" s="6">
        <v>23.32</v>
      </c>
      <c r="D93" s="6">
        <v>4.76</v>
      </c>
      <c r="E93" s="6">
        <v>2.38</v>
      </c>
      <c r="G93" s="31"/>
    </row>
    <row r="94" spans="1:7" x14ac:dyDescent="0.25">
      <c r="A94" s="36">
        <v>39906</v>
      </c>
      <c r="B94" s="6">
        <v>42.68</v>
      </c>
      <c r="C94" s="6">
        <v>23.41</v>
      </c>
      <c r="D94" s="6">
        <v>4.6399999999999997</v>
      </c>
      <c r="E94" s="6">
        <v>2.38</v>
      </c>
      <c r="G94" s="31"/>
    </row>
    <row r="95" spans="1:7" x14ac:dyDescent="0.25">
      <c r="A95" s="36">
        <v>39907</v>
      </c>
      <c r="B95" s="6">
        <v>42.67</v>
      </c>
      <c r="C95" s="6">
        <v>23.49</v>
      </c>
      <c r="D95" s="6">
        <v>4.74</v>
      </c>
      <c r="E95" s="6">
        <v>2.34</v>
      </c>
      <c r="G95" s="31"/>
    </row>
    <row r="96" spans="1:7" x14ac:dyDescent="0.25">
      <c r="A96" s="36">
        <v>39908</v>
      </c>
      <c r="B96" s="6">
        <v>42.62</v>
      </c>
      <c r="C96" s="6">
        <v>23.52</v>
      </c>
      <c r="D96" s="6">
        <v>4.82</v>
      </c>
      <c r="E96" s="6">
        <v>2.2999999999999998</v>
      </c>
      <c r="G96" s="31"/>
    </row>
    <row r="97" spans="1:7" x14ac:dyDescent="0.25">
      <c r="A97" s="36">
        <v>39909</v>
      </c>
      <c r="B97" s="6">
        <v>42.58</v>
      </c>
      <c r="C97" s="6">
        <v>23.52</v>
      </c>
      <c r="D97" s="6">
        <v>4.9000000000000004</v>
      </c>
      <c r="E97" s="6">
        <v>2.39</v>
      </c>
      <c r="G97" s="31"/>
    </row>
    <row r="98" spans="1:7" x14ac:dyDescent="0.25">
      <c r="A98" s="36">
        <v>39910</v>
      </c>
      <c r="B98" s="6">
        <v>42.54</v>
      </c>
      <c r="C98" s="6">
        <v>23.52</v>
      </c>
      <c r="D98" s="6">
        <v>4.9400000000000004</v>
      </c>
      <c r="E98" s="6">
        <v>2.41</v>
      </c>
      <c r="G98" s="31"/>
    </row>
    <row r="99" spans="1:7" x14ac:dyDescent="0.25">
      <c r="A99" s="36">
        <v>39911</v>
      </c>
      <c r="B99" s="6">
        <v>42.5</v>
      </c>
      <c r="C99" s="6">
        <v>23.5</v>
      </c>
      <c r="D99" s="6">
        <v>5</v>
      </c>
      <c r="E99" s="6">
        <v>2.52</v>
      </c>
      <c r="G99" s="31"/>
    </row>
    <row r="100" spans="1:7" x14ac:dyDescent="0.25">
      <c r="A100" s="36">
        <v>39912</v>
      </c>
      <c r="B100" s="6">
        <v>42.48</v>
      </c>
      <c r="C100" s="6">
        <v>23.46</v>
      </c>
      <c r="D100" s="6">
        <v>5</v>
      </c>
      <c r="E100" s="6">
        <v>2.5099999999999998</v>
      </c>
      <c r="G100" s="31"/>
    </row>
    <row r="101" spans="1:7" x14ac:dyDescent="0.25">
      <c r="A101" s="36">
        <v>39913</v>
      </c>
      <c r="B101" s="6">
        <v>42.48</v>
      </c>
      <c r="C101" s="6">
        <v>23.41</v>
      </c>
      <c r="D101" s="6">
        <v>5.0199999999999996</v>
      </c>
      <c r="E101" s="6">
        <v>2.46</v>
      </c>
      <c r="G101" s="31"/>
    </row>
    <row r="102" spans="1:7" x14ac:dyDescent="0.25">
      <c r="A102" s="36">
        <v>39914</v>
      </c>
      <c r="B102" s="6">
        <v>42.48</v>
      </c>
      <c r="C102" s="6">
        <v>23.4</v>
      </c>
      <c r="D102" s="6">
        <v>5.0199999999999996</v>
      </c>
      <c r="E102" s="6">
        <v>2.46</v>
      </c>
      <c r="G102" s="31"/>
    </row>
    <row r="103" spans="1:7" x14ac:dyDescent="0.25">
      <c r="A103" s="36">
        <v>39915</v>
      </c>
      <c r="B103" s="6">
        <v>42.47</v>
      </c>
      <c r="C103" s="6">
        <v>23.39</v>
      </c>
      <c r="D103" s="6">
        <v>5</v>
      </c>
      <c r="E103" s="6">
        <v>2.4700000000000002</v>
      </c>
      <c r="G103" s="31"/>
    </row>
    <row r="104" spans="1:7" x14ac:dyDescent="0.25">
      <c r="A104" s="36">
        <v>39916</v>
      </c>
      <c r="B104" s="6">
        <v>42.47</v>
      </c>
      <c r="C104" s="6">
        <v>23.39</v>
      </c>
      <c r="D104" s="6">
        <v>5</v>
      </c>
      <c r="E104" s="6">
        <v>2.4700000000000002</v>
      </c>
      <c r="G104" s="31"/>
    </row>
    <row r="105" spans="1:7" x14ac:dyDescent="0.25">
      <c r="A105" s="36">
        <v>39917</v>
      </c>
      <c r="B105" s="6">
        <v>42.49</v>
      </c>
      <c r="C105" s="6">
        <v>23.39</v>
      </c>
      <c r="D105" s="6">
        <v>5</v>
      </c>
      <c r="E105" s="6">
        <v>2.5299999999999998</v>
      </c>
      <c r="G105" s="31"/>
    </row>
    <row r="106" spans="1:7" x14ac:dyDescent="0.25">
      <c r="A106" s="36">
        <v>39918</v>
      </c>
      <c r="B106" s="6">
        <v>42.53</v>
      </c>
      <c r="C106" s="6">
        <v>23.39</v>
      </c>
      <c r="D106" s="6">
        <v>5</v>
      </c>
      <c r="E106" s="6">
        <v>2.5299999999999998</v>
      </c>
      <c r="G106" s="31"/>
    </row>
    <row r="107" spans="1:7" x14ac:dyDescent="0.25">
      <c r="A107" s="36">
        <v>39919</v>
      </c>
      <c r="B107" s="6">
        <v>42.54</v>
      </c>
      <c r="C107" s="6">
        <v>23.39</v>
      </c>
      <c r="D107" s="6">
        <v>5.0599999999999996</v>
      </c>
      <c r="E107" s="6">
        <v>2.5299999999999998</v>
      </c>
      <c r="G107" s="31"/>
    </row>
    <row r="108" spans="1:7" x14ac:dyDescent="0.25">
      <c r="A108" s="36">
        <v>39920</v>
      </c>
      <c r="B108" s="6">
        <v>42.54</v>
      </c>
      <c r="C108" s="6">
        <v>23.39</v>
      </c>
      <c r="D108" s="6">
        <v>5.0999999999999996</v>
      </c>
      <c r="E108" s="6">
        <v>2.4700000000000002</v>
      </c>
      <c r="G108" s="31"/>
    </row>
    <row r="109" spans="1:7" x14ac:dyDescent="0.25">
      <c r="A109" s="36">
        <v>39921</v>
      </c>
      <c r="B109" s="6">
        <v>42.64</v>
      </c>
      <c r="C109" s="6">
        <v>23.44</v>
      </c>
      <c r="D109" s="6">
        <v>5.08</v>
      </c>
      <c r="E109" s="6">
        <v>2.4500000000000002</v>
      </c>
      <c r="G109" s="31"/>
    </row>
    <row r="110" spans="1:7" x14ac:dyDescent="0.25">
      <c r="A110" s="36">
        <v>39922</v>
      </c>
      <c r="B110" s="6">
        <v>42.55</v>
      </c>
      <c r="C110" s="6">
        <v>23.54</v>
      </c>
      <c r="D110" s="6">
        <v>5.0599999999999996</v>
      </c>
      <c r="E110" s="6">
        <v>2.35</v>
      </c>
      <c r="G110" s="31"/>
    </row>
    <row r="111" spans="1:7" x14ac:dyDescent="0.25">
      <c r="A111" s="36">
        <v>39923</v>
      </c>
      <c r="B111" s="6">
        <v>42.58</v>
      </c>
      <c r="C111" s="6">
        <v>23.6</v>
      </c>
      <c r="D111" s="6">
        <v>5.04</v>
      </c>
      <c r="E111" s="6">
        <v>2.29</v>
      </c>
      <c r="G111" s="31"/>
    </row>
    <row r="112" spans="1:7" x14ac:dyDescent="0.25">
      <c r="A112" s="36">
        <v>39924</v>
      </c>
      <c r="B112" s="6">
        <v>42.65</v>
      </c>
      <c r="C112" s="6">
        <v>23.68</v>
      </c>
      <c r="D112" s="6">
        <v>4.96</v>
      </c>
      <c r="E112" s="6">
        <v>2.4300000000000002</v>
      </c>
      <c r="G112" s="31"/>
    </row>
    <row r="113" spans="1:7" x14ac:dyDescent="0.25">
      <c r="A113" s="36">
        <v>39925</v>
      </c>
      <c r="B113" s="6">
        <v>42.75</v>
      </c>
      <c r="C113" s="6">
        <v>23.72</v>
      </c>
      <c r="D113" s="6">
        <v>5</v>
      </c>
      <c r="E113" s="6">
        <v>2.4900000000000002</v>
      </c>
      <c r="G113" s="31"/>
    </row>
    <row r="114" spans="1:7" x14ac:dyDescent="0.25">
      <c r="A114" s="36">
        <v>39926</v>
      </c>
      <c r="B114" s="6">
        <v>42.88</v>
      </c>
      <c r="C114" s="6">
        <v>23.72</v>
      </c>
      <c r="D114" s="6">
        <v>5.0199999999999996</v>
      </c>
      <c r="E114" s="6">
        <v>2.54</v>
      </c>
      <c r="G114" s="31"/>
    </row>
    <row r="115" spans="1:7" x14ac:dyDescent="0.25">
      <c r="A115" s="36">
        <v>39927</v>
      </c>
      <c r="B115" s="6">
        <v>43.08</v>
      </c>
      <c r="C115" s="6">
        <v>23.75</v>
      </c>
      <c r="D115" s="6">
        <v>5.22</v>
      </c>
      <c r="E115" s="6">
        <v>2.62</v>
      </c>
      <c r="G115" s="31"/>
    </row>
    <row r="116" spans="1:7" x14ac:dyDescent="0.25">
      <c r="A116" s="36">
        <v>39928</v>
      </c>
      <c r="B116" s="6">
        <v>43.27</v>
      </c>
      <c r="C116" s="6">
        <v>23.79</v>
      </c>
      <c r="D116" s="6">
        <v>5.32</v>
      </c>
      <c r="E116" s="6">
        <v>2.69</v>
      </c>
      <c r="G116" s="31"/>
    </row>
    <row r="117" spans="1:7" x14ac:dyDescent="0.25">
      <c r="A117" s="36">
        <v>39929</v>
      </c>
      <c r="B117" s="6">
        <v>43.47</v>
      </c>
      <c r="C117" s="6">
        <v>23.89</v>
      </c>
      <c r="D117" s="6">
        <v>5.42</v>
      </c>
      <c r="E117" s="6">
        <v>2.75</v>
      </c>
      <c r="G117" s="31"/>
    </row>
    <row r="118" spans="1:7" x14ac:dyDescent="0.25">
      <c r="A118" s="36">
        <v>39930</v>
      </c>
      <c r="B118" s="6">
        <v>43.59</v>
      </c>
      <c r="C118" s="6">
        <v>23.97</v>
      </c>
      <c r="D118" s="6">
        <v>5.46</v>
      </c>
      <c r="E118" s="6">
        <v>2.75</v>
      </c>
      <c r="G118" s="31"/>
    </row>
    <row r="119" spans="1:7" x14ac:dyDescent="0.25">
      <c r="A119" s="36">
        <v>39931</v>
      </c>
      <c r="B119" s="6">
        <v>43.72</v>
      </c>
      <c r="C119" s="6">
        <v>24.3</v>
      </c>
      <c r="D119" s="6">
        <v>5.5</v>
      </c>
      <c r="E119" s="6">
        <v>2.83</v>
      </c>
      <c r="G119" s="31"/>
    </row>
    <row r="120" spans="1:7" x14ac:dyDescent="0.25">
      <c r="A120" s="36">
        <v>39932</v>
      </c>
      <c r="B120" s="6">
        <v>43.77</v>
      </c>
      <c r="C120" s="6">
        <v>24.6</v>
      </c>
      <c r="D120" s="6">
        <v>5.54</v>
      </c>
      <c r="E120" s="6">
        <v>2.87</v>
      </c>
      <c r="G120" s="31"/>
    </row>
    <row r="121" spans="1:7" x14ac:dyDescent="0.25">
      <c r="A121" s="36">
        <v>39933</v>
      </c>
      <c r="B121" s="6">
        <v>43.84</v>
      </c>
      <c r="C121" s="6">
        <v>24.85</v>
      </c>
      <c r="D121" s="6">
        <v>5.7</v>
      </c>
      <c r="E121" s="6">
        <v>2.89</v>
      </c>
      <c r="G121" s="31"/>
    </row>
    <row r="122" spans="1:7" x14ac:dyDescent="0.25">
      <c r="A122" s="36">
        <v>39934</v>
      </c>
      <c r="B122" s="6">
        <v>43.84</v>
      </c>
      <c r="C122" s="6">
        <v>24.99</v>
      </c>
      <c r="D122" s="6">
        <v>5.86</v>
      </c>
      <c r="E122" s="6">
        <v>2.92</v>
      </c>
      <c r="G122" s="31"/>
    </row>
    <row r="123" spans="1:7" x14ac:dyDescent="0.25">
      <c r="A123" s="36">
        <v>39935</v>
      </c>
      <c r="B123" s="6">
        <v>43.85</v>
      </c>
      <c r="C123" s="6">
        <v>25.07</v>
      </c>
      <c r="D123" s="6">
        <v>6</v>
      </c>
      <c r="E123" s="6">
        <v>2.92</v>
      </c>
      <c r="G123" s="31"/>
    </row>
    <row r="124" spans="1:7" x14ac:dyDescent="0.25">
      <c r="A124" s="36">
        <v>39936</v>
      </c>
      <c r="B124" s="6">
        <v>43.85</v>
      </c>
      <c r="C124" s="6">
        <v>25.08</v>
      </c>
      <c r="D124" s="6">
        <v>6.18</v>
      </c>
      <c r="E124" s="6">
        <v>2.96</v>
      </c>
      <c r="G124" s="31"/>
    </row>
    <row r="125" spans="1:7" x14ac:dyDescent="0.25">
      <c r="A125" s="36">
        <v>39937</v>
      </c>
      <c r="B125" s="6">
        <v>43.88</v>
      </c>
      <c r="C125" s="6">
        <v>25.08</v>
      </c>
      <c r="D125" s="6">
        <v>6.36</v>
      </c>
      <c r="E125" s="6">
        <v>3.11</v>
      </c>
      <c r="G125" s="31"/>
    </row>
    <row r="126" spans="1:7" x14ac:dyDescent="0.25">
      <c r="A126" s="36">
        <v>39938</v>
      </c>
      <c r="B126" s="6">
        <v>43.91</v>
      </c>
      <c r="C126" s="6">
        <v>25.04</v>
      </c>
      <c r="D126" s="6">
        <v>6.44</v>
      </c>
      <c r="E126" s="6">
        <v>3.3</v>
      </c>
      <c r="G126" s="31"/>
    </row>
    <row r="127" spans="1:7" x14ac:dyDescent="0.25">
      <c r="A127" s="36">
        <v>39939</v>
      </c>
      <c r="B127" s="6">
        <v>44.01</v>
      </c>
      <c r="C127" s="6">
        <v>25.02</v>
      </c>
      <c r="D127" s="6">
        <v>6.5</v>
      </c>
      <c r="E127" s="6">
        <v>3.31</v>
      </c>
      <c r="G127" s="31"/>
    </row>
    <row r="128" spans="1:7" x14ac:dyDescent="0.25">
      <c r="A128" s="36">
        <v>39940</v>
      </c>
      <c r="B128" s="6">
        <v>44.05</v>
      </c>
      <c r="C128" s="6">
        <v>25.02</v>
      </c>
      <c r="D128" s="6">
        <v>6.54</v>
      </c>
      <c r="E128" s="6">
        <v>3.39</v>
      </c>
      <c r="G128" s="31"/>
    </row>
    <row r="129" spans="1:7" x14ac:dyDescent="0.25">
      <c r="A129" s="36">
        <v>39941</v>
      </c>
      <c r="B129" s="6">
        <v>44.1</v>
      </c>
      <c r="C129" s="6">
        <v>25.1</v>
      </c>
      <c r="D129" s="6">
        <v>6.64</v>
      </c>
      <c r="E129" s="6">
        <v>3.43</v>
      </c>
      <c r="G129" s="31"/>
    </row>
    <row r="130" spans="1:7" x14ac:dyDescent="0.25">
      <c r="A130" s="36">
        <v>39942</v>
      </c>
      <c r="B130" s="6">
        <v>44.15</v>
      </c>
      <c r="C130" s="6">
        <v>25.17</v>
      </c>
      <c r="D130" s="6">
        <v>6.65</v>
      </c>
      <c r="E130" s="6">
        <v>3.53</v>
      </c>
      <c r="G130" s="31"/>
    </row>
    <row r="131" spans="1:7" x14ac:dyDescent="0.25">
      <c r="A131" s="36">
        <v>39943</v>
      </c>
      <c r="B131" s="6">
        <v>44.2</v>
      </c>
      <c r="C131" s="6">
        <v>25.26</v>
      </c>
      <c r="D131" s="6">
        <v>6.67</v>
      </c>
      <c r="E131" s="6">
        <v>3.53</v>
      </c>
      <c r="G131" s="31"/>
    </row>
    <row r="132" spans="1:7" x14ac:dyDescent="0.25">
      <c r="A132" s="36">
        <v>39944</v>
      </c>
      <c r="B132" s="6">
        <v>44.23</v>
      </c>
      <c r="C132" s="6">
        <v>25.39</v>
      </c>
      <c r="D132" s="6">
        <v>6.7</v>
      </c>
      <c r="E132" s="6">
        <v>3.5</v>
      </c>
      <c r="G132" s="31"/>
    </row>
    <row r="133" spans="1:7" x14ac:dyDescent="0.25">
      <c r="A133" s="36">
        <v>39945</v>
      </c>
      <c r="B133" s="6">
        <v>44.26</v>
      </c>
      <c r="C133" s="6">
        <v>25.54</v>
      </c>
      <c r="D133" s="6">
        <v>6.72</v>
      </c>
      <c r="E133" s="6">
        <v>3.55</v>
      </c>
      <c r="G133" s="31"/>
    </row>
    <row r="134" spans="1:7" x14ac:dyDescent="0.25">
      <c r="A134" s="36">
        <v>39946</v>
      </c>
      <c r="B134" s="6">
        <v>44.3</v>
      </c>
      <c r="C134" s="6">
        <v>25.65</v>
      </c>
      <c r="D134" s="6">
        <v>6.8</v>
      </c>
      <c r="E134" s="6">
        <v>3.56</v>
      </c>
      <c r="G134" s="31"/>
    </row>
    <row r="135" spans="1:7" x14ac:dyDescent="0.25">
      <c r="A135" s="36">
        <v>39947</v>
      </c>
      <c r="B135" s="6">
        <v>44.32</v>
      </c>
      <c r="C135" s="6">
        <v>25.71</v>
      </c>
      <c r="D135" s="6">
        <v>6.86</v>
      </c>
      <c r="E135" s="6">
        <v>3.6</v>
      </c>
      <c r="G135" s="31"/>
    </row>
    <row r="136" spans="1:7" x14ac:dyDescent="0.25">
      <c r="A136" s="36">
        <v>39948</v>
      </c>
      <c r="B136" s="6">
        <v>44.32</v>
      </c>
      <c r="C136" s="6">
        <v>25.75</v>
      </c>
      <c r="D136" s="6">
        <v>6.89</v>
      </c>
      <c r="E136" s="6">
        <v>3.64</v>
      </c>
      <c r="G136" s="31"/>
    </row>
    <row r="137" spans="1:7" x14ac:dyDescent="0.25">
      <c r="A137" s="36">
        <v>39949</v>
      </c>
      <c r="B137" s="6">
        <v>44.34</v>
      </c>
      <c r="C137" s="6">
        <v>25.77</v>
      </c>
      <c r="D137" s="6">
        <v>6.96</v>
      </c>
      <c r="E137" s="6">
        <v>3.73</v>
      </c>
      <c r="G137" s="31"/>
    </row>
    <row r="138" spans="1:7" x14ac:dyDescent="0.25">
      <c r="A138" s="36">
        <v>39950</v>
      </c>
      <c r="B138" s="6">
        <v>44.35</v>
      </c>
      <c r="C138" s="6">
        <v>25.79</v>
      </c>
      <c r="D138" s="6">
        <v>7.1</v>
      </c>
      <c r="E138" s="6">
        <v>3.73</v>
      </c>
      <c r="G138" s="31"/>
    </row>
    <row r="139" spans="1:7" x14ac:dyDescent="0.25">
      <c r="A139" s="36">
        <v>39951</v>
      </c>
      <c r="B139" s="6">
        <v>44.36</v>
      </c>
      <c r="C139" s="6">
        <v>25.8</v>
      </c>
      <c r="D139" s="6">
        <v>7.12</v>
      </c>
      <c r="E139" s="6">
        <v>3.73</v>
      </c>
      <c r="G139" s="31"/>
    </row>
    <row r="140" spans="1:7" x14ac:dyDescent="0.25">
      <c r="A140" s="36">
        <v>39952</v>
      </c>
      <c r="B140" s="6">
        <v>44.38</v>
      </c>
      <c r="C140" s="6">
        <v>25.76</v>
      </c>
      <c r="D140" s="6">
        <v>7.18</v>
      </c>
      <c r="E140" s="6">
        <v>3.78</v>
      </c>
      <c r="G140" s="31"/>
    </row>
    <row r="141" spans="1:7" x14ac:dyDescent="0.25">
      <c r="A141" s="36">
        <v>39953</v>
      </c>
      <c r="B141" s="6">
        <v>44.34</v>
      </c>
      <c r="C141" s="6">
        <v>25.72</v>
      </c>
      <c r="D141" s="6">
        <v>7.18</v>
      </c>
      <c r="E141" s="6">
        <v>3.8</v>
      </c>
      <c r="G141" s="31"/>
    </row>
    <row r="142" spans="1:7" x14ac:dyDescent="0.25">
      <c r="A142" s="36">
        <v>39954</v>
      </c>
      <c r="B142" s="6">
        <v>44.34</v>
      </c>
      <c r="C142" s="6">
        <v>25.69</v>
      </c>
      <c r="D142" s="6">
        <v>7.18</v>
      </c>
      <c r="E142" s="6">
        <v>3.83</v>
      </c>
      <c r="G142" s="31"/>
    </row>
    <row r="143" spans="1:7" x14ac:dyDescent="0.25">
      <c r="A143" s="36">
        <v>39955</v>
      </c>
      <c r="B143" s="6">
        <v>44.35</v>
      </c>
      <c r="C143" s="6">
        <v>25.69</v>
      </c>
      <c r="D143" s="6">
        <v>7.18</v>
      </c>
      <c r="E143" s="6">
        <v>3.84</v>
      </c>
      <c r="G143" s="31"/>
    </row>
    <row r="144" spans="1:7" x14ac:dyDescent="0.25">
      <c r="A144" s="36">
        <v>39956</v>
      </c>
      <c r="B144" s="6">
        <v>44.35</v>
      </c>
      <c r="C144" s="6">
        <v>25.65</v>
      </c>
      <c r="D144" s="6">
        <v>7.14</v>
      </c>
      <c r="E144" s="6">
        <v>3.84</v>
      </c>
      <c r="G144" s="31"/>
    </row>
    <row r="145" spans="1:7" x14ac:dyDescent="0.25">
      <c r="A145" s="36">
        <v>39957</v>
      </c>
      <c r="B145" s="6">
        <v>44.36</v>
      </c>
      <c r="C145" s="6">
        <v>25.64</v>
      </c>
      <c r="D145" s="6">
        <v>7.1</v>
      </c>
      <c r="E145" s="6">
        <v>3.83</v>
      </c>
      <c r="G145" s="31"/>
    </row>
    <row r="146" spans="1:7" x14ac:dyDescent="0.25">
      <c r="A146" s="36">
        <v>39958</v>
      </c>
      <c r="B146" s="6">
        <v>44.4</v>
      </c>
      <c r="C146" s="7">
        <v>25.64</v>
      </c>
      <c r="D146" s="7">
        <v>7.1</v>
      </c>
      <c r="E146" s="6">
        <v>3.79</v>
      </c>
      <c r="G146" s="31"/>
    </row>
    <row r="147" spans="1:7" x14ac:dyDescent="0.25">
      <c r="A147" s="36">
        <v>39959</v>
      </c>
      <c r="B147" s="6">
        <v>44.46</v>
      </c>
      <c r="C147" s="7">
        <v>25.64</v>
      </c>
      <c r="D147" s="7">
        <v>7.06</v>
      </c>
      <c r="E147" s="7">
        <v>3.79</v>
      </c>
      <c r="G147" s="31"/>
    </row>
    <row r="148" spans="1:7" x14ac:dyDescent="0.25">
      <c r="A148" s="36">
        <v>39960</v>
      </c>
      <c r="B148" s="7">
        <v>44.54</v>
      </c>
      <c r="C148" s="7">
        <v>25.7</v>
      </c>
      <c r="D148" s="7">
        <v>7.09</v>
      </c>
      <c r="E148" s="7">
        <v>3.76</v>
      </c>
      <c r="G148" s="31"/>
    </row>
    <row r="149" spans="1:7" x14ac:dyDescent="0.25">
      <c r="A149" s="36">
        <v>39961</v>
      </c>
      <c r="B149" s="7">
        <v>44.58</v>
      </c>
      <c r="C149" s="7">
        <v>25.77</v>
      </c>
      <c r="D149" s="7">
        <v>7</v>
      </c>
      <c r="E149" s="7">
        <v>3.76</v>
      </c>
      <c r="G149" s="31"/>
    </row>
    <row r="150" spans="1:7" x14ac:dyDescent="0.25">
      <c r="A150" s="36">
        <v>39962</v>
      </c>
      <c r="B150" s="7">
        <v>44.62</v>
      </c>
      <c r="C150" s="7">
        <v>25.89</v>
      </c>
      <c r="D150" s="7">
        <v>7.02</v>
      </c>
      <c r="E150" s="7">
        <v>3.78</v>
      </c>
      <c r="G150" s="31"/>
    </row>
    <row r="151" spans="1:7" x14ac:dyDescent="0.25">
      <c r="A151" s="36">
        <v>39963</v>
      </c>
      <c r="B151" s="7">
        <v>44.63</v>
      </c>
      <c r="C151" s="7">
        <v>25.99</v>
      </c>
      <c r="D151" s="7">
        <v>7.06</v>
      </c>
      <c r="E151" s="7">
        <v>3.77</v>
      </c>
      <c r="G151" s="31"/>
    </row>
    <row r="152" spans="1:7" x14ac:dyDescent="0.25">
      <c r="A152" s="36">
        <v>39964</v>
      </c>
      <c r="B152" s="7">
        <v>44.64</v>
      </c>
      <c r="C152" s="7">
        <v>26.02</v>
      </c>
      <c r="D152" s="7">
        <v>7.12</v>
      </c>
      <c r="E152" s="7">
        <v>3.78</v>
      </c>
      <c r="G152" s="31"/>
    </row>
    <row r="153" spans="1:7" x14ac:dyDescent="0.25">
      <c r="A153" s="36">
        <v>39965</v>
      </c>
      <c r="B153" s="7">
        <v>44.63</v>
      </c>
      <c r="C153" s="7">
        <v>26.02</v>
      </c>
      <c r="D153" s="7">
        <v>7.2</v>
      </c>
      <c r="E153" s="7">
        <v>3.81</v>
      </c>
      <c r="G153" s="31"/>
    </row>
    <row r="154" spans="1:7" x14ac:dyDescent="0.25">
      <c r="A154" s="36">
        <v>39966</v>
      </c>
      <c r="B154" s="7">
        <v>44.6</v>
      </c>
      <c r="C154" s="7">
        <v>25.93</v>
      </c>
      <c r="D154" s="7">
        <v>7.28</v>
      </c>
      <c r="E154" s="7">
        <v>3.92</v>
      </c>
      <c r="G154" s="31"/>
    </row>
    <row r="155" spans="1:7" x14ac:dyDescent="0.25">
      <c r="A155" s="36">
        <v>39967</v>
      </c>
      <c r="B155" s="7">
        <v>44.58</v>
      </c>
      <c r="C155" s="7">
        <v>25.86</v>
      </c>
      <c r="D155" s="7">
        <v>7.3</v>
      </c>
      <c r="E155" s="7">
        <v>3.92</v>
      </c>
      <c r="G155" s="31"/>
    </row>
    <row r="156" spans="1:7" x14ac:dyDescent="0.25">
      <c r="A156" s="36">
        <v>39968</v>
      </c>
      <c r="B156" s="7">
        <v>44.58</v>
      </c>
      <c r="C156" s="7">
        <v>25.78</v>
      </c>
      <c r="D156" s="7">
        <v>7.3</v>
      </c>
      <c r="E156" s="7">
        <v>3.88</v>
      </c>
      <c r="G156" s="31"/>
    </row>
    <row r="157" spans="1:7" x14ac:dyDescent="0.25">
      <c r="A157" s="36">
        <v>39969</v>
      </c>
      <c r="B157" s="7">
        <v>44.62</v>
      </c>
      <c r="C157" s="7">
        <v>25.7</v>
      </c>
      <c r="D157" s="7">
        <v>7.2</v>
      </c>
      <c r="E157" s="7">
        <v>3.92</v>
      </c>
      <c r="G157" s="31"/>
    </row>
    <row r="158" spans="1:7" x14ac:dyDescent="0.25">
      <c r="A158" s="36">
        <v>39970</v>
      </c>
      <c r="B158" s="7">
        <v>44.74</v>
      </c>
      <c r="C158" s="7">
        <v>25.7</v>
      </c>
      <c r="D158" s="7">
        <v>7.1</v>
      </c>
      <c r="E158" s="7">
        <v>3.85</v>
      </c>
      <c r="G158" s="31"/>
    </row>
    <row r="159" spans="1:7" x14ac:dyDescent="0.25">
      <c r="A159" s="36">
        <v>39971</v>
      </c>
      <c r="B159" s="7">
        <v>44.88</v>
      </c>
      <c r="C159" s="7">
        <v>25.79</v>
      </c>
      <c r="D159" s="7">
        <v>7.04</v>
      </c>
      <c r="E159" s="7">
        <v>3.81</v>
      </c>
      <c r="G159" s="31"/>
    </row>
    <row r="160" spans="1:7" x14ac:dyDescent="0.25">
      <c r="A160" s="36">
        <v>39972</v>
      </c>
      <c r="B160" s="7">
        <v>45.02</v>
      </c>
      <c r="C160" s="7">
        <v>25.87</v>
      </c>
      <c r="D160" s="7">
        <v>7.08</v>
      </c>
      <c r="E160" s="7">
        <v>3.72</v>
      </c>
      <c r="G160" s="31"/>
    </row>
    <row r="161" spans="1:7" x14ac:dyDescent="0.25">
      <c r="A161" s="36">
        <v>39973</v>
      </c>
      <c r="B161" s="7">
        <v>45.2</v>
      </c>
      <c r="C161" s="7">
        <v>25.95</v>
      </c>
      <c r="D161" s="7">
        <v>7.1</v>
      </c>
      <c r="E161" s="7">
        <v>3.71</v>
      </c>
      <c r="G161" s="31"/>
    </row>
    <row r="162" spans="1:7" x14ac:dyDescent="0.25">
      <c r="A162" s="36">
        <v>39974</v>
      </c>
      <c r="B162" s="7">
        <v>45.32</v>
      </c>
      <c r="C162" s="7">
        <v>26.05</v>
      </c>
      <c r="D162" s="7">
        <v>7.18</v>
      </c>
      <c r="E162" s="7">
        <v>3.76</v>
      </c>
      <c r="G162" s="31"/>
    </row>
    <row r="163" spans="1:7" x14ac:dyDescent="0.25">
      <c r="A163" s="36">
        <v>39975</v>
      </c>
      <c r="B163" s="7">
        <v>45.44</v>
      </c>
      <c r="C163" s="7">
        <v>26.2</v>
      </c>
      <c r="D163" s="7">
        <v>7.24</v>
      </c>
      <c r="E163" s="7">
        <v>3.79</v>
      </c>
      <c r="G163" s="31"/>
    </row>
    <row r="164" spans="1:7" x14ac:dyDescent="0.25">
      <c r="A164" s="36">
        <v>39976</v>
      </c>
      <c r="B164" s="7">
        <v>45.65</v>
      </c>
      <c r="C164" s="7">
        <v>26.4</v>
      </c>
      <c r="D164" s="7">
        <v>7.5</v>
      </c>
      <c r="E164" s="7">
        <v>3.87</v>
      </c>
      <c r="G164" s="31"/>
    </row>
    <row r="165" spans="1:7" x14ac:dyDescent="0.25">
      <c r="A165" s="36">
        <v>39977</v>
      </c>
      <c r="B165" s="7">
        <v>45.84</v>
      </c>
      <c r="C165" s="7">
        <v>26.6</v>
      </c>
      <c r="D165" s="7">
        <v>7.78</v>
      </c>
      <c r="E165" s="7">
        <v>4</v>
      </c>
      <c r="G165" s="31"/>
    </row>
    <row r="166" spans="1:7" x14ac:dyDescent="0.25">
      <c r="A166" s="36">
        <v>39978</v>
      </c>
      <c r="B166" s="7">
        <v>46.12</v>
      </c>
      <c r="C166" s="7">
        <v>26.85</v>
      </c>
      <c r="D166" s="7">
        <v>7.92</v>
      </c>
      <c r="E166" s="7">
        <v>4.0599999999999996</v>
      </c>
      <c r="G166" s="31"/>
    </row>
    <row r="167" spans="1:7" x14ac:dyDescent="0.25">
      <c r="A167" s="36">
        <v>39979</v>
      </c>
      <c r="B167" s="7">
        <v>46.33</v>
      </c>
      <c r="C167" s="6">
        <v>27.09</v>
      </c>
      <c r="D167" s="6">
        <v>8.1</v>
      </c>
      <c r="E167" s="7">
        <v>4.2</v>
      </c>
      <c r="G167" s="31"/>
    </row>
    <row r="168" spans="1:7" x14ac:dyDescent="0.25">
      <c r="A168" s="36">
        <v>39980</v>
      </c>
      <c r="B168" s="7">
        <v>46.44</v>
      </c>
      <c r="C168" s="6">
        <v>27.31</v>
      </c>
      <c r="D168" s="6">
        <v>8.3000000000000007</v>
      </c>
      <c r="E168" s="6">
        <v>4.38</v>
      </c>
      <c r="G168" s="31"/>
    </row>
    <row r="169" spans="1:7" x14ac:dyDescent="0.25">
      <c r="A169" s="36">
        <v>39981</v>
      </c>
      <c r="B169" s="6">
        <v>46.5</v>
      </c>
      <c r="C169" s="6">
        <v>27.49</v>
      </c>
      <c r="D169" s="6">
        <v>8.5</v>
      </c>
      <c r="E169" s="6">
        <v>4.5</v>
      </c>
      <c r="G169" s="31"/>
    </row>
    <row r="170" spans="1:7" x14ac:dyDescent="0.25">
      <c r="A170" s="36">
        <v>39982</v>
      </c>
      <c r="B170" s="6">
        <v>46.59</v>
      </c>
      <c r="C170" s="6">
        <v>27.65</v>
      </c>
      <c r="D170" s="6">
        <v>8.68</v>
      </c>
      <c r="E170" s="6">
        <v>4.63</v>
      </c>
      <c r="G170" s="31"/>
    </row>
    <row r="171" spans="1:7" x14ac:dyDescent="0.25">
      <c r="A171" s="36">
        <v>39983</v>
      </c>
      <c r="B171" s="6">
        <v>46.64</v>
      </c>
      <c r="C171" s="6">
        <v>27.76</v>
      </c>
      <c r="D171" s="6">
        <v>8.86</v>
      </c>
      <c r="E171" s="6">
        <v>4.8099999999999996</v>
      </c>
      <c r="G171" s="31"/>
    </row>
    <row r="172" spans="1:7" x14ac:dyDescent="0.25">
      <c r="A172" s="36">
        <v>39984</v>
      </c>
      <c r="B172" s="6">
        <v>46.7</v>
      </c>
      <c r="C172" s="6">
        <v>27.89</v>
      </c>
      <c r="D172" s="6">
        <v>9</v>
      </c>
      <c r="E172" s="6">
        <v>4.83</v>
      </c>
      <c r="G172" s="31"/>
    </row>
    <row r="173" spans="1:7" x14ac:dyDescent="0.25">
      <c r="A173" s="36">
        <v>39985</v>
      </c>
      <c r="B173" s="6">
        <v>46.78</v>
      </c>
      <c r="C173" s="6">
        <v>27.99</v>
      </c>
      <c r="D173" s="6">
        <v>9.0399999999999991</v>
      </c>
      <c r="E173" s="6">
        <v>4.8899999999999997</v>
      </c>
      <c r="G173" s="31"/>
    </row>
    <row r="174" spans="1:7" x14ac:dyDescent="0.25">
      <c r="A174" s="36">
        <v>39986</v>
      </c>
      <c r="B174" s="6">
        <v>46.99</v>
      </c>
      <c r="C174" s="6">
        <v>28.02</v>
      </c>
      <c r="D174" s="6">
        <v>9.1999999999999993</v>
      </c>
      <c r="E174" s="6">
        <v>5.12</v>
      </c>
      <c r="G174" s="31"/>
    </row>
    <row r="175" spans="1:7" x14ac:dyDescent="0.25">
      <c r="A175" s="36">
        <v>39987</v>
      </c>
      <c r="B175" s="6">
        <v>47.12</v>
      </c>
      <c r="C175" s="6">
        <v>28.2</v>
      </c>
      <c r="D175" s="6">
        <v>9.5399999999999991</v>
      </c>
      <c r="E175" s="6">
        <v>5.29</v>
      </c>
      <c r="G175" s="31"/>
    </row>
    <row r="176" spans="1:7" x14ac:dyDescent="0.25">
      <c r="A176" s="36">
        <v>39988</v>
      </c>
      <c r="B176" s="6">
        <v>47.3</v>
      </c>
      <c r="C176" s="6">
        <v>28.31</v>
      </c>
      <c r="D176" s="6">
        <v>9.6</v>
      </c>
      <c r="E176" s="6">
        <v>5.36</v>
      </c>
      <c r="G176" s="31"/>
    </row>
    <row r="177" spans="1:7" x14ac:dyDescent="0.25">
      <c r="A177" s="36">
        <v>39989</v>
      </c>
      <c r="B177" s="6">
        <v>47.5</v>
      </c>
      <c r="C177" s="6">
        <v>28.41</v>
      </c>
      <c r="D177" s="6">
        <v>9.9</v>
      </c>
      <c r="E177" s="6">
        <v>5.48</v>
      </c>
      <c r="G177" s="31"/>
    </row>
    <row r="178" spans="1:7" x14ac:dyDescent="0.25">
      <c r="A178" s="36">
        <v>39990</v>
      </c>
      <c r="B178" s="6">
        <v>47.72</v>
      </c>
      <c r="C178" s="6">
        <v>28.56</v>
      </c>
      <c r="D178" s="6">
        <v>9.9600000000000009</v>
      </c>
      <c r="E178" s="6">
        <v>5.62</v>
      </c>
      <c r="G178" s="31"/>
    </row>
    <row r="179" spans="1:7" x14ac:dyDescent="0.25">
      <c r="A179" s="36">
        <v>39991</v>
      </c>
      <c r="B179" s="6">
        <v>47.82</v>
      </c>
      <c r="C179" s="6">
        <v>28.68</v>
      </c>
      <c r="D179" s="6">
        <v>10.06</v>
      </c>
      <c r="E179" s="6">
        <v>5.73</v>
      </c>
      <c r="G179" s="31"/>
    </row>
    <row r="180" spans="1:7" x14ac:dyDescent="0.25">
      <c r="A180" s="36">
        <v>39992</v>
      </c>
      <c r="B180" s="6">
        <v>47.96</v>
      </c>
      <c r="C180" s="6">
        <v>28.78</v>
      </c>
      <c r="D180" s="6">
        <v>10.16</v>
      </c>
      <c r="E180" s="6">
        <v>5.8</v>
      </c>
      <c r="G180" s="31"/>
    </row>
    <row r="181" spans="1:7" x14ac:dyDescent="0.25">
      <c r="A181" s="36">
        <v>39993</v>
      </c>
      <c r="B181" s="6">
        <v>48.14</v>
      </c>
      <c r="C181" s="6">
        <v>28.9</v>
      </c>
      <c r="D181" s="6">
        <v>10.26</v>
      </c>
      <c r="E181" s="6">
        <v>5.87</v>
      </c>
      <c r="G181" s="31"/>
    </row>
    <row r="182" spans="1:7" x14ac:dyDescent="0.25">
      <c r="A182" s="36">
        <v>39994</v>
      </c>
      <c r="B182" s="6">
        <v>48.26</v>
      </c>
      <c r="C182" s="6">
        <v>28.99</v>
      </c>
      <c r="D182" s="6">
        <v>10.3</v>
      </c>
      <c r="E182" s="6">
        <v>5.99</v>
      </c>
      <c r="G182" s="31"/>
    </row>
    <row r="183" spans="1:7" x14ac:dyDescent="0.25">
      <c r="A183" s="36">
        <v>39995</v>
      </c>
      <c r="B183" s="6">
        <v>48.43</v>
      </c>
      <c r="C183" s="6">
        <v>29.09</v>
      </c>
      <c r="D183" s="6">
        <v>10.3</v>
      </c>
      <c r="E183" s="6">
        <v>6.03</v>
      </c>
      <c r="G183" s="31"/>
    </row>
    <row r="184" spans="1:7" x14ac:dyDescent="0.25">
      <c r="A184" s="36">
        <v>39996</v>
      </c>
      <c r="B184" s="6">
        <v>48.61</v>
      </c>
      <c r="C184" s="6">
        <v>29.23</v>
      </c>
      <c r="D184" s="6">
        <v>10.4</v>
      </c>
      <c r="E184" s="6">
        <v>6.12</v>
      </c>
      <c r="G184" s="31"/>
    </row>
    <row r="185" spans="1:7" x14ac:dyDescent="0.25">
      <c r="A185" s="36">
        <v>39997</v>
      </c>
      <c r="B185" s="6">
        <v>48.7</v>
      </c>
      <c r="C185" s="6">
        <v>29.33</v>
      </c>
      <c r="D185" s="6">
        <v>10.46</v>
      </c>
      <c r="E185" s="6">
        <v>6.2</v>
      </c>
      <c r="G185" s="31"/>
    </row>
    <row r="186" spans="1:7" x14ac:dyDescent="0.25">
      <c r="A186" s="36">
        <v>39998</v>
      </c>
      <c r="B186" s="6">
        <v>48.87</v>
      </c>
      <c r="C186" s="6">
        <v>29.47</v>
      </c>
      <c r="D186" s="6">
        <v>10.65</v>
      </c>
      <c r="E186" s="6">
        <v>6.24</v>
      </c>
      <c r="G186" s="31"/>
    </row>
    <row r="187" spans="1:7" x14ac:dyDescent="0.25">
      <c r="A187" s="36">
        <v>39999</v>
      </c>
      <c r="B187" s="6">
        <v>49.06</v>
      </c>
      <c r="C187" s="6">
        <v>29.62</v>
      </c>
      <c r="D187" s="6">
        <v>10.86</v>
      </c>
      <c r="E187" s="6">
        <v>6.35</v>
      </c>
      <c r="G187" s="31"/>
    </row>
    <row r="188" spans="1:7" x14ac:dyDescent="0.25">
      <c r="A188" s="36">
        <v>40000</v>
      </c>
      <c r="B188" s="6">
        <v>49.27</v>
      </c>
      <c r="C188" s="6">
        <v>29.75</v>
      </c>
      <c r="D188" s="6">
        <v>11.06</v>
      </c>
      <c r="E188" s="6">
        <v>6.5</v>
      </c>
      <c r="G188" s="31"/>
    </row>
    <row r="189" spans="1:7" x14ac:dyDescent="0.25">
      <c r="A189" s="36">
        <v>40001</v>
      </c>
      <c r="B189" s="6">
        <v>49.42</v>
      </c>
      <c r="C189" s="6">
        <v>29.87</v>
      </c>
      <c r="D189" s="6">
        <v>11.2</v>
      </c>
      <c r="E189" s="6">
        <v>6.67</v>
      </c>
      <c r="G189" s="31"/>
    </row>
    <row r="190" spans="1:7" x14ac:dyDescent="0.25">
      <c r="A190" s="36">
        <v>40002</v>
      </c>
      <c r="B190" s="6">
        <v>49.53</v>
      </c>
      <c r="C190" s="6">
        <v>30</v>
      </c>
      <c r="D190" s="6">
        <v>11.3</v>
      </c>
      <c r="E190" s="6">
        <v>6.82</v>
      </c>
      <c r="G190" s="31"/>
    </row>
    <row r="191" spans="1:7" x14ac:dyDescent="0.25">
      <c r="A191" s="36">
        <v>40003</v>
      </c>
      <c r="B191" s="6">
        <v>49.61</v>
      </c>
      <c r="C191" s="6">
        <v>30.12</v>
      </c>
      <c r="D191" s="6">
        <v>11.52</v>
      </c>
      <c r="E191" s="6">
        <v>6.95</v>
      </c>
      <c r="G191" s="31"/>
    </row>
    <row r="192" spans="1:7" x14ac:dyDescent="0.25">
      <c r="A192" s="36">
        <v>40004</v>
      </c>
      <c r="B192" s="6">
        <v>49.67</v>
      </c>
      <c r="C192" s="6">
        <v>30.25</v>
      </c>
      <c r="D192" s="6">
        <v>11.7</v>
      </c>
      <c r="E192" s="6">
        <v>7.06</v>
      </c>
      <c r="G192" s="31"/>
    </row>
    <row r="193" spans="1:7" x14ac:dyDescent="0.25">
      <c r="A193" s="36">
        <v>40005</v>
      </c>
      <c r="B193" s="6">
        <v>49.72</v>
      </c>
      <c r="C193" s="6">
        <v>30.35</v>
      </c>
      <c r="D193" s="6">
        <v>11.8</v>
      </c>
      <c r="E193" s="6">
        <v>7.14</v>
      </c>
      <c r="G193" s="31"/>
    </row>
    <row r="194" spans="1:7" x14ac:dyDescent="0.25">
      <c r="A194" s="36">
        <v>40006</v>
      </c>
      <c r="B194" s="6">
        <v>49.85</v>
      </c>
      <c r="C194" s="6">
        <v>30.48</v>
      </c>
      <c r="D194" s="6">
        <v>11.9</v>
      </c>
      <c r="E194" s="6">
        <v>7.23</v>
      </c>
      <c r="G194" s="31"/>
    </row>
    <row r="195" spans="1:7" x14ac:dyDescent="0.25">
      <c r="A195" s="36">
        <v>40007</v>
      </c>
      <c r="B195" s="6">
        <v>49.92</v>
      </c>
      <c r="C195" s="6">
        <v>30.57</v>
      </c>
      <c r="D195" s="6">
        <v>12.02</v>
      </c>
      <c r="E195" s="6">
        <v>7.31</v>
      </c>
      <c r="G195" s="31"/>
    </row>
    <row r="196" spans="1:7" x14ac:dyDescent="0.25">
      <c r="A196" s="36">
        <v>40008</v>
      </c>
      <c r="B196" s="6">
        <v>50</v>
      </c>
      <c r="C196" s="6">
        <v>30.66</v>
      </c>
      <c r="D196" s="6">
        <v>12.12</v>
      </c>
      <c r="E196" s="6">
        <v>7.4</v>
      </c>
      <c r="G196" s="31"/>
    </row>
    <row r="197" spans="1:7" x14ac:dyDescent="0.25">
      <c r="A197" s="36">
        <v>40009</v>
      </c>
      <c r="B197" s="6">
        <v>50.15</v>
      </c>
      <c r="C197" s="6">
        <v>30.75</v>
      </c>
      <c r="D197" s="6">
        <v>12.2</v>
      </c>
      <c r="E197" s="6">
        <v>7.54</v>
      </c>
      <c r="G197" s="31"/>
    </row>
    <row r="198" spans="1:7" x14ac:dyDescent="0.25">
      <c r="A198" s="36">
        <v>40010</v>
      </c>
      <c r="B198" s="6">
        <v>50.28</v>
      </c>
      <c r="C198" s="6">
        <v>30.86</v>
      </c>
      <c r="D198" s="6">
        <v>12.3</v>
      </c>
      <c r="E198" s="6">
        <v>7.6</v>
      </c>
      <c r="G198" s="31"/>
    </row>
    <row r="199" spans="1:7" x14ac:dyDescent="0.25">
      <c r="A199" s="36">
        <v>40011</v>
      </c>
      <c r="B199" s="6">
        <v>50.44</v>
      </c>
      <c r="C199" s="6">
        <v>30.98</v>
      </c>
      <c r="D199" s="6">
        <v>12.4</v>
      </c>
      <c r="E199" s="6">
        <v>7.66</v>
      </c>
      <c r="G199" s="31"/>
    </row>
    <row r="200" spans="1:7" x14ac:dyDescent="0.25">
      <c r="A200" s="36">
        <v>40012</v>
      </c>
      <c r="B200" s="6">
        <v>50.53</v>
      </c>
      <c r="C200" s="6">
        <v>31.08</v>
      </c>
      <c r="D200" s="6">
        <v>12.58</v>
      </c>
      <c r="E200" s="6">
        <v>7.73</v>
      </c>
      <c r="G200" s="31"/>
    </row>
    <row r="201" spans="1:7" x14ac:dyDescent="0.25">
      <c r="A201" s="36">
        <v>40013</v>
      </c>
      <c r="B201" s="6">
        <v>50.64</v>
      </c>
      <c r="C201" s="6">
        <v>31.18</v>
      </c>
      <c r="D201" s="6">
        <v>12.64</v>
      </c>
      <c r="E201" s="6">
        <v>7.83</v>
      </c>
      <c r="G201" s="31"/>
    </row>
    <row r="202" spans="1:7" x14ac:dyDescent="0.25">
      <c r="A202" s="36">
        <v>40014</v>
      </c>
      <c r="B202" s="6">
        <v>50.69</v>
      </c>
      <c r="C202" s="6">
        <v>31.27</v>
      </c>
      <c r="D202" s="6">
        <v>12.74</v>
      </c>
      <c r="E202" s="6">
        <v>7.93</v>
      </c>
      <c r="G202" s="31"/>
    </row>
    <row r="203" spans="1:7" x14ac:dyDescent="0.25">
      <c r="A203" s="36">
        <v>40015</v>
      </c>
      <c r="B203" s="6">
        <v>50.71</v>
      </c>
      <c r="C203" s="6">
        <v>31.39</v>
      </c>
      <c r="D203" s="6">
        <v>12.86</v>
      </c>
      <c r="E203" s="6">
        <v>8.01</v>
      </c>
      <c r="G203" s="31"/>
    </row>
    <row r="204" spans="1:7" x14ac:dyDescent="0.25">
      <c r="A204" s="36">
        <v>40016</v>
      </c>
      <c r="B204" s="6">
        <v>50.67</v>
      </c>
      <c r="C204" s="6">
        <v>31.48</v>
      </c>
      <c r="D204" s="6">
        <v>13</v>
      </c>
      <c r="E204" s="6">
        <v>8.11</v>
      </c>
      <c r="G204" s="31"/>
    </row>
    <row r="205" spans="1:7" x14ac:dyDescent="0.25">
      <c r="A205" s="36">
        <v>40017</v>
      </c>
      <c r="B205" s="6">
        <v>50.62</v>
      </c>
      <c r="C205" s="6">
        <v>31.55</v>
      </c>
      <c r="D205" s="6">
        <v>13.08</v>
      </c>
      <c r="E205" s="6">
        <v>8.24</v>
      </c>
      <c r="G205" s="31"/>
    </row>
    <row r="206" spans="1:7" x14ac:dyDescent="0.25">
      <c r="A206" s="36">
        <v>40018</v>
      </c>
      <c r="B206" s="6">
        <v>50.6</v>
      </c>
      <c r="C206" s="6">
        <v>31.62</v>
      </c>
      <c r="D206" s="6">
        <v>13.2</v>
      </c>
      <c r="E206" s="6">
        <v>8.3699999999999992</v>
      </c>
      <c r="G206" s="31"/>
    </row>
    <row r="207" spans="1:7" x14ac:dyDescent="0.25">
      <c r="A207" s="36">
        <v>40019</v>
      </c>
      <c r="B207" s="6">
        <v>50.53</v>
      </c>
      <c r="C207" s="6">
        <v>31.65</v>
      </c>
      <c r="D207" s="6">
        <v>13.2</v>
      </c>
      <c r="E207" s="6">
        <v>8.36</v>
      </c>
      <c r="G207" s="31"/>
    </row>
    <row r="208" spans="1:7" x14ac:dyDescent="0.25">
      <c r="A208" s="36">
        <v>40020</v>
      </c>
      <c r="B208" s="6">
        <v>50.49</v>
      </c>
      <c r="C208" s="6">
        <v>31.73</v>
      </c>
      <c r="D208" s="6">
        <v>13.26</v>
      </c>
      <c r="E208" s="6">
        <v>8.3699999999999992</v>
      </c>
      <c r="G208" s="31"/>
    </row>
    <row r="209" spans="1:7" x14ac:dyDescent="0.25">
      <c r="A209" s="36">
        <v>40021</v>
      </c>
      <c r="B209" s="6">
        <v>50.42</v>
      </c>
      <c r="C209" s="6">
        <v>31.74</v>
      </c>
      <c r="D209" s="6">
        <v>13.28</v>
      </c>
      <c r="E209" s="6">
        <v>8.48</v>
      </c>
      <c r="G209" s="31"/>
    </row>
    <row r="210" spans="1:7" x14ac:dyDescent="0.25">
      <c r="A210" s="36">
        <v>40022</v>
      </c>
      <c r="B210" s="6">
        <v>50.4</v>
      </c>
      <c r="C210" s="6">
        <v>31.8</v>
      </c>
      <c r="D210" s="6">
        <v>13.3</v>
      </c>
      <c r="E210" s="6">
        <v>8.48</v>
      </c>
      <c r="G210" s="31"/>
    </row>
    <row r="211" spans="1:7" x14ac:dyDescent="0.25">
      <c r="A211" s="36">
        <v>40023</v>
      </c>
      <c r="B211" s="6">
        <v>50.4</v>
      </c>
      <c r="C211" s="6">
        <v>31.84</v>
      </c>
      <c r="D211" s="6">
        <v>13.32</v>
      </c>
      <c r="E211" s="6">
        <v>8.48</v>
      </c>
      <c r="G211" s="31"/>
    </row>
    <row r="212" spans="1:7" x14ac:dyDescent="0.25">
      <c r="A212" s="36">
        <v>40024</v>
      </c>
      <c r="B212" s="6">
        <v>50.41</v>
      </c>
      <c r="C212" s="6">
        <v>31.89</v>
      </c>
      <c r="D212" s="6">
        <v>13.36</v>
      </c>
      <c r="E212" s="6">
        <v>8.57</v>
      </c>
      <c r="G212" s="31"/>
    </row>
    <row r="213" spans="1:7" x14ac:dyDescent="0.25">
      <c r="A213" s="36">
        <v>40025</v>
      </c>
      <c r="B213" s="6">
        <v>50.44</v>
      </c>
      <c r="C213" s="6">
        <v>31.93</v>
      </c>
      <c r="D213" s="6">
        <v>13.38</v>
      </c>
      <c r="E213" s="6">
        <v>8.58</v>
      </c>
      <c r="G213" s="31"/>
    </row>
    <row r="214" spans="1:7" x14ac:dyDescent="0.25">
      <c r="A214" s="36">
        <v>40026</v>
      </c>
      <c r="B214" s="6">
        <v>50.53</v>
      </c>
      <c r="C214" s="6">
        <v>31.99</v>
      </c>
      <c r="D214" s="6">
        <v>13.48</v>
      </c>
      <c r="E214" s="6">
        <v>8.58</v>
      </c>
      <c r="G214" s="31"/>
    </row>
    <row r="215" spans="1:7" x14ac:dyDescent="0.25">
      <c r="A215" s="36">
        <v>40027</v>
      </c>
      <c r="B215" s="6">
        <v>50.59</v>
      </c>
      <c r="C215" s="6">
        <v>32.020000000000003</v>
      </c>
      <c r="D215" s="6">
        <v>13.52</v>
      </c>
      <c r="E215" s="6">
        <v>8.6</v>
      </c>
      <c r="G215" s="31"/>
    </row>
    <row r="216" spans="1:7" x14ac:dyDescent="0.25">
      <c r="A216" s="36">
        <v>40028</v>
      </c>
      <c r="B216" s="6">
        <v>50.61</v>
      </c>
      <c r="C216" s="6">
        <v>32.06</v>
      </c>
      <c r="D216" s="6">
        <v>13.56</v>
      </c>
      <c r="E216" s="6">
        <v>8.6199999999999992</v>
      </c>
      <c r="G216" s="31"/>
    </row>
    <row r="217" spans="1:7" x14ac:dyDescent="0.25">
      <c r="A217" s="36">
        <v>40029</v>
      </c>
      <c r="B217" s="6">
        <v>50.62</v>
      </c>
      <c r="C217" s="6">
        <v>32.08</v>
      </c>
      <c r="D217" s="6">
        <v>13.66</v>
      </c>
      <c r="E217" s="6">
        <v>8.76</v>
      </c>
      <c r="G217" s="31"/>
    </row>
    <row r="218" spans="1:7" x14ac:dyDescent="0.25">
      <c r="A218" s="36">
        <v>40030</v>
      </c>
      <c r="B218" s="6">
        <v>50.63</v>
      </c>
      <c r="C218" s="6">
        <v>32.11</v>
      </c>
      <c r="D218" s="6">
        <v>13.76</v>
      </c>
      <c r="E218" s="6">
        <v>8.7899999999999991</v>
      </c>
      <c r="G218" s="31"/>
    </row>
    <row r="219" spans="1:7" x14ac:dyDescent="0.25">
      <c r="A219" s="36">
        <v>40031</v>
      </c>
      <c r="B219" s="6">
        <v>50.64</v>
      </c>
      <c r="C219" s="6">
        <v>32.15</v>
      </c>
      <c r="D219" s="6">
        <v>13.82</v>
      </c>
      <c r="E219" s="6">
        <v>8.8800000000000008</v>
      </c>
      <c r="G219" s="31"/>
    </row>
    <row r="220" spans="1:7" x14ac:dyDescent="0.25">
      <c r="A220" s="36">
        <v>40032</v>
      </c>
      <c r="B220" s="6">
        <v>50.64</v>
      </c>
      <c r="C220" s="6">
        <v>32.159999999999997</v>
      </c>
      <c r="D220" s="6">
        <v>13.88</v>
      </c>
      <c r="E220" s="6">
        <v>8.98</v>
      </c>
      <c r="G220" s="31"/>
    </row>
    <row r="221" spans="1:7" x14ac:dyDescent="0.25">
      <c r="A221" s="36">
        <v>40033</v>
      </c>
      <c r="B221" s="6">
        <v>50.62</v>
      </c>
      <c r="C221" s="6">
        <v>32.18</v>
      </c>
      <c r="D221" s="6">
        <v>14</v>
      </c>
      <c r="E221" s="6">
        <v>9.02</v>
      </c>
      <c r="G221" s="31"/>
    </row>
    <row r="222" spans="1:7" x14ac:dyDescent="0.25">
      <c r="A222" s="36">
        <v>40034</v>
      </c>
      <c r="B222" s="6">
        <v>50.64</v>
      </c>
      <c r="C222" s="6">
        <v>32.200000000000003</v>
      </c>
      <c r="D222" s="6">
        <v>14.04</v>
      </c>
      <c r="E222" s="6">
        <v>9.06</v>
      </c>
      <c r="G222" s="31"/>
    </row>
    <row r="223" spans="1:7" x14ac:dyDescent="0.25">
      <c r="A223" s="36">
        <v>40035</v>
      </c>
      <c r="B223" s="6">
        <v>50.66</v>
      </c>
      <c r="C223" s="6">
        <v>32.229999999999997</v>
      </c>
      <c r="D223" s="6">
        <v>14.08</v>
      </c>
      <c r="E223" s="6">
        <v>9.1199999999999992</v>
      </c>
      <c r="G223" s="31"/>
    </row>
    <row r="224" spans="1:7" x14ac:dyDescent="0.25">
      <c r="A224" s="36">
        <v>40036</v>
      </c>
      <c r="B224" s="6">
        <v>50.7</v>
      </c>
      <c r="C224" s="6">
        <v>32.25</v>
      </c>
      <c r="D224" s="6">
        <v>14.2</v>
      </c>
      <c r="E224" s="6">
        <v>9.2100000000000009</v>
      </c>
      <c r="G224" s="31"/>
    </row>
    <row r="225" spans="1:7" x14ac:dyDescent="0.25">
      <c r="A225" s="36">
        <v>40037</v>
      </c>
      <c r="B225" s="6">
        <v>50.68</v>
      </c>
      <c r="C225" s="6">
        <v>32.26</v>
      </c>
      <c r="D225" s="6">
        <v>14.2</v>
      </c>
      <c r="E225" s="6">
        <v>9.24</v>
      </c>
      <c r="G225" s="31"/>
    </row>
    <row r="226" spans="1:7" x14ac:dyDescent="0.25">
      <c r="A226" s="36">
        <v>40038</v>
      </c>
      <c r="B226" s="6">
        <v>50.73</v>
      </c>
      <c r="C226" s="6">
        <v>32.270000000000003</v>
      </c>
      <c r="D226" s="6">
        <v>14.3</v>
      </c>
      <c r="E226" s="6">
        <v>9.32</v>
      </c>
      <c r="G226" s="31"/>
    </row>
    <row r="227" spans="1:7" x14ac:dyDescent="0.25">
      <c r="A227" s="36">
        <v>40039</v>
      </c>
      <c r="B227" s="6">
        <v>50.74</v>
      </c>
      <c r="C227" s="6">
        <v>32.28</v>
      </c>
      <c r="D227" s="6">
        <v>14.34</v>
      </c>
      <c r="E227" s="6">
        <v>9.41</v>
      </c>
      <c r="G227" s="31"/>
    </row>
    <row r="228" spans="1:7" x14ac:dyDescent="0.25">
      <c r="A228" s="36">
        <v>40040</v>
      </c>
      <c r="B228" s="6">
        <v>50.75</v>
      </c>
      <c r="C228" s="6">
        <v>32.299999999999997</v>
      </c>
      <c r="D228" s="6">
        <v>14.46</v>
      </c>
      <c r="E228" s="6">
        <v>9.4600000000000009</v>
      </c>
      <c r="G228" s="31"/>
    </row>
    <row r="229" spans="1:7" x14ac:dyDescent="0.25">
      <c r="A229" s="36">
        <v>40041</v>
      </c>
      <c r="B229" s="6">
        <v>50.76</v>
      </c>
      <c r="C229" s="6">
        <v>32.299999999999997</v>
      </c>
      <c r="D229" s="6">
        <v>14.5</v>
      </c>
      <c r="E229" s="6">
        <v>9.52</v>
      </c>
      <c r="G229" s="31"/>
    </row>
    <row r="230" spans="1:7" x14ac:dyDescent="0.25">
      <c r="A230" s="36">
        <v>40042</v>
      </c>
      <c r="B230" s="6">
        <v>50.75</v>
      </c>
      <c r="C230" s="6">
        <v>32.299999999999997</v>
      </c>
      <c r="D230" s="6">
        <v>14.5</v>
      </c>
      <c r="E230" s="6">
        <v>9.5500000000000007</v>
      </c>
      <c r="G230" s="31"/>
    </row>
    <row r="231" spans="1:7" x14ac:dyDescent="0.25">
      <c r="A231" s="36">
        <v>40043</v>
      </c>
      <c r="B231" s="6">
        <v>50.73</v>
      </c>
      <c r="C231" s="6">
        <v>32.299999999999997</v>
      </c>
      <c r="D231" s="6">
        <v>14.52</v>
      </c>
      <c r="E231" s="6">
        <v>9.5500000000000007</v>
      </c>
      <c r="G231" s="31"/>
    </row>
    <row r="232" spans="1:7" x14ac:dyDescent="0.25">
      <c r="A232" s="36">
        <v>40044</v>
      </c>
      <c r="B232" s="6">
        <v>50.71</v>
      </c>
      <c r="C232" s="6">
        <v>32.32</v>
      </c>
      <c r="D232" s="6">
        <v>14.4</v>
      </c>
      <c r="E232" s="6">
        <v>9.52</v>
      </c>
      <c r="G232" s="31"/>
    </row>
    <row r="233" spans="1:7" x14ac:dyDescent="0.25">
      <c r="A233" s="36">
        <v>40045</v>
      </c>
      <c r="B233" s="6">
        <v>50.66</v>
      </c>
      <c r="C233" s="6">
        <v>32.33</v>
      </c>
      <c r="D233" s="6">
        <v>14.4</v>
      </c>
      <c r="E233" s="6">
        <v>9.52</v>
      </c>
      <c r="G233" s="31"/>
    </row>
    <row r="234" spans="1:7" x14ac:dyDescent="0.25">
      <c r="A234" s="36">
        <v>40046</v>
      </c>
      <c r="B234" s="6">
        <v>50.64</v>
      </c>
      <c r="C234" s="6">
        <v>32.4</v>
      </c>
      <c r="D234" s="6">
        <v>14.48</v>
      </c>
      <c r="E234" s="6">
        <v>9.52</v>
      </c>
      <c r="G234" s="31"/>
    </row>
    <row r="235" spans="1:7" x14ac:dyDescent="0.25">
      <c r="A235" s="36">
        <v>40047</v>
      </c>
      <c r="B235" s="6">
        <v>50.58</v>
      </c>
      <c r="C235" s="6">
        <v>32.4</v>
      </c>
      <c r="D235" s="6">
        <v>14.48</v>
      </c>
      <c r="E235" s="6">
        <v>9.5</v>
      </c>
      <c r="G235" s="31"/>
    </row>
    <row r="236" spans="1:7" x14ac:dyDescent="0.25">
      <c r="A236" s="36">
        <v>40048</v>
      </c>
      <c r="B236" s="6">
        <v>50.5</v>
      </c>
      <c r="C236" s="6">
        <v>32.39</v>
      </c>
      <c r="D236" s="6">
        <v>14.48</v>
      </c>
      <c r="E236" s="6">
        <v>9.5</v>
      </c>
      <c r="G236" s="31"/>
    </row>
    <row r="237" spans="1:7" x14ac:dyDescent="0.25">
      <c r="A237" s="36">
        <v>40049</v>
      </c>
      <c r="B237" s="6">
        <v>50.4</v>
      </c>
      <c r="C237" s="6">
        <v>32.380000000000003</v>
      </c>
      <c r="D237" s="6">
        <v>14.48</v>
      </c>
      <c r="E237" s="6">
        <v>9.4700000000000006</v>
      </c>
      <c r="G237" s="31"/>
    </row>
    <row r="238" spans="1:7" x14ac:dyDescent="0.25">
      <c r="A238" s="36">
        <v>40050</v>
      </c>
      <c r="B238" s="6">
        <v>50.32</v>
      </c>
      <c r="C238" s="6">
        <v>32.380000000000003</v>
      </c>
      <c r="D238" s="6">
        <v>14.44</v>
      </c>
      <c r="E238" s="6">
        <v>9.4600000000000009</v>
      </c>
      <c r="G238" s="31"/>
    </row>
    <row r="239" spans="1:7" x14ac:dyDescent="0.25">
      <c r="A239" s="36">
        <v>40051</v>
      </c>
      <c r="B239" s="6">
        <v>50.21</v>
      </c>
      <c r="C239" s="6">
        <v>32.380000000000003</v>
      </c>
      <c r="D239" s="6">
        <v>14.42</v>
      </c>
      <c r="E239" s="6">
        <v>9.49</v>
      </c>
      <c r="G239" s="31"/>
    </row>
    <row r="240" spans="1:7" x14ac:dyDescent="0.25">
      <c r="A240" s="36">
        <v>40052</v>
      </c>
      <c r="B240" s="6">
        <v>50.11</v>
      </c>
      <c r="C240" s="6">
        <v>32.36</v>
      </c>
      <c r="D240" s="6">
        <v>14.38</v>
      </c>
      <c r="E240" s="6">
        <v>9.51</v>
      </c>
      <c r="G240" s="31"/>
    </row>
    <row r="241" spans="1:7" x14ac:dyDescent="0.25">
      <c r="A241" s="36">
        <v>40053</v>
      </c>
      <c r="B241" s="6">
        <v>50.03</v>
      </c>
      <c r="C241" s="6">
        <v>32.340000000000003</v>
      </c>
      <c r="D241" s="6">
        <v>14.38</v>
      </c>
      <c r="E241" s="6">
        <v>9.4600000000000009</v>
      </c>
      <c r="G241" s="31"/>
    </row>
    <row r="242" spans="1:7" x14ac:dyDescent="0.25">
      <c r="A242" s="36">
        <v>40054</v>
      </c>
      <c r="B242" s="6">
        <v>49.97</v>
      </c>
      <c r="C242" s="6">
        <v>32.32</v>
      </c>
      <c r="D242" s="6">
        <v>14.42</v>
      </c>
      <c r="E242" s="6">
        <v>9.43</v>
      </c>
      <c r="G242" s="31"/>
    </row>
    <row r="243" spans="1:7" x14ac:dyDescent="0.25">
      <c r="A243" s="36">
        <v>40055</v>
      </c>
      <c r="B243" s="6">
        <v>49.9</v>
      </c>
      <c r="C243" s="6">
        <v>32.299999999999997</v>
      </c>
      <c r="D243" s="6">
        <v>14.42</v>
      </c>
      <c r="E243" s="6">
        <v>9.41</v>
      </c>
      <c r="G243" s="31"/>
    </row>
    <row r="244" spans="1:7" x14ac:dyDescent="0.25">
      <c r="A244" s="36">
        <v>40056</v>
      </c>
      <c r="B244" s="6">
        <v>49.85</v>
      </c>
      <c r="C244" s="6">
        <v>32.270000000000003</v>
      </c>
      <c r="D244" s="6">
        <v>14.38</v>
      </c>
      <c r="E244" s="6">
        <v>9.41</v>
      </c>
      <c r="G244" s="31"/>
    </row>
    <row r="245" spans="1:7" x14ac:dyDescent="0.25">
      <c r="A245" s="36">
        <v>40057</v>
      </c>
      <c r="B245" s="6">
        <v>49.76</v>
      </c>
      <c r="C245" s="6">
        <v>32.22</v>
      </c>
      <c r="D245" s="6">
        <v>14.32</v>
      </c>
      <c r="E245" s="6">
        <v>9.43</v>
      </c>
      <c r="G245" s="31"/>
    </row>
    <row r="246" spans="1:7" x14ac:dyDescent="0.25">
      <c r="A246" s="36">
        <v>40058</v>
      </c>
      <c r="B246" s="6">
        <v>49.68</v>
      </c>
      <c r="C246" s="6">
        <v>32.17</v>
      </c>
      <c r="D246" s="6">
        <v>14.32</v>
      </c>
      <c r="E246" s="6">
        <v>9.43</v>
      </c>
      <c r="G246" s="31"/>
    </row>
    <row r="247" spans="1:7" x14ac:dyDescent="0.25">
      <c r="A247" s="36">
        <v>40059</v>
      </c>
      <c r="B247" s="6">
        <v>49.62</v>
      </c>
      <c r="C247" s="6">
        <v>32.11</v>
      </c>
      <c r="D247" s="6">
        <v>14.32</v>
      </c>
      <c r="E247" s="6">
        <v>9.41</v>
      </c>
      <c r="G247" s="31"/>
    </row>
    <row r="248" spans="1:7" x14ac:dyDescent="0.25">
      <c r="A248" s="36">
        <v>40060</v>
      </c>
      <c r="B248" s="6">
        <v>49.54</v>
      </c>
      <c r="C248" s="6">
        <v>32.07</v>
      </c>
      <c r="D248" s="6">
        <v>14.24</v>
      </c>
      <c r="E248" s="6">
        <v>9.36</v>
      </c>
      <c r="G248" s="31"/>
    </row>
    <row r="249" spans="1:7" x14ac:dyDescent="0.25">
      <c r="A249" s="36">
        <v>40061</v>
      </c>
      <c r="B249" s="6">
        <v>49.5</v>
      </c>
      <c r="C249" s="6">
        <v>32.020000000000003</v>
      </c>
      <c r="D249" s="6">
        <v>14.2</v>
      </c>
      <c r="E249" s="6">
        <v>9.33</v>
      </c>
      <c r="G249" s="31"/>
    </row>
    <row r="250" spans="1:7" x14ac:dyDescent="0.25">
      <c r="A250" s="36">
        <v>40062</v>
      </c>
      <c r="B250" s="6">
        <v>49.44</v>
      </c>
      <c r="C250" s="6">
        <v>31.98</v>
      </c>
      <c r="D250" s="6">
        <v>14.14</v>
      </c>
      <c r="E250" s="6">
        <v>9.31</v>
      </c>
      <c r="G250" s="31"/>
    </row>
    <row r="251" spans="1:7" x14ac:dyDescent="0.25">
      <c r="A251" s="36">
        <v>40063</v>
      </c>
      <c r="B251" s="6">
        <v>49.38</v>
      </c>
      <c r="C251" s="6">
        <v>31.99</v>
      </c>
      <c r="D251" s="6">
        <v>14.16</v>
      </c>
      <c r="E251" s="6">
        <v>9.24</v>
      </c>
      <c r="G251" s="31"/>
    </row>
    <row r="252" spans="1:7" x14ac:dyDescent="0.25">
      <c r="A252" s="36">
        <v>40064</v>
      </c>
      <c r="B252" s="6">
        <v>49.33</v>
      </c>
      <c r="C252" s="6">
        <v>31.87</v>
      </c>
      <c r="D252" s="6">
        <v>14.06</v>
      </c>
      <c r="E252" s="6">
        <v>9.24</v>
      </c>
      <c r="G252" s="31"/>
    </row>
    <row r="253" spans="1:7" x14ac:dyDescent="0.25">
      <c r="A253" s="36">
        <v>40065</v>
      </c>
      <c r="B253" s="6">
        <v>49.22</v>
      </c>
      <c r="C253" s="6">
        <v>31.83</v>
      </c>
      <c r="D253" s="6">
        <v>14</v>
      </c>
      <c r="E253" s="6">
        <v>9.16</v>
      </c>
      <c r="G253" s="31"/>
    </row>
    <row r="254" spans="1:7" x14ac:dyDescent="0.25">
      <c r="A254" s="36">
        <v>40066</v>
      </c>
      <c r="B254" s="6">
        <v>49.14</v>
      </c>
      <c r="C254" s="6">
        <v>31.78</v>
      </c>
      <c r="D254" s="6">
        <v>13.92</v>
      </c>
      <c r="E254" s="6">
        <v>9.14</v>
      </c>
      <c r="G254" s="31"/>
    </row>
    <row r="255" spans="1:7" x14ac:dyDescent="0.25">
      <c r="A255" s="36">
        <v>40067</v>
      </c>
      <c r="B255" s="6">
        <v>49</v>
      </c>
      <c r="C255" s="6">
        <v>31.72</v>
      </c>
      <c r="D255" s="6">
        <v>13.86</v>
      </c>
      <c r="E255" s="6">
        <v>9.11</v>
      </c>
      <c r="G255" s="31"/>
    </row>
    <row r="256" spans="1:7" x14ac:dyDescent="0.25">
      <c r="A256" s="36">
        <v>40068</v>
      </c>
      <c r="B256" s="6">
        <v>48.8</v>
      </c>
      <c r="C256" s="6">
        <v>31.66</v>
      </c>
      <c r="D256" s="6">
        <v>13.8</v>
      </c>
      <c r="E256" s="6">
        <v>9.07</v>
      </c>
      <c r="G256" s="31"/>
    </row>
    <row r="257" spans="1:7" x14ac:dyDescent="0.25">
      <c r="A257" s="36">
        <v>40069</v>
      </c>
      <c r="B257" s="6">
        <v>48.84</v>
      </c>
      <c r="C257" s="6">
        <v>31.62</v>
      </c>
      <c r="D257" s="6">
        <v>13.72</v>
      </c>
      <c r="E257" s="6">
        <v>9.0500000000000007</v>
      </c>
      <c r="G257" s="31"/>
    </row>
    <row r="258" spans="1:7" x14ac:dyDescent="0.25">
      <c r="A258" s="36">
        <v>40070</v>
      </c>
      <c r="B258" s="6">
        <v>48.74</v>
      </c>
      <c r="C258" s="6">
        <v>31.56</v>
      </c>
      <c r="D258" s="6">
        <v>13.62</v>
      </c>
      <c r="E258" s="6">
        <v>8.9</v>
      </c>
      <c r="G258" s="31"/>
    </row>
    <row r="259" spans="1:7" x14ac:dyDescent="0.25">
      <c r="A259" s="36">
        <v>40071</v>
      </c>
      <c r="B259" s="6">
        <v>48.63</v>
      </c>
      <c r="C259" s="6">
        <v>31.48</v>
      </c>
      <c r="D259" s="6">
        <v>13.62</v>
      </c>
      <c r="E259" s="6">
        <v>8.9</v>
      </c>
      <c r="G259" s="31"/>
    </row>
    <row r="260" spans="1:7" x14ac:dyDescent="0.25">
      <c r="A260" s="36">
        <v>40072</v>
      </c>
      <c r="B260" s="6">
        <v>48.52</v>
      </c>
      <c r="C260" s="6">
        <v>31.41</v>
      </c>
      <c r="D260" s="6">
        <v>13.58</v>
      </c>
      <c r="E260" s="6">
        <v>8.84</v>
      </c>
      <c r="G260" s="31"/>
    </row>
    <row r="261" spans="1:7" x14ac:dyDescent="0.25">
      <c r="A261" s="36">
        <v>40073</v>
      </c>
      <c r="B261" s="6">
        <v>48.43</v>
      </c>
      <c r="C261" s="6">
        <v>31.32</v>
      </c>
      <c r="D261" s="6">
        <v>13.58</v>
      </c>
      <c r="E261" s="6">
        <v>8.81</v>
      </c>
      <c r="G261" s="31"/>
    </row>
    <row r="262" spans="1:7" x14ac:dyDescent="0.25">
      <c r="A262" s="36">
        <v>40074</v>
      </c>
      <c r="B262" s="6">
        <v>48.35</v>
      </c>
      <c r="C262" s="6">
        <v>31.27</v>
      </c>
      <c r="D262" s="6">
        <v>13.56</v>
      </c>
      <c r="E262" s="6">
        <v>8.66</v>
      </c>
      <c r="G262" s="31"/>
    </row>
    <row r="263" spans="1:7" x14ac:dyDescent="0.25">
      <c r="A263" s="36">
        <v>40075</v>
      </c>
      <c r="B263" s="6">
        <v>48.29</v>
      </c>
      <c r="C263" s="6">
        <v>31.19</v>
      </c>
      <c r="D263" s="6">
        <v>13.56</v>
      </c>
      <c r="E263" s="6">
        <v>8.66</v>
      </c>
      <c r="G263" s="31"/>
    </row>
    <row r="264" spans="1:7" x14ac:dyDescent="0.25">
      <c r="A264" s="36">
        <v>40076</v>
      </c>
      <c r="B264" s="6">
        <v>48.18</v>
      </c>
      <c r="C264" s="6">
        <v>31.11</v>
      </c>
      <c r="D264" s="6">
        <v>13.56</v>
      </c>
      <c r="E264" s="6">
        <v>8.66</v>
      </c>
      <c r="G264" s="31"/>
    </row>
    <row r="265" spans="1:7" x14ac:dyDescent="0.25">
      <c r="A265" s="36">
        <v>40077</v>
      </c>
      <c r="B265" s="6">
        <v>48.12</v>
      </c>
      <c r="C265" s="6">
        <v>31.03</v>
      </c>
      <c r="D265" s="6">
        <v>13.54</v>
      </c>
      <c r="E265" s="6">
        <v>8.6300000000000008</v>
      </c>
      <c r="G265" s="31"/>
    </row>
    <row r="266" spans="1:7" x14ac:dyDescent="0.25">
      <c r="A266" s="36">
        <v>40078</v>
      </c>
      <c r="B266" s="6">
        <v>48.04</v>
      </c>
      <c r="C266" s="6">
        <v>30.95</v>
      </c>
      <c r="D266" s="6">
        <v>13.4</v>
      </c>
      <c r="E266" s="6">
        <v>8.6</v>
      </c>
      <c r="G266" s="31"/>
    </row>
    <row r="267" spans="1:7" x14ac:dyDescent="0.25">
      <c r="A267" s="36">
        <v>40079</v>
      </c>
      <c r="B267" s="6">
        <v>47.98</v>
      </c>
      <c r="C267" s="6">
        <v>30.87</v>
      </c>
      <c r="D267" s="6">
        <v>13.3</v>
      </c>
      <c r="E267" s="6">
        <v>8.57</v>
      </c>
      <c r="G267" s="31"/>
    </row>
    <row r="268" spans="1:7" x14ac:dyDescent="0.25">
      <c r="A268" s="36">
        <v>40080</v>
      </c>
      <c r="B268" s="6">
        <v>47.89</v>
      </c>
      <c r="C268" s="6">
        <v>30.78</v>
      </c>
      <c r="D268" s="6">
        <v>13.2</v>
      </c>
      <c r="E268" s="6">
        <v>8.4499999999999993</v>
      </c>
      <c r="G268" s="31"/>
    </row>
    <row r="269" spans="1:7" x14ac:dyDescent="0.25">
      <c r="A269" s="36">
        <v>40081</v>
      </c>
      <c r="B269" s="6">
        <v>47.8</v>
      </c>
      <c r="C269" s="6">
        <v>30.7</v>
      </c>
      <c r="D269" s="6">
        <v>13.08</v>
      </c>
      <c r="E269" s="6">
        <v>8.3699999999999992</v>
      </c>
      <c r="G269" s="31"/>
    </row>
    <row r="270" spans="1:7" x14ac:dyDescent="0.25">
      <c r="A270" s="36">
        <v>40082</v>
      </c>
      <c r="B270" s="6">
        <v>47.67</v>
      </c>
      <c r="C270" s="6">
        <v>30.6</v>
      </c>
      <c r="D270" s="6">
        <v>12.92</v>
      </c>
      <c r="E270" s="6">
        <v>8.33</v>
      </c>
      <c r="G270" s="31"/>
    </row>
    <row r="271" spans="1:7" x14ac:dyDescent="0.25">
      <c r="A271" s="36">
        <v>40083</v>
      </c>
      <c r="B271" s="6">
        <v>47.56</v>
      </c>
      <c r="C271" s="6">
        <v>30.5</v>
      </c>
      <c r="D271" s="6">
        <v>12.8</v>
      </c>
      <c r="E271" s="6">
        <v>8.31</v>
      </c>
      <c r="G271" s="31"/>
    </row>
    <row r="272" spans="1:7" x14ac:dyDescent="0.25">
      <c r="A272" s="36">
        <v>40084</v>
      </c>
      <c r="B272" s="6">
        <v>47.42</v>
      </c>
      <c r="C272" s="6">
        <v>30.38</v>
      </c>
      <c r="D272" s="6">
        <v>12.64</v>
      </c>
      <c r="E272" s="6">
        <v>8.01</v>
      </c>
      <c r="G272" s="31"/>
    </row>
    <row r="273" spans="1:7" x14ac:dyDescent="0.25">
      <c r="A273" s="36">
        <v>40085</v>
      </c>
      <c r="B273" s="6">
        <v>47.3</v>
      </c>
      <c r="C273" s="6">
        <v>30.28</v>
      </c>
      <c r="D273" s="6">
        <v>12.58</v>
      </c>
      <c r="E273" s="6">
        <v>7.92</v>
      </c>
      <c r="G273" s="31"/>
    </row>
    <row r="274" spans="1:7" x14ac:dyDescent="0.25">
      <c r="A274" s="36">
        <v>40086</v>
      </c>
      <c r="B274" s="6">
        <v>47.18</v>
      </c>
      <c r="C274" s="6">
        <v>30.17</v>
      </c>
      <c r="D274" s="6">
        <v>12.38</v>
      </c>
      <c r="E274" s="6">
        <v>7.81</v>
      </c>
      <c r="G274" s="31"/>
    </row>
    <row r="275" spans="1:7" x14ac:dyDescent="0.25">
      <c r="A275" s="36">
        <v>40087</v>
      </c>
      <c r="B275" s="6">
        <v>47.01</v>
      </c>
      <c r="C275" s="6">
        <v>30.06</v>
      </c>
      <c r="D275" s="6">
        <v>12.2</v>
      </c>
      <c r="E275" s="6">
        <v>7.72</v>
      </c>
      <c r="G275" s="31"/>
    </row>
    <row r="276" spans="1:7" x14ac:dyDescent="0.25">
      <c r="A276" s="36">
        <v>40088</v>
      </c>
      <c r="B276" s="6">
        <v>46.9</v>
      </c>
      <c r="C276" s="6">
        <v>29.91</v>
      </c>
      <c r="D276" s="6">
        <v>12.16</v>
      </c>
      <c r="E276" s="6">
        <v>7.62</v>
      </c>
      <c r="G276" s="31"/>
    </row>
    <row r="277" spans="1:7" x14ac:dyDescent="0.25">
      <c r="A277" s="36">
        <v>40089</v>
      </c>
      <c r="B277" s="6">
        <v>46.82</v>
      </c>
      <c r="C277" s="6">
        <v>29.78</v>
      </c>
      <c r="D277" s="6">
        <v>12.02</v>
      </c>
      <c r="E277" s="6">
        <v>7.59</v>
      </c>
      <c r="G277" s="31"/>
    </row>
    <row r="278" spans="1:7" x14ac:dyDescent="0.25">
      <c r="A278" s="36">
        <v>40090</v>
      </c>
      <c r="B278" s="6">
        <v>46.7</v>
      </c>
      <c r="C278" s="6">
        <v>29.68</v>
      </c>
      <c r="D278" s="6">
        <v>11.9</v>
      </c>
      <c r="E278" s="6">
        <v>7.53</v>
      </c>
      <c r="G278" s="31"/>
    </row>
    <row r="279" spans="1:7" x14ac:dyDescent="0.25">
      <c r="A279" s="36">
        <v>40091</v>
      </c>
      <c r="B279" s="6">
        <v>46.62</v>
      </c>
      <c r="C279" s="6">
        <v>29.54</v>
      </c>
      <c r="D279" s="6">
        <v>11.76</v>
      </c>
      <c r="E279" s="6">
        <v>7.3</v>
      </c>
      <c r="G279" s="31"/>
    </row>
    <row r="280" spans="1:7" x14ac:dyDescent="0.25">
      <c r="A280" s="36">
        <v>40092</v>
      </c>
      <c r="B280" s="6">
        <v>46.54</v>
      </c>
      <c r="C280" s="6">
        <v>29.41</v>
      </c>
      <c r="D280" s="6">
        <v>11.64</v>
      </c>
      <c r="E280" s="6">
        <v>7.21</v>
      </c>
      <c r="G280" s="31"/>
    </row>
    <row r="281" spans="1:7" x14ac:dyDescent="0.25">
      <c r="A281" s="36">
        <v>40093</v>
      </c>
      <c r="B281" s="6">
        <v>46.51</v>
      </c>
      <c r="C281" s="6">
        <v>29.3</v>
      </c>
      <c r="D281" s="6">
        <v>11.54</v>
      </c>
      <c r="E281" s="6">
        <v>7.1</v>
      </c>
      <c r="G281" s="31"/>
    </row>
    <row r="282" spans="1:7" x14ac:dyDescent="0.25">
      <c r="A282" s="36">
        <v>40094</v>
      </c>
      <c r="B282" s="6">
        <v>46.47</v>
      </c>
      <c r="C282" s="6">
        <v>29.17</v>
      </c>
      <c r="D282" s="6">
        <v>11.4</v>
      </c>
      <c r="E282" s="6">
        <v>7.03</v>
      </c>
      <c r="G282" s="31"/>
    </row>
    <row r="283" spans="1:7" x14ac:dyDescent="0.25">
      <c r="A283" s="36">
        <v>40095</v>
      </c>
      <c r="B283" s="6">
        <v>46.44</v>
      </c>
      <c r="C283" s="6">
        <v>29.08</v>
      </c>
      <c r="D283" s="6">
        <v>11.3</v>
      </c>
      <c r="E283" s="6">
        <v>6.98</v>
      </c>
      <c r="G283" s="31"/>
    </row>
    <row r="284" spans="1:7" x14ac:dyDescent="0.25">
      <c r="A284" s="36">
        <v>40096</v>
      </c>
      <c r="B284" s="6">
        <v>46.45</v>
      </c>
      <c r="C284" s="6">
        <v>29</v>
      </c>
      <c r="D284" s="6">
        <v>11.16</v>
      </c>
      <c r="E284" s="6">
        <v>6.85</v>
      </c>
      <c r="G284" s="31"/>
    </row>
    <row r="285" spans="1:7" x14ac:dyDescent="0.25">
      <c r="A285" s="36">
        <v>40097</v>
      </c>
      <c r="B285" s="6">
        <v>46.44</v>
      </c>
      <c r="C285" s="6">
        <v>29</v>
      </c>
      <c r="D285" s="6">
        <v>11.02</v>
      </c>
      <c r="E285" s="6">
        <v>6.75</v>
      </c>
      <c r="G285" s="31"/>
    </row>
    <row r="286" spans="1:7" x14ac:dyDescent="0.25">
      <c r="A286" s="36">
        <v>40098</v>
      </c>
      <c r="B286" s="6">
        <v>46.4</v>
      </c>
      <c r="C286" s="6">
        <v>28.99</v>
      </c>
      <c r="D286" s="6">
        <v>10.88</v>
      </c>
      <c r="E286" s="6">
        <v>6.58</v>
      </c>
      <c r="G286" s="31"/>
    </row>
    <row r="287" spans="1:7" x14ac:dyDescent="0.25">
      <c r="A287" s="36">
        <v>40099</v>
      </c>
      <c r="B287" s="6">
        <v>46.34</v>
      </c>
      <c r="C287" s="6">
        <v>28.97</v>
      </c>
      <c r="D287" s="6">
        <v>10.72</v>
      </c>
      <c r="E287" s="6">
        <v>6.53</v>
      </c>
      <c r="G287" s="31"/>
    </row>
    <row r="288" spans="1:7" x14ac:dyDescent="0.25">
      <c r="A288" s="36">
        <v>40100</v>
      </c>
      <c r="B288" s="6">
        <v>46.29</v>
      </c>
      <c r="C288" s="6">
        <v>28.9</v>
      </c>
      <c r="D288" s="6">
        <v>10.72</v>
      </c>
      <c r="E288" s="6">
        <v>6.49</v>
      </c>
      <c r="G288" s="31"/>
    </row>
    <row r="289" spans="1:7" x14ac:dyDescent="0.25">
      <c r="A289" s="36">
        <v>40101</v>
      </c>
      <c r="B289" s="6">
        <v>46.28</v>
      </c>
      <c r="C289" s="6">
        <v>28.82</v>
      </c>
      <c r="D289" s="6">
        <v>10.68</v>
      </c>
      <c r="E289" s="6">
        <v>6.41</v>
      </c>
      <c r="G289" s="31"/>
    </row>
    <row r="290" spans="1:7" x14ac:dyDescent="0.25">
      <c r="A290" s="36">
        <v>40102</v>
      </c>
      <c r="B290" s="6">
        <v>46.27</v>
      </c>
      <c r="C290" s="6">
        <v>28.74</v>
      </c>
      <c r="D290" s="6">
        <v>10.62</v>
      </c>
      <c r="E290" s="6">
        <v>6.34</v>
      </c>
      <c r="G290" s="31"/>
    </row>
    <row r="291" spans="1:7" x14ac:dyDescent="0.25">
      <c r="A291" s="36">
        <v>40103</v>
      </c>
      <c r="B291" s="6">
        <v>46.27</v>
      </c>
      <c r="C291" s="6">
        <v>28.68</v>
      </c>
      <c r="D291" s="6">
        <v>10.54</v>
      </c>
      <c r="E291" s="6">
        <v>6.31</v>
      </c>
      <c r="G291" s="31"/>
    </row>
    <row r="292" spans="1:7" x14ac:dyDescent="0.25">
      <c r="A292" s="36">
        <v>40104</v>
      </c>
      <c r="B292" s="6">
        <v>46.28</v>
      </c>
      <c r="C292" s="6">
        <v>28.6</v>
      </c>
      <c r="D292" s="6">
        <v>10.48</v>
      </c>
      <c r="E292" s="6">
        <v>6.3</v>
      </c>
      <c r="G292" s="31"/>
    </row>
    <row r="293" spans="1:7" x14ac:dyDescent="0.25">
      <c r="A293" s="36">
        <v>40105</v>
      </c>
      <c r="B293" s="6">
        <v>46.27</v>
      </c>
      <c r="C293" s="6">
        <v>28.5</v>
      </c>
      <c r="D293" s="6">
        <v>10.199999999999999</v>
      </c>
      <c r="E293" s="6">
        <v>6.13</v>
      </c>
      <c r="G293" s="31"/>
    </row>
    <row r="294" spans="1:7" x14ac:dyDescent="0.25">
      <c r="A294" s="36">
        <v>40106</v>
      </c>
      <c r="B294" s="6">
        <v>46.2</v>
      </c>
      <c r="C294" s="6">
        <v>28.45</v>
      </c>
      <c r="D294" s="6">
        <v>10.18</v>
      </c>
      <c r="E294" s="6">
        <v>6.05</v>
      </c>
      <c r="G294" s="31"/>
    </row>
    <row r="295" spans="1:7" x14ac:dyDescent="0.25">
      <c r="A295" s="36">
        <v>40107</v>
      </c>
      <c r="B295" s="6">
        <v>46.18</v>
      </c>
      <c r="C295" s="6">
        <v>28.4</v>
      </c>
      <c r="D295" s="6">
        <v>10.039999999999999</v>
      </c>
      <c r="E295" s="6">
        <v>6.05</v>
      </c>
      <c r="G295" s="31"/>
    </row>
    <row r="296" spans="1:7" x14ac:dyDescent="0.25">
      <c r="A296" s="36">
        <v>40108</v>
      </c>
      <c r="B296" s="6">
        <v>46.14</v>
      </c>
      <c r="C296" s="6">
        <v>28.35</v>
      </c>
      <c r="D296" s="6">
        <v>10.14</v>
      </c>
      <c r="E296" s="6">
        <v>5.98</v>
      </c>
      <c r="G296" s="31"/>
    </row>
    <row r="297" spans="1:7" x14ac:dyDescent="0.25">
      <c r="A297" s="36">
        <v>40109</v>
      </c>
      <c r="B297" s="6">
        <v>46.09</v>
      </c>
      <c r="C297" s="6">
        <v>28.31</v>
      </c>
      <c r="D297" s="6">
        <v>10.039999999999999</v>
      </c>
      <c r="E297" s="6">
        <v>5.91</v>
      </c>
      <c r="G297" s="31"/>
    </row>
    <row r="298" spans="1:7" x14ac:dyDescent="0.25">
      <c r="A298" s="36">
        <v>40110</v>
      </c>
      <c r="B298" s="6">
        <v>46.03</v>
      </c>
      <c r="C298" s="6">
        <v>28.3</v>
      </c>
      <c r="D298" s="6">
        <v>10</v>
      </c>
      <c r="E298" s="6">
        <v>5.83</v>
      </c>
      <c r="G298" s="31"/>
    </row>
    <row r="299" spans="1:7" x14ac:dyDescent="0.25">
      <c r="A299" s="36">
        <v>40111</v>
      </c>
      <c r="B299" s="6">
        <v>45.94</v>
      </c>
      <c r="C299" s="6">
        <v>28.27</v>
      </c>
      <c r="D299" s="6">
        <v>9.92</v>
      </c>
      <c r="E299" s="6">
        <v>5.76</v>
      </c>
      <c r="G299" s="31"/>
    </row>
    <row r="300" spans="1:7" x14ac:dyDescent="0.25">
      <c r="A300" s="36">
        <v>40112</v>
      </c>
      <c r="B300" s="6">
        <v>45.84</v>
      </c>
      <c r="C300" s="6">
        <v>28.2</v>
      </c>
      <c r="D300" s="6">
        <v>9.9</v>
      </c>
      <c r="E300" s="6">
        <v>5.73</v>
      </c>
      <c r="G300" s="31"/>
    </row>
    <row r="301" spans="1:7" x14ac:dyDescent="0.25">
      <c r="A301" s="36">
        <v>40113</v>
      </c>
      <c r="B301" s="6">
        <v>45.73</v>
      </c>
      <c r="C301" s="6">
        <v>28.09</v>
      </c>
      <c r="D301" s="6">
        <v>9.8000000000000007</v>
      </c>
      <c r="E301" s="6">
        <v>5.69</v>
      </c>
      <c r="G301" s="31"/>
    </row>
    <row r="302" spans="1:7" x14ac:dyDescent="0.25">
      <c r="A302" s="36">
        <v>40114</v>
      </c>
      <c r="B302" s="6">
        <v>45.59</v>
      </c>
      <c r="C302" s="6">
        <v>27.97</v>
      </c>
      <c r="D302" s="6">
        <v>9.76</v>
      </c>
      <c r="E302" s="6">
        <v>5.69</v>
      </c>
      <c r="G302" s="31"/>
    </row>
    <row r="303" spans="1:7" x14ac:dyDescent="0.25">
      <c r="A303" s="36">
        <v>40115</v>
      </c>
      <c r="B303" s="6">
        <v>45.48</v>
      </c>
      <c r="C303" s="6">
        <v>27.88</v>
      </c>
      <c r="D303" s="6">
        <v>9.76</v>
      </c>
      <c r="E303" s="6">
        <v>5.68</v>
      </c>
      <c r="G303" s="31"/>
    </row>
    <row r="304" spans="1:7" x14ac:dyDescent="0.25">
      <c r="A304" s="36">
        <v>40116</v>
      </c>
      <c r="B304" s="6">
        <v>45.34</v>
      </c>
      <c r="C304" s="6">
        <v>27.75</v>
      </c>
      <c r="D304" s="6">
        <v>9.9</v>
      </c>
      <c r="E304" s="6">
        <v>5.63</v>
      </c>
      <c r="G304" s="31"/>
    </row>
    <row r="305" spans="1:7" x14ac:dyDescent="0.25">
      <c r="A305" s="36">
        <v>40117</v>
      </c>
      <c r="B305" s="6">
        <v>45.24</v>
      </c>
      <c r="C305" s="6">
        <v>27.65</v>
      </c>
      <c r="D305" s="6">
        <v>9.5</v>
      </c>
      <c r="E305" s="6">
        <v>5.63</v>
      </c>
      <c r="G305" s="31"/>
    </row>
    <row r="306" spans="1:7" x14ac:dyDescent="0.25">
      <c r="A306" s="36">
        <v>40118</v>
      </c>
      <c r="B306" s="6">
        <v>45.21</v>
      </c>
      <c r="C306" s="6">
        <v>27.58</v>
      </c>
      <c r="D306" s="6">
        <v>9.42</v>
      </c>
      <c r="E306" s="6">
        <v>5.45</v>
      </c>
      <c r="G306" s="31"/>
    </row>
    <row r="307" spans="1:7" x14ac:dyDescent="0.25">
      <c r="A307" s="36">
        <v>40119</v>
      </c>
      <c r="B307" s="6">
        <v>45.08</v>
      </c>
      <c r="C307" s="6">
        <v>27.54</v>
      </c>
      <c r="D307" s="6">
        <v>9.36</v>
      </c>
      <c r="E307" s="6">
        <v>5.43</v>
      </c>
      <c r="G307" s="31"/>
    </row>
    <row r="308" spans="1:7" x14ac:dyDescent="0.25">
      <c r="A308" s="36">
        <v>40120</v>
      </c>
      <c r="B308" s="6">
        <v>44.94</v>
      </c>
      <c r="C308" s="6">
        <v>27.53</v>
      </c>
      <c r="D308" s="6">
        <v>9.14</v>
      </c>
      <c r="E308" s="6">
        <v>5.36</v>
      </c>
      <c r="G308" s="31"/>
    </row>
    <row r="309" spans="1:7" x14ac:dyDescent="0.25">
      <c r="A309" s="36">
        <v>40121</v>
      </c>
      <c r="B309" s="6">
        <v>44.84</v>
      </c>
      <c r="C309" s="6">
        <v>27.43</v>
      </c>
      <c r="D309" s="6">
        <v>9.1199999999999992</v>
      </c>
      <c r="E309" s="6">
        <v>5.35</v>
      </c>
      <c r="G309" s="31"/>
    </row>
    <row r="310" spans="1:7" x14ac:dyDescent="0.25">
      <c r="A310" s="36">
        <v>40122</v>
      </c>
      <c r="B310" s="6">
        <v>44.78</v>
      </c>
      <c r="C310" s="6">
        <v>27.3</v>
      </c>
      <c r="D310" s="6">
        <v>9.1</v>
      </c>
      <c r="E310" s="6">
        <v>5.28</v>
      </c>
      <c r="G310" s="31"/>
    </row>
    <row r="311" spans="1:7" x14ac:dyDescent="0.25">
      <c r="A311" s="36">
        <v>40123</v>
      </c>
      <c r="B311" s="6">
        <v>44.72</v>
      </c>
      <c r="C311" s="6">
        <v>27.15</v>
      </c>
      <c r="D311" s="6">
        <v>9.08</v>
      </c>
      <c r="E311" s="6">
        <v>5.28</v>
      </c>
      <c r="G311" s="31"/>
    </row>
    <row r="312" spans="1:7" x14ac:dyDescent="0.25">
      <c r="A312" s="36">
        <v>40124</v>
      </c>
      <c r="B312" s="6">
        <v>44.64</v>
      </c>
      <c r="C312" s="6">
        <v>26.96</v>
      </c>
      <c r="D312" s="6">
        <v>9.06</v>
      </c>
      <c r="E312" s="6">
        <v>5.31</v>
      </c>
      <c r="G312" s="31"/>
    </row>
    <row r="313" spans="1:7" x14ac:dyDescent="0.25">
      <c r="A313" s="36">
        <v>40125</v>
      </c>
      <c r="B313" s="6">
        <v>44.62</v>
      </c>
      <c r="C313" s="6">
        <v>26.85</v>
      </c>
      <c r="D313" s="6">
        <v>9.02</v>
      </c>
      <c r="E313" s="6">
        <v>5.23</v>
      </c>
      <c r="G313" s="31"/>
    </row>
    <row r="314" spans="1:7" x14ac:dyDescent="0.25">
      <c r="A314" s="36">
        <v>40126</v>
      </c>
      <c r="B314" s="6">
        <v>44.56</v>
      </c>
      <c r="C314" s="6">
        <v>26.75</v>
      </c>
      <c r="D314" s="6">
        <v>8.92</v>
      </c>
      <c r="E314" s="6">
        <v>5.08</v>
      </c>
      <c r="G314" s="31"/>
    </row>
    <row r="315" spans="1:7" x14ac:dyDescent="0.25">
      <c r="A315" s="36">
        <v>40127</v>
      </c>
      <c r="B315" s="6">
        <v>44.52</v>
      </c>
      <c r="C315" s="6">
        <v>26.64</v>
      </c>
      <c r="D315" s="6">
        <v>8.8800000000000008</v>
      </c>
      <c r="E315" s="6">
        <v>4.9800000000000004</v>
      </c>
      <c r="G315" s="31"/>
    </row>
    <row r="316" spans="1:7" x14ac:dyDescent="0.25">
      <c r="A316" s="36">
        <v>40128</v>
      </c>
      <c r="B316" s="6">
        <v>44.48</v>
      </c>
      <c r="C316" s="6">
        <v>26.53</v>
      </c>
      <c r="D316" s="6">
        <v>8.76</v>
      </c>
      <c r="E316" s="6">
        <v>4.87</v>
      </c>
      <c r="G316" s="31"/>
    </row>
    <row r="317" spans="1:7" x14ac:dyDescent="0.25">
      <c r="A317" s="36">
        <v>40129</v>
      </c>
      <c r="B317" s="6">
        <v>44.4</v>
      </c>
      <c r="C317" s="6">
        <v>26.42</v>
      </c>
      <c r="D317" s="6">
        <v>8.58</v>
      </c>
      <c r="E317" s="6">
        <v>4.75</v>
      </c>
      <c r="G317" s="31"/>
    </row>
    <row r="318" spans="1:7" x14ac:dyDescent="0.25">
      <c r="A318" s="36">
        <v>40130</v>
      </c>
      <c r="B318" s="6">
        <v>44.3</v>
      </c>
      <c r="C318" s="6">
        <v>26.32</v>
      </c>
      <c r="D318" s="6">
        <v>8.35</v>
      </c>
      <c r="E318" s="6">
        <v>4.6500000000000004</v>
      </c>
      <c r="G318" s="31"/>
    </row>
    <row r="319" spans="1:7" x14ac:dyDescent="0.25">
      <c r="A319" s="36">
        <v>40131</v>
      </c>
      <c r="B319" s="6">
        <v>44.25</v>
      </c>
      <c r="C319" s="6">
        <v>26.2</v>
      </c>
      <c r="D319" s="6">
        <v>8.15</v>
      </c>
      <c r="E319" s="6">
        <v>4.51</v>
      </c>
      <c r="G319" s="31"/>
    </row>
    <row r="320" spans="1:7" x14ac:dyDescent="0.25">
      <c r="A320" s="36">
        <v>40132</v>
      </c>
      <c r="B320" s="6">
        <v>44.1</v>
      </c>
      <c r="C320" s="6">
        <v>26.1</v>
      </c>
      <c r="D320" s="6">
        <v>8</v>
      </c>
      <c r="E320" s="6">
        <v>4.47</v>
      </c>
      <c r="G320" s="31"/>
    </row>
    <row r="321" spans="1:7" x14ac:dyDescent="0.25">
      <c r="A321" s="36">
        <v>40133</v>
      </c>
      <c r="B321" s="6">
        <v>44.03</v>
      </c>
      <c r="C321" s="6">
        <v>25.99</v>
      </c>
      <c r="D321" s="6">
        <v>7.9</v>
      </c>
      <c r="E321" s="6">
        <v>4.3099999999999996</v>
      </c>
      <c r="G321" s="31"/>
    </row>
    <row r="322" spans="1:7" x14ac:dyDescent="0.25">
      <c r="A322" s="36">
        <v>40134</v>
      </c>
      <c r="B322" s="6">
        <v>43.97</v>
      </c>
      <c r="C322" s="6">
        <v>25.9</v>
      </c>
      <c r="D322" s="6">
        <v>7.9</v>
      </c>
      <c r="E322" s="6">
        <v>4.28</v>
      </c>
      <c r="G322" s="31"/>
    </row>
    <row r="323" spans="1:7" x14ac:dyDescent="0.25">
      <c r="A323" s="36">
        <v>40135</v>
      </c>
      <c r="B323" s="6">
        <v>43.92</v>
      </c>
      <c r="C323" s="6">
        <v>25.8</v>
      </c>
      <c r="D323" s="6">
        <v>7.8</v>
      </c>
      <c r="E323" s="6">
        <v>4.26</v>
      </c>
      <c r="G323" s="31"/>
    </row>
    <row r="324" spans="1:7" x14ac:dyDescent="0.25">
      <c r="A324" s="36">
        <v>40136</v>
      </c>
      <c r="B324" s="6">
        <v>43.85</v>
      </c>
      <c r="C324" s="6">
        <v>25.7</v>
      </c>
      <c r="D324" s="6">
        <v>7.74</v>
      </c>
      <c r="E324" s="6">
        <v>4.2</v>
      </c>
      <c r="G324" s="31"/>
    </row>
    <row r="325" spans="1:7" x14ac:dyDescent="0.25">
      <c r="A325" s="36">
        <v>40137</v>
      </c>
      <c r="B325" s="6">
        <v>43.76</v>
      </c>
      <c r="C325" s="6">
        <v>25.64</v>
      </c>
      <c r="D325" s="6">
        <v>7.54</v>
      </c>
      <c r="E325" s="6">
        <v>4.1900000000000004</v>
      </c>
      <c r="G325" s="31"/>
    </row>
    <row r="326" spans="1:7" x14ac:dyDescent="0.25">
      <c r="A326" s="36">
        <v>40138</v>
      </c>
      <c r="B326" s="6">
        <v>43.68</v>
      </c>
      <c r="C326" s="6">
        <v>25.62</v>
      </c>
      <c r="D326" s="6">
        <v>7.48</v>
      </c>
      <c r="E326" s="6">
        <v>4.17</v>
      </c>
      <c r="G326" s="31"/>
    </row>
    <row r="327" spans="1:7" x14ac:dyDescent="0.25">
      <c r="A327" s="36">
        <v>40139</v>
      </c>
      <c r="B327" s="6">
        <v>43.58</v>
      </c>
      <c r="C327" s="6">
        <v>25.6</v>
      </c>
      <c r="D327" s="6">
        <v>7.38</v>
      </c>
      <c r="E327" s="6">
        <v>4.13</v>
      </c>
      <c r="G327" s="31"/>
    </row>
    <row r="328" spans="1:7" x14ac:dyDescent="0.25">
      <c r="A328" s="36">
        <v>40140</v>
      </c>
      <c r="B328" s="6">
        <v>43.5</v>
      </c>
      <c r="C328" s="6">
        <v>25.58</v>
      </c>
      <c r="D328" s="6">
        <v>7.28</v>
      </c>
      <c r="E328" s="6">
        <v>3.98</v>
      </c>
      <c r="G328" s="31"/>
    </row>
    <row r="329" spans="1:7" x14ac:dyDescent="0.25">
      <c r="A329" s="36">
        <v>40141</v>
      </c>
      <c r="B329" s="6">
        <v>43.42</v>
      </c>
      <c r="C329" s="6">
        <v>25.52</v>
      </c>
      <c r="D329" s="6">
        <v>7.16</v>
      </c>
      <c r="E329" s="6">
        <v>3.85</v>
      </c>
      <c r="G329" s="31"/>
    </row>
    <row r="330" spans="1:7" x14ac:dyDescent="0.25">
      <c r="A330" s="36">
        <v>40142</v>
      </c>
      <c r="B330" s="6">
        <v>43.38</v>
      </c>
      <c r="C330" s="6">
        <v>25.46</v>
      </c>
      <c r="D330" s="6">
        <v>7.08</v>
      </c>
      <c r="E330" s="6">
        <v>3.85</v>
      </c>
      <c r="G330" s="31"/>
    </row>
    <row r="331" spans="1:7" x14ac:dyDescent="0.25">
      <c r="A331" s="36">
        <v>40143</v>
      </c>
      <c r="B331" s="6">
        <v>43.28</v>
      </c>
      <c r="C331" s="6">
        <v>25.38</v>
      </c>
      <c r="D331" s="6">
        <v>7</v>
      </c>
      <c r="E331" s="6">
        <v>3.81</v>
      </c>
      <c r="G331" s="31"/>
    </row>
    <row r="332" spans="1:7" x14ac:dyDescent="0.25">
      <c r="A332" s="36">
        <v>40144</v>
      </c>
      <c r="B332" s="6">
        <v>43.2</v>
      </c>
      <c r="C332" s="6">
        <v>25.28</v>
      </c>
      <c r="D332" s="6">
        <v>7</v>
      </c>
      <c r="E332" s="6">
        <v>3.81</v>
      </c>
      <c r="G332" s="31"/>
    </row>
    <row r="333" spans="1:7" x14ac:dyDescent="0.25">
      <c r="A333" s="36">
        <v>40145</v>
      </c>
      <c r="B333" s="6">
        <v>43.13</v>
      </c>
      <c r="C333" s="6">
        <v>25.18</v>
      </c>
      <c r="D333" s="6">
        <v>7</v>
      </c>
      <c r="E333" s="6">
        <v>3.71</v>
      </c>
      <c r="G333" s="31"/>
    </row>
    <row r="334" spans="1:7" x14ac:dyDescent="0.25">
      <c r="A334" s="36">
        <v>40146</v>
      </c>
      <c r="B334" s="6">
        <v>43.08</v>
      </c>
      <c r="C334" s="6">
        <v>25.08</v>
      </c>
      <c r="D334" s="6">
        <v>6.9</v>
      </c>
      <c r="E334" s="6">
        <v>3.71</v>
      </c>
      <c r="G334" s="31"/>
    </row>
    <row r="335" spans="1:7" x14ac:dyDescent="0.25">
      <c r="A335" s="36">
        <v>40147</v>
      </c>
      <c r="B335" s="6">
        <v>43.02</v>
      </c>
      <c r="C335" s="6">
        <v>25.01</v>
      </c>
      <c r="D335" s="6">
        <v>6.86</v>
      </c>
      <c r="E335" s="6">
        <v>3.66</v>
      </c>
      <c r="G335" s="31"/>
    </row>
    <row r="336" spans="1:7" x14ac:dyDescent="0.25">
      <c r="A336" s="36">
        <v>40148</v>
      </c>
      <c r="B336" s="6">
        <v>43</v>
      </c>
      <c r="C336" s="6">
        <v>24.89</v>
      </c>
      <c r="D336" s="6">
        <v>6.8</v>
      </c>
      <c r="E336" s="6">
        <v>3.7</v>
      </c>
      <c r="G336" s="31"/>
    </row>
    <row r="337" spans="1:7" x14ac:dyDescent="0.25">
      <c r="A337" s="36">
        <v>40149</v>
      </c>
      <c r="B337" s="6">
        <v>42.98</v>
      </c>
      <c r="C337" s="6">
        <v>24.78</v>
      </c>
      <c r="D337" s="6">
        <v>6.68</v>
      </c>
      <c r="E337" s="6">
        <v>3.64</v>
      </c>
      <c r="G337" s="31"/>
    </row>
    <row r="338" spans="1:7" x14ac:dyDescent="0.25">
      <c r="A338" s="36">
        <v>40150</v>
      </c>
      <c r="B338" s="6">
        <v>42.97</v>
      </c>
      <c r="C338" s="6">
        <v>24.68</v>
      </c>
      <c r="D338" s="6">
        <v>6.64</v>
      </c>
      <c r="E338" s="6">
        <v>3.64</v>
      </c>
      <c r="G338" s="31"/>
    </row>
    <row r="339" spans="1:7" x14ac:dyDescent="0.25">
      <c r="A339" s="36">
        <v>40151</v>
      </c>
      <c r="B339" s="6">
        <v>42.97</v>
      </c>
      <c r="C339" s="6">
        <v>24.58</v>
      </c>
      <c r="D339" s="6">
        <v>6.64</v>
      </c>
      <c r="E339" s="6">
        <v>3.6</v>
      </c>
      <c r="G339" s="31"/>
    </row>
    <row r="340" spans="1:7" x14ac:dyDescent="0.25">
      <c r="A340" s="36">
        <v>40152</v>
      </c>
      <c r="B340" s="6">
        <v>42.96</v>
      </c>
      <c r="C340" s="6">
        <v>24.48</v>
      </c>
      <c r="D340" s="6">
        <v>6.45</v>
      </c>
      <c r="E340" s="6">
        <v>3.55</v>
      </c>
      <c r="G340" s="31"/>
    </row>
    <row r="341" spans="1:7" x14ac:dyDescent="0.25">
      <c r="A341" s="36">
        <v>40153</v>
      </c>
      <c r="B341" s="6">
        <v>42.94</v>
      </c>
      <c r="C341" s="6">
        <v>24.38</v>
      </c>
      <c r="D341" s="6">
        <v>6.32</v>
      </c>
      <c r="E341" s="6">
        <v>3.43</v>
      </c>
      <c r="G341" s="31"/>
    </row>
    <row r="342" spans="1:7" x14ac:dyDescent="0.25">
      <c r="A342" s="36">
        <v>40154</v>
      </c>
      <c r="B342" s="6">
        <v>42.92</v>
      </c>
      <c r="C342" s="6">
        <v>24.3</v>
      </c>
      <c r="D342" s="6">
        <v>6.18</v>
      </c>
      <c r="E342" s="6">
        <v>3.27</v>
      </c>
      <c r="G342" s="31"/>
    </row>
    <row r="343" spans="1:7" x14ac:dyDescent="0.25">
      <c r="A343" s="36">
        <v>40155</v>
      </c>
      <c r="B343" s="6">
        <v>42.9</v>
      </c>
      <c r="C343" s="6">
        <v>24.25</v>
      </c>
      <c r="D343" s="6">
        <v>6.1</v>
      </c>
      <c r="E343" s="6">
        <v>3.23</v>
      </c>
      <c r="G343" s="31"/>
    </row>
    <row r="344" spans="1:7" x14ac:dyDescent="0.25">
      <c r="A344" s="36">
        <v>40156</v>
      </c>
      <c r="B344" s="6">
        <v>42.87</v>
      </c>
      <c r="C344" s="6">
        <v>24.18</v>
      </c>
      <c r="D344" s="6">
        <v>6.06</v>
      </c>
      <c r="E344" s="6">
        <v>3.17</v>
      </c>
      <c r="G344" s="31"/>
    </row>
    <row r="345" spans="1:7" x14ac:dyDescent="0.25">
      <c r="A345" s="36">
        <v>40157</v>
      </c>
      <c r="B345" s="6">
        <v>42.81</v>
      </c>
      <c r="C345" s="6">
        <v>24.1</v>
      </c>
      <c r="D345" s="6">
        <v>5.88</v>
      </c>
      <c r="E345" s="6">
        <v>3.13</v>
      </c>
      <c r="G345" s="31"/>
    </row>
    <row r="346" spans="1:7" x14ac:dyDescent="0.25">
      <c r="A346" s="36">
        <v>40158</v>
      </c>
      <c r="B346" s="6">
        <v>42.75</v>
      </c>
      <c r="C346" s="6">
        <v>24.05</v>
      </c>
      <c r="D346" s="6">
        <v>5.8</v>
      </c>
      <c r="E346" s="6">
        <v>3.03</v>
      </c>
      <c r="G346" s="31"/>
    </row>
    <row r="347" spans="1:7" x14ac:dyDescent="0.25">
      <c r="A347" s="36">
        <v>40159</v>
      </c>
      <c r="B347" s="6">
        <v>42.68</v>
      </c>
      <c r="C347" s="6">
        <v>23.98</v>
      </c>
      <c r="D347" s="6">
        <v>5.72</v>
      </c>
      <c r="E347" s="6">
        <v>2.98</v>
      </c>
      <c r="G347" s="31"/>
    </row>
    <row r="348" spans="1:7" x14ac:dyDescent="0.25">
      <c r="A348" s="36">
        <v>40160</v>
      </c>
      <c r="B348" s="6">
        <v>42.61</v>
      </c>
      <c r="C348" s="6">
        <v>23.9</v>
      </c>
      <c r="D348" s="6">
        <v>5.56</v>
      </c>
      <c r="E348" s="6">
        <v>2.93</v>
      </c>
      <c r="G348" s="31"/>
    </row>
    <row r="349" spans="1:7" x14ac:dyDescent="0.25">
      <c r="A349" s="36">
        <v>40161</v>
      </c>
      <c r="B349" s="6">
        <v>42.51</v>
      </c>
      <c r="C349" s="6">
        <v>23.8</v>
      </c>
      <c r="D349" s="6">
        <v>5.54</v>
      </c>
      <c r="E349" s="6">
        <v>2.74</v>
      </c>
      <c r="G349" s="31"/>
    </row>
    <row r="350" spans="1:7" x14ac:dyDescent="0.25">
      <c r="A350" s="36">
        <v>40162</v>
      </c>
      <c r="B350" s="6">
        <v>42.42</v>
      </c>
      <c r="C350" s="6">
        <v>23.7</v>
      </c>
      <c r="D350" s="6">
        <v>5.5</v>
      </c>
      <c r="E350" s="6">
        <v>2.74</v>
      </c>
      <c r="G350" s="31"/>
    </row>
    <row r="351" spans="1:7" x14ac:dyDescent="0.25">
      <c r="A351" s="36">
        <v>40163</v>
      </c>
      <c r="B351" s="6">
        <v>42.32</v>
      </c>
      <c r="C351" s="6">
        <v>23.6</v>
      </c>
      <c r="D351" s="6">
        <v>5.44</v>
      </c>
      <c r="E351" s="6">
        <v>2.74</v>
      </c>
      <c r="G351" s="31"/>
    </row>
    <row r="352" spans="1:7" x14ac:dyDescent="0.25">
      <c r="A352" s="36">
        <v>40164</v>
      </c>
      <c r="B352" s="6">
        <v>42.24</v>
      </c>
      <c r="C352" s="6">
        <v>23.5</v>
      </c>
      <c r="D352" s="6">
        <v>5.34</v>
      </c>
      <c r="E352" s="6">
        <v>2.72</v>
      </c>
      <c r="G352" s="31"/>
    </row>
    <row r="353" spans="1:7" x14ac:dyDescent="0.25">
      <c r="A353" s="36">
        <v>40165</v>
      </c>
      <c r="B353" s="6">
        <v>42.17</v>
      </c>
      <c r="C353" s="6">
        <v>23.46</v>
      </c>
      <c r="D353" s="6">
        <v>5.26</v>
      </c>
      <c r="E353" s="6">
        <v>2.7</v>
      </c>
      <c r="G353" s="31"/>
    </row>
    <row r="354" spans="1:7" x14ac:dyDescent="0.25">
      <c r="A354" s="36">
        <v>40166</v>
      </c>
      <c r="B354" s="6">
        <v>42.09</v>
      </c>
      <c r="C354" s="6">
        <v>23.4</v>
      </c>
      <c r="D354" s="6">
        <v>5.16</v>
      </c>
      <c r="E354" s="6">
        <v>2.67</v>
      </c>
      <c r="G354" s="31"/>
    </row>
    <row r="355" spans="1:7" x14ac:dyDescent="0.25">
      <c r="A355" s="36">
        <v>40167</v>
      </c>
      <c r="B355" s="6">
        <v>42.02</v>
      </c>
      <c r="C355" s="6">
        <v>23.33</v>
      </c>
      <c r="D355" s="6">
        <v>5.08</v>
      </c>
      <c r="E355" s="6">
        <v>2.65</v>
      </c>
      <c r="G355" s="31"/>
    </row>
    <row r="356" spans="1:7" x14ac:dyDescent="0.25">
      <c r="A356" s="36">
        <v>40168</v>
      </c>
      <c r="B356" s="6">
        <v>41.95</v>
      </c>
      <c r="C356" s="6">
        <v>23.28</v>
      </c>
      <c r="D356" s="6">
        <v>5</v>
      </c>
      <c r="E356" s="6">
        <v>2.62</v>
      </c>
      <c r="G356" s="31"/>
    </row>
    <row r="357" spans="1:7" x14ac:dyDescent="0.25">
      <c r="A357" s="36">
        <v>40169</v>
      </c>
      <c r="B357" s="6">
        <v>41.9</v>
      </c>
      <c r="C357" s="6">
        <v>23.18</v>
      </c>
      <c r="D357" s="6">
        <v>4.9800000000000004</v>
      </c>
      <c r="E357" s="6">
        <v>2.59</v>
      </c>
      <c r="G357" s="31"/>
    </row>
    <row r="358" spans="1:7" x14ac:dyDescent="0.25">
      <c r="A358" s="36">
        <v>40170</v>
      </c>
      <c r="B358" s="6">
        <v>41.86</v>
      </c>
      <c r="C358" s="6">
        <v>23.08</v>
      </c>
      <c r="D358" s="6">
        <v>4.9000000000000004</v>
      </c>
      <c r="E358" s="6">
        <v>2.5299999999999998</v>
      </c>
      <c r="G358" s="31"/>
    </row>
    <row r="359" spans="1:7" x14ac:dyDescent="0.25">
      <c r="A359" s="36">
        <v>40171</v>
      </c>
      <c r="B359" s="6">
        <v>41.83</v>
      </c>
      <c r="C359" s="6">
        <v>22.97</v>
      </c>
      <c r="D359" s="6">
        <v>4.8</v>
      </c>
      <c r="E359" s="6">
        <v>2.39</v>
      </c>
      <c r="G359" s="31"/>
    </row>
    <row r="360" spans="1:7" x14ac:dyDescent="0.25">
      <c r="A360" s="36">
        <v>40172</v>
      </c>
      <c r="B360" s="6">
        <v>41.75</v>
      </c>
      <c r="C360" s="6">
        <v>22.9</v>
      </c>
      <c r="D360" s="6">
        <v>4.7</v>
      </c>
      <c r="E360" s="6">
        <v>2.37</v>
      </c>
      <c r="G360" s="31"/>
    </row>
    <row r="361" spans="1:7" x14ac:dyDescent="0.25">
      <c r="A361" s="36">
        <v>40173</v>
      </c>
      <c r="B361" s="6">
        <v>41.67</v>
      </c>
      <c r="C361" s="6">
        <v>22.86</v>
      </c>
      <c r="D361" s="6">
        <v>4.66</v>
      </c>
      <c r="E361" s="6">
        <v>2.2799999999999998</v>
      </c>
      <c r="G361" s="31"/>
    </row>
    <row r="362" spans="1:7" x14ac:dyDescent="0.25">
      <c r="A362" s="36">
        <v>40174</v>
      </c>
      <c r="B362" s="6">
        <v>41.66</v>
      </c>
      <c r="C362" s="6">
        <v>22.8</v>
      </c>
      <c r="D362" s="6">
        <v>4.5999999999999996</v>
      </c>
      <c r="E362" s="6">
        <v>2.2799999999999998</v>
      </c>
      <c r="G362" s="31"/>
    </row>
    <row r="363" spans="1:7" x14ac:dyDescent="0.25">
      <c r="A363" s="36">
        <v>40175</v>
      </c>
      <c r="B363" s="6">
        <v>41.62</v>
      </c>
      <c r="C363" s="6">
        <v>22.76</v>
      </c>
      <c r="D363" s="6">
        <v>4.5999999999999996</v>
      </c>
      <c r="E363" s="6">
        <v>2.21</v>
      </c>
      <c r="G363" s="31"/>
    </row>
    <row r="364" spans="1:7" x14ac:dyDescent="0.25">
      <c r="A364" s="36">
        <v>40176</v>
      </c>
      <c r="B364" s="6">
        <v>41.79</v>
      </c>
      <c r="C364" s="6">
        <v>22.7</v>
      </c>
      <c r="D364" s="6">
        <v>4.5</v>
      </c>
      <c r="E364" s="6">
        <v>2.2200000000000002</v>
      </c>
      <c r="G364" s="31"/>
    </row>
    <row r="365" spans="1:7" x14ac:dyDescent="0.25">
      <c r="A365" s="36">
        <v>40177</v>
      </c>
      <c r="B365" s="6">
        <v>41.8</v>
      </c>
      <c r="C365" s="6">
        <v>22.7</v>
      </c>
      <c r="D365" s="6">
        <v>4.4000000000000004</v>
      </c>
      <c r="E365" s="6">
        <v>2.17</v>
      </c>
      <c r="G365" s="31"/>
    </row>
    <row r="366" spans="1:7" x14ac:dyDescent="0.25">
      <c r="A366" s="36">
        <v>40178</v>
      </c>
      <c r="B366" s="6">
        <v>41.82</v>
      </c>
      <c r="C366" s="6">
        <v>22.7</v>
      </c>
      <c r="D366" s="6">
        <v>4.3</v>
      </c>
      <c r="E366" s="6">
        <v>2.15</v>
      </c>
      <c r="G366" s="31"/>
    </row>
    <row r="367" spans="1:7" x14ac:dyDescent="0.25">
      <c r="A367" s="36">
        <v>40179</v>
      </c>
      <c r="B367" s="7">
        <v>41.82</v>
      </c>
      <c r="C367" s="7">
        <v>22.7</v>
      </c>
      <c r="D367" s="7">
        <v>4.2</v>
      </c>
      <c r="E367" s="7">
        <v>2.1</v>
      </c>
      <c r="G367" s="31"/>
    </row>
    <row r="368" spans="1:7" x14ac:dyDescent="0.25">
      <c r="A368" s="36">
        <v>40180</v>
      </c>
      <c r="B368" s="7">
        <v>41.79</v>
      </c>
      <c r="C368" s="7">
        <v>22.7</v>
      </c>
      <c r="D368" s="7">
        <v>4.0999999999999996</v>
      </c>
      <c r="E368" s="7">
        <v>2.08</v>
      </c>
      <c r="G368" s="31"/>
    </row>
    <row r="369" spans="1:7" x14ac:dyDescent="0.25">
      <c r="A369" s="36">
        <v>40181</v>
      </c>
      <c r="B369" s="7">
        <v>41.74</v>
      </c>
      <c r="C369" s="7">
        <v>22.7</v>
      </c>
      <c r="D369" s="7">
        <v>4.08</v>
      </c>
      <c r="E369" s="7">
        <v>2.08</v>
      </c>
      <c r="G369" s="31"/>
    </row>
    <row r="370" spans="1:7" x14ac:dyDescent="0.25">
      <c r="A370" s="36">
        <v>40182</v>
      </c>
      <c r="B370" s="7">
        <v>41.67</v>
      </c>
      <c r="C370" s="7">
        <v>22.7</v>
      </c>
      <c r="D370" s="7">
        <v>4.0599999999999996</v>
      </c>
      <c r="E370" s="7">
        <v>2.11</v>
      </c>
      <c r="G370" s="31"/>
    </row>
    <row r="371" spans="1:7" x14ac:dyDescent="0.25">
      <c r="A371" s="36">
        <v>40183</v>
      </c>
      <c r="B371" s="7">
        <v>41.59</v>
      </c>
      <c r="C371" s="7">
        <v>22.7</v>
      </c>
      <c r="D371" s="7">
        <v>4.04</v>
      </c>
      <c r="E371" s="7">
        <v>2.16</v>
      </c>
      <c r="G371" s="31"/>
    </row>
    <row r="372" spans="1:7" x14ac:dyDescent="0.25">
      <c r="A372" s="36">
        <v>40184</v>
      </c>
      <c r="B372" s="7">
        <v>41.52</v>
      </c>
      <c r="C372" s="7">
        <v>22.65</v>
      </c>
      <c r="D372" s="7">
        <v>4.0199999999999996</v>
      </c>
      <c r="E372" s="7">
        <v>2.2000000000000002</v>
      </c>
      <c r="G372" s="31"/>
    </row>
    <row r="373" spans="1:7" x14ac:dyDescent="0.25">
      <c r="A373" s="36">
        <v>40185</v>
      </c>
      <c r="B373" s="7">
        <v>41.43</v>
      </c>
      <c r="C373" s="7">
        <v>22.58</v>
      </c>
      <c r="D373" s="7">
        <v>4.0199999999999996</v>
      </c>
      <c r="E373" s="7">
        <v>2.23</v>
      </c>
      <c r="G373" s="31"/>
    </row>
    <row r="374" spans="1:7" x14ac:dyDescent="0.25">
      <c r="A374" s="36">
        <v>40186</v>
      </c>
      <c r="B374" s="7">
        <v>41.35</v>
      </c>
      <c r="C374" s="7">
        <v>22.5</v>
      </c>
      <c r="D374" s="7">
        <v>4</v>
      </c>
      <c r="E374" s="7">
        <v>2.16</v>
      </c>
      <c r="G374" s="31"/>
    </row>
    <row r="375" spans="1:7" x14ac:dyDescent="0.25">
      <c r="A375" s="36">
        <v>40187</v>
      </c>
      <c r="B375" s="7">
        <v>41.23</v>
      </c>
      <c r="C375" s="7">
        <v>22.39</v>
      </c>
      <c r="D375" s="7">
        <v>4</v>
      </c>
      <c r="E375" s="7">
        <v>2.0499999999999998</v>
      </c>
      <c r="G375" s="31"/>
    </row>
    <row r="376" spans="1:7" x14ac:dyDescent="0.25">
      <c r="A376" s="36">
        <v>40188</v>
      </c>
      <c r="B376" s="7">
        <v>41.19</v>
      </c>
      <c r="C376" s="7">
        <v>22.28</v>
      </c>
      <c r="D376" s="7">
        <v>4</v>
      </c>
      <c r="E376" s="7">
        <v>1.97</v>
      </c>
      <c r="G376" s="31"/>
    </row>
    <row r="377" spans="1:7" x14ac:dyDescent="0.25">
      <c r="A377" s="36">
        <v>40189</v>
      </c>
      <c r="B377" s="7">
        <v>41.12</v>
      </c>
      <c r="C377" s="7">
        <v>22.2</v>
      </c>
      <c r="D377" s="7">
        <v>3.92</v>
      </c>
      <c r="E377" s="7">
        <v>1.9</v>
      </c>
      <c r="G377" s="31"/>
    </row>
    <row r="378" spans="1:7" x14ac:dyDescent="0.25">
      <c r="A378" s="36">
        <v>40190</v>
      </c>
      <c r="B378" s="7">
        <v>41.06</v>
      </c>
      <c r="C378" s="7">
        <v>22.1</v>
      </c>
      <c r="D378" s="7">
        <v>3.8</v>
      </c>
      <c r="E378" s="7">
        <v>1.9</v>
      </c>
      <c r="G378" s="31"/>
    </row>
    <row r="379" spans="1:7" x14ac:dyDescent="0.25">
      <c r="A379" s="36">
        <v>40191</v>
      </c>
      <c r="B379" s="7">
        <v>41</v>
      </c>
      <c r="C379" s="7">
        <v>22.02</v>
      </c>
      <c r="D379" s="7">
        <v>3.7</v>
      </c>
      <c r="E379" s="7">
        <v>1.92</v>
      </c>
      <c r="G379" s="31"/>
    </row>
    <row r="380" spans="1:7" x14ac:dyDescent="0.25">
      <c r="A380" s="36">
        <v>40192</v>
      </c>
      <c r="B380" s="7">
        <v>40.950000000000003</v>
      </c>
      <c r="C380" s="7">
        <v>21.93</v>
      </c>
      <c r="D380" s="7">
        <v>3.62</v>
      </c>
      <c r="E380" s="7">
        <v>1.86</v>
      </c>
      <c r="G380" s="31"/>
    </row>
    <row r="381" spans="1:7" x14ac:dyDescent="0.25">
      <c r="A381" s="36">
        <v>40193</v>
      </c>
      <c r="B381" s="7">
        <v>40.89</v>
      </c>
      <c r="C381" s="7">
        <v>21.86</v>
      </c>
      <c r="D381" s="7">
        <v>3.58</v>
      </c>
      <c r="E381" s="7">
        <v>1.84</v>
      </c>
      <c r="G381" s="31"/>
    </row>
    <row r="382" spans="1:7" x14ac:dyDescent="0.25">
      <c r="A382" s="36">
        <v>40194</v>
      </c>
      <c r="B382" s="7">
        <v>40.85</v>
      </c>
      <c r="C382" s="7">
        <v>21.79</v>
      </c>
      <c r="D382" s="7">
        <v>3.5</v>
      </c>
      <c r="E382" s="7">
        <v>1.8</v>
      </c>
      <c r="G382" s="31"/>
    </row>
    <row r="383" spans="1:7" x14ac:dyDescent="0.25">
      <c r="A383" s="36">
        <v>40195</v>
      </c>
      <c r="B383" s="7">
        <v>40.79</v>
      </c>
      <c r="C383" s="7">
        <v>21.74</v>
      </c>
      <c r="D383" s="7">
        <v>3.46</v>
      </c>
      <c r="E383" s="7">
        <v>1.74</v>
      </c>
      <c r="G383" s="31"/>
    </row>
    <row r="384" spans="1:7" x14ac:dyDescent="0.25">
      <c r="A384" s="36">
        <v>40196</v>
      </c>
      <c r="B384" s="7">
        <v>40.729999999999997</v>
      </c>
      <c r="C384" s="7">
        <v>21.66</v>
      </c>
      <c r="D384" s="7">
        <v>3.32</v>
      </c>
      <c r="E384" s="7">
        <v>1.74</v>
      </c>
      <c r="G384" s="31"/>
    </row>
    <row r="385" spans="1:7" x14ac:dyDescent="0.25">
      <c r="A385" s="36">
        <v>40197</v>
      </c>
      <c r="B385" s="7">
        <v>40.67</v>
      </c>
      <c r="C385" s="7">
        <v>21.6</v>
      </c>
      <c r="D385" s="7">
        <v>3.26</v>
      </c>
      <c r="E385" s="7">
        <v>1.72</v>
      </c>
      <c r="G385" s="31"/>
    </row>
    <row r="386" spans="1:7" x14ac:dyDescent="0.25">
      <c r="A386" s="36">
        <v>40198</v>
      </c>
      <c r="B386" s="7">
        <v>40.630000000000003</v>
      </c>
      <c r="C386" s="7">
        <v>21.55</v>
      </c>
      <c r="D386" s="7">
        <v>3.22</v>
      </c>
      <c r="E386" s="7">
        <v>1.69</v>
      </c>
      <c r="G386" s="31"/>
    </row>
    <row r="387" spans="1:7" x14ac:dyDescent="0.25">
      <c r="A387" s="36">
        <v>40199</v>
      </c>
      <c r="B387" s="7">
        <v>40.58</v>
      </c>
      <c r="C387" s="7">
        <v>21.5</v>
      </c>
      <c r="D387" s="7">
        <v>3.1</v>
      </c>
      <c r="E387" s="7">
        <v>1.64</v>
      </c>
      <c r="G387" s="31"/>
    </row>
    <row r="388" spans="1:7" x14ac:dyDescent="0.25">
      <c r="A388" s="36">
        <v>40200</v>
      </c>
      <c r="B388" s="7">
        <v>40.549999999999997</v>
      </c>
      <c r="C388" s="7">
        <v>21.44</v>
      </c>
      <c r="D388" s="7">
        <v>3.06</v>
      </c>
      <c r="E388" s="7">
        <v>1.62</v>
      </c>
      <c r="G388" s="31"/>
    </row>
    <row r="389" spans="1:7" x14ac:dyDescent="0.25">
      <c r="A389" s="36">
        <v>40201</v>
      </c>
      <c r="B389" s="7">
        <v>40.520000000000003</v>
      </c>
      <c r="C389" s="7">
        <v>21.38</v>
      </c>
      <c r="D389" s="7">
        <v>3.02</v>
      </c>
      <c r="E389" s="7">
        <v>1.57</v>
      </c>
      <c r="G389" s="31"/>
    </row>
    <row r="390" spans="1:7" x14ac:dyDescent="0.25">
      <c r="A390" s="36">
        <v>40202</v>
      </c>
      <c r="B390" s="7">
        <v>40.49</v>
      </c>
      <c r="C390" s="7">
        <v>21.35</v>
      </c>
      <c r="D390" s="7">
        <v>2.96</v>
      </c>
      <c r="E390" s="7">
        <v>1.5</v>
      </c>
      <c r="G390" s="31"/>
    </row>
    <row r="391" spans="1:7" x14ac:dyDescent="0.25">
      <c r="A391" s="36">
        <v>40203</v>
      </c>
      <c r="B391" s="7">
        <v>40.479999999999997</v>
      </c>
      <c r="C391" s="7">
        <v>21.31</v>
      </c>
      <c r="D391" s="7">
        <v>2.9</v>
      </c>
      <c r="E391" s="7">
        <v>1.47</v>
      </c>
      <c r="G391" s="31"/>
    </row>
    <row r="392" spans="1:7" x14ac:dyDescent="0.25">
      <c r="A392" s="36">
        <v>40204</v>
      </c>
      <c r="B392" s="7">
        <v>40.46</v>
      </c>
      <c r="C392" s="7">
        <v>21.28</v>
      </c>
      <c r="D392" s="7">
        <v>2.8</v>
      </c>
      <c r="E392" s="7">
        <v>1.44</v>
      </c>
      <c r="G392" s="31"/>
    </row>
    <row r="393" spans="1:7" x14ac:dyDescent="0.25">
      <c r="A393" s="36">
        <v>40205</v>
      </c>
      <c r="B393" s="7">
        <v>40.450000000000003</v>
      </c>
      <c r="C393" s="7">
        <v>21.24</v>
      </c>
      <c r="D393" s="7">
        <v>2.7</v>
      </c>
      <c r="E393" s="7">
        <v>1.43</v>
      </c>
      <c r="G393" s="31"/>
    </row>
    <row r="394" spans="1:7" x14ac:dyDescent="0.25">
      <c r="A394" s="36">
        <v>40206</v>
      </c>
      <c r="B394" s="7">
        <v>40.450000000000003</v>
      </c>
      <c r="C394" s="7">
        <v>21.21</v>
      </c>
      <c r="D394" s="7">
        <v>2.66</v>
      </c>
      <c r="E394" s="7">
        <v>1.43</v>
      </c>
      <c r="G394" s="31"/>
    </row>
    <row r="395" spans="1:7" x14ac:dyDescent="0.25">
      <c r="A395" s="36">
        <v>40207</v>
      </c>
      <c r="B395" s="7">
        <v>40.44</v>
      </c>
      <c r="C395" s="7">
        <v>21.19</v>
      </c>
      <c r="D395" s="7">
        <v>2.62</v>
      </c>
      <c r="E395" s="7">
        <v>1.52</v>
      </c>
      <c r="G395" s="31"/>
    </row>
    <row r="396" spans="1:7" x14ac:dyDescent="0.25">
      <c r="A396" s="36">
        <v>40208</v>
      </c>
      <c r="B396" s="7">
        <v>40.4</v>
      </c>
      <c r="C396" s="7">
        <v>21.17</v>
      </c>
      <c r="D396" s="7">
        <v>2.6</v>
      </c>
      <c r="E396" s="7">
        <v>1.55</v>
      </c>
      <c r="G396" s="31"/>
    </row>
    <row r="397" spans="1:7" x14ac:dyDescent="0.25">
      <c r="A397" s="36">
        <v>40209</v>
      </c>
      <c r="B397" s="7">
        <v>40.369999999999997</v>
      </c>
      <c r="C397" s="7">
        <v>21.15</v>
      </c>
      <c r="D397" s="7">
        <v>2.5</v>
      </c>
      <c r="E397" s="7">
        <v>1.63</v>
      </c>
      <c r="G397" s="31"/>
    </row>
    <row r="398" spans="1:7" x14ac:dyDescent="0.25">
      <c r="A398" s="36">
        <v>40210</v>
      </c>
      <c r="B398" s="7">
        <v>40.33</v>
      </c>
      <c r="C398" s="7">
        <v>21.12</v>
      </c>
      <c r="D398" s="7">
        <v>2.4</v>
      </c>
      <c r="E398" s="7">
        <v>1.67</v>
      </c>
      <c r="G398" s="31"/>
    </row>
    <row r="399" spans="1:7" x14ac:dyDescent="0.25">
      <c r="A399" s="36">
        <v>40211</v>
      </c>
      <c r="B399" s="7">
        <v>40.31</v>
      </c>
      <c r="C399" s="7">
        <v>21.1</v>
      </c>
      <c r="D399" s="7">
        <v>2.36</v>
      </c>
      <c r="E399" s="7">
        <v>1.73</v>
      </c>
      <c r="G399" s="31"/>
    </row>
    <row r="400" spans="1:7" x14ac:dyDescent="0.25">
      <c r="A400" s="36">
        <v>40212</v>
      </c>
      <c r="B400" s="7">
        <v>40.229999999999997</v>
      </c>
      <c r="C400" s="7">
        <v>21.08</v>
      </c>
      <c r="D400" s="7">
        <v>2.4</v>
      </c>
      <c r="E400" s="7">
        <v>1.71</v>
      </c>
      <c r="G400" s="31"/>
    </row>
    <row r="401" spans="1:7" x14ac:dyDescent="0.25">
      <c r="A401" s="36">
        <v>40213</v>
      </c>
      <c r="B401" s="7">
        <v>40.26</v>
      </c>
      <c r="C401" s="7">
        <v>21.05</v>
      </c>
      <c r="D401" s="7">
        <v>2.44</v>
      </c>
      <c r="E401" s="7">
        <v>1.67</v>
      </c>
      <c r="G401" s="31"/>
    </row>
    <row r="402" spans="1:7" x14ac:dyDescent="0.25">
      <c r="A402" s="36">
        <v>40214</v>
      </c>
      <c r="B402" s="7">
        <v>40.22</v>
      </c>
      <c r="C402" s="7">
        <v>21</v>
      </c>
      <c r="D402" s="7">
        <v>2.44</v>
      </c>
      <c r="E402" s="7">
        <v>1.62</v>
      </c>
      <c r="G402" s="31"/>
    </row>
    <row r="403" spans="1:7" x14ac:dyDescent="0.25">
      <c r="A403" s="36">
        <v>40215</v>
      </c>
      <c r="B403" s="7">
        <v>40.200000000000003</v>
      </c>
      <c r="C403" s="7">
        <v>20.97</v>
      </c>
      <c r="D403" s="7">
        <v>2.44</v>
      </c>
      <c r="E403" s="7">
        <v>1.52</v>
      </c>
      <c r="G403" s="31"/>
    </row>
    <row r="404" spans="1:7" x14ac:dyDescent="0.25">
      <c r="A404" s="36">
        <v>40216</v>
      </c>
      <c r="B404" s="7">
        <v>40.18</v>
      </c>
      <c r="C404" s="7">
        <v>20.94</v>
      </c>
      <c r="D404" s="7">
        <v>2.44</v>
      </c>
      <c r="E404" s="7">
        <v>1.39</v>
      </c>
      <c r="G404" s="31"/>
    </row>
    <row r="405" spans="1:7" x14ac:dyDescent="0.25">
      <c r="A405" s="36">
        <v>40217</v>
      </c>
      <c r="B405" s="7">
        <v>40.159999999999997</v>
      </c>
      <c r="C405" s="7">
        <v>20.9</v>
      </c>
      <c r="D405" s="7">
        <v>2.44</v>
      </c>
      <c r="E405" s="7">
        <v>1.32</v>
      </c>
      <c r="G405" s="31"/>
    </row>
    <row r="406" spans="1:7" x14ac:dyDescent="0.25">
      <c r="A406" s="36">
        <v>40218</v>
      </c>
      <c r="B406" s="7">
        <v>40.14</v>
      </c>
      <c r="C406" s="7">
        <v>20.88</v>
      </c>
      <c r="D406" s="7">
        <v>2.42</v>
      </c>
      <c r="E406" s="7">
        <v>1.3129999999999999</v>
      </c>
      <c r="G406" s="31"/>
    </row>
    <row r="407" spans="1:7" x14ac:dyDescent="0.25">
      <c r="A407" s="36">
        <v>40219</v>
      </c>
      <c r="B407" s="7">
        <v>40.14</v>
      </c>
      <c r="C407" s="7">
        <v>20.86</v>
      </c>
      <c r="D407" s="7">
        <v>2.38</v>
      </c>
      <c r="E407" s="7">
        <v>1.3</v>
      </c>
      <c r="G407" s="31"/>
    </row>
    <row r="408" spans="1:7" x14ac:dyDescent="0.25">
      <c r="A408" s="36">
        <v>40220</v>
      </c>
      <c r="B408" s="7">
        <v>40.14</v>
      </c>
      <c r="C408" s="7">
        <v>20.82</v>
      </c>
      <c r="D408" s="7">
        <v>2.38</v>
      </c>
      <c r="E408" s="7">
        <v>1.27</v>
      </c>
      <c r="G408" s="31"/>
    </row>
    <row r="409" spans="1:7" x14ac:dyDescent="0.25">
      <c r="A409" s="36">
        <v>40221</v>
      </c>
      <c r="B409" s="7">
        <v>40.14</v>
      </c>
      <c r="C409" s="7">
        <v>20.81</v>
      </c>
      <c r="D409" s="7">
        <v>2.36</v>
      </c>
      <c r="E409" s="7">
        <v>1.32</v>
      </c>
      <c r="G409" s="31"/>
    </row>
    <row r="410" spans="1:7" x14ac:dyDescent="0.25">
      <c r="A410" s="36">
        <v>40222</v>
      </c>
      <c r="B410" s="7">
        <v>40.14</v>
      </c>
      <c r="C410" s="7">
        <v>20.79</v>
      </c>
      <c r="D410" s="7">
        <v>2.38</v>
      </c>
      <c r="E410" s="7">
        <v>1.38</v>
      </c>
      <c r="G410" s="31"/>
    </row>
    <row r="411" spans="1:7" x14ac:dyDescent="0.25">
      <c r="A411" s="36">
        <v>40223</v>
      </c>
      <c r="B411" s="7">
        <v>40.14</v>
      </c>
      <c r="C411" s="7">
        <v>20.79</v>
      </c>
      <c r="D411" s="7">
        <v>2.2999999999999998</v>
      </c>
      <c r="E411" s="7">
        <v>1.4</v>
      </c>
      <c r="G411" s="31"/>
    </row>
    <row r="412" spans="1:7" x14ac:dyDescent="0.25">
      <c r="A412" s="36">
        <v>40224</v>
      </c>
      <c r="B412" s="7">
        <v>40.130000000000003</v>
      </c>
      <c r="C412" s="7">
        <v>20.79</v>
      </c>
      <c r="D412" s="7">
        <v>2.2999999999999998</v>
      </c>
      <c r="E412" s="7">
        <v>1.36</v>
      </c>
      <c r="G412" s="31"/>
    </row>
    <row r="413" spans="1:7" x14ac:dyDescent="0.25">
      <c r="A413" s="36">
        <v>40225</v>
      </c>
      <c r="B413" s="7">
        <v>40.11</v>
      </c>
      <c r="C413" s="7">
        <v>20.79</v>
      </c>
      <c r="D413" s="7">
        <v>2.2999999999999998</v>
      </c>
      <c r="E413" s="7">
        <v>1.38</v>
      </c>
      <c r="G413" s="31"/>
    </row>
    <row r="414" spans="1:7" x14ac:dyDescent="0.25">
      <c r="A414" s="36">
        <v>40226</v>
      </c>
      <c r="B414" s="7">
        <v>40.08</v>
      </c>
      <c r="C414" s="7">
        <v>20.77</v>
      </c>
      <c r="D414" s="7">
        <v>2.2999999999999998</v>
      </c>
      <c r="E414" s="7">
        <v>1.4</v>
      </c>
      <c r="G414" s="31"/>
    </row>
    <row r="415" spans="1:7" x14ac:dyDescent="0.25">
      <c r="A415" s="36">
        <v>40227</v>
      </c>
      <c r="B415" s="7">
        <v>40.049999999999997</v>
      </c>
      <c r="C415" s="7">
        <v>20.76</v>
      </c>
      <c r="D415" s="7">
        <v>2.2799999999999998</v>
      </c>
      <c r="E415" s="7">
        <v>1.41</v>
      </c>
      <c r="G415" s="31"/>
    </row>
    <row r="416" spans="1:7" x14ac:dyDescent="0.25">
      <c r="A416" s="36">
        <v>40228</v>
      </c>
      <c r="B416" s="7">
        <v>40</v>
      </c>
      <c r="C416" s="7">
        <v>20.73</v>
      </c>
      <c r="D416" s="7">
        <v>2.2999999999999998</v>
      </c>
      <c r="E416" s="7">
        <v>1.41</v>
      </c>
      <c r="G416" s="31"/>
    </row>
    <row r="417" spans="1:7" x14ac:dyDescent="0.25">
      <c r="A417" s="36">
        <v>40229</v>
      </c>
      <c r="B417" s="7">
        <v>39.97</v>
      </c>
      <c r="C417" s="7">
        <v>20.7</v>
      </c>
      <c r="D417" s="7">
        <v>2.2999999999999998</v>
      </c>
      <c r="E417" s="7">
        <v>1.38</v>
      </c>
      <c r="G417" s="31"/>
    </row>
    <row r="418" spans="1:7" x14ac:dyDescent="0.25">
      <c r="A418" s="36">
        <v>40230</v>
      </c>
      <c r="B418" s="7">
        <v>39.94</v>
      </c>
      <c r="C418" s="7">
        <v>20.65</v>
      </c>
      <c r="D418" s="7">
        <v>2.2599999999999998</v>
      </c>
      <c r="E418" s="7">
        <v>1.23</v>
      </c>
      <c r="G418" s="31"/>
    </row>
    <row r="419" spans="1:7" x14ac:dyDescent="0.25">
      <c r="A419" s="36">
        <v>40231</v>
      </c>
      <c r="B419" s="7">
        <v>39.93</v>
      </c>
      <c r="C419" s="7">
        <v>20.6</v>
      </c>
      <c r="D419" s="7">
        <v>2.2000000000000002</v>
      </c>
      <c r="E419" s="7">
        <v>1.23</v>
      </c>
      <c r="G419" s="31"/>
    </row>
    <row r="420" spans="1:7" x14ac:dyDescent="0.25">
      <c r="A420" s="36">
        <v>40232</v>
      </c>
      <c r="B420" s="7">
        <v>39.93</v>
      </c>
      <c r="C420" s="7">
        <v>20.59</v>
      </c>
      <c r="D420" s="7">
        <v>2.1800000000000002</v>
      </c>
      <c r="E420" s="7">
        <v>1.29</v>
      </c>
      <c r="G420" s="31"/>
    </row>
    <row r="421" spans="1:7" x14ac:dyDescent="0.25">
      <c r="A421" s="36">
        <v>40233</v>
      </c>
      <c r="B421" s="7">
        <v>39.93</v>
      </c>
      <c r="C421" s="7">
        <v>20.57</v>
      </c>
      <c r="D421" s="7">
        <v>2.1800000000000002</v>
      </c>
      <c r="E421" s="7">
        <v>1.28</v>
      </c>
      <c r="G421" s="31"/>
    </row>
    <row r="422" spans="1:7" x14ac:dyDescent="0.25">
      <c r="A422" s="36">
        <v>40234</v>
      </c>
      <c r="B422" s="7">
        <v>39.950000000000003</v>
      </c>
      <c r="C422" s="7">
        <v>20.55</v>
      </c>
      <c r="D422" s="7">
        <v>2.16</v>
      </c>
      <c r="E422" s="7">
        <v>1.21</v>
      </c>
      <c r="G422" s="31"/>
    </row>
    <row r="423" spans="1:7" x14ac:dyDescent="0.25">
      <c r="A423" s="36">
        <v>40235</v>
      </c>
      <c r="B423" s="7">
        <v>39.96</v>
      </c>
      <c r="C423" s="7">
        <v>20.54</v>
      </c>
      <c r="D423" s="7">
        <v>2.16</v>
      </c>
      <c r="E423" s="7">
        <v>1.23</v>
      </c>
      <c r="G423" s="31"/>
    </row>
    <row r="424" spans="1:7" x14ac:dyDescent="0.25">
      <c r="A424" s="36">
        <v>40236</v>
      </c>
      <c r="B424" s="7">
        <v>39.97</v>
      </c>
      <c r="C424" s="7">
        <v>20.53</v>
      </c>
      <c r="D424" s="7">
        <v>2.14</v>
      </c>
      <c r="E424" s="7">
        <v>1.31</v>
      </c>
      <c r="G424" s="31"/>
    </row>
    <row r="425" spans="1:7" x14ac:dyDescent="0.25">
      <c r="A425" s="36">
        <v>40237</v>
      </c>
      <c r="B425" s="7">
        <v>40.01</v>
      </c>
      <c r="C425" s="7">
        <v>20.54</v>
      </c>
      <c r="D425" s="7">
        <v>2.14</v>
      </c>
      <c r="E425" s="7">
        <v>1.35</v>
      </c>
      <c r="G425" s="31"/>
    </row>
    <row r="426" spans="1:7" x14ac:dyDescent="0.25">
      <c r="A426" s="36">
        <v>40238</v>
      </c>
      <c r="B426" s="7">
        <v>40.03</v>
      </c>
      <c r="C426" s="7">
        <v>20.55</v>
      </c>
      <c r="D426" s="7">
        <v>2.2000000000000002</v>
      </c>
      <c r="E426" s="7">
        <v>1.42</v>
      </c>
      <c r="G426" s="31"/>
    </row>
    <row r="427" spans="1:7" x14ac:dyDescent="0.25">
      <c r="A427" s="36">
        <v>40239</v>
      </c>
      <c r="B427" s="7">
        <v>40.07</v>
      </c>
      <c r="C427" s="7">
        <v>20.6</v>
      </c>
      <c r="D427" s="7">
        <v>2.2200000000000002</v>
      </c>
      <c r="E427" s="7">
        <v>1.48</v>
      </c>
      <c r="G427" s="31"/>
    </row>
    <row r="428" spans="1:7" x14ac:dyDescent="0.25">
      <c r="A428" s="36">
        <v>40240</v>
      </c>
      <c r="B428" s="7">
        <v>40.08</v>
      </c>
      <c r="C428" s="7">
        <v>20.64</v>
      </c>
      <c r="D428" s="7">
        <v>2.2799999999999998</v>
      </c>
      <c r="E428" s="7">
        <v>1.55</v>
      </c>
      <c r="G428" s="31"/>
    </row>
    <row r="429" spans="1:7" x14ac:dyDescent="0.25">
      <c r="A429" s="36">
        <v>40241</v>
      </c>
      <c r="B429" s="7">
        <v>40.1</v>
      </c>
      <c r="C429" s="6">
        <v>20.68</v>
      </c>
      <c r="D429" s="7">
        <v>2.3199999999999998</v>
      </c>
      <c r="E429" s="7">
        <v>1.53</v>
      </c>
      <c r="G429" s="31"/>
    </row>
    <row r="430" spans="1:7" x14ac:dyDescent="0.25">
      <c r="A430" s="36">
        <v>40242</v>
      </c>
      <c r="B430" s="7">
        <v>40.1</v>
      </c>
      <c r="C430" s="6">
        <v>20.69</v>
      </c>
      <c r="D430" s="7">
        <v>2.3199999999999998</v>
      </c>
      <c r="E430" s="6">
        <v>1.47</v>
      </c>
      <c r="G430" s="31"/>
    </row>
    <row r="431" spans="1:7" x14ac:dyDescent="0.25">
      <c r="A431" s="36">
        <v>40243</v>
      </c>
      <c r="B431" s="6">
        <v>40.11</v>
      </c>
      <c r="C431" s="6">
        <v>20.7</v>
      </c>
      <c r="D431" s="7">
        <v>2.2999999999999998</v>
      </c>
      <c r="E431" s="6">
        <v>1.47</v>
      </c>
      <c r="G431" s="31"/>
    </row>
    <row r="432" spans="1:7" x14ac:dyDescent="0.25">
      <c r="A432" s="36">
        <v>40244</v>
      </c>
      <c r="B432" s="6">
        <v>40.130000000000003</v>
      </c>
      <c r="C432" s="6">
        <v>20.71</v>
      </c>
      <c r="D432" s="7">
        <v>2.2799999999999998</v>
      </c>
      <c r="E432" s="6">
        <v>1.38</v>
      </c>
      <c r="G432" s="31"/>
    </row>
    <row r="433" spans="1:7" x14ac:dyDescent="0.25">
      <c r="A433" s="36">
        <v>40245</v>
      </c>
      <c r="B433" s="6">
        <v>40.19</v>
      </c>
      <c r="C433" s="6">
        <v>20.72</v>
      </c>
      <c r="D433" s="7">
        <v>2.2799999999999998</v>
      </c>
      <c r="E433" s="6">
        <v>1.31</v>
      </c>
      <c r="G433" s="31"/>
    </row>
    <row r="434" spans="1:7" x14ac:dyDescent="0.25">
      <c r="A434" s="36">
        <v>40246</v>
      </c>
      <c r="B434" s="6">
        <v>40.24</v>
      </c>
      <c r="C434" s="6">
        <v>20.75</v>
      </c>
      <c r="D434" s="7">
        <v>2.2799999999999998</v>
      </c>
      <c r="E434" s="6">
        <v>1.3</v>
      </c>
      <c r="G434" s="31"/>
    </row>
    <row r="435" spans="1:7" x14ac:dyDescent="0.25">
      <c r="A435" s="36">
        <v>40247</v>
      </c>
      <c r="B435" s="6">
        <v>40.29</v>
      </c>
      <c r="C435" s="6">
        <v>20.82</v>
      </c>
      <c r="D435" s="7">
        <v>2.2799999999999998</v>
      </c>
      <c r="E435" s="6">
        <v>1.31</v>
      </c>
      <c r="G435" s="31"/>
    </row>
    <row r="436" spans="1:7" x14ac:dyDescent="0.25">
      <c r="A436" s="36">
        <v>40248</v>
      </c>
      <c r="B436" s="6">
        <v>40.33</v>
      </c>
      <c r="C436" s="6">
        <v>20.86</v>
      </c>
      <c r="D436" s="7">
        <v>2.2799999999999998</v>
      </c>
      <c r="E436" s="6">
        <v>1.33</v>
      </c>
      <c r="G436" s="31"/>
    </row>
    <row r="437" spans="1:7" x14ac:dyDescent="0.25">
      <c r="A437" s="36">
        <v>40249</v>
      </c>
      <c r="B437" s="6">
        <v>40.409999999999997</v>
      </c>
      <c r="C437" s="6">
        <v>20.9</v>
      </c>
      <c r="D437" s="6">
        <v>2.36</v>
      </c>
      <c r="E437" s="6">
        <v>1.38</v>
      </c>
      <c r="G437" s="31"/>
    </row>
    <row r="438" spans="1:7" x14ac:dyDescent="0.25">
      <c r="A438" s="36">
        <v>40250</v>
      </c>
      <c r="B438" s="6">
        <v>40.450000000000003</v>
      </c>
      <c r="C438" s="6">
        <v>20.94</v>
      </c>
      <c r="D438" s="6">
        <v>2.4</v>
      </c>
      <c r="E438" s="6">
        <v>1.43</v>
      </c>
      <c r="G438" s="31"/>
    </row>
    <row r="439" spans="1:7" x14ac:dyDescent="0.25">
      <c r="A439" s="36">
        <v>40251</v>
      </c>
      <c r="B439" s="6">
        <v>40.53</v>
      </c>
      <c r="C439" s="6">
        <v>20.98</v>
      </c>
      <c r="D439" s="6">
        <v>2.46</v>
      </c>
      <c r="E439" s="6">
        <v>1.48</v>
      </c>
      <c r="G439" s="31"/>
    </row>
    <row r="440" spans="1:7" x14ac:dyDescent="0.25">
      <c r="A440" s="36">
        <v>40252</v>
      </c>
      <c r="B440" s="6">
        <v>40.57</v>
      </c>
      <c r="C440" s="6">
        <v>21.04</v>
      </c>
      <c r="D440" s="6">
        <v>2.48</v>
      </c>
      <c r="E440" s="6">
        <v>1.46</v>
      </c>
      <c r="G440" s="31"/>
    </row>
    <row r="441" spans="1:7" x14ac:dyDescent="0.25">
      <c r="A441" s="36">
        <v>40253</v>
      </c>
      <c r="B441" s="6">
        <v>40.6</v>
      </c>
      <c r="C441" s="6">
        <v>21.12</v>
      </c>
      <c r="D441" s="6">
        <v>2.54</v>
      </c>
      <c r="E441" s="6">
        <v>1.55</v>
      </c>
      <c r="G441" s="31"/>
    </row>
    <row r="442" spans="1:7" x14ac:dyDescent="0.25">
      <c r="A442" s="36">
        <v>40254</v>
      </c>
      <c r="B442" s="6">
        <v>40.61</v>
      </c>
      <c r="C442" s="6">
        <v>21.17</v>
      </c>
      <c r="D442" s="6">
        <v>2.56</v>
      </c>
      <c r="E442" s="6">
        <v>1.6</v>
      </c>
      <c r="G442" s="31"/>
    </row>
    <row r="443" spans="1:7" x14ac:dyDescent="0.25">
      <c r="A443" s="36">
        <v>40255</v>
      </c>
      <c r="B443" s="6">
        <v>40.61</v>
      </c>
      <c r="C443" s="6">
        <v>21.25</v>
      </c>
      <c r="D443" s="6">
        <v>2.6</v>
      </c>
      <c r="E443" s="6">
        <v>1.56</v>
      </c>
      <c r="G443" s="31"/>
    </row>
    <row r="444" spans="1:7" x14ac:dyDescent="0.25">
      <c r="A444" s="36">
        <v>40256</v>
      </c>
      <c r="B444" s="6">
        <v>40.6</v>
      </c>
      <c r="C444" s="6">
        <v>21.3</v>
      </c>
      <c r="D444" s="6">
        <v>2.62</v>
      </c>
      <c r="E444" s="6">
        <v>1.6</v>
      </c>
      <c r="G444" s="31"/>
    </row>
    <row r="445" spans="1:7" x14ac:dyDescent="0.25">
      <c r="A445" s="36">
        <v>40257</v>
      </c>
      <c r="B445" s="6">
        <v>40.6</v>
      </c>
      <c r="C445" s="6">
        <v>21.35</v>
      </c>
      <c r="D445" s="6">
        <v>2.64</v>
      </c>
      <c r="E445" s="6">
        <v>1.55</v>
      </c>
      <c r="G445" s="31"/>
    </row>
    <row r="446" spans="1:7" x14ac:dyDescent="0.25">
      <c r="A446" s="36">
        <v>40258</v>
      </c>
      <c r="B446" s="6">
        <v>40.6</v>
      </c>
      <c r="C446" s="6">
        <v>21.4</v>
      </c>
      <c r="D446" s="6">
        <v>2.66</v>
      </c>
      <c r="E446" s="6">
        <v>1.58</v>
      </c>
      <c r="G446" s="31"/>
    </row>
    <row r="447" spans="1:7" x14ac:dyDescent="0.25">
      <c r="A447" s="36">
        <v>40259</v>
      </c>
      <c r="B447" s="6">
        <v>40.6</v>
      </c>
      <c r="C447" s="6">
        <v>21.44</v>
      </c>
      <c r="D447" s="6">
        <v>2.68</v>
      </c>
      <c r="E447" s="6">
        <v>1.54</v>
      </c>
      <c r="G447" s="31"/>
    </row>
    <row r="448" spans="1:7" x14ac:dyDescent="0.25">
      <c r="A448" s="36">
        <v>40260</v>
      </c>
      <c r="B448" s="6">
        <v>40.64</v>
      </c>
      <c r="C448" s="6">
        <v>21.45</v>
      </c>
      <c r="D448" s="6">
        <v>2.78</v>
      </c>
      <c r="E448" s="6">
        <v>1.53</v>
      </c>
      <c r="G448" s="31"/>
    </row>
    <row r="449" spans="1:7" x14ac:dyDescent="0.25">
      <c r="A449" s="36">
        <v>40261</v>
      </c>
      <c r="B449" s="6">
        <v>40.700000000000003</v>
      </c>
      <c r="C449" s="6">
        <v>21.46</v>
      </c>
      <c r="D449" s="6">
        <v>2.84</v>
      </c>
      <c r="E449" s="6">
        <v>1.51</v>
      </c>
      <c r="G449" s="31"/>
    </row>
    <row r="450" spans="1:7" x14ac:dyDescent="0.25">
      <c r="A450" s="36">
        <v>40262</v>
      </c>
      <c r="B450" s="6">
        <v>40.74</v>
      </c>
      <c r="C450" s="6">
        <v>21.45</v>
      </c>
      <c r="D450" s="6">
        <v>2.94</v>
      </c>
      <c r="E450" s="6">
        <v>1.58</v>
      </c>
      <c r="G450" s="31"/>
    </row>
    <row r="451" spans="1:7" x14ac:dyDescent="0.25">
      <c r="A451" s="36">
        <v>40263</v>
      </c>
      <c r="B451" s="6">
        <v>40.79</v>
      </c>
      <c r="C451" s="6">
        <v>21.44</v>
      </c>
      <c r="D451" s="6">
        <v>3.06</v>
      </c>
      <c r="E451" s="6">
        <v>1.63</v>
      </c>
      <c r="G451" s="31"/>
    </row>
    <row r="452" spans="1:7" x14ac:dyDescent="0.25">
      <c r="A452" s="36">
        <v>40264</v>
      </c>
      <c r="B452" s="6">
        <v>40.83</v>
      </c>
      <c r="C452" s="6">
        <v>21.43</v>
      </c>
      <c r="D452" s="6">
        <v>3.08</v>
      </c>
      <c r="E452" s="6">
        <v>1.6</v>
      </c>
      <c r="G452" s="31"/>
    </row>
    <row r="453" spans="1:7" x14ac:dyDescent="0.25">
      <c r="A453" s="36">
        <v>40265</v>
      </c>
      <c r="B453" s="6">
        <v>40.799999999999997</v>
      </c>
      <c r="C453" s="6">
        <v>21.46</v>
      </c>
      <c r="D453" s="6">
        <v>3.06</v>
      </c>
      <c r="E453" s="6">
        <v>1.63</v>
      </c>
      <c r="G453" s="31"/>
    </row>
    <row r="454" spans="1:7" x14ac:dyDescent="0.25">
      <c r="A454" s="36">
        <v>40266</v>
      </c>
      <c r="B454" s="6">
        <v>40.78</v>
      </c>
      <c r="C454" s="6">
        <v>21.5</v>
      </c>
      <c r="D454" s="6">
        <v>3</v>
      </c>
      <c r="E454" s="6">
        <v>1.63</v>
      </c>
      <c r="G454" s="31"/>
    </row>
    <row r="455" spans="1:7" x14ac:dyDescent="0.25">
      <c r="A455" s="36">
        <v>40267</v>
      </c>
      <c r="B455" s="6">
        <v>40.729999999999997</v>
      </c>
      <c r="C455" s="6">
        <v>21.58</v>
      </c>
      <c r="D455" s="6">
        <v>2.98</v>
      </c>
      <c r="E455" s="6">
        <v>1.66</v>
      </c>
      <c r="G455" s="31"/>
    </row>
    <row r="456" spans="1:7" x14ac:dyDescent="0.25">
      <c r="A456" s="36">
        <v>40268</v>
      </c>
      <c r="B456" s="6">
        <v>40.68</v>
      </c>
      <c r="C456" s="6">
        <v>21.64</v>
      </c>
      <c r="D456" s="6">
        <v>2.98</v>
      </c>
      <c r="E456" s="6">
        <v>1.7</v>
      </c>
      <c r="G456" s="31"/>
    </row>
    <row r="457" spans="1:7" x14ac:dyDescent="0.25">
      <c r="A457" s="36">
        <v>40269</v>
      </c>
      <c r="B457" s="6">
        <v>40.630000000000003</v>
      </c>
      <c r="C457" s="6">
        <v>21.65</v>
      </c>
      <c r="D457" s="6">
        <v>2.96</v>
      </c>
      <c r="E457" s="6">
        <v>1.66</v>
      </c>
      <c r="G457" s="31"/>
    </row>
    <row r="458" spans="1:7" x14ac:dyDescent="0.25">
      <c r="A458" s="36">
        <v>40270</v>
      </c>
      <c r="B458" s="6">
        <v>40.58</v>
      </c>
      <c r="C458" s="6">
        <v>21.65</v>
      </c>
      <c r="D458" s="6">
        <v>2.9</v>
      </c>
      <c r="E458" s="6">
        <v>1.57</v>
      </c>
      <c r="G458" s="31"/>
    </row>
    <row r="459" spans="1:7" x14ac:dyDescent="0.25">
      <c r="A459" s="36">
        <v>40271</v>
      </c>
      <c r="B459" s="6">
        <v>40.549999999999997</v>
      </c>
      <c r="C459" s="6">
        <v>21.58</v>
      </c>
      <c r="D459" s="6">
        <v>2.9</v>
      </c>
      <c r="E459" s="6">
        <v>1.54</v>
      </c>
      <c r="G459" s="31"/>
    </row>
    <row r="460" spans="1:7" x14ac:dyDescent="0.25">
      <c r="A460" s="36">
        <v>40272</v>
      </c>
      <c r="B460" s="6">
        <v>40.54</v>
      </c>
      <c r="C460" s="6">
        <v>21.49</v>
      </c>
      <c r="D460" s="6">
        <v>2.92</v>
      </c>
      <c r="E460" s="6">
        <v>1.52</v>
      </c>
      <c r="G460" s="31"/>
    </row>
    <row r="461" spans="1:7" x14ac:dyDescent="0.25">
      <c r="A461" s="36">
        <v>40273</v>
      </c>
      <c r="B461" s="6">
        <v>40.57</v>
      </c>
      <c r="C461" s="6">
        <v>21.42</v>
      </c>
      <c r="D461" s="6">
        <v>2.92</v>
      </c>
      <c r="E461" s="6">
        <v>1.51</v>
      </c>
      <c r="G461" s="31"/>
    </row>
    <row r="462" spans="1:7" x14ac:dyDescent="0.25">
      <c r="A462" s="36">
        <v>40274</v>
      </c>
      <c r="B462" s="6">
        <v>40.61</v>
      </c>
      <c r="C462" s="6">
        <v>21.35</v>
      </c>
      <c r="D462" s="6">
        <v>2.9</v>
      </c>
      <c r="E462" s="6">
        <v>1.54</v>
      </c>
      <c r="G462" s="31"/>
    </row>
    <row r="463" spans="1:7" x14ac:dyDescent="0.25">
      <c r="A463" s="36">
        <v>40275</v>
      </c>
      <c r="B463" s="6">
        <v>40.67</v>
      </c>
      <c r="C463" s="6">
        <v>21.32</v>
      </c>
      <c r="D463" s="6">
        <v>2.88</v>
      </c>
      <c r="E463" s="6">
        <v>1.54</v>
      </c>
      <c r="G463" s="31"/>
    </row>
    <row r="464" spans="1:7" x14ac:dyDescent="0.25">
      <c r="A464" s="36">
        <v>40276</v>
      </c>
      <c r="B464" s="6">
        <v>40.79</v>
      </c>
      <c r="C464" s="6">
        <v>21.4</v>
      </c>
      <c r="D464" s="6">
        <v>2.9</v>
      </c>
      <c r="E464" s="6">
        <v>1.58</v>
      </c>
      <c r="G464" s="31"/>
    </row>
    <row r="465" spans="1:7" x14ac:dyDescent="0.25">
      <c r="A465" s="36">
        <v>40277</v>
      </c>
      <c r="B465" s="6">
        <v>40.92</v>
      </c>
      <c r="C465" s="6">
        <v>21.51</v>
      </c>
      <c r="D465" s="6">
        <v>2.9</v>
      </c>
      <c r="E465" s="6">
        <v>1.48</v>
      </c>
      <c r="G465" s="31"/>
    </row>
    <row r="466" spans="1:7" x14ac:dyDescent="0.25">
      <c r="A466" s="36">
        <v>40278</v>
      </c>
      <c r="B466" s="6">
        <v>41.09</v>
      </c>
      <c r="C466" s="6">
        <v>21.72</v>
      </c>
      <c r="D466" s="6">
        <v>2.88</v>
      </c>
      <c r="E466" s="6">
        <v>1.48</v>
      </c>
      <c r="G466" s="31"/>
    </row>
    <row r="467" spans="1:7" x14ac:dyDescent="0.25">
      <c r="A467" s="36">
        <v>40279</v>
      </c>
      <c r="B467" s="6">
        <v>41.34</v>
      </c>
      <c r="C467" s="6">
        <v>21.93</v>
      </c>
      <c r="D467" s="6">
        <v>2.82</v>
      </c>
      <c r="E467" s="6">
        <v>1.46</v>
      </c>
      <c r="G467" s="31"/>
    </row>
    <row r="468" spans="1:7" x14ac:dyDescent="0.25">
      <c r="A468" s="36">
        <v>40280</v>
      </c>
      <c r="B468" s="6">
        <v>41.65</v>
      </c>
      <c r="C468" s="6">
        <v>22.08</v>
      </c>
      <c r="D468" s="6">
        <v>2.9</v>
      </c>
      <c r="E468" s="6">
        <v>1.49</v>
      </c>
      <c r="G468" s="31"/>
    </row>
    <row r="469" spans="1:7" x14ac:dyDescent="0.25">
      <c r="A469" s="36">
        <v>40281</v>
      </c>
      <c r="B469" s="6">
        <v>42.03</v>
      </c>
      <c r="C469" s="6">
        <v>22.23</v>
      </c>
      <c r="D469" s="6">
        <v>3.08</v>
      </c>
      <c r="E469" s="6">
        <v>1.61</v>
      </c>
      <c r="G469" s="31"/>
    </row>
    <row r="470" spans="1:7" x14ac:dyDescent="0.25">
      <c r="A470" s="36">
        <v>40282</v>
      </c>
      <c r="B470" s="6">
        <v>42.42</v>
      </c>
      <c r="C470" s="6">
        <v>22.4</v>
      </c>
      <c r="D470" s="6">
        <v>3.3</v>
      </c>
      <c r="E470" s="6">
        <v>1.71</v>
      </c>
      <c r="G470" s="31"/>
    </row>
    <row r="471" spans="1:7" x14ac:dyDescent="0.25">
      <c r="A471" s="36">
        <v>40283</v>
      </c>
      <c r="B471" s="6">
        <v>42.75</v>
      </c>
      <c r="C471" s="6">
        <v>22.7</v>
      </c>
      <c r="D471" s="6">
        <v>3.62</v>
      </c>
      <c r="E471" s="6">
        <v>1.77</v>
      </c>
      <c r="G471" s="31"/>
    </row>
    <row r="472" spans="1:7" x14ac:dyDescent="0.25">
      <c r="A472" s="36">
        <v>40284</v>
      </c>
      <c r="B472" s="6">
        <v>43</v>
      </c>
      <c r="C472" s="6">
        <v>23.17</v>
      </c>
      <c r="D472" s="6">
        <v>3.92</v>
      </c>
      <c r="E472" s="6">
        <v>1.87</v>
      </c>
      <c r="G472" s="31"/>
    </row>
    <row r="473" spans="1:7" x14ac:dyDescent="0.25">
      <c r="A473" s="36">
        <v>40285</v>
      </c>
      <c r="B473" s="6">
        <v>43.38</v>
      </c>
      <c r="C473" s="6">
        <v>23.67</v>
      </c>
      <c r="D473" s="6">
        <v>4.32</v>
      </c>
      <c r="E473" s="6">
        <v>2.04</v>
      </c>
      <c r="G473" s="31"/>
    </row>
    <row r="474" spans="1:7" x14ac:dyDescent="0.25">
      <c r="A474" s="36">
        <v>40286</v>
      </c>
      <c r="B474" s="6">
        <v>43.64</v>
      </c>
      <c r="C474" s="6">
        <v>24.2</v>
      </c>
      <c r="D474" s="6">
        <v>4.58</v>
      </c>
      <c r="E474" s="6">
        <v>2.16</v>
      </c>
      <c r="G474" s="31"/>
    </row>
    <row r="475" spans="1:7" x14ac:dyDescent="0.25">
      <c r="A475" s="36">
        <v>40287</v>
      </c>
      <c r="B475" s="6">
        <v>43.86</v>
      </c>
      <c r="C475" s="6">
        <v>24.75</v>
      </c>
      <c r="D475" s="6">
        <v>4.8</v>
      </c>
      <c r="E475" s="6">
        <v>2.2999999999999998</v>
      </c>
      <c r="G475" s="31"/>
    </row>
    <row r="476" spans="1:7" x14ac:dyDescent="0.25">
      <c r="A476" s="36">
        <v>40288</v>
      </c>
      <c r="B476" s="6">
        <v>44.04</v>
      </c>
      <c r="C476" s="6">
        <v>24.95</v>
      </c>
      <c r="D476" s="6">
        <v>5.3</v>
      </c>
      <c r="E476" s="6">
        <v>2.48</v>
      </c>
      <c r="G476" s="31"/>
    </row>
    <row r="477" spans="1:7" x14ac:dyDescent="0.25">
      <c r="A477" s="36">
        <v>40289</v>
      </c>
      <c r="B477" s="6">
        <v>44.26</v>
      </c>
      <c r="C477" s="6">
        <v>25.27</v>
      </c>
      <c r="D477" s="6">
        <v>5.84</v>
      </c>
      <c r="E477" s="6">
        <v>2.74</v>
      </c>
      <c r="G477" s="31"/>
    </row>
    <row r="478" spans="1:7" x14ac:dyDescent="0.25">
      <c r="A478" s="36">
        <v>40290</v>
      </c>
      <c r="B478" s="6">
        <v>44.42</v>
      </c>
      <c r="C478" s="6">
        <v>25.53</v>
      </c>
      <c r="D478" s="6">
        <v>6.28</v>
      </c>
      <c r="E478" s="6">
        <v>2.97</v>
      </c>
      <c r="G478" s="31"/>
    </row>
    <row r="479" spans="1:7" x14ac:dyDescent="0.25">
      <c r="A479" s="36">
        <v>40291</v>
      </c>
      <c r="B479" s="6">
        <v>44.64</v>
      </c>
      <c r="C479" s="6">
        <v>25.73</v>
      </c>
      <c r="D479" s="6">
        <v>6.68</v>
      </c>
      <c r="E479" s="6">
        <v>3.28</v>
      </c>
      <c r="G479" s="31"/>
    </row>
    <row r="480" spans="1:7" x14ac:dyDescent="0.25">
      <c r="A480" s="36">
        <v>40292</v>
      </c>
      <c r="B480" s="6">
        <v>44.82</v>
      </c>
      <c r="C480" s="6">
        <v>25.95</v>
      </c>
      <c r="D480" s="6">
        <v>6.94</v>
      </c>
      <c r="E480" s="6">
        <v>3.51</v>
      </c>
      <c r="G480" s="31"/>
    </row>
    <row r="481" spans="1:7" x14ac:dyDescent="0.25">
      <c r="A481" s="36">
        <v>40293</v>
      </c>
      <c r="B481" s="6">
        <v>45.03</v>
      </c>
      <c r="C481" s="6">
        <v>26.13</v>
      </c>
      <c r="D481" s="6">
        <v>7.1</v>
      </c>
      <c r="E481" s="6">
        <v>3.59</v>
      </c>
      <c r="G481" s="31"/>
    </row>
    <row r="482" spans="1:7" x14ac:dyDescent="0.25">
      <c r="A482" s="36">
        <v>40294</v>
      </c>
      <c r="B482" s="6">
        <v>45.27</v>
      </c>
      <c r="C482" s="6">
        <v>26.24</v>
      </c>
      <c r="D482" s="6">
        <v>7.26</v>
      </c>
      <c r="E482" s="6">
        <v>3.71</v>
      </c>
      <c r="G482" s="31"/>
    </row>
    <row r="483" spans="1:7" x14ac:dyDescent="0.25">
      <c r="A483" s="36">
        <v>40295</v>
      </c>
      <c r="B483" s="6">
        <v>45.46</v>
      </c>
      <c r="C483" s="6">
        <v>26.52</v>
      </c>
      <c r="D483" s="6">
        <v>7.38</v>
      </c>
      <c r="E483" s="6">
        <v>3.82</v>
      </c>
      <c r="G483" s="31"/>
    </row>
    <row r="484" spans="1:7" x14ac:dyDescent="0.25">
      <c r="A484" s="36">
        <v>40296</v>
      </c>
      <c r="B484" s="6">
        <v>45.68</v>
      </c>
      <c r="C484" s="6">
        <v>26.76</v>
      </c>
      <c r="D484" s="6">
        <v>7.58</v>
      </c>
      <c r="E484" s="6">
        <v>3.94</v>
      </c>
      <c r="G484" s="31"/>
    </row>
    <row r="485" spans="1:7" x14ac:dyDescent="0.25">
      <c r="A485" s="36">
        <v>40297</v>
      </c>
      <c r="B485" s="6">
        <v>45.86</v>
      </c>
      <c r="C485" s="6">
        <v>26.91</v>
      </c>
      <c r="D485" s="6">
        <v>7.78</v>
      </c>
      <c r="E485" s="6">
        <v>4.0599999999999996</v>
      </c>
      <c r="G485" s="31"/>
    </row>
    <row r="486" spans="1:7" x14ac:dyDescent="0.25">
      <c r="A486" s="36">
        <v>40298</v>
      </c>
      <c r="B486" s="6">
        <v>46.03</v>
      </c>
      <c r="C486" s="6">
        <v>27.09</v>
      </c>
      <c r="D486" s="6">
        <v>8</v>
      </c>
      <c r="E486" s="6">
        <v>4.21</v>
      </c>
      <c r="G486" s="31"/>
    </row>
    <row r="487" spans="1:7" x14ac:dyDescent="0.25">
      <c r="A487" s="36">
        <v>40299</v>
      </c>
      <c r="B487" s="6">
        <v>46.16</v>
      </c>
      <c r="C487" s="6">
        <v>27.24</v>
      </c>
      <c r="D487" s="6">
        <v>8.32</v>
      </c>
      <c r="E487" s="6">
        <v>4.3600000000000003</v>
      </c>
      <c r="G487" s="31"/>
    </row>
    <row r="488" spans="1:7" x14ac:dyDescent="0.25">
      <c r="A488" s="36">
        <v>40300</v>
      </c>
      <c r="B488" s="6">
        <v>46.25</v>
      </c>
      <c r="C488" s="6">
        <v>27.34</v>
      </c>
      <c r="D488" s="6">
        <v>8.5</v>
      </c>
      <c r="E488" s="6">
        <v>4.5</v>
      </c>
      <c r="G488" s="31"/>
    </row>
    <row r="489" spans="1:7" x14ac:dyDescent="0.25">
      <c r="A489" s="36">
        <v>40301</v>
      </c>
      <c r="B489" s="6">
        <v>46.29</v>
      </c>
      <c r="C489" s="6">
        <v>27.44</v>
      </c>
      <c r="D489" s="6">
        <v>8.66</v>
      </c>
      <c r="E489" s="6">
        <v>4.5999999999999996</v>
      </c>
      <c r="G489" s="31"/>
    </row>
    <row r="490" spans="1:7" x14ac:dyDescent="0.25">
      <c r="A490" s="36">
        <v>40302</v>
      </c>
      <c r="B490" s="6">
        <v>46.32</v>
      </c>
      <c r="C490" s="6">
        <v>27.47</v>
      </c>
      <c r="D490" s="6">
        <v>8.8000000000000007</v>
      </c>
      <c r="E490" s="6">
        <v>4.72</v>
      </c>
      <c r="G490" s="31"/>
    </row>
    <row r="491" spans="1:7" x14ac:dyDescent="0.25">
      <c r="A491" s="36">
        <v>40303</v>
      </c>
      <c r="B491" s="6">
        <v>46.38</v>
      </c>
      <c r="C491" s="6">
        <v>27.51</v>
      </c>
      <c r="D491" s="6">
        <v>8.86</v>
      </c>
      <c r="E491" s="6">
        <v>4.7699999999999996</v>
      </c>
      <c r="G491" s="31"/>
    </row>
    <row r="492" spans="1:7" x14ac:dyDescent="0.25">
      <c r="A492" s="36">
        <v>40304</v>
      </c>
      <c r="B492" s="6">
        <v>46.45</v>
      </c>
      <c r="C492" s="6">
        <v>27.54</v>
      </c>
      <c r="D492" s="6">
        <v>8.9</v>
      </c>
      <c r="E492" s="6">
        <v>4.82</v>
      </c>
      <c r="G492" s="31"/>
    </row>
    <row r="493" spans="1:7" x14ac:dyDescent="0.25">
      <c r="A493" s="36">
        <v>40305</v>
      </c>
      <c r="B493" s="6">
        <v>46.51</v>
      </c>
      <c r="C493" s="6">
        <v>27.55</v>
      </c>
      <c r="D493" s="6">
        <v>8.94</v>
      </c>
      <c r="E493" s="6">
        <v>4.8600000000000003</v>
      </c>
      <c r="G493" s="31"/>
    </row>
    <row r="494" spans="1:7" x14ac:dyDescent="0.25">
      <c r="A494" s="36">
        <v>40306</v>
      </c>
      <c r="B494" s="6">
        <v>46.58</v>
      </c>
      <c r="C494" s="6">
        <v>27.55</v>
      </c>
      <c r="D494" s="6">
        <v>8.94</v>
      </c>
      <c r="E494" s="6">
        <v>4.88</v>
      </c>
      <c r="G494" s="31"/>
    </row>
    <row r="495" spans="1:7" x14ac:dyDescent="0.25">
      <c r="A495" s="36">
        <v>40307</v>
      </c>
      <c r="B495" s="6">
        <v>46.62</v>
      </c>
      <c r="C495" s="6">
        <v>27.57</v>
      </c>
      <c r="D495" s="6">
        <v>8.9</v>
      </c>
      <c r="E495" s="6">
        <v>4.88</v>
      </c>
      <c r="G495" s="31"/>
    </row>
    <row r="496" spans="1:7" x14ac:dyDescent="0.25">
      <c r="A496" s="36">
        <v>40308</v>
      </c>
      <c r="B496" s="6">
        <v>46.68</v>
      </c>
      <c r="C496" s="6">
        <v>27.6</v>
      </c>
      <c r="D496" s="6">
        <v>8.9</v>
      </c>
      <c r="E496" s="6">
        <v>4.84</v>
      </c>
      <c r="G496" s="31"/>
    </row>
    <row r="497" spans="1:7" x14ac:dyDescent="0.25">
      <c r="A497" s="36">
        <v>40309</v>
      </c>
      <c r="B497" s="6">
        <v>46.76</v>
      </c>
      <c r="C497" s="6">
        <v>27.62</v>
      </c>
      <c r="D497" s="6">
        <v>8.9</v>
      </c>
      <c r="E497" s="6">
        <v>4.87</v>
      </c>
      <c r="G497" s="31"/>
    </row>
    <row r="498" spans="1:7" x14ac:dyDescent="0.25">
      <c r="A498" s="36">
        <v>40310</v>
      </c>
      <c r="B498" s="6">
        <v>46.82</v>
      </c>
      <c r="C498" s="6">
        <v>27.7</v>
      </c>
      <c r="D498" s="6">
        <v>8.9</v>
      </c>
      <c r="E498" s="6">
        <v>4.92</v>
      </c>
      <c r="G498" s="31"/>
    </row>
    <row r="499" spans="1:7" x14ac:dyDescent="0.25">
      <c r="A499" s="36">
        <v>40311</v>
      </c>
      <c r="B499" s="6">
        <v>47.02</v>
      </c>
      <c r="C499" s="6">
        <v>27.76</v>
      </c>
      <c r="D499" s="6">
        <v>9.02</v>
      </c>
      <c r="E499" s="6">
        <v>4.9400000000000004</v>
      </c>
      <c r="G499" s="31"/>
    </row>
    <row r="500" spans="1:7" x14ac:dyDescent="0.25">
      <c r="A500" s="36">
        <v>40312</v>
      </c>
      <c r="B500" s="6">
        <v>47.18</v>
      </c>
      <c r="C500" s="6">
        <v>27.82</v>
      </c>
      <c r="D500" s="6">
        <v>9.1</v>
      </c>
      <c r="E500" s="6">
        <v>5</v>
      </c>
      <c r="G500" s="31"/>
    </row>
    <row r="501" spans="1:7" x14ac:dyDescent="0.25">
      <c r="A501" s="36">
        <v>40313</v>
      </c>
      <c r="B501" s="6">
        <v>47.36</v>
      </c>
      <c r="C501" s="6">
        <v>27.91</v>
      </c>
      <c r="D501" s="6">
        <v>9.1999999999999993</v>
      </c>
      <c r="E501" s="6">
        <v>5.0599999999999996</v>
      </c>
      <c r="G501" s="31"/>
    </row>
    <row r="502" spans="1:7" x14ac:dyDescent="0.25">
      <c r="A502" s="36">
        <v>40314</v>
      </c>
      <c r="B502" s="6">
        <v>47.52</v>
      </c>
      <c r="C502" s="6">
        <v>28.05</v>
      </c>
      <c r="D502" s="6">
        <v>9.26</v>
      </c>
      <c r="E502" s="6">
        <v>5.12</v>
      </c>
      <c r="G502" s="31"/>
    </row>
    <row r="503" spans="1:7" x14ac:dyDescent="0.25">
      <c r="A503" s="36">
        <v>40315</v>
      </c>
      <c r="B503" s="6">
        <v>47.72</v>
      </c>
      <c r="C503" s="6">
        <v>28.19</v>
      </c>
      <c r="D503" s="6">
        <v>9.5</v>
      </c>
      <c r="E503" s="6">
        <v>5.22</v>
      </c>
      <c r="G503" s="31"/>
    </row>
    <row r="504" spans="1:7" x14ac:dyDescent="0.25">
      <c r="A504" s="36">
        <v>40316</v>
      </c>
      <c r="B504" s="6">
        <v>47.86</v>
      </c>
      <c r="C504" s="6">
        <v>28.32</v>
      </c>
      <c r="D504" s="6">
        <v>9.6999999999999993</v>
      </c>
      <c r="E504" s="6">
        <v>5.43</v>
      </c>
      <c r="G504" s="31"/>
    </row>
    <row r="505" spans="1:7" x14ac:dyDescent="0.25">
      <c r="A505" s="36">
        <v>40317</v>
      </c>
      <c r="B505" s="6">
        <v>47.96</v>
      </c>
      <c r="C505" s="6">
        <v>28.48</v>
      </c>
      <c r="D505" s="6">
        <v>9.92</v>
      </c>
      <c r="E505" s="6">
        <v>5.52</v>
      </c>
      <c r="G505" s="31"/>
    </row>
    <row r="506" spans="1:7" x14ac:dyDescent="0.25">
      <c r="A506" s="36">
        <v>40318</v>
      </c>
      <c r="B506" s="6">
        <v>48.1</v>
      </c>
      <c r="C506" s="6">
        <v>28.65</v>
      </c>
      <c r="D506" s="6">
        <v>10.06</v>
      </c>
      <c r="E506" s="6">
        <v>5.66</v>
      </c>
      <c r="G506" s="31"/>
    </row>
    <row r="507" spans="1:7" x14ac:dyDescent="0.25">
      <c r="A507" s="36">
        <v>40319</v>
      </c>
      <c r="B507" s="6">
        <v>48.22</v>
      </c>
      <c r="C507" s="6">
        <v>28.84</v>
      </c>
      <c r="D507" s="6">
        <v>10.199999999999999</v>
      </c>
      <c r="E507" s="6">
        <v>5.75</v>
      </c>
      <c r="G507" s="31"/>
    </row>
    <row r="508" spans="1:7" x14ac:dyDescent="0.25">
      <c r="A508" s="36">
        <v>40320</v>
      </c>
      <c r="B508" s="6">
        <v>48.33</v>
      </c>
      <c r="C508" s="6">
        <v>28.99</v>
      </c>
      <c r="D508" s="6">
        <v>10.3</v>
      </c>
      <c r="E508" s="6">
        <v>5.86</v>
      </c>
      <c r="G508" s="31"/>
    </row>
    <row r="509" spans="1:7" x14ac:dyDescent="0.25">
      <c r="A509" s="36">
        <v>40321</v>
      </c>
      <c r="B509" s="6">
        <v>48.41</v>
      </c>
      <c r="C509" s="6">
        <v>29.05</v>
      </c>
      <c r="D509" s="6">
        <v>10.4</v>
      </c>
      <c r="E509" s="6">
        <v>5.9</v>
      </c>
      <c r="G509" s="31"/>
    </row>
    <row r="510" spans="1:7" x14ac:dyDescent="0.25">
      <c r="A510" s="36">
        <v>40322</v>
      </c>
      <c r="B510" s="6">
        <v>48.49</v>
      </c>
      <c r="C510" s="6">
        <v>29.1</v>
      </c>
      <c r="D510" s="6">
        <v>10.46</v>
      </c>
      <c r="E510" s="6">
        <v>5.95</v>
      </c>
      <c r="G510" s="31"/>
    </row>
    <row r="511" spans="1:7" x14ac:dyDescent="0.25">
      <c r="A511" s="36">
        <v>40323</v>
      </c>
      <c r="B511" s="6">
        <v>48.58</v>
      </c>
      <c r="C511" s="7">
        <v>29.19</v>
      </c>
      <c r="D511" s="7">
        <v>10.54</v>
      </c>
      <c r="E511" s="6">
        <v>6.03</v>
      </c>
      <c r="G511" s="31"/>
    </row>
    <row r="512" spans="1:7" x14ac:dyDescent="0.25">
      <c r="A512" s="36">
        <v>40324</v>
      </c>
      <c r="B512" s="6">
        <v>48.66</v>
      </c>
      <c r="C512" s="7">
        <v>29.28</v>
      </c>
      <c r="D512" s="7">
        <v>10.7</v>
      </c>
      <c r="E512" s="7">
        <v>6.09</v>
      </c>
      <c r="G512" s="31"/>
    </row>
    <row r="513" spans="1:7" x14ac:dyDescent="0.25">
      <c r="A513" s="36">
        <v>40325</v>
      </c>
      <c r="B513" s="7">
        <v>48.88</v>
      </c>
      <c r="C513" s="7">
        <v>29.38</v>
      </c>
      <c r="D513" s="7">
        <v>10.8</v>
      </c>
      <c r="E513" s="7">
        <v>6.18</v>
      </c>
      <c r="G513" s="31"/>
    </row>
    <row r="514" spans="1:7" x14ac:dyDescent="0.25">
      <c r="A514" s="36">
        <v>40326</v>
      </c>
      <c r="B514" s="7">
        <v>48.99</v>
      </c>
      <c r="C514" s="7">
        <v>29.43</v>
      </c>
      <c r="D514" s="7">
        <v>10.9</v>
      </c>
      <c r="E514" s="7">
        <v>6.28</v>
      </c>
      <c r="G514" s="31"/>
    </row>
    <row r="515" spans="1:7" x14ac:dyDescent="0.25">
      <c r="A515" s="36">
        <v>40327</v>
      </c>
      <c r="B515" s="7">
        <v>49.12</v>
      </c>
      <c r="C515" s="7">
        <v>29.5</v>
      </c>
      <c r="D515" s="7">
        <v>10.98</v>
      </c>
      <c r="E515" s="7">
        <v>6.36</v>
      </c>
      <c r="G515" s="31"/>
    </row>
    <row r="516" spans="1:7" x14ac:dyDescent="0.25">
      <c r="A516" s="36">
        <v>40328</v>
      </c>
      <c r="B516" s="7">
        <v>49.24</v>
      </c>
      <c r="C516" s="7">
        <v>29.75</v>
      </c>
      <c r="D516" s="7">
        <v>11.16</v>
      </c>
      <c r="E516" s="7">
        <v>6.42</v>
      </c>
      <c r="G516" s="31"/>
    </row>
    <row r="517" spans="1:7" x14ac:dyDescent="0.25">
      <c r="A517" s="36">
        <v>40329</v>
      </c>
      <c r="B517" s="7">
        <v>49.34</v>
      </c>
      <c r="C517" s="7">
        <v>29.87</v>
      </c>
      <c r="D517" s="7">
        <v>11.22</v>
      </c>
      <c r="E517" s="7">
        <v>6.51</v>
      </c>
      <c r="G517" s="31"/>
    </row>
    <row r="518" spans="1:7" x14ac:dyDescent="0.25">
      <c r="A518" s="36">
        <v>40330</v>
      </c>
      <c r="B518" s="7">
        <v>49.38</v>
      </c>
      <c r="C518" s="7">
        <v>29.99</v>
      </c>
      <c r="D518" s="7">
        <v>11.32</v>
      </c>
      <c r="E518" s="7">
        <v>6.59</v>
      </c>
      <c r="G518" s="31"/>
    </row>
    <row r="519" spans="1:7" x14ac:dyDescent="0.25">
      <c r="A519" s="36">
        <v>40331</v>
      </c>
      <c r="B519" s="7">
        <v>49.4</v>
      </c>
      <c r="C519" s="7">
        <v>30.12</v>
      </c>
      <c r="D519" s="7">
        <v>11.56</v>
      </c>
      <c r="E519" s="7">
        <v>6.7</v>
      </c>
      <c r="G519" s="31"/>
    </row>
    <row r="520" spans="1:7" x14ac:dyDescent="0.25">
      <c r="A520" s="36">
        <v>40332</v>
      </c>
      <c r="B520" s="7">
        <v>49.42</v>
      </c>
      <c r="C520" s="7">
        <v>30.21</v>
      </c>
      <c r="D520" s="7">
        <v>11.68</v>
      </c>
      <c r="E520" s="7">
        <v>6.88</v>
      </c>
      <c r="G520" s="31"/>
    </row>
    <row r="521" spans="1:7" x14ac:dyDescent="0.25">
      <c r="A521" s="36">
        <v>40333</v>
      </c>
      <c r="B521" s="7">
        <v>49.52</v>
      </c>
      <c r="C521" s="7">
        <v>30.3</v>
      </c>
      <c r="D521" s="7">
        <v>11.8</v>
      </c>
      <c r="E521" s="7">
        <v>6.99</v>
      </c>
      <c r="G521" s="31"/>
    </row>
    <row r="522" spans="1:7" x14ac:dyDescent="0.25">
      <c r="A522" s="36">
        <v>40334</v>
      </c>
      <c r="B522" s="7">
        <v>49.52</v>
      </c>
      <c r="C522" s="7">
        <v>30.37</v>
      </c>
      <c r="D522" s="7">
        <v>11.82</v>
      </c>
      <c r="E522" s="7">
        <v>7.11</v>
      </c>
      <c r="G522" s="31"/>
    </row>
    <row r="523" spans="1:7" x14ac:dyDescent="0.25">
      <c r="A523" s="36">
        <v>40335</v>
      </c>
      <c r="B523" s="7">
        <v>49.53</v>
      </c>
      <c r="C523" s="7">
        <v>30.5</v>
      </c>
      <c r="D523" s="7">
        <v>11.88</v>
      </c>
      <c r="E523" s="7">
        <v>7.25</v>
      </c>
      <c r="G523" s="31"/>
    </row>
    <row r="524" spans="1:7" x14ac:dyDescent="0.25">
      <c r="A524" s="36">
        <v>40336</v>
      </c>
      <c r="B524" s="7">
        <v>49.52</v>
      </c>
      <c r="C524" s="7">
        <v>30.55</v>
      </c>
      <c r="D524" s="7">
        <v>11.94</v>
      </c>
      <c r="E524" s="7">
        <v>7.28</v>
      </c>
      <c r="G524" s="31"/>
    </row>
    <row r="525" spans="1:7" x14ac:dyDescent="0.25">
      <c r="A525" s="36">
        <v>40337</v>
      </c>
      <c r="B525" s="7">
        <v>49.52</v>
      </c>
      <c r="C525" s="7">
        <v>30.63</v>
      </c>
      <c r="D525" s="7">
        <v>12.04</v>
      </c>
      <c r="E525" s="7">
        <v>7.39</v>
      </c>
      <c r="G525" s="31"/>
    </row>
    <row r="526" spans="1:7" x14ac:dyDescent="0.25">
      <c r="A526" s="36">
        <v>40338</v>
      </c>
      <c r="B526" s="7">
        <v>49.52</v>
      </c>
      <c r="C526" s="7">
        <v>30.69</v>
      </c>
      <c r="D526" s="7">
        <v>12.14</v>
      </c>
      <c r="E526" s="7">
        <v>7.39</v>
      </c>
      <c r="G526" s="31"/>
    </row>
    <row r="527" spans="1:7" x14ac:dyDescent="0.25">
      <c r="A527" s="36">
        <v>40339</v>
      </c>
      <c r="B527" s="7">
        <v>49.51</v>
      </c>
      <c r="C527" s="7">
        <v>30.77</v>
      </c>
      <c r="D527" s="7">
        <v>12.24</v>
      </c>
      <c r="E527" s="7">
        <v>7.5</v>
      </c>
      <c r="G527" s="31"/>
    </row>
    <row r="528" spans="1:7" x14ac:dyDescent="0.25">
      <c r="A528" s="36">
        <v>40340</v>
      </c>
      <c r="B528" s="7">
        <v>49.53</v>
      </c>
      <c r="C528" s="7">
        <v>30.8</v>
      </c>
      <c r="D528" s="7">
        <v>12.3</v>
      </c>
      <c r="E528" s="7">
        <v>7.58</v>
      </c>
      <c r="G528" s="31"/>
    </row>
    <row r="529" spans="1:7" x14ac:dyDescent="0.25">
      <c r="A529" s="36">
        <v>40341</v>
      </c>
      <c r="B529" s="7">
        <v>49.6</v>
      </c>
      <c r="C529" s="7">
        <v>30.89</v>
      </c>
      <c r="D529" s="7">
        <v>12.36</v>
      </c>
      <c r="E529" s="7">
        <v>7.64</v>
      </c>
      <c r="G529" s="31"/>
    </row>
    <row r="530" spans="1:7" x14ac:dyDescent="0.25">
      <c r="A530" s="36">
        <v>40342</v>
      </c>
      <c r="B530" s="7">
        <v>49.74</v>
      </c>
      <c r="C530" s="7">
        <v>30.95</v>
      </c>
      <c r="D530" s="7">
        <v>12.46</v>
      </c>
      <c r="E530" s="7">
        <v>7.69</v>
      </c>
      <c r="G530" s="31"/>
    </row>
    <row r="531" spans="1:7" x14ac:dyDescent="0.25">
      <c r="A531" s="36">
        <v>40343</v>
      </c>
      <c r="B531" s="7">
        <v>49.74</v>
      </c>
      <c r="C531" s="7">
        <v>31.02</v>
      </c>
      <c r="D531" s="7">
        <v>12.56</v>
      </c>
      <c r="E531" s="7">
        <v>7.73</v>
      </c>
      <c r="G531" s="31"/>
    </row>
    <row r="532" spans="1:7" x14ac:dyDescent="0.25">
      <c r="A532" s="36">
        <v>40344</v>
      </c>
      <c r="B532" s="7">
        <v>49.75</v>
      </c>
      <c r="C532" s="6">
        <v>31.07</v>
      </c>
      <c r="D532" s="6">
        <v>12.68</v>
      </c>
      <c r="E532" s="7">
        <v>7.82</v>
      </c>
      <c r="G532" s="31"/>
    </row>
    <row r="533" spans="1:7" x14ac:dyDescent="0.25">
      <c r="A533" s="36">
        <v>40345</v>
      </c>
      <c r="B533" s="7">
        <v>49.75</v>
      </c>
      <c r="C533" s="6">
        <v>31.13</v>
      </c>
      <c r="D533" s="6">
        <v>12.78</v>
      </c>
      <c r="E533" s="6">
        <v>7.95</v>
      </c>
      <c r="G533" s="31"/>
    </row>
    <row r="534" spans="1:7" x14ac:dyDescent="0.25">
      <c r="A534" s="36">
        <v>40346</v>
      </c>
      <c r="B534" s="6">
        <v>49.76</v>
      </c>
      <c r="C534" s="6">
        <v>31.18</v>
      </c>
      <c r="D534" s="6">
        <v>12.84</v>
      </c>
      <c r="E534" s="6">
        <v>8.0399999999999991</v>
      </c>
      <c r="G534" s="31"/>
    </row>
    <row r="535" spans="1:7" x14ac:dyDescent="0.25">
      <c r="A535" s="36">
        <v>40347</v>
      </c>
      <c r="B535" s="6">
        <v>49.81</v>
      </c>
      <c r="C535" s="6">
        <v>31.26</v>
      </c>
      <c r="D535" s="6">
        <v>13</v>
      </c>
      <c r="E535" s="6">
        <v>8.1</v>
      </c>
      <c r="G535" s="31"/>
    </row>
    <row r="536" spans="1:7" x14ac:dyDescent="0.25">
      <c r="A536" s="36">
        <v>40348</v>
      </c>
      <c r="B536" s="6">
        <v>49.82</v>
      </c>
      <c r="C536" s="6">
        <v>31.32</v>
      </c>
      <c r="D536" s="6">
        <v>13.1</v>
      </c>
      <c r="E536" s="6">
        <v>8.1300000000000008</v>
      </c>
      <c r="G536" s="31"/>
    </row>
    <row r="537" spans="1:7" x14ac:dyDescent="0.25">
      <c r="A537" s="36">
        <v>40349</v>
      </c>
      <c r="B537" s="6">
        <v>49.9</v>
      </c>
      <c r="C537" s="6">
        <v>31.4</v>
      </c>
      <c r="D537" s="6">
        <v>13.18</v>
      </c>
      <c r="E537" s="6">
        <v>8.19</v>
      </c>
      <c r="G537" s="31"/>
    </row>
    <row r="538" spans="1:7" x14ac:dyDescent="0.25">
      <c r="A538" s="36">
        <v>40350</v>
      </c>
      <c r="B538" s="6">
        <v>49.97</v>
      </c>
      <c r="C538" s="6">
        <v>31.5</v>
      </c>
      <c r="D538" s="6">
        <v>13.34</v>
      </c>
      <c r="E538" s="6">
        <v>8.33</v>
      </c>
      <c r="G538" s="31"/>
    </row>
    <row r="539" spans="1:7" x14ac:dyDescent="0.25">
      <c r="A539" s="36">
        <v>40351</v>
      </c>
      <c r="B539" s="6">
        <v>50.01</v>
      </c>
      <c r="C539" s="6">
        <v>31.59</v>
      </c>
      <c r="D539" s="6">
        <v>13.48</v>
      </c>
      <c r="E539" s="6">
        <v>8.4499999999999993</v>
      </c>
      <c r="G539" s="31"/>
    </row>
    <row r="540" spans="1:7" x14ac:dyDescent="0.25">
      <c r="A540" s="36">
        <v>40352</v>
      </c>
      <c r="B540" s="6">
        <v>50.04</v>
      </c>
      <c r="C540" s="6">
        <v>31.66</v>
      </c>
      <c r="D540" s="6">
        <v>13.56</v>
      </c>
      <c r="E540" s="6">
        <v>8.5399999999999991</v>
      </c>
      <c r="G540" s="31"/>
    </row>
    <row r="541" spans="1:7" x14ac:dyDescent="0.25">
      <c r="A541" s="36">
        <v>40353</v>
      </c>
      <c r="B541" s="6">
        <v>50.08</v>
      </c>
      <c r="C541" s="6">
        <v>31.73</v>
      </c>
      <c r="D541" s="6">
        <v>13.66</v>
      </c>
      <c r="E541" s="6">
        <v>8.61</v>
      </c>
      <c r="G541" s="31"/>
    </row>
    <row r="542" spans="1:7" x14ac:dyDescent="0.25">
      <c r="A542" s="36">
        <v>40354</v>
      </c>
      <c r="B542" s="6">
        <v>50.18</v>
      </c>
      <c r="C542" s="6">
        <v>31.79</v>
      </c>
      <c r="D542" s="6">
        <v>13.72</v>
      </c>
      <c r="E542" s="6">
        <v>8.69</v>
      </c>
      <c r="G542" s="31"/>
    </row>
    <row r="543" spans="1:7" x14ac:dyDescent="0.25">
      <c r="A543" s="36">
        <v>40355</v>
      </c>
      <c r="B543" s="6">
        <v>50.22</v>
      </c>
      <c r="C543" s="6">
        <v>31.83</v>
      </c>
      <c r="D543" s="6">
        <v>13.78</v>
      </c>
      <c r="E543" s="6">
        <v>8.75</v>
      </c>
      <c r="G543" s="31"/>
    </row>
    <row r="544" spans="1:7" x14ac:dyDescent="0.25">
      <c r="A544" s="36">
        <v>40356</v>
      </c>
      <c r="B544" s="6">
        <v>50.24</v>
      </c>
      <c r="C544" s="6">
        <v>31.87</v>
      </c>
      <c r="D544" s="6">
        <v>13.82</v>
      </c>
      <c r="E544" s="6">
        <v>8.77</v>
      </c>
      <c r="G544" s="31"/>
    </row>
    <row r="545" spans="1:7" x14ac:dyDescent="0.25">
      <c r="A545" s="36">
        <v>40357</v>
      </c>
      <c r="B545" s="6">
        <v>50.24</v>
      </c>
      <c r="C545" s="6">
        <v>31.94</v>
      </c>
      <c r="D545" s="6">
        <v>13.84</v>
      </c>
      <c r="E545" s="6">
        <v>8.81</v>
      </c>
      <c r="G545" s="31"/>
    </row>
    <row r="546" spans="1:7" x14ac:dyDescent="0.25">
      <c r="A546" s="36">
        <v>40358</v>
      </c>
      <c r="B546" s="6">
        <v>50.33</v>
      </c>
      <c r="C546" s="6">
        <v>31.98</v>
      </c>
      <c r="D546" s="6">
        <v>13.86</v>
      </c>
      <c r="E546" s="6">
        <v>8.83</v>
      </c>
      <c r="G546" s="31"/>
    </row>
    <row r="547" spans="1:7" x14ac:dyDescent="0.25">
      <c r="A547" s="36">
        <v>40359</v>
      </c>
      <c r="B547" s="6">
        <v>50.42</v>
      </c>
      <c r="C547" s="6">
        <v>32.04</v>
      </c>
      <c r="D547" s="6">
        <v>13.9</v>
      </c>
      <c r="E547" s="6">
        <v>8.86</v>
      </c>
      <c r="G547" s="31"/>
    </row>
    <row r="548" spans="1:7" x14ac:dyDescent="0.25">
      <c r="A548" s="36">
        <v>40360</v>
      </c>
      <c r="B548" s="6">
        <v>50.52</v>
      </c>
      <c r="C548" s="6">
        <v>32.1</v>
      </c>
      <c r="D548" s="6">
        <v>13.98</v>
      </c>
      <c r="E548" s="6">
        <v>8.93</v>
      </c>
      <c r="G548" s="31"/>
    </row>
    <row r="549" spans="1:7" x14ac:dyDescent="0.25">
      <c r="A549" s="36">
        <v>40361</v>
      </c>
      <c r="B549" s="6">
        <v>50.56</v>
      </c>
      <c r="C549" s="6">
        <v>32.17</v>
      </c>
      <c r="D549" s="6">
        <v>14.06</v>
      </c>
      <c r="E549" s="6">
        <v>8.9600000000000009</v>
      </c>
      <c r="G549" s="31"/>
    </row>
    <row r="550" spans="1:7" x14ac:dyDescent="0.25">
      <c r="A550" s="36">
        <v>40362</v>
      </c>
      <c r="B550" s="6">
        <v>50.59</v>
      </c>
      <c r="C550" s="6">
        <v>32.21</v>
      </c>
      <c r="D550" s="6">
        <v>14.12</v>
      </c>
      <c r="E550" s="6">
        <v>9.02</v>
      </c>
      <c r="G550" s="31"/>
    </row>
    <row r="551" spans="1:7" x14ac:dyDescent="0.25">
      <c r="A551" s="36">
        <v>40363</v>
      </c>
      <c r="B551" s="6">
        <v>50.65</v>
      </c>
      <c r="C551" s="6">
        <v>32.29</v>
      </c>
      <c r="D551" s="6">
        <v>14.22</v>
      </c>
      <c r="E551" s="6">
        <v>9.06</v>
      </c>
      <c r="G551" s="31"/>
    </row>
    <row r="552" spans="1:7" x14ac:dyDescent="0.25">
      <c r="A552" s="36">
        <v>40364</v>
      </c>
      <c r="B552" s="6">
        <v>50.73</v>
      </c>
      <c r="C552" s="6">
        <v>32.340000000000003</v>
      </c>
      <c r="D552" s="6">
        <v>14.28</v>
      </c>
      <c r="E552" s="6">
        <v>9.1300000000000008</v>
      </c>
      <c r="G552" s="31"/>
    </row>
    <row r="553" spans="1:7" x14ac:dyDescent="0.25">
      <c r="A553" s="36">
        <v>40365</v>
      </c>
      <c r="B553" s="6">
        <v>50.79</v>
      </c>
      <c r="C553" s="6">
        <v>32.4</v>
      </c>
      <c r="D553" s="6">
        <v>14.38</v>
      </c>
      <c r="E553" s="6">
        <v>9.16</v>
      </c>
      <c r="G553" s="31"/>
    </row>
    <row r="554" spans="1:7" x14ac:dyDescent="0.25">
      <c r="A554" s="36">
        <v>40366</v>
      </c>
      <c r="B554" s="6">
        <v>50.83</v>
      </c>
      <c r="C554" s="6">
        <v>32.46</v>
      </c>
      <c r="D554" s="6">
        <v>14.48</v>
      </c>
      <c r="E554" s="6">
        <v>9.27</v>
      </c>
      <c r="G554" s="31"/>
    </row>
    <row r="555" spans="1:7" x14ac:dyDescent="0.25">
      <c r="A555" s="36">
        <v>40367</v>
      </c>
      <c r="B555" s="6">
        <v>50.87</v>
      </c>
      <c r="C555" s="6">
        <v>32.590000000000003</v>
      </c>
      <c r="D555" s="6">
        <v>14.6</v>
      </c>
      <c r="E555" s="6">
        <v>9.36</v>
      </c>
      <c r="G555" s="31"/>
    </row>
    <row r="556" spans="1:7" x14ac:dyDescent="0.25">
      <c r="A556" s="36">
        <v>40368</v>
      </c>
      <c r="B556" s="6">
        <v>50.93</v>
      </c>
      <c r="C556" s="6">
        <v>32.64</v>
      </c>
      <c r="D556" s="6">
        <v>14.7</v>
      </c>
      <c r="E556" s="6">
        <v>9.4600000000000009</v>
      </c>
      <c r="G556" s="31"/>
    </row>
    <row r="557" spans="1:7" x14ac:dyDescent="0.25">
      <c r="A557" s="36">
        <v>40369</v>
      </c>
      <c r="B557" s="6">
        <v>50.9</v>
      </c>
      <c r="C557" s="6">
        <v>32.700000000000003</v>
      </c>
      <c r="D557" s="6">
        <v>14.84</v>
      </c>
      <c r="E557" s="6">
        <v>9.51</v>
      </c>
      <c r="G557" s="31"/>
    </row>
    <row r="558" spans="1:7" x14ac:dyDescent="0.25">
      <c r="A558" s="36">
        <v>40370</v>
      </c>
      <c r="B558" s="6">
        <v>50.88</v>
      </c>
      <c r="C558" s="6">
        <v>32.76</v>
      </c>
      <c r="D558" s="6">
        <v>14.96</v>
      </c>
      <c r="E558" s="6">
        <v>9.58</v>
      </c>
      <c r="G558" s="31"/>
    </row>
    <row r="559" spans="1:7" x14ac:dyDescent="0.25">
      <c r="A559" s="36">
        <v>40371</v>
      </c>
      <c r="B559" s="6">
        <v>50.88</v>
      </c>
      <c r="C559" s="6">
        <v>32.840000000000003</v>
      </c>
      <c r="D559" s="6">
        <v>15</v>
      </c>
      <c r="E559" s="6">
        <v>9.66</v>
      </c>
      <c r="G559" s="31"/>
    </row>
    <row r="560" spans="1:7" x14ac:dyDescent="0.25">
      <c r="A560" s="36">
        <v>40372</v>
      </c>
      <c r="B560" s="6">
        <v>50.89</v>
      </c>
      <c r="C560" s="6">
        <v>32.880000000000003</v>
      </c>
      <c r="D560" s="6">
        <v>15.1</v>
      </c>
      <c r="E560" s="6">
        <v>9.73</v>
      </c>
      <c r="G560" s="31"/>
    </row>
    <row r="561" spans="1:7" x14ac:dyDescent="0.25">
      <c r="A561" s="36">
        <v>40373</v>
      </c>
      <c r="B561" s="6">
        <v>50.89</v>
      </c>
      <c r="C561" s="6">
        <v>32.92</v>
      </c>
      <c r="D561" s="6">
        <v>15.14</v>
      </c>
      <c r="E561" s="6">
        <v>9.81</v>
      </c>
      <c r="G561" s="31"/>
    </row>
    <row r="562" spans="1:7" x14ac:dyDescent="0.25">
      <c r="A562" s="36">
        <v>40374</v>
      </c>
      <c r="B562" s="6">
        <v>50.88</v>
      </c>
      <c r="C562" s="6">
        <v>32.950000000000003</v>
      </c>
      <c r="D562" s="6">
        <v>15.2</v>
      </c>
      <c r="E562" s="6">
        <v>9.8800000000000008</v>
      </c>
      <c r="G562" s="31"/>
    </row>
    <row r="563" spans="1:7" x14ac:dyDescent="0.25">
      <c r="A563" s="36">
        <v>40375</v>
      </c>
      <c r="B563" s="6">
        <v>50.89</v>
      </c>
      <c r="C563" s="6">
        <v>32.979999999999997</v>
      </c>
      <c r="D563" s="6">
        <v>15.24</v>
      </c>
      <c r="E563" s="6">
        <v>9.93</v>
      </c>
      <c r="G563" s="31"/>
    </row>
    <row r="564" spans="1:7" x14ac:dyDescent="0.25">
      <c r="A564" s="36">
        <v>40376</v>
      </c>
      <c r="B564" s="6">
        <v>50.9</v>
      </c>
      <c r="C564" s="6">
        <v>33.090000000000003</v>
      </c>
      <c r="D564" s="6">
        <v>15.36</v>
      </c>
      <c r="E564" s="6">
        <v>9.99</v>
      </c>
      <c r="G564" s="31"/>
    </row>
    <row r="565" spans="1:7" x14ac:dyDescent="0.25">
      <c r="A565" s="36">
        <v>40377</v>
      </c>
      <c r="B565" s="6">
        <v>50.97</v>
      </c>
      <c r="C565" s="6">
        <v>33.130000000000003</v>
      </c>
      <c r="D565" s="6">
        <v>15.38</v>
      </c>
      <c r="E565" s="6">
        <v>10.050000000000001</v>
      </c>
      <c r="G565" s="31"/>
    </row>
    <row r="566" spans="1:7" x14ac:dyDescent="0.25">
      <c r="A566" s="36">
        <v>40378</v>
      </c>
      <c r="B566" s="6">
        <v>51.06</v>
      </c>
      <c r="C566" s="6">
        <v>33.159999999999997</v>
      </c>
      <c r="D566" s="6">
        <v>15.46</v>
      </c>
      <c r="E566" s="6">
        <v>10.050000000000001</v>
      </c>
      <c r="G566" s="31"/>
    </row>
    <row r="567" spans="1:7" x14ac:dyDescent="0.25">
      <c r="A567" s="36">
        <v>40379</v>
      </c>
      <c r="B567" s="6">
        <v>51.07</v>
      </c>
      <c r="C567" s="6">
        <v>33.19</v>
      </c>
      <c r="D567" s="6">
        <v>15.5</v>
      </c>
      <c r="E567" s="6">
        <v>10.09</v>
      </c>
      <c r="G567" s="31"/>
    </row>
    <row r="568" spans="1:7" x14ac:dyDescent="0.25">
      <c r="A568" s="36">
        <v>40380</v>
      </c>
      <c r="B568" s="6">
        <v>51.04</v>
      </c>
      <c r="C568" s="6">
        <v>33.229999999999997</v>
      </c>
      <c r="D568" s="6">
        <v>15.58</v>
      </c>
      <c r="E568" s="6">
        <v>10.19</v>
      </c>
      <c r="G568" s="31"/>
    </row>
    <row r="569" spans="1:7" x14ac:dyDescent="0.25">
      <c r="A569" s="36">
        <v>40381</v>
      </c>
      <c r="B569" s="6">
        <v>51.02</v>
      </c>
      <c r="C569" s="6">
        <v>33.25</v>
      </c>
      <c r="D569" s="6">
        <v>15.62</v>
      </c>
      <c r="E569" s="6">
        <v>10.210000000000001</v>
      </c>
      <c r="G569" s="31"/>
    </row>
    <row r="570" spans="1:7" x14ac:dyDescent="0.25">
      <c r="A570" s="36">
        <v>40382</v>
      </c>
      <c r="B570" s="6">
        <v>51.02</v>
      </c>
      <c r="C570" s="6">
        <v>33.28</v>
      </c>
      <c r="D570" s="6">
        <v>15.68</v>
      </c>
      <c r="E570" s="6">
        <v>10.26</v>
      </c>
      <c r="G570" s="31"/>
    </row>
    <row r="571" spans="1:7" x14ac:dyDescent="0.25">
      <c r="A571" s="36">
        <v>40383</v>
      </c>
      <c r="B571" s="6">
        <v>51</v>
      </c>
      <c r="C571" s="6">
        <v>33.31</v>
      </c>
      <c r="D571" s="6">
        <v>15.7</v>
      </c>
      <c r="E571" s="6">
        <v>10.28</v>
      </c>
      <c r="G571" s="31"/>
    </row>
    <row r="572" spans="1:7" x14ac:dyDescent="0.25">
      <c r="A572" s="36">
        <v>40384</v>
      </c>
      <c r="B572" s="6">
        <v>51.03</v>
      </c>
      <c r="C572" s="6">
        <v>33.35</v>
      </c>
      <c r="D572" s="6">
        <v>15.74</v>
      </c>
      <c r="E572" s="6">
        <v>10.3</v>
      </c>
      <c r="G572" s="31"/>
    </row>
    <row r="573" spans="1:7" x14ac:dyDescent="0.25">
      <c r="A573" s="36">
        <v>40385</v>
      </c>
      <c r="B573" s="6">
        <v>51.06</v>
      </c>
      <c r="C573" s="6">
        <v>33.380000000000003</v>
      </c>
      <c r="D573" s="6">
        <v>15.76</v>
      </c>
      <c r="E573" s="6">
        <v>10.3</v>
      </c>
      <c r="G573" s="31"/>
    </row>
    <row r="574" spans="1:7" x14ac:dyDescent="0.25">
      <c r="A574" s="36">
        <v>40386</v>
      </c>
      <c r="B574" s="6">
        <v>51.06</v>
      </c>
      <c r="C574" s="6">
        <v>33.42</v>
      </c>
      <c r="D574" s="6">
        <v>15.78</v>
      </c>
      <c r="E574" s="6">
        <v>10.34</v>
      </c>
      <c r="G574" s="31"/>
    </row>
    <row r="575" spans="1:7" x14ac:dyDescent="0.25">
      <c r="A575" s="36">
        <v>40387</v>
      </c>
      <c r="B575" s="6">
        <v>51.06</v>
      </c>
      <c r="C575" s="6">
        <v>33.450000000000003</v>
      </c>
      <c r="D575" s="6">
        <v>15.84</v>
      </c>
      <c r="E575" s="6">
        <v>10.38</v>
      </c>
      <c r="G575" s="31"/>
    </row>
    <row r="576" spans="1:7" x14ac:dyDescent="0.25">
      <c r="A576" s="36">
        <v>40388</v>
      </c>
      <c r="B576" s="6">
        <v>51.04</v>
      </c>
      <c r="C576" s="6">
        <v>33.520000000000003</v>
      </c>
      <c r="D576" s="6">
        <v>15.9</v>
      </c>
      <c r="E576" s="6">
        <v>10.44</v>
      </c>
      <c r="G576" s="31"/>
    </row>
    <row r="577" spans="1:7" x14ac:dyDescent="0.25">
      <c r="A577" s="36">
        <v>40389</v>
      </c>
      <c r="B577" s="6">
        <v>51.03</v>
      </c>
      <c r="C577" s="6">
        <v>33.56</v>
      </c>
      <c r="D577" s="6">
        <v>15.95</v>
      </c>
      <c r="E577" s="6">
        <v>10.47</v>
      </c>
      <c r="G577" s="31"/>
    </row>
    <row r="578" spans="1:7" x14ac:dyDescent="0.25">
      <c r="A578" s="36">
        <v>40390</v>
      </c>
      <c r="B578" s="6">
        <v>51.02</v>
      </c>
      <c r="C578" s="6">
        <v>33.6</v>
      </c>
      <c r="D578" s="6">
        <v>16.02</v>
      </c>
      <c r="E578" s="6">
        <v>10.5</v>
      </c>
      <c r="G578" s="31"/>
    </row>
    <row r="579" spans="1:7" x14ac:dyDescent="0.25">
      <c r="A579" s="36">
        <v>40391</v>
      </c>
      <c r="B579" s="6">
        <v>51.03</v>
      </c>
      <c r="C579" s="6">
        <v>33.630000000000003</v>
      </c>
      <c r="D579" s="6">
        <v>16.059999999999999</v>
      </c>
      <c r="E579" s="6">
        <v>10.54</v>
      </c>
      <c r="G579" s="31"/>
    </row>
    <row r="580" spans="1:7" x14ac:dyDescent="0.25">
      <c r="A580" s="36">
        <v>40392</v>
      </c>
      <c r="B580" s="6">
        <v>51.01</v>
      </c>
      <c r="C580" s="6">
        <v>33.67</v>
      </c>
      <c r="D580" s="6">
        <v>16.100000000000001</v>
      </c>
      <c r="E580" s="6">
        <v>10.54</v>
      </c>
      <c r="G580" s="31"/>
    </row>
    <row r="581" spans="1:7" x14ac:dyDescent="0.25">
      <c r="A581" s="36">
        <v>40393</v>
      </c>
      <c r="B581" s="6">
        <v>51</v>
      </c>
      <c r="C581" s="6">
        <v>33.72</v>
      </c>
      <c r="D581" s="6">
        <v>16.16</v>
      </c>
      <c r="E581" s="6">
        <v>10.63</v>
      </c>
      <c r="G581" s="31"/>
    </row>
    <row r="582" spans="1:7" x14ac:dyDescent="0.25">
      <c r="A582" s="36">
        <v>40394</v>
      </c>
      <c r="B582" s="6">
        <v>51</v>
      </c>
      <c r="C582" s="6">
        <v>33.729999999999997</v>
      </c>
      <c r="D582" s="6">
        <v>16.2</v>
      </c>
      <c r="E582" s="6">
        <v>10.63</v>
      </c>
      <c r="G582" s="31"/>
    </row>
    <row r="583" spans="1:7" x14ac:dyDescent="0.25">
      <c r="A583" s="36">
        <v>40395</v>
      </c>
      <c r="B583" s="6">
        <v>51</v>
      </c>
      <c r="C583" s="6">
        <v>33.75</v>
      </c>
      <c r="D583" s="6">
        <v>16.239999999999998</v>
      </c>
      <c r="E583" s="6">
        <v>10.66</v>
      </c>
      <c r="G583" s="31"/>
    </row>
    <row r="584" spans="1:7" x14ac:dyDescent="0.25">
      <c r="A584" s="36">
        <v>40396</v>
      </c>
      <c r="B584" s="6">
        <v>51.05</v>
      </c>
      <c r="C584" s="6">
        <v>33.770000000000003</v>
      </c>
      <c r="D584" s="6">
        <v>16.239999999999998</v>
      </c>
      <c r="E584" s="6">
        <v>10.7</v>
      </c>
      <c r="G584" s="31"/>
    </row>
    <row r="585" spans="1:7" x14ac:dyDescent="0.25">
      <c r="A585" s="36">
        <v>40397</v>
      </c>
      <c r="B585" s="6">
        <v>51.08</v>
      </c>
      <c r="C585" s="6">
        <v>33.799999999999997</v>
      </c>
      <c r="D585" s="6">
        <v>16.28</v>
      </c>
      <c r="E585" s="6">
        <v>10.73</v>
      </c>
      <c r="G585" s="31"/>
    </row>
    <row r="586" spans="1:7" x14ac:dyDescent="0.25">
      <c r="A586" s="36">
        <v>40398</v>
      </c>
      <c r="B586" s="6">
        <v>51.11</v>
      </c>
      <c r="C586" s="6">
        <v>33.82</v>
      </c>
      <c r="D586" s="6">
        <v>16.28</v>
      </c>
      <c r="E586" s="6">
        <v>10.7</v>
      </c>
      <c r="G586" s="31"/>
    </row>
    <row r="587" spans="1:7" x14ac:dyDescent="0.25">
      <c r="A587" s="36">
        <v>40399</v>
      </c>
      <c r="B587" s="6">
        <v>51.12</v>
      </c>
      <c r="C587" s="6">
        <v>33.83</v>
      </c>
      <c r="D587" s="6">
        <v>16.32</v>
      </c>
      <c r="E587" s="6">
        <v>10.7</v>
      </c>
      <c r="G587" s="31"/>
    </row>
    <row r="588" spans="1:7" x14ac:dyDescent="0.25">
      <c r="A588" s="36">
        <v>40400</v>
      </c>
      <c r="B588" s="6">
        <v>51.12</v>
      </c>
      <c r="C588" s="6">
        <v>33.85</v>
      </c>
      <c r="D588" s="6">
        <v>16.36</v>
      </c>
      <c r="E588" s="6">
        <v>10.73</v>
      </c>
      <c r="G588" s="31"/>
    </row>
    <row r="589" spans="1:7" x14ac:dyDescent="0.25">
      <c r="A589" s="36">
        <v>40401</v>
      </c>
      <c r="B589" s="6">
        <v>51.11</v>
      </c>
      <c r="C589" s="6">
        <v>33.880000000000003</v>
      </c>
      <c r="D589" s="6">
        <v>16.420000000000002</v>
      </c>
      <c r="E589" s="6">
        <v>10.81</v>
      </c>
      <c r="G589" s="31"/>
    </row>
    <row r="590" spans="1:7" x14ac:dyDescent="0.25">
      <c r="A590" s="36">
        <v>40402</v>
      </c>
      <c r="B590" s="6">
        <v>51.13</v>
      </c>
      <c r="C590" s="6">
        <v>33.9</v>
      </c>
      <c r="D590" s="6">
        <v>16.420000000000002</v>
      </c>
      <c r="E590" s="6">
        <v>10.82</v>
      </c>
      <c r="G590" s="31"/>
    </row>
    <row r="591" spans="1:7" x14ac:dyDescent="0.25">
      <c r="A591" s="36">
        <v>40403</v>
      </c>
      <c r="B591" s="6">
        <v>51.17</v>
      </c>
      <c r="C591" s="6">
        <v>33.9</v>
      </c>
      <c r="D591" s="6">
        <v>16.46</v>
      </c>
      <c r="E591" s="6">
        <v>10.83</v>
      </c>
      <c r="G591" s="31"/>
    </row>
    <row r="592" spans="1:7" x14ac:dyDescent="0.25">
      <c r="A592" s="36">
        <v>40404</v>
      </c>
      <c r="B592" s="6">
        <v>51.2</v>
      </c>
      <c r="C592" s="6">
        <v>33.93</v>
      </c>
      <c r="D592" s="6">
        <v>16.5</v>
      </c>
      <c r="E592" s="6">
        <v>10.83</v>
      </c>
      <c r="G592" s="31"/>
    </row>
    <row r="593" spans="1:7" x14ac:dyDescent="0.25">
      <c r="A593" s="36">
        <v>40405</v>
      </c>
      <c r="B593" s="6">
        <v>51.25</v>
      </c>
      <c r="C593" s="6">
        <v>33.94</v>
      </c>
      <c r="D593" s="6">
        <v>16.559999999999999</v>
      </c>
      <c r="E593" s="6">
        <v>10.83</v>
      </c>
      <c r="G593" s="31"/>
    </row>
    <row r="594" spans="1:7" x14ac:dyDescent="0.25">
      <c r="A594" s="36">
        <v>40406</v>
      </c>
      <c r="B594" s="6">
        <v>51.32</v>
      </c>
      <c r="C594" s="6">
        <v>33.950000000000003</v>
      </c>
      <c r="D594" s="6">
        <v>16.579999999999998</v>
      </c>
      <c r="E594" s="6">
        <v>10.85</v>
      </c>
      <c r="G594" s="31"/>
    </row>
    <row r="595" spans="1:7" x14ac:dyDescent="0.25">
      <c r="A595" s="36">
        <v>40407</v>
      </c>
      <c r="B595" s="6">
        <v>51.36</v>
      </c>
      <c r="C595" s="6">
        <v>33.950000000000003</v>
      </c>
      <c r="D595" s="6">
        <v>16.600000000000001</v>
      </c>
      <c r="E595" s="6">
        <v>10.9</v>
      </c>
      <c r="G595" s="31"/>
    </row>
    <row r="596" spans="1:7" x14ac:dyDescent="0.25">
      <c r="A596" s="36">
        <v>40408</v>
      </c>
      <c r="B596" s="6">
        <v>51.41</v>
      </c>
      <c r="C596" s="6">
        <v>33.950000000000003</v>
      </c>
      <c r="D596" s="6">
        <v>16.62</v>
      </c>
      <c r="E596" s="6">
        <v>10.9</v>
      </c>
      <c r="G596" s="31"/>
    </row>
    <row r="597" spans="1:7" x14ac:dyDescent="0.25">
      <c r="A597" s="36">
        <v>40409</v>
      </c>
      <c r="B597" s="6">
        <v>51.54</v>
      </c>
      <c r="C597" s="6">
        <v>33.97</v>
      </c>
      <c r="D597" s="6">
        <v>16.62</v>
      </c>
      <c r="E597" s="6">
        <v>10.93</v>
      </c>
      <c r="G597" s="31"/>
    </row>
    <row r="598" spans="1:7" x14ac:dyDescent="0.25">
      <c r="A598" s="36">
        <v>40410</v>
      </c>
      <c r="B598" s="6">
        <v>51.54</v>
      </c>
      <c r="C598" s="6">
        <v>33.97</v>
      </c>
      <c r="D598" s="6">
        <v>16.579999999999998</v>
      </c>
      <c r="E598" s="6">
        <v>10.92</v>
      </c>
      <c r="G598" s="31"/>
    </row>
    <row r="599" spans="1:7" x14ac:dyDescent="0.25">
      <c r="A599" s="36">
        <v>40411</v>
      </c>
      <c r="B599" s="6">
        <v>51.51</v>
      </c>
      <c r="C599" s="6">
        <v>33.979999999999997</v>
      </c>
      <c r="D599" s="6">
        <v>16.559999999999999</v>
      </c>
      <c r="E599" s="6">
        <v>10.94</v>
      </c>
      <c r="G599" s="31"/>
    </row>
    <row r="600" spans="1:7" x14ac:dyDescent="0.25">
      <c r="A600" s="36">
        <v>40412</v>
      </c>
      <c r="B600" s="6">
        <v>51.47</v>
      </c>
      <c r="C600" s="6">
        <v>33.979999999999997</v>
      </c>
      <c r="D600" s="6">
        <v>16.54</v>
      </c>
      <c r="E600" s="6">
        <v>10.94</v>
      </c>
      <c r="G600" s="31"/>
    </row>
    <row r="601" spans="1:7" x14ac:dyDescent="0.25">
      <c r="A601" s="36">
        <v>40413</v>
      </c>
      <c r="B601" s="6">
        <v>51.41</v>
      </c>
      <c r="C601" s="6">
        <v>34</v>
      </c>
      <c r="D601" s="6">
        <v>16.52</v>
      </c>
      <c r="E601" s="6">
        <v>10.87</v>
      </c>
      <c r="G601" s="31"/>
    </row>
    <row r="602" spans="1:7" x14ac:dyDescent="0.25">
      <c r="A602" s="36">
        <v>40414</v>
      </c>
      <c r="B602" s="6">
        <v>51.35</v>
      </c>
      <c r="C602" s="6">
        <v>34</v>
      </c>
      <c r="D602" s="6">
        <v>16.54</v>
      </c>
      <c r="E602" s="6">
        <v>10.92</v>
      </c>
      <c r="G602" s="31"/>
    </row>
    <row r="603" spans="1:7" x14ac:dyDescent="0.25">
      <c r="A603" s="36">
        <v>40415</v>
      </c>
      <c r="B603" s="6">
        <v>51.27</v>
      </c>
      <c r="C603" s="6">
        <v>34</v>
      </c>
      <c r="D603" s="6">
        <v>16.559999999999999</v>
      </c>
      <c r="E603" s="6">
        <v>10.98</v>
      </c>
      <c r="G603" s="31"/>
    </row>
    <row r="604" spans="1:7" x14ac:dyDescent="0.25">
      <c r="A604" s="36">
        <v>40416</v>
      </c>
      <c r="B604" s="6">
        <v>51.2</v>
      </c>
      <c r="C604" s="6">
        <v>33.979999999999997</v>
      </c>
      <c r="D604" s="6">
        <v>16.579999999999998</v>
      </c>
      <c r="E604" s="6">
        <v>10.95</v>
      </c>
      <c r="G604" s="31"/>
    </row>
    <row r="605" spans="1:7" x14ac:dyDescent="0.25">
      <c r="A605" s="36">
        <v>40417</v>
      </c>
      <c r="B605" s="6">
        <v>51.14</v>
      </c>
      <c r="C605" s="6">
        <v>33.97</v>
      </c>
      <c r="D605" s="6">
        <v>16.579999999999998</v>
      </c>
      <c r="E605" s="6">
        <v>10.98</v>
      </c>
      <c r="G605" s="31"/>
    </row>
    <row r="606" spans="1:7" x14ac:dyDescent="0.25">
      <c r="A606" s="36">
        <v>40418</v>
      </c>
      <c r="B606" s="6">
        <v>51.07</v>
      </c>
      <c r="C606" s="6">
        <v>33.97</v>
      </c>
      <c r="D606" s="6">
        <v>16.579999999999998</v>
      </c>
      <c r="E606" s="6">
        <v>10.98</v>
      </c>
      <c r="G606" s="31"/>
    </row>
    <row r="607" spans="1:7" x14ac:dyDescent="0.25">
      <c r="A607" s="36">
        <v>40419</v>
      </c>
      <c r="B607" s="6">
        <v>50.98</v>
      </c>
      <c r="C607" s="6">
        <v>33.96</v>
      </c>
      <c r="D607" s="6">
        <v>16.579999999999998</v>
      </c>
      <c r="E607" s="6">
        <v>10.99</v>
      </c>
      <c r="G607" s="31"/>
    </row>
    <row r="608" spans="1:7" x14ac:dyDescent="0.25">
      <c r="A608" s="36">
        <v>40420</v>
      </c>
      <c r="B608" s="6">
        <v>50.89</v>
      </c>
      <c r="C608" s="6">
        <v>33.93</v>
      </c>
      <c r="D608" s="6">
        <v>16.579999999999998</v>
      </c>
      <c r="E608" s="6">
        <v>10.93</v>
      </c>
      <c r="G608" s="31"/>
    </row>
    <row r="609" spans="1:7" x14ac:dyDescent="0.25">
      <c r="A609" s="36">
        <v>40421</v>
      </c>
      <c r="B609" s="6">
        <v>50.81</v>
      </c>
      <c r="C609" s="6">
        <v>33.9</v>
      </c>
      <c r="D609" s="6">
        <v>16.579999999999998</v>
      </c>
      <c r="E609" s="6">
        <v>11.13</v>
      </c>
      <c r="G609" s="31"/>
    </row>
    <row r="610" spans="1:7" x14ac:dyDescent="0.25">
      <c r="A610" s="36">
        <v>40422</v>
      </c>
      <c r="B610" s="6">
        <v>50.75</v>
      </c>
      <c r="C610" s="6">
        <v>33.86</v>
      </c>
      <c r="D610" s="6">
        <v>16.579999999999998</v>
      </c>
      <c r="E610" s="6">
        <v>11.13</v>
      </c>
      <c r="G610" s="31"/>
    </row>
    <row r="611" spans="1:7" x14ac:dyDescent="0.25">
      <c r="A611" s="36">
        <v>40423</v>
      </c>
      <c r="B611" s="6">
        <v>50.7</v>
      </c>
      <c r="C611" s="6">
        <v>33.799999999999997</v>
      </c>
      <c r="D611" s="6">
        <v>16.579999999999998</v>
      </c>
      <c r="E611" s="6">
        <v>11.08</v>
      </c>
      <c r="G611" s="31"/>
    </row>
    <row r="612" spans="1:7" x14ac:dyDescent="0.25">
      <c r="A612" s="36">
        <v>40424</v>
      </c>
      <c r="B612" s="6">
        <v>50.68</v>
      </c>
      <c r="C612" s="6">
        <v>33.75</v>
      </c>
      <c r="D612" s="6">
        <v>16.5</v>
      </c>
      <c r="E612" s="6">
        <v>10.93</v>
      </c>
      <c r="G612" s="31"/>
    </row>
    <row r="613" spans="1:7" x14ac:dyDescent="0.25">
      <c r="A613" s="36">
        <v>40425</v>
      </c>
      <c r="B613" s="6">
        <v>50.57</v>
      </c>
      <c r="C613" s="6">
        <v>33.700000000000003</v>
      </c>
      <c r="D613" s="6">
        <v>16.5</v>
      </c>
      <c r="E613" s="6">
        <v>10.88</v>
      </c>
      <c r="G613" s="31"/>
    </row>
    <row r="614" spans="1:7" x14ac:dyDescent="0.25">
      <c r="A614" s="36">
        <v>40426</v>
      </c>
      <c r="B614" s="6">
        <v>50.5</v>
      </c>
      <c r="C614" s="6">
        <v>33.65</v>
      </c>
      <c r="D614" s="6">
        <v>16.46</v>
      </c>
      <c r="E614" s="6">
        <v>10.82</v>
      </c>
      <c r="G614" s="31"/>
    </row>
    <row r="615" spans="1:7" x14ac:dyDescent="0.25">
      <c r="A615" s="36">
        <v>40427</v>
      </c>
      <c r="B615" s="6">
        <v>50.41</v>
      </c>
      <c r="C615" s="6">
        <v>33.590000000000003</v>
      </c>
      <c r="D615" s="6">
        <v>16.3</v>
      </c>
      <c r="E615" s="6">
        <v>10.72</v>
      </c>
      <c r="G615" s="31"/>
    </row>
    <row r="616" spans="1:7" x14ac:dyDescent="0.25">
      <c r="A616" s="36">
        <v>40428</v>
      </c>
      <c r="B616" s="6">
        <v>50.33</v>
      </c>
      <c r="C616" s="6">
        <v>33.549999999999997</v>
      </c>
      <c r="D616" s="6">
        <v>16.2</v>
      </c>
      <c r="E616" s="6">
        <v>10.74</v>
      </c>
      <c r="G616" s="31"/>
    </row>
    <row r="617" spans="1:7" x14ac:dyDescent="0.25">
      <c r="A617" s="36">
        <v>40429</v>
      </c>
      <c r="B617" s="6">
        <v>50.27</v>
      </c>
      <c r="C617" s="6">
        <v>33.51</v>
      </c>
      <c r="D617" s="6">
        <v>16.16</v>
      </c>
      <c r="E617" s="6">
        <v>10.72</v>
      </c>
      <c r="G617" s="31"/>
    </row>
    <row r="618" spans="1:7" x14ac:dyDescent="0.25">
      <c r="A618" s="36">
        <v>40430</v>
      </c>
      <c r="B618" s="6">
        <v>50.19</v>
      </c>
      <c r="C618" s="6">
        <v>33.450000000000003</v>
      </c>
      <c r="D618" s="6">
        <v>16.14</v>
      </c>
      <c r="E618" s="6">
        <v>10.73</v>
      </c>
      <c r="G618" s="31"/>
    </row>
    <row r="619" spans="1:7" x14ac:dyDescent="0.25">
      <c r="A619" s="36">
        <v>40431</v>
      </c>
      <c r="B619" s="6">
        <v>50.1</v>
      </c>
      <c r="C619" s="6">
        <v>33.4</v>
      </c>
      <c r="D619" s="6">
        <v>16.100000000000001</v>
      </c>
      <c r="E619" s="6">
        <v>10.68</v>
      </c>
      <c r="G619" s="31"/>
    </row>
    <row r="620" spans="1:7" x14ac:dyDescent="0.25">
      <c r="A620" s="36">
        <v>40432</v>
      </c>
      <c r="B620" s="6">
        <v>50.04</v>
      </c>
      <c r="C620" s="6">
        <v>33.340000000000003</v>
      </c>
      <c r="D620" s="6">
        <v>16.02</v>
      </c>
      <c r="E620" s="6">
        <v>10.61</v>
      </c>
      <c r="G620" s="31"/>
    </row>
    <row r="621" spans="1:7" x14ac:dyDescent="0.25">
      <c r="A621" s="36">
        <v>40433</v>
      </c>
      <c r="B621" s="6">
        <v>49.95</v>
      </c>
      <c r="C621" s="6">
        <v>33.29</v>
      </c>
      <c r="D621" s="6">
        <v>15.96</v>
      </c>
      <c r="E621" s="6">
        <v>10.64</v>
      </c>
      <c r="G621" s="31"/>
    </row>
    <row r="622" spans="1:7" x14ac:dyDescent="0.25">
      <c r="A622" s="36">
        <v>40434</v>
      </c>
      <c r="B622" s="6">
        <v>49.87</v>
      </c>
      <c r="C622" s="6">
        <v>33.229999999999997</v>
      </c>
      <c r="D622" s="6">
        <v>15.9</v>
      </c>
      <c r="E622" s="6">
        <v>10.63</v>
      </c>
      <c r="G622" s="31"/>
    </row>
    <row r="623" spans="1:7" x14ac:dyDescent="0.25">
      <c r="A623" s="36">
        <v>40435</v>
      </c>
      <c r="B623" s="6">
        <v>49.75</v>
      </c>
      <c r="C623" s="6">
        <v>33.15</v>
      </c>
      <c r="D623" s="6">
        <v>15.86</v>
      </c>
      <c r="E623" s="6">
        <v>10.63</v>
      </c>
      <c r="G623" s="31"/>
    </row>
    <row r="624" spans="1:7" x14ac:dyDescent="0.25">
      <c r="A624" s="36">
        <v>40436</v>
      </c>
      <c r="B624" s="6">
        <v>49.62</v>
      </c>
      <c r="C624" s="6">
        <v>33.090000000000003</v>
      </c>
      <c r="D624" s="6">
        <v>15.82</v>
      </c>
      <c r="E624" s="6">
        <v>10.81</v>
      </c>
      <c r="G624" s="31"/>
    </row>
    <row r="625" spans="1:7" x14ac:dyDescent="0.25">
      <c r="A625" s="36">
        <v>40437</v>
      </c>
      <c r="B625" s="6">
        <v>49.45</v>
      </c>
      <c r="C625" s="6">
        <v>33.06</v>
      </c>
      <c r="D625" s="6">
        <v>15.82</v>
      </c>
      <c r="E625" s="6">
        <v>10.8</v>
      </c>
      <c r="G625" s="31"/>
    </row>
    <row r="626" spans="1:7" x14ac:dyDescent="0.25">
      <c r="A626" s="36">
        <v>40438</v>
      </c>
      <c r="B626" s="6">
        <v>49.31</v>
      </c>
      <c r="C626" s="6">
        <v>32.89</v>
      </c>
      <c r="D626" s="6">
        <v>15.74</v>
      </c>
      <c r="E626" s="6">
        <v>10.73</v>
      </c>
      <c r="G626" s="31"/>
    </row>
    <row r="627" spans="1:7" x14ac:dyDescent="0.25">
      <c r="A627" s="36">
        <v>40439</v>
      </c>
      <c r="B627" s="6">
        <v>49.17</v>
      </c>
      <c r="C627" s="6">
        <v>32.82</v>
      </c>
      <c r="D627" s="6">
        <v>15.7</v>
      </c>
      <c r="E627" s="6">
        <v>10.58</v>
      </c>
      <c r="G627" s="31"/>
    </row>
    <row r="628" spans="1:7" x14ac:dyDescent="0.25">
      <c r="A628" s="36">
        <v>40440</v>
      </c>
      <c r="B628" s="6">
        <v>49.06</v>
      </c>
      <c r="C628" s="6">
        <v>32.74</v>
      </c>
      <c r="D628" s="6">
        <v>15.64</v>
      </c>
      <c r="E628" s="6">
        <v>10.58</v>
      </c>
      <c r="G628" s="31"/>
    </row>
    <row r="629" spans="1:7" x14ac:dyDescent="0.25">
      <c r="A629" s="36">
        <v>40441</v>
      </c>
      <c r="B629" s="6">
        <v>49</v>
      </c>
      <c r="C629" s="6">
        <v>32.69</v>
      </c>
      <c r="D629" s="6">
        <v>15.56</v>
      </c>
      <c r="E629" s="6">
        <v>10.38</v>
      </c>
      <c r="G629" s="31"/>
    </row>
    <row r="630" spans="1:7" x14ac:dyDescent="0.25">
      <c r="A630" s="36">
        <v>40442</v>
      </c>
      <c r="B630" s="6">
        <v>48.87</v>
      </c>
      <c r="C630" s="6">
        <v>32.61</v>
      </c>
      <c r="D630" s="6">
        <v>15.44</v>
      </c>
      <c r="E630" s="6">
        <v>10.09</v>
      </c>
      <c r="G630" s="31"/>
    </row>
    <row r="631" spans="1:7" x14ac:dyDescent="0.25">
      <c r="A631" s="36">
        <v>40443</v>
      </c>
      <c r="B631" s="6">
        <v>48.73</v>
      </c>
      <c r="C631" s="6">
        <v>32.549999999999997</v>
      </c>
      <c r="D631" s="6">
        <v>15.34</v>
      </c>
      <c r="E631" s="6">
        <v>10.210000000000001</v>
      </c>
      <c r="G631" s="31"/>
    </row>
    <row r="632" spans="1:7" x14ac:dyDescent="0.25">
      <c r="A632" s="36">
        <v>40444</v>
      </c>
      <c r="B632" s="6">
        <v>48.55</v>
      </c>
      <c r="C632" s="6">
        <v>32.450000000000003</v>
      </c>
      <c r="D632" s="6">
        <v>15.26</v>
      </c>
      <c r="E632" s="6">
        <v>10.24</v>
      </c>
      <c r="G632" s="31"/>
    </row>
    <row r="633" spans="1:7" x14ac:dyDescent="0.25">
      <c r="A633" s="36">
        <v>40445</v>
      </c>
      <c r="B633" s="6">
        <v>48.39</v>
      </c>
      <c r="C633" s="6">
        <v>32.4</v>
      </c>
      <c r="D633" s="6">
        <v>15.24</v>
      </c>
      <c r="E633" s="6">
        <v>10.19</v>
      </c>
      <c r="G633" s="31"/>
    </row>
    <row r="634" spans="1:7" x14ac:dyDescent="0.25">
      <c r="A634" s="36">
        <v>40446</v>
      </c>
      <c r="B634" s="6">
        <v>48.23</v>
      </c>
      <c r="C634" s="6">
        <v>32.32</v>
      </c>
      <c r="D634" s="6">
        <v>15.24</v>
      </c>
      <c r="E634" s="6">
        <v>10.15</v>
      </c>
      <c r="G634" s="31"/>
    </row>
    <row r="635" spans="1:7" x14ac:dyDescent="0.25">
      <c r="A635" s="36">
        <v>40447</v>
      </c>
      <c r="B635" s="6">
        <v>48.09</v>
      </c>
      <c r="C635" s="6">
        <v>32.24</v>
      </c>
      <c r="D635" s="6">
        <v>15.24</v>
      </c>
      <c r="E635" s="6">
        <v>10.15</v>
      </c>
      <c r="G635" s="31"/>
    </row>
    <row r="636" spans="1:7" x14ac:dyDescent="0.25">
      <c r="A636" s="36">
        <v>40448</v>
      </c>
      <c r="B636" s="6">
        <v>47.95</v>
      </c>
      <c r="C636" s="6">
        <v>32.130000000000003</v>
      </c>
      <c r="D636" s="6">
        <v>15.24</v>
      </c>
      <c r="E636" s="6">
        <v>10.51</v>
      </c>
      <c r="G636" s="31"/>
    </row>
    <row r="637" spans="1:7" x14ac:dyDescent="0.25">
      <c r="A637" s="36">
        <v>40449</v>
      </c>
      <c r="B637" s="6">
        <v>47.83</v>
      </c>
      <c r="C637" s="6">
        <v>32.03</v>
      </c>
      <c r="D637" s="6">
        <v>15.18</v>
      </c>
      <c r="E637" s="6">
        <v>10.38</v>
      </c>
      <c r="G637" s="31"/>
    </row>
    <row r="638" spans="1:7" x14ac:dyDescent="0.25">
      <c r="A638" s="36">
        <v>40450</v>
      </c>
      <c r="B638" s="6">
        <v>47.73</v>
      </c>
      <c r="C638" s="6">
        <v>31.92</v>
      </c>
      <c r="D638" s="6">
        <v>15.1</v>
      </c>
      <c r="E638" s="6">
        <v>10.18</v>
      </c>
      <c r="G638" s="31"/>
    </row>
    <row r="639" spans="1:7" x14ac:dyDescent="0.25">
      <c r="A639" s="36">
        <v>40451</v>
      </c>
      <c r="B639" s="6">
        <v>47.63</v>
      </c>
      <c r="C639" s="6">
        <v>31.8</v>
      </c>
      <c r="D639" s="6">
        <v>14.9</v>
      </c>
      <c r="E639" s="6">
        <v>10.029999999999999</v>
      </c>
      <c r="G639" s="31"/>
    </row>
    <row r="640" spans="1:7" x14ac:dyDescent="0.25">
      <c r="A640" s="36">
        <v>40452</v>
      </c>
      <c r="B640" s="6">
        <v>47.5</v>
      </c>
      <c r="C640" s="6">
        <v>31.69</v>
      </c>
      <c r="D640" s="6">
        <v>14.82</v>
      </c>
      <c r="E640" s="6">
        <v>10.07</v>
      </c>
      <c r="G640" s="31"/>
    </row>
    <row r="641" spans="1:7" x14ac:dyDescent="0.25">
      <c r="A641" s="36">
        <v>40453</v>
      </c>
      <c r="B641" s="6">
        <v>47.4</v>
      </c>
      <c r="C641" s="6">
        <v>31.59</v>
      </c>
      <c r="D641" s="6">
        <v>14.72</v>
      </c>
      <c r="E641" s="6">
        <v>9.98</v>
      </c>
      <c r="G641" s="31"/>
    </row>
    <row r="642" spans="1:7" x14ac:dyDescent="0.25">
      <c r="A642" s="36">
        <v>40454</v>
      </c>
      <c r="B642" s="6">
        <v>47.29</v>
      </c>
      <c r="C642" s="6">
        <v>31.46</v>
      </c>
      <c r="D642" s="6">
        <v>14.6</v>
      </c>
      <c r="E642" s="6">
        <v>9.94</v>
      </c>
      <c r="G642" s="31"/>
    </row>
    <row r="643" spans="1:7" x14ac:dyDescent="0.25">
      <c r="A643" s="36">
        <v>40455</v>
      </c>
      <c r="B643" s="6">
        <v>47.18</v>
      </c>
      <c r="C643" s="6">
        <v>31.35</v>
      </c>
      <c r="D643" s="6">
        <v>14.54</v>
      </c>
      <c r="E643" s="6">
        <v>10.08</v>
      </c>
      <c r="G643" s="31"/>
    </row>
    <row r="644" spans="1:7" x14ac:dyDescent="0.25">
      <c r="A644" s="36">
        <v>40456</v>
      </c>
      <c r="B644" s="6">
        <v>47.09</v>
      </c>
      <c r="C644" s="6">
        <v>31.25</v>
      </c>
      <c r="D644" s="6">
        <v>14.4</v>
      </c>
      <c r="E644" s="6">
        <v>9.73</v>
      </c>
      <c r="G644" s="31"/>
    </row>
    <row r="645" spans="1:7" x14ac:dyDescent="0.25">
      <c r="A645" s="36">
        <v>40457</v>
      </c>
      <c r="B645" s="6">
        <v>46.95</v>
      </c>
      <c r="C645" s="6">
        <v>31.14</v>
      </c>
      <c r="D645" s="6">
        <v>14.26</v>
      </c>
      <c r="E645" s="6">
        <v>9.48</v>
      </c>
      <c r="G645" s="31"/>
    </row>
    <row r="646" spans="1:7" x14ac:dyDescent="0.25">
      <c r="A646" s="36">
        <v>40458</v>
      </c>
      <c r="B646" s="6">
        <v>46.83</v>
      </c>
      <c r="C646" s="6">
        <v>31.03</v>
      </c>
      <c r="D646" s="6">
        <v>14.06</v>
      </c>
      <c r="E646" s="6">
        <v>9.2799999999999994</v>
      </c>
      <c r="G646" s="31"/>
    </row>
    <row r="647" spans="1:7" x14ac:dyDescent="0.25">
      <c r="A647" s="36">
        <v>40459</v>
      </c>
      <c r="B647" s="6">
        <v>46.65</v>
      </c>
      <c r="C647" s="6">
        <v>30.91</v>
      </c>
      <c r="D647" s="6">
        <v>13.86</v>
      </c>
      <c r="E647" s="6">
        <v>9.18</v>
      </c>
      <c r="G647" s="31"/>
    </row>
    <row r="648" spans="1:7" x14ac:dyDescent="0.25">
      <c r="A648" s="36">
        <v>40460</v>
      </c>
      <c r="B648" s="6">
        <v>46.52</v>
      </c>
      <c r="C648" s="6">
        <v>30.77</v>
      </c>
      <c r="D648" s="6">
        <v>13.7</v>
      </c>
      <c r="E648" s="6">
        <v>9.02</v>
      </c>
      <c r="G648" s="31"/>
    </row>
    <row r="649" spans="1:7" x14ac:dyDescent="0.25">
      <c r="A649" s="36">
        <v>40461</v>
      </c>
      <c r="B649" s="6">
        <v>46.37</v>
      </c>
      <c r="C649" s="6">
        <v>30.65</v>
      </c>
      <c r="D649" s="6">
        <v>13.5</v>
      </c>
      <c r="E649" s="6">
        <v>8.82</v>
      </c>
      <c r="G649" s="31"/>
    </row>
    <row r="650" spans="1:7" x14ac:dyDescent="0.25">
      <c r="A650" s="36">
        <v>40462</v>
      </c>
      <c r="B650" s="6">
        <v>46.29</v>
      </c>
      <c r="C650" s="6">
        <v>30.55</v>
      </c>
      <c r="D650" s="6">
        <v>13.34</v>
      </c>
      <c r="E650" s="6">
        <v>8.69</v>
      </c>
      <c r="G650" s="31"/>
    </row>
    <row r="651" spans="1:7" x14ac:dyDescent="0.25">
      <c r="A651" s="36">
        <v>40463</v>
      </c>
      <c r="B651" s="6">
        <v>46.23</v>
      </c>
      <c r="C651" s="6">
        <v>30.41</v>
      </c>
      <c r="D651" s="6">
        <v>13.16</v>
      </c>
      <c r="E651" s="6">
        <v>8.4700000000000006</v>
      </c>
      <c r="G651" s="31"/>
    </row>
    <row r="652" spans="1:7" x14ac:dyDescent="0.25">
      <c r="A652" s="36">
        <v>40464</v>
      </c>
      <c r="B652" s="6">
        <v>46.15</v>
      </c>
      <c r="C652" s="6">
        <v>30.3</v>
      </c>
      <c r="D652" s="6">
        <v>13</v>
      </c>
      <c r="E652" s="6">
        <v>8.34</v>
      </c>
      <c r="G652" s="31"/>
    </row>
    <row r="653" spans="1:7" x14ac:dyDescent="0.25">
      <c r="A653" s="36">
        <v>40465</v>
      </c>
      <c r="B653" s="6">
        <v>46.06</v>
      </c>
      <c r="C653" s="6">
        <v>30.2</v>
      </c>
      <c r="D653" s="6">
        <v>12.86</v>
      </c>
      <c r="E653" s="6">
        <v>8.25</v>
      </c>
      <c r="G653" s="31"/>
    </row>
    <row r="654" spans="1:7" x14ac:dyDescent="0.25">
      <c r="A654" s="36">
        <v>40466</v>
      </c>
      <c r="B654" s="6">
        <v>46.01</v>
      </c>
      <c r="C654" s="6">
        <v>30.05</v>
      </c>
      <c r="D654" s="6">
        <v>12.82</v>
      </c>
      <c r="E654" s="6">
        <v>8.14</v>
      </c>
      <c r="G654" s="31"/>
    </row>
    <row r="655" spans="1:7" x14ac:dyDescent="0.25">
      <c r="A655" s="36">
        <v>40467</v>
      </c>
      <c r="B655" s="6">
        <v>45.99</v>
      </c>
      <c r="C655" s="6">
        <v>29.95</v>
      </c>
      <c r="D655" s="6">
        <v>12.6</v>
      </c>
      <c r="E655" s="6">
        <v>8.11</v>
      </c>
      <c r="G655" s="31"/>
    </row>
    <row r="656" spans="1:7" x14ac:dyDescent="0.25">
      <c r="A656" s="36">
        <v>40468</v>
      </c>
      <c r="B656" s="6">
        <v>45.94</v>
      </c>
      <c r="C656" s="6">
        <v>29.85</v>
      </c>
      <c r="D656" s="6">
        <v>12.48</v>
      </c>
      <c r="E656" s="6">
        <v>8.06</v>
      </c>
      <c r="G656" s="31"/>
    </row>
    <row r="657" spans="1:7" x14ac:dyDescent="0.25">
      <c r="A657" s="36">
        <v>40469</v>
      </c>
      <c r="B657" s="6">
        <v>45.88</v>
      </c>
      <c r="C657" s="6">
        <v>29.73</v>
      </c>
      <c r="D657" s="6">
        <v>12.3</v>
      </c>
      <c r="E657" s="6">
        <v>7.68</v>
      </c>
      <c r="G657" s="31"/>
    </row>
    <row r="658" spans="1:7" x14ac:dyDescent="0.25">
      <c r="A658" s="36">
        <v>40470</v>
      </c>
      <c r="B658" s="6">
        <v>45.85</v>
      </c>
      <c r="C658" s="6">
        <v>29.65</v>
      </c>
      <c r="D658" s="6">
        <v>12.18</v>
      </c>
      <c r="E658" s="6">
        <v>7.61</v>
      </c>
      <c r="G658" s="31"/>
    </row>
    <row r="659" spans="1:7" x14ac:dyDescent="0.25">
      <c r="A659" s="36">
        <v>40471</v>
      </c>
      <c r="B659" s="6">
        <v>45.78</v>
      </c>
      <c r="C659" s="6">
        <v>29.59</v>
      </c>
      <c r="D659" s="6">
        <v>12.04</v>
      </c>
      <c r="E659" s="6">
        <v>7.48</v>
      </c>
      <c r="G659" s="31"/>
    </row>
    <row r="660" spans="1:7" x14ac:dyDescent="0.25">
      <c r="A660" s="36">
        <v>40472</v>
      </c>
      <c r="B660" s="6">
        <v>45.82</v>
      </c>
      <c r="C660" s="6">
        <v>29.5</v>
      </c>
      <c r="D660" s="6">
        <v>11.98</v>
      </c>
      <c r="E660" s="6">
        <v>7.36</v>
      </c>
      <c r="G660" s="31"/>
    </row>
    <row r="661" spans="1:7" x14ac:dyDescent="0.25">
      <c r="A661" s="36">
        <v>40473</v>
      </c>
      <c r="B661" s="6">
        <v>45.84</v>
      </c>
      <c r="C661" s="6">
        <v>29.45</v>
      </c>
      <c r="D661" s="6">
        <v>11.88</v>
      </c>
      <c r="E661" s="6">
        <v>7.28</v>
      </c>
      <c r="G661" s="31"/>
    </row>
    <row r="662" spans="1:7" x14ac:dyDescent="0.25">
      <c r="A662" s="36">
        <v>40474</v>
      </c>
      <c r="B662" s="6">
        <v>45.8</v>
      </c>
      <c r="C662" s="6">
        <v>29.44</v>
      </c>
      <c r="D662" s="6">
        <v>11.82</v>
      </c>
      <c r="E662" s="6">
        <v>7.15</v>
      </c>
      <c r="G662" s="31"/>
    </row>
    <row r="663" spans="1:7" x14ac:dyDescent="0.25">
      <c r="A663" s="36">
        <v>40475</v>
      </c>
      <c r="B663" s="6">
        <v>45.7</v>
      </c>
      <c r="C663" s="6">
        <v>29.4</v>
      </c>
      <c r="D663" s="6">
        <v>11.6</v>
      </c>
      <c r="E663" s="6">
        <v>7.05</v>
      </c>
      <c r="G663" s="31"/>
    </row>
    <row r="664" spans="1:7" x14ac:dyDescent="0.25">
      <c r="A664" s="36">
        <v>40476</v>
      </c>
      <c r="B664" s="6">
        <v>45.6</v>
      </c>
      <c r="C664" s="6">
        <v>29.37</v>
      </c>
      <c r="D664" s="6">
        <v>11.5</v>
      </c>
      <c r="E664" s="6">
        <v>7.11</v>
      </c>
      <c r="G664" s="31"/>
    </row>
    <row r="665" spans="1:7" x14ac:dyDescent="0.25">
      <c r="A665" s="36">
        <v>40477</v>
      </c>
      <c r="B665" s="6">
        <v>45.53</v>
      </c>
      <c r="C665" s="6">
        <v>29.3</v>
      </c>
      <c r="D665" s="6">
        <v>11.44</v>
      </c>
      <c r="E665" s="6">
        <v>6.88</v>
      </c>
      <c r="G665" s="31"/>
    </row>
    <row r="666" spans="1:7" x14ac:dyDescent="0.25">
      <c r="A666" s="36">
        <v>40478</v>
      </c>
      <c r="B666" s="6">
        <v>45.52</v>
      </c>
      <c r="C666" s="6">
        <v>29.2</v>
      </c>
      <c r="D666" s="6">
        <v>11.38</v>
      </c>
      <c r="E666" s="6">
        <v>6.88</v>
      </c>
      <c r="G666" s="31"/>
    </row>
    <row r="667" spans="1:7" x14ac:dyDescent="0.25">
      <c r="A667" s="36">
        <v>40479</v>
      </c>
      <c r="B667" s="6">
        <v>45.52</v>
      </c>
      <c r="C667" s="6">
        <v>29.14</v>
      </c>
      <c r="D667" s="6">
        <v>11.26</v>
      </c>
      <c r="E667" s="6">
        <v>6.79</v>
      </c>
      <c r="G667" s="31"/>
    </row>
    <row r="668" spans="1:7" x14ac:dyDescent="0.25">
      <c r="A668" s="36">
        <v>40480</v>
      </c>
      <c r="B668" s="6">
        <v>45.49</v>
      </c>
      <c r="C668" s="6">
        <v>29.11</v>
      </c>
      <c r="D668" s="6">
        <v>11.16</v>
      </c>
      <c r="E668" s="6">
        <v>6.78</v>
      </c>
      <c r="G668" s="31"/>
    </row>
    <row r="669" spans="1:7" x14ac:dyDescent="0.25">
      <c r="A669" s="36">
        <v>40481</v>
      </c>
      <c r="B669" s="6">
        <v>45.43</v>
      </c>
      <c r="C669" s="6">
        <v>29.05</v>
      </c>
      <c r="D669" s="6">
        <v>11.1</v>
      </c>
      <c r="E669" s="6">
        <v>6.74</v>
      </c>
      <c r="G669" s="31"/>
    </row>
    <row r="670" spans="1:7" x14ac:dyDescent="0.25">
      <c r="A670" s="36">
        <v>40482</v>
      </c>
      <c r="B670" s="6">
        <v>45.38</v>
      </c>
      <c r="C670" s="6">
        <v>29</v>
      </c>
      <c r="D670" s="6">
        <v>11.04</v>
      </c>
      <c r="E670" s="6">
        <v>6.62</v>
      </c>
      <c r="G670" s="31"/>
    </row>
    <row r="671" spans="1:7" x14ac:dyDescent="0.25">
      <c r="A671" s="36">
        <v>40483</v>
      </c>
      <c r="B671" s="6">
        <v>45.35</v>
      </c>
      <c r="C671" s="6">
        <v>28.91</v>
      </c>
      <c r="D671" s="6">
        <v>11</v>
      </c>
      <c r="E671" s="6">
        <v>6.63</v>
      </c>
      <c r="G671" s="31"/>
    </row>
    <row r="672" spans="1:7" x14ac:dyDescent="0.25">
      <c r="A672" s="36">
        <v>40484</v>
      </c>
      <c r="B672" s="6">
        <v>45.27</v>
      </c>
      <c r="C672" s="6">
        <v>28.8</v>
      </c>
      <c r="D672" s="6">
        <v>10.9</v>
      </c>
      <c r="E672" s="6">
        <v>6.5</v>
      </c>
      <c r="G672" s="31"/>
    </row>
    <row r="673" spans="1:7" x14ac:dyDescent="0.25">
      <c r="A673" s="36">
        <v>40485</v>
      </c>
      <c r="B673" s="6">
        <v>45.25</v>
      </c>
      <c r="C673" s="6">
        <v>28.69</v>
      </c>
      <c r="D673" s="6">
        <v>10.78</v>
      </c>
      <c r="E673" s="6">
        <v>6.42</v>
      </c>
      <c r="G673" s="31"/>
    </row>
    <row r="674" spans="1:7" x14ac:dyDescent="0.25">
      <c r="A674" s="36">
        <v>40486</v>
      </c>
      <c r="B674" s="6">
        <v>45.22</v>
      </c>
      <c r="C674" s="6">
        <v>28.57</v>
      </c>
      <c r="D674" s="6">
        <v>10.7</v>
      </c>
      <c r="E674" s="6">
        <v>6.38</v>
      </c>
      <c r="G674" s="31"/>
    </row>
    <row r="675" spans="1:7" x14ac:dyDescent="0.25">
      <c r="A675" s="36">
        <v>40487</v>
      </c>
      <c r="B675" s="6">
        <v>45.17</v>
      </c>
      <c r="C675" s="6">
        <v>28.49</v>
      </c>
      <c r="D675" s="6">
        <v>10.6</v>
      </c>
      <c r="E675" s="6">
        <v>6.31</v>
      </c>
      <c r="G675" s="31"/>
    </row>
    <row r="676" spans="1:7" x14ac:dyDescent="0.25">
      <c r="A676" s="36">
        <v>40488</v>
      </c>
      <c r="B676" s="6">
        <v>45.09</v>
      </c>
      <c r="C676" s="6">
        <v>28.4</v>
      </c>
      <c r="D676" s="6">
        <v>10.54</v>
      </c>
      <c r="E676" s="6">
        <v>6.25</v>
      </c>
      <c r="G676" s="31"/>
    </row>
    <row r="677" spans="1:7" x14ac:dyDescent="0.25">
      <c r="A677" s="36">
        <v>40489</v>
      </c>
      <c r="B677" s="6">
        <v>45.02</v>
      </c>
      <c r="C677" s="6">
        <v>28.29</v>
      </c>
      <c r="D677" s="6">
        <v>10.5</v>
      </c>
      <c r="E677" s="6">
        <v>6.17</v>
      </c>
      <c r="G677" s="31"/>
    </row>
    <row r="678" spans="1:7" x14ac:dyDescent="0.25">
      <c r="A678" s="36">
        <v>40490</v>
      </c>
      <c r="B678" s="6">
        <v>44.98</v>
      </c>
      <c r="C678" s="6">
        <v>28.19</v>
      </c>
      <c r="D678" s="6">
        <v>10.38</v>
      </c>
      <c r="E678" s="6">
        <v>6.1</v>
      </c>
      <c r="G678" s="31"/>
    </row>
    <row r="679" spans="1:7" x14ac:dyDescent="0.25">
      <c r="A679" s="36">
        <v>40491</v>
      </c>
      <c r="B679" s="6">
        <v>44.97</v>
      </c>
      <c r="C679" s="6">
        <v>28.1</v>
      </c>
      <c r="D679" s="6">
        <v>10.3</v>
      </c>
      <c r="E679" s="6">
        <v>5.99</v>
      </c>
      <c r="G679" s="31"/>
    </row>
    <row r="680" spans="1:7" x14ac:dyDescent="0.25">
      <c r="A680" s="36">
        <v>40492</v>
      </c>
      <c r="B680" s="6">
        <v>44.96</v>
      </c>
      <c r="C680" s="6">
        <v>28.02</v>
      </c>
      <c r="D680" s="6">
        <v>10.18</v>
      </c>
      <c r="E680" s="6">
        <v>5.96</v>
      </c>
      <c r="G680" s="31"/>
    </row>
    <row r="681" spans="1:7" x14ac:dyDescent="0.25">
      <c r="A681" s="36">
        <v>40493</v>
      </c>
      <c r="B681" s="6">
        <v>44.94</v>
      </c>
      <c r="C681" s="6">
        <v>27.95</v>
      </c>
      <c r="D681" s="6">
        <v>10.08</v>
      </c>
      <c r="E681" s="6">
        <v>5.96</v>
      </c>
      <c r="G681" s="31"/>
    </row>
    <row r="682" spans="1:7" x14ac:dyDescent="0.25">
      <c r="A682" s="36">
        <v>40494</v>
      </c>
      <c r="B682" s="6">
        <v>44.9</v>
      </c>
      <c r="C682" s="6">
        <v>27.91</v>
      </c>
      <c r="D682" s="6">
        <v>9.9600000000000009</v>
      </c>
      <c r="E682" s="6">
        <v>5.83</v>
      </c>
      <c r="G682" s="31"/>
    </row>
    <row r="683" spans="1:7" x14ac:dyDescent="0.25">
      <c r="A683" s="36">
        <v>40495</v>
      </c>
      <c r="B683" s="6">
        <v>44.88</v>
      </c>
      <c r="C683" s="6">
        <v>27.9</v>
      </c>
      <c r="D683" s="6">
        <v>9.84</v>
      </c>
      <c r="E683" s="6">
        <v>5.71</v>
      </c>
      <c r="G683" s="31"/>
    </row>
    <row r="684" spans="1:7" x14ac:dyDescent="0.25">
      <c r="A684" s="36">
        <v>40496</v>
      </c>
      <c r="B684" s="6">
        <v>44.9</v>
      </c>
      <c r="C684" s="6">
        <v>27.92</v>
      </c>
      <c r="D684" s="6">
        <v>9.8000000000000007</v>
      </c>
      <c r="E684" s="6">
        <v>5.62</v>
      </c>
      <c r="G684" s="31"/>
    </row>
    <row r="685" spans="1:7" x14ac:dyDescent="0.25">
      <c r="A685" s="36">
        <v>40497</v>
      </c>
      <c r="B685" s="6">
        <v>44.95</v>
      </c>
      <c r="C685" s="6">
        <v>28.04</v>
      </c>
      <c r="D685" s="6">
        <v>9.76</v>
      </c>
      <c r="E685" s="6">
        <v>5.68</v>
      </c>
      <c r="G685" s="31"/>
    </row>
    <row r="686" spans="1:7" x14ac:dyDescent="0.25">
      <c r="A686" s="36">
        <v>40498</v>
      </c>
      <c r="B686" s="6">
        <v>45.04</v>
      </c>
      <c r="C686" s="6">
        <v>28.2</v>
      </c>
      <c r="D686" s="6">
        <v>9.6999999999999993</v>
      </c>
      <c r="E686" s="6">
        <v>5.69</v>
      </c>
      <c r="G686" s="31"/>
    </row>
    <row r="687" spans="1:7" x14ac:dyDescent="0.25">
      <c r="A687" s="36">
        <v>40499</v>
      </c>
      <c r="B687" s="6">
        <v>45.14</v>
      </c>
      <c r="C687" s="6">
        <v>28.35</v>
      </c>
      <c r="D687" s="6">
        <v>9.85</v>
      </c>
      <c r="E687" s="6">
        <v>5.73</v>
      </c>
      <c r="G687" s="31"/>
    </row>
    <row r="688" spans="1:7" x14ac:dyDescent="0.25">
      <c r="A688" s="36">
        <v>40500</v>
      </c>
      <c r="B688" s="6">
        <v>45.25</v>
      </c>
      <c r="C688" s="6">
        <v>28.44</v>
      </c>
      <c r="D688" s="6">
        <v>10.039999999999999</v>
      </c>
      <c r="E688" s="6">
        <v>5.83</v>
      </c>
      <c r="G688" s="31"/>
    </row>
    <row r="689" spans="1:7" x14ac:dyDescent="0.25">
      <c r="A689" s="36">
        <v>40501</v>
      </c>
      <c r="B689" s="6">
        <v>45.36</v>
      </c>
      <c r="C689" s="6">
        <v>28.51</v>
      </c>
      <c r="D689" s="6">
        <v>9.98</v>
      </c>
      <c r="E689" s="6">
        <v>5.78</v>
      </c>
      <c r="G689" s="31"/>
    </row>
    <row r="690" spans="1:7" x14ac:dyDescent="0.25">
      <c r="A690" s="36">
        <v>40502</v>
      </c>
      <c r="B690" s="6">
        <v>45.61</v>
      </c>
      <c r="C690" s="6">
        <v>28.6</v>
      </c>
      <c r="D690" s="6">
        <v>10.199999999999999</v>
      </c>
      <c r="E690" s="6">
        <v>5.86</v>
      </c>
      <c r="G690" s="31"/>
    </row>
    <row r="691" spans="1:7" x14ac:dyDescent="0.25">
      <c r="A691" s="36">
        <v>40503</v>
      </c>
      <c r="B691" s="6">
        <v>45.76</v>
      </c>
      <c r="C691" s="6">
        <v>28.67</v>
      </c>
      <c r="D691" s="6">
        <v>10.28</v>
      </c>
      <c r="E691" s="6">
        <v>5.92</v>
      </c>
      <c r="G691" s="31"/>
    </row>
    <row r="692" spans="1:7" x14ac:dyDescent="0.25">
      <c r="A692" s="36">
        <v>40504</v>
      </c>
      <c r="B692" s="6">
        <v>45.84</v>
      </c>
      <c r="C692" s="6">
        <v>28.73</v>
      </c>
      <c r="D692" s="6">
        <v>10.8</v>
      </c>
      <c r="E692" s="6">
        <v>5.97</v>
      </c>
      <c r="G692" s="31"/>
    </row>
    <row r="693" spans="1:7" x14ac:dyDescent="0.25">
      <c r="A693" s="36">
        <v>40505</v>
      </c>
      <c r="B693" s="6">
        <v>45.94</v>
      </c>
      <c r="C693" s="6">
        <v>28.77</v>
      </c>
      <c r="D693" s="6">
        <v>10.48</v>
      </c>
      <c r="E693" s="6">
        <v>6.09</v>
      </c>
      <c r="G693" s="31"/>
    </row>
    <row r="694" spans="1:7" x14ac:dyDescent="0.25">
      <c r="A694" s="36">
        <v>40506</v>
      </c>
      <c r="B694" s="6">
        <v>45.98</v>
      </c>
      <c r="C694" s="6">
        <v>28.79</v>
      </c>
      <c r="D694" s="6">
        <v>10.58</v>
      </c>
      <c r="E694" s="6">
        <v>6.15</v>
      </c>
      <c r="G694" s="31"/>
    </row>
    <row r="695" spans="1:7" x14ac:dyDescent="0.25">
      <c r="A695" s="36">
        <v>40507</v>
      </c>
      <c r="B695" s="6">
        <v>46.04</v>
      </c>
      <c r="C695" s="6">
        <v>28.82</v>
      </c>
      <c r="D695" s="6">
        <v>10.68</v>
      </c>
      <c r="E695" s="6">
        <v>6.23</v>
      </c>
      <c r="G695" s="31"/>
    </row>
    <row r="696" spans="1:7" x14ac:dyDescent="0.25">
      <c r="A696" s="36">
        <v>40508</v>
      </c>
      <c r="B696" s="6">
        <v>46.15</v>
      </c>
      <c r="C696" s="6">
        <v>28.84</v>
      </c>
      <c r="D696" s="6">
        <v>10.64</v>
      </c>
      <c r="E696" s="6">
        <v>6.29</v>
      </c>
      <c r="G696" s="31"/>
    </row>
    <row r="697" spans="1:7" x14ac:dyDescent="0.25">
      <c r="A697" s="36">
        <v>40509</v>
      </c>
      <c r="B697" s="6">
        <v>46.22</v>
      </c>
      <c r="C697" s="6">
        <v>28.87</v>
      </c>
      <c r="D697" s="6">
        <v>10.7</v>
      </c>
      <c r="E697" s="6">
        <v>6.33</v>
      </c>
      <c r="G697" s="31"/>
    </row>
    <row r="698" spans="1:7" x14ac:dyDescent="0.25">
      <c r="A698" s="36">
        <v>40510</v>
      </c>
      <c r="B698" s="6">
        <v>46.27</v>
      </c>
      <c r="C698" s="6">
        <v>28.89</v>
      </c>
      <c r="D698" s="6">
        <v>10.77</v>
      </c>
      <c r="E698" s="6">
        <v>6.38</v>
      </c>
      <c r="G698" s="31"/>
    </row>
    <row r="699" spans="1:7" x14ac:dyDescent="0.25">
      <c r="A699" s="36">
        <v>40511</v>
      </c>
      <c r="B699" s="6">
        <v>46.28</v>
      </c>
      <c r="C699" s="6">
        <v>28.9</v>
      </c>
      <c r="D699" s="6">
        <v>10.88</v>
      </c>
      <c r="E699" s="6">
        <v>6.55</v>
      </c>
      <c r="G699" s="31"/>
    </row>
    <row r="700" spans="1:7" x14ac:dyDescent="0.25">
      <c r="A700" s="36">
        <v>40512</v>
      </c>
      <c r="B700" s="6">
        <v>46.3</v>
      </c>
      <c r="C700" s="6">
        <v>28.86</v>
      </c>
      <c r="D700" s="6">
        <v>10.94</v>
      </c>
      <c r="E700" s="6">
        <v>6.78</v>
      </c>
      <c r="G700" s="31"/>
    </row>
    <row r="701" spans="1:7" x14ac:dyDescent="0.25">
      <c r="A701" s="36">
        <v>40513</v>
      </c>
      <c r="B701" s="6">
        <v>46.3</v>
      </c>
      <c r="C701" s="6">
        <v>28.81</v>
      </c>
      <c r="D701" s="6">
        <v>11.1</v>
      </c>
      <c r="E701" s="6">
        <v>6.84</v>
      </c>
      <c r="G701" s="31"/>
    </row>
    <row r="702" spans="1:7" x14ac:dyDescent="0.25">
      <c r="A702" s="36">
        <v>40514</v>
      </c>
      <c r="B702" s="6">
        <v>46.31</v>
      </c>
      <c r="C702" s="6">
        <v>28.76</v>
      </c>
      <c r="D702" s="6">
        <v>11</v>
      </c>
      <c r="E702" s="6">
        <v>6.96</v>
      </c>
      <c r="G702" s="31"/>
    </row>
    <row r="703" spans="1:7" x14ac:dyDescent="0.25">
      <c r="A703" s="36">
        <v>40515</v>
      </c>
      <c r="B703" s="6">
        <v>46.3</v>
      </c>
      <c r="C703" s="6">
        <v>28.7</v>
      </c>
      <c r="D703" s="6">
        <v>11</v>
      </c>
      <c r="E703" s="6">
        <v>6.9</v>
      </c>
      <c r="G703" s="31"/>
    </row>
    <row r="704" spans="1:7" x14ac:dyDescent="0.25">
      <c r="A704" s="36">
        <v>40516</v>
      </c>
      <c r="B704" s="6">
        <v>46.28</v>
      </c>
      <c r="C704" s="6">
        <v>28.64</v>
      </c>
      <c r="D704" s="6">
        <v>11</v>
      </c>
      <c r="E704" s="6">
        <v>6.9</v>
      </c>
      <c r="G704" s="31"/>
    </row>
    <row r="705" spans="1:7" x14ac:dyDescent="0.25">
      <c r="A705" s="36">
        <v>40517</v>
      </c>
      <c r="B705" s="6">
        <v>46.23</v>
      </c>
      <c r="C705" s="6">
        <v>28.58</v>
      </c>
      <c r="D705" s="6">
        <v>10.9</v>
      </c>
      <c r="E705" s="6">
        <v>6.94</v>
      </c>
      <c r="G705" s="31"/>
    </row>
    <row r="706" spans="1:7" x14ac:dyDescent="0.25">
      <c r="A706" s="36">
        <v>40518</v>
      </c>
      <c r="B706" s="6">
        <v>46.19</v>
      </c>
      <c r="C706" s="6">
        <v>28.5</v>
      </c>
      <c r="D706" s="6">
        <v>10.9</v>
      </c>
      <c r="E706" s="6">
        <v>7.03</v>
      </c>
      <c r="G706" s="31"/>
    </row>
    <row r="707" spans="1:7" x14ac:dyDescent="0.25">
      <c r="A707" s="36">
        <v>40519</v>
      </c>
      <c r="B707" s="6">
        <v>46.15</v>
      </c>
      <c r="C707" s="6">
        <v>28.4</v>
      </c>
      <c r="D707" s="6">
        <v>10.8</v>
      </c>
      <c r="E707" s="6">
        <v>6.91</v>
      </c>
      <c r="G707" s="31"/>
    </row>
    <row r="708" spans="1:7" x14ac:dyDescent="0.25">
      <c r="A708" s="36">
        <v>40520</v>
      </c>
      <c r="B708" s="6">
        <v>46.13</v>
      </c>
      <c r="C708" s="6">
        <v>28.35</v>
      </c>
      <c r="D708" s="6">
        <v>10.76</v>
      </c>
      <c r="E708" s="6">
        <v>6.93</v>
      </c>
      <c r="G708" s="31"/>
    </row>
    <row r="709" spans="1:7" x14ac:dyDescent="0.25">
      <c r="A709" s="36">
        <v>40521</v>
      </c>
      <c r="B709" s="6">
        <v>46.1</v>
      </c>
      <c r="C709" s="6">
        <v>28.3</v>
      </c>
      <c r="D709" s="6">
        <v>10.66</v>
      </c>
      <c r="E709" s="6">
        <v>7.1</v>
      </c>
      <c r="G709" s="31"/>
    </row>
    <row r="710" spans="1:7" x14ac:dyDescent="0.25">
      <c r="A710" s="36">
        <v>40522</v>
      </c>
      <c r="B710" s="6">
        <v>46.06</v>
      </c>
      <c r="C710" s="6">
        <v>28.25</v>
      </c>
      <c r="D710" s="6">
        <v>10.55</v>
      </c>
      <c r="E710" s="6">
        <v>6.74</v>
      </c>
      <c r="G710" s="31"/>
    </row>
    <row r="711" spans="1:7" x14ac:dyDescent="0.25">
      <c r="A711" s="36">
        <v>40523</v>
      </c>
      <c r="B711" s="6">
        <v>46</v>
      </c>
      <c r="C711" s="6">
        <v>28.2</v>
      </c>
      <c r="D711" s="6">
        <v>10.46</v>
      </c>
      <c r="E711" s="6">
        <v>6.53</v>
      </c>
      <c r="G711" s="31"/>
    </row>
    <row r="712" spans="1:7" x14ac:dyDescent="0.25">
      <c r="A712" s="36">
        <v>40524</v>
      </c>
      <c r="B712" s="6">
        <v>45.92</v>
      </c>
      <c r="C712" s="6">
        <v>28.19</v>
      </c>
      <c r="D712" s="6">
        <v>10.38</v>
      </c>
      <c r="E712" s="6">
        <v>6.48</v>
      </c>
      <c r="G712" s="31"/>
    </row>
    <row r="713" spans="1:7" x14ac:dyDescent="0.25">
      <c r="A713" s="36">
        <v>40525</v>
      </c>
      <c r="B713" s="6">
        <v>45.82</v>
      </c>
      <c r="C713" s="6">
        <v>28.17</v>
      </c>
      <c r="D713" s="6">
        <v>10.3</v>
      </c>
      <c r="E713" s="6">
        <v>6.28</v>
      </c>
      <c r="G713" s="31"/>
    </row>
    <row r="714" spans="1:7" x14ac:dyDescent="0.25">
      <c r="A714" s="36">
        <v>40526</v>
      </c>
      <c r="B714" s="6">
        <v>45.71</v>
      </c>
      <c r="C714" s="6">
        <v>28.1</v>
      </c>
      <c r="D714" s="6">
        <v>10.18</v>
      </c>
      <c r="E714" s="6">
        <v>6.07</v>
      </c>
      <c r="G714" s="31"/>
    </row>
    <row r="715" spans="1:7" x14ac:dyDescent="0.25">
      <c r="A715" s="36">
        <v>40527</v>
      </c>
      <c r="B715" s="6">
        <v>45.58</v>
      </c>
      <c r="C715" s="6">
        <v>27.99</v>
      </c>
      <c r="D715" s="6">
        <v>10.039999999999999</v>
      </c>
      <c r="E715" s="6">
        <v>5.87</v>
      </c>
      <c r="G715" s="31"/>
    </row>
    <row r="716" spans="1:7" x14ac:dyDescent="0.25">
      <c r="A716" s="36">
        <v>40528</v>
      </c>
      <c r="B716" s="6">
        <v>45.43</v>
      </c>
      <c r="C716" s="6">
        <v>27.9</v>
      </c>
      <c r="D716" s="6">
        <v>9.9</v>
      </c>
      <c r="E716" s="6">
        <v>5.7729999999999997</v>
      </c>
      <c r="G716" s="31"/>
    </row>
    <row r="717" spans="1:7" x14ac:dyDescent="0.25">
      <c r="A717" s="36">
        <v>40529</v>
      </c>
      <c r="B717" s="6">
        <v>45.27</v>
      </c>
      <c r="C717" s="6">
        <v>27.75</v>
      </c>
      <c r="D717" s="6">
        <v>9.8000000000000007</v>
      </c>
      <c r="E717" s="6">
        <v>5.72</v>
      </c>
      <c r="G717" s="31"/>
    </row>
    <row r="718" spans="1:7" x14ac:dyDescent="0.25">
      <c r="A718" s="36">
        <v>40530</v>
      </c>
      <c r="B718" s="6">
        <v>45.11</v>
      </c>
      <c r="C718" s="6">
        <v>27.58</v>
      </c>
      <c r="D718" s="6">
        <v>9.74</v>
      </c>
      <c r="E718" s="6">
        <v>5.76</v>
      </c>
      <c r="G718" s="31"/>
    </row>
    <row r="719" spans="1:7" x14ac:dyDescent="0.25">
      <c r="A719" s="36">
        <v>40531</v>
      </c>
      <c r="B719" s="6">
        <v>44.96</v>
      </c>
      <c r="C719" s="6">
        <v>27.38</v>
      </c>
      <c r="D719" s="6">
        <v>9.6999999999999993</v>
      </c>
      <c r="E719" s="6">
        <v>5.73</v>
      </c>
      <c r="G719" s="31"/>
    </row>
    <row r="720" spans="1:7" x14ac:dyDescent="0.25">
      <c r="A720" s="36">
        <v>40532</v>
      </c>
      <c r="B720" s="6">
        <v>44.81</v>
      </c>
      <c r="C720" s="6">
        <v>27.22</v>
      </c>
      <c r="D720" s="6">
        <v>9.48</v>
      </c>
      <c r="E720" s="6">
        <v>5.77</v>
      </c>
      <c r="G720" s="31"/>
    </row>
    <row r="721" spans="1:7" x14ac:dyDescent="0.25">
      <c r="A721" s="36">
        <v>40533</v>
      </c>
      <c r="B721" s="6">
        <v>44.66</v>
      </c>
      <c r="C721" s="6">
        <v>27.02</v>
      </c>
      <c r="D721" s="6">
        <v>9.3000000000000007</v>
      </c>
      <c r="E721" s="6">
        <v>5.45</v>
      </c>
      <c r="G721" s="31"/>
    </row>
    <row r="722" spans="1:7" x14ac:dyDescent="0.25">
      <c r="A722" s="36">
        <v>40534</v>
      </c>
      <c r="B722" s="6">
        <v>44.52</v>
      </c>
      <c r="C722" s="6">
        <v>26.8</v>
      </c>
      <c r="D722" s="6">
        <v>9.1999999999999993</v>
      </c>
      <c r="E722" s="6">
        <v>5.28</v>
      </c>
      <c r="G722" s="31"/>
    </row>
    <row r="723" spans="1:7" x14ac:dyDescent="0.25">
      <c r="A723" s="36">
        <v>40535</v>
      </c>
      <c r="B723" s="6">
        <v>44.38</v>
      </c>
      <c r="C723" s="6">
        <v>26.6</v>
      </c>
      <c r="D723" s="6">
        <v>9</v>
      </c>
      <c r="E723" s="6">
        <v>5.12</v>
      </c>
      <c r="G723" s="31"/>
    </row>
    <row r="724" spans="1:7" x14ac:dyDescent="0.25">
      <c r="A724" s="36">
        <v>40536</v>
      </c>
      <c r="B724" s="6">
        <v>44.25</v>
      </c>
      <c r="C724" s="6">
        <v>26.45</v>
      </c>
      <c r="D724" s="6">
        <v>8.85</v>
      </c>
      <c r="E724" s="6">
        <v>5.13</v>
      </c>
      <c r="G724" s="31"/>
    </row>
    <row r="725" spans="1:7" x14ac:dyDescent="0.25">
      <c r="A725" s="36">
        <v>40537</v>
      </c>
      <c r="B725" s="6">
        <v>44.14</v>
      </c>
      <c r="C725" s="6">
        <v>26.28</v>
      </c>
      <c r="D725" s="6">
        <v>8.6999999999999993</v>
      </c>
      <c r="E725" s="6">
        <v>5.13</v>
      </c>
      <c r="G725" s="31"/>
    </row>
    <row r="726" spans="1:7" x14ac:dyDescent="0.25">
      <c r="A726" s="36">
        <v>40538</v>
      </c>
      <c r="B726" s="6">
        <v>44.05</v>
      </c>
      <c r="C726" s="6">
        <v>26.15</v>
      </c>
      <c r="D726" s="6">
        <v>8.5399999999999991</v>
      </c>
      <c r="E726" s="6">
        <v>5.04</v>
      </c>
      <c r="G726" s="31"/>
    </row>
    <row r="727" spans="1:7" x14ac:dyDescent="0.25">
      <c r="A727" s="36">
        <v>40539</v>
      </c>
      <c r="B727" s="6">
        <v>43.96</v>
      </c>
      <c r="C727" s="6">
        <v>26.02</v>
      </c>
      <c r="D727" s="6">
        <v>8.3800000000000008</v>
      </c>
      <c r="E727" s="6">
        <v>4.9000000000000004</v>
      </c>
      <c r="G727" s="31"/>
    </row>
    <row r="728" spans="1:7" x14ac:dyDescent="0.25">
      <c r="A728" s="36">
        <v>40540</v>
      </c>
      <c r="B728" s="6">
        <v>43.86</v>
      </c>
      <c r="C728" s="6">
        <v>25.96</v>
      </c>
      <c r="D728" s="6">
        <v>8.3000000000000007</v>
      </c>
      <c r="E728" s="6">
        <v>4.67</v>
      </c>
      <c r="G728" s="31"/>
    </row>
    <row r="729" spans="1:7" x14ac:dyDescent="0.25">
      <c r="A729" s="36">
        <v>40541</v>
      </c>
      <c r="B729" s="6">
        <v>43.79</v>
      </c>
      <c r="C729" s="6">
        <v>25.8</v>
      </c>
      <c r="D729" s="6">
        <v>8.02</v>
      </c>
      <c r="E729" s="6">
        <v>4.47</v>
      </c>
      <c r="G729" s="31"/>
    </row>
    <row r="730" spans="1:7" x14ac:dyDescent="0.25">
      <c r="A730" s="36">
        <v>40542</v>
      </c>
      <c r="B730" s="6">
        <v>43.74</v>
      </c>
      <c r="C730" s="6">
        <v>25.66</v>
      </c>
      <c r="D730" s="6">
        <v>7.87</v>
      </c>
      <c r="E730" s="6">
        <v>4.3</v>
      </c>
      <c r="G730" s="31"/>
    </row>
    <row r="731" spans="1:7" x14ac:dyDescent="0.25">
      <c r="A731" s="36">
        <v>40543</v>
      </c>
      <c r="B731" s="6">
        <v>43.73</v>
      </c>
      <c r="C731" s="6">
        <v>25.52</v>
      </c>
      <c r="D731" s="6">
        <v>7.74</v>
      </c>
      <c r="E731" s="6">
        <v>4.17</v>
      </c>
      <c r="G731" s="31"/>
    </row>
    <row r="732" spans="1:7" x14ac:dyDescent="0.25">
      <c r="A732" s="36">
        <v>40544</v>
      </c>
      <c r="B732" s="7">
        <v>43.76</v>
      </c>
      <c r="C732" s="7">
        <v>25.44</v>
      </c>
      <c r="D732" s="7">
        <v>7.68</v>
      </c>
      <c r="E732" s="7">
        <v>4.07</v>
      </c>
      <c r="G732" s="31"/>
    </row>
    <row r="733" spans="1:7" x14ac:dyDescent="0.25">
      <c r="A733" s="36">
        <v>40545</v>
      </c>
      <c r="B733" s="7">
        <v>43.79</v>
      </c>
      <c r="C733" s="7">
        <v>25.41</v>
      </c>
      <c r="D733" s="7">
        <v>7.62</v>
      </c>
      <c r="E733" s="7">
        <v>4.0599999999999996</v>
      </c>
      <c r="G733" s="31"/>
    </row>
    <row r="734" spans="1:7" x14ac:dyDescent="0.25">
      <c r="A734" s="36">
        <v>40546</v>
      </c>
      <c r="B734" s="7">
        <v>43.8</v>
      </c>
      <c r="C734" s="7">
        <v>25.39</v>
      </c>
      <c r="D734" s="7">
        <v>7.58</v>
      </c>
      <c r="E734" s="7">
        <v>3.93</v>
      </c>
      <c r="G734" s="31"/>
    </row>
    <row r="735" spans="1:7" x14ac:dyDescent="0.25">
      <c r="A735" s="36">
        <v>40547</v>
      </c>
      <c r="B735" s="7">
        <v>43.76</v>
      </c>
      <c r="C735" s="7">
        <v>25.4</v>
      </c>
      <c r="D735" s="7">
        <v>7.46</v>
      </c>
      <c r="E735" s="7">
        <v>3.77</v>
      </c>
      <c r="G735" s="31"/>
    </row>
    <row r="736" spans="1:7" x14ac:dyDescent="0.25">
      <c r="A736" s="36">
        <v>40548</v>
      </c>
      <c r="B736" s="7">
        <v>43.7</v>
      </c>
      <c r="C736" s="7">
        <v>25.38</v>
      </c>
      <c r="D736" s="7">
        <v>7.3</v>
      </c>
      <c r="E736" s="7">
        <v>3.78</v>
      </c>
      <c r="G736" s="31"/>
    </row>
    <row r="737" spans="1:7" x14ac:dyDescent="0.25">
      <c r="A737" s="36">
        <v>40549</v>
      </c>
      <c r="B737" s="7">
        <v>43.59</v>
      </c>
      <c r="C737" s="7">
        <v>25.38</v>
      </c>
      <c r="D737" s="7">
        <v>7.2</v>
      </c>
      <c r="E737" s="7">
        <v>3.76</v>
      </c>
      <c r="G737" s="31"/>
    </row>
    <row r="738" spans="1:7" x14ac:dyDescent="0.25">
      <c r="A738" s="36">
        <v>40550</v>
      </c>
      <c r="B738" s="7">
        <v>43.46</v>
      </c>
      <c r="C738" s="7">
        <v>25.38</v>
      </c>
      <c r="D738" s="7">
        <v>7.1</v>
      </c>
      <c r="E738" s="7">
        <v>3.73</v>
      </c>
      <c r="G738" s="31"/>
    </row>
    <row r="739" spans="1:7" x14ac:dyDescent="0.25">
      <c r="A739" s="36">
        <v>40551</v>
      </c>
      <c r="B739" s="7">
        <v>43.33</v>
      </c>
      <c r="C739" s="7">
        <v>25.19</v>
      </c>
      <c r="D739" s="7">
        <v>7.08</v>
      </c>
      <c r="E739" s="7">
        <v>3.72</v>
      </c>
      <c r="G739" s="31"/>
    </row>
    <row r="740" spans="1:7" x14ac:dyDescent="0.25">
      <c r="A740" s="36">
        <v>40552</v>
      </c>
      <c r="B740" s="7">
        <v>43.25</v>
      </c>
      <c r="C740" s="7">
        <v>25.06</v>
      </c>
      <c r="D740" s="7">
        <v>7</v>
      </c>
      <c r="E740" s="7">
        <v>3.65</v>
      </c>
      <c r="G740" s="31"/>
    </row>
    <row r="741" spans="1:7" x14ac:dyDescent="0.25">
      <c r="A741" s="36">
        <v>40553</v>
      </c>
      <c r="B741" s="7">
        <v>43.26</v>
      </c>
      <c r="C741" s="7">
        <v>24.9</v>
      </c>
      <c r="D741" s="7">
        <v>6.8</v>
      </c>
      <c r="E741" s="7">
        <v>3.55</v>
      </c>
      <c r="G741" s="31"/>
    </row>
    <row r="742" spans="1:7" x14ac:dyDescent="0.25">
      <c r="A742" s="36">
        <v>40554</v>
      </c>
      <c r="B742" s="7">
        <v>43.32</v>
      </c>
      <c r="C742" s="7">
        <v>24.8</v>
      </c>
      <c r="D742" s="7">
        <v>6.8</v>
      </c>
      <c r="E742" s="7">
        <v>3.56</v>
      </c>
      <c r="G742" s="31"/>
    </row>
    <row r="743" spans="1:7" x14ac:dyDescent="0.25">
      <c r="A743" s="36">
        <v>40555</v>
      </c>
      <c r="B743" s="7">
        <v>43.37</v>
      </c>
      <c r="C743" s="7">
        <v>24.75</v>
      </c>
      <c r="D743" s="7">
        <v>6.9</v>
      </c>
      <c r="E743" s="7">
        <v>3.52</v>
      </c>
      <c r="G743" s="31"/>
    </row>
    <row r="744" spans="1:7" x14ac:dyDescent="0.25">
      <c r="A744" s="36">
        <v>40556</v>
      </c>
      <c r="B744" s="7">
        <v>43.44</v>
      </c>
      <c r="C744" s="7">
        <v>24.69</v>
      </c>
      <c r="D744" s="7">
        <v>6.82</v>
      </c>
      <c r="E744" s="7">
        <v>3.5</v>
      </c>
      <c r="G744" s="31"/>
    </row>
    <row r="745" spans="1:7" x14ac:dyDescent="0.25">
      <c r="A745" s="36">
        <v>40557</v>
      </c>
      <c r="B745" s="7">
        <v>43.5</v>
      </c>
      <c r="C745" s="7">
        <v>24.67</v>
      </c>
      <c r="D745" s="7">
        <v>6.72</v>
      </c>
      <c r="E745" s="7">
        <v>3.43</v>
      </c>
      <c r="G745" s="31"/>
    </row>
    <row r="746" spans="1:7" x14ac:dyDescent="0.25">
      <c r="A746" s="36">
        <v>40558</v>
      </c>
      <c r="B746" s="7">
        <v>43.5</v>
      </c>
      <c r="C746" s="7">
        <v>24.7</v>
      </c>
      <c r="D746" s="7">
        <v>6.62</v>
      </c>
      <c r="E746" s="7">
        <v>3.39</v>
      </c>
      <c r="G746" s="31"/>
    </row>
    <row r="747" spans="1:7" x14ac:dyDescent="0.25">
      <c r="A747" s="36">
        <v>40559</v>
      </c>
      <c r="B747" s="7">
        <v>43.49</v>
      </c>
      <c r="C747" s="7">
        <v>24.75</v>
      </c>
      <c r="D747" s="7">
        <v>6.56</v>
      </c>
      <c r="E747" s="7">
        <v>3.29</v>
      </c>
      <c r="G747" s="31"/>
    </row>
    <row r="748" spans="1:7" x14ac:dyDescent="0.25">
      <c r="A748" s="36">
        <v>40560</v>
      </c>
      <c r="B748" s="7">
        <v>43.42</v>
      </c>
      <c r="C748" s="7">
        <v>24.78</v>
      </c>
      <c r="D748" s="7">
        <v>6.5</v>
      </c>
      <c r="E748" s="7">
        <v>3.23</v>
      </c>
      <c r="G748" s="31"/>
    </row>
    <row r="749" spans="1:7" x14ac:dyDescent="0.25">
      <c r="A749" s="36">
        <v>40561</v>
      </c>
      <c r="B749" s="7">
        <v>43.32</v>
      </c>
      <c r="C749" s="7">
        <v>24.79</v>
      </c>
      <c r="D749" s="7">
        <v>6.46</v>
      </c>
      <c r="E749" s="7">
        <v>3.21</v>
      </c>
      <c r="G749" s="31"/>
    </row>
    <row r="750" spans="1:7" x14ac:dyDescent="0.25">
      <c r="A750" s="36">
        <v>40562</v>
      </c>
      <c r="B750" s="7">
        <v>43.2</v>
      </c>
      <c r="C750" s="7">
        <v>24.73</v>
      </c>
      <c r="D750" s="7">
        <v>6.42</v>
      </c>
      <c r="E750" s="7">
        <v>3.21</v>
      </c>
      <c r="G750" s="31"/>
    </row>
    <row r="751" spans="1:7" x14ac:dyDescent="0.25">
      <c r="A751" s="36">
        <v>40563</v>
      </c>
      <c r="B751" s="7">
        <v>43.04</v>
      </c>
      <c r="C751" s="7">
        <v>24.67</v>
      </c>
      <c r="D751" s="7">
        <v>6.4</v>
      </c>
      <c r="E751" s="7">
        <v>3.26</v>
      </c>
      <c r="G751" s="31"/>
    </row>
    <row r="752" spans="1:7" x14ac:dyDescent="0.25">
      <c r="A752" s="36">
        <v>40564</v>
      </c>
      <c r="B752" s="7">
        <v>42.89</v>
      </c>
      <c r="C752" s="7">
        <v>24.56</v>
      </c>
      <c r="D752" s="7">
        <v>6.36</v>
      </c>
      <c r="E752" s="7">
        <v>3.25</v>
      </c>
      <c r="G752" s="31"/>
    </row>
    <row r="753" spans="1:7" x14ac:dyDescent="0.25">
      <c r="A753" s="36">
        <v>40565</v>
      </c>
      <c r="B753" s="7">
        <v>42.74</v>
      </c>
      <c r="C753" s="7">
        <v>24.43</v>
      </c>
      <c r="D753" s="7">
        <v>6.32</v>
      </c>
      <c r="E753" s="7">
        <v>3.25</v>
      </c>
      <c r="G753" s="31"/>
    </row>
    <row r="754" spans="1:7" x14ac:dyDescent="0.25">
      <c r="A754" s="36">
        <v>40566</v>
      </c>
      <c r="B754" s="7">
        <v>42.6</v>
      </c>
      <c r="C754" s="7">
        <v>24.26</v>
      </c>
      <c r="D754" s="7">
        <v>6.22</v>
      </c>
      <c r="E754" s="7">
        <v>3.2</v>
      </c>
      <c r="G754" s="31"/>
    </row>
    <row r="755" spans="1:7" x14ac:dyDescent="0.25">
      <c r="A755" s="36">
        <v>40567</v>
      </c>
      <c r="B755" s="7">
        <v>42.46</v>
      </c>
      <c r="C755" s="7">
        <v>23.96</v>
      </c>
      <c r="D755" s="7">
        <v>6.1</v>
      </c>
      <c r="E755" s="7">
        <v>3.11</v>
      </c>
      <c r="G755" s="31"/>
    </row>
    <row r="756" spans="1:7" x14ac:dyDescent="0.25">
      <c r="A756" s="36">
        <v>40568</v>
      </c>
      <c r="B756" s="7">
        <v>42.33</v>
      </c>
      <c r="C756" s="7">
        <v>23.8</v>
      </c>
      <c r="D756" s="7">
        <v>5.9</v>
      </c>
      <c r="E756" s="7">
        <v>3.03</v>
      </c>
      <c r="G756" s="31"/>
    </row>
    <row r="757" spans="1:7" x14ac:dyDescent="0.25">
      <c r="A757" s="36">
        <v>40569</v>
      </c>
      <c r="B757" s="7">
        <v>42.22</v>
      </c>
      <c r="C757" s="7">
        <v>23.68</v>
      </c>
      <c r="D757" s="7">
        <v>5.86</v>
      </c>
      <c r="E757" s="7">
        <v>2.96</v>
      </c>
      <c r="G757" s="31"/>
    </row>
    <row r="758" spans="1:7" x14ac:dyDescent="0.25">
      <c r="A758" s="36">
        <v>40570</v>
      </c>
      <c r="B758" s="7">
        <v>42.09</v>
      </c>
      <c r="C758" s="7">
        <v>23.57</v>
      </c>
      <c r="D758" s="7">
        <v>5.82</v>
      </c>
      <c r="E758" s="7">
        <v>2.86</v>
      </c>
      <c r="G758" s="31"/>
    </row>
    <row r="759" spans="1:7" x14ac:dyDescent="0.25">
      <c r="A759" s="36">
        <v>40571</v>
      </c>
      <c r="B759" s="7">
        <v>41.97</v>
      </c>
      <c r="C759" s="7">
        <v>23.57</v>
      </c>
      <c r="D759" s="7">
        <v>5.56</v>
      </c>
      <c r="E759" s="7">
        <v>2.78</v>
      </c>
      <c r="G759" s="31"/>
    </row>
    <row r="760" spans="1:7" x14ac:dyDescent="0.25">
      <c r="A760" s="36">
        <v>40572</v>
      </c>
      <c r="B760" s="7">
        <v>41.87</v>
      </c>
      <c r="C760" s="7">
        <v>23.43</v>
      </c>
      <c r="D760" s="7">
        <v>5.4</v>
      </c>
      <c r="E760" s="7">
        <v>2.64</v>
      </c>
      <c r="G760" s="31"/>
    </row>
    <row r="761" spans="1:7" x14ac:dyDescent="0.25">
      <c r="A761" s="36">
        <v>40573</v>
      </c>
      <c r="B761" s="7">
        <v>41.76</v>
      </c>
      <c r="C761" s="7">
        <v>23.35</v>
      </c>
      <c r="D761" s="7">
        <v>5.2</v>
      </c>
      <c r="E761" s="7">
        <v>2.58</v>
      </c>
      <c r="G761" s="31"/>
    </row>
    <row r="762" spans="1:7" x14ac:dyDescent="0.25">
      <c r="A762" s="36">
        <v>40574</v>
      </c>
      <c r="B762" s="7">
        <v>41.66</v>
      </c>
      <c r="C762" s="7">
        <v>23.2</v>
      </c>
      <c r="D762" s="7">
        <v>5.16</v>
      </c>
      <c r="E762" s="7">
        <v>2.4300000000000002</v>
      </c>
      <c r="G762" s="31"/>
    </row>
    <row r="763" spans="1:7" x14ac:dyDescent="0.25">
      <c r="A763" s="36">
        <v>40575</v>
      </c>
      <c r="B763" s="7">
        <v>41.56</v>
      </c>
      <c r="C763" s="7">
        <v>23.1</v>
      </c>
      <c r="D763" s="7">
        <v>5.0199999999999996</v>
      </c>
      <c r="E763" s="7">
        <v>2.4</v>
      </c>
      <c r="G763" s="31"/>
    </row>
    <row r="764" spans="1:7" x14ac:dyDescent="0.25">
      <c r="A764" s="36">
        <v>40576</v>
      </c>
      <c r="B764" s="7">
        <v>41.52</v>
      </c>
      <c r="C764" s="7">
        <v>23</v>
      </c>
      <c r="D764" s="7">
        <v>4.9000000000000004</v>
      </c>
      <c r="E764" s="7">
        <v>2.4</v>
      </c>
      <c r="G764" s="31"/>
    </row>
    <row r="765" spans="1:7" x14ac:dyDescent="0.25">
      <c r="A765" s="36">
        <v>40577</v>
      </c>
      <c r="B765" s="7">
        <v>41.47</v>
      </c>
      <c r="C765" s="7">
        <v>22.88</v>
      </c>
      <c r="D765" s="7">
        <v>4.82</v>
      </c>
      <c r="E765" s="7">
        <v>2.39</v>
      </c>
      <c r="G765" s="31"/>
    </row>
    <row r="766" spans="1:7" x14ac:dyDescent="0.25">
      <c r="A766" s="36">
        <v>40578</v>
      </c>
      <c r="B766" s="7">
        <v>41.43</v>
      </c>
      <c r="C766" s="7">
        <v>22.78</v>
      </c>
      <c r="D766" s="7">
        <v>4.82</v>
      </c>
      <c r="E766" s="7">
        <v>2.3199999999999998</v>
      </c>
      <c r="G766" s="31"/>
    </row>
    <row r="767" spans="1:7" x14ac:dyDescent="0.25">
      <c r="A767" s="36">
        <v>40579</v>
      </c>
      <c r="B767" s="7">
        <v>41.38</v>
      </c>
      <c r="C767" s="7">
        <v>22.69</v>
      </c>
      <c r="D767" s="7">
        <v>4.7</v>
      </c>
      <c r="E767" s="7">
        <v>2.3199999999999998</v>
      </c>
      <c r="G767" s="31"/>
    </row>
    <row r="768" spans="1:7" x14ac:dyDescent="0.25">
      <c r="A768" s="36">
        <v>40580</v>
      </c>
      <c r="B768" s="7">
        <v>41.38</v>
      </c>
      <c r="C768" s="7">
        <v>22.68</v>
      </c>
      <c r="D768" s="7">
        <v>4.5199999999999996</v>
      </c>
      <c r="E768" s="7">
        <v>2.2599999999999998</v>
      </c>
      <c r="G768" s="31"/>
    </row>
    <row r="769" spans="1:7" x14ac:dyDescent="0.25">
      <c r="A769" s="36">
        <v>40581</v>
      </c>
      <c r="B769" s="7">
        <v>41.35</v>
      </c>
      <c r="C769" s="7">
        <v>22.57</v>
      </c>
      <c r="D769" s="7">
        <v>4.4800000000000004</v>
      </c>
      <c r="E769" s="7">
        <v>2.16</v>
      </c>
      <c r="G769" s="31"/>
    </row>
    <row r="770" spans="1:7" x14ac:dyDescent="0.25">
      <c r="A770" s="36">
        <v>40582</v>
      </c>
      <c r="B770" s="7">
        <v>41.3</v>
      </c>
      <c r="C770" s="7">
        <v>22.54</v>
      </c>
      <c r="D770" s="7">
        <v>4.4000000000000004</v>
      </c>
      <c r="E770" s="7">
        <v>2.16</v>
      </c>
      <c r="G770" s="31"/>
    </row>
    <row r="771" spans="1:7" x14ac:dyDescent="0.25">
      <c r="A771" s="36">
        <v>40583</v>
      </c>
      <c r="B771" s="7">
        <v>41.27</v>
      </c>
      <c r="C771" s="7">
        <v>22.48</v>
      </c>
      <c r="D771" s="7">
        <v>4.3</v>
      </c>
      <c r="E771" s="7">
        <v>2.08</v>
      </c>
      <c r="G771" s="31"/>
    </row>
    <row r="772" spans="1:7" x14ac:dyDescent="0.25">
      <c r="A772" s="36">
        <v>40584</v>
      </c>
      <c r="B772" s="7">
        <v>41.23</v>
      </c>
      <c r="C772" s="7">
        <v>22.43</v>
      </c>
      <c r="D772" s="7">
        <v>4.28</v>
      </c>
      <c r="E772" s="7">
        <v>2.0099999999999998</v>
      </c>
      <c r="G772" s="31"/>
    </row>
    <row r="773" spans="1:7" x14ac:dyDescent="0.25">
      <c r="A773" s="36">
        <v>40585</v>
      </c>
      <c r="B773" s="7">
        <v>41.19</v>
      </c>
      <c r="C773" s="7">
        <v>22.35</v>
      </c>
      <c r="D773" s="7">
        <v>4.16</v>
      </c>
      <c r="E773" s="7">
        <v>1.99</v>
      </c>
      <c r="G773" s="31"/>
    </row>
    <row r="774" spans="1:7" x14ac:dyDescent="0.25">
      <c r="A774" s="36">
        <v>40586</v>
      </c>
      <c r="B774" s="7">
        <v>41.15</v>
      </c>
      <c r="C774" s="7">
        <v>22.33</v>
      </c>
      <c r="D774" s="7">
        <v>4.0999999999999996</v>
      </c>
      <c r="E774" s="7">
        <v>1.96</v>
      </c>
      <c r="G774" s="31"/>
    </row>
    <row r="775" spans="1:7" x14ac:dyDescent="0.25">
      <c r="A775" s="36">
        <v>40587</v>
      </c>
      <c r="B775" s="7">
        <v>41.11</v>
      </c>
      <c r="C775" s="7">
        <v>22.3</v>
      </c>
      <c r="D775" s="7">
        <v>4</v>
      </c>
      <c r="E775" s="7">
        <v>1.92</v>
      </c>
      <c r="G775" s="31"/>
    </row>
    <row r="776" spans="1:7" x14ac:dyDescent="0.25">
      <c r="A776" s="36">
        <v>40588</v>
      </c>
      <c r="B776" s="7">
        <v>41.08</v>
      </c>
      <c r="C776" s="7">
        <v>22.25</v>
      </c>
      <c r="D776" s="7">
        <v>3.9</v>
      </c>
      <c r="E776" s="7">
        <v>1.83</v>
      </c>
      <c r="G776" s="31"/>
    </row>
    <row r="777" spans="1:7" x14ac:dyDescent="0.25">
      <c r="A777" s="36">
        <v>40589</v>
      </c>
      <c r="B777" s="7">
        <v>41.06</v>
      </c>
      <c r="C777" s="7">
        <v>22.2</v>
      </c>
      <c r="D777" s="7">
        <v>3.92</v>
      </c>
      <c r="E777" s="7">
        <v>1.82</v>
      </c>
      <c r="G777" s="31"/>
    </row>
    <row r="778" spans="1:7" x14ac:dyDescent="0.25">
      <c r="A778" s="36">
        <v>40590</v>
      </c>
      <c r="B778" s="7">
        <v>41.06</v>
      </c>
      <c r="C778" s="7">
        <v>22.17</v>
      </c>
      <c r="D778" s="7">
        <v>3.8</v>
      </c>
      <c r="E778" s="7">
        <v>1.82</v>
      </c>
      <c r="G778" s="31"/>
    </row>
    <row r="779" spans="1:7" x14ac:dyDescent="0.25">
      <c r="A779" s="36">
        <v>40591</v>
      </c>
      <c r="B779" s="7">
        <v>41.09</v>
      </c>
      <c r="C779" s="7">
        <v>22.13</v>
      </c>
      <c r="D779" s="7">
        <v>3.78</v>
      </c>
      <c r="E779" s="7">
        <v>1.85</v>
      </c>
      <c r="G779" s="31"/>
    </row>
    <row r="780" spans="1:7" x14ac:dyDescent="0.25">
      <c r="A780" s="36">
        <v>40592</v>
      </c>
      <c r="B780" s="7">
        <v>41.12</v>
      </c>
      <c r="C780" s="7">
        <v>22.1</v>
      </c>
      <c r="D780" s="7">
        <v>3.78</v>
      </c>
      <c r="E780" s="7">
        <v>1.97</v>
      </c>
      <c r="G780" s="31"/>
    </row>
    <row r="781" spans="1:7" x14ac:dyDescent="0.25">
      <c r="A781" s="36">
        <v>40593</v>
      </c>
      <c r="B781" s="7">
        <v>41.12</v>
      </c>
      <c r="C781" s="7">
        <v>22.1</v>
      </c>
      <c r="D781" s="7">
        <v>3.72</v>
      </c>
      <c r="E781" s="7">
        <v>2.0299999999999998</v>
      </c>
      <c r="G781" s="31"/>
    </row>
    <row r="782" spans="1:7" x14ac:dyDescent="0.25">
      <c r="A782" s="36">
        <v>40594</v>
      </c>
      <c r="B782" s="7">
        <v>41.12</v>
      </c>
      <c r="C782" s="7">
        <v>22.09</v>
      </c>
      <c r="D782" s="7">
        <v>3.72</v>
      </c>
      <c r="E782" s="7">
        <v>2.0299999999999998</v>
      </c>
      <c r="G782" s="31"/>
    </row>
    <row r="783" spans="1:7" x14ac:dyDescent="0.25">
      <c r="A783" s="36">
        <v>40595</v>
      </c>
      <c r="B783" s="7">
        <v>41.11</v>
      </c>
      <c r="C783" s="7">
        <v>22.11</v>
      </c>
      <c r="D783" s="7">
        <v>3.7</v>
      </c>
      <c r="E783" s="7">
        <v>2</v>
      </c>
      <c r="G783" s="31"/>
    </row>
    <row r="784" spans="1:7" x14ac:dyDescent="0.25">
      <c r="A784" s="36">
        <v>40596</v>
      </c>
      <c r="B784" s="7">
        <v>41.1</v>
      </c>
      <c r="C784" s="7">
        <v>22.11</v>
      </c>
      <c r="D784" s="7">
        <v>3.72</v>
      </c>
      <c r="E784" s="7">
        <v>2.06</v>
      </c>
      <c r="G784" s="31"/>
    </row>
    <row r="785" spans="1:7" x14ac:dyDescent="0.25">
      <c r="A785" s="36">
        <v>40597</v>
      </c>
      <c r="B785" s="7">
        <v>41.11</v>
      </c>
      <c r="C785" s="7">
        <v>22.09</v>
      </c>
      <c r="D785" s="7">
        <v>3.8</v>
      </c>
      <c r="E785" s="7">
        <v>1.98</v>
      </c>
      <c r="G785" s="31"/>
    </row>
    <row r="786" spans="1:7" x14ac:dyDescent="0.25">
      <c r="A786" s="36">
        <v>40598</v>
      </c>
      <c r="B786" s="7">
        <v>41.11</v>
      </c>
      <c r="C786" s="7">
        <v>22.09</v>
      </c>
      <c r="D786" s="7">
        <v>3.82</v>
      </c>
      <c r="E786" s="7">
        <v>2.0099999999999998</v>
      </c>
      <c r="G786" s="31"/>
    </row>
    <row r="787" spans="1:7" x14ac:dyDescent="0.25">
      <c r="A787" s="36">
        <v>40599</v>
      </c>
      <c r="B787" s="7">
        <v>41.09</v>
      </c>
      <c r="C787" s="7">
        <v>22.08</v>
      </c>
      <c r="D787" s="7">
        <v>3.7</v>
      </c>
      <c r="E787" s="7">
        <v>1.89</v>
      </c>
      <c r="G787" s="31"/>
    </row>
    <row r="788" spans="1:7" x14ac:dyDescent="0.25">
      <c r="A788" s="36">
        <v>40600</v>
      </c>
      <c r="B788" s="7">
        <v>41.06</v>
      </c>
      <c r="C788" s="7">
        <v>22.08</v>
      </c>
      <c r="D788" s="7">
        <v>3.7</v>
      </c>
      <c r="E788" s="7">
        <v>1.85</v>
      </c>
      <c r="G788" s="31"/>
    </row>
    <row r="789" spans="1:7" x14ac:dyDescent="0.25">
      <c r="A789" s="36">
        <v>40601</v>
      </c>
      <c r="B789" s="7">
        <v>41.06</v>
      </c>
      <c r="C789" s="7">
        <v>22.08</v>
      </c>
      <c r="D789" s="7">
        <v>3.7</v>
      </c>
      <c r="E789" s="7">
        <v>1.74</v>
      </c>
      <c r="G789" s="31"/>
    </row>
    <row r="790" spans="1:7" x14ac:dyDescent="0.25">
      <c r="A790" s="36">
        <v>40602</v>
      </c>
      <c r="B790" s="7">
        <v>41.1</v>
      </c>
      <c r="C790" s="7">
        <v>22.08</v>
      </c>
      <c r="D790" s="7">
        <v>3.66</v>
      </c>
      <c r="E790" s="7">
        <v>1.76</v>
      </c>
      <c r="G790" s="31"/>
    </row>
    <row r="791" spans="1:7" x14ac:dyDescent="0.25">
      <c r="A791" s="36">
        <v>40603</v>
      </c>
      <c r="B791" s="7">
        <v>41.19</v>
      </c>
      <c r="C791" s="7">
        <v>22.08</v>
      </c>
      <c r="D791" s="7">
        <v>3.72</v>
      </c>
      <c r="E791" s="7">
        <v>1.79</v>
      </c>
      <c r="G791" s="31"/>
    </row>
    <row r="792" spans="1:7" x14ac:dyDescent="0.25">
      <c r="A792" s="36">
        <v>40604</v>
      </c>
      <c r="B792" s="7">
        <v>41.3</v>
      </c>
      <c r="C792" s="7">
        <v>22.06</v>
      </c>
      <c r="D792" s="7">
        <v>3.76</v>
      </c>
      <c r="E792" s="7">
        <v>1.79</v>
      </c>
      <c r="G792" s="31"/>
    </row>
    <row r="793" spans="1:7" x14ac:dyDescent="0.25">
      <c r="A793" s="36">
        <v>40605</v>
      </c>
      <c r="B793" s="7">
        <v>41.43</v>
      </c>
      <c r="C793" s="7">
        <v>22.06</v>
      </c>
      <c r="D793" s="7">
        <v>3.78</v>
      </c>
      <c r="E793" s="7">
        <v>1.86</v>
      </c>
      <c r="G793" s="31"/>
    </row>
    <row r="794" spans="1:7" x14ac:dyDescent="0.25">
      <c r="A794" s="36">
        <v>40606</v>
      </c>
      <c r="B794" s="7">
        <v>41.54</v>
      </c>
      <c r="C794" s="6">
        <v>22.1</v>
      </c>
      <c r="D794" s="7">
        <v>3.8</v>
      </c>
      <c r="E794" s="7">
        <v>1.93</v>
      </c>
      <c r="G794" s="31"/>
    </row>
    <row r="795" spans="1:7" x14ac:dyDescent="0.25">
      <c r="A795" s="36">
        <v>40607</v>
      </c>
      <c r="B795" s="7">
        <v>41.61</v>
      </c>
      <c r="C795" s="6">
        <v>22.18</v>
      </c>
      <c r="D795" s="7">
        <v>3.82</v>
      </c>
      <c r="E795" s="6">
        <v>1.95</v>
      </c>
      <c r="G795" s="31"/>
    </row>
    <row r="796" spans="1:7" x14ac:dyDescent="0.25">
      <c r="A796" s="36">
        <v>40608</v>
      </c>
      <c r="B796" s="6">
        <v>41.68</v>
      </c>
      <c r="C796" s="6">
        <v>22.28</v>
      </c>
      <c r="D796" s="7">
        <v>3.82</v>
      </c>
      <c r="E796" s="6">
        <v>1.93</v>
      </c>
      <c r="G796" s="31"/>
    </row>
    <row r="797" spans="1:7" x14ac:dyDescent="0.25">
      <c r="A797" s="36">
        <v>40609</v>
      </c>
      <c r="B797" s="6">
        <v>41.75</v>
      </c>
      <c r="C797" s="6">
        <v>22.38</v>
      </c>
      <c r="D797" s="7">
        <v>3.78</v>
      </c>
      <c r="E797" s="6">
        <v>1.92</v>
      </c>
      <c r="G797" s="31"/>
    </row>
    <row r="798" spans="1:7" x14ac:dyDescent="0.25">
      <c r="A798" s="36">
        <v>40610</v>
      </c>
      <c r="B798" s="6">
        <v>41.83</v>
      </c>
      <c r="C798" s="6">
        <v>22.5</v>
      </c>
      <c r="D798" s="7">
        <v>3.8</v>
      </c>
      <c r="E798" s="6">
        <v>1.91</v>
      </c>
      <c r="G798" s="31"/>
    </row>
    <row r="799" spans="1:7" x14ac:dyDescent="0.25">
      <c r="A799" s="36">
        <v>40611</v>
      </c>
      <c r="B799" s="6">
        <v>41.87</v>
      </c>
      <c r="C799" s="6">
        <v>22.64</v>
      </c>
      <c r="D799" s="7">
        <v>3.82</v>
      </c>
      <c r="E799" s="6">
        <v>1.95</v>
      </c>
      <c r="G799" s="31"/>
    </row>
    <row r="800" spans="1:7" x14ac:dyDescent="0.25">
      <c r="A800" s="36">
        <v>40612</v>
      </c>
      <c r="B800" s="6">
        <v>41.9</v>
      </c>
      <c r="C800" s="6">
        <v>22.76</v>
      </c>
      <c r="D800" s="7">
        <v>3.82</v>
      </c>
      <c r="E800" s="6">
        <v>1.93</v>
      </c>
      <c r="G800" s="31"/>
    </row>
    <row r="801" spans="1:7" x14ac:dyDescent="0.25">
      <c r="A801" s="36">
        <v>40613</v>
      </c>
      <c r="B801" s="6">
        <v>41.92</v>
      </c>
      <c r="C801" s="6">
        <v>22.85</v>
      </c>
      <c r="D801" s="7">
        <v>3.9</v>
      </c>
      <c r="E801" s="6">
        <v>1.96</v>
      </c>
      <c r="G801" s="31"/>
    </row>
    <row r="802" spans="1:7" x14ac:dyDescent="0.25">
      <c r="A802" s="36">
        <v>40614</v>
      </c>
      <c r="B802" s="6">
        <v>41.97</v>
      </c>
      <c r="C802" s="6">
        <v>22.9</v>
      </c>
      <c r="D802" s="6">
        <v>4.1399999999999997</v>
      </c>
      <c r="E802" s="6">
        <v>2.02</v>
      </c>
      <c r="G802" s="31"/>
    </row>
    <row r="803" spans="1:7" x14ac:dyDescent="0.25">
      <c r="A803" s="36">
        <v>40615</v>
      </c>
      <c r="B803" s="6">
        <v>42.04</v>
      </c>
      <c r="C803" s="6">
        <v>22.93</v>
      </c>
      <c r="D803" s="6">
        <v>4.28</v>
      </c>
      <c r="E803" s="6">
        <v>2.0499999999999998</v>
      </c>
      <c r="G803" s="31"/>
    </row>
    <row r="804" spans="1:7" x14ac:dyDescent="0.25">
      <c r="A804" s="36">
        <v>40616</v>
      </c>
      <c r="B804" s="6">
        <v>42.09</v>
      </c>
      <c r="C804" s="6">
        <v>22.95</v>
      </c>
      <c r="D804" s="6">
        <v>4.66</v>
      </c>
      <c r="E804" s="6">
        <v>2.14</v>
      </c>
      <c r="G804" s="31"/>
    </row>
    <row r="805" spans="1:7" x14ac:dyDescent="0.25">
      <c r="A805" s="36">
        <v>40617</v>
      </c>
      <c r="B805" s="6">
        <v>42.13</v>
      </c>
      <c r="C805" s="6">
        <v>22.97</v>
      </c>
      <c r="D805" s="6">
        <v>4.8</v>
      </c>
      <c r="E805" s="6">
        <v>2.23</v>
      </c>
      <c r="G805" s="31"/>
    </row>
    <row r="806" spans="1:7" x14ac:dyDescent="0.25">
      <c r="A806" s="36">
        <v>40618</v>
      </c>
      <c r="B806" s="6">
        <v>42.15</v>
      </c>
      <c r="C806" s="6">
        <v>23</v>
      </c>
      <c r="D806" s="6">
        <v>4.8600000000000003</v>
      </c>
      <c r="E806" s="6">
        <v>2.2599999999999998</v>
      </c>
      <c r="G806" s="31"/>
    </row>
    <row r="807" spans="1:7" x14ac:dyDescent="0.25">
      <c r="A807" s="36">
        <v>40619</v>
      </c>
      <c r="B807" s="6">
        <v>42.15</v>
      </c>
      <c r="C807" s="6">
        <v>23.03</v>
      </c>
      <c r="D807" s="6">
        <v>4.8</v>
      </c>
      <c r="E807" s="6">
        <v>2.34</v>
      </c>
      <c r="G807" s="31"/>
    </row>
    <row r="808" spans="1:7" x14ac:dyDescent="0.25">
      <c r="A808" s="36">
        <v>40620</v>
      </c>
      <c r="B808" s="6">
        <v>42.14</v>
      </c>
      <c r="C808" s="6">
        <v>23.06</v>
      </c>
      <c r="D808" s="6">
        <v>4.76</v>
      </c>
      <c r="E808" s="6">
        <v>2.35</v>
      </c>
      <c r="G808" s="31"/>
    </row>
    <row r="809" spans="1:7" x14ac:dyDescent="0.25">
      <c r="A809" s="36">
        <v>40621</v>
      </c>
      <c r="B809" s="6">
        <v>42.11</v>
      </c>
      <c r="C809" s="6">
        <v>23.07</v>
      </c>
      <c r="D809" s="6">
        <v>4.74</v>
      </c>
      <c r="E809" s="6">
        <v>2.36</v>
      </c>
      <c r="G809" s="31"/>
    </row>
    <row r="810" spans="1:7" x14ac:dyDescent="0.25">
      <c r="A810" s="36">
        <v>40622</v>
      </c>
      <c r="B810" s="6">
        <v>42</v>
      </c>
      <c r="C810" s="6">
        <v>23.08</v>
      </c>
      <c r="D810" s="6">
        <v>4.68</v>
      </c>
      <c r="E810" s="6">
        <v>2.37</v>
      </c>
      <c r="G810" s="31"/>
    </row>
    <row r="811" spans="1:7" x14ac:dyDescent="0.25">
      <c r="A811" s="36">
        <v>40623</v>
      </c>
      <c r="B811" s="6">
        <v>42</v>
      </c>
      <c r="C811" s="6">
        <v>23.08</v>
      </c>
      <c r="D811" s="6">
        <v>4.8</v>
      </c>
      <c r="E811" s="6">
        <v>2.39</v>
      </c>
      <c r="G811" s="31"/>
    </row>
    <row r="812" spans="1:7" x14ac:dyDescent="0.25">
      <c r="A812" s="36">
        <v>40624</v>
      </c>
      <c r="B812" s="6">
        <v>41.95</v>
      </c>
      <c r="C812" s="6">
        <v>23.08</v>
      </c>
      <c r="D812" s="6">
        <v>4.9000000000000004</v>
      </c>
      <c r="E812" s="6">
        <v>2.4500000000000002</v>
      </c>
      <c r="G812" s="31"/>
    </row>
    <row r="813" spans="1:7" x14ac:dyDescent="0.25">
      <c r="A813" s="36">
        <v>40625</v>
      </c>
      <c r="B813" s="6">
        <v>41.9</v>
      </c>
      <c r="C813" s="6">
        <v>23.04</v>
      </c>
      <c r="D813" s="6">
        <v>4.96</v>
      </c>
      <c r="E813" s="6">
        <v>2.4700000000000002</v>
      </c>
      <c r="G813" s="31"/>
    </row>
    <row r="814" spans="1:7" x14ac:dyDescent="0.25">
      <c r="A814" s="36">
        <v>40626</v>
      </c>
      <c r="B814" s="6">
        <v>41.88</v>
      </c>
      <c r="C814" s="6">
        <v>22.93</v>
      </c>
      <c r="D814" s="6">
        <v>4.9000000000000004</v>
      </c>
      <c r="E814" s="6">
        <v>2.48</v>
      </c>
      <c r="G814" s="31"/>
    </row>
    <row r="815" spans="1:7" x14ac:dyDescent="0.25">
      <c r="A815" s="36">
        <v>40627</v>
      </c>
      <c r="B815" s="6">
        <v>41.87</v>
      </c>
      <c r="C815" s="6">
        <v>22.86</v>
      </c>
      <c r="D815" s="6">
        <v>4.9000000000000004</v>
      </c>
      <c r="E815" s="6">
        <v>2.48</v>
      </c>
      <c r="G815" s="31"/>
    </row>
    <row r="816" spans="1:7" x14ac:dyDescent="0.25">
      <c r="A816" s="36">
        <v>40628</v>
      </c>
      <c r="B816" s="6">
        <v>41.88</v>
      </c>
      <c r="C816" s="6">
        <v>22.8</v>
      </c>
      <c r="D816" s="6">
        <v>4.78</v>
      </c>
      <c r="E816" s="6">
        <v>2.42</v>
      </c>
      <c r="G816" s="31"/>
    </row>
    <row r="817" spans="1:7" x14ac:dyDescent="0.25">
      <c r="A817" s="36">
        <v>40629</v>
      </c>
      <c r="B817" s="6">
        <v>41.89</v>
      </c>
      <c r="C817" s="6">
        <v>22.78</v>
      </c>
      <c r="D817" s="6">
        <v>4.7</v>
      </c>
      <c r="E817" s="6">
        <v>2.3199999999999998</v>
      </c>
      <c r="G817" s="31"/>
    </row>
    <row r="818" spans="1:7" x14ac:dyDescent="0.25">
      <c r="A818" s="36">
        <v>40630</v>
      </c>
      <c r="B818" s="6">
        <v>41.92</v>
      </c>
      <c r="C818" s="6">
        <v>22.76</v>
      </c>
      <c r="D818" s="6">
        <v>4.7</v>
      </c>
      <c r="E818" s="6">
        <v>2.29</v>
      </c>
      <c r="G818" s="31"/>
    </row>
    <row r="819" spans="1:7" x14ac:dyDescent="0.25">
      <c r="A819" s="36">
        <v>40631</v>
      </c>
      <c r="B819" s="6">
        <v>41.98</v>
      </c>
      <c r="C819" s="6">
        <v>22.76</v>
      </c>
      <c r="D819" s="6">
        <v>4.6399999999999997</v>
      </c>
      <c r="E819" s="6">
        <v>2.25</v>
      </c>
      <c r="G819" s="31"/>
    </row>
    <row r="820" spans="1:7" x14ac:dyDescent="0.25">
      <c r="A820" s="36">
        <v>40632</v>
      </c>
      <c r="B820" s="6">
        <v>42.05</v>
      </c>
      <c r="C820" s="6">
        <v>22.8</v>
      </c>
      <c r="D820" s="6">
        <v>4.62</v>
      </c>
      <c r="E820" s="6">
        <v>2.27</v>
      </c>
      <c r="G820" s="31"/>
    </row>
    <row r="821" spans="1:7" x14ac:dyDescent="0.25">
      <c r="A821" s="36">
        <v>40633</v>
      </c>
      <c r="B821" s="6">
        <v>42.1</v>
      </c>
      <c r="C821" s="6">
        <v>22.85</v>
      </c>
      <c r="D821" s="6">
        <v>4.62</v>
      </c>
      <c r="E821" s="6">
        <v>2.25</v>
      </c>
      <c r="G821" s="31"/>
    </row>
    <row r="822" spans="1:7" x14ac:dyDescent="0.25">
      <c r="A822" s="36">
        <v>40634</v>
      </c>
      <c r="B822" s="6">
        <v>42.12</v>
      </c>
      <c r="C822" s="6">
        <v>22.93</v>
      </c>
      <c r="D822" s="6">
        <v>4.62</v>
      </c>
      <c r="E822" s="6">
        <v>2.2799999999999998</v>
      </c>
      <c r="G822" s="31"/>
    </row>
    <row r="823" spans="1:7" x14ac:dyDescent="0.25">
      <c r="A823" s="36">
        <v>40635</v>
      </c>
      <c r="B823" s="6">
        <v>42.09</v>
      </c>
      <c r="C823" s="6">
        <v>23.08</v>
      </c>
      <c r="D823" s="6">
        <v>4.5999999999999996</v>
      </c>
      <c r="E823" s="6">
        <v>2.2799999999999998</v>
      </c>
      <c r="G823" s="31"/>
    </row>
    <row r="824" spans="1:7" x14ac:dyDescent="0.25">
      <c r="A824" s="36">
        <v>40636</v>
      </c>
      <c r="B824" s="6">
        <v>42.08</v>
      </c>
      <c r="C824" s="6">
        <v>23.24</v>
      </c>
      <c r="D824" s="6">
        <v>4.58</v>
      </c>
      <c r="E824" s="6">
        <v>2.2599999999999998</v>
      </c>
      <c r="G824" s="31"/>
    </row>
    <row r="825" spans="1:7" x14ac:dyDescent="0.25">
      <c r="A825" s="36">
        <v>40637</v>
      </c>
      <c r="B825" s="6">
        <v>42.06</v>
      </c>
      <c r="C825" s="6">
        <v>23.33</v>
      </c>
      <c r="D825" s="6">
        <v>4.5599999999999996</v>
      </c>
      <c r="E825" s="6">
        <v>2.17</v>
      </c>
      <c r="G825" s="31"/>
    </row>
    <row r="826" spans="1:7" x14ac:dyDescent="0.25">
      <c r="A826" s="36">
        <v>40638</v>
      </c>
      <c r="B826" s="6">
        <v>42.05</v>
      </c>
      <c r="C826" s="6">
        <v>23.37</v>
      </c>
      <c r="D826" s="6">
        <v>4.58</v>
      </c>
      <c r="E826" s="6">
        <v>2.23</v>
      </c>
      <c r="G826" s="31"/>
    </row>
    <row r="827" spans="1:7" x14ac:dyDescent="0.25">
      <c r="A827" s="36">
        <v>40639</v>
      </c>
      <c r="B827" s="6">
        <v>42.03</v>
      </c>
      <c r="C827" s="6">
        <v>23.38</v>
      </c>
      <c r="D827" s="6">
        <v>4.62</v>
      </c>
      <c r="E827" s="6">
        <v>2.33</v>
      </c>
      <c r="G827" s="31"/>
    </row>
    <row r="828" spans="1:7" x14ac:dyDescent="0.25">
      <c r="A828" s="36">
        <v>40640</v>
      </c>
      <c r="B828" s="6">
        <v>42.04</v>
      </c>
      <c r="C828" s="6">
        <v>23.35</v>
      </c>
      <c r="D828" s="6">
        <v>4.76</v>
      </c>
      <c r="E828" s="6">
        <v>2.33</v>
      </c>
      <c r="G828" s="31"/>
    </row>
    <row r="829" spans="1:7" x14ac:dyDescent="0.25">
      <c r="A829" s="36">
        <v>40641</v>
      </c>
      <c r="B829" s="6">
        <v>42.06</v>
      </c>
      <c r="C829" s="6">
        <v>23.28</v>
      </c>
      <c r="D829" s="6">
        <v>4.78</v>
      </c>
      <c r="E829" s="6">
        <v>2.36</v>
      </c>
      <c r="G829" s="31"/>
    </row>
    <row r="830" spans="1:7" x14ac:dyDescent="0.25">
      <c r="A830" s="36">
        <v>40642</v>
      </c>
      <c r="B830" s="6">
        <v>42.08</v>
      </c>
      <c r="C830" s="6">
        <v>23.23</v>
      </c>
      <c r="D830" s="6">
        <v>4.78</v>
      </c>
      <c r="E830" s="6">
        <v>2.37</v>
      </c>
      <c r="G830" s="31"/>
    </row>
    <row r="831" spans="1:7" x14ac:dyDescent="0.25">
      <c r="A831" s="36">
        <v>40643</v>
      </c>
      <c r="B831" s="6">
        <v>42.09</v>
      </c>
      <c r="C831" s="6">
        <v>23.18</v>
      </c>
      <c r="D831" s="6">
        <v>4.8</v>
      </c>
      <c r="E831" s="6">
        <v>2.29</v>
      </c>
      <c r="G831" s="31"/>
    </row>
    <row r="832" spans="1:7" x14ac:dyDescent="0.25">
      <c r="A832" s="36">
        <v>40644</v>
      </c>
      <c r="B832" s="6">
        <v>42.13</v>
      </c>
      <c r="C832" s="6">
        <v>23.17</v>
      </c>
      <c r="D832" s="6">
        <v>4.8</v>
      </c>
      <c r="E832" s="6">
        <v>2.33</v>
      </c>
      <c r="G832" s="31"/>
    </row>
    <row r="833" spans="1:7" x14ac:dyDescent="0.25">
      <c r="A833" s="36">
        <v>40645</v>
      </c>
      <c r="B833" s="6">
        <v>42.19</v>
      </c>
      <c r="C833" s="6">
        <v>23.2</v>
      </c>
      <c r="D833" s="6">
        <v>4.78</v>
      </c>
      <c r="E833" s="6">
        <v>2.2799999999999998</v>
      </c>
      <c r="G833" s="31"/>
    </row>
    <row r="834" spans="1:7" x14ac:dyDescent="0.25">
      <c r="A834" s="36">
        <v>40646</v>
      </c>
      <c r="B834" s="6">
        <v>42.24</v>
      </c>
      <c r="C834" s="6">
        <v>23.19</v>
      </c>
      <c r="D834" s="6">
        <v>4.82</v>
      </c>
      <c r="E834" s="6">
        <v>2.29</v>
      </c>
      <c r="G834" s="31"/>
    </row>
    <row r="835" spans="1:7" x14ac:dyDescent="0.25">
      <c r="A835" s="36">
        <v>40647</v>
      </c>
      <c r="B835" s="6">
        <v>42.4</v>
      </c>
      <c r="C835" s="6">
        <v>23.2</v>
      </c>
      <c r="D835" s="6">
        <v>4.82</v>
      </c>
      <c r="E835" s="6">
        <v>2.36</v>
      </c>
      <c r="G835" s="31"/>
    </row>
    <row r="836" spans="1:7" x14ac:dyDescent="0.25">
      <c r="A836" s="36">
        <v>40648</v>
      </c>
      <c r="B836" s="6">
        <v>42.58</v>
      </c>
      <c r="C836" s="6">
        <v>23.26</v>
      </c>
      <c r="D836" s="6">
        <v>4.84</v>
      </c>
      <c r="E836" s="6">
        <v>2.38</v>
      </c>
      <c r="G836" s="31"/>
    </row>
    <row r="837" spans="1:7" x14ac:dyDescent="0.25">
      <c r="A837" s="36">
        <v>40649</v>
      </c>
      <c r="B837" s="6">
        <v>42.7</v>
      </c>
      <c r="C837" s="6">
        <v>23.37</v>
      </c>
      <c r="D837" s="6">
        <v>4.88</v>
      </c>
      <c r="E837" s="6">
        <v>2.4</v>
      </c>
      <c r="G837" s="31"/>
    </row>
    <row r="838" spans="1:7" x14ac:dyDescent="0.25">
      <c r="A838" s="36">
        <v>40650</v>
      </c>
      <c r="B838" s="6">
        <v>42.82</v>
      </c>
      <c r="C838" s="6">
        <v>23.52</v>
      </c>
      <c r="D838" s="6">
        <v>4.88</v>
      </c>
      <c r="E838" s="6">
        <v>2.41</v>
      </c>
      <c r="G838" s="31"/>
    </row>
    <row r="839" spans="1:7" x14ac:dyDescent="0.25">
      <c r="A839" s="36">
        <v>40651</v>
      </c>
      <c r="B839" s="6">
        <v>42.93</v>
      </c>
      <c r="C839" s="6">
        <v>23.67</v>
      </c>
      <c r="D839" s="6">
        <v>5.0199999999999996</v>
      </c>
      <c r="E839" s="6">
        <v>2.4500000000000002</v>
      </c>
      <c r="G839" s="31"/>
    </row>
    <row r="840" spans="1:7" x14ac:dyDescent="0.25">
      <c r="A840" s="36">
        <v>40652</v>
      </c>
      <c r="B840" s="6">
        <v>43.1</v>
      </c>
      <c r="C840" s="6">
        <v>23.81</v>
      </c>
      <c r="D840" s="6">
        <v>5.04</v>
      </c>
      <c r="E840" s="6">
        <v>2.57</v>
      </c>
      <c r="G840" s="31"/>
    </row>
    <row r="841" spans="1:7" x14ac:dyDescent="0.25">
      <c r="A841" s="36">
        <v>40653</v>
      </c>
      <c r="B841" s="6">
        <v>43.21</v>
      </c>
      <c r="C841" s="6">
        <v>24.09</v>
      </c>
      <c r="D841" s="41">
        <v>5.0999999999999996</v>
      </c>
      <c r="E841" s="6">
        <v>2.6</v>
      </c>
      <c r="G841" s="31"/>
    </row>
    <row r="842" spans="1:7" x14ac:dyDescent="0.25">
      <c r="A842" s="36">
        <v>40654</v>
      </c>
      <c r="B842" s="6">
        <v>43.3</v>
      </c>
      <c r="C842" s="6">
        <v>24.37</v>
      </c>
      <c r="D842" s="6">
        <v>5.2</v>
      </c>
      <c r="E842" s="6">
        <v>2.63</v>
      </c>
      <c r="G842" s="31"/>
    </row>
    <row r="843" spans="1:7" x14ac:dyDescent="0.25">
      <c r="A843" s="36">
        <v>40655</v>
      </c>
      <c r="B843" s="6">
        <v>43.42</v>
      </c>
      <c r="C843" s="6">
        <v>24.6</v>
      </c>
      <c r="D843" s="6">
        <v>5.32</v>
      </c>
      <c r="E843" s="6">
        <v>2.64</v>
      </c>
      <c r="G843" s="31"/>
    </row>
    <row r="844" spans="1:7" x14ac:dyDescent="0.25">
      <c r="A844" s="36">
        <v>40656</v>
      </c>
      <c r="B844" s="6">
        <v>43.58</v>
      </c>
      <c r="C844" s="6">
        <v>24.8</v>
      </c>
      <c r="D844" s="6">
        <v>5.48</v>
      </c>
      <c r="E844" s="6">
        <v>2.68</v>
      </c>
      <c r="G844" s="31"/>
    </row>
    <row r="845" spans="1:7" x14ac:dyDescent="0.25">
      <c r="A845" s="36">
        <v>40657</v>
      </c>
      <c r="B845" s="6">
        <v>43.77</v>
      </c>
      <c r="C845" s="6">
        <v>24.99</v>
      </c>
      <c r="D845" s="6">
        <v>5.88</v>
      </c>
      <c r="E845" s="6">
        <v>2.86</v>
      </c>
      <c r="G845" s="31"/>
    </row>
    <row r="846" spans="1:7" x14ac:dyDescent="0.25">
      <c r="A846" s="36">
        <v>40658</v>
      </c>
      <c r="B846" s="6">
        <v>43.92</v>
      </c>
      <c r="C846" s="6">
        <v>25.2</v>
      </c>
      <c r="D846" s="6">
        <v>6.14</v>
      </c>
      <c r="E846" s="6">
        <v>2.93</v>
      </c>
      <c r="G846" s="31"/>
    </row>
    <row r="847" spans="1:7" x14ac:dyDescent="0.25">
      <c r="A847" s="36">
        <v>40659</v>
      </c>
      <c r="B847" s="6">
        <v>44.12</v>
      </c>
      <c r="C847" s="6">
        <v>25.45</v>
      </c>
      <c r="D847" s="6">
        <v>6.36</v>
      </c>
      <c r="E847" s="6">
        <v>3.1</v>
      </c>
      <c r="G847" s="31"/>
    </row>
    <row r="848" spans="1:7" x14ac:dyDescent="0.25">
      <c r="A848" s="36">
        <v>40660</v>
      </c>
      <c r="B848" s="6">
        <v>44.29</v>
      </c>
      <c r="C848" s="6">
        <v>25.68</v>
      </c>
      <c r="D848" s="6">
        <v>6.5</v>
      </c>
      <c r="E848" s="6">
        <v>3.21</v>
      </c>
      <c r="G848" s="31"/>
    </row>
    <row r="849" spans="1:7" x14ac:dyDescent="0.25">
      <c r="A849" s="36">
        <v>40661</v>
      </c>
      <c r="B849" s="6">
        <v>44.43</v>
      </c>
      <c r="C849" s="6">
        <v>25.9</v>
      </c>
      <c r="D849" s="6">
        <v>6.72</v>
      </c>
      <c r="E849" s="6">
        <v>3.4</v>
      </c>
      <c r="G849" s="31"/>
    </row>
    <row r="850" spans="1:7" x14ac:dyDescent="0.25">
      <c r="A850" s="36">
        <v>40662</v>
      </c>
      <c r="B850" s="6">
        <v>44.61</v>
      </c>
      <c r="C850" s="6">
        <v>26.1</v>
      </c>
      <c r="D850" s="6">
        <v>6.92</v>
      </c>
      <c r="E850" s="6">
        <v>3.53</v>
      </c>
      <c r="G850" s="31"/>
    </row>
    <row r="851" spans="1:7" x14ac:dyDescent="0.25">
      <c r="A851" s="36">
        <v>40663</v>
      </c>
      <c r="B851" s="6">
        <v>44.76</v>
      </c>
      <c r="C851" s="6">
        <v>26.25</v>
      </c>
      <c r="D851" s="6">
        <v>7.18</v>
      </c>
      <c r="E851" s="6">
        <v>3.69</v>
      </c>
      <c r="G851" s="31"/>
    </row>
    <row r="852" spans="1:7" x14ac:dyDescent="0.25">
      <c r="A852" s="36">
        <v>40664</v>
      </c>
      <c r="B852" s="6">
        <v>44.88</v>
      </c>
      <c r="C852" s="6">
        <v>26.4</v>
      </c>
      <c r="D852" s="6">
        <v>7.38</v>
      </c>
      <c r="E852" s="6">
        <v>3.83</v>
      </c>
      <c r="G852" s="31"/>
    </row>
    <row r="853" spans="1:7" x14ac:dyDescent="0.25">
      <c r="A853" s="36">
        <v>40665</v>
      </c>
      <c r="B853" s="6">
        <v>45.01</v>
      </c>
      <c r="C853" s="6">
        <v>26.6</v>
      </c>
      <c r="D853" s="6">
        <v>7.5</v>
      </c>
      <c r="E853" s="6">
        <v>3.87</v>
      </c>
      <c r="G853" s="31"/>
    </row>
    <row r="854" spans="1:7" x14ac:dyDescent="0.25">
      <c r="A854" s="36">
        <v>40666</v>
      </c>
      <c r="B854" s="6">
        <v>45.16</v>
      </c>
      <c r="C854" s="6">
        <v>26.78</v>
      </c>
      <c r="D854" s="6">
        <v>7.7</v>
      </c>
      <c r="E854" s="6">
        <v>4.05</v>
      </c>
      <c r="G854" s="31"/>
    </row>
    <row r="855" spans="1:7" x14ac:dyDescent="0.25">
      <c r="A855" s="36">
        <v>40667</v>
      </c>
      <c r="B855" s="6">
        <v>45.24</v>
      </c>
      <c r="C855" s="6">
        <v>26.9</v>
      </c>
      <c r="D855" s="6">
        <v>7.96</v>
      </c>
      <c r="E855" s="6">
        <v>4.16</v>
      </c>
      <c r="G855" s="31"/>
    </row>
    <row r="856" spans="1:7" x14ac:dyDescent="0.25">
      <c r="A856" s="36">
        <v>40668</v>
      </c>
      <c r="B856" s="6">
        <v>45.44</v>
      </c>
      <c r="C856" s="6">
        <v>27.08</v>
      </c>
      <c r="D856" s="6">
        <v>8.1</v>
      </c>
      <c r="E856" s="6">
        <v>4.33</v>
      </c>
      <c r="G856" s="31"/>
    </row>
    <row r="857" spans="1:7" x14ac:dyDescent="0.25">
      <c r="A857" s="36">
        <v>40669</v>
      </c>
      <c r="B857" s="6">
        <v>45.63</v>
      </c>
      <c r="C857" s="6">
        <v>27.19</v>
      </c>
      <c r="D857" s="6">
        <v>8.3000000000000007</v>
      </c>
      <c r="E857" s="6">
        <v>4.46</v>
      </c>
      <c r="G857" s="31"/>
    </row>
    <row r="858" spans="1:7" x14ac:dyDescent="0.25">
      <c r="A858" s="36">
        <v>40670</v>
      </c>
      <c r="B858" s="6">
        <v>45.8</v>
      </c>
      <c r="C858" s="6">
        <v>27.3</v>
      </c>
      <c r="D858" s="6">
        <v>8.44</v>
      </c>
      <c r="E858" s="6">
        <v>4.6500000000000004</v>
      </c>
      <c r="G858" s="31"/>
    </row>
    <row r="859" spans="1:7" x14ac:dyDescent="0.25">
      <c r="A859" s="36">
        <v>40671</v>
      </c>
      <c r="B859" s="6">
        <v>46</v>
      </c>
      <c r="C859" s="6">
        <v>27.42</v>
      </c>
      <c r="D859" s="6">
        <v>8.64</v>
      </c>
      <c r="E859" s="6">
        <v>4.7300000000000004</v>
      </c>
      <c r="G859" s="31"/>
    </row>
    <row r="860" spans="1:7" x14ac:dyDescent="0.25">
      <c r="A860" s="36">
        <v>40672</v>
      </c>
      <c r="B860" s="6">
        <v>46.26</v>
      </c>
      <c r="C860" s="6">
        <v>27.57</v>
      </c>
      <c r="D860" s="6">
        <v>8.6999999999999993</v>
      </c>
      <c r="E860" s="6">
        <v>4.7699999999999996</v>
      </c>
      <c r="G860" s="31"/>
    </row>
    <row r="861" spans="1:7" x14ac:dyDescent="0.25">
      <c r="A861" s="36">
        <v>40673</v>
      </c>
      <c r="B861" s="6">
        <v>46.66</v>
      </c>
      <c r="C861" s="6">
        <v>27.75</v>
      </c>
      <c r="D861" s="6">
        <v>8.84</v>
      </c>
      <c r="E861" s="6">
        <v>4.93</v>
      </c>
      <c r="G861" s="31"/>
    </row>
    <row r="862" spans="1:7" x14ac:dyDescent="0.25">
      <c r="A862" s="36">
        <v>40674</v>
      </c>
      <c r="B862" s="6">
        <v>47.05</v>
      </c>
      <c r="C862" s="6">
        <v>27.97</v>
      </c>
      <c r="D862" s="6">
        <v>8.98</v>
      </c>
      <c r="E862" s="6">
        <v>4.97</v>
      </c>
      <c r="G862" s="31"/>
    </row>
    <row r="863" spans="1:7" x14ac:dyDescent="0.25">
      <c r="A863" s="36">
        <v>40675</v>
      </c>
      <c r="B863" s="6">
        <v>47.27</v>
      </c>
      <c r="C863" s="6">
        <v>28.22</v>
      </c>
      <c r="D863" s="6">
        <v>9.1</v>
      </c>
      <c r="E863" s="6">
        <v>5.09</v>
      </c>
      <c r="G863" s="31"/>
    </row>
    <row r="864" spans="1:7" x14ac:dyDescent="0.25">
      <c r="A864" s="36">
        <v>40676</v>
      </c>
      <c r="B864" s="6">
        <v>47.48</v>
      </c>
      <c r="C864" s="6">
        <v>28.45</v>
      </c>
      <c r="D864" s="6">
        <v>9.1999999999999993</v>
      </c>
      <c r="E864" s="6">
        <v>5.2</v>
      </c>
      <c r="G864" s="31"/>
    </row>
    <row r="865" spans="1:7" x14ac:dyDescent="0.25">
      <c r="A865" s="36">
        <v>40677</v>
      </c>
      <c r="B865" s="6">
        <v>47.68</v>
      </c>
      <c r="C865" s="6">
        <v>28.69</v>
      </c>
      <c r="D865" s="6">
        <v>9.48</v>
      </c>
      <c r="E865" s="6">
        <v>5.33</v>
      </c>
      <c r="G865" s="31"/>
    </row>
    <row r="866" spans="1:7" x14ac:dyDescent="0.25">
      <c r="A866" s="36">
        <v>40678</v>
      </c>
      <c r="B866" s="6">
        <v>47.84</v>
      </c>
      <c r="C866" s="6">
        <v>28.89</v>
      </c>
      <c r="D866" s="6">
        <v>9.8000000000000007</v>
      </c>
      <c r="E866" s="6">
        <v>5.49</v>
      </c>
      <c r="G866" s="31"/>
    </row>
    <row r="867" spans="1:7" x14ac:dyDescent="0.25">
      <c r="A867" s="36">
        <v>40679</v>
      </c>
      <c r="B867" s="6">
        <v>47.97</v>
      </c>
      <c r="C867" s="6">
        <v>29</v>
      </c>
      <c r="D867" s="6">
        <v>10.1</v>
      </c>
      <c r="E867" s="6">
        <v>5.69</v>
      </c>
      <c r="G867" s="31"/>
    </row>
    <row r="868" spans="1:7" x14ac:dyDescent="0.25">
      <c r="A868" s="36">
        <v>40680</v>
      </c>
      <c r="B868" s="6">
        <v>48.12</v>
      </c>
      <c r="C868" s="6">
        <v>29.15</v>
      </c>
      <c r="D868" s="6">
        <v>10.199999999999999</v>
      </c>
      <c r="E868" s="6">
        <v>5.86</v>
      </c>
      <c r="G868" s="31"/>
    </row>
    <row r="869" spans="1:7" x14ac:dyDescent="0.25">
      <c r="A869" s="36">
        <v>40681</v>
      </c>
      <c r="B869" s="6">
        <v>48.2</v>
      </c>
      <c r="C869" s="6">
        <v>29.27</v>
      </c>
      <c r="D869" s="6">
        <v>10.38</v>
      </c>
      <c r="E869" s="6">
        <v>5.98</v>
      </c>
      <c r="G869" s="31"/>
    </row>
    <row r="870" spans="1:7" x14ac:dyDescent="0.25">
      <c r="A870" s="36">
        <v>40682</v>
      </c>
      <c r="B870" s="6">
        <v>48.33</v>
      </c>
      <c r="C870" s="6">
        <v>29.37</v>
      </c>
      <c r="D870" s="6">
        <v>10.52</v>
      </c>
      <c r="E870" s="6">
        <v>6.12</v>
      </c>
      <c r="G870" s="31"/>
    </row>
    <row r="871" spans="1:7" x14ac:dyDescent="0.25">
      <c r="A871" s="36">
        <v>40683</v>
      </c>
      <c r="B871" s="6">
        <v>48.4</v>
      </c>
      <c r="C871" s="6">
        <v>29.48</v>
      </c>
      <c r="D871" s="6">
        <v>10.78</v>
      </c>
      <c r="E871" s="6">
        <v>6.3</v>
      </c>
      <c r="G871" s="31"/>
    </row>
    <row r="872" spans="1:7" x14ac:dyDescent="0.25">
      <c r="A872" s="36">
        <v>40684</v>
      </c>
      <c r="B872" s="6">
        <v>48.48</v>
      </c>
      <c r="C872" s="6">
        <v>29.6</v>
      </c>
      <c r="D872" s="6">
        <v>10.96</v>
      </c>
      <c r="E872" s="6">
        <v>6.42</v>
      </c>
      <c r="G872" s="31"/>
    </row>
    <row r="873" spans="1:7" x14ac:dyDescent="0.25">
      <c r="A873" s="36">
        <v>40685</v>
      </c>
      <c r="B873" s="6">
        <v>48.5</v>
      </c>
      <c r="C873" s="6">
        <v>29.7</v>
      </c>
      <c r="D873" s="6">
        <v>11.14</v>
      </c>
      <c r="E873" s="6">
        <v>6.53</v>
      </c>
      <c r="G873" s="31"/>
    </row>
    <row r="874" spans="1:7" x14ac:dyDescent="0.25">
      <c r="A874" s="36">
        <v>40686</v>
      </c>
      <c r="B874" s="6">
        <v>48.58</v>
      </c>
      <c r="C874" s="6">
        <v>29.82</v>
      </c>
      <c r="D874" s="6">
        <v>11.26</v>
      </c>
      <c r="E874" s="6">
        <v>6.67</v>
      </c>
      <c r="G874" s="31"/>
    </row>
    <row r="875" spans="1:7" x14ac:dyDescent="0.25">
      <c r="A875" s="36">
        <v>40687</v>
      </c>
      <c r="B875" s="6">
        <v>48.72</v>
      </c>
      <c r="C875" s="6">
        <v>29.97</v>
      </c>
      <c r="D875" s="6">
        <v>11.48</v>
      </c>
      <c r="E875" s="6">
        <v>6.83</v>
      </c>
      <c r="G875" s="31"/>
    </row>
    <row r="876" spans="1:7" x14ac:dyDescent="0.25">
      <c r="A876" s="36">
        <v>40688</v>
      </c>
      <c r="B876" s="6">
        <v>48.77</v>
      </c>
      <c r="C876" s="7">
        <v>30.04</v>
      </c>
      <c r="D876" s="7">
        <v>11.6</v>
      </c>
      <c r="E876" s="6">
        <v>6.93</v>
      </c>
      <c r="G876" s="31"/>
    </row>
    <row r="877" spans="1:7" x14ac:dyDescent="0.25">
      <c r="A877" s="36">
        <v>40689</v>
      </c>
      <c r="B877" s="6">
        <v>48.81</v>
      </c>
      <c r="C877" s="7">
        <v>30.12</v>
      </c>
      <c r="D877" s="7">
        <v>11.86</v>
      </c>
      <c r="E877" s="7">
        <v>7.11</v>
      </c>
      <c r="G877" s="31"/>
    </row>
    <row r="878" spans="1:7" x14ac:dyDescent="0.25">
      <c r="A878" s="36">
        <v>40690</v>
      </c>
      <c r="B878" s="7">
        <v>48.86</v>
      </c>
      <c r="C878" s="7">
        <v>30.21</v>
      </c>
      <c r="D878" s="7">
        <v>12.02</v>
      </c>
      <c r="E878" s="7">
        <v>7.37</v>
      </c>
      <c r="G878" s="31"/>
    </row>
    <row r="879" spans="1:7" x14ac:dyDescent="0.25">
      <c r="A879" s="36">
        <v>40691</v>
      </c>
      <c r="B879" s="7">
        <v>48.94</v>
      </c>
      <c r="C879" s="7">
        <v>30.3</v>
      </c>
      <c r="D879" s="7">
        <v>12.18</v>
      </c>
      <c r="E879" s="7">
        <v>7.42</v>
      </c>
      <c r="G879" s="31"/>
    </row>
    <row r="880" spans="1:7" x14ac:dyDescent="0.25">
      <c r="A880" s="36">
        <v>40692</v>
      </c>
      <c r="B880" s="7">
        <v>48.94</v>
      </c>
      <c r="C880" s="7">
        <v>30.4</v>
      </c>
      <c r="D880" s="7">
        <v>12.28</v>
      </c>
      <c r="E880" s="7">
        <v>7.58</v>
      </c>
      <c r="G880" s="31"/>
    </row>
    <row r="881" spans="1:7" x14ac:dyDescent="0.25">
      <c r="A881" s="36">
        <v>40693</v>
      </c>
      <c r="B881" s="7">
        <v>48.96</v>
      </c>
      <c r="C881" s="7">
        <v>30.49</v>
      </c>
      <c r="D881" s="7">
        <v>12.38</v>
      </c>
      <c r="E881" s="7">
        <v>7.7</v>
      </c>
      <c r="G881" s="31"/>
    </row>
    <row r="882" spans="1:7" x14ac:dyDescent="0.25">
      <c r="A882" s="36">
        <v>40694</v>
      </c>
      <c r="B882" s="7">
        <v>49.02</v>
      </c>
      <c r="C882" s="7">
        <v>30.57</v>
      </c>
      <c r="D882" s="7">
        <v>12.46</v>
      </c>
      <c r="E882" s="7">
        <v>7.78</v>
      </c>
      <c r="G882" s="31"/>
    </row>
    <row r="883" spans="1:7" x14ac:dyDescent="0.25">
      <c r="A883" s="36">
        <v>40695</v>
      </c>
      <c r="B883" s="7">
        <v>49.07</v>
      </c>
      <c r="C883" s="7">
        <v>30.69</v>
      </c>
      <c r="D883" s="7">
        <v>12.48</v>
      </c>
      <c r="E883" s="7">
        <v>7.93</v>
      </c>
      <c r="G883" s="31"/>
    </row>
    <row r="884" spans="1:7" x14ac:dyDescent="0.25">
      <c r="A884" s="36">
        <v>40696</v>
      </c>
      <c r="B884" s="7">
        <v>49.14</v>
      </c>
      <c r="C884" s="7">
        <v>30.8</v>
      </c>
      <c r="D884" s="7">
        <v>12.52</v>
      </c>
      <c r="E884" s="7">
        <v>8.0399999999999991</v>
      </c>
      <c r="G884" s="31"/>
    </row>
    <row r="885" spans="1:7" x14ac:dyDescent="0.25">
      <c r="A885" s="36">
        <v>40697</v>
      </c>
      <c r="B885" s="7">
        <v>49.21</v>
      </c>
      <c r="C885" s="7">
        <v>30.89</v>
      </c>
      <c r="D885" s="7">
        <v>12.68</v>
      </c>
      <c r="E885" s="7">
        <v>8.16</v>
      </c>
      <c r="G885" s="31"/>
    </row>
    <row r="886" spans="1:7" x14ac:dyDescent="0.25">
      <c r="A886" s="36">
        <v>40698</v>
      </c>
      <c r="B886" s="7">
        <v>49.34</v>
      </c>
      <c r="C886" s="7">
        <v>31.02</v>
      </c>
      <c r="D886" s="7">
        <v>12.84</v>
      </c>
      <c r="E886" s="7">
        <v>8.33</v>
      </c>
      <c r="G886" s="31"/>
    </row>
    <row r="887" spans="1:7" x14ac:dyDescent="0.25">
      <c r="A887" s="36">
        <v>40699</v>
      </c>
      <c r="B887" s="7">
        <v>49.47</v>
      </c>
      <c r="C887" s="7">
        <v>31.12</v>
      </c>
      <c r="D887" s="7">
        <v>13.06</v>
      </c>
      <c r="E887" s="7">
        <v>8.56</v>
      </c>
      <c r="G887" s="31"/>
    </row>
    <row r="888" spans="1:7" x14ac:dyDescent="0.25">
      <c r="A888" s="36">
        <v>40700</v>
      </c>
      <c r="B888" s="7">
        <v>49.62</v>
      </c>
      <c r="C888" s="7">
        <v>31.2</v>
      </c>
      <c r="D888" s="7">
        <v>13.38</v>
      </c>
      <c r="E888" s="7">
        <v>8.85</v>
      </c>
      <c r="G888" s="31"/>
    </row>
    <row r="889" spans="1:7" x14ac:dyDescent="0.25">
      <c r="A889" s="36">
        <v>40701</v>
      </c>
      <c r="B889" s="7">
        <v>49.73</v>
      </c>
      <c r="C889" s="7">
        <v>31.28</v>
      </c>
      <c r="D889" s="7">
        <v>13.5</v>
      </c>
      <c r="E889" s="7">
        <v>9.02</v>
      </c>
      <c r="G889" s="31"/>
    </row>
    <row r="890" spans="1:7" x14ac:dyDescent="0.25">
      <c r="A890" s="36">
        <v>40702</v>
      </c>
      <c r="B890" s="7">
        <v>49.82</v>
      </c>
      <c r="C890" s="7">
        <v>31.36</v>
      </c>
      <c r="D890" s="7">
        <v>13.64</v>
      </c>
      <c r="E890" s="7">
        <v>9.14</v>
      </c>
      <c r="G890" s="31"/>
    </row>
    <row r="891" spans="1:7" x14ac:dyDescent="0.25">
      <c r="A891" s="36">
        <v>40703</v>
      </c>
      <c r="B891" s="7">
        <v>49.88</v>
      </c>
      <c r="C891" s="7">
        <v>31.42</v>
      </c>
      <c r="D891" s="7">
        <v>13.7</v>
      </c>
      <c r="E891" s="7">
        <v>9.23</v>
      </c>
      <c r="G891" s="31"/>
    </row>
    <row r="892" spans="1:7" x14ac:dyDescent="0.25">
      <c r="A892" s="36">
        <v>40704</v>
      </c>
      <c r="B892" s="7">
        <v>49.92</v>
      </c>
      <c r="C892" s="7">
        <v>31.48</v>
      </c>
      <c r="D892" s="7">
        <v>13.76</v>
      </c>
      <c r="E892" s="7">
        <v>9.31</v>
      </c>
      <c r="G892" s="31"/>
    </row>
    <row r="893" spans="1:7" x14ac:dyDescent="0.25">
      <c r="A893" s="36">
        <v>40705</v>
      </c>
      <c r="B893" s="7">
        <v>49.96</v>
      </c>
      <c r="C893" s="7">
        <v>31.54</v>
      </c>
      <c r="D893" s="7">
        <v>13.82</v>
      </c>
      <c r="E893" s="7">
        <v>9.33</v>
      </c>
      <c r="G893" s="31"/>
    </row>
    <row r="894" spans="1:7" x14ac:dyDescent="0.25">
      <c r="A894" s="36">
        <v>40706</v>
      </c>
      <c r="B894" s="7">
        <v>50</v>
      </c>
      <c r="C894" s="7">
        <v>31.58</v>
      </c>
      <c r="D894" s="7">
        <v>13.86</v>
      </c>
      <c r="E894" s="7">
        <v>9.3800000000000008</v>
      </c>
      <c r="G894" s="31"/>
    </row>
    <row r="895" spans="1:7" x14ac:dyDescent="0.25">
      <c r="A895" s="36">
        <v>40707</v>
      </c>
      <c r="B895" s="7">
        <v>50.03</v>
      </c>
      <c r="C895" s="7">
        <v>31.64</v>
      </c>
      <c r="D895" s="7">
        <v>13.9</v>
      </c>
      <c r="E895" s="7">
        <v>9.4499999999999993</v>
      </c>
      <c r="G895" s="31"/>
    </row>
    <row r="896" spans="1:7" x14ac:dyDescent="0.25">
      <c r="A896" s="36">
        <v>40708</v>
      </c>
      <c r="B896" s="7">
        <v>50.07</v>
      </c>
      <c r="C896" s="7">
        <v>31.7</v>
      </c>
      <c r="D896" s="7">
        <v>13.94</v>
      </c>
      <c r="E896" s="7">
        <v>9.4499999999999993</v>
      </c>
      <c r="G896" s="31"/>
    </row>
    <row r="897" spans="1:7" x14ac:dyDescent="0.25">
      <c r="A897" s="36">
        <v>40709</v>
      </c>
      <c r="B897" s="7">
        <v>50.1</v>
      </c>
      <c r="C897" s="6">
        <v>31.74</v>
      </c>
      <c r="D897" s="6">
        <v>13.92</v>
      </c>
      <c r="E897" s="7">
        <v>9.34</v>
      </c>
      <c r="G897" s="31"/>
    </row>
    <row r="898" spans="1:7" x14ac:dyDescent="0.25">
      <c r="A898" s="36">
        <v>40710</v>
      </c>
      <c r="B898" s="7">
        <v>50.14</v>
      </c>
      <c r="C898" s="6">
        <v>31.79</v>
      </c>
      <c r="D898" s="6">
        <v>13.92</v>
      </c>
      <c r="E898" s="6">
        <v>9.35</v>
      </c>
      <c r="G898" s="31"/>
    </row>
    <row r="899" spans="1:7" x14ac:dyDescent="0.25">
      <c r="A899" s="36">
        <v>40711</v>
      </c>
      <c r="B899" s="6">
        <v>50.2</v>
      </c>
      <c r="C899" s="6">
        <v>31.84</v>
      </c>
      <c r="D899" s="6">
        <v>13.96</v>
      </c>
      <c r="E899" s="6">
        <v>9.5299999999999994</v>
      </c>
      <c r="G899" s="31"/>
    </row>
    <row r="900" spans="1:7" x14ac:dyDescent="0.25">
      <c r="A900" s="36">
        <v>40712</v>
      </c>
      <c r="B900" s="6">
        <v>50.23</v>
      </c>
      <c r="C900" s="6">
        <v>31.88</v>
      </c>
      <c r="D900" s="6">
        <v>14</v>
      </c>
      <c r="E900" s="6">
        <v>9.51</v>
      </c>
      <c r="G900" s="31"/>
    </row>
    <row r="901" spans="1:7" x14ac:dyDescent="0.25">
      <c r="A901" s="36">
        <v>40713</v>
      </c>
      <c r="B901" s="6">
        <v>50.32</v>
      </c>
      <c r="C901" s="6">
        <v>31.92</v>
      </c>
      <c r="D901" s="6">
        <v>14.06</v>
      </c>
      <c r="E901" s="6">
        <v>9.5</v>
      </c>
      <c r="G901" s="31"/>
    </row>
    <row r="902" spans="1:7" x14ac:dyDescent="0.25">
      <c r="A902" s="36">
        <v>40714</v>
      </c>
      <c r="B902" s="6">
        <v>50.44</v>
      </c>
      <c r="C902" s="6">
        <v>31.95</v>
      </c>
      <c r="D902" s="6">
        <v>14.08</v>
      </c>
      <c r="E902" s="6">
        <v>9.26</v>
      </c>
      <c r="G902" s="31"/>
    </row>
    <row r="903" spans="1:7" x14ac:dyDescent="0.25">
      <c r="A903" s="36">
        <v>40715</v>
      </c>
      <c r="B903" s="6">
        <v>50.48</v>
      </c>
      <c r="C903" s="6">
        <v>32.020000000000003</v>
      </c>
      <c r="D903" s="6">
        <v>14.06</v>
      </c>
      <c r="E903" s="6">
        <v>9.17</v>
      </c>
      <c r="G903" s="31"/>
    </row>
    <row r="904" spans="1:7" x14ac:dyDescent="0.25">
      <c r="A904" s="36">
        <v>40716</v>
      </c>
      <c r="B904" s="6">
        <v>50.49</v>
      </c>
      <c r="C904" s="6">
        <v>32.07</v>
      </c>
      <c r="D904" s="6">
        <v>14</v>
      </c>
      <c r="E904" s="6">
        <v>9.0299999999999994</v>
      </c>
      <c r="G904" s="31"/>
    </row>
    <row r="905" spans="1:7" x14ac:dyDescent="0.25">
      <c r="A905" s="36">
        <v>40717</v>
      </c>
      <c r="B905" s="6">
        <v>50.57</v>
      </c>
      <c r="C905" s="6">
        <v>32.130000000000003</v>
      </c>
      <c r="D905" s="6">
        <v>14</v>
      </c>
      <c r="E905" s="6">
        <v>9.02</v>
      </c>
      <c r="G905" s="31"/>
    </row>
    <row r="906" spans="1:7" x14ac:dyDescent="0.25">
      <c r="A906" s="36">
        <v>40718</v>
      </c>
      <c r="B906" s="6">
        <v>50.65</v>
      </c>
      <c r="C906" s="6">
        <v>32.200000000000003</v>
      </c>
      <c r="D906" s="6">
        <v>14.06</v>
      </c>
      <c r="E906" s="6">
        <v>9.0299999999999994</v>
      </c>
      <c r="G906" s="31"/>
    </row>
    <row r="907" spans="1:7" x14ac:dyDescent="0.25">
      <c r="A907" s="36">
        <v>40719</v>
      </c>
      <c r="B907" s="6">
        <v>50.78</v>
      </c>
      <c r="C907" s="6">
        <v>32.270000000000003</v>
      </c>
      <c r="D907" s="6">
        <v>14.1</v>
      </c>
      <c r="E907" s="6">
        <v>9.0299999999999994</v>
      </c>
      <c r="G907" s="31"/>
    </row>
    <row r="908" spans="1:7" x14ac:dyDescent="0.25">
      <c r="A908" s="36">
        <v>40720</v>
      </c>
      <c r="B908" s="6">
        <v>50.86</v>
      </c>
      <c r="C908" s="6">
        <v>32.33</v>
      </c>
      <c r="D908" s="6">
        <v>14.18</v>
      </c>
      <c r="E908" s="6">
        <v>9.08</v>
      </c>
      <c r="G908" s="31"/>
    </row>
    <row r="909" spans="1:7" x14ac:dyDescent="0.25">
      <c r="A909" s="36">
        <v>40721</v>
      </c>
      <c r="B909" s="6">
        <v>50.96</v>
      </c>
      <c r="C909" s="6">
        <v>32.380000000000003</v>
      </c>
      <c r="D909" s="6">
        <v>14.3</v>
      </c>
      <c r="E909" s="6">
        <v>9.25</v>
      </c>
      <c r="G909" s="31"/>
    </row>
    <row r="910" spans="1:7" x14ac:dyDescent="0.25">
      <c r="A910" s="36">
        <v>40722</v>
      </c>
      <c r="B910" s="6">
        <v>51</v>
      </c>
      <c r="C910" s="6">
        <v>32.44</v>
      </c>
      <c r="D910" s="6">
        <v>14.38</v>
      </c>
      <c r="E910" s="6">
        <v>9.43</v>
      </c>
      <c r="G910" s="31"/>
    </row>
    <row r="911" spans="1:7" x14ac:dyDescent="0.25">
      <c r="A911" s="36">
        <v>40723</v>
      </c>
      <c r="B911" s="6">
        <v>50.98</v>
      </c>
      <c r="C911" s="6">
        <v>32.479999999999997</v>
      </c>
      <c r="D911" s="6">
        <v>14.48</v>
      </c>
      <c r="E911" s="6">
        <v>9.51</v>
      </c>
      <c r="G911" s="31"/>
    </row>
    <row r="912" spans="1:7" x14ac:dyDescent="0.25">
      <c r="A912" s="36">
        <v>40724</v>
      </c>
      <c r="B912" s="6">
        <v>50.99</v>
      </c>
      <c r="C912" s="6">
        <v>32.54</v>
      </c>
      <c r="D912" s="6">
        <v>14.54</v>
      </c>
      <c r="E912" s="6">
        <v>9.51</v>
      </c>
      <c r="G912" s="31"/>
    </row>
    <row r="913" spans="1:7" x14ac:dyDescent="0.25">
      <c r="A913" s="36">
        <v>40725</v>
      </c>
      <c r="B913" s="6">
        <v>51</v>
      </c>
      <c r="C913" s="6">
        <v>32.58</v>
      </c>
      <c r="D913" s="6">
        <v>14.6</v>
      </c>
      <c r="E913" s="6">
        <v>9.44</v>
      </c>
      <c r="G913" s="31"/>
    </row>
    <row r="914" spans="1:7" x14ac:dyDescent="0.25">
      <c r="A914" s="36">
        <v>40726</v>
      </c>
      <c r="B914" s="6">
        <v>51.01</v>
      </c>
      <c r="C914" s="6">
        <v>32.64</v>
      </c>
      <c r="D914" s="6">
        <v>14.66</v>
      </c>
      <c r="E914" s="6">
        <v>9.52</v>
      </c>
      <c r="G914" s="31"/>
    </row>
    <row r="915" spans="1:7" x14ac:dyDescent="0.25">
      <c r="A915" s="36">
        <v>40727</v>
      </c>
      <c r="B915" s="6">
        <v>51.02</v>
      </c>
      <c r="C915" s="6">
        <v>32.68</v>
      </c>
      <c r="D915" s="6">
        <v>14.7</v>
      </c>
      <c r="E915" s="6">
        <v>9.6199999999999992</v>
      </c>
      <c r="G915" s="31"/>
    </row>
    <row r="916" spans="1:7" x14ac:dyDescent="0.25">
      <c r="A916" s="36">
        <v>40728</v>
      </c>
      <c r="B916" s="6">
        <v>51.04</v>
      </c>
      <c r="C916" s="6">
        <v>32.71</v>
      </c>
      <c r="D916" s="6">
        <v>14.73</v>
      </c>
      <c r="E916" s="6">
        <v>9.69</v>
      </c>
      <c r="G916" s="31"/>
    </row>
    <row r="917" spans="1:7" x14ac:dyDescent="0.25">
      <c r="A917" s="36">
        <v>40729</v>
      </c>
      <c r="B917" s="6">
        <v>51.07</v>
      </c>
      <c r="C917" s="6">
        <v>32.74</v>
      </c>
      <c r="D917" s="6">
        <v>14.76</v>
      </c>
      <c r="E917" s="6">
        <v>9.69</v>
      </c>
      <c r="G917" s="31"/>
    </row>
    <row r="918" spans="1:7" x14ac:dyDescent="0.25">
      <c r="A918" s="36">
        <v>40730</v>
      </c>
      <c r="B918" s="6">
        <v>51.15</v>
      </c>
      <c r="C918" s="6">
        <v>32.799999999999997</v>
      </c>
      <c r="D918" s="6">
        <v>14.82</v>
      </c>
      <c r="E918" s="6">
        <v>9.7799999999999994</v>
      </c>
      <c r="G918" s="31"/>
    </row>
    <row r="919" spans="1:7" x14ac:dyDescent="0.25">
      <c r="A919" s="36">
        <v>40731</v>
      </c>
      <c r="B919" s="6">
        <v>51.24</v>
      </c>
      <c r="C919" s="6">
        <v>32.840000000000003</v>
      </c>
      <c r="D919" s="6">
        <v>14.86</v>
      </c>
      <c r="E919" s="6">
        <v>9.85</v>
      </c>
      <c r="G919" s="31"/>
    </row>
    <row r="920" spans="1:7" x14ac:dyDescent="0.25">
      <c r="A920" s="36">
        <v>40732</v>
      </c>
      <c r="B920" s="6">
        <v>51.36</v>
      </c>
      <c r="C920" s="6">
        <v>32.880000000000003</v>
      </c>
      <c r="D920" s="6">
        <v>15.12</v>
      </c>
      <c r="E920" s="6">
        <v>10.06</v>
      </c>
      <c r="G920" s="31"/>
    </row>
    <row r="921" spans="1:7" x14ac:dyDescent="0.25">
      <c r="A921" s="36">
        <v>40733</v>
      </c>
      <c r="B921" s="6">
        <v>51.42</v>
      </c>
      <c r="C921" s="6">
        <v>32.9</v>
      </c>
      <c r="D921" s="6">
        <v>15.2</v>
      </c>
      <c r="E921" s="6">
        <v>10.119999999999999</v>
      </c>
      <c r="G921" s="31"/>
    </row>
    <row r="922" spans="1:7" x14ac:dyDescent="0.25">
      <c r="A922" s="36">
        <v>40734</v>
      </c>
      <c r="B922" s="6">
        <v>51.45</v>
      </c>
      <c r="C922" s="6">
        <v>32.93</v>
      </c>
      <c r="D922" s="6">
        <v>15.28</v>
      </c>
      <c r="E922" s="6">
        <v>10.15</v>
      </c>
      <c r="G922" s="31"/>
    </row>
    <row r="923" spans="1:7" x14ac:dyDescent="0.25">
      <c r="A923" s="36">
        <v>40735</v>
      </c>
      <c r="B923" s="6">
        <v>51.5</v>
      </c>
      <c r="C923" s="6">
        <v>33.03</v>
      </c>
      <c r="D923" s="6">
        <v>15.3</v>
      </c>
      <c r="E923" s="6">
        <v>10.050000000000001</v>
      </c>
      <c r="G923" s="31"/>
    </row>
    <row r="924" spans="1:7" x14ac:dyDescent="0.25">
      <c r="A924" s="36">
        <v>40736</v>
      </c>
      <c r="B924" s="6">
        <v>51.57</v>
      </c>
      <c r="C924" s="6">
        <v>33.090000000000003</v>
      </c>
      <c r="D924" s="6">
        <v>15.3</v>
      </c>
      <c r="E924" s="6">
        <v>10.01</v>
      </c>
      <c r="G924" s="31"/>
    </row>
    <row r="925" spans="1:7" x14ac:dyDescent="0.25">
      <c r="A925" s="36">
        <v>40737</v>
      </c>
      <c r="B925" s="6">
        <v>51.62</v>
      </c>
      <c r="C925" s="6">
        <v>33.15</v>
      </c>
      <c r="D925" s="6">
        <v>15.32</v>
      </c>
      <c r="E925" s="6">
        <v>10.07</v>
      </c>
      <c r="G925" s="31"/>
    </row>
    <row r="926" spans="1:7" x14ac:dyDescent="0.25">
      <c r="A926" s="36">
        <v>40738</v>
      </c>
      <c r="B926" s="6">
        <v>51.66</v>
      </c>
      <c r="C926" s="6">
        <v>33.21</v>
      </c>
      <c r="D926" s="6">
        <v>15.34</v>
      </c>
      <c r="E926" s="6">
        <v>10.11</v>
      </c>
      <c r="G926" s="31"/>
    </row>
    <row r="927" spans="1:7" x14ac:dyDescent="0.25">
      <c r="A927" s="36">
        <v>40739</v>
      </c>
      <c r="B927" s="6">
        <v>51.69</v>
      </c>
      <c r="C927" s="6">
        <v>33.26</v>
      </c>
      <c r="D927" s="6">
        <v>15.38</v>
      </c>
      <c r="E927" s="6">
        <v>10.11</v>
      </c>
      <c r="G927" s="31"/>
    </row>
    <row r="928" spans="1:7" x14ac:dyDescent="0.25">
      <c r="A928" s="36">
        <v>40740</v>
      </c>
      <c r="B928" s="6">
        <v>51.7</v>
      </c>
      <c r="C928" s="6">
        <v>33.299999999999997</v>
      </c>
      <c r="D928" s="6">
        <v>15.38</v>
      </c>
      <c r="E928" s="6">
        <v>10.1</v>
      </c>
      <c r="G928" s="31"/>
    </row>
    <row r="929" spans="1:7" x14ac:dyDescent="0.25">
      <c r="A929" s="36">
        <v>40741</v>
      </c>
      <c r="B929" s="6">
        <v>51.7</v>
      </c>
      <c r="C929" s="6">
        <v>33.33</v>
      </c>
      <c r="D929" s="6">
        <v>15.4</v>
      </c>
      <c r="E929" s="6">
        <v>10.08</v>
      </c>
      <c r="G929" s="31"/>
    </row>
    <row r="930" spans="1:7" x14ac:dyDescent="0.25">
      <c r="A930" s="36">
        <v>40742</v>
      </c>
      <c r="B930" s="6">
        <v>51.71</v>
      </c>
      <c r="C930" s="6">
        <v>33.36</v>
      </c>
      <c r="D930" s="6">
        <v>15.4</v>
      </c>
      <c r="E930" s="6">
        <v>10.11</v>
      </c>
      <c r="G930" s="31"/>
    </row>
    <row r="931" spans="1:7" x14ac:dyDescent="0.25">
      <c r="A931" s="36">
        <v>40743</v>
      </c>
      <c r="B931" s="6">
        <v>51.72</v>
      </c>
      <c r="C931" s="6">
        <v>33.4</v>
      </c>
      <c r="D931" s="6">
        <v>15.44</v>
      </c>
      <c r="E931" s="6">
        <v>10.19</v>
      </c>
      <c r="G931" s="31"/>
    </row>
    <row r="932" spans="1:7" x14ac:dyDescent="0.25">
      <c r="A932" s="36">
        <v>40744</v>
      </c>
      <c r="B932" s="6">
        <v>51.73</v>
      </c>
      <c r="C932" s="6">
        <v>33.44</v>
      </c>
      <c r="D932" s="6">
        <v>15.46</v>
      </c>
      <c r="E932" s="6">
        <v>10.19</v>
      </c>
      <c r="G932" s="31"/>
    </row>
    <row r="933" spans="1:7" x14ac:dyDescent="0.25">
      <c r="A933" s="36">
        <v>40745</v>
      </c>
      <c r="B933" s="6">
        <v>51.76</v>
      </c>
      <c r="C933" s="6">
        <v>33.450000000000003</v>
      </c>
      <c r="D933" s="6">
        <v>15.5</v>
      </c>
      <c r="E933" s="6">
        <v>10.17</v>
      </c>
      <c r="G933" s="31"/>
    </row>
    <row r="934" spans="1:7" x14ac:dyDescent="0.25">
      <c r="A934" s="36">
        <v>40746</v>
      </c>
      <c r="B934" s="6">
        <v>51.75</v>
      </c>
      <c r="C934" s="6">
        <v>33.479999999999997</v>
      </c>
      <c r="D934" s="6">
        <v>15.52</v>
      </c>
      <c r="E934" s="6">
        <v>10.130000000000001</v>
      </c>
      <c r="G934" s="31"/>
    </row>
    <row r="935" spans="1:7" x14ac:dyDescent="0.25">
      <c r="A935" s="36">
        <v>40747</v>
      </c>
      <c r="B935" s="6">
        <v>51.74</v>
      </c>
      <c r="C935" s="6">
        <v>33.51</v>
      </c>
      <c r="D935" s="6">
        <v>15.52</v>
      </c>
      <c r="E935" s="6">
        <v>10.15</v>
      </c>
      <c r="G935" s="31"/>
    </row>
    <row r="936" spans="1:7" x14ac:dyDescent="0.25">
      <c r="A936" s="36">
        <v>40748</v>
      </c>
      <c r="B936" s="6">
        <v>51.7</v>
      </c>
      <c r="C936" s="6">
        <v>33.520000000000003</v>
      </c>
      <c r="D936" s="6">
        <v>15.56</v>
      </c>
      <c r="E936" s="6">
        <v>10.17</v>
      </c>
      <c r="G936" s="31"/>
    </row>
    <row r="937" spans="1:7" x14ac:dyDescent="0.25">
      <c r="A937" s="36">
        <v>40749</v>
      </c>
      <c r="B937" s="6">
        <v>51.66</v>
      </c>
      <c r="C937" s="6">
        <v>33.58</v>
      </c>
      <c r="D937" s="6">
        <v>15.6</v>
      </c>
      <c r="E937" s="6">
        <v>10.23</v>
      </c>
      <c r="G937" s="31"/>
    </row>
    <row r="938" spans="1:7" x14ac:dyDescent="0.25">
      <c r="A938" s="36">
        <v>40750</v>
      </c>
      <c r="B938" s="6">
        <v>51.72</v>
      </c>
      <c r="C938" s="6">
        <v>33.619999999999997</v>
      </c>
      <c r="D938" s="6">
        <v>15.66</v>
      </c>
      <c r="E938" s="6">
        <v>10.19</v>
      </c>
      <c r="G938" s="31"/>
    </row>
    <row r="939" spans="1:7" x14ac:dyDescent="0.25">
      <c r="A939" s="36">
        <v>40751</v>
      </c>
      <c r="B939" s="6">
        <v>51.7</v>
      </c>
      <c r="C939" s="6">
        <v>33.64</v>
      </c>
      <c r="D939" s="6">
        <v>15.7</v>
      </c>
      <c r="E939" s="6">
        <v>10.27</v>
      </c>
      <c r="G939" s="31"/>
    </row>
    <row r="940" spans="1:7" x14ac:dyDescent="0.25">
      <c r="A940" s="36">
        <v>40752</v>
      </c>
      <c r="B940" s="6">
        <v>51.72</v>
      </c>
      <c r="C940" s="6">
        <v>33.67</v>
      </c>
      <c r="D940" s="6">
        <v>15.74</v>
      </c>
      <c r="E940" s="6">
        <v>10.38</v>
      </c>
      <c r="G940" s="31"/>
    </row>
    <row r="941" spans="1:7" x14ac:dyDescent="0.25">
      <c r="A941" s="36">
        <v>40753</v>
      </c>
      <c r="B941" s="6">
        <v>51.75</v>
      </c>
      <c r="C941" s="6">
        <v>33.68</v>
      </c>
      <c r="D941" s="6">
        <v>15.8</v>
      </c>
      <c r="E941" s="6">
        <v>10.55</v>
      </c>
      <c r="G941" s="31"/>
    </row>
    <row r="942" spans="1:7" x14ac:dyDescent="0.25">
      <c r="A942" s="36">
        <v>40754</v>
      </c>
      <c r="B942" s="6">
        <v>51.86</v>
      </c>
      <c r="C942" s="6">
        <v>33.71</v>
      </c>
      <c r="D942" s="6">
        <v>15.84</v>
      </c>
      <c r="E942" s="6">
        <v>10.57</v>
      </c>
      <c r="G942" s="31"/>
    </row>
    <row r="943" spans="1:7" x14ac:dyDescent="0.25">
      <c r="A943" s="36">
        <v>40755</v>
      </c>
      <c r="B943" s="6">
        <v>51.95</v>
      </c>
      <c r="C943" s="6">
        <v>33.74</v>
      </c>
      <c r="D943" s="6">
        <v>16</v>
      </c>
      <c r="E943" s="6">
        <v>10.56</v>
      </c>
      <c r="G943" s="31"/>
    </row>
    <row r="944" spans="1:7" x14ac:dyDescent="0.25">
      <c r="A944" s="36">
        <v>40756</v>
      </c>
      <c r="B944" s="6">
        <v>51.97</v>
      </c>
      <c r="C944" s="6">
        <v>33.770000000000003</v>
      </c>
      <c r="D944" s="6">
        <v>16.100000000000001</v>
      </c>
      <c r="E944" s="6">
        <v>10.54</v>
      </c>
      <c r="G944" s="31"/>
    </row>
    <row r="945" spans="1:7" x14ac:dyDescent="0.25">
      <c r="A945" s="36">
        <v>40757</v>
      </c>
      <c r="B945" s="6">
        <v>51.96</v>
      </c>
      <c r="C945" s="6">
        <v>33.79</v>
      </c>
      <c r="D945" s="6">
        <v>16.2</v>
      </c>
      <c r="E945" s="6">
        <v>10.77</v>
      </c>
      <c r="G945" s="31"/>
    </row>
    <row r="946" spans="1:7" x14ac:dyDescent="0.25">
      <c r="A946" s="36">
        <v>40758</v>
      </c>
      <c r="B946" s="6">
        <v>51.89</v>
      </c>
      <c r="C946" s="6">
        <v>33.81</v>
      </c>
      <c r="D946" s="6">
        <v>16.32</v>
      </c>
      <c r="E946" s="6">
        <v>11</v>
      </c>
      <c r="G946" s="31"/>
    </row>
    <row r="947" spans="1:7" x14ac:dyDescent="0.25">
      <c r="A947" s="36">
        <v>40759</v>
      </c>
      <c r="B947" s="6">
        <v>51.84</v>
      </c>
      <c r="C947" s="6">
        <v>33.840000000000003</v>
      </c>
      <c r="D947" s="6">
        <v>16.36</v>
      </c>
      <c r="E947" s="6">
        <v>11.07</v>
      </c>
      <c r="G947" s="31"/>
    </row>
    <row r="948" spans="1:7" x14ac:dyDescent="0.25">
      <c r="A948" s="36">
        <v>40760</v>
      </c>
      <c r="B948" s="6">
        <v>51.76</v>
      </c>
      <c r="C948" s="6">
        <v>33.869999999999997</v>
      </c>
      <c r="D948" s="6">
        <v>16.38</v>
      </c>
      <c r="E948" s="6">
        <v>11.13</v>
      </c>
      <c r="G948" s="31"/>
    </row>
    <row r="949" spans="1:7" x14ac:dyDescent="0.25">
      <c r="A949" s="36">
        <v>40761</v>
      </c>
      <c r="B949" s="6">
        <v>51.7</v>
      </c>
      <c r="C949" s="6">
        <v>33.880000000000003</v>
      </c>
      <c r="D949" s="6">
        <v>16.399999999999999</v>
      </c>
      <c r="E949" s="6">
        <v>11.04</v>
      </c>
      <c r="G949" s="31"/>
    </row>
    <row r="950" spans="1:7" x14ac:dyDescent="0.25">
      <c r="A950" s="36">
        <v>40762</v>
      </c>
      <c r="B950" s="6">
        <v>51.64</v>
      </c>
      <c r="C950" s="6">
        <v>33.9</v>
      </c>
      <c r="D950" s="6">
        <v>16.399999999999999</v>
      </c>
      <c r="E950" s="6">
        <v>10.94</v>
      </c>
      <c r="G950" s="31"/>
    </row>
    <row r="951" spans="1:7" x14ac:dyDescent="0.25">
      <c r="A951" s="36">
        <v>40763</v>
      </c>
      <c r="B951" s="6">
        <v>51.58</v>
      </c>
      <c r="C951" s="6">
        <v>33.9</v>
      </c>
      <c r="D951" s="6">
        <v>16.36</v>
      </c>
      <c r="E951" s="6">
        <v>10.89</v>
      </c>
      <c r="G951" s="31"/>
    </row>
    <row r="952" spans="1:7" x14ac:dyDescent="0.25">
      <c r="A952" s="36">
        <v>40764</v>
      </c>
      <c r="B952" s="6">
        <v>51.52</v>
      </c>
      <c r="C952" s="6">
        <v>33.92</v>
      </c>
      <c r="D952" s="6">
        <v>16.36</v>
      </c>
      <c r="E952" s="6">
        <v>10.94</v>
      </c>
      <c r="G952" s="31"/>
    </row>
    <row r="953" spans="1:7" x14ac:dyDescent="0.25">
      <c r="A953" s="36">
        <v>40765</v>
      </c>
      <c r="B953" s="6">
        <v>51.44</v>
      </c>
      <c r="C953" s="6">
        <v>33.909999999999997</v>
      </c>
      <c r="D953" s="6">
        <v>16.36</v>
      </c>
      <c r="E953" s="6">
        <v>10.9</v>
      </c>
      <c r="G953" s="31"/>
    </row>
    <row r="954" spans="1:7" x14ac:dyDescent="0.25">
      <c r="A954" s="36">
        <v>40766</v>
      </c>
      <c r="B954" s="6">
        <v>51.39</v>
      </c>
      <c r="C954" s="6">
        <v>33.909999999999997</v>
      </c>
      <c r="D954" s="6">
        <v>16.32</v>
      </c>
      <c r="E954" s="6">
        <v>10.83</v>
      </c>
      <c r="G954" s="31"/>
    </row>
    <row r="955" spans="1:7" x14ac:dyDescent="0.25">
      <c r="A955" s="36">
        <v>40767</v>
      </c>
      <c r="B955" s="6">
        <v>51.33</v>
      </c>
      <c r="C955" s="6">
        <v>33.9</v>
      </c>
      <c r="D955" s="6">
        <v>16.3</v>
      </c>
      <c r="E955" s="6">
        <v>10.74</v>
      </c>
      <c r="G955" s="31"/>
    </row>
    <row r="956" spans="1:7" x14ac:dyDescent="0.25">
      <c r="A956" s="36">
        <v>40768</v>
      </c>
      <c r="B956" s="6">
        <v>51.26</v>
      </c>
      <c r="C956" s="6">
        <v>33.9</v>
      </c>
      <c r="D956" s="6">
        <v>16.260000000000002</v>
      </c>
      <c r="E956" s="6">
        <v>10.71</v>
      </c>
      <c r="G956" s="31"/>
    </row>
    <row r="957" spans="1:7" x14ac:dyDescent="0.25">
      <c r="A957" s="36">
        <v>40769</v>
      </c>
      <c r="B957" s="6">
        <v>51.21</v>
      </c>
      <c r="C957" s="6">
        <v>33.9</v>
      </c>
      <c r="D957" s="6">
        <v>16.239999999999998</v>
      </c>
      <c r="E957" s="6">
        <v>10.67</v>
      </c>
      <c r="G957" s="31"/>
    </row>
    <row r="958" spans="1:7" x14ac:dyDescent="0.25">
      <c r="A958" s="36">
        <v>40770</v>
      </c>
      <c r="B958" s="6">
        <v>51.14</v>
      </c>
      <c r="C958" s="6">
        <v>33.89</v>
      </c>
      <c r="D958" s="6">
        <v>16.22</v>
      </c>
      <c r="E958" s="6">
        <v>10.62</v>
      </c>
      <c r="G958" s="31"/>
    </row>
    <row r="959" spans="1:7" x14ac:dyDescent="0.25">
      <c r="A959" s="36">
        <v>40771</v>
      </c>
      <c r="B959" s="6">
        <v>51.09</v>
      </c>
      <c r="C959" s="6">
        <v>33.869999999999997</v>
      </c>
      <c r="D959" s="6">
        <v>16.2</v>
      </c>
      <c r="E959" s="6">
        <v>10.64</v>
      </c>
      <c r="G959" s="31"/>
    </row>
    <row r="960" spans="1:7" x14ac:dyDescent="0.25">
      <c r="A960" s="36">
        <v>40772</v>
      </c>
      <c r="B960" s="6">
        <v>51.03</v>
      </c>
      <c r="C960" s="6">
        <v>33.85</v>
      </c>
      <c r="D960" s="6">
        <v>16.18</v>
      </c>
      <c r="E960" s="6">
        <v>10.64</v>
      </c>
      <c r="G960" s="31"/>
    </row>
    <row r="961" spans="1:7" x14ac:dyDescent="0.25">
      <c r="A961" s="36">
        <v>40773</v>
      </c>
      <c r="B961" s="6">
        <v>50.95</v>
      </c>
      <c r="C961" s="6">
        <v>33.82</v>
      </c>
      <c r="D961" s="6">
        <v>16.18</v>
      </c>
      <c r="E961" s="6">
        <v>10.75</v>
      </c>
      <c r="G961" s="31"/>
    </row>
    <row r="962" spans="1:7" x14ac:dyDescent="0.25">
      <c r="A962" s="36">
        <v>40774</v>
      </c>
      <c r="B962" s="6">
        <v>50.86</v>
      </c>
      <c r="C962" s="6">
        <v>33.799999999999997</v>
      </c>
      <c r="D962" s="6">
        <v>16.18</v>
      </c>
      <c r="E962" s="6">
        <v>10.81</v>
      </c>
      <c r="G962" s="31"/>
    </row>
    <row r="963" spans="1:7" x14ac:dyDescent="0.25">
      <c r="A963" s="36">
        <v>40775</v>
      </c>
      <c r="B963" s="6">
        <v>50.74</v>
      </c>
      <c r="C963" s="6">
        <v>33.75</v>
      </c>
      <c r="D963" s="6">
        <v>16.18</v>
      </c>
      <c r="E963" s="6">
        <v>10.75</v>
      </c>
      <c r="G963" s="31"/>
    </row>
    <row r="964" spans="1:7" x14ac:dyDescent="0.25">
      <c r="A964" s="36">
        <v>40776</v>
      </c>
      <c r="B964" s="6">
        <v>50.66</v>
      </c>
      <c r="C964" s="6">
        <v>33.729999999999997</v>
      </c>
      <c r="D964" s="6">
        <v>16.18</v>
      </c>
      <c r="E964" s="6">
        <v>10.7</v>
      </c>
      <c r="G964" s="31"/>
    </row>
    <row r="965" spans="1:7" x14ac:dyDescent="0.25">
      <c r="A965" s="36">
        <v>40777</v>
      </c>
      <c r="B965" s="6">
        <v>50.56</v>
      </c>
      <c r="C965" s="6">
        <v>33.68</v>
      </c>
      <c r="D965" s="6">
        <v>16.18</v>
      </c>
      <c r="E965" s="6">
        <v>10.66</v>
      </c>
      <c r="G965" s="31"/>
    </row>
    <row r="966" spans="1:7" x14ac:dyDescent="0.25">
      <c r="A966" s="36">
        <v>40778</v>
      </c>
      <c r="B966" s="6">
        <v>50.45</v>
      </c>
      <c r="C966" s="6">
        <v>33.65</v>
      </c>
      <c r="D966" s="6">
        <v>16.18</v>
      </c>
      <c r="E966" s="6">
        <v>10.73</v>
      </c>
      <c r="G966" s="31"/>
    </row>
    <row r="967" spans="1:7" x14ac:dyDescent="0.25">
      <c r="A967" s="36">
        <v>40779</v>
      </c>
      <c r="B967" s="6">
        <v>50.36</v>
      </c>
      <c r="C967" s="6">
        <v>33.619999999999997</v>
      </c>
      <c r="D967" s="6">
        <v>16.16</v>
      </c>
      <c r="E967" s="6">
        <v>10.77</v>
      </c>
      <c r="G967" s="31"/>
    </row>
    <row r="968" spans="1:7" x14ac:dyDescent="0.25">
      <c r="A968" s="36">
        <v>40780</v>
      </c>
      <c r="B968" s="6">
        <v>50.26</v>
      </c>
      <c r="C968" s="6">
        <v>33.619999999999997</v>
      </c>
      <c r="D968" s="6">
        <v>16.2</v>
      </c>
      <c r="E968" s="6">
        <v>10.88</v>
      </c>
      <c r="G968" s="31"/>
    </row>
    <row r="969" spans="1:7" x14ac:dyDescent="0.25">
      <c r="A969" s="36">
        <v>40781</v>
      </c>
      <c r="B969" s="6">
        <v>50.17</v>
      </c>
      <c r="C969" s="6">
        <v>33.58</v>
      </c>
      <c r="D969" s="6">
        <v>16.22</v>
      </c>
      <c r="E969" s="6">
        <v>11</v>
      </c>
      <c r="G969" s="31"/>
    </row>
    <row r="970" spans="1:7" x14ac:dyDescent="0.25">
      <c r="A970" s="36">
        <v>40782</v>
      </c>
      <c r="B970" s="6">
        <v>50.08</v>
      </c>
      <c r="C970" s="6">
        <v>33.549999999999997</v>
      </c>
      <c r="D970" s="6">
        <v>16.22</v>
      </c>
      <c r="E970" s="6">
        <v>11</v>
      </c>
      <c r="G970" s="31"/>
    </row>
    <row r="971" spans="1:7" x14ac:dyDescent="0.25">
      <c r="A971" s="36">
        <v>40783</v>
      </c>
      <c r="B971" s="6">
        <v>50.01</v>
      </c>
      <c r="C971" s="6">
        <v>33.5</v>
      </c>
      <c r="D971" s="6">
        <v>16.2</v>
      </c>
      <c r="E971" s="6">
        <v>10.96</v>
      </c>
      <c r="G971" s="31"/>
    </row>
    <row r="972" spans="1:7" x14ac:dyDescent="0.25">
      <c r="A972" s="36">
        <v>40784</v>
      </c>
      <c r="B972" s="6">
        <v>49.96</v>
      </c>
      <c r="C972" s="6">
        <v>33.46</v>
      </c>
      <c r="D972" s="6">
        <v>16.18</v>
      </c>
      <c r="E972" s="6">
        <v>10.84</v>
      </c>
      <c r="G972" s="31"/>
    </row>
    <row r="973" spans="1:7" x14ac:dyDescent="0.25">
      <c r="A973" s="36">
        <v>40785</v>
      </c>
      <c r="B973" s="6">
        <v>49.88</v>
      </c>
      <c r="C973" s="6">
        <v>33.409999999999997</v>
      </c>
      <c r="D973" s="6">
        <v>16.14</v>
      </c>
      <c r="E973" s="6">
        <v>10.79</v>
      </c>
      <c r="G973" s="31"/>
    </row>
    <row r="974" spans="1:7" x14ac:dyDescent="0.25">
      <c r="A974" s="36">
        <v>40786</v>
      </c>
      <c r="B974" s="6">
        <v>49.82</v>
      </c>
      <c r="C974" s="6">
        <v>33.369999999999997</v>
      </c>
      <c r="D974" s="6">
        <v>16.100000000000001</v>
      </c>
      <c r="E974" s="6">
        <v>10.78</v>
      </c>
      <c r="G974" s="31"/>
    </row>
    <row r="975" spans="1:7" x14ac:dyDescent="0.25">
      <c r="A975" s="36">
        <v>40787</v>
      </c>
      <c r="B975" s="6">
        <v>49.76</v>
      </c>
      <c r="C975" s="6">
        <v>33.32</v>
      </c>
      <c r="D975" s="6">
        <v>16.04</v>
      </c>
      <c r="E975" s="6">
        <v>10.71</v>
      </c>
      <c r="G975" s="31"/>
    </row>
    <row r="976" spans="1:7" x14ac:dyDescent="0.25">
      <c r="A976" s="36">
        <v>40788</v>
      </c>
      <c r="B976" s="6">
        <v>49.66</v>
      </c>
      <c r="C976" s="6">
        <v>33.28</v>
      </c>
      <c r="D976" s="6">
        <v>16</v>
      </c>
      <c r="E976" s="6">
        <v>10.59</v>
      </c>
      <c r="G976" s="31"/>
    </row>
    <row r="977" spans="1:7" x14ac:dyDescent="0.25">
      <c r="A977" s="36">
        <v>40789</v>
      </c>
      <c r="B977" s="6">
        <v>49.56</v>
      </c>
      <c r="C977" s="6">
        <v>33.25</v>
      </c>
      <c r="D977" s="6">
        <v>15.92</v>
      </c>
      <c r="E977" s="6">
        <v>10.56</v>
      </c>
      <c r="G977" s="31"/>
    </row>
    <row r="978" spans="1:7" x14ac:dyDescent="0.25">
      <c r="A978" s="36">
        <v>40790</v>
      </c>
      <c r="B978" s="6">
        <v>49.45</v>
      </c>
      <c r="C978" s="6">
        <v>33.18</v>
      </c>
      <c r="D978" s="6">
        <v>15.92</v>
      </c>
      <c r="E978" s="6">
        <v>10.49</v>
      </c>
      <c r="G978" s="31"/>
    </row>
    <row r="979" spans="1:7" x14ac:dyDescent="0.25">
      <c r="A979" s="36">
        <v>40791</v>
      </c>
      <c r="B979" s="6">
        <v>49.32</v>
      </c>
      <c r="C979" s="6">
        <v>33.130000000000003</v>
      </c>
      <c r="D979" s="6">
        <v>15.84</v>
      </c>
      <c r="E979" s="6">
        <v>10.43</v>
      </c>
      <c r="G979" s="31"/>
    </row>
    <row r="980" spans="1:7" x14ac:dyDescent="0.25">
      <c r="A980" s="36">
        <v>40792</v>
      </c>
      <c r="B980" s="6">
        <v>49.16</v>
      </c>
      <c r="C980" s="6">
        <v>33.07</v>
      </c>
      <c r="D980" s="6">
        <v>15.78</v>
      </c>
      <c r="E980" s="6">
        <v>10.39</v>
      </c>
      <c r="G980" s="31"/>
    </row>
    <row r="981" spans="1:7" x14ac:dyDescent="0.25">
      <c r="A981" s="36">
        <v>40793</v>
      </c>
      <c r="B981" s="6">
        <v>49.01</v>
      </c>
      <c r="C981" s="6">
        <v>32.979999999999997</v>
      </c>
      <c r="D981" s="6">
        <v>15.68</v>
      </c>
      <c r="E981" s="6">
        <v>10.37</v>
      </c>
      <c r="G981" s="31"/>
    </row>
    <row r="982" spans="1:7" x14ac:dyDescent="0.25">
      <c r="A982" s="36">
        <v>40794</v>
      </c>
      <c r="B982" s="6">
        <v>48.83</v>
      </c>
      <c r="C982" s="6">
        <v>32.909999999999997</v>
      </c>
      <c r="D982" s="6">
        <v>15.6</v>
      </c>
      <c r="E982" s="6">
        <v>10.28</v>
      </c>
      <c r="G982" s="31"/>
    </row>
    <row r="983" spans="1:7" x14ac:dyDescent="0.25">
      <c r="A983" s="36">
        <v>40795</v>
      </c>
      <c r="B983" s="6">
        <v>48.68</v>
      </c>
      <c r="C983" s="6">
        <v>32.83</v>
      </c>
      <c r="D983" s="6">
        <v>15.5</v>
      </c>
      <c r="E983" s="6">
        <v>10.210000000000001</v>
      </c>
      <c r="G983" s="31"/>
    </row>
    <row r="984" spans="1:7" x14ac:dyDescent="0.25">
      <c r="A984" s="36">
        <v>40796</v>
      </c>
      <c r="B984" s="6">
        <v>48.52</v>
      </c>
      <c r="C984" s="6">
        <v>32.729999999999997</v>
      </c>
      <c r="D984" s="6">
        <v>15.42</v>
      </c>
      <c r="E984" s="6">
        <v>10.130000000000001</v>
      </c>
      <c r="G984" s="31"/>
    </row>
    <row r="985" spans="1:7" x14ac:dyDescent="0.25">
      <c r="A985" s="36">
        <v>40797</v>
      </c>
      <c r="B985" s="6">
        <v>48.34</v>
      </c>
      <c r="C985" s="6">
        <v>32.64</v>
      </c>
      <c r="D985" s="6">
        <v>15.34</v>
      </c>
      <c r="E985" s="6">
        <v>10.08</v>
      </c>
      <c r="G985" s="31"/>
    </row>
    <row r="986" spans="1:7" x14ac:dyDescent="0.25">
      <c r="A986" s="36">
        <v>40798</v>
      </c>
      <c r="B986" s="6">
        <v>48.19</v>
      </c>
      <c r="C986" s="6">
        <v>32.58</v>
      </c>
      <c r="D986" s="6">
        <v>15.28</v>
      </c>
      <c r="E986" s="6">
        <v>10</v>
      </c>
      <c r="G986" s="31"/>
    </row>
    <row r="987" spans="1:7" x14ac:dyDescent="0.25">
      <c r="A987" s="36">
        <v>40799</v>
      </c>
      <c r="B987" s="6">
        <v>48.05</v>
      </c>
      <c r="C987" s="6">
        <v>32.5</v>
      </c>
      <c r="D987" s="6">
        <v>15.22</v>
      </c>
      <c r="E987" s="6">
        <v>10.050000000000001</v>
      </c>
      <c r="G987" s="31"/>
    </row>
    <row r="988" spans="1:7" x14ac:dyDescent="0.25">
      <c r="A988" s="36">
        <v>40800</v>
      </c>
      <c r="B988" s="6">
        <v>47.88</v>
      </c>
      <c r="C988" s="6">
        <v>32.43</v>
      </c>
      <c r="D988" s="6">
        <v>15.2</v>
      </c>
      <c r="E988" s="6">
        <v>10.029999999999999</v>
      </c>
      <c r="G988" s="31"/>
    </row>
    <row r="989" spans="1:7" x14ac:dyDescent="0.25">
      <c r="A989" s="36">
        <v>40801</v>
      </c>
      <c r="B989" s="6">
        <v>47.71</v>
      </c>
      <c r="C989" s="6">
        <v>32.31</v>
      </c>
      <c r="D989" s="6">
        <v>15.1</v>
      </c>
      <c r="E989" s="6">
        <v>9.94</v>
      </c>
      <c r="G989" s="31"/>
    </row>
    <row r="990" spans="1:7" x14ac:dyDescent="0.25">
      <c r="A990" s="36">
        <v>40802</v>
      </c>
      <c r="B990" s="6">
        <v>47.52</v>
      </c>
      <c r="C990" s="6">
        <v>32.21</v>
      </c>
      <c r="D990" s="6">
        <v>14.98</v>
      </c>
      <c r="E990" s="6">
        <v>9.83</v>
      </c>
      <c r="G990" s="31"/>
    </row>
    <row r="991" spans="1:7" x14ac:dyDescent="0.25">
      <c r="A991" s="36">
        <v>40803</v>
      </c>
      <c r="B991" s="6">
        <v>47.34</v>
      </c>
      <c r="C991" s="6">
        <v>32.1</v>
      </c>
      <c r="D991" s="6">
        <v>14.88</v>
      </c>
      <c r="E991" s="6">
        <v>9.75</v>
      </c>
      <c r="G991" s="31"/>
    </row>
    <row r="992" spans="1:7" x14ac:dyDescent="0.25">
      <c r="A992" s="36">
        <v>40804</v>
      </c>
      <c r="B992" s="6">
        <v>47.19</v>
      </c>
      <c r="C992" s="6">
        <v>31.99</v>
      </c>
      <c r="D992" s="6">
        <v>14.78</v>
      </c>
      <c r="E992" s="6">
        <v>9.66</v>
      </c>
      <c r="G992" s="31"/>
    </row>
    <row r="993" spans="1:7" x14ac:dyDescent="0.25">
      <c r="A993" s="36">
        <v>40805</v>
      </c>
      <c r="B993" s="6">
        <v>47.04</v>
      </c>
      <c r="C993" s="6">
        <v>31.88</v>
      </c>
      <c r="D993" s="6">
        <v>14.64</v>
      </c>
      <c r="E993" s="6">
        <v>9.5500000000000007</v>
      </c>
      <c r="G993" s="31"/>
    </row>
    <row r="994" spans="1:7" x14ac:dyDescent="0.25">
      <c r="A994" s="36">
        <v>40806</v>
      </c>
      <c r="B994" s="6">
        <v>46.92</v>
      </c>
      <c r="C994" s="6">
        <v>31.78</v>
      </c>
      <c r="D994" s="6">
        <v>14.52</v>
      </c>
      <c r="E994" s="6">
        <v>9.41</v>
      </c>
      <c r="G994" s="31"/>
    </row>
    <row r="995" spans="1:7" x14ac:dyDescent="0.25">
      <c r="A995" s="36">
        <v>40807</v>
      </c>
      <c r="B995" s="6">
        <v>46.77</v>
      </c>
      <c r="C995" s="6">
        <v>31.7</v>
      </c>
      <c r="D995" s="6">
        <v>14.46</v>
      </c>
      <c r="E995" s="6">
        <v>9.39</v>
      </c>
      <c r="G995" s="31"/>
    </row>
    <row r="996" spans="1:7" x14ac:dyDescent="0.25">
      <c r="A996" s="36">
        <v>40808</v>
      </c>
      <c r="B996" s="6">
        <v>46.64</v>
      </c>
      <c r="C996" s="6">
        <v>31.62</v>
      </c>
      <c r="D996" s="6">
        <v>14.39</v>
      </c>
      <c r="E996" s="6">
        <v>9.27</v>
      </c>
      <c r="G996" s="31"/>
    </row>
    <row r="997" spans="1:7" x14ac:dyDescent="0.25">
      <c r="A997" s="36">
        <v>40809</v>
      </c>
      <c r="B997" s="6">
        <v>46.54</v>
      </c>
      <c r="C997" s="6">
        <v>31.52</v>
      </c>
      <c r="D997" s="6">
        <v>14.28</v>
      </c>
      <c r="E997" s="6">
        <v>9.2100000000000009</v>
      </c>
      <c r="G997" s="31"/>
    </row>
    <row r="998" spans="1:7" x14ac:dyDescent="0.25">
      <c r="A998" s="36">
        <v>40810</v>
      </c>
      <c r="B998" s="6">
        <v>46.43</v>
      </c>
      <c r="C998" s="6">
        <v>31.42</v>
      </c>
      <c r="D998" s="6">
        <v>14.18</v>
      </c>
      <c r="E998" s="6">
        <v>9.2100000000000009</v>
      </c>
      <c r="G998" s="31"/>
    </row>
    <row r="999" spans="1:7" x14ac:dyDescent="0.25">
      <c r="A999" s="36">
        <v>40811</v>
      </c>
      <c r="B999" s="6">
        <v>46.42</v>
      </c>
      <c r="C999" s="6">
        <v>31.31</v>
      </c>
      <c r="D999" s="6">
        <v>14.1</v>
      </c>
      <c r="E999" s="6">
        <v>9.24</v>
      </c>
      <c r="G999" s="31"/>
    </row>
    <row r="1000" spans="1:7" x14ac:dyDescent="0.25">
      <c r="A1000" s="36">
        <v>40812</v>
      </c>
      <c r="B1000" s="6">
        <v>46.44</v>
      </c>
      <c r="C1000" s="6">
        <v>31.21</v>
      </c>
      <c r="D1000" s="6">
        <v>14.06</v>
      </c>
      <c r="E1000" s="6">
        <v>9.09</v>
      </c>
      <c r="G1000" s="31"/>
    </row>
    <row r="1001" spans="1:7" x14ac:dyDescent="0.25">
      <c r="A1001" s="36">
        <v>40813</v>
      </c>
      <c r="B1001" s="6">
        <v>46.48</v>
      </c>
      <c r="C1001" s="6">
        <v>31.14</v>
      </c>
      <c r="D1001" s="6">
        <v>14</v>
      </c>
      <c r="E1001" s="6">
        <v>9.06</v>
      </c>
      <c r="G1001" s="31"/>
    </row>
    <row r="1002" spans="1:7" x14ac:dyDescent="0.25">
      <c r="A1002" s="36">
        <v>40814</v>
      </c>
      <c r="B1002" s="6">
        <v>46.51</v>
      </c>
      <c r="C1002" s="6">
        <v>31.08</v>
      </c>
      <c r="D1002" s="6">
        <v>13.88</v>
      </c>
      <c r="E1002" s="6">
        <v>9.02</v>
      </c>
      <c r="G1002" s="31"/>
    </row>
    <row r="1003" spans="1:7" x14ac:dyDescent="0.25">
      <c r="A1003" s="36">
        <v>40815</v>
      </c>
      <c r="B1003" s="6">
        <v>46.52</v>
      </c>
      <c r="C1003" s="6">
        <v>31.01</v>
      </c>
      <c r="D1003" s="6">
        <v>13.78</v>
      </c>
      <c r="E1003" s="6">
        <v>8.9</v>
      </c>
      <c r="G1003" s="31"/>
    </row>
    <row r="1004" spans="1:7" x14ac:dyDescent="0.25">
      <c r="A1004" s="36">
        <v>40816</v>
      </c>
      <c r="B1004" s="6">
        <v>46.54</v>
      </c>
      <c r="C1004" s="6">
        <v>30.99</v>
      </c>
      <c r="D1004" s="6">
        <v>13.66</v>
      </c>
      <c r="E1004" s="6">
        <v>8.7799999999999994</v>
      </c>
      <c r="G1004" s="31"/>
    </row>
    <row r="1005" spans="1:7" x14ac:dyDescent="0.25">
      <c r="A1005" s="36">
        <v>40817</v>
      </c>
      <c r="B1005" s="6">
        <v>46.65</v>
      </c>
      <c r="C1005" s="6">
        <v>30.86</v>
      </c>
      <c r="D1005" s="6">
        <v>13.54</v>
      </c>
      <c r="E1005" s="6">
        <v>8.68</v>
      </c>
      <c r="G1005" s="31"/>
    </row>
    <row r="1006" spans="1:7" x14ac:dyDescent="0.25">
      <c r="A1006" s="36">
        <v>40818</v>
      </c>
      <c r="B1006" s="6">
        <v>46.73</v>
      </c>
      <c r="C1006" s="6">
        <v>30.8</v>
      </c>
      <c r="D1006" s="6">
        <v>13.1</v>
      </c>
      <c r="E1006" s="6">
        <v>8.67</v>
      </c>
      <c r="G1006" s="31"/>
    </row>
    <row r="1007" spans="1:7" x14ac:dyDescent="0.25">
      <c r="A1007" s="36">
        <v>40819</v>
      </c>
      <c r="B1007" s="6">
        <v>46.83</v>
      </c>
      <c r="C1007" s="6">
        <v>30.74</v>
      </c>
      <c r="D1007" s="6">
        <v>13.26</v>
      </c>
      <c r="E1007" s="6">
        <v>8.5</v>
      </c>
      <c r="G1007" s="31"/>
    </row>
    <row r="1008" spans="1:7" x14ac:dyDescent="0.25">
      <c r="A1008" s="36">
        <v>40820</v>
      </c>
      <c r="B1008" s="6">
        <v>46.88</v>
      </c>
      <c r="C1008" s="6">
        <v>30.73</v>
      </c>
      <c r="D1008" s="6">
        <v>13.12</v>
      </c>
      <c r="E1008" s="6">
        <v>8.36</v>
      </c>
      <c r="G1008" s="31"/>
    </row>
    <row r="1009" spans="1:7" x14ac:dyDescent="0.25">
      <c r="A1009" s="36">
        <v>40821</v>
      </c>
      <c r="B1009" s="6">
        <v>46.94</v>
      </c>
      <c r="C1009" s="6">
        <v>30.74</v>
      </c>
      <c r="D1009" s="6">
        <v>13.02</v>
      </c>
      <c r="E1009" s="6">
        <v>8.2200000000000006</v>
      </c>
      <c r="G1009" s="31"/>
    </row>
    <row r="1010" spans="1:7" x14ac:dyDescent="0.25">
      <c r="A1010" s="36">
        <v>40822</v>
      </c>
      <c r="B1010" s="6">
        <v>46.98</v>
      </c>
      <c r="C1010" s="6">
        <v>30.74</v>
      </c>
      <c r="D1010" s="6">
        <v>12.9</v>
      </c>
      <c r="E1010" s="6">
        <v>8.1300000000000008</v>
      </c>
      <c r="G1010" s="31"/>
    </row>
    <row r="1011" spans="1:7" x14ac:dyDescent="0.25">
      <c r="A1011" s="36">
        <v>40823</v>
      </c>
      <c r="B1011" s="6">
        <v>47.01</v>
      </c>
      <c r="C1011" s="6">
        <v>30.74</v>
      </c>
      <c r="D1011" s="6">
        <v>12.84</v>
      </c>
      <c r="E1011" s="6">
        <v>8.27</v>
      </c>
      <c r="G1011" s="31"/>
    </row>
    <row r="1012" spans="1:7" x14ac:dyDescent="0.25">
      <c r="A1012" s="36">
        <v>40824</v>
      </c>
      <c r="B1012" s="6">
        <v>47.04</v>
      </c>
      <c r="C1012" s="6">
        <v>30.68</v>
      </c>
      <c r="D1012" s="6">
        <v>12.84</v>
      </c>
      <c r="E1012" s="6">
        <v>8.3000000000000007</v>
      </c>
      <c r="G1012" s="31"/>
    </row>
    <row r="1013" spans="1:7" x14ac:dyDescent="0.25">
      <c r="A1013" s="36">
        <v>40825</v>
      </c>
      <c r="B1013" s="6">
        <v>47.04</v>
      </c>
      <c r="C1013" s="6">
        <v>30.66</v>
      </c>
      <c r="D1013" s="6">
        <v>12.8</v>
      </c>
      <c r="E1013" s="6">
        <v>8.3689999999999998</v>
      </c>
      <c r="G1013" s="31"/>
    </row>
    <row r="1014" spans="1:7" x14ac:dyDescent="0.25">
      <c r="A1014" s="36">
        <v>40826</v>
      </c>
      <c r="B1014" s="6">
        <v>47.04</v>
      </c>
      <c r="C1014" s="6">
        <v>30.63</v>
      </c>
      <c r="D1014" s="6">
        <v>12.8</v>
      </c>
      <c r="E1014" s="6">
        <v>8.2799999999999994</v>
      </c>
      <c r="G1014" s="31"/>
    </row>
    <row r="1015" spans="1:7" x14ac:dyDescent="0.25">
      <c r="A1015" s="36">
        <v>40827</v>
      </c>
      <c r="B1015" s="6">
        <v>47.06</v>
      </c>
      <c r="C1015" s="6">
        <v>30.62</v>
      </c>
      <c r="D1015" s="6">
        <v>12.8</v>
      </c>
      <c r="E1015" s="6">
        <v>8.07</v>
      </c>
      <c r="G1015" s="31"/>
    </row>
    <row r="1016" spans="1:7" x14ac:dyDescent="0.25">
      <c r="A1016" s="36">
        <v>40828</v>
      </c>
      <c r="B1016" s="6">
        <v>47.07</v>
      </c>
      <c r="C1016" s="6">
        <v>30.51</v>
      </c>
      <c r="D1016" s="6">
        <v>12.76</v>
      </c>
      <c r="E1016" s="6">
        <v>8.01</v>
      </c>
      <c r="G1016" s="31"/>
    </row>
    <row r="1017" spans="1:7" x14ac:dyDescent="0.25">
      <c r="A1017" s="36">
        <v>40829</v>
      </c>
      <c r="B1017" s="6">
        <v>47.08</v>
      </c>
      <c r="C1017" s="6">
        <v>30.48</v>
      </c>
      <c r="D1017" s="6">
        <v>12.69</v>
      </c>
      <c r="E1017" s="6">
        <v>7.91</v>
      </c>
      <c r="G1017" s="31"/>
    </row>
    <row r="1018" spans="1:7" x14ac:dyDescent="0.25">
      <c r="A1018" s="36">
        <v>40830</v>
      </c>
      <c r="B1018" s="6">
        <v>47.1</v>
      </c>
      <c r="C1018" s="6">
        <v>30.43</v>
      </c>
      <c r="D1018" s="6">
        <v>12.62</v>
      </c>
      <c r="E1018" s="6">
        <v>7.87</v>
      </c>
      <c r="G1018" s="31"/>
    </row>
    <row r="1019" spans="1:7" x14ac:dyDescent="0.25">
      <c r="A1019" s="36">
        <v>40831</v>
      </c>
      <c r="B1019" s="6">
        <v>47.07</v>
      </c>
      <c r="C1019" s="6">
        <v>30.4</v>
      </c>
      <c r="D1019" s="6">
        <v>12.58</v>
      </c>
      <c r="E1019" s="6">
        <v>7.86</v>
      </c>
      <c r="G1019" s="31"/>
    </row>
    <row r="1020" spans="1:7" x14ac:dyDescent="0.25">
      <c r="A1020" s="36">
        <v>40832</v>
      </c>
      <c r="B1020" s="6">
        <v>47.04</v>
      </c>
      <c r="C1020" s="6">
        <v>30.35</v>
      </c>
      <c r="D1020" s="6">
        <v>12.58</v>
      </c>
      <c r="E1020" s="6">
        <v>7.86</v>
      </c>
      <c r="G1020" s="31"/>
    </row>
    <row r="1021" spans="1:7" x14ac:dyDescent="0.25">
      <c r="A1021" s="36">
        <v>40833</v>
      </c>
      <c r="B1021" s="6">
        <v>47</v>
      </c>
      <c r="C1021" s="6">
        <v>30.28</v>
      </c>
      <c r="D1021" s="6">
        <v>12.56</v>
      </c>
      <c r="E1021" s="6">
        <v>7.97</v>
      </c>
      <c r="G1021" s="31"/>
    </row>
    <row r="1022" spans="1:7" x14ac:dyDescent="0.25">
      <c r="A1022" s="36">
        <v>40834</v>
      </c>
      <c r="B1022" s="6">
        <v>46.96</v>
      </c>
      <c r="C1022" s="6">
        <v>30.21</v>
      </c>
      <c r="D1022" s="6">
        <v>12.52</v>
      </c>
      <c r="E1022" s="6">
        <v>8.0399999999999991</v>
      </c>
      <c r="G1022" s="31"/>
    </row>
    <row r="1023" spans="1:7" x14ac:dyDescent="0.25">
      <c r="A1023" s="36">
        <v>40835</v>
      </c>
      <c r="B1023" s="6">
        <v>46.94</v>
      </c>
      <c r="C1023" s="6">
        <v>30.14</v>
      </c>
      <c r="D1023" s="6">
        <v>12.5</v>
      </c>
      <c r="E1023" s="6">
        <v>8.0399999999999991</v>
      </c>
      <c r="G1023" s="31"/>
    </row>
    <row r="1024" spans="1:7" x14ac:dyDescent="0.25">
      <c r="A1024" s="36">
        <v>40836</v>
      </c>
      <c r="B1024" s="6">
        <v>46.96</v>
      </c>
      <c r="C1024" s="6">
        <v>30.1</v>
      </c>
      <c r="D1024" s="6">
        <v>12.48</v>
      </c>
      <c r="E1024" s="6">
        <v>7.98</v>
      </c>
      <c r="G1024" s="31"/>
    </row>
    <row r="1025" spans="1:7" x14ac:dyDescent="0.25">
      <c r="A1025" s="36">
        <v>40837</v>
      </c>
      <c r="B1025" s="6">
        <v>46.95</v>
      </c>
      <c r="C1025" s="6">
        <v>30.04</v>
      </c>
      <c r="D1025" s="6">
        <v>12.46</v>
      </c>
      <c r="E1025" s="6">
        <v>7.93</v>
      </c>
      <c r="G1025" s="31"/>
    </row>
    <row r="1026" spans="1:7" x14ac:dyDescent="0.25">
      <c r="A1026" s="36">
        <v>40838</v>
      </c>
      <c r="B1026" s="6">
        <v>46.91</v>
      </c>
      <c r="C1026" s="6">
        <v>29.99</v>
      </c>
      <c r="D1026" s="6">
        <v>12.44</v>
      </c>
      <c r="E1026" s="6">
        <v>8.11</v>
      </c>
      <c r="G1026" s="31"/>
    </row>
    <row r="1027" spans="1:7" x14ac:dyDescent="0.25">
      <c r="A1027" s="36">
        <v>40839</v>
      </c>
      <c r="B1027" s="6">
        <v>46.9</v>
      </c>
      <c r="C1027" s="6">
        <v>29.94</v>
      </c>
      <c r="D1027" s="6">
        <v>12.44</v>
      </c>
      <c r="E1027" s="6">
        <v>8.17</v>
      </c>
      <c r="G1027" s="31"/>
    </row>
    <row r="1028" spans="1:7" x14ac:dyDescent="0.25">
      <c r="A1028" s="36">
        <v>40840</v>
      </c>
      <c r="B1028" s="6">
        <v>46.87</v>
      </c>
      <c r="C1028" s="6">
        <v>29.97</v>
      </c>
      <c r="D1028" s="6">
        <v>12.44</v>
      </c>
      <c r="E1028" s="6">
        <v>8.0299999999999994</v>
      </c>
      <c r="G1028" s="31"/>
    </row>
    <row r="1029" spans="1:7" x14ac:dyDescent="0.25">
      <c r="A1029" s="36">
        <v>40841</v>
      </c>
      <c r="B1029" s="6">
        <v>46.86</v>
      </c>
      <c r="C1029" s="6">
        <v>29.8</v>
      </c>
      <c r="D1029" s="6">
        <v>12.36</v>
      </c>
      <c r="E1029" s="6">
        <v>7.89</v>
      </c>
      <c r="G1029" s="31"/>
    </row>
    <row r="1030" spans="1:7" x14ac:dyDescent="0.25">
      <c r="A1030" s="36">
        <v>40842</v>
      </c>
      <c r="B1030" s="6">
        <v>46.84</v>
      </c>
      <c r="C1030" s="6">
        <v>29.72</v>
      </c>
      <c r="D1030" s="6">
        <v>12.26</v>
      </c>
      <c r="E1030" s="6">
        <v>7.81</v>
      </c>
      <c r="G1030" s="31"/>
    </row>
    <row r="1031" spans="1:7" x14ac:dyDescent="0.25">
      <c r="A1031" s="36">
        <v>40843</v>
      </c>
      <c r="B1031" s="6">
        <v>46.82</v>
      </c>
      <c r="C1031" s="6">
        <v>29.65</v>
      </c>
      <c r="D1031" s="6">
        <v>12.18</v>
      </c>
      <c r="E1031" s="6">
        <v>7.68</v>
      </c>
      <c r="G1031" s="31"/>
    </row>
    <row r="1032" spans="1:7" x14ac:dyDescent="0.25">
      <c r="A1032" s="36">
        <v>40844</v>
      </c>
      <c r="B1032" s="6">
        <v>46.78</v>
      </c>
      <c r="C1032" s="6">
        <v>29.62</v>
      </c>
      <c r="D1032" s="6">
        <v>12.04</v>
      </c>
      <c r="E1032" s="6">
        <v>7.61</v>
      </c>
      <c r="G1032" s="31"/>
    </row>
    <row r="1033" spans="1:7" x14ac:dyDescent="0.25">
      <c r="A1033" s="36">
        <v>40845</v>
      </c>
      <c r="B1033" s="6">
        <v>46.86</v>
      </c>
      <c r="C1033" s="6">
        <v>29.65</v>
      </c>
      <c r="D1033" s="6">
        <v>11.92</v>
      </c>
      <c r="E1033" s="6">
        <v>7.51</v>
      </c>
      <c r="G1033" s="31"/>
    </row>
    <row r="1034" spans="1:7" x14ac:dyDescent="0.25">
      <c r="A1034" s="36">
        <v>40846</v>
      </c>
      <c r="B1034" s="6">
        <v>46.87</v>
      </c>
      <c r="C1034" s="6">
        <v>29.65</v>
      </c>
      <c r="D1034" s="6">
        <v>11.84</v>
      </c>
      <c r="E1034" s="6">
        <v>7.51</v>
      </c>
      <c r="G1034" s="31"/>
    </row>
    <row r="1035" spans="1:7" x14ac:dyDescent="0.25">
      <c r="A1035" s="36">
        <v>40847</v>
      </c>
      <c r="B1035" s="6">
        <v>46.83</v>
      </c>
      <c r="C1035" s="6">
        <v>29.64</v>
      </c>
      <c r="D1035" s="6">
        <v>11.78</v>
      </c>
      <c r="E1035" s="6">
        <v>7.49</v>
      </c>
      <c r="G1035" s="31"/>
    </row>
    <row r="1036" spans="1:7" x14ac:dyDescent="0.25">
      <c r="A1036" s="36">
        <v>40848</v>
      </c>
      <c r="B1036" s="6">
        <v>46.82</v>
      </c>
      <c r="C1036" s="6">
        <v>29.62</v>
      </c>
      <c r="D1036" s="6">
        <v>11.84</v>
      </c>
      <c r="E1036" s="6">
        <v>7.46</v>
      </c>
      <c r="G1036" s="31"/>
    </row>
    <row r="1037" spans="1:7" x14ac:dyDescent="0.25">
      <c r="A1037" s="36">
        <v>40849</v>
      </c>
      <c r="B1037" s="6">
        <v>46.78</v>
      </c>
      <c r="C1037" s="6">
        <v>29.6</v>
      </c>
      <c r="D1037" s="6">
        <v>11.84</v>
      </c>
      <c r="E1037" s="6">
        <v>7.26</v>
      </c>
      <c r="G1037" s="31"/>
    </row>
    <row r="1038" spans="1:7" x14ac:dyDescent="0.25">
      <c r="A1038" s="36">
        <v>40850</v>
      </c>
      <c r="B1038" s="6">
        <v>46.74</v>
      </c>
      <c r="C1038" s="6">
        <v>29.57</v>
      </c>
      <c r="D1038" s="6">
        <v>11.88</v>
      </c>
      <c r="E1038" s="6">
        <v>7.26</v>
      </c>
      <c r="G1038" s="31"/>
    </row>
    <row r="1039" spans="1:7" x14ac:dyDescent="0.25">
      <c r="A1039" s="36">
        <v>40851</v>
      </c>
      <c r="B1039" s="6">
        <v>46.65</v>
      </c>
      <c r="C1039" s="6">
        <v>29.54</v>
      </c>
      <c r="D1039" s="6">
        <v>11.74</v>
      </c>
      <c r="E1039" s="6">
        <v>7.26</v>
      </c>
      <c r="G1039" s="31"/>
    </row>
    <row r="1040" spans="1:7" x14ac:dyDescent="0.25">
      <c r="A1040" s="36">
        <v>40852</v>
      </c>
      <c r="B1040" s="6">
        <v>46.55</v>
      </c>
      <c r="C1040" s="6">
        <v>29.49</v>
      </c>
      <c r="D1040" s="6">
        <v>11.68</v>
      </c>
      <c r="E1040" s="6">
        <v>7.29</v>
      </c>
      <c r="G1040" s="31"/>
    </row>
    <row r="1041" spans="1:7" x14ac:dyDescent="0.25">
      <c r="A1041" s="36">
        <v>40853</v>
      </c>
      <c r="B1041" s="6">
        <v>46.48</v>
      </c>
      <c r="C1041" s="6">
        <v>29.44</v>
      </c>
      <c r="D1041" s="6">
        <v>11.7</v>
      </c>
      <c r="E1041" s="6">
        <v>7.42</v>
      </c>
      <c r="G1041" s="31"/>
    </row>
    <row r="1042" spans="1:7" x14ac:dyDescent="0.25">
      <c r="A1042" s="36">
        <v>40854</v>
      </c>
      <c r="B1042" s="6">
        <v>46.38</v>
      </c>
      <c r="C1042" s="6">
        <v>29.38</v>
      </c>
      <c r="D1042" s="6">
        <v>11.7</v>
      </c>
      <c r="E1042" s="6">
        <v>7.55</v>
      </c>
      <c r="G1042" s="31"/>
    </row>
    <row r="1043" spans="1:7" x14ac:dyDescent="0.25">
      <c r="A1043" s="36">
        <v>40855</v>
      </c>
      <c r="B1043" s="6">
        <v>46.28</v>
      </c>
      <c r="C1043" s="6">
        <v>29.3</v>
      </c>
      <c r="D1043" s="6">
        <v>11.66</v>
      </c>
      <c r="E1043" s="6">
        <v>7.51</v>
      </c>
      <c r="G1043" s="31"/>
    </row>
    <row r="1044" spans="1:7" x14ac:dyDescent="0.25">
      <c r="A1044" s="36">
        <v>40856</v>
      </c>
      <c r="B1044" s="6">
        <v>46.22</v>
      </c>
      <c r="C1044" s="6">
        <v>29.2</v>
      </c>
      <c r="D1044" s="6">
        <v>11.62</v>
      </c>
      <c r="E1044" s="6">
        <v>7.23</v>
      </c>
      <c r="G1044" s="31"/>
    </row>
    <row r="1045" spans="1:7" x14ac:dyDescent="0.25">
      <c r="A1045" s="36">
        <v>40857</v>
      </c>
      <c r="B1045" s="6">
        <v>46.26</v>
      </c>
      <c r="C1045" s="6">
        <v>29.09</v>
      </c>
      <c r="D1045" s="6">
        <v>11.46</v>
      </c>
      <c r="E1045" s="6">
        <v>7.11</v>
      </c>
      <c r="G1045" s="31"/>
    </row>
    <row r="1046" spans="1:7" x14ac:dyDescent="0.25">
      <c r="A1046" s="36">
        <v>40858</v>
      </c>
      <c r="B1046" s="6">
        <v>46.28</v>
      </c>
      <c r="C1046" s="6">
        <v>29</v>
      </c>
      <c r="D1046" s="6">
        <v>11.36</v>
      </c>
      <c r="E1046" s="6">
        <v>6.99</v>
      </c>
      <c r="G1046" s="31"/>
    </row>
    <row r="1047" spans="1:7" x14ac:dyDescent="0.25">
      <c r="A1047" s="36">
        <v>40859</v>
      </c>
      <c r="B1047" s="6">
        <v>46.25</v>
      </c>
      <c r="C1047" s="6">
        <v>29</v>
      </c>
      <c r="D1047" s="6">
        <v>11.22</v>
      </c>
      <c r="E1047" s="6">
        <v>6.93</v>
      </c>
      <c r="G1047" s="31"/>
    </row>
    <row r="1048" spans="1:7" x14ac:dyDescent="0.25">
      <c r="A1048" s="36">
        <v>40860</v>
      </c>
      <c r="B1048" s="6">
        <v>46.28</v>
      </c>
      <c r="C1048" s="6">
        <v>29</v>
      </c>
      <c r="D1048" s="6">
        <v>11.14</v>
      </c>
      <c r="E1048" s="6">
        <v>6.87</v>
      </c>
      <c r="G1048" s="31"/>
    </row>
    <row r="1049" spans="1:7" x14ac:dyDescent="0.25">
      <c r="A1049" s="36">
        <v>40861</v>
      </c>
      <c r="B1049" s="6">
        <v>46.37</v>
      </c>
      <c r="C1049" s="6">
        <v>28.98</v>
      </c>
      <c r="D1049" s="6">
        <v>11.04</v>
      </c>
      <c r="E1049" s="6">
        <v>6.76</v>
      </c>
      <c r="G1049" s="31"/>
    </row>
    <row r="1050" spans="1:7" x14ac:dyDescent="0.25">
      <c r="A1050" s="36">
        <v>40862</v>
      </c>
      <c r="B1050" s="6">
        <v>46.46</v>
      </c>
      <c r="C1050" s="6">
        <v>29</v>
      </c>
      <c r="D1050" s="6">
        <v>10.96</v>
      </c>
      <c r="E1050" s="6">
        <v>6.93</v>
      </c>
      <c r="G1050" s="31"/>
    </row>
    <row r="1051" spans="1:7" x14ac:dyDescent="0.25">
      <c r="A1051" s="36">
        <v>40863</v>
      </c>
      <c r="B1051" s="6">
        <v>46.48</v>
      </c>
      <c r="C1051" s="6">
        <v>29</v>
      </c>
      <c r="D1051" s="6">
        <v>10.96</v>
      </c>
      <c r="E1051" s="6">
        <v>7.21</v>
      </c>
      <c r="G1051" s="31"/>
    </row>
    <row r="1052" spans="1:7" x14ac:dyDescent="0.25">
      <c r="A1052" s="36">
        <v>40864</v>
      </c>
      <c r="B1052" s="6">
        <v>46.48</v>
      </c>
      <c r="C1052" s="6">
        <v>29</v>
      </c>
      <c r="D1052" s="6">
        <v>10.9</v>
      </c>
      <c r="E1052" s="6">
        <v>7.34</v>
      </c>
      <c r="G1052" s="31"/>
    </row>
    <row r="1053" spans="1:7" x14ac:dyDescent="0.25">
      <c r="A1053" s="36">
        <v>40865</v>
      </c>
      <c r="B1053" s="6">
        <v>46.47</v>
      </c>
      <c r="C1053" s="6">
        <v>29.01</v>
      </c>
      <c r="D1053" s="6">
        <v>11</v>
      </c>
      <c r="E1053" s="6">
        <v>7.49</v>
      </c>
      <c r="G1053" s="31"/>
    </row>
    <row r="1054" spans="1:7" x14ac:dyDescent="0.25">
      <c r="A1054" s="36">
        <v>40866</v>
      </c>
      <c r="B1054" s="6">
        <v>46.46</v>
      </c>
      <c r="C1054" s="6">
        <v>29.02</v>
      </c>
      <c r="D1054" s="6">
        <v>11.06</v>
      </c>
      <c r="E1054" s="6">
        <v>7.49</v>
      </c>
      <c r="G1054" s="31"/>
    </row>
    <row r="1055" spans="1:7" x14ac:dyDescent="0.25">
      <c r="A1055" s="36">
        <v>40867</v>
      </c>
      <c r="B1055" s="6">
        <v>46.43</v>
      </c>
      <c r="C1055" s="6">
        <v>29.03</v>
      </c>
      <c r="D1055" s="6">
        <v>11.12</v>
      </c>
      <c r="E1055" s="6">
        <v>7.38</v>
      </c>
      <c r="G1055" s="31"/>
    </row>
    <row r="1056" spans="1:7" x14ac:dyDescent="0.25">
      <c r="A1056" s="36">
        <v>40868</v>
      </c>
      <c r="B1056" s="6">
        <v>46.44</v>
      </c>
      <c r="C1056" s="6">
        <v>29.02</v>
      </c>
      <c r="D1056" s="6">
        <v>11.08</v>
      </c>
      <c r="E1056" s="6">
        <v>7.19</v>
      </c>
      <c r="G1056" s="31"/>
    </row>
    <row r="1057" spans="1:7" x14ac:dyDescent="0.25">
      <c r="A1057" s="36">
        <v>40869</v>
      </c>
      <c r="B1057" s="6">
        <v>46.44</v>
      </c>
      <c r="C1057" s="6">
        <v>29</v>
      </c>
      <c r="D1057" s="6">
        <v>11.12</v>
      </c>
      <c r="E1057" s="6">
        <v>7.16</v>
      </c>
      <c r="G1057" s="31"/>
    </row>
    <row r="1058" spans="1:7" x14ac:dyDescent="0.25">
      <c r="A1058" s="36">
        <v>40870</v>
      </c>
      <c r="B1058" s="6">
        <v>46.52</v>
      </c>
      <c r="C1058" s="6">
        <v>29</v>
      </c>
      <c r="D1058" s="6">
        <v>11.18</v>
      </c>
      <c r="E1058" s="6">
        <v>7.42</v>
      </c>
      <c r="G1058" s="31"/>
    </row>
    <row r="1059" spans="1:7" x14ac:dyDescent="0.25">
      <c r="A1059" s="36">
        <v>40871</v>
      </c>
      <c r="B1059" s="6">
        <v>46.55</v>
      </c>
      <c r="C1059" s="6">
        <v>29</v>
      </c>
      <c r="D1059" s="6">
        <v>11.28</v>
      </c>
      <c r="E1059" s="6">
        <v>7.5</v>
      </c>
      <c r="G1059" s="31"/>
    </row>
    <row r="1060" spans="1:7" x14ac:dyDescent="0.25">
      <c r="A1060" s="36">
        <v>40872</v>
      </c>
      <c r="B1060" s="6">
        <v>46.6</v>
      </c>
      <c r="C1060" s="6">
        <v>29</v>
      </c>
      <c r="D1060" s="6">
        <v>11.54</v>
      </c>
      <c r="E1060" s="6">
        <v>7.56</v>
      </c>
      <c r="G1060" s="31"/>
    </row>
    <row r="1061" spans="1:7" x14ac:dyDescent="0.25">
      <c r="A1061" s="36">
        <v>40873</v>
      </c>
      <c r="B1061" s="6">
        <v>46.62</v>
      </c>
      <c r="C1061" s="6">
        <v>29</v>
      </c>
      <c r="D1061" s="6">
        <v>11.44</v>
      </c>
      <c r="E1061" s="6">
        <v>7.5</v>
      </c>
      <c r="G1061" s="31"/>
    </row>
    <row r="1062" spans="1:7" x14ac:dyDescent="0.25">
      <c r="A1062" s="36">
        <v>40874</v>
      </c>
      <c r="B1062" s="6">
        <v>46.66</v>
      </c>
      <c r="C1062" s="6">
        <v>29</v>
      </c>
      <c r="D1062" s="6">
        <v>11.48</v>
      </c>
      <c r="E1062" s="6">
        <v>7.45</v>
      </c>
      <c r="G1062" s="31"/>
    </row>
    <row r="1063" spans="1:7" x14ac:dyDescent="0.25">
      <c r="A1063" s="36">
        <v>40875</v>
      </c>
      <c r="B1063" s="6">
        <v>46.68</v>
      </c>
      <c r="C1063" s="6">
        <v>29</v>
      </c>
      <c r="D1063" s="6">
        <v>11.46</v>
      </c>
      <c r="E1063" s="6">
        <v>7.22</v>
      </c>
      <c r="G1063" s="31"/>
    </row>
    <row r="1064" spans="1:7" x14ac:dyDescent="0.25">
      <c r="A1064" s="36">
        <v>40876</v>
      </c>
      <c r="B1064" s="6">
        <v>46.69</v>
      </c>
      <c r="C1064" s="6">
        <v>29</v>
      </c>
      <c r="D1064" s="6">
        <v>11.4</v>
      </c>
      <c r="E1064" s="6">
        <v>7.07</v>
      </c>
      <c r="G1064" s="31"/>
    </row>
    <row r="1065" spans="1:7" x14ac:dyDescent="0.25">
      <c r="A1065" s="36">
        <v>40877</v>
      </c>
      <c r="B1065" s="6">
        <v>46.79</v>
      </c>
      <c r="C1065" s="6">
        <v>29.01</v>
      </c>
      <c r="D1065" s="6">
        <v>11.44</v>
      </c>
      <c r="E1065" s="6">
        <v>7.22</v>
      </c>
      <c r="G1065" s="31"/>
    </row>
    <row r="1066" spans="1:7" x14ac:dyDescent="0.25">
      <c r="A1066" s="36">
        <v>40878</v>
      </c>
      <c r="B1066" s="6">
        <v>46.75</v>
      </c>
      <c r="C1066" s="6">
        <v>29.01</v>
      </c>
      <c r="D1066" s="6">
        <v>11.46</v>
      </c>
      <c r="E1066" s="6">
        <v>7.32</v>
      </c>
      <c r="G1066" s="31"/>
    </row>
    <row r="1067" spans="1:7" x14ac:dyDescent="0.25">
      <c r="A1067" s="36">
        <v>40879</v>
      </c>
      <c r="B1067" s="6">
        <v>46.72</v>
      </c>
      <c r="C1067" s="6">
        <v>29.05</v>
      </c>
      <c r="D1067" s="6">
        <v>11.46</v>
      </c>
      <c r="E1067" s="6">
        <v>7.19</v>
      </c>
      <c r="G1067" s="31"/>
    </row>
    <row r="1068" spans="1:7" x14ac:dyDescent="0.25">
      <c r="A1068" s="36">
        <v>40880</v>
      </c>
      <c r="B1068" s="6">
        <v>46.68</v>
      </c>
      <c r="C1068" s="6">
        <v>29.05</v>
      </c>
      <c r="D1068" s="6">
        <v>11.4</v>
      </c>
      <c r="E1068" s="6">
        <v>6.99</v>
      </c>
      <c r="G1068" s="31"/>
    </row>
    <row r="1069" spans="1:7" x14ac:dyDescent="0.25">
      <c r="A1069" s="36">
        <v>40881</v>
      </c>
      <c r="B1069" s="6">
        <v>46.64</v>
      </c>
      <c r="C1069" s="6">
        <v>29.02</v>
      </c>
      <c r="D1069" s="6">
        <v>11.34</v>
      </c>
      <c r="E1069" s="6">
        <v>6.93</v>
      </c>
      <c r="G1069" s="31"/>
    </row>
    <row r="1070" spans="1:7" x14ac:dyDescent="0.25">
      <c r="A1070" s="36">
        <v>40882</v>
      </c>
      <c r="B1070" s="6">
        <v>46.63</v>
      </c>
      <c r="C1070" s="6">
        <v>29</v>
      </c>
      <c r="D1070" s="6">
        <v>11.3</v>
      </c>
      <c r="E1070" s="6">
        <v>6.84</v>
      </c>
      <c r="G1070" s="31"/>
    </row>
    <row r="1071" spans="1:7" x14ac:dyDescent="0.25">
      <c r="A1071" s="36">
        <v>40883</v>
      </c>
      <c r="B1071" s="6">
        <v>46.63</v>
      </c>
      <c r="C1071" s="6">
        <v>28.96</v>
      </c>
      <c r="D1071" s="6">
        <v>11.15</v>
      </c>
      <c r="E1071" s="6">
        <v>6.99</v>
      </c>
      <c r="G1071" s="31"/>
    </row>
    <row r="1072" spans="1:7" x14ac:dyDescent="0.25">
      <c r="A1072" s="36">
        <v>40884</v>
      </c>
      <c r="B1072" s="6">
        <v>46.64</v>
      </c>
      <c r="C1072" s="6">
        <v>28.96</v>
      </c>
      <c r="D1072" s="6">
        <v>11.06</v>
      </c>
      <c r="E1072" s="6">
        <v>6.88</v>
      </c>
      <c r="G1072" s="31"/>
    </row>
    <row r="1073" spans="1:7" x14ac:dyDescent="0.25">
      <c r="A1073" s="36">
        <v>40885</v>
      </c>
      <c r="B1073" s="6">
        <v>46.64</v>
      </c>
      <c r="C1073" s="6">
        <v>28.96</v>
      </c>
      <c r="D1073" s="6">
        <v>11.04</v>
      </c>
      <c r="E1073" s="6">
        <v>6.88</v>
      </c>
      <c r="G1073" s="31"/>
    </row>
    <row r="1074" spans="1:7" x14ac:dyDescent="0.25">
      <c r="A1074" s="36">
        <v>40886</v>
      </c>
      <c r="B1074" s="6">
        <v>46.62</v>
      </c>
      <c r="C1074" s="6">
        <v>28.97</v>
      </c>
      <c r="D1074" s="6">
        <v>11.04</v>
      </c>
      <c r="E1074" s="6">
        <v>6.89</v>
      </c>
      <c r="G1074" s="31"/>
    </row>
    <row r="1075" spans="1:7" x14ac:dyDescent="0.25">
      <c r="A1075" s="36">
        <v>40887</v>
      </c>
      <c r="B1075" s="6">
        <v>46.6</v>
      </c>
      <c r="C1075" s="6">
        <v>28.98</v>
      </c>
      <c r="D1075" s="6">
        <v>11.04</v>
      </c>
      <c r="E1075" s="6">
        <v>6.86</v>
      </c>
      <c r="G1075" s="31"/>
    </row>
    <row r="1076" spans="1:7" x14ac:dyDescent="0.25">
      <c r="A1076" s="36">
        <v>40888</v>
      </c>
      <c r="B1076" s="6">
        <v>46.6</v>
      </c>
      <c r="C1076" s="6">
        <v>28.98</v>
      </c>
      <c r="D1076" s="6">
        <v>11</v>
      </c>
      <c r="E1076" s="6">
        <v>6.74</v>
      </c>
      <c r="G1076" s="31"/>
    </row>
    <row r="1077" spans="1:7" x14ac:dyDescent="0.25">
      <c r="A1077" s="36">
        <v>40889</v>
      </c>
      <c r="B1077" s="6">
        <v>46.64</v>
      </c>
      <c r="C1077" s="6">
        <v>28.97</v>
      </c>
      <c r="D1077" s="6">
        <v>10.88</v>
      </c>
      <c r="E1077" s="6">
        <v>6.62</v>
      </c>
      <c r="G1077" s="31"/>
    </row>
    <row r="1078" spans="1:7" x14ac:dyDescent="0.25">
      <c r="A1078" s="36">
        <v>40890</v>
      </c>
      <c r="B1078" s="6">
        <v>46.66</v>
      </c>
      <c r="C1078" s="6">
        <v>28.95</v>
      </c>
      <c r="D1078" s="6">
        <v>10.84</v>
      </c>
      <c r="E1078" s="6">
        <v>6.55</v>
      </c>
      <c r="G1078" s="31"/>
    </row>
    <row r="1079" spans="1:7" x14ac:dyDescent="0.25">
      <c r="A1079" s="36">
        <v>40891</v>
      </c>
      <c r="B1079" s="6">
        <v>46.65</v>
      </c>
      <c r="C1079" s="6">
        <v>28.96</v>
      </c>
      <c r="D1079" s="6">
        <v>10.76</v>
      </c>
      <c r="E1079" s="6">
        <v>6.48</v>
      </c>
      <c r="G1079" s="31"/>
    </row>
    <row r="1080" spans="1:7" x14ac:dyDescent="0.25">
      <c r="A1080" s="36">
        <v>40892</v>
      </c>
      <c r="B1080" s="6">
        <v>46.63</v>
      </c>
      <c r="C1080" s="6">
        <v>28.97</v>
      </c>
      <c r="D1080" s="6">
        <v>10.72</v>
      </c>
      <c r="E1080" s="6">
        <v>6.4</v>
      </c>
      <c r="G1080" s="31"/>
    </row>
    <row r="1081" spans="1:7" x14ac:dyDescent="0.25">
      <c r="A1081" s="36">
        <v>40893</v>
      </c>
      <c r="B1081" s="6">
        <v>46.58</v>
      </c>
      <c r="C1081" s="6">
        <v>28.98</v>
      </c>
      <c r="D1081" s="6">
        <v>10.7</v>
      </c>
      <c r="E1081" s="6">
        <v>6.39</v>
      </c>
      <c r="G1081" s="31"/>
    </row>
    <row r="1082" spans="1:7" x14ac:dyDescent="0.25">
      <c r="A1082" s="36">
        <v>40894</v>
      </c>
      <c r="B1082" s="6">
        <v>46.54</v>
      </c>
      <c r="C1082" s="6">
        <v>28.97</v>
      </c>
      <c r="D1082" s="6">
        <v>10.7</v>
      </c>
      <c r="E1082" s="6">
        <v>6.38</v>
      </c>
      <c r="G1082" s="31"/>
    </row>
    <row r="1083" spans="1:7" x14ac:dyDescent="0.25">
      <c r="A1083" s="36">
        <v>40895</v>
      </c>
      <c r="B1083" s="6">
        <v>46.48</v>
      </c>
      <c r="C1083" s="6">
        <v>28.94</v>
      </c>
      <c r="D1083" s="6">
        <v>10.66</v>
      </c>
      <c r="E1083" s="6">
        <v>6.37</v>
      </c>
      <c r="G1083" s="31"/>
    </row>
    <row r="1084" spans="1:7" x14ac:dyDescent="0.25">
      <c r="A1084" s="36">
        <v>40896</v>
      </c>
      <c r="B1084" s="6">
        <v>46.42</v>
      </c>
      <c r="C1084" s="6">
        <v>28.89</v>
      </c>
      <c r="D1084" s="6">
        <v>10.68</v>
      </c>
      <c r="E1084" s="6">
        <v>6.31</v>
      </c>
      <c r="G1084" s="31"/>
    </row>
    <row r="1085" spans="1:7" x14ac:dyDescent="0.25">
      <c r="A1085" s="36">
        <v>40897</v>
      </c>
      <c r="B1085" s="6">
        <v>46.34</v>
      </c>
      <c r="C1085" s="6">
        <v>28.8</v>
      </c>
      <c r="D1085" s="6">
        <v>10.74</v>
      </c>
      <c r="E1085" s="6">
        <v>6.31</v>
      </c>
      <c r="G1085" s="31"/>
    </row>
    <row r="1086" spans="1:7" x14ac:dyDescent="0.25">
      <c r="A1086" s="36">
        <v>40898</v>
      </c>
      <c r="B1086" s="6">
        <v>46.3</v>
      </c>
      <c r="C1086" s="6">
        <v>28.71</v>
      </c>
      <c r="D1086" s="6">
        <v>10.72</v>
      </c>
      <c r="E1086" s="6">
        <v>6.38</v>
      </c>
      <c r="G1086" s="31"/>
    </row>
    <row r="1087" spans="1:7" x14ac:dyDescent="0.25">
      <c r="A1087" s="36">
        <v>40899</v>
      </c>
      <c r="B1087" s="6">
        <v>46.21</v>
      </c>
      <c r="C1087" s="6">
        <v>28.58</v>
      </c>
      <c r="D1087" s="6">
        <v>10.72</v>
      </c>
      <c r="E1087" s="6">
        <v>6.43</v>
      </c>
      <c r="G1087" s="31"/>
    </row>
    <row r="1088" spans="1:7" x14ac:dyDescent="0.25">
      <c r="A1088" s="36">
        <v>40900</v>
      </c>
      <c r="B1088" s="6">
        <v>46.13</v>
      </c>
      <c r="C1088" s="6">
        <v>28.45</v>
      </c>
      <c r="D1088" s="6">
        <v>10.72</v>
      </c>
      <c r="E1088" s="6">
        <v>6.52</v>
      </c>
      <c r="G1088" s="31"/>
    </row>
    <row r="1089" spans="1:7" x14ac:dyDescent="0.25">
      <c r="A1089" s="36">
        <v>40901</v>
      </c>
      <c r="B1089" s="6">
        <v>46.07</v>
      </c>
      <c r="C1089" s="6">
        <v>28.3</v>
      </c>
      <c r="D1089" s="6">
        <v>10.7</v>
      </c>
      <c r="E1089" s="6">
        <v>6.57</v>
      </c>
      <c r="G1089" s="31"/>
    </row>
    <row r="1090" spans="1:7" x14ac:dyDescent="0.25">
      <c r="A1090" s="36">
        <v>40902</v>
      </c>
      <c r="B1090" s="6">
        <v>46.03</v>
      </c>
      <c r="C1090" s="6">
        <v>28.15</v>
      </c>
      <c r="D1090" s="6">
        <v>10.56</v>
      </c>
      <c r="E1090" s="6">
        <v>6.61</v>
      </c>
      <c r="G1090" s="31"/>
    </row>
    <row r="1091" spans="1:7" x14ac:dyDescent="0.25">
      <c r="A1091" s="36">
        <v>40903</v>
      </c>
      <c r="B1091" s="6">
        <v>45.96</v>
      </c>
      <c r="C1091" s="6">
        <v>28.03</v>
      </c>
      <c r="D1091" s="6">
        <v>10.42</v>
      </c>
      <c r="E1091" s="6">
        <v>6.43</v>
      </c>
      <c r="G1091" s="31"/>
    </row>
    <row r="1092" spans="1:7" x14ac:dyDescent="0.25">
      <c r="A1092" s="36">
        <v>40904</v>
      </c>
      <c r="B1092" s="6">
        <v>45.92</v>
      </c>
      <c r="C1092" s="6">
        <v>27.97</v>
      </c>
      <c r="D1092" s="6">
        <v>10.3</v>
      </c>
      <c r="E1092" s="6">
        <v>6.08</v>
      </c>
      <c r="G1092" s="31"/>
    </row>
    <row r="1093" spans="1:7" x14ac:dyDescent="0.25">
      <c r="A1093" s="36">
        <v>40905</v>
      </c>
      <c r="B1093" s="6">
        <v>45.88</v>
      </c>
      <c r="C1093" s="6">
        <v>27.81</v>
      </c>
      <c r="D1093" s="6">
        <v>10.1</v>
      </c>
      <c r="E1093" s="6">
        <v>5.99</v>
      </c>
      <c r="G1093" s="31"/>
    </row>
    <row r="1094" spans="1:7" x14ac:dyDescent="0.25">
      <c r="A1094" s="36">
        <v>40906</v>
      </c>
      <c r="B1094" s="6">
        <v>45.85</v>
      </c>
      <c r="C1094" s="6">
        <v>27.7</v>
      </c>
      <c r="D1094" s="6">
        <v>9.94</v>
      </c>
      <c r="E1094" s="6">
        <v>5.85</v>
      </c>
      <c r="G1094" s="31"/>
    </row>
    <row r="1095" spans="1:7" x14ac:dyDescent="0.25">
      <c r="A1095" s="36">
        <v>40907</v>
      </c>
      <c r="B1095" s="6">
        <v>45.83</v>
      </c>
      <c r="C1095" s="6">
        <v>27.59</v>
      </c>
      <c r="D1095" s="6">
        <v>9.9</v>
      </c>
      <c r="E1095" s="6">
        <v>5.74</v>
      </c>
      <c r="G1095" s="31"/>
    </row>
    <row r="1096" spans="1:7" x14ac:dyDescent="0.25">
      <c r="A1096" s="36">
        <v>40908</v>
      </c>
      <c r="B1096" s="6">
        <v>45.81</v>
      </c>
      <c r="C1096" s="6">
        <v>27.5</v>
      </c>
      <c r="D1096" s="6">
        <v>9.6</v>
      </c>
      <c r="E1096" s="6">
        <v>5.56</v>
      </c>
      <c r="G1096" s="31"/>
    </row>
    <row r="1097" spans="1:7" x14ac:dyDescent="0.25">
      <c r="A1097" s="36">
        <v>40909</v>
      </c>
      <c r="B1097" s="7">
        <v>45.79</v>
      </c>
      <c r="C1097" s="7">
        <v>27.4</v>
      </c>
      <c r="D1097" s="6">
        <v>9.5</v>
      </c>
      <c r="E1097" s="7">
        <v>5.44</v>
      </c>
      <c r="G1097" s="31"/>
    </row>
    <row r="1098" spans="1:7" x14ac:dyDescent="0.25">
      <c r="A1098" s="36">
        <v>40910</v>
      </c>
      <c r="B1098" s="7">
        <v>45.72</v>
      </c>
      <c r="C1098" s="7">
        <v>27.32</v>
      </c>
      <c r="D1098" s="6">
        <v>9.42</v>
      </c>
      <c r="E1098" s="7">
        <v>5.04</v>
      </c>
      <c r="G1098" s="31"/>
    </row>
    <row r="1099" spans="1:7" x14ac:dyDescent="0.25">
      <c r="A1099" s="36">
        <v>40911</v>
      </c>
      <c r="B1099" s="7">
        <v>45.67</v>
      </c>
      <c r="C1099" s="7">
        <v>27.24</v>
      </c>
      <c r="D1099" s="6">
        <v>9.1999999999999993</v>
      </c>
      <c r="E1099" s="7">
        <v>5.0999999999999996</v>
      </c>
      <c r="G1099" s="31"/>
    </row>
    <row r="1100" spans="1:7" x14ac:dyDescent="0.25">
      <c r="A1100" s="36">
        <v>40912</v>
      </c>
      <c r="B1100" s="7">
        <v>45.57</v>
      </c>
      <c r="C1100" s="7">
        <v>27.16</v>
      </c>
      <c r="D1100" s="6">
        <v>9.16</v>
      </c>
      <c r="E1100" s="7">
        <v>5.08</v>
      </c>
      <c r="G1100" s="31"/>
    </row>
    <row r="1101" spans="1:7" x14ac:dyDescent="0.25">
      <c r="A1101" s="36">
        <v>40913</v>
      </c>
      <c r="B1101" s="7">
        <v>45.44</v>
      </c>
      <c r="C1101" s="7">
        <v>27.05</v>
      </c>
      <c r="D1101" s="6">
        <v>9</v>
      </c>
      <c r="E1101" s="7">
        <v>5.05</v>
      </c>
      <c r="G1101" s="31"/>
    </row>
    <row r="1102" spans="1:7" x14ac:dyDescent="0.25">
      <c r="A1102" s="36">
        <v>40914</v>
      </c>
      <c r="B1102" s="7">
        <v>45.3</v>
      </c>
      <c r="C1102" s="7">
        <v>26.98</v>
      </c>
      <c r="D1102" s="6">
        <v>8.9</v>
      </c>
      <c r="E1102" s="7">
        <v>4.92</v>
      </c>
      <c r="G1102" s="31"/>
    </row>
    <row r="1103" spans="1:7" x14ac:dyDescent="0.25">
      <c r="A1103" s="36">
        <v>40915</v>
      </c>
      <c r="B1103" s="7">
        <v>45.13</v>
      </c>
      <c r="C1103" s="7">
        <v>26.86</v>
      </c>
      <c r="D1103" s="6">
        <v>8.7799999999999994</v>
      </c>
      <c r="E1103" s="7">
        <v>4.8600000000000003</v>
      </c>
      <c r="G1103" s="31"/>
    </row>
    <row r="1104" spans="1:7" x14ac:dyDescent="0.25">
      <c r="A1104" s="36">
        <v>40916</v>
      </c>
      <c r="B1104" s="7">
        <v>44.97</v>
      </c>
      <c r="C1104" s="7">
        <v>26.7</v>
      </c>
      <c r="D1104" s="6">
        <v>8.74</v>
      </c>
      <c r="E1104" s="7">
        <v>4.79</v>
      </c>
      <c r="G1104" s="31"/>
    </row>
    <row r="1105" spans="1:7" x14ac:dyDescent="0.25">
      <c r="A1105" s="36">
        <v>40917</v>
      </c>
      <c r="B1105" s="7">
        <v>44.81</v>
      </c>
      <c r="C1105" s="7">
        <v>26.55</v>
      </c>
      <c r="D1105" s="6">
        <v>8.6</v>
      </c>
      <c r="E1105" s="7">
        <v>4.72</v>
      </c>
      <c r="G1105" s="31"/>
    </row>
    <row r="1106" spans="1:7" x14ac:dyDescent="0.25">
      <c r="A1106" s="36">
        <v>40918</v>
      </c>
      <c r="B1106" s="7">
        <v>44.68</v>
      </c>
      <c r="C1106" s="7">
        <v>26.39</v>
      </c>
      <c r="D1106" s="6">
        <v>8.5</v>
      </c>
      <c r="E1106" s="7">
        <v>4.6500000000000004</v>
      </c>
      <c r="G1106" s="31"/>
    </row>
    <row r="1107" spans="1:7" x14ac:dyDescent="0.25">
      <c r="A1107" s="36">
        <v>40919</v>
      </c>
      <c r="B1107" s="7">
        <v>44.55</v>
      </c>
      <c r="C1107" s="7">
        <v>26.25</v>
      </c>
      <c r="D1107" s="6">
        <v>8.4600000000000009</v>
      </c>
      <c r="E1107" s="7">
        <v>4.62</v>
      </c>
      <c r="G1107" s="31"/>
    </row>
    <row r="1108" spans="1:7" x14ac:dyDescent="0.25">
      <c r="A1108" s="36">
        <v>40920</v>
      </c>
      <c r="B1108" s="7">
        <v>44.44</v>
      </c>
      <c r="C1108" s="7">
        <v>26.09</v>
      </c>
      <c r="D1108" s="6">
        <v>8.34</v>
      </c>
      <c r="E1108" s="7">
        <v>4.53</v>
      </c>
      <c r="G1108" s="31"/>
    </row>
    <row r="1109" spans="1:7" x14ac:dyDescent="0.25">
      <c r="A1109" s="36">
        <v>40921</v>
      </c>
      <c r="B1109" s="7">
        <v>44.34</v>
      </c>
      <c r="C1109" s="7">
        <v>25.98</v>
      </c>
      <c r="D1109" s="6">
        <v>8.1</v>
      </c>
      <c r="E1109" s="7">
        <v>4.41</v>
      </c>
      <c r="G1109" s="31"/>
    </row>
    <row r="1110" spans="1:7" x14ac:dyDescent="0.25">
      <c r="A1110" s="36">
        <v>40922</v>
      </c>
      <c r="B1110" s="7">
        <v>44.21</v>
      </c>
      <c r="C1110" s="7">
        <v>25.85</v>
      </c>
      <c r="D1110" s="6">
        <v>8</v>
      </c>
      <c r="E1110" s="7">
        <v>4.3899999999999997</v>
      </c>
      <c r="G1110" s="31"/>
    </row>
    <row r="1111" spans="1:7" x14ac:dyDescent="0.25">
      <c r="A1111" s="36">
        <v>40923</v>
      </c>
      <c r="B1111" s="7">
        <v>44.09</v>
      </c>
      <c r="C1111" s="7">
        <v>25.72</v>
      </c>
      <c r="D1111" s="6">
        <v>7.86</v>
      </c>
      <c r="E1111" s="7">
        <v>4.3099999999999996</v>
      </c>
      <c r="G1111" s="31"/>
    </row>
    <row r="1112" spans="1:7" x14ac:dyDescent="0.25">
      <c r="A1112" s="36">
        <v>40924</v>
      </c>
      <c r="B1112" s="7">
        <v>43.98</v>
      </c>
      <c r="C1112" s="7">
        <v>25.59</v>
      </c>
      <c r="D1112" s="6">
        <v>7.76</v>
      </c>
      <c r="E1112" s="7">
        <v>4.12</v>
      </c>
      <c r="G1112" s="31"/>
    </row>
    <row r="1113" spans="1:7" x14ac:dyDescent="0.25">
      <c r="A1113" s="36">
        <v>40925</v>
      </c>
      <c r="B1113" s="7">
        <v>43.89</v>
      </c>
      <c r="C1113" s="7">
        <v>25.48</v>
      </c>
      <c r="D1113" s="6">
        <v>7.68</v>
      </c>
      <c r="E1113" s="7">
        <v>4</v>
      </c>
      <c r="G1113" s="31"/>
    </row>
    <row r="1114" spans="1:7" x14ac:dyDescent="0.25">
      <c r="A1114" s="36">
        <v>40926</v>
      </c>
      <c r="B1114" s="7">
        <v>43.77</v>
      </c>
      <c r="C1114" s="7">
        <v>25.31</v>
      </c>
      <c r="D1114" s="6">
        <v>7.56</v>
      </c>
      <c r="E1114" s="7">
        <v>3.99</v>
      </c>
      <c r="G1114" s="31"/>
    </row>
    <row r="1115" spans="1:7" x14ac:dyDescent="0.25">
      <c r="A1115" s="36">
        <v>40927</v>
      </c>
      <c r="B1115" s="7">
        <v>43.66</v>
      </c>
      <c r="C1115" s="7">
        <v>25.19</v>
      </c>
      <c r="D1115" s="6">
        <v>7.4</v>
      </c>
      <c r="E1115" s="7">
        <v>3.85</v>
      </c>
      <c r="G1115" s="31"/>
    </row>
    <row r="1116" spans="1:7" x14ac:dyDescent="0.25">
      <c r="A1116" s="36">
        <v>40928</v>
      </c>
      <c r="B1116" s="7">
        <v>43.54</v>
      </c>
      <c r="C1116" s="7">
        <v>25.07</v>
      </c>
      <c r="D1116" s="6">
        <v>7.22</v>
      </c>
      <c r="E1116" s="7">
        <v>3.74</v>
      </c>
      <c r="G1116" s="31"/>
    </row>
    <row r="1117" spans="1:7" x14ac:dyDescent="0.25">
      <c r="A1117" s="36">
        <v>40929</v>
      </c>
      <c r="B1117" s="7">
        <v>43.4</v>
      </c>
      <c r="C1117" s="7">
        <v>24.95</v>
      </c>
      <c r="D1117" s="6">
        <v>7.06</v>
      </c>
      <c r="E1117" s="7">
        <v>3.65</v>
      </c>
      <c r="G1117" s="31"/>
    </row>
    <row r="1118" spans="1:7" x14ac:dyDescent="0.25">
      <c r="A1118" s="36">
        <v>40930</v>
      </c>
      <c r="B1118" s="7">
        <v>43.23</v>
      </c>
      <c r="C1118" s="7">
        <v>24.83</v>
      </c>
      <c r="D1118" s="6">
        <v>6.86</v>
      </c>
      <c r="E1118" s="7">
        <v>3.65</v>
      </c>
      <c r="G1118" s="31"/>
    </row>
    <row r="1119" spans="1:7" x14ac:dyDescent="0.25">
      <c r="A1119" s="36">
        <v>40931</v>
      </c>
      <c r="B1119" s="7">
        <v>43.08</v>
      </c>
      <c r="C1119" s="7">
        <v>24.69</v>
      </c>
      <c r="D1119" s="6">
        <v>6.76</v>
      </c>
      <c r="E1119" s="7">
        <v>3.5</v>
      </c>
      <c r="G1119" s="31"/>
    </row>
    <row r="1120" spans="1:7" x14ac:dyDescent="0.25">
      <c r="A1120" s="36">
        <v>40932</v>
      </c>
      <c r="B1120" s="7">
        <v>42.94</v>
      </c>
      <c r="C1120" s="7">
        <v>24.57</v>
      </c>
      <c r="D1120" s="6">
        <v>6.62</v>
      </c>
      <c r="E1120" s="7">
        <v>3.45</v>
      </c>
      <c r="G1120" s="31"/>
    </row>
    <row r="1121" spans="1:7" x14ac:dyDescent="0.25">
      <c r="A1121" s="36">
        <v>40933</v>
      </c>
      <c r="B1121" s="7">
        <v>42.81</v>
      </c>
      <c r="C1121" s="7">
        <v>24.42</v>
      </c>
      <c r="D1121" s="6">
        <v>6.48</v>
      </c>
      <c r="E1121" s="7">
        <v>3.31</v>
      </c>
      <c r="G1121" s="31"/>
    </row>
    <row r="1122" spans="1:7" x14ac:dyDescent="0.25">
      <c r="A1122" s="36">
        <v>40934</v>
      </c>
      <c r="B1122" s="7">
        <v>42.71</v>
      </c>
      <c r="C1122" s="7">
        <v>24.28</v>
      </c>
      <c r="D1122" s="6">
        <v>6.34</v>
      </c>
      <c r="E1122" s="7">
        <v>3.25</v>
      </c>
      <c r="G1122" s="31"/>
    </row>
    <row r="1123" spans="1:7" x14ac:dyDescent="0.25">
      <c r="A1123" s="36">
        <v>40935</v>
      </c>
      <c r="B1123" s="7">
        <v>42.6</v>
      </c>
      <c r="C1123" s="7">
        <v>24.12</v>
      </c>
      <c r="D1123" s="6">
        <v>6.2</v>
      </c>
      <c r="E1123" s="7">
        <v>3.16</v>
      </c>
      <c r="G1123" s="31"/>
    </row>
    <row r="1124" spans="1:7" x14ac:dyDescent="0.25">
      <c r="A1124" s="36">
        <v>40936</v>
      </c>
      <c r="B1124" s="7">
        <v>42.5</v>
      </c>
      <c r="C1124" s="7">
        <v>24.01</v>
      </c>
      <c r="D1124" s="6">
        <v>6.1</v>
      </c>
      <c r="E1124" s="7">
        <v>3.11</v>
      </c>
      <c r="G1124" s="31"/>
    </row>
    <row r="1125" spans="1:7" x14ac:dyDescent="0.25">
      <c r="A1125" s="36">
        <v>40937</v>
      </c>
      <c r="B1125" s="7">
        <v>42.41</v>
      </c>
      <c r="C1125" s="7">
        <v>23.91</v>
      </c>
      <c r="D1125" s="6">
        <v>5.98</v>
      </c>
      <c r="E1125" s="7">
        <v>2.99</v>
      </c>
      <c r="G1125" s="31"/>
    </row>
    <row r="1126" spans="1:7" x14ac:dyDescent="0.25">
      <c r="A1126" s="36">
        <v>40938</v>
      </c>
      <c r="B1126" s="7">
        <v>42.34</v>
      </c>
      <c r="C1126" s="7">
        <v>23.82</v>
      </c>
      <c r="D1126" s="6">
        <v>5.9</v>
      </c>
      <c r="E1126" s="7">
        <v>2.83</v>
      </c>
      <c r="G1126" s="31"/>
    </row>
    <row r="1127" spans="1:7" x14ac:dyDescent="0.25">
      <c r="A1127" s="36">
        <v>40939</v>
      </c>
      <c r="B1127" s="7">
        <v>42.28</v>
      </c>
      <c r="C1127" s="7">
        <v>23.72</v>
      </c>
      <c r="D1127" s="6">
        <v>5.82</v>
      </c>
      <c r="E1127" s="7">
        <v>2.74</v>
      </c>
      <c r="G1127" s="31"/>
    </row>
    <row r="1128" spans="1:7" x14ac:dyDescent="0.25">
      <c r="A1128" s="36">
        <v>40940</v>
      </c>
      <c r="B1128" s="7">
        <v>42.25</v>
      </c>
      <c r="C1128" s="7">
        <v>23.64</v>
      </c>
      <c r="D1128" s="6">
        <v>5.68</v>
      </c>
      <c r="E1128" s="7">
        <v>2.65</v>
      </c>
      <c r="G1128" s="31"/>
    </row>
    <row r="1129" spans="1:7" x14ac:dyDescent="0.25">
      <c r="A1129" s="36">
        <v>40941</v>
      </c>
      <c r="B1129" s="7">
        <v>42.23</v>
      </c>
      <c r="C1129" s="7">
        <v>23.59</v>
      </c>
      <c r="D1129" s="6">
        <v>5.62</v>
      </c>
      <c r="E1129" s="7">
        <v>2.63</v>
      </c>
      <c r="G1129" s="31"/>
    </row>
    <row r="1130" spans="1:7" x14ac:dyDescent="0.25">
      <c r="A1130" s="36">
        <v>40942</v>
      </c>
      <c r="B1130" s="7">
        <v>42.22</v>
      </c>
      <c r="C1130" s="7">
        <v>23.53</v>
      </c>
      <c r="D1130" s="6">
        <v>5.5</v>
      </c>
      <c r="E1130" s="7">
        <v>2.58</v>
      </c>
      <c r="G1130" s="31"/>
    </row>
    <row r="1131" spans="1:7" x14ac:dyDescent="0.25">
      <c r="A1131" s="36">
        <v>40943</v>
      </c>
      <c r="B1131" s="7">
        <v>42.22</v>
      </c>
      <c r="C1131" s="7">
        <v>23.47</v>
      </c>
      <c r="D1131" s="6">
        <v>5.42</v>
      </c>
      <c r="E1131" s="7">
        <v>2.58</v>
      </c>
      <c r="G1131" s="31"/>
    </row>
    <row r="1132" spans="1:7" x14ac:dyDescent="0.25">
      <c r="A1132" s="36">
        <v>40944</v>
      </c>
      <c r="B1132" s="7">
        <v>42.24</v>
      </c>
      <c r="C1132" s="7">
        <v>23.54</v>
      </c>
      <c r="D1132" s="6">
        <v>5.4</v>
      </c>
      <c r="E1132" s="7">
        <v>2.63</v>
      </c>
      <c r="G1132" s="31"/>
    </row>
    <row r="1133" spans="1:7" x14ac:dyDescent="0.25">
      <c r="A1133" s="36">
        <v>40945</v>
      </c>
      <c r="B1133" s="7">
        <v>42.28</v>
      </c>
      <c r="C1133" s="7">
        <v>23.42</v>
      </c>
      <c r="D1133" s="6">
        <v>5.4</v>
      </c>
      <c r="E1133" s="7">
        <v>2.7</v>
      </c>
      <c r="G1133" s="31"/>
    </row>
    <row r="1134" spans="1:7" x14ac:dyDescent="0.25">
      <c r="A1134" s="36">
        <v>40946</v>
      </c>
      <c r="B1134" s="7">
        <v>42.33</v>
      </c>
      <c r="C1134" s="7">
        <v>23.42</v>
      </c>
      <c r="D1134" s="6">
        <v>5.44</v>
      </c>
      <c r="E1134" s="7">
        <v>2.68</v>
      </c>
      <c r="G1134" s="31"/>
    </row>
    <row r="1135" spans="1:7" x14ac:dyDescent="0.25">
      <c r="A1135" s="36">
        <v>40947</v>
      </c>
      <c r="B1135" s="7">
        <v>42.38</v>
      </c>
      <c r="C1135" s="7">
        <v>23.45</v>
      </c>
      <c r="D1135" s="6">
        <v>5.44</v>
      </c>
      <c r="E1135" s="7">
        <v>2.67</v>
      </c>
      <c r="G1135" s="31"/>
    </row>
    <row r="1136" spans="1:7" x14ac:dyDescent="0.25">
      <c r="A1136" s="36">
        <v>40948</v>
      </c>
      <c r="B1136" s="7">
        <v>42.41</v>
      </c>
      <c r="C1136" s="7">
        <v>23.5</v>
      </c>
      <c r="D1136" s="6">
        <v>5.64</v>
      </c>
      <c r="E1136" s="7">
        <v>2.73</v>
      </c>
      <c r="G1136" s="31"/>
    </row>
    <row r="1137" spans="1:7" x14ac:dyDescent="0.25">
      <c r="A1137" s="36">
        <v>40949</v>
      </c>
      <c r="B1137" s="7">
        <v>42.41</v>
      </c>
      <c r="C1137" s="7">
        <v>23.52</v>
      </c>
      <c r="D1137" s="6">
        <v>5.64</v>
      </c>
      <c r="E1137" s="7">
        <v>2.77</v>
      </c>
      <c r="G1137" s="31"/>
    </row>
    <row r="1138" spans="1:7" x14ac:dyDescent="0.25">
      <c r="A1138" s="36">
        <v>40950</v>
      </c>
      <c r="B1138" s="7">
        <v>42.41</v>
      </c>
      <c r="C1138" s="7">
        <v>23.56</v>
      </c>
      <c r="D1138" s="6">
        <v>5.68</v>
      </c>
      <c r="E1138" s="7">
        <v>2.87</v>
      </c>
      <c r="G1138" s="31"/>
    </row>
    <row r="1139" spans="1:7" x14ac:dyDescent="0.25">
      <c r="A1139" s="36">
        <v>40951</v>
      </c>
      <c r="B1139" s="7">
        <v>42.4</v>
      </c>
      <c r="C1139" s="7">
        <v>23.54</v>
      </c>
      <c r="D1139" s="6">
        <v>5.7</v>
      </c>
      <c r="E1139" s="7">
        <v>2.93</v>
      </c>
      <c r="G1139" s="31"/>
    </row>
    <row r="1140" spans="1:7" x14ac:dyDescent="0.25">
      <c r="A1140" s="36">
        <v>40952</v>
      </c>
      <c r="B1140" s="7">
        <v>42.38</v>
      </c>
      <c r="C1140" s="7">
        <v>23.52</v>
      </c>
      <c r="D1140" s="6">
        <v>5.7</v>
      </c>
      <c r="E1140" s="7">
        <v>2.87</v>
      </c>
      <c r="G1140" s="31"/>
    </row>
    <row r="1141" spans="1:7" x14ac:dyDescent="0.25">
      <c r="A1141" s="36">
        <v>40953</v>
      </c>
      <c r="B1141" s="7">
        <v>42.35</v>
      </c>
      <c r="C1141" s="7">
        <v>23.5</v>
      </c>
      <c r="D1141" s="6">
        <v>5.7</v>
      </c>
      <c r="E1141" s="7">
        <v>2.85</v>
      </c>
      <c r="G1141" s="31"/>
    </row>
    <row r="1142" spans="1:7" x14ac:dyDescent="0.25">
      <c r="A1142" s="36">
        <v>40954</v>
      </c>
      <c r="B1142" s="7">
        <v>42.32</v>
      </c>
      <c r="C1142" s="7">
        <v>23.5</v>
      </c>
      <c r="D1142" s="6">
        <v>5.7</v>
      </c>
      <c r="E1142" s="7">
        <v>2.74</v>
      </c>
      <c r="G1142" s="31"/>
    </row>
    <row r="1143" spans="1:7" x14ac:dyDescent="0.25">
      <c r="A1143" s="36">
        <v>40955</v>
      </c>
      <c r="B1143" s="7">
        <v>42.3</v>
      </c>
      <c r="C1143" s="7">
        <v>23.5</v>
      </c>
      <c r="D1143" s="6">
        <v>5.68</v>
      </c>
      <c r="E1143" s="7">
        <v>2.64</v>
      </c>
      <c r="G1143" s="31"/>
    </row>
    <row r="1144" spans="1:7" x14ac:dyDescent="0.25">
      <c r="A1144" s="36">
        <v>40956</v>
      </c>
      <c r="B1144" s="7">
        <v>42.26</v>
      </c>
      <c r="C1144" s="7">
        <v>23.55</v>
      </c>
      <c r="D1144" s="6">
        <v>5.56</v>
      </c>
      <c r="E1144" s="7">
        <v>2.59</v>
      </c>
      <c r="G1144" s="31"/>
    </row>
    <row r="1145" spans="1:7" x14ac:dyDescent="0.25">
      <c r="A1145" s="36">
        <v>40957</v>
      </c>
      <c r="B1145" s="7">
        <v>42.21</v>
      </c>
      <c r="C1145" s="7">
        <v>23.58</v>
      </c>
      <c r="D1145" s="6">
        <v>5.2</v>
      </c>
      <c r="E1145" s="7">
        <v>2.5</v>
      </c>
      <c r="G1145" s="31"/>
    </row>
    <row r="1146" spans="1:7" x14ac:dyDescent="0.25">
      <c r="A1146" s="36">
        <v>40958</v>
      </c>
      <c r="B1146" s="7">
        <v>42.15</v>
      </c>
      <c r="C1146" s="7">
        <v>23.59</v>
      </c>
      <c r="D1146" s="6">
        <v>5.2</v>
      </c>
      <c r="E1146" s="7">
        <v>2.4900000000000002</v>
      </c>
      <c r="G1146" s="31"/>
    </row>
    <row r="1147" spans="1:7" x14ac:dyDescent="0.25">
      <c r="A1147" s="36">
        <v>40959</v>
      </c>
      <c r="B1147" s="7">
        <v>42.1</v>
      </c>
      <c r="C1147" s="7">
        <v>23.54</v>
      </c>
      <c r="D1147" s="6">
        <v>5.14</v>
      </c>
      <c r="E1147" s="7">
        <v>2.4300000000000002</v>
      </c>
      <c r="G1147" s="31"/>
    </row>
    <row r="1148" spans="1:7" x14ac:dyDescent="0.25">
      <c r="A1148" s="36">
        <v>40960</v>
      </c>
      <c r="B1148" s="7">
        <v>42.04</v>
      </c>
      <c r="C1148" s="7">
        <v>23.47</v>
      </c>
      <c r="D1148" s="6">
        <v>5.14</v>
      </c>
      <c r="E1148" s="7">
        <v>2.39</v>
      </c>
      <c r="G1148" s="31"/>
    </row>
    <row r="1149" spans="1:7" x14ac:dyDescent="0.25">
      <c r="A1149" s="36">
        <v>40961</v>
      </c>
      <c r="B1149" s="7">
        <v>42</v>
      </c>
      <c r="C1149" s="7">
        <v>23.38</v>
      </c>
      <c r="D1149" s="6">
        <v>5.12</v>
      </c>
      <c r="E1149" s="7">
        <v>2.42</v>
      </c>
      <c r="G1149" s="31"/>
    </row>
    <row r="1150" spans="1:7" x14ac:dyDescent="0.25">
      <c r="A1150" s="36">
        <v>40962</v>
      </c>
      <c r="B1150" s="7">
        <v>41.96</v>
      </c>
      <c r="C1150" s="7">
        <v>23.31</v>
      </c>
      <c r="D1150" s="6">
        <v>5.0599999999999996</v>
      </c>
      <c r="E1150" s="7">
        <v>2.5299999999999998</v>
      </c>
      <c r="G1150" s="31"/>
    </row>
    <row r="1151" spans="1:7" x14ac:dyDescent="0.25">
      <c r="A1151" s="36">
        <v>40963</v>
      </c>
      <c r="B1151" s="7">
        <v>41.93</v>
      </c>
      <c r="C1151" s="7">
        <v>23.24</v>
      </c>
      <c r="D1151" s="6">
        <v>5.0599999999999996</v>
      </c>
      <c r="E1151" s="7">
        <v>2.56</v>
      </c>
      <c r="G1151" s="31"/>
    </row>
    <row r="1152" spans="1:7" x14ac:dyDescent="0.25">
      <c r="A1152" s="36">
        <v>40964</v>
      </c>
      <c r="B1152" s="7">
        <v>41.9</v>
      </c>
      <c r="C1152" s="7">
        <v>23.16</v>
      </c>
      <c r="D1152" s="6">
        <v>5.04</v>
      </c>
      <c r="E1152" s="7">
        <v>2.5</v>
      </c>
      <c r="G1152" s="31"/>
    </row>
    <row r="1153" spans="1:7" x14ac:dyDescent="0.25">
      <c r="A1153" s="36">
        <v>40965</v>
      </c>
      <c r="B1153" s="7">
        <v>41.87</v>
      </c>
      <c r="C1153" s="7">
        <v>23.1</v>
      </c>
      <c r="D1153" s="6">
        <v>4.96</v>
      </c>
      <c r="E1153" s="7">
        <v>2.4700000000000002</v>
      </c>
      <c r="G1153" s="31"/>
    </row>
    <row r="1154" spans="1:7" x14ac:dyDescent="0.25">
      <c r="A1154" s="36">
        <v>40966</v>
      </c>
      <c r="B1154" s="7">
        <v>41.83</v>
      </c>
      <c r="C1154" s="7">
        <v>23.06</v>
      </c>
      <c r="D1154" s="6">
        <v>4.8</v>
      </c>
      <c r="E1154" s="7">
        <v>2.4300000000000002</v>
      </c>
      <c r="G1154" s="31"/>
    </row>
    <row r="1155" spans="1:7" x14ac:dyDescent="0.25">
      <c r="A1155" s="36">
        <v>40967</v>
      </c>
      <c r="B1155" s="7">
        <v>41.77</v>
      </c>
      <c r="C1155" s="7">
        <v>22.97</v>
      </c>
      <c r="D1155" s="6">
        <v>4.8</v>
      </c>
      <c r="E1155" s="7">
        <v>2.33</v>
      </c>
      <c r="G1155" s="31"/>
    </row>
    <row r="1156" spans="1:7" x14ac:dyDescent="0.25">
      <c r="A1156" s="36">
        <v>40968</v>
      </c>
      <c r="B1156" s="7">
        <v>41.72</v>
      </c>
      <c r="C1156" s="7">
        <v>22.95</v>
      </c>
      <c r="D1156" s="6">
        <v>4.78</v>
      </c>
      <c r="G1156" s="31"/>
    </row>
    <row r="1157" spans="1:7" x14ac:dyDescent="0.25">
      <c r="A1157" s="36">
        <v>40969</v>
      </c>
      <c r="B1157" s="7">
        <v>41.67</v>
      </c>
      <c r="C1157" s="7">
        <v>22.85</v>
      </c>
      <c r="D1157" s="6">
        <v>4.78</v>
      </c>
      <c r="E1157" s="7">
        <v>2.2599999999999998</v>
      </c>
      <c r="G1157" s="31"/>
    </row>
    <row r="1158" spans="1:7" x14ac:dyDescent="0.25">
      <c r="A1158" s="36">
        <v>40970</v>
      </c>
      <c r="B1158" s="7">
        <v>41.64</v>
      </c>
      <c r="C1158" s="7">
        <v>22.8</v>
      </c>
      <c r="D1158" s="6">
        <v>4.78</v>
      </c>
      <c r="E1158" s="7">
        <v>2.23</v>
      </c>
      <c r="G1158" s="31"/>
    </row>
    <row r="1159" spans="1:7" x14ac:dyDescent="0.25">
      <c r="A1159" s="36">
        <v>40971</v>
      </c>
      <c r="B1159" s="7">
        <v>41.62</v>
      </c>
      <c r="C1159" s="7">
        <v>22.75</v>
      </c>
      <c r="D1159" s="6">
        <v>4.76</v>
      </c>
      <c r="E1159" s="7">
        <v>2.25</v>
      </c>
      <c r="G1159" s="31"/>
    </row>
    <row r="1160" spans="1:7" x14ac:dyDescent="0.25">
      <c r="A1160" s="36">
        <v>40972</v>
      </c>
      <c r="B1160" s="7">
        <v>41.61</v>
      </c>
      <c r="C1160" s="6">
        <v>22.7</v>
      </c>
      <c r="D1160" s="6">
        <v>4.76</v>
      </c>
      <c r="E1160" s="7">
        <v>2.19</v>
      </c>
      <c r="G1160" s="31"/>
    </row>
    <row r="1161" spans="1:7" x14ac:dyDescent="0.25">
      <c r="A1161" s="36">
        <v>40973</v>
      </c>
      <c r="B1161" s="6">
        <v>41.61</v>
      </c>
      <c r="C1161" s="6">
        <v>22.68</v>
      </c>
      <c r="D1161" s="6">
        <v>4.62</v>
      </c>
      <c r="E1161" s="6">
        <v>2.1800000000000002</v>
      </c>
      <c r="G1161" s="31"/>
    </row>
    <row r="1162" spans="1:7" x14ac:dyDescent="0.25">
      <c r="A1162" s="36">
        <v>40974</v>
      </c>
      <c r="B1162" s="6">
        <v>41.6</v>
      </c>
      <c r="C1162" s="6">
        <v>22.65</v>
      </c>
      <c r="D1162" s="6">
        <v>4.5999999999999996</v>
      </c>
      <c r="E1162" s="6">
        <v>2.1800000000000002</v>
      </c>
      <c r="G1162" s="31"/>
    </row>
    <row r="1163" spans="1:7" x14ac:dyDescent="0.25">
      <c r="A1163" s="36">
        <v>40975</v>
      </c>
      <c r="B1163" s="6">
        <v>41.59</v>
      </c>
      <c r="C1163" s="6">
        <v>22.59</v>
      </c>
      <c r="D1163" s="6">
        <v>4.5599999999999996</v>
      </c>
      <c r="E1163" s="6">
        <v>2.2400000000000002</v>
      </c>
      <c r="G1163" s="31"/>
    </row>
    <row r="1164" spans="1:7" x14ac:dyDescent="0.25">
      <c r="A1164" s="36">
        <v>40976</v>
      </c>
      <c r="B1164" s="6">
        <v>41.59</v>
      </c>
      <c r="C1164" s="6">
        <v>22.57</v>
      </c>
      <c r="D1164" s="6">
        <v>4.5199999999999996</v>
      </c>
      <c r="E1164" s="6">
        <v>2.25</v>
      </c>
      <c r="G1164" s="31"/>
    </row>
    <row r="1165" spans="1:7" x14ac:dyDescent="0.25">
      <c r="A1165" s="36">
        <v>40977</v>
      </c>
      <c r="B1165" s="6">
        <v>41.59</v>
      </c>
      <c r="C1165" s="6">
        <v>22.57</v>
      </c>
      <c r="D1165" s="6">
        <v>4.5</v>
      </c>
      <c r="E1165" s="6">
        <v>2.27</v>
      </c>
      <c r="G1165" s="31"/>
    </row>
    <row r="1166" spans="1:7" x14ac:dyDescent="0.25">
      <c r="A1166" s="36">
        <v>40978</v>
      </c>
      <c r="B1166" s="6">
        <v>41.59</v>
      </c>
      <c r="C1166" s="6">
        <v>22.6</v>
      </c>
      <c r="D1166" s="6">
        <v>4.46</v>
      </c>
      <c r="E1166" s="6">
        <v>2.33</v>
      </c>
      <c r="G1166" s="31"/>
    </row>
    <row r="1167" spans="1:7" x14ac:dyDescent="0.25">
      <c r="A1167" s="36">
        <v>40979</v>
      </c>
      <c r="B1167" s="6">
        <v>41.58</v>
      </c>
      <c r="C1167" s="6">
        <v>22.64</v>
      </c>
      <c r="D1167" s="6">
        <v>4.42</v>
      </c>
      <c r="E1167" s="6">
        <v>2.23</v>
      </c>
      <c r="G1167" s="31"/>
    </row>
    <row r="1168" spans="1:7" x14ac:dyDescent="0.25">
      <c r="A1168" s="36">
        <v>40980</v>
      </c>
      <c r="B1168" s="6">
        <v>41.59</v>
      </c>
      <c r="C1168" s="6">
        <v>22.67</v>
      </c>
      <c r="D1168" s="6">
        <v>4.38</v>
      </c>
      <c r="E1168" s="6">
        <v>2.13</v>
      </c>
      <c r="G1168" s="31"/>
    </row>
    <row r="1169" spans="1:7" x14ac:dyDescent="0.25">
      <c r="A1169" s="36">
        <v>40981</v>
      </c>
      <c r="B1169" s="6">
        <v>41.59</v>
      </c>
      <c r="C1169" s="6">
        <v>22.69</v>
      </c>
      <c r="D1169" s="6">
        <v>4.26</v>
      </c>
      <c r="E1169" s="6">
        <v>2.12</v>
      </c>
      <c r="G1169" s="31"/>
    </row>
    <row r="1170" spans="1:7" x14ac:dyDescent="0.25">
      <c r="A1170" s="36">
        <v>40982</v>
      </c>
      <c r="B1170" s="6">
        <v>41.6</v>
      </c>
      <c r="C1170" s="6">
        <v>22.71</v>
      </c>
      <c r="D1170" s="6">
        <v>4.22</v>
      </c>
      <c r="E1170" s="6">
        <v>2.09</v>
      </c>
      <c r="G1170" s="31"/>
    </row>
    <row r="1171" spans="1:7" x14ac:dyDescent="0.25">
      <c r="A1171" s="36">
        <v>40983</v>
      </c>
      <c r="B1171" s="6">
        <v>41.62</v>
      </c>
      <c r="C1171" s="6">
        <v>22.74</v>
      </c>
      <c r="D1171" s="6">
        <v>4.2</v>
      </c>
      <c r="E1171" s="6">
        <v>2.04</v>
      </c>
      <c r="G1171" s="31"/>
    </row>
    <row r="1172" spans="1:7" x14ac:dyDescent="0.25">
      <c r="A1172" s="36">
        <v>40984</v>
      </c>
      <c r="B1172" s="6">
        <v>41.65</v>
      </c>
      <c r="C1172" s="6">
        <v>22.76</v>
      </c>
      <c r="D1172" s="6">
        <v>4.2</v>
      </c>
      <c r="E1172" s="6">
        <v>2.13</v>
      </c>
      <c r="G1172" s="31"/>
    </row>
    <row r="1173" spans="1:7" x14ac:dyDescent="0.25">
      <c r="A1173" s="36">
        <v>40985</v>
      </c>
      <c r="B1173" s="6">
        <v>41.7</v>
      </c>
      <c r="C1173" s="6">
        <v>22.79</v>
      </c>
      <c r="D1173" s="6">
        <v>4.5</v>
      </c>
      <c r="E1173" s="6">
        <v>2.15</v>
      </c>
      <c r="G1173" s="31"/>
    </row>
    <row r="1174" spans="1:7" x14ac:dyDescent="0.25">
      <c r="A1174" s="36">
        <v>40986</v>
      </c>
      <c r="B1174" s="6">
        <v>41.75</v>
      </c>
      <c r="C1174" s="6">
        <v>22.8</v>
      </c>
      <c r="D1174" s="6">
        <v>4.54</v>
      </c>
      <c r="E1174" s="6">
        <v>2.12</v>
      </c>
      <c r="G1174" s="31"/>
    </row>
    <row r="1175" spans="1:7" x14ac:dyDescent="0.25">
      <c r="A1175" s="36">
        <v>40987</v>
      </c>
      <c r="B1175" s="6">
        <v>41.81</v>
      </c>
      <c r="C1175" s="6">
        <v>22.82</v>
      </c>
      <c r="D1175" s="6">
        <v>4.5199999999999996</v>
      </c>
      <c r="E1175" s="6">
        <v>2.14</v>
      </c>
      <c r="G1175" s="31"/>
    </row>
    <row r="1176" spans="1:7" x14ac:dyDescent="0.25">
      <c r="A1176" s="36">
        <v>40988</v>
      </c>
      <c r="B1176" s="6">
        <v>41.87</v>
      </c>
      <c r="C1176" s="6">
        <v>22.85</v>
      </c>
      <c r="D1176" s="6">
        <v>4.4800000000000004</v>
      </c>
      <c r="E1176" s="6">
        <v>2.14</v>
      </c>
      <c r="G1176" s="31"/>
    </row>
    <row r="1177" spans="1:7" x14ac:dyDescent="0.25">
      <c r="A1177" s="36">
        <v>40989</v>
      </c>
      <c r="B1177" s="6">
        <v>41.93</v>
      </c>
      <c r="C1177" s="6">
        <v>22.92</v>
      </c>
      <c r="D1177" s="6">
        <v>4.4400000000000004</v>
      </c>
      <c r="E1177" s="6">
        <v>2.21</v>
      </c>
      <c r="G1177" s="31"/>
    </row>
    <row r="1178" spans="1:7" x14ac:dyDescent="0.25">
      <c r="A1178" s="36">
        <v>40990</v>
      </c>
      <c r="B1178" s="6">
        <v>41.96</v>
      </c>
      <c r="C1178" s="6">
        <v>23.06</v>
      </c>
      <c r="D1178" s="6">
        <v>4.4400000000000004</v>
      </c>
      <c r="E1178" s="6">
        <v>2.21</v>
      </c>
      <c r="G1178" s="31"/>
    </row>
    <row r="1179" spans="1:7" x14ac:dyDescent="0.25">
      <c r="A1179" s="36">
        <v>40991</v>
      </c>
      <c r="B1179" s="6">
        <v>41.98</v>
      </c>
      <c r="C1179" s="6">
        <v>23.16</v>
      </c>
      <c r="D1179" s="6">
        <v>4.42</v>
      </c>
      <c r="E1179" s="6">
        <v>2.2000000000000002</v>
      </c>
      <c r="G1179" s="31"/>
    </row>
    <row r="1180" spans="1:7" x14ac:dyDescent="0.25">
      <c r="A1180" s="36">
        <v>40992</v>
      </c>
      <c r="B1180" s="6">
        <v>42.01</v>
      </c>
      <c r="C1180" s="6">
        <v>23.24</v>
      </c>
      <c r="D1180" s="6">
        <v>4.4000000000000004</v>
      </c>
      <c r="E1180" s="6">
        <v>2.17</v>
      </c>
      <c r="G1180" s="31"/>
    </row>
    <row r="1181" spans="1:7" x14ac:dyDescent="0.25">
      <c r="A1181" s="36">
        <v>40993</v>
      </c>
      <c r="B1181" s="6">
        <v>42.1</v>
      </c>
      <c r="C1181" s="6">
        <v>23.28</v>
      </c>
      <c r="D1181" s="6">
        <v>4.5</v>
      </c>
      <c r="E1181" s="6">
        <v>2.23</v>
      </c>
      <c r="G1181" s="31"/>
    </row>
    <row r="1182" spans="1:7" x14ac:dyDescent="0.25">
      <c r="A1182" s="36">
        <v>40994</v>
      </c>
      <c r="B1182" s="6">
        <v>42.21</v>
      </c>
      <c r="C1182" s="6">
        <v>23.3</v>
      </c>
      <c r="D1182" s="6">
        <v>4.5199999999999996</v>
      </c>
      <c r="E1182" s="6">
        <v>2.31</v>
      </c>
      <c r="G1182" s="31"/>
    </row>
    <row r="1183" spans="1:7" x14ac:dyDescent="0.25">
      <c r="A1183" s="36">
        <v>40995</v>
      </c>
      <c r="B1183" s="6">
        <v>42.36</v>
      </c>
      <c r="C1183" s="6">
        <v>23.35</v>
      </c>
      <c r="D1183" s="6">
        <v>4.74</v>
      </c>
      <c r="E1183" s="6">
        <v>2.39</v>
      </c>
      <c r="G1183" s="31"/>
    </row>
    <row r="1184" spans="1:7" x14ac:dyDescent="0.25">
      <c r="A1184" s="36">
        <v>40996</v>
      </c>
      <c r="B1184" s="6">
        <v>42.53</v>
      </c>
      <c r="C1184" s="6">
        <v>23.47</v>
      </c>
      <c r="D1184" s="6">
        <v>4.4800000000000004</v>
      </c>
      <c r="E1184" s="6">
        <v>2.4</v>
      </c>
      <c r="G1184" s="31"/>
    </row>
    <row r="1185" spans="1:7" x14ac:dyDescent="0.25">
      <c r="A1185" s="36">
        <v>40997</v>
      </c>
      <c r="B1185" s="6">
        <v>42.65</v>
      </c>
      <c r="C1185" s="6">
        <v>23.59</v>
      </c>
      <c r="D1185" s="6">
        <v>4.96</v>
      </c>
      <c r="E1185" s="6">
        <v>2.4</v>
      </c>
      <c r="G1185" s="31"/>
    </row>
    <row r="1186" spans="1:7" x14ac:dyDescent="0.25">
      <c r="A1186" s="36">
        <v>40998</v>
      </c>
      <c r="B1186" s="6">
        <v>42.78</v>
      </c>
      <c r="C1186" s="6">
        <v>23.7</v>
      </c>
      <c r="D1186" s="6">
        <v>5</v>
      </c>
      <c r="E1186" s="6">
        <v>2.4</v>
      </c>
      <c r="G1186" s="31"/>
    </row>
    <row r="1187" spans="1:7" x14ac:dyDescent="0.25">
      <c r="A1187" s="36">
        <v>40999</v>
      </c>
      <c r="B1187" s="6">
        <v>42.89</v>
      </c>
      <c r="C1187" s="6">
        <v>23.82</v>
      </c>
      <c r="D1187" s="6">
        <v>5</v>
      </c>
      <c r="E1187" s="6">
        <v>2.42</v>
      </c>
      <c r="G1187" s="31"/>
    </row>
    <row r="1188" spans="1:7" x14ac:dyDescent="0.25">
      <c r="A1188" s="36">
        <v>41000</v>
      </c>
      <c r="B1188" s="6">
        <v>43.04</v>
      </c>
      <c r="C1188" s="6">
        <v>23.92</v>
      </c>
      <c r="D1188" s="6">
        <v>5</v>
      </c>
      <c r="E1188" s="6">
        <v>2.42</v>
      </c>
      <c r="G1188" s="31"/>
    </row>
    <row r="1189" spans="1:7" x14ac:dyDescent="0.25">
      <c r="A1189" s="36">
        <v>41001</v>
      </c>
      <c r="B1189" s="6">
        <v>43.16</v>
      </c>
      <c r="C1189" s="6">
        <v>24.1</v>
      </c>
      <c r="D1189" s="6">
        <v>5.16</v>
      </c>
      <c r="E1189" s="6">
        <v>2.5099999999999998</v>
      </c>
      <c r="G1189" s="31"/>
    </row>
    <row r="1190" spans="1:7" x14ac:dyDescent="0.25">
      <c r="A1190" s="36">
        <v>41002</v>
      </c>
      <c r="B1190" s="6">
        <v>43.28</v>
      </c>
      <c r="C1190" s="6">
        <v>24.24</v>
      </c>
      <c r="D1190" s="6">
        <v>5.2</v>
      </c>
      <c r="E1190" s="6">
        <v>2.58</v>
      </c>
      <c r="G1190" s="31"/>
    </row>
    <row r="1191" spans="1:7" x14ac:dyDescent="0.25">
      <c r="A1191" s="36">
        <v>41003</v>
      </c>
      <c r="B1191" s="6">
        <v>43.43</v>
      </c>
      <c r="C1191" s="6">
        <v>24.39</v>
      </c>
      <c r="D1191" s="6">
        <v>5.32</v>
      </c>
      <c r="E1191" s="6">
        <v>2.71</v>
      </c>
      <c r="G1191" s="31"/>
    </row>
    <row r="1192" spans="1:7" x14ac:dyDescent="0.25">
      <c r="A1192" s="36">
        <v>41004</v>
      </c>
      <c r="B1192" s="6">
        <v>43.59</v>
      </c>
      <c r="C1192" s="6">
        <v>24.55</v>
      </c>
      <c r="D1192" s="6">
        <v>5.56</v>
      </c>
      <c r="E1192" s="6">
        <v>2.74</v>
      </c>
      <c r="G1192" s="31"/>
    </row>
    <row r="1193" spans="1:7" x14ac:dyDescent="0.25">
      <c r="A1193" s="36">
        <v>41005</v>
      </c>
      <c r="B1193" s="6">
        <v>43.75</v>
      </c>
      <c r="C1193" s="6">
        <v>24.47</v>
      </c>
      <c r="D1193" s="6">
        <v>5.6</v>
      </c>
      <c r="E1193" s="6">
        <v>2.76</v>
      </c>
      <c r="G1193" s="31"/>
    </row>
    <row r="1194" spans="1:7" x14ac:dyDescent="0.25">
      <c r="A1194" s="36">
        <v>41006</v>
      </c>
      <c r="B1194" s="6">
        <v>43.89</v>
      </c>
      <c r="C1194" s="6">
        <v>24.97</v>
      </c>
      <c r="D1194" s="6">
        <v>5.74</v>
      </c>
      <c r="E1194" s="6">
        <v>2.81</v>
      </c>
      <c r="G1194" s="31"/>
    </row>
    <row r="1195" spans="1:7" x14ac:dyDescent="0.25">
      <c r="A1195" s="36">
        <v>41007</v>
      </c>
      <c r="B1195" s="6">
        <v>44.06</v>
      </c>
      <c r="C1195" s="6">
        <v>25.23</v>
      </c>
      <c r="D1195" s="6">
        <v>5.84</v>
      </c>
      <c r="E1195" s="6">
        <v>2.88</v>
      </c>
      <c r="G1195" s="31"/>
    </row>
    <row r="1196" spans="1:7" x14ac:dyDescent="0.25">
      <c r="A1196" s="36">
        <v>41008</v>
      </c>
      <c r="B1196" s="6">
        <v>44.25</v>
      </c>
      <c r="C1196" s="6">
        <v>25.47</v>
      </c>
      <c r="D1196" s="6">
        <v>6.02</v>
      </c>
      <c r="E1196" s="6">
        <v>3</v>
      </c>
      <c r="G1196" s="31"/>
    </row>
    <row r="1197" spans="1:7" x14ac:dyDescent="0.25">
      <c r="A1197" s="36">
        <v>41009</v>
      </c>
      <c r="B1197" s="6">
        <v>44.42</v>
      </c>
      <c r="C1197" s="6">
        <v>25.64</v>
      </c>
      <c r="D1197" s="6">
        <v>6.2</v>
      </c>
      <c r="E1197" s="6">
        <v>3.12</v>
      </c>
      <c r="G1197" s="31"/>
    </row>
    <row r="1198" spans="1:7" x14ac:dyDescent="0.25">
      <c r="A1198" s="36">
        <v>41010</v>
      </c>
      <c r="B1198" s="6">
        <v>44.59</v>
      </c>
      <c r="C1198" s="6">
        <v>25.83</v>
      </c>
      <c r="D1198" s="6">
        <v>6.64</v>
      </c>
      <c r="E1198" s="6">
        <v>3.34</v>
      </c>
      <c r="G1198" s="31"/>
    </row>
    <row r="1199" spans="1:7" x14ac:dyDescent="0.25">
      <c r="A1199" s="36">
        <v>41011</v>
      </c>
      <c r="B1199" s="6">
        <v>44.72</v>
      </c>
      <c r="C1199" s="6">
        <v>25.99</v>
      </c>
      <c r="D1199" s="6">
        <v>7</v>
      </c>
      <c r="E1199" s="6">
        <v>3.58</v>
      </c>
      <c r="G1199" s="31"/>
    </row>
    <row r="1200" spans="1:7" x14ac:dyDescent="0.25">
      <c r="A1200" s="36">
        <v>41012</v>
      </c>
      <c r="B1200" s="6">
        <v>45.02</v>
      </c>
      <c r="C1200" s="6">
        <v>26.19</v>
      </c>
      <c r="D1200" s="6">
        <v>7.3</v>
      </c>
      <c r="E1200" s="6">
        <v>3.73</v>
      </c>
      <c r="G1200" s="31"/>
    </row>
    <row r="1201" spans="1:7" x14ac:dyDescent="0.25">
      <c r="A1201" s="36">
        <v>41013</v>
      </c>
      <c r="B1201" s="6">
        <v>45.25</v>
      </c>
      <c r="C1201" s="6">
        <v>26.39</v>
      </c>
      <c r="D1201" s="6">
        <v>7.56</v>
      </c>
      <c r="E1201" s="6">
        <v>3.89</v>
      </c>
      <c r="G1201" s="31"/>
    </row>
    <row r="1202" spans="1:7" x14ac:dyDescent="0.25">
      <c r="A1202" s="36">
        <v>41014</v>
      </c>
      <c r="B1202" s="6">
        <v>45.48</v>
      </c>
      <c r="C1202" s="6">
        <v>26.64</v>
      </c>
      <c r="D1202" s="6">
        <v>7.78</v>
      </c>
      <c r="E1202" s="6">
        <v>4.04</v>
      </c>
      <c r="G1202" s="31"/>
    </row>
    <row r="1203" spans="1:7" x14ac:dyDescent="0.25">
      <c r="A1203" s="36">
        <v>41015</v>
      </c>
      <c r="B1203" s="6">
        <v>45.65</v>
      </c>
      <c r="C1203" s="6">
        <v>26.88</v>
      </c>
      <c r="D1203" s="6">
        <v>7.9</v>
      </c>
      <c r="E1203" s="6">
        <v>4.18</v>
      </c>
      <c r="G1203" s="31"/>
    </row>
    <row r="1204" spans="1:7" x14ac:dyDescent="0.25">
      <c r="A1204" s="36">
        <v>41016</v>
      </c>
      <c r="B1204" s="6">
        <v>45.82</v>
      </c>
      <c r="C1204" s="6">
        <v>27.07</v>
      </c>
      <c r="D1204" s="6">
        <v>8.2799999999999994</v>
      </c>
      <c r="E1204" s="6">
        <v>4.3</v>
      </c>
      <c r="G1204" s="31"/>
    </row>
    <row r="1205" spans="1:7" x14ac:dyDescent="0.25">
      <c r="A1205" s="36">
        <v>41017</v>
      </c>
      <c r="B1205" s="6">
        <v>45.97</v>
      </c>
      <c r="C1205" s="6">
        <v>27.21</v>
      </c>
      <c r="D1205" s="6">
        <v>8.3000000000000007</v>
      </c>
      <c r="E1205" s="6">
        <v>4.49</v>
      </c>
      <c r="G1205" s="31"/>
    </row>
    <row r="1206" spans="1:7" x14ac:dyDescent="0.25">
      <c r="A1206" s="36">
        <v>41018</v>
      </c>
      <c r="B1206" s="6">
        <v>46.12</v>
      </c>
      <c r="C1206" s="6">
        <v>27.38</v>
      </c>
      <c r="D1206" s="6">
        <v>8.5</v>
      </c>
      <c r="E1206" s="6">
        <v>4.6399999999999997</v>
      </c>
      <c r="G1206" s="31"/>
    </row>
    <row r="1207" spans="1:7" x14ac:dyDescent="0.25">
      <c r="A1207" s="36">
        <v>41019</v>
      </c>
      <c r="B1207" s="6">
        <v>46.28</v>
      </c>
      <c r="C1207" s="6">
        <v>27.54</v>
      </c>
      <c r="D1207" s="6">
        <v>8.64</v>
      </c>
      <c r="E1207" s="6">
        <v>4.78</v>
      </c>
      <c r="G1207" s="31"/>
    </row>
    <row r="1208" spans="1:7" x14ac:dyDescent="0.25">
      <c r="A1208" s="36">
        <v>41020</v>
      </c>
      <c r="B1208" s="6">
        <v>46.38</v>
      </c>
      <c r="C1208" s="6">
        <v>27.69</v>
      </c>
      <c r="D1208" s="6">
        <v>8.8000000000000007</v>
      </c>
      <c r="E1208" s="6">
        <v>4.8499999999999996</v>
      </c>
      <c r="G1208" s="31"/>
    </row>
    <row r="1209" spans="1:7" x14ac:dyDescent="0.25">
      <c r="A1209" s="36">
        <v>41021</v>
      </c>
      <c r="B1209" s="6">
        <v>46.54</v>
      </c>
      <c r="C1209" s="6">
        <v>27.83</v>
      </c>
      <c r="D1209" s="6">
        <v>9</v>
      </c>
      <c r="E1209" s="6">
        <v>4.96</v>
      </c>
      <c r="G1209" s="31"/>
    </row>
    <row r="1210" spans="1:7" x14ac:dyDescent="0.25">
      <c r="A1210" s="36">
        <v>41022</v>
      </c>
      <c r="B1210" s="6">
        <v>46.63</v>
      </c>
      <c r="C1210" s="6">
        <v>27.96</v>
      </c>
      <c r="D1210" s="6">
        <v>9.1</v>
      </c>
      <c r="E1210" s="6">
        <v>5.07</v>
      </c>
      <c r="G1210" s="31"/>
    </row>
    <row r="1211" spans="1:7" x14ac:dyDescent="0.25">
      <c r="A1211" s="36">
        <v>41023</v>
      </c>
      <c r="B1211" s="6">
        <v>46.73</v>
      </c>
      <c r="C1211" s="6">
        <v>28.09</v>
      </c>
      <c r="D1211" s="6">
        <v>9.3000000000000007</v>
      </c>
      <c r="E1211" s="6">
        <v>5.19</v>
      </c>
      <c r="G1211" s="31"/>
    </row>
    <row r="1212" spans="1:7" x14ac:dyDescent="0.25">
      <c r="A1212" s="36">
        <v>41024</v>
      </c>
      <c r="B1212" s="6">
        <v>46.8</v>
      </c>
      <c r="C1212" s="6">
        <v>28.19</v>
      </c>
      <c r="D1212" s="6">
        <v>9.4</v>
      </c>
      <c r="E1212" s="6">
        <v>5.31</v>
      </c>
      <c r="G1212" s="31"/>
    </row>
    <row r="1213" spans="1:7" x14ac:dyDescent="0.25">
      <c r="A1213" s="36">
        <v>41025</v>
      </c>
      <c r="B1213" s="6">
        <v>46.85</v>
      </c>
      <c r="C1213" s="6">
        <v>28.24</v>
      </c>
      <c r="D1213" s="6">
        <v>9.5</v>
      </c>
      <c r="E1213" s="6">
        <v>5.41</v>
      </c>
      <c r="G1213" s="31"/>
    </row>
    <row r="1214" spans="1:7" x14ac:dyDescent="0.25">
      <c r="A1214" s="36">
        <v>41026</v>
      </c>
      <c r="B1214" s="6">
        <v>46.9</v>
      </c>
      <c r="C1214" s="6">
        <v>28.3</v>
      </c>
      <c r="D1214" s="6">
        <v>9.6199999999999992</v>
      </c>
      <c r="E1214" s="6">
        <v>5.43</v>
      </c>
      <c r="G1214" s="31"/>
    </row>
    <row r="1215" spans="1:7" x14ac:dyDescent="0.25">
      <c r="A1215" s="36">
        <v>41027</v>
      </c>
      <c r="B1215" s="6">
        <v>46.99</v>
      </c>
      <c r="C1215" s="6">
        <v>28.36</v>
      </c>
      <c r="D1215" s="6">
        <v>9.64</v>
      </c>
      <c r="E1215" s="6">
        <v>5.53</v>
      </c>
      <c r="G1215" s="31"/>
    </row>
    <row r="1216" spans="1:7" x14ac:dyDescent="0.25">
      <c r="A1216" s="36">
        <v>41028</v>
      </c>
      <c r="B1216" s="6">
        <v>47.06</v>
      </c>
      <c r="C1216" s="6">
        <v>28.45</v>
      </c>
      <c r="D1216" s="6">
        <v>9.6999999999999993</v>
      </c>
      <c r="E1216" s="6">
        <v>5.54</v>
      </c>
      <c r="G1216" s="31"/>
    </row>
    <row r="1217" spans="1:7" x14ac:dyDescent="0.25">
      <c r="A1217" s="36">
        <v>41029</v>
      </c>
      <c r="B1217" s="6">
        <v>47.15</v>
      </c>
      <c r="C1217" s="6">
        <v>28.54</v>
      </c>
      <c r="D1217" s="6">
        <v>9.8000000000000007</v>
      </c>
      <c r="E1217" s="6">
        <v>5.6</v>
      </c>
      <c r="G1217" s="31"/>
    </row>
    <row r="1218" spans="1:7" x14ac:dyDescent="0.25">
      <c r="A1218" s="36">
        <v>41030</v>
      </c>
      <c r="B1218" s="6">
        <v>47.28</v>
      </c>
      <c r="C1218" s="6">
        <v>28.64</v>
      </c>
      <c r="D1218" s="6">
        <v>9.8800000000000008</v>
      </c>
      <c r="E1218" s="6">
        <v>5.66</v>
      </c>
      <c r="G1218" s="31"/>
    </row>
    <row r="1219" spans="1:7" x14ac:dyDescent="0.25">
      <c r="A1219" s="36">
        <v>41031</v>
      </c>
      <c r="B1219" s="6">
        <v>47.34</v>
      </c>
      <c r="C1219" s="6">
        <v>28.77</v>
      </c>
      <c r="D1219" s="6">
        <v>10</v>
      </c>
      <c r="E1219" s="6">
        <v>5.71</v>
      </c>
      <c r="G1219" s="31"/>
    </row>
    <row r="1220" spans="1:7" x14ac:dyDescent="0.25">
      <c r="A1220" s="36">
        <v>41032</v>
      </c>
      <c r="B1220" s="6">
        <v>47.42</v>
      </c>
      <c r="C1220" s="6">
        <v>28.84</v>
      </c>
      <c r="D1220" s="6">
        <v>10.18</v>
      </c>
      <c r="E1220" s="6">
        <v>5.8599999999999994</v>
      </c>
      <c r="G1220" s="31"/>
    </row>
    <row r="1221" spans="1:7" x14ac:dyDescent="0.25">
      <c r="A1221" s="36">
        <v>41033</v>
      </c>
      <c r="B1221" s="6">
        <v>47.49</v>
      </c>
      <c r="C1221" s="6">
        <v>28.9</v>
      </c>
      <c r="D1221" s="6">
        <v>10.4</v>
      </c>
      <c r="E1221" s="6">
        <v>5.97</v>
      </c>
      <c r="G1221" s="31"/>
    </row>
    <row r="1222" spans="1:7" x14ac:dyDescent="0.25">
      <c r="A1222" s="36">
        <v>41034</v>
      </c>
      <c r="B1222" s="6">
        <v>47.64</v>
      </c>
      <c r="C1222" s="6">
        <v>28.95</v>
      </c>
      <c r="D1222" s="6">
        <v>10.52</v>
      </c>
      <c r="E1222" s="6">
        <v>6.12</v>
      </c>
      <c r="G1222" s="31"/>
    </row>
    <row r="1223" spans="1:7" x14ac:dyDescent="0.25">
      <c r="A1223" s="36">
        <v>41035</v>
      </c>
      <c r="B1223" s="6">
        <v>47.74</v>
      </c>
      <c r="C1223" s="6">
        <v>29.05</v>
      </c>
      <c r="D1223" s="6">
        <v>10.62</v>
      </c>
      <c r="E1223" s="6">
        <v>6.26</v>
      </c>
      <c r="G1223" s="31"/>
    </row>
    <row r="1224" spans="1:7" x14ac:dyDescent="0.25">
      <c r="A1224" s="36">
        <v>41036</v>
      </c>
      <c r="B1224" s="6">
        <v>47.86</v>
      </c>
      <c r="C1224" s="6">
        <v>29.1</v>
      </c>
      <c r="D1224" s="6">
        <v>10.72</v>
      </c>
      <c r="E1224" s="6">
        <v>6.27</v>
      </c>
      <c r="G1224" s="31"/>
    </row>
    <row r="1225" spans="1:7" x14ac:dyDescent="0.25">
      <c r="A1225" s="36">
        <v>41037</v>
      </c>
      <c r="B1225" s="6">
        <v>48</v>
      </c>
      <c r="C1225" s="6">
        <v>29.2</v>
      </c>
      <c r="D1225" s="6">
        <v>10.82</v>
      </c>
      <c r="E1225" s="6">
        <v>6.37</v>
      </c>
      <c r="G1225" s="31"/>
    </row>
    <row r="1226" spans="1:7" x14ac:dyDescent="0.25">
      <c r="A1226" s="36">
        <v>41038</v>
      </c>
      <c r="B1226" s="6">
        <v>48.14</v>
      </c>
      <c r="C1226" s="6">
        <v>29.33</v>
      </c>
      <c r="D1226" s="6">
        <v>11</v>
      </c>
      <c r="E1226" s="6">
        <v>6.47</v>
      </c>
      <c r="G1226" s="31"/>
    </row>
    <row r="1227" spans="1:7" x14ac:dyDescent="0.25">
      <c r="A1227" s="36">
        <v>41039</v>
      </c>
      <c r="B1227" s="6">
        <v>48.32</v>
      </c>
      <c r="C1227" s="6">
        <v>29.47</v>
      </c>
      <c r="D1227" s="6">
        <v>11.16</v>
      </c>
      <c r="E1227" s="6">
        <v>6.71</v>
      </c>
      <c r="G1227" s="31"/>
    </row>
    <row r="1228" spans="1:7" x14ac:dyDescent="0.25">
      <c r="A1228" s="36">
        <v>41040</v>
      </c>
      <c r="B1228" s="6">
        <v>48.45</v>
      </c>
      <c r="C1228" s="6">
        <v>29.63</v>
      </c>
      <c r="D1228" s="6">
        <v>11.36</v>
      </c>
      <c r="E1228" s="6">
        <v>7.12</v>
      </c>
      <c r="G1228" s="31"/>
    </row>
    <row r="1229" spans="1:7" x14ac:dyDescent="0.25">
      <c r="A1229" s="36">
        <v>41041</v>
      </c>
      <c r="B1229" s="6">
        <v>48.6</v>
      </c>
      <c r="C1229" s="6">
        <v>29.77</v>
      </c>
      <c r="D1229" s="6">
        <v>11.6</v>
      </c>
      <c r="E1229" s="6">
        <v>7.47</v>
      </c>
      <c r="G1229" s="31"/>
    </row>
    <row r="1230" spans="1:7" x14ac:dyDescent="0.25">
      <c r="A1230" s="36">
        <v>41042</v>
      </c>
      <c r="B1230" s="6">
        <v>48.66</v>
      </c>
      <c r="C1230" s="6">
        <v>29.89</v>
      </c>
      <c r="D1230" s="6">
        <v>11.8</v>
      </c>
      <c r="E1230" s="6">
        <v>7.7399999999999993</v>
      </c>
      <c r="G1230" s="31"/>
    </row>
    <row r="1231" spans="1:7" x14ac:dyDescent="0.25">
      <c r="A1231" s="36">
        <v>41043</v>
      </c>
      <c r="B1231" s="6">
        <v>48.76</v>
      </c>
      <c r="C1231" s="6">
        <v>29.99</v>
      </c>
      <c r="D1231" s="6">
        <v>11.96</v>
      </c>
      <c r="E1231" s="6">
        <v>7.91</v>
      </c>
      <c r="G1231" s="31"/>
    </row>
    <row r="1232" spans="1:7" x14ac:dyDescent="0.25">
      <c r="A1232" s="36">
        <v>41044</v>
      </c>
      <c r="B1232" s="6">
        <v>48.84</v>
      </c>
      <c r="C1232" s="6">
        <v>30.09</v>
      </c>
      <c r="D1232" s="6">
        <v>12.04</v>
      </c>
      <c r="E1232" s="6">
        <v>7.92</v>
      </c>
      <c r="G1232" s="31"/>
    </row>
    <row r="1233" spans="1:7" x14ac:dyDescent="0.25">
      <c r="A1233" s="36">
        <v>41045</v>
      </c>
      <c r="B1233" s="6">
        <v>48.9</v>
      </c>
      <c r="C1233" s="6">
        <v>30.16</v>
      </c>
      <c r="D1233" s="6">
        <v>12.08</v>
      </c>
      <c r="E1233" s="6">
        <v>7.89</v>
      </c>
      <c r="G1233" s="31"/>
    </row>
    <row r="1234" spans="1:7" x14ac:dyDescent="0.25">
      <c r="A1234" s="36">
        <v>41046</v>
      </c>
      <c r="B1234" s="6">
        <v>48.98</v>
      </c>
      <c r="C1234" s="6">
        <v>30.24</v>
      </c>
      <c r="D1234" s="6">
        <v>12.08</v>
      </c>
      <c r="E1234" s="6">
        <v>7.72</v>
      </c>
      <c r="G1234" s="31"/>
    </row>
    <row r="1235" spans="1:7" x14ac:dyDescent="0.25">
      <c r="A1235" s="36">
        <v>41047</v>
      </c>
      <c r="B1235" s="6">
        <v>49.04</v>
      </c>
      <c r="C1235" s="6">
        <v>30.3</v>
      </c>
      <c r="D1235" s="6">
        <v>12.1</v>
      </c>
      <c r="E1235" s="6">
        <v>7.62</v>
      </c>
      <c r="G1235" s="31"/>
    </row>
    <row r="1236" spans="1:7" x14ac:dyDescent="0.25">
      <c r="A1236" s="36">
        <v>41048</v>
      </c>
      <c r="B1236" s="6">
        <v>49.16</v>
      </c>
      <c r="C1236" s="6">
        <v>30.37</v>
      </c>
      <c r="D1236" s="6">
        <v>12.08</v>
      </c>
      <c r="E1236" s="6">
        <v>7.64</v>
      </c>
      <c r="G1236" s="31"/>
    </row>
    <row r="1237" spans="1:7" x14ac:dyDescent="0.25">
      <c r="A1237" s="36">
        <v>41049</v>
      </c>
      <c r="B1237" s="6">
        <v>49.28</v>
      </c>
      <c r="C1237" s="6">
        <v>30.47</v>
      </c>
      <c r="D1237" s="6">
        <v>12.02</v>
      </c>
      <c r="E1237" s="6">
        <v>7.6099999999999994</v>
      </c>
      <c r="G1237" s="31"/>
    </row>
    <row r="1238" spans="1:7" x14ac:dyDescent="0.25">
      <c r="A1238" s="36">
        <v>41050</v>
      </c>
      <c r="B1238" s="6">
        <v>49.26</v>
      </c>
      <c r="C1238" s="6">
        <v>30.5</v>
      </c>
      <c r="D1238" s="6">
        <v>12.04</v>
      </c>
      <c r="E1238" s="6">
        <v>7.63</v>
      </c>
      <c r="G1238" s="31"/>
    </row>
    <row r="1239" spans="1:7" x14ac:dyDescent="0.25">
      <c r="A1239" s="36">
        <v>41051</v>
      </c>
      <c r="B1239" s="6">
        <v>49.27</v>
      </c>
      <c r="C1239" s="6">
        <v>30.55</v>
      </c>
      <c r="D1239" s="6">
        <v>12.1</v>
      </c>
      <c r="E1239" s="6">
        <v>7.72</v>
      </c>
      <c r="G1239" s="31"/>
    </row>
    <row r="1240" spans="1:7" x14ac:dyDescent="0.25">
      <c r="A1240" s="36">
        <v>41052</v>
      </c>
      <c r="B1240" s="6">
        <v>49.29</v>
      </c>
      <c r="C1240" s="6">
        <v>30.62</v>
      </c>
      <c r="D1240" s="6">
        <v>12.2</v>
      </c>
      <c r="E1240" s="6">
        <v>7.8</v>
      </c>
      <c r="G1240" s="31"/>
    </row>
    <row r="1241" spans="1:7" x14ac:dyDescent="0.25">
      <c r="A1241" s="36">
        <v>41053</v>
      </c>
      <c r="B1241" s="6">
        <v>49.3</v>
      </c>
      <c r="C1241" s="6">
        <v>30.66</v>
      </c>
      <c r="D1241" s="6">
        <v>12.26</v>
      </c>
      <c r="E1241" s="6">
        <v>7.79</v>
      </c>
      <c r="G1241" s="31"/>
    </row>
    <row r="1242" spans="1:7" x14ac:dyDescent="0.25">
      <c r="A1242" s="36">
        <v>41054</v>
      </c>
      <c r="B1242" s="6">
        <v>49.28</v>
      </c>
      <c r="C1242" s="7">
        <v>30.71</v>
      </c>
      <c r="D1242" s="6">
        <v>12.34</v>
      </c>
      <c r="E1242" s="6">
        <v>7.81</v>
      </c>
      <c r="G1242" s="31"/>
    </row>
    <row r="1243" spans="1:7" x14ac:dyDescent="0.25">
      <c r="A1243" s="36">
        <v>41055</v>
      </c>
      <c r="B1243" s="7">
        <v>49.26</v>
      </c>
      <c r="C1243" s="7">
        <v>30.75</v>
      </c>
      <c r="D1243" s="6">
        <v>12.4</v>
      </c>
      <c r="E1243" s="7">
        <v>7.8999999999999995</v>
      </c>
      <c r="G1243" s="31"/>
    </row>
    <row r="1244" spans="1:7" x14ac:dyDescent="0.25">
      <c r="A1244" s="36">
        <v>41056</v>
      </c>
      <c r="B1244" s="7">
        <v>49.19</v>
      </c>
      <c r="C1244" s="7">
        <v>30.78</v>
      </c>
      <c r="D1244" s="6">
        <v>12.5</v>
      </c>
      <c r="E1244" s="7">
        <v>7.89</v>
      </c>
      <c r="G1244" s="31"/>
    </row>
    <row r="1245" spans="1:7" x14ac:dyDescent="0.25">
      <c r="A1245" s="36">
        <v>41057</v>
      </c>
      <c r="B1245" s="7">
        <v>49.14</v>
      </c>
      <c r="C1245" s="7">
        <v>30.8</v>
      </c>
      <c r="D1245" s="6">
        <v>12.48</v>
      </c>
      <c r="E1245" s="7">
        <v>7.88</v>
      </c>
      <c r="G1245" s="31"/>
    </row>
    <row r="1246" spans="1:7" x14ac:dyDescent="0.25">
      <c r="A1246" s="36">
        <v>41058</v>
      </c>
      <c r="B1246" s="7">
        <v>49.1</v>
      </c>
      <c r="C1246" s="7">
        <v>30.81</v>
      </c>
      <c r="D1246" s="6">
        <v>12.5</v>
      </c>
      <c r="E1246" s="7">
        <v>7.89</v>
      </c>
      <c r="G1246" s="31"/>
    </row>
    <row r="1247" spans="1:7" x14ac:dyDescent="0.25">
      <c r="A1247" s="36">
        <v>41059</v>
      </c>
      <c r="B1247" s="7">
        <v>49.08</v>
      </c>
      <c r="C1247" s="7">
        <v>30.83</v>
      </c>
      <c r="D1247" s="6">
        <v>12.5</v>
      </c>
      <c r="E1247" s="7">
        <v>7.79</v>
      </c>
      <c r="G1247" s="31"/>
    </row>
    <row r="1248" spans="1:7" x14ac:dyDescent="0.25">
      <c r="A1248" s="36">
        <v>41060</v>
      </c>
      <c r="B1248" s="7">
        <v>49.09</v>
      </c>
      <c r="C1248" s="7">
        <v>30.89</v>
      </c>
      <c r="D1248" s="6">
        <v>12.54</v>
      </c>
      <c r="E1248" s="7">
        <v>7.81</v>
      </c>
      <c r="G1248" s="31"/>
    </row>
    <row r="1249" spans="1:7" x14ac:dyDescent="0.25">
      <c r="A1249" s="36">
        <v>41061</v>
      </c>
      <c r="B1249" s="7">
        <v>49.09</v>
      </c>
      <c r="C1249" s="7">
        <v>30.9</v>
      </c>
      <c r="D1249" s="6">
        <v>12.56</v>
      </c>
      <c r="E1249" s="7">
        <v>7.9</v>
      </c>
      <c r="G1249" s="31"/>
    </row>
    <row r="1250" spans="1:7" x14ac:dyDescent="0.25">
      <c r="A1250" s="36">
        <v>41062</v>
      </c>
      <c r="B1250" s="7">
        <v>49.03</v>
      </c>
      <c r="C1250" s="7">
        <v>30.93</v>
      </c>
      <c r="D1250" s="6">
        <v>12.68</v>
      </c>
      <c r="E1250" s="7">
        <v>8.08</v>
      </c>
      <c r="G1250" s="31"/>
    </row>
    <row r="1251" spans="1:7" x14ac:dyDescent="0.25">
      <c r="A1251" s="36">
        <v>41063</v>
      </c>
      <c r="B1251" s="7">
        <v>49.02</v>
      </c>
      <c r="C1251" s="7">
        <v>30.94</v>
      </c>
      <c r="D1251" s="6">
        <v>12.7</v>
      </c>
      <c r="E1251" s="7">
        <v>8.19</v>
      </c>
      <c r="G1251" s="31"/>
    </row>
    <row r="1252" spans="1:7" x14ac:dyDescent="0.25">
      <c r="A1252" s="36">
        <v>41064</v>
      </c>
      <c r="B1252" s="7">
        <v>49.04</v>
      </c>
      <c r="C1252" s="7">
        <v>30.95</v>
      </c>
      <c r="D1252" s="6">
        <v>12.78</v>
      </c>
      <c r="E1252" s="7">
        <v>8.2799999999999994</v>
      </c>
      <c r="G1252" s="31"/>
    </row>
    <row r="1253" spans="1:7" x14ac:dyDescent="0.25">
      <c r="A1253" s="36">
        <v>41065</v>
      </c>
      <c r="B1253" s="7">
        <v>48.85</v>
      </c>
      <c r="C1253" s="7">
        <v>30.94</v>
      </c>
      <c r="D1253" s="6">
        <v>12.82</v>
      </c>
      <c r="E1253" s="7">
        <v>8.2899999999999991</v>
      </c>
      <c r="G1253" s="31"/>
    </row>
    <row r="1254" spans="1:7" x14ac:dyDescent="0.25">
      <c r="A1254" s="36">
        <v>41066</v>
      </c>
      <c r="B1254" s="7">
        <v>48.75</v>
      </c>
      <c r="C1254" s="7">
        <v>30.94</v>
      </c>
      <c r="D1254" s="6">
        <v>12.84</v>
      </c>
      <c r="E1254" s="7">
        <v>8.17</v>
      </c>
      <c r="G1254" s="31"/>
    </row>
    <row r="1255" spans="1:7" x14ac:dyDescent="0.25">
      <c r="A1255" s="36">
        <v>41067</v>
      </c>
      <c r="B1255" s="7">
        <v>48.68</v>
      </c>
      <c r="C1255" s="7">
        <v>30.92</v>
      </c>
      <c r="D1255" s="6">
        <v>12.82</v>
      </c>
      <c r="E1255" s="7">
        <v>8.09</v>
      </c>
      <c r="G1255" s="31"/>
    </row>
    <row r="1256" spans="1:7" x14ac:dyDescent="0.25">
      <c r="A1256" s="36">
        <v>41068</v>
      </c>
      <c r="B1256" s="7">
        <v>48.72</v>
      </c>
      <c r="C1256" s="7">
        <v>30.92</v>
      </c>
      <c r="D1256" s="6">
        <v>12.82</v>
      </c>
      <c r="E1256" s="7">
        <v>8.06</v>
      </c>
      <c r="G1256" s="31"/>
    </row>
    <row r="1257" spans="1:7" x14ac:dyDescent="0.25">
      <c r="A1257" s="36">
        <v>41069</v>
      </c>
      <c r="B1257" s="7">
        <v>48.78</v>
      </c>
      <c r="C1257" s="7">
        <v>30.92</v>
      </c>
      <c r="D1257" s="6">
        <v>12.76</v>
      </c>
      <c r="E1257" s="7">
        <v>8</v>
      </c>
      <c r="G1257" s="31"/>
    </row>
    <row r="1258" spans="1:7" x14ac:dyDescent="0.25">
      <c r="A1258" s="36">
        <v>41070</v>
      </c>
      <c r="B1258" s="7">
        <v>48.85</v>
      </c>
      <c r="C1258" s="7">
        <v>30.93</v>
      </c>
      <c r="D1258" s="6">
        <v>12.72</v>
      </c>
      <c r="E1258" s="7">
        <v>7.96</v>
      </c>
      <c r="G1258" s="31"/>
    </row>
    <row r="1259" spans="1:7" x14ac:dyDescent="0.25">
      <c r="A1259" s="36">
        <v>41071</v>
      </c>
      <c r="B1259" s="7">
        <v>48.9</v>
      </c>
      <c r="C1259" s="7">
        <v>30.9</v>
      </c>
      <c r="D1259" s="6">
        <v>12.7</v>
      </c>
      <c r="E1259" s="7">
        <v>7.94</v>
      </c>
      <c r="G1259" s="31"/>
    </row>
    <row r="1260" spans="1:7" x14ac:dyDescent="0.25">
      <c r="A1260" s="36">
        <v>41072</v>
      </c>
      <c r="B1260" s="7">
        <v>48.92</v>
      </c>
      <c r="C1260" s="7">
        <v>31.07</v>
      </c>
      <c r="D1260" s="6">
        <v>12.7</v>
      </c>
      <c r="E1260" s="7">
        <v>8.06</v>
      </c>
      <c r="G1260" s="31"/>
    </row>
    <row r="1261" spans="1:7" x14ac:dyDescent="0.25">
      <c r="A1261" s="36">
        <v>41073</v>
      </c>
      <c r="B1261" s="7">
        <v>48.92</v>
      </c>
      <c r="C1261" s="7">
        <v>31.14</v>
      </c>
      <c r="D1261" s="6">
        <v>12.8</v>
      </c>
      <c r="E1261" s="7">
        <v>8.24</v>
      </c>
      <c r="G1261" s="31"/>
    </row>
    <row r="1262" spans="1:7" x14ac:dyDescent="0.25">
      <c r="A1262" s="36">
        <v>41074</v>
      </c>
      <c r="B1262" s="7">
        <v>49.02</v>
      </c>
      <c r="C1262" s="7">
        <v>31.22</v>
      </c>
      <c r="D1262" s="6">
        <v>12.82</v>
      </c>
      <c r="E1262" s="7">
        <v>8.42</v>
      </c>
      <c r="G1262" s="31"/>
    </row>
    <row r="1263" spans="1:7" x14ac:dyDescent="0.25">
      <c r="A1263" s="36">
        <v>41075</v>
      </c>
      <c r="B1263" s="7">
        <v>49.08</v>
      </c>
      <c r="C1263" s="6">
        <v>31.29</v>
      </c>
      <c r="D1263" s="6">
        <v>13.08</v>
      </c>
      <c r="E1263" s="7">
        <v>8.57</v>
      </c>
      <c r="G1263" s="31"/>
    </row>
    <row r="1264" spans="1:7" x14ac:dyDescent="0.25">
      <c r="A1264" s="36">
        <v>41076</v>
      </c>
      <c r="B1264" s="6">
        <v>49.15</v>
      </c>
      <c r="C1264" s="6">
        <v>31.35</v>
      </c>
      <c r="D1264" s="6">
        <v>13.22</v>
      </c>
      <c r="E1264" s="6">
        <v>8.74</v>
      </c>
      <c r="G1264" s="31"/>
    </row>
    <row r="1265" spans="1:7" x14ac:dyDescent="0.25">
      <c r="A1265" s="36">
        <v>41077</v>
      </c>
      <c r="B1265" s="6">
        <v>49.28</v>
      </c>
      <c r="C1265" s="6">
        <v>31.45</v>
      </c>
      <c r="D1265" s="6">
        <v>13.32</v>
      </c>
      <c r="E1265" s="6">
        <v>8.91</v>
      </c>
      <c r="G1265" s="31"/>
    </row>
    <row r="1266" spans="1:7" x14ac:dyDescent="0.25">
      <c r="A1266" s="36">
        <v>41078</v>
      </c>
      <c r="B1266" s="6">
        <v>49.36</v>
      </c>
      <c r="C1266" s="6">
        <v>31.52</v>
      </c>
      <c r="D1266" s="6">
        <v>13.54</v>
      </c>
      <c r="E1266" s="6">
        <v>9</v>
      </c>
      <c r="G1266" s="31"/>
    </row>
    <row r="1267" spans="1:7" x14ac:dyDescent="0.25">
      <c r="A1267" s="36">
        <v>41079</v>
      </c>
      <c r="B1267" s="6">
        <v>49.38</v>
      </c>
      <c r="C1267" s="6">
        <v>31.59</v>
      </c>
      <c r="D1267" s="6">
        <v>13.68</v>
      </c>
      <c r="E1267" s="6">
        <v>9.09</v>
      </c>
      <c r="G1267" s="31"/>
    </row>
    <row r="1268" spans="1:7" x14ac:dyDescent="0.25">
      <c r="A1268" s="36">
        <v>41080</v>
      </c>
      <c r="B1268" s="6">
        <v>49.41</v>
      </c>
      <c r="C1268" s="6">
        <v>31.65</v>
      </c>
      <c r="D1268" s="6">
        <v>13.74</v>
      </c>
      <c r="E1268" s="6">
        <v>9.11</v>
      </c>
      <c r="G1268" s="31"/>
    </row>
    <row r="1269" spans="1:7" x14ac:dyDescent="0.25">
      <c r="A1269" s="36">
        <v>41081</v>
      </c>
      <c r="B1269" s="6">
        <v>49.44</v>
      </c>
      <c r="C1269" s="6">
        <v>31.7</v>
      </c>
      <c r="D1269" s="6">
        <v>13.84</v>
      </c>
      <c r="E1269" s="6">
        <v>9.07</v>
      </c>
      <c r="G1269" s="31"/>
    </row>
    <row r="1270" spans="1:7" x14ac:dyDescent="0.25">
      <c r="A1270" s="36">
        <v>41082</v>
      </c>
      <c r="B1270" s="6">
        <v>49.46</v>
      </c>
      <c r="C1270" s="6">
        <v>31.76</v>
      </c>
      <c r="D1270" s="6">
        <v>13.88</v>
      </c>
      <c r="E1270" s="6">
        <v>9.02</v>
      </c>
      <c r="G1270" s="31"/>
    </row>
    <row r="1271" spans="1:7" x14ac:dyDescent="0.25">
      <c r="A1271" s="36">
        <v>41083</v>
      </c>
      <c r="B1271" s="6">
        <v>49.5</v>
      </c>
      <c r="C1271" s="6">
        <v>31.8</v>
      </c>
      <c r="D1271" s="6">
        <v>13.9</v>
      </c>
      <c r="E1271" s="6">
        <v>8.92</v>
      </c>
      <c r="G1271" s="31"/>
    </row>
    <row r="1272" spans="1:7" x14ac:dyDescent="0.25">
      <c r="A1272" s="36">
        <v>41084</v>
      </c>
      <c r="B1272" s="6">
        <v>49.5</v>
      </c>
      <c r="C1272" s="6">
        <v>31.84</v>
      </c>
      <c r="D1272" s="6">
        <v>13.9</v>
      </c>
      <c r="E1272" s="6">
        <v>8.86</v>
      </c>
      <c r="G1272" s="31"/>
    </row>
    <row r="1273" spans="1:7" x14ac:dyDescent="0.25">
      <c r="A1273" s="36">
        <v>41085</v>
      </c>
      <c r="B1273" s="6">
        <v>49.56</v>
      </c>
      <c r="C1273" s="6">
        <v>31.88</v>
      </c>
      <c r="D1273" s="6">
        <v>13.9</v>
      </c>
      <c r="E1273" s="6">
        <v>8.83</v>
      </c>
      <c r="G1273" s="31"/>
    </row>
    <row r="1274" spans="1:7" x14ac:dyDescent="0.25">
      <c r="A1274" s="36">
        <v>41086</v>
      </c>
      <c r="B1274" s="6">
        <v>49.58</v>
      </c>
      <c r="C1274" s="6">
        <v>31.88</v>
      </c>
      <c r="D1274" s="6">
        <v>13.92</v>
      </c>
      <c r="E1274" s="6">
        <v>8.81</v>
      </c>
      <c r="G1274" s="31"/>
    </row>
    <row r="1275" spans="1:7" x14ac:dyDescent="0.25">
      <c r="A1275" s="36">
        <v>41087</v>
      </c>
      <c r="B1275" s="6">
        <v>49.65</v>
      </c>
      <c r="C1275" s="6">
        <v>31.91</v>
      </c>
      <c r="D1275" s="6">
        <v>13.8</v>
      </c>
      <c r="E1275" s="6">
        <v>8.82</v>
      </c>
      <c r="G1275" s="31"/>
    </row>
    <row r="1276" spans="1:7" x14ac:dyDescent="0.25">
      <c r="A1276" s="36">
        <v>41088</v>
      </c>
      <c r="B1276" s="6">
        <v>49.71</v>
      </c>
      <c r="C1276" s="6">
        <v>31.93</v>
      </c>
      <c r="D1276" s="6">
        <v>13.8</v>
      </c>
      <c r="E1276" s="6">
        <v>8.77</v>
      </c>
      <c r="G1276" s="31"/>
    </row>
    <row r="1277" spans="1:7" x14ac:dyDescent="0.25">
      <c r="A1277" s="36">
        <v>41089</v>
      </c>
      <c r="B1277" s="6">
        <v>49.75</v>
      </c>
      <c r="C1277" s="6">
        <v>31.98</v>
      </c>
      <c r="D1277" s="6">
        <v>13.76</v>
      </c>
      <c r="E1277" s="6">
        <v>8.77</v>
      </c>
      <c r="G1277" s="31"/>
    </row>
    <row r="1278" spans="1:7" x14ac:dyDescent="0.25">
      <c r="A1278" s="36">
        <v>41090</v>
      </c>
      <c r="B1278" s="6">
        <v>49.78</v>
      </c>
      <c r="C1278" s="6">
        <v>32.01</v>
      </c>
      <c r="D1278" s="6">
        <v>13.74</v>
      </c>
      <c r="E1278" s="6">
        <v>8.75</v>
      </c>
      <c r="G1278" s="31"/>
    </row>
    <row r="1279" spans="1:7" x14ac:dyDescent="0.25">
      <c r="A1279" s="36">
        <v>41091</v>
      </c>
      <c r="B1279" s="6">
        <v>49.76</v>
      </c>
      <c r="C1279" s="6">
        <v>32.04</v>
      </c>
      <c r="D1279" s="6">
        <v>13.76</v>
      </c>
      <c r="E1279" s="6">
        <v>8.7199999999999989</v>
      </c>
      <c r="G1279" s="31"/>
    </row>
    <row r="1280" spans="1:7" x14ac:dyDescent="0.25">
      <c r="A1280" s="36">
        <v>41092</v>
      </c>
      <c r="B1280" s="6">
        <v>49.76</v>
      </c>
      <c r="C1280" s="6">
        <v>32.07</v>
      </c>
      <c r="D1280" s="6">
        <v>13.76</v>
      </c>
      <c r="E1280" s="6">
        <v>8.7099999999999991</v>
      </c>
      <c r="G1280" s="31"/>
    </row>
    <row r="1281" spans="1:7" x14ac:dyDescent="0.25">
      <c r="A1281" s="36">
        <v>41093</v>
      </c>
      <c r="B1281" s="6">
        <v>49.75</v>
      </c>
      <c r="C1281" s="6">
        <v>32.1</v>
      </c>
      <c r="D1281" s="6">
        <v>13.8</v>
      </c>
      <c r="E1281" s="6">
        <v>8.86</v>
      </c>
      <c r="G1281" s="31"/>
    </row>
    <row r="1282" spans="1:7" x14ac:dyDescent="0.25">
      <c r="A1282" s="36">
        <v>41094</v>
      </c>
      <c r="B1282" s="6">
        <v>49.73</v>
      </c>
      <c r="C1282" s="6">
        <v>32.15</v>
      </c>
      <c r="D1282" s="6">
        <v>13.9</v>
      </c>
      <c r="E1282" s="6">
        <v>9.0499999999999989</v>
      </c>
      <c r="G1282" s="31"/>
    </row>
    <row r="1283" spans="1:7" x14ac:dyDescent="0.25">
      <c r="A1283" s="36">
        <v>41095</v>
      </c>
      <c r="B1283" s="6">
        <v>49.7</v>
      </c>
      <c r="C1283" s="6">
        <v>32.18</v>
      </c>
      <c r="D1283" s="6">
        <v>14</v>
      </c>
      <c r="E1283" s="6">
        <v>9.2799999999999994</v>
      </c>
      <c r="G1283" s="31"/>
    </row>
    <row r="1284" spans="1:7" x14ac:dyDescent="0.25">
      <c r="A1284" s="36">
        <v>41096</v>
      </c>
      <c r="B1284" s="6">
        <v>49.66</v>
      </c>
      <c r="C1284" s="6">
        <v>32.19</v>
      </c>
      <c r="D1284" s="6">
        <v>14.1</v>
      </c>
      <c r="E1284" s="6">
        <v>9.43</v>
      </c>
      <c r="G1284" s="31"/>
    </row>
    <row r="1285" spans="1:7" x14ac:dyDescent="0.25">
      <c r="A1285" s="36">
        <v>41097</v>
      </c>
      <c r="B1285" s="6">
        <v>49.62</v>
      </c>
      <c r="C1285" s="6">
        <v>32.21</v>
      </c>
      <c r="D1285" s="6">
        <v>14.14</v>
      </c>
      <c r="E1285" s="6">
        <v>9.59</v>
      </c>
      <c r="G1285" s="31"/>
    </row>
    <row r="1286" spans="1:7" x14ac:dyDescent="0.25">
      <c r="A1286" s="36">
        <v>41098</v>
      </c>
      <c r="B1286" s="6">
        <v>49.6</v>
      </c>
      <c r="C1286" s="6">
        <v>32.229999999999997</v>
      </c>
      <c r="D1286" s="6">
        <v>14.16</v>
      </c>
      <c r="E1286" s="6">
        <v>9.65</v>
      </c>
      <c r="G1286" s="31"/>
    </row>
    <row r="1287" spans="1:7" x14ac:dyDescent="0.25">
      <c r="A1287" s="36">
        <v>41099</v>
      </c>
      <c r="B1287" s="6">
        <v>49.56</v>
      </c>
      <c r="C1287" s="6">
        <v>32.25</v>
      </c>
      <c r="D1287" s="6">
        <v>14.36</v>
      </c>
      <c r="E1287" s="6">
        <v>9.65</v>
      </c>
      <c r="G1287" s="31"/>
    </row>
    <row r="1288" spans="1:7" x14ac:dyDescent="0.25">
      <c r="A1288" s="36">
        <v>41100</v>
      </c>
      <c r="B1288" s="6">
        <v>49.54</v>
      </c>
      <c r="C1288" s="6">
        <v>32.32</v>
      </c>
      <c r="D1288" s="6">
        <v>14.38</v>
      </c>
      <c r="E1288" s="6">
        <v>9.6129999999999995</v>
      </c>
      <c r="G1288" s="31"/>
    </row>
    <row r="1289" spans="1:7" x14ac:dyDescent="0.25">
      <c r="A1289" s="36">
        <v>41101</v>
      </c>
      <c r="B1289" s="6">
        <v>49.54</v>
      </c>
      <c r="C1289" s="6">
        <v>32.229999999999997</v>
      </c>
      <c r="D1289" s="6">
        <v>14.4</v>
      </c>
      <c r="E1289" s="6">
        <v>9.56</v>
      </c>
      <c r="G1289" s="31"/>
    </row>
    <row r="1290" spans="1:7" x14ac:dyDescent="0.25">
      <c r="A1290" s="36">
        <v>41102</v>
      </c>
      <c r="B1290" s="6">
        <v>49.7</v>
      </c>
      <c r="C1290" s="6">
        <v>32.21</v>
      </c>
      <c r="D1290" s="6">
        <v>14.44</v>
      </c>
      <c r="E1290" s="6">
        <v>9.59</v>
      </c>
      <c r="G1290" s="31"/>
    </row>
    <row r="1291" spans="1:7" x14ac:dyDescent="0.25">
      <c r="A1291" s="36">
        <v>41103</v>
      </c>
      <c r="B1291" s="6">
        <v>49.8</v>
      </c>
      <c r="C1291" s="6">
        <v>32.229999999999997</v>
      </c>
      <c r="D1291" s="6">
        <v>14.46</v>
      </c>
      <c r="E1291" s="6">
        <v>9.6</v>
      </c>
      <c r="G1291" s="31"/>
    </row>
    <row r="1292" spans="1:7" x14ac:dyDescent="0.25">
      <c r="A1292" s="36">
        <v>41104</v>
      </c>
      <c r="B1292" s="6">
        <v>49.87</v>
      </c>
      <c r="C1292" s="6">
        <v>32.24</v>
      </c>
      <c r="D1292" s="6">
        <v>14.5</v>
      </c>
      <c r="E1292" s="6">
        <v>9.677999999999999</v>
      </c>
      <c r="G1292" s="31"/>
    </row>
    <row r="1293" spans="1:7" x14ac:dyDescent="0.25">
      <c r="A1293" s="36">
        <v>41105</v>
      </c>
      <c r="B1293" s="6">
        <v>49.94</v>
      </c>
      <c r="C1293" s="6">
        <v>32.270000000000003</v>
      </c>
      <c r="D1293" s="6">
        <v>14.54</v>
      </c>
      <c r="E1293" s="6">
        <v>9.7609999999999992</v>
      </c>
      <c r="G1293" s="31"/>
    </row>
    <row r="1294" spans="1:7" x14ac:dyDescent="0.25">
      <c r="A1294" s="36">
        <v>41106</v>
      </c>
      <c r="B1294" s="6">
        <v>50.02</v>
      </c>
      <c r="C1294" s="6">
        <v>32.33</v>
      </c>
      <c r="D1294" s="6">
        <v>14.58</v>
      </c>
      <c r="E1294" s="6">
        <v>9.8699999999999992</v>
      </c>
      <c r="G1294" s="31"/>
    </row>
    <row r="1295" spans="1:7" x14ac:dyDescent="0.25">
      <c r="A1295" s="36">
        <v>41107</v>
      </c>
      <c r="B1295" s="6">
        <v>50.1</v>
      </c>
      <c r="C1295" s="6">
        <v>32.380000000000003</v>
      </c>
      <c r="D1295" s="6">
        <v>14.68</v>
      </c>
      <c r="E1295" s="6">
        <v>9.9499999999999993</v>
      </c>
      <c r="G1295" s="31"/>
    </row>
    <row r="1296" spans="1:7" x14ac:dyDescent="0.25">
      <c r="A1296" s="36">
        <v>41108</v>
      </c>
      <c r="B1296" s="6">
        <v>50.14</v>
      </c>
      <c r="C1296" s="6">
        <v>32.42</v>
      </c>
      <c r="D1296" s="6">
        <v>14.76</v>
      </c>
      <c r="E1296" s="6">
        <v>10.032</v>
      </c>
      <c r="G1296" s="31"/>
    </row>
    <row r="1297" spans="1:7" x14ac:dyDescent="0.25">
      <c r="A1297" s="36">
        <v>41109</v>
      </c>
      <c r="B1297" s="6">
        <v>50.23</v>
      </c>
      <c r="C1297" s="6">
        <v>32.47</v>
      </c>
      <c r="D1297" s="6">
        <v>14.8</v>
      </c>
      <c r="E1297" s="6">
        <v>10.09</v>
      </c>
      <c r="G1297" s="31"/>
    </row>
    <row r="1298" spans="1:7" x14ac:dyDescent="0.25">
      <c r="A1298" s="36">
        <v>41110</v>
      </c>
      <c r="B1298" s="6">
        <v>50.39</v>
      </c>
      <c r="C1298" s="6">
        <v>32.520000000000003</v>
      </c>
      <c r="D1298" s="6">
        <v>14.96</v>
      </c>
      <c r="E1298" s="6">
        <v>10.147</v>
      </c>
      <c r="G1298" s="31"/>
    </row>
    <row r="1299" spans="1:7" x14ac:dyDescent="0.25">
      <c r="A1299" s="36">
        <v>41111</v>
      </c>
      <c r="B1299" s="6">
        <v>50.62</v>
      </c>
      <c r="C1299" s="6">
        <v>32.58</v>
      </c>
      <c r="D1299" s="6">
        <v>15.06</v>
      </c>
      <c r="E1299" s="6">
        <v>10.23</v>
      </c>
      <c r="G1299" s="31"/>
    </row>
    <row r="1300" spans="1:7" x14ac:dyDescent="0.25">
      <c r="A1300" s="36">
        <v>41112</v>
      </c>
      <c r="B1300" s="6">
        <v>50.78</v>
      </c>
      <c r="C1300" s="6">
        <v>32.64</v>
      </c>
      <c r="D1300" s="6">
        <v>15.2</v>
      </c>
      <c r="E1300" s="6">
        <v>10.32</v>
      </c>
      <c r="G1300" s="31"/>
    </row>
    <row r="1301" spans="1:7" x14ac:dyDescent="0.25">
      <c r="A1301" s="36">
        <v>41113</v>
      </c>
      <c r="B1301" s="6">
        <v>50.87</v>
      </c>
      <c r="C1301" s="6">
        <v>32.71</v>
      </c>
      <c r="D1301" s="6">
        <v>15.3</v>
      </c>
      <c r="E1301" s="6">
        <v>10.43</v>
      </c>
      <c r="G1301" s="31"/>
    </row>
    <row r="1302" spans="1:7" x14ac:dyDescent="0.25">
      <c r="A1302" s="36">
        <v>41114</v>
      </c>
      <c r="B1302" s="6">
        <v>50.98</v>
      </c>
      <c r="C1302" s="6">
        <v>32.78</v>
      </c>
      <c r="D1302" s="6">
        <v>15.32</v>
      </c>
      <c r="E1302" s="6">
        <v>10.43</v>
      </c>
      <c r="G1302" s="31"/>
    </row>
    <row r="1303" spans="1:7" x14ac:dyDescent="0.25">
      <c r="A1303" s="36">
        <v>41115</v>
      </c>
      <c r="B1303" s="6">
        <v>51.02</v>
      </c>
      <c r="C1303" s="6">
        <v>32.869999999999997</v>
      </c>
      <c r="D1303" s="6">
        <v>15.36</v>
      </c>
      <c r="E1303" s="6">
        <v>10.48</v>
      </c>
      <c r="G1303" s="31"/>
    </row>
    <row r="1304" spans="1:7" x14ac:dyDescent="0.25">
      <c r="A1304" s="36">
        <v>41116</v>
      </c>
      <c r="B1304" s="6">
        <v>51.06</v>
      </c>
      <c r="C1304" s="6">
        <v>32.950000000000003</v>
      </c>
      <c r="D1304" s="6">
        <v>15.38</v>
      </c>
      <c r="E1304" s="6">
        <v>10.43</v>
      </c>
      <c r="G1304" s="31"/>
    </row>
    <row r="1305" spans="1:7" x14ac:dyDescent="0.25">
      <c r="A1305" s="36">
        <v>41117</v>
      </c>
      <c r="B1305" s="6">
        <v>51.06</v>
      </c>
      <c r="C1305" s="6">
        <v>32.99</v>
      </c>
      <c r="D1305" s="6">
        <v>15.4</v>
      </c>
      <c r="E1305" s="6">
        <v>10.4</v>
      </c>
      <c r="G1305" s="31"/>
    </row>
    <row r="1306" spans="1:7" x14ac:dyDescent="0.25">
      <c r="A1306" s="36">
        <v>41118</v>
      </c>
      <c r="B1306" s="6">
        <v>51.04</v>
      </c>
      <c r="C1306" s="6">
        <v>33.06</v>
      </c>
      <c r="D1306" s="6">
        <v>15.4</v>
      </c>
      <c r="E1306" s="6">
        <v>10.39</v>
      </c>
      <c r="G1306" s="31"/>
    </row>
    <row r="1307" spans="1:7" x14ac:dyDescent="0.25">
      <c r="A1307" s="36">
        <v>41119</v>
      </c>
      <c r="B1307" s="6">
        <v>51</v>
      </c>
      <c r="C1307" s="6">
        <v>33.15</v>
      </c>
      <c r="D1307" s="6">
        <v>15.42</v>
      </c>
      <c r="E1307" s="6">
        <v>10.35</v>
      </c>
      <c r="G1307" s="31"/>
    </row>
    <row r="1308" spans="1:7" x14ac:dyDescent="0.25">
      <c r="A1308" s="36">
        <v>41120</v>
      </c>
      <c r="B1308" s="6">
        <v>50.96</v>
      </c>
      <c r="C1308" s="6">
        <v>33.21</v>
      </c>
      <c r="D1308" s="6">
        <v>15.4</v>
      </c>
      <c r="E1308" s="6">
        <v>10.31</v>
      </c>
      <c r="G1308" s="31"/>
    </row>
    <row r="1309" spans="1:7" x14ac:dyDescent="0.25">
      <c r="A1309" s="36">
        <v>41121</v>
      </c>
      <c r="B1309" s="6">
        <v>50.92</v>
      </c>
      <c r="C1309" s="6">
        <v>33.270000000000003</v>
      </c>
      <c r="D1309" s="6">
        <v>15.44</v>
      </c>
      <c r="E1309" s="6">
        <v>10.4</v>
      </c>
      <c r="G1309" s="31"/>
    </row>
    <row r="1310" spans="1:7" x14ac:dyDescent="0.25">
      <c r="A1310" s="36">
        <v>41122</v>
      </c>
      <c r="B1310" s="6">
        <v>50.92</v>
      </c>
      <c r="C1310" s="6">
        <v>33.33</v>
      </c>
      <c r="D1310" s="6">
        <v>15.52</v>
      </c>
      <c r="E1310" s="6">
        <v>10.52</v>
      </c>
      <c r="G1310" s="31"/>
    </row>
    <row r="1311" spans="1:7" x14ac:dyDescent="0.25">
      <c r="A1311" s="36">
        <v>41123</v>
      </c>
      <c r="B1311" s="6">
        <v>50.92</v>
      </c>
      <c r="C1311" s="6">
        <v>33.380000000000003</v>
      </c>
      <c r="D1311" s="6">
        <v>15.64</v>
      </c>
      <c r="E1311" s="6">
        <v>10.54</v>
      </c>
      <c r="G1311" s="31"/>
    </row>
    <row r="1312" spans="1:7" x14ac:dyDescent="0.25">
      <c r="A1312" s="36">
        <v>41124</v>
      </c>
      <c r="B1312" s="6">
        <v>50.94</v>
      </c>
      <c r="C1312" s="6">
        <v>33.450000000000003</v>
      </c>
      <c r="D1312" s="6">
        <v>15.78</v>
      </c>
      <c r="E1312" s="6">
        <v>10.69</v>
      </c>
      <c r="G1312" s="31"/>
    </row>
    <row r="1313" spans="1:7" x14ac:dyDescent="0.25">
      <c r="A1313" s="36">
        <v>41125</v>
      </c>
      <c r="B1313" s="6">
        <v>50.94</v>
      </c>
      <c r="C1313" s="6">
        <v>33.479999999999997</v>
      </c>
      <c r="D1313" s="6">
        <v>15.9</v>
      </c>
      <c r="E1313" s="6">
        <v>10.85</v>
      </c>
      <c r="G1313" s="31"/>
    </row>
    <row r="1314" spans="1:7" x14ac:dyDescent="0.25">
      <c r="A1314" s="36">
        <v>41126</v>
      </c>
      <c r="B1314" s="6">
        <v>50.96</v>
      </c>
      <c r="C1314" s="6">
        <v>33.54</v>
      </c>
      <c r="D1314" s="6">
        <v>16.02</v>
      </c>
      <c r="E1314" s="6">
        <v>10.87</v>
      </c>
      <c r="G1314" s="31"/>
    </row>
    <row r="1315" spans="1:7" x14ac:dyDescent="0.25">
      <c r="A1315" s="36">
        <v>41127</v>
      </c>
      <c r="B1315" s="6">
        <v>51.02</v>
      </c>
      <c r="C1315" s="6">
        <v>33.6</v>
      </c>
      <c r="D1315" s="6">
        <v>16.14</v>
      </c>
      <c r="E1315" s="6">
        <v>11.01</v>
      </c>
      <c r="G1315" s="31"/>
    </row>
    <row r="1316" spans="1:7" x14ac:dyDescent="0.25">
      <c r="A1316" s="36">
        <v>41128</v>
      </c>
      <c r="B1316" s="6">
        <v>51.06</v>
      </c>
      <c r="C1316" s="6">
        <v>33.69</v>
      </c>
      <c r="D1316" s="6">
        <v>16.239999999999998</v>
      </c>
      <c r="E1316" s="6">
        <v>11.09</v>
      </c>
      <c r="G1316" s="31"/>
    </row>
    <row r="1317" spans="1:7" x14ac:dyDescent="0.25">
      <c r="A1317" s="36">
        <v>41129</v>
      </c>
      <c r="B1317" s="6">
        <v>51.06</v>
      </c>
      <c r="C1317" s="6">
        <v>33.74</v>
      </c>
      <c r="D1317" s="6">
        <v>16.3</v>
      </c>
      <c r="E1317" s="6">
        <v>11.14</v>
      </c>
      <c r="G1317" s="31"/>
    </row>
    <row r="1318" spans="1:7" x14ac:dyDescent="0.25">
      <c r="A1318" s="36">
        <v>41130</v>
      </c>
      <c r="B1318" s="6">
        <v>51.07</v>
      </c>
      <c r="C1318" s="6">
        <v>33.78</v>
      </c>
      <c r="D1318" s="6">
        <v>16.38</v>
      </c>
      <c r="E1318" s="6">
        <v>11.16</v>
      </c>
      <c r="G1318" s="31"/>
    </row>
    <row r="1319" spans="1:7" x14ac:dyDescent="0.25">
      <c r="A1319" s="36">
        <v>41131</v>
      </c>
      <c r="B1319" s="6">
        <v>51.04</v>
      </c>
      <c r="C1319" s="6">
        <v>33.82</v>
      </c>
      <c r="D1319" s="6">
        <v>16.46</v>
      </c>
      <c r="E1319" s="6">
        <v>11.219999999999999</v>
      </c>
      <c r="G1319" s="31"/>
    </row>
    <row r="1320" spans="1:7" x14ac:dyDescent="0.25">
      <c r="A1320" s="36">
        <v>41132</v>
      </c>
      <c r="B1320" s="6">
        <v>50.99</v>
      </c>
      <c r="C1320" s="6">
        <v>33.86</v>
      </c>
      <c r="D1320" s="6">
        <v>16.52</v>
      </c>
      <c r="E1320" s="6">
        <v>11.259</v>
      </c>
      <c r="G1320" s="31"/>
    </row>
    <row r="1321" spans="1:7" x14ac:dyDescent="0.25">
      <c r="A1321" s="36">
        <v>41133</v>
      </c>
      <c r="B1321" s="6">
        <v>50.98</v>
      </c>
      <c r="C1321" s="6">
        <v>33.9</v>
      </c>
      <c r="D1321" s="6">
        <v>16.66</v>
      </c>
      <c r="E1321" s="6">
        <v>11.355</v>
      </c>
      <c r="G1321" s="31"/>
    </row>
    <row r="1322" spans="1:7" x14ac:dyDescent="0.25">
      <c r="A1322" s="36">
        <v>41134</v>
      </c>
      <c r="B1322" s="6">
        <v>50.94</v>
      </c>
      <c r="C1322" s="6">
        <v>33.94</v>
      </c>
      <c r="D1322" s="6">
        <v>16.760000000000002</v>
      </c>
      <c r="E1322" s="6">
        <v>11.41</v>
      </c>
      <c r="G1322" s="31"/>
    </row>
    <row r="1323" spans="1:7" x14ac:dyDescent="0.25">
      <c r="A1323" s="36">
        <v>41135</v>
      </c>
      <c r="B1323" s="6">
        <v>50.96</v>
      </c>
      <c r="C1323" s="6">
        <v>33.96</v>
      </c>
      <c r="D1323" s="6">
        <v>16.8</v>
      </c>
      <c r="E1323" s="6">
        <v>11.44</v>
      </c>
      <c r="G1323" s="31"/>
    </row>
    <row r="1324" spans="1:7" x14ac:dyDescent="0.25">
      <c r="A1324" s="36">
        <v>41136</v>
      </c>
      <c r="B1324" s="6">
        <v>50.98</v>
      </c>
      <c r="C1324" s="6">
        <v>33.97</v>
      </c>
      <c r="D1324" s="6">
        <v>16.88</v>
      </c>
      <c r="E1324" s="6">
        <v>11.45</v>
      </c>
      <c r="G1324" s="31"/>
    </row>
    <row r="1325" spans="1:7" x14ac:dyDescent="0.25">
      <c r="A1325" s="36">
        <v>41137</v>
      </c>
      <c r="B1325" s="6">
        <v>50.96</v>
      </c>
      <c r="C1325" s="6">
        <v>33.979999999999997</v>
      </c>
      <c r="D1325" s="6">
        <v>16.88</v>
      </c>
      <c r="E1325" s="6">
        <v>11.493</v>
      </c>
      <c r="G1325" s="31"/>
    </row>
    <row r="1326" spans="1:7" x14ac:dyDescent="0.25">
      <c r="A1326" s="36">
        <v>41138</v>
      </c>
      <c r="B1326" s="6">
        <v>50.94</v>
      </c>
      <c r="C1326" s="6">
        <v>33.979999999999997</v>
      </c>
      <c r="D1326" s="6">
        <v>16.84</v>
      </c>
      <c r="E1326" s="6">
        <v>11.39</v>
      </c>
      <c r="G1326" s="31"/>
    </row>
    <row r="1327" spans="1:7" x14ac:dyDescent="0.25">
      <c r="A1327" s="36">
        <v>41139</v>
      </c>
      <c r="B1327" s="6">
        <v>50.96</v>
      </c>
      <c r="C1327" s="6">
        <v>33.99</v>
      </c>
      <c r="D1327" s="6">
        <v>16.86</v>
      </c>
      <c r="E1327" s="6">
        <v>11.35</v>
      </c>
      <c r="G1327" s="31"/>
    </row>
    <row r="1328" spans="1:7" x14ac:dyDescent="0.25">
      <c r="A1328" s="36">
        <v>41140</v>
      </c>
      <c r="B1328" s="6">
        <v>51.02</v>
      </c>
      <c r="C1328" s="6">
        <v>34</v>
      </c>
      <c r="D1328" s="6">
        <v>16.86</v>
      </c>
      <c r="E1328" s="6">
        <v>11.28</v>
      </c>
      <c r="G1328" s="31"/>
    </row>
    <row r="1329" spans="1:7" x14ac:dyDescent="0.25">
      <c r="A1329" s="36">
        <v>41141</v>
      </c>
      <c r="B1329" s="6">
        <v>51.01</v>
      </c>
      <c r="C1329" s="6">
        <v>34.020000000000003</v>
      </c>
      <c r="D1329" s="6">
        <v>16.82</v>
      </c>
      <c r="E1329" s="6">
        <v>11.23</v>
      </c>
      <c r="G1329" s="31"/>
    </row>
    <row r="1330" spans="1:7" x14ac:dyDescent="0.25">
      <c r="A1330" s="36">
        <v>41142</v>
      </c>
      <c r="B1330" s="6">
        <v>51.04</v>
      </c>
      <c r="C1330" s="6">
        <v>34.01</v>
      </c>
      <c r="D1330" s="6">
        <v>16.78</v>
      </c>
      <c r="E1330" s="6">
        <v>11.209999999999999</v>
      </c>
      <c r="G1330" s="31"/>
    </row>
    <row r="1331" spans="1:7" x14ac:dyDescent="0.25">
      <c r="A1331" s="36">
        <v>41143</v>
      </c>
      <c r="B1331" s="6">
        <v>51.02</v>
      </c>
      <c r="C1331" s="6">
        <v>34.01</v>
      </c>
      <c r="D1331" s="6">
        <v>16.7</v>
      </c>
      <c r="E1331" s="6">
        <v>11.17</v>
      </c>
      <c r="G1331" s="31"/>
    </row>
    <row r="1332" spans="1:7" x14ac:dyDescent="0.25">
      <c r="A1332" s="36">
        <v>41144</v>
      </c>
      <c r="B1332" s="6">
        <v>50.98</v>
      </c>
      <c r="C1332" s="6">
        <v>34.01</v>
      </c>
      <c r="D1332" s="6">
        <v>16.7</v>
      </c>
      <c r="E1332" s="6">
        <v>11.2</v>
      </c>
      <c r="G1332" s="31"/>
    </row>
    <row r="1333" spans="1:7" x14ac:dyDescent="0.25">
      <c r="A1333" s="36">
        <v>41145</v>
      </c>
      <c r="B1333" s="6">
        <v>50.94</v>
      </c>
      <c r="C1333" s="6">
        <v>34.01</v>
      </c>
      <c r="D1333" s="6">
        <v>16.7</v>
      </c>
      <c r="E1333" s="6">
        <v>11.219999999999999</v>
      </c>
      <c r="G1333" s="31"/>
    </row>
    <row r="1334" spans="1:7" x14ac:dyDescent="0.25">
      <c r="A1334" s="36">
        <v>41146</v>
      </c>
      <c r="B1334" s="6">
        <v>50.85</v>
      </c>
      <c r="C1334" s="6">
        <v>33.99</v>
      </c>
      <c r="D1334" s="6">
        <v>16.68</v>
      </c>
      <c r="E1334" s="6">
        <v>11.2</v>
      </c>
      <c r="G1334" s="31"/>
    </row>
    <row r="1335" spans="1:7" x14ac:dyDescent="0.25">
      <c r="A1335" s="36">
        <v>41147</v>
      </c>
      <c r="B1335" s="6">
        <v>50.82</v>
      </c>
      <c r="C1335" s="6">
        <v>34</v>
      </c>
      <c r="D1335" s="6">
        <v>16.7</v>
      </c>
      <c r="E1335" s="6">
        <v>11.19</v>
      </c>
      <c r="G1335" s="31"/>
    </row>
    <row r="1336" spans="1:7" x14ac:dyDescent="0.25">
      <c r="A1336" s="36">
        <v>41148</v>
      </c>
      <c r="B1336" s="6">
        <v>50.8</v>
      </c>
      <c r="C1336" s="6">
        <v>34.01</v>
      </c>
      <c r="D1336" s="6">
        <v>16.66</v>
      </c>
      <c r="E1336" s="6">
        <v>11.12</v>
      </c>
      <c r="G1336" s="31"/>
    </row>
    <row r="1337" spans="1:7" x14ac:dyDescent="0.25">
      <c r="A1337" s="36">
        <v>41149</v>
      </c>
      <c r="B1337" s="6">
        <v>50.76</v>
      </c>
      <c r="C1337" s="6">
        <v>34</v>
      </c>
      <c r="D1337" s="6">
        <v>16.62</v>
      </c>
      <c r="E1337" s="6">
        <v>11.14</v>
      </c>
      <c r="G1337" s="31"/>
    </row>
    <row r="1338" spans="1:7" x14ac:dyDescent="0.25">
      <c r="A1338" s="36">
        <v>41150</v>
      </c>
      <c r="B1338" s="6">
        <v>50.75</v>
      </c>
      <c r="C1338" s="6">
        <v>34</v>
      </c>
      <c r="D1338" s="6">
        <v>16.600000000000001</v>
      </c>
      <c r="E1338" s="6">
        <v>10.99</v>
      </c>
      <c r="G1338" s="31"/>
    </row>
    <row r="1339" spans="1:7" x14ac:dyDescent="0.25">
      <c r="A1339" s="36">
        <v>41151</v>
      </c>
      <c r="B1339" s="6">
        <v>50.71</v>
      </c>
      <c r="C1339" s="6">
        <v>33.979999999999997</v>
      </c>
      <c r="D1339" s="6">
        <v>16.600000000000001</v>
      </c>
      <c r="E1339" s="6">
        <v>11.03</v>
      </c>
      <c r="G1339" s="31"/>
    </row>
    <row r="1340" spans="1:7" x14ac:dyDescent="0.25">
      <c r="A1340" s="36">
        <v>41152</v>
      </c>
      <c r="B1340" s="6">
        <v>50.72</v>
      </c>
      <c r="C1340" s="6">
        <v>33.96</v>
      </c>
      <c r="D1340" s="6">
        <v>16.600000000000001</v>
      </c>
      <c r="E1340" s="6">
        <v>11.07</v>
      </c>
      <c r="G1340" s="31"/>
    </row>
    <row r="1341" spans="1:7" x14ac:dyDescent="0.25">
      <c r="A1341" s="36">
        <v>41153</v>
      </c>
      <c r="B1341" s="6">
        <v>50.75</v>
      </c>
      <c r="C1341" s="6">
        <v>33.93</v>
      </c>
      <c r="D1341" s="6">
        <v>16.600000000000001</v>
      </c>
      <c r="E1341" s="6">
        <v>11.01</v>
      </c>
      <c r="G1341" s="31"/>
    </row>
    <row r="1342" spans="1:7" x14ac:dyDescent="0.25">
      <c r="A1342" s="36">
        <v>41154</v>
      </c>
      <c r="B1342" s="6">
        <v>50.73</v>
      </c>
      <c r="C1342" s="6">
        <v>33.89</v>
      </c>
      <c r="D1342" s="6">
        <v>16.559999999999999</v>
      </c>
      <c r="E1342" s="6">
        <v>10.92</v>
      </c>
      <c r="G1342" s="31"/>
    </row>
    <row r="1343" spans="1:7" x14ac:dyDescent="0.25">
      <c r="A1343" s="36">
        <v>41155</v>
      </c>
      <c r="B1343" s="6">
        <v>50.7</v>
      </c>
      <c r="C1343" s="6">
        <v>33.85</v>
      </c>
      <c r="D1343" s="6">
        <v>16.52</v>
      </c>
      <c r="E1343" s="6">
        <v>10.89</v>
      </c>
      <c r="G1343" s="31"/>
    </row>
    <row r="1344" spans="1:7" x14ac:dyDescent="0.25">
      <c r="A1344" s="36">
        <v>41156</v>
      </c>
      <c r="B1344" s="6">
        <v>50.67</v>
      </c>
      <c r="C1344" s="6">
        <v>33.840000000000003</v>
      </c>
      <c r="D1344" s="6">
        <v>16.48</v>
      </c>
      <c r="E1344" s="6">
        <v>10.82</v>
      </c>
      <c r="G1344" s="31"/>
    </row>
    <row r="1345" spans="1:7" x14ac:dyDescent="0.25">
      <c r="A1345" s="36">
        <v>41157</v>
      </c>
      <c r="B1345" s="6">
        <v>50.62</v>
      </c>
      <c r="C1345" s="6">
        <v>33.81</v>
      </c>
      <c r="D1345" s="6">
        <v>16.440000000000001</v>
      </c>
      <c r="E1345" s="6">
        <v>10.8</v>
      </c>
      <c r="G1345" s="31"/>
    </row>
    <row r="1346" spans="1:7" x14ac:dyDescent="0.25">
      <c r="A1346" s="36">
        <v>41158</v>
      </c>
      <c r="B1346" s="6">
        <v>50.6</v>
      </c>
      <c r="C1346" s="6">
        <v>33.76</v>
      </c>
      <c r="D1346" s="6">
        <v>16.420000000000002</v>
      </c>
      <c r="E1346" s="6">
        <v>10.81</v>
      </c>
      <c r="G1346" s="31"/>
    </row>
    <row r="1347" spans="1:7" x14ac:dyDescent="0.25">
      <c r="A1347" s="36">
        <v>41159</v>
      </c>
      <c r="B1347" s="6">
        <v>50.53</v>
      </c>
      <c r="C1347" s="6">
        <v>33.729999999999997</v>
      </c>
      <c r="D1347" s="6">
        <v>16.420000000000002</v>
      </c>
      <c r="E1347" s="6">
        <v>10.81</v>
      </c>
      <c r="G1347" s="31"/>
    </row>
    <row r="1348" spans="1:7" x14ac:dyDescent="0.25">
      <c r="A1348" s="36">
        <v>41160</v>
      </c>
      <c r="B1348" s="6">
        <v>50.44</v>
      </c>
      <c r="C1348" s="6">
        <v>33.69</v>
      </c>
      <c r="D1348" s="6">
        <v>16.399999999999999</v>
      </c>
      <c r="E1348" s="6">
        <v>10.84</v>
      </c>
      <c r="G1348" s="31"/>
    </row>
    <row r="1349" spans="1:7" x14ac:dyDescent="0.25">
      <c r="A1349" s="36">
        <v>41161</v>
      </c>
      <c r="B1349" s="6">
        <v>50.39</v>
      </c>
      <c r="C1349" s="6">
        <v>33.64</v>
      </c>
      <c r="D1349" s="6">
        <v>16.399999999999999</v>
      </c>
      <c r="E1349" s="6">
        <v>10.82</v>
      </c>
      <c r="G1349" s="31"/>
    </row>
    <row r="1350" spans="1:7" x14ac:dyDescent="0.25">
      <c r="A1350" s="36">
        <v>41162</v>
      </c>
      <c r="B1350" s="6">
        <v>50.3</v>
      </c>
      <c r="C1350" s="6">
        <v>33.590000000000003</v>
      </c>
      <c r="D1350" s="6">
        <v>16.32</v>
      </c>
      <c r="E1350" s="6">
        <v>10.73</v>
      </c>
      <c r="G1350" s="31"/>
    </row>
    <row r="1351" spans="1:7" x14ac:dyDescent="0.25">
      <c r="A1351" s="36">
        <v>41163</v>
      </c>
      <c r="B1351" s="6">
        <v>50.26</v>
      </c>
      <c r="C1351" s="6">
        <v>33.549999999999997</v>
      </c>
      <c r="D1351" s="6">
        <v>16.260000000000002</v>
      </c>
      <c r="E1351" s="6">
        <v>10.71</v>
      </c>
      <c r="G1351" s="31"/>
    </row>
    <row r="1352" spans="1:7" x14ac:dyDescent="0.25">
      <c r="A1352" s="36">
        <v>41164</v>
      </c>
      <c r="B1352" s="6">
        <v>50.21</v>
      </c>
      <c r="C1352" s="6">
        <v>33.5</v>
      </c>
      <c r="D1352" s="6">
        <v>16.22</v>
      </c>
      <c r="E1352" s="6">
        <v>10.71</v>
      </c>
      <c r="G1352" s="31"/>
    </row>
    <row r="1353" spans="1:7" x14ac:dyDescent="0.25">
      <c r="A1353" s="36">
        <v>41165</v>
      </c>
      <c r="B1353" s="6">
        <v>50.15</v>
      </c>
      <c r="C1353" s="6">
        <v>33.46</v>
      </c>
      <c r="D1353" s="6">
        <v>16.18</v>
      </c>
      <c r="E1353" s="6">
        <v>10.73</v>
      </c>
      <c r="G1353" s="31"/>
    </row>
    <row r="1354" spans="1:7" x14ac:dyDescent="0.25">
      <c r="A1354" s="36">
        <v>41166</v>
      </c>
      <c r="B1354" s="6">
        <v>50.09</v>
      </c>
      <c r="C1354" s="6">
        <v>33.4</v>
      </c>
      <c r="D1354" s="6">
        <v>16.18</v>
      </c>
      <c r="E1354" s="6">
        <v>10.82</v>
      </c>
      <c r="G1354" s="31"/>
    </row>
    <row r="1355" spans="1:7" x14ac:dyDescent="0.25">
      <c r="A1355" s="36">
        <v>41167</v>
      </c>
      <c r="B1355" s="6">
        <v>50.03</v>
      </c>
      <c r="C1355" s="6">
        <v>33.36</v>
      </c>
      <c r="D1355" s="6">
        <v>16.14</v>
      </c>
      <c r="E1355" s="6">
        <v>10.83</v>
      </c>
      <c r="G1355" s="31"/>
    </row>
    <row r="1356" spans="1:7" x14ac:dyDescent="0.25">
      <c r="A1356" s="36">
        <v>41168</v>
      </c>
      <c r="B1356" s="6">
        <v>49.97</v>
      </c>
      <c r="C1356" s="6">
        <v>33.31</v>
      </c>
      <c r="D1356" s="6">
        <v>16.14</v>
      </c>
      <c r="E1356" s="6">
        <v>10.82</v>
      </c>
      <c r="G1356" s="31"/>
    </row>
    <row r="1357" spans="1:7" x14ac:dyDescent="0.25">
      <c r="A1357" s="36">
        <v>41169</v>
      </c>
      <c r="B1357" s="6">
        <v>49.91</v>
      </c>
      <c r="C1357" s="6">
        <v>33.270000000000003</v>
      </c>
      <c r="D1357" s="6">
        <v>16.100000000000001</v>
      </c>
      <c r="E1357" s="6">
        <v>10.82</v>
      </c>
      <c r="G1357" s="31"/>
    </row>
    <row r="1358" spans="1:7" x14ac:dyDescent="0.25">
      <c r="A1358" s="36">
        <v>41170</v>
      </c>
      <c r="B1358" s="6">
        <v>49.86</v>
      </c>
      <c r="C1358" s="6">
        <v>33.22</v>
      </c>
      <c r="D1358" s="6">
        <v>16.079999999999998</v>
      </c>
      <c r="E1358" s="6">
        <v>10.59</v>
      </c>
      <c r="G1358" s="31"/>
    </row>
    <row r="1359" spans="1:7" x14ac:dyDescent="0.25">
      <c r="A1359" s="36">
        <v>41171</v>
      </c>
      <c r="B1359" s="6">
        <v>49.84</v>
      </c>
      <c r="C1359" s="6">
        <v>33.17</v>
      </c>
      <c r="D1359" s="6">
        <v>16.02</v>
      </c>
      <c r="E1359" s="6">
        <v>10.53</v>
      </c>
      <c r="G1359" s="31"/>
    </row>
    <row r="1360" spans="1:7" x14ac:dyDescent="0.25">
      <c r="A1360" s="36">
        <v>41172</v>
      </c>
      <c r="B1360" s="6">
        <v>49.78</v>
      </c>
      <c r="C1360" s="6">
        <v>33.119999999999997</v>
      </c>
      <c r="D1360" s="6">
        <v>15.92</v>
      </c>
      <c r="E1360" s="6">
        <v>10.549999999999999</v>
      </c>
      <c r="G1360" s="31"/>
    </row>
    <row r="1361" spans="1:7" x14ac:dyDescent="0.25">
      <c r="A1361" s="36">
        <v>41173</v>
      </c>
      <c r="B1361" s="6">
        <v>49.7</v>
      </c>
      <c r="C1361" s="6">
        <v>33.06</v>
      </c>
      <c r="D1361" s="6">
        <v>15.82</v>
      </c>
      <c r="E1361" s="6">
        <v>10.49</v>
      </c>
      <c r="G1361" s="31"/>
    </row>
    <row r="1362" spans="1:7" x14ac:dyDescent="0.25">
      <c r="A1362" s="36">
        <v>41174</v>
      </c>
      <c r="B1362" s="6">
        <v>49.61</v>
      </c>
      <c r="C1362" s="6">
        <v>33.01</v>
      </c>
      <c r="D1362" s="6">
        <v>15.78</v>
      </c>
      <c r="E1362" s="6">
        <v>10.41</v>
      </c>
      <c r="G1362" s="31"/>
    </row>
    <row r="1363" spans="1:7" x14ac:dyDescent="0.25">
      <c r="A1363" s="36">
        <v>41175</v>
      </c>
      <c r="B1363" s="6">
        <v>49.48</v>
      </c>
      <c r="C1363" s="6">
        <v>32.950000000000003</v>
      </c>
      <c r="D1363" s="6">
        <v>15.68</v>
      </c>
      <c r="E1363" s="6">
        <v>10.32</v>
      </c>
      <c r="G1363" s="31"/>
    </row>
    <row r="1364" spans="1:7" x14ac:dyDescent="0.25">
      <c r="A1364" s="36">
        <v>41176</v>
      </c>
      <c r="B1364" s="6">
        <v>49.37</v>
      </c>
      <c r="C1364" s="6">
        <v>32.9</v>
      </c>
      <c r="D1364" s="6">
        <v>15.58</v>
      </c>
      <c r="E1364" s="6">
        <v>10.209999999999999</v>
      </c>
      <c r="G1364" s="31"/>
    </row>
    <row r="1365" spans="1:7" x14ac:dyDescent="0.25">
      <c r="A1365" s="36">
        <v>41177</v>
      </c>
      <c r="B1365" s="6">
        <v>49.25</v>
      </c>
      <c r="C1365" s="6">
        <v>32.83</v>
      </c>
      <c r="D1365" s="6">
        <v>15.48</v>
      </c>
      <c r="E1365" s="6">
        <v>10.15</v>
      </c>
      <c r="G1365" s="31"/>
    </row>
    <row r="1366" spans="1:7" x14ac:dyDescent="0.25">
      <c r="A1366" s="36">
        <v>41178</v>
      </c>
      <c r="B1366" s="6">
        <v>49.17</v>
      </c>
      <c r="C1366" s="6">
        <v>32.76</v>
      </c>
      <c r="D1366" s="6">
        <v>15.38</v>
      </c>
      <c r="E1366" s="6">
        <v>10.18</v>
      </c>
      <c r="G1366" s="31"/>
    </row>
    <row r="1367" spans="1:7" x14ac:dyDescent="0.25">
      <c r="A1367" s="36">
        <v>41179</v>
      </c>
      <c r="B1367" s="6">
        <v>49.08</v>
      </c>
      <c r="C1367" s="6">
        <v>32.68</v>
      </c>
      <c r="D1367" s="6">
        <v>15.3</v>
      </c>
      <c r="E1367" s="6">
        <v>10.129999999999999</v>
      </c>
      <c r="G1367" s="31"/>
    </row>
    <row r="1368" spans="1:7" x14ac:dyDescent="0.25">
      <c r="A1368" s="36">
        <v>41180</v>
      </c>
      <c r="B1368" s="6">
        <v>48.94</v>
      </c>
      <c r="C1368" s="6">
        <v>32.64</v>
      </c>
      <c r="D1368" s="6">
        <v>15.22</v>
      </c>
      <c r="E1368" s="6">
        <v>9.98</v>
      </c>
      <c r="G1368" s="31"/>
    </row>
    <row r="1369" spans="1:7" x14ac:dyDescent="0.25">
      <c r="A1369" s="36">
        <v>41181</v>
      </c>
      <c r="B1369" s="6">
        <v>48.86</v>
      </c>
      <c r="C1369" s="6">
        <v>32.58</v>
      </c>
      <c r="D1369" s="6">
        <v>15.18</v>
      </c>
      <c r="E1369" s="6">
        <v>9.9600000000000009</v>
      </c>
      <c r="G1369" s="31"/>
    </row>
    <row r="1370" spans="1:7" x14ac:dyDescent="0.25">
      <c r="A1370" s="36">
        <v>41182</v>
      </c>
      <c r="B1370" s="6">
        <v>48.79</v>
      </c>
      <c r="C1370" s="6">
        <v>32.5</v>
      </c>
      <c r="D1370" s="6">
        <v>15.18</v>
      </c>
      <c r="E1370" s="6">
        <v>9.9700000000000006</v>
      </c>
      <c r="G1370" s="31"/>
    </row>
    <row r="1371" spans="1:7" x14ac:dyDescent="0.25">
      <c r="A1371" s="36">
        <v>41183</v>
      </c>
      <c r="B1371" s="6">
        <v>48.68</v>
      </c>
      <c r="C1371" s="6">
        <v>32.47</v>
      </c>
      <c r="D1371" s="6">
        <v>15.08</v>
      </c>
      <c r="E1371" s="6">
        <v>9.93</v>
      </c>
      <c r="G1371" s="31"/>
    </row>
    <row r="1372" spans="1:7" x14ac:dyDescent="0.25">
      <c r="A1372" s="36">
        <v>41184</v>
      </c>
      <c r="B1372" s="6">
        <v>48.56</v>
      </c>
      <c r="C1372" s="6">
        <v>32.35</v>
      </c>
      <c r="D1372" s="6">
        <v>15</v>
      </c>
      <c r="E1372" s="6">
        <v>9.86</v>
      </c>
      <c r="G1372" s="31"/>
    </row>
    <row r="1373" spans="1:7" x14ac:dyDescent="0.25">
      <c r="A1373" s="36">
        <v>41185</v>
      </c>
      <c r="B1373" s="6">
        <v>48.43</v>
      </c>
      <c r="C1373" s="6">
        <v>32.26</v>
      </c>
      <c r="D1373" s="6">
        <v>14.88</v>
      </c>
      <c r="E1373" s="6">
        <v>9.77</v>
      </c>
      <c r="G1373" s="31"/>
    </row>
    <row r="1374" spans="1:7" x14ac:dyDescent="0.25">
      <c r="A1374" s="36">
        <v>41186</v>
      </c>
      <c r="B1374" s="6">
        <v>48.3</v>
      </c>
      <c r="C1374" s="6">
        <v>32.159999999999997</v>
      </c>
      <c r="D1374" s="6">
        <v>14.76</v>
      </c>
      <c r="E1374" s="6">
        <v>9.64</v>
      </c>
      <c r="G1374" s="31"/>
    </row>
    <row r="1375" spans="1:7" x14ac:dyDescent="0.25">
      <c r="A1375" s="36">
        <v>41187</v>
      </c>
      <c r="B1375" s="6">
        <v>48.12</v>
      </c>
      <c r="C1375" s="6">
        <v>32.18</v>
      </c>
      <c r="D1375" s="6">
        <v>14.64</v>
      </c>
      <c r="E1375" s="6">
        <v>9.5399999999999991</v>
      </c>
      <c r="G1375" s="31"/>
    </row>
    <row r="1376" spans="1:7" x14ac:dyDescent="0.25">
      <c r="A1376" s="36">
        <v>41188</v>
      </c>
      <c r="B1376" s="6">
        <v>47.98</v>
      </c>
      <c r="C1376" s="6">
        <v>32.01</v>
      </c>
      <c r="D1376" s="6">
        <v>14.52</v>
      </c>
      <c r="E1376" s="6">
        <v>9.4</v>
      </c>
      <c r="G1376" s="31"/>
    </row>
    <row r="1377" spans="1:7" x14ac:dyDescent="0.25">
      <c r="A1377" s="36">
        <v>41189</v>
      </c>
      <c r="B1377" s="6">
        <v>47.82</v>
      </c>
      <c r="C1377" s="6">
        <v>31.9</v>
      </c>
      <c r="D1377" s="6">
        <v>14.38</v>
      </c>
      <c r="E1377" s="6">
        <v>9.24</v>
      </c>
      <c r="G1377" s="31"/>
    </row>
    <row r="1378" spans="1:7" x14ac:dyDescent="0.25">
      <c r="A1378" s="36">
        <v>41190</v>
      </c>
      <c r="B1378" s="6">
        <v>47.67</v>
      </c>
      <c r="C1378" s="6">
        <v>31.79</v>
      </c>
      <c r="D1378" s="6">
        <v>14.26</v>
      </c>
      <c r="E1378" s="6">
        <v>9.2100000000000009</v>
      </c>
      <c r="G1378" s="31"/>
    </row>
    <row r="1379" spans="1:7" x14ac:dyDescent="0.25">
      <c r="A1379" s="36">
        <v>41191</v>
      </c>
      <c r="B1379" s="6">
        <v>47.53</v>
      </c>
      <c r="C1379" s="6">
        <v>31.7</v>
      </c>
      <c r="D1379" s="6">
        <v>14.14</v>
      </c>
      <c r="E1379" s="6">
        <v>9.09</v>
      </c>
      <c r="G1379" s="31"/>
    </row>
    <row r="1380" spans="1:7" x14ac:dyDescent="0.25">
      <c r="A1380" s="36">
        <v>41192</v>
      </c>
      <c r="B1380" s="6">
        <v>47.37</v>
      </c>
      <c r="C1380" s="6">
        <v>31.58</v>
      </c>
      <c r="D1380" s="6">
        <v>14.02</v>
      </c>
      <c r="E1380" s="6">
        <v>9</v>
      </c>
      <c r="G1380" s="31"/>
    </row>
    <row r="1381" spans="1:7" x14ac:dyDescent="0.25">
      <c r="A1381" s="36">
        <v>41193</v>
      </c>
      <c r="B1381" s="6">
        <v>47.23</v>
      </c>
      <c r="C1381" s="6">
        <v>31.46</v>
      </c>
      <c r="D1381" s="6">
        <v>13.9</v>
      </c>
      <c r="E1381" s="6">
        <v>8.91</v>
      </c>
      <c r="G1381" s="31"/>
    </row>
    <row r="1382" spans="1:7" x14ac:dyDescent="0.25">
      <c r="A1382" s="36">
        <v>41194</v>
      </c>
      <c r="B1382" s="6">
        <v>47.04</v>
      </c>
      <c r="C1382" s="6">
        <v>31.32</v>
      </c>
      <c r="D1382" s="6">
        <v>13.76</v>
      </c>
      <c r="E1382" s="6">
        <v>8.81</v>
      </c>
      <c r="G1382" s="31"/>
    </row>
    <row r="1383" spans="1:7" x14ac:dyDescent="0.25">
      <c r="A1383" s="36">
        <v>41195</v>
      </c>
      <c r="B1383" s="6">
        <v>46.91</v>
      </c>
      <c r="C1383" s="6">
        <v>31.18</v>
      </c>
      <c r="D1383" s="6">
        <v>13.66</v>
      </c>
      <c r="E1383" s="6">
        <v>8.7200000000000006</v>
      </c>
      <c r="G1383" s="31"/>
    </row>
    <row r="1384" spans="1:7" x14ac:dyDescent="0.25">
      <c r="A1384" s="36">
        <v>41196</v>
      </c>
      <c r="B1384" s="6">
        <v>46.8</v>
      </c>
      <c r="C1384" s="6">
        <v>31.06</v>
      </c>
      <c r="D1384" s="6">
        <v>13.64</v>
      </c>
      <c r="E1384" s="6">
        <v>8.6199999999999992</v>
      </c>
      <c r="G1384" s="31"/>
    </row>
    <row r="1385" spans="1:7" x14ac:dyDescent="0.25">
      <c r="A1385" s="36">
        <v>41197</v>
      </c>
      <c r="B1385" s="6">
        <v>46.7</v>
      </c>
      <c r="C1385" s="6">
        <v>30.95</v>
      </c>
      <c r="D1385" s="6">
        <v>13.44</v>
      </c>
      <c r="E1385" s="6">
        <v>8.5299999999999994</v>
      </c>
      <c r="G1385" s="31"/>
    </row>
    <row r="1386" spans="1:7" x14ac:dyDescent="0.25">
      <c r="A1386" s="36">
        <v>41198</v>
      </c>
      <c r="B1386" s="6">
        <v>46.63</v>
      </c>
      <c r="C1386" s="6">
        <v>30.84</v>
      </c>
      <c r="D1386" s="6">
        <v>13.34</v>
      </c>
      <c r="E1386" s="6">
        <v>8.39</v>
      </c>
      <c r="G1386" s="31"/>
    </row>
    <row r="1387" spans="1:7" x14ac:dyDescent="0.25">
      <c r="A1387" s="36">
        <v>41199</v>
      </c>
      <c r="B1387" s="6">
        <v>46.56</v>
      </c>
      <c r="C1387" s="6">
        <v>30.71</v>
      </c>
      <c r="D1387" s="6">
        <v>13.24</v>
      </c>
      <c r="E1387" s="6">
        <v>8.359</v>
      </c>
      <c r="G1387" s="31"/>
    </row>
    <row r="1388" spans="1:7" x14ac:dyDescent="0.25">
      <c r="A1388" s="36">
        <v>41200</v>
      </c>
      <c r="B1388" s="6">
        <v>46.49</v>
      </c>
      <c r="C1388" s="6">
        <v>30.58</v>
      </c>
      <c r="D1388" s="6">
        <v>13.12</v>
      </c>
      <c r="E1388" s="6">
        <v>8.3010000000000002</v>
      </c>
      <c r="G1388" s="31"/>
    </row>
    <row r="1389" spans="1:7" x14ac:dyDescent="0.25">
      <c r="A1389" s="36">
        <v>41201</v>
      </c>
      <c r="B1389" s="6">
        <v>46.44</v>
      </c>
      <c r="C1389" s="6">
        <v>30.47</v>
      </c>
      <c r="D1389" s="6">
        <v>13.02</v>
      </c>
      <c r="E1389" s="6">
        <v>8.2349999999999994</v>
      </c>
      <c r="G1389" s="31"/>
    </row>
    <row r="1390" spans="1:7" x14ac:dyDescent="0.25">
      <c r="A1390" s="36">
        <v>41202</v>
      </c>
      <c r="B1390" s="6">
        <v>46.44</v>
      </c>
      <c r="C1390" s="6">
        <v>30.34</v>
      </c>
      <c r="D1390" s="6">
        <v>12.9</v>
      </c>
      <c r="E1390" s="6">
        <v>8.120000000000001</v>
      </c>
      <c r="G1390" s="31"/>
    </row>
    <row r="1391" spans="1:7" x14ac:dyDescent="0.25">
      <c r="A1391" s="36">
        <v>41203</v>
      </c>
      <c r="B1391" s="6">
        <v>46.47</v>
      </c>
      <c r="C1391" s="6">
        <v>30.24</v>
      </c>
      <c r="D1391" s="6">
        <v>12.82</v>
      </c>
      <c r="E1391" s="6">
        <v>8.02</v>
      </c>
      <c r="G1391" s="31"/>
    </row>
    <row r="1392" spans="1:7" x14ac:dyDescent="0.25">
      <c r="A1392" s="36">
        <v>41204</v>
      </c>
      <c r="B1392" s="6">
        <v>46.5</v>
      </c>
      <c r="C1392" s="6">
        <v>30.17</v>
      </c>
      <c r="D1392" s="6">
        <v>12.62</v>
      </c>
      <c r="E1392" s="6">
        <v>7.88</v>
      </c>
      <c r="G1392" s="31"/>
    </row>
    <row r="1393" spans="1:7" x14ac:dyDescent="0.25">
      <c r="A1393" s="36">
        <v>41205</v>
      </c>
      <c r="B1393" s="6">
        <v>46.55</v>
      </c>
      <c r="C1393" s="6">
        <v>30.12</v>
      </c>
      <c r="D1393" s="6">
        <v>12.48</v>
      </c>
      <c r="E1393" s="6">
        <v>7.7799999999999994</v>
      </c>
      <c r="G1393" s="31"/>
    </row>
    <row r="1394" spans="1:7" x14ac:dyDescent="0.25">
      <c r="A1394" s="36">
        <v>41206</v>
      </c>
      <c r="B1394" s="6">
        <v>46.6</v>
      </c>
      <c r="C1394" s="6">
        <v>30.1</v>
      </c>
      <c r="D1394" s="6">
        <v>12.36</v>
      </c>
      <c r="E1394" s="6">
        <v>7.68</v>
      </c>
      <c r="G1394" s="31"/>
    </row>
    <row r="1395" spans="1:7" x14ac:dyDescent="0.25">
      <c r="A1395" s="36">
        <v>41207</v>
      </c>
      <c r="B1395" s="6">
        <v>46.6</v>
      </c>
      <c r="C1395" s="6">
        <v>30.09</v>
      </c>
      <c r="D1395" s="6">
        <v>12.24</v>
      </c>
      <c r="E1395" s="6">
        <v>7.56</v>
      </c>
      <c r="G1395" s="31"/>
    </row>
    <row r="1396" spans="1:7" x14ac:dyDescent="0.25">
      <c r="A1396" s="36">
        <v>41208</v>
      </c>
      <c r="B1396" s="6">
        <v>46.57</v>
      </c>
      <c r="C1396" s="6">
        <v>30.09</v>
      </c>
      <c r="D1396" s="6">
        <v>12.12</v>
      </c>
      <c r="E1396" s="6">
        <v>7.51</v>
      </c>
      <c r="G1396" s="31"/>
    </row>
    <row r="1397" spans="1:7" x14ac:dyDescent="0.25">
      <c r="A1397" s="36">
        <v>41209</v>
      </c>
      <c r="B1397" s="6">
        <v>46.54</v>
      </c>
      <c r="C1397" s="6">
        <v>30.07</v>
      </c>
      <c r="D1397" s="6">
        <v>11.98</v>
      </c>
      <c r="E1397" s="6">
        <v>7.39</v>
      </c>
      <c r="G1397" s="31"/>
    </row>
    <row r="1398" spans="1:7" x14ac:dyDescent="0.25">
      <c r="A1398" s="36">
        <v>41210</v>
      </c>
      <c r="B1398" s="6">
        <v>46.45</v>
      </c>
      <c r="C1398" s="6">
        <v>30.07</v>
      </c>
      <c r="D1398" s="6">
        <v>11.94</v>
      </c>
      <c r="E1398" s="6">
        <v>7.34</v>
      </c>
      <c r="G1398" s="31"/>
    </row>
    <row r="1399" spans="1:7" x14ac:dyDescent="0.25">
      <c r="A1399" s="36">
        <v>41211</v>
      </c>
      <c r="B1399" s="6">
        <v>46.35</v>
      </c>
      <c r="C1399" s="6">
        <v>30.05</v>
      </c>
      <c r="D1399" s="6">
        <v>11.88</v>
      </c>
      <c r="E1399" s="6">
        <v>7.26</v>
      </c>
      <c r="G1399" s="31"/>
    </row>
    <row r="1400" spans="1:7" x14ac:dyDescent="0.25">
      <c r="A1400" s="36">
        <v>41212</v>
      </c>
      <c r="B1400" s="6">
        <v>46.24</v>
      </c>
      <c r="C1400" s="6">
        <v>30.03</v>
      </c>
      <c r="D1400" s="6">
        <v>11.82</v>
      </c>
      <c r="E1400" s="6">
        <v>7.22</v>
      </c>
      <c r="G1400" s="31"/>
    </row>
    <row r="1401" spans="1:7" x14ac:dyDescent="0.25">
      <c r="A1401" s="36">
        <v>41213</v>
      </c>
      <c r="B1401" s="6">
        <v>46.08</v>
      </c>
      <c r="C1401" s="6">
        <v>30</v>
      </c>
      <c r="D1401" s="6">
        <v>11.78</v>
      </c>
      <c r="E1401" s="6">
        <v>7.1999999999999993</v>
      </c>
      <c r="G1401" s="31"/>
    </row>
    <row r="1402" spans="1:7" x14ac:dyDescent="0.25">
      <c r="A1402" s="36">
        <v>41214</v>
      </c>
      <c r="B1402" s="6">
        <v>45.97</v>
      </c>
      <c r="C1402" s="6">
        <v>29.95</v>
      </c>
      <c r="D1402" s="6">
        <v>11.7</v>
      </c>
      <c r="E1402" s="6">
        <v>7.13</v>
      </c>
      <c r="G1402" s="31"/>
    </row>
    <row r="1403" spans="1:7" x14ac:dyDescent="0.25">
      <c r="A1403" s="36">
        <v>41215</v>
      </c>
      <c r="B1403" s="6">
        <v>45.96</v>
      </c>
      <c r="C1403" s="6">
        <v>29.89</v>
      </c>
      <c r="D1403" s="6">
        <v>11.64</v>
      </c>
      <c r="E1403" s="6">
        <v>7.1040000000000001</v>
      </c>
      <c r="G1403" s="31"/>
    </row>
    <row r="1404" spans="1:7" x14ac:dyDescent="0.25">
      <c r="A1404" s="36">
        <v>41216</v>
      </c>
      <c r="B1404" s="6">
        <v>45.77</v>
      </c>
      <c r="C1404" s="6">
        <v>29.8</v>
      </c>
      <c r="D1404" s="6">
        <v>11.6</v>
      </c>
      <c r="E1404" s="6">
        <v>7.06</v>
      </c>
      <c r="G1404" s="31"/>
    </row>
    <row r="1405" spans="1:7" x14ac:dyDescent="0.25">
      <c r="A1405" s="36">
        <v>41217</v>
      </c>
      <c r="B1405" s="6">
        <v>45.69</v>
      </c>
      <c r="C1405" s="6">
        <v>29.71</v>
      </c>
      <c r="D1405" s="6">
        <v>11.54</v>
      </c>
      <c r="E1405" s="6">
        <v>6.96</v>
      </c>
      <c r="G1405" s="31"/>
    </row>
    <row r="1406" spans="1:7" x14ac:dyDescent="0.25">
      <c r="A1406" s="36">
        <v>41218</v>
      </c>
      <c r="B1406" s="6">
        <v>45.6</v>
      </c>
      <c r="C1406" s="6">
        <v>29.61</v>
      </c>
      <c r="D1406" s="6">
        <v>11.5</v>
      </c>
      <c r="E1406" s="6">
        <v>6.91</v>
      </c>
      <c r="G1406" s="31"/>
    </row>
    <row r="1407" spans="1:7" x14ac:dyDescent="0.25">
      <c r="A1407" s="36">
        <v>41219</v>
      </c>
      <c r="B1407" s="6">
        <v>45.55</v>
      </c>
      <c r="C1407" s="6">
        <v>29.5</v>
      </c>
      <c r="D1407" s="6">
        <v>11.4</v>
      </c>
      <c r="E1407" s="6">
        <v>6.87</v>
      </c>
      <c r="G1407" s="31"/>
    </row>
    <row r="1408" spans="1:7" x14ac:dyDescent="0.25">
      <c r="A1408" s="36">
        <v>41220</v>
      </c>
      <c r="B1408" s="6">
        <v>45.48</v>
      </c>
      <c r="C1408" s="6">
        <v>29.38</v>
      </c>
      <c r="D1408" s="6">
        <v>11.34</v>
      </c>
      <c r="E1408" s="6">
        <v>6.8199999999999994</v>
      </c>
      <c r="G1408" s="31"/>
    </row>
    <row r="1409" spans="1:7" x14ac:dyDescent="0.25">
      <c r="A1409" s="36">
        <v>41221</v>
      </c>
      <c r="B1409" s="6">
        <v>45.44</v>
      </c>
      <c r="C1409" s="6">
        <v>29.25</v>
      </c>
      <c r="D1409" s="6">
        <v>11.28</v>
      </c>
      <c r="E1409" s="6">
        <v>6.78</v>
      </c>
      <c r="G1409" s="31"/>
    </row>
    <row r="1410" spans="1:7" x14ac:dyDescent="0.25">
      <c r="A1410" s="36">
        <v>41222</v>
      </c>
      <c r="B1410" s="6">
        <v>45.42</v>
      </c>
      <c r="C1410" s="6">
        <v>29.11</v>
      </c>
      <c r="D1410" s="6">
        <v>11.16</v>
      </c>
      <c r="E1410" s="6">
        <v>6.71</v>
      </c>
      <c r="G1410" s="31"/>
    </row>
    <row r="1411" spans="1:7" x14ac:dyDescent="0.25">
      <c r="A1411" s="36">
        <v>41223</v>
      </c>
      <c r="B1411" s="6">
        <v>45.42</v>
      </c>
      <c r="C1411" s="6">
        <v>28.97</v>
      </c>
      <c r="D1411" s="6">
        <v>11</v>
      </c>
      <c r="E1411" s="6">
        <v>6.6499999999999995</v>
      </c>
      <c r="G1411" s="31"/>
    </row>
    <row r="1412" spans="1:7" x14ac:dyDescent="0.25">
      <c r="A1412" s="36">
        <v>41224</v>
      </c>
      <c r="B1412" s="6">
        <v>45.38</v>
      </c>
      <c r="C1412" s="6">
        <v>28.83</v>
      </c>
      <c r="D1412" s="6">
        <v>10.9</v>
      </c>
      <c r="E1412" s="6">
        <v>6.55</v>
      </c>
      <c r="G1412" s="31"/>
    </row>
    <row r="1413" spans="1:7" x14ac:dyDescent="0.25">
      <c r="A1413" s="36">
        <v>41225</v>
      </c>
      <c r="B1413" s="6">
        <v>45.31</v>
      </c>
      <c r="C1413" s="6">
        <v>28.73</v>
      </c>
      <c r="D1413" s="6">
        <v>10.76</v>
      </c>
      <c r="E1413" s="6">
        <v>6.41</v>
      </c>
      <c r="G1413" s="31"/>
    </row>
    <row r="1414" spans="1:7" x14ac:dyDescent="0.25">
      <c r="A1414" s="36">
        <v>41226</v>
      </c>
      <c r="B1414" s="6">
        <v>45.22</v>
      </c>
      <c r="C1414" s="6">
        <v>28.64</v>
      </c>
      <c r="D1414" s="6">
        <v>10.66</v>
      </c>
      <c r="E1414" s="6">
        <v>6.3599999999999994</v>
      </c>
      <c r="G1414" s="31"/>
    </row>
    <row r="1415" spans="1:7" x14ac:dyDescent="0.25">
      <c r="A1415" s="36">
        <v>41227</v>
      </c>
      <c r="B1415" s="6">
        <v>45.1</v>
      </c>
      <c r="C1415" s="6">
        <v>28.69</v>
      </c>
      <c r="D1415" s="6">
        <v>10.58</v>
      </c>
      <c r="E1415" s="6">
        <v>6.3</v>
      </c>
      <c r="G1415" s="31"/>
    </row>
    <row r="1416" spans="1:7" x14ac:dyDescent="0.25">
      <c r="A1416" s="36">
        <v>41228</v>
      </c>
      <c r="B1416" s="6">
        <v>45.03</v>
      </c>
      <c r="C1416" s="6">
        <v>28.5</v>
      </c>
      <c r="D1416" s="6">
        <v>10.46</v>
      </c>
      <c r="E1416" s="6">
        <v>6.2299999999999995</v>
      </c>
      <c r="G1416" s="31"/>
    </row>
    <row r="1417" spans="1:7" x14ac:dyDescent="0.25">
      <c r="A1417" s="36">
        <v>41229</v>
      </c>
      <c r="B1417" s="6">
        <v>44.98</v>
      </c>
      <c r="C1417" s="6">
        <v>28.41</v>
      </c>
      <c r="D1417" s="6">
        <v>10.36</v>
      </c>
      <c r="E1417" s="6">
        <v>6.1</v>
      </c>
      <c r="G1417" s="31"/>
    </row>
    <row r="1418" spans="1:7" x14ac:dyDescent="0.25">
      <c r="A1418" s="36">
        <v>41230</v>
      </c>
      <c r="B1418" s="6">
        <v>44.88</v>
      </c>
      <c r="C1418" s="6">
        <v>28.32</v>
      </c>
      <c r="D1418" s="6">
        <v>10.26</v>
      </c>
      <c r="E1418" s="6">
        <v>6.0699999999999994</v>
      </c>
      <c r="G1418" s="31"/>
    </row>
    <row r="1419" spans="1:7" x14ac:dyDescent="0.25">
      <c r="A1419" s="36">
        <v>41231</v>
      </c>
      <c r="B1419" s="6">
        <v>44.83</v>
      </c>
      <c r="C1419" s="6">
        <v>28.24</v>
      </c>
      <c r="D1419" s="6">
        <v>10.199999999999999</v>
      </c>
      <c r="E1419" s="6">
        <v>6.01</v>
      </c>
      <c r="G1419" s="31"/>
    </row>
    <row r="1420" spans="1:7" x14ac:dyDescent="0.25">
      <c r="A1420" s="36">
        <v>41232</v>
      </c>
      <c r="B1420" s="6">
        <v>44.82</v>
      </c>
      <c r="C1420" s="6">
        <v>28.04</v>
      </c>
      <c r="D1420" s="6">
        <v>10</v>
      </c>
      <c r="E1420" s="6">
        <v>5.91</v>
      </c>
      <c r="G1420" s="31"/>
    </row>
    <row r="1421" spans="1:7" x14ac:dyDescent="0.25">
      <c r="A1421" s="36">
        <v>41233</v>
      </c>
      <c r="B1421" s="6">
        <v>44.84</v>
      </c>
      <c r="C1421" s="6">
        <v>27.98</v>
      </c>
      <c r="D1421" s="6">
        <v>10.02</v>
      </c>
      <c r="E1421" s="6">
        <v>5.81</v>
      </c>
      <c r="G1421" s="31"/>
    </row>
    <row r="1422" spans="1:7" x14ac:dyDescent="0.25">
      <c r="A1422" s="36">
        <v>41234</v>
      </c>
      <c r="B1422" s="6">
        <v>44.86</v>
      </c>
      <c r="C1422" s="6">
        <v>27.87</v>
      </c>
      <c r="D1422" s="6">
        <v>9.8000000000000007</v>
      </c>
      <c r="E1422" s="6">
        <v>5.7399999999999993</v>
      </c>
      <c r="G1422" s="31"/>
    </row>
    <row r="1423" spans="1:7" x14ac:dyDescent="0.25">
      <c r="A1423" s="36">
        <v>41235</v>
      </c>
      <c r="B1423" s="6">
        <v>44.88</v>
      </c>
      <c r="C1423" s="6">
        <v>27.81</v>
      </c>
      <c r="D1423" s="6">
        <v>9.66</v>
      </c>
      <c r="E1423" s="6">
        <v>5.63</v>
      </c>
      <c r="G1423" s="31"/>
    </row>
    <row r="1424" spans="1:7" x14ac:dyDescent="0.25">
      <c r="A1424" s="36">
        <v>41236</v>
      </c>
      <c r="B1424" s="6">
        <v>44.86</v>
      </c>
      <c r="C1424" s="6">
        <v>27.74</v>
      </c>
      <c r="D1424" s="6">
        <v>9.5399999999999991</v>
      </c>
      <c r="E1424" s="6">
        <v>5.5</v>
      </c>
      <c r="G1424" s="31"/>
    </row>
    <row r="1425" spans="1:7" x14ac:dyDescent="0.25">
      <c r="A1425" s="36">
        <v>41237</v>
      </c>
      <c r="B1425" s="6">
        <v>44.83</v>
      </c>
      <c r="C1425" s="6">
        <v>27.67</v>
      </c>
      <c r="D1425" s="6">
        <v>9.5</v>
      </c>
      <c r="E1425" s="6">
        <v>5.41</v>
      </c>
      <c r="G1425" s="31"/>
    </row>
    <row r="1426" spans="1:7" x14ac:dyDescent="0.25">
      <c r="A1426" s="36">
        <v>41238</v>
      </c>
      <c r="B1426" s="6">
        <v>44.78</v>
      </c>
      <c r="C1426" s="6">
        <v>27.6</v>
      </c>
      <c r="D1426" s="6">
        <v>9.26</v>
      </c>
      <c r="E1426" s="6">
        <v>5.3199999999999994</v>
      </c>
      <c r="G1426" s="31"/>
    </row>
    <row r="1427" spans="1:7" x14ac:dyDescent="0.25">
      <c r="A1427" s="36">
        <v>41239</v>
      </c>
      <c r="B1427" s="6">
        <v>44.68</v>
      </c>
      <c r="C1427" s="6">
        <v>27.56</v>
      </c>
      <c r="D1427" s="6">
        <v>9.1</v>
      </c>
      <c r="E1427" s="6">
        <v>5.2399999999999993</v>
      </c>
      <c r="G1427" s="31"/>
    </row>
    <row r="1428" spans="1:7" x14ac:dyDescent="0.25">
      <c r="A1428" s="36">
        <v>41240</v>
      </c>
      <c r="B1428" s="6">
        <v>44.56</v>
      </c>
      <c r="C1428" s="6">
        <v>27.51</v>
      </c>
      <c r="D1428" s="6">
        <v>9.1</v>
      </c>
      <c r="E1428" s="6">
        <v>5.16</v>
      </c>
      <c r="G1428" s="31"/>
    </row>
    <row r="1429" spans="1:7" x14ac:dyDescent="0.25">
      <c r="A1429" s="36">
        <v>41241</v>
      </c>
      <c r="B1429" s="6">
        <v>44.48</v>
      </c>
      <c r="C1429" s="6">
        <v>27.38</v>
      </c>
      <c r="D1429" s="6">
        <v>9</v>
      </c>
      <c r="E1429" s="6">
        <v>5.05</v>
      </c>
      <c r="G1429" s="31"/>
    </row>
    <row r="1430" spans="1:7" x14ac:dyDescent="0.25">
      <c r="A1430" s="36">
        <v>41242</v>
      </c>
      <c r="B1430" s="6">
        <v>44.4</v>
      </c>
      <c r="C1430" s="6">
        <v>27.2</v>
      </c>
      <c r="D1430" s="6">
        <v>8.9</v>
      </c>
      <c r="E1430" s="6">
        <v>5.0299999999999994</v>
      </c>
      <c r="G1430" s="31"/>
    </row>
    <row r="1431" spans="1:7" x14ac:dyDescent="0.25">
      <c r="A1431" s="36">
        <v>41243</v>
      </c>
      <c r="B1431" s="6">
        <v>44.31</v>
      </c>
      <c r="C1431" s="6">
        <v>27.02</v>
      </c>
      <c r="D1431" s="6">
        <v>8.8000000000000007</v>
      </c>
      <c r="E1431" s="6">
        <v>4.9899999999999993</v>
      </c>
      <c r="G1431" s="31"/>
    </row>
    <row r="1432" spans="1:7" x14ac:dyDescent="0.25">
      <c r="A1432" s="36">
        <v>41244</v>
      </c>
      <c r="B1432" s="6">
        <v>44.21</v>
      </c>
      <c r="C1432" s="6">
        <v>26.85</v>
      </c>
      <c r="D1432" s="6">
        <v>8.7200000000000006</v>
      </c>
      <c r="E1432" s="6">
        <v>4.8999999999999995</v>
      </c>
      <c r="G1432" s="31"/>
    </row>
    <row r="1433" spans="1:7" x14ac:dyDescent="0.25">
      <c r="A1433" s="36">
        <v>41245</v>
      </c>
      <c r="B1433" s="6">
        <v>44.15</v>
      </c>
      <c r="C1433" s="6">
        <v>26.68</v>
      </c>
      <c r="D1433" s="6">
        <v>8.64</v>
      </c>
      <c r="E1433" s="6">
        <v>4.88</v>
      </c>
      <c r="G1433" s="31"/>
    </row>
    <row r="1434" spans="1:7" x14ac:dyDescent="0.25">
      <c r="A1434" s="36">
        <v>41246</v>
      </c>
      <c r="B1434" s="6">
        <v>44.09</v>
      </c>
      <c r="C1434" s="6">
        <v>26.51</v>
      </c>
      <c r="D1434" s="6">
        <v>8.68</v>
      </c>
      <c r="E1434" s="6">
        <v>4.7799999999999994</v>
      </c>
      <c r="G1434" s="31"/>
    </row>
    <row r="1435" spans="1:7" x14ac:dyDescent="0.25">
      <c r="A1435" s="36">
        <v>41247</v>
      </c>
      <c r="B1435" s="6">
        <v>44.05</v>
      </c>
      <c r="C1435" s="6">
        <v>26.38</v>
      </c>
      <c r="D1435" s="6">
        <v>8.52</v>
      </c>
      <c r="E1435" s="6">
        <v>4.7249999999999996</v>
      </c>
      <c r="G1435" s="31"/>
    </row>
    <row r="1436" spans="1:7" x14ac:dyDescent="0.25">
      <c r="A1436" s="36">
        <v>41248</v>
      </c>
      <c r="B1436" s="6">
        <v>43.99</v>
      </c>
      <c r="C1436" s="6">
        <v>26.22</v>
      </c>
      <c r="D1436" s="6">
        <v>8.3000000000000007</v>
      </c>
      <c r="E1436" s="6">
        <v>4.5999999999999996</v>
      </c>
      <c r="G1436" s="31"/>
    </row>
    <row r="1437" spans="1:7" x14ac:dyDescent="0.25">
      <c r="A1437" s="36">
        <v>41249</v>
      </c>
      <c r="B1437" s="6">
        <v>43.92</v>
      </c>
      <c r="C1437" s="6">
        <v>26.12</v>
      </c>
      <c r="D1437" s="6">
        <v>8.16</v>
      </c>
      <c r="E1437" s="6">
        <v>4.51</v>
      </c>
      <c r="G1437" s="31"/>
    </row>
    <row r="1438" spans="1:7" x14ac:dyDescent="0.25">
      <c r="A1438" s="36">
        <v>41250</v>
      </c>
      <c r="B1438" s="6">
        <v>43.84</v>
      </c>
      <c r="C1438" s="6">
        <v>26</v>
      </c>
      <c r="D1438" s="6">
        <v>8</v>
      </c>
      <c r="E1438" s="6">
        <v>4.42</v>
      </c>
      <c r="G1438" s="31"/>
    </row>
    <row r="1439" spans="1:7" x14ac:dyDescent="0.25">
      <c r="A1439" s="36">
        <v>41251</v>
      </c>
      <c r="B1439" s="6">
        <v>43.74</v>
      </c>
      <c r="C1439" s="6">
        <v>25.88</v>
      </c>
      <c r="D1439" s="6">
        <v>7.78</v>
      </c>
      <c r="E1439" s="6">
        <v>4.32</v>
      </c>
      <c r="G1439" s="31"/>
    </row>
    <row r="1440" spans="1:7" x14ac:dyDescent="0.25">
      <c r="A1440" s="36">
        <v>41252</v>
      </c>
      <c r="B1440" s="6">
        <v>43.66</v>
      </c>
      <c r="C1440" s="6">
        <v>25.75</v>
      </c>
      <c r="D1440" s="6">
        <v>7.68</v>
      </c>
      <c r="E1440" s="6">
        <v>4.2</v>
      </c>
      <c r="G1440" s="31"/>
    </row>
    <row r="1441" spans="1:7" x14ac:dyDescent="0.25">
      <c r="A1441" s="36">
        <v>41253</v>
      </c>
      <c r="B1441" s="6">
        <v>43.57</v>
      </c>
      <c r="C1441" s="6">
        <v>25.6</v>
      </c>
      <c r="D1441" s="6">
        <v>7.56</v>
      </c>
      <c r="E1441" s="6">
        <v>4.17</v>
      </c>
      <c r="G1441" s="31"/>
    </row>
    <row r="1442" spans="1:7" x14ac:dyDescent="0.25">
      <c r="A1442" s="36">
        <v>41254</v>
      </c>
      <c r="B1442" s="6">
        <v>43.52</v>
      </c>
      <c r="C1442" s="6">
        <v>25.48</v>
      </c>
      <c r="D1442" s="6">
        <v>7.52</v>
      </c>
      <c r="E1442" s="6">
        <v>4.09</v>
      </c>
      <c r="G1442" s="31"/>
    </row>
    <row r="1443" spans="1:7" x14ac:dyDescent="0.25">
      <c r="A1443" s="36">
        <v>41255</v>
      </c>
      <c r="B1443" s="6">
        <v>43.42</v>
      </c>
      <c r="C1443" s="6">
        <v>25.35</v>
      </c>
      <c r="D1443" s="6">
        <v>7.42</v>
      </c>
      <c r="E1443" s="6">
        <v>4.04</v>
      </c>
      <c r="G1443" s="31"/>
    </row>
    <row r="1444" spans="1:7" x14ac:dyDescent="0.25">
      <c r="A1444" s="36">
        <v>41256</v>
      </c>
      <c r="B1444" s="6">
        <v>43.37</v>
      </c>
      <c r="C1444" s="6">
        <v>25.24</v>
      </c>
      <c r="D1444" s="6">
        <v>7.26</v>
      </c>
      <c r="E1444" s="6">
        <v>3.948</v>
      </c>
      <c r="G1444" s="31"/>
    </row>
    <row r="1445" spans="1:7" x14ac:dyDescent="0.25">
      <c r="A1445" s="36">
        <v>41257</v>
      </c>
      <c r="B1445" s="6">
        <v>43.28</v>
      </c>
      <c r="C1445" s="6">
        <v>25.12</v>
      </c>
      <c r="D1445" s="6">
        <v>7.12</v>
      </c>
      <c r="E1445" s="6">
        <v>3.83</v>
      </c>
      <c r="G1445" s="31"/>
    </row>
    <row r="1446" spans="1:7" x14ac:dyDescent="0.25">
      <c r="A1446" s="36">
        <v>41258</v>
      </c>
      <c r="B1446" s="6">
        <v>43.15</v>
      </c>
      <c r="C1446" s="6">
        <v>25.03</v>
      </c>
      <c r="D1446" s="6">
        <v>6.9</v>
      </c>
      <c r="E1446" s="6">
        <v>3.66</v>
      </c>
      <c r="G1446" s="31"/>
    </row>
    <row r="1447" spans="1:7" x14ac:dyDescent="0.25">
      <c r="A1447" s="36">
        <v>41259</v>
      </c>
      <c r="B1447" s="6">
        <v>43.04</v>
      </c>
      <c r="C1447" s="6">
        <v>24.94</v>
      </c>
      <c r="D1447" s="6">
        <v>6.8</v>
      </c>
      <c r="E1447" s="6">
        <v>3.58</v>
      </c>
      <c r="G1447" s="31"/>
    </row>
    <row r="1448" spans="1:7" x14ac:dyDescent="0.25">
      <c r="A1448" s="36">
        <v>41260</v>
      </c>
      <c r="B1448" s="6">
        <v>42.9</v>
      </c>
      <c r="C1448" s="6">
        <v>24.84</v>
      </c>
      <c r="D1448" s="6">
        <v>6.76</v>
      </c>
      <c r="E1448" s="6">
        <v>3.46</v>
      </c>
      <c r="G1448" s="31"/>
    </row>
    <row r="1449" spans="1:7" x14ac:dyDescent="0.25">
      <c r="A1449" s="36">
        <v>41261</v>
      </c>
      <c r="B1449" s="6">
        <v>42.76</v>
      </c>
      <c r="C1449" s="6">
        <v>24.73</v>
      </c>
      <c r="D1449" s="6">
        <v>6.62</v>
      </c>
      <c r="E1449" s="6">
        <v>3.43</v>
      </c>
      <c r="G1449" s="31"/>
    </row>
    <row r="1450" spans="1:7" x14ac:dyDescent="0.25">
      <c r="A1450" s="36">
        <v>41262</v>
      </c>
      <c r="B1450" s="6">
        <v>42.65</v>
      </c>
      <c r="C1450" s="6">
        <v>24.56</v>
      </c>
      <c r="D1450" s="6">
        <v>6.58</v>
      </c>
      <c r="E1450" s="6">
        <v>3.3600000000000003</v>
      </c>
      <c r="G1450" s="31"/>
    </row>
    <row r="1451" spans="1:7" x14ac:dyDescent="0.25">
      <c r="A1451" s="36">
        <v>41263</v>
      </c>
      <c r="B1451" s="6">
        <v>42.55</v>
      </c>
      <c r="C1451" s="6">
        <v>24.42</v>
      </c>
      <c r="D1451" s="6">
        <v>6.54</v>
      </c>
      <c r="E1451" s="6">
        <v>3.3200000000000003</v>
      </c>
      <c r="G1451" s="31"/>
    </row>
    <row r="1452" spans="1:7" x14ac:dyDescent="0.25">
      <c r="A1452" s="36">
        <v>41264</v>
      </c>
      <c r="B1452" s="6">
        <v>42.5</v>
      </c>
      <c r="C1452" s="6">
        <v>24.28</v>
      </c>
      <c r="D1452" s="6">
        <v>6.4</v>
      </c>
      <c r="E1452" s="6">
        <v>3.27</v>
      </c>
      <c r="G1452" s="31"/>
    </row>
    <row r="1453" spans="1:7" x14ac:dyDescent="0.25">
      <c r="A1453" s="36">
        <v>41265</v>
      </c>
      <c r="B1453" s="6">
        <v>42.45</v>
      </c>
      <c r="C1453" s="6">
        <v>24.19</v>
      </c>
      <c r="D1453" s="6">
        <v>6.22</v>
      </c>
      <c r="E1453" s="6">
        <v>3.19</v>
      </c>
      <c r="G1453" s="31"/>
    </row>
    <row r="1454" spans="1:7" x14ac:dyDescent="0.25">
      <c r="A1454" s="36">
        <v>41266</v>
      </c>
      <c r="B1454" s="6">
        <v>42.43</v>
      </c>
      <c r="C1454" s="6">
        <v>24.1</v>
      </c>
      <c r="D1454" s="6">
        <v>6.1</v>
      </c>
      <c r="E1454" s="6">
        <v>3.1300000000000003</v>
      </c>
      <c r="G1454" s="31"/>
    </row>
    <row r="1455" spans="1:7" x14ac:dyDescent="0.25">
      <c r="A1455" s="36">
        <v>41267</v>
      </c>
      <c r="B1455" s="6">
        <v>42.43</v>
      </c>
      <c r="C1455" s="6">
        <v>24.06</v>
      </c>
      <c r="D1455" s="6">
        <v>6.08</v>
      </c>
      <c r="E1455" s="6">
        <v>3.0700000000000003</v>
      </c>
      <c r="G1455" s="31"/>
    </row>
    <row r="1456" spans="1:7" x14ac:dyDescent="0.25">
      <c r="A1456" s="36">
        <v>41268</v>
      </c>
      <c r="B1456" s="6">
        <v>42.42</v>
      </c>
      <c r="C1456" s="6">
        <v>23.98</v>
      </c>
      <c r="D1456" s="6">
        <v>5.9</v>
      </c>
      <c r="E1456" s="6">
        <v>2.96</v>
      </c>
      <c r="G1456" s="31"/>
    </row>
    <row r="1457" spans="1:7" x14ac:dyDescent="0.25">
      <c r="A1457" s="36">
        <v>41269</v>
      </c>
      <c r="B1457" s="6">
        <v>42.45</v>
      </c>
      <c r="C1457" s="6">
        <v>23.94</v>
      </c>
      <c r="D1457" s="6">
        <v>5.9</v>
      </c>
      <c r="E1457" s="6">
        <v>2.91</v>
      </c>
      <c r="G1457" s="31"/>
    </row>
    <row r="1458" spans="1:7" x14ac:dyDescent="0.25">
      <c r="A1458" s="36">
        <v>41270</v>
      </c>
      <c r="B1458" s="6">
        <v>42.48</v>
      </c>
      <c r="C1458" s="6">
        <v>23.96</v>
      </c>
      <c r="D1458" s="6">
        <v>5.9</v>
      </c>
      <c r="E1458" s="6">
        <v>2.9930000000000003</v>
      </c>
      <c r="G1458" s="31"/>
    </row>
    <row r="1459" spans="1:7" x14ac:dyDescent="0.25">
      <c r="A1459" s="36">
        <v>41271</v>
      </c>
      <c r="B1459" s="6">
        <v>42.51</v>
      </c>
      <c r="C1459" s="6">
        <v>23.98</v>
      </c>
      <c r="D1459" s="6">
        <v>5.9</v>
      </c>
      <c r="E1459" s="6">
        <v>2.95</v>
      </c>
      <c r="G1459" s="31"/>
    </row>
    <row r="1460" spans="1:7" x14ac:dyDescent="0.25">
      <c r="A1460" s="36">
        <v>41272</v>
      </c>
      <c r="B1460" s="6">
        <v>42.46</v>
      </c>
      <c r="C1460" s="6">
        <v>23.98</v>
      </c>
      <c r="D1460" s="6">
        <v>6</v>
      </c>
      <c r="E1460" s="6">
        <v>3.02</v>
      </c>
      <c r="G1460" s="31"/>
    </row>
    <row r="1461" spans="1:7" x14ac:dyDescent="0.25">
      <c r="A1461" s="36">
        <v>41273</v>
      </c>
      <c r="B1461" s="6">
        <v>42.59</v>
      </c>
      <c r="C1461" s="6">
        <v>23.99</v>
      </c>
      <c r="D1461" s="6">
        <v>5.98</v>
      </c>
      <c r="E1461" s="6">
        <v>2.99</v>
      </c>
      <c r="G1461" s="31"/>
    </row>
    <row r="1462" spans="1:7" x14ac:dyDescent="0.25">
      <c r="A1462" s="36">
        <v>41274</v>
      </c>
      <c r="B1462" s="6">
        <v>42.59</v>
      </c>
      <c r="C1462" s="6">
        <v>24.04</v>
      </c>
      <c r="D1462" s="6">
        <v>5.8</v>
      </c>
      <c r="E1462" s="6">
        <v>2.96</v>
      </c>
      <c r="G1462" s="31"/>
    </row>
    <row r="1463" spans="1:7" x14ac:dyDescent="0.25">
      <c r="A1463" s="36">
        <v>41275</v>
      </c>
      <c r="B1463" s="7">
        <v>42.57</v>
      </c>
      <c r="C1463" s="7">
        <v>24.18</v>
      </c>
      <c r="D1463" s="7">
        <v>5.8</v>
      </c>
      <c r="E1463" s="7">
        <v>2.98</v>
      </c>
      <c r="G1463" s="31"/>
    </row>
    <row r="1464" spans="1:7" x14ac:dyDescent="0.25">
      <c r="A1464" s="36">
        <v>41276</v>
      </c>
      <c r="B1464" s="7">
        <v>42.52</v>
      </c>
      <c r="C1464" s="7">
        <v>24.41</v>
      </c>
      <c r="D1464" s="7">
        <v>5.8</v>
      </c>
      <c r="E1464" s="7">
        <v>2.8600000000000003</v>
      </c>
      <c r="G1464" s="31"/>
    </row>
    <row r="1465" spans="1:7" x14ac:dyDescent="0.25">
      <c r="A1465" s="36">
        <v>41277</v>
      </c>
      <c r="B1465" s="7">
        <v>42.46</v>
      </c>
      <c r="C1465" s="7">
        <v>24.46</v>
      </c>
      <c r="D1465" s="7">
        <v>5.72</v>
      </c>
      <c r="E1465" s="7">
        <v>2.87</v>
      </c>
      <c r="G1465" s="31"/>
    </row>
    <row r="1466" spans="1:7" x14ac:dyDescent="0.25">
      <c r="A1466" s="36">
        <v>41278</v>
      </c>
      <c r="B1466" s="7">
        <v>42.37</v>
      </c>
      <c r="C1466" s="7">
        <v>24.42</v>
      </c>
      <c r="D1466" s="7">
        <v>5.7</v>
      </c>
      <c r="E1466" s="7">
        <v>2.85</v>
      </c>
      <c r="G1466" s="31"/>
    </row>
    <row r="1467" spans="1:7" x14ac:dyDescent="0.25">
      <c r="A1467" s="36">
        <v>41279</v>
      </c>
      <c r="B1467" s="7">
        <v>42.28</v>
      </c>
      <c r="C1467" s="7">
        <v>24.36</v>
      </c>
      <c r="D1467" s="7">
        <v>5.82</v>
      </c>
      <c r="E1467" s="7">
        <v>2.8800000000000003</v>
      </c>
      <c r="G1467" s="31"/>
    </row>
    <row r="1468" spans="1:7" x14ac:dyDescent="0.25">
      <c r="A1468" s="36">
        <v>41280</v>
      </c>
      <c r="B1468" s="7">
        <v>42.19</v>
      </c>
      <c r="C1468" s="7">
        <v>24.26</v>
      </c>
      <c r="D1468" s="7">
        <v>5.7</v>
      </c>
      <c r="E1468" s="7">
        <v>2.87</v>
      </c>
      <c r="G1468" s="31"/>
    </row>
    <row r="1469" spans="1:7" x14ac:dyDescent="0.25">
      <c r="A1469" s="36">
        <v>41281</v>
      </c>
      <c r="B1469" s="7">
        <v>42.13</v>
      </c>
      <c r="C1469" s="7">
        <v>24.17</v>
      </c>
      <c r="D1469" s="7">
        <v>5.78</v>
      </c>
      <c r="E1469" s="7">
        <v>2.83</v>
      </c>
      <c r="G1469" s="31"/>
    </row>
    <row r="1470" spans="1:7" x14ac:dyDescent="0.25">
      <c r="A1470" s="36">
        <v>41282</v>
      </c>
      <c r="B1470" s="7">
        <v>42.06</v>
      </c>
      <c r="C1470" s="7">
        <v>23.96</v>
      </c>
      <c r="D1470" s="7">
        <v>5.7</v>
      </c>
      <c r="E1470" s="7">
        <v>2.8200000000000003</v>
      </c>
      <c r="G1470" s="31"/>
    </row>
    <row r="1471" spans="1:7" x14ac:dyDescent="0.25">
      <c r="A1471" s="36">
        <v>41283</v>
      </c>
      <c r="B1471" s="7">
        <v>42.01</v>
      </c>
      <c r="C1471" s="7">
        <v>23.74</v>
      </c>
      <c r="D1471" s="7">
        <v>5.6</v>
      </c>
      <c r="E1471" s="7">
        <v>2.8000000000000003</v>
      </c>
      <c r="G1471" s="31"/>
    </row>
    <row r="1472" spans="1:7" x14ac:dyDescent="0.25">
      <c r="A1472" s="36">
        <v>41284</v>
      </c>
      <c r="B1472" s="7">
        <v>41.96</v>
      </c>
      <c r="C1472" s="7">
        <v>23.61</v>
      </c>
      <c r="D1472" s="7">
        <v>5.5</v>
      </c>
      <c r="E1472" s="7">
        <v>2.73</v>
      </c>
      <c r="G1472" s="31"/>
    </row>
    <row r="1473" spans="1:7" x14ac:dyDescent="0.25">
      <c r="A1473" s="36">
        <v>41285</v>
      </c>
      <c r="B1473" s="7">
        <v>41.9</v>
      </c>
      <c r="C1473" s="7">
        <v>23.74</v>
      </c>
      <c r="D1473" s="7">
        <v>5.32</v>
      </c>
      <c r="E1473" s="7">
        <v>2.72</v>
      </c>
      <c r="G1473" s="31"/>
    </row>
    <row r="1474" spans="1:7" x14ac:dyDescent="0.25">
      <c r="A1474" s="36">
        <v>41286</v>
      </c>
      <c r="B1474" s="7">
        <v>41.87</v>
      </c>
      <c r="C1474" s="7">
        <v>23.6</v>
      </c>
      <c r="D1474" s="7">
        <v>5.26</v>
      </c>
      <c r="E1474" s="7">
        <v>2.66</v>
      </c>
      <c r="G1474" s="31"/>
    </row>
    <row r="1475" spans="1:7" x14ac:dyDescent="0.25">
      <c r="A1475" s="36">
        <v>41287</v>
      </c>
      <c r="B1475" s="7">
        <v>41.82</v>
      </c>
      <c r="C1475" s="7">
        <v>23.47</v>
      </c>
      <c r="D1475" s="7">
        <v>5.22</v>
      </c>
      <c r="E1475" s="7">
        <v>2.64</v>
      </c>
      <c r="G1475" s="31"/>
    </row>
    <row r="1476" spans="1:7" x14ac:dyDescent="0.25">
      <c r="A1476" s="36">
        <v>41288</v>
      </c>
      <c r="B1476" s="7">
        <v>41.84</v>
      </c>
      <c r="C1476" s="7">
        <v>23.35</v>
      </c>
      <c r="D1476" s="7">
        <v>5</v>
      </c>
      <c r="E1476" s="7">
        <v>2.56</v>
      </c>
      <c r="G1476" s="31"/>
    </row>
    <row r="1477" spans="1:7" x14ac:dyDescent="0.25">
      <c r="A1477" s="36">
        <v>41289</v>
      </c>
      <c r="B1477" s="7">
        <v>41.66</v>
      </c>
      <c r="C1477" s="7">
        <v>23.28</v>
      </c>
      <c r="D1477" s="7">
        <v>4.88</v>
      </c>
      <c r="E1477" s="7">
        <v>2.5500000000000003</v>
      </c>
      <c r="G1477" s="31"/>
    </row>
    <row r="1478" spans="1:7" x14ac:dyDescent="0.25">
      <c r="A1478" s="36">
        <v>41290</v>
      </c>
      <c r="B1478" s="7">
        <v>41.58</v>
      </c>
      <c r="C1478" s="7">
        <v>23.2</v>
      </c>
      <c r="D1478" s="7">
        <v>4.8</v>
      </c>
      <c r="E1478" s="7">
        <v>2.5100000000000002</v>
      </c>
      <c r="G1478" s="31"/>
    </row>
    <row r="1479" spans="1:7" x14ac:dyDescent="0.25">
      <c r="A1479" s="36">
        <v>41291</v>
      </c>
      <c r="B1479" s="7">
        <v>41.5</v>
      </c>
      <c r="C1479" s="7">
        <v>23.12</v>
      </c>
      <c r="D1479" s="7">
        <v>4.74</v>
      </c>
      <c r="E1479" s="7">
        <v>2.4700000000000002</v>
      </c>
      <c r="G1479" s="31"/>
    </row>
    <row r="1480" spans="1:7" x14ac:dyDescent="0.25">
      <c r="A1480" s="36">
        <v>41292</v>
      </c>
      <c r="B1480" s="7">
        <v>41.41</v>
      </c>
      <c r="C1480" s="7">
        <v>23.04</v>
      </c>
      <c r="D1480" s="7">
        <v>4.7</v>
      </c>
      <c r="E1480" s="7">
        <v>2.34</v>
      </c>
      <c r="G1480" s="31"/>
    </row>
    <row r="1481" spans="1:7" x14ac:dyDescent="0.25">
      <c r="A1481" s="36">
        <v>41293</v>
      </c>
      <c r="B1481" s="7">
        <v>41.31</v>
      </c>
      <c r="C1481" s="7">
        <v>22.95</v>
      </c>
      <c r="D1481" s="7">
        <v>4.5999999999999996</v>
      </c>
      <c r="E1481" s="7">
        <v>2.29</v>
      </c>
      <c r="G1481" s="31"/>
    </row>
    <row r="1482" spans="1:7" x14ac:dyDescent="0.25">
      <c r="A1482" s="36">
        <v>41294</v>
      </c>
      <c r="B1482" s="7">
        <v>41.24</v>
      </c>
      <c r="C1482" s="7">
        <v>22.86</v>
      </c>
      <c r="D1482" s="7">
        <v>4.5</v>
      </c>
      <c r="E1482" s="7">
        <v>2.2200000000000002</v>
      </c>
      <c r="G1482" s="31"/>
    </row>
    <row r="1483" spans="1:7" x14ac:dyDescent="0.25">
      <c r="A1483" s="36">
        <v>41295</v>
      </c>
      <c r="B1483" s="7">
        <v>41.18</v>
      </c>
      <c r="C1483" s="7">
        <v>22.78</v>
      </c>
      <c r="D1483" s="7">
        <v>4.42</v>
      </c>
      <c r="E1483" s="7">
        <v>2.15</v>
      </c>
      <c r="G1483" s="31"/>
    </row>
    <row r="1484" spans="1:7" x14ac:dyDescent="0.25">
      <c r="A1484" s="36">
        <v>41296</v>
      </c>
      <c r="B1484" s="7">
        <v>41.12</v>
      </c>
      <c r="C1484" s="7">
        <v>22.69</v>
      </c>
      <c r="D1484" s="7">
        <v>4.3600000000000003</v>
      </c>
      <c r="E1484" s="7">
        <v>2.11</v>
      </c>
      <c r="G1484" s="31"/>
    </row>
    <row r="1485" spans="1:7" x14ac:dyDescent="0.25">
      <c r="A1485" s="36">
        <v>41297</v>
      </c>
      <c r="B1485" s="7">
        <v>41.08</v>
      </c>
      <c r="C1485" s="7">
        <v>22.6</v>
      </c>
      <c r="D1485" s="7">
        <v>4.26</v>
      </c>
      <c r="E1485" s="7">
        <v>2.0500000000000003</v>
      </c>
      <c r="G1485" s="31"/>
    </row>
    <row r="1486" spans="1:7" x14ac:dyDescent="0.25">
      <c r="A1486" s="36">
        <v>41298</v>
      </c>
      <c r="B1486" s="7">
        <v>41.05</v>
      </c>
      <c r="C1486" s="7">
        <v>22.52</v>
      </c>
      <c r="D1486" s="7">
        <v>4.22</v>
      </c>
      <c r="E1486" s="7">
        <v>2.024</v>
      </c>
      <c r="G1486" s="31"/>
    </row>
    <row r="1487" spans="1:7" x14ac:dyDescent="0.25">
      <c r="A1487" s="36">
        <v>41299</v>
      </c>
      <c r="B1487" s="7">
        <v>41.03</v>
      </c>
      <c r="C1487" s="7">
        <v>22.48</v>
      </c>
      <c r="D1487" s="7">
        <v>4.1399999999999997</v>
      </c>
      <c r="E1487" s="7">
        <v>2.0300000000000002</v>
      </c>
      <c r="G1487" s="31"/>
    </row>
    <row r="1488" spans="1:7" x14ac:dyDescent="0.25">
      <c r="A1488" s="36">
        <v>41300</v>
      </c>
      <c r="B1488" s="7">
        <v>41.01</v>
      </c>
      <c r="C1488" s="7">
        <v>22.45</v>
      </c>
      <c r="D1488" s="7">
        <v>4</v>
      </c>
      <c r="E1488" s="7">
        <v>2.06</v>
      </c>
      <c r="G1488" s="31"/>
    </row>
    <row r="1489" spans="1:7" x14ac:dyDescent="0.25">
      <c r="A1489" s="36">
        <v>41301</v>
      </c>
      <c r="B1489" s="7">
        <v>41</v>
      </c>
      <c r="C1489" s="7">
        <v>22.4</v>
      </c>
      <c r="D1489" s="42">
        <v>3.92</v>
      </c>
      <c r="E1489" s="7">
        <v>2.0100000000000002</v>
      </c>
      <c r="G1489" s="31"/>
    </row>
    <row r="1490" spans="1:7" x14ac:dyDescent="0.25">
      <c r="A1490" s="36">
        <v>41302</v>
      </c>
      <c r="B1490" s="7">
        <v>40.97</v>
      </c>
      <c r="C1490" s="7">
        <v>22.35</v>
      </c>
      <c r="D1490" s="7">
        <v>3.92</v>
      </c>
      <c r="E1490" s="7">
        <v>1.99</v>
      </c>
      <c r="G1490" s="31"/>
    </row>
    <row r="1491" spans="1:7" x14ac:dyDescent="0.25">
      <c r="A1491" s="36">
        <v>41303</v>
      </c>
      <c r="B1491" s="7">
        <v>40.94</v>
      </c>
      <c r="C1491" s="7">
        <v>22.32</v>
      </c>
      <c r="D1491" s="7">
        <v>3.82</v>
      </c>
      <c r="E1491" s="7">
        <v>1.95</v>
      </c>
      <c r="G1491" s="31"/>
    </row>
    <row r="1492" spans="1:7" x14ac:dyDescent="0.25">
      <c r="A1492" s="36">
        <v>41304</v>
      </c>
      <c r="B1492" s="7">
        <v>40.89</v>
      </c>
      <c r="C1492" s="7">
        <v>22.28</v>
      </c>
      <c r="D1492" s="7">
        <v>3.7</v>
      </c>
      <c r="E1492" s="7">
        <v>1.98</v>
      </c>
      <c r="G1492" s="31"/>
    </row>
    <row r="1493" spans="1:7" x14ac:dyDescent="0.25">
      <c r="A1493" s="36">
        <v>41305</v>
      </c>
      <c r="B1493" s="7">
        <v>40.85</v>
      </c>
      <c r="C1493" s="7">
        <v>22.25</v>
      </c>
      <c r="D1493" s="7">
        <v>3.72</v>
      </c>
      <c r="E1493" s="7">
        <v>2</v>
      </c>
      <c r="G1493" s="31"/>
    </row>
    <row r="1494" spans="1:7" x14ac:dyDescent="0.25">
      <c r="A1494" s="36">
        <v>41306</v>
      </c>
      <c r="B1494" s="7">
        <v>40.82</v>
      </c>
      <c r="C1494" s="7">
        <v>22.22</v>
      </c>
      <c r="D1494" s="7">
        <v>3.68</v>
      </c>
      <c r="E1494" s="7">
        <v>1.99</v>
      </c>
      <c r="G1494" s="31"/>
    </row>
    <row r="1495" spans="1:7" x14ac:dyDescent="0.25">
      <c r="A1495" s="36">
        <v>41307</v>
      </c>
      <c r="B1495" s="7">
        <v>40.770000000000003</v>
      </c>
      <c r="C1495" s="7">
        <v>22.19</v>
      </c>
      <c r="D1495" s="7">
        <v>3.54</v>
      </c>
      <c r="E1495" s="7">
        <v>1.98</v>
      </c>
      <c r="G1495" s="31"/>
    </row>
    <row r="1496" spans="1:7" x14ac:dyDescent="0.25">
      <c r="A1496" s="36">
        <v>41308</v>
      </c>
      <c r="B1496" s="7">
        <v>40.729999999999997</v>
      </c>
      <c r="C1496" s="7">
        <v>22.15</v>
      </c>
      <c r="D1496" s="7">
        <v>3.58</v>
      </c>
      <c r="E1496" s="7">
        <v>1.92</v>
      </c>
      <c r="G1496" s="31"/>
    </row>
    <row r="1497" spans="1:7" x14ac:dyDescent="0.25">
      <c r="A1497" s="36">
        <v>41309</v>
      </c>
      <c r="B1497" s="7">
        <v>40.68</v>
      </c>
      <c r="C1497" s="7">
        <v>22.1</v>
      </c>
      <c r="D1497" s="7">
        <v>3.56</v>
      </c>
      <c r="E1497" s="7">
        <v>1.88</v>
      </c>
      <c r="G1497" s="31"/>
    </row>
    <row r="1498" spans="1:7" x14ac:dyDescent="0.25">
      <c r="A1498" s="36">
        <v>41310</v>
      </c>
      <c r="B1498" s="7">
        <v>40.64</v>
      </c>
      <c r="C1498" s="7">
        <v>22.02</v>
      </c>
      <c r="D1498" s="7">
        <v>3.5</v>
      </c>
      <c r="E1498" s="7">
        <v>1.8399999999999999</v>
      </c>
      <c r="G1498" s="31"/>
    </row>
    <row r="1499" spans="1:7" x14ac:dyDescent="0.25">
      <c r="A1499" s="36">
        <v>41311</v>
      </c>
      <c r="B1499" s="7">
        <v>40.61</v>
      </c>
      <c r="C1499" s="7">
        <v>21.95</v>
      </c>
      <c r="D1499" s="7">
        <v>3.48</v>
      </c>
      <c r="E1499" s="7">
        <v>1.8399999999999999</v>
      </c>
      <c r="G1499" s="31"/>
    </row>
    <row r="1500" spans="1:7" x14ac:dyDescent="0.25">
      <c r="A1500" s="36">
        <v>41312</v>
      </c>
      <c r="B1500" s="7">
        <v>40.58</v>
      </c>
      <c r="C1500" s="7">
        <v>21.9</v>
      </c>
      <c r="D1500" s="7">
        <v>3.46</v>
      </c>
      <c r="E1500" s="7">
        <v>1.8699999999999999</v>
      </c>
      <c r="G1500" s="31"/>
    </row>
    <row r="1501" spans="1:7" x14ac:dyDescent="0.25">
      <c r="A1501" s="36">
        <v>41313</v>
      </c>
      <c r="B1501" s="7">
        <v>40.57</v>
      </c>
      <c r="C1501" s="7">
        <v>21.87</v>
      </c>
      <c r="D1501" s="7">
        <v>3.4</v>
      </c>
      <c r="E1501" s="7">
        <v>1.8299999999999998</v>
      </c>
      <c r="G1501" s="31"/>
    </row>
    <row r="1502" spans="1:7" x14ac:dyDescent="0.25">
      <c r="A1502" s="36">
        <v>41314</v>
      </c>
      <c r="B1502" s="7">
        <v>40.58</v>
      </c>
      <c r="C1502" s="7">
        <v>21.86</v>
      </c>
      <c r="D1502" s="7">
        <v>3.34</v>
      </c>
      <c r="E1502" s="7">
        <v>1.8399999999999999</v>
      </c>
      <c r="G1502" s="31"/>
    </row>
    <row r="1503" spans="1:7" x14ac:dyDescent="0.25">
      <c r="A1503" s="36">
        <v>41315</v>
      </c>
      <c r="B1503" s="7">
        <v>40.6</v>
      </c>
      <c r="C1503" s="7">
        <v>21.86</v>
      </c>
      <c r="D1503" s="7">
        <v>3.34</v>
      </c>
      <c r="E1503" s="7">
        <v>1.8499999999999999</v>
      </c>
      <c r="G1503" s="31"/>
    </row>
    <row r="1504" spans="1:7" x14ac:dyDescent="0.25">
      <c r="A1504" s="36">
        <v>41316</v>
      </c>
      <c r="B1504" s="7">
        <v>40.64</v>
      </c>
      <c r="C1504" s="7">
        <v>21.8</v>
      </c>
      <c r="D1504" s="7">
        <v>3.4</v>
      </c>
      <c r="E1504" s="7">
        <v>1.89</v>
      </c>
      <c r="G1504" s="31"/>
    </row>
    <row r="1505" spans="1:7" x14ac:dyDescent="0.25">
      <c r="A1505" s="36">
        <v>41317</v>
      </c>
      <c r="B1505" s="7">
        <v>40.68</v>
      </c>
      <c r="C1505" s="7">
        <v>21.78</v>
      </c>
      <c r="D1505" s="7">
        <v>3.38</v>
      </c>
      <c r="E1505" s="7">
        <v>1.92</v>
      </c>
      <c r="G1505" s="31"/>
    </row>
    <row r="1506" spans="1:7" x14ac:dyDescent="0.25">
      <c r="A1506" s="36">
        <v>41318</v>
      </c>
      <c r="B1506" s="7">
        <v>40.76</v>
      </c>
      <c r="C1506" s="7">
        <v>21.78</v>
      </c>
      <c r="D1506" s="7">
        <v>3.76</v>
      </c>
      <c r="E1506" s="7">
        <v>1.96</v>
      </c>
      <c r="G1506" s="31"/>
    </row>
    <row r="1507" spans="1:7" x14ac:dyDescent="0.25">
      <c r="A1507" s="36">
        <v>41319</v>
      </c>
      <c r="B1507" s="7">
        <v>40.869999999999997</v>
      </c>
      <c r="C1507" s="7">
        <v>21.79</v>
      </c>
      <c r="D1507" s="7">
        <v>3.8</v>
      </c>
      <c r="E1507" s="7">
        <v>2.02</v>
      </c>
      <c r="G1507" s="31"/>
    </row>
    <row r="1508" spans="1:7" x14ac:dyDescent="0.25">
      <c r="A1508" s="36">
        <v>41320</v>
      </c>
      <c r="B1508" s="7">
        <v>40.98</v>
      </c>
      <c r="C1508" s="7">
        <v>21.82</v>
      </c>
      <c r="D1508" s="7">
        <v>3.78</v>
      </c>
      <c r="E1508" s="7">
        <v>2.02</v>
      </c>
      <c r="G1508" s="31"/>
    </row>
    <row r="1509" spans="1:7" x14ac:dyDescent="0.25">
      <c r="A1509" s="36">
        <v>41321</v>
      </c>
      <c r="B1509" s="7">
        <v>41.04</v>
      </c>
      <c r="C1509" s="7">
        <v>21.88</v>
      </c>
      <c r="D1509" s="7">
        <v>3.66</v>
      </c>
      <c r="E1509" s="7">
        <v>1.94</v>
      </c>
      <c r="G1509" s="31"/>
    </row>
    <row r="1510" spans="1:7" x14ac:dyDescent="0.25">
      <c r="A1510" s="36">
        <v>41322</v>
      </c>
      <c r="B1510" s="7">
        <v>41.05</v>
      </c>
      <c r="C1510" s="7">
        <v>21.96</v>
      </c>
      <c r="D1510" s="7">
        <v>3.58</v>
      </c>
      <c r="E1510" s="7">
        <v>1.88</v>
      </c>
      <c r="G1510" s="31"/>
    </row>
    <row r="1511" spans="1:7" x14ac:dyDescent="0.25">
      <c r="A1511" s="36">
        <v>41323</v>
      </c>
      <c r="B1511" s="7">
        <v>41.04</v>
      </c>
      <c r="C1511" s="7">
        <v>22.04</v>
      </c>
      <c r="D1511" s="7">
        <v>3.54</v>
      </c>
      <c r="E1511" s="7">
        <v>1.8499999999999999</v>
      </c>
      <c r="G1511" s="31"/>
    </row>
    <row r="1512" spans="1:7" x14ac:dyDescent="0.25">
      <c r="A1512" s="36">
        <v>41324</v>
      </c>
      <c r="B1512" s="7">
        <v>41.03</v>
      </c>
      <c r="C1512" s="7">
        <v>22.08</v>
      </c>
      <c r="D1512" s="7">
        <v>3.56</v>
      </c>
      <c r="E1512" s="7">
        <v>1.8399999999999999</v>
      </c>
      <c r="G1512" s="31"/>
    </row>
    <row r="1513" spans="1:7" x14ac:dyDescent="0.25">
      <c r="A1513" s="36">
        <v>41325</v>
      </c>
      <c r="B1513" s="7">
        <v>41.01</v>
      </c>
      <c r="C1513" s="7">
        <v>22.1</v>
      </c>
      <c r="D1513" s="7">
        <v>3.54</v>
      </c>
      <c r="E1513" s="7">
        <v>1.8099999999999998</v>
      </c>
      <c r="G1513" s="31"/>
    </row>
    <row r="1514" spans="1:7" x14ac:dyDescent="0.25">
      <c r="A1514" s="36">
        <v>41326</v>
      </c>
      <c r="B1514" s="7">
        <v>41.01</v>
      </c>
      <c r="C1514" s="7">
        <v>22.08</v>
      </c>
      <c r="D1514" s="7">
        <v>3.62</v>
      </c>
      <c r="E1514" s="7">
        <v>1.8</v>
      </c>
      <c r="G1514" s="31"/>
    </row>
    <row r="1515" spans="1:7" x14ac:dyDescent="0.25">
      <c r="A1515" s="36">
        <v>41327</v>
      </c>
      <c r="B1515" s="7">
        <v>41.03</v>
      </c>
      <c r="C1515" s="7">
        <v>22.07</v>
      </c>
      <c r="D1515" s="7">
        <v>3.72</v>
      </c>
      <c r="E1515" s="7">
        <v>1.88</v>
      </c>
      <c r="G1515" s="31"/>
    </row>
    <row r="1516" spans="1:7" x14ac:dyDescent="0.25">
      <c r="A1516" s="36">
        <v>41328</v>
      </c>
      <c r="B1516" s="7">
        <v>41.07</v>
      </c>
      <c r="C1516" s="7">
        <v>22.06</v>
      </c>
      <c r="D1516" s="7">
        <v>3.82</v>
      </c>
      <c r="E1516" s="7">
        <v>1.93</v>
      </c>
      <c r="G1516" s="31"/>
    </row>
    <row r="1517" spans="1:7" x14ac:dyDescent="0.25">
      <c r="A1517" s="36">
        <v>41329</v>
      </c>
      <c r="B1517" s="7">
        <v>41.1</v>
      </c>
      <c r="C1517" s="7">
        <v>22.06</v>
      </c>
      <c r="D1517" s="7">
        <v>3.82</v>
      </c>
      <c r="E1517" s="7">
        <v>1.93</v>
      </c>
      <c r="G1517" s="31"/>
    </row>
    <row r="1518" spans="1:7" x14ac:dyDescent="0.25">
      <c r="A1518" s="36">
        <v>41330</v>
      </c>
      <c r="B1518" s="7">
        <v>41.1</v>
      </c>
      <c r="C1518" s="7">
        <v>22.06</v>
      </c>
      <c r="D1518" s="7">
        <v>3.82</v>
      </c>
      <c r="E1518" s="7">
        <v>1.97</v>
      </c>
      <c r="G1518" s="31"/>
    </row>
    <row r="1519" spans="1:7" x14ac:dyDescent="0.25">
      <c r="A1519" s="36">
        <v>41331</v>
      </c>
      <c r="B1519" s="7">
        <v>41.11</v>
      </c>
      <c r="C1519" s="7">
        <v>22.08</v>
      </c>
      <c r="D1519" s="7">
        <v>3.78</v>
      </c>
      <c r="E1519" s="7">
        <v>2.0300000000000002</v>
      </c>
      <c r="G1519" s="31"/>
    </row>
    <row r="1520" spans="1:7" x14ac:dyDescent="0.25">
      <c r="A1520" s="36">
        <v>41332</v>
      </c>
      <c r="B1520" s="7">
        <v>41.13</v>
      </c>
      <c r="C1520" s="7">
        <v>22.08</v>
      </c>
      <c r="D1520" s="7">
        <v>3.74</v>
      </c>
      <c r="E1520" s="7">
        <v>2.09</v>
      </c>
      <c r="G1520" s="31"/>
    </row>
    <row r="1521" spans="1:7" x14ac:dyDescent="0.25">
      <c r="A1521" s="36">
        <v>41333</v>
      </c>
      <c r="B1521" s="7">
        <v>41.17</v>
      </c>
      <c r="C1521" s="7">
        <v>22.1</v>
      </c>
      <c r="D1521" s="7">
        <v>3.72</v>
      </c>
      <c r="E1521" s="7">
        <v>2.11</v>
      </c>
      <c r="G1521" s="31"/>
    </row>
    <row r="1522" spans="1:7" x14ac:dyDescent="0.25">
      <c r="A1522" s="36">
        <v>41334</v>
      </c>
      <c r="B1522" s="7">
        <v>41.23</v>
      </c>
      <c r="C1522" s="7">
        <v>22.12</v>
      </c>
      <c r="D1522" s="7">
        <v>3.7</v>
      </c>
      <c r="E1522" s="7">
        <v>2.08</v>
      </c>
      <c r="G1522" s="31"/>
    </row>
    <row r="1523" spans="1:7" x14ac:dyDescent="0.25">
      <c r="A1523" s="36">
        <v>41335</v>
      </c>
      <c r="B1523" s="7">
        <v>41.32</v>
      </c>
      <c r="C1523" s="7">
        <v>22.15</v>
      </c>
      <c r="D1523" s="7">
        <v>3.7</v>
      </c>
      <c r="E1523" s="7">
        <v>2.04</v>
      </c>
      <c r="G1523" s="31"/>
    </row>
    <row r="1524" spans="1:7" x14ac:dyDescent="0.25">
      <c r="A1524" s="36">
        <v>41336</v>
      </c>
      <c r="B1524" s="7">
        <v>41.41</v>
      </c>
      <c r="C1524" s="7">
        <v>22.21</v>
      </c>
      <c r="D1524" s="7">
        <v>3.72</v>
      </c>
      <c r="E1524" s="7">
        <v>2.0100000000000002</v>
      </c>
      <c r="G1524" s="31"/>
    </row>
    <row r="1525" spans="1:7" x14ac:dyDescent="0.25">
      <c r="A1525" s="36">
        <v>41337</v>
      </c>
      <c r="B1525" s="7">
        <v>41.49</v>
      </c>
      <c r="C1525" s="6">
        <v>22.25</v>
      </c>
      <c r="D1525" s="7">
        <v>3.78</v>
      </c>
      <c r="E1525" s="7">
        <v>2.0500000000000003</v>
      </c>
      <c r="G1525" s="31"/>
    </row>
    <row r="1526" spans="1:7" x14ac:dyDescent="0.25">
      <c r="A1526" s="36">
        <v>41338</v>
      </c>
      <c r="B1526" s="7">
        <v>41.56</v>
      </c>
      <c r="C1526" s="6">
        <v>22.3</v>
      </c>
      <c r="D1526" s="7">
        <v>3.8</v>
      </c>
      <c r="E1526" s="6">
        <v>2.0699999999999998</v>
      </c>
      <c r="G1526" s="31"/>
    </row>
    <row r="1527" spans="1:7" x14ac:dyDescent="0.25">
      <c r="A1527" s="36">
        <v>41339</v>
      </c>
      <c r="B1527" s="6">
        <v>41.63</v>
      </c>
      <c r="C1527" s="6">
        <v>22.35</v>
      </c>
      <c r="D1527" s="7">
        <v>4.0999999999999996</v>
      </c>
      <c r="E1527" s="6">
        <v>2.13</v>
      </c>
      <c r="G1527" s="31"/>
    </row>
    <row r="1528" spans="1:7" x14ac:dyDescent="0.25">
      <c r="A1528" s="36">
        <v>41340</v>
      </c>
      <c r="B1528" s="6">
        <v>41.72</v>
      </c>
      <c r="C1528" s="6">
        <v>22.42</v>
      </c>
      <c r="D1528" s="7">
        <v>4.26</v>
      </c>
      <c r="E1528" s="6">
        <v>2.1</v>
      </c>
      <c r="G1528" s="31"/>
    </row>
    <row r="1529" spans="1:7" x14ac:dyDescent="0.25">
      <c r="A1529" s="36">
        <v>41341</v>
      </c>
      <c r="B1529" s="6">
        <v>41.79</v>
      </c>
      <c r="C1529" s="6">
        <v>22.5</v>
      </c>
      <c r="D1529" s="7">
        <v>4.0999999999999996</v>
      </c>
      <c r="E1529" s="6">
        <v>2.0699999999999998</v>
      </c>
      <c r="G1529" s="31"/>
    </row>
    <row r="1530" spans="1:7" x14ac:dyDescent="0.25">
      <c r="A1530" s="36">
        <v>41342</v>
      </c>
      <c r="B1530" s="6">
        <v>41.85</v>
      </c>
      <c r="C1530" s="6">
        <v>22.59</v>
      </c>
      <c r="D1530" s="7">
        <v>4.0599999999999996</v>
      </c>
      <c r="E1530" s="6">
        <v>2.11</v>
      </c>
      <c r="G1530" s="31"/>
    </row>
    <row r="1531" spans="1:7" x14ac:dyDescent="0.25">
      <c r="A1531" s="36">
        <v>41343</v>
      </c>
      <c r="B1531" s="6">
        <v>41.83</v>
      </c>
      <c r="C1531" s="6">
        <v>22.7</v>
      </c>
      <c r="D1531" s="7">
        <v>3.94</v>
      </c>
      <c r="E1531" s="6">
        <v>2.12</v>
      </c>
      <c r="G1531" s="31"/>
    </row>
    <row r="1532" spans="1:7" x14ac:dyDescent="0.25">
      <c r="A1532" s="36">
        <v>41344</v>
      </c>
      <c r="B1532" s="6">
        <v>41.79</v>
      </c>
      <c r="C1532" s="6">
        <v>22.75</v>
      </c>
      <c r="D1532" s="7">
        <v>3.94</v>
      </c>
      <c r="E1532" s="6">
        <v>2.12</v>
      </c>
      <c r="G1532" s="31"/>
    </row>
    <row r="1533" spans="1:7" x14ac:dyDescent="0.25">
      <c r="A1533" s="36">
        <v>41345</v>
      </c>
      <c r="B1533" s="6">
        <v>41.76</v>
      </c>
      <c r="C1533" s="6">
        <v>22.79</v>
      </c>
      <c r="D1533" s="6">
        <v>3.96</v>
      </c>
      <c r="E1533" s="6">
        <v>2.17</v>
      </c>
      <c r="G1533" s="31"/>
    </row>
    <row r="1534" spans="1:7" x14ac:dyDescent="0.25">
      <c r="A1534" s="36">
        <v>41346</v>
      </c>
      <c r="B1534" s="6">
        <v>41.74</v>
      </c>
      <c r="C1534" s="6">
        <v>22.79</v>
      </c>
      <c r="D1534" s="6">
        <v>4.0199999999999996</v>
      </c>
      <c r="E1534" s="6">
        <v>2.2200000000000002</v>
      </c>
      <c r="G1534" s="31"/>
    </row>
    <row r="1535" spans="1:7" x14ac:dyDescent="0.25">
      <c r="A1535" s="36">
        <v>41347</v>
      </c>
      <c r="B1535" s="6">
        <v>41.72</v>
      </c>
      <c r="C1535" s="6">
        <v>22.76</v>
      </c>
      <c r="D1535" s="6">
        <v>4.0599999999999996</v>
      </c>
      <c r="E1535" s="6">
        <v>2.17</v>
      </c>
      <c r="G1535" s="31"/>
    </row>
    <row r="1536" spans="1:7" x14ac:dyDescent="0.25">
      <c r="A1536" s="36">
        <v>41348</v>
      </c>
      <c r="B1536" s="6">
        <v>41.7</v>
      </c>
      <c r="C1536" s="6">
        <v>22.73</v>
      </c>
      <c r="D1536" s="6">
        <v>4.0599999999999996</v>
      </c>
      <c r="E1536" s="6">
        <v>2.25</v>
      </c>
      <c r="G1536" s="31"/>
    </row>
    <row r="1537" spans="1:7" x14ac:dyDescent="0.25">
      <c r="A1537" s="36">
        <v>41349</v>
      </c>
      <c r="B1537" s="6">
        <v>41.68</v>
      </c>
      <c r="C1537" s="6">
        <v>22.72</v>
      </c>
      <c r="D1537" s="6">
        <v>4.16</v>
      </c>
      <c r="E1537" s="6">
        <v>2.23</v>
      </c>
      <c r="G1537" s="31"/>
    </row>
    <row r="1538" spans="1:7" x14ac:dyDescent="0.25">
      <c r="A1538" s="36">
        <v>41350</v>
      </c>
      <c r="B1538" s="6">
        <v>41.66</v>
      </c>
      <c r="C1538" s="6">
        <v>22.7</v>
      </c>
      <c r="D1538" s="6">
        <v>4.0999999999999996</v>
      </c>
      <c r="E1538" s="6">
        <v>2.15</v>
      </c>
      <c r="G1538" s="31"/>
    </row>
    <row r="1539" spans="1:7" x14ac:dyDescent="0.25">
      <c r="A1539" s="36">
        <v>41351</v>
      </c>
      <c r="B1539" s="6">
        <v>41.65</v>
      </c>
      <c r="C1539" s="6">
        <v>22.67</v>
      </c>
      <c r="D1539" s="6">
        <v>4.0999999999999996</v>
      </c>
      <c r="E1539" s="6">
        <v>2.14</v>
      </c>
      <c r="G1539" s="31"/>
    </row>
    <row r="1540" spans="1:7" x14ac:dyDescent="0.25">
      <c r="A1540" s="36">
        <v>41352</v>
      </c>
      <c r="B1540" s="6">
        <v>41.65</v>
      </c>
      <c r="C1540" s="6">
        <v>22.67</v>
      </c>
      <c r="D1540" s="6">
        <v>4.0999999999999996</v>
      </c>
      <c r="E1540" s="6">
        <v>2.1</v>
      </c>
      <c r="G1540" s="31"/>
    </row>
    <row r="1541" spans="1:7" x14ac:dyDescent="0.25">
      <c r="A1541" s="36">
        <v>41353</v>
      </c>
      <c r="B1541" s="6">
        <v>41.68</v>
      </c>
      <c r="C1541" s="6">
        <v>22.7</v>
      </c>
      <c r="D1541" s="6">
        <v>4.0599999999999996</v>
      </c>
      <c r="E1541" s="6">
        <v>2.09</v>
      </c>
      <c r="G1541" s="31"/>
    </row>
    <row r="1542" spans="1:7" x14ac:dyDescent="0.25">
      <c r="A1542" s="36">
        <v>41354</v>
      </c>
      <c r="B1542" s="6">
        <v>41.72</v>
      </c>
      <c r="C1542" s="6">
        <v>22.69</v>
      </c>
      <c r="D1542" s="6">
        <v>4.08</v>
      </c>
      <c r="E1542" s="6">
        <v>2.0699999999999998</v>
      </c>
      <c r="G1542" s="31"/>
    </row>
    <row r="1543" spans="1:7" x14ac:dyDescent="0.25">
      <c r="A1543" s="36">
        <v>41355</v>
      </c>
      <c r="B1543" s="6">
        <v>41.74</v>
      </c>
      <c r="C1543" s="6">
        <v>22.7</v>
      </c>
      <c r="D1543" s="6">
        <v>4.08</v>
      </c>
      <c r="E1543" s="6">
        <v>2.0699999999999998</v>
      </c>
      <c r="G1543" s="31"/>
    </row>
    <row r="1544" spans="1:7" x14ac:dyDescent="0.25">
      <c r="A1544" s="36">
        <v>41356</v>
      </c>
      <c r="B1544" s="6">
        <v>41.8</v>
      </c>
      <c r="C1544" s="6">
        <v>22.74</v>
      </c>
      <c r="D1544" s="6">
        <v>4</v>
      </c>
      <c r="E1544" s="6">
        <v>2.0699999999999998</v>
      </c>
      <c r="G1544" s="31"/>
    </row>
    <row r="1545" spans="1:7" x14ac:dyDescent="0.25">
      <c r="A1545" s="36">
        <v>41357</v>
      </c>
      <c r="B1545" s="6">
        <v>41.81</v>
      </c>
      <c r="C1545" s="6">
        <v>22.84</v>
      </c>
      <c r="D1545" s="6">
        <v>3.94</v>
      </c>
      <c r="E1545" s="6">
        <v>2.0100000000000002</v>
      </c>
      <c r="G1545" s="31"/>
    </row>
    <row r="1546" spans="1:7" x14ac:dyDescent="0.25">
      <c r="A1546" s="36">
        <v>41358</v>
      </c>
      <c r="B1546" s="6">
        <v>41.86</v>
      </c>
      <c r="C1546" s="6">
        <v>22.9</v>
      </c>
      <c r="D1546" s="6">
        <v>3.94</v>
      </c>
      <c r="E1546" s="6">
        <v>2.0300000000000002</v>
      </c>
      <c r="G1546" s="31"/>
    </row>
    <row r="1547" spans="1:7" x14ac:dyDescent="0.25">
      <c r="A1547" s="36">
        <v>41359</v>
      </c>
      <c r="B1547" s="6">
        <v>41.94</v>
      </c>
      <c r="C1547" s="6">
        <v>22.96</v>
      </c>
      <c r="D1547" s="6">
        <v>4</v>
      </c>
      <c r="E1547" s="6">
        <v>2.13</v>
      </c>
      <c r="G1547" s="31"/>
    </row>
    <row r="1548" spans="1:7" x14ac:dyDescent="0.25">
      <c r="A1548" s="36">
        <v>41360</v>
      </c>
      <c r="B1548" s="6">
        <v>42.03</v>
      </c>
      <c r="C1548" s="6">
        <v>23.02</v>
      </c>
      <c r="D1548" s="6">
        <v>4</v>
      </c>
      <c r="E1548" s="6">
        <v>2.16</v>
      </c>
      <c r="G1548" s="31"/>
    </row>
    <row r="1549" spans="1:7" x14ac:dyDescent="0.25">
      <c r="A1549" s="36">
        <v>41361</v>
      </c>
      <c r="B1549" s="6">
        <v>42.12</v>
      </c>
      <c r="C1549" s="6">
        <v>23.1</v>
      </c>
      <c r="D1549" s="6">
        <v>4.0999999999999996</v>
      </c>
      <c r="E1549" s="6">
        <v>2.19</v>
      </c>
      <c r="G1549" s="31"/>
    </row>
    <row r="1550" spans="1:7" x14ac:dyDescent="0.25">
      <c r="A1550" s="36">
        <v>41362</v>
      </c>
      <c r="B1550" s="6">
        <v>42.22</v>
      </c>
      <c r="C1550" s="6">
        <v>23.2</v>
      </c>
      <c r="D1550" s="6">
        <v>4.12</v>
      </c>
      <c r="E1550" s="6">
        <v>2.2400000000000002</v>
      </c>
      <c r="G1550" s="31"/>
    </row>
    <row r="1551" spans="1:7" x14ac:dyDescent="0.25">
      <c r="A1551" s="36">
        <v>41363</v>
      </c>
      <c r="B1551" s="6">
        <v>42.34</v>
      </c>
      <c r="C1551" s="6">
        <v>23.28</v>
      </c>
      <c r="D1551" s="6">
        <v>4.2</v>
      </c>
      <c r="E1551" s="6">
        <v>2.25</v>
      </c>
      <c r="G1551" s="31"/>
    </row>
    <row r="1552" spans="1:7" x14ac:dyDescent="0.25">
      <c r="A1552" s="36">
        <v>41364</v>
      </c>
      <c r="B1552" s="6">
        <v>42.39</v>
      </c>
      <c r="C1552" s="6">
        <v>23.36</v>
      </c>
      <c r="D1552" s="6">
        <v>4.28</v>
      </c>
      <c r="E1552" s="6">
        <v>2.25</v>
      </c>
      <c r="G1552" s="31"/>
    </row>
    <row r="1553" spans="1:7" x14ac:dyDescent="0.25">
      <c r="A1553" s="36">
        <v>41365</v>
      </c>
      <c r="B1553" s="6">
        <v>42.41</v>
      </c>
      <c r="C1553" s="6">
        <v>23.42</v>
      </c>
      <c r="D1553" s="6">
        <v>4.26</v>
      </c>
      <c r="E1553" s="6">
        <v>2.25</v>
      </c>
      <c r="G1553" s="31"/>
    </row>
    <row r="1554" spans="1:7" x14ac:dyDescent="0.25">
      <c r="A1554" s="36">
        <v>41366</v>
      </c>
      <c r="B1554" s="6">
        <v>42.39</v>
      </c>
      <c r="C1554" s="6">
        <v>23.48</v>
      </c>
      <c r="D1554" s="6">
        <v>4.3</v>
      </c>
      <c r="E1554" s="6">
        <v>2.3000000000000003</v>
      </c>
      <c r="G1554" s="31"/>
    </row>
    <row r="1555" spans="1:7" x14ac:dyDescent="0.25">
      <c r="A1555" s="36">
        <v>41367</v>
      </c>
      <c r="B1555" s="6">
        <v>42.37</v>
      </c>
      <c r="C1555" s="6">
        <v>23.54</v>
      </c>
      <c r="D1555" s="6">
        <v>4.32</v>
      </c>
      <c r="E1555" s="6">
        <v>2.37</v>
      </c>
      <c r="G1555" s="31"/>
    </row>
    <row r="1556" spans="1:7" x14ac:dyDescent="0.25">
      <c r="A1556" s="36">
        <v>41368</v>
      </c>
      <c r="B1556" s="6">
        <v>42.35</v>
      </c>
      <c r="C1556" s="6">
        <v>23.57</v>
      </c>
      <c r="D1556" s="6">
        <v>4.5599999999999996</v>
      </c>
      <c r="E1556" s="6">
        <v>2.3000000000000003</v>
      </c>
      <c r="G1556" s="31"/>
    </row>
    <row r="1557" spans="1:7" x14ac:dyDescent="0.25">
      <c r="A1557" s="36">
        <v>41369</v>
      </c>
      <c r="B1557" s="6">
        <v>42.3</v>
      </c>
      <c r="C1557" s="6">
        <v>23.57</v>
      </c>
      <c r="D1557" s="6">
        <v>4.58</v>
      </c>
      <c r="E1557" s="6">
        <v>2.36</v>
      </c>
      <c r="G1557" s="31"/>
    </row>
    <row r="1558" spans="1:7" x14ac:dyDescent="0.25">
      <c r="A1558" s="36">
        <v>41370</v>
      </c>
      <c r="B1558" s="6">
        <v>42.27</v>
      </c>
      <c r="C1558" s="6">
        <v>23.57</v>
      </c>
      <c r="D1558" s="6">
        <v>4.78</v>
      </c>
      <c r="E1558" s="6">
        <v>2.38</v>
      </c>
      <c r="G1558" s="31"/>
    </row>
    <row r="1559" spans="1:7" x14ac:dyDescent="0.25">
      <c r="A1559" s="36">
        <v>41371</v>
      </c>
      <c r="B1559" s="6">
        <v>42.23</v>
      </c>
      <c r="C1559" s="6">
        <v>23.5</v>
      </c>
      <c r="D1559" s="6">
        <v>4.84</v>
      </c>
      <c r="E1559" s="6">
        <v>2.4</v>
      </c>
      <c r="G1559" s="31"/>
    </row>
    <row r="1560" spans="1:7" x14ac:dyDescent="0.25">
      <c r="A1560" s="36">
        <v>41372</v>
      </c>
      <c r="B1560" s="6">
        <v>42.21</v>
      </c>
      <c r="C1560" s="6">
        <v>23.47</v>
      </c>
      <c r="D1560" s="6">
        <v>4.8</v>
      </c>
      <c r="E1560" s="6">
        <v>2.38</v>
      </c>
      <c r="G1560" s="31"/>
    </row>
    <row r="1561" spans="1:7" x14ac:dyDescent="0.25">
      <c r="A1561" s="36">
        <v>41373</v>
      </c>
      <c r="B1561" s="6">
        <v>42.18</v>
      </c>
      <c r="C1561" s="6">
        <v>23.42</v>
      </c>
      <c r="D1561" s="6">
        <v>4.8</v>
      </c>
      <c r="E1561" s="6">
        <v>2.34</v>
      </c>
      <c r="G1561" s="31"/>
    </row>
    <row r="1562" spans="1:7" x14ac:dyDescent="0.25">
      <c r="A1562" s="36">
        <v>41374</v>
      </c>
      <c r="B1562" s="6">
        <v>42.15</v>
      </c>
      <c r="C1562" s="6">
        <v>23.4</v>
      </c>
      <c r="D1562" s="6">
        <v>4.82</v>
      </c>
      <c r="E1562" s="6">
        <v>2.39</v>
      </c>
      <c r="G1562" s="31"/>
    </row>
    <row r="1563" spans="1:7" x14ac:dyDescent="0.25">
      <c r="A1563" s="36">
        <v>41375</v>
      </c>
      <c r="B1563" s="6">
        <v>42.09</v>
      </c>
      <c r="C1563" s="6">
        <v>23.36</v>
      </c>
      <c r="D1563" s="6">
        <v>4.8</v>
      </c>
      <c r="E1563" s="6">
        <v>2.41</v>
      </c>
      <c r="G1563" s="31"/>
    </row>
    <row r="1564" spans="1:7" x14ac:dyDescent="0.25">
      <c r="A1564" s="36">
        <v>41376</v>
      </c>
      <c r="B1564" s="6">
        <v>42.02</v>
      </c>
      <c r="C1564" s="6">
        <v>23.3</v>
      </c>
      <c r="D1564" s="6">
        <v>4.7</v>
      </c>
      <c r="E1564" s="6">
        <v>2.36</v>
      </c>
      <c r="G1564" s="31"/>
    </row>
    <row r="1565" spans="1:7" x14ac:dyDescent="0.25">
      <c r="A1565" s="36">
        <v>41377</v>
      </c>
      <c r="B1565" s="6">
        <v>41.95</v>
      </c>
      <c r="C1565" s="6">
        <v>23.25</v>
      </c>
      <c r="D1565" s="6">
        <v>4.68</v>
      </c>
      <c r="E1565" s="6">
        <v>2.38</v>
      </c>
      <c r="G1565" s="31"/>
    </row>
    <row r="1566" spans="1:7" x14ac:dyDescent="0.25">
      <c r="A1566" s="36">
        <v>41378</v>
      </c>
      <c r="B1566" s="6">
        <v>41.89</v>
      </c>
      <c r="C1566" s="6">
        <v>23.19</v>
      </c>
      <c r="D1566" s="6">
        <v>4.5999999999999996</v>
      </c>
      <c r="E1566" s="6">
        <v>2.31</v>
      </c>
      <c r="G1566" s="31"/>
    </row>
    <row r="1567" spans="1:7" x14ac:dyDescent="0.25">
      <c r="A1567" s="36">
        <v>41379</v>
      </c>
      <c r="B1567" s="6">
        <v>41.86</v>
      </c>
      <c r="C1567" s="6">
        <v>23.11</v>
      </c>
      <c r="D1567" s="6">
        <v>4.5</v>
      </c>
      <c r="E1567" s="6">
        <v>2.27</v>
      </c>
      <c r="G1567" s="31"/>
    </row>
    <row r="1568" spans="1:7" x14ac:dyDescent="0.25">
      <c r="A1568" s="36">
        <v>41380</v>
      </c>
      <c r="B1568" s="6">
        <v>41.87</v>
      </c>
      <c r="C1568" s="6">
        <v>23.02</v>
      </c>
      <c r="D1568" s="6">
        <v>4.5199999999999996</v>
      </c>
      <c r="E1568" s="6">
        <v>2.27</v>
      </c>
      <c r="G1568" s="31"/>
    </row>
    <row r="1569" spans="1:7" x14ac:dyDescent="0.25">
      <c r="A1569" s="36">
        <v>41381</v>
      </c>
      <c r="B1569" s="6">
        <v>41.92</v>
      </c>
      <c r="C1569" s="6">
        <v>22.94</v>
      </c>
      <c r="D1569" s="6">
        <v>4.4000000000000004</v>
      </c>
      <c r="E1569" s="6">
        <v>2.13</v>
      </c>
      <c r="G1569" s="31"/>
    </row>
    <row r="1570" spans="1:7" x14ac:dyDescent="0.25">
      <c r="A1570" s="36">
        <v>41382</v>
      </c>
      <c r="B1570" s="6">
        <v>42.06</v>
      </c>
      <c r="C1570" s="6">
        <v>22.9</v>
      </c>
      <c r="D1570" s="6">
        <v>4.24</v>
      </c>
      <c r="E1570" s="6">
        <v>2.13</v>
      </c>
      <c r="G1570" s="31"/>
    </row>
    <row r="1571" spans="1:7" x14ac:dyDescent="0.25">
      <c r="A1571" s="36">
        <v>41383</v>
      </c>
      <c r="B1571" s="6">
        <v>42.31</v>
      </c>
      <c r="C1571" s="6">
        <v>22.93</v>
      </c>
      <c r="D1571" s="6">
        <v>4.18</v>
      </c>
      <c r="E1571" s="6">
        <v>2.14</v>
      </c>
      <c r="G1571" s="31"/>
    </row>
    <row r="1572" spans="1:7" x14ac:dyDescent="0.25">
      <c r="A1572" s="36">
        <v>41384</v>
      </c>
      <c r="B1572" s="6">
        <v>42.55</v>
      </c>
      <c r="C1572" s="6">
        <v>22.99</v>
      </c>
      <c r="D1572" s="6">
        <v>4.1399999999999997</v>
      </c>
      <c r="E1572" s="6">
        <v>2.12</v>
      </c>
      <c r="G1572" s="31"/>
    </row>
    <row r="1573" spans="1:7" x14ac:dyDescent="0.25">
      <c r="A1573" s="36">
        <v>41385</v>
      </c>
      <c r="B1573" s="6">
        <v>42.79</v>
      </c>
      <c r="C1573" s="6">
        <v>23.1</v>
      </c>
      <c r="D1573" s="6">
        <v>4.08</v>
      </c>
      <c r="E1573" s="6">
        <v>2.02</v>
      </c>
      <c r="G1573" s="31"/>
    </row>
    <row r="1574" spans="1:7" x14ac:dyDescent="0.25">
      <c r="A1574" s="36">
        <v>41386</v>
      </c>
      <c r="B1574" s="6">
        <v>42.93</v>
      </c>
      <c r="C1574" s="6">
        <v>23.32</v>
      </c>
      <c r="D1574" s="6">
        <v>4.12</v>
      </c>
      <c r="E1574" s="6">
        <v>2.0300000000000002</v>
      </c>
      <c r="G1574" s="31"/>
    </row>
    <row r="1575" spans="1:7" x14ac:dyDescent="0.25">
      <c r="A1575" s="36">
        <v>41387</v>
      </c>
      <c r="B1575" s="6">
        <v>43.14</v>
      </c>
      <c r="C1575" s="6">
        <v>23.57</v>
      </c>
      <c r="D1575" s="6">
        <v>4.34</v>
      </c>
      <c r="E1575" s="6">
        <v>2.1</v>
      </c>
      <c r="G1575" s="31"/>
    </row>
    <row r="1576" spans="1:7" x14ac:dyDescent="0.25">
      <c r="A1576" s="36">
        <v>41388</v>
      </c>
      <c r="B1576" s="6">
        <v>43.39</v>
      </c>
      <c r="C1576" s="6">
        <v>23.7</v>
      </c>
      <c r="D1576" s="6">
        <v>4.4400000000000004</v>
      </c>
      <c r="E1576" s="6">
        <v>2.2600000000000002</v>
      </c>
      <c r="G1576" s="31"/>
    </row>
    <row r="1577" spans="1:7" x14ac:dyDescent="0.25">
      <c r="A1577" s="36">
        <v>41389</v>
      </c>
      <c r="B1577" s="6">
        <v>43.64</v>
      </c>
      <c r="C1577" s="6">
        <v>24.1</v>
      </c>
      <c r="D1577" s="6">
        <v>4.6399999999999997</v>
      </c>
      <c r="E1577" s="6">
        <v>2.4</v>
      </c>
      <c r="G1577" s="31"/>
    </row>
    <row r="1578" spans="1:7" x14ac:dyDescent="0.25">
      <c r="A1578" s="36">
        <v>41390</v>
      </c>
      <c r="B1578" s="6">
        <v>43.88</v>
      </c>
      <c r="C1578" s="6">
        <v>24.5</v>
      </c>
      <c r="D1578" s="6">
        <v>4.9000000000000004</v>
      </c>
      <c r="E1578" s="6">
        <v>2.5300000000000002</v>
      </c>
      <c r="G1578" s="31"/>
    </row>
    <row r="1579" spans="1:7" x14ac:dyDescent="0.25">
      <c r="A1579" s="36">
        <v>41391</v>
      </c>
      <c r="B1579" s="6">
        <v>44.01</v>
      </c>
      <c r="C1579" s="6">
        <v>24.8</v>
      </c>
      <c r="D1579" s="6">
        <v>5.2</v>
      </c>
      <c r="E1579" s="6">
        <v>2.66</v>
      </c>
      <c r="G1579" s="31"/>
    </row>
    <row r="1580" spans="1:7" x14ac:dyDescent="0.25">
      <c r="A1580" s="36">
        <v>41392</v>
      </c>
      <c r="B1580" s="6">
        <v>44.13</v>
      </c>
      <c r="C1580" s="6">
        <v>25.14</v>
      </c>
      <c r="D1580" s="6">
        <v>5.48</v>
      </c>
      <c r="E1580" s="6">
        <v>2.81</v>
      </c>
      <c r="G1580" s="31"/>
    </row>
    <row r="1581" spans="1:7" x14ac:dyDescent="0.25">
      <c r="A1581" s="36">
        <v>41393</v>
      </c>
      <c r="B1581" s="6">
        <v>44.23</v>
      </c>
      <c r="C1581" s="6">
        <v>25.37</v>
      </c>
      <c r="D1581" s="6">
        <v>5.88</v>
      </c>
      <c r="E1581" s="6">
        <v>3</v>
      </c>
      <c r="G1581" s="31"/>
    </row>
    <row r="1582" spans="1:7" x14ac:dyDescent="0.25">
      <c r="A1582" s="36">
        <v>41394</v>
      </c>
      <c r="B1582" s="6">
        <v>44.36</v>
      </c>
      <c r="C1582" s="6">
        <v>25.6</v>
      </c>
      <c r="D1582" s="6">
        <v>6.16</v>
      </c>
      <c r="E1582" s="6">
        <v>3.25</v>
      </c>
      <c r="G1582" s="31"/>
    </row>
    <row r="1583" spans="1:7" x14ac:dyDescent="0.25">
      <c r="A1583" s="36">
        <v>41395</v>
      </c>
      <c r="B1583" s="6">
        <v>44.47</v>
      </c>
      <c r="C1583" s="6">
        <v>25.74</v>
      </c>
      <c r="D1583" s="6">
        <v>6.6</v>
      </c>
      <c r="E1583" s="6">
        <v>3.3800000000000003</v>
      </c>
      <c r="G1583" s="31"/>
    </row>
    <row r="1584" spans="1:7" x14ac:dyDescent="0.25">
      <c r="A1584" s="36">
        <v>41396</v>
      </c>
      <c r="B1584" s="6">
        <v>44.59</v>
      </c>
      <c r="C1584" s="6">
        <v>25.87</v>
      </c>
      <c r="D1584" s="6">
        <v>6.92</v>
      </c>
      <c r="E1584" s="6">
        <v>3.5500000000000003</v>
      </c>
      <c r="G1584" s="31"/>
    </row>
    <row r="1585" spans="1:7" x14ac:dyDescent="0.25">
      <c r="A1585" s="36">
        <v>41397</v>
      </c>
      <c r="B1585" s="6">
        <v>44.69</v>
      </c>
      <c r="C1585" s="6">
        <v>25.97</v>
      </c>
      <c r="D1585" s="6">
        <v>7.12</v>
      </c>
      <c r="E1585" s="6">
        <v>3.7800000000000002</v>
      </c>
      <c r="G1585" s="31"/>
    </row>
    <row r="1586" spans="1:7" x14ac:dyDescent="0.25">
      <c r="A1586" s="36">
        <v>41398</v>
      </c>
      <c r="B1586" s="6">
        <v>44.78</v>
      </c>
      <c r="C1586" s="6">
        <v>26.09</v>
      </c>
      <c r="D1586" s="6">
        <v>7.36</v>
      </c>
      <c r="E1586" s="6">
        <v>3.9000000000000004</v>
      </c>
      <c r="G1586" s="31"/>
    </row>
    <row r="1587" spans="1:7" x14ac:dyDescent="0.25">
      <c r="A1587" s="36">
        <v>41399</v>
      </c>
      <c r="B1587" s="6">
        <v>44.86</v>
      </c>
      <c r="C1587" s="6">
        <v>26.14</v>
      </c>
      <c r="D1587" s="6">
        <v>7.44</v>
      </c>
      <c r="E1587" s="6">
        <v>3.98</v>
      </c>
      <c r="G1587" s="31"/>
    </row>
    <row r="1588" spans="1:7" x14ac:dyDescent="0.25">
      <c r="A1588" s="36">
        <v>41400</v>
      </c>
      <c r="B1588" s="6">
        <v>44.94</v>
      </c>
      <c r="C1588" s="6">
        <v>26.2</v>
      </c>
      <c r="D1588" s="6">
        <v>7.5</v>
      </c>
      <c r="E1588" s="6">
        <v>4.09</v>
      </c>
      <c r="G1588" s="31"/>
    </row>
    <row r="1589" spans="1:7" x14ac:dyDescent="0.25">
      <c r="A1589" s="36">
        <v>41401</v>
      </c>
      <c r="B1589" s="6">
        <v>45</v>
      </c>
      <c r="C1589" s="6">
        <v>26.28</v>
      </c>
      <c r="D1589" s="6">
        <v>7.7</v>
      </c>
      <c r="E1589" s="6">
        <v>4.1399999999999997</v>
      </c>
      <c r="G1589" s="31"/>
    </row>
    <row r="1590" spans="1:7" x14ac:dyDescent="0.25">
      <c r="A1590" s="36">
        <v>41402</v>
      </c>
      <c r="B1590" s="6">
        <v>45.13</v>
      </c>
      <c r="C1590" s="6">
        <v>26.39</v>
      </c>
      <c r="D1590" s="6">
        <v>7.8</v>
      </c>
      <c r="E1590" s="6">
        <v>4.17</v>
      </c>
      <c r="G1590" s="31"/>
    </row>
    <row r="1591" spans="1:7" x14ac:dyDescent="0.25">
      <c r="A1591" s="36">
        <v>41403</v>
      </c>
      <c r="B1591" s="6">
        <v>45.23</v>
      </c>
      <c r="C1591" s="6">
        <v>26.58</v>
      </c>
      <c r="D1591" s="6">
        <v>7.9</v>
      </c>
      <c r="E1591" s="6">
        <v>4.2699999999999996</v>
      </c>
      <c r="G1591" s="31"/>
    </row>
    <row r="1592" spans="1:7" x14ac:dyDescent="0.25">
      <c r="A1592" s="36">
        <v>41404</v>
      </c>
      <c r="B1592" s="6">
        <v>45.35</v>
      </c>
      <c r="C1592" s="6">
        <v>26.75</v>
      </c>
      <c r="D1592" s="6">
        <v>7.96</v>
      </c>
      <c r="E1592" s="6">
        <v>4.32</v>
      </c>
      <c r="G1592" s="31"/>
    </row>
    <row r="1593" spans="1:7" x14ac:dyDescent="0.25">
      <c r="A1593" s="36">
        <v>41405</v>
      </c>
      <c r="B1593" s="6">
        <v>45.43</v>
      </c>
      <c r="C1593" s="6">
        <v>26.88</v>
      </c>
      <c r="D1593" s="6">
        <v>8.1</v>
      </c>
      <c r="E1593" s="6">
        <v>4.3499999999999996</v>
      </c>
      <c r="G1593" s="31"/>
    </row>
    <row r="1594" spans="1:7" x14ac:dyDescent="0.25">
      <c r="A1594" s="36">
        <v>41406</v>
      </c>
      <c r="B1594" s="6">
        <v>45.54</v>
      </c>
      <c r="C1594" s="6">
        <v>26.98</v>
      </c>
      <c r="D1594" s="6">
        <v>8.1999999999999993</v>
      </c>
      <c r="E1594" s="6">
        <v>4.47</v>
      </c>
      <c r="G1594" s="31"/>
    </row>
    <row r="1595" spans="1:7" x14ac:dyDescent="0.25">
      <c r="A1595" s="36">
        <v>41407</v>
      </c>
      <c r="B1595" s="6">
        <v>45.62</v>
      </c>
      <c r="C1595" s="6">
        <v>27.09</v>
      </c>
      <c r="D1595" s="6">
        <v>8.2799999999999994</v>
      </c>
      <c r="E1595" s="6">
        <v>4.5699999999999994</v>
      </c>
      <c r="G1595" s="31"/>
    </row>
    <row r="1596" spans="1:7" x14ac:dyDescent="0.25">
      <c r="A1596" s="36">
        <v>41408</v>
      </c>
      <c r="B1596" s="6">
        <v>45.69</v>
      </c>
      <c r="C1596" s="6">
        <v>27.19</v>
      </c>
      <c r="D1596" s="6">
        <v>8.5399999999999991</v>
      </c>
      <c r="E1596" s="6">
        <v>4.6899999999999995</v>
      </c>
      <c r="G1596" s="31"/>
    </row>
    <row r="1597" spans="1:7" x14ac:dyDescent="0.25">
      <c r="A1597" s="36">
        <v>41409</v>
      </c>
      <c r="B1597" s="6">
        <v>45.75</v>
      </c>
      <c r="C1597" s="6">
        <v>27.28</v>
      </c>
      <c r="D1597" s="6">
        <v>8.58</v>
      </c>
      <c r="E1597" s="6">
        <v>4.7799999999999994</v>
      </c>
      <c r="G1597" s="31"/>
    </row>
    <row r="1598" spans="1:7" x14ac:dyDescent="0.25">
      <c r="A1598" s="36">
        <v>41410</v>
      </c>
      <c r="B1598" s="6">
        <v>45.8</v>
      </c>
      <c r="C1598" s="6">
        <v>27.38</v>
      </c>
      <c r="D1598" s="6">
        <v>8.68</v>
      </c>
      <c r="E1598" s="6">
        <v>4.8</v>
      </c>
      <c r="G1598" s="31"/>
    </row>
    <row r="1599" spans="1:7" x14ac:dyDescent="0.25">
      <c r="A1599" s="36">
        <v>41411</v>
      </c>
      <c r="B1599" s="6">
        <v>45.87</v>
      </c>
      <c r="C1599" s="6">
        <v>27.45</v>
      </c>
      <c r="D1599" s="6">
        <v>8.68</v>
      </c>
      <c r="E1599" s="6">
        <v>4.8599999999999994</v>
      </c>
      <c r="G1599" s="31"/>
    </row>
    <row r="1600" spans="1:7" x14ac:dyDescent="0.25">
      <c r="A1600" s="36">
        <v>41412</v>
      </c>
      <c r="B1600" s="6">
        <v>45.94</v>
      </c>
      <c r="C1600" s="6">
        <v>27.51</v>
      </c>
      <c r="D1600" s="6">
        <v>8.6999999999999993</v>
      </c>
      <c r="E1600" s="6">
        <v>4.8899999999999997</v>
      </c>
      <c r="G1600" s="31"/>
    </row>
    <row r="1601" spans="1:7" x14ac:dyDescent="0.25">
      <c r="A1601" s="36">
        <v>41413</v>
      </c>
      <c r="B1601" s="6">
        <v>46.01</v>
      </c>
      <c r="C1601" s="6">
        <v>27.56</v>
      </c>
      <c r="D1601" s="6">
        <v>8.7799999999999994</v>
      </c>
      <c r="E1601" s="6">
        <v>4.93</v>
      </c>
      <c r="G1601" s="31"/>
    </row>
    <row r="1602" spans="1:7" x14ac:dyDescent="0.25">
      <c r="A1602" s="36">
        <v>41414</v>
      </c>
      <c r="B1602" s="6">
        <v>46.15</v>
      </c>
      <c r="C1602" s="6">
        <v>27.61</v>
      </c>
      <c r="D1602" s="6">
        <v>8.8800000000000008</v>
      </c>
      <c r="E1602" s="6">
        <v>4.9399999999999995</v>
      </c>
      <c r="G1602" s="31"/>
    </row>
    <row r="1603" spans="1:7" x14ac:dyDescent="0.25">
      <c r="A1603" s="36">
        <v>41415</v>
      </c>
      <c r="B1603" s="6">
        <v>46.33</v>
      </c>
      <c r="C1603" s="6">
        <v>27.7</v>
      </c>
      <c r="D1603" s="6">
        <v>8.94</v>
      </c>
      <c r="E1603" s="6">
        <v>5.04</v>
      </c>
      <c r="G1603" s="31"/>
    </row>
    <row r="1604" spans="1:7" x14ac:dyDescent="0.25">
      <c r="A1604" s="36">
        <v>41416</v>
      </c>
      <c r="B1604" s="6">
        <v>46.53</v>
      </c>
      <c r="C1604" s="6">
        <v>27.75</v>
      </c>
      <c r="D1604" s="6">
        <v>9.1</v>
      </c>
      <c r="E1604" s="6">
        <v>5.21</v>
      </c>
      <c r="G1604" s="31"/>
    </row>
    <row r="1605" spans="1:7" x14ac:dyDescent="0.25">
      <c r="A1605" s="36">
        <v>41417</v>
      </c>
      <c r="B1605" s="6">
        <v>46.68</v>
      </c>
      <c r="C1605" s="6">
        <v>27.81</v>
      </c>
      <c r="D1605" s="6">
        <v>9.1999999999999993</v>
      </c>
      <c r="E1605" s="6">
        <v>5.22</v>
      </c>
      <c r="G1605" s="31"/>
    </row>
    <row r="1606" spans="1:7" x14ac:dyDescent="0.25">
      <c r="A1606" s="36">
        <v>41418</v>
      </c>
      <c r="B1606" s="6">
        <v>46.88</v>
      </c>
      <c r="C1606" s="6">
        <v>27.9</v>
      </c>
      <c r="D1606" s="6">
        <v>9.3000000000000007</v>
      </c>
      <c r="E1606" s="6">
        <v>5.29</v>
      </c>
      <c r="G1606" s="31"/>
    </row>
    <row r="1607" spans="1:7" x14ac:dyDescent="0.25">
      <c r="A1607" s="36">
        <v>41419</v>
      </c>
      <c r="B1607" s="6">
        <v>47</v>
      </c>
      <c r="C1607" s="7">
        <v>28.04</v>
      </c>
      <c r="D1607" s="7">
        <v>9.3800000000000008</v>
      </c>
      <c r="E1607" s="6">
        <v>5.34</v>
      </c>
      <c r="G1607" s="31"/>
    </row>
    <row r="1608" spans="1:7" x14ac:dyDescent="0.25">
      <c r="A1608" s="36">
        <v>41420</v>
      </c>
      <c r="B1608" s="6">
        <v>47.17</v>
      </c>
      <c r="C1608" s="7">
        <v>28.18</v>
      </c>
      <c r="D1608" s="7">
        <v>9.56</v>
      </c>
      <c r="E1608" s="7">
        <v>5.47</v>
      </c>
      <c r="G1608" s="31"/>
    </row>
    <row r="1609" spans="1:7" x14ac:dyDescent="0.25">
      <c r="A1609" s="36">
        <v>41421</v>
      </c>
      <c r="B1609" s="7">
        <v>47.3</v>
      </c>
      <c r="C1609" s="7">
        <v>28.3</v>
      </c>
      <c r="D1609" s="7">
        <v>9.66</v>
      </c>
      <c r="E1609" s="7">
        <v>5.59</v>
      </c>
      <c r="G1609" s="31"/>
    </row>
    <row r="1610" spans="1:7" x14ac:dyDescent="0.25">
      <c r="A1610" s="36">
        <v>41422</v>
      </c>
      <c r="B1610" s="7">
        <v>47.46</v>
      </c>
      <c r="C1610" s="7">
        <v>28.5</v>
      </c>
      <c r="D1610" s="7">
        <v>9.7200000000000006</v>
      </c>
      <c r="E1610" s="7">
        <v>5.64</v>
      </c>
      <c r="G1610" s="31"/>
    </row>
    <row r="1611" spans="1:7" x14ac:dyDescent="0.25">
      <c r="A1611" s="36">
        <v>41423</v>
      </c>
      <c r="B1611" s="7">
        <v>47.64</v>
      </c>
      <c r="C1611" s="7">
        <v>28.6</v>
      </c>
      <c r="D1611" s="7">
        <v>9.84</v>
      </c>
      <c r="E1611" s="7">
        <v>5.6499999999999995</v>
      </c>
      <c r="G1611" s="31"/>
    </row>
    <row r="1612" spans="1:7" x14ac:dyDescent="0.25">
      <c r="A1612" s="36">
        <v>41424</v>
      </c>
      <c r="B1612" s="7">
        <v>47.75</v>
      </c>
      <c r="C1612" s="7">
        <v>28.75</v>
      </c>
      <c r="D1612" s="7">
        <v>9.92</v>
      </c>
      <c r="E1612" s="7">
        <v>5.7399999999999993</v>
      </c>
      <c r="G1612" s="31"/>
    </row>
    <row r="1613" spans="1:7" x14ac:dyDescent="0.25">
      <c r="A1613" s="36">
        <v>41425</v>
      </c>
      <c r="B1613" s="7">
        <v>47.85</v>
      </c>
      <c r="C1613" s="7">
        <v>28.88</v>
      </c>
      <c r="D1613" s="7">
        <v>10.14</v>
      </c>
      <c r="E1613" s="7">
        <v>5.85</v>
      </c>
      <c r="G1613" s="31"/>
    </row>
    <row r="1614" spans="1:7" x14ac:dyDescent="0.25">
      <c r="A1614" s="36">
        <v>41426</v>
      </c>
      <c r="B1614" s="7">
        <v>47.95</v>
      </c>
      <c r="C1614" s="7">
        <v>28.97</v>
      </c>
      <c r="D1614" s="7">
        <v>10.34</v>
      </c>
      <c r="E1614" s="7">
        <v>5.97</v>
      </c>
      <c r="G1614" s="31"/>
    </row>
    <row r="1615" spans="1:7" x14ac:dyDescent="0.25">
      <c r="A1615" s="36">
        <v>41427</v>
      </c>
      <c r="B1615" s="7">
        <v>48.06</v>
      </c>
      <c r="C1615" s="7">
        <v>29.06</v>
      </c>
      <c r="D1615" s="7">
        <v>10.48</v>
      </c>
      <c r="E1615" s="7">
        <v>6.08</v>
      </c>
      <c r="G1615" s="31"/>
    </row>
    <row r="1616" spans="1:7" x14ac:dyDescent="0.25">
      <c r="A1616" s="36">
        <v>41428</v>
      </c>
      <c r="B1616" s="7">
        <v>48.15</v>
      </c>
      <c r="C1616" s="7">
        <v>29.21</v>
      </c>
      <c r="D1616" s="7">
        <v>10.58</v>
      </c>
      <c r="E1616" s="7">
        <v>6.1999999999999993</v>
      </c>
      <c r="G1616" s="31"/>
    </row>
    <row r="1617" spans="1:7" x14ac:dyDescent="0.25">
      <c r="A1617" s="36">
        <v>41429</v>
      </c>
      <c r="B1617" s="7">
        <v>48.24</v>
      </c>
      <c r="C1617" s="7">
        <v>29.3</v>
      </c>
      <c r="D1617" s="7">
        <v>10.78</v>
      </c>
      <c r="E1617" s="7">
        <v>6.34</v>
      </c>
      <c r="G1617" s="31"/>
    </row>
    <row r="1618" spans="1:7" x14ac:dyDescent="0.25">
      <c r="A1618" s="36">
        <v>41430</v>
      </c>
      <c r="B1618" s="7">
        <v>48.31</v>
      </c>
      <c r="C1618" s="7">
        <v>29.34</v>
      </c>
      <c r="D1618" s="7">
        <v>10.94</v>
      </c>
      <c r="E1618" s="7">
        <v>6.4499999999999993</v>
      </c>
      <c r="G1618" s="31"/>
    </row>
    <row r="1619" spans="1:7" x14ac:dyDescent="0.25">
      <c r="A1619" s="36">
        <v>41431</v>
      </c>
      <c r="B1619" s="7">
        <v>48.39</v>
      </c>
      <c r="C1619" s="7">
        <v>29.45</v>
      </c>
      <c r="D1619" s="7">
        <v>11.1</v>
      </c>
      <c r="E1619" s="7">
        <v>6.54</v>
      </c>
      <c r="G1619" s="31"/>
    </row>
    <row r="1620" spans="1:7" x14ac:dyDescent="0.25">
      <c r="A1620" s="36">
        <v>41432</v>
      </c>
      <c r="B1620" s="7">
        <v>48.45</v>
      </c>
      <c r="C1620" s="7">
        <v>29.52</v>
      </c>
      <c r="D1620" s="7">
        <v>11.2</v>
      </c>
      <c r="E1620" s="7">
        <v>6.68</v>
      </c>
      <c r="G1620" s="31"/>
    </row>
    <row r="1621" spans="1:7" x14ac:dyDescent="0.25">
      <c r="A1621" s="36">
        <v>41433</v>
      </c>
      <c r="B1621" s="7">
        <v>48.53</v>
      </c>
      <c r="C1621" s="7">
        <v>29.58</v>
      </c>
      <c r="D1621" s="7">
        <v>11.3</v>
      </c>
      <c r="E1621" s="7">
        <v>6.76</v>
      </c>
      <c r="G1621" s="31"/>
    </row>
    <row r="1622" spans="1:7" x14ac:dyDescent="0.25">
      <c r="A1622" s="36">
        <v>41434</v>
      </c>
      <c r="B1622" s="7">
        <v>48.59</v>
      </c>
      <c r="C1622" s="7">
        <v>29.64</v>
      </c>
      <c r="D1622" s="7">
        <v>11.38</v>
      </c>
      <c r="E1622" s="7">
        <v>6.79</v>
      </c>
      <c r="G1622" s="31"/>
    </row>
    <row r="1623" spans="1:7" x14ac:dyDescent="0.25">
      <c r="A1623" s="36">
        <v>41435</v>
      </c>
      <c r="B1623" s="7">
        <v>48.63</v>
      </c>
      <c r="C1623" s="7">
        <v>29.7</v>
      </c>
      <c r="D1623" s="7">
        <v>11.46</v>
      </c>
      <c r="E1623" s="7">
        <v>6.87</v>
      </c>
      <c r="G1623" s="31"/>
    </row>
    <row r="1624" spans="1:7" x14ac:dyDescent="0.25">
      <c r="A1624" s="36">
        <v>41436</v>
      </c>
      <c r="B1624" s="7">
        <v>48.7</v>
      </c>
      <c r="C1624" s="7">
        <v>29.8</v>
      </c>
      <c r="D1624" s="7">
        <v>11.52</v>
      </c>
      <c r="E1624" s="7">
        <v>6.9399999999999995</v>
      </c>
      <c r="G1624" s="31"/>
    </row>
    <row r="1625" spans="1:7" x14ac:dyDescent="0.25">
      <c r="A1625" s="36">
        <v>41437</v>
      </c>
      <c r="B1625" s="7">
        <v>48.79</v>
      </c>
      <c r="C1625" s="7">
        <v>29.88</v>
      </c>
      <c r="D1625" s="7">
        <v>11.6</v>
      </c>
      <c r="E1625" s="7">
        <v>6.97</v>
      </c>
      <c r="G1625" s="31"/>
    </row>
    <row r="1626" spans="1:7" x14ac:dyDescent="0.25">
      <c r="A1626" s="36">
        <v>41438</v>
      </c>
      <c r="B1626" s="7">
        <v>48.89</v>
      </c>
      <c r="C1626" s="7">
        <v>29.99</v>
      </c>
      <c r="D1626" s="7">
        <v>11.64</v>
      </c>
      <c r="E1626" s="7">
        <v>7.04</v>
      </c>
      <c r="G1626" s="31"/>
    </row>
    <row r="1627" spans="1:7" x14ac:dyDescent="0.25">
      <c r="A1627" s="36">
        <v>41439</v>
      </c>
      <c r="B1627" s="7">
        <v>48.99</v>
      </c>
      <c r="C1627" s="7">
        <v>30.08</v>
      </c>
      <c r="D1627" s="7">
        <v>11.8</v>
      </c>
      <c r="E1627" s="7">
        <v>7.1099999999999994</v>
      </c>
      <c r="G1627" s="31"/>
    </row>
    <row r="1628" spans="1:7" x14ac:dyDescent="0.25">
      <c r="A1628" s="36">
        <v>41440</v>
      </c>
      <c r="B1628" s="7">
        <v>49.04</v>
      </c>
      <c r="C1628" s="6">
        <v>30.18</v>
      </c>
      <c r="D1628" s="6">
        <v>11.9</v>
      </c>
      <c r="E1628" s="7">
        <v>7.16</v>
      </c>
      <c r="G1628" s="31"/>
    </row>
    <row r="1629" spans="1:7" x14ac:dyDescent="0.25">
      <c r="A1629" s="36">
        <v>41441</v>
      </c>
      <c r="B1629" s="7">
        <v>49.15</v>
      </c>
      <c r="C1629" s="6">
        <v>30.27</v>
      </c>
      <c r="D1629" s="6">
        <v>12.06</v>
      </c>
      <c r="E1629" s="6">
        <v>7.33</v>
      </c>
      <c r="G1629" s="31"/>
    </row>
    <row r="1630" spans="1:7" x14ac:dyDescent="0.25">
      <c r="A1630" s="36">
        <v>41442</v>
      </c>
      <c r="B1630" s="6">
        <v>49.19</v>
      </c>
      <c r="C1630" s="6">
        <v>30.35</v>
      </c>
      <c r="D1630" s="6">
        <v>12.16</v>
      </c>
      <c r="E1630" s="6">
        <v>7.3999999999999995</v>
      </c>
      <c r="G1630" s="31"/>
    </row>
    <row r="1631" spans="1:7" x14ac:dyDescent="0.25">
      <c r="A1631" s="36">
        <v>41443</v>
      </c>
      <c r="B1631" s="6">
        <v>49.39</v>
      </c>
      <c r="C1631" s="6">
        <v>30.45</v>
      </c>
      <c r="D1631" s="6">
        <v>12.28</v>
      </c>
      <c r="E1631" s="6">
        <v>7.51</v>
      </c>
      <c r="G1631" s="31"/>
    </row>
    <row r="1632" spans="1:7" x14ac:dyDescent="0.25">
      <c r="A1632" s="36">
        <v>41444</v>
      </c>
      <c r="B1632" s="6">
        <v>49.47</v>
      </c>
      <c r="C1632" s="6">
        <v>30.54</v>
      </c>
      <c r="D1632" s="6">
        <v>12.36</v>
      </c>
      <c r="E1632" s="6">
        <v>7.59</v>
      </c>
      <c r="G1632" s="31"/>
    </row>
    <row r="1633" spans="1:7" x14ac:dyDescent="0.25">
      <c r="A1633" s="36">
        <v>41445</v>
      </c>
      <c r="B1633" s="6">
        <v>49.57</v>
      </c>
      <c r="C1633" s="6">
        <v>30.63</v>
      </c>
      <c r="D1633" s="6">
        <v>12.42</v>
      </c>
      <c r="E1633" s="6">
        <v>7.64</v>
      </c>
      <c r="G1633" s="31"/>
    </row>
    <row r="1634" spans="1:7" x14ac:dyDescent="0.25">
      <c r="A1634" s="36">
        <v>41446</v>
      </c>
      <c r="B1634" s="6">
        <v>49.61</v>
      </c>
      <c r="C1634" s="6">
        <v>30.73</v>
      </c>
      <c r="D1634" s="6">
        <v>12.5</v>
      </c>
      <c r="E1634" s="6">
        <v>7.67</v>
      </c>
      <c r="G1634" s="31"/>
    </row>
    <row r="1635" spans="1:7" x14ac:dyDescent="0.25">
      <c r="A1635" s="36">
        <v>41447</v>
      </c>
      <c r="B1635" s="6">
        <v>49.63</v>
      </c>
      <c r="C1635" s="6">
        <v>30.82</v>
      </c>
      <c r="D1635" s="6">
        <v>12.56</v>
      </c>
      <c r="E1635" s="6">
        <v>7.7299999999999995</v>
      </c>
      <c r="G1635" s="31"/>
    </row>
    <row r="1636" spans="1:7" x14ac:dyDescent="0.25">
      <c r="A1636" s="36">
        <v>41448</v>
      </c>
      <c r="B1636" s="6">
        <v>49.66</v>
      </c>
      <c r="C1636" s="6">
        <v>30.9</v>
      </c>
      <c r="D1636" s="6">
        <v>12.62</v>
      </c>
      <c r="E1636" s="6">
        <v>7.77</v>
      </c>
      <c r="G1636" s="31"/>
    </row>
    <row r="1637" spans="1:7" x14ac:dyDescent="0.25">
      <c r="A1637" s="36">
        <v>41449</v>
      </c>
      <c r="B1637" s="6">
        <v>49.74</v>
      </c>
      <c r="C1637" s="6">
        <v>30.99</v>
      </c>
      <c r="D1637" s="6">
        <v>12.68</v>
      </c>
      <c r="E1637" s="6">
        <v>7.8199999999999994</v>
      </c>
      <c r="G1637" s="31"/>
    </row>
    <row r="1638" spans="1:7" x14ac:dyDescent="0.25">
      <c r="A1638" s="36">
        <v>41450</v>
      </c>
      <c r="B1638" s="6">
        <v>49.83</v>
      </c>
      <c r="C1638" s="6">
        <v>31.07</v>
      </c>
      <c r="D1638" s="6">
        <v>12.7</v>
      </c>
      <c r="E1638" s="6">
        <v>7.83</v>
      </c>
      <c r="G1638" s="31"/>
    </row>
    <row r="1639" spans="1:7" x14ac:dyDescent="0.25">
      <c r="A1639" s="36">
        <v>41451</v>
      </c>
      <c r="B1639" s="6">
        <v>49.9</v>
      </c>
      <c r="C1639" s="6">
        <v>31.15</v>
      </c>
      <c r="D1639" s="6">
        <v>12.76</v>
      </c>
      <c r="E1639" s="6">
        <v>7.9399999999999995</v>
      </c>
      <c r="G1639" s="31"/>
    </row>
    <row r="1640" spans="1:7" x14ac:dyDescent="0.25">
      <c r="A1640" s="36">
        <v>41452</v>
      </c>
      <c r="B1640" s="6">
        <v>49.96</v>
      </c>
      <c r="C1640" s="6">
        <v>31.2</v>
      </c>
      <c r="D1640" s="6">
        <v>12.82</v>
      </c>
      <c r="E1640" s="6">
        <v>7.9799999999999995</v>
      </c>
      <c r="G1640" s="31"/>
    </row>
    <row r="1641" spans="1:7" x14ac:dyDescent="0.25">
      <c r="A1641" s="36">
        <v>41453</v>
      </c>
      <c r="B1641" s="6">
        <v>50.01</v>
      </c>
      <c r="C1641" s="6">
        <v>31.26</v>
      </c>
      <c r="D1641" s="6">
        <v>12.9</v>
      </c>
      <c r="E1641" s="6">
        <v>8.06</v>
      </c>
      <c r="G1641" s="31"/>
    </row>
    <row r="1642" spans="1:7" x14ac:dyDescent="0.25">
      <c r="A1642" s="36">
        <v>41454</v>
      </c>
      <c r="B1642" s="6">
        <v>50.01</v>
      </c>
      <c r="C1642" s="6">
        <v>31.32</v>
      </c>
      <c r="D1642" s="6">
        <v>13</v>
      </c>
      <c r="E1642" s="6">
        <v>8.06</v>
      </c>
      <c r="G1642" s="31"/>
    </row>
    <row r="1643" spans="1:7" x14ac:dyDescent="0.25">
      <c r="A1643" s="36">
        <v>41455</v>
      </c>
      <c r="B1643" s="6">
        <v>50.01</v>
      </c>
      <c r="C1643" s="6">
        <v>31.36</v>
      </c>
      <c r="D1643" s="6">
        <v>13.06</v>
      </c>
      <c r="E1643" s="6">
        <v>8.14</v>
      </c>
      <c r="G1643" s="31"/>
    </row>
    <row r="1644" spans="1:7" x14ac:dyDescent="0.25">
      <c r="A1644" s="36">
        <v>41456</v>
      </c>
      <c r="B1644" s="6">
        <v>50.01</v>
      </c>
      <c r="C1644" s="6">
        <v>31.4</v>
      </c>
      <c r="D1644" s="6">
        <v>13.12</v>
      </c>
      <c r="E1644" s="6">
        <v>8.14</v>
      </c>
      <c r="G1644" s="31"/>
    </row>
    <row r="1645" spans="1:7" x14ac:dyDescent="0.25">
      <c r="A1645" s="36">
        <v>41457</v>
      </c>
      <c r="B1645" s="6">
        <v>50.07</v>
      </c>
      <c r="C1645" s="6">
        <v>31.43</v>
      </c>
      <c r="D1645" s="6">
        <v>13.18</v>
      </c>
      <c r="E1645" s="6">
        <v>8.2100000000000009</v>
      </c>
      <c r="G1645" s="31"/>
    </row>
    <row r="1646" spans="1:7" x14ac:dyDescent="0.25">
      <c r="A1646" s="36">
        <v>41458</v>
      </c>
      <c r="B1646" s="6">
        <v>50.07</v>
      </c>
      <c r="C1646" s="6">
        <v>31.48</v>
      </c>
      <c r="D1646" s="6">
        <v>13.2</v>
      </c>
      <c r="E1646" s="6">
        <v>8.24</v>
      </c>
      <c r="G1646" s="31"/>
    </row>
    <row r="1647" spans="1:7" x14ac:dyDescent="0.25">
      <c r="A1647" s="36">
        <v>41459</v>
      </c>
      <c r="B1647" s="6">
        <v>50.02</v>
      </c>
      <c r="C1647" s="6">
        <v>31.48</v>
      </c>
      <c r="D1647" s="6">
        <v>13.2</v>
      </c>
      <c r="E1647" s="6">
        <v>8.24</v>
      </c>
      <c r="G1647" s="31"/>
    </row>
    <row r="1648" spans="1:7" x14ac:dyDescent="0.25">
      <c r="A1648" s="36">
        <v>41460</v>
      </c>
      <c r="B1648" s="6">
        <v>49.98</v>
      </c>
      <c r="C1648" s="6">
        <v>31.48</v>
      </c>
      <c r="D1648" s="6">
        <v>13.2</v>
      </c>
      <c r="E1648" s="7">
        <v>8.2799999999999994</v>
      </c>
      <c r="G1648" s="31"/>
    </row>
    <row r="1649" spans="1:7" x14ac:dyDescent="0.25">
      <c r="A1649" s="36">
        <v>41461</v>
      </c>
      <c r="B1649" s="7">
        <v>49.9</v>
      </c>
      <c r="C1649" s="6">
        <v>31.48</v>
      </c>
      <c r="D1649" s="6">
        <v>13.2</v>
      </c>
      <c r="E1649" s="7">
        <v>8.2799999999999994</v>
      </c>
      <c r="G1649" s="31"/>
    </row>
    <row r="1650" spans="1:7" x14ac:dyDescent="0.25">
      <c r="A1650" s="36">
        <v>41462</v>
      </c>
      <c r="B1650" s="7">
        <v>49.86</v>
      </c>
      <c r="C1650" s="6">
        <v>31.47</v>
      </c>
      <c r="D1650" s="6">
        <v>13.18</v>
      </c>
      <c r="E1650" s="7">
        <v>8.2900000000000009</v>
      </c>
      <c r="G1650" s="31"/>
    </row>
    <row r="1651" spans="1:7" x14ac:dyDescent="0.25">
      <c r="A1651" s="36">
        <v>41463</v>
      </c>
      <c r="B1651" s="7">
        <v>49.84</v>
      </c>
      <c r="C1651" s="6">
        <v>31.47</v>
      </c>
      <c r="D1651" s="6">
        <v>13.14</v>
      </c>
      <c r="E1651" s="6">
        <v>8.25</v>
      </c>
      <c r="G1651" s="31"/>
    </row>
    <row r="1652" spans="1:7" x14ac:dyDescent="0.25">
      <c r="A1652" s="36">
        <v>41464</v>
      </c>
      <c r="B1652" s="6">
        <v>49.86</v>
      </c>
      <c r="C1652" s="6">
        <v>31.47</v>
      </c>
      <c r="D1652" s="6">
        <v>13.12</v>
      </c>
      <c r="E1652" s="6">
        <v>8.23</v>
      </c>
      <c r="G1652" s="31"/>
    </row>
    <row r="1653" spans="1:7" x14ac:dyDescent="0.25">
      <c r="A1653" s="36">
        <v>41465</v>
      </c>
      <c r="B1653" s="6">
        <v>49.86</v>
      </c>
      <c r="C1653" s="6">
        <v>31.5</v>
      </c>
      <c r="D1653" s="6">
        <v>13.14</v>
      </c>
      <c r="E1653" s="6">
        <v>8.23</v>
      </c>
      <c r="G1653" s="31"/>
    </row>
    <row r="1654" spans="1:7" x14ac:dyDescent="0.25">
      <c r="A1654" s="36">
        <v>41466</v>
      </c>
      <c r="B1654" s="6">
        <v>49.84</v>
      </c>
      <c r="C1654" s="6">
        <v>31.52</v>
      </c>
      <c r="D1654" s="6">
        <v>13.14</v>
      </c>
      <c r="E1654" s="6">
        <v>8.26</v>
      </c>
      <c r="G1654" s="31"/>
    </row>
    <row r="1655" spans="1:7" x14ac:dyDescent="0.25">
      <c r="A1655" s="36">
        <v>41467</v>
      </c>
      <c r="B1655" s="6">
        <v>49.78</v>
      </c>
      <c r="C1655" s="6">
        <v>31.53</v>
      </c>
      <c r="D1655" s="6">
        <v>13.2</v>
      </c>
      <c r="E1655" s="6">
        <v>8.2900000000000009</v>
      </c>
      <c r="G1655" s="31"/>
    </row>
    <row r="1656" spans="1:7" x14ac:dyDescent="0.25">
      <c r="A1656" s="36">
        <v>41468</v>
      </c>
      <c r="B1656" s="6">
        <v>49.74</v>
      </c>
      <c r="C1656" s="6">
        <v>31.54</v>
      </c>
      <c r="D1656" s="6">
        <v>13.22</v>
      </c>
      <c r="E1656" s="6">
        <v>8.3000000000000007</v>
      </c>
      <c r="G1656" s="31"/>
    </row>
    <row r="1657" spans="1:7" x14ac:dyDescent="0.25">
      <c r="A1657" s="36">
        <v>41469</v>
      </c>
      <c r="B1657" s="6">
        <v>49.69</v>
      </c>
      <c r="C1657" s="6">
        <v>31.56</v>
      </c>
      <c r="D1657" s="6">
        <v>13.26</v>
      </c>
      <c r="E1657" s="6">
        <v>8.34</v>
      </c>
      <c r="G1657" s="31"/>
    </row>
    <row r="1658" spans="1:7" x14ac:dyDescent="0.25">
      <c r="A1658" s="36">
        <v>41470</v>
      </c>
      <c r="B1658" s="6">
        <v>49.67</v>
      </c>
      <c r="C1658" s="6">
        <v>31.54</v>
      </c>
      <c r="D1658" s="6">
        <v>13.28</v>
      </c>
      <c r="E1658" s="6">
        <v>8.35</v>
      </c>
      <c r="G1658" s="31"/>
    </row>
    <row r="1659" spans="1:7" x14ac:dyDescent="0.25">
      <c r="A1659" s="36">
        <v>41471</v>
      </c>
      <c r="B1659" s="6">
        <v>49.7</v>
      </c>
      <c r="C1659" s="6">
        <v>31.54</v>
      </c>
      <c r="D1659" s="6">
        <v>13.28</v>
      </c>
      <c r="E1659" s="6">
        <v>8.3569999999999993</v>
      </c>
      <c r="G1659" s="31"/>
    </row>
    <row r="1660" spans="1:7" x14ac:dyDescent="0.25">
      <c r="A1660" s="36">
        <v>41472</v>
      </c>
      <c r="B1660" s="6">
        <v>49.71</v>
      </c>
      <c r="C1660" s="6">
        <v>31.56</v>
      </c>
      <c r="D1660" s="6">
        <v>13.28</v>
      </c>
      <c r="E1660" s="6">
        <v>8.35</v>
      </c>
      <c r="G1660" s="31"/>
    </row>
    <row r="1661" spans="1:7" x14ac:dyDescent="0.25">
      <c r="A1661" s="36">
        <v>41473</v>
      </c>
      <c r="B1661" s="6">
        <v>49.73</v>
      </c>
      <c r="C1661" s="6">
        <v>31.57</v>
      </c>
      <c r="D1661" s="6">
        <v>13.3</v>
      </c>
      <c r="E1661" s="6">
        <v>8.35</v>
      </c>
      <c r="G1661" s="31"/>
    </row>
    <row r="1662" spans="1:7" x14ac:dyDescent="0.25">
      <c r="A1662" s="36">
        <v>41474</v>
      </c>
      <c r="B1662" s="6">
        <v>49.78</v>
      </c>
      <c r="C1662" s="6">
        <v>31.57</v>
      </c>
      <c r="D1662" s="6">
        <v>13.3</v>
      </c>
      <c r="E1662" s="6">
        <v>8.39</v>
      </c>
      <c r="G1662" s="31"/>
    </row>
    <row r="1663" spans="1:7" x14ac:dyDescent="0.25">
      <c r="A1663" s="36">
        <v>41475</v>
      </c>
      <c r="B1663" s="6">
        <v>49.8</v>
      </c>
      <c r="C1663" s="6">
        <v>31.57</v>
      </c>
      <c r="D1663" s="6">
        <v>13.32</v>
      </c>
      <c r="E1663" s="6">
        <v>8.34</v>
      </c>
      <c r="G1663" s="31"/>
    </row>
    <row r="1664" spans="1:7" x14ac:dyDescent="0.25">
      <c r="A1664" s="36">
        <v>41476</v>
      </c>
      <c r="B1664" s="6">
        <v>49.86</v>
      </c>
      <c r="C1664" s="6">
        <v>31.57</v>
      </c>
      <c r="D1664" s="6">
        <v>13.34</v>
      </c>
      <c r="E1664" s="6">
        <v>8.3439999999999994</v>
      </c>
      <c r="G1664" s="31"/>
    </row>
    <row r="1665" spans="1:7" x14ac:dyDescent="0.25">
      <c r="A1665" s="36">
        <v>41477</v>
      </c>
      <c r="B1665" s="6">
        <v>49.9</v>
      </c>
      <c r="C1665" s="6">
        <v>31.57</v>
      </c>
      <c r="D1665" s="6">
        <v>13.38</v>
      </c>
      <c r="E1665" s="6">
        <v>8.3800000000000008</v>
      </c>
      <c r="G1665" s="31"/>
    </row>
    <row r="1666" spans="1:7" x14ac:dyDescent="0.25">
      <c r="A1666" s="36">
        <v>41478</v>
      </c>
      <c r="B1666" s="6">
        <v>49.95</v>
      </c>
      <c r="C1666" s="6">
        <v>31.6</v>
      </c>
      <c r="D1666" s="6">
        <v>13.4</v>
      </c>
      <c r="E1666" s="6">
        <v>8.43</v>
      </c>
      <c r="G1666" s="31"/>
    </row>
    <row r="1667" spans="1:7" x14ac:dyDescent="0.25">
      <c r="A1667" s="36">
        <v>41479</v>
      </c>
      <c r="B1667" s="6">
        <v>50.01</v>
      </c>
      <c r="C1667" s="6">
        <v>31.64</v>
      </c>
      <c r="D1667" s="6">
        <v>13.44</v>
      </c>
      <c r="E1667" s="6">
        <v>8.51</v>
      </c>
      <c r="G1667" s="31"/>
    </row>
    <row r="1668" spans="1:7" x14ac:dyDescent="0.25">
      <c r="A1668" s="36">
        <v>41480</v>
      </c>
      <c r="B1668" s="6">
        <v>50.04</v>
      </c>
      <c r="C1668" s="6">
        <v>31.68</v>
      </c>
      <c r="D1668" s="6">
        <v>13.46</v>
      </c>
      <c r="E1668" s="6">
        <v>8.51</v>
      </c>
      <c r="G1668" s="31"/>
    </row>
    <row r="1669" spans="1:7" x14ac:dyDescent="0.25">
      <c r="A1669" s="36">
        <v>41481</v>
      </c>
      <c r="B1669" s="6">
        <v>50.14</v>
      </c>
      <c r="C1669" s="6">
        <v>31.72</v>
      </c>
      <c r="D1669" s="6">
        <v>13.48</v>
      </c>
      <c r="E1669" s="6">
        <v>8.56</v>
      </c>
      <c r="G1669" s="31"/>
    </row>
    <row r="1670" spans="1:7" x14ac:dyDescent="0.25">
      <c r="A1670" s="36">
        <v>41482</v>
      </c>
      <c r="B1670" s="6">
        <v>50.22</v>
      </c>
      <c r="C1670" s="6">
        <v>31.8</v>
      </c>
      <c r="D1670" s="6">
        <v>13.5</v>
      </c>
      <c r="E1670" s="6">
        <v>8.6199999999999992</v>
      </c>
      <c r="G1670" s="31"/>
    </row>
    <row r="1671" spans="1:7" x14ac:dyDescent="0.25">
      <c r="A1671" s="36">
        <v>41483</v>
      </c>
      <c r="B1671" s="6">
        <v>50.29</v>
      </c>
      <c r="C1671" s="6">
        <v>31.9</v>
      </c>
      <c r="D1671" s="6">
        <v>13.66</v>
      </c>
      <c r="E1671" s="6">
        <v>8.68</v>
      </c>
      <c r="G1671" s="31"/>
    </row>
    <row r="1672" spans="1:7" x14ac:dyDescent="0.25">
      <c r="A1672" s="36">
        <v>41484</v>
      </c>
      <c r="B1672" s="6">
        <v>50.35</v>
      </c>
      <c r="C1672" s="6">
        <v>31.98</v>
      </c>
      <c r="D1672" s="6">
        <v>13.7</v>
      </c>
      <c r="E1672" s="6">
        <v>8.68</v>
      </c>
      <c r="G1672" s="31"/>
    </row>
    <row r="1673" spans="1:7" x14ac:dyDescent="0.25">
      <c r="A1673" s="36">
        <v>41485</v>
      </c>
      <c r="B1673" s="6">
        <v>50.4</v>
      </c>
      <c r="C1673" s="6">
        <v>32.020000000000003</v>
      </c>
      <c r="D1673" s="6">
        <v>13.9</v>
      </c>
      <c r="E1673" s="6">
        <v>8.77</v>
      </c>
      <c r="G1673" s="31"/>
    </row>
    <row r="1674" spans="1:7" x14ac:dyDescent="0.25">
      <c r="A1674" s="36">
        <v>41486</v>
      </c>
      <c r="B1674" s="6">
        <v>50.44</v>
      </c>
      <c r="C1674" s="6">
        <v>32.090000000000003</v>
      </c>
      <c r="D1674" s="6">
        <v>14</v>
      </c>
      <c r="E1674" s="6">
        <v>8.879999999999999</v>
      </c>
      <c r="G1674" s="31"/>
    </row>
    <row r="1675" spans="1:7" x14ac:dyDescent="0.25">
      <c r="A1675" s="36">
        <v>41487</v>
      </c>
      <c r="B1675" s="6">
        <v>50.43</v>
      </c>
      <c r="C1675" s="6">
        <v>32.159999999999997</v>
      </c>
      <c r="D1675" s="6">
        <v>14.08</v>
      </c>
      <c r="E1675" s="6">
        <v>8.94</v>
      </c>
      <c r="G1675" s="31"/>
    </row>
    <row r="1676" spans="1:7" x14ac:dyDescent="0.25">
      <c r="A1676" s="36">
        <v>41488</v>
      </c>
      <c r="B1676" s="6">
        <v>50.45</v>
      </c>
      <c r="C1676" s="6">
        <v>32.21</v>
      </c>
      <c r="D1676" s="6">
        <v>14.14</v>
      </c>
      <c r="E1676" s="6">
        <v>8.99</v>
      </c>
      <c r="G1676" s="31"/>
    </row>
    <row r="1677" spans="1:7" x14ac:dyDescent="0.25">
      <c r="A1677" s="36">
        <v>41489</v>
      </c>
      <c r="B1677" s="6">
        <v>50.53</v>
      </c>
      <c r="C1677" s="6">
        <v>32.270000000000003</v>
      </c>
      <c r="D1677" s="6">
        <v>14.22</v>
      </c>
      <c r="E1677" s="6">
        <v>9.0299999999999994</v>
      </c>
      <c r="G1677" s="31"/>
    </row>
    <row r="1678" spans="1:7" x14ac:dyDescent="0.25">
      <c r="A1678" s="36">
        <v>41490</v>
      </c>
      <c r="B1678" s="6">
        <v>50.54</v>
      </c>
      <c r="C1678" s="6">
        <v>32.340000000000003</v>
      </c>
      <c r="D1678" s="6">
        <v>14.28</v>
      </c>
      <c r="E1678" s="6">
        <v>9.08</v>
      </c>
      <c r="G1678" s="31"/>
    </row>
    <row r="1679" spans="1:7" x14ac:dyDescent="0.25">
      <c r="A1679" s="36">
        <v>41491</v>
      </c>
      <c r="B1679" s="6">
        <v>50.52</v>
      </c>
      <c r="C1679" s="6">
        <v>32.369999999999997</v>
      </c>
      <c r="D1679" s="6">
        <v>14.34</v>
      </c>
      <c r="E1679" s="6">
        <v>9.11</v>
      </c>
      <c r="G1679" s="31"/>
    </row>
    <row r="1680" spans="1:7" x14ac:dyDescent="0.25">
      <c r="A1680" s="36">
        <v>41492</v>
      </c>
      <c r="B1680" s="6">
        <v>50.49</v>
      </c>
      <c r="C1680" s="6">
        <v>32.4</v>
      </c>
      <c r="D1680" s="6">
        <v>14.4</v>
      </c>
      <c r="E1680" s="6">
        <v>9.16</v>
      </c>
      <c r="G1680" s="31"/>
    </row>
    <row r="1681" spans="1:7" x14ac:dyDescent="0.25">
      <c r="A1681" s="36">
        <v>41493</v>
      </c>
      <c r="B1681" s="6">
        <v>50.46</v>
      </c>
      <c r="C1681" s="6">
        <v>32.44</v>
      </c>
      <c r="D1681" s="6">
        <v>14.44</v>
      </c>
      <c r="E1681" s="6">
        <v>9.2199999999999989</v>
      </c>
      <c r="G1681" s="31"/>
    </row>
    <row r="1682" spans="1:7" x14ac:dyDescent="0.25">
      <c r="A1682" s="36">
        <v>41494</v>
      </c>
      <c r="B1682" s="6">
        <v>50.46</v>
      </c>
      <c r="C1682" s="6">
        <v>32.49</v>
      </c>
      <c r="D1682" s="6">
        <v>14.52</v>
      </c>
      <c r="E1682" s="6">
        <v>9.2899999999999991</v>
      </c>
      <c r="G1682" s="31"/>
    </row>
    <row r="1683" spans="1:7" x14ac:dyDescent="0.25">
      <c r="A1683" s="36">
        <v>41495</v>
      </c>
      <c r="B1683" s="6">
        <v>50.4</v>
      </c>
      <c r="C1683" s="6">
        <v>32.520000000000003</v>
      </c>
      <c r="D1683" s="6">
        <v>14.6</v>
      </c>
      <c r="E1683" s="6">
        <v>9.36</v>
      </c>
      <c r="G1683" s="31"/>
    </row>
    <row r="1684" spans="1:7" x14ac:dyDescent="0.25">
      <c r="A1684" s="36">
        <v>41496</v>
      </c>
      <c r="B1684" s="6">
        <v>50.37</v>
      </c>
      <c r="C1684" s="6">
        <v>32.56</v>
      </c>
      <c r="D1684" s="6">
        <v>14.62</v>
      </c>
      <c r="E1684" s="6">
        <v>9.379999999999999</v>
      </c>
      <c r="G1684" s="31"/>
    </row>
    <row r="1685" spans="1:7" x14ac:dyDescent="0.25">
      <c r="A1685" s="36">
        <v>41497</v>
      </c>
      <c r="B1685" s="6">
        <v>50.32</v>
      </c>
      <c r="C1685" s="6">
        <v>32.590000000000003</v>
      </c>
      <c r="D1685" s="6">
        <v>14.66</v>
      </c>
      <c r="E1685" s="6">
        <v>9.36</v>
      </c>
      <c r="G1685" s="31"/>
    </row>
    <row r="1686" spans="1:7" x14ac:dyDescent="0.25">
      <c r="A1686" s="36">
        <v>41498</v>
      </c>
      <c r="B1686" s="6">
        <v>50.31</v>
      </c>
      <c r="C1686" s="6">
        <v>32.65</v>
      </c>
      <c r="D1686" s="6">
        <v>14.66</v>
      </c>
      <c r="E1686" s="6">
        <v>9.4</v>
      </c>
      <c r="G1686" s="31"/>
    </row>
    <row r="1687" spans="1:7" x14ac:dyDescent="0.25">
      <c r="A1687" s="36">
        <v>41499</v>
      </c>
      <c r="B1687" s="6">
        <v>50.32</v>
      </c>
      <c r="C1687" s="6">
        <v>32.659999999999997</v>
      </c>
      <c r="D1687" s="6">
        <v>14.68</v>
      </c>
      <c r="E1687" s="6">
        <v>9.42</v>
      </c>
      <c r="G1687" s="31"/>
    </row>
    <row r="1688" spans="1:7" x14ac:dyDescent="0.25">
      <c r="A1688" s="36">
        <v>41500</v>
      </c>
      <c r="B1688" s="6">
        <v>50.27</v>
      </c>
      <c r="C1688" s="6">
        <v>32.659999999999997</v>
      </c>
      <c r="D1688" s="6">
        <v>14.7</v>
      </c>
      <c r="E1688" s="6">
        <v>9.43</v>
      </c>
      <c r="G1688" s="31"/>
    </row>
    <row r="1689" spans="1:7" x14ac:dyDescent="0.25">
      <c r="A1689" s="36">
        <v>41501</v>
      </c>
      <c r="B1689" s="6">
        <v>50.23</v>
      </c>
      <c r="C1689" s="6">
        <v>32.69</v>
      </c>
      <c r="D1689" s="6">
        <v>14.7</v>
      </c>
      <c r="E1689" s="6">
        <v>9.42</v>
      </c>
      <c r="G1689" s="31"/>
    </row>
    <row r="1690" spans="1:7" x14ac:dyDescent="0.25">
      <c r="A1690" s="36">
        <v>41502</v>
      </c>
      <c r="B1690" s="6">
        <v>50.18</v>
      </c>
      <c r="C1690" s="6">
        <v>32.72</v>
      </c>
      <c r="D1690" s="6">
        <v>14.7</v>
      </c>
      <c r="E1690" s="6">
        <v>9.42</v>
      </c>
      <c r="G1690" s="31"/>
    </row>
    <row r="1691" spans="1:7" x14ac:dyDescent="0.25">
      <c r="A1691" s="36">
        <v>41503</v>
      </c>
      <c r="B1691" s="6">
        <v>50.16</v>
      </c>
      <c r="C1691" s="6">
        <v>32.76</v>
      </c>
      <c r="D1691" s="6">
        <v>14.74</v>
      </c>
      <c r="E1691" s="6">
        <v>9.4499999999999993</v>
      </c>
      <c r="G1691" s="31"/>
    </row>
    <row r="1692" spans="1:7" x14ac:dyDescent="0.25">
      <c r="A1692" s="36">
        <v>41504</v>
      </c>
      <c r="B1692" s="6">
        <v>50.2</v>
      </c>
      <c r="C1692" s="6">
        <v>32.76</v>
      </c>
      <c r="D1692" s="6">
        <v>14.78</v>
      </c>
      <c r="E1692" s="6">
        <v>9.4599999999999991</v>
      </c>
      <c r="G1692" s="31"/>
    </row>
    <row r="1693" spans="1:7" x14ac:dyDescent="0.25">
      <c r="A1693" s="36">
        <v>41505</v>
      </c>
      <c r="B1693" s="6">
        <v>50.3</v>
      </c>
      <c r="C1693" s="6">
        <v>32.770000000000003</v>
      </c>
      <c r="D1693" s="6">
        <v>14.8</v>
      </c>
      <c r="E1693" s="6">
        <v>9.56</v>
      </c>
      <c r="G1693" s="31"/>
    </row>
    <row r="1694" spans="1:7" x14ac:dyDescent="0.25">
      <c r="A1694" s="36">
        <v>41506</v>
      </c>
      <c r="B1694" s="6">
        <v>50.36</v>
      </c>
      <c r="C1694" s="6">
        <v>32.79</v>
      </c>
      <c r="D1694" s="6">
        <v>14.9</v>
      </c>
      <c r="E1694" s="6">
        <v>9.629999999999999</v>
      </c>
      <c r="G1694" s="31"/>
    </row>
    <row r="1695" spans="1:7" x14ac:dyDescent="0.25">
      <c r="A1695" s="36">
        <v>41507</v>
      </c>
      <c r="B1695" s="6">
        <v>50.37</v>
      </c>
      <c r="C1695" s="6">
        <v>32.799999999999997</v>
      </c>
      <c r="D1695" s="6">
        <v>15</v>
      </c>
      <c r="E1695" s="6">
        <v>9.64</v>
      </c>
      <c r="G1695" s="31"/>
    </row>
    <row r="1696" spans="1:7" x14ac:dyDescent="0.25">
      <c r="A1696" s="36">
        <v>41508</v>
      </c>
      <c r="B1696" s="6">
        <v>50.38</v>
      </c>
      <c r="C1696" s="6">
        <v>32.81</v>
      </c>
      <c r="D1696" s="6">
        <v>15.04</v>
      </c>
      <c r="E1696" s="6">
        <v>9.68</v>
      </c>
      <c r="G1696" s="31"/>
    </row>
    <row r="1697" spans="1:7" x14ac:dyDescent="0.25">
      <c r="A1697" s="36">
        <v>41509</v>
      </c>
      <c r="B1697" s="6">
        <v>50.37</v>
      </c>
      <c r="C1697" s="6">
        <v>32.81</v>
      </c>
      <c r="D1697" s="6">
        <v>15.04</v>
      </c>
      <c r="E1697" s="6">
        <v>9.74</v>
      </c>
      <c r="G1697" s="31"/>
    </row>
    <row r="1698" spans="1:7" x14ac:dyDescent="0.25">
      <c r="A1698" s="36">
        <v>41510</v>
      </c>
      <c r="B1698" s="6">
        <v>50.35</v>
      </c>
      <c r="C1698" s="6">
        <v>32.82</v>
      </c>
      <c r="D1698" s="6">
        <v>15.02</v>
      </c>
      <c r="E1698" s="6">
        <v>9.73</v>
      </c>
      <c r="G1698" s="31"/>
    </row>
    <row r="1699" spans="1:7" x14ac:dyDescent="0.25">
      <c r="A1699" s="36">
        <v>41511</v>
      </c>
      <c r="B1699" s="6">
        <v>50.32</v>
      </c>
      <c r="C1699" s="6">
        <v>32.81</v>
      </c>
      <c r="D1699" s="6">
        <v>15.04</v>
      </c>
      <c r="E1699" s="6">
        <v>9.7199999999999989</v>
      </c>
      <c r="G1699" s="31"/>
    </row>
    <row r="1700" spans="1:7" x14ac:dyDescent="0.25">
      <c r="A1700" s="36">
        <v>41512</v>
      </c>
      <c r="B1700" s="6">
        <v>50.3</v>
      </c>
      <c r="C1700" s="6">
        <v>32.82</v>
      </c>
      <c r="D1700" s="6">
        <v>15.04</v>
      </c>
      <c r="E1700" s="6">
        <v>9.6999999999999993</v>
      </c>
      <c r="G1700" s="31"/>
    </row>
    <row r="1701" spans="1:7" x14ac:dyDescent="0.25">
      <c r="A1701" s="36">
        <v>41513</v>
      </c>
      <c r="B1701" s="6">
        <v>50.28</v>
      </c>
      <c r="C1701" s="6">
        <v>32.85</v>
      </c>
      <c r="D1701" s="6">
        <v>15.02</v>
      </c>
      <c r="E1701" s="6">
        <v>9.73</v>
      </c>
      <c r="G1701" s="31"/>
    </row>
    <row r="1702" spans="1:7" x14ac:dyDescent="0.25">
      <c r="A1702" s="36">
        <v>41514</v>
      </c>
      <c r="B1702" s="6">
        <v>50.4</v>
      </c>
      <c r="C1702" s="6">
        <v>32.83</v>
      </c>
      <c r="D1702" s="6">
        <v>15.02</v>
      </c>
      <c r="E1702" s="6">
        <v>9.67</v>
      </c>
      <c r="G1702" s="31"/>
    </row>
    <row r="1703" spans="1:7" x14ac:dyDescent="0.25">
      <c r="A1703" s="36">
        <v>41515</v>
      </c>
      <c r="B1703" s="6">
        <v>50.4</v>
      </c>
      <c r="C1703" s="6">
        <v>32.85</v>
      </c>
      <c r="D1703" s="6">
        <v>14.98</v>
      </c>
      <c r="E1703" s="6">
        <v>9.69</v>
      </c>
      <c r="G1703" s="31"/>
    </row>
    <row r="1704" spans="1:7" x14ac:dyDescent="0.25">
      <c r="A1704" s="36">
        <v>41516</v>
      </c>
      <c r="B1704" s="6">
        <v>50.42</v>
      </c>
      <c r="C1704" s="6">
        <v>32.909999999999997</v>
      </c>
      <c r="D1704" s="6">
        <v>15</v>
      </c>
      <c r="E1704" s="6">
        <v>9.68</v>
      </c>
      <c r="G1704" s="31"/>
    </row>
    <row r="1705" spans="1:7" x14ac:dyDescent="0.25">
      <c r="A1705" s="36">
        <v>41517</v>
      </c>
      <c r="B1705" s="6">
        <v>50.47</v>
      </c>
      <c r="C1705" s="6">
        <v>32.909999999999997</v>
      </c>
      <c r="D1705" s="6">
        <v>15.1</v>
      </c>
      <c r="E1705" s="6">
        <v>9.76</v>
      </c>
      <c r="G1705" s="31"/>
    </row>
    <row r="1706" spans="1:7" x14ac:dyDescent="0.25">
      <c r="A1706" s="36">
        <v>41518</v>
      </c>
      <c r="B1706" s="6">
        <v>50.48</v>
      </c>
      <c r="C1706" s="6">
        <v>32.950000000000003</v>
      </c>
      <c r="D1706" s="6">
        <v>15.16</v>
      </c>
      <c r="E1706" s="6">
        <v>9.94</v>
      </c>
      <c r="G1706" s="31"/>
    </row>
    <row r="1707" spans="1:7" x14ac:dyDescent="0.25">
      <c r="A1707" s="36">
        <v>41519</v>
      </c>
      <c r="B1707" s="6">
        <v>50.38</v>
      </c>
      <c r="C1707" s="6">
        <v>32.97</v>
      </c>
      <c r="D1707" s="6">
        <v>15.28</v>
      </c>
      <c r="E1707" s="6">
        <v>10.14</v>
      </c>
      <c r="G1707" s="31"/>
    </row>
    <row r="1708" spans="1:7" x14ac:dyDescent="0.25">
      <c r="A1708" s="36">
        <v>41520</v>
      </c>
      <c r="B1708" s="6">
        <v>50.28</v>
      </c>
      <c r="C1708" s="6">
        <v>32.97</v>
      </c>
      <c r="D1708" s="6">
        <v>15.3</v>
      </c>
      <c r="E1708" s="6">
        <v>10.209999999999999</v>
      </c>
      <c r="G1708" s="31"/>
    </row>
    <row r="1709" spans="1:7" x14ac:dyDescent="0.25">
      <c r="A1709" s="36">
        <v>41521</v>
      </c>
      <c r="B1709" s="6">
        <v>50.23</v>
      </c>
      <c r="C1709" s="6">
        <v>32.950000000000003</v>
      </c>
      <c r="D1709" s="6">
        <v>15.32</v>
      </c>
      <c r="E1709" s="6">
        <v>10.24</v>
      </c>
      <c r="G1709" s="31"/>
    </row>
    <row r="1710" spans="1:7" x14ac:dyDescent="0.25">
      <c r="A1710" s="36">
        <v>41522</v>
      </c>
      <c r="B1710" s="6">
        <v>50.18</v>
      </c>
      <c r="C1710" s="6">
        <v>32.950000000000003</v>
      </c>
      <c r="D1710" s="6">
        <v>15.34</v>
      </c>
      <c r="E1710" s="6">
        <v>10.18</v>
      </c>
      <c r="G1710" s="31"/>
    </row>
    <row r="1711" spans="1:7" x14ac:dyDescent="0.25">
      <c r="A1711" s="36">
        <v>41523</v>
      </c>
      <c r="B1711" s="6">
        <v>50.16</v>
      </c>
      <c r="C1711" s="6">
        <v>32.950000000000003</v>
      </c>
      <c r="D1711" s="6">
        <v>15.32</v>
      </c>
      <c r="E1711" s="6">
        <v>10.039999999999999</v>
      </c>
      <c r="G1711" s="31"/>
    </row>
    <row r="1712" spans="1:7" x14ac:dyDescent="0.25">
      <c r="A1712" s="36">
        <v>41524</v>
      </c>
      <c r="B1712" s="6">
        <v>50.14</v>
      </c>
      <c r="C1712" s="6">
        <v>32.94</v>
      </c>
      <c r="D1712" s="6">
        <v>15.3</v>
      </c>
      <c r="E1712" s="6">
        <v>9.9499999999999993</v>
      </c>
      <c r="G1712" s="31"/>
    </row>
    <row r="1713" spans="1:7" x14ac:dyDescent="0.25">
      <c r="A1713" s="36">
        <v>41525</v>
      </c>
      <c r="B1713" s="6">
        <v>50.13</v>
      </c>
      <c r="C1713" s="6">
        <v>32.92</v>
      </c>
      <c r="D1713" s="6">
        <v>15.24</v>
      </c>
      <c r="E1713" s="6">
        <v>9.9859999999999989</v>
      </c>
      <c r="G1713" s="31"/>
    </row>
    <row r="1714" spans="1:7" x14ac:dyDescent="0.25">
      <c r="A1714" s="36">
        <v>41526</v>
      </c>
      <c r="B1714" s="6">
        <v>50.1</v>
      </c>
      <c r="C1714" s="6">
        <v>32.89</v>
      </c>
      <c r="D1714" s="6">
        <v>15.22</v>
      </c>
      <c r="E1714" s="6">
        <v>10.01</v>
      </c>
      <c r="G1714" s="31"/>
    </row>
    <row r="1715" spans="1:7" x14ac:dyDescent="0.25">
      <c r="A1715" s="36">
        <v>41527</v>
      </c>
      <c r="B1715" s="6">
        <v>50.04</v>
      </c>
      <c r="C1715" s="6">
        <v>32.86</v>
      </c>
      <c r="D1715" s="6">
        <v>15.02</v>
      </c>
      <c r="E1715" s="6">
        <v>10.049999999999999</v>
      </c>
      <c r="G1715" s="31"/>
    </row>
    <row r="1716" spans="1:7" x14ac:dyDescent="0.25">
      <c r="A1716" s="36">
        <v>41528</v>
      </c>
      <c r="B1716" s="6">
        <v>50.14</v>
      </c>
      <c r="C1716" s="43">
        <v>32.85</v>
      </c>
      <c r="D1716" s="6">
        <v>15.2</v>
      </c>
      <c r="E1716" s="6">
        <v>10.07</v>
      </c>
      <c r="G1716" s="31"/>
    </row>
    <row r="1717" spans="1:7" x14ac:dyDescent="0.25">
      <c r="A1717" s="36">
        <v>41529</v>
      </c>
      <c r="B1717" s="6">
        <v>50.1</v>
      </c>
      <c r="C1717" s="6">
        <v>32.82</v>
      </c>
      <c r="D1717" s="6">
        <v>15.2</v>
      </c>
      <c r="E1717" s="6">
        <v>10.129999999999999</v>
      </c>
      <c r="G1717" s="31"/>
    </row>
    <row r="1718" spans="1:7" x14ac:dyDescent="0.25">
      <c r="A1718" s="36">
        <v>41530</v>
      </c>
      <c r="B1718" s="6">
        <v>50.06</v>
      </c>
      <c r="C1718" s="6">
        <v>32.79</v>
      </c>
      <c r="D1718" s="6">
        <v>15.26</v>
      </c>
      <c r="E1718" s="6">
        <v>10.199999999999999</v>
      </c>
      <c r="G1718" s="31"/>
    </row>
    <row r="1719" spans="1:7" x14ac:dyDescent="0.25">
      <c r="A1719" s="36">
        <v>41531</v>
      </c>
      <c r="B1719" s="6">
        <v>50.02</v>
      </c>
      <c r="C1719" s="6">
        <v>32.76</v>
      </c>
      <c r="D1719" s="6">
        <v>15.24</v>
      </c>
      <c r="E1719" s="6">
        <v>10.18</v>
      </c>
      <c r="G1719" s="31"/>
    </row>
    <row r="1720" spans="1:7" x14ac:dyDescent="0.25">
      <c r="A1720" s="36">
        <v>41532</v>
      </c>
      <c r="B1720" s="6">
        <v>49.96</v>
      </c>
      <c r="C1720" s="6">
        <v>32.729999999999997</v>
      </c>
      <c r="D1720" s="6">
        <v>15.2</v>
      </c>
      <c r="E1720" s="6">
        <v>10.14</v>
      </c>
      <c r="G1720" s="31"/>
    </row>
    <row r="1721" spans="1:7" x14ac:dyDescent="0.25">
      <c r="A1721" s="36">
        <v>41533</v>
      </c>
      <c r="B1721" s="6">
        <v>49.92</v>
      </c>
      <c r="C1721" s="6">
        <v>32.700000000000003</v>
      </c>
      <c r="D1721" s="6">
        <v>15.1</v>
      </c>
      <c r="E1721" s="6">
        <v>9.92</v>
      </c>
      <c r="G1721" s="31"/>
    </row>
    <row r="1722" spans="1:7" x14ac:dyDescent="0.25">
      <c r="A1722" s="36">
        <v>41534</v>
      </c>
      <c r="B1722" s="6">
        <v>49.9</v>
      </c>
      <c r="C1722" s="6">
        <v>32.64</v>
      </c>
      <c r="D1722" s="6">
        <v>15.02</v>
      </c>
      <c r="E1722" s="6">
        <v>9.7899999999999991</v>
      </c>
      <c r="G1722" s="31"/>
    </row>
    <row r="1723" spans="1:7" x14ac:dyDescent="0.25">
      <c r="A1723" s="36">
        <v>41535</v>
      </c>
      <c r="B1723" s="6">
        <v>49.9</v>
      </c>
      <c r="C1723" s="6">
        <v>32.590000000000003</v>
      </c>
      <c r="D1723" s="6">
        <v>14.94</v>
      </c>
      <c r="E1723" s="6">
        <v>9.76</v>
      </c>
      <c r="G1723" s="31"/>
    </row>
    <row r="1724" spans="1:7" x14ac:dyDescent="0.25">
      <c r="A1724" s="36">
        <v>41536</v>
      </c>
      <c r="B1724" s="6">
        <v>49.87</v>
      </c>
      <c r="C1724" s="6">
        <v>32.57</v>
      </c>
      <c r="D1724" s="6">
        <v>14.86</v>
      </c>
      <c r="E1724" s="6">
        <v>9.68</v>
      </c>
      <c r="G1724" s="31"/>
    </row>
    <row r="1725" spans="1:7" x14ac:dyDescent="0.25">
      <c r="A1725" s="36">
        <v>41537</v>
      </c>
      <c r="B1725" s="6">
        <v>49.82</v>
      </c>
      <c r="C1725" s="6">
        <v>32.56</v>
      </c>
      <c r="D1725" s="6">
        <v>14.8</v>
      </c>
      <c r="E1725" s="6">
        <v>9.6</v>
      </c>
      <c r="G1725" s="31"/>
    </row>
    <row r="1726" spans="1:7" x14ac:dyDescent="0.25">
      <c r="A1726" s="36">
        <v>41538</v>
      </c>
      <c r="B1726" s="6">
        <v>49.79</v>
      </c>
      <c r="C1726" s="6">
        <v>32.5</v>
      </c>
      <c r="D1726" s="6">
        <v>14.71</v>
      </c>
      <c r="E1726" s="6">
        <v>9.44</v>
      </c>
      <c r="G1726" s="31"/>
    </row>
    <row r="1727" spans="1:7" x14ac:dyDescent="0.25">
      <c r="A1727" s="36">
        <v>41539</v>
      </c>
      <c r="B1727" s="6">
        <v>49.72</v>
      </c>
      <c r="C1727" s="6">
        <v>32.46</v>
      </c>
      <c r="D1727" s="6">
        <v>14.68</v>
      </c>
      <c r="E1727" s="6">
        <v>9.4</v>
      </c>
      <c r="G1727" s="31"/>
    </row>
    <row r="1728" spans="1:7" x14ac:dyDescent="0.25">
      <c r="A1728" s="36">
        <v>41540</v>
      </c>
      <c r="B1728" s="6">
        <v>49.63</v>
      </c>
      <c r="C1728" s="6">
        <v>32.42</v>
      </c>
      <c r="D1728" s="6">
        <v>14.66</v>
      </c>
      <c r="E1728" s="6">
        <v>9.43</v>
      </c>
      <c r="G1728" s="31"/>
    </row>
    <row r="1729" spans="1:7" x14ac:dyDescent="0.25">
      <c r="A1729" s="36">
        <v>41541</v>
      </c>
      <c r="B1729" s="6">
        <v>49.53</v>
      </c>
      <c r="C1729" s="6">
        <v>32.380000000000003</v>
      </c>
      <c r="D1729" s="6">
        <v>14.54</v>
      </c>
      <c r="E1729" s="6">
        <v>9.35</v>
      </c>
      <c r="G1729" s="31"/>
    </row>
    <row r="1730" spans="1:7" x14ac:dyDescent="0.25">
      <c r="A1730" s="36">
        <v>41542</v>
      </c>
      <c r="B1730" s="6">
        <v>49.42</v>
      </c>
      <c r="C1730" s="6">
        <v>32.340000000000003</v>
      </c>
      <c r="D1730" s="6">
        <v>14.46</v>
      </c>
      <c r="E1730" s="6">
        <v>9.34</v>
      </c>
      <c r="G1730" s="31"/>
    </row>
    <row r="1731" spans="1:7" x14ac:dyDescent="0.25">
      <c r="A1731" s="36">
        <v>41543</v>
      </c>
      <c r="B1731" s="6">
        <v>49.38</v>
      </c>
      <c r="C1731" s="6">
        <v>32.31</v>
      </c>
      <c r="D1731" s="6">
        <v>14.42</v>
      </c>
      <c r="E1731" s="6">
        <v>9.24</v>
      </c>
      <c r="G1731" s="31"/>
    </row>
    <row r="1732" spans="1:7" x14ac:dyDescent="0.25">
      <c r="A1732" s="36">
        <v>41544</v>
      </c>
      <c r="B1732" s="6">
        <v>49.34</v>
      </c>
      <c r="C1732" s="6">
        <v>32.28</v>
      </c>
      <c r="D1732" s="6">
        <v>14.38</v>
      </c>
      <c r="E1732" s="6">
        <v>9.2059999999999995</v>
      </c>
      <c r="G1732" s="31"/>
    </row>
    <row r="1733" spans="1:7" x14ac:dyDescent="0.25">
      <c r="A1733" s="36">
        <v>41545</v>
      </c>
      <c r="B1733" s="6">
        <v>49.3</v>
      </c>
      <c r="C1733" s="6">
        <v>32.229999999999997</v>
      </c>
      <c r="D1733" s="6">
        <v>14.32</v>
      </c>
      <c r="E1733" s="6">
        <v>9.2099999999999991</v>
      </c>
      <c r="G1733" s="31"/>
    </row>
    <row r="1734" spans="1:7" x14ac:dyDescent="0.25">
      <c r="A1734" s="36">
        <v>41546</v>
      </c>
      <c r="B1734" s="6">
        <v>49.24</v>
      </c>
      <c r="C1734" s="6">
        <v>32.18</v>
      </c>
      <c r="D1734" s="6">
        <v>14.26</v>
      </c>
      <c r="E1734" s="6">
        <v>9.129999999999999</v>
      </c>
      <c r="G1734" s="31"/>
    </row>
    <row r="1735" spans="1:7" x14ac:dyDescent="0.25">
      <c r="A1735" s="36">
        <v>41547</v>
      </c>
      <c r="B1735" s="6">
        <v>49.16</v>
      </c>
      <c r="C1735" s="6">
        <v>32.14</v>
      </c>
      <c r="D1735" s="6">
        <v>14.2</v>
      </c>
      <c r="E1735" s="6">
        <v>9.09</v>
      </c>
      <c r="G1735" s="31"/>
    </row>
    <row r="1736" spans="1:7" x14ac:dyDescent="0.25">
      <c r="A1736" s="36">
        <v>41548</v>
      </c>
      <c r="B1736" s="6">
        <v>49.24</v>
      </c>
      <c r="C1736" s="6">
        <v>32.07</v>
      </c>
      <c r="D1736" s="6">
        <v>14.16</v>
      </c>
      <c r="E1736" s="6">
        <v>9.09</v>
      </c>
      <c r="G1736" s="31"/>
    </row>
    <row r="1737" spans="1:7" x14ac:dyDescent="0.25">
      <c r="A1737" s="36">
        <v>41549</v>
      </c>
      <c r="B1737" s="6">
        <v>49.22</v>
      </c>
      <c r="C1737" s="6">
        <v>32.03</v>
      </c>
      <c r="D1737" s="6">
        <v>14.12</v>
      </c>
      <c r="E1737" s="6">
        <v>8.99</v>
      </c>
      <c r="G1737" s="31"/>
    </row>
    <row r="1738" spans="1:7" x14ac:dyDescent="0.25">
      <c r="A1738" s="36">
        <v>41550</v>
      </c>
      <c r="B1738" s="6">
        <v>49.16</v>
      </c>
      <c r="C1738" s="6">
        <v>31.99</v>
      </c>
      <c r="D1738" s="6">
        <v>14.08</v>
      </c>
      <c r="E1738" s="6">
        <v>9.0280000000000005</v>
      </c>
      <c r="G1738" s="31"/>
    </row>
    <row r="1739" spans="1:7" x14ac:dyDescent="0.25">
      <c r="A1739" s="36">
        <v>41551</v>
      </c>
      <c r="B1739" s="6">
        <v>49.12</v>
      </c>
      <c r="C1739" s="6">
        <v>31.96</v>
      </c>
      <c r="D1739" s="6">
        <v>14.06</v>
      </c>
      <c r="E1739" s="6">
        <v>8.9740000000000002</v>
      </c>
      <c r="G1739" s="31"/>
    </row>
    <row r="1740" spans="1:7" x14ac:dyDescent="0.25">
      <c r="A1740" s="36">
        <v>41552</v>
      </c>
      <c r="B1740" s="6">
        <v>49.08</v>
      </c>
      <c r="C1740" s="6">
        <v>31.92</v>
      </c>
      <c r="D1740" s="6">
        <v>14</v>
      </c>
      <c r="E1740" s="6">
        <v>8.879999999999999</v>
      </c>
      <c r="G1740" s="31"/>
    </row>
    <row r="1741" spans="1:7" x14ac:dyDescent="0.25">
      <c r="A1741" s="36">
        <v>41553</v>
      </c>
      <c r="B1741" s="6">
        <v>49</v>
      </c>
      <c r="C1741" s="6">
        <v>31.88</v>
      </c>
      <c r="D1741" s="6">
        <v>14</v>
      </c>
      <c r="E1741" s="6">
        <v>8.85</v>
      </c>
      <c r="G1741" s="31"/>
    </row>
    <row r="1742" spans="1:7" x14ac:dyDescent="0.25">
      <c r="A1742" s="36">
        <v>41554</v>
      </c>
      <c r="B1742" s="6">
        <v>48.92</v>
      </c>
      <c r="C1742" s="6">
        <v>31.84</v>
      </c>
      <c r="D1742" s="6">
        <v>13.94</v>
      </c>
      <c r="E1742" s="6">
        <v>8.82</v>
      </c>
      <c r="G1742" s="31"/>
    </row>
    <row r="1743" spans="1:7" x14ac:dyDescent="0.25">
      <c r="A1743" s="36">
        <v>41555</v>
      </c>
      <c r="B1743" s="6">
        <v>48.84</v>
      </c>
      <c r="C1743" s="6">
        <v>31.79</v>
      </c>
      <c r="D1743" s="24">
        <v>13.88</v>
      </c>
      <c r="E1743" s="6">
        <v>8.83</v>
      </c>
      <c r="G1743" s="31"/>
    </row>
    <row r="1744" spans="1:7" x14ac:dyDescent="0.25">
      <c r="A1744" s="36">
        <v>41556</v>
      </c>
      <c r="B1744" s="6">
        <v>48.74</v>
      </c>
      <c r="C1744" s="6">
        <v>31.74</v>
      </c>
      <c r="D1744" s="6">
        <v>13.84</v>
      </c>
      <c r="E1744" s="6">
        <v>8.7899999999999991</v>
      </c>
      <c r="G1744" s="31"/>
    </row>
    <row r="1745" spans="1:7" x14ac:dyDescent="0.25">
      <c r="A1745" s="36">
        <v>41557</v>
      </c>
      <c r="B1745" s="6">
        <v>48.62</v>
      </c>
      <c r="C1745" s="6">
        <v>31.68</v>
      </c>
      <c r="D1745" s="6">
        <v>13.8</v>
      </c>
      <c r="E1745" s="6">
        <v>8.74</v>
      </c>
      <c r="G1745" s="31"/>
    </row>
    <row r="1746" spans="1:7" x14ac:dyDescent="0.25">
      <c r="A1746" s="36">
        <v>41558</v>
      </c>
      <c r="B1746" s="6">
        <v>48.54</v>
      </c>
      <c r="C1746" s="6">
        <v>31.62</v>
      </c>
      <c r="D1746" s="6">
        <v>13.78</v>
      </c>
      <c r="E1746" s="6">
        <v>8.7199999999999989</v>
      </c>
      <c r="G1746" s="31"/>
    </row>
    <row r="1747" spans="1:7" x14ac:dyDescent="0.25">
      <c r="A1747" s="36">
        <v>41559</v>
      </c>
      <c r="B1747" s="6">
        <v>48.44</v>
      </c>
      <c r="C1747" s="6">
        <v>31.56</v>
      </c>
      <c r="D1747" s="6">
        <v>13.68</v>
      </c>
      <c r="E1747" s="6">
        <v>8.6649999999999991</v>
      </c>
      <c r="G1747" s="31"/>
    </row>
    <row r="1748" spans="1:7" x14ac:dyDescent="0.25">
      <c r="A1748" s="36">
        <v>41560</v>
      </c>
      <c r="B1748" s="6">
        <v>48.32</v>
      </c>
      <c r="C1748" s="6">
        <v>31.48</v>
      </c>
      <c r="D1748" s="6">
        <v>13.64</v>
      </c>
      <c r="E1748" s="6">
        <v>8.6240000000000006</v>
      </c>
      <c r="G1748" s="31"/>
    </row>
    <row r="1749" spans="1:7" x14ac:dyDescent="0.25">
      <c r="A1749" s="36">
        <v>41561</v>
      </c>
      <c r="B1749" s="6">
        <v>48.22</v>
      </c>
      <c r="C1749" s="6">
        <v>31.4</v>
      </c>
      <c r="D1749" s="6">
        <v>13.54</v>
      </c>
      <c r="E1749" s="6">
        <v>8.6199999999999992</v>
      </c>
      <c r="G1749" s="31"/>
    </row>
    <row r="1750" spans="1:7" x14ac:dyDescent="0.25">
      <c r="A1750" s="36">
        <v>41562</v>
      </c>
      <c r="B1750" s="6">
        <v>48.08</v>
      </c>
      <c r="C1750" s="6">
        <v>31.3</v>
      </c>
      <c r="D1750" s="6">
        <v>13.46</v>
      </c>
      <c r="E1750" s="6">
        <v>8.5399999999999991</v>
      </c>
      <c r="G1750" s="31"/>
    </row>
    <row r="1751" spans="1:7" x14ac:dyDescent="0.25">
      <c r="A1751" s="36">
        <v>41563</v>
      </c>
      <c r="B1751" s="6">
        <v>47.94</v>
      </c>
      <c r="C1751" s="6">
        <v>31.19</v>
      </c>
      <c r="D1751" s="6">
        <v>13.4</v>
      </c>
      <c r="E1751" s="6">
        <v>8.5</v>
      </c>
      <c r="G1751" s="31"/>
    </row>
    <row r="1752" spans="1:7" x14ac:dyDescent="0.25">
      <c r="A1752" s="36">
        <v>41564</v>
      </c>
      <c r="B1752" s="6">
        <v>47.82</v>
      </c>
      <c r="C1752" s="6">
        <v>31.09</v>
      </c>
      <c r="D1752" s="6">
        <v>13.3</v>
      </c>
      <c r="E1752" s="6">
        <v>8.41</v>
      </c>
      <c r="G1752" s="31"/>
    </row>
    <row r="1753" spans="1:7" x14ac:dyDescent="0.25">
      <c r="A1753" s="36">
        <v>41565</v>
      </c>
      <c r="B1753" s="6">
        <v>47.74</v>
      </c>
      <c r="C1753" s="6">
        <v>30.98</v>
      </c>
      <c r="D1753" s="6">
        <v>13.24</v>
      </c>
      <c r="E1753" s="6">
        <v>8.32</v>
      </c>
      <c r="G1753" s="31"/>
    </row>
    <row r="1754" spans="1:7" x14ac:dyDescent="0.25">
      <c r="A1754" s="36">
        <v>41566</v>
      </c>
      <c r="B1754" s="6">
        <v>47.64</v>
      </c>
      <c r="C1754" s="6">
        <v>30.86</v>
      </c>
      <c r="D1754" s="6">
        <v>13.2</v>
      </c>
      <c r="E1754" s="6">
        <v>8.2900000000000009</v>
      </c>
      <c r="G1754" s="31"/>
    </row>
    <row r="1755" spans="1:7" x14ac:dyDescent="0.25">
      <c r="A1755" s="36">
        <v>41567</v>
      </c>
      <c r="B1755" s="6">
        <v>47.52</v>
      </c>
      <c r="C1755" s="6">
        <v>30.72</v>
      </c>
      <c r="D1755" s="6">
        <v>13.04</v>
      </c>
      <c r="E1755" s="6">
        <v>8.2100000000000009</v>
      </c>
      <c r="G1755" s="31"/>
    </row>
    <row r="1756" spans="1:7" x14ac:dyDescent="0.25">
      <c r="A1756" s="36">
        <v>41568</v>
      </c>
      <c r="B1756" s="6">
        <v>47.38</v>
      </c>
      <c r="C1756" s="6">
        <v>30.6</v>
      </c>
      <c r="D1756" s="6">
        <v>12.94</v>
      </c>
      <c r="E1756" s="6">
        <v>8.14</v>
      </c>
      <c r="G1756" s="31"/>
    </row>
    <row r="1757" spans="1:7" x14ac:dyDescent="0.25">
      <c r="A1757" s="36">
        <v>41569</v>
      </c>
      <c r="B1757" s="6">
        <v>47.22</v>
      </c>
      <c r="C1757" s="6">
        <v>30.48</v>
      </c>
      <c r="D1757" s="6">
        <v>12.86</v>
      </c>
      <c r="E1757" s="6">
        <v>8.06</v>
      </c>
      <c r="G1757" s="31"/>
    </row>
    <row r="1758" spans="1:7" x14ac:dyDescent="0.25">
      <c r="A1758" s="36">
        <v>41570</v>
      </c>
      <c r="B1758" s="6">
        <v>47.15</v>
      </c>
      <c r="C1758" s="6">
        <v>30.38</v>
      </c>
      <c r="D1758" s="6">
        <v>12.74</v>
      </c>
      <c r="E1758" s="6">
        <v>7.97</v>
      </c>
      <c r="G1758" s="31"/>
    </row>
    <row r="1759" spans="1:7" x14ac:dyDescent="0.25">
      <c r="A1759" s="36">
        <v>41571</v>
      </c>
      <c r="B1759" s="6">
        <v>47.08</v>
      </c>
      <c r="C1759" s="6">
        <v>30.27</v>
      </c>
      <c r="D1759" s="6">
        <v>12.62</v>
      </c>
      <c r="E1759" s="6">
        <v>7.8999999999999995</v>
      </c>
      <c r="G1759" s="31"/>
    </row>
    <row r="1760" spans="1:7" x14ac:dyDescent="0.25">
      <c r="A1760" s="36">
        <v>41572</v>
      </c>
      <c r="B1760" s="6">
        <v>46.99</v>
      </c>
      <c r="C1760" s="6">
        <v>30.17</v>
      </c>
      <c r="D1760" s="6">
        <v>12.5</v>
      </c>
      <c r="E1760" s="6">
        <v>7.84</v>
      </c>
      <c r="G1760" s="31"/>
    </row>
    <row r="1761" spans="1:7" x14ac:dyDescent="0.25">
      <c r="A1761" s="36">
        <v>41573</v>
      </c>
      <c r="B1761" s="6">
        <v>46.9</v>
      </c>
      <c r="C1761" s="6">
        <v>30.07</v>
      </c>
      <c r="D1761" s="6">
        <v>12.38</v>
      </c>
      <c r="E1761" s="6">
        <v>7.7399999999999993</v>
      </c>
      <c r="G1761" s="31"/>
    </row>
    <row r="1762" spans="1:7" x14ac:dyDescent="0.25">
      <c r="A1762" s="36">
        <v>41574</v>
      </c>
      <c r="B1762" s="6">
        <v>46.82</v>
      </c>
      <c r="C1762" s="6">
        <v>29.95</v>
      </c>
      <c r="D1762" s="6">
        <v>12.22</v>
      </c>
      <c r="E1762" s="6">
        <v>7.5699999999999994</v>
      </c>
      <c r="G1762" s="31"/>
    </row>
    <row r="1763" spans="1:7" x14ac:dyDescent="0.25">
      <c r="A1763" s="36">
        <v>41575</v>
      </c>
      <c r="B1763" s="6">
        <v>46.75</v>
      </c>
      <c r="C1763" s="6">
        <v>29.82</v>
      </c>
      <c r="D1763" s="6">
        <v>12.06</v>
      </c>
      <c r="E1763" s="6">
        <v>7.4399999999999995</v>
      </c>
      <c r="G1763" s="31"/>
    </row>
    <row r="1764" spans="1:7" x14ac:dyDescent="0.25">
      <c r="A1764" s="36">
        <v>41576</v>
      </c>
      <c r="B1764" s="6">
        <v>46.7</v>
      </c>
      <c r="C1764" s="6">
        <v>29.69</v>
      </c>
      <c r="D1764" s="6">
        <v>11.9</v>
      </c>
      <c r="E1764" s="6">
        <v>7.3</v>
      </c>
      <c r="G1764" s="31"/>
    </row>
    <row r="1765" spans="1:7" x14ac:dyDescent="0.25">
      <c r="A1765" s="36">
        <v>41577</v>
      </c>
      <c r="B1765" s="6">
        <v>46.64</v>
      </c>
      <c r="C1765" s="6">
        <v>29.58</v>
      </c>
      <c r="D1765" s="6">
        <v>11.8</v>
      </c>
      <c r="E1765" s="6">
        <v>7.22</v>
      </c>
      <c r="G1765" s="31"/>
    </row>
    <row r="1766" spans="1:7" x14ac:dyDescent="0.25">
      <c r="A1766" s="36">
        <v>41578</v>
      </c>
      <c r="B1766" s="6">
        <v>46.62</v>
      </c>
      <c r="C1766" s="6">
        <v>29.48</v>
      </c>
      <c r="D1766" s="6">
        <v>11.72</v>
      </c>
      <c r="E1766" s="6">
        <v>7.13</v>
      </c>
      <c r="G1766" s="31"/>
    </row>
    <row r="1767" spans="1:7" x14ac:dyDescent="0.25">
      <c r="A1767" s="36">
        <v>41579</v>
      </c>
      <c r="B1767" s="6">
        <v>46.53</v>
      </c>
      <c r="C1767" s="6">
        <v>29.37</v>
      </c>
      <c r="D1767" s="6">
        <v>11.5</v>
      </c>
      <c r="E1767" s="6">
        <v>6.96</v>
      </c>
      <c r="G1767" s="31"/>
    </row>
    <row r="1768" spans="1:7" x14ac:dyDescent="0.25">
      <c r="A1768" s="36">
        <v>41580</v>
      </c>
      <c r="B1768" s="6">
        <v>46.46</v>
      </c>
      <c r="C1768" s="6">
        <v>29.14</v>
      </c>
      <c r="D1768" s="6">
        <v>11.46</v>
      </c>
      <c r="E1768" s="6">
        <v>6.9399999999999995</v>
      </c>
      <c r="G1768" s="31"/>
    </row>
    <row r="1769" spans="1:7" x14ac:dyDescent="0.25">
      <c r="A1769" s="36">
        <v>41581</v>
      </c>
      <c r="B1769" s="6">
        <v>46.4</v>
      </c>
      <c r="C1769" s="6">
        <v>28.97</v>
      </c>
      <c r="D1769" s="6">
        <v>11.42</v>
      </c>
      <c r="E1769" s="6">
        <v>6.81</v>
      </c>
      <c r="G1769" s="31"/>
    </row>
    <row r="1770" spans="1:7" x14ac:dyDescent="0.25">
      <c r="A1770" s="36">
        <v>41582</v>
      </c>
      <c r="B1770" s="6">
        <v>46.28</v>
      </c>
      <c r="C1770" s="6">
        <v>28.86</v>
      </c>
      <c r="D1770" s="6">
        <v>11.38</v>
      </c>
      <c r="E1770" s="6">
        <v>6.72</v>
      </c>
      <c r="G1770" s="31"/>
    </row>
    <row r="1771" spans="1:7" x14ac:dyDescent="0.25">
      <c r="A1771" s="36">
        <v>41583</v>
      </c>
      <c r="B1771" s="6">
        <v>46.21</v>
      </c>
      <c r="C1771" s="6">
        <v>28.76</v>
      </c>
      <c r="D1771" s="6">
        <v>11.4</v>
      </c>
      <c r="E1771" s="6">
        <v>6.72</v>
      </c>
      <c r="G1771" s="31"/>
    </row>
    <row r="1772" spans="1:7" x14ac:dyDescent="0.25">
      <c r="A1772" s="36">
        <v>41584</v>
      </c>
      <c r="B1772" s="6">
        <v>46.22</v>
      </c>
      <c r="C1772" s="6">
        <v>28.67</v>
      </c>
      <c r="D1772" s="6">
        <v>11.36</v>
      </c>
      <c r="E1772" s="6">
        <v>6.67</v>
      </c>
      <c r="G1772" s="31"/>
    </row>
    <row r="1773" spans="1:7" x14ac:dyDescent="0.25">
      <c r="A1773" s="36">
        <v>41585</v>
      </c>
      <c r="B1773" s="6">
        <v>46.21</v>
      </c>
      <c r="C1773" s="6">
        <v>28.62</v>
      </c>
      <c r="D1773" s="6">
        <v>10.9</v>
      </c>
      <c r="E1773" s="6">
        <v>6.5699999999999994</v>
      </c>
      <c r="G1773" s="31"/>
    </row>
    <row r="1774" spans="1:7" x14ac:dyDescent="0.25">
      <c r="A1774" s="36">
        <v>41586</v>
      </c>
      <c r="B1774" s="6">
        <v>46.12</v>
      </c>
      <c r="C1774" s="6">
        <v>28.58</v>
      </c>
      <c r="D1774" s="6">
        <v>10.74</v>
      </c>
      <c r="E1774" s="6">
        <v>6.42</v>
      </c>
      <c r="G1774" s="31"/>
    </row>
    <row r="1775" spans="1:7" x14ac:dyDescent="0.25">
      <c r="A1775" s="36">
        <v>41587</v>
      </c>
      <c r="B1775" s="6">
        <v>46.06</v>
      </c>
      <c r="C1775" s="6">
        <v>28.54</v>
      </c>
      <c r="D1775" s="6">
        <v>10.6</v>
      </c>
      <c r="E1775" s="6">
        <v>6.2959999999999994</v>
      </c>
      <c r="G1775" s="31"/>
    </row>
    <row r="1776" spans="1:7" x14ac:dyDescent="0.25">
      <c r="A1776" s="36">
        <v>41588</v>
      </c>
      <c r="B1776" s="6">
        <v>46</v>
      </c>
      <c r="C1776" s="6">
        <v>28.51</v>
      </c>
      <c r="D1776" s="6">
        <v>10.54</v>
      </c>
      <c r="E1776" s="6">
        <v>6.1499999999999995</v>
      </c>
      <c r="G1776" s="31"/>
    </row>
    <row r="1777" spans="1:7" x14ac:dyDescent="0.25">
      <c r="A1777" s="36">
        <v>41589</v>
      </c>
      <c r="B1777" s="6">
        <v>45.96</v>
      </c>
      <c r="C1777" s="6">
        <v>28.51</v>
      </c>
      <c r="D1777" s="6">
        <v>10.52</v>
      </c>
      <c r="E1777" s="6">
        <v>6.1</v>
      </c>
      <c r="G1777" s="31"/>
    </row>
    <row r="1778" spans="1:7" x14ac:dyDescent="0.25">
      <c r="A1778" s="36">
        <v>41590</v>
      </c>
      <c r="B1778" s="6">
        <v>45.94</v>
      </c>
      <c r="C1778" s="6">
        <v>28.5</v>
      </c>
      <c r="D1778" s="6">
        <v>10.44</v>
      </c>
      <c r="E1778" s="6">
        <v>6.09</v>
      </c>
      <c r="G1778" s="31"/>
    </row>
    <row r="1779" spans="1:7" x14ac:dyDescent="0.25">
      <c r="A1779" s="36">
        <v>41591</v>
      </c>
      <c r="B1779" s="6">
        <v>45.87</v>
      </c>
      <c r="C1779" s="6">
        <v>28.53</v>
      </c>
      <c r="D1779" s="6">
        <v>10.5</v>
      </c>
      <c r="E1779" s="6">
        <v>6.1499999999999995</v>
      </c>
      <c r="G1779" s="31"/>
    </row>
    <row r="1780" spans="1:7" x14ac:dyDescent="0.25">
      <c r="A1780" s="36">
        <v>41592</v>
      </c>
      <c r="B1780" s="6">
        <v>45.82</v>
      </c>
      <c r="C1780" s="6">
        <v>28.56</v>
      </c>
      <c r="D1780" s="6">
        <v>10.46</v>
      </c>
      <c r="E1780" s="6">
        <v>6.18</v>
      </c>
      <c r="G1780" s="31"/>
    </row>
    <row r="1781" spans="1:7" x14ac:dyDescent="0.25">
      <c r="A1781" s="36">
        <v>41593</v>
      </c>
      <c r="B1781" s="6">
        <v>45.76</v>
      </c>
      <c r="C1781" s="6">
        <v>28.59</v>
      </c>
      <c r="D1781" s="6">
        <v>10.42</v>
      </c>
      <c r="E1781" s="6">
        <v>6.06</v>
      </c>
      <c r="G1781" s="31"/>
    </row>
    <row r="1782" spans="1:7" x14ac:dyDescent="0.25">
      <c r="A1782" s="36">
        <v>41594</v>
      </c>
      <c r="B1782" s="6">
        <v>45.69</v>
      </c>
      <c r="C1782" s="6">
        <v>28.59</v>
      </c>
      <c r="D1782" s="6">
        <v>10.3</v>
      </c>
      <c r="E1782" s="6">
        <v>5.9899999999999993</v>
      </c>
      <c r="G1782" s="31"/>
    </row>
    <row r="1783" spans="1:7" x14ac:dyDescent="0.25">
      <c r="A1783" s="36">
        <v>41595</v>
      </c>
      <c r="B1783" s="6">
        <v>45.69</v>
      </c>
      <c r="C1783" s="6">
        <v>28.56</v>
      </c>
      <c r="D1783" s="6">
        <v>10.199999999999999</v>
      </c>
      <c r="E1783" s="6">
        <v>5.9499999999999993</v>
      </c>
      <c r="G1783" s="31"/>
    </row>
    <row r="1784" spans="1:7" x14ac:dyDescent="0.25">
      <c r="A1784" s="36">
        <v>41596</v>
      </c>
      <c r="B1784" s="6">
        <v>45.63</v>
      </c>
      <c r="C1784" s="6">
        <v>28.5</v>
      </c>
      <c r="D1784" s="6">
        <v>10.199999999999999</v>
      </c>
      <c r="E1784" s="6">
        <v>5.89</v>
      </c>
      <c r="G1784" s="31"/>
    </row>
    <row r="1785" spans="1:7" x14ac:dyDescent="0.25">
      <c r="A1785" s="36">
        <v>41597</v>
      </c>
      <c r="B1785" s="6">
        <v>45.59</v>
      </c>
      <c r="C1785" s="6">
        <v>28.43</v>
      </c>
      <c r="D1785" s="6">
        <v>10.08</v>
      </c>
      <c r="E1785" s="6">
        <v>5.89</v>
      </c>
      <c r="G1785" s="31"/>
    </row>
    <row r="1786" spans="1:7" x14ac:dyDescent="0.25">
      <c r="A1786" s="36">
        <v>41598</v>
      </c>
      <c r="B1786" s="6">
        <v>45.54</v>
      </c>
      <c r="C1786" s="6">
        <v>28.38</v>
      </c>
      <c r="D1786" s="6">
        <v>10.039999999999999</v>
      </c>
      <c r="E1786" s="6">
        <v>5.8999999999999995</v>
      </c>
      <c r="G1786" s="31"/>
    </row>
    <row r="1787" spans="1:7" x14ac:dyDescent="0.25">
      <c r="A1787" s="36">
        <v>41599</v>
      </c>
      <c r="B1787" s="6">
        <v>45.5</v>
      </c>
      <c r="C1787" s="6">
        <v>28.31</v>
      </c>
      <c r="D1787" s="6">
        <v>10</v>
      </c>
      <c r="E1787" s="6">
        <v>5.87</v>
      </c>
      <c r="G1787" s="31"/>
    </row>
    <row r="1788" spans="1:7" x14ac:dyDescent="0.25">
      <c r="A1788" s="36">
        <v>41600</v>
      </c>
      <c r="B1788" s="6">
        <v>45.5</v>
      </c>
      <c r="C1788" s="6">
        <v>28.2</v>
      </c>
      <c r="D1788" s="6">
        <v>10.1</v>
      </c>
      <c r="E1788" s="6">
        <v>5.7399999999999993</v>
      </c>
      <c r="G1788" s="31"/>
    </row>
    <row r="1789" spans="1:7" x14ac:dyDescent="0.25">
      <c r="A1789" s="36">
        <v>41601</v>
      </c>
      <c r="B1789" s="6">
        <v>45.47</v>
      </c>
      <c r="C1789" s="6">
        <v>28.1</v>
      </c>
      <c r="D1789" s="6">
        <v>9.92</v>
      </c>
      <c r="E1789" s="6">
        <v>5.6999999999999993</v>
      </c>
      <c r="G1789" s="31"/>
    </row>
    <row r="1790" spans="1:7" x14ac:dyDescent="0.25">
      <c r="A1790" s="36">
        <v>41602</v>
      </c>
      <c r="B1790" s="6">
        <v>45.47</v>
      </c>
      <c r="C1790" s="6">
        <v>27.99</v>
      </c>
      <c r="D1790" s="6">
        <v>9.84</v>
      </c>
      <c r="E1790" s="6">
        <v>5.6099999999999994</v>
      </c>
      <c r="G1790" s="31"/>
    </row>
    <row r="1791" spans="1:7" x14ac:dyDescent="0.25">
      <c r="A1791" s="36">
        <v>41603</v>
      </c>
      <c r="B1791" s="6">
        <v>45.48</v>
      </c>
      <c r="C1791" s="6">
        <v>27.92</v>
      </c>
      <c r="D1791" s="6">
        <v>9.76</v>
      </c>
      <c r="E1791" s="6">
        <v>5.54</v>
      </c>
      <c r="G1791" s="31"/>
    </row>
    <row r="1792" spans="1:7" x14ac:dyDescent="0.25">
      <c r="A1792" s="36">
        <v>41604</v>
      </c>
      <c r="B1792" s="6">
        <v>45.41</v>
      </c>
      <c r="C1792" s="6">
        <v>27.91</v>
      </c>
      <c r="D1792" s="6">
        <v>9.6</v>
      </c>
      <c r="E1792" s="6">
        <v>5.43</v>
      </c>
      <c r="G1792" s="31"/>
    </row>
    <row r="1793" spans="1:7" x14ac:dyDescent="0.25">
      <c r="A1793" s="36">
        <v>41605</v>
      </c>
      <c r="B1793" s="6">
        <v>45.39</v>
      </c>
      <c r="C1793" s="6">
        <v>27.78</v>
      </c>
      <c r="D1793" s="6">
        <v>9.5</v>
      </c>
      <c r="E1793" s="6">
        <v>5.37</v>
      </c>
      <c r="G1793" s="31"/>
    </row>
    <row r="1794" spans="1:7" x14ac:dyDescent="0.25">
      <c r="A1794" s="36">
        <v>41606</v>
      </c>
      <c r="B1794" s="6">
        <v>45.38</v>
      </c>
      <c r="C1794" s="6">
        <v>27.72</v>
      </c>
      <c r="D1794" s="6">
        <v>9.3800000000000008</v>
      </c>
      <c r="E1794" s="6">
        <v>5.29</v>
      </c>
      <c r="G1794" s="31"/>
    </row>
    <row r="1795" spans="1:7" x14ac:dyDescent="0.25">
      <c r="A1795" s="36">
        <v>41607</v>
      </c>
      <c r="B1795" s="6">
        <v>45.34</v>
      </c>
      <c r="C1795" s="6">
        <v>27.65</v>
      </c>
      <c r="D1795" s="6">
        <v>9.34</v>
      </c>
      <c r="E1795" s="6">
        <v>5.21</v>
      </c>
      <c r="G1795" s="31"/>
    </row>
    <row r="1796" spans="1:7" x14ac:dyDescent="0.25">
      <c r="A1796" s="36">
        <v>41608</v>
      </c>
      <c r="B1796" s="6">
        <v>45.32</v>
      </c>
      <c r="C1796" s="6">
        <v>27.58</v>
      </c>
      <c r="D1796" s="6">
        <v>9.3000000000000007</v>
      </c>
      <c r="E1796" s="6">
        <v>5.13</v>
      </c>
      <c r="G1796" s="31"/>
    </row>
    <row r="1797" spans="1:7" x14ac:dyDescent="0.25">
      <c r="A1797" s="36">
        <v>41609</v>
      </c>
      <c r="B1797" s="6">
        <v>45.28</v>
      </c>
      <c r="C1797" s="6">
        <v>27.49</v>
      </c>
      <c r="D1797" s="6">
        <v>9.26</v>
      </c>
      <c r="E1797" s="6">
        <v>5.16</v>
      </c>
      <c r="G1797" s="31"/>
    </row>
    <row r="1798" spans="1:7" x14ac:dyDescent="0.25">
      <c r="A1798" s="36">
        <v>41610</v>
      </c>
      <c r="B1798" s="6">
        <v>45.27</v>
      </c>
      <c r="C1798" s="6">
        <v>27.4</v>
      </c>
      <c r="D1798" s="6">
        <v>9.2200000000000006</v>
      </c>
      <c r="E1798" s="6">
        <v>5.2799999999999994</v>
      </c>
      <c r="G1798" s="31"/>
    </row>
    <row r="1799" spans="1:7" x14ac:dyDescent="0.25">
      <c r="A1799" s="36">
        <v>41611</v>
      </c>
      <c r="B1799" s="6">
        <v>45.23</v>
      </c>
      <c r="C1799" s="6">
        <v>27.3</v>
      </c>
      <c r="D1799" s="6">
        <v>9.18</v>
      </c>
      <c r="E1799" s="6">
        <v>5.51</v>
      </c>
      <c r="G1799" s="31"/>
    </row>
    <row r="1800" spans="1:7" x14ac:dyDescent="0.25">
      <c r="A1800" s="36">
        <v>41612</v>
      </c>
      <c r="B1800" s="6">
        <v>45.19</v>
      </c>
      <c r="C1800" s="6">
        <v>27.31</v>
      </c>
      <c r="D1800" s="6">
        <v>9.1999999999999993</v>
      </c>
      <c r="E1800" s="6">
        <v>5.64</v>
      </c>
      <c r="G1800" s="31"/>
    </row>
    <row r="1801" spans="1:7" x14ac:dyDescent="0.25">
      <c r="A1801" s="36">
        <v>41613</v>
      </c>
      <c r="B1801" s="6">
        <v>45.14</v>
      </c>
      <c r="C1801" s="6">
        <v>27.1</v>
      </c>
      <c r="D1801" s="6">
        <v>9.18</v>
      </c>
      <c r="E1801" s="6">
        <v>5.63</v>
      </c>
      <c r="G1801" s="31"/>
    </row>
    <row r="1802" spans="1:7" x14ac:dyDescent="0.25">
      <c r="A1802" s="36">
        <v>41614</v>
      </c>
      <c r="B1802" s="6">
        <v>45.1</v>
      </c>
      <c r="C1802" s="6">
        <v>27.02</v>
      </c>
      <c r="D1802" s="6">
        <v>9.14</v>
      </c>
      <c r="E1802" s="6">
        <v>5.43</v>
      </c>
      <c r="G1802" s="31"/>
    </row>
    <row r="1803" spans="1:7" x14ac:dyDescent="0.25">
      <c r="A1803" s="36">
        <v>41615</v>
      </c>
      <c r="B1803" s="6">
        <v>45.04</v>
      </c>
      <c r="C1803" s="6">
        <v>26.99</v>
      </c>
      <c r="D1803" s="6">
        <v>9.02</v>
      </c>
      <c r="E1803" s="6">
        <v>5.33</v>
      </c>
      <c r="G1803" s="31"/>
    </row>
    <row r="1804" spans="1:7" x14ac:dyDescent="0.25">
      <c r="A1804" s="36">
        <v>41616</v>
      </c>
      <c r="B1804" s="6">
        <v>45.01</v>
      </c>
      <c r="C1804" s="6">
        <v>26.92</v>
      </c>
      <c r="D1804" s="6">
        <v>8.9600000000000009</v>
      </c>
      <c r="E1804" s="6">
        <v>5.1999999999999993</v>
      </c>
      <c r="G1804" s="31"/>
    </row>
    <row r="1805" spans="1:7" x14ac:dyDescent="0.25">
      <c r="A1805" s="36">
        <v>41617</v>
      </c>
      <c r="B1805" s="6">
        <v>44.97</v>
      </c>
      <c r="C1805" s="6">
        <v>26.85</v>
      </c>
      <c r="D1805" s="6">
        <v>8.9</v>
      </c>
      <c r="E1805" s="6">
        <v>5.12</v>
      </c>
      <c r="G1805" s="31"/>
    </row>
    <row r="1806" spans="1:7" x14ac:dyDescent="0.25">
      <c r="A1806" s="36">
        <v>41618</v>
      </c>
      <c r="B1806" s="6">
        <v>44.94</v>
      </c>
      <c r="C1806" s="6">
        <v>26.77</v>
      </c>
      <c r="D1806" s="6">
        <v>8.82</v>
      </c>
      <c r="E1806" s="6">
        <v>5.01</v>
      </c>
      <c r="G1806" s="31"/>
    </row>
    <row r="1807" spans="1:7" x14ac:dyDescent="0.25">
      <c r="A1807" s="36">
        <v>41619</v>
      </c>
      <c r="B1807" s="6">
        <v>44.86</v>
      </c>
      <c r="C1807" s="6">
        <v>26.73</v>
      </c>
      <c r="D1807" s="6">
        <v>8.8000000000000007</v>
      </c>
      <c r="E1807" s="6">
        <v>4.9899999999999993</v>
      </c>
      <c r="G1807" s="31"/>
    </row>
    <row r="1808" spans="1:7" x14ac:dyDescent="0.25">
      <c r="A1808" s="36">
        <v>41620</v>
      </c>
      <c r="B1808" s="6">
        <v>44.78</v>
      </c>
      <c r="C1808" s="6">
        <v>26.68</v>
      </c>
      <c r="D1808" s="6">
        <v>8.74</v>
      </c>
      <c r="E1808" s="6">
        <v>4.8999999999999995</v>
      </c>
      <c r="G1808" s="31"/>
    </row>
    <row r="1809" spans="1:7" x14ac:dyDescent="0.25">
      <c r="A1809" s="36">
        <v>41621</v>
      </c>
      <c r="B1809" s="6">
        <v>44.72</v>
      </c>
      <c r="C1809" s="6">
        <v>26.6</v>
      </c>
      <c r="D1809" s="6">
        <v>8.58</v>
      </c>
      <c r="E1809" s="6">
        <v>4.8899999999999997</v>
      </c>
      <c r="G1809" s="31"/>
    </row>
    <row r="1810" spans="1:7" x14ac:dyDescent="0.25">
      <c r="A1810" s="36">
        <v>41622</v>
      </c>
      <c r="B1810" s="6">
        <v>44.65</v>
      </c>
      <c r="C1810" s="6">
        <v>26.54</v>
      </c>
      <c r="D1810" s="6">
        <v>8.48</v>
      </c>
      <c r="E1810" s="6">
        <v>4.79</v>
      </c>
      <c r="G1810" s="31"/>
    </row>
    <row r="1811" spans="1:7" x14ac:dyDescent="0.25">
      <c r="A1811" s="36">
        <v>41623</v>
      </c>
      <c r="B1811" s="6">
        <v>44.57</v>
      </c>
      <c r="C1811" s="6">
        <v>26.46</v>
      </c>
      <c r="D1811" s="6">
        <v>8.48</v>
      </c>
      <c r="E1811" s="6">
        <v>4.84</v>
      </c>
      <c r="G1811" s="31"/>
    </row>
    <row r="1812" spans="1:7" x14ac:dyDescent="0.25">
      <c r="A1812" s="36">
        <v>41624</v>
      </c>
      <c r="B1812" s="6">
        <v>44.52</v>
      </c>
      <c r="C1812" s="6">
        <v>26.36</v>
      </c>
      <c r="D1812" s="6">
        <v>8.44</v>
      </c>
      <c r="E1812" s="6">
        <v>4.88</v>
      </c>
      <c r="G1812" s="31"/>
    </row>
    <row r="1813" spans="1:7" x14ac:dyDescent="0.25">
      <c r="A1813" s="36">
        <v>41625</v>
      </c>
      <c r="B1813" s="6">
        <v>44.46</v>
      </c>
      <c r="C1813" s="6">
        <v>26.27</v>
      </c>
      <c r="D1813" s="6">
        <v>8.3800000000000008</v>
      </c>
      <c r="E1813" s="6">
        <v>4.7399999999999993</v>
      </c>
      <c r="G1813" s="31"/>
    </row>
    <row r="1814" spans="1:7" x14ac:dyDescent="0.25">
      <c r="A1814" s="36">
        <v>41626</v>
      </c>
      <c r="B1814" s="6">
        <v>44.43</v>
      </c>
      <c r="C1814" s="6">
        <v>26.18</v>
      </c>
      <c r="D1814" s="6">
        <v>8.24</v>
      </c>
      <c r="E1814" s="6">
        <v>4.4799999999999995</v>
      </c>
      <c r="G1814" s="31"/>
    </row>
    <row r="1815" spans="1:7" x14ac:dyDescent="0.25">
      <c r="A1815" s="36">
        <v>41627</v>
      </c>
      <c r="B1815" s="6">
        <v>44.4</v>
      </c>
      <c r="C1815" s="6">
        <v>26.09</v>
      </c>
      <c r="D1815" s="6">
        <v>8.1199999999999992</v>
      </c>
      <c r="E1815" s="6">
        <v>4.41</v>
      </c>
      <c r="G1815" s="31"/>
    </row>
    <row r="1816" spans="1:7" x14ac:dyDescent="0.25">
      <c r="A1816" s="36">
        <v>41628</v>
      </c>
      <c r="B1816" s="6">
        <v>44.36</v>
      </c>
      <c r="C1816" s="6">
        <v>26.04</v>
      </c>
      <c r="D1816" s="6">
        <v>8</v>
      </c>
      <c r="E1816" s="6">
        <v>4.28</v>
      </c>
      <c r="G1816" s="31"/>
    </row>
    <row r="1817" spans="1:7" x14ac:dyDescent="0.25">
      <c r="A1817" s="36">
        <v>41629</v>
      </c>
      <c r="B1817" s="6">
        <v>44.31</v>
      </c>
      <c r="C1817" s="6">
        <v>26.02</v>
      </c>
      <c r="D1817" s="6">
        <v>7.96</v>
      </c>
      <c r="E1817" s="6">
        <v>4.26</v>
      </c>
      <c r="G1817" s="31"/>
    </row>
    <row r="1818" spans="1:7" x14ac:dyDescent="0.25">
      <c r="A1818" s="36">
        <v>41630</v>
      </c>
      <c r="B1818" s="6">
        <v>44.27</v>
      </c>
      <c r="C1818" s="6">
        <v>25.98</v>
      </c>
      <c r="D1818" s="6">
        <v>7.84</v>
      </c>
      <c r="E1818" s="6">
        <v>4.22</v>
      </c>
      <c r="G1818" s="31"/>
    </row>
    <row r="1819" spans="1:7" x14ac:dyDescent="0.25">
      <c r="A1819" s="36">
        <v>41631</v>
      </c>
      <c r="B1819" s="6">
        <v>44.21</v>
      </c>
      <c r="C1819" s="6">
        <v>25.96</v>
      </c>
      <c r="D1819" s="6">
        <v>7.76</v>
      </c>
      <c r="E1819" s="6">
        <v>4.0599999999999996</v>
      </c>
      <c r="G1819" s="31"/>
    </row>
    <row r="1820" spans="1:7" x14ac:dyDescent="0.25">
      <c r="A1820" s="36">
        <v>41632</v>
      </c>
      <c r="B1820" s="6">
        <v>44.13</v>
      </c>
      <c r="C1820" s="6">
        <v>25.86</v>
      </c>
      <c r="D1820" s="6">
        <v>7.68</v>
      </c>
      <c r="E1820" s="6">
        <v>4.05</v>
      </c>
      <c r="G1820" s="31"/>
    </row>
    <row r="1821" spans="1:7" x14ac:dyDescent="0.25">
      <c r="A1821" s="36">
        <v>41633</v>
      </c>
      <c r="B1821" s="6">
        <v>44.01</v>
      </c>
      <c r="C1821" s="6">
        <v>25.79</v>
      </c>
      <c r="D1821" s="6">
        <v>7.4</v>
      </c>
      <c r="E1821" s="6">
        <v>4.03</v>
      </c>
      <c r="G1821" s="31"/>
    </row>
    <row r="1822" spans="1:7" x14ac:dyDescent="0.25">
      <c r="A1822" s="36">
        <v>41634</v>
      </c>
      <c r="B1822" s="6">
        <v>43.89</v>
      </c>
      <c r="C1822" s="6">
        <v>25.74</v>
      </c>
      <c r="D1822" s="6">
        <v>7.4</v>
      </c>
      <c r="E1822" s="6">
        <v>3.87</v>
      </c>
      <c r="G1822" s="31"/>
    </row>
    <row r="1823" spans="1:7" x14ac:dyDescent="0.25">
      <c r="A1823" s="36">
        <v>41635</v>
      </c>
      <c r="B1823" s="6">
        <v>43.74</v>
      </c>
      <c r="C1823" s="6">
        <v>25.64</v>
      </c>
      <c r="D1823" s="6">
        <v>7.36</v>
      </c>
      <c r="E1823" s="6">
        <v>3.79</v>
      </c>
      <c r="G1823" s="31"/>
    </row>
    <row r="1824" spans="1:7" x14ac:dyDescent="0.25">
      <c r="A1824" s="36">
        <v>41636</v>
      </c>
      <c r="B1824" s="6">
        <v>43.57</v>
      </c>
      <c r="C1824" s="6">
        <v>25.5</v>
      </c>
      <c r="D1824" s="6">
        <v>7.26</v>
      </c>
      <c r="E1824" s="6">
        <v>3.75</v>
      </c>
      <c r="G1824" s="31"/>
    </row>
    <row r="1825" spans="1:7" x14ac:dyDescent="0.25">
      <c r="A1825" s="36">
        <v>41637</v>
      </c>
      <c r="B1825" s="6">
        <v>43.39</v>
      </c>
      <c r="C1825" s="6">
        <v>25.36</v>
      </c>
      <c r="D1825" s="6">
        <v>7.15</v>
      </c>
      <c r="E1825" s="6">
        <v>3.6700000000000004</v>
      </c>
      <c r="G1825" s="31"/>
    </row>
    <row r="1826" spans="1:7" x14ac:dyDescent="0.25">
      <c r="A1826" s="36">
        <v>41638</v>
      </c>
      <c r="B1826" s="6">
        <v>43.22</v>
      </c>
      <c r="C1826" s="6">
        <v>25.2</v>
      </c>
      <c r="D1826" s="6">
        <v>7.03</v>
      </c>
      <c r="E1826" s="6">
        <v>3.5900000000000003</v>
      </c>
      <c r="G1826" s="31"/>
    </row>
    <row r="1827" spans="1:7" x14ac:dyDescent="0.25">
      <c r="A1827" s="36">
        <v>41639</v>
      </c>
      <c r="B1827" s="6">
        <v>43.07</v>
      </c>
      <c r="C1827" s="6">
        <v>25.08</v>
      </c>
      <c r="D1827" s="6">
        <v>6.96</v>
      </c>
      <c r="E1827" s="6">
        <v>3.5500000000000003</v>
      </c>
      <c r="G1827" s="31"/>
    </row>
    <row r="1828" spans="1:7" x14ac:dyDescent="0.25">
      <c r="A1828" s="36">
        <v>41640</v>
      </c>
      <c r="B1828" s="7">
        <v>42.9</v>
      </c>
      <c r="C1828" s="7">
        <v>24.8</v>
      </c>
      <c r="D1828" s="7">
        <v>6.9</v>
      </c>
      <c r="E1828" s="7">
        <v>3.5100000000000002</v>
      </c>
      <c r="G1828" s="31"/>
    </row>
    <row r="1829" spans="1:7" x14ac:dyDescent="0.25">
      <c r="A1829" s="36">
        <v>41641</v>
      </c>
      <c r="B1829" s="7">
        <v>42.75</v>
      </c>
      <c r="C1829" s="7">
        <v>24.65</v>
      </c>
      <c r="D1829" s="7">
        <v>6.7</v>
      </c>
      <c r="E1829" s="7">
        <v>3.45</v>
      </c>
      <c r="G1829" s="31"/>
    </row>
    <row r="1830" spans="1:7" x14ac:dyDescent="0.25">
      <c r="A1830" s="36">
        <v>41642</v>
      </c>
      <c r="B1830" s="7">
        <v>42.63</v>
      </c>
      <c r="C1830" s="7">
        <v>24.5</v>
      </c>
      <c r="D1830" s="7">
        <v>6.5</v>
      </c>
      <c r="E1830" s="7">
        <v>3.4000000000000004</v>
      </c>
      <c r="G1830" s="31"/>
    </row>
    <row r="1831" spans="1:7" x14ac:dyDescent="0.25">
      <c r="A1831" s="36">
        <v>41643</v>
      </c>
      <c r="B1831" s="7">
        <v>42.5</v>
      </c>
      <c r="C1831" s="7">
        <v>24.36</v>
      </c>
      <c r="D1831" s="7">
        <v>6.38</v>
      </c>
      <c r="E1831" s="7">
        <v>3.3330000000000002</v>
      </c>
      <c r="G1831" s="31"/>
    </row>
    <row r="1832" spans="1:7" x14ac:dyDescent="0.25">
      <c r="A1832" s="36">
        <v>41644</v>
      </c>
      <c r="B1832" s="7">
        <v>42.4</v>
      </c>
      <c r="C1832" s="7">
        <v>24.21</v>
      </c>
      <c r="D1832" s="7">
        <v>6.18</v>
      </c>
      <c r="E1832" s="7">
        <v>3.21</v>
      </c>
      <c r="G1832" s="31"/>
    </row>
    <row r="1833" spans="1:7" x14ac:dyDescent="0.25">
      <c r="A1833" s="36">
        <v>41645</v>
      </c>
      <c r="B1833" s="7">
        <v>42.33</v>
      </c>
      <c r="C1833" s="7">
        <v>24.1</v>
      </c>
      <c r="D1833" s="7">
        <v>6.1</v>
      </c>
      <c r="E1833" s="7">
        <v>3.12</v>
      </c>
      <c r="G1833" s="31"/>
    </row>
    <row r="1834" spans="1:7" x14ac:dyDescent="0.25">
      <c r="A1834" s="36">
        <v>41646</v>
      </c>
      <c r="B1834" s="7">
        <v>42.29</v>
      </c>
      <c r="C1834" s="7">
        <v>23.98</v>
      </c>
      <c r="D1834" s="7">
        <v>5.96</v>
      </c>
      <c r="E1834" s="7">
        <v>3.04</v>
      </c>
      <c r="G1834" s="31"/>
    </row>
    <row r="1835" spans="1:7" x14ac:dyDescent="0.25">
      <c r="A1835" s="36">
        <v>41647</v>
      </c>
      <c r="B1835" s="7">
        <v>42.28</v>
      </c>
      <c r="C1835" s="7">
        <v>23.88</v>
      </c>
      <c r="D1835" s="7">
        <v>5.78</v>
      </c>
      <c r="E1835" s="7">
        <v>3</v>
      </c>
      <c r="G1835" s="31"/>
    </row>
    <row r="1836" spans="1:7" x14ac:dyDescent="0.25">
      <c r="A1836" s="36">
        <v>41648</v>
      </c>
      <c r="B1836" s="7">
        <v>42.28</v>
      </c>
      <c r="C1836" s="7">
        <v>23.68</v>
      </c>
      <c r="D1836" s="7">
        <v>5.83</v>
      </c>
      <c r="E1836" s="7">
        <v>2.8800000000000003</v>
      </c>
      <c r="G1836" s="31"/>
    </row>
    <row r="1837" spans="1:7" x14ac:dyDescent="0.25">
      <c r="A1837" s="36">
        <v>41649</v>
      </c>
      <c r="B1837" s="7">
        <v>42.24</v>
      </c>
      <c r="C1837" s="7">
        <v>23.64</v>
      </c>
      <c r="D1837" s="7">
        <v>5.68</v>
      </c>
      <c r="E1837" s="7">
        <v>2.7600000000000002</v>
      </c>
      <c r="G1837" s="31"/>
    </row>
    <row r="1838" spans="1:7" x14ac:dyDescent="0.25">
      <c r="A1838" s="36">
        <v>41650</v>
      </c>
      <c r="B1838" s="7">
        <v>42.2</v>
      </c>
      <c r="C1838" s="7">
        <v>23.58</v>
      </c>
      <c r="D1838" s="7">
        <v>5.6</v>
      </c>
      <c r="E1838" s="7">
        <v>2.66</v>
      </c>
      <c r="G1838" s="31"/>
    </row>
    <row r="1839" spans="1:7" x14ac:dyDescent="0.25">
      <c r="A1839" s="36">
        <v>41651</v>
      </c>
      <c r="B1839" s="7">
        <v>42.16</v>
      </c>
      <c r="C1839" s="7">
        <v>23.53</v>
      </c>
      <c r="D1839" s="7">
        <v>5.4</v>
      </c>
      <c r="E1839" s="7">
        <v>2.6100000000000003</v>
      </c>
      <c r="G1839" s="31"/>
    </row>
    <row r="1840" spans="1:7" x14ac:dyDescent="0.25">
      <c r="A1840" s="36">
        <v>41652</v>
      </c>
      <c r="B1840" s="7">
        <v>42.1</v>
      </c>
      <c r="C1840" s="7">
        <v>23.48</v>
      </c>
      <c r="D1840" s="7">
        <v>5.28</v>
      </c>
      <c r="E1840" s="7">
        <v>2.5700000000000003</v>
      </c>
      <c r="G1840" s="31"/>
    </row>
    <row r="1841" spans="1:7" x14ac:dyDescent="0.25">
      <c r="A1841" s="36">
        <v>41653</v>
      </c>
      <c r="B1841" s="7">
        <v>42.02</v>
      </c>
      <c r="C1841" s="7">
        <v>23.38</v>
      </c>
      <c r="D1841" s="7">
        <v>5.18</v>
      </c>
      <c r="E1841" s="7">
        <v>2.52</v>
      </c>
      <c r="G1841" s="31"/>
    </row>
    <row r="1842" spans="1:7" x14ac:dyDescent="0.25">
      <c r="A1842" s="36">
        <v>41654</v>
      </c>
      <c r="B1842" s="7">
        <v>41.94</v>
      </c>
      <c r="C1842" s="7">
        <v>23.32</v>
      </c>
      <c r="D1842" s="7">
        <v>5.18</v>
      </c>
      <c r="E1842" s="7">
        <v>2.56</v>
      </c>
      <c r="G1842" s="31"/>
    </row>
    <row r="1843" spans="1:7" x14ac:dyDescent="0.25">
      <c r="A1843" s="36">
        <v>41655</v>
      </c>
      <c r="B1843" s="7">
        <v>41.86</v>
      </c>
      <c r="C1843" s="7">
        <v>23.44</v>
      </c>
      <c r="D1843" s="7">
        <v>5.14</v>
      </c>
      <c r="E1843" s="7">
        <v>2.5</v>
      </c>
      <c r="G1843" s="31"/>
    </row>
    <row r="1844" spans="1:7" x14ac:dyDescent="0.25">
      <c r="A1844" s="36">
        <v>41656</v>
      </c>
      <c r="B1844" s="7">
        <v>41.78</v>
      </c>
      <c r="C1844" s="7">
        <v>23.4</v>
      </c>
      <c r="D1844" s="7">
        <v>5.0999999999999996</v>
      </c>
      <c r="E1844" s="7">
        <v>2.5300000000000002</v>
      </c>
      <c r="G1844" s="31"/>
    </row>
    <row r="1845" spans="1:7" x14ac:dyDescent="0.25">
      <c r="A1845" s="36">
        <v>41657</v>
      </c>
      <c r="B1845" s="7">
        <v>41.71</v>
      </c>
      <c r="C1845" s="7">
        <v>23.32</v>
      </c>
      <c r="D1845" s="7">
        <v>5.0199999999999996</v>
      </c>
      <c r="E1845" s="7">
        <v>2.54</v>
      </c>
      <c r="G1845" s="31"/>
    </row>
    <row r="1846" spans="1:7" x14ac:dyDescent="0.25">
      <c r="A1846" s="36">
        <v>41658</v>
      </c>
      <c r="B1846" s="7">
        <v>41.64</v>
      </c>
      <c r="C1846" s="7">
        <v>23.24</v>
      </c>
      <c r="D1846" s="7">
        <v>4.9800000000000004</v>
      </c>
      <c r="E1846" s="7">
        <v>2.5</v>
      </c>
      <c r="G1846" s="31"/>
    </row>
    <row r="1847" spans="1:7" x14ac:dyDescent="0.25">
      <c r="A1847" s="36">
        <v>41659</v>
      </c>
      <c r="B1847" s="7">
        <v>41.6</v>
      </c>
      <c r="C1847" s="7">
        <v>23.15</v>
      </c>
      <c r="D1847" s="7">
        <v>4.9400000000000004</v>
      </c>
      <c r="E1847" s="7">
        <v>2.4300000000000002</v>
      </c>
      <c r="G1847" s="31"/>
    </row>
    <row r="1848" spans="1:7" x14ac:dyDescent="0.25">
      <c r="A1848" s="36">
        <v>41660</v>
      </c>
      <c r="B1848" s="7">
        <v>41.57</v>
      </c>
      <c r="C1848" s="7">
        <v>23.07</v>
      </c>
      <c r="D1848" s="7">
        <v>4.8</v>
      </c>
      <c r="E1848" s="7">
        <v>2.35</v>
      </c>
      <c r="G1848" s="31"/>
    </row>
    <row r="1849" spans="1:7" x14ac:dyDescent="0.25">
      <c r="A1849" s="36">
        <v>41661</v>
      </c>
      <c r="B1849" s="7">
        <v>41.52</v>
      </c>
      <c r="C1849" s="7">
        <v>23.01</v>
      </c>
      <c r="D1849" s="7">
        <v>4.78</v>
      </c>
      <c r="E1849" s="7">
        <v>2.36</v>
      </c>
      <c r="G1849" s="31"/>
    </row>
    <row r="1850" spans="1:7" x14ac:dyDescent="0.25">
      <c r="A1850" s="36">
        <v>41662</v>
      </c>
      <c r="B1850" s="7">
        <v>41.5</v>
      </c>
      <c r="C1850" s="7">
        <v>22.99</v>
      </c>
      <c r="D1850" s="7">
        <v>4.74</v>
      </c>
      <c r="E1850" s="7">
        <v>2.33</v>
      </c>
      <c r="G1850" s="31"/>
    </row>
    <row r="1851" spans="1:7" x14ac:dyDescent="0.25">
      <c r="A1851" s="36">
        <v>41663</v>
      </c>
      <c r="B1851" s="7">
        <v>41.48</v>
      </c>
      <c r="C1851" s="7">
        <v>22.9</v>
      </c>
      <c r="D1851" s="7">
        <v>4.7</v>
      </c>
      <c r="E1851" s="7">
        <v>2.31</v>
      </c>
      <c r="G1851" s="31"/>
    </row>
    <row r="1852" spans="1:7" x14ac:dyDescent="0.25">
      <c r="A1852" s="36">
        <v>41664</v>
      </c>
      <c r="B1852" s="7">
        <v>41.45</v>
      </c>
      <c r="C1852" s="7">
        <v>22.85</v>
      </c>
      <c r="D1852" s="7">
        <v>4.68</v>
      </c>
      <c r="E1852" s="7">
        <v>2.2800000000000002</v>
      </c>
      <c r="G1852" s="31"/>
    </row>
    <row r="1853" spans="1:7" x14ac:dyDescent="0.25">
      <c r="A1853" s="36">
        <v>41665</v>
      </c>
      <c r="B1853" s="7">
        <v>41.43</v>
      </c>
      <c r="C1853" s="7">
        <v>22.79</v>
      </c>
      <c r="D1853" s="7">
        <v>4.5999999999999996</v>
      </c>
      <c r="E1853" s="7">
        <v>2.13</v>
      </c>
      <c r="G1853" s="31"/>
    </row>
    <row r="1854" spans="1:7" x14ac:dyDescent="0.25">
      <c r="A1854" s="36">
        <v>41666</v>
      </c>
      <c r="B1854" s="7">
        <v>41.39</v>
      </c>
      <c r="C1854" s="7">
        <v>22.72</v>
      </c>
      <c r="D1854" s="7">
        <v>4.5999999999999996</v>
      </c>
      <c r="E1854" s="7">
        <v>2.13</v>
      </c>
      <c r="G1854" s="31"/>
    </row>
    <row r="1855" spans="1:7" x14ac:dyDescent="0.25">
      <c r="A1855" s="36">
        <v>41667</v>
      </c>
      <c r="B1855" s="7">
        <v>41.37</v>
      </c>
      <c r="C1855" s="7">
        <v>22.7</v>
      </c>
      <c r="D1855" s="7">
        <v>4.4000000000000004</v>
      </c>
      <c r="E1855" s="7">
        <v>2.1</v>
      </c>
      <c r="G1855" s="31"/>
    </row>
    <row r="1856" spans="1:7" x14ac:dyDescent="0.25">
      <c r="A1856" s="36">
        <v>41668</v>
      </c>
      <c r="B1856" s="7">
        <v>41.26</v>
      </c>
      <c r="C1856" s="7">
        <v>22.68</v>
      </c>
      <c r="D1856" s="7">
        <v>4.3600000000000003</v>
      </c>
      <c r="E1856" s="7">
        <v>2.11</v>
      </c>
      <c r="G1856" s="31"/>
    </row>
    <row r="1857" spans="1:7" x14ac:dyDescent="0.25">
      <c r="A1857" s="36">
        <v>41669</v>
      </c>
      <c r="B1857" s="7">
        <v>41.24</v>
      </c>
      <c r="C1857" s="7">
        <v>22.66</v>
      </c>
      <c r="D1857" s="7">
        <v>4.18</v>
      </c>
      <c r="E1857" s="7">
        <v>2.06</v>
      </c>
      <c r="G1857" s="31"/>
    </row>
    <row r="1858" spans="1:7" x14ac:dyDescent="0.25">
      <c r="A1858" s="36">
        <v>41670</v>
      </c>
      <c r="B1858" s="7">
        <v>41.11</v>
      </c>
      <c r="C1858" s="7">
        <v>22.65</v>
      </c>
      <c r="D1858" s="7">
        <v>4.08</v>
      </c>
      <c r="E1858" s="7">
        <v>2.1</v>
      </c>
      <c r="G1858" s="31"/>
    </row>
    <row r="1859" spans="1:7" x14ac:dyDescent="0.25">
      <c r="A1859" s="36">
        <v>41671</v>
      </c>
      <c r="B1859" s="7">
        <v>41.04</v>
      </c>
      <c r="C1859" s="7">
        <v>22.55</v>
      </c>
      <c r="D1859" s="7">
        <v>4.0199999999999996</v>
      </c>
      <c r="E1859" s="7">
        <v>2.11</v>
      </c>
      <c r="G1859" s="31"/>
    </row>
    <row r="1860" spans="1:7" x14ac:dyDescent="0.25">
      <c r="A1860" s="36">
        <v>41672</v>
      </c>
      <c r="B1860" s="7">
        <v>40.97</v>
      </c>
      <c r="C1860" s="7">
        <v>22.48</v>
      </c>
      <c r="D1860" s="7">
        <v>4.0199999999999996</v>
      </c>
      <c r="E1860" s="7">
        <v>2.12</v>
      </c>
      <c r="G1860" s="31"/>
    </row>
    <row r="1861" spans="1:7" x14ac:dyDescent="0.25">
      <c r="A1861" s="36">
        <v>41673</v>
      </c>
      <c r="B1861" s="7">
        <v>40.909999999999997</v>
      </c>
      <c r="C1861" s="7">
        <v>22.4</v>
      </c>
      <c r="D1861" s="7">
        <v>4</v>
      </c>
      <c r="E1861" s="7">
        <v>2.12</v>
      </c>
      <c r="G1861" s="31"/>
    </row>
    <row r="1862" spans="1:7" x14ac:dyDescent="0.25">
      <c r="A1862" s="36">
        <v>41674</v>
      </c>
      <c r="B1862" s="7">
        <v>40.9</v>
      </c>
      <c r="C1862" s="7">
        <v>22.38</v>
      </c>
      <c r="D1862" s="7">
        <v>3.96</v>
      </c>
      <c r="E1862" s="7">
        <v>2.08</v>
      </c>
      <c r="G1862" s="31"/>
    </row>
    <row r="1863" spans="1:7" x14ac:dyDescent="0.25">
      <c r="A1863" s="36">
        <v>41675</v>
      </c>
      <c r="B1863" s="7">
        <v>40.880000000000003</v>
      </c>
      <c r="C1863" s="7">
        <v>22.25</v>
      </c>
      <c r="D1863" s="7">
        <v>3.82</v>
      </c>
      <c r="E1863" s="7">
        <v>2</v>
      </c>
      <c r="G1863" s="31"/>
    </row>
    <row r="1864" spans="1:7" x14ac:dyDescent="0.25">
      <c r="A1864" s="36">
        <v>41676</v>
      </c>
      <c r="B1864" s="7">
        <v>40.840000000000003</v>
      </c>
      <c r="C1864" s="7">
        <v>22.2</v>
      </c>
      <c r="D1864" s="7">
        <v>3.76</v>
      </c>
      <c r="E1864" s="7">
        <v>1.98</v>
      </c>
      <c r="G1864" s="31"/>
    </row>
    <row r="1865" spans="1:7" x14ac:dyDescent="0.25">
      <c r="A1865" s="36">
        <v>41677</v>
      </c>
      <c r="B1865" s="7">
        <v>40.82</v>
      </c>
      <c r="C1865" s="7">
        <v>22.15</v>
      </c>
      <c r="D1865" s="7">
        <v>3.7</v>
      </c>
      <c r="E1865" s="7">
        <v>1.93</v>
      </c>
      <c r="G1865" s="31"/>
    </row>
    <row r="1866" spans="1:7" x14ac:dyDescent="0.25">
      <c r="A1866" s="36">
        <v>41678</v>
      </c>
      <c r="B1866" s="7">
        <v>40.78</v>
      </c>
      <c r="C1866" s="7">
        <v>22.1</v>
      </c>
      <c r="D1866" s="7">
        <v>3.62</v>
      </c>
      <c r="E1866" s="7">
        <v>1.8499999999999999</v>
      </c>
      <c r="G1866" s="31"/>
    </row>
    <row r="1867" spans="1:7" x14ac:dyDescent="0.25">
      <c r="A1867" s="36">
        <v>41679</v>
      </c>
      <c r="B1867" s="7">
        <v>40.75</v>
      </c>
      <c r="C1867" s="7">
        <v>22.05</v>
      </c>
      <c r="D1867" s="7">
        <v>3.56</v>
      </c>
      <c r="E1867" s="7">
        <v>1.73</v>
      </c>
      <c r="G1867" s="31"/>
    </row>
    <row r="1868" spans="1:7" x14ac:dyDescent="0.25">
      <c r="A1868" s="36">
        <v>41680</v>
      </c>
      <c r="B1868" s="7">
        <v>40.729999999999997</v>
      </c>
      <c r="C1868" s="7">
        <v>22.02</v>
      </c>
      <c r="D1868" s="7">
        <v>3.5</v>
      </c>
      <c r="E1868" s="7">
        <v>1.75</v>
      </c>
      <c r="G1868" s="31"/>
    </row>
    <row r="1869" spans="1:7" x14ac:dyDescent="0.25">
      <c r="A1869" s="36">
        <v>41681</v>
      </c>
      <c r="B1869" s="7">
        <v>40.71</v>
      </c>
      <c r="C1869" s="7">
        <v>22</v>
      </c>
      <c r="D1869" s="7">
        <v>3.48</v>
      </c>
      <c r="E1869" s="7">
        <v>1.73</v>
      </c>
      <c r="G1869" s="31"/>
    </row>
    <row r="1870" spans="1:7" x14ac:dyDescent="0.25">
      <c r="A1870" s="36">
        <v>41682</v>
      </c>
      <c r="B1870" s="7">
        <v>40.700000000000003</v>
      </c>
      <c r="C1870" s="7">
        <v>21.98</v>
      </c>
      <c r="D1870" s="7">
        <v>3.44</v>
      </c>
      <c r="E1870" s="7">
        <v>1.74</v>
      </c>
      <c r="G1870" s="31"/>
    </row>
    <row r="1871" spans="1:7" x14ac:dyDescent="0.25">
      <c r="A1871" s="36">
        <v>41683</v>
      </c>
      <c r="B1871" s="7">
        <v>40.659999999999997</v>
      </c>
      <c r="C1871" s="7">
        <v>21.92</v>
      </c>
      <c r="D1871" s="7">
        <v>3.4</v>
      </c>
      <c r="E1871" s="7">
        <v>1.77</v>
      </c>
      <c r="G1871" s="31"/>
    </row>
    <row r="1872" spans="1:7" x14ac:dyDescent="0.25">
      <c r="A1872" s="36">
        <v>41684</v>
      </c>
      <c r="B1872" s="7">
        <v>40.64</v>
      </c>
      <c r="C1872" s="7">
        <v>21.89</v>
      </c>
      <c r="D1872" s="7">
        <v>3.4</v>
      </c>
      <c r="E1872" s="7">
        <v>1.8</v>
      </c>
      <c r="G1872" s="31"/>
    </row>
    <row r="1873" spans="1:7" x14ac:dyDescent="0.25">
      <c r="A1873" s="36">
        <v>41685</v>
      </c>
      <c r="B1873" s="7">
        <v>40.61</v>
      </c>
      <c r="C1873" s="7">
        <v>21.85</v>
      </c>
      <c r="D1873" s="7">
        <v>3.36</v>
      </c>
      <c r="E1873" s="7">
        <v>1.8</v>
      </c>
      <c r="G1873" s="31"/>
    </row>
    <row r="1874" spans="1:7" x14ac:dyDescent="0.25">
      <c r="A1874" s="36">
        <v>41686</v>
      </c>
      <c r="B1874" s="7">
        <v>40.590000000000003</v>
      </c>
      <c r="C1874" s="7">
        <v>21.83</v>
      </c>
      <c r="D1874" s="7">
        <v>3.34</v>
      </c>
      <c r="E1874" s="7">
        <v>1.8099999999999998</v>
      </c>
      <c r="G1874" s="31"/>
    </row>
    <row r="1875" spans="1:7" x14ac:dyDescent="0.25">
      <c r="A1875" s="36">
        <v>41687</v>
      </c>
      <c r="B1875" s="7">
        <v>40.57</v>
      </c>
      <c r="C1875" s="7">
        <v>21.8</v>
      </c>
      <c r="D1875" s="7">
        <v>3.34</v>
      </c>
      <c r="E1875" s="7">
        <v>1.8</v>
      </c>
      <c r="G1875" s="31"/>
    </row>
    <row r="1876" spans="1:7" x14ac:dyDescent="0.25">
      <c r="A1876" s="36">
        <v>41688</v>
      </c>
      <c r="B1876" s="7">
        <v>40.54</v>
      </c>
      <c r="C1876" s="7">
        <v>21.79</v>
      </c>
      <c r="D1876" s="7">
        <v>3.32</v>
      </c>
      <c r="E1876" s="7">
        <v>1.76</v>
      </c>
      <c r="G1876" s="31"/>
    </row>
    <row r="1877" spans="1:7" x14ac:dyDescent="0.25">
      <c r="A1877" s="36">
        <v>41689</v>
      </c>
      <c r="B1877" s="7">
        <v>40.51</v>
      </c>
      <c r="C1877" s="7">
        <v>21.78</v>
      </c>
      <c r="D1877" s="7">
        <v>3.24</v>
      </c>
      <c r="E1877" s="7">
        <v>1.73</v>
      </c>
      <c r="G1877" s="31"/>
    </row>
    <row r="1878" spans="1:7" x14ac:dyDescent="0.25">
      <c r="A1878" s="36">
        <v>41690</v>
      </c>
      <c r="B1878" s="7">
        <v>40.5</v>
      </c>
      <c r="C1878" s="7">
        <v>21.75</v>
      </c>
      <c r="D1878" s="7">
        <v>3.24</v>
      </c>
      <c r="E1878" s="7">
        <v>1.71</v>
      </c>
      <c r="G1878" s="31"/>
    </row>
    <row r="1879" spans="1:7" x14ac:dyDescent="0.25">
      <c r="A1879" s="36">
        <v>41691</v>
      </c>
      <c r="B1879" s="7">
        <v>40.479999999999997</v>
      </c>
      <c r="C1879" s="7">
        <v>21.71</v>
      </c>
      <c r="D1879" s="7">
        <v>3.22</v>
      </c>
      <c r="E1879" s="7">
        <v>1.72</v>
      </c>
      <c r="G1879" s="31"/>
    </row>
    <row r="1880" spans="1:7" x14ac:dyDescent="0.25">
      <c r="A1880" s="36">
        <v>41692</v>
      </c>
      <c r="B1880" s="7">
        <v>40.479999999999997</v>
      </c>
      <c r="C1880" s="7">
        <v>21.68</v>
      </c>
      <c r="D1880" s="7">
        <v>3.18</v>
      </c>
      <c r="E1880" s="7">
        <v>1.68</v>
      </c>
      <c r="G1880" s="31"/>
    </row>
    <row r="1881" spans="1:7" x14ac:dyDescent="0.25">
      <c r="A1881" s="36">
        <v>41693</v>
      </c>
      <c r="B1881" s="7">
        <v>40.42</v>
      </c>
      <c r="C1881" s="7">
        <v>21.65</v>
      </c>
      <c r="D1881" s="7">
        <v>3.16</v>
      </c>
      <c r="E1881" s="7">
        <v>1.64</v>
      </c>
      <c r="G1881" s="31"/>
    </row>
    <row r="1882" spans="1:7" x14ac:dyDescent="0.25">
      <c r="A1882" s="36">
        <v>41694</v>
      </c>
      <c r="B1882" s="7">
        <v>40.380000000000003</v>
      </c>
      <c r="C1882" s="7">
        <v>21.61</v>
      </c>
      <c r="D1882" s="7">
        <v>3.24</v>
      </c>
      <c r="E1882" s="7">
        <v>1.6099999999999999</v>
      </c>
      <c r="G1882" s="31"/>
    </row>
    <row r="1883" spans="1:7" x14ac:dyDescent="0.25">
      <c r="A1883" s="36">
        <v>41695</v>
      </c>
      <c r="B1883" s="7">
        <v>40.380000000000003</v>
      </c>
      <c r="C1883" s="7">
        <v>21.59</v>
      </c>
      <c r="D1883" s="7">
        <v>3.08</v>
      </c>
      <c r="E1883" s="7">
        <v>1.5799999999999998</v>
      </c>
      <c r="G1883" s="31"/>
    </row>
    <row r="1884" spans="1:7" x14ac:dyDescent="0.25">
      <c r="A1884" s="36">
        <v>41696</v>
      </c>
      <c r="B1884" s="7">
        <v>40.369999999999997</v>
      </c>
      <c r="C1884" s="7">
        <v>21.57</v>
      </c>
      <c r="D1884" s="7">
        <v>3.08</v>
      </c>
      <c r="E1884" s="7">
        <v>1.5799999999999998</v>
      </c>
      <c r="G1884" s="31"/>
    </row>
    <row r="1885" spans="1:7" x14ac:dyDescent="0.25">
      <c r="A1885" s="36">
        <v>41697</v>
      </c>
      <c r="B1885" s="7">
        <v>40.36</v>
      </c>
      <c r="C1885" s="7">
        <v>21.55</v>
      </c>
      <c r="D1885" s="7">
        <v>3.04</v>
      </c>
      <c r="E1885" s="7">
        <v>1.6099999999999999</v>
      </c>
      <c r="G1885" s="31"/>
    </row>
    <row r="1886" spans="1:7" x14ac:dyDescent="0.25">
      <c r="A1886" s="36">
        <v>41698</v>
      </c>
      <c r="B1886" s="7">
        <v>40.35</v>
      </c>
      <c r="C1886" s="7">
        <v>21.52</v>
      </c>
      <c r="D1886" s="7">
        <v>3</v>
      </c>
      <c r="E1886" s="7">
        <v>1.63</v>
      </c>
      <c r="G1886" s="31"/>
    </row>
    <row r="1887" spans="1:7" x14ac:dyDescent="0.25">
      <c r="A1887" s="36">
        <v>41699</v>
      </c>
      <c r="B1887" s="7">
        <v>40.35</v>
      </c>
      <c r="C1887" s="7">
        <v>21.49</v>
      </c>
      <c r="D1887" s="7">
        <v>2.86</v>
      </c>
      <c r="E1887" s="7">
        <v>1.6099999999999999</v>
      </c>
      <c r="G1887" s="31"/>
    </row>
    <row r="1888" spans="1:7" x14ac:dyDescent="0.25">
      <c r="A1888" s="36">
        <v>41700</v>
      </c>
      <c r="B1888" s="7">
        <v>40.369999999999997</v>
      </c>
      <c r="C1888" s="7">
        <v>21.47</v>
      </c>
      <c r="D1888" s="7">
        <v>2.86</v>
      </c>
      <c r="E1888" s="7">
        <v>1.63</v>
      </c>
      <c r="G1888" s="31"/>
    </row>
    <row r="1889" spans="1:7" x14ac:dyDescent="0.25">
      <c r="A1889" s="36">
        <v>41701</v>
      </c>
      <c r="B1889" s="7">
        <v>40.42</v>
      </c>
      <c r="C1889" s="7">
        <v>21.45</v>
      </c>
      <c r="D1889" s="7">
        <v>2.84</v>
      </c>
      <c r="E1889" s="7">
        <v>1.55</v>
      </c>
      <c r="G1889" s="31"/>
    </row>
    <row r="1890" spans="1:7" x14ac:dyDescent="0.25">
      <c r="A1890" s="36">
        <v>41702</v>
      </c>
      <c r="B1890" s="7">
        <v>40.46</v>
      </c>
      <c r="C1890" s="6">
        <v>21.41</v>
      </c>
      <c r="D1890" s="7">
        <v>2.84</v>
      </c>
      <c r="E1890" s="7">
        <v>1.55</v>
      </c>
      <c r="G1890" s="31"/>
    </row>
    <row r="1891" spans="1:7" x14ac:dyDescent="0.25">
      <c r="A1891" s="36">
        <v>41703</v>
      </c>
      <c r="B1891" s="7">
        <v>40.5</v>
      </c>
      <c r="C1891" s="6">
        <v>21.4</v>
      </c>
      <c r="D1891" s="7">
        <v>2.84</v>
      </c>
      <c r="E1891" s="6">
        <v>1.51</v>
      </c>
      <c r="G1891" s="31"/>
    </row>
    <row r="1892" spans="1:7" x14ac:dyDescent="0.25">
      <c r="A1892" s="36">
        <v>41704</v>
      </c>
      <c r="B1892" s="6">
        <v>40.54</v>
      </c>
      <c r="C1892" s="6">
        <v>21.52</v>
      </c>
      <c r="D1892" s="7">
        <v>2.8</v>
      </c>
      <c r="E1892" s="6">
        <v>1.5799999999999998</v>
      </c>
      <c r="G1892" s="31"/>
    </row>
    <row r="1893" spans="1:7" x14ac:dyDescent="0.25">
      <c r="A1893" s="36">
        <v>41705</v>
      </c>
      <c r="B1893" s="6">
        <v>40.590000000000003</v>
      </c>
      <c r="C1893" s="6">
        <v>21.5</v>
      </c>
      <c r="D1893" s="7">
        <v>2.8</v>
      </c>
      <c r="E1893" s="6">
        <v>1.5799999999999998</v>
      </c>
      <c r="G1893" s="31"/>
    </row>
    <row r="1894" spans="1:7" x14ac:dyDescent="0.25">
      <c r="A1894" s="36">
        <v>41706</v>
      </c>
      <c r="B1894" s="6">
        <v>40.630000000000003</v>
      </c>
      <c r="C1894" s="6">
        <v>21.55</v>
      </c>
      <c r="D1894" s="7">
        <v>2.8</v>
      </c>
      <c r="E1894" s="6">
        <v>1.5</v>
      </c>
      <c r="G1894" s="31"/>
    </row>
    <row r="1895" spans="1:7" x14ac:dyDescent="0.25">
      <c r="A1895" s="36">
        <v>41707</v>
      </c>
      <c r="B1895" s="6">
        <v>40.659999999999997</v>
      </c>
      <c r="C1895" s="6">
        <v>21.62</v>
      </c>
      <c r="D1895" s="7">
        <v>2.8</v>
      </c>
      <c r="E1895" s="6">
        <v>1.41</v>
      </c>
      <c r="G1895" s="31"/>
    </row>
    <row r="1896" spans="1:7" x14ac:dyDescent="0.25">
      <c r="A1896" s="36">
        <v>41708</v>
      </c>
      <c r="B1896" s="6">
        <v>40.69</v>
      </c>
      <c r="C1896" s="6">
        <v>21.66</v>
      </c>
      <c r="D1896" s="7">
        <v>2.8</v>
      </c>
      <c r="E1896" s="6">
        <v>1.35</v>
      </c>
      <c r="G1896" s="31"/>
    </row>
    <row r="1897" spans="1:7" x14ac:dyDescent="0.25">
      <c r="A1897" s="36">
        <v>41709</v>
      </c>
      <c r="B1897" s="6">
        <v>40.700000000000003</v>
      </c>
      <c r="C1897" s="6">
        <v>21.76</v>
      </c>
      <c r="D1897" s="7">
        <v>2.8</v>
      </c>
      <c r="E1897" s="6">
        <v>1.32</v>
      </c>
      <c r="G1897" s="31"/>
    </row>
    <row r="1898" spans="1:7" x14ac:dyDescent="0.25">
      <c r="A1898" s="36">
        <v>41710</v>
      </c>
      <c r="B1898" s="6">
        <v>40.74</v>
      </c>
      <c r="C1898" s="6">
        <v>21.81</v>
      </c>
      <c r="D1898" s="6">
        <v>2.8</v>
      </c>
      <c r="E1898" s="6">
        <v>1.32</v>
      </c>
      <c r="G1898" s="31"/>
    </row>
    <row r="1899" spans="1:7" x14ac:dyDescent="0.25">
      <c r="A1899" s="36">
        <v>41711</v>
      </c>
      <c r="B1899" s="6">
        <v>40.76</v>
      </c>
      <c r="C1899" s="6">
        <v>21.9</v>
      </c>
      <c r="D1899" s="6">
        <v>2.92</v>
      </c>
      <c r="E1899" s="6">
        <v>1.42</v>
      </c>
      <c r="G1899" s="31"/>
    </row>
    <row r="1900" spans="1:7" x14ac:dyDescent="0.25">
      <c r="A1900" s="36">
        <v>41712</v>
      </c>
      <c r="B1900" s="6">
        <v>40.78</v>
      </c>
      <c r="C1900" s="6">
        <v>21.92</v>
      </c>
      <c r="D1900" s="6">
        <v>2.98</v>
      </c>
      <c r="E1900" s="6">
        <v>1.43</v>
      </c>
      <c r="G1900" s="31"/>
    </row>
    <row r="1901" spans="1:7" x14ac:dyDescent="0.25">
      <c r="A1901" s="36">
        <v>41713</v>
      </c>
      <c r="B1901" s="6">
        <v>40.83</v>
      </c>
      <c r="C1901" s="6">
        <v>21.94</v>
      </c>
      <c r="D1901" s="6">
        <v>3.02</v>
      </c>
      <c r="E1901" s="6">
        <v>1.53</v>
      </c>
      <c r="G1901" s="31"/>
    </row>
    <row r="1902" spans="1:7" x14ac:dyDescent="0.25">
      <c r="A1902" s="36">
        <v>41714</v>
      </c>
      <c r="B1902" s="6">
        <v>40.880000000000003</v>
      </c>
      <c r="C1902" s="6">
        <v>21.89</v>
      </c>
      <c r="D1902" s="6">
        <v>3.12</v>
      </c>
      <c r="E1902" s="6">
        <v>1.5799999999999998</v>
      </c>
      <c r="G1902" s="31"/>
    </row>
    <row r="1903" spans="1:7" x14ac:dyDescent="0.25">
      <c r="A1903" s="36">
        <v>41715</v>
      </c>
      <c r="B1903" s="6">
        <v>40.93</v>
      </c>
      <c r="C1903" s="6">
        <v>21.86</v>
      </c>
      <c r="D1903" s="6">
        <v>3.16</v>
      </c>
      <c r="E1903" s="6">
        <v>1.66</v>
      </c>
      <c r="G1903" s="31"/>
    </row>
    <row r="1904" spans="1:7" x14ac:dyDescent="0.25">
      <c r="A1904" s="36">
        <v>41716</v>
      </c>
      <c r="B1904" s="6">
        <v>40.97</v>
      </c>
      <c r="C1904" s="6">
        <v>21.83</v>
      </c>
      <c r="D1904" s="6">
        <v>3.16</v>
      </c>
      <c r="E1904" s="6">
        <v>1.71</v>
      </c>
      <c r="G1904" s="31"/>
    </row>
    <row r="1905" spans="1:7" x14ac:dyDescent="0.25">
      <c r="A1905" s="36">
        <v>41717</v>
      </c>
      <c r="B1905" s="6">
        <v>41.02</v>
      </c>
      <c r="C1905" s="6">
        <v>21.9</v>
      </c>
      <c r="D1905" s="6">
        <v>3.19</v>
      </c>
      <c r="E1905" s="6">
        <v>1.72</v>
      </c>
      <c r="G1905" s="31"/>
    </row>
    <row r="1906" spans="1:7" x14ac:dyDescent="0.25">
      <c r="A1906" s="36">
        <v>41718</v>
      </c>
      <c r="B1906" s="6">
        <v>41.04</v>
      </c>
      <c r="C1906" s="6">
        <v>21.94</v>
      </c>
      <c r="D1906" s="6">
        <v>3.19</v>
      </c>
      <c r="E1906" s="6">
        <v>1.7</v>
      </c>
      <c r="G1906" s="31"/>
    </row>
    <row r="1907" spans="1:7" x14ac:dyDescent="0.25">
      <c r="A1907" s="36">
        <v>41719</v>
      </c>
      <c r="B1907" s="6">
        <v>41.05</v>
      </c>
      <c r="C1907" s="6">
        <v>21.97</v>
      </c>
      <c r="D1907" s="6">
        <v>3.2</v>
      </c>
      <c r="E1907" s="6">
        <v>1.68</v>
      </c>
      <c r="G1907" s="31"/>
    </row>
    <row r="1908" spans="1:7" x14ac:dyDescent="0.25">
      <c r="A1908" s="36">
        <v>41720</v>
      </c>
      <c r="B1908" s="6">
        <v>41.01</v>
      </c>
      <c r="C1908" s="6">
        <v>21.98</v>
      </c>
      <c r="D1908" s="6">
        <v>3.18</v>
      </c>
      <c r="E1908" s="6">
        <v>1.73</v>
      </c>
      <c r="G1908" s="31"/>
    </row>
    <row r="1909" spans="1:7" x14ac:dyDescent="0.25">
      <c r="A1909" s="36">
        <v>41721</v>
      </c>
      <c r="B1909" s="6">
        <v>40.98</v>
      </c>
      <c r="C1909" s="6">
        <v>21.99</v>
      </c>
      <c r="D1909" s="6">
        <v>3.18</v>
      </c>
      <c r="E1909" s="6">
        <v>1.7</v>
      </c>
      <c r="G1909" s="31"/>
    </row>
    <row r="1910" spans="1:7" x14ac:dyDescent="0.25">
      <c r="A1910" s="36">
        <v>41722</v>
      </c>
      <c r="B1910" s="6">
        <v>40.9</v>
      </c>
      <c r="C1910" s="6">
        <v>21.99</v>
      </c>
      <c r="D1910" s="6">
        <v>3.2</v>
      </c>
      <c r="E1910" s="6">
        <v>1.63</v>
      </c>
      <c r="G1910" s="31"/>
    </row>
    <row r="1911" spans="1:7" x14ac:dyDescent="0.25">
      <c r="A1911" s="36">
        <v>41723</v>
      </c>
      <c r="B1911" s="6">
        <v>40.840000000000003</v>
      </c>
      <c r="C1911" s="6">
        <v>21.96</v>
      </c>
      <c r="D1911" s="6">
        <v>3.24</v>
      </c>
      <c r="E1911" s="6">
        <v>1.7</v>
      </c>
      <c r="G1911" s="31"/>
    </row>
    <row r="1912" spans="1:7" x14ac:dyDescent="0.25">
      <c r="A1912" s="36">
        <v>41724</v>
      </c>
      <c r="B1912" s="6">
        <v>40.78</v>
      </c>
      <c r="C1912" s="6">
        <v>21.94</v>
      </c>
      <c r="D1912" s="6">
        <v>3.26</v>
      </c>
      <c r="E1912" s="6">
        <v>1.7</v>
      </c>
      <c r="G1912" s="31"/>
    </row>
    <row r="1913" spans="1:7" x14ac:dyDescent="0.25">
      <c r="A1913" s="36">
        <v>41725</v>
      </c>
      <c r="B1913" s="6">
        <v>40.78</v>
      </c>
      <c r="C1913" s="6">
        <v>21.9</v>
      </c>
      <c r="D1913" s="6">
        <v>3.28</v>
      </c>
      <c r="E1913" s="6">
        <v>1.78</v>
      </c>
      <c r="G1913" s="31"/>
    </row>
    <row r="1914" spans="1:7" x14ac:dyDescent="0.25">
      <c r="A1914" s="36">
        <v>41726</v>
      </c>
      <c r="B1914" s="6">
        <v>40.83</v>
      </c>
      <c r="C1914" s="6">
        <v>21.88</v>
      </c>
      <c r="D1914" s="6">
        <v>3.26</v>
      </c>
      <c r="E1914" s="6">
        <v>1.76</v>
      </c>
      <c r="G1914" s="31"/>
    </row>
    <row r="1915" spans="1:7" x14ac:dyDescent="0.25">
      <c r="A1915" s="36">
        <v>41727</v>
      </c>
      <c r="B1915" s="6">
        <v>40.89</v>
      </c>
      <c r="C1915" s="6">
        <v>21.8</v>
      </c>
      <c r="D1915" s="6">
        <v>3.28</v>
      </c>
      <c r="E1915" s="6">
        <v>1.76</v>
      </c>
      <c r="G1915" s="31"/>
    </row>
    <row r="1916" spans="1:7" x14ac:dyDescent="0.25">
      <c r="A1916" s="36">
        <v>41728</v>
      </c>
      <c r="B1916" s="6">
        <v>40.98</v>
      </c>
      <c r="C1916" s="6">
        <v>21.78</v>
      </c>
      <c r="D1916" s="6">
        <v>3.28</v>
      </c>
      <c r="E1916" s="6">
        <v>1.75</v>
      </c>
      <c r="G1916" s="31"/>
    </row>
    <row r="1917" spans="1:7" x14ac:dyDescent="0.25">
      <c r="A1917" s="36">
        <v>41729</v>
      </c>
      <c r="B1917" s="6">
        <v>41.08</v>
      </c>
      <c r="C1917" s="6">
        <v>21.76</v>
      </c>
      <c r="D1917" s="6">
        <v>3.28</v>
      </c>
      <c r="E1917" s="6">
        <v>1.74</v>
      </c>
      <c r="G1917" s="31"/>
    </row>
    <row r="1918" spans="1:7" x14ac:dyDescent="0.25">
      <c r="A1918" s="36">
        <v>41730</v>
      </c>
      <c r="B1918" s="6">
        <v>41.14</v>
      </c>
      <c r="C1918" s="6">
        <v>21.88</v>
      </c>
      <c r="D1918" s="6">
        <v>3.1</v>
      </c>
      <c r="E1918" s="6">
        <v>1.74</v>
      </c>
      <c r="G1918" s="31"/>
    </row>
    <row r="1919" spans="1:7" x14ac:dyDescent="0.25">
      <c r="A1919" s="36">
        <v>41731</v>
      </c>
      <c r="B1919" s="6">
        <v>41.2</v>
      </c>
      <c r="C1919" s="6">
        <v>21.98</v>
      </c>
      <c r="D1919" s="6">
        <v>3.08</v>
      </c>
      <c r="E1919" s="6">
        <v>1.79</v>
      </c>
      <c r="G1919" s="31"/>
    </row>
    <row r="1920" spans="1:7" x14ac:dyDescent="0.25">
      <c r="A1920" s="36">
        <v>41732</v>
      </c>
      <c r="B1920" s="6">
        <v>41.24</v>
      </c>
      <c r="C1920" s="6">
        <v>22.05</v>
      </c>
      <c r="D1920" s="6">
        <v>3.08</v>
      </c>
      <c r="E1920" s="6">
        <v>1.73</v>
      </c>
      <c r="G1920" s="31"/>
    </row>
    <row r="1921" spans="1:7" x14ac:dyDescent="0.25">
      <c r="A1921" s="36">
        <v>41733</v>
      </c>
      <c r="B1921" s="6">
        <v>41.28</v>
      </c>
      <c r="C1921" s="6">
        <v>22.11</v>
      </c>
      <c r="D1921" s="6">
        <v>3.12</v>
      </c>
      <c r="E1921" s="6">
        <v>1.7</v>
      </c>
      <c r="G1921" s="31"/>
    </row>
    <row r="1922" spans="1:7" x14ac:dyDescent="0.25">
      <c r="A1922" s="36">
        <v>41734</v>
      </c>
      <c r="B1922" s="6">
        <v>41.29</v>
      </c>
      <c r="C1922" s="6">
        <v>22.17</v>
      </c>
      <c r="D1922" s="6">
        <v>3.12</v>
      </c>
      <c r="E1922" s="6">
        <v>1.72</v>
      </c>
      <c r="G1922" s="31"/>
    </row>
    <row r="1923" spans="1:7" x14ac:dyDescent="0.25">
      <c r="A1923" s="36">
        <v>41735</v>
      </c>
      <c r="B1923" s="6">
        <v>41.3</v>
      </c>
      <c r="C1923" s="6">
        <v>22.23</v>
      </c>
      <c r="D1923" s="6">
        <v>3.2</v>
      </c>
      <c r="E1923" s="6">
        <v>1.69</v>
      </c>
      <c r="G1923" s="31"/>
    </row>
    <row r="1924" spans="1:7" x14ac:dyDescent="0.25">
      <c r="A1924" s="36">
        <v>41736</v>
      </c>
      <c r="B1924" s="6">
        <v>41.29</v>
      </c>
      <c r="C1924" s="6">
        <v>22.28</v>
      </c>
      <c r="D1924" s="6">
        <v>3.26</v>
      </c>
      <c r="E1924" s="6">
        <v>1.69</v>
      </c>
      <c r="G1924" s="31"/>
    </row>
    <row r="1925" spans="1:7" x14ac:dyDescent="0.25">
      <c r="A1925" s="36">
        <v>41737</v>
      </c>
      <c r="B1925" s="6">
        <v>41.29</v>
      </c>
      <c r="C1925" s="6">
        <v>22.34</v>
      </c>
      <c r="D1925" s="6">
        <v>3.32</v>
      </c>
      <c r="E1925" s="6">
        <v>1.71</v>
      </c>
      <c r="G1925" s="31"/>
    </row>
    <row r="1926" spans="1:7" x14ac:dyDescent="0.25">
      <c r="A1926" s="36">
        <v>41738</v>
      </c>
      <c r="B1926" s="6">
        <v>41.36</v>
      </c>
      <c r="C1926" s="6">
        <v>22.28</v>
      </c>
      <c r="D1926" s="6">
        <v>3.42</v>
      </c>
      <c r="E1926" s="6">
        <v>1.79</v>
      </c>
      <c r="G1926" s="31"/>
    </row>
    <row r="1927" spans="1:7" x14ac:dyDescent="0.25">
      <c r="A1927" s="36">
        <v>41739</v>
      </c>
      <c r="B1927" s="6">
        <v>41.44</v>
      </c>
      <c r="C1927" s="6">
        <v>22.28</v>
      </c>
      <c r="D1927" s="6">
        <v>3.62</v>
      </c>
      <c r="E1927" s="6">
        <v>1.79</v>
      </c>
      <c r="G1927" s="31"/>
    </row>
    <row r="1928" spans="1:7" x14ac:dyDescent="0.25">
      <c r="A1928" s="36">
        <v>41740</v>
      </c>
      <c r="B1928" s="6">
        <v>41.51</v>
      </c>
      <c r="C1928" s="6">
        <v>22.3</v>
      </c>
      <c r="D1928" s="6">
        <v>3.72</v>
      </c>
      <c r="E1928" s="6">
        <v>1.8099999999999998</v>
      </c>
      <c r="G1928" s="31"/>
    </row>
    <row r="1929" spans="1:7" x14ac:dyDescent="0.25">
      <c r="A1929" s="36">
        <v>41741</v>
      </c>
      <c r="B1929" s="6">
        <v>41.61</v>
      </c>
      <c r="C1929" s="6">
        <v>22.32</v>
      </c>
      <c r="D1929" s="6">
        <v>3.52</v>
      </c>
      <c r="E1929" s="6">
        <v>1.8099999999999998</v>
      </c>
      <c r="G1929" s="31"/>
    </row>
    <row r="1930" spans="1:7" x14ac:dyDescent="0.25">
      <c r="A1930" s="36">
        <v>41742</v>
      </c>
      <c r="B1930" s="6">
        <v>41.58</v>
      </c>
      <c r="C1930" s="6">
        <v>22.48</v>
      </c>
      <c r="D1930" s="6">
        <v>3.66</v>
      </c>
      <c r="E1930" s="6">
        <v>1.77</v>
      </c>
      <c r="G1930" s="31"/>
    </row>
    <row r="1931" spans="1:7" x14ac:dyDescent="0.25">
      <c r="A1931" s="36">
        <v>41743</v>
      </c>
      <c r="B1931" s="6">
        <v>41.61</v>
      </c>
      <c r="C1931" s="6">
        <v>22.54</v>
      </c>
      <c r="D1931" s="6">
        <v>3.72</v>
      </c>
      <c r="E1931" s="6">
        <v>1.8399999999999999</v>
      </c>
      <c r="G1931" s="31"/>
    </row>
    <row r="1932" spans="1:7" x14ac:dyDescent="0.25">
      <c r="A1932" s="36">
        <v>41744</v>
      </c>
      <c r="B1932" s="6">
        <v>41.57</v>
      </c>
      <c r="C1932" s="6">
        <v>22.59</v>
      </c>
      <c r="D1932" s="6">
        <v>3.72</v>
      </c>
      <c r="E1932" s="6">
        <v>1.96</v>
      </c>
      <c r="G1932" s="31"/>
    </row>
    <row r="1933" spans="1:7" x14ac:dyDescent="0.25">
      <c r="A1933" s="36">
        <v>41745</v>
      </c>
      <c r="B1933" s="6">
        <v>41.55</v>
      </c>
      <c r="C1933" s="6">
        <v>22.65</v>
      </c>
      <c r="D1933" s="6">
        <v>3.82</v>
      </c>
      <c r="E1933" s="6">
        <v>1.93</v>
      </c>
      <c r="G1933" s="31"/>
    </row>
    <row r="1934" spans="1:7" x14ac:dyDescent="0.25">
      <c r="A1934" s="36">
        <v>41746</v>
      </c>
      <c r="B1934" s="6">
        <v>41.52</v>
      </c>
      <c r="C1934" s="6">
        <v>22.84</v>
      </c>
      <c r="D1934" s="6">
        <v>3.9</v>
      </c>
      <c r="E1934" s="6">
        <v>1.9</v>
      </c>
      <c r="G1934" s="31"/>
    </row>
    <row r="1935" spans="1:7" x14ac:dyDescent="0.25">
      <c r="A1935" s="36">
        <v>41747</v>
      </c>
      <c r="B1935" s="6">
        <v>41.53</v>
      </c>
      <c r="C1935" s="6">
        <v>22.95</v>
      </c>
      <c r="D1935" s="6">
        <v>3.94</v>
      </c>
      <c r="E1935" s="6">
        <v>1.89</v>
      </c>
      <c r="G1935" s="31"/>
    </row>
    <row r="1936" spans="1:7" x14ac:dyDescent="0.25">
      <c r="A1936" s="36">
        <v>41748</v>
      </c>
      <c r="B1936" s="6">
        <v>41.64</v>
      </c>
      <c r="C1936" s="6">
        <v>23.05</v>
      </c>
      <c r="D1936" s="6">
        <v>3.94</v>
      </c>
      <c r="E1936" s="6">
        <v>1.91</v>
      </c>
      <c r="G1936" s="31"/>
    </row>
    <row r="1937" spans="1:7" x14ac:dyDescent="0.25">
      <c r="A1937" s="36">
        <v>41749</v>
      </c>
      <c r="B1937" s="6">
        <v>41.76</v>
      </c>
      <c r="C1937" s="6">
        <v>23.1</v>
      </c>
      <c r="D1937" s="6">
        <v>3.96</v>
      </c>
      <c r="E1937" s="6">
        <v>2</v>
      </c>
      <c r="G1937" s="31"/>
    </row>
    <row r="1938" spans="1:7" x14ac:dyDescent="0.25">
      <c r="A1938" s="36">
        <v>41750</v>
      </c>
      <c r="B1938" s="6">
        <v>41.88</v>
      </c>
      <c r="C1938" s="6">
        <v>23.13</v>
      </c>
      <c r="D1938" s="6">
        <v>4.2</v>
      </c>
      <c r="E1938" s="6">
        <v>2.02</v>
      </c>
      <c r="G1938" s="31"/>
    </row>
    <row r="1939" spans="1:7" x14ac:dyDescent="0.25">
      <c r="A1939" s="36">
        <v>41751</v>
      </c>
      <c r="B1939" s="6">
        <v>42.1</v>
      </c>
      <c r="C1939" s="6">
        <v>23.16</v>
      </c>
      <c r="D1939" s="6">
        <v>4.3</v>
      </c>
      <c r="E1939" s="6">
        <v>2.0300000000000002</v>
      </c>
      <c r="G1939" s="31"/>
    </row>
    <row r="1940" spans="1:7" x14ac:dyDescent="0.25">
      <c r="A1940" s="36">
        <v>41752</v>
      </c>
      <c r="B1940" s="6">
        <v>42.25</v>
      </c>
      <c r="C1940" s="6">
        <v>23.2</v>
      </c>
      <c r="D1940" s="6">
        <v>4.4000000000000004</v>
      </c>
      <c r="E1940" s="6">
        <v>2.2000000000000002</v>
      </c>
      <c r="G1940" s="31"/>
    </row>
    <row r="1941" spans="1:7" x14ac:dyDescent="0.25">
      <c r="A1941" s="36">
        <v>41753</v>
      </c>
      <c r="B1941" s="6">
        <v>42.45</v>
      </c>
      <c r="C1941" s="6">
        <v>23.28</v>
      </c>
      <c r="D1941" s="6">
        <v>4.5999999999999996</v>
      </c>
      <c r="E1941" s="6">
        <v>2.2800000000000002</v>
      </c>
      <c r="G1941" s="31"/>
    </row>
    <row r="1942" spans="1:7" x14ac:dyDescent="0.25">
      <c r="A1942" s="36">
        <v>41754</v>
      </c>
      <c r="B1942" s="6">
        <v>42.68</v>
      </c>
      <c r="C1942" s="6">
        <v>23.5</v>
      </c>
      <c r="D1942" s="6">
        <v>4.7</v>
      </c>
      <c r="E1942" s="6">
        <v>2.33</v>
      </c>
      <c r="G1942" s="31"/>
    </row>
    <row r="1943" spans="1:7" x14ac:dyDescent="0.25">
      <c r="A1943" s="36">
        <v>41755</v>
      </c>
      <c r="B1943" s="6">
        <v>42.74</v>
      </c>
      <c r="C1943" s="6">
        <v>23.78</v>
      </c>
      <c r="D1943" s="6">
        <v>4.78</v>
      </c>
      <c r="E1943" s="6">
        <v>2.3759999999999999</v>
      </c>
      <c r="G1943" s="31"/>
    </row>
    <row r="1944" spans="1:7" x14ac:dyDescent="0.25">
      <c r="A1944" s="36">
        <v>41756</v>
      </c>
      <c r="B1944" s="6">
        <v>42.81</v>
      </c>
      <c r="C1944" s="6">
        <v>24.05</v>
      </c>
      <c r="D1944" s="6">
        <v>4.79</v>
      </c>
      <c r="E1944" s="6">
        <v>2.4010000000000002</v>
      </c>
      <c r="G1944" s="31"/>
    </row>
    <row r="1945" spans="1:7" x14ac:dyDescent="0.25">
      <c r="A1945" s="36">
        <v>41757</v>
      </c>
      <c r="B1945" s="6">
        <v>42.87</v>
      </c>
      <c r="C1945" s="6">
        <v>24.24</v>
      </c>
      <c r="D1945" s="6">
        <v>4.8</v>
      </c>
      <c r="E1945" s="6">
        <v>2.4</v>
      </c>
      <c r="G1945" s="31"/>
    </row>
    <row r="1946" spans="1:7" x14ac:dyDescent="0.25">
      <c r="A1946" s="36">
        <v>41758</v>
      </c>
      <c r="B1946" s="6">
        <v>42.95</v>
      </c>
      <c r="C1946" s="6">
        <v>24.38</v>
      </c>
      <c r="D1946" s="6">
        <v>4.8499999999999996</v>
      </c>
      <c r="E1946" s="6">
        <v>2.46</v>
      </c>
      <c r="G1946" s="31"/>
    </row>
    <row r="1947" spans="1:7" x14ac:dyDescent="0.25">
      <c r="A1947" s="36">
        <v>41759</v>
      </c>
      <c r="B1947" s="6">
        <v>43.09</v>
      </c>
      <c r="C1947" s="6">
        <v>24.48</v>
      </c>
      <c r="D1947" s="6">
        <v>5.2</v>
      </c>
      <c r="E1947" s="6">
        <v>2.56</v>
      </c>
      <c r="G1947" s="31"/>
    </row>
    <row r="1948" spans="1:7" x14ac:dyDescent="0.25">
      <c r="A1948" s="36">
        <v>41760</v>
      </c>
      <c r="B1948" s="6">
        <v>43.31</v>
      </c>
      <c r="C1948" s="6">
        <v>24.6</v>
      </c>
      <c r="D1948" s="6">
        <v>5.48</v>
      </c>
      <c r="E1948" s="6">
        <v>2.73</v>
      </c>
      <c r="G1948" s="31"/>
    </row>
    <row r="1949" spans="1:7" x14ac:dyDescent="0.25">
      <c r="A1949" s="36">
        <v>41761</v>
      </c>
      <c r="B1949" s="6">
        <v>43.51</v>
      </c>
      <c r="C1949" s="6">
        <v>24.75</v>
      </c>
      <c r="D1949" s="6">
        <v>5.6</v>
      </c>
      <c r="E1949" s="6">
        <v>2.83</v>
      </c>
      <c r="G1949" s="31"/>
    </row>
    <row r="1950" spans="1:7" x14ac:dyDescent="0.25">
      <c r="A1950" s="36">
        <v>41762</v>
      </c>
      <c r="B1950" s="6">
        <v>43.71</v>
      </c>
      <c r="C1950" s="6">
        <v>24.95</v>
      </c>
      <c r="D1950" s="6">
        <v>5.78</v>
      </c>
      <c r="E1950" s="6">
        <v>2.891</v>
      </c>
      <c r="G1950" s="31"/>
    </row>
    <row r="1951" spans="1:7" x14ac:dyDescent="0.25">
      <c r="A1951" s="36">
        <v>41763</v>
      </c>
      <c r="B1951" s="6">
        <v>43.83</v>
      </c>
      <c r="C1951" s="6">
        <v>25.18</v>
      </c>
      <c r="D1951" s="6">
        <v>5.88</v>
      </c>
      <c r="E1951" s="6">
        <v>3</v>
      </c>
      <c r="G1951" s="31"/>
    </row>
    <row r="1952" spans="1:7" x14ac:dyDescent="0.25">
      <c r="A1952" s="36">
        <v>41764</v>
      </c>
      <c r="B1952" s="6">
        <v>44.09</v>
      </c>
      <c r="C1952" s="6">
        <v>25.37</v>
      </c>
      <c r="D1952" s="6">
        <v>5.94</v>
      </c>
      <c r="E1952" s="6">
        <v>3.02</v>
      </c>
      <c r="G1952" s="31"/>
    </row>
    <row r="1953" spans="1:7" x14ac:dyDescent="0.25">
      <c r="A1953" s="36">
        <v>41765</v>
      </c>
      <c r="B1953" s="6">
        <v>44.13</v>
      </c>
      <c r="C1953" s="6">
        <v>25.54</v>
      </c>
      <c r="D1953" s="6">
        <v>6.14</v>
      </c>
      <c r="E1953" s="6">
        <v>3.0900000000000003</v>
      </c>
      <c r="G1953" s="31"/>
    </row>
    <row r="1954" spans="1:7" x14ac:dyDescent="0.25">
      <c r="A1954" s="36">
        <v>41766</v>
      </c>
      <c r="B1954" s="6">
        <v>44.21</v>
      </c>
      <c r="C1954" s="6">
        <v>25.67</v>
      </c>
      <c r="D1954" s="6">
        <v>6.3</v>
      </c>
      <c r="E1954" s="6">
        <v>3.31</v>
      </c>
      <c r="G1954" s="31"/>
    </row>
    <row r="1955" spans="1:7" x14ac:dyDescent="0.25">
      <c r="A1955" s="36">
        <v>41767</v>
      </c>
      <c r="B1955" s="6">
        <v>44.31</v>
      </c>
      <c r="C1955" s="6">
        <v>25.78</v>
      </c>
      <c r="D1955" s="6">
        <v>6.4</v>
      </c>
      <c r="E1955" s="6">
        <v>3.3800000000000003</v>
      </c>
      <c r="G1955" s="31"/>
    </row>
    <row r="1956" spans="1:7" x14ac:dyDescent="0.25">
      <c r="A1956" s="36">
        <v>41768</v>
      </c>
      <c r="B1956" s="6">
        <v>44.39</v>
      </c>
      <c r="C1956" s="6">
        <v>25.86</v>
      </c>
      <c r="D1956" s="6">
        <v>6.6</v>
      </c>
      <c r="E1956" s="6">
        <v>3.46</v>
      </c>
      <c r="G1956" s="31"/>
    </row>
    <row r="1957" spans="1:7" x14ac:dyDescent="0.25">
      <c r="A1957" s="36">
        <v>41769</v>
      </c>
      <c r="B1957" s="6">
        <v>44.55</v>
      </c>
      <c r="C1957" s="6">
        <v>25.92</v>
      </c>
      <c r="D1957" s="6">
        <v>6.7</v>
      </c>
      <c r="E1957" s="6">
        <v>3.54</v>
      </c>
      <c r="G1957" s="31"/>
    </row>
    <row r="1958" spans="1:7" x14ac:dyDescent="0.25">
      <c r="A1958" s="36">
        <v>41770</v>
      </c>
      <c r="B1958" s="6">
        <v>44.7</v>
      </c>
      <c r="C1958" s="6">
        <v>25.98</v>
      </c>
      <c r="D1958" s="6">
        <v>6.78</v>
      </c>
      <c r="E1958" s="6">
        <v>3.5</v>
      </c>
      <c r="G1958" s="31"/>
    </row>
    <row r="1959" spans="1:7" x14ac:dyDescent="0.25">
      <c r="A1959" s="36">
        <v>41771</v>
      </c>
      <c r="B1959" s="6">
        <v>44.87</v>
      </c>
      <c r="C1959" s="6">
        <v>26.06</v>
      </c>
      <c r="D1959" s="6">
        <v>6.86</v>
      </c>
      <c r="E1959" s="6">
        <v>3.5900000000000003</v>
      </c>
      <c r="G1959" s="31"/>
    </row>
    <row r="1960" spans="1:7" x14ac:dyDescent="0.25">
      <c r="A1960" s="36">
        <v>41772</v>
      </c>
      <c r="B1960" s="6">
        <v>45.04</v>
      </c>
      <c r="C1960" s="6">
        <v>26.12</v>
      </c>
      <c r="D1960" s="6">
        <v>6.94</v>
      </c>
      <c r="E1960" s="6">
        <v>3.68</v>
      </c>
      <c r="G1960" s="31"/>
    </row>
    <row r="1961" spans="1:7" x14ac:dyDescent="0.25">
      <c r="A1961" s="36">
        <v>41773</v>
      </c>
      <c r="B1961" s="6">
        <v>45.21</v>
      </c>
      <c r="C1961" s="6">
        <v>26.19</v>
      </c>
      <c r="D1961" s="6">
        <v>7</v>
      </c>
      <c r="E1961" s="6">
        <v>3.83</v>
      </c>
      <c r="G1961" s="31"/>
    </row>
    <row r="1962" spans="1:7" x14ac:dyDescent="0.25">
      <c r="A1962" s="36">
        <v>41774</v>
      </c>
      <c r="B1962" s="6">
        <v>45.32</v>
      </c>
      <c r="C1962" s="6">
        <v>26.25</v>
      </c>
      <c r="D1962" s="6">
        <v>7.14</v>
      </c>
      <c r="E1962" s="6">
        <v>3.9200000000000004</v>
      </c>
      <c r="G1962" s="31"/>
    </row>
    <row r="1963" spans="1:7" x14ac:dyDescent="0.25">
      <c r="A1963" s="36">
        <v>41775</v>
      </c>
      <c r="B1963" s="6">
        <v>45.43</v>
      </c>
      <c r="C1963" s="6">
        <v>26.38</v>
      </c>
      <c r="D1963" s="6">
        <v>7.24</v>
      </c>
      <c r="E1963" s="6">
        <v>4.01</v>
      </c>
      <c r="G1963" s="31"/>
    </row>
    <row r="1964" spans="1:7" x14ac:dyDescent="0.25">
      <c r="A1964" s="36">
        <v>41776</v>
      </c>
      <c r="B1964" s="6">
        <v>45.51</v>
      </c>
      <c r="C1964" s="6">
        <v>26.53</v>
      </c>
      <c r="D1964" s="6">
        <v>7.34</v>
      </c>
      <c r="E1964" s="6">
        <v>3.98</v>
      </c>
      <c r="G1964" s="31"/>
    </row>
    <row r="1965" spans="1:7" x14ac:dyDescent="0.25">
      <c r="A1965" s="36">
        <v>41777</v>
      </c>
      <c r="B1965" s="6">
        <v>45.59</v>
      </c>
      <c r="C1965" s="6">
        <v>26.7</v>
      </c>
      <c r="D1965" s="6">
        <v>7.38</v>
      </c>
      <c r="E1965" s="6">
        <v>4.0999999999999996</v>
      </c>
      <c r="G1965" s="31"/>
    </row>
    <row r="1966" spans="1:7" x14ac:dyDescent="0.25">
      <c r="A1966" s="36">
        <v>41778</v>
      </c>
      <c r="B1966" s="6">
        <v>45.6</v>
      </c>
      <c r="C1966" s="6">
        <v>26.88</v>
      </c>
      <c r="D1966" s="6">
        <v>7.48</v>
      </c>
      <c r="E1966" s="6">
        <v>4.13</v>
      </c>
      <c r="G1966" s="31"/>
    </row>
    <row r="1967" spans="1:7" x14ac:dyDescent="0.25">
      <c r="A1967" s="36">
        <v>41779</v>
      </c>
      <c r="B1967" s="6">
        <v>45.6</v>
      </c>
      <c r="C1967" s="6">
        <v>26.98</v>
      </c>
      <c r="D1967" s="6">
        <v>7.58</v>
      </c>
      <c r="E1967" s="6">
        <v>4.22</v>
      </c>
      <c r="G1967" s="31"/>
    </row>
    <row r="1968" spans="1:7" x14ac:dyDescent="0.25">
      <c r="A1968" s="36">
        <v>41780</v>
      </c>
      <c r="B1968" s="6">
        <v>45.59</v>
      </c>
      <c r="C1968" s="6">
        <v>27.01</v>
      </c>
      <c r="D1968" s="6">
        <v>7.82</v>
      </c>
      <c r="E1968" s="6">
        <v>4.33</v>
      </c>
      <c r="G1968" s="31"/>
    </row>
    <row r="1969" spans="1:7" x14ac:dyDescent="0.25">
      <c r="A1969" s="36">
        <v>41781</v>
      </c>
      <c r="B1969" s="6">
        <v>45.59</v>
      </c>
      <c r="C1969" s="6">
        <v>27.03</v>
      </c>
      <c r="D1969" s="6">
        <v>7.92</v>
      </c>
      <c r="E1969" s="6">
        <v>4.43</v>
      </c>
      <c r="G1969" s="31"/>
    </row>
    <row r="1970" spans="1:7" x14ac:dyDescent="0.25">
      <c r="A1970" s="36">
        <v>41782</v>
      </c>
      <c r="B1970" s="6">
        <v>45.62</v>
      </c>
      <c r="C1970" s="6">
        <v>27.05</v>
      </c>
      <c r="D1970" s="6">
        <v>8</v>
      </c>
      <c r="E1970" s="6">
        <v>4.55</v>
      </c>
      <c r="G1970" s="31"/>
    </row>
    <row r="1971" spans="1:7" x14ac:dyDescent="0.25">
      <c r="A1971" s="36">
        <v>41783</v>
      </c>
      <c r="B1971" s="6">
        <v>45.69</v>
      </c>
      <c r="C1971" s="6">
        <v>27.05</v>
      </c>
      <c r="D1971" s="6">
        <v>8.1</v>
      </c>
      <c r="E1971" s="6">
        <v>4.5299999999999994</v>
      </c>
      <c r="G1971" s="31"/>
    </row>
    <row r="1972" spans="1:7" x14ac:dyDescent="0.25">
      <c r="A1972" s="36">
        <v>41784</v>
      </c>
      <c r="B1972" s="6">
        <v>45.7</v>
      </c>
      <c r="C1972" s="7">
        <v>27.06</v>
      </c>
      <c r="D1972" s="7">
        <v>8.18</v>
      </c>
      <c r="E1972" s="6">
        <v>4.59</v>
      </c>
      <c r="G1972" s="31"/>
    </row>
    <row r="1973" spans="1:7" x14ac:dyDescent="0.25">
      <c r="A1973" s="36">
        <v>41785</v>
      </c>
      <c r="B1973" s="6">
        <v>45.74</v>
      </c>
      <c r="C1973" s="7">
        <v>27.06</v>
      </c>
      <c r="D1973" s="7">
        <v>8.24</v>
      </c>
      <c r="E1973" s="7">
        <v>4.6099999999999994</v>
      </c>
      <c r="G1973" s="31"/>
    </row>
    <row r="1974" spans="1:7" x14ac:dyDescent="0.25">
      <c r="A1974" s="36">
        <v>41786</v>
      </c>
      <c r="B1974" s="7">
        <v>45.77</v>
      </c>
      <c r="C1974" s="7">
        <v>27.07</v>
      </c>
      <c r="D1974" s="7">
        <v>8.2799999999999994</v>
      </c>
      <c r="E1974" s="7">
        <v>4.63</v>
      </c>
      <c r="G1974" s="31"/>
    </row>
    <row r="1975" spans="1:7" x14ac:dyDescent="0.25">
      <c r="A1975" s="36">
        <v>41787</v>
      </c>
      <c r="B1975" s="7">
        <v>45.8</v>
      </c>
      <c r="C1975" s="7">
        <v>27.12</v>
      </c>
      <c r="D1975" s="7">
        <v>8.3000000000000007</v>
      </c>
      <c r="E1975" s="7">
        <v>4.62</v>
      </c>
      <c r="G1975" s="31"/>
    </row>
    <row r="1976" spans="1:7" x14ac:dyDescent="0.25">
      <c r="A1976" s="36">
        <v>41788</v>
      </c>
      <c r="B1976" s="7">
        <v>46.08</v>
      </c>
      <c r="C1976" s="7">
        <v>27.18</v>
      </c>
      <c r="D1976" s="7">
        <v>8.4</v>
      </c>
      <c r="E1976" s="7">
        <v>4.63</v>
      </c>
      <c r="G1976" s="31"/>
    </row>
    <row r="1977" spans="1:7" x14ac:dyDescent="0.25">
      <c r="A1977" s="36">
        <v>41789</v>
      </c>
      <c r="B1977" s="7">
        <v>46.11</v>
      </c>
      <c r="C1977" s="7">
        <v>27.26</v>
      </c>
      <c r="D1977" s="7">
        <v>8.4</v>
      </c>
      <c r="E1977" s="7">
        <v>4.6399999999999997</v>
      </c>
      <c r="G1977" s="31"/>
    </row>
    <row r="1978" spans="1:7" x14ac:dyDescent="0.25">
      <c r="A1978" s="36">
        <v>41790</v>
      </c>
      <c r="B1978" s="7">
        <v>46.12</v>
      </c>
      <c r="C1978" s="7">
        <v>27.32</v>
      </c>
      <c r="D1978" s="7">
        <v>8.4</v>
      </c>
      <c r="E1978" s="7">
        <v>4.6399999999999997</v>
      </c>
      <c r="G1978" s="31"/>
    </row>
    <row r="1979" spans="1:7" x14ac:dyDescent="0.25">
      <c r="A1979" s="36">
        <v>41791</v>
      </c>
      <c r="B1979" s="7">
        <v>46.14</v>
      </c>
      <c r="C1979" s="7">
        <v>27.36</v>
      </c>
      <c r="D1979" s="7">
        <v>8.4600000000000009</v>
      </c>
      <c r="E1979" s="7">
        <v>4.67</v>
      </c>
      <c r="G1979" s="31"/>
    </row>
    <row r="1980" spans="1:7" x14ac:dyDescent="0.25">
      <c r="A1980" s="36">
        <v>41792</v>
      </c>
      <c r="B1980" s="7">
        <v>46.2</v>
      </c>
      <c r="C1980" s="7">
        <v>27.36</v>
      </c>
      <c r="D1980" s="7">
        <v>8.4600000000000009</v>
      </c>
      <c r="E1980" s="7">
        <v>4.75</v>
      </c>
      <c r="G1980" s="31"/>
    </row>
    <row r="1981" spans="1:7" x14ac:dyDescent="0.25">
      <c r="A1981" s="36">
        <v>41793</v>
      </c>
      <c r="B1981" s="7">
        <v>46.29</v>
      </c>
      <c r="C1981" s="7">
        <v>27.36</v>
      </c>
      <c r="D1981" s="7">
        <v>8.48</v>
      </c>
      <c r="E1981" s="7">
        <v>4.7699999999999996</v>
      </c>
      <c r="G1981" s="31"/>
    </row>
    <row r="1982" spans="1:7" x14ac:dyDescent="0.25">
      <c r="A1982" s="36">
        <v>41794</v>
      </c>
      <c r="B1982" s="7">
        <v>46.39</v>
      </c>
      <c r="C1982" s="7">
        <v>27.36</v>
      </c>
      <c r="D1982" s="7">
        <v>8.56</v>
      </c>
      <c r="E1982" s="7">
        <v>4.84</v>
      </c>
      <c r="G1982" s="31"/>
    </row>
    <row r="1983" spans="1:7" x14ac:dyDescent="0.25">
      <c r="A1983" s="36">
        <v>41795</v>
      </c>
      <c r="B1983" s="7">
        <v>46.48</v>
      </c>
      <c r="C1983" s="7">
        <v>27.43</v>
      </c>
      <c r="D1983" s="7">
        <v>8.58</v>
      </c>
      <c r="E1983" s="7">
        <v>4.8999999999999995</v>
      </c>
      <c r="G1983" s="31"/>
    </row>
    <row r="1984" spans="1:7" x14ac:dyDescent="0.25">
      <c r="A1984" s="36">
        <v>41796</v>
      </c>
      <c r="B1984" s="7">
        <v>46.53</v>
      </c>
      <c r="C1984" s="7">
        <v>27.52</v>
      </c>
      <c r="D1984" s="7">
        <v>8.64</v>
      </c>
      <c r="E1984" s="7">
        <v>4.9499999999999993</v>
      </c>
      <c r="G1984" s="31"/>
    </row>
    <row r="1985" spans="1:7" x14ac:dyDescent="0.25">
      <c r="A1985" s="36">
        <v>41797</v>
      </c>
      <c r="B1985" s="7">
        <v>46.58</v>
      </c>
      <c r="C1985" s="7">
        <v>27.58</v>
      </c>
      <c r="D1985" s="7">
        <v>8.6999999999999993</v>
      </c>
      <c r="E1985" s="7">
        <v>5.0299999999999994</v>
      </c>
      <c r="G1985" s="31"/>
    </row>
    <row r="1986" spans="1:7" x14ac:dyDescent="0.25">
      <c r="A1986" s="36">
        <v>41798</v>
      </c>
      <c r="B1986" s="7">
        <v>46.69</v>
      </c>
      <c r="C1986" s="7">
        <v>27.62</v>
      </c>
      <c r="D1986" s="7">
        <v>8.8000000000000007</v>
      </c>
      <c r="E1986" s="7">
        <v>5.05</v>
      </c>
      <c r="G1986" s="31"/>
    </row>
    <row r="1987" spans="1:7" x14ac:dyDescent="0.25">
      <c r="A1987" s="36">
        <v>41799</v>
      </c>
      <c r="B1987" s="7">
        <v>46.83</v>
      </c>
      <c r="C1987" s="7">
        <v>27.66</v>
      </c>
      <c r="D1987" s="7">
        <v>8.8000000000000007</v>
      </c>
      <c r="E1987" s="7">
        <v>5.08</v>
      </c>
      <c r="G1987" s="31"/>
    </row>
    <row r="1988" spans="1:7" x14ac:dyDescent="0.25">
      <c r="A1988" s="36">
        <v>41800</v>
      </c>
      <c r="B1988" s="7">
        <v>46.97</v>
      </c>
      <c r="C1988" s="7">
        <v>27.7</v>
      </c>
      <c r="D1988" s="7">
        <v>8.86</v>
      </c>
      <c r="E1988" s="7">
        <v>5.12</v>
      </c>
      <c r="G1988" s="31"/>
    </row>
    <row r="1989" spans="1:7" x14ac:dyDescent="0.25">
      <c r="A1989" s="36">
        <v>41801</v>
      </c>
      <c r="B1989" s="7">
        <v>47.08</v>
      </c>
      <c r="C1989" s="7">
        <v>27.79</v>
      </c>
      <c r="D1989" s="7">
        <v>9</v>
      </c>
      <c r="E1989" s="7">
        <v>5.21</v>
      </c>
      <c r="G1989" s="31"/>
    </row>
    <row r="1990" spans="1:7" x14ac:dyDescent="0.25">
      <c r="A1990" s="36">
        <v>41802</v>
      </c>
      <c r="B1990" s="7">
        <v>47.23</v>
      </c>
      <c r="C1990" s="7">
        <v>27.85</v>
      </c>
      <c r="D1990" s="7">
        <v>9.1</v>
      </c>
      <c r="E1990" s="7">
        <v>5.2799999999999994</v>
      </c>
      <c r="G1990" s="31"/>
    </row>
    <row r="1991" spans="1:7" x14ac:dyDescent="0.25">
      <c r="A1991" s="36">
        <v>41803</v>
      </c>
      <c r="B1991" s="7">
        <v>47.34</v>
      </c>
      <c r="C1991" s="7">
        <v>27.96</v>
      </c>
      <c r="D1991" s="7">
        <v>9.1999999999999993</v>
      </c>
      <c r="E1991" s="7">
        <v>5.3999999999999995</v>
      </c>
      <c r="G1991" s="31"/>
    </row>
    <row r="1992" spans="1:7" x14ac:dyDescent="0.25">
      <c r="A1992" s="36">
        <v>41804</v>
      </c>
      <c r="B1992" s="7">
        <v>47.48</v>
      </c>
      <c r="C1992" s="7">
        <v>28.04</v>
      </c>
      <c r="D1992" s="7">
        <v>9.34</v>
      </c>
      <c r="E1992" s="7">
        <v>5.4499999999999993</v>
      </c>
      <c r="G1992" s="31"/>
    </row>
    <row r="1993" spans="1:7" x14ac:dyDescent="0.25">
      <c r="A1993" s="36">
        <v>41805</v>
      </c>
      <c r="B1993" s="7">
        <v>47.69</v>
      </c>
      <c r="C1993" s="6">
        <v>28.16</v>
      </c>
      <c r="D1993" s="6">
        <v>9.4600000000000009</v>
      </c>
      <c r="E1993" s="7">
        <v>5.5299999999999994</v>
      </c>
      <c r="G1993" s="31"/>
    </row>
    <row r="1994" spans="1:7" x14ac:dyDescent="0.25">
      <c r="A1994" s="36">
        <v>41806</v>
      </c>
      <c r="B1994" s="7">
        <v>47.9</v>
      </c>
      <c r="C1994" s="6">
        <v>28.3</v>
      </c>
      <c r="D1994" s="6">
        <v>9.58</v>
      </c>
      <c r="E1994" s="6">
        <v>5.6999999999999993</v>
      </c>
      <c r="G1994" s="31"/>
    </row>
    <row r="1995" spans="1:7" x14ac:dyDescent="0.25">
      <c r="A1995" s="36">
        <v>41807</v>
      </c>
      <c r="B1995" s="6">
        <v>48.15</v>
      </c>
      <c r="C1995" s="6">
        <v>28.5</v>
      </c>
      <c r="D1995" s="6">
        <v>9.8000000000000007</v>
      </c>
      <c r="E1995" s="6">
        <v>5.8199999999999994</v>
      </c>
      <c r="G1995" s="31"/>
    </row>
    <row r="1996" spans="1:7" x14ac:dyDescent="0.25">
      <c r="A1996" s="36">
        <v>41808</v>
      </c>
      <c r="B1996" s="6">
        <v>48.34</v>
      </c>
      <c r="C1996" s="6">
        <v>28.74</v>
      </c>
      <c r="D1996" s="6">
        <v>9.9600000000000009</v>
      </c>
      <c r="E1996" s="6">
        <v>5.87</v>
      </c>
      <c r="G1996" s="31"/>
    </row>
    <row r="1997" spans="1:7" x14ac:dyDescent="0.25">
      <c r="A1997" s="36">
        <v>41809</v>
      </c>
      <c r="B1997" s="6">
        <v>48.51</v>
      </c>
      <c r="C1997" s="6">
        <v>28.92</v>
      </c>
      <c r="D1997" s="6">
        <v>10.1</v>
      </c>
      <c r="E1997" s="6">
        <v>6.01</v>
      </c>
      <c r="G1997" s="31"/>
    </row>
    <row r="1998" spans="1:7" x14ac:dyDescent="0.25">
      <c r="A1998" s="36">
        <v>41810</v>
      </c>
      <c r="B1998" s="6">
        <v>48.69</v>
      </c>
      <c r="C1998" s="6">
        <v>29.1</v>
      </c>
      <c r="D1998" s="6">
        <v>10.3</v>
      </c>
      <c r="E1998" s="6">
        <v>6.18</v>
      </c>
      <c r="G1998" s="31"/>
    </row>
    <row r="1999" spans="1:7" x14ac:dyDescent="0.25">
      <c r="A1999" s="36">
        <v>41811</v>
      </c>
      <c r="B1999" s="6">
        <v>48.94</v>
      </c>
      <c r="C1999" s="6">
        <v>29.22</v>
      </c>
      <c r="D1999" s="6">
        <v>10.6</v>
      </c>
      <c r="E1999" s="6">
        <v>6.33</v>
      </c>
      <c r="G1999" s="31"/>
    </row>
    <row r="2000" spans="1:7" x14ac:dyDescent="0.25">
      <c r="A2000" s="36">
        <v>41812</v>
      </c>
      <c r="B2000" s="6">
        <v>49.12</v>
      </c>
      <c r="C2000" s="6">
        <v>29.41</v>
      </c>
      <c r="D2000" s="6">
        <v>10.8</v>
      </c>
      <c r="E2000" s="6">
        <v>6.42</v>
      </c>
      <c r="G2000" s="31"/>
    </row>
    <row r="2001" spans="1:7" x14ac:dyDescent="0.25">
      <c r="A2001" s="36">
        <v>41813</v>
      </c>
      <c r="B2001" s="6">
        <v>49.25</v>
      </c>
      <c r="C2001" s="6">
        <v>29.6</v>
      </c>
      <c r="D2001" s="6">
        <v>10.9</v>
      </c>
      <c r="E2001" s="6">
        <v>6.6499999999999995</v>
      </c>
      <c r="G2001" s="31"/>
    </row>
    <row r="2002" spans="1:7" x14ac:dyDescent="0.25">
      <c r="A2002" s="36">
        <v>41814</v>
      </c>
      <c r="B2002" s="6">
        <v>49.36</v>
      </c>
      <c r="C2002" s="6">
        <v>29.74</v>
      </c>
      <c r="D2002" s="6">
        <v>11</v>
      </c>
      <c r="E2002" s="6">
        <v>6.68</v>
      </c>
      <c r="G2002" s="31"/>
    </row>
    <row r="2003" spans="1:7" x14ac:dyDescent="0.25">
      <c r="A2003" s="36">
        <v>41815</v>
      </c>
      <c r="B2003" s="6">
        <v>49.52</v>
      </c>
      <c r="C2003" s="6">
        <v>29.88</v>
      </c>
      <c r="D2003" s="6">
        <v>11.1</v>
      </c>
      <c r="E2003" s="6">
        <v>6.79</v>
      </c>
      <c r="G2003" s="31"/>
    </row>
    <row r="2004" spans="1:7" x14ac:dyDescent="0.25">
      <c r="A2004" s="36">
        <v>41816</v>
      </c>
      <c r="B2004" s="6">
        <v>49.67</v>
      </c>
      <c r="C2004" s="6">
        <v>29.98</v>
      </c>
      <c r="D2004" s="6">
        <v>11.22</v>
      </c>
      <c r="E2004" s="6">
        <v>6.87</v>
      </c>
      <c r="G2004" s="31"/>
    </row>
    <row r="2005" spans="1:7" x14ac:dyDescent="0.25">
      <c r="A2005" s="36">
        <v>41817</v>
      </c>
      <c r="B2005" s="6">
        <v>49.75</v>
      </c>
      <c r="C2005" s="6">
        <v>30.08</v>
      </c>
      <c r="D2005" s="6">
        <v>11.42</v>
      </c>
      <c r="E2005" s="6">
        <v>7.0430000000000001</v>
      </c>
      <c r="G2005" s="31"/>
    </row>
    <row r="2006" spans="1:7" x14ac:dyDescent="0.25">
      <c r="A2006" s="36">
        <v>41818</v>
      </c>
      <c r="B2006" s="6">
        <v>49.84</v>
      </c>
      <c r="C2006" s="6">
        <v>30.2</v>
      </c>
      <c r="D2006" s="6">
        <v>11.5</v>
      </c>
      <c r="E2006" s="6">
        <v>7.1</v>
      </c>
      <c r="G2006" s="31"/>
    </row>
    <row r="2007" spans="1:7" x14ac:dyDescent="0.25">
      <c r="A2007" s="36">
        <v>41819</v>
      </c>
      <c r="B2007" s="6">
        <v>49.98</v>
      </c>
      <c r="C2007" s="6">
        <v>30.38</v>
      </c>
      <c r="D2007" s="6">
        <v>11.64</v>
      </c>
      <c r="E2007" s="6">
        <v>7.25</v>
      </c>
      <c r="G2007" s="31"/>
    </row>
    <row r="2008" spans="1:7" x14ac:dyDescent="0.25">
      <c r="A2008" s="36">
        <v>41820</v>
      </c>
      <c r="B2008" s="6">
        <v>50.02</v>
      </c>
      <c r="C2008" s="6">
        <v>30.46</v>
      </c>
      <c r="D2008" s="6">
        <v>11.76</v>
      </c>
      <c r="E2008" s="6">
        <v>7.35</v>
      </c>
      <c r="G2008" s="31"/>
    </row>
    <row r="2009" spans="1:7" x14ac:dyDescent="0.25">
      <c r="A2009" s="36">
        <v>41821</v>
      </c>
      <c r="B2009" s="6">
        <v>50.06</v>
      </c>
      <c r="C2009" s="6">
        <v>30.58</v>
      </c>
      <c r="D2009" s="6">
        <v>11.9</v>
      </c>
      <c r="E2009" s="6">
        <v>7.4899999999999993</v>
      </c>
      <c r="G2009" s="31"/>
    </row>
    <row r="2010" spans="1:7" x14ac:dyDescent="0.25">
      <c r="A2010" s="36">
        <v>41822</v>
      </c>
      <c r="B2010" s="6">
        <v>50.11</v>
      </c>
      <c r="C2010" s="6">
        <v>30.68</v>
      </c>
      <c r="D2010" s="6">
        <v>12.02</v>
      </c>
      <c r="E2010" s="6">
        <v>7.52</v>
      </c>
      <c r="G2010" s="31"/>
    </row>
    <row r="2011" spans="1:7" x14ac:dyDescent="0.25">
      <c r="A2011" s="36">
        <v>41823</v>
      </c>
      <c r="B2011" s="6">
        <v>50.15</v>
      </c>
      <c r="C2011" s="6">
        <v>30.76</v>
      </c>
      <c r="D2011" s="6">
        <v>12.14</v>
      </c>
      <c r="E2011" s="6">
        <v>7.63</v>
      </c>
      <c r="G2011" s="31"/>
    </row>
    <row r="2012" spans="1:7" x14ac:dyDescent="0.25">
      <c r="A2012" s="36">
        <v>41824</v>
      </c>
      <c r="B2012" s="6">
        <v>50.19</v>
      </c>
      <c r="C2012" s="6">
        <v>30.85</v>
      </c>
      <c r="D2012" s="6">
        <v>12.22</v>
      </c>
      <c r="E2012" s="6">
        <v>7.71</v>
      </c>
      <c r="G2012" s="31"/>
    </row>
    <row r="2013" spans="1:7" x14ac:dyDescent="0.25">
      <c r="A2013" s="36">
        <v>41825</v>
      </c>
      <c r="B2013" s="6">
        <v>50.21</v>
      </c>
      <c r="C2013" s="6">
        <v>30.91</v>
      </c>
      <c r="D2013" s="6">
        <v>12.32</v>
      </c>
      <c r="E2013" s="7">
        <v>7.83</v>
      </c>
      <c r="G2013" s="31"/>
    </row>
    <row r="2014" spans="1:7" x14ac:dyDescent="0.25">
      <c r="A2014" s="36">
        <v>41826</v>
      </c>
      <c r="B2014" s="7">
        <v>50.23</v>
      </c>
      <c r="C2014" s="6">
        <v>30.97</v>
      </c>
      <c r="D2014" s="6">
        <v>12.44</v>
      </c>
      <c r="E2014" s="7">
        <v>7.83</v>
      </c>
      <c r="G2014" s="31"/>
    </row>
    <row r="2015" spans="1:7" x14ac:dyDescent="0.25">
      <c r="A2015" s="36">
        <v>41827</v>
      </c>
      <c r="B2015" s="7">
        <v>50.26</v>
      </c>
      <c r="C2015" s="6">
        <v>31.01</v>
      </c>
      <c r="D2015" s="6">
        <v>12.46</v>
      </c>
      <c r="E2015" s="7">
        <v>7.8999999999999995</v>
      </c>
      <c r="G2015" s="31"/>
    </row>
    <row r="2016" spans="1:7" x14ac:dyDescent="0.25">
      <c r="A2016" s="36">
        <v>41828</v>
      </c>
      <c r="B2016" s="7">
        <v>50.35</v>
      </c>
      <c r="C2016" s="6">
        <v>31.07</v>
      </c>
      <c r="D2016" s="6">
        <v>12.5</v>
      </c>
      <c r="E2016" s="6">
        <v>7.97</v>
      </c>
      <c r="G2016" s="31"/>
    </row>
    <row r="2017" spans="1:7" x14ac:dyDescent="0.25">
      <c r="A2017" s="36">
        <v>41829</v>
      </c>
      <c r="B2017" s="6">
        <v>50.5</v>
      </c>
      <c r="C2017" s="6">
        <v>31.1</v>
      </c>
      <c r="D2017" s="6">
        <v>12.56</v>
      </c>
      <c r="E2017" s="6">
        <v>8</v>
      </c>
      <c r="G2017" s="31"/>
    </row>
    <row r="2018" spans="1:7" x14ac:dyDescent="0.25">
      <c r="A2018" s="36">
        <v>41830</v>
      </c>
      <c r="B2018" s="6">
        <v>50.72</v>
      </c>
      <c r="C2018" s="6">
        <v>31.2</v>
      </c>
      <c r="D2018" s="6">
        <v>12.62</v>
      </c>
      <c r="E2018" s="6">
        <v>8.0440000000000005</v>
      </c>
      <c r="G2018" s="31"/>
    </row>
    <row r="2019" spans="1:7" x14ac:dyDescent="0.25">
      <c r="A2019" s="36">
        <v>41831</v>
      </c>
      <c r="B2019" s="6">
        <v>51.08</v>
      </c>
      <c r="C2019" s="6">
        <v>31.3</v>
      </c>
      <c r="D2019" s="6">
        <v>12.7</v>
      </c>
      <c r="E2019" s="6">
        <v>8.16</v>
      </c>
      <c r="G2019" s="31"/>
    </row>
    <row r="2020" spans="1:7" x14ac:dyDescent="0.25">
      <c r="A2020" s="36">
        <v>41832</v>
      </c>
      <c r="B2020" s="6">
        <v>51.42</v>
      </c>
      <c r="C2020" s="6">
        <v>31.39</v>
      </c>
      <c r="D2020" s="6">
        <v>12.78</v>
      </c>
      <c r="E2020" s="6">
        <v>8.19</v>
      </c>
      <c r="G2020" s="31"/>
    </row>
    <row r="2021" spans="1:7" x14ac:dyDescent="0.25">
      <c r="A2021" s="36">
        <v>41833</v>
      </c>
      <c r="B2021" s="6">
        <v>51.64</v>
      </c>
      <c r="C2021" s="6">
        <v>31.5</v>
      </c>
      <c r="D2021" s="6">
        <v>12.86</v>
      </c>
      <c r="E2021" s="6">
        <v>8.24</v>
      </c>
      <c r="G2021" s="31"/>
    </row>
    <row r="2022" spans="1:7" x14ac:dyDescent="0.25">
      <c r="A2022" s="36">
        <v>41834</v>
      </c>
      <c r="B2022" s="6">
        <v>51.78</v>
      </c>
      <c r="C2022" s="6">
        <v>31.62</v>
      </c>
      <c r="D2022" s="6">
        <v>13</v>
      </c>
      <c r="E2022" s="6">
        <v>8.34</v>
      </c>
      <c r="G2022" s="31"/>
    </row>
    <row r="2023" spans="1:7" x14ac:dyDescent="0.25">
      <c r="A2023" s="36">
        <v>41835</v>
      </c>
      <c r="B2023" s="6">
        <v>51.85</v>
      </c>
      <c r="C2023" s="6">
        <v>31.75</v>
      </c>
      <c r="D2023" s="6">
        <v>13.08</v>
      </c>
      <c r="E2023" s="6">
        <v>8.43</v>
      </c>
      <c r="G2023" s="31"/>
    </row>
    <row r="2024" spans="1:7" x14ac:dyDescent="0.25">
      <c r="A2024" s="36">
        <v>41836</v>
      </c>
      <c r="B2024" s="6">
        <v>51.92</v>
      </c>
      <c r="C2024" s="6">
        <v>31.87</v>
      </c>
      <c r="D2024" s="6">
        <v>13.18</v>
      </c>
      <c r="E2024" s="6">
        <v>8.5</v>
      </c>
      <c r="G2024" s="31"/>
    </row>
    <row r="2025" spans="1:7" x14ac:dyDescent="0.25">
      <c r="A2025" s="36">
        <v>41837</v>
      </c>
      <c r="B2025" s="6">
        <v>51.92</v>
      </c>
      <c r="C2025" s="6">
        <v>31.97</v>
      </c>
      <c r="D2025" s="6">
        <v>13.24</v>
      </c>
      <c r="E2025" s="6">
        <v>8.56</v>
      </c>
      <c r="G2025" s="31"/>
    </row>
    <row r="2026" spans="1:7" x14ac:dyDescent="0.25">
      <c r="A2026" s="36">
        <v>41838</v>
      </c>
      <c r="B2026" s="6">
        <v>51.9</v>
      </c>
      <c r="C2026" s="6">
        <v>32.06</v>
      </c>
      <c r="D2026" s="6">
        <v>13.28</v>
      </c>
      <c r="E2026" s="6">
        <v>8.64</v>
      </c>
      <c r="G2026" s="31"/>
    </row>
    <row r="2027" spans="1:7" x14ac:dyDescent="0.25">
      <c r="A2027" s="36">
        <v>41839</v>
      </c>
      <c r="B2027" s="6">
        <v>51.89</v>
      </c>
      <c r="C2027" s="6">
        <v>32.19</v>
      </c>
      <c r="D2027" s="6">
        <v>13.36</v>
      </c>
      <c r="E2027" s="6">
        <v>8.73</v>
      </c>
      <c r="G2027" s="31"/>
    </row>
    <row r="2028" spans="1:7" x14ac:dyDescent="0.25">
      <c r="A2028" s="36">
        <v>41840</v>
      </c>
      <c r="B2028" s="6">
        <v>51.88</v>
      </c>
      <c r="C2028" s="6">
        <v>32.28</v>
      </c>
      <c r="D2028" s="6">
        <v>13.4</v>
      </c>
      <c r="E2028" s="6">
        <v>8.81</v>
      </c>
      <c r="G2028" s="31"/>
    </row>
    <row r="2029" spans="1:7" x14ac:dyDescent="0.25">
      <c r="A2029" s="36">
        <v>41841</v>
      </c>
      <c r="B2029" s="6">
        <v>51.88</v>
      </c>
      <c r="C2029" s="6">
        <v>32.39</v>
      </c>
      <c r="D2029" s="6">
        <v>13.5</v>
      </c>
      <c r="E2029" s="6">
        <v>8.82</v>
      </c>
      <c r="G2029" s="31"/>
    </row>
    <row r="2030" spans="1:7" x14ac:dyDescent="0.25">
      <c r="A2030" s="36">
        <v>41842</v>
      </c>
      <c r="B2030" s="6">
        <v>51.85</v>
      </c>
      <c r="C2030" s="6">
        <v>32.479999999999997</v>
      </c>
      <c r="D2030" s="6">
        <v>13.68</v>
      </c>
      <c r="E2030" s="6">
        <v>8.89</v>
      </c>
      <c r="G2030" s="31"/>
    </row>
    <row r="2031" spans="1:7" x14ac:dyDescent="0.25">
      <c r="A2031" s="36">
        <v>41843</v>
      </c>
      <c r="B2031" s="6">
        <v>51.87</v>
      </c>
      <c r="C2031" s="6">
        <v>32.58</v>
      </c>
      <c r="D2031" s="6">
        <v>13.72</v>
      </c>
      <c r="E2031" s="6">
        <v>8.9599999999999991</v>
      </c>
      <c r="G2031" s="31"/>
    </row>
    <row r="2032" spans="1:7" x14ac:dyDescent="0.25">
      <c r="A2032" s="36">
        <v>41844</v>
      </c>
      <c r="B2032" s="6">
        <v>51.85</v>
      </c>
      <c r="C2032" s="6">
        <v>32.619999999999997</v>
      </c>
      <c r="D2032" s="6">
        <v>13.8</v>
      </c>
      <c r="E2032" s="6">
        <v>8.99</v>
      </c>
      <c r="G2032" s="31"/>
    </row>
    <row r="2033" spans="1:7" x14ac:dyDescent="0.25">
      <c r="A2033" s="36">
        <v>41845</v>
      </c>
      <c r="B2033" s="6">
        <v>51.84</v>
      </c>
      <c r="C2033" s="6">
        <v>32.700000000000003</v>
      </c>
      <c r="D2033" s="6">
        <v>13.9</v>
      </c>
      <c r="E2033" s="6">
        <v>9.02</v>
      </c>
      <c r="G2033" s="31"/>
    </row>
    <row r="2034" spans="1:7" x14ac:dyDescent="0.25">
      <c r="A2034" s="36">
        <v>41846</v>
      </c>
      <c r="B2034" s="6">
        <v>51.93</v>
      </c>
      <c r="C2034" s="6">
        <v>32.76</v>
      </c>
      <c r="D2034" s="6">
        <v>13.94</v>
      </c>
      <c r="E2034" s="6">
        <v>9.14</v>
      </c>
      <c r="G2034" s="31"/>
    </row>
    <row r="2035" spans="1:7" x14ac:dyDescent="0.25">
      <c r="A2035" s="36">
        <v>41847</v>
      </c>
      <c r="B2035" s="6">
        <v>52.06</v>
      </c>
      <c r="C2035" s="6">
        <v>32.86</v>
      </c>
      <c r="D2035" s="6">
        <v>14</v>
      </c>
      <c r="E2035" s="6">
        <v>9.129999999999999</v>
      </c>
      <c r="G2035" s="31"/>
    </row>
    <row r="2036" spans="1:7" x14ac:dyDescent="0.25">
      <c r="A2036" s="36">
        <v>41848</v>
      </c>
      <c r="B2036" s="6">
        <v>52.07</v>
      </c>
      <c r="C2036" s="6">
        <v>32.92</v>
      </c>
      <c r="D2036" s="6">
        <v>14.12</v>
      </c>
      <c r="E2036" s="6">
        <v>9.18</v>
      </c>
      <c r="G2036" s="31"/>
    </row>
    <row r="2037" spans="1:7" x14ac:dyDescent="0.25">
      <c r="A2037" s="36">
        <v>41849</v>
      </c>
      <c r="B2037" s="6">
        <v>52.06</v>
      </c>
      <c r="C2037" s="6">
        <v>33.020000000000003</v>
      </c>
      <c r="D2037" s="6">
        <v>14.2</v>
      </c>
      <c r="E2037" s="6">
        <v>9.31</v>
      </c>
      <c r="G2037" s="31"/>
    </row>
    <row r="2038" spans="1:7" x14ac:dyDescent="0.25">
      <c r="A2038" s="36">
        <v>41850</v>
      </c>
      <c r="B2038" s="6">
        <v>52.18</v>
      </c>
      <c r="C2038" s="6">
        <v>33.11</v>
      </c>
      <c r="D2038" s="6">
        <v>14.3</v>
      </c>
      <c r="E2038" s="6">
        <v>9.39</v>
      </c>
      <c r="G2038" s="31"/>
    </row>
    <row r="2039" spans="1:7" x14ac:dyDescent="0.25">
      <c r="A2039" s="36">
        <v>41851</v>
      </c>
      <c r="B2039" s="6">
        <v>52.19</v>
      </c>
      <c r="C2039" s="6">
        <v>33.17</v>
      </c>
      <c r="D2039" s="6">
        <v>14.44</v>
      </c>
      <c r="E2039" s="6">
        <v>9.4599999999999991</v>
      </c>
      <c r="G2039" s="31"/>
    </row>
    <row r="2040" spans="1:7" x14ac:dyDescent="0.25">
      <c r="A2040" s="36">
        <v>41852</v>
      </c>
      <c r="B2040" s="6">
        <v>52.14</v>
      </c>
      <c r="C2040" s="6">
        <v>33.25</v>
      </c>
      <c r="D2040" s="6">
        <v>14.52</v>
      </c>
      <c r="E2040" s="6">
        <v>9.5499999999999989</v>
      </c>
      <c r="G2040" s="31"/>
    </row>
    <row r="2041" spans="1:7" x14ac:dyDescent="0.25">
      <c r="A2041" s="36">
        <v>41853</v>
      </c>
      <c r="B2041" s="6">
        <v>52.04</v>
      </c>
      <c r="C2041" s="6">
        <v>33.33</v>
      </c>
      <c r="D2041" s="6">
        <v>14.62</v>
      </c>
      <c r="E2041" s="6">
        <v>9.66</v>
      </c>
      <c r="G2041" s="31"/>
    </row>
    <row r="2042" spans="1:7" x14ac:dyDescent="0.25">
      <c r="A2042" s="36">
        <v>41854</v>
      </c>
      <c r="B2042" s="6">
        <v>51.94</v>
      </c>
      <c r="C2042" s="6">
        <v>33.39</v>
      </c>
      <c r="D2042" s="6">
        <v>14.72</v>
      </c>
      <c r="E2042" s="6">
        <v>9.734</v>
      </c>
      <c r="G2042" s="31"/>
    </row>
    <row r="2043" spans="1:7" x14ac:dyDescent="0.25">
      <c r="A2043" s="36">
        <v>41855</v>
      </c>
      <c r="B2043" s="6">
        <v>51.85</v>
      </c>
      <c r="C2043" s="6">
        <v>33.42</v>
      </c>
      <c r="D2043" s="6">
        <v>14.8</v>
      </c>
      <c r="E2043" s="6">
        <v>9.7799999999999994</v>
      </c>
      <c r="G2043" s="31"/>
    </row>
    <row r="2044" spans="1:7" x14ac:dyDescent="0.25">
      <c r="A2044" s="36">
        <v>41856</v>
      </c>
      <c r="B2044" s="6">
        <v>51.76</v>
      </c>
      <c r="C2044" s="6">
        <v>33.479999999999997</v>
      </c>
      <c r="D2044" s="6">
        <v>14.9</v>
      </c>
      <c r="E2044" s="6">
        <v>9.84</v>
      </c>
      <c r="G2044" s="31"/>
    </row>
    <row r="2045" spans="1:7" x14ac:dyDescent="0.25">
      <c r="A2045" s="36">
        <v>41857</v>
      </c>
      <c r="B2045" s="6">
        <v>51.66</v>
      </c>
      <c r="C2045" s="6">
        <v>33.54</v>
      </c>
      <c r="D2045" s="6">
        <v>15</v>
      </c>
      <c r="E2045" s="6">
        <v>9.9</v>
      </c>
      <c r="G2045" s="31"/>
    </row>
    <row r="2046" spans="1:7" x14ac:dyDescent="0.25">
      <c r="A2046" s="36">
        <v>41858</v>
      </c>
      <c r="B2046" s="6">
        <v>51.72</v>
      </c>
      <c r="C2046" s="6">
        <v>33.6</v>
      </c>
      <c r="D2046" s="6">
        <v>15.04</v>
      </c>
      <c r="E2046" s="6">
        <v>9.99</v>
      </c>
      <c r="G2046" s="31"/>
    </row>
    <row r="2047" spans="1:7" x14ac:dyDescent="0.25">
      <c r="A2047" s="36">
        <v>41859</v>
      </c>
      <c r="B2047" s="6">
        <v>51.72</v>
      </c>
      <c r="C2047" s="6">
        <v>33.64</v>
      </c>
      <c r="D2047" s="6">
        <v>15.14</v>
      </c>
      <c r="E2047" s="6">
        <v>10.06</v>
      </c>
      <c r="G2047" s="31"/>
    </row>
    <row r="2048" spans="1:7" x14ac:dyDescent="0.25">
      <c r="A2048" s="36">
        <v>41860</v>
      </c>
      <c r="B2048" s="6">
        <v>51.73</v>
      </c>
      <c r="C2048" s="6">
        <v>33.69</v>
      </c>
      <c r="D2048" s="6">
        <v>15.2</v>
      </c>
      <c r="E2048" s="6">
        <v>10.08</v>
      </c>
      <c r="G2048" s="31"/>
    </row>
    <row r="2049" spans="1:7" x14ac:dyDescent="0.25">
      <c r="A2049" s="36">
        <v>41861</v>
      </c>
      <c r="B2049" s="6">
        <v>51.72</v>
      </c>
      <c r="C2049" s="6">
        <v>33.72</v>
      </c>
      <c r="D2049" s="6">
        <v>15.26</v>
      </c>
      <c r="E2049" s="6">
        <v>10.16</v>
      </c>
      <c r="G2049" s="31"/>
    </row>
    <row r="2050" spans="1:7" x14ac:dyDescent="0.25">
      <c r="A2050" s="36">
        <v>41862</v>
      </c>
      <c r="B2050" s="6">
        <v>51.78</v>
      </c>
      <c r="C2050" s="6">
        <v>33.72</v>
      </c>
      <c r="D2050" s="6">
        <v>15.32</v>
      </c>
      <c r="E2050" s="6">
        <v>10.17</v>
      </c>
      <c r="G2050" s="31"/>
    </row>
    <row r="2051" spans="1:7" x14ac:dyDescent="0.25">
      <c r="A2051" s="36">
        <v>41863</v>
      </c>
      <c r="B2051" s="6">
        <v>51.75</v>
      </c>
      <c r="C2051" s="6">
        <v>33.729999999999997</v>
      </c>
      <c r="D2051" s="6">
        <v>15.4</v>
      </c>
      <c r="E2051" s="6">
        <v>10.17</v>
      </c>
      <c r="G2051" s="31"/>
    </row>
    <row r="2052" spans="1:7" x14ac:dyDescent="0.25">
      <c r="A2052" s="36">
        <v>41864</v>
      </c>
      <c r="B2052" s="6">
        <v>51.72</v>
      </c>
      <c r="C2052" s="6">
        <v>33.74</v>
      </c>
      <c r="D2052" s="6">
        <v>15.46</v>
      </c>
      <c r="E2052" s="6">
        <v>10.129999999999999</v>
      </c>
      <c r="G2052" s="31"/>
    </row>
    <row r="2053" spans="1:7" x14ac:dyDescent="0.25">
      <c r="A2053" s="36">
        <v>41865</v>
      </c>
      <c r="B2053" s="6">
        <v>51.74</v>
      </c>
      <c r="C2053" s="6">
        <v>33.72</v>
      </c>
      <c r="D2053" s="6">
        <v>15.5</v>
      </c>
      <c r="E2053" s="6">
        <v>10.08</v>
      </c>
      <c r="G2053" s="31"/>
    </row>
    <row r="2054" spans="1:7" x14ac:dyDescent="0.25">
      <c r="A2054" s="36">
        <v>41866</v>
      </c>
      <c r="B2054" s="6">
        <v>51.74</v>
      </c>
      <c r="C2054" s="6">
        <v>33.729999999999997</v>
      </c>
      <c r="D2054" s="6">
        <v>15.72</v>
      </c>
      <c r="E2054" s="6">
        <v>10.11</v>
      </c>
      <c r="G2054" s="31"/>
    </row>
    <row r="2055" spans="1:7" x14ac:dyDescent="0.25">
      <c r="A2055" s="36">
        <v>41867</v>
      </c>
      <c r="B2055" s="6">
        <v>51.72</v>
      </c>
      <c r="C2055" s="6">
        <v>33.72</v>
      </c>
      <c r="D2055" s="6">
        <v>15.7</v>
      </c>
      <c r="E2055" s="6">
        <v>10.17</v>
      </c>
      <c r="G2055" s="31"/>
    </row>
    <row r="2056" spans="1:7" x14ac:dyDescent="0.25">
      <c r="A2056" s="36">
        <v>41868</v>
      </c>
      <c r="B2056" s="6">
        <v>51.73</v>
      </c>
      <c r="C2056" s="6">
        <v>33.700000000000003</v>
      </c>
      <c r="D2056" s="6">
        <v>15.75</v>
      </c>
      <c r="E2056" s="6">
        <v>10.219999999999999</v>
      </c>
      <c r="G2056" s="31"/>
    </row>
    <row r="2057" spans="1:7" x14ac:dyDescent="0.25">
      <c r="A2057" s="36">
        <v>41869</v>
      </c>
      <c r="B2057" s="6">
        <v>51.8</v>
      </c>
      <c r="C2057" s="6">
        <v>33.72</v>
      </c>
      <c r="D2057" s="6">
        <v>15.8</v>
      </c>
      <c r="E2057" s="6">
        <v>10.26</v>
      </c>
      <c r="G2057" s="31"/>
    </row>
    <row r="2058" spans="1:7" x14ac:dyDescent="0.25">
      <c r="A2058" s="36">
        <v>41870</v>
      </c>
      <c r="B2058" s="6">
        <v>51.96</v>
      </c>
      <c r="C2058" s="6">
        <v>33.71</v>
      </c>
      <c r="D2058" s="6">
        <v>15.84</v>
      </c>
      <c r="E2058" s="6">
        <v>10.299999999999999</v>
      </c>
      <c r="G2058" s="31"/>
    </row>
    <row r="2059" spans="1:7" x14ac:dyDescent="0.25">
      <c r="A2059" s="36">
        <v>41871</v>
      </c>
      <c r="B2059" s="6">
        <v>52.03</v>
      </c>
      <c r="C2059" s="6">
        <v>33.72</v>
      </c>
      <c r="D2059" s="6">
        <v>15.92</v>
      </c>
      <c r="E2059" s="6">
        <v>10.41</v>
      </c>
      <c r="G2059" s="31"/>
    </row>
    <row r="2060" spans="1:7" x14ac:dyDescent="0.25">
      <c r="A2060" s="36">
        <v>41872</v>
      </c>
      <c r="B2060" s="6">
        <v>52.06</v>
      </c>
      <c r="C2060" s="6">
        <v>33.71</v>
      </c>
      <c r="D2060" s="6">
        <v>15.94</v>
      </c>
      <c r="E2060" s="6">
        <v>10.41</v>
      </c>
      <c r="G2060" s="31"/>
    </row>
    <row r="2061" spans="1:7" x14ac:dyDescent="0.25">
      <c r="A2061" s="36">
        <v>41873</v>
      </c>
      <c r="B2061" s="6">
        <v>52.04</v>
      </c>
      <c r="C2061" s="6">
        <v>33.700000000000003</v>
      </c>
      <c r="D2061" s="6">
        <v>16</v>
      </c>
      <c r="E2061" s="6">
        <v>10.456</v>
      </c>
      <c r="G2061" s="31"/>
    </row>
    <row r="2062" spans="1:7" x14ac:dyDescent="0.25">
      <c r="A2062" s="36">
        <v>41874</v>
      </c>
      <c r="B2062" s="6">
        <v>52.04</v>
      </c>
      <c r="C2062" s="6">
        <v>33.700000000000003</v>
      </c>
      <c r="D2062" s="6">
        <v>16.04</v>
      </c>
      <c r="E2062" s="6">
        <v>10.469999999999999</v>
      </c>
      <c r="G2062" s="31"/>
    </row>
    <row r="2063" spans="1:7" x14ac:dyDescent="0.25">
      <c r="A2063" s="36">
        <v>41875</v>
      </c>
      <c r="B2063" s="6">
        <v>52.04</v>
      </c>
      <c r="C2063" s="6">
        <v>33.71</v>
      </c>
      <c r="D2063" s="6">
        <v>16.079999999999998</v>
      </c>
      <c r="E2063" s="6">
        <v>10.456</v>
      </c>
      <c r="G2063" s="31"/>
    </row>
    <row r="2064" spans="1:7" x14ac:dyDescent="0.25">
      <c r="A2064" s="36">
        <v>41876</v>
      </c>
      <c r="B2064" s="6">
        <v>52</v>
      </c>
      <c r="C2064" s="6">
        <v>33.72</v>
      </c>
      <c r="D2064" s="6">
        <v>16.16</v>
      </c>
      <c r="E2064" s="6">
        <v>10.5</v>
      </c>
      <c r="G2064" s="31"/>
    </row>
    <row r="2065" spans="1:7" x14ac:dyDescent="0.25">
      <c r="A2065" s="36">
        <v>41877</v>
      </c>
      <c r="B2065" s="6">
        <v>51.98</v>
      </c>
      <c r="C2065" s="6">
        <v>33.72</v>
      </c>
      <c r="D2065" s="6">
        <v>16.14</v>
      </c>
      <c r="E2065" s="6">
        <v>10.53</v>
      </c>
      <c r="G2065" s="31"/>
    </row>
    <row r="2066" spans="1:7" x14ac:dyDescent="0.25">
      <c r="A2066" s="36">
        <v>41878</v>
      </c>
      <c r="B2066" s="6">
        <v>52.04</v>
      </c>
      <c r="C2066" s="6">
        <v>33.770000000000003</v>
      </c>
      <c r="D2066" s="6">
        <v>16.100000000000001</v>
      </c>
      <c r="E2066" s="6">
        <v>10.52</v>
      </c>
      <c r="G2066" s="31"/>
    </row>
    <row r="2067" spans="1:7" x14ac:dyDescent="0.25">
      <c r="A2067" s="36">
        <v>41879</v>
      </c>
      <c r="B2067" s="6">
        <v>52.02</v>
      </c>
      <c r="C2067" s="6">
        <v>33.82</v>
      </c>
      <c r="D2067" s="6">
        <v>16</v>
      </c>
      <c r="E2067" s="6">
        <v>10.48</v>
      </c>
      <c r="G2067" s="31"/>
    </row>
    <row r="2068" spans="1:7" x14ac:dyDescent="0.25">
      <c r="A2068" s="36">
        <v>41880</v>
      </c>
      <c r="B2068" s="6">
        <v>51.98</v>
      </c>
      <c r="C2068" s="6">
        <v>33.83</v>
      </c>
      <c r="D2068" s="6">
        <v>16</v>
      </c>
      <c r="E2068" s="6">
        <v>10.49</v>
      </c>
      <c r="G2068" s="31"/>
    </row>
    <row r="2069" spans="1:7" x14ac:dyDescent="0.25">
      <c r="A2069" s="36">
        <v>41881</v>
      </c>
      <c r="B2069" s="6">
        <v>51.94</v>
      </c>
      <c r="C2069" s="6">
        <v>33.840000000000003</v>
      </c>
      <c r="D2069" s="6">
        <v>16</v>
      </c>
      <c r="E2069" s="6">
        <v>10.52</v>
      </c>
      <c r="G2069" s="31"/>
    </row>
    <row r="2070" spans="1:7" x14ac:dyDescent="0.25">
      <c r="A2070" s="36">
        <v>41882</v>
      </c>
      <c r="B2070" s="6">
        <v>51.88</v>
      </c>
      <c r="C2070" s="6">
        <v>33.83</v>
      </c>
      <c r="D2070" s="6">
        <v>16</v>
      </c>
      <c r="E2070" s="6">
        <v>10.53</v>
      </c>
      <c r="G2070" s="31"/>
    </row>
    <row r="2071" spans="1:7" x14ac:dyDescent="0.25">
      <c r="A2071" s="36">
        <v>41883</v>
      </c>
      <c r="B2071" s="6">
        <v>51.79</v>
      </c>
      <c r="C2071" s="6">
        <v>33.82</v>
      </c>
      <c r="D2071" s="6">
        <v>16</v>
      </c>
      <c r="E2071" s="6">
        <v>10.49</v>
      </c>
      <c r="G2071" s="31"/>
    </row>
    <row r="2072" spans="1:7" x14ac:dyDescent="0.25">
      <c r="A2072" s="36">
        <v>41884</v>
      </c>
      <c r="B2072" s="6">
        <v>51.64</v>
      </c>
      <c r="C2072" s="6">
        <v>33.799999999999997</v>
      </c>
      <c r="D2072" s="6">
        <v>16</v>
      </c>
      <c r="E2072" s="6">
        <v>10.5</v>
      </c>
      <c r="G2072" s="31"/>
    </row>
    <row r="2073" spans="1:7" x14ac:dyDescent="0.25">
      <c r="A2073" s="36">
        <v>41885</v>
      </c>
      <c r="B2073" s="6">
        <v>51.62</v>
      </c>
      <c r="C2073" s="6">
        <v>33.770000000000003</v>
      </c>
      <c r="D2073" s="6">
        <v>16</v>
      </c>
      <c r="E2073" s="6">
        <v>10.52</v>
      </c>
      <c r="G2073" s="31"/>
    </row>
    <row r="2074" spans="1:7" x14ac:dyDescent="0.25">
      <c r="A2074" s="36">
        <v>41886</v>
      </c>
      <c r="B2074" s="6">
        <v>51.51</v>
      </c>
      <c r="C2074" s="6">
        <v>33.76</v>
      </c>
      <c r="D2074" s="6">
        <v>16</v>
      </c>
      <c r="E2074" s="6">
        <v>10.459999999999999</v>
      </c>
      <c r="G2074" s="31"/>
    </row>
    <row r="2075" spans="1:7" x14ac:dyDescent="0.25">
      <c r="A2075" s="36">
        <v>41887</v>
      </c>
      <c r="B2075" s="6">
        <v>51.41</v>
      </c>
      <c r="C2075" s="6">
        <v>33.74</v>
      </c>
      <c r="D2075" s="6">
        <v>15.94</v>
      </c>
      <c r="E2075" s="6">
        <v>10.51</v>
      </c>
      <c r="G2075" s="31"/>
    </row>
    <row r="2076" spans="1:7" x14ac:dyDescent="0.25">
      <c r="A2076" s="36">
        <v>41888</v>
      </c>
      <c r="B2076" s="6">
        <v>51.31</v>
      </c>
      <c r="C2076" s="6">
        <v>33.700000000000003</v>
      </c>
      <c r="D2076" s="6">
        <v>15.9</v>
      </c>
      <c r="E2076" s="6">
        <v>10.459999999999999</v>
      </c>
      <c r="G2076" s="31"/>
    </row>
    <row r="2077" spans="1:7" x14ac:dyDescent="0.25">
      <c r="A2077" s="36">
        <v>41889</v>
      </c>
      <c r="B2077" s="6">
        <v>51.16</v>
      </c>
      <c r="C2077" s="6">
        <v>33.700000000000003</v>
      </c>
      <c r="D2077" s="6">
        <v>15.86</v>
      </c>
      <c r="E2077" s="6">
        <v>10.37</v>
      </c>
      <c r="G2077" s="31"/>
    </row>
    <row r="2078" spans="1:7" x14ac:dyDescent="0.25">
      <c r="A2078" s="36">
        <v>41890</v>
      </c>
      <c r="B2078" s="6">
        <v>51</v>
      </c>
      <c r="C2078" s="6">
        <v>33.659999999999997</v>
      </c>
      <c r="D2078" s="6">
        <v>15.84</v>
      </c>
      <c r="E2078" s="6">
        <v>10.4</v>
      </c>
      <c r="G2078" s="31"/>
    </row>
    <row r="2079" spans="1:7" x14ac:dyDescent="0.25">
      <c r="A2079" s="36">
        <v>41891</v>
      </c>
      <c r="B2079" s="6">
        <v>50.89</v>
      </c>
      <c r="C2079" s="6">
        <v>33.6</v>
      </c>
      <c r="D2079" s="6">
        <v>15.8</v>
      </c>
      <c r="E2079" s="6">
        <v>10.379999999999999</v>
      </c>
      <c r="G2079" s="31"/>
    </row>
    <row r="2080" spans="1:7" x14ac:dyDescent="0.25">
      <c r="A2080" s="36">
        <v>41892</v>
      </c>
      <c r="B2080" s="6">
        <v>50.77</v>
      </c>
      <c r="C2080" s="6">
        <v>33.56</v>
      </c>
      <c r="D2080" s="6">
        <v>15.76</v>
      </c>
      <c r="E2080" s="6">
        <v>10.39</v>
      </c>
      <c r="G2080" s="31"/>
    </row>
    <row r="2081" spans="1:7" x14ac:dyDescent="0.25">
      <c r="A2081" s="36">
        <v>41893</v>
      </c>
      <c r="B2081" s="6">
        <v>50.68</v>
      </c>
      <c r="C2081" s="26">
        <v>33.46</v>
      </c>
      <c r="D2081" s="6">
        <v>15.74</v>
      </c>
      <c r="E2081" s="6">
        <v>10.36</v>
      </c>
      <c r="G2081" s="31"/>
    </row>
    <row r="2082" spans="1:7" x14ac:dyDescent="0.25">
      <c r="A2082" s="36">
        <v>41894</v>
      </c>
      <c r="B2082" s="6">
        <v>50.56</v>
      </c>
      <c r="C2082" s="6">
        <v>33.380000000000003</v>
      </c>
      <c r="D2082" s="6">
        <v>15.68</v>
      </c>
      <c r="E2082" s="6">
        <v>10.32</v>
      </c>
      <c r="G2082" s="31"/>
    </row>
    <row r="2083" spans="1:7" x14ac:dyDescent="0.25">
      <c r="A2083" s="36">
        <v>41895</v>
      </c>
      <c r="B2083" s="6">
        <v>50.47</v>
      </c>
      <c r="C2083" s="6">
        <v>33.31</v>
      </c>
      <c r="D2083" s="6">
        <v>15.62</v>
      </c>
      <c r="E2083" s="6">
        <v>10.29</v>
      </c>
      <c r="G2083" s="31"/>
    </row>
    <row r="2084" spans="1:7" x14ac:dyDescent="0.25">
      <c r="A2084" s="36">
        <v>41896</v>
      </c>
      <c r="B2084" s="6">
        <v>50.37</v>
      </c>
      <c r="C2084" s="6">
        <v>33.24</v>
      </c>
      <c r="D2084" s="6">
        <v>15.58</v>
      </c>
      <c r="E2084" s="6">
        <v>10.23</v>
      </c>
      <c r="G2084" s="31"/>
    </row>
    <row r="2085" spans="1:7" x14ac:dyDescent="0.25">
      <c r="A2085" s="36">
        <v>41897</v>
      </c>
      <c r="B2085" s="6">
        <v>50.32</v>
      </c>
      <c r="C2085" s="6">
        <v>33.17</v>
      </c>
      <c r="D2085" s="6">
        <v>15.5</v>
      </c>
      <c r="E2085" s="6">
        <v>10.19</v>
      </c>
      <c r="G2085" s="31"/>
    </row>
    <row r="2086" spans="1:7" x14ac:dyDescent="0.25">
      <c r="A2086" s="36">
        <v>41898</v>
      </c>
      <c r="B2086" s="6">
        <v>50.25</v>
      </c>
      <c r="C2086" s="6">
        <v>33.119999999999997</v>
      </c>
      <c r="D2086" s="6">
        <v>15.44</v>
      </c>
      <c r="E2086" s="6">
        <v>10.16</v>
      </c>
      <c r="G2086" s="31"/>
    </row>
    <row r="2087" spans="1:7" x14ac:dyDescent="0.25">
      <c r="A2087" s="36">
        <v>41899</v>
      </c>
      <c r="B2087" s="6">
        <v>50.19</v>
      </c>
      <c r="C2087" s="6">
        <v>33.06</v>
      </c>
      <c r="D2087" s="6">
        <v>15.4</v>
      </c>
      <c r="E2087" s="6">
        <v>10.11</v>
      </c>
      <c r="G2087" s="31"/>
    </row>
    <row r="2088" spans="1:7" x14ac:dyDescent="0.25">
      <c r="A2088" s="36">
        <v>41900</v>
      </c>
      <c r="B2088" s="6">
        <v>50.14</v>
      </c>
      <c r="C2088" s="6">
        <v>33.06</v>
      </c>
      <c r="D2088" s="6">
        <v>15.4</v>
      </c>
      <c r="E2088" s="6">
        <v>10.08</v>
      </c>
      <c r="G2088" s="31"/>
    </row>
    <row r="2089" spans="1:7" x14ac:dyDescent="0.25">
      <c r="A2089" s="36">
        <v>41901</v>
      </c>
      <c r="B2089" s="6">
        <v>50.11</v>
      </c>
      <c r="C2089" s="6">
        <v>32.96</v>
      </c>
      <c r="D2089" s="6">
        <v>15.35</v>
      </c>
      <c r="E2089" s="6">
        <v>10.039999999999999</v>
      </c>
      <c r="G2089" s="31"/>
    </row>
    <row r="2090" spans="1:7" x14ac:dyDescent="0.25">
      <c r="A2090" s="36">
        <v>41902</v>
      </c>
      <c r="B2090" s="6">
        <v>50.08</v>
      </c>
      <c r="C2090" s="6">
        <v>32.9</v>
      </c>
      <c r="D2090" s="6">
        <v>15.3</v>
      </c>
      <c r="E2090" s="6">
        <v>9.99</v>
      </c>
      <c r="G2090" s="31"/>
    </row>
    <row r="2091" spans="1:7" x14ac:dyDescent="0.25">
      <c r="A2091" s="36">
        <v>41903</v>
      </c>
      <c r="B2091" s="6">
        <v>50.05</v>
      </c>
      <c r="C2091" s="6">
        <v>32.86</v>
      </c>
      <c r="D2091" s="6">
        <v>15.22</v>
      </c>
      <c r="E2091" s="6">
        <v>9.91</v>
      </c>
      <c r="G2091" s="31"/>
    </row>
    <row r="2092" spans="1:7" x14ac:dyDescent="0.25">
      <c r="A2092" s="36">
        <v>41904</v>
      </c>
      <c r="B2092" s="6">
        <v>50.01</v>
      </c>
      <c r="C2092" s="6">
        <v>32.799999999999997</v>
      </c>
      <c r="D2092" s="6">
        <v>15.16</v>
      </c>
      <c r="E2092" s="6">
        <v>9.89</v>
      </c>
      <c r="G2092" s="31"/>
    </row>
    <row r="2093" spans="1:7" x14ac:dyDescent="0.25">
      <c r="A2093" s="36">
        <v>41905</v>
      </c>
      <c r="B2093" s="6">
        <v>49.95</v>
      </c>
      <c r="C2093" s="6">
        <v>32.74</v>
      </c>
      <c r="D2093" s="6">
        <v>15.14</v>
      </c>
      <c r="E2093" s="6">
        <v>9.8699999999999992</v>
      </c>
      <c r="G2093" s="31"/>
    </row>
    <row r="2094" spans="1:7" x14ac:dyDescent="0.25">
      <c r="A2094" s="36">
        <v>41906</v>
      </c>
      <c r="B2094" s="6">
        <v>49.87</v>
      </c>
      <c r="C2094" s="6">
        <v>32.700000000000003</v>
      </c>
      <c r="D2094" s="6">
        <v>15.1</v>
      </c>
      <c r="E2094" s="6">
        <v>9.84</v>
      </c>
      <c r="G2094" s="31"/>
    </row>
    <row r="2095" spans="1:7" x14ac:dyDescent="0.25">
      <c r="A2095" s="36">
        <v>41907</v>
      </c>
      <c r="B2095" s="6">
        <v>49.78</v>
      </c>
      <c r="C2095" s="6">
        <v>32.659999999999997</v>
      </c>
      <c r="D2095" s="6">
        <v>15.06</v>
      </c>
      <c r="E2095" s="6">
        <v>9.82</v>
      </c>
      <c r="G2095" s="31"/>
    </row>
    <row r="2096" spans="1:7" x14ac:dyDescent="0.25">
      <c r="A2096" s="36">
        <v>41908</v>
      </c>
      <c r="B2096" s="6">
        <v>49.66</v>
      </c>
      <c r="C2096" s="6">
        <v>32.6</v>
      </c>
      <c r="D2096" s="6">
        <v>15</v>
      </c>
      <c r="E2096" s="6">
        <v>9.7999999999999989</v>
      </c>
      <c r="G2096" s="31"/>
    </row>
    <row r="2097" spans="1:7" x14ac:dyDescent="0.25">
      <c r="A2097" s="36">
        <v>41909</v>
      </c>
      <c r="B2097" s="6">
        <v>49.56</v>
      </c>
      <c r="C2097" s="6">
        <v>32.54</v>
      </c>
      <c r="D2097" s="6">
        <v>15</v>
      </c>
      <c r="E2097" s="6">
        <v>9.7999999999999989</v>
      </c>
      <c r="G2097" s="31"/>
    </row>
    <row r="2098" spans="1:7" x14ac:dyDescent="0.25">
      <c r="A2098" s="36">
        <v>41910</v>
      </c>
      <c r="B2098" s="6">
        <v>49.45</v>
      </c>
      <c r="C2098" s="6">
        <v>32.47</v>
      </c>
      <c r="D2098" s="6">
        <v>14.96</v>
      </c>
      <c r="E2098" s="6">
        <v>9.76</v>
      </c>
      <c r="G2098" s="31"/>
    </row>
    <row r="2099" spans="1:7" x14ac:dyDescent="0.25">
      <c r="A2099" s="36">
        <v>41911</v>
      </c>
      <c r="B2099" s="6">
        <v>49.35</v>
      </c>
      <c r="C2099" s="6">
        <v>32.4</v>
      </c>
      <c r="D2099" s="6">
        <v>14.9</v>
      </c>
      <c r="E2099" s="6">
        <v>9.7199999999999989</v>
      </c>
      <c r="G2099" s="31"/>
    </row>
    <row r="2100" spans="1:7" x14ac:dyDescent="0.25">
      <c r="A2100" s="36">
        <v>41912</v>
      </c>
      <c r="B2100" s="6">
        <v>49.18</v>
      </c>
      <c r="C2100" s="6">
        <v>32.35</v>
      </c>
      <c r="D2100" s="6">
        <v>14.84</v>
      </c>
      <c r="E2100" s="6">
        <v>9.68</v>
      </c>
      <c r="G2100" s="31"/>
    </row>
    <row r="2101" spans="1:7" x14ac:dyDescent="0.25">
      <c r="A2101" s="36">
        <v>41913</v>
      </c>
      <c r="B2101" s="6">
        <v>49.01</v>
      </c>
      <c r="C2101" s="6">
        <v>32.26</v>
      </c>
      <c r="D2101" s="6">
        <v>14.8</v>
      </c>
      <c r="E2101" s="6">
        <v>9.66</v>
      </c>
      <c r="G2101" s="31"/>
    </row>
    <row r="2102" spans="1:7" x14ac:dyDescent="0.25">
      <c r="A2102" s="36">
        <v>41914</v>
      </c>
      <c r="B2102" s="6">
        <v>48.87</v>
      </c>
      <c r="C2102" s="6">
        <v>32.18</v>
      </c>
      <c r="D2102" s="6">
        <v>14.74</v>
      </c>
      <c r="E2102" s="6">
        <v>9.57</v>
      </c>
      <c r="G2102" s="31"/>
    </row>
    <row r="2103" spans="1:7" x14ac:dyDescent="0.25">
      <c r="A2103" s="36">
        <v>41915</v>
      </c>
      <c r="B2103" s="6">
        <v>48.71</v>
      </c>
      <c r="C2103" s="6">
        <v>32.08</v>
      </c>
      <c r="D2103" s="6">
        <v>14.5</v>
      </c>
      <c r="E2103" s="6">
        <v>9.5</v>
      </c>
      <c r="G2103" s="31"/>
    </row>
    <row r="2104" spans="1:7" x14ac:dyDescent="0.25">
      <c r="A2104" s="36">
        <v>41916</v>
      </c>
      <c r="B2104" s="6">
        <v>48.53</v>
      </c>
      <c r="C2104" s="6">
        <v>31.98</v>
      </c>
      <c r="D2104" s="6">
        <v>14.38</v>
      </c>
      <c r="E2104" s="6">
        <v>9.39</v>
      </c>
      <c r="G2104" s="31"/>
    </row>
    <row r="2105" spans="1:7" x14ac:dyDescent="0.25">
      <c r="A2105" s="36">
        <v>41917</v>
      </c>
      <c r="B2105" s="6">
        <v>48.33</v>
      </c>
      <c r="C2105" s="6">
        <v>31.86</v>
      </c>
      <c r="D2105" s="6">
        <v>14.26</v>
      </c>
      <c r="E2105" s="6">
        <v>9.26</v>
      </c>
      <c r="G2105" s="31"/>
    </row>
    <row r="2106" spans="1:7" x14ac:dyDescent="0.25">
      <c r="A2106" s="36">
        <v>41918</v>
      </c>
      <c r="B2106" s="6">
        <v>48.18</v>
      </c>
      <c r="C2106" s="6">
        <v>31.76</v>
      </c>
      <c r="D2106" s="6">
        <v>14.12</v>
      </c>
      <c r="E2106" s="6">
        <v>9.19</v>
      </c>
      <c r="G2106" s="31"/>
    </row>
    <row r="2107" spans="1:7" x14ac:dyDescent="0.25">
      <c r="A2107" s="36">
        <v>41919</v>
      </c>
      <c r="B2107" s="6">
        <v>48.02</v>
      </c>
      <c r="C2107" s="6">
        <v>31.63</v>
      </c>
      <c r="D2107" s="6">
        <v>14.08</v>
      </c>
      <c r="E2107" s="6">
        <v>9.07</v>
      </c>
      <c r="G2107" s="31"/>
    </row>
    <row r="2108" spans="1:7" x14ac:dyDescent="0.25">
      <c r="A2108" s="36">
        <v>41920</v>
      </c>
      <c r="B2108" s="6">
        <v>47.84</v>
      </c>
      <c r="C2108" s="6">
        <v>31.52</v>
      </c>
      <c r="D2108" s="6">
        <v>13.88</v>
      </c>
      <c r="E2108" s="6">
        <v>8.9499999999999993</v>
      </c>
      <c r="G2108" s="31"/>
    </row>
    <row r="2109" spans="1:7" x14ac:dyDescent="0.25">
      <c r="A2109" s="36">
        <v>41921</v>
      </c>
      <c r="B2109" s="6">
        <v>47.72</v>
      </c>
      <c r="C2109" s="6">
        <v>31.4</v>
      </c>
      <c r="D2109" s="6">
        <v>13.76</v>
      </c>
      <c r="E2109" s="6">
        <v>8.85</v>
      </c>
      <c r="G2109" s="31"/>
    </row>
    <row r="2110" spans="1:7" x14ac:dyDescent="0.25">
      <c r="A2110" s="36">
        <v>41922</v>
      </c>
      <c r="B2110" s="6">
        <v>47.64</v>
      </c>
      <c r="C2110" s="6">
        <v>31.3</v>
      </c>
      <c r="D2110" s="6">
        <v>13.68</v>
      </c>
      <c r="E2110" s="6">
        <v>8.76</v>
      </c>
      <c r="G2110" s="31"/>
    </row>
    <row r="2111" spans="1:7" x14ac:dyDescent="0.25">
      <c r="A2111" s="36">
        <v>41923</v>
      </c>
      <c r="B2111" s="6">
        <v>47.59</v>
      </c>
      <c r="C2111" s="6">
        <v>31.17</v>
      </c>
      <c r="D2111" s="6">
        <v>13.62</v>
      </c>
      <c r="E2111" s="6">
        <v>8.6999999999999993</v>
      </c>
      <c r="G2111" s="31"/>
    </row>
    <row r="2112" spans="1:7" x14ac:dyDescent="0.25">
      <c r="A2112" s="36">
        <v>41924</v>
      </c>
      <c r="B2112" s="6">
        <v>47.55</v>
      </c>
      <c r="C2112" s="6">
        <v>31.05</v>
      </c>
      <c r="D2112" s="6">
        <v>13.46</v>
      </c>
      <c r="E2112" s="6">
        <v>8.57</v>
      </c>
      <c r="G2112" s="31"/>
    </row>
    <row r="2113" spans="1:7" x14ac:dyDescent="0.25">
      <c r="A2113" s="36">
        <v>41925</v>
      </c>
      <c r="B2113" s="6">
        <v>47.5</v>
      </c>
      <c r="C2113" s="6">
        <v>30.95</v>
      </c>
      <c r="D2113" s="6">
        <v>13.34</v>
      </c>
      <c r="E2113" s="6">
        <v>8.4699999999999989</v>
      </c>
      <c r="G2113" s="31"/>
    </row>
    <row r="2114" spans="1:7" x14ac:dyDescent="0.25">
      <c r="A2114" s="36">
        <v>41926</v>
      </c>
      <c r="B2114" s="6">
        <v>47.47</v>
      </c>
      <c r="C2114" s="6">
        <v>30.88</v>
      </c>
      <c r="D2114" s="6">
        <v>13.32</v>
      </c>
      <c r="E2114" s="6">
        <v>8.4499999999999993</v>
      </c>
      <c r="G2114" s="31"/>
    </row>
    <row r="2115" spans="1:7" x14ac:dyDescent="0.25">
      <c r="A2115" s="36">
        <v>41927</v>
      </c>
      <c r="B2115" s="6">
        <v>47.44</v>
      </c>
      <c r="C2115" s="6">
        <v>30.8</v>
      </c>
      <c r="D2115" s="6">
        <v>13.14</v>
      </c>
      <c r="E2115" s="6">
        <v>8.370000000000001</v>
      </c>
      <c r="G2115" s="31"/>
    </row>
    <row r="2116" spans="1:7" x14ac:dyDescent="0.25">
      <c r="A2116" s="36">
        <v>41928</v>
      </c>
      <c r="B2116" s="6">
        <v>47.44</v>
      </c>
      <c r="C2116" s="6">
        <v>30.73</v>
      </c>
      <c r="D2116" s="6">
        <v>13.04</v>
      </c>
      <c r="E2116" s="6">
        <v>8.26</v>
      </c>
      <c r="G2116" s="31"/>
    </row>
    <row r="2117" spans="1:7" x14ac:dyDescent="0.25">
      <c r="A2117" s="36">
        <v>41929</v>
      </c>
      <c r="B2117" s="6">
        <v>47.48</v>
      </c>
      <c r="C2117" s="6">
        <v>30.7</v>
      </c>
      <c r="D2117" s="6">
        <v>12.96</v>
      </c>
      <c r="E2117" s="6">
        <v>8.19</v>
      </c>
      <c r="G2117" s="31"/>
    </row>
    <row r="2118" spans="1:7" x14ac:dyDescent="0.25">
      <c r="A2118" s="36">
        <v>41930</v>
      </c>
      <c r="B2118" s="6">
        <v>47.51</v>
      </c>
      <c r="C2118" s="6">
        <v>30.67</v>
      </c>
      <c r="D2118" s="6">
        <v>12.92</v>
      </c>
      <c r="E2118" s="6">
        <v>8.11</v>
      </c>
      <c r="G2118" s="31"/>
    </row>
    <row r="2119" spans="1:7" x14ac:dyDescent="0.25">
      <c r="A2119" s="36">
        <v>41931</v>
      </c>
      <c r="B2119" s="6">
        <v>47.57</v>
      </c>
      <c r="C2119" s="6">
        <v>30.65</v>
      </c>
      <c r="D2119" s="6">
        <v>12.86</v>
      </c>
      <c r="E2119" s="6">
        <v>8.06</v>
      </c>
      <c r="G2119" s="31"/>
    </row>
    <row r="2120" spans="1:7" x14ac:dyDescent="0.25">
      <c r="A2120" s="36">
        <v>41932</v>
      </c>
      <c r="B2120" s="6">
        <v>47.6</v>
      </c>
      <c r="C2120" s="6">
        <v>30.63</v>
      </c>
      <c r="D2120" s="6">
        <v>12.82</v>
      </c>
      <c r="E2120" s="6">
        <v>7.9799999999999995</v>
      </c>
      <c r="G2120" s="31"/>
    </row>
    <row r="2121" spans="1:7" x14ac:dyDescent="0.25">
      <c r="A2121" s="36">
        <v>41933</v>
      </c>
      <c r="B2121" s="6">
        <v>47.66</v>
      </c>
      <c r="C2121" s="6">
        <v>30.63</v>
      </c>
      <c r="D2121" s="6">
        <v>12.68</v>
      </c>
      <c r="E2121" s="6">
        <v>7.9499999999999993</v>
      </c>
      <c r="G2121" s="31"/>
    </row>
    <row r="2122" spans="1:7" x14ac:dyDescent="0.25">
      <c r="A2122" s="36">
        <v>41934</v>
      </c>
      <c r="B2122" s="6">
        <v>47.66</v>
      </c>
      <c r="C2122" s="6">
        <v>30.62</v>
      </c>
      <c r="D2122" s="6">
        <v>12.6</v>
      </c>
      <c r="E2122" s="6">
        <v>7.8599999999999994</v>
      </c>
      <c r="G2122" s="31"/>
    </row>
    <row r="2123" spans="1:7" x14ac:dyDescent="0.25">
      <c r="A2123" s="36">
        <v>41935</v>
      </c>
      <c r="B2123" s="6">
        <v>47.68</v>
      </c>
      <c r="C2123" s="6">
        <v>30.6</v>
      </c>
      <c r="D2123" s="6">
        <v>12.53</v>
      </c>
      <c r="E2123" s="6">
        <v>7.8199999999999994</v>
      </c>
      <c r="G2123" s="31"/>
    </row>
    <row r="2124" spans="1:7" x14ac:dyDescent="0.25">
      <c r="A2124" s="36">
        <v>41936</v>
      </c>
      <c r="B2124" s="6">
        <v>47.72</v>
      </c>
      <c r="C2124" s="6">
        <v>30.59</v>
      </c>
      <c r="D2124" s="6">
        <v>12.46</v>
      </c>
      <c r="E2124" s="6">
        <v>7.77</v>
      </c>
      <c r="G2124" s="31"/>
    </row>
    <row r="2125" spans="1:7" x14ac:dyDescent="0.25">
      <c r="A2125" s="36">
        <v>41937</v>
      </c>
      <c r="B2125" s="6">
        <v>47.75</v>
      </c>
      <c r="C2125" s="6">
        <v>30.58</v>
      </c>
      <c r="D2125" s="6">
        <v>12.44</v>
      </c>
      <c r="E2125" s="6">
        <v>7.75</v>
      </c>
      <c r="G2125" s="31"/>
    </row>
    <row r="2126" spans="1:7" x14ac:dyDescent="0.25">
      <c r="A2126" s="36">
        <v>41938</v>
      </c>
      <c r="B2126" s="6">
        <v>47.75</v>
      </c>
      <c r="C2126" s="6">
        <v>30.55</v>
      </c>
      <c r="D2126" s="6">
        <v>12.38</v>
      </c>
      <c r="E2126" s="6">
        <v>7.71</v>
      </c>
      <c r="G2126" s="31"/>
    </row>
    <row r="2127" spans="1:7" x14ac:dyDescent="0.25">
      <c r="A2127" s="36">
        <v>41939</v>
      </c>
      <c r="B2127" s="6">
        <v>47.8</v>
      </c>
      <c r="C2127" s="6">
        <v>30.55</v>
      </c>
      <c r="D2127" s="6">
        <v>12.4</v>
      </c>
      <c r="E2127" s="6">
        <v>7.68</v>
      </c>
      <c r="G2127" s="31"/>
    </row>
    <row r="2128" spans="1:7" x14ac:dyDescent="0.25">
      <c r="A2128" s="36">
        <v>41940</v>
      </c>
      <c r="B2128" s="6">
        <v>47.85</v>
      </c>
      <c r="C2128" s="6">
        <v>30.53</v>
      </c>
      <c r="D2128" s="6">
        <v>12.36</v>
      </c>
      <c r="E2128" s="6">
        <v>7.72</v>
      </c>
      <c r="G2128" s="31"/>
    </row>
    <row r="2129" spans="1:7" x14ac:dyDescent="0.25">
      <c r="A2129" s="36">
        <v>41941</v>
      </c>
      <c r="B2129" s="6">
        <v>47.89</v>
      </c>
      <c r="C2129" s="6">
        <v>30.5</v>
      </c>
      <c r="D2129" s="6">
        <v>12.43</v>
      </c>
      <c r="E2129" s="6">
        <v>7.6999999999999993</v>
      </c>
      <c r="G2129" s="31"/>
    </row>
    <row r="2130" spans="1:7" x14ac:dyDescent="0.25">
      <c r="A2130" s="36">
        <v>41942</v>
      </c>
      <c r="B2130" s="6">
        <v>47.93</v>
      </c>
      <c r="C2130" s="6">
        <v>30.48</v>
      </c>
      <c r="D2130" s="6">
        <v>12.36</v>
      </c>
      <c r="E2130" s="6">
        <v>7.6999999999999993</v>
      </c>
      <c r="G2130" s="31"/>
    </row>
    <row r="2131" spans="1:7" x14ac:dyDescent="0.25">
      <c r="A2131" s="36">
        <v>41943</v>
      </c>
      <c r="B2131" s="6">
        <v>47.93</v>
      </c>
      <c r="C2131" s="6">
        <v>30.49</v>
      </c>
      <c r="D2131" s="6">
        <v>12.46</v>
      </c>
      <c r="E2131" s="6">
        <v>7.76</v>
      </c>
      <c r="G2131" s="31"/>
    </row>
    <row r="2132" spans="1:7" x14ac:dyDescent="0.25">
      <c r="A2132" s="36">
        <v>41944</v>
      </c>
      <c r="B2132" s="6">
        <v>47.92</v>
      </c>
      <c r="C2132" s="6">
        <v>30.43</v>
      </c>
      <c r="D2132" s="6">
        <v>12.46</v>
      </c>
      <c r="E2132" s="6">
        <v>7.76</v>
      </c>
      <c r="G2132" s="31"/>
    </row>
    <row r="2133" spans="1:7" x14ac:dyDescent="0.25">
      <c r="A2133" s="36">
        <v>41945</v>
      </c>
      <c r="B2133" s="6">
        <v>47.96</v>
      </c>
      <c r="C2133" s="6">
        <v>30.45</v>
      </c>
      <c r="D2133" s="6">
        <v>12.43</v>
      </c>
      <c r="E2133" s="6">
        <v>7.7299999999999995</v>
      </c>
      <c r="G2133" s="31"/>
    </row>
    <row r="2134" spans="1:7" x14ac:dyDescent="0.25">
      <c r="A2134" s="36">
        <v>41946</v>
      </c>
      <c r="B2134" s="6">
        <v>47.94</v>
      </c>
      <c r="C2134" s="6">
        <v>30.43</v>
      </c>
      <c r="D2134" s="6">
        <v>12.43</v>
      </c>
      <c r="E2134" s="6">
        <v>7.72</v>
      </c>
      <c r="G2134" s="31"/>
    </row>
    <row r="2135" spans="1:7" x14ac:dyDescent="0.25">
      <c r="A2135" s="36">
        <v>41947</v>
      </c>
      <c r="B2135" s="6">
        <v>47.93</v>
      </c>
      <c r="C2135" s="6">
        <v>30.42</v>
      </c>
      <c r="D2135" s="6">
        <v>12.38</v>
      </c>
      <c r="E2135" s="6">
        <v>7.68</v>
      </c>
      <c r="G2135" s="31"/>
    </row>
    <row r="2136" spans="1:7" x14ac:dyDescent="0.25">
      <c r="A2136" s="36">
        <v>41948</v>
      </c>
      <c r="B2136" s="6">
        <v>47.91</v>
      </c>
      <c r="C2136" s="6">
        <v>30.4</v>
      </c>
      <c r="D2136" s="6">
        <v>12.24</v>
      </c>
      <c r="E2136" s="6">
        <v>7.6099999999999994</v>
      </c>
      <c r="G2136" s="31"/>
    </row>
    <row r="2137" spans="1:7" x14ac:dyDescent="0.25">
      <c r="A2137" s="36">
        <v>41949</v>
      </c>
      <c r="B2137" s="6">
        <v>47.83</v>
      </c>
      <c r="C2137" s="6">
        <v>30.38</v>
      </c>
      <c r="D2137" s="6">
        <v>12.26</v>
      </c>
      <c r="E2137" s="6">
        <v>7.56</v>
      </c>
      <c r="G2137" s="31"/>
    </row>
    <row r="2138" spans="1:7" x14ac:dyDescent="0.25">
      <c r="A2138" s="36">
        <v>41950</v>
      </c>
      <c r="B2138" s="6">
        <v>47.73</v>
      </c>
      <c r="C2138" s="6">
        <v>30.36</v>
      </c>
      <c r="D2138" s="6">
        <v>12.24</v>
      </c>
      <c r="E2138" s="6">
        <v>7.5299999999999994</v>
      </c>
      <c r="G2138" s="31"/>
    </row>
    <row r="2139" spans="1:7" x14ac:dyDescent="0.25">
      <c r="A2139" s="36">
        <v>41951</v>
      </c>
      <c r="B2139" s="6">
        <v>47.67</v>
      </c>
      <c r="C2139" s="6">
        <v>30.3</v>
      </c>
      <c r="D2139" s="6">
        <v>12.19</v>
      </c>
      <c r="E2139" s="6">
        <v>7.4499999999999993</v>
      </c>
      <c r="G2139" s="31"/>
    </row>
    <row r="2140" spans="1:7" x14ac:dyDescent="0.25">
      <c r="A2140" s="36">
        <v>41952</v>
      </c>
      <c r="B2140" s="6">
        <v>47.51</v>
      </c>
      <c r="C2140" s="6">
        <v>30.25</v>
      </c>
      <c r="D2140" s="6">
        <v>12.1</v>
      </c>
      <c r="E2140" s="6">
        <v>7.3999999999999995</v>
      </c>
      <c r="G2140" s="31"/>
    </row>
    <row r="2141" spans="1:7" x14ac:dyDescent="0.25">
      <c r="A2141" s="36">
        <v>41953</v>
      </c>
      <c r="B2141" s="6">
        <v>47.37</v>
      </c>
      <c r="C2141" s="6">
        <v>30.17</v>
      </c>
      <c r="D2141" s="6">
        <v>11.98</v>
      </c>
      <c r="E2141" s="6">
        <v>7.3599999999999994</v>
      </c>
      <c r="G2141" s="31"/>
    </row>
    <row r="2142" spans="1:7" x14ac:dyDescent="0.25">
      <c r="A2142" s="36">
        <v>41954</v>
      </c>
      <c r="B2142" s="6">
        <v>47.21</v>
      </c>
      <c r="C2142" s="6">
        <v>30.05</v>
      </c>
      <c r="D2142" s="6">
        <v>11.92</v>
      </c>
      <c r="E2142" s="6">
        <v>7.3</v>
      </c>
      <c r="G2142" s="31"/>
    </row>
    <row r="2143" spans="1:7" x14ac:dyDescent="0.25">
      <c r="A2143" s="36">
        <v>41955</v>
      </c>
      <c r="B2143" s="6">
        <v>47.08</v>
      </c>
      <c r="C2143" s="6">
        <v>29.97</v>
      </c>
      <c r="D2143" s="6">
        <v>11.86</v>
      </c>
      <c r="E2143" s="6">
        <v>7.26</v>
      </c>
      <c r="G2143" s="31"/>
    </row>
    <row r="2144" spans="1:7" x14ac:dyDescent="0.25">
      <c r="A2144" s="36">
        <v>41956</v>
      </c>
      <c r="B2144" s="6">
        <v>46.95</v>
      </c>
      <c r="C2144" s="6">
        <v>29.83</v>
      </c>
      <c r="D2144" s="6">
        <v>11.74</v>
      </c>
      <c r="E2144" s="6">
        <v>7.2299999999999995</v>
      </c>
      <c r="G2144" s="31"/>
    </row>
    <row r="2145" spans="1:7" x14ac:dyDescent="0.25">
      <c r="A2145" s="36">
        <v>41957</v>
      </c>
      <c r="B2145" s="6">
        <v>46.84</v>
      </c>
      <c r="C2145" s="6">
        <v>29.68</v>
      </c>
      <c r="D2145" s="6">
        <v>11.7</v>
      </c>
      <c r="E2145" s="6">
        <v>7.12</v>
      </c>
      <c r="G2145" s="31"/>
    </row>
    <row r="2146" spans="1:7" x14ac:dyDescent="0.25">
      <c r="A2146" s="36">
        <v>41958</v>
      </c>
      <c r="B2146" s="6">
        <v>46.74</v>
      </c>
      <c r="C2146" s="6">
        <v>29.54</v>
      </c>
      <c r="D2146" s="6">
        <v>11.6</v>
      </c>
      <c r="E2146" s="6">
        <v>7.04</v>
      </c>
      <c r="G2146" s="31"/>
    </row>
    <row r="2147" spans="1:7" x14ac:dyDescent="0.25">
      <c r="A2147" s="36">
        <v>41959</v>
      </c>
      <c r="B2147" s="6">
        <v>46.71</v>
      </c>
      <c r="C2147" s="6">
        <v>29.41</v>
      </c>
      <c r="D2147" s="6">
        <v>11.6</v>
      </c>
      <c r="E2147" s="6">
        <v>6.9399999999999995</v>
      </c>
      <c r="G2147" s="31"/>
    </row>
    <row r="2148" spans="1:7" x14ac:dyDescent="0.25">
      <c r="A2148" s="36">
        <v>41960</v>
      </c>
      <c r="B2148" s="6">
        <v>46.69</v>
      </c>
      <c r="C2148" s="6">
        <v>29.29</v>
      </c>
      <c r="D2148" s="6">
        <v>11.5</v>
      </c>
      <c r="E2148" s="6">
        <v>6.84</v>
      </c>
      <c r="G2148" s="31"/>
    </row>
    <row r="2149" spans="1:7" x14ac:dyDescent="0.25">
      <c r="A2149" s="36">
        <v>41961</v>
      </c>
      <c r="B2149" s="6">
        <v>46.6</v>
      </c>
      <c r="C2149" s="6">
        <v>29.19</v>
      </c>
      <c r="D2149" s="6">
        <v>11.4</v>
      </c>
      <c r="E2149" s="6">
        <v>6.83</v>
      </c>
      <c r="G2149" s="31"/>
    </row>
    <row r="2150" spans="1:7" x14ac:dyDescent="0.25">
      <c r="A2150" s="36">
        <v>41962</v>
      </c>
      <c r="B2150" s="6">
        <v>46.69</v>
      </c>
      <c r="C2150" s="6">
        <v>29.12</v>
      </c>
      <c r="D2150" s="6">
        <v>11.38</v>
      </c>
      <c r="E2150" s="6">
        <v>6.81</v>
      </c>
      <c r="G2150" s="31"/>
    </row>
    <row r="2151" spans="1:7" x14ac:dyDescent="0.25">
      <c r="A2151" s="36">
        <v>41963</v>
      </c>
      <c r="B2151" s="6">
        <v>46.68</v>
      </c>
      <c r="C2151" s="6">
        <v>29.06</v>
      </c>
      <c r="D2151" s="6">
        <v>11.3</v>
      </c>
      <c r="E2151" s="6">
        <v>6.6999999999999993</v>
      </c>
      <c r="G2151" s="31"/>
    </row>
    <row r="2152" spans="1:7" x14ac:dyDescent="0.25">
      <c r="A2152" s="36">
        <v>41964</v>
      </c>
      <c r="B2152" s="6">
        <v>46.68</v>
      </c>
      <c r="C2152" s="6">
        <v>29.03</v>
      </c>
      <c r="D2152" s="6">
        <v>11.3</v>
      </c>
      <c r="E2152" s="6">
        <v>6.63</v>
      </c>
      <c r="G2152" s="31"/>
    </row>
    <row r="2153" spans="1:7" x14ac:dyDescent="0.25">
      <c r="A2153" s="36">
        <v>41965</v>
      </c>
      <c r="B2153" s="6">
        <v>46.66</v>
      </c>
      <c r="C2153" s="6">
        <v>29.02</v>
      </c>
      <c r="D2153" s="6">
        <v>11.2</v>
      </c>
      <c r="E2153" s="6">
        <v>6.5699999999999994</v>
      </c>
      <c r="G2153" s="31"/>
    </row>
    <row r="2154" spans="1:7" x14ac:dyDescent="0.25">
      <c r="A2154" s="36">
        <v>41966</v>
      </c>
      <c r="B2154" s="6">
        <v>46.65</v>
      </c>
      <c r="C2154" s="6">
        <v>28.98</v>
      </c>
      <c r="D2154" s="6">
        <v>10.98</v>
      </c>
      <c r="E2154" s="6">
        <v>6.51</v>
      </c>
      <c r="G2154" s="31"/>
    </row>
    <row r="2155" spans="1:7" x14ac:dyDescent="0.25">
      <c r="A2155" s="36">
        <v>41967</v>
      </c>
      <c r="B2155" s="6">
        <v>46.62</v>
      </c>
      <c r="C2155" s="6">
        <v>28.96</v>
      </c>
      <c r="D2155" s="6">
        <v>10.84</v>
      </c>
      <c r="E2155" s="6">
        <v>6.3</v>
      </c>
      <c r="G2155" s="31"/>
    </row>
    <row r="2156" spans="1:7" x14ac:dyDescent="0.25">
      <c r="A2156" s="36">
        <v>41968</v>
      </c>
      <c r="B2156" s="6">
        <v>46.6</v>
      </c>
      <c r="C2156" s="6">
        <v>28.96</v>
      </c>
      <c r="D2156" s="6">
        <v>10.8</v>
      </c>
      <c r="E2156" s="6">
        <v>6.27</v>
      </c>
      <c r="G2156" s="31"/>
    </row>
    <row r="2157" spans="1:7" x14ac:dyDescent="0.25">
      <c r="A2157" s="36">
        <v>41969</v>
      </c>
      <c r="B2157" s="6">
        <v>46.52</v>
      </c>
      <c r="C2157" s="6">
        <v>28.96</v>
      </c>
      <c r="D2157" s="6">
        <v>10.76</v>
      </c>
      <c r="E2157" s="6">
        <v>6.2399999999999993</v>
      </c>
      <c r="G2157" s="31"/>
    </row>
    <row r="2158" spans="1:7" x14ac:dyDescent="0.25">
      <c r="A2158" s="36">
        <v>41970</v>
      </c>
      <c r="B2158" s="6">
        <v>46.44</v>
      </c>
      <c r="C2158" s="6">
        <v>28.93</v>
      </c>
      <c r="D2158" s="6">
        <v>10.7</v>
      </c>
      <c r="E2158" s="6">
        <v>6.2299999999999995</v>
      </c>
      <c r="G2158" s="31"/>
    </row>
    <row r="2159" spans="1:7" x14ac:dyDescent="0.25">
      <c r="A2159" s="36">
        <v>41971</v>
      </c>
      <c r="B2159" s="6">
        <v>46.32</v>
      </c>
      <c r="C2159" s="6">
        <v>28.86</v>
      </c>
      <c r="D2159" s="6">
        <v>10.64</v>
      </c>
      <c r="E2159" s="6">
        <v>6.09</v>
      </c>
      <c r="G2159" s="31"/>
    </row>
    <row r="2160" spans="1:7" x14ac:dyDescent="0.25">
      <c r="A2160" s="36">
        <v>41972</v>
      </c>
      <c r="B2160" s="6">
        <v>46.18</v>
      </c>
      <c r="C2160" s="6">
        <v>28.75</v>
      </c>
      <c r="D2160" s="6">
        <v>10.62</v>
      </c>
      <c r="E2160" s="6">
        <v>6.1099999999999994</v>
      </c>
      <c r="G2160" s="31"/>
    </row>
    <row r="2161" spans="1:7" x14ac:dyDescent="0.25">
      <c r="A2161" s="36">
        <v>41973</v>
      </c>
      <c r="B2161" s="6">
        <v>46.05</v>
      </c>
      <c r="C2161" s="6">
        <v>28.6</v>
      </c>
      <c r="D2161" s="6">
        <v>10.6</v>
      </c>
      <c r="E2161" s="6">
        <v>6.05</v>
      </c>
      <c r="G2161" s="31"/>
    </row>
    <row r="2162" spans="1:7" x14ac:dyDescent="0.25">
      <c r="A2162" s="36">
        <v>41974</v>
      </c>
      <c r="B2162" s="6">
        <v>45.91</v>
      </c>
      <c r="C2162" s="6">
        <v>28.44</v>
      </c>
      <c r="D2162" s="6">
        <v>10.6</v>
      </c>
      <c r="E2162" s="6">
        <v>5.93</v>
      </c>
      <c r="G2162" s="31"/>
    </row>
    <row r="2163" spans="1:7" x14ac:dyDescent="0.25">
      <c r="A2163" s="36">
        <v>41975</v>
      </c>
      <c r="B2163" s="6">
        <v>45.78</v>
      </c>
      <c r="C2163" s="6">
        <v>28.26</v>
      </c>
      <c r="D2163" s="6">
        <v>10.54</v>
      </c>
      <c r="E2163" s="6">
        <v>5.84</v>
      </c>
      <c r="G2163" s="31"/>
    </row>
    <row r="2164" spans="1:7" x14ac:dyDescent="0.25">
      <c r="A2164" s="36">
        <v>41976</v>
      </c>
      <c r="B2164" s="6">
        <v>45.64</v>
      </c>
      <c r="C2164" s="6">
        <v>28.08</v>
      </c>
      <c r="D2164" s="6">
        <v>10.54</v>
      </c>
      <c r="E2164" s="6">
        <v>5.7399999999999993</v>
      </c>
      <c r="G2164" s="31"/>
    </row>
    <row r="2165" spans="1:7" x14ac:dyDescent="0.25">
      <c r="A2165" s="36">
        <v>41977</v>
      </c>
      <c r="B2165" s="6">
        <v>45.5</v>
      </c>
      <c r="C2165" s="6">
        <v>27.89</v>
      </c>
      <c r="D2165" s="6">
        <v>10.46</v>
      </c>
      <c r="E2165" s="6">
        <v>5.67</v>
      </c>
      <c r="G2165" s="31"/>
    </row>
    <row r="2166" spans="1:7" x14ac:dyDescent="0.25">
      <c r="A2166" s="36">
        <v>41978</v>
      </c>
      <c r="B2166" s="6">
        <v>45.32</v>
      </c>
      <c r="C2166" s="6">
        <v>27.71</v>
      </c>
      <c r="D2166" s="6">
        <v>10.16</v>
      </c>
      <c r="E2166" s="6">
        <v>5.6099999999999994</v>
      </c>
      <c r="G2166" s="31"/>
    </row>
    <row r="2167" spans="1:7" x14ac:dyDescent="0.25">
      <c r="A2167" s="36">
        <v>41979</v>
      </c>
      <c r="B2167" s="6">
        <v>45.2</v>
      </c>
      <c r="C2167" s="6">
        <v>27.52</v>
      </c>
      <c r="D2167" s="6">
        <v>9.86</v>
      </c>
      <c r="E2167" s="6">
        <v>5.55</v>
      </c>
      <c r="G2167" s="31"/>
    </row>
    <row r="2168" spans="1:7" x14ac:dyDescent="0.25">
      <c r="A2168" s="36">
        <v>41980</v>
      </c>
      <c r="B2168" s="6">
        <v>45.08</v>
      </c>
      <c r="C2168" s="6">
        <v>27.35</v>
      </c>
      <c r="D2168" s="6">
        <v>9.6</v>
      </c>
      <c r="E2168" s="6">
        <v>5.51</v>
      </c>
      <c r="G2168" s="31"/>
    </row>
    <row r="2169" spans="1:7" x14ac:dyDescent="0.25">
      <c r="A2169" s="36">
        <v>41981</v>
      </c>
      <c r="B2169" s="6">
        <v>44.83</v>
      </c>
      <c r="C2169" s="6">
        <v>27.17</v>
      </c>
      <c r="D2169" s="6">
        <v>9.32</v>
      </c>
      <c r="E2169" s="6">
        <v>5.1899999999999995</v>
      </c>
      <c r="G2169" s="31"/>
    </row>
    <row r="2170" spans="1:7" x14ac:dyDescent="0.25">
      <c r="A2170" s="36">
        <v>41982</v>
      </c>
      <c r="B2170" s="6">
        <v>44.65</v>
      </c>
      <c r="C2170" s="6">
        <v>26.98</v>
      </c>
      <c r="D2170" s="6">
        <v>9.1199999999999992</v>
      </c>
      <c r="E2170" s="6">
        <v>4.87</v>
      </c>
      <c r="G2170" s="31"/>
    </row>
    <row r="2171" spans="1:7" x14ac:dyDescent="0.25">
      <c r="A2171" s="36">
        <v>41983</v>
      </c>
      <c r="B2171" s="6">
        <v>44.5</v>
      </c>
      <c r="C2171" s="6">
        <v>26.85</v>
      </c>
      <c r="D2171" s="6">
        <v>9.1</v>
      </c>
      <c r="E2171" s="6">
        <v>4.72</v>
      </c>
      <c r="G2171" s="31"/>
    </row>
    <row r="2172" spans="1:7" x14ac:dyDescent="0.25">
      <c r="A2172" s="36">
        <v>41984</v>
      </c>
      <c r="B2172" s="6">
        <v>44.34</v>
      </c>
      <c r="C2172" s="6">
        <v>26.68</v>
      </c>
      <c r="D2172" s="6">
        <v>9.08</v>
      </c>
      <c r="E2172" s="6">
        <v>4.5699999999999994</v>
      </c>
      <c r="G2172" s="31"/>
    </row>
    <row r="2173" spans="1:7" x14ac:dyDescent="0.25">
      <c r="A2173" s="36">
        <v>41985</v>
      </c>
      <c r="B2173" s="6">
        <v>44.2</v>
      </c>
      <c r="C2173" s="6">
        <v>26.5</v>
      </c>
      <c r="D2173" s="6">
        <v>8.64</v>
      </c>
      <c r="E2173" s="6">
        <v>4.5599999999999996</v>
      </c>
      <c r="G2173" s="31"/>
    </row>
    <row r="2174" spans="1:7" x14ac:dyDescent="0.25">
      <c r="A2174" s="36">
        <v>41986</v>
      </c>
      <c r="B2174" s="6">
        <v>44.13</v>
      </c>
      <c r="C2174" s="6">
        <v>26.3</v>
      </c>
      <c r="D2174" s="6">
        <v>8.6</v>
      </c>
      <c r="E2174" s="6">
        <v>4.55</v>
      </c>
      <c r="G2174" s="31"/>
    </row>
    <row r="2175" spans="1:7" x14ac:dyDescent="0.25">
      <c r="A2175" s="36">
        <v>41987</v>
      </c>
      <c r="B2175" s="6">
        <v>44.08</v>
      </c>
      <c r="C2175" s="6">
        <v>26.19</v>
      </c>
      <c r="D2175" s="6">
        <v>8.3000000000000007</v>
      </c>
      <c r="E2175" s="6">
        <v>4.375</v>
      </c>
      <c r="G2175" s="31"/>
    </row>
    <row r="2176" spans="1:7" x14ac:dyDescent="0.25">
      <c r="A2176" s="36">
        <v>41988</v>
      </c>
      <c r="B2176" s="6">
        <v>44.07</v>
      </c>
      <c r="C2176" s="6">
        <v>26.1</v>
      </c>
      <c r="D2176" s="6">
        <v>8.06</v>
      </c>
      <c r="E2176" s="6">
        <v>4.32</v>
      </c>
      <c r="G2176" s="31"/>
    </row>
    <row r="2177" spans="1:7" x14ac:dyDescent="0.25">
      <c r="A2177" s="36">
        <v>41989</v>
      </c>
      <c r="B2177" s="6">
        <v>44.06</v>
      </c>
      <c r="C2177" s="6">
        <v>26.02</v>
      </c>
      <c r="D2177" s="6">
        <v>7.98</v>
      </c>
      <c r="E2177" s="6">
        <v>4.24</v>
      </c>
      <c r="G2177" s="31"/>
    </row>
    <row r="2178" spans="1:7" x14ac:dyDescent="0.25">
      <c r="A2178" s="36">
        <v>41990</v>
      </c>
      <c r="B2178" s="6">
        <v>44</v>
      </c>
      <c r="C2178" s="6">
        <v>25.95</v>
      </c>
      <c r="D2178" s="6">
        <v>7.96</v>
      </c>
      <c r="E2178" s="6">
        <v>4.16</v>
      </c>
      <c r="G2178" s="31"/>
    </row>
    <row r="2179" spans="1:7" x14ac:dyDescent="0.25">
      <c r="A2179" s="36">
        <v>41991</v>
      </c>
      <c r="B2179" s="6">
        <v>43.94</v>
      </c>
      <c r="C2179" s="6">
        <v>25.89</v>
      </c>
      <c r="D2179" s="6">
        <v>7.8</v>
      </c>
      <c r="E2179" s="6">
        <v>4.0999999999999996</v>
      </c>
      <c r="G2179" s="31"/>
    </row>
    <row r="2180" spans="1:7" x14ac:dyDescent="0.25">
      <c r="A2180" s="36">
        <v>41992</v>
      </c>
      <c r="B2180" s="6">
        <v>43.89</v>
      </c>
      <c r="C2180" s="6">
        <v>25.84</v>
      </c>
      <c r="D2180" s="6">
        <v>7.74</v>
      </c>
      <c r="E2180" s="6">
        <v>3.98</v>
      </c>
      <c r="G2180" s="31"/>
    </row>
    <row r="2181" spans="1:7" x14ac:dyDescent="0.25">
      <c r="A2181" s="36">
        <v>41993</v>
      </c>
      <c r="B2181" s="6">
        <v>43.8</v>
      </c>
      <c r="C2181" s="6">
        <v>25.78</v>
      </c>
      <c r="D2181" s="6">
        <v>7.56</v>
      </c>
      <c r="E2181" s="6">
        <v>3.93</v>
      </c>
      <c r="G2181" s="31"/>
    </row>
    <row r="2182" spans="1:7" x14ac:dyDescent="0.25">
      <c r="A2182" s="36">
        <v>41994</v>
      </c>
      <c r="B2182" s="6">
        <v>43.71</v>
      </c>
      <c r="C2182" s="6">
        <v>25.75</v>
      </c>
      <c r="D2182" s="6">
        <v>7.46</v>
      </c>
      <c r="E2182" s="6">
        <v>3.8600000000000003</v>
      </c>
      <c r="G2182" s="31"/>
    </row>
    <row r="2183" spans="1:7" x14ac:dyDescent="0.25">
      <c r="A2183" s="36">
        <v>41995</v>
      </c>
      <c r="B2183" s="6">
        <v>43.63</v>
      </c>
      <c r="C2183" s="6">
        <v>25.67</v>
      </c>
      <c r="D2183" s="6">
        <v>7.42</v>
      </c>
      <c r="E2183" s="6">
        <v>3.8400000000000003</v>
      </c>
      <c r="G2183" s="31"/>
    </row>
    <row r="2184" spans="1:7" x14ac:dyDescent="0.25">
      <c r="A2184" s="36">
        <v>41996</v>
      </c>
      <c r="B2184" s="6">
        <v>43.56</v>
      </c>
      <c r="C2184" s="6">
        <v>25.58</v>
      </c>
      <c r="D2184" s="6">
        <v>7.3</v>
      </c>
      <c r="E2184" s="6">
        <v>3.77</v>
      </c>
      <c r="G2184" s="31"/>
    </row>
    <row r="2185" spans="1:7" x14ac:dyDescent="0.25">
      <c r="A2185" s="36">
        <v>41997</v>
      </c>
      <c r="B2185" s="6">
        <v>43.46</v>
      </c>
      <c r="C2185" s="6">
        <v>25.45</v>
      </c>
      <c r="D2185" s="6">
        <v>7.22</v>
      </c>
      <c r="E2185" s="6">
        <v>3.74</v>
      </c>
      <c r="G2185" s="31"/>
    </row>
    <row r="2186" spans="1:7" x14ac:dyDescent="0.25">
      <c r="A2186" s="36">
        <v>41998</v>
      </c>
      <c r="B2186" s="6">
        <v>43.4</v>
      </c>
      <c r="C2186" s="6">
        <v>25.37</v>
      </c>
      <c r="D2186" s="6">
        <v>7.16</v>
      </c>
      <c r="E2186" s="6">
        <v>3.68</v>
      </c>
      <c r="G2186" s="31"/>
    </row>
    <row r="2187" spans="1:7" x14ac:dyDescent="0.25">
      <c r="A2187" s="36">
        <v>41999</v>
      </c>
      <c r="B2187" s="6">
        <v>43.35</v>
      </c>
      <c r="C2187" s="6">
        <v>25.33</v>
      </c>
      <c r="D2187" s="6">
        <v>7</v>
      </c>
      <c r="E2187" s="6">
        <v>3.58</v>
      </c>
      <c r="G2187" s="31"/>
    </row>
    <row r="2188" spans="1:7" x14ac:dyDescent="0.25">
      <c r="A2188" s="36">
        <v>42000</v>
      </c>
      <c r="B2188" s="6">
        <v>43.31</v>
      </c>
      <c r="C2188" s="6">
        <v>25.3</v>
      </c>
      <c r="D2188" s="6">
        <v>6.78</v>
      </c>
      <c r="E2188" s="6">
        <v>3.48</v>
      </c>
      <c r="G2188" s="31"/>
    </row>
    <row r="2189" spans="1:7" x14ac:dyDescent="0.25">
      <c r="A2189" s="36">
        <v>42001</v>
      </c>
      <c r="B2189" s="6">
        <v>43.25</v>
      </c>
      <c r="C2189" s="6">
        <v>25.24</v>
      </c>
      <c r="D2189" s="6">
        <v>6.7</v>
      </c>
      <c r="E2189" s="6">
        <v>3.4200000000000004</v>
      </c>
      <c r="G2189" s="31"/>
    </row>
    <row r="2190" spans="1:7" x14ac:dyDescent="0.25">
      <c r="A2190" s="36">
        <v>42002</v>
      </c>
      <c r="B2190" s="6">
        <v>43.21</v>
      </c>
      <c r="C2190" s="6">
        <v>24.94</v>
      </c>
      <c r="D2190" s="6">
        <v>6.7</v>
      </c>
      <c r="E2190" s="6">
        <v>3.37</v>
      </c>
      <c r="G2190" s="31"/>
    </row>
    <row r="2191" spans="1:7" x14ac:dyDescent="0.25">
      <c r="A2191" s="36">
        <v>42003</v>
      </c>
      <c r="B2191" s="6">
        <v>43.17</v>
      </c>
      <c r="C2191" s="6">
        <v>24.87</v>
      </c>
      <c r="D2191" s="6">
        <v>6.68</v>
      </c>
      <c r="E2191" s="6">
        <v>3.29</v>
      </c>
      <c r="G2191" s="31"/>
    </row>
    <row r="2192" spans="1:7" x14ac:dyDescent="0.25">
      <c r="A2192" s="36">
        <v>42004</v>
      </c>
      <c r="B2192" s="6">
        <v>43.14</v>
      </c>
      <c r="C2192" s="6">
        <v>24.78</v>
      </c>
      <c r="D2192" s="6">
        <v>6.66</v>
      </c>
      <c r="E2192" s="6">
        <v>3.2600000000000002</v>
      </c>
      <c r="G2192" s="31"/>
    </row>
    <row r="2193" spans="1:7" x14ac:dyDescent="0.25">
      <c r="A2193" s="36">
        <v>42005</v>
      </c>
      <c r="B2193" s="7">
        <v>43.1</v>
      </c>
      <c r="C2193" s="7">
        <v>24.7</v>
      </c>
      <c r="D2193" s="7">
        <v>6.52</v>
      </c>
      <c r="E2193" s="7">
        <v>3.1700000000000004</v>
      </c>
      <c r="G2193" s="31"/>
    </row>
    <row r="2194" spans="1:7" x14ac:dyDescent="0.25">
      <c r="A2194" s="36">
        <v>42006</v>
      </c>
      <c r="B2194" s="7">
        <v>43.03</v>
      </c>
      <c r="C2194" s="7">
        <v>24.65</v>
      </c>
      <c r="D2194" s="7">
        <v>6.44</v>
      </c>
      <c r="E2194" s="7">
        <v>3.0900000000000003</v>
      </c>
      <c r="G2194" s="31"/>
    </row>
    <row r="2195" spans="1:7" x14ac:dyDescent="0.25">
      <c r="A2195" s="36">
        <v>42007</v>
      </c>
      <c r="B2195" s="7">
        <v>42.93</v>
      </c>
      <c r="C2195" s="7">
        <v>24.65</v>
      </c>
      <c r="D2195" s="7">
        <v>6.36</v>
      </c>
      <c r="E2195" s="7">
        <v>3.0700000000000003</v>
      </c>
      <c r="G2195" s="31"/>
    </row>
    <row r="2196" spans="1:7" x14ac:dyDescent="0.25">
      <c r="A2196" s="36">
        <v>42008</v>
      </c>
      <c r="B2196" s="7">
        <v>42.81</v>
      </c>
      <c r="C2196" s="7">
        <v>24.55</v>
      </c>
      <c r="D2196" s="7">
        <v>6.28</v>
      </c>
      <c r="E2196" s="7">
        <v>3.0500000000000003</v>
      </c>
      <c r="G2196" s="31"/>
    </row>
    <row r="2197" spans="1:7" x14ac:dyDescent="0.25">
      <c r="A2197" s="36">
        <v>42009</v>
      </c>
      <c r="B2197" s="7">
        <v>42.7</v>
      </c>
      <c r="C2197" s="7">
        <v>24.4</v>
      </c>
      <c r="D2197" s="7">
        <v>6.18</v>
      </c>
      <c r="E2197" s="7">
        <v>2.97</v>
      </c>
      <c r="G2197" s="31"/>
    </row>
    <row r="2198" spans="1:7" x14ac:dyDescent="0.25">
      <c r="A2198" s="36">
        <v>42010</v>
      </c>
      <c r="B2198" s="7">
        <v>42.56</v>
      </c>
      <c r="C2198" s="7">
        <v>24.35</v>
      </c>
      <c r="D2198" s="7">
        <v>6.06</v>
      </c>
      <c r="E2198" s="7">
        <v>2.93</v>
      </c>
      <c r="G2198" s="31"/>
    </row>
    <row r="2199" spans="1:7" x14ac:dyDescent="0.25">
      <c r="A2199" s="36">
        <v>42011</v>
      </c>
      <c r="B2199" s="7">
        <v>42.45</v>
      </c>
      <c r="C2199" s="7">
        <v>24.2</v>
      </c>
      <c r="D2199" s="7">
        <v>5.96</v>
      </c>
      <c r="E2199" s="7">
        <v>2.9000000000000004</v>
      </c>
      <c r="G2199" s="31"/>
    </row>
    <row r="2200" spans="1:7" x14ac:dyDescent="0.25">
      <c r="A2200" s="36">
        <v>42012</v>
      </c>
      <c r="B2200" s="7">
        <v>42.34</v>
      </c>
      <c r="C2200" s="7">
        <v>24.18</v>
      </c>
      <c r="D2200" s="7">
        <v>5.82</v>
      </c>
      <c r="E2200" s="7">
        <v>2.8200000000000003</v>
      </c>
      <c r="G2200" s="31"/>
    </row>
    <row r="2201" spans="1:7" x14ac:dyDescent="0.25">
      <c r="A2201" s="36">
        <v>42013</v>
      </c>
      <c r="B2201" s="7">
        <v>42.23</v>
      </c>
      <c r="C2201" s="7">
        <v>23.98</v>
      </c>
      <c r="D2201" s="7">
        <v>5.76</v>
      </c>
      <c r="E2201" s="7">
        <v>2.81</v>
      </c>
      <c r="G2201" s="31"/>
    </row>
    <row r="2202" spans="1:7" x14ac:dyDescent="0.25">
      <c r="A2202" s="36">
        <v>42014</v>
      </c>
      <c r="B2202" s="7">
        <v>42.13</v>
      </c>
      <c r="C2202" s="7">
        <v>23.9</v>
      </c>
      <c r="D2202" s="7">
        <v>5.56</v>
      </c>
      <c r="E2202" s="7">
        <v>2.68</v>
      </c>
      <c r="G2202" s="31"/>
    </row>
    <row r="2203" spans="1:7" x14ac:dyDescent="0.25">
      <c r="A2203" s="36">
        <v>42015</v>
      </c>
      <c r="B2203" s="7">
        <v>42.05</v>
      </c>
      <c r="C2203" s="7">
        <v>23.8</v>
      </c>
      <c r="D2203" s="7">
        <v>5.48</v>
      </c>
      <c r="E2203" s="7">
        <v>2.62</v>
      </c>
      <c r="G2203" s="31"/>
    </row>
    <row r="2204" spans="1:7" x14ac:dyDescent="0.25">
      <c r="A2204" s="36">
        <v>42016</v>
      </c>
      <c r="B2204" s="7">
        <v>41.98</v>
      </c>
      <c r="C2204" s="7">
        <v>23.72</v>
      </c>
      <c r="D2204" s="7">
        <v>5.4</v>
      </c>
      <c r="E2204" s="7">
        <v>2.5500000000000003</v>
      </c>
      <c r="G2204" s="31"/>
    </row>
    <row r="2205" spans="1:7" x14ac:dyDescent="0.25">
      <c r="A2205" s="36">
        <v>42017</v>
      </c>
      <c r="B2205" s="7">
        <v>41.9</v>
      </c>
      <c r="C2205" s="7">
        <v>23.65</v>
      </c>
      <c r="D2205" s="7">
        <v>5.24</v>
      </c>
      <c r="E2205" s="7">
        <v>2.4500000000000002</v>
      </c>
      <c r="G2205" s="31"/>
    </row>
    <row r="2206" spans="1:7" x14ac:dyDescent="0.25">
      <c r="A2206" s="36">
        <v>42018</v>
      </c>
      <c r="B2206" s="7">
        <v>41.85</v>
      </c>
      <c r="C2206" s="7">
        <v>23.57</v>
      </c>
      <c r="D2206" s="7">
        <v>5.12</v>
      </c>
      <c r="E2206" s="7">
        <v>2.41</v>
      </c>
      <c r="G2206" s="31"/>
    </row>
    <row r="2207" spans="1:7" x14ac:dyDescent="0.25">
      <c r="A2207" s="36">
        <v>42019</v>
      </c>
      <c r="B2207" s="7">
        <v>41.79</v>
      </c>
      <c r="C2207" s="7">
        <v>23.45</v>
      </c>
      <c r="D2207" s="7">
        <v>5.08</v>
      </c>
      <c r="E2207" s="7">
        <v>2.39</v>
      </c>
      <c r="G2207" s="31"/>
    </row>
    <row r="2208" spans="1:7" x14ac:dyDescent="0.25">
      <c r="A2208" s="36">
        <v>42020</v>
      </c>
      <c r="B2208" s="7">
        <v>41.74</v>
      </c>
      <c r="C2208" s="7">
        <v>23.38</v>
      </c>
      <c r="D2208" s="7">
        <v>5.05</v>
      </c>
      <c r="E2208" s="7">
        <v>2.39</v>
      </c>
      <c r="G2208" s="31"/>
    </row>
    <row r="2209" spans="1:7" x14ac:dyDescent="0.25">
      <c r="A2209" s="36">
        <v>42021</v>
      </c>
      <c r="B2209" s="7">
        <v>41.74</v>
      </c>
      <c r="C2209" s="7">
        <v>23.35</v>
      </c>
      <c r="D2209" s="7">
        <v>4.9400000000000004</v>
      </c>
      <c r="E2209" s="7">
        <v>2.29</v>
      </c>
      <c r="G2209" s="31"/>
    </row>
    <row r="2210" spans="1:7" x14ac:dyDescent="0.25">
      <c r="A2210" s="36">
        <v>42022</v>
      </c>
      <c r="B2210" s="7">
        <v>41.71</v>
      </c>
      <c r="C2210" s="7">
        <v>23.2</v>
      </c>
      <c r="D2210" s="7">
        <v>4.9000000000000004</v>
      </c>
      <c r="E2210" s="7">
        <v>2.23</v>
      </c>
      <c r="G2210" s="31"/>
    </row>
    <row r="2211" spans="1:7" x14ac:dyDescent="0.25">
      <c r="A2211" s="36">
        <v>42023</v>
      </c>
      <c r="B2211" s="7">
        <v>41.68</v>
      </c>
      <c r="C2211" s="7">
        <v>23.12</v>
      </c>
      <c r="D2211" s="7">
        <v>4.8</v>
      </c>
      <c r="E2211" s="7">
        <v>2.1800000000000002</v>
      </c>
      <c r="G2211" s="31"/>
    </row>
    <row r="2212" spans="1:7" x14ac:dyDescent="0.25">
      <c r="A2212" s="36">
        <v>42024</v>
      </c>
      <c r="B2212" s="7">
        <v>41.66</v>
      </c>
      <c r="C2212" s="7">
        <v>23.08</v>
      </c>
      <c r="D2212" s="7">
        <v>4.74</v>
      </c>
      <c r="E2212" s="7">
        <v>2.1800000000000002</v>
      </c>
      <c r="G2212" s="31"/>
    </row>
    <row r="2213" spans="1:7" x14ac:dyDescent="0.25">
      <c r="A2213" s="36">
        <v>42025</v>
      </c>
      <c r="B2213" s="7">
        <v>41.66</v>
      </c>
      <c r="C2213" s="7">
        <v>23.02</v>
      </c>
      <c r="D2213" s="7">
        <v>4.66</v>
      </c>
      <c r="E2213" s="7">
        <v>2.1800000000000002</v>
      </c>
      <c r="G2213" s="31"/>
    </row>
    <row r="2214" spans="1:7" x14ac:dyDescent="0.25">
      <c r="A2214" s="36">
        <v>42026</v>
      </c>
      <c r="B2214" s="7">
        <v>41.66</v>
      </c>
      <c r="C2214" s="7">
        <v>23.01</v>
      </c>
      <c r="D2214" s="7">
        <v>4.5999999999999996</v>
      </c>
      <c r="E2214" s="7">
        <v>2.17</v>
      </c>
      <c r="G2214" s="31"/>
    </row>
    <row r="2215" spans="1:7" x14ac:dyDescent="0.25">
      <c r="A2215" s="36">
        <v>42027</v>
      </c>
      <c r="B2215" s="7">
        <v>41.67</v>
      </c>
      <c r="C2215" s="7">
        <v>23.01</v>
      </c>
      <c r="D2215" s="7">
        <v>4.54</v>
      </c>
      <c r="E2215" s="7">
        <v>2.16</v>
      </c>
      <c r="G2215" s="31"/>
    </row>
    <row r="2216" spans="1:7" x14ac:dyDescent="0.25">
      <c r="A2216" s="36">
        <v>42028</v>
      </c>
      <c r="B2216" s="7">
        <v>41.69</v>
      </c>
      <c r="C2216" s="7">
        <v>23.05</v>
      </c>
      <c r="D2216" s="7">
        <v>4.4000000000000004</v>
      </c>
      <c r="E2216" s="7">
        <v>2.15</v>
      </c>
      <c r="G2216" s="31"/>
    </row>
    <row r="2217" spans="1:7" x14ac:dyDescent="0.25">
      <c r="A2217" s="36">
        <v>42029</v>
      </c>
      <c r="B2217" s="7">
        <v>41.71</v>
      </c>
      <c r="C2217" s="7">
        <v>23.05</v>
      </c>
      <c r="D2217" s="7">
        <v>4.4000000000000004</v>
      </c>
      <c r="E2217" s="7">
        <v>2.13</v>
      </c>
      <c r="G2217" s="31"/>
    </row>
    <row r="2218" spans="1:7" x14ac:dyDescent="0.25">
      <c r="A2218" s="36">
        <v>42030</v>
      </c>
      <c r="B2218" s="7">
        <v>41.74</v>
      </c>
      <c r="C2218" s="7">
        <v>23.08</v>
      </c>
      <c r="D2218" s="7">
        <v>4.4000000000000004</v>
      </c>
      <c r="E2218" s="7">
        <v>2.0699999999999998</v>
      </c>
      <c r="G2218" s="31"/>
    </row>
    <row r="2219" spans="1:7" x14ac:dyDescent="0.25">
      <c r="A2219" s="36">
        <v>42031</v>
      </c>
      <c r="B2219" s="7">
        <v>41.78</v>
      </c>
      <c r="C2219" s="7">
        <v>23.06</v>
      </c>
      <c r="D2219" s="7">
        <v>4.3499999999999996</v>
      </c>
      <c r="E2219" s="7">
        <v>2.13</v>
      </c>
      <c r="G2219" s="31"/>
    </row>
    <row r="2220" spans="1:7" x14ac:dyDescent="0.25">
      <c r="A2220" s="36">
        <v>42032</v>
      </c>
      <c r="B2220" s="7">
        <v>41.83</v>
      </c>
      <c r="C2220" s="7">
        <v>23.06</v>
      </c>
      <c r="D2220" s="7">
        <v>4.38</v>
      </c>
      <c r="E2220" s="7">
        <v>2.12</v>
      </c>
      <c r="G2220" s="31"/>
    </row>
    <row r="2221" spans="1:7" x14ac:dyDescent="0.25">
      <c r="A2221" s="36">
        <v>42033</v>
      </c>
      <c r="B2221" s="7">
        <v>41.83</v>
      </c>
      <c r="C2221" s="7">
        <v>23.1</v>
      </c>
      <c r="D2221" s="7">
        <v>4.38</v>
      </c>
      <c r="E2221" s="7">
        <v>2.0500000000000003</v>
      </c>
      <c r="G2221" s="31"/>
    </row>
    <row r="2222" spans="1:7" x14ac:dyDescent="0.25">
      <c r="A2222" s="36">
        <v>42034</v>
      </c>
      <c r="B2222" s="7">
        <v>41.84</v>
      </c>
      <c r="C2222" s="7">
        <v>23.1</v>
      </c>
      <c r="D2222" s="7">
        <v>4.3600000000000003</v>
      </c>
      <c r="E2222" s="7">
        <v>1.98</v>
      </c>
      <c r="G2222" s="31"/>
    </row>
    <row r="2223" spans="1:7" x14ac:dyDescent="0.25">
      <c r="A2223" s="36">
        <v>42035</v>
      </c>
      <c r="B2223" s="7">
        <v>41.83</v>
      </c>
      <c r="C2223" s="7">
        <v>23.1</v>
      </c>
      <c r="D2223" s="7">
        <v>4.3</v>
      </c>
      <c r="E2223" s="7">
        <v>1.98</v>
      </c>
      <c r="G2223" s="31"/>
    </row>
    <row r="2224" spans="1:7" x14ac:dyDescent="0.25">
      <c r="A2224" s="36">
        <v>42036</v>
      </c>
      <c r="B2224" s="7">
        <v>41.83</v>
      </c>
      <c r="C2224" s="7">
        <v>23.15</v>
      </c>
      <c r="D2224" s="7">
        <v>4.28</v>
      </c>
      <c r="E2224" s="7">
        <v>1.98</v>
      </c>
      <c r="G2224" s="31"/>
    </row>
    <row r="2225" spans="1:7" x14ac:dyDescent="0.25">
      <c r="A2225" s="36">
        <v>42037</v>
      </c>
      <c r="B2225" s="7">
        <v>41.82</v>
      </c>
      <c r="C2225" s="7">
        <v>23.2</v>
      </c>
      <c r="D2225" s="7">
        <v>4.26</v>
      </c>
      <c r="E2225" s="7">
        <v>1.96</v>
      </c>
      <c r="G2225" s="31"/>
    </row>
    <row r="2226" spans="1:7" x14ac:dyDescent="0.25">
      <c r="A2226" s="36">
        <v>42038</v>
      </c>
      <c r="B2226" s="7">
        <v>41.81</v>
      </c>
      <c r="C2226" s="7">
        <v>23.2</v>
      </c>
      <c r="D2226" s="7">
        <v>4.2</v>
      </c>
      <c r="E2226" s="7">
        <v>1.96</v>
      </c>
      <c r="G2226" s="31"/>
    </row>
    <row r="2227" spans="1:7" x14ac:dyDescent="0.25">
      <c r="A2227" s="36">
        <v>42039</v>
      </c>
      <c r="B2227" s="7">
        <v>41.83</v>
      </c>
      <c r="C2227" s="7">
        <v>23.18</v>
      </c>
      <c r="D2227" s="7">
        <v>4.3</v>
      </c>
      <c r="E2227" s="7">
        <v>2.0300000000000002</v>
      </c>
      <c r="G2227" s="31"/>
    </row>
    <row r="2228" spans="1:7" x14ac:dyDescent="0.25">
      <c r="A2228" s="36">
        <v>42040</v>
      </c>
      <c r="B2228" s="7">
        <v>41.86</v>
      </c>
      <c r="C2228" s="7">
        <v>23.2</v>
      </c>
      <c r="D2228" s="7">
        <v>4.38</v>
      </c>
      <c r="E2228" s="7">
        <v>2.11</v>
      </c>
      <c r="G2228" s="31"/>
    </row>
    <row r="2229" spans="1:7" x14ac:dyDescent="0.25">
      <c r="A2229" s="36">
        <v>42041</v>
      </c>
      <c r="B2229" s="7">
        <v>41.93</v>
      </c>
      <c r="C2229" s="7">
        <v>23.18</v>
      </c>
      <c r="D2229" s="7">
        <v>4.4000000000000004</v>
      </c>
      <c r="E2229" s="7">
        <v>2.14</v>
      </c>
      <c r="G2229" s="31"/>
    </row>
    <row r="2230" spans="1:7" x14ac:dyDescent="0.25">
      <c r="A2230" s="36">
        <v>42042</v>
      </c>
      <c r="B2230" s="7">
        <v>42.01</v>
      </c>
      <c r="C2230" s="7">
        <v>23.18</v>
      </c>
      <c r="D2230" s="7">
        <v>4.5</v>
      </c>
      <c r="E2230" s="7">
        <v>2.1800000000000002</v>
      </c>
      <c r="G2230" s="31"/>
    </row>
    <row r="2231" spans="1:7" x14ac:dyDescent="0.25">
      <c r="A2231" s="36">
        <v>42043</v>
      </c>
      <c r="B2231" s="7">
        <v>42.09</v>
      </c>
      <c r="C2231" s="7">
        <v>23.18</v>
      </c>
      <c r="D2231" s="7">
        <v>4.54</v>
      </c>
      <c r="E2231" s="7">
        <v>2.141</v>
      </c>
      <c r="G2231" s="31"/>
    </row>
    <row r="2232" spans="1:7" x14ac:dyDescent="0.25">
      <c r="A2232" s="36">
        <v>42044</v>
      </c>
      <c r="B2232" s="7">
        <v>42.14</v>
      </c>
      <c r="C2232" s="7">
        <v>23.18</v>
      </c>
      <c r="D2232" s="7">
        <v>4.5999999999999996</v>
      </c>
      <c r="E2232" s="7">
        <v>2.08</v>
      </c>
      <c r="G2232" s="31"/>
    </row>
    <row r="2233" spans="1:7" x14ac:dyDescent="0.25">
      <c r="A2233" s="36">
        <v>42045</v>
      </c>
      <c r="B2233" s="7">
        <v>42.15</v>
      </c>
      <c r="C2233" s="7">
        <v>23.2</v>
      </c>
      <c r="D2233" s="7">
        <v>4.5999999999999996</v>
      </c>
      <c r="E2233" s="7">
        <v>2.13</v>
      </c>
      <c r="G2233" s="31"/>
    </row>
    <row r="2234" spans="1:7" x14ac:dyDescent="0.25">
      <c r="A2234" s="36">
        <v>42046</v>
      </c>
      <c r="B2234" s="7">
        <v>42.16</v>
      </c>
      <c r="C2234" s="7">
        <v>23.25</v>
      </c>
      <c r="D2234" s="7">
        <v>4.62</v>
      </c>
      <c r="E2234" s="7">
        <v>2.09</v>
      </c>
      <c r="G2234" s="31"/>
    </row>
    <row r="2235" spans="1:7" x14ac:dyDescent="0.25">
      <c r="A2235" s="36">
        <v>42047</v>
      </c>
      <c r="B2235" s="7">
        <v>42.15</v>
      </c>
      <c r="C2235" s="7">
        <v>23.3</v>
      </c>
      <c r="D2235" s="7">
        <v>4.5999999999999996</v>
      </c>
      <c r="E2235" s="7">
        <v>2.13</v>
      </c>
      <c r="G2235" s="31"/>
    </row>
    <row r="2236" spans="1:7" x14ac:dyDescent="0.25">
      <c r="A2236" s="36">
        <v>42048</v>
      </c>
      <c r="B2236" s="7">
        <v>42.12</v>
      </c>
      <c r="C2236" s="7">
        <v>23.33</v>
      </c>
      <c r="D2236" s="7">
        <v>4.5999999999999996</v>
      </c>
      <c r="E2236" s="7">
        <v>2.08</v>
      </c>
      <c r="G2236" s="31"/>
    </row>
    <row r="2237" spans="1:7" x14ac:dyDescent="0.25">
      <c r="A2237" s="36">
        <v>42049</v>
      </c>
      <c r="B2237" s="7">
        <v>42.08</v>
      </c>
      <c r="C2237" s="7">
        <v>23.4</v>
      </c>
      <c r="D2237" s="7">
        <v>4.5999999999999996</v>
      </c>
      <c r="E2237" s="7">
        <v>2.0699999999999998</v>
      </c>
      <c r="G2237" s="31"/>
    </row>
    <row r="2238" spans="1:7" x14ac:dyDescent="0.25">
      <c r="A2238" s="36">
        <v>42050</v>
      </c>
      <c r="B2238" s="7">
        <v>42.03</v>
      </c>
      <c r="C2238" s="7">
        <v>23.5</v>
      </c>
      <c r="D2238" s="7">
        <v>4.62</v>
      </c>
      <c r="E2238" s="7">
        <v>2.06</v>
      </c>
      <c r="G2238" s="31"/>
    </row>
    <row r="2239" spans="1:7" x14ac:dyDescent="0.25">
      <c r="A2239" s="36">
        <v>42051</v>
      </c>
      <c r="B2239" s="7">
        <v>42</v>
      </c>
      <c r="C2239" s="7">
        <v>23.46</v>
      </c>
      <c r="D2239" s="7">
        <v>4.62</v>
      </c>
      <c r="E2239" s="7">
        <v>2.0500000000000003</v>
      </c>
      <c r="G2239" s="31"/>
    </row>
    <row r="2240" spans="1:7" x14ac:dyDescent="0.25">
      <c r="A2240" s="36">
        <v>42052</v>
      </c>
      <c r="B2240" s="7">
        <v>42</v>
      </c>
      <c r="C2240" s="7">
        <v>23.47</v>
      </c>
      <c r="D2240" s="7">
        <v>4.62</v>
      </c>
      <c r="E2240" s="7">
        <v>2.0500000000000003</v>
      </c>
      <c r="G2240" s="31"/>
    </row>
    <row r="2241" spans="1:7" x14ac:dyDescent="0.25">
      <c r="A2241" s="36">
        <v>42053</v>
      </c>
      <c r="B2241" s="7">
        <v>41.98</v>
      </c>
      <c r="C2241" s="7">
        <v>23.4</v>
      </c>
      <c r="D2241" s="7">
        <v>4.68</v>
      </c>
      <c r="E2241" s="7">
        <v>2.12</v>
      </c>
      <c r="G2241" s="31"/>
    </row>
    <row r="2242" spans="1:7" x14ac:dyDescent="0.25">
      <c r="A2242" s="36">
        <v>42054</v>
      </c>
      <c r="B2242" s="7">
        <v>41.97</v>
      </c>
      <c r="C2242" s="7">
        <v>23.3</v>
      </c>
      <c r="D2242" s="7">
        <v>4.68</v>
      </c>
      <c r="E2242" s="7">
        <v>2.2200000000000002</v>
      </c>
      <c r="G2242" s="31"/>
    </row>
    <row r="2243" spans="1:7" x14ac:dyDescent="0.25">
      <c r="A2243" s="36">
        <v>42055</v>
      </c>
      <c r="B2243" s="7">
        <v>41.96</v>
      </c>
      <c r="C2243" s="7">
        <v>23.24</v>
      </c>
      <c r="D2243" s="7">
        <v>4.68</v>
      </c>
      <c r="E2243" s="7">
        <v>2.2800000000000002</v>
      </c>
      <c r="G2243" s="31"/>
    </row>
    <row r="2244" spans="1:7" x14ac:dyDescent="0.25">
      <c r="A2244" s="36">
        <v>42056</v>
      </c>
      <c r="B2244" s="7">
        <v>41.94</v>
      </c>
      <c r="C2244" s="7">
        <v>23.19</v>
      </c>
      <c r="D2244" s="7">
        <v>4.62</v>
      </c>
      <c r="E2244" s="7">
        <v>2.2800000000000002</v>
      </c>
      <c r="G2244" s="31"/>
    </row>
    <row r="2245" spans="1:7" x14ac:dyDescent="0.25">
      <c r="A2245" s="36">
        <v>42057</v>
      </c>
      <c r="B2245" s="7">
        <v>41.88</v>
      </c>
      <c r="C2245" s="7">
        <v>23.19</v>
      </c>
      <c r="D2245" s="7">
        <v>4.58</v>
      </c>
      <c r="E2245" s="7">
        <v>2.2400000000000002</v>
      </c>
      <c r="G2245" s="31"/>
    </row>
    <row r="2246" spans="1:7" x14ac:dyDescent="0.25">
      <c r="A2246" s="36">
        <v>42058</v>
      </c>
      <c r="B2246" s="7">
        <v>41.81</v>
      </c>
      <c r="C2246" s="7">
        <v>23.17</v>
      </c>
      <c r="D2246" s="7">
        <v>4.5599999999999996</v>
      </c>
      <c r="E2246" s="7">
        <v>2.23</v>
      </c>
      <c r="G2246" s="31"/>
    </row>
    <row r="2247" spans="1:7" x14ac:dyDescent="0.25">
      <c r="A2247" s="36">
        <v>42059</v>
      </c>
      <c r="B2247" s="7">
        <v>41.72</v>
      </c>
      <c r="C2247" s="7">
        <v>23.15</v>
      </c>
      <c r="D2247" s="7">
        <v>4.5</v>
      </c>
      <c r="E2247" s="7">
        <v>2.23</v>
      </c>
      <c r="G2247" s="31"/>
    </row>
    <row r="2248" spans="1:7" x14ac:dyDescent="0.25">
      <c r="A2248" s="36">
        <v>42060</v>
      </c>
      <c r="B2248" s="7">
        <v>41.64</v>
      </c>
      <c r="C2248" s="7">
        <v>23.1</v>
      </c>
      <c r="D2248" s="7">
        <v>4.4800000000000004</v>
      </c>
      <c r="E2248" s="7">
        <v>2.13</v>
      </c>
      <c r="G2248" s="31"/>
    </row>
    <row r="2249" spans="1:7" x14ac:dyDescent="0.25">
      <c r="A2249" s="36">
        <v>42061</v>
      </c>
      <c r="B2249" s="7">
        <v>41.64</v>
      </c>
      <c r="C2249" s="7">
        <v>23</v>
      </c>
      <c r="D2249" s="7">
        <v>4.3600000000000003</v>
      </c>
      <c r="E2249" s="7">
        <v>2.12</v>
      </c>
      <c r="G2249" s="31"/>
    </row>
    <row r="2250" spans="1:7" x14ac:dyDescent="0.25">
      <c r="A2250" s="36">
        <v>42062</v>
      </c>
      <c r="B2250" s="7">
        <v>41.46</v>
      </c>
      <c r="C2250" s="7">
        <v>22.95</v>
      </c>
      <c r="D2250" s="7">
        <v>4.3</v>
      </c>
      <c r="E2250" s="7">
        <v>2.0500000000000003</v>
      </c>
      <c r="G2250" s="31"/>
    </row>
    <row r="2251" spans="1:7" x14ac:dyDescent="0.25">
      <c r="A2251" s="36">
        <v>42063</v>
      </c>
      <c r="B2251" s="7">
        <v>41.39</v>
      </c>
      <c r="C2251" s="7">
        <v>22.9</v>
      </c>
      <c r="D2251" s="7">
        <v>4.26</v>
      </c>
      <c r="E2251" s="7">
        <v>1.96</v>
      </c>
      <c r="G2251" s="31"/>
    </row>
    <row r="2252" spans="1:7" x14ac:dyDescent="0.25">
      <c r="A2252" s="36">
        <v>42064</v>
      </c>
      <c r="B2252" s="7">
        <v>41.34</v>
      </c>
      <c r="C2252" s="7">
        <v>22.8</v>
      </c>
      <c r="D2252" s="7">
        <v>4.24</v>
      </c>
      <c r="E2252" s="7">
        <v>1.88</v>
      </c>
      <c r="G2252" s="31"/>
    </row>
    <row r="2253" spans="1:7" x14ac:dyDescent="0.25">
      <c r="A2253" s="36">
        <v>42065</v>
      </c>
      <c r="B2253" s="7">
        <v>41.27</v>
      </c>
      <c r="C2253" s="7">
        <v>22.7</v>
      </c>
      <c r="D2253" s="7">
        <v>4.24</v>
      </c>
      <c r="E2253" s="7">
        <v>1.8599999999999999</v>
      </c>
      <c r="G2253" s="31"/>
    </row>
    <row r="2254" spans="1:7" x14ac:dyDescent="0.25">
      <c r="A2254" s="36">
        <v>42066</v>
      </c>
      <c r="B2254" s="7">
        <v>41.23</v>
      </c>
      <c r="C2254" s="7">
        <v>22.53</v>
      </c>
      <c r="D2254" s="7">
        <v>4</v>
      </c>
      <c r="E2254" s="7">
        <v>1.8599999999999999</v>
      </c>
      <c r="G2254" s="31"/>
    </row>
    <row r="2255" spans="1:7" x14ac:dyDescent="0.25">
      <c r="A2255" s="36">
        <v>42067</v>
      </c>
      <c r="B2255" s="7">
        <v>41.2</v>
      </c>
      <c r="C2255" s="6">
        <v>22.45</v>
      </c>
      <c r="D2255" s="7">
        <v>4</v>
      </c>
      <c r="E2255" s="7">
        <v>1.8599999999999999</v>
      </c>
      <c r="G2255" s="31"/>
    </row>
    <row r="2256" spans="1:7" x14ac:dyDescent="0.25">
      <c r="A2256" s="36">
        <v>42068</v>
      </c>
      <c r="B2256" s="7">
        <v>41.23</v>
      </c>
      <c r="C2256" s="6">
        <v>22.4</v>
      </c>
      <c r="D2256" s="7">
        <v>3.84</v>
      </c>
      <c r="E2256" s="6">
        <v>1.88</v>
      </c>
      <c r="G2256" s="31"/>
    </row>
    <row r="2257" spans="1:7" x14ac:dyDescent="0.25">
      <c r="A2257" s="36">
        <v>42069</v>
      </c>
      <c r="B2257" s="6">
        <v>41.16</v>
      </c>
      <c r="C2257" s="6">
        <v>22.36</v>
      </c>
      <c r="D2257" s="7">
        <v>3.8</v>
      </c>
      <c r="E2257" s="6">
        <v>1.98</v>
      </c>
      <c r="G2257" s="31"/>
    </row>
    <row r="2258" spans="1:7" x14ac:dyDescent="0.25">
      <c r="A2258" s="36">
        <v>42070</v>
      </c>
      <c r="B2258" s="6">
        <v>41.15</v>
      </c>
      <c r="C2258" s="6">
        <v>22.3</v>
      </c>
      <c r="D2258" s="7">
        <v>3.78</v>
      </c>
      <c r="E2258" s="6">
        <v>1.9</v>
      </c>
      <c r="G2258" s="31"/>
    </row>
    <row r="2259" spans="1:7" x14ac:dyDescent="0.25">
      <c r="A2259" s="36">
        <v>42071</v>
      </c>
      <c r="B2259" s="6">
        <v>41.14</v>
      </c>
      <c r="C2259" s="6">
        <v>22.26</v>
      </c>
      <c r="D2259" s="7">
        <v>3.74</v>
      </c>
      <c r="E2259" s="6">
        <v>1.8299999999999998</v>
      </c>
      <c r="G2259" s="31"/>
    </row>
    <row r="2260" spans="1:7" x14ac:dyDescent="0.25">
      <c r="A2260" s="36">
        <v>42072</v>
      </c>
      <c r="B2260" s="6">
        <v>41.12</v>
      </c>
      <c r="C2260" s="6">
        <v>22.25</v>
      </c>
      <c r="D2260" s="7">
        <v>3.7</v>
      </c>
      <c r="E2260" s="6">
        <v>1.78</v>
      </c>
      <c r="G2260" s="31"/>
    </row>
    <row r="2261" spans="1:7" x14ac:dyDescent="0.25">
      <c r="A2261" s="36">
        <v>42073</v>
      </c>
      <c r="B2261" s="6">
        <v>41.08</v>
      </c>
      <c r="C2261" s="6">
        <v>22.23</v>
      </c>
      <c r="D2261" s="7">
        <v>3.64</v>
      </c>
      <c r="E2261" s="6">
        <v>1.8199999999999998</v>
      </c>
      <c r="G2261" s="31"/>
    </row>
    <row r="2262" spans="1:7" x14ac:dyDescent="0.25">
      <c r="A2262" s="36">
        <v>42074</v>
      </c>
      <c r="B2262" s="6">
        <v>41.06</v>
      </c>
      <c r="C2262" s="6">
        <v>22.23</v>
      </c>
      <c r="D2262" s="7">
        <v>3.57</v>
      </c>
      <c r="E2262" s="6">
        <v>1.8199999999999998</v>
      </c>
      <c r="G2262" s="31"/>
    </row>
    <row r="2263" spans="1:7" x14ac:dyDescent="0.25">
      <c r="A2263" s="36">
        <v>42075</v>
      </c>
      <c r="B2263" s="6">
        <v>41.04</v>
      </c>
      <c r="C2263" s="6">
        <v>22.2</v>
      </c>
      <c r="D2263" s="6">
        <v>3.5</v>
      </c>
      <c r="E2263" s="6">
        <v>1.78</v>
      </c>
      <c r="G2263" s="31"/>
    </row>
    <row r="2264" spans="1:7" x14ac:dyDescent="0.25">
      <c r="A2264" s="36">
        <v>42076</v>
      </c>
      <c r="B2264" s="6">
        <v>41.02</v>
      </c>
      <c r="C2264" s="6">
        <v>22.2</v>
      </c>
      <c r="D2264" s="6">
        <v>3.52</v>
      </c>
      <c r="E2264" s="6">
        <v>1.74</v>
      </c>
      <c r="G2264" s="31"/>
    </row>
    <row r="2265" spans="1:7" x14ac:dyDescent="0.25">
      <c r="A2265" s="36">
        <v>42077</v>
      </c>
      <c r="B2265" s="6">
        <v>41</v>
      </c>
      <c r="C2265" s="6">
        <v>22.15</v>
      </c>
      <c r="D2265" s="6">
        <v>3.52</v>
      </c>
      <c r="E2265" s="6">
        <v>1.71</v>
      </c>
      <c r="G2265" s="31"/>
    </row>
    <row r="2266" spans="1:7" x14ac:dyDescent="0.25">
      <c r="A2266" s="36">
        <v>42078</v>
      </c>
      <c r="B2266" s="6">
        <v>41.03</v>
      </c>
      <c r="C2266" s="6">
        <v>22.14</v>
      </c>
      <c r="D2266" s="6">
        <v>3.54</v>
      </c>
      <c r="E2266" s="6">
        <v>1.71</v>
      </c>
      <c r="G2266" s="31"/>
    </row>
    <row r="2267" spans="1:7" x14ac:dyDescent="0.25">
      <c r="A2267" s="36">
        <v>42079</v>
      </c>
      <c r="B2267" s="6">
        <v>41.04</v>
      </c>
      <c r="C2267" s="6">
        <v>22.14</v>
      </c>
      <c r="D2267" s="6">
        <v>3.58</v>
      </c>
      <c r="E2267" s="6">
        <v>1.71</v>
      </c>
      <c r="G2267" s="31"/>
    </row>
    <row r="2268" spans="1:7" x14ac:dyDescent="0.25">
      <c r="A2268" s="36">
        <v>42080</v>
      </c>
      <c r="B2268" s="6">
        <v>41.05</v>
      </c>
      <c r="C2268" s="6">
        <v>22.17</v>
      </c>
      <c r="D2268" s="6">
        <v>3.54</v>
      </c>
      <c r="E2268" s="6">
        <v>1.7</v>
      </c>
      <c r="G2268" s="31"/>
    </row>
    <row r="2269" spans="1:7" x14ac:dyDescent="0.25">
      <c r="A2269" s="36">
        <v>42081</v>
      </c>
      <c r="B2269" s="6">
        <v>41.06</v>
      </c>
      <c r="C2269" s="6">
        <v>22.2</v>
      </c>
      <c r="D2269" s="6">
        <v>3.5</v>
      </c>
      <c r="E2269" s="6">
        <v>1.74</v>
      </c>
      <c r="G2269" s="31"/>
    </row>
    <row r="2270" spans="1:7" x14ac:dyDescent="0.25">
      <c r="A2270" s="36">
        <v>42082</v>
      </c>
      <c r="B2270" s="6">
        <v>41.07</v>
      </c>
      <c r="C2270" s="6">
        <v>22.22</v>
      </c>
      <c r="D2270" s="6">
        <v>3.48</v>
      </c>
      <c r="E2270" s="6">
        <v>1.74</v>
      </c>
      <c r="G2270" s="31"/>
    </row>
    <row r="2271" spans="1:7" x14ac:dyDescent="0.25">
      <c r="A2271" s="36">
        <v>42083</v>
      </c>
      <c r="B2271" s="6">
        <v>41.09</v>
      </c>
      <c r="C2271" s="6">
        <v>22.21</v>
      </c>
      <c r="D2271" s="6">
        <v>3.46</v>
      </c>
      <c r="E2271" s="6">
        <v>1.76</v>
      </c>
      <c r="G2271" s="31"/>
    </row>
    <row r="2272" spans="1:7" x14ac:dyDescent="0.25">
      <c r="A2272" s="36">
        <v>42084</v>
      </c>
      <c r="B2272" s="6">
        <v>41.22</v>
      </c>
      <c r="C2272" s="6">
        <v>22.2</v>
      </c>
      <c r="D2272" s="6">
        <v>3.5</v>
      </c>
      <c r="E2272" s="6">
        <v>1.74</v>
      </c>
      <c r="G2272" s="31"/>
    </row>
    <row r="2273" spans="1:7" x14ac:dyDescent="0.25">
      <c r="A2273" s="36">
        <v>42085</v>
      </c>
      <c r="B2273" s="6">
        <v>41.22</v>
      </c>
      <c r="C2273" s="6">
        <v>22.2</v>
      </c>
      <c r="D2273" s="6">
        <v>3.45</v>
      </c>
      <c r="E2273" s="6">
        <v>1.73</v>
      </c>
      <c r="G2273" s="31"/>
    </row>
    <row r="2274" spans="1:7" x14ac:dyDescent="0.25">
      <c r="A2274" s="36">
        <v>42086</v>
      </c>
      <c r="B2274" s="6">
        <v>41.37</v>
      </c>
      <c r="C2274" s="6">
        <v>22.2</v>
      </c>
      <c r="D2274" s="6">
        <v>3.4</v>
      </c>
      <c r="E2274" s="6">
        <v>1.77</v>
      </c>
      <c r="G2274" s="31"/>
    </row>
    <row r="2275" spans="1:7" x14ac:dyDescent="0.25">
      <c r="A2275" s="36">
        <v>42087</v>
      </c>
      <c r="B2275" s="6">
        <v>41.52</v>
      </c>
      <c r="C2275" s="6">
        <v>22.22</v>
      </c>
      <c r="D2275" s="6">
        <v>3.46</v>
      </c>
      <c r="E2275" s="6">
        <v>1.8299999999999998</v>
      </c>
      <c r="G2275" s="31"/>
    </row>
    <row r="2276" spans="1:7" x14ac:dyDescent="0.25">
      <c r="A2276" s="36">
        <v>42088</v>
      </c>
      <c r="B2276" s="6">
        <v>41.6</v>
      </c>
      <c r="C2276" s="6">
        <v>22.28</v>
      </c>
      <c r="D2276" s="6">
        <v>3.44</v>
      </c>
      <c r="E2276" s="6">
        <v>1.8</v>
      </c>
      <c r="G2276" s="31"/>
    </row>
    <row r="2277" spans="1:7" x14ac:dyDescent="0.25">
      <c r="A2277" s="36">
        <v>42089</v>
      </c>
      <c r="B2277" s="6">
        <v>41.64</v>
      </c>
      <c r="C2277" s="6">
        <v>22.36</v>
      </c>
      <c r="D2277" s="6">
        <v>3.4</v>
      </c>
      <c r="E2277" s="6">
        <v>1.79</v>
      </c>
      <c r="G2277" s="31"/>
    </row>
    <row r="2278" spans="1:7" x14ac:dyDescent="0.25">
      <c r="A2278" s="36">
        <v>42090</v>
      </c>
      <c r="B2278" s="6">
        <v>41.66</v>
      </c>
      <c r="C2278" s="6">
        <v>22.46</v>
      </c>
      <c r="D2278" s="6">
        <v>3.48</v>
      </c>
      <c r="E2278" s="6">
        <v>1.8</v>
      </c>
      <c r="G2278" s="31"/>
    </row>
    <row r="2279" spans="1:7" x14ac:dyDescent="0.25">
      <c r="A2279" s="36">
        <v>42091</v>
      </c>
      <c r="B2279" s="6">
        <v>41.64</v>
      </c>
      <c r="C2279" s="6">
        <v>22.58</v>
      </c>
      <c r="D2279" s="6">
        <v>3.5</v>
      </c>
      <c r="E2279" s="6">
        <v>1.74</v>
      </c>
      <c r="G2279" s="31"/>
    </row>
    <row r="2280" spans="1:7" x14ac:dyDescent="0.25">
      <c r="A2280" s="36">
        <v>42092</v>
      </c>
      <c r="B2280" s="6">
        <v>41.59</v>
      </c>
      <c r="C2280" s="6">
        <v>22.65</v>
      </c>
      <c r="D2280" s="6">
        <v>3.5</v>
      </c>
      <c r="E2280" s="6">
        <v>1.66</v>
      </c>
      <c r="G2280" s="31"/>
    </row>
    <row r="2281" spans="1:7" x14ac:dyDescent="0.25">
      <c r="A2281" s="36">
        <v>42093</v>
      </c>
      <c r="B2281" s="6">
        <v>41.55</v>
      </c>
      <c r="C2281" s="6">
        <v>22.71</v>
      </c>
      <c r="D2281" s="6">
        <v>3.52</v>
      </c>
      <c r="E2281" s="6">
        <v>1.5999999999999999</v>
      </c>
      <c r="G2281" s="31"/>
    </row>
    <row r="2282" spans="1:7" x14ac:dyDescent="0.25">
      <c r="A2282" s="36">
        <v>42094</v>
      </c>
      <c r="B2282" s="6">
        <v>41.51</v>
      </c>
      <c r="C2282" s="6">
        <v>22.73</v>
      </c>
      <c r="D2282" s="6">
        <v>3.52</v>
      </c>
      <c r="E2282" s="6">
        <v>1.64</v>
      </c>
      <c r="G2282" s="31"/>
    </row>
    <row r="2283" spans="1:7" x14ac:dyDescent="0.25">
      <c r="A2283" s="36">
        <v>42095</v>
      </c>
      <c r="B2283" s="6">
        <v>41.49</v>
      </c>
      <c r="C2283" s="6">
        <v>22.73</v>
      </c>
      <c r="D2283" s="6">
        <v>3.5</v>
      </c>
      <c r="E2283" s="6">
        <v>1.73</v>
      </c>
      <c r="G2283" s="31"/>
    </row>
    <row r="2284" spans="1:7" x14ac:dyDescent="0.25">
      <c r="A2284" s="36">
        <v>42096</v>
      </c>
      <c r="B2284" s="6">
        <v>41.48</v>
      </c>
      <c r="C2284" s="6">
        <v>22.73</v>
      </c>
      <c r="D2284" s="6">
        <v>3.54</v>
      </c>
      <c r="E2284" s="6">
        <v>1.68</v>
      </c>
      <c r="G2284" s="31"/>
    </row>
    <row r="2285" spans="1:7" x14ac:dyDescent="0.25">
      <c r="A2285" s="36">
        <v>42097</v>
      </c>
      <c r="B2285" s="6">
        <v>41.48</v>
      </c>
      <c r="C2285" s="6">
        <v>22.69</v>
      </c>
      <c r="D2285" s="6">
        <v>3.76</v>
      </c>
      <c r="E2285" s="6">
        <v>1.72</v>
      </c>
      <c r="G2285" s="31"/>
    </row>
    <row r="2286" spans="1:7" x14ac:dyDescent="0.25">
      <c r="A2286" s="36">
        <v>42098</v>
      </c>
      <c r="B2286" s="6">
        <v>41.47</v>
      </c>
      <c r="C2286" s="6">
        <v>22.63</v>
      </c>
      <c r="D2286" s="6">
        <v>3.72</v>
      </c>
      <c r="E2286" s="6">
        <v>1.73</v>
      </c>
      <c r="G2286" s="31"/>
    </row>
    <row r="2287" spans="1:7" x14ac:dyDescent="0.25">
      <c r="A2287" s="36">
        <v>42099</v>
      </c>
      <c r="B2287" s="6">
        <v>41.49</v>
      </c>
      <c r="C2287" s="6">
        <v>22.6</v>
      </c>
      <c r="D2287" s="6">
        <v>3.72</v>
      </c>
      <c r="E2287" s="6">
        <v>1.75</v>
      </c>
      <c r="G2287" s="31"/>
    </row>
    <row r="2288" spans="1:7" x14ac:dyDescent="0.25">
      <c r="A2288" s="36">
        <v>42100</v>
      </c>
      <c r="B2288" s="6">
        <v>41.51</v>
      </c>
      <c r="C2288" s="6">
        <v>22.57</v>
      </c>
      <c r="D2288" s="6">
        <v>3.72</v>
      </c>
      <c r="E2288" s="6">
        <v>1.8099999999999998</v>
      </c>
      <c r="G2288" s="31"/>
    </row>
    <row r="2289" spans="1:7" x14ac:dyDescent="0.25">
      <c r="A2289" s="36">
        <v>42101</v>
      </c>
      <c r="B2289" s="6">
        <v>41.56</v>
      </c>
      <c r="C2289" s="6">
        <v>22.52</v>
      </c>
      <c r="D2289" s="6">
        <v>3.7</v>
      </c>
      <c r="E2289" s="6">
        <v>1.8099999999999998</v>
      </c>
      <c r="G2289" s="31"/>
    </row>
    <row r="2290" spans="1:7" x14ac:dyDescent="0.25">
      <c r="A2290" s="36">
        <v>42102</v>
      </c>
      <c r="B2290" s="6">
        <v>41.6</v>
      </c>
      <c r="C2290" s="6">
        <v>22.52</v>
      </c>
      <c r="D2290" s="6">
        <v>3.68</v>
      </c>
      <c r="E2290" s="6">
        <v>1.8499999999999999</v>
      </c>
      <c r="G2290" s="31"/>
    </row>
    <row r="2291" spans="1:7" x14ac:dyDescent="0.25">
      <c r="A2291" s="36">
        <v>42103</v>
      </c>
      <c r="B2291" s="6">
        <v>41.64</v>
      </c>
      <c r="C2291" s="6">
        <v>22.58</v>
      </c>
      <c r="D2291" s="6">
        <v>3.66</v>
      </c>
      <c r="E2291" s="6">
        <v>1.8299999999999998</v>
      </c>
      <c r="G2291" s="31"/>
    </row>
    <row r="2292" spans="1:7" x14ac:dyDescent="0.25">
      <c r="A2292" s="36">
        <v>42104</v>
      </c>
      <c r="B2292" s="6">
        <v>41.64</v>
      </c>
      <c r="C2292" s="6">
        <v>22.62</v>
      </c>
      <c r="D2292" s="6">
        <v>3.66</v>
      </c>
      <c r="E2292" s="6">
        <v>1.8499999999999999</v>
      </c>
      <c r="G2292" s="31"/>
    </row>
    <row r="2293" spans="1:7" x14ac:dyDescent="0.25">
      <c r="A2293" s="36">
        <v>42105</v>
      </c>
      <c r="B2293" s="6">
        <v>41.64</v>
      </c>
      <c r="C2293" s="6">
        <v>22.7</v>
      </c>
      <c r="D2293" s="6">
        <v>3.66</v>
      </c>
      <c r="E2293" s="6">
        <v>1.92</v>
      </c>
      <c r="G2293" s="31"/>
    </row>
    <row r="2294" spans="1:7" x14ac:dyDescent="0.25">
      <c r="A2294" s="36">
        <v>42106</v>
      </c>
      <c r="B2294" s="6">
        <v>41.64</v>
      </c>
      <c r="C2294" s="6">
        <v>22.78</v>
      </c>
      <c r="D2294" s="6">
        <v>3.68</v>
      </c>
      <c r="E2294" s="6">
        <v>1.77</v>
      </c>
      <c r="G2294" s="31"/>
    </row>
    <row r="2295" spans="1:7" x14ac:dyDescent="0.25">
      <c r="A2295" s="36">
        <v>42107</v>
      </c>
      <c r="B2295" s="6">
        <v>41.66</v>
      </c>
      <c r="C2295" s="6">
        <v>22.83</v>
      </c>
      <c r="D2295" s="6">
        <v>3.68</v>
      </c>
      <c r="E2295" s="6">
        <v>1.8399999999999999</v>
      </c>
      <c r="G2295" s="31"/>
    </row>
    <row r="2296" spans="1:7" x14ac:dyDescent="0.25">
      <c r="A2296" s="36">
        <v>42108</v>
      </c>
      <c r="B2296" s="6">
        <v>41.69</v>
      </c>
      <c r="C2296" s="6">
        <v>22.9</v>
      </c>
      <c r="D2296" s="6">
        <v>3.7</v>
      </c>
      <c r="E2296" s="6">
        <v>1.88</v>
      </c>
      <c r="G2296" s="31"/>
    </row>
    <row r="2297" spans="1:7" x14ac:dyDescent="0.25">
      <c r="A2297" s="36">
        <v>42109</v>
      </c>
      <c r="B2297" s="6">
        <v>41.76</v>
      </c>
      <c r="C2297" s="6">
        <v>23.04</v>
      </c>
      <c r="D2297" s="6">
        <v>3.78</v>
      </c>
      <c r="E2297" s="6">
        <v>1.8399999999999999</v>
      </c>
      <c r="G2297" s="31"/>
    </row>
    <row r="2298" spans="1:7" x14ac:dyDescent="0.25">
      <c r="A2298" s="36">
        <v>42110</v>
      </c>
      <c r="B2298" s="6">
        <v>41.85</v>
      </c>
      <c r="C2298" s="6">
        <v>23.07</v>
      </c>
      <c r="D2298" s="6">
        <v>3.88</v>
      </c>
      <c r="E2298" s="6">
        <v>1.89</v>
      </c>
      <c r="G2298" s="31"/>
    </row>
    <row r="2299" spans="1:7" x14ac:dyDescent="0.25">
      <c r="A2299" s="36">
        <v>42111</v>
      </c>
      <c r="B2299" s="6">
        <v>41.94</v>
      </c>
      <c r="C2299" s="6">
        <v>23.11</v>
      </c>
      <c r="D2299" s="6">
        <v>3.98</v>
      </c>
      <c r="E2299" s="6">
        <v>1.99</v>
      </c>
      <c r="G2299" s="31"/>
    </row>
    <row r="2300" spans="1:7" x14ac:dyDescent="0.25">
      <c r="A2300" s="36">
        <v>42112</v>
      </c>
      <c r="B2300" s="6">
        <v>42.06</v>
      </c>
      <c r="C2300" s="6">
        <v>23.17</v>
      </c>
      <c r="D2300" s="6">
        <v>4.0199999999999996</v>
      </c>
      <c r="E2300" s="6">
        <v>2.0300000000000002</v>
      </c>
      <c r="G2300" s="31"/>
    </row>
    <row r="2301" spans="1:7" x14ac:dyDescent="0.25">
      <c r="A2301" s="36">
        <v>42113</v>
      </c>
      <c r="B2301" s="6">
        <v>42.21</v>
      </c>
      <c r="C2301" s="6">
        <v>23.23</v>
      </c>
      <c r="D2301" s="6">
        <v>4.0999999999999996</v>
      </c>
      <c r="E2301" s="6">
        <v>2.0500000000000003</v>
      </c>
      <c r="G2301" s="31"/>
    </row>
    <row r="2302" spans="1:7" x14ac:dyDescent="0.25">
      <c r="A2302" s="36">
        <v>42114</v>
      </c>
      <c r="B2302" s="6">
        <v>42.34</v>
      </c>
      <c r="C2302" s="6">
        <v>23.29</v>
      </c>
      <c r="D2302" s="6">
        <v>4.1399999999999997</v>
      </c>
      <c r="E2302" s="6">
        <v>2.06</v>
      </c>
      <c r="G2302" s="31"/>
    </row>
    <row r="2303" spans="1:7" x14ac:dyDescent="0.25">
      <c r="A2303" s="36">
        <v>42115</v>
      </c>
      <c r="B2303" s="6">
        <v>42.5</v>
      </c>
      <c r="C2303" s="6">
        <v>23.4</v>
      </c>
      <c r="D2303" s="6">
        <v>4.24</v>
      </c>
      <c r="E2303" s="6">
        <v>2.13</v>
      </c>
      <c r="G2303" s="31"/>
    </row>
    <row r="2304" spans="1:7" x14ac:dyDescent="0.25">
      <c r="A2304" s="36">
        <v>42116</v>
      </c>
      <c r="B2304" s="6">
        <v>42.69</v>
      </c>
      <c r="C2304" s="6">
        <v>23.55</v>
      </c>
      <c r="D2304" s="6">
        <v>4.5</v>
      </c>
      <c r="E2304" s="6">
        <v>2.1800000000000002</v>
      </c>
      <c r="G2304" s="31"/>
    </row>
    <row r="2305" spans="1:7" x14ac:dyDescent="0.25">
      <c r="A2305" s="36">
        <v>42117</v>
      </c>
      <c r="B2305" s="6">
        <v>42.89</v>
      </c>
      <c r="C2305" s="6">
        <v>23.75</v>
      </c>
      <c r="D2305" s="6">
        <v>4.54</v>
      </c>
      <c r="E2305" s="6">
        <v>2.27</v>
      </c>
      <c r="G2305" s="31"/>
    </row>
    <row r="2306" spans="1:7" x14ac:dyDescent="0.25">
      <c r="A2306" s="36">
        <v>42118</v>
      </c>
      <c r="B2306" s="6">
        <v>43.14</v>
      </c>
      <c r="C2306" s="6">
        <v>23.99</v>
      </c>
      <c r="D2306" s="6">
        <v>4.6399999999999997</v>
      </c>
      <c r="E2306" s="6">
        <v>2.33</v>
      </c>
      <c r="G2306" s="31"/>
    </row>
    <row r="2307" spans="1:7" x14ac:dyDescent="0.25">
      <c r="A2307" s="36">
        <v>42119</v>
      </c>
      <c r="B2307" s="6">
        <v>43.37</v>
      </c>
      <c r="C2307" s="6">
        <v>24.15</v>
      </c>
      <c r="D2307" s="6">
        <v>4.74</v>
      </c>
      <c r="E2307" s="6">
        <v>2.33</v>
      </c>
      <c r="G2307" s="31"/>
    </row>
    <row r="2308" spans="1:7" x14ac:dyDescent="0.25">
      <c r="A2308" s="36">
        <v>42120</v>
      </c>
      <c r="B2308" s="6">
        <v>43.6</v>
      </c>
      <c r="C2308" s="6">
        <v>24.4</v>
      </c>
      <c r="D2308" s="6">
        <v>4.8600000000000003</v>
      </c>
      <c r="E2308" s="6">
        <v>2.37</v>
      </c>
      <c r="G2308" s="31"/>
    </row>
    <row r="2309" spans="1:7" x14ac:dyDescent="0.25">
      <c r="A2309" s="36">
        <v>42121</v>
      </c>
      <c r="B2309" s="6">
        <v>43.74</v>
      </c>
      <c r="C2309" s="6">
        <v>24.59</v>
      </c>
      <c r="D2309" s="6">
        <v>5.14</v>
      </c>
      <c r="E2309" s="6">
        <v>2.4900000000000002</v>
      </c>
      <c r="G2309" s="31"/>
    </row>
    <row r="2310" spans="1:7" x14ac:dyDescent="0.25">
      <c r="A2310" s="36">
        <v>42122</v>
      </c>
      <c r="B2310" s="6">
        <v>43.85</v>
      </c>
      <c r="C2310" s="6">
        <v>24.82</v>
      </c>
      <c r="D2310" s="6">
        <v>5.3</v>
      </c>
      <c r="E2310" s="6">
        <v>2.58</v>
      </c>
      <c r="G2310" s="31"/>
    </row>
    <row r="2311" spans="1:7" x14ac:dyDescent="0.25">
      <c r="A2311" s="36">
        <v>42123</v>
      </c>
      <c r="B2311" s="6">
        <v>43.94</v>
      </c>
      <c r="C2311" s="6">
        <v>25.05</v>
      </c>
      <c r="D2311" s="6">
        <v>5.38</v>
      </c>
      <c r="E2311" s="6">
        <v>2.6700000000000004</v>
      </c>
      <c r="G2311" s="31"/>
    </row>
    <row r="2312" spans="1:7" x14ac:dyDescent="0.25">
      <c r="A2312" s="36">
        <v>42124</v>
      </c>
      <c r="B2312" s="6">
        <v>44.03</v>
      </c>
      <c r="C2312" s="6">
        <v>25.19</v>
      </c>
      <c r="D2312" s="6">
        <v>5.72</v>
      </c>
      <c r="E2312" s="6">
        <v>2.8200000000000003</v>
      </c>
      <c r="G2312" s="31"/>
    </row>
    <row r="2313" spans="1:7" x14ac:dyDescent="0.25">
      <c r="A2313" s="36">
        <v>42125</v>
      </c>
      <c r="B2313" s="6">
        <v>44.1</v>
      </c>
      <c r="C2313" s="6">
        <v>25.26</v>
      </c>
      <c r="D2313" s="6">
        <v>5.94</v>
      </c>
      <c r="E2313" s="6">
        <v>2.93</v>
      </c>
      <c r="G2313" s="31"/>
    </row>
    <row r="2314" spans="1:7" x14ac:dyDescent="0.25">
      <c r="A2314" s="36">
        <v>42126</v>
      </c>
      <c r="B2314" s="6">
        <v>44.16</v>
      </c>
      <c r="C2314" s="6">
        <v>25.31</v>
      </c>
      <c r="D2314" s="6">
        <v>6.1</v>
      </c>
      <c r="E2314" s="6">
        <v>3.0100000000000002</v>
      </c>
      <c r="G2314" s="31"/>
    </row>
    <row r="2315" spans="1:7" x14ac:dyDescent="0.25">
      <c r="A2315" s="36">
        <v>42127</v>
      </c>
      <c r="B2315" s="6">
        <v>44.22</v>
      </c>
      <c r="C2315" s="6">
        <v>25.39</v>
      </c>
      <c r="D2315" s="6">
        <v>6.24</v>
      </c>
      <c r="E2315" s="6">
        <v>3.0900000000000003</v>
      </c>
      <c r="G2315" s="31"/>
    </row>
    <row r="2316" spans="1:7" x14ac:dyDescent="0.25">
      <c r="A2316" s="36">
        <v>42128</v>
      </c>
      <c r="B2316" s="6">
        <v>44.24</v>
      </c>
      <c r="C2316" s="6">
        <v>25.49</v>
      </c>
      <c r="D2316" s="6">
        <v>6.34</v>
      </c>
      <c r="E2316" s="6">
        <v>3.18</v>
      </c>
      <c r="G2316" s="31"/>
    </row>
    <row r="2317" spans="1:7" x14ac:dyDescent="0.25">
      <c r="A2317" s="36">
        <v>42129</v>
      </c>
      <c r="B2317" s="6">
        <v>44.2</v>
      </c>
      <c r="C2317" s="6">
        <v>25.6</v>
      </c>
      <c r="D2317" s="6">
        <v>6.49</v>
      </c>
      <c r="E2317" s="6">
        <v>3.25</v>
      </c>
      <c r="G2317" s="31"/>
    </row>
    <row r="2318" spans="1:7" x14ac:dyDescent="0.25">
      <c r="A2318" s="36">
        <v>42130</v>
      </c>
      <c r="B2318" s="6">
        <v>44.18</v>
      </c>
      <c r="C2318" s="6">
        <v>25.67</v>
      </c>
      <c r="D2318" s="6">
        <v>6.54</v>
      </c>
      <c r="E2318" s="6">
        <v>3.33</v>
      </c>
      <c r="G2318" s="31"/>
    </row>
    <row r="2319" spans="1:7" x14ac:dyDescent="0.25">
      <c r="A2319" s="36">
        <v>42131</v>
      </c>
      <c r="B2319" s="6">
        <v>44.12</v>
      </c>
      <c r="C2319" s="6">
        <v>25.64</v>
      </c>
      <c r="D2319" s="6">
        <v>6.48</v>
      </c>
      <c r="E2319" s="6">
        <v>3.33</v>
      </c>
      <c r="G2319" s="31"/>
    </row>
    <row r="2320" spans="1:7" x14ac:dyDescent="0.25">
      <c r="A2320" s="36">
        <v>42132</v>
      </c>
      <c r="B2320" s="6">
        <v>44.07</v>
      </c>
      <c r="C2320" s="6">
        <v>25.61</v>
      </c>
      <c r="D2320" s="6">
        <v>6.56</v>
      </c>
      <c r="E2320" s="6">
        <v>3.43</v>
      </c>
      <c r="G2320" s="31"/>
    </row>
    <row r="2321" spans="1:7" x14ac:dyDescent="0.25">
      <c r="A2321" s="36">
        <v>42133</v>
      </c>
      <c r="B2321" s="6">
        <v>44.01</v>
      </c>
      <c r="C2321" s="6">
        <v>25.55</v>
      </c>
      <c r="D2321" s="6">
        <v>6.66</v>
      </c>
      <c r="E2321" s="6">
        <v>3.47</v>
      </c>
      <c r="G2321" s="31"/>
    </row>
    <row r="2322" spans="1:7" x14ac:dyDescent="0.25">
      <c r="A2322" s="36">
        <v>42134</v>
      </c>
      <c r="B2322" s="6">
        <v>43.96</v>
      </c>
      <c r="C2322" s="6">
        <v>25.48</v>
      </c>
      <c r="D2322" s="6">
        <v>6.58</v>
      </c>
      <c r="E2322" s="6">
        <v>3.49</v>
      </c>
      <c r="G2322" s="31"/>
    </row>
    <row r="2323" spans="1:7" x14ac:dyDescent="0.25">
      <c r="A2323" s="36">
        <v>42135</v>
      </c>
      <c r="B2323" s="6">
        <v>43.92</v>
      </c>
      <c r="C2323" s="6">
        <v>25.4</v>
      </c>
      <c r="D2323" s="6">
        <v>6.56</v>
      </c>
      <c r="E2323" s="6">
        <v>3.49</v>
      </c>
      <c r="G2323" s="31"/>
    </row>
    <row r="2324" spans="1:7" x14ac:dyDescent="0.25">
      <c r="A2324" s="36">
        <v>42136</v>
      </c>
      <c r="B2324" s="6">
        <v>43.9</v>
      </c>
      <c r="C2324" s="6">
        <v>25.3</v>
      </c>
      <c r="D2324" s="6">
        <v>6.58</v>
      </c>
      <c r="E2324" s="6">
        <v>3.49</v>
      </c>
      <c r="G2324" s="31"/>
    </row>
    <row r="2325" spans="1:7" x14ac:dyDescent="0.25">
      <c r="A2325" s="36">
        <v>42137</v>
      </c>
      <c r="B2325" s="6">
        <v>43.85</v>
      </c>
      <c r="C2325" s="6">
        <v>25.16</v>
      </c>
      <c r="D2325" s="6">
        <v>6.44</v>
      </c>
      <c r="E2325" s="6">
        <v>3.33</v>
      </c>
      <c r="G2325" s="31"/>
    </row>
    <row r="2326" spans="1:7" x14ac:dyDescent="0.25">
      <c r="A2326" s="36">
        <v>42138</v>
      </c>
      <c r="B2326" s="6">
        <v>43.85</v>
      </c>
      <c r="C2326" s="6">
        <v>25.1</v>
      </c>
      <c r="D2326" s="6">
        <v>6.4</v>
      </c>
      <c r="E2326" s="6">
        <v>3.39</v>
      </c>
      <c r="G2326" s="31"/>
    </row>
    <row r="2327" spans="1:7" x14ac:dyDescent="0.25">
      <c r="A2327" s="36">
        <v>42139</v>
      </c>
      <c r="B2327" s="6">
        <v>43.9</v>
      </c>
      <c r="C2327" s="6">
        <v>25.04</v>
      </c>
      <c r="D2327" s="6">
        <v>6.42</v>
      </c>
      <c r="E2327" s="6">
        <v>3.41</v>
      </c>
      <c r="G2327" s="31"/>
    </row>
    <row r="2328" spans="1:7" x14ac:dyDescent="0.25">
      <c r="A2328" s="36">
        <v>42140</v>
      </c>
      <c r="B2328" s="6">
        <v>43.9</v>
      </c>
      <c r="C2328" s="6">
        <v>24.98</v>
      </c>
      <c r="D2328" s="6">
        <v>6.28</v>
      </c>
      <c r="E2328" s="6">
        <v>3.3000000000000003</v>
      </c>
      <c r="G2328" s="31"/>
    </row>
    <row r="2329" spans="1:7" x14ac:dyDescent="0.25">
      <c r="A2329" s="36">
        <v>42141</v>
      </c>
      <c r="B2329" s="6">
        <v>43.93</v>
      </c>
      <c r="C2329" s="6">
        <v>24.98</v>
      </c>
      <c r="D2329" s="6">
        <v>6.2</v>
      </c>
      <c r="E2329" s="6">
        <v>3.3000000000000003</v>
      </c>
      <c r="G2329" s="31"/>
    </row>
    <row r="2330" spans="1:7" x14ac:dyDescent="0.25">
      <c r="A2330" s="36">
        <v>42142</v>
      </c>
      <c r="B2330" s="6">
        <v>44.04</v>
      </c>
      <c r="C2330" s="6">
        <v>25.04</v>
      </c>
      <c r="D2330" s="6">
        <v>6.16</v>
      </c>
      <c r="E2330" s="6">
        <v>3.24</v>
      </c>
      <c r="G2330" s="31"/>
    </row>
    <row r="2331" spans="1:7" x14ac:dyDescent="0.25">
      <c r="A2331" s="36">
        <v>42143</v>
      </c>
      <c r="B2331" s="6">
        <v>44.1</v>
      </c>
      <c r="C2331" s="6">
        <v>25.13</v>
      </c>
      <c r="D2331" s="6">
        <v>6.2</v>
      </c>
      <c r="E2331" s="6">
        <v>3.19</v>
      </c>
      <c r="G2331" s="31"/>
    </row>
    <row r="2332" spans="1:7" x14ac:dyDescent="0.25">
      <c r="A2332" s="36">
        <v>42144</v>
      </c>
      <c r="B2332" s="6">
        <v>44.12</v>
      </c>
      <c r="C2332" s="6">
        <v>25.18</v>
      </c>
      <c r="D2332" s="6">
        <v>6.4</v>
      </c>
      <c r="E2332" s="6">
        <v>3.2600000000000002</v>
      </c>
      <c r="G2332" s="31"/>
    </row>
    <row r="2333" spans="1:7" x14ac:dyDescent="0.25">
      <c r="A2333" s="36">
        <v>42145</v>
      </c>
      <c r="B2333" s="6">
        <v>44.39</v>
      </c>
      <c r="C2333" s="6">
        <v>25.22</v>
      </c>
      <c r="D2333" s="6">
        <v>6.66</v>
      </c>
      <c r="E2333" s="6">
        <v>3.39</v>
      </c>
      <c r="G2333" s="31"/>
    </row>
    <row r="2334" spans="1:7" x14ac:dyDescent="0.25">
      <c r="A2334" s="36">
        <v>42146</v>
      </c>
      <c r="B2334" s="6">
        <v>44.61</v>
      </c>
      <c r="C2334" s="6">
        <v>25.32</v>
      </c>
      <c r="D2334" s="6">
        <v>6.86</v>
      </c>
      <c r="E2334" s="6">
        <v>3.54</v>
      </c>
      <c r="G2334" s="31"/>
    </row>
    <row r="2335" spans="1:7" x14ac:dyDescent="0.25">
      <c r="A2335" s="36">
        <v>42147</v>
      </c>
      <c r="B2335" s="6">
        <v>44.8</v>
      </c>
      <c r="C2335" s="6">
        <v>25.43</v>
      </c>
      <c r="D2335" s="6">
        <v>6.98</v>
      </c>
      <c r="E2335" s="6">
        <v>3.62</v>
      </c>
      <c r="G2335" s="31"/>
    </row>
    <row r="2336" spans="1:7" x14ac:dyDescent="0.25">
      <c r="A2336" s="36">
        <v>42148</v>
      </c>
      <c r="B2336" s="6">
        <v>45.03</v>
      </c>
      <c r="C2336" s="6">
        <v>25.62</v>
      </c>
      <c r="D2336" s="6">
        <v>7.08</v>
      </c>
      <c r="E2336" s="6">
        <v>3.71</v>
      </c>
      <c r="G2336" s="31"/>
    </row>
    <row r="2337" spans="1:7" x14ac:dyDescent="0.25">
      <c r="A2337" s="36">
        <v>42149</v>
      </c>
      <c r="B2337" s="6">
        <v>45.25</v>
      </c>
      <c r="C2337" s="7">
        <v>25.84</v>
      </c>
      <c r="D2337" s="7">
        <v>7.18</v>
      </c>
      <c r="E2337" s="6">
        <v>3.79</v>
      </c>
      <c r="G2337" s="31"/>
    </row>
    <row r="2338" spans="1:7" x14ac:dyDescent="0.25">
      <c r="A2338" s="36">
        <v>42150</v>
      </c>
      <c r="B2338" s="6">
        <v>45.46</v>
      </c>
      <c r="C2338" s="7">
        <v>26.1</v>
      </c>
      <c r="D2338" s="7">
        <v>7.22</v>
      </c>
      <c r="E2338" s="7">
        <v>3.8400000000000003</v>
      </c>
      <c r="G2338" s="31"/>
    </row>
    <row r="2339" spans="1:7" x14ac:dyDescent="0.25">
      <c r="A2339" s="36">
        <v>42151</v>
      </c>
      <c r="B2339" s="7">
        <v>45.49</v>
      </c>
      <c r="C2339" s="7">
        <v>26.34</v>
      </c>
      <c r="D2339" s="7">
        <v>7.26</v>
      </c>
      <c r="E2339" s="7">
        <v>3.8800000000000003</v>
      </c>
      <c r="G2339" s="31"/>
    </row>
    <row r="2340" spans="1:7" x14ac:dyDescent="0.25">
      <c r="A2340" s="36">
        <v>42152</v>
      </c>
      <c r="B2340" s="7">
        <v>45.63</v>
      </c>
      <c r="C2340" s="7">
        <v>26.54</v>
      </c>
      <c r="D2340" s="7">
        <v>7.5</v>
      </c>
      <c r="E2340" s="7">
        <v>4.1399999999999997</v>
      </c>
      <c r="G2340" s="31"/>
    </row>
    <row r="2341" spans="1:7" x14ac:dyDescent="0.25">
      <c r="A2341" s="36">
        <v>42153</v>
      </c>
      <c r="B2341" s="7">
        <v>45.78</v>
      </c>
      <c r="C2341" s="7">
        <v>26.68</v>
      </c>
      <c r="D2341" s="7">
        <v>7.58</v>
      </c>
      <c r="E2341" s="7">
        <v>4.0599999999999996</v>
      </c>
      <c r="G2341" s="31"/>
    </row>
    <row r="2342" spans="1:7" x14ac:dyDescent="0.25">
      <c r="A2342" s="36">
        <v>42154</v>
      </c>
      <c r="B2342" s="7">
        <v>45.88</v>
      </c>
      <c r="C2342" s="7">
        <v>26.8</v>
      </c>
      <c r="D2342" s="7">
        <v>7.76</v>
      </c>
      <c r="E2342" s="7">
        <v>4.17</v>
      </c>
      <c r="G2342" s="31"/>
    </row>
    <row r="2343" spans="1:7" x14ac:dyDescent="0.25">
      <c r="A2343" s="36">
        <v>42155</v>
      </c>
      <c r="B2343" s="7">
        <v>46</v>
      </c>
      <c r="C2343" s="7">
        <v>26.9</v>
      </c>
      <c r="D2343" s="7">
        <v>7.92</v>
      </c>
      <c r="E2343" s="7">
        <v>4.2699999999999996</v>
      </c>
      <c r="G2343" s="31"/>
    </row>
    <row r="2344" spans="1:7" x14ac:dyDescent="0.25">
      <c r="A2344" s="36">
        <v>42156</v>
      </c>
      <c r="B2344" s="7">
        <v>46.12</v>
      </c>
      <c r="C2344" s="7">
        <v>27.03</v>
      </c>
      <c r="D2344" s="7">
        <v>8.14</v>
      </c>
      <c r="E2344" s="7">
        <v>4.38</v>
      </c>
      <c r="G2344" s="31"/>
    </row>
    <row r="2345" spans="1:7" x14ac:dyDescent="0.25">
      <c r="A2345" s="36">
        <v>42157</v>
      </c>
      <c r="B2345" s="7">
        <v>46.26</v>
      </c>
      <c r="C2345" s="7">
        <v>27.18</v>
      </c>
      <c r="D2345" s="7">
        <v>8.26</v>
      </c>
      <c r="E2345" s="7">
        <v>4.55</v>
      </c>
      <c r="G2345" s="31"/>
    </row>
    <row r="2346" spans="1:7" x14ac:dyDescent="0.25">
      <c r="A2346" s="36">
        <v>42158</v>
      </c>
      <c r="B2346" s="7">
        <v>46.54</v>
      </c>
      <c r="C2346" s="7">
        <v>27.31</v>
      </c>
      <c r="D2346" s="7">
        <v>8.4</v>
      </c>
      <c r="E2346" s="7">
        <v>4.6399999999999997</v>
      </c>
      <c r="G2346" s="31"/>
    </row>
    <row r="2347" spans="1:7" x14ac:dyDescent="0.25">
      <c r="A2347" s="36">
        <v>42159</v>
      </c>
      <c r="B2347" s="7">
        <v>46.6</v>
      </c>
      <c r="C2347" s="7">
        <v>27.48</v>
      </c>
      <c r="D2347" s="7">
        <v>8.48</v>
      </c>
      <c r="E2347" s="7">
        <v>4.84</v>
      </c>
      <c r="G2347" s="31"/>
    </row>
    <row r="2348" spans="1:7" x14ac:dyDescent="0.25">
      <c r="A2348" s="36">
        <v>42160</v>
      </c>
      <c r="B2348" s="7">
        <v>46.64</v>
      </c>
      <c r="C2348" s="7">
        <v>27.63</v>
      </c>
      <c r="D2348" s="7">
        <v>8.8800000000000008</v>
      </c>
      <c r="E2348" s="7">
        <v>5.01</v>
      </c>
      <c r="G2348" s="31"/>
    </row>
    <row r="2349" spans="1:7" x14ac:dyDescent="0.25">
      <c r="A2349" s="36">
        <v>42161</v>
      </c>
      <c r="B2349" s="7">
        <v>46.69</v>
      </c>
      <c r="C2349" s="7">
        <v>27.75</v>
      </c>
      <c r="D2349" s="7">
        <v>9.14</v>
      </c>
      <c r="E2349" s="7">
        <v>5.1499999999999995</v>
      </c>
      <c r="G2349" s="31"/>
    </row>
    <row r="2350" spans="1:7" x14ac:dyDescent="0.25">
      <c r="A2350" s="36">
        <v>42162</v>
      </c>
      <c r="B2350" s="7">
        <v>46.73</v>
      </c>
      <c r="C2350" s="7">
        <v>27.84</v>
      </c>
      <c r="D2350" s="7">
        <v>9.34</v>
      </c>
      <c r="E2350" s="7">
        <v>5.3</v>
      </c>
      <c r="G2350" s="31"/>
    </row>
    <row r="2351" spans="1:7" x14ac:dyDescent="0.25">
      <c r="A2351" s="36">
        <v>42163</v>
      </c>
      <c r="B2351" s="7">
        <v>46.84</v>
      </c>
      <c r="C2351" s="7">
        <v>27.88</v>
      </c>
      <c r="D2351" s="7">
        <v>9.48</v>
      </c>
      <c r="E2351" s="7">
        <v>5.4399999999999995</v>
      </c>
      <c r="G2351" s="31"/>
    </row>
    <row r="2352" spans="1:7" x14ac:dyDescent="0.25">
      <c r="A2352" s="36">
        <v>42164</v>
      </c>
      <c r="B2352" s="7">
        <v>46.86</v>
      </c>
      <c r="C2352" s="7">
        <v>27.75</v>
      </c>
      <c r="D2352" s="7">
        <v>9.6</v>
      </c>
      <c r="E2352" s="7">
        <v>5.51</v>
      </c>
      <c r="G2352" s="31"/>
    </row>
    <row r="2353" spans="1:7" x14ac:dyDescent="0.25">
      <c r="A2353" s="36">
        <v>42165</v>
      </c>
      <c r="B2353" s="7">
        <v>46.9</v>
      </c>
      <c r="C2353" s="7">
        <v>28.03</v>
      </c>
      <c r="D2353" s="7">
        <v>9.64</v>
      </c>
      <c r="E2353" s="7">
        <v>5.55</v>
      </c>
      <c r="G2353" s="31"/>
    </row>
    <row r="2354" spans="1:7" x14ac:dyDescent="0.25">
      <c r="A2354" s="36">
        <v>42166</v>
      </c>
      <c r="B2354" s="7">
        <v>47</v>
      </c>
      <c r="C2354" s="7">
        <v>28.12</v>
      </c>
      <c r="D2354" s="7">
        <v>9.7200000000000006</v>
      </c>
      <c r="E2354" s="7">
        <v>5.59</v>
      </c>
      <c r="G2354" s="31"/>
    </row>
    <row r="2355" spans="1:7" x14ac:dyDescent="0.25">
      <c r="A2355" s="36">
        <v>42167</v>
      </c>
      <c r="B2355" s="7">
        <v>47.11</v>
      </c>
      <c r="C2355" s="7">
        <v>28.2</v>
      </c>
      <c r="D2355" s="7">
        <v>9.7799999999999994</v>
      </c>
      <c r="E2355" s="7">
        <v>5.64</v>
      </c>
      <c r="G2355" s="31"/>
    </row>
    <row r="2356" spans="1:7" x14ac:dyDescent="0.25">
      <c r="A2356" s="36">
        <v>42168</v>
      </c>
      <c r="B2356" s="7">
        <v>47.21</v>
      </c>
      <c r="C2356" s="7">
        <v>28.32</v>
      </c>
      <c r="D2356" s="7">
        <v>9.8000000000000007</v>
      </c>
      <c r="E2356" s="7">
        <v>5.72</v>
      </c>
      <c r="G2356" s="31"/>
    </row>
    <row r="2357" spans="1:7" x14ac:dyDescent="0.25">
      <c r="A2357" s="36">
        <v>42169</v>
      </c>
      <c r="B2357" s="7">
        <v>47.31</v>
      </c>
      <c r="C2357" s="7">
        <v>28.44</v>
      </c>
      <c r="D2357" s="7">
        <v>9.86</v>
      </c>
      <c r="E2357" s="7">
        <v>5.81</v>
      </c>
      <c r="G2357" s="31"/>
    </row>
    <row r="2358" spans="1:7" x14ac:dyDescent="0.25">
      <c r="A2358" s="36">
        <v>42170</v>
      </c>
      <c r="B2358" s="7">
        <v>47.43</v>
      </c>
      <c r="C2358" s="6">
        <v>28.56</v>
      </c>
      <c r="D2358" s="6">
        <v>10</v>
      </c>
      <c r="E2358" s="7">
        <v>5.89</v>
      </c>
      <c r="G2358" s="31"/>
    </row>
    <row r="2359" spans="1:7" x14ac:dyDescent="0.25">
      <c r="A2359" s="36">
        <v>42171</v>
      </c>
      <c r="B2359" s="7">
        <v>47.6</v>
      </c>
      <c r="C2359" s="6">
        <v>28.67</v>
      </c>
      <c r="D2359" s="6">
        <v>10.119999999999999</v>
      </c>
      <c r="E2359" s="6">
        <v>5.9799999999999995</v>
      </c>
      <c r="G2359" s="31"/>
    </row>
    <row r="2360" spans="1:7" x14ac:dyDescent="0.25">
      <c r="A2360" s="36">
        <v>42172</v>
      </c>
      <c r="B2360" s="6">
        <v>47.74</v>
      </c>
      <c r="C2360" s="6">
        <v>28.78</v>
      </c>
      <c r="D2360" s="6">
        <v>10.28</v>
      </c>
      <c r="E2360" s="6">
        <v>6.08</v>
      </c>
      <c r="G2360" s="31"/>
    </row>
    <row r="2361" spans="1:7" x14ac:dyDescent="0.25">
      <c r="A2361" s="36">
        <v>42173</v>
      </c>
      <c r="B2361" s="6">
        <v>47.84</v>
      </c>
      <c r="C2361" s="6">
        <v>28.88</v>
      </c>
      <c r="D2361" s="6">
        <v>10.42</v>
      </c>
      <c r="E2361" s="6">
        <v>6.22</v>
      </c>
      <c r="G2361" s="31"/>
    </row>
    <row r="2362" spans="1:7" x14ac:dyDescent="0.25">
      <c r="A2362" s="36">
        <v>42174</v>
      </c>
      <c r="B2362" s="6">
        <v>47.94</v>
      </c>
      <c r="C2362" s="6">
        <v>29.01</v>
      </c>
      <c r="D2362" s="6">
        <v>10.5</v>
      </c>
      <c r="E2362" s="6">
        <v>6.3199999999999994</v>
      </c>
      <c r="G2362" s="31"/>
    </row>
    <row r="2363" spans="1:7" x14ac:dyDescent="0.25">
      <c r="A2363" s="36">
        <v>42175</v>
      </c>
      <c r="B2363" s="6">
        <v>48.09</v>
      </c>
      <c r="C2363" s="6">
        <v>29.1</v>
      </c>
      <c r="D2363" s="6">
        <v>10.6</v>
      </c>
      <c r="E2363" s="6">
        <v>6.43</v>
      </c>
      <c r="G2363" s="31"/>
    </row>
    <row r="2364" spans="1:7" x14ac:dyDescent="0.25">
      <c r="A2364" s="36">
        <v>42176</v>
      </c>
      <c r="B2364" s="6">
        <v>48.34</v>
      </c>
      <c r="C2364" s="6">
        <v>29.22</v>
      </c>
      <c r="D2364" s="6">
        <v>10.72</v>
      </c>
      <c r="E2364" s="6">
        <v>6.5299999999999994</v>
      </c>
      <c r="G2364" s="31"/>
    </row>
    <row r="2365" spans="1:7" x14ac:dyDescent="0.25">
      <c r="A2365" s="36">
        <v>42177</v>
      </c>
      <c r="B2365" s="6">
        <v>48.52</v>
      </c>
      <c r="C2365" s="6">
        <v>29.33</v>
      </c>
      <c r="D2365" s="6">
        <v>10.78</v>
      </c>
      <c r="E2365" s="6">
        <v>6.64</v>
      </c>
      <c r="G2365" s="31"/>
    </row>
    <row r="2366" spans="1:7" x14ac:dyDescent="0.25">
      <c r="A2366" s="36">
        <v>42178</v>
      </c>
      <c r="B2366" s="6">
        <v>48.72</v>
      </c>
      <c r="C2366" s="6">
        <v>29.45</v>
      </c>
      <c r="D2366" s="6">
        <v>10.86</v>
      </c>
      <c r="E2366" s="6">
        <v>6.6899999999999995</v>
      </c>
      <c r="G2366" s="31"/>
    </row>
    <row r="2367" spans="1:7" x14ac:dyDescent="0.25">
      <c r="A2367" s="36">
        <v>42179</v>
      </c>
      <c r="B2367" s="6">
        <v>48.84</v>
      </c>
      <c r="C2367" s="6">
        <v>29.62</v>
      </c>
      <c r="D2367" s="6">
        <v>10.9</v>
      </c>
      <c r="E2367" s="6">
        <v>6.84</v>
      </c>
      <c r="G2367" s="31"/>
    </row>
    <row r="2368" spans="1:7" x14ac:dyDescent="0.25">
      <c r="A2368" s="36">
        <v>42180</v>
      </c>
      <c r="B2368" s="6">
        <v>49.03</v>
      </c>
      <c r="C2368" s="6">
        <v>29.78</v>
      </c>
      <c r="D2368" s="6">
        <v>10.9</v>
      </c>
      <c r="E2368" s="6">
        <v>6.9899999999999993</v>
      </c>
      <c r="G2368" s="31"/>
    </row>
    <row r="2369" spans="1:7" x14ac:dyDescent="0.25">
      <c r="A2369" s="36">
        <v>42181</v>
      </c>
      <c r="B2369" s="6">
        <v>49.14</v>
      </c>
      <c r="C2369" s="6">
        <v>29.9</v>
      </c>
      <c r="D2369" s="6">
        <v>11.04</v>
      </c>
      <c r="E2369" s="6">
        <v>7.1099999999999994</v>
      </c>
      <c r="G2369" s="31"/>
    </row>
    <row r="2370" spans="1:7" x14ac:dyDescent="0.25">
      <c r="A2370" s="36">
        <v>42182</v>
      </c>
      <c r="B2370" s="6">
        <v>49.33</v>
      </c>
      <c r="C2370" s="6">
        <v>30.03</v>
      </c>
      <c r="D2370" s="6">
        <v>11.1</v>
      </c>
      <c r="E2370" s="6">
        <v>7.1899999999999995</v>
      </c>
      <c r="G2370" s="31"/>
    </row>
    <row r="2371" spans="1:7" x14ac:dyDescent="0.25">
      <c r="A2371" s="36">
        <v>42183</v>
      </c>
      <c r="B2371" s="6">
        <v>49.44</v>
      </c>
      <c r="C2371" s="6">
        <v>30.2</v>
      </c>
      <c r="D2371" s="6">
        <v>11.24</v>
      </c>
      <c r="E2371" s="6">
        <v>7.2799999999999994</v>
      </c>
      <c r="G2371" s="31"/>
    </row>
    <row r="2372" spans="1:7" x14ac:dyDescent="0.25">
      <c r="A2372" s="36">
        <v>42184</v>
      </c>
      <c r="B2372" s="6">
        <v>49.54</v>
      </c>
      <c r="C2372" s="6">
        <v>30.35</v>
      </c>
      <c r="D2372" s="6">
        <v>11.38</v>
      </c>
      <c r="E2372" s="6">
        <v>7.3599999999999994</v>
      </c>
      <c r="G2372" s="31"/>
    </row>
    <row r="2373" spans="1:7" x14ac:dyDescent="0.25">
      <c r="A2373" s="36">
        <v>42185</v>
      </c>
      <c r="B2373" s="6">
        <v>49.6</v>
      </c>
      <c r="C2373" s="6">
        <v>30.46</v>
      </c>
      <c r="D2373" s="6">
        <v>11.62</v>
      </c>
      <c r="E2373" s="6">
        <v>7.43</v>
      </c>
      <c r="G2373" s="31"/>
    </row>
    <row r="2374" spans="1:7" x14ac:dyDescent="0.25">
      <c r="A2374" s="36">
        <v>42186</v>
      </c>
      <c r="B2374" s="6">
        <v>49.65</v>
      </c>
      <c r="C2374" s="6">
        <v>30.58</v>
      </c>
      <c r="D2374" s="6">
        <v>11.98</v>
      </c>
      <c r="E2374" s="6">
        <v>7.63</v>
      </c>
      <c r="G2374" s="31"/>
    </row>
    <row r="2375" spans="1:7" x14ac:dyDescent="0.25">
      <c r="A2375" s="36">
        <v>42187</v>
      </c>
      <c r="B2375" s="6">
        <v>49.7</v>
      </c>
      <c r="C2375" s="6">
        <v>30.67</v>
      </c>
      <c r="D2375" s="6">
        <v>12.3</v>
      </c>
      <c r="E2375" s="6">
        <v>7.7399999999999993</v>
      </c>
      <c r="G2375" s="31"/>
    </row>
    <row r="2376" spans="1:7" x14ac:dyDescent="0.25">
      <c r="A2376" s="36">
        <v>42188</v>
      </c>
      <c r="B2376" s="6">
        <v>49.74</v>
      </c>
      <c r="C2376" s="6">
        <v>30.79</v>
      </c>
      <c r="D2376" s="6">
        <v>12.54</v>
      </c>
      <c r="E2376" s="6">
        <v>7.79</v>
      </c>
      <c r="G2376" s="31"/>
    </row>
    <row r="2377" spans="1:7" x14ac:dyDescent="0.25">
      <c r="A2377" s="36">
        <v>42189</v>
      </c>
      <c r="B2377" s="6">
        <v>49.79</v>
      </c>
      <c r="C2377" s="6">
        <v>30.86</v>
      </c>
      <c r="D2377" s="6">
        <v>12.6</v>
      </c>
      <c r="E2377" s="6">
        <v>7.81</v>
      </c>
      <c r="G2377" s="31"/>
    </row>
    <row r="2378" spans="1:7" x14ac:dyDescent="0.25">
      <c r="A2378" s="36">
        <v>42190</v>
      </c>
      <c r="B2378" s="6">
        <v>49.84</v>
      </c>
      <c r="C2378" s="6">
        <v>30.97</v>
      </c>
      <c r="D2378" s="6">
        <v>12.68</v>
      </c>
      <c r="E2378" s="7">
        <v>7.83</v>
      </c>
      <c r="G2378" s="31"/>
    </row>
    <row r="2379" spans="1:7" x14ac:dyDescent="0.25">
      <c r="A2379" s="36">
        <v>42191</v>
      </c>
      <c r="B2379" s="7">
        <v>49.92</v>
      </c>
      <c r="C2379" s="6">
        <v>31.02</v>
      </c>
      <c r="D2379" s="6">
        <v>12.73</v>
      </c>
      <c r="E2379" s="7">
        <v>7.85</v>
      </c>
      <c r="G2379" s="31"/>
    </row>
    <row r="2380" spans="1:7" x14ac:dyDescent="0.25">
      <c r="A2380" s="36">
        <v>42192</v>
      </c>
      <c r="B2380" s="7">
        <v>49.99</v>
      </c>
      <c r="C2380" s="6">
        <v>31.09</v>
      </c>
      <c r="D2380" s="6">
        <v>12.78</v>
      </c>
      <c r="E2380" s="7">
        <v>7.9899999999999993</v>
      </c>
      <c r="G2380" s="31"/>
    </row>
    <row r="2381" spans="1:7" x14ac:dyDescent="0.25">
      <c r="A2381" s="36">
        <v>42193</v>
      </c>
      <c r="B2381" s="7">
        <v>50.14</v>
      </c>
      <c r="C2381" s="6">
        <v>31.17</v>
      </c>
      <c r="D2381" s="6">
        <v>12.78</v>
      </c>
      <c r="E2381" s="6">
        <v>7.9899999999999993</v>
      </c>
      <c r="G2381" s="31"/>
    </row>
    <row r="2382" spans="1:7" x14ac:dyDescent="0.25">
      <c r="A2382" s="36">
        <v>42194</v>
      </c>
      <c r="B2382" s="6">
        <v>50.31</v>
      </c>
      <c r="C2382" s="6">
        <v>31.24</v>
      </c>
      <c r="D2382" s="6">
        <v>12.86</v>
      </c>
      <c r="E2382" s="6">
        <v>8.0400000000000009</v>
      </c>
      <c r="G2382" s="31"/>
    </row>
    <row r="2383" spans="1:7" x14ac:dyDescent="0.25">
      <c r="A2383" s="36">
        <v>42195</v>
      </c>
      <c r="B2383" s="6">
        <v>50.43</v>
      </c>
      <c r="C2383" s="6">
        <v>31.31</v>
      </c>
      <c r="D2383" s="6">
        <v>12.9</v>
      </c>
      <c r="E2383" s="6">
        <v>8.09</v>
      </c>
      <c r="G2383" s="31"/>
    </row>
    <row r="2384" spans="1:7" x14ac:dyDescent="0.25">
      <c r="A2384" s="36">
        <v>42196</v>
      </c>
      <c r="B2384" s="6">
        <v>50.51</v>
      </c>
      <c r="C2384" s="6">
        <v>31.4</v>
      </c>
      <c r="D2384" s="6">
        <v>12.92</v>
      </c>
      <c r="E2384" s="6">
        <v>7.88</v>
      </c>
      <c r="G2384" s="31"/>
    </row>
    <row r="2385" spans="1:7" x14ac:dyDescent="0.25">
      <c r="A2385" s="36">
        <v>42197</v>
      </c>
      <c r="B2385" s="6">
        <v>50.55</v>
      </c>
      <c r="C2385" s="6">
        <v>31.45</v>
      </c>
      <c r="D2385" s="6">
        <v>12.92</v>
      </c>
      <c r="E2385" s="6">
        <v>7.88</v>
      </c>
      <c r="G2385" s="31"/>
    </row>
    <row r="2386" spans="1:7" x14ac:dyDescent="0.25">
      <c r="A2386" s="36">
        <v>42198</v>
      </c>
      <c r="B2386" s="6">
        <v>50.62</v>
      </c>
      <c r="C2386" s="6">
        <v>31.53</v>
      </c>
      <c r="D2386" s="6">
        <v>12.94</v>
      </c>
      <c r="E2386" s="6">
        <v>7.92</v>
      </c>
      <c r="G2386" s="31"/>
    </row>
    <row r="2387" spans="1:7" x14ac:dyDescent="0.25">
      <c r="A2387" s="36">
        <v>42199</v>
      </c>
      <c r="B2387" s="6">
        <v>50.69</v>
      </c>
      <c r="C2387" s="6">
        <v>31.6</v>
      </c>
      <c r="D2387" s="6">
        <v>13.02</v>
      </c>
      <c r="E2387" s="6">
        <v>8.1300000000000008</v>
      </c>
      <c r="G2387" s="31"/>
    </row>
    <row r="2388" spans="1:7" x14ac:dyDescent="0.25">
      <c r="A2388" s="36">
        <v>42200</v>
      </c>
      <c r="B2388" s="6">
        <v>50.72</v>
      </c>
      <c r="C2388" s="6">
        <v>31.7</v>
      </c>
      <c r="D2388" s="6">
        <v>13.1</v>
      </c>
      <c r="E2388" s="6">
        <v>8.17</v>
      </c>
      <c r="G2388" s="31"/>
    </row>
    <row r="2389" spans="1:7" x14ac:dyDescent="0.25">
      <c r="A2389" s="36">
        <v>42201</v>
      </c>
      <c r="B2389" s="6">
        <v>50.75</v>
      </c>
      <c r="C2389" s="6">
        <v>31.8</v>
      </c>
      <c r="D2389" s="6">
        <v>13.16</v>
      </c>
      <c r="E2389" s="6">
        <v>8.2100000000000009</v>
      </c>
      <c r="G2389" s="31"/>
    </row>
    <row r="2390" spans="1:7" x14ac:dyDescent="0.25">
      <c r="A2390" s="36">
        <v>42202</v>
      </c>
      <c r="B2390" s="6">
        <v>50.73</v>
      </c>
      <c r="C2390" s="6">
        <v>31.91</v>
      </c>
      <c r="D2390" s="6">
        <v>13.24</v>
      </c>
      <c r="E2390" s="6">
        <v>8.27</v>
      </c>
      <c r="G2390" s="31"/>
    </row>
    <row r="2391" spans="1:7" x14ac:dyDescent="0.25">
      <c r="A2391" s="36">
        <v>42203</v>
      </c>
      <c r="B2391" s="6">
        <v>50.71</v>
      </c>
      <c r="C2391" s="6">
        <v>32.01</v>
      </c>
      <c r="D2391" s="6">
        <v>13.36</v>
      </c>
      <c r="E2391" s="6">
        <v>8.35</v>
      </c>
      <c r="G2391" s="31"/>
    </row>
    <row r="2392" spans="1:7" x14ac:dyDescent="0.25">
      <c r="A2392" s="36">
        <v>42204</v>
      </c>
      <c r="B2392" s="6">
        <v>50.71</v>
      </c>
      <c r="C2392" s="6">
        <v>32.119999999999997</v>
      </c>
      <c r="D2392" s="6">
        <v>13.52</v>
      </c>
      <c r="E2392" s="6">
        <v>8.4</v>
      </c>
      <c r="G2392" s="31"/>
    </row>
    <row r="2393" spans="1:7" x14ac:dyDescent="0.25">
      <c r="A2393" s="36">
        <v>42205</v>
      </c>
      <c r="B2393" s="6">
        <v>50.66</v>
      </c>
      <c r="C2393" s="6">
        <v>32.200000000000003</v>
      </c>
      <c r="D2393" s="6">
        <v>13.68</v>
      </c>
      <c r="E2393" s="6">
        <v>8.5499999999999989</v>
      </c>
      <c r="G2393" s="31"/>
    </row>
    <row r="2394" spans="1:7" x14ac:dyDescent="0.25">
      <c r="A2394" s="36">
        <v>42206</v>
      </c>
      <c r="B2394" s="6">
        <v>50.81</v>
      </c>
      <c r="C2394" s="6">
        <v>32.299999999999997</v>
      </c>
      <c r="D2394" s="6">
        <v>13.86</v>
      </c>
      <c r="E2394" s="6">
        <v>8.67</v>
      </c>
      <c r="G2394" s="31"/>
    </row>
    <row r="2395" spans="1:7" x14ac:dyDescent="0.25">
      <c r="A2395" s="36">
        <v>42207</v>
      </c>
      <c r="B2395" s="6">
        <v>50.92</v>
      </c>
      <c r="C2395" s="6">
        <v>32.4</v>
      </c>
      <c r="D2395" s="6">
        <v>13.98</v>
      </c>
      <c r="E2395" s="6">
        <v>8.83</v>
      </c>
      <c r="G2395" s="31"/>
    </row>
    <row r="2396" spans="1:7" x14ac:dyDescent="0.25">
      <c r="A2396" s="36">
        <v>42208</v>
      </c>
      <c r="B2396" s="6">
        <v>51</v>
      </c>
      <c r="C2396" s="6">
        <v>32.46</v>
      </c>
      <c r="D2396" s="6">
        <v>14.16</v>
      </c>
      <c r="E2396" s="6">
        <v>8.9599999999999991</v>
      </c>
      <c r="G2396" s="31"/>
    </row>
    <row r="2397" spans="1:7" x14ac:dyDescent="0.25">
      <c r="A2397" s="36">
        <v>42209</v>
      </c>
      <c r="B2397" s="6">
        <v>51.04</v>
      </c>
      <c r="C2397" s="6">
        <v>32.520000000000003</v>
      </c>
      <c r="D2397" s="6">
        <v>14.3</v>
      </c>
      <c r="E2397" s="6">
        <v>9.06</v>
      </c>
      <c r="G2397" s="31"/>
    </row>
    <row r="2398" spans="1:7" x14ac:dyDescent="0.25">
      <c r="A2398" s="36">
        <v>42210</v>
      </c>
      <c r="B2398" s="6">
        <v>51.06</v>
      </c>
      <c r="C2398" s="6">
        <v>32.58</v>
      </c>
      <c r="D2398" s="6">
        <v>14.4</v>
      </c>
      <c r="E2398" s="6">
        <v>9.129999999999999</v>
      </c>
      <c r="G2398" s="31"/>
    </row>
    <row r="2399" spans="1:7" x14ac:dyDescent="0.25">
      <c r="A2399" s="36">
        <v>42211</v>
      </c>
      <c r="B2399" s="6">
        <v>51.05</v>
      </c>
      <c r="C2399" s="6">
        <v>32.64</v>
      </c>
      <c r="D2399" s="6">
        <v>14.52</v>
      </c>
      <c r="E2399" s="6">
        <v>9.23</v>
      </c>
      <c r="G2399" s="31"/>
    </row>
    <row r="2400" spans="1:7" x14ac:dyDescent="0.25">
      <c r="A2400" s="36">
        <v>42212</v>
      </c>
      <c r="B2400" s="6">
        <v>51.06</v>
      </c>
      <c r="C2400" s="6">
        <v>32.700000000000003</v>
      </c>
      <c r="D2400" s="6">
        <v>14.5</v>
      </c>
      <c r="E2400" s="6">
        <v>9.32</v>
      </c>
      <c r="G2400" s="31"/>
    </row>
    <row r="2401" spans="1:7" x14ac:dyDescent="0.25">
      <c r="A2401" s="36">
        <v>42213</v>
      </c>
      <c r="B2401" s="6">
        <v>51.06</v>
      </c>
      <c r="C2401" s="6">
        <v>32.76</v>
      </c>
      <c r="D2401" s="6">
        <v>14.68</v>
      </c>
      <c r="E2401" s="6">
        <v>9.42</v>
      </c>
      <c r="G2401" s="31"/>
    </row>
    <row r="2402" spans="1:7" x14ac:dyDescent="0.25">
      <c r="A2402" s="36">
        <v>42214</v>
      </c>
      <c r="B2402" s="6">
        <v>51.06</v>
      </c>
      <c r="C2402" s="6">
        <v>32.79</v>
      </c>
      <c r="D2402" s="6">
        <v>14.78</v>
      </c>
      <c r="E2402" s="6">
        <v>9.49</v>
      </c>
      <c r="G2402" s="31"/>
    </row>
    <row r="2403" spans="1:7" x14ac:dyDescent="0.25">
      <c r="A2403" s="36">
        <v>42215</v>
      </c>
      <c r="B2403" s="6">
        <v>51.06</v>
      </c>
      <c r="C2403" s="6">
        <v>32.83</v>
      </c>
      <c r="D2403" s="6">
        <v>14.86</v>
      </c>
      <c r="E2403" s="6">
        <v>9.5739999999999998</v>
      </c>
      <c r="G2403" s="31"/>
    </row>
    <row r="2404" spans="1:7" x14ac:dyDescent="0.25">
      <c r="A2404" s="36">
        <v>42216</v>
      </c>
      <c r="B2404" s="6">
        <v>51.08</v>
      </c>
      <c r="C2404" s="6">
        <v>32.880000000000003</v>
      </c>
      <c r="D2404" s="6">
        <v>14.9</v>
      </c>
      <c r="E2404" s="6">
        <v>9.67</v>
      </c>
      <c r="G2404" s="31"/>
    </row>
    <row r="2405" spans="1:7" x14ac:dyDescent="0.25">
      <c r="A2405" s="36">
        <v>42217</v>
      </c>
      <c r="B2405" s="6">
        <v>51.1</v>
      </c>
      <c r="C2405" s="6">
        <v>32.950000000000003</v>
      </c>
      <c r="D2405" s="6">
        <v>14.96</v>
      </c>
      <c r="E2405" s="6">
        <v>9.67</v>
      </c>
      <c r="G2405" s="31"/>
    </row>
    <row r="2406" spans="1:7" x14ac:dyDescent="0.25">
      <c r="A2406" s="36">
        <v>42218</v>
      </c>
      <c r="B2406" s="6">
        <v>51.12</v>
      </c>
      <c r="C2406" s="6">
        <v>32.99</v>
      </c>
      <c r="D2406" s="6">
        <v>15</v>
      </c>
      <c r="E2406" s="6">
        <v>9.73</v>
      </c>
      <c r="G2406" s="31"/>
    </row>
    <row r="2407" spans="1:7" x14ac:dyDescent="0.25">
      <c r="A2407" s="36">
        <v>42219</v>
      </c>
      <c r="B2407" s="6">
        <v>51.13</v>
      </c>
      <c r="C2407" s="6">
        <v>33.03</v>
      </c>
      <c r="D2407" s="6">
        <v>15</v>
      </c>
      <c r="E2407" s="6">
        <v>9.7099999999999991</v>
      </c>
      <c r="G2407" s="31"/>
    </row>
    <row r="2408" spans="1:7" x14ac:dyDescent="0.25">
      <c r="A2408" s="36">
        <v>42220</v>
      </c>
      <c r="B2408" s="6">
        <v>51.13</v>
      </c>
      <c r="C2408" s="6">
        <v>33.08</v>
      </c>
      <c r="D2408" s="6">
        <v>15.06</v>
      </c>
      <c r="E2408" s="6">
        <v>9.7799999999999994</v>
      </c>
      <c r="G2408" s="31"/>
    </row>
    <row r="2409" spans="1:7" x14ac:dyDescent="0.25">
      <c r="A2409" s="36">
        <v>42221</v>
      </c>
      <c r="B2409" s="6">
        <v>51.16</v>
      </c>
      <c r="C2409" s="6">
        <v>33.1</v>
      </c>
      <c r="D2409" s="6">
        <v>15.1</v>
      </c>
      <c r="E2409" s="6">
        <v>9.7999999999999989</v>
      </c>
      <c r="G2409" s="31"/>
    </row>
    <row r="2410" spans="1:7" x14ac:dyDescent="0.25">
      <c r="A2410" s="36">
        <v>42222</v>
      </c>
      <c r="B2410" s="6">
        <v>51.16</v>
      </c>
      <c r="C2410" s="6">
        <v>33.130000000000003</v>
      </c>
      <c r="D2410" s="6">
        <v>15.18</v>
      </c>
      <c r="E2410" s="6">
        <v>9.86</v>
      </c>
      <c r="G2410" s="31"/>
    </row>
    <row r="2411" spans="1:7" x14ac:dyDescent="0.25">
      <c r="A2411" s="36">
        <v>42223</v>
      </c>
      <c r="B2411" s="6">
        <v>51.15</v>
      </c>
      <c r="C2411" s="6">
        <v>33.159999999999997</v>
      </c>
      <c r="D2411" s="6">
        <v>15.2</v>
      </c>
      <c r="E2411" s="6">
        <v>9.86</v>
      </c>
      <c r="G2411" s="31"/>
    </row>
    <row r="2412" spans="1:7" x14ac:dyDescent="0.25">
      <c r="A2412" s="36">
        <v>42224</v>
      </c>
      <c r="B2412" s="6">
        <v>51.12</v>
      </c>
      <c r="C2412" s="6">
        <v>33.18</v>
      </c>
      <c r="D2412" s="6">
        <v>15.24</v>
      </c>
      <c r="E2412" s="6">
        <v>9.9</v>
      </c>
      <c r="G2412" s="31"/>
    </row>
    <row r="2413" spans="1:7" x14ac:dyDescent="0.25">
      <c r="A2413" s="36">
        <v>42225</v>
      </c>
      <c r="B2413" s="6">
        <v>51.12</v>
      </c>
      <c r="C2413" s="6">
        <v>33.200000000000003</v>
      </c>
      <c r="D2413" s="6">
        <v>15.24</v>
      </c>
      <c r="E2413" s="6">
        <v>9.89</v>
      </c>
      <c r="G2413" s="31"/>
    </row>
    <row r="2414" spans="1:7" x14ac:dyDescent="0.25">
      <c r="A2414" s="36">
        <v>42226</v>
      </c>
      <c r="B2414" s="6">
        <v>51.1</v>
      </c>
      <c r="C2414" s="6">
        <v>33.22</v>
      </c>
      <c r="D2414" s="6">
        <v>15</v>
      </c>
      <c r="E2414" s="6">
        <v>9.879999999999999</v>
      </c>
      <c r="G2414" s="31"/>
    </row>
    <row r="2415" spans="1:7" x14ac:dyDescent="0.25">
      <c r="A2415" s="36">
        <v>42227</v>
      </c>
      <c r="B2415" s="6">
        <v>51.06</v>
      </c>
      <c r="C2415" s="6">
        <v>33.229999999999997</v>
      </c>
      <c r="D2415" s="6">
        <v>15.26</v>
      </c>
      <c r="E2415" s="6">
        <v>9.879999999999999</v>
      </c>
      <c r="G2415" s="31"/>
    </row>
    <row r="2416" spans="1:7" x14ac:dyDescent="0.25">
      <c r="A2416" s="36">
        <v>42228</v>
      </c>
      <c r="B2416" s="6">
        <v>51.02</v>
      </c>
      <c r="C2416" s="6">
        <v>33.24</v>
      </c>
      <c r="D2416" s="6">
        <v>15.28</v>
      </c>
      <c r="E2416" s="6">
        <v>9.9599999999999991</v>
      </c>
      <c r="G2416" s="31"/>
    </row>
    <row r="2417" spans="1:7" x14ac:dyDescent="0.25">
      <c r="A2417" s="36">
        <v>42229</v>
      </c>
      <c r="B2417" s="6">
        <v>51</v>
      </c>
      <c r="C2417" s="6">
        <v>33.24</v>
      </c>
      <c r="D2417" s="6">
        <v>15.28</v>
      </c>
      <c r="E2417" s="6">
        <v>9.92</v>
      </c>
      <c r="G2417" s="31"/>
    </row>
    <row r="2418" spans="1:7" x14ac:dyDescent="0.25">
      <c r="A2418" s="36">
        <v>42230</v>
      </c>
      <c r="B2418" s="6">
        <v>50.92</v>
      </c>
      <c r="C2418" s="6">
        <v>33.28</v>
      </c>
      <c r="D2418" s="6">
        <v>15.28</v>
      </c>
      <c r="E2418" s="6">
        <v>9.9499999999999993</v>
      </c>
      <c r="G2418" s="31"/>
    </row>
    <row r="2419" spans="1:7" x14ac:dyDescent="0.25">
      <c r="A2419" s="36">
        <v>42231</v>
      </c>
      <c r="B2419" s="6">
        <v>50.88</v>
      </c>
      <c r="C2419" s="6">
        <v>33.299999999999997</v>
      </c>
      <c r="D2419" s="6">
        <v>15.28</v>
      </c>
      <c r="E2419" s="6">
        <v>9.9499999999999993</v>
      </c>
      <c r="G2419" s="31"/>
    </row>
    <row r="2420" spans="1:7" x14ac:dyDescent="0.25">
      <c r="A2420" s="36">
        <v>42232</v>
      </c>
      <c r="B2420" s="6">
        <v>50.86</v>
      </c>
      <c r="C2420" s="6">
        <v>33.36</v>
      </c>
      <c r="D2420" s="6">
        <v>15.28</v>
      </c>
      <c r="E2420" s="6">
        <v>9.93</v>
      </c>
      <c r="G2420" s="31"/>
    </row>
    <row r="2421" spans="1:7" x14ac:dyDescent="0.25">
      <c r="A2421" s="36">
        <v>42233</v>
      </c>
      <c r="B2421" s="6">
        <v>50.86</v>
      </c>
      <c r="C2421" s="6">
        <v>33.4</v>
      </c>
      <c r="D2421" s="6">
        <v>15.2</v>
      </c>
      <c r="E2421" s="6">
        <v>9.93</v>
      </c>
      <c r="G2421" s="31"/>
    </row>
    <row r="2422" spans="1:7" x14ac:dyDescent="0.25">
      <c r="A2422" s="36">
        <v>42234</v>
      </c>
      <c r="B2422" s="6">
        <v>50.85</v>
      </c>
      <c r="C2422" s="6">
        <v>33.42</v>
      </c>
      <c r="D2422" s="6">
        <v>15.32</v>
      </c>
      <c r="E2422" s="6">
        <v>9.9699999999999989</v>
      </c>
      <c r="G2422" s="31"/>
    </row>
    <row r="2423" spans="1:7" x14ac:dyDescent="0.25">
      <c r="A2423" s="36">
        <v>42235</v>
      </c>
      <c r="B2423" s="6">
        <v>50.87</v>
      </c>
      <c r="C2423" s="6">
        <v>33.46</v>
      </c>
      <c r="D2423" s="6">
        <v>15.36</v>
      </c>
      <c r="E2423" s="6">
        <v>10</v>
      </c>
      <c r="G2423" s="31"/>
    </row>
    <row r="2424" spans="1:7" x14ac:dyDescent="0.25">
      <c r="A2424" s="36">
        <v>42236</v>
      </c>
      <c r="B2424" s="6">
        <v>50.87</v>
      </c>
      <c r="C2424" s="6">
        <v>33.47</v>
      </c>
      <c r="D2424" s="6">
        <v>15.56</v>
      </c>
      <c r="E2424" s="6">
        <v>10.049999999999999</v>
      </c>
      <c r="G2424" s="31"/>
    </row>
    <row r="2425" spans="1:7" x14ac:dyDescent="0.25">
      <c r="A2425" s="36">
        <v>42237</v>
      </c>
      <c r="B2425" s="6">
        <v>50.87</v>
      </c>
      <c r="C2425" s="6">
        <v>33.49</v>
      </c>
      <c r="D2425" s="6">
        <v>15.53</v>
      </c>
      <c r="E2425" s="6">
        <v>10.09</v>
      </c>
      <c r="G2425" s="31"/>
    </row>
    <row r="2426" spans="1:7" x14ac:dyDescent="0.25">
      <c r="A2426" s="36">
        <v>42238</v>
      </c>
      <c r="B2426" s="6">
        <v>50.83</v>
      </c>
      <c r="C2426" s="6">
        <v>33.5</v>
      </c>
      <c r="D2426" s="6">
        <v>15.62</v>
      </c>
      <c r="E2426" s="6">
        <v>10.129999999999999</v>
      </c>
      <c r="G2426" s="31"/>
    </row>
    <row r="2427" spans="1:7" x14ac:dyDescent="0.25">
      <c r="A2427" s="36">
        <v>42239</v>
      </c>
      <c r="B2427" s="6">
        <v>50.83</v>
      </c>
      <c r="C2427" s="6">
        <v>33.549999999999997</v>
      </c>
      <c r="D2427" s="6">
        <v>15.7</v>
      </c>
      <c r="E2427" s="6">
        <v>10.23</v>
      </c>
      <c r="G2427" s="31"/>
    </row>
    <row r="2428" spans="1:7" x14ac:dyDescent="0.25">
      <c r="A2428" s="36">
        <v>42240</v>
      </c>
      <c r="B2428" s="6">
        <v>50.83</v>
      </c>
      <c r="C2428" s="6">
        <v>33.57</v>
      </c>
      <c r="D2428" s="6">
        <v>15.78</v>
      </c>
      <c r="E2428" s="6">
        <v>10.276999999999999</v>
      </c>
      <c r="G2428" s="31"/>
    </row>
    <row r="2429" spans="1:7" x14ac:dyDescent="0.25">
      <c r="A2429" s="36">
        <v>42241</v>
      </c>
      <c r="B2429" s="6">
        <v>50.81</v>
      </c>
      <c r="C2429" s="6">
        <v>33.590000000000003</v>
      </c>
      <c r="D2429" s="6">
        <v>15.84</v>
      </c>
      <c r="E2429" s="6">
        <v>10.33</v>
      </c>
      <c r="G2429" s="31"/>
    </row>
    <row r="2430" spans="1:7" x14ac:dyDescent="0.25">
      <c r="A2430" s="36">
        <v>42242</v>
      </c>
      <c r="B2430" s="6">
        <v>50.81</v>
      </c>
      <c r="C2430" s="6">
        <v>33.6</v>
      </c>
      <c r="D2430" s="6">
        <v>15.98</v>
      </c>
      <c r="E2430" s="6">
        <v>10.37</v>
      </c>
      <c r="G2430" s="31"/>
    </row>
    <row r="2431" spans="1:7" x14ac:dyDescent="0.25">
      <c r="A2431" s="36">
        <v>42243</v>
      </c>
      <c r="B2431" s="6">
        <v>50.77</v>
      </c>
      <c r="C2431" s="6">
        <v>33.6</v>
      </c>
      <c r="D2431" s="6">
        <v>16.02</v>
      </c>
      <c r="E2431" s="6">
        <v>10.459</v>
      </c>
      <c r="G2431" s="31"/>
    </row>
    <row r="2432" spans="1:7" x14ac:dyDescent="0.25">
      <c r="A2432" s="36">
        <v>42244</v>
      </c>
      <c r="B2432" s="6">
        <v>50.76</v>
      </c>
      <c r="C2432" s="6">
        <v>33.61</v>
      </c>
      <c r="D2432" s="6">
        <v>15.98</v>
      </c>
      <c r="E2432" s="6">
        <v>10.45</v>
      </c>
      <c r="G2432" s="31"/>
    </row>
    <row r="2433" spans="1:7" x14ac:dyDescent="0.25">
      <c r="A2433" s="36">
        <v>42245</v>
      </c>
      <c r="B2433" s="6">
        <v>50.78</v>
      </c>
      <c r="C2433" s="6">
        <v>33.619999999999997</v>
      </c>
      <c r="D2433" s="6">
        <v>16</v>
      </c>
      <c r="E2433" s="6">
        <v>10.491999999999999</v>
      </c>
      <c r="G2433" s="31"/>
    </row>
    <row r="2434" spans="1:7" x14ac:dyDescent="0.25">
      <c r="A2434" s="36">
        <v>42246</v>
      </c>
      <c r="B2434" s="6">
        <v>50.79</v>
      </c>
      <c r="C2434" s="6">
        <v>33.65</v>
      </c>
      <c r="D2434" s="6">
        <v>16.04</v>
      </c>
      <c r="E2434" s="6">
        <v>10.49</v>
      </c>
      <c r="G2434" s="31"/>
    </row>
    <row r="2435" spans="1:7" x14ac:dyDescent="0.25">
      <c r="A2435" s="36">
        <v>42247</v>
      </c>
      <c r="B2435" s="6">
        <v>50.76</v>
      </c>
      <c r="C2435" s="6">
        <v>33.67</v>
      </c>
      <c r="D2435" s="6">
        <v>16.04</v>
      </c>
      <c r="E2435" s="6">
        <v>10.5</v>
      </c>
      <c r="G2435" s="31"/>
    </row>
    <row r="2436" spans="1:7" x14ac:dyDescent="0.25">
      <c r="A2436" s="36">
        <v>42248</v>
      </c>
      <c r="B2436" s="6">
        <v>50.73</v>
      </c>
      <c r="C2436" s="6">
        <v>33.67</v>
      </c>
      <c r="D2436" s="6">
        <v>16.02</v>
      </c>
      <c r="E2436" s="6">
        <v>10.52</v>
      </c>
      <c r="G2436" s="31"/>
    </row>
    <row r="2437" spans="1:7" x14ac:dyDescent="0.25">
      <c r="A2437" s="36">
        <v>42249</v>
      </c>
      <c r="B2437" s="6">
        <v>50.72</v>
      </c>
      <c r="C2437" s="6">
        <v>33.659999999999997</v>
      </c>
      <c r="D2437" s="6">
        <v>16.02</v>
      </c>
      <c r="E2437" s="6">
        <v>10.52</v>
      </c>
      <c r="G2437" s="31"/>
    </row>
    <row r="2438" spans="1:7" x14ac:dyDescent="0.25">
      <c r="A2438" s="36">
        <v>42250</v>
      </c>
      <c r="B2438" s="6">
        <v>50.7</v>
      </c>
      <c r="C2438" s="6">
        <v>33.68</v>
      </c>
      <c r="D2438" s="6">
        <v>16</v>
      </c>
      <c r="E2438" s="6">
        <v>10.54</v>
      </c>
      <c r="G2438" s="31"/>
    </row>
    <row r="2439" spans="1:7" x14ac:dyDescent="0.25">
      <c r="A2439" s="36">
        <v>42251</v>
      </c>
      <c r="B2439" s="6">
        <v>50.62</v>
      </c>
      <c r="C2439" s="6">
        <v>33.67</v>
      </c>
      <c r="D2439" s="6">
        <v>15.96</v>
      </c>
      <c r="E2439" s="6">
        <v>10.53</v>
      </c>
      <c r="G2439" s="31"/>
    </row>
    <row r="2440" spans="1:7" x14ac:dyDescent="0.25">
      <c r="A2440" s="36">
        <v>42252</v>
      </c>
      <c r="B2440" s="6">
        <v>50.53</v>
      </c>
      <c r="C2440" s="6">
        <v>33.659999999999997</v>
      </c>
      <c r="D2440" s="6">
        <v>15.94</v>
      </c>
      <c r="E2440" s="6">
        <v>10.53</v>
      </c>
      <c r="G2440" s="31"/>
    </row>
    <row r="2441" spans="1:7" x14ac:dyDescent="0.25">
      <c r="A2441" s="36">
        <v>42253</v>
      </c>
      <c r="B2441" s="6">
        <v>50.4</v>
      </c>
      <c r="C2441" s="6">
        <v>33.630000000000003</v>
      </c>
      <c r="D2441" s="6">
        <v>15.92</v>
      </c>
      <c r="E2441" s="6">
        <v>10.51</v>
      </c>
      <c r="G2441" s="31"/>
    </row>
    <row r="2442" spans="1:7" x14ac:dyDescent="0.25">
      <c r="A2442" s="36">
        <v>42254</v>
      </c>
      <c r="B2442" s="6">
        <v>50.35</v>
      </c>
      <c r="C2442" s="6">
        <v>33.6</v>
      </c>
      <c r="D2442" s="6">
        <v>15.9</v>
      </c>
      <c r="E2442" s="6">
        <v>10.45</v>
      </c>
      <c r="G2442" s="31"/>
    </row>
    <row r="2443" spans="1:7" x14ac:dyDescent="0.25">
      <c r="A2443" s="36">
        <v>42255</v>
      </c>
      <c r="B2443" s="6">
        <v>50.28</v>
      </c>
      <c r="C2443" s="6">
        <v>33.58</v>
      </c>
      <c r="D2443" s="6">
        <v>15.86</v>
      </c>
      <c r="E2443" s="6">
        <v>10.44</v>
      </c>
      <c r="G2443" s="31"/>
    </row>
    <row r="2444" spans="1:7" x14ac:dyDescent="0.25">
      <c r="A2444" s="36">
        <v>42256</v>
      </c>
      <c r="B2444" s="6">
        <v>50.18</v>
      </c>
      <c r="C2444" s="6">
        <v>33.549999999999997</v>
      </c>
      <c r="D2444" s="6">
        <v>15.82</v>
      </c>
      <c r="E2444" s="6">
        <v>10.44</v>
      </c>
      <c r="G2444" s="31"/>
    </row>
    <row r="2445" spans="1:7" x14ac:dyDescent="0.25">
      <c r="A2445" s="36">
        <v>42257</v>
      </c>
      <c r="B2445" s="6">
        <v>50.13</v>
      </c>
      <c r="C2445" s="6">
        <v>33.5</v>
      </c>
      <c r="D2445" s="6">
        <v>15.82</v>
      </c>
      <c r="E2445" s="6">
        <v>10.379999999999999</v>
      </c>
      <c r="G2445" s="31"/>
    </row>
    <row r="2446" spans="1:7" x14ac:dyDescent="0.25">
      <c r="A2446" s="36">
        <v>42258</v>
      </c>
      <c r="B2446" s="6">
        <v>50.06</v>
      </c>
      <c r="C2446" s="43">
        <v>33.450000000000003</v>
      </c>
      <c r="D2446" s="6">
        <v>15.8</v>
      </c>
      <c r="E2446" s="6">
        <v>10.4</v>
      </c>
      <c r="G2446" s="31"/>
    </row>
    <row r="2447" spans="1:7" x14ac:dyDescent="0.25">
      <c r="A2447" s="36">
        <v>42259</v>
      </c>
      <c r="B2447" s="6">
        <v>49.96</v>
      </c>
      <c r="C2447" s="6">
        <v>33.4</v>
      </c>
      <c r="D2447" s="6">
        <v>15.74</v>
      </c>
      <c r="E2447" s="6">
        <v>10.375999999999999</v>
      </c>
      <c r="G2447" s="31"/>
    </row>
    <row r="2448" spans="1:7" x14ac:dyDescent="0.25">
      <c r="A2448" s="36">
        <v>42260</v>
      </c>
      <c r="B2448" s="6">
        <v>49.86</v>
      </c>
      <c r="C2448" s="6">
        <v>33.35</v>
      </c>
      <c r="D2448" s="6">
        <v>15.68</v>
      </c>
      <c r="E2448" s="6">
        <v>10.298999999999999</v>
      </c>
      <c r="G2448" s="31"/>
    </row>
    <row r="2449" spans="1:7" x14ac:dyDescent="0.25">
      <c r="A2449" s="36">
        <v>42261</v>
      </c>
      <c r="B2449" s="6">
        <v>49.74</v>
      </c>
      <c r="C2449" s="6">
        <v>33.299999999999997</v>
      </c>
      <c r="D2449" s="6">
        <v>15.62</v>
      </c>
      <c r="E2449" s="6">
        <v>10.28</v>
      </c>
      <c r="G2449" s="31"/>
    </row>
    <row r="2450" spans="1:7" x14ac:dyDescent="0.25">
      <c r="A2450" s="36">
        <v>42262</v>
      </c>
      <c r="B2450" s="6">
        <v>49.65</v>
      </c>
      <c r="C2450" s="6">
        <v>33.24</v>
      </c>
      <c r="D2450" s="6">
        <v>15.58</v>
      </c>
      <c r="E2450" s="6">
        <v>10.26</v>
      </c>
      <c r="G2450" s="31"/>
    </row>
    <row r="2451" spans="1:7" x14ac:dyDescent="0.25">
      <c r="A2451" s="36">
        <v>42263</v>
      </c>
      <c r="B2451" s="6">
        <v>49.54</v>
      </c>
      <c r="C2451" s="6">
        <v>33.17</v>
      </c>
      <c r="D2451" s="6">
        <v>15.5</v>
      </c>
      <c r="E2451" s="6">
        <v>10.19</v>
      </c>
      <c r="G2451" s="31"/>
    </row>
    <row r="2452" spans="1:7" x14ac:dyDescent="0.25">
      <c r="A2452" s="36">
        <v>42264</v>
      </c>
      <c r="B2452" s="6">
        <v>49.41</v>
      </c>
      <c r="C2452" s="6">
        <v>33.1</v>
      </c>
      <c r="D2452" s="6">
        <v>15.44</v>
      </c>
      <c r="E2452" s="6">
        <v>10.16</v>
      </c>
      <c r="G2452" s="31"/>
    </row>
    <row r="2453" spans="1:7" x14ac:dyDescent="0.25">
      <c r="A2453" s="36">
        <v>42265</v>
      </c>
      <c r="B2453" s="6">
        <v>49.34</v>
      </c>
      <c r="C2453" s="6">
        <v>33.04</v>
      </c>
      <c r="D2453" s="6">
        <v>15.4</v>
      </c>
      <c r="E2453" s="6">
        <v>10.15</v>
      </c>
      <c r="G2453" s="31"/>
    </row>
    <row r="2454" spans="1:7" x14ac:dyDescent="0.25">
      <c r="A2454" s="36">
        <v>42266</v>
      </c>
      <c r="B2454" s="6">
        <v>49.24</v>
      </c>
      <c r="C2454" s="6">
        <v>32.99</v>
      </c>
      <c r="D2454" s="6">
        <v>15.37</v>
      </c>
      <c r="E2454" s="6">
        <v>10.1</v>
      </c>
      <c r="G2454" s="31"/>
    </row>
    <row r="2455" spans="1:7" x14ac:dyDescent="0.25">
      <c r="A2455" s="36">
        <v>42267</v>
      </c>
      <c r="B2455" s="6">
        <v>49.11</v>
      </c>
      <c r="C2455" s="6">
        <v>32.89</v>
      </c>
      <c r="D2455" s="6">
        <v>15.28</v>
      </c>
      <c r="E2455" s="6">
        <v>10</v>
      </c>
      <c r="G2455" s="31"/>
    </row>
    <row r="2456" spans="1:7" x14ac:dyDescent="0.25">
      <c r="A2456" s="36">
        <v>42268</v>
      </c>
      <c r="B2456" s="6">
        <v>49</v>
      </c>
      <c r="C2456" s="6">
        <v>32.83</v>
      </c>
      <c r="D2456" s="6">
        <v>15.2</v>
      </c>
      <c r="E2456" s="6">
        <v>9.94</v>
      </c>
      <c r="G2456" s="31"/>
    </row>
    <row r="2457" spans="1:7" x14ac:dyDescent="0.25">
      <c r="A2457" s="36">
        <v>42269</v>
      </c>
      <c r="B2457" s="6">
        <v>48.88</v>
      </c>
      <c r="C2457" s="6">
        <v>32.770000000000003</v>
      </c>
      <c r="D2457" s="6">
        <v>15.12</v>
      </c>
      <c r="E2457" s="6">
        <v>9.94</v>
      </c>
      <c r="G2457" s="31"/>
    </row>
    <row r="2458" spans="1:7" x14ac:dyDescent="0.25">
      <c r="A2458" s="36">
        <v>42270</v>
      </c>
      <c r="B2458" s="6">
        <v>48.73</v>
      </c>
      <c r="C2458" s="6">
        <v>32.68</v>
      </c>
      <c r="D2458" s="6">
        <v>15.02</v>
      </c>
      <c r="E2458" s="6">
        <v>9.89</v>
      </c>
      <c r="G2458" s="31"/>
    </row>
    <row r="2459" spans="1:7" x14ac:dyDescent="0.25">
      <c r="A2459" s="36">
        <v>42271</v>
      </c>
      <c r="B2459" s="6">
        <v>48.58</v>
      </c>
      <c r="C2459" s="6">
        <v>32.56</v>
      </c>
      <c r="D2459" s="6">
        <v>15</v>
      </c>
      <c r="E2459" s="6">
        <v>9.7999999999999989</v>
      </c>
      <c r="G2459" s="31"/>
    </row>
    <row r="2460" spans="1:7" x14ac:dyDescent="0.25">
      <c r="A2460" s="36">
        <v>42272</v>
      </c>
      <c r="B2460" s="6">
        <v>48.46</v>
      </c>
      <c r="C2460" s="6">
        <v>32.42</v>
      </c>
      <c r="D2460" s="6">
        <v>14.92</v>
      </c>
      <c r="E2460" s="6">
        <v>9.7999999999999989</v>
      </c>
      <c r="G2460" s="31"/>
    </row>
    <row r="2461" spans="1:7" x14ac:dyDescent="0.25">
      <c r="A2461" s="36">
        <v>42273</v>
      </c>
      <c r="B2461" s="6">
        <v>48.43</v>
      </c>
      <c r="C2461" s="6">
        <v>32.32</v>
      </c>
      <c r="D2461" s="6">
        <v>14.86</v>
      </c>
      <c r="E2461" s="6">
        <v>9.69</v>
      </c>
      <c r="G2461" s="31"/>
    </row>
    <row r="2462" spans="1:7" x14ac:dyDescent="0.25">
      <c r="A2462" s="36">
        <v>42274</v>
      </c>
      <c r="B2462" s="6">
        <v>48.17</v>
      </c>
      <c r="C2462" s="6">
        <v>32.200000000000003</v>
      </c>
      <c r="D2462" s="6">
        <v>14.76</v>
      </c>
      <c r="E2462" s="6">
        <v>9.67</v>
      </c>
      <c r="G2462" s="31"/>
    </row>
    <row r="2463" spans="1:7" x14ac:dyDescent="0.25">
      <c r="A2463" s="36">
        <v>42275</v>
      </c>
      <c r="B2463" s="6">
        <v>47.99</v>
      </c>
      <c r="C2463" s="6">
        <v>32.08</v>
      </c>
      <c r="D2463" s="6">
        <v>14.6</v>
      </c>
      <c r="E2463" s="6">
        <v>9.56</v>
      </c>
      <c r="G2463" s="31"/>
    </row>
    <row r="2464" spans="1:7" x14ac:dyDescent="0.25">
      <c r="A2464" s="36">
        <v>42276</v>
      </c>
      <c r="B2464" s="6">
        <v>47.77</v>
      </c>
      <c r="C2464" s="6">
        <v>31.9</v>
      </c>
      <c r="D2464" s="6">
        <v>14.48</v>
      </c>
      <c r="E2464" s="6">
        <v>9.4599999999999991</v>
      </c>
      <c r="G2464" s="31"/>
    </row>
    <row r="2465" spans="1:7" x14ac:dyDescent="0.25">
      <c r="A2465" s="36">
        <v>42277</v>
      </c>
      <c r="B2465" s="6">
        <v>47.54</v>
      </c>
      <c r="C2465" s="6">
        <v>31.76</v>
      </c>
      <c r="D2465" s="6">
        <v>14.4</v>
      </c>
      <c r="E2465" s="6">
        <v>9.4</v>
      </c>
      <c r="G2465" s="31"/>
    </row>
    <row r="2466" spans="1:7" x14ac:dyDescent="0.25">
      <c r="A2466" s="36">
        <v>42278</v>
      </c>
      <c r="B2466" s="6">
        <v>47.29</v>
      </c>
      <c r="C2466" s="6">
        <v>31.6</v>
      </c>
      <c r="D2466" s="6">
        <v>14.12</v>
      </c>
      <c r="E2466" s="6">
        <v>9.26</v>
      </c>
      <c r="G2466" s="31"/>
    </row>
    <row r="2467" spans="1:7" x14ac:dyDescent="0.25">
      <c r="A2467" s="36">
        <v>42279</v>
      </c>
      <c r="B2467" s="6">
        <v>47.02</v>
      </c>
      <c r="C2467" s="6">
        <v>31.41</v>
      </c>
      <c r="D2467" s="6">
        <v>13.96</v>
      </c>
      <c r="E2467" s="6">
        <v>9.11</v>
      </c>
      <c r="G2467" s="31"/>
    </row>
    <row r="2468" spans="1:7" x14ac:dyDescent="0.25">
      <c r="A2468" s="36">
        <v>42280</v>
      </c>
      <c r="B2468" s="6">
        <v>46.79</v>
      </c>
      <c r="C2468" s="6">
        <v>31.23</v>
      </c>
      <c r="D2468" s="6">
        <v>13.9</v>
      </c>
      <c r="E2468" s="6">
        <v>8.9599999999999991</v>
      </c>
      <c r="G2468" s="31"/>
    </row>
    <row r="2469" spans="1:7" x14ac:dyDescent="0.25">
      <c r="A2469" s="36">
        <v>42281</v>
      </c>
      <c r="B2469" s="6">
        <v>46.55</v>
      </c>
      <c r="C2469" s="6">
        <v>31.01</v>
      </c>
      <c r="D2469" s="6">
        <v>13.66</v>
      </c>
      <c r="E2469" s="6">
        <v>8.83</v>
      </c>
      <c r="G2469" s="31"/>
    </row>
    <row r="2470" spans="1:7" x14ac:dyDescent="0.25">
      <c r="A2470" s="36">
        <v>42282</v>
      </c>
      <c r="B2470" s="6">
        <v>46.34</v>
      </c>
      <c r="C2470" s="6">
        <v>30.78</v>
      </c>
      <c r="D2470" s="6">
        <v>13.42</v>
      </c>
      <c r="E2470" s="6">
        <v>8.69</v>
      </c>
      <c r="G2470" s="31"/>
    </row>
    <row r="2471" spans="1:7" x14ac:dyDescent="0.25">
      <c r="A2471" s="36">
        <v>42283</v>
      </c>
      <c r="B2471" s="6">
        <v>46.15</v>
      </c>
      <c r="C2471" s="6">
        <v>30.51</v>
      </c>
      <c r="D2471" s="6">
        <v>13.34</v>
      </c>
      <c r="E2471" s="6">
        <v>8.5499999999999989</v>
      </c>
      <c r="G2471" s="31"/>
    </row>
    <row r="2472" spans="1:7" x14ac:dyDescent="0.25">
      <c r="A2472" s="36">
        <v>42284</v>
      </c>
      <c r="B2472" s="6">
        <v>45.97</v>
      </c>
      <c r="C2472" s="6">
        <v>30.28</v>
      </c>
      <c r="D2472" s="6">
        <v>13.08</v>
      </c>
      <c r="E2472" s="6">
        <v>8.36</v>
      </c>
      <c r="G2472" s="31"/>
    </row>
    <row r="2473" spans="1:7" x14ac:dyDescent="0.25">
      <c r="A2473" s="36">
        <v>42285</v>
      </c>
      <c r="B2473" s="6">
        <v>45.8</v>
      </c>
      <c r="C2473" s="6">
        <v>29.98</v>
      </c>
      <c r="D2473" s="6">
        <v>12.92</v>
      </c>
      <c r="E2473" s="6">
        <v>8.2100000000000009</v>
      </c>
      <c r="G2473" s="31"/>
    </row>
    <row r="2474" spans="1:7" x14ac:dyDescent="0.25">
      <c r="A2474" s="36">
        <v>42286</v>
      </c>
      <c r="B2474" s="6">
        <v>45.66</v>
      </c>
      <c r="C2474" s="6">
        <v>29.75</v>
      </c>
      <c r="D2474" s="6">
        <v>12.7</v>
      </c>
      <c r="E2474" s="6">
        <v>8.02</v>
      </c>
      <c r="G2474" s="31"/>
    </row>
    <row r="2475" spans="1:7" x14ac:dyDescent="0.25">
      <c r="A2475" s="36">
        <v>42287</v>
      </c>
      <c r="B2475" s="6">
        <v>45.54</v>
      </c>
      <c r="C2475" s="6">
        <v>29.49</v>
      </c>
      <c r="D2475" s="6">
        <v>12.26</v>
      </c>
      <c r="E2475" s="6">
        <v>7.77</v>
      </c>
      <c r="G2475" s="31"/>
    </row>
    <row r="2476" spans="1:7" x14ac:dyDescent="0.25">
      <c r="A2476" s="36">
        <v>42288</v>
      </c>
      <c r="B2476" s="6">
        <v>45.38</v>
      </c>
      <c r="C2476" s="6">
        <v>29.25</v>
      </c>
      <c r="D2476" s="6">
        <v>12</v>
      </c>
      <c r="E2476" s="6">
        <v>7.51</v>
      </c>
      <c r="G2476" s="31"/>
    </row>
    <row r="2477" spans="1:7" x14ac:dyDescent="0.25">
      <c r="A2477" s="36">
        <v>42289</v>
      </c>
      <c r="B2477" s="6">
        <v>45.25</v>
      </c>
      <c r="C2477" s="6">
        <v>29.04</v>
      </c>
      <c r="D2477" s="6">
        <v>11.7</v>
      </c>
      <c r="E2477" s="6">
        <v>7.26</v>
      </c>
      <c r="G2477" s="31"/>
    </row>
    <row r="2478" spans="1:7" x14ac:dyDescent="0.25">
      <c r="A2478" s="36">
        <v>42290</v>
      </c>
      <c r="B2478" s="6">
        <v>45.18</v>
      </c>
      <c r="C2478" s="6">
        <v>28.85</v>
      </c>
      <c r="D2478" s="6">
        <v>11.3</v>
      </c>
      <c r="E2478" s="6">
        <v>7</v>
      </c>
      <c r="G2478" s="31"/>
    </row>
    <row r="2479" spans="1:7" x14ac:dyDescent="0.25">
      <c r="A2479" s="36">
        <v>42291</v>
      </c>
      <c r="B2479" s="6">
        <v>45.15</v>
      </c>
      <c r="C2479" s="6">
        <v>28.66</v>
      </c>
      <c r="D2479" s="6">
        <v>11.14</v>
      </c>
      <c r="E2479" s="6">
        <v>6.76</v>
      </c>
      <c r="G2479" s="31"/>
    </row>
    <row r="2480" spans="1:7" x14ac:dyDescent="0.25">
      <c r="A2480" s="36">
        <v>42292</v>
      </c>
      <c r="B2480" s="6">
        <v>45.24</v>
      </c>
      <c r="C2480" s="6">
        <v>28.55</v>
      </c>
      <c r="D2480" s="6">
        <v>10.8</v>
      </c>
      <c r="E2480" s="6">
        <v>6.52</v>
      </c>
      <c r="G2480" s="31"/>
    </row>
    <row r="2481" spans="1:7" x14ac:dyDescent="0.25">
      <c r="A2481" s="36">
        <v>42293</v>
      </c>
      <c r="B2481" s="6">
        <v>45.39</v>
      </c>
      <c r="C2481" s="6">
        <v>28.41</v>
      </c>
      <c r="D2481" s="6">
        <v>10.6</v>
      </c>
      <c r="E2481" s="6">
        <v>6.31</v>
      </c>
      <c r="G2481" s="31"/>
    </row>
    <row r="2482" spans="1:7" x14ac:dyDescent="0.25">
      <c r="A2482" s="36">
        <v>42294</v>
      </c>
      <c r="B2482" s="6">
        <v>45.48</v>
      </c>
      <c r="C2482" s="6">
        <v>28.33</v>
      </c>
      <c r="D2482" s="6">
        <v>10.199999999999999</v>
      </c>
      <c r="E2482" s="6">
        <v>6.18</v>
      </c>
      <c r="G2482" s="31"/>
    </row>
    <row r="2483" spans="1:7" x14ac:dyDescent="0.25">
      <c r="A2483" s="36">
        <v>42295</v>
      </c>
      <c r="B2483" s="6">
        <v>45.46</v>
      </c>
      <c r="C2483" s="6">
        <v>28.3</v>
      </c>
      <c r="D2483" s="6">
        <v>9.8000000000000007</v>
      </c>
      <c r="E2483" s="6">
        <v>6.0270000000000001</v>
      </c>
      <c r="G2483" s="31"/>
    </row>
    <row r="2484" spans="1:7" x14ac:dyDescent="0.25">
      <c r="A2484" s="36">
        <v>42296</v>
      </c>
      <c r="B2484" s="6">
        <v>45.62</v>
      </c>
      <c r="C2484" s="6">
        <v>28.28</v>
      </c>
      <c r="D2484" s="6">
        <v>9.6</v>
      </c>
      <c r="E2484" s="6">
        <v>5.8999999999999995</v>
      </c>
      <c r="G2484" s="31"/>
    </row>
    <row r="2485" spans="1:7" x14ac:dyDescent="0.25">
      <c r="A2485" s="36">
        <v>42297</v>
      </c>
      <c r="B2485" s="6">
        <v>45.64</v>
      </c>
      <c r="C2485" s="6">
        <v>28.33</v>
      </c>
      <c r="D2485" s="6">
        <v>9.6</v>
      </c>
      <c r="E2485" s="6">
        <v>5.83</v>
      </c>
      <c r="G2485" s="31"/>
    </row>
    <row r="2486" spans="1:7" x14ac:dyDescent="0.25">
      <c r="A2486" s="36">
        <v>42298</v>
      </c>
      <c r="B2486" s="6">
        <v>45.59</v>
      </c>
      <c r="C2486" s="6">
        <v>28.36</v>
      </c>
      <c r="D2486" s="6">
        <v>9.6</v>
      </c>
      <c r="E2486" s="6">
        <v>5.77</v>
      </c>
      <c r="G2486" s="31"/>
    </row>
    <row r="2487" spans="1:7" x14ac:dyDescent="0.25">
      <c r="A2487" s="36">
        <v>42299</v>
      </c>
      <c r="B2487" s="6">
        <v>45.52</v>
      </c>
      <c r="C2487" s="6">
        <v>28.4</v>
      </c>
      <c r="D2487" s="6">
        <v>9.6</v>
      </c>
      <c r="E2487" s="6">
        <v>5.72</v>
      </c>
      <c r="G2487" s="31"/>
    </row>
    <row r="2488" spans="1:7" x14ac:dyDescent="0.25">
      <c r="A2488" s="36">
        <v>42300</v>
      </c>
      <c r="B2488" s="6">
        <v>45.4</v>
      </c>
      <c r="C2488" s="6">
        <v>28.4</v>
      </c>
      <c r="D2488" s="6">
        <v>9.58</v>
      </c>
      <c r="E2488" s="6">
        <v>5.67</v>
      </c>
      <c r="G2488" s="31"/>
    </row>
    <row r="2489" spans="1:7" x14ac:dyDescent="0.25">
      <c r="A2489" s="36">
        <v>42301</v>
      </c>
      <c r="B2489" s="6">
        <v>45.26</v>
      </c>
      <c r="C2489" s="6">
        <v>28.33</v>
      </c>
      <c r="D2489" s="6">
        <v>9.52</v>
      </c>
      <c r="E2489" s="6">
        <v>5.67</v>
      </c>
      <c r="G2489" s="31"/>
    </row>
    <row r="2490" spans="1:7" x14ac:dyDescent="0.25">
      <c r="A2490" s="36">
        <v>42302</v>
      </c>
      <c r="B2490" s="6">
        <v>45.21</v>
      </c>
      <c r="C2490" s="6">
        <v>28.31</v>
      </c>
      <c r="D2490" s="6">
        <v>9.52</v>
      </c>
      <c r="E2490" s="6">
        <v>5.56</v>
      </c>
      <c r="G2490" s="31"/>
    </row>
    <row r="2491" spans="1:7" x14ac:dyDescent="0.25">
      <c r="A2491" s="36">
        <v>42303</v>
      </c>
      <c r="B2491" s="6">
        <v>45.14</v>
      </c>
      <c r="C2491" s="6">
        <v>28.28</v>
      </c>
      <c r="D2491" s="6">
        <v>9.52</v>
      </c>
      <c r="E2491" s="6">
        <v>5.5</v>
      </c>
      <c r="G2491" s="31"/>
    </row>
    <row r="2492" spans="1:7" x14ac:dyDescent="0.25">
      <c r="A2492" s="36">
        <v>42304</v>
      </c>
      <c r="B2492" s="6">
        <v>45.1</v>
      </c>
      <c r="C2492" s="6">
        <v>28.29</v>
      </c>
      <c r="D2492" s="6">
        <v>9.52</v>
      </c>
      <c r="E2492" s="6">
        <v>5.59</v>
      </c>
      <c r="G2492" s="31"/>
    </row>
    <row r="2493" spans="1:7" x14ac:dyDescent="0.25">
      <c r="A2493" s="36">
        <v>42305</v>
      </c>
      <c r="B2493" s="6">
        <v>45.1</v>
      </c>
      <c r="C2493" s="6">
        <v>28.2</v>
      </c>
      <c r="D2493" s="6">
        <v>9.7200000000000006</v>
      </c>
      <c r="E2493" s="6">
        <v>5.52</v>
      </c>
      <c r="G2493" s="31"/>
    </row>
    <row r="2494" spans="1:7" x14ac:dyDescent="0.25">
      <c r="A2494" s="36">
        <v>42306</v>
      </c>
      <c r="B2494" s="6">
        <v>45.08</v>
      </c>
      <c r="C2494" s="6">
        <v>28.13</v>
      </c>
      <c r="D2494" s="6">
        <v>9.6999999999999993</v>
      </c>
      <c r="E2494" s="6">
        <v>5.5</v>
      </c>
      <c r="G2494" s="31"/>
    </row>
    <row r="2495" spans="1:7" x14ac:dyDescent="0.25">
      <c r="A2495" s="36">
        <v>42307</v>
      </c>
      <c r="B2495" s="6">
        <v>45.08</v>
      </c>
      <c r="C2495" s="6">
        <v>28.08</v>
      </c>
      <c r="D2495" s="6">
        <v>9.6199999999999992</v>
      </c>
      <c r="E2495" s="6">
        <v>5.56</v>
      </c>
      <c r="G2495" s="31"/>
    </row>
    <row r="2496" spans="1:7" x14ac:dyDescent="0.25">
      <c r="A2496" s="36">
        <v>42308</v>
      </c>
      <c r="B2496" s="6">
        <v>45.08</v>
      </c>
      <c r="C2496" s="6">
        <v>28</v>
      </c>
      <c r="D2496" s="6">
        <v>9.6199999999999992</v>
      </c>
      <c r="E2496" s="6">
        <v>5.56</v>
      </c>
      <c r="G2496" s="31"/>
    </row>
    <row r="2497" spans="1:7" x14ac:dyDescent="0.25">
      <c r="A2497" s="36">
        <v>42309</v>
      </c>
      <c r="B2497" s="6">
        <v>45.07</v>
      </c>
      <c r="C2497" s="6">
        <v>27.96</v>
      </c>
      <c r="D2497" s="6">
        <v>9.6</v>
      </c>
      <c r="E2497" s="6">
        <v>5.4899999999999993</v>
      </c>
      <c r="G2497" s="31"/>
    </row>
    <row r="2498" spans="1:7" x14ac:dyDescent="0.25">
      <c r="A2498" s="36">
        <v>42310</v>
      </c>
      <c r="B2498" s="6">
        <v>45.07</v>
      </c>
      <c r="C2498" s="6">
        <v>27.88</v>
      </c>
      <c r="D2498" s="6">
        <v>9.52</v>
      </c>
      <c r="E2498" s="6">
        <v>5.39</v>
      </c>
      <c r="G2498" s="31"/>
    </row>
    <row r="2499" spans="1:7" x14ac:dyDescent="0.25">
      <c r="A2499" s="36">
        <v>42311</v>
      </c>
      <c r="B2499" s="6">
        <v>45.1</v>
      </c>
      <c r="C2499" s="6">
        <v>27.79</v>
      </c>
      <c r="D2499" s="6">
        <v>9.4600000000000009</v>
      </c>
      <c r="E2499" s="6">
        <v>5.34</v>
      </c>
      <c r="G2499" s="31"/>
    </row>
    <row r="2500" spans="1:7" x14ac:dyDescent="0.25">
      <c r="A2500" s="36">
        <v>42312</v>
      </c>
      <c r="B2500" s="6">
        <v>45.09</v>
      </c>
      <c r="C2500" s="6">
        <v>27.73</v>
      </c>
      <c r="D2500" s="6">
        <v>9.42</v>
      </c>
      <c r="E2500" s="6">
        <v>5.31</v>
      </c>
      <c r="G2500" s="31"/>
    </row>
    <row r="2501" spans="1:7" x14ac:dyDescent="0.25">
      <c r="A2501" s="36">
        <v>42313</v>
      </c>
      <c r="B2501" s="6">
        <v>45.08</v>
      </c>
      <c r="C2501" s="6">
        <v>27.67</v>
      </c>
      <c r="D2501" s="6">
        <v>9.3800000000000008</v>
      </c>
      <c r="E2501" s="6">
        <v>5.21</v>
      </c>
      <c r="G2501" s="31"/>
    </row>
    <row r="2502" spans="1:7" x14ac:dyDescent="0.25">
      <c r="A2502" s="36">
        <v>42314</v>
      </c>
      <c r="B2502" s="6">
        <v>45.06</v>
      </c>
      <c r="C2502" s="6">
        <v>27.61</v>
      </c>
      <c r="D2502" s="6">
        <v>9.26</v>
      </c>
      <c r="E2502" s="6">
        <v>5.21</v>
      </c>
      <c r="G2502" s="31"/>
    </row>
    <row r="2503" spans="1:7" x14ac:dyDescent="0.25">
      <c r="A2503" s="36">
        <v>42315</v>
      </c>
      <c r="B2503" s="6">
        <v>45.02</v>
      </c>
      <c r="C2503" s="6">
        <v>27.57</v>
      </c>
      <c r="D2503" s="6">
        <v>9.18</v>
      </c>
      <c r="E2503" s="6">
        <v>5.21</v>
      </c>
      <c r="G2503" s="31"/>
    </row>
    <row r="2504" spans="1:7" x14ac:dyDescent="0.25">
      <c r="A2504" s="36">
        <v>42316</v>
      </c>
      <c r="B2504" s="6">
        <v>45.06</v>
      </c>
      <c r="C2504" s="6">
        <v>27.5</v>
      </c>
      <c r="D2504" s="6">
        <v>9.1199999999999992</v>
      </c>
      <c r="E2504" s="6">
        <v>5.1499999999999995</v>
      </c>
      <c r="G2504" s="31"/>
    </row>
    <row r="2505" spans="1:7" x14ac:dyDescent="0.25">
      <c r="A2505" s="36">
        <v>42317</v>
      </c>
      <c r="B2505" s="6">
        <v>45.11</v>
      </c>
      <c r="C2505" s="6">
        <v>27.46</v>
      </c>
      <c r="D2505" s="6">
        <v>9.16</v>
      </c>
      <c r="E2505" s="6">
        <v>5.16</v>
      </c>
      <c r="G2505" s="31"/>
    </row>
    <row r="2506" spans="1:7" x14ac:dyDescent="0.25">
      <c r="A2506" s="36">
        <v>42318</v>
      </c>
      <c r="B2506" s="6">
        <v>45.15</v>
      </c>
      <c r="C2506" s="6">
        <v>27.4</v>
      </c>
      <c r="D2506" s="6">
        <v>9.14</v>
      </c>
      <c r="E2506" s="6">
        <v>5.12</v>
      </c>
      <c r="G2506" s="31"/>
    </row>
    <row r="2507" spans="1:7" x14ac:dyDescent="0.25">
      <c r="A2507" s="36">
        <v>42319</v>
      </c>
      <c r="B2507" s="6">
        <v>45.15</v>
      </c>
      <c r="C2507" s="6">
        <v>27.42</v>
      </c>
      <c r="D2507" s="6">
        <v>9.1</v>
      </c>
      <c r="E2507" s="6">
        <v>5.0699999999999994</v>
      </c>
      <c r="G2507" s="31"/>
    </row>
    <row r="2508" spans="1:7" x14ac:dyDescent="0.25">
      <c r="A2508" s="36">
        <v>42320</v>
      </c>
      <c r="B2508" s="6">
        <v>45.23</v>
      </c>
      <c r="C2508" s="6">
        <v>27.43</v>
      </c>
      <c r="D2508" s="6">
        <v>9.06</v>
      </c>
      <c r="E2508" s="6">
        <v>5.08</v>
      </c>
      <c r="G2508" s="31"/>
    </row>
    <row r="2509" spans="1:7" x14ac:dyDescent="0.25">
      <c r="A2509" s="36">
        <v>42321</v>
      </c>
      <c r="B2509" s="6">
        <v>45.33</v>
      </c>
      <c r="C2509" s="6">
        <v>27.48</v>
      </c>
      <c r="D2509" s="6">
        <v>9</v>
      </c>
      <c r="E2509" s="6">
        <v>5.0599999999999996</v>
      </c>
      <c r="G2509" s="31"/>
    </row>
    <row r="2510" spans="1:7" x14ac:dyDescent="0.25">
      <c r="A2510" s="36">
        <v>42322</v>
      </c>
      <c r="B2510" s="6">
        <v>45.35</v>
      </c>
      <c r="C2510" s="6">
        <v>27.57</v>
      </c>
      <c r="D2510" s="6">
        <v>8.9</v>
      </c>
      <c r="E2510" s="6">
        <v>5.0699999999999994</v>
      </c>
      <c r="G2510" s="31"/>
    </row>
    <row r="2511" spans="1:7" x14ac:dyDescent="0.25">
      <c r="A2511" s="36">
        <v>42323</v>
      </c>
      <c r="B2511" s="6">
        <v>45.34</v>
      </c>
      <c r="C2511" s="6">
        <v>27.68</v>
      </c>
      <c r="D2511" s="6">
        <v>8.8800000000000008</v>
      </c>
      <c r="E2511" s="6">
        <v>5.09</v>
      </c>
      <c r="G2511" s="31"/>
    </row>
    <row r="2512" spans="1:7" x14ac:dyDescent="0.25">
      <c r="A2512" s="36">
        <v>42324</v>
      </c>
      <c r="B2512" s="6">
        <v>45.34</v>
      </c>
      <c r="C2512" s="6">
        <v>27.74</v>
      </c>
      <c r="D2512" s="6">
        <v>8.84</v>
      </c>
      <c r="E2512" s="6">
        <v>5.09</v>
      </c>
      <c r="G2512" s="31"/>
    </row>
    <row r="2513" spans="1:7" x14ac:dyDescent="0.25">
      <c r="A2513" s="36">
        <v>42325</v>
      </c>
      <c r="B2513" s="6">
        <v>45.34</v>
      </c>
      <c r="C2513" s="6">
        <v>27.77</v>
      </c>
      <c r="D2513" s="6">
        <v>9.1999999999999993</v>
      </c>
      <c r="E2513" s="6">
        <v>5.1499999999999995</v>
      </c>
      <c r="G2513" s="31"/>
    </row>
    <row r="2514" spans="1:7" x14ac:dyDescent="0.25">
      <c r="A2514" s="36">
        <v>42326</v>
      </c>
      <c r="B2514" s="6">
        <v>45.29</v>
      </c>
      <c r="C2514" s="6">
        <v>27.76</v>
      </c>
      <c r="D2514" s="6">
        <v>9.24</v>
      </c>
      <c r="E2514" s="6">
        <v>5.17</v>
      </c>
      <c r="G2514" s="31"/>
    </row>
    <row r="2515" spans="1:7" x14ac:dyDescent="0.25">
      <c r="A2515" s="36">
        <v>42327</v>
      </c>
      <c r="B2515" s="6">
        <v>45.23</v>
      </c>
      <c r="C2515" s="6">
        <v>27.76</v>
      </c>
      <c r="D2515" s="6">
        <v>9.26</v>
      </c>
      <c r="E2515" s="6">
        <v>5.17</v>
      </c>
      <c r="G2515" s="31"/>
    </row>
    <row r="2516" spans="1:7" x14ac:dyDescent="0.25">
      <c r="A2516" s="36">
        <v>42328</v>
      </c>
      <c r="B2516" s="6">
        <v>45.2</v>
      </c>
      <c r="C2516" s="6">
        <v>27.71</v>
      </c>
      <c r="D2516" s="6">
        <v>9.2799999999999994</v>
      </c>
      <c r="E2516" s="6">
        <v>5.14</v>
      </c>
      <c r="G2516" s="31"/>
    </row>
    <row r="2517" spans="1:7" x14ac:dyDescent="0.25">
      <c r="A2517" s="36">
        <v>42329</v>
      </c>
      <c r="B2517" s="6">
        <v>45.2</v>
      </c>
      <c r="C2517" s="6">
        <v>27.68</v>
      </c>
      <c r="D2517" s="6">
        <v>9.34</v>
      </c>
      <c r="E2517" s="6">
        <v>5.17</v>
      </c>
      <c r="G2517" s="31"/>
    </row>
    <row r="2518" spans="1:7" x14ac:dyDescent="0.25">
      <c r="A2518" s="36">
        <v>42330</v>
      </c>
      <c r="B2518" s="6">
        <v>45.1</v>
      </c>
      <c r="C2518" s="6">
        <v>27.67</v>
      </c>
      <c r="D2518" s="6">
        <v>9.3800000000000008</v>
      </c>
      <c r="E2518" s="6">
        <v>5.1099999999999994</v>
      </c>
      <c r="G2518" s="31"/>
    </row>
    <row r="2519" spans="1:7" x14ac:dyDescent="0.25">
      <c r="A2519" s="36">
        <v>42331</v>
      </c>
      <c r="B2519" s="6">
        <v>45.04</v>
      </c>
      <c r="C2519" s="6">
        <v>27.66</v>
      </c>
      <c r="D2519" s="6">
        <v>9.3800000000000008</v>
      </c>
      <c r="E2519" s="6">
        <v>5.12</v>
      </c>
      <c r="G2519" s="31"/>
    </row>
    <row r="2520" spans="1:7" x14ac:dyDescent="0.25">
      <c r="A2520" s="36">
        <v>42332</v>
      </c>
      <c r="B2520" s="6">
        <v>44.96</v>
      </c>
      <c r="C2520" s="6">
        <v>27.67</v>
      </c>
      <c r="D2520" s="6">
        <v>9.2200000000000006</v>
      </c>
      <c r="E2520" s="6">
        <v>5.13</v>
      </c>
      <c r="G2520" s="31"/>
    </row>
    <row r="2521" spans="1:7" x14ac:dyDescent="0.25">
      <c r="A2521" s="36">
        <v>42333</v>
      </c>
      <c r="B2521" s="6">
        <v>44.88</v>
      </c>
      <c r="C2521" s="6">
        <v>27.62</v>
      </c>
      <c r="D2521" s="6">
        <v>9.1999999999999993</v>
      </c>
      <c r="E2521" s="6">
        <v>5.14</v>
      </c>
      <c r="G2521" s="31"/>
    </row>
    <row r="2522" spans="1:7" x14ac:dyDescent="0.25">
      <c r="A2522" s="36">
        <v>42334</v>
      </c>
      <c r="B2522" s="6">
        <v>44.82</v>
      </c>
      <c r="C2522" s="6">
        <v>27.55</v>
      </c>
      <c r="D2522" s="6">
        <v>9.18</v>
      </c>
      <c r="E2522" s="6">
        <v>5.13</v>
      </c>
      <c r="G2522" s="31"/>
    </row>
    <row r="2523" spans="1:7" x14ac:dyDescent="0.25">
      <c r="A2523" s="36">
        <v>42335</v>
      </c>
      <c r="B2523" s="6">
        <v>44.75</v>
      </c>
      <c r="C2523" s="6">
        <v>27.45</v>
      </c>
      <c r="D2523" s="6">
        <v>9.16</v>
      </c>
      <c r="E2523" s="6">
        <v>5.22</v>
      </c>
      <c r="G2523" s="31"/>
    </row>
    <row r="2524" spans="1:7" x14ac:dyDescent="0.25">
      <c r="A2524" s="36">
        <v>42336</v>
      </c>
      <c r="B2524" s="6">
        <v>44.68</v>
      </c>
      <c r="C2524" s="6">
        <v>27.34</v>
      </c>
      <c r="D2524" s="6">
        <v>9.06</v>
      </c>
      <c r="E2524" s="6">
        <v>5.0999999999999996</v>
      </c>
      <c r="G2524" s="31"/>
    </row>
    <row r="2525" spans="1:7" x14ac:dyDescent="0.25">
      <c r="A2525" s="36">
        <v>42337</v>
      </c>
      <c r="B2525" s="6">
        <v>44.65</v>
      </c>
      <c r="C2525" s="6">
        <v>27.22</v>
      </c>
      <c r="D2525" s="6">
        <v>9.02</v>
      </c>
      <c r="E2525" s="6">
        <v>5.01</v>
      </c>
      <c r="G2525" s="31"/>
    </row>
    <row r="2526" spans="1:7" x14ac:dyDescent="0.25">
      <c r="A2526" s="36">
        <v>42338</v>
      </c>
      <c r="B2526" s="6">
        <v>44.61</v>
      </c>
      <c r="C2526" s="6">
        <v>27.09</v>
      </c>
      <c r="D2526" s="6">
        <v>8.86</v>
      </c>
      <c r="E2526" s="6">
        <v>4.9499999999999993</v>
      </c>
      <c r="G2526" s="31"/>
    </row>
    <row r="2527" spans="1:7" x14ac:dyDescent="0.25">
      <c r="A2527" s="36">
        <v>42339</v>
      </c>
      <c r="B2527" s="6">
        <v>44.56</v>
      </c>
      <c r="C2527" s="6">
        <v>26.99</v>
      </c>
      <c r="D2527" s="6">
        <v>8.7799999999999994</v>
      </c>
      <c r="E2527" s="6">
        <v>4.8999999999999995</v>
      </c>
      <c r="G2527" s="31"/>
    </row>
    <row r="2528" spans="1:7" x14ac:dyDescent="0.25">
      <c r="A2528" s="36">
        <v>42340</v>
      </c>
      <c r="B2528" s="6">
        <v>44.53</v>
      </c>
      <c r="C2528" s="6">
        <v>26.88</v>
      </c>
      <c r="D2528" s="6">
        <v>8.68</v>
      </c>
      <c r="E2528" s="6">
        <v>4.84</v>
      </c>
      <c r="G2528" s="31"/>
    </row>
    <row r="2529" spans="1:7" x14ac:dyDescent="0.25">
      <c r="A2529" s="36">
        <v>42341</v>
      </c>
      <c r="B2529" s="6">
        <v>44.51</v>
      </c>
      <c r="C2529" s="6">
        <v>26.82</v>
      </c>
      <c r="D2529" s="6">
        <v>8.64</v>
      </c>
      <c r="E2529" s="6">
        <v>4.7299999999999995</v>
      </c>
      <c r="G2529" s="31"/>
    </row>
    <row r="2530" spans="1:7" x14ac:dyDescent="0.25">
      <c r="A2530" s="36">
        <v>42342</v>
      </c>
      <c r="B2530" s="6">
        <v>44.47</v>
      </c>
      <c r="C2530" s="6">
        <v>26.75</v>
      </c>
      <c r="D2530" s="6">
        <v>8.4</v>
      </c>
      <c r="E2530" s="6">
        <v>4.5699999999999994</v>
      </c>
      <c r="G2530" s="31"/>
    </row>
    <row r="2531" spans="1:7" x14ac:dyDescent="0.25">
      <c r="A2531" s="36">
        <v>42343</v>
      </c>
      <c r="B2531" s="6">
        <v>44.43</v>
      </c>
      <c r="C2531" s="6">
        <v>26.55</v>
      </c>
      <c r="D2531" s="6">
        <v>8.32</v>
      </c>
      <c r="E2531" s="6">
        <v>4.4899999999999993</v>
      </c>
      <c r="G2531" s="31"/>
    </row>
    <row r="2532" spans="1:7" x14ac:dyDescent="0.25">
      <c r="A2532" s="36">
        <v>42344</v>
      </c>
      <c r="B2532" s="6">
        <v>44.38</v>
      </c>
      <c r="C2532" s="6">
        <v>26.65</v>
      </c>
      <c r="D2532" s="6">
        <v>8.24</v>
      </c>
      <c r="E2532" s="6">
        <v>4.37</v>
      </c>
      <c r="G2532" s="31"/>
    </row>
    <row r="2533" spans="1:7" x14ac:dyDescent="0.25">
      <c r="A2533" s="36">
        <v>42345</v>
      </c>
      <c r="B2533" s="6">
        <v>44.32</v>
      </c>
      <c r="C2533" s="6">
        <v>26.59</v>
      </c>
      <c r="D2533" s="6">
        <v>8.18</v>
      </c>
      <c r="E2533" s="6">
        <v>4.29</v>
      </c>
      <c r="G2533" s="31"/>
    </row>
    <row r="2534" spans="1:7" x14ac:dyDescent="0.25">
      <c r="A2534" s="36">
        <v>42346</v>
      </c>
      <c r="B2534" s="6">
        <v>44.25</v>
      </c>
      <c r="C2534" s="6">
        <v>26.53</v>
      </c>
      <c r="D2534" s="6">
        <v>8.02</v>
      </c>
      <c r="E2534" s="6">
        <v>4.34</v>
      </c>
      <c r="G2534" s="31"/>
    </row>
    <row r="2535" spans="1:7" x14ac:dyDescent="0.25">
      <c r="A2535" s="36">
        <v>42347</v>
      </c>
      <c r="B2535" s="6">
        <v>44.17</v>
      </c>
      <c r="C2535" s="6">
        <v>26.5</v>
      </c>
      <c r="D2535" s="6">
        <v>8.02</v>
      </c>
      <c r="E2535" s="6">
        <v>4.3499999999999996</v>
      </c>
      <c r="G2535" s="31"/>
    </row>
    <row r="2536" spans="1:7" x14ac:dyDescent="0.25">
      <c r="A2536" s="36">
        <v>42348</v>
      </c>
      <c r="B2536" s="6">
        <v>44.1</v>
      </c>
      <c r="C2536" s="6">
        <v>26.5</v>
      </c>
      <c r="D2536" s="6">
        <v>8.1</v>
      </c>
      <c r="E2536" s="6">
        <v>4.3600000000000003</v>
      </c>
      <c r="G2536" s="31"/>
    </row>
    <row r="2537" spans="1:7" x14ac:dyDescent="0.25">
      <c r="A2537" s="36">
        <v>42349</v>
      </c>
      <c r="B2537" s="6">
        <v>44.03</v>
      </c>
      <c r="C2537" s="6">
        <v>26.47</v>
      </c>
      <c r="D2537" s="6">
        <v>8.1199999999999992</v>
      </c>
      <c r="E2537" s="6">
        <v>4.3499999999999996</v>
      </c>
      <c r="G2537" s="31"/>
    </row>
    <row r="2538" spans="1:7" x14ac:dyDescent="0.25">
      <c r="A2538" s="36">
        <v>42350</v>
      </c>
      <c r="B2538" s="6">
        <v>43.95</v>
      </c>
      <c r="C2538" s="6">
        <v>26.42</v>
      </c>
      <c r="D2538" s="6">
        <v>8.06</v>
      </c>
      <c r="E2538" s="6">
        <v>4.3099999999999996</v>
      </c>
      <c r="G2538" s="31"/>
    </row>
    <row r="2539" spans="1:7" x14ac:dyDescent="0.25">
      <c r="A2539" s="36">
        <v>42351</v>
      </c>
      <c r="B2539" s="6">
        <v>43.88</v>
      </c>
      <c r="C2539" s="6">
        <v>26.36</v>
      </c>
      <c r="D2539" s="6">
        <v>7.94</v>
      </c>
      <c r="E2539" s="6">
        <v>4.29</v>
      </c>
      <c r="G2539" s="31"/>
    </row>
    <row r="2540" spans="1:7" x14ac:dyDescent="0.25">
      <c r="A2540" s="36">
        <v>42352</v>
      </c>
      <c r="B2540" s="6">
        <v>43.79</v>
      </c>
      <c r="C2540" s="6">
        <v>26.3</v>
      </c>
      <c r="D2540" s="6">
        <v>7.72</v>
      </c>
      <c r="E2540" s="6">
        <v>4.18</v>
      </c>
      <c r="G2540" s="31"/>
    </row>
    <row r="2541" spans="1:7" x14ac:dyDescent="0.25">
      <c r="A2541" s="36">
        <v>42353</v>
      </c>
      <c r="B2541" s="6">
        <v>43.69</v>
      </c>
      <c r="C2541" s="6">
        <v>26.2</v>
      </c>
      <c r="D2541" s="6">
        <v>7.68</v>
      </c>
      <c r="E2541" s="6">
        <v>4.13</v>
      </c>
      <c r="G2541" s="31"/>
    </row>
    <row r="2542" spans="1:7" x14ac:dyDescent="0.25">
      <c r="A2542" s="36">
        <v>42354</v>
      </c>
      <c r="B2542" s="6">
        <v>43.59</v>
      </c>
      <c r="C2542" s="6">
        <v>26.05</v>
      </c>
      <c r="D2542" s="6">
        <v>7.6</v>
      </c>
      <c r="E2542" s="6">
        <v>4.05</v>
      </c>
      <c r="G2542" s="31"/>
    </row>
    <row r="2543" spans="1:7" x14ac:dyDescent="0.25">
      <c r="A2543" s="36">
        <v>42355</v>
      </c>
      <c r="B2543" s="6">
        <v>43.5</v>
      </c>
      <c r="C2543" s="6">
        <v>25.92</v>
      </c>
      <c r="D2543" s="6">
        <v>7.5</v>
      </c>
      <c r="E2543" s="6">
        <v>4.03</v>
      </c>
      <c r="G2543" s="31"/>
    </row>
    <row r="2544" spans="1:7" x14ac:dyDescent="0.25">
      <c r="A2544" s="36">
        <v>42356</v>
      </c>
      <c r="B2544" s="6">
        <v>43.42</v>
      </c>
      <c r="C2544" s="6">
        <v>25.77</v>
      </c>
      <c r="D2544" s="6">
        <v>7.42</v>
      </c>
      <c r="E2544" s="6">
        <v>3.93</v>
      </c>
      <c r="G2544" s="31"/>
    </row>
    <row r="2545" spans="1:7" x14ac:dyDescent="0.25">
      <c r="A2545" s="36">
        <v>42357</v>
      </c>
      <c r="B2545" s="6">
        <v>43.35</v>
      </c>
      <c r="C2545" s="6">
        <v>25.66</v>
      </c>
      <c r="D2545" s="6">
        <v>7.36</v>
      </c>
      <c r="E2545" s="6">
        <v>3.8800000000000003</v>
      </c>
      <c r="G2545" s="31"/>
    </row>
    <row r="2546" spans="1:7" x14ac:dyDescent="0.25">
      <c r="A2546" s="36">
        <v>42358</v>
      </c>
      <c r="B2546" s="6">
        <v>43.29</v>
      </c>
      <c r="C2546" s="6">
        <v>25.55</v>
      </c>
      <c r="D2546" s="6">
        <v>7.2</v>
      </c>
      <c r="E2546" s="6">
        <v>3.83</v>
      </c>
      <c r="G2546" s="31"/>
    </row>
    <row r="2547" spans="1:7" x14ac:dyDescent="0.25">
      <c r="A2547" s="36">
        <v>42359</v>
      </c>
      <c r="B2547" s="6">
        <v>43.21</v>
      </c>
      <c r="C2547" s="6">
        <v>25.45</v>
      </c>
      <c r="D2547" s="6">
        <v>7.08</v>
      </c>
      <c r="E2547" s="6">
        <v>3.71</v>
      </c>
      <c r="G2547" s="31"/>
    </row>
    <row r="2548" spans="1:7" x14ac:dyDescent="0.25">
      <c r="A2548" s="36">
        <v>42360</v>
      </c>
      <c r="B2548" s="6">
        <v>43.14</v>
      </c>
      <c r="C2548" s="6">
        <v>25.36</v>
      </c>
      <c r="D2548" s="6">
        <v>7</v>
      </c>
      <c r="E2548" s="6">
        <v>3.6</v>
      </c>
      <c r="G2548" s="31"/>
    </row>
    <row r="2549" spans="1:7" x14ac:dyDescent="0.25">
      <c r="A2549" s="36">
        <v>42361</v>
      </c>
      <c r="B2549" s="6">
        <v>43.05</v>
      </c>
      <c r="C2549" s="6">
        <v>25.26</v>
      </c>
      <c r="D2549" s="6">
        <v>6.9</v>
      </c>
      <c r="E2549" s="6">
        <v>3.49</v>
      </c>
      <c r="G2549" s="31"/>
    </row>
    <row r="2550" spans="1:7" x14ac:dyDescent="0.25">
      <c r="A2550" s="36">
        <v>42362</v>
      </c>
      <c r="B2550" s="6">
        <v>42.95</v>
      </c>
      <c r="C2550" s="6">
        <v>25.21</v>
      </c>
      <c r="D2550" s="6">
        <v>6.8</v>
      </c>
      <c r="E2550" s="6">
        <v>3.45</v>
      </c>
      <c r="G2550" s="31"/>
    </row>
    <row r="2551" spans="1:7" x14ac:dyDescent="0.25">
      <c r="A2551" s="36">
        <v>42363</v>
      </c>
      <c r="B2551" s="6">
        <v>42.85</v>
      </c>
      <c r="C2551" s="6">
        <v>25.15</v>
      </c>
      <c r="D2551" s="6">
        <v>6.7</v>
      </c>
      <c r="E2551" s="6">
        <v>3.41</v>
      </c>
      <c r="G2551" s="31"/>
    </row>
    <row r="2552" spans="1:7" x14ac:dyDescent="0.25">
      <c r="A2552" s="36">
        <v>42364</v>
      </c>
      <c r="B2552" s="6">
        <v>42.81</v>
      </c>
      <c r="C2552" s="6">
        <v>25.13</v>
      </c>
      <c r="D2552" s="6">
        <v>6.6</v>
      </c>
      <c r="E2552" s="6">
        <v>3.2800000000000002</v>
      </c>
      <c r="G2552" s="31"/>
    </row>
    <row r="2553" spans="1:7" x14ac:dyDescent="0.25">
      <c r="A2553" s="36">
        <v>42365</v>
      </c>
      <c r="B2553" s="6">
        <v>42.75</v>
      </c>
      <c r="C2553" s="6">
        <v>25.1</v>
      </c>
      <c r="D2553" s="6">
        <v>6.48</v>
      </c>
      <c r="E2553" s="6">
        <v>3.21</v>
      </c>
      <c r="G2553" s="31"/>
    </row>
    <row r="2554" spans="1:7" x14ac:dyDescent="0.25">
      <c r="A2554" s="36">
        <v>42366</v>
      </c>
      <c r="B2554" s="6">
        <v>42.68</v>
      </c>
      <c r="C2554" s="6">
        <v>25.06</v>
      </c>
      <c r="D2554" s="6">
        <v>6.4</v>
      </c>
      <c r="E2554" s="6">
        <v>3.14</v>
      </c>
      <c r="G2554" s="31"/>
    </row>
    <row r="2555" spans="1:7" x14ac:dyDescent="0.25">
      <c r="A2555" s="36">
        <v>42367</v>
      </c>
      <c r="B2555" s="6">
        <v>42.63</v>
      </c>
      <c r="C2555" s="6">
        <v>25</v>
      </c>
      <c r="D2555" s="6">
        <v>6.3</v>
      </c>
      <c r="E2555" s="6">
        <v>3.14</v>
      </c>
      <c r="G2555" s="31"/>
    </row>
    <row r="2556" spans="1:7" x14ac:dyDescent="0.25">
      <c r="A2556" s="36">
        <v>42368</v>
      </c>
      <c r="B2556" s="6">
        <v>42.58</v>
      </c>
      <c r="C2556" s="6">
        <v>24.92</v>
      </c>
      <c r="D2556" s="6">
        <v>6.25</v>
      </c>
      <c r="E2556" s="6">
        <v>3.14</v>
      </c>
      <c r="G2556" s="31"/>
    </row>
    <row r="2557" spans="1:7" x14ac:dyDescent="0.25">
      <c r="A2557" s="36">
        <v>42369</v>
      </c>
      <c r="B2557" s="6">
        <v>42.53</v>
      </c>
      <c r="C2557" s="6">
        <v>24.85</v>
      </c>
      <c r="D2557" s="6">
        <v>6.24</v>
      </c>
      <c r="E2557" s="6">
        <v>3.06</v>
      </c>
      <c r="G2557" s="31"/>
    </row>
    <row r="2558" spans="1:7" x14ac:dyDescent="0.25">
      <c r="A2558" s="36">
        <v>42370</v>
      </c>
      <c r="B2558" s="7">
        <v>42.5</v>
      </c>
      <c r="C2558" s="7">
        <v>24.78</v>
      </c>
      <c r="D2558" s="7">
        <v>6.14</v>
      </c>
      <c r="E2558" s="7">
        <v>2.96</v>
      </c>
      <c r="G2558" s="31"/>
    </row>
    <row r="2559" spans="1:7" x14ac:dyDescent="0.25">
      <c r="A2559" s="36">
        <v>42371</v>
      </c>
      <c r="B2559" s="7">
        <v>42.48</v>
      </c>
      <c r="C2559" s="7">
        <v>24.67</v>
      </c>
      <c r="D2559" s="7">
        <v>6.06</v>
      </c>
      <c r="E2559" s="7">
        <v>2.8800000000000003</v>
      </c>
      <c r="G2559" s="31"/>
    </row>
    <row r="2560" spans="1:7" x14ac:dyDescent="0.25">
      <c r="A2560" s="36">
        <v>42372</v>
      </c>
      <c r="B2560" s="7">
        <v>42.47</v>
      </c>
      <c r="C2560" s="7">
        <v>24.57</v>
      </c>
      <c r="D2560" s="7">
        <v>6</v>
      </c>
      <c r="E2560" s="7">
        <v>2.79</v>
      </c>
      <c r="G2560" s="31"/>
    </row>
    <row r="2561" spans="1:7" x14ac:dyDescent="0.25">
      <c r="A2561" s="36">
        <v>42373</v>
      </c>
      <c r="B2561" s="7">
        <v>42.46</v>
      </c>
      <c r="C2561" s="7">
        <v>24.48</v>
      </c>
      <c r="D2561" s="7">
        <v>5.92</v>
      </c>
      <c r="E2561" s="7">
        <v>2.79</v>
      </c>
      <c r="G2561" s="31"/>
    </row>
    <row r="2562" spans="1:7" x14ac:dyDescent="0.25">
      <c r="A2562" s="36">
        <v>42374</v>
      </c>
      <c r="B2562" s="7">
        <v>42.44</v>
      </c>
      <c r="C2562" s="7">
        <v>24.39</v>
      </c>
      <c r="D2562" s="7">
        <v>5.85</v>
      </c>
      <c r="E2562" s="7">
        <v>2.73</v>
      </c>
      <c r="G2562" s="31"/>
    </row>
    <row r="2563" spans="1:7" x14ac:dyDescent="0.25">
      <c r="A2563" s="36">
        <v>42375</v>
      </c>
      <c r="B2563" s="7">
        <v>42.42</v>
      </c>
      <c r="C2563" s="7">
        <v>24.33</v>
      </c>
      <c r="D2563" s="7">
        <v>5.78</v>
      </c>
      <c r="E2563" s="7">
        <v>2.72</v>
      </c>
      <c r="G2563" s="31"/>
    </row>
    <row r="2564" spans="1:7" x14ac:dyDescent="0.25">
      <c r="A2564" s="36">
        <v>42376</v>
      </c>
      <c r="B2564" s="7">
        <v>42.4</v>
      </c>
      <c r="C2564" s="7">
        <v>24.29</v>
      </c>
      <c r="D2564" s="7">
        <v>5.7</v>
      </c>
      <c r="E2564" s="7">
        <v>2.62</v>
      </c>
      <c r="G2564" s="31"/>
    </row>
    <row r="2565" spans="1:7" x14ac:dyDescent="0.25">
      <c r="A2565" s="36">
        <v>42377</v>
      </c>
      <c r="B2565" s="7">
        <v>42.35</v>
      </c>
      <c r="C2565" s="7">
        <v>24.24</v>
      </c>
      <c r="D2565" s="7">
        <v>5.58</v>
      </c>
      <c r="E2565" s="7">
        <v>2.62</v>
      </c>
      <c r="G2565" s="31"/>
    </row>
    <row r="2566" spans="1:7" x14ac:dyDescent="0.25">
      <c r="A2566" s="36">
        <v>42378</v>
      </c>
      <c r="B2566" s="7">
        <v>42.3</v>
      </c>
      <c r="C2566" s="7">
        <v>24.2</v>
      </c>
      <c r="D2566" s="7">
        <v>5.52</v>
      </c>
      <c r="E2566" s="7">
        <v>2.6100000000000003</v>
      </c>
      <c r="G2566" s="31"/>
    </row>
    <row r="2567" spans="1:7" x14ac:dyDescent="0.25">
      <c r="A2567" s="36">
        <v>42379</v>
      </c>
      <c r="B2567" s="7">
        <v>42.2</v>
      </c>
      <c r="C2567" s="7">
        <v>24.17</v>
      </c>
      <c r="D2567" s="7">
        <v>5.42</v>
      </c>
      <c r="E2567" s="7">
        <v>2.6</v>
      </c>
      <c r="G2567" s="31"/>
    </row>
    <row r="2568" spans="1:7" x14ac:dyDescent="0.25">
      <c r="A2568" s="36">
        <v>42380</v>
      </c>
      <c r="B2568" s="7">
        <v>42.13</v>
      </c>
      <c r="C2568" s="7">
        <v>24.17</v>
      </c>
      <c r="D2568" s="7">
        <v>5.38</v>
      </c>
      <c r="E2568" s="7">
        <v>2.5500000000000003</v>
      </c>
      <c r="G2568" s="31"/>
    </row>
    <row r="2569" spans="1:7" x14ac:dyDescent="0.25">
      <c r="A2569" s="36">
        <v>42381</v>
      </c>
      <c r="B2569" s="7">
        <v>42.04</v>
      </c>
      <c r="C2569" s="7">
        <v>24.01</v>
      </c>
      <c r="D2569" s="7">
        <v>5.34</v>
      </c>
      <c r="E2569" s="7">
        <v>2.54</v>
      </c>
      <c r="G2569" s="31"/>
    </row>
    <row r="2570" spans="1:7" x14ac:dyDescent="0.25">
      <c r="A2570" s="36">
        <v>42382</v>
      </c>
      <c r="B2570" s="7">
        <v>41.95</v>
      </c>
      <c r="C2570" s="7">
        <v>23.92</v>
      </c>
      <c r="D2570" s="7">
        <v>5.22</v>
      </c>
      <c r="E2570" s="7">
        <v>2.5300000000000002</v>
      </c>
      <c r="G2570" s="31"/>
    </row>
    <row r="2571" spans="1:7" x14ac:dyDescent="0.25">
      <c r="A2571" s="36">
        <v>42383</v>
      </c>
      <c r="B2571" s="7">
        <v>41.85</v>
      </c>
      <c r="C2571" s="7">
        <v>23.82</v>
      </c>
      <c r="D2571" s="7">
        <v>5.2</v>
      </c>
      <c r="E2571" s="7">
        <v>2.5</v>
      </c>
      <c r="G2571" s="31"/>
    </row>
    <row r="2572" spans="1:7" x14ac:dyDescent="0.25">
      <c r="A2572" s="36">
        <v>42384</v>
      </c>
      <c r="B2572" s="7">
        <v>41.76</v>
      </c>
      <c r="C2572" s="7">
        <v>23.7</v>
      </c>
      <c r="D2572" s="7">
        <v>5.16</v>
      </c>
      <c r="E2572" s="7">
        <v>2.4900000000000002</v>
      </c>
      <c r="G2572" s="31"/>
    </row>
    <row r="2573" spans="1:7" x14ac:dyDescent="0.25">
      <c r="A2573" s="36">
        <v>42385</v>
      </c>
      <c r="B2573" s="7">
        <v>41.67</v>
      </c>
      <c r="C2573" s="7">
        <v>23.62</v>
      </c>
      <c r="D2573" s="7">
        <v>5</v>
      </c>
      <c r="E2573" s="7">
        <v>2.41</v>
      </c>
      <c r="G2573" s="31"/>
    </row>
    <row r="2574" spans="1:7" x14ac:dyDescent="0.25">
      <c r="A2574" s="36">
        <v>42386</v>
      </c>
      <c r="B2574" s="7">
        <v>41.59</v>
      </c>
      <c r="C2574" s="7">
        <v>23.51</v>
      </c>
      <c r="D2574" s="7">
        <v>4.92</v>
      </c>
      <c r="E2574" s="7">
        <v>2.33</v>
      </c>
      <c r="G2574" s="31"/>
    </row>
    <row r="2575" spans="1:7" x14ac:dyDescent="0.25">
      <c r="A2575" s="36">
        <v>42387</v>
      </c>
      <c r="B2575" s="7">
        <v>41.5</v>
      </c>
      <c r="C2575" s="7">
        <v>23.41</v>
      </c>
      <c r="D2575" s="7">
        <v>4.8600000000000003</v>
      </c>
      <c r="E2575" s="7">
        <v>2.2200000000000002</v>
      </c>
      <c r="G2575" s="31"/>
    </row>
    <row r="2576" spans="1:7" x14ac:dyDescent="0.25">
      <c r="A2576" s="36">
        <v>42388</v>
      </c>
      <c r="B2576" s="7">
        <v>41.41</v>
      </c>
      <c r="C2576" s="7">
        <v>23.32</v>
      </c>
      <c r="D2576" s="7">
        <v>4.74</v>
      </c>
      <c r="E2576" s="7">
        <v>2.17</v>
      </c>
      <c r="G2576" s="31"/>
    </row>
    <row r="2577" spans="1:7" x14ac:dyDescent="0.25">
      <c r="A2577" s="36">
        <v>42389</v>
      </c>
      <c r="B2577" s="7">
        <v>41.32</v>
      </c>
      <c r="C2577" s="7">
        <v>23.21</v>
      </c>
      <c r="D2577" s="7">
        <v>4.66</v>
      </c>
      <c r="E2577" s="7">
        <v>2.08</v>
      </c>
      <c r="G2577" s="31"/>
    </row>
    <row r="2578" spans="1:7" x14ac:dyDescent="0.25">
      <c r="A2578" s="36">
        <v>42390</v>
      </c>
      <c r="B2578" s="7">
        <v>41.24</v>
      </c>
      <c r="C2578" s="7">
        <v>23.11</v>
      </c>
      <c r="D2578" s="7">
        <v>4.5999999999999996</v>
      </c>
      <c r="E2578" s="7">
        <v>2.04</v>
      </c>
      <c r="G2578" s="31"/>
    </row>
    <row r="2579" spans="1:7" x14ac:dyDescent="0.25">
      <c r="A2579" s="36">
        <v>42391</v>
      </c>
      <c r="B2579" s="7">
        <v>41.16</v>
      </c>
      <c r="C2579" s="7">
        <v>23.01</v>
      </c>
      <c r="D2579" s="7">
        <v>4.58</v>
      </c>
      <c r="E2579" s="7">
        <v>2.0300000000000002</v>
      </c>
      <c r="G2579" s="31"/>
    </row>
    <row r="2580" spans="1:7" x14ac:dyDescent="0.25">
      <c r="A2580" s="36">
        <v>42392</v>
      </c>
      <c r="B2580" s="7">
        <v>41.06</v>
      </c>
      <c r="C2580" s="7">
        <v>22.9</v>
      </c>
      <c r="D2580" s="7">
        <v>4.54</v>
      </c>
      <c r="E2580" s="7">
        <v>2.02</v>
      </c>
      <c r="G2580" s="31"/>
    </row>
    <row r="2581" spans="1:7" x14ac:dyDescent="0.25">
      <c r="A2581" s="36">
        <v>42393</v>
      </c>
      <c r="B2581" s="7">
        <v>41</v>
      </c>
      <c r="C2581" s="7">
        <v>22.79</v>
      </c>
      <c r="D2581" s="7">
        <v>4.5</v>
      </c>
      <c r="E2581" s="7">
        <v>2</v>
      </c>
      <c r="G2581" s="31"/>
    </row>
    <row r="2582" spans="1:7" x14ac:dyDescent="0.25">
      <c r="A2582" s="36">
        <v>42394</v>
      </c>
      <c r="B2582" s="7">
        <v>40.93</v>
      </c>
      <c r="C2582" s="7">
        <v>22.68</v>
      </c>
      <c r="D2582" s="7">
        <v>4.4400000000000004</v>
      </c>
      <c r="E2582" s="7">
        <v>1.95</v>
      </c>
      <c r="G2582" s="31"/>
    </row>
    <row r="2583" spans="1:7" x14ac:dyDescent="0.25">
      <c r="A2583" s="36">
        <v>42395</v>
      </c>
      <c r="B2583" s="7">
        <v>40.86</v>
      </c>
      <c r="C2583" s="7">
        <v>22.59</v>
      </c>
      <c r="D2583" s="7">
        <v>4.4000000000000004</v>
      </c>
      <c r="E2583" s="7">
        <v>1.93</v>
      </c>
      <c r="G2583" s="31"/>
    </row>
    <row r="2584" spans="1:7" x14ac:dyDescent="0.25">
      <c r="A2584" s="36">
        <v>42396</v>
      </c>
      <c r="B2584" s="7">
        <v>40.799999999999997</v>
      </c>
      <c r="C2584" s="7">
        <v>22.47</v>
      </c>
      <c r="D2584" s="7">
        <v>4.2</v>
      </c>
      <c r="E2584" s="7">
        <v>1.8599999999999999</v>
      </c>
      <c r="G2584" s="31"/>
    </row>
    <row r="2585" spans="1:7" x14ac:dyDescent="0.25">
      <c r="A2585" s="36">
        <v>42397</v>
      </c>
      <c r="B2585" s="7">
        <v>40.74</v>
      </c>
      <c r="C2585" s="7">
        <v>22.4</v>
      </c>
      <c r="D2585" s="7">
        <v>3.93</v>
      </c>
      <c r="E2585" s="7">
        <v>1.79</v>
      </c>
      <c r="G2585" s="31"/>
    </row>
    <row r="2586" spans="1:7" x14ac:dyDescent="0.25">
      <c r="A2586" s="36">
        <v>42398</v>
      </c>
      <c r="B2586" s="7">
        <v>40.69</v>
      </c>
      <c r="C2586" s="7">
        <v>22.33</v>
      </c>
      <c r="D2586" s="7">
        <v>3.82</v>
      </c>
      <c r="E2586" s="7">
        <v>1.75</v>
      </c>
      <c r="G2586" s="31"/>
    </row>
    <row r="2587" spans="1:7" x14ac:dyDescent="0.25">
      <c r="A2587" s="36">
        <v>42399</v>
      </c>
      <c r="B2587" s="7">
        <v>40.619999999999997</v>
      </c>
      <c r="C2587" s="7">
        <v>22.25</v>
      </c>
      <c r="D2587" s="7">
        <v>3.6</v>
      </c>
      <c r="E2587" s="7">
        <v>1.7</v>
      </c>
      <c r="G2587" s="31"/>
    </row>
    <row r="2588" spans="1:7" x14ac:dyDescent="0.25">
      <c r="A2588" s="36">
        <v>42400</v>
      </c>
      <c r="B2588" s="7">
        <v>40.57</v>
      </c>
      <c r="C2588" s="7">
        <v>22.2</v>
      </c>
      <c r="D2588" s="7">
        <v>3.5</v>
      </c>
      <c r="E2588" s="7">
        <v>1.6199999999999999</v>
      </c>
      <c r="G2588" s="31"/>
    </row>
    <row r="2589" spans="1:7" x14ac:dyDescent="0.25">
      <c r="A2589" s="36">
        <v>42401</v>
      </c>
      <c r="B2589" s="7">
        <v>40.53</v>
      </c>
      <c r="C2589" s="7">
        <v>22.13</v>
      </c>
      <c r="D2589" s="7">
        <v>3.38</v>
      </c>
      <c r="E2589" s="7">
        <v>1.49</v>
      </c>
      <c r="G2589" s="31"/>
    </row>
    <row r="2590" spans="1:7" x14ac:dyDescent="0.25">
      <c r="A2590" s="36">
        <v>42402</v>
      </c>
      <c r="B2590" s="7">
        <v>40.49</v>
      </c>
      <c r="C2590" s="7">
        <v>22.06</v>
      </c>
      <c r="D2590" s="7">
        <v>3.36</v>
      </c>
      <c r="E2590" s="7">
        <v>1.49</v>
      </c>
      <c r="G2590" s="31"/>
    </row>
    <row r="2591" spans="1:7" x14ac:dyDescent="0.25">
      <c r="A2591" s="36">
        <v>42403</v>
      </c>
      <c r="B2591" s="7">
        <v>40.44</v>
      </c>
      <c r="C2591" s="7">
        <v>21.98</v>
      </c>
      <c r="D2591" s="7">
        <v>3.34</v>
      </c>
      <c r="E2591" s="7">
        <v>1.49</v>
      </c>
      <c r="G2591" s="31"/>
    </row>
    <row r="2592" spans="1:7" x14ac:dyDescent="0.25">
      <c r="A2592" s="36">
        <v>42404</v>
      </c>
      <c r="B2592" s="7">
        <v>40.4</v>
      </c>
      <c r="C2592" s="7">
        <v>21.93</v>
      </c>
      <c r="D2592" s="7">
        <v>3.2</v>
      </c>
      <c r="E2592" s="7">
        <v>1.43</v>
      </c>
      <c r="G2592" s="31"/>
    </row>
    <row r="2593" spans="1:7" x14ac:dyDescent="0.25">
      <c r="A2593" s="36">
        <v>42405</v>
      </c>
      <c r="B2593" s="7">
        <v>40.369999999999997</v>
      </c>
      <c r="C2593" s="7">
        <v>21.86</v>
      </c>
      <c r="D2593" s="7">
        <v>3.12</v>
      </c>
      <c r="E2593" s="7">
        <v>1.4</v>
      </c>
      <c r="G2593" s="31"/>
    </row>
    <row r="2594" spans="1:7" x14ac:dyDescent="0.25">
      <c r="A2594" s="36">
        <v>42406</v>
      </c>
      <c r="B2594" s="7">
        <v>40.340000000000003</v>
      </c>
      <c r="C2594" s="7">
        <v>21.78</v>
      </c>
      <c r="D2594" s="7">
        <v>3.04</v>
      </c>
      <c r="E2594" s="7">
        <v>1.38</v>
      </c>
      <c r="G2594" s="31"/>
    </row>
    <row r="2595" spans="1:7" x14ac:dyDescent="0.25">
      <c r="A2595" s="36">
        <v>42407</v>
      </c>
      <c r="B2595" s="7">
        <v>40.31</v>
      </c>
      <c r="C2595" s="7">
        <v>21.73</v>
      </c>
      <c r="D2595" s="7">
        <v>3.02</v>
      </c>
      <c r="E2595" s="7">
        <v>1.43</v>
      </c>
      <c r="G2595" s="31"/>
    </row>
    <row r="2596" spans="1:7" x14ac:dyDescent="0.25">
      <c r="A2596" s="36">
        <v>42408</v>
      </c>
      <c r="B2596" s="7">
        <v>40.280999999999999</v>
      </c>
      <c r="C2596" s="7">
        <v>21.72</v>
      </c>
      <c r="D2596" s="7">
        <v>3</v>
      </c>
      <c r="E2596" s="7">
        <v>1.47</v>
      </c>
      <c r="G2596" s="31"/>
    </row>
    <row r="2597" spans="1:7" x14ac:dyDescent="0.25">
      <c r="A2597" s="36">
        <v>42409</v>
      </c>
      <c r="B2597" s="7">
        <v>40.270000000000003</v>
      </c>
      <c r="C2597" s="7">
        <v>21.67</v>
      </c>
      <c r="D2597" s="7">
        <v>2.96</v>
      </c>
      <c r="E2597" s="7">
        <v>1.48</v>
      </c>
      <c r="G2597" s="31"/>
    </row>
    <row r="2598" spans="1:7" x14ac:dyDescent="0.25">
      <c r="A2598" s="36">
        <v>42410</v>
      </c>
      <c r="B2598" s="7">
        <v>40.26</v>
      </c>
      <c r="C2598" s="7">
        <v>21.58</v>
      </c>
      <c r="D2598" s="7">
        <v>2.92</v>
      </c>
      <c r="E2598" s="7">
        <v>1.49</v>
      </c>
      <c r="G2598" s="31"/>
    </row>
    <row r="2599" spans="1:7" x14ac:dyDescent="0.25">
      <c r="A2599" s="36">
        <v>42411</v>
      </c>
      <c r="B2599" s="7">
        <v>40.26</v>
      </c>
      <c r="C2599" s="7">
        <v>21.58</v>
      </c>
      <c r="D2599" s="7">
        <v>2.9</v>
      </c>
      <c r="E2599" s="7">
        <v>1.45</v>
      </c>
      <c r="G2599" s="31"/>
    </row>
    <row r="2600" spans="1:7" x14ac:dyDescent="0.25">
      <c r="A2600" s="36">
        <v>42412</v>
      </c>
      <c r="B2600" s="7">
        <v>40.25</v>
      </c>
      <c r="C2600" s="7">
        <v>21.55</v>
      </c>
      <c r="D2600" s="7">
        <v>2.88</v>
      </c>
      <c r="E2600" s="7">
        <v>1.49</v>
      </c>
      <c r="G2600" s="31"/>
    </row>
    <row r="2601" spans="1:7" x14ac:dyDescent="0.25">
      <c r="A2601" s="36">
        <v>42413</v>
      </c>
      <c r="B2601" s="7">
        <v>40.25</v>
      </c>
      <c r="C2601" s="7">
        <v>21.52</v>
      </c>
      <c r="D2601" s="7">
        <v>2.87</v>
      </c>
      <c r="E2601" s="7">
        <v>1.54</v>
      </c>
      <c r="G2601" s="31"/>
    </row>
    <row r="2602" spans="1:7" x14ac:dyDescent="0.25">
      <c r="A2602" s="36">
        <v>42414</v>
      </c>
      <c r="B2602" s="7">
        <v>40.26</v>
      </c>
      <c r="C2602" s="7">
        <v>21.5</v>
      </c>
      <c r="D2602" s="7">
        <v>2.86</v>
      </c>
      <c r="E2602" s="7">
        <v>1.48</v>
      </c>
      <c r="G2602" s="31"/>
    </row>
    <row r="2603" spans="1:7" x14ac:dyDescent="0.25">
      <c r="A2603" s="36">
        <v>42415</v>
      </c>
      <c r="B2603" s="7">
        <v>40.270000000000003</v>
      </c>
      <c r="C2603" s="7">
        <v>21.48</v>
      </c>
      <c r="D2603" s="7">
        <v>2.86</v>
      </c>
      <c r="E2603" s="7">
        <v>1.38</v>
      </c>
      <c r="G2603" s="31"/>
    </row>
    <row r="2604" spans="1:7" x14ac:dyDescent="0.25">
      <c r="A2604" s="36">
        <v>42416</v>
      </c>
      <c r="B2604" s="7">
        <v>40.26</v>
      </c>
      <c r="C2604" s="7">
        <v>21.45</v>
      </c>
      <c r="D2604" s="7">
        <v>2.86</v>
      </c>
      <c r="E2604" s="7">
        <v>1.4</v>
      </c>
      <c r="G2604" s="31"/>
    </row>
    <row r="2605" spans="1:7" x14ac:dyDescent="0.25">
      <c r="A2605" s="36">
        <v>42417</v>
      </c>
      <c r="B2605" s="7">
        <v>40.26</v>
      </c>
      <c r="C2605" s="7">
        <v>21.41</v>
      </c>
      <c r="D2605" s="7">
        <v>2.86</v>
      </c>
      <c r="E2605" s="7">
        <v>1.35</v>
      </c>
      <c r="G2605" s="31"/>
    </row>
    <row r="2606" spans="1:7" x14ac:dyDescent="0.25">
      <c r="A2606" s="36">
        <v>42418</v>
      </c>
      <c r="B2606" s="7">
        <v>40.26</v>
      </c>
      <c r="C2606" s="7">
        <v>21.45</v>
      </c>
      <c r="D2606" s="7">
        <v>2.84</v>
      </c>
      <c r="E2606" s="7">
        <v>1.31</v>
      </c>
      <c r="G2606" s="31"/>
    </row>
    <row r="2607" spans="1:7" x14ac:dyDescent="0.25">
      <c r="A2607" s="36">
        <v>42419</v>
      </c>
      <c r="B2607" s="7">
        <v>40.25</v>
      </c>
      <c r="C2607" s="7">
        <v>21.49</v>
      </c>
      <c r="D2607" s="7">
        <v>2.8</v>
      </c>
      <c r="E2607" s="7">
        <v>1.26</v>
      </c>
      <c r="G2607" s="31"/>
    </row>
    <row r="2608" spans="1:7" x14ac:dyDescent="0.25">
      <c r="A2608" s="36">
        <v>42420</v>
      </c>
      <c r="B2608" s="7">
        <v>40.24</v>
      </c>
      <c r="C2608" s="7">
        <v>21.5</v>
      </c>
      <c r="D2608" s="7">
        <v>2.7</v>
      </c>
      <c r="E2608" s="7">
        <v>1.28</v>
      </c>
      <c r="G2608" s="31"/>
    </row>
    <row r="2609" spans="1:7" x14ac:dyDescent="0.25">
      <c r="A2609" s="36">
        <v>42421</v>
      </c>
      <c r="B2609" s="7">
        <v>40.229999999999997</v>
      </c>
      <c r="C2609" s="7">
        <v>21.5</v>
      </c>
      <c r="D2609" s="7">
        <v>2.7</v>
      </c>
      <c r="E2609" s="7">
        <v>1.28</v>
      </c>
      <c r="G2609" s="31"/>
    </row>
    <row r="2610" spans="1:7" x14ac:dyDescent="0.25">
      <c r="A2610" s="36">
        <v>42422</v>
      </c>
      <c r="B2610" s="7">
        <v>40.24</v>
      </c>
      <c r="C2610" s="7">
        <v>21.49</v>
      </c>
      <c r="D2610" s="7">
        <v>2.7</v>
      </c>
      <c r="E2610" s="7">
        <v>1.34</v>
      </c>
      <c r="G2610" s="31"/>
    </row>
    <row r="2611" spans="1:7" x14ac:dyDescent="0.25">
      <c r="A2611" s="36">
        <v>42423</v>
      </c>
      <c r="B2611" s="7">
        <v>40.24</v>
      </c>
      <c r="C2611" s="7">
        <v>21.46</v>
      </c>
      <c r="D2611" s="7">
        <v>2.68</v>
      </c>
      <c r="E2611" s="7">
        <v>1.38</v>
      </c>
      <c r="G2611" s="31"/>
    </row>
    <row r="2612" spans="1:7" x14ac:dyDescent="0.25">
      <c r="A2612" s="36">
        <v>42424</v>
      </c>
      <c r="B2612" s="7">
        <v>40.25</v>
      </c>
      <c r="C2612" s="7">
        <v>21.46</v>
      </c>
      <c r="D2612" s="7">
        <v>2.66</v>
      </c>
      <c r="E2612" s="7">
        <v>1.45</v>
      </c>
      <c r="G2612" s="31"/>
    </row>
    <row r="2613" spans="1:7" x14ac:dyDescent="0.25">
      <c r="A2613" s="36">
        <v>42425</v>
      </c>
      <c r="B2613" s="7">
        <v>40.26</v>
      </c>
      <c r="C2613" s="7">
        <v>21.44</v>
      </c>
      <c r="D2613" s="7">
        <v>2.64</v>
      </c>
      <c r="E2613" s="7">
        <v>1.42</v>
      </c>
      <c r="G2613" s="31"/>
    </row>
    <row r="2614" spans="1:7" x14ac:dyDescent="0.25">
      <c r="A2614" s="36">
        <v>42426</v>
      </c>
      <c r="B2614" s="7">
        <v>40.270000000000003</v>
      </c>
      <c r="C2614" s="7">
        <v>21.42</v>
      </c>
      <c r="D2614" s="7">
        <v>2.6</v>
      </c>
      <c r="E2614" s="7">
        <v>1.42</v>
      </c>
      <c r="G2614" s="31"/>
    </row>
    <row r="2615" spans="1:7" x14ac:dyDescent="0.25">
      <c r="A2615" s="36">
        <v>42427</v>
      </c>
      <c r="B2615" s="7">
        <v>40.31</v>
      </c>
      <c r="C2615" s="7">
        <v>21.4</v>
      </c>
      <c r="D2615" s="7">
        <v>2.6</v>
      </c>
      <c r="E2615" s="7">
        <v>1.42</v>
      </c>
      <c r="G2615" s="31"/>
    </row>
    <row r="2616" spans="1:7" x14ac:dyDescent="0.25">
      <c r="A2616" s="36">
        <v>42428</v>
      </c>
      <c r="B2616" s="7">
        <v>40.36</v>
      </c>
      <c r="C2616" s="7">
        <v>21.39</v>
      </c>
      <c r="D2616" s="7">
        <v>2.6</v>
      </c>
      <c r="E2616" s="7">
        <v>1.34</v>
      </c>
      <c r="G2616" s="31"/>
    </row>
    <row r="2617" spans="1:7" x14ac:dyDescent="0.25">
      <c r="A2617" s="36">
        <v>42429</v>
      </c>
      <c r="B2617" s="7">
        <v>40.409999999999997</v>
      </c>
      <c r="C2617" s="7">
        <v>21.38</v>
      </c>
      <c r="D2617" s="7">
        <v>2.54</v>
      </c>
      <c r="E2617" s="7"/>
      <c r="G2617" s="31"/>
    </row>
    <row r="2618" spans="1:7" x14ac:dyDescent="0.25">
      <c r="A2618" s="36">
        <v>42430</v>
      </c>
      <c r="B2618" s="7">
        <v>40.44</v>
      </c>
      <c r="C2618" s="7">
        <v>21.4</v>
      </c>
      <c r="D2618" s="7">
        <v>2.52</v>
      </c>
      <c r="E2618" s="7">
        <v>1.3699999999999999</v>
      </c>
      <c r="G2618" s="31"/>
    </row>
    <row r="2619" spans="1:7" x14ac:dyDescent="0.25">
      <c r="A2619" s="36">
        <v>42431</v>
      </c>
      <c r="B2619" s="7">
        <v>40.450000000000003</v>
      </c>
      <c r="C2619" s="7">
        <v>21.39</v>
      </c>
      <c r="D2619" s="7">
        <v>2.5</v>
      </c>
      <c r="E2619" s="7">
        <v>1.28</v>
      </c>
      <c r="G2619" s="31"/>
    </row>
    <row r="2620" spans="1:7" x14ac:dyDescent="0.25">
      <c r="A2620" s="36">
        <v>42432</v>
      </c>
      <c r="B2620" s="7">
        <v>40.43</v>
      </c>
      <c r="C2620" s="7">
        <v>21.42</v>
      </c>
      <c r="D2620" s="7">
        <v>2.48</v>
      </c>
      <c r="E2620" s="7">
        <v>1.2</v>
      </c>
      <c r="G2620" s="31"/>
    </row>
    <row r="2621" spans="1:7" x14ac:dyDescent="0.25">
      <c r="A2621" s="36">
        <v>42433</v>
      </c>
      <c r="B2621" s="7">
        <v>40.42</v>
      </c>
      <c r="C2621" s="6">
        <v>21.45</v>
      </c>
      <c r="D2621" s="7">
        <v>2.44</v>
      </c>
      <c r="E2621" s="7">
        <v>1.18</v>
      </c>
      <c r="G2621" s="31"/>
    </row>
    <row r="2622" spans="1:7" x14ac:dyDescent="0.25">
      <c r="A2622" s="36">
        <v>42434</v>
      </c>
      <c r="B2622" s="6">
        <v>40.42</v>
      </c>
      <c r="C2622" s="6">
        <v>21.48</v>
      </c>
      <c r="D2622" s="7">
        <v>2.42</v>
      </c>
      <c r="E2622" s="6">
        <v>1.1599999999999999</v>
      </c>
      <c r="G2622" s="31"/>
    </row>
    <row r="2623" spans="1:7" x14ac:dyDescent="0.25">
      <c r="A2623" s="36">
        <v>42435</v>
      </c>
      <c r="B2623" s="6">
        <v>40.409999999999997</v>
      </c>
      <c r="C2623" s="6">
        <v>21.5</v>
      </c>
      <c r="D2623" s="7">
        <v>2.4</v>
      </c>
      <c r="E2623" s="6">
        <v>1.2</v>
      </c>
      <c r="G2623" s="31"/>
    </row>
    <row r="2624" spans="1:7" x14ac:dyDescent="0.25">
      <c r="A2624" s="36">
        <v>42436</v>
      </c>
      <c r="B2624" s="6">
        <v>40.380000000000003</v>
      </c>
      <c r="C2624" s="6">
        <v>21.5</v>
      </c>
      <c r="D2624" s="7">
        <v>2.4</v>
      </c>
      <c r="E2624" s="6">
        <v>1.25</v>
      </c>
      <c r="G2624" s="31"/>
    </row>
    <row r="2625" spans="1:7" x14ac:dyDescent="0.25">
      <c r="A2625" s="36">
        <v>42437</v>
      </c>
      <c r="B2625" s="6">
        <v>40.35</v>
      </c>
      <c r="C2625" s="6">
        <v>21.49</v>
      </c>
      <c r="D2625" s="7">
        <v>2.5</v>
      </c>
      <c r="E2625" s="6">
        <v>1.27</v>
      </c>
      <c r="G2625" s="31"/>
    </row>
    <row r="2626" spans="1:7" x14ac:dyDescent="0.25">
      <c r="A2626" s="36">
        <v>42438</v>
      </c>
      <c r="B2626" s="6">
        <v>40.340000000000003</v>
      </c>
      <c r="C2626" s="6">
        <v>21.48</v>
      </c>
      <c r="D2626" s="7">
        <v>2.5</v>
      </c>
      <c r="E2626" s="6">
        <v>1.32</v>
      </c>
      <c r="G2626" s="31"/>
    </row>
    <row r="2627" spans="1:7" x14ac:dyDescent="0.25">
      <c r="A2627" s="36">
        <v>42439</v>
      </c>
      <c r="B2627" s="6">
        <v>40.31</v>
      </c>
      <c r="C2627" s="6">
        <v>21.42</v>
      </c>
      <c r="D2627" s="7">
        <v>2.56</v>
      </c>
      <c r="E2627" s="6">
        <v>1.44</v>
      </c>
      <c r="G2627" s="31"/>
    </row>
    <row r="2628" spans="1:7" x14ac:dyDescent="0.25">
      <c r="A2628" s="36">
        <v>42440</v>
      </c>
      <c r="B2628" s="6">
        <v>40.29</v>
      </c>
      <c r="C2628" s="6">
        <v>21.37</v>
      </c>
      <c r="D2628" s="7">
        <v>2.58</v>
      </c>
      <c r="E2628" s="6">
        <v>1.5</v>
      </c>
      <c r="G2628" s="31"/>
    </row>
    <row r="2629" spans="1:7" x14ac:dyDescent="0.25">
      <c r="A2629" s="36">
        <v>42441</v>
      </c>
      <c r="B2629" s="6">
        <v>40.270000000000003</v>
      </c>
      <c r="C2629" s="6">
        <v>21.33</v>
      </c>
      <c r="D2629" s="6">
        <v>2.6</v>
      </c>
      <c r="E2629" s="6">
        <v>1.52</v>
      </c>
      <c r="G2629" s="31"/>
    </row>
    <row r="2630" spans="1:7" x14ac:dyDescent="0.25">
      <c r="A2630" s="36">
        <v>42442</v>
      </c>
      <c r="B2630" s="6">
        <v>40.229999999999997</v>
      </c>
      <c r="C2630" s="6">
        <v>21.29</v>
      </c>
      <c r="D2630" s="6">
        <v>2.64</v>
      </c>
      <c r="E2630" s="6">
        <v>1.44</v>
      </c>
      <c r="G2630" s="31"/>
    </row>
    <row r="2631" spans="1:7" x14ac:dyDescent="0.25">
      <c r="A2631" s="36">
        <v>42443</v>
      </c>
      <c r="B2631" s="6">
        <v>40.200000000000003</v>
      </c>
      <c r="C2631" s="6">
        <v>21.27</v>
      </c>
      <c r="D2631" s="6">
        <v>2.66</v>
      </c>
      <c r="E2631" s="6">
        <v>1.42</v>
      </c>
      <c r="G2631" s="31"/>
    </row>
    <row r="2632" spans="1:7" x14ac:dyDescent="0.25">
      <c r="A2632" s="36">
        <v>42444</v>
      </c>
      <c r="B2632" s="6">
        <v>40.130000000000003</v>
      </c>
      <c r="C2632" s="6">
        <v>21.25</v>
      </c>
      <c r="D2632" s="6">
        <v>2.66</v>
      </c>
      <c r="E2632" s="6">
        <v>1.4</v>
      </c>
      <c r="G2632" s="31"/>
    </row>
    <row r="2633" spans="1:7" x14ac:dyDescent="0.25">
      <c r="A2633" s="36">
        <v>42445</v>
      </c>
      <c r="B2633" s="6">
        <v>40.119999999999997</v>
      </c>
      <c r="C2633" s="6">
        <v>21.25</v>
      </c>
      <c r="D2633" s="6">
        <v>2.6</v>
      </c>
      <c r="E2633" s="6">
        <v>1.43</v>
      </c>
      <c r="G2633" s="31"/>
    </row>
    <row r="2634" spans="1:7" x14ac:dyDescent="0.25">
      <c r="A2634" s="36">
        <v>42446</v>
      </c>
      <c r="B2634" s="6">
        <v>40.119999999999997</v>
      </c>
      <c r="C2634" s="6">
        <v>21.22</v>
      </c>
      <c r="D2634" s="6">
        <v>2.6</v>
      </c>
      <c r="E2634" s="6">
        <v>1.43</v>
      </c>
      <c r="G2634" s="31"/>
    </row>
    <row r="2635" spans="1:7" x14ac:dyDescent="0.25">
      <c r="A2635" s="36">
        <v>42447</v>
      </c>
      <c r="B2635" s="6">
        <v>40.119999999999997</v>
      </c>
      <c r="C2635" s="6">
        <v>21.22</v>
      </c>
      <c r="D2635" s="6">
        <v>2.54</v>
      </c>
      <c r="E2635" s="6">
        <v>1.36</v>
      </c>
      <c r="G2635" s="31"/>
    </row>
    <row r="2636" spans="1:7" x14ac:dyDescent="0.25">
      <c r="A2636" s="36">
        <v>42448</v>
      </c>
      <c r="B2636" s="6">
        <v>40.14</v>
      </c>
      <c r="C2636" s="6">
        <v>21.2</v>
      </c>
      <c r="D2636" s="6">
        <v>2.52</v>
      </c>
      <c r="E2636" s="6">
        <v>1.26</v>
      </c>
      <c r="G2636" s="31"/>
    </row>
    <row r="2637" spans="1:7" x14ac:dyDescent="0.25">
      <c r="A2637" s="36">
        <v>42449</v>
      </c>
      <c r="B2637" s="6">
        <v>40.17</v>
      </c>
      <c r="C2637" s="6">
        <v>21.17</v>
      </c>
      <c r="D2637" s="6">
        <v>2.5</v>
      </c>
      <c r="E2637" s="6">
        <v>1.25</v>
      </c>
      <c r="G2637" s="31"/>
    </row>
    <row r="2638" spans="1:7" x14ac:dyDescent="0.25">
      <c r="A2638" s="36">
        <v>42450</v>
      </c>
      <c r="B2638" s="6">
        <v>40.18</v>
      </c>
      <c r="C2638" s="6">
        <v>21.14</v>
      </c>
      <c r="D2638" s="6">
        <v>2.5</v>
      </c>
      <c r="E2638" s="6">
        <v>1.23</v>
      </c>
      <c r="G2638" s="31"/>
    </row>
    <row r="2639" spans="1:7" x14ac:dyDescent="0.25">
      <c r="A2639" s="36">
        <v>42451</v>
      </c>
      <c r="B2639" s="6">
        <v>40.22</v>
      </c>
      <c r="C2639" s="6">
        <v>21.14</v>
      </c>
      <c r="D2639" s="6">
        <v>2.5</v>
      </c>
      <c r="E2639" s="6">
        <v>1.26</v>
      </c>
      <c r="G2639" s="31"/>
    </row>
    <row r="2640" spans="1:7" x14ac:dyDescent="0.25">
      <c r="A2640" s="36">
        <v>42452</v>
      </c>
      <c r="B2640" s="6">
        <v>40.340000000000003</v>
      </c>
      <c r="C2640" s="6">
        <v>21.14</v>
      </c>
      <c r="D2640" s="6">
        <v>2.5</v>
      </c>
      <c r="E2640" s="6">
        <v>1.28</v>
      </c>
      <c r="G2640" s="31"/>
    </row>
    <row r="2641" spans="1:7" x14ac:dyDescent="0.25">
      <c r="A2641" s="36">
        <v>42453</v>
      </c>
      <c r="B2641" s="6">
        <v>40.355000000000004</v>
      </c>
      <c r="C2641" s="6">
        <v>21.16</v>
      </c>
      <c r="D2641" s="6">
        <v>2.48</v>
      </c>
      <c r="E2641" s="6">
        <v>1.29</v>
      </c>
      <c r="G2641" s="31"/>
    </row>
    <row r="2642" spans="1:7" x14ac:dyDescent="0.25">
      <c r="A2642" s="36">
        <v>42454</v>
      </c>
      <c r="B2642" s="6">
        <v>40.369999999999997</v>
      </c>
      <c r="C2642" s="6">
        <v>21.21</v>
      </c>
      <c r="D2642" s="6">
        <v>2.5</v>
      </c>
      <c r="E2642" s="6">
        <v>1.3</v>
      </c>
      <c r="G2642" s="31"/>
    </row>
    <row r="2643" spans="1:7" x14ac:dyDescent="0.25">
      <c r="A2643" s="36">
        <v>42455</v>
      </c>
      <c r="B2643" s="6">
        <v>40.380000000000003</v>
      </c>
      <c r="C2643" s="6">
        <v>21.25</v>
      </c>
      <c r="D2643" s="6">
        <v>2.52</v>
      </c>
      <c r="E2643" s="6">
        <v>1.35</v>
      </c>
      <c r="G2643" s="31"/>
    </row>
    <row r="2644" spans="1:7" x14ac:dyDescent="0.25">
      <c r="A2644" s="36">
        <v>42456</v>
      </c>
      <c r="B2644" s="6">
        <v>40.340000000000003</v>
      </c>
      <c r="C2644" s="6">
        <v>21.29</v>
      </c>
      <c r="D2644" s="6">
        <v>2.46</v>
      </c>
      <c r="E2644" s="6">
        <v>1.33</v>
      </c>
      <c r="G2644" s="31"/>
    </row>
    <row r="2645" spans="1:7" x14ac:dyDescent="0.25">
      <c r="A2645" s="36">
        <v>42457</v>
      </c>
      <c r="B2645" s="6">
        <v>40.29</v>
      </c>
      <c r="C2645" s="6">
        <v>21.34</v>
      </c>
      <c r="D2645" s="6">
        <v>2.4</v>
      </c>
      <c r="E2645" s="6">
        <v>1.23</v>
      </c>
      <c r="G2645" s="31"/>
    </row>
    <row r="2646" spans="1:7" x14ac:dyDescent="0.25">
      <c r="A2646" s="36">
        <v>42458</v>
      </c>
      <c r="B2646" s="6">
        <v>40.26</v>
      </c>
      <c r="C2646" s="6">
        <v>21.38</v>
      </c>
      <c r="D2646" s="6">
        <v>2.4</v>
      </c>
      <c r="E2646" s="6">
        <v>1.31</v>
      </c>
      <c r="G2646" s="31"/>
    </row>
    <row r="2647" spans="1:7" x14ac:dyDescent="0.25">
      <c r="A2647" s="36">
        <v>42459</v>
      </c>
      <c r="B2647" s="6">
        <v>40.22</v>
      </c>
      <c r="C2647" s="6">
        <v>21.41</v>
      </c>
      <c r="D2647" s="6">
        <v>2.38</v>
      </c>
      <c r="E2647" s="6">
        <v>1.28</v>
      </c>
      <c r="G2647" s="31"/>
    </row>
    <row r="2648" spans="1:7" x14ac:dyDescent="0.25">
      <c r="A2648" s="36">
        <v>42460</v>
      </c>
      <c r="B2648" s="6">
        <v>40.200000000000003</v>
      </c>
      <c r="C2648" s="6">
        <v>21.41</v>
      </c>
      <c r="D2648" s="6">
        <v>2.38</v>
      </c>
      <c r="E2648" s="6">
        <v>1.31</v>
      </c>
      <c r="G2648" s="31"/>
    </row>
    <row r="2649" spans="1:7" x14ac:dyDescent="0.25">
      <c r="A2649" s="36">
        <v>42461</v>
      </c>
      <c r="B2649" s="6">
        <v>40.21</v>
      </c>
      <c r="C2649" s="6">
        <v>21.38</v>
      </c>
      <c r="D2649" s="6">
        <v>2.38</v>
      </c>
      <c r="E2649" s="6">
        <v>1.3</v>
      </c>
      <c r="G2649" s="31"/>
    </row>
    <row r="2650" spans="1:7" x14ac:dyDescent="0.25">
      <c r="A2650" s="36">
        <v>42462</v>
      </c>
      <c r="B2650" s="6">
        <v>40.22</v>
      </c>
      <c r="C2650" s="6">
        <v>21.34</v>
      </c>
      <c r="D2650" s="6">
        <v>2.4</v>
      </c>
      <c r="E2650" s="6">
        <v>1.33</v>
      </c>
      <c r="G2650" s="31"/>
    </row>
    <row r="2651" spans="1:7" x14ac:dyDescent="0.25">
      <c r="A2651" s="36">
        <v>42463</v>
      </c>
      <c r="B2651" s="6">
        <v>40.29</v>
      </c>
      <c r="C2651" s="6">
        <v>21.29</v>
      </c>
      <c r="D2651" s="6">
        <v>2.4700000000000002</v>
      </c>
      <c r="E2651" s="6">
        <v>1.31</v>
      </c>
      <c r="G2651" s="31"/>
    </row>
    <row r="2652" spans="1:7" x14ac:dyDescent="0.25">
      <c r="A2652" s="36">
        <v>42464</v>
      </c>
      <c r="B2652" s="6">
        <v>40.36</v>
      </c>
      <c r="C2652" s="6">
        <v>21.27</v>
      </c>
      <c r="D2652" s="6">
        <v>2.54</v>
      </c>
      <c r="E2652" s="6">
        <v>1.38</v>
      </c>
      <c r="G2652" s="31"/>
    </row>
    <row r="2653" spans="1:7" x14ac:dyDescent="0.25">
      <c r="A2653" s="36">
        <v>42465</v>
      </c>
      <c r="B2653" s="6">
        <v>40.46</v>
      </c>
      <c r="C2653" s="6">
        <v>21.24</v>
      </c>
      <c r="D2653" s="6">
        <v>2.56</v>
      </c>
      <c r="E2653" s="6">
        <v>1.38</v>
      </c>
      <c r="G2653" s="31"/>
    </row>
    <row r="2654" spans="1:7" x14ac:dyDescent="0.25">
      <c r="A2654" s="36">
        <v>42466</v>
      </c>
      <c r="B2654" s="6">
        <v>40.590000000000003</v>
      </c>
      <c r="C2654" s="6">
        <v>21.28</v>
      </c>
      <c r="D2654" s="6">
        <v>2.58</v>
      </c>
      <c r="E2654" s="6">
        <v>1.35</v>
      </c>
      <c r="G2654" s="31"/>
    </row>
    <row r="2655" spans="1:7" x14ac:dyDescent="0.25">
      <c r="A2655" s="36">
        <v>42467</v>
      </c>
      <c r="B2655" s="6">
        <v>40.729999999999997</v>
      </c>
      <c r="C2655" s="6">
        <v>21.34</v>
      </c>
      <c r="D2655" s="6">
        <v>2.6</v>
      </c>
      <c r="E2655" s="6">
        <v>1.34</v>
      </c>
      <c r="G2655" s="31"/>
    </row>
    <row r="2656" spans="1:7" x14ac:dyDescent="0.25">
      <c r="A2656" s="36">
        <v>42468</v>
      </c>
      <c r="B2656" s="6">
        <v>40.869999999999997</v>
      </c>
      <c r="C2656" s="6">
        <v>21.4</v>
      </c>
      <c r="D2656" s="6">
        <v>2.7</v>
      </c>
      <c r="E2656" s="6">
        <v>1.3699999999999999</v>
      </c>
      <c r="G2656" s="31"/>
    </row>
    <row r="2657" spans="1:7" x14ac:dyDescent="0.25">
      <c r="A2657" s="36">
        <v>42469</v>
      </c>
      <c r="B2657" s="6">
        <v>41</v>
      </c>
      <c r="C2657" s="6">
        <v>21.5</v>
      </c>
      <c r="D2657" s="6">
        <v>2.72</v>
      </c>
      <c r="E2657" s="6">
        <v>1.45</v>
      </c>
      <c r="G2657" s="31"/>
    </row>
    <row r="2658" spans="1:7" x14ac:dyDescent="0.25">
      <c r="A2658" s="36">
        <v>42470</v>
      </c>
      <c r="B2658" s="6">
        <v>41.16</v>
      </c>
      <c r="C2658" s="6">
        <v>21.68</v>
      </c>
      <c r="D2658" s="6">
        <v>2.72</v>
      </c>
      <c r="E2658" s="6">
        <v>1.41</v>
      </c>
      <c r="G2658" s="31"/>
    </row>
    <row r="2659" spans="1:7" x14ac:dyDescent="0.25">
      <c r="A2659" s="36">
        <v>42471</v>
      </c>
      <c r="B2659" s="6">
        <v>41.3</v>
      </c>
      <c r="C2659" s="6">
        <v>21.91</v>
      </c>
      <c r="D2659" s="6">
        <v>2.72</v>
      </c>
      <c r="E2659" s="6">
        <v>1.35</v>
      </c>
      <c r="G2659" s="31"/>
    </row>
    <row r="2660" spans="1:7" x14ac:dyDescent="0.25">
      <c r="A2660" s="36">
        <v>42472</v>
      </c>
      <c r="B2660" s="6">
        <v>41.45</v>
      </c>
      <c r="C2660" s="6">
        <v>22.19</v>
      </c>
      <c r="D2660" s="6">
        <v>2.72</v>
      </c>
      <c r="E2660" s="6">
        <v>1.31</v>
      </c>
      <c r="G2660" s="31"/>
    </row>
    <row r="2661" spans="1:7" x14ac:dyDescent="0.25">
      <c r="A2661" s="36">
        <v>42473</v>
      </c>
      <c r="B2661" s="6">
        <v>41.6</v>
      </c>
      <c r="C2661" s="6">
        <v>22.48</v>
      </c>
      <c r="D2661" s="6">
        <v>2.72</v>
      </c>
      <c r="E2661" s="6">
        <v>1.43</v>
      </c>
      <c r="G2661" s="31"/>
    </row>
    <row r="2662" spans="1:7" x14ac:dyDescent="0.25">
      <c r="A2662" s="36">
        <v>42474</v>
      </c>
      <c r="B2662" s="6">
        <v>41.73</v>
      </c>
      <c r="C2662" s="6">
        <v>22.75</v>
      </c>
      <c r="D2662" s="6">
        <v>2.7</v>
      </c>
      <c r="E2662" s="6">
        <v>1.35</v>
      </c>
      <c r="G2662" s="31"/>
    </row>
    <row r="2663" spans="1:7" x14ac:dyDescent="0.25">
      <c r="A2663" s="36">
        <v>42475</v>
      </c>
      <c r="B2663" s="6">
        <v>41.89</v>
      </c>
      <c r="C2663" s="6">
        <v>23.01</v>
      </c>
      <c r="D2663" s="6">
        <v>2.85</v>
      </c>
      <c r="E2663" s="6">
        <v>1.39</v>
      </c>
      <c r="G2663" s="31"/>
    </row>
    <row r="2664" spans="1:7" x14ac:dyDescent="0.25">
      <c r="A2664" s="36">
        <v>42476</v>
      </c>
      <c r="B2664" s="6">
        <v>41.98</v>
      </c>
      <c r="C2664" s="6">
        <v>23.2</v>
      </c>
      <c r="D2664" s="6">
        <v>2.98</v>
      </c>
      <c r="E2664" s="6">
        <v>1.45</v>
      </c>
      <c r="G2664" s="31"/>
    </row>
    <row r="2665" spans="1:7" x14ac:dyDescent="0.25">
      <c r="A2665" s="36">
        <v>42477</v>
      </c>
      <c r="B2665" s="6">
        <v>42.1</v>
      </c>
      <c r="C2665" s="6">
        <v>23.34</v>
      </c>
      <c r="D2665" s="6">
        <v>3.3</v>
      </c>
      <c r="E2665" s="6">
        <v>1.47</v>
      </c>
      <c r="G2665" s="31"/>
    </row>
    <row r="2666" spans="1:7" x14ac:dyDescent="0.25">
      <c r="A2666" s="36">
        <v>42478</v>
      </c>
      <c r="B2666" s="6">
        <v>42.22</v>
      </c>
      <c r="C2666" s="6">
        <v>23.47</v>
      </c>
      <c r="D2666" s="6">
        <v>3.6</v>
      </c>
      <c r="E2666" s="6">
        <v>1.5699999999999998</v>
      </c>
      <c r="G2666" s="31"/>
    </row>
    <row r="2667" spans="1:7" x14ac:dyDescent="0.25">
      <c r="A2667" s="36">
        <v>42479</v>
      </c>
      <c r="B2667" s="6">
        <v>42.31</v>
      </c>
      <c r="C2667" s="6">
        <v>23.58</v>
      </c>
      <c r="D2667" s="6">
        <v>3.9</v>
      </c>
      <c r="E2667" s="6">
        <v>1.77</v>
      </c>
      <c r="G2667" s="31"/>
    </row>
    <row r="2668" spans="1:7" x14ac:dyDescent="0.25">
      <c r="A2668" s="36">
        <v>42480</v>
      </c>
      <c r="B2668" s="6">
        <v>42.46</v>
      </c>
      <c r="C2668" s="6">
        <v>23.76</v>
      </c>
      <c r="D2668" s="6">
        <v>4.18</v>
      </c>
      <c r="E2668" s="6">
        <v>1.75</v>
      </c>
      <c r="G2668" s="31"/>
    </row>
    <row r="2669" spans="1:7" x14ac:dyDescent="0.25">
      <c r="A2669" s="36">
        <v>42481</v>
      </c>
      <c r="B2669" s="6">
        <v>42.6</v>
      </c>
      <c r="C2669" s="6">
        <v>23.9</v>
      </c>
      <c r="D2669" s="6">
        <v>4.3</v>
      </c>
      <c r="E2669" s="6">
        <v>1.8399999999999999</v>
      </c>
      <c r="G2669" s="31"/>
    </row>
    <row r="2670" spans="1:7" x14ac:dyDescent="0.25">
      <c r="A2670" s="36">
        <v>42482</v>
      </c>
      <c r="B2670" s="6">
        <v>42.7</v>
      </c>
      <c r="C2670" s="6">
        <v>24.07</v>
      </c>
      <c r="D2670" s="6">
        <v>4.4800000000000004</v>
      </c>
      <c r="E2670" s="6">
        <v>1.94</v>
      </c>
      <c r="G2670" s="31"/>
    </row>
    <row r="2671" spans="1:7" x14ac:dyDescent="0.25">
      <c r="A2671" s="36">
        <v>42483</v>
      </c>
      <c r="B2671" s="6">
        <v>42.79</v>
      </c>
      <c r="C2671" s="6">
        <v>24.24</v>
      </c>
      <c r="D2671" s="6">
        <v>4.66</v>
      </c>
      <c r="E2671" s="6">
        <v>2.0500000000000003</v>
      </c>
      <c r="G2671" s="31"/>
    </row>
    <row r="2672" spans="1:7" x14ac:dyDescent="0.25">
      <c r="A2672" s="36">
        <v>42484</v>
      </c>
      <c r="B2672" s="6">
        <v>42.92</v>
      </c>
      <c r="C2672" s="6">
        <v>24.42</v>
      </c>
      <c r="D2672" s="6">
        <v>4.8</v>
      </c>
      <c r="E2672" s="6">
        <v>2.09</v>
      </c>
      <c r="G2672" s="31"/>
    </row>
    <row r="2673" spans="1:7" x14ac:dyDescent="0.25">
      <c r="A2673" s="36">
        <v>42485</v>
      </c>
      <c r="B2673" s="6">
        <v>43.04</v>
      </c>
      <c r="C2673" s="6">
        <v>24.45</v>
      </c>
      <c r="D2673" s="6">
        <v>4.9000000000000004</v>
      </c>
      <c r="E2673" s="6">
        <v>2.12</v>
      </c>
      <c r="G2673" s="31"/>
    </row>
    <row r="2674" spans="1:7" x14ac:dyDescent="0.25">
      <c r="A2674" s="36">
        <v>42486</v>
      </c>
      <c r="B2674" s="6">
        <v>43.25</v>
      </c>
      <c r="C2674" s="6">
        <v>24.59</v>
      </c>
      <c r="D2674" s="6">
        <v>5.0199999999999996</v>
      </c>
      <c r="E2674" s="6">
        <v>2.2600000000000002</v>
      </c>
      <c r="G2674" s="31"/>
    </row>
    <row r="2675" spans="1:7" x14ac:dyDescent="0.25">
      <c r="A2675" s="36">
        <v>42487</v>
      </c>
      <c r="B2675" s="6">
        <v>43.49</v>
      </c>
      <c r="C2675" s="6">
        <v>24.79</v>
      </c>
      <c r="D2675" s="6">
        <v>5.22</v>
      </c>
      <c r="E2675" s="6">
        <v>2.46</v>
      </c>
      <c r="G2675" s="31"/>
    </row>
    <row r="2676" spans="1:7" x14ac:dyDescent="0.25">
      <c r="A2676" s="36">
        <v>42488</v>
      </c>
      <c r="B2676" s="6">
        <v>43.66</v>
      </c>
      <c r="C2676" s="6">
        <v>25.02</v>
      </c>
      <c r="D2676" s="6">
        <v>5.36</v>
      </c>
      <c r="E2676" s="6">
        <v>2.4300000000000002</v>
      </c>
      <c r="G2676" s="31"/>
    </row>
    <row r="2677" spans="1:7" x14ac:dyDescent="0.25">
      <c r="A2677" s="36">
        <v>42489</v>
      </c>
      <c r="B2677" s="6">
        <v>43.83</v>
      </c>
      <c r="C2677" s="6">
        <v>25.26</v>
      </c>
      <c r="D2677" s="6">
        <v>5.52</v>
      </c>
      <c r="E2677" s="6">
        <v>2.42</v>
      </c>
      <c r="G2677" s="31"/>
    </row>
    <row r="2678" spans="1:7" x14ac:dyDescent="0.25">
      <c r="A2678" s="36">
        <v>42490</v>
      </c>
      <c r="B2678" s="6">
        <v>44.01</v>
      </c>
      <c r="C2678" s="6">
        <v>25.48</v>
      </c>
      <c r="D2678" s="6">
        <v>5.72</v>
      </c>
      <c r="E2678" s="6">
        <v>2.4900000000000002</v>
      </c>
      <c r="G2678" s="31"/>
    </row>
    <row r="2679" spans="1:7" x14ac:dyDescent="0.25">
      <c r="A2679" s="36">
        <v>42491</v>
      </c>
      <c r="B2679" s="6">
        <v>44.25</v>
      </c>
      <c r="C2679" s="6">
        <v>25.77</v>
      </c>
      <c r="D2679" s="6">
        <v>5.86</v>
      </c>
      <c r="E2679" s="6">
        <v>2.56</v>
      </c>
      <c r="G2679" s="31"/>
    </row>
    <row r="2680" spans="1:7" x14ac:dyDescent="0.25">
      <c r="A2680" s="36">
        <v>42492</v>
      </c>
      <c r="B2680" s="6">
        <v>44.49</v>
      </c>
      <c r="C2680" s="6">
        <v>26.07</v>
      </c>
      <c r="D2680" s="6">
        <v>6.44</v>
      </c>
      <c r="E2680" s="6">
        <v>2.73</v>
      </c>
      <c r="G2680" s="31"/>
    </row>
    <row r="2681" spans="1:7" x14ac:dyDescent="0.25">
      <c r="A2681" s="36">
        <v>42493</v>
      </c>
      <c r="B2681" s="6">
        <v>44.71</v>
      </c>
      <c r="C2681" s="6">
        <v>26.28</v>
      </c>
      <c r="D2681" s="6">
        <v>6.72</v>
      </c>
      <c r="E2681" s="6">
        <v>2.99</v>
      </c>
      <c r="G2681" s="31"/>
    </row>
    <row r="2682" spans="1:7" x14ac:dyDescent="0.25">
      <c r="A2682" s="36">
        <v>42494</v>
      </c>
      <c r="B2682" s="6">
        <v>44.87</v>
      </c>
      <c r="C2682" s="6">
        <v>26.45</v>
      </c>
      <c r="D2682" s="6">
        <v>6.96</v>
      </c>
      <c r="E2682" s="6">
        <v>3.2600000000000002</v>
      </c>
      <c r="G2682" s="31"/>
    </row>
    <row r="2683" spans="1:7" x14ac:dyDescent="0.25">
      <c r="A2683" s="36">
        <v>42495</v>
      </c>
      <c r="B2683" s="6">
        <v>45.16</v>
      </c>
      <c r="C2683" s="6">
        <v>26.6</v>
      </c>
      <c r="D2683" s="6">
        <v>7.16</v>
      </c>
      <c r="E2683" s="6">
        <v>3.54</v>
      </c>
      <c r="G2683" s="31"/>
    </row>
    <row r="2684" spans="1:7" x14ac:dyDescent="0.25">
      <c r="A2684" s="36">
        <v>42496</v>
      </c>
      <c r="B2684" s="6">
        <v>45.49</v>
      </c>
      <c r="C2684" s="6">
        <v>26.78</v>
      </c>
      <c r="D2684" s="6">
        <v>7.38</v>
      </c>
      <c r="E2684" s="6">
        <v>3.85</v>
      </c>
      <c r="G2684" s="31"/>
    </row>
    <row r="2685" spans="1:7" x14ac:dyDescent="0.25">
      <c r="A2685" s="36">
        <v>42497</v>
      </c>
      <c r="B2685" s="6">
        <v>45.64</v>
      </c>
      <c r="C2685" s="6">
        <v>27.02</v>
      </c>
      <c r="D2685" s="6">
        <v>7.84</v>
      </c>
      <c r="E2685" s="6">
        <v>3.97</v>
      </c>
      <c r="G2685" s="31"/>
    </row>
    <row r="2686" spans="1:7" x14ac:dyDescent="0.25">
      <c r="A2686" s="36">
        <v>42498</v>
      </c>
      <c r="B2686" s="6">
        <v>45.85</v>
      </c>
      <c r="C2686" s="6">
        <v>27.24</v>
      </c>
      <c r="D2686" s="6">
        <v>7.92</v>
      </c>
      <c r="E2686" s="6">
        <v>4.01</v>
      </c>
      <c r="G2686" s="31"/>
    </row>
    <row r="2687" spans="1:7" x14ac:dyDescent="0.25">
      <c r="A2687" s="36">
        <v>42499</v>
      </c>
      <c r="B2687" s="6">
        <v>46.03</v>
      </c>
      <c r="C2687" s="6">
        <v>27.45</v>
      </c>
      <c r="D2687" s="6">
        <v>8.1199999999999992</v>
      </c>
      <c r="E2687" s="6">
        <v>4.1500000000000004</v>
      </c>
      <c r="G2687" s="31"/>
    </row>
    <row r="2688" spans="1:7" x14ac:dyDescent="0.25">
      <c r="A2688" s="36">
        <v>42500</v>
      </c>
      <c r="B2688" s="6">
        <v>46.19</v>
      </c>
      <c r="C2688" s="6">
        <v>27.64</v>
      </c>
      <c r="D2688" s="6">
        <v>8.18</v>
      </c>
      <c r="E2688" s="6">
        <v>4.25</v>
      </c>
      <c r="G2688" s="31"/>
    </row>
    <row r="2689" spans="1:7" x14ac:dyDescent="0.25">
      <c r="A2689" s="36">
        <v>42501</v>
      </c>
      <c r="B2689" s="6">
        <v>46.32</v>
      </c>
      <c r="C2689" s="6">
        <v>27.83</v>
      </c>
      <c r="D2689" s="6">
        <v>8.26</v>
      </c>
      <c r="E2689" s="6">
        <v>4.3499999999999996</v>
      </c>
      <c r="G2689" s="31"/>
    </row>
    <row r="2690" spans="1:7" x14ac:dyDescent="0.25">
      <c r="A2690" s="36">
        <v>42502</v>
      </c>
      <c r="B2690" s="6">
        <v>46.43</v>
      </c>
      <c r="C2690" s="6">
        <v>27.97</v>
      </c>
      <c r="D2690" s="6">
        <v>8.66</v>
      </c>
      <c r="E2690" s="6">
        <v>4.5299999999999994</v>
      </c>
      <c r="G2690" s="31"/>
    </row>
    <row r="2691" spans="1:7" x14ac:dyDescent="0.25">
      <c r="A2691" s="36">
        <v>42503</v>
      </c>
      <c r="B2691" s="6">
        <v>46.6</v>
      </c>
      <c r="C2691" s="6">
        <v>28.1</v>
      </c>
      <c r="D2691" s="6">
        <v>8.86</v>
      </c>
      <c r="E2691" s="6">
        <v>4.8099999999999996</v>
      </c>
      <c r="G2691" s="31"/>
    </row>
    <row r="2692" spans="1:7" x14ac:dyDescent="0.25">
      <c r="A2692" s="36">
        <v>42504</v>
      </c>
      <c r="B2692" s="6">
        <v>46.62</v>
      </c>
      <c r="C2692" s="6">
        <v>28.22</v>
      </c>
      <c r="D2692" s="6">
        <v>9.1199999999999992</v>
      </c>
      <c r="E2692" s="6">
        <v>4.9799999999999995</v>
      </c>
      <c r="G2692" s="31"/>
    </row>
    <row r="2693" spans="1:7" x14ac:dyDescent="0.25">
      <c r="A2693" s="36">
        <v>42505</v>
      </c>
      <c r="B2693" s="6">
        <v>46.69</v>
      </c>
      <c r="C2693" s="6">
        <v>28.3</v>
      </c>
      <c r="D2693" s="6">
        <v>9.24</v>
      </c>
      <c r="E2693" s="6">
        <v>5.05</v>
      </c>
      <c r="G2693" s="31"/>
    </row>
    <row r="2694" spans="1:7" x14ac:dyDescent="0.25">
      <c r="A2694" s="36">
        <v>42506</v>
      </c>
      <c r="B2694" s="6">
        <v>46.71</v>
      </c>
      <c r="C2694" s="6">
        <v>28.39</v>
      </c>
      <c r="D2694" s="6">
        <v>9.42</v>
      </c>
      <c r="E2694" s="6">
        <v>5.13</v>
      </c>
      <c r="G2694" s="31"/>
    </row>
    <row r="2695" spans="1:7" x14ac:dyDescent="0.25">
      <c r="A2695" s="36">
        <v>42507</v>
      </c>
      <c r="B2695" s="6">
        <v>46.8</v>
      </c>
      <c r="C2695" s="6">
        <v>28.45</v>
      </c>
      <c r="D2695" s="6">
        <v>9.56</v>
      </c>
      <c r="E2695" s="6">
        <v>5.21</v>
      </c>
      <c r="G2695" s="31"/>
    </row>
    <row r="2696" spans="1:7" x14ac:dyDescent="0.25">
      <c r="A2696" s="36">
        <v>42508</v>
      </c>
      <c r="B2696" s="6">
        <v>46.91</v>
      </c>
      <c r="C2696" s="6">
        <v>28.49</v>
      </c>
      <c r="D2696" s="6">
        <v>9.58</v>
      </c>
      <c r="E2696" s="6">
        <v>5.38</v>
      </c>
      <c r="G2696" s="31"/>
    </row>
    <row r="2697" spans="1:7" x14ac:dyDescent="0.25">
      <c r="A2697" s="36">
        <v>42509</v>
      </c>
      <c r="B2697" s="6">
        <v>47.02</v>
      </c>
      <c r="C2697" s="6">
        <v>28.5</v>
      </c>
      <c r="D2697" s="6">
        <v>9.7799999999999994</v>
      </c>
      <c r="E2697" s="6">
        <v>5.51</v>
      </c>
      <c r="G2697" s="31"/>
    </row>
    <row r="2698" spans="1:7" x14ac:dyDescent="0.25">
      <c r="A2698" s="36">
        <v>42510</v>
      </c>
      <c r="B2698" s="6">
        <v>47.17</v>
      </c>
      <c r="C2698" s="6">
        <v>28.6</v>
      </c>
      <c r="D2698" s="6">
        <v>9.84</v>
      </c>
      <c r="E2698" s="6">
        <v>5.59</v>
      </c>
      <c r="G2698" s="31"/>
    </row>
    <row r="2699" spans="1:7" x14ac:dyDescent="0.25">
      <c r="A2699" s="36">
        <v>42511</v>
      </c>
      <c r="B2699" s="6">
        <v>47.28</v>
      </c>
      <c r="C2699" s="6">
        <v>28.7</v>
      </c>
      <c r="D2699" s="6">
        <v>9.92</v>
      </c>
      <c r="E2699" s="6">
        <v>5.6099999999999994</v>
      </c>
      <c r="G2699" s="31"/>
    </row>
    <row r="2700" spans="1:7" x14ac:dyDescent="0.25">
      <c r="A2700" s="36">
        <v>42512</v>
      </c>
      <c r="B2700" s="6">
        <v>47.38</v>
      </c>
      <c r="C2700" s="6">
        <v>28.74</v>
      </c>
      <c r="D2700" s="6">
        <v>10.06</v>
      </c>
      <c r="E2700" s="6">
        <v>5.63</v>
      </c>
      <c r="G2700" s="31"/>
    </row>
    <row r="2701" spans="1:7" x14ac:dyDescent="0.25">
      <c r="A2701" s="36">
        <v>42513</v>
      </c>
      <c r="B2701" s="6">
        <v>47.48</v>
      </c>
      <c r="C2701" s="6">
        <v>28.81</v>
      </c>
      <c r="D2701" s="6">
        <v>10.14</v>
      </c>
      <c r="E2701" s="6">
        <v>5.7299999999999995</v>
      </c>
      <c r="G2701" s="31"/>
    </row>
    <row r="2702" spans="1:7" x14ac:dyDescent="0.25">
      <c r="A2702" s="36">
        <v>42514</v>
      </c>
      <c r="B2702" s="6">
        <v>47.55</v>
      </c>
      <c r="C2702" s="6">
        <v>28.97</v>
      </c>
      <c r="D2702" s="6">
        <v>10.199999999999999</v>
      </c>
      <c r="E2702" s="6">
        <v>5.75</v>
      </c>
      <c r="G2702" s="31"/>
    </row>
    <row r="2703" spans="1:7" x14ac:dyDescent="0.25">
      <c r="A2703" s="36">
        <v>42515</v>
      </c>
      <c r="B2703" s="6">
        <v>47.66</v>
      </c>
      <c r="C2703" s="7">
        <v>29</v>
      </c>
      <c r="D2703" s="7">
        <v>10.28</v>
      </c>
      <c r="E2703" s="6">
        <v>5.7799999999999994</v>
      </c>
      <c r="G2703" s="31"/>
    </row>
    <row r="2704" spans="1:7" x14ac:dyDescent="0.25">
      <c r="A2704" s="36">
        <v>42516</v>
      </c>
      <c r="B2704" s="7">
        <v>47.7</v>
      </c>
      <c r="C2704" s="7">
        <v>29.06</v>
      </c>
      <c r="D2704" s="7">
        <v>10.36</v>
      </c>
      <c r="E2704" s="7">
        <v>5.88</v>
      </c>
      <c r="G2704" s="31"/>
    </row>
    <row r="2705" spans="1:7" x14ac:dyDescent="0.25">
      <c r="A2705" s="36">
        <v>42517</v>
      </c>
      <c r="B2705" s="7">
        <v>47.79</v>
      </c>
      <c r="C2705" s="7">
        <v>29.19</v>
      </c>
      <c r="D2705" s="7">
        <v>10.4</v>
      </c>
      <c r="E2705" s="7">
        <v>5.88</v>
      </c>
      <c r="G2705" s="31"/>
    </row>
    <row r="2706" spans="1:7" x14ac:dyDescent="0.25">
      <c r="A2706" s="36">
        <v>42518</v>
      </c>
      <c r="B2706" s="7">
        <v>47.87</v>
      </c>
      <c r="C2706" s="7">
        <v>29.31</v>
      </c>
      <c r="D2706" s="7">
        <v>10.4</v>
      </c>
      <c r="E2706" s="7">
        <v>5.91</v>
      </c>
      <c r="G2706" s="31"/>
    </row>
    <row r="2707" spans="1:7" x14ac:dyDescent="0.25">
      <c r="A2707" s="36">
        <v>42519</v>
      </c>
      <c r="B2707" s="7">
        <v>47.98</v>
      </c>
      <c r="C2707" s="7">
        <v>29.4</v>
      </c>
      <c r="D2707" s="7">
        <v>10.54</v>
      </c>
      <c r="E2707" s="7">
        <v>5.9799999999999995</v>
      </c>
      <c r="G2707" s="31"/>
    </row>
    <row r="2708" spans="1:7" x14ac:dyDescent="0.25">
      <c r="A2708" s="36">
        <v>42520</v>
      </c>
      <c r="B2708" s="7">
        <v>48.1</v>
      </c>
      <c r="C2708" s="7">
        <v>29.51</v>
      </c>
      <c r="D2708" s="7">
        <v>10.68</v>
      </c>
      <c r="E2708" s="7">
        <v>6.08</v>
      </c>
      <c r="G2708" s="31"/>
    </row>
    <row r="2709" spans="1:7" x14ac:dyDescent="0.25">
      <c r="A2709" s="36">
        <v>42521</v>
      </c>
      <c r="B2709" s="7">
        <v>48.24</v>
      </c>
      <c r="C2709" s="7">
        <v>29.6</v>
      </c>
      <c r="D2709" s="7">
        <v>10.66</v>
      </c>
      <c r="E2709" s="7">
        <v>6.08</v>
      </c>
      <c r="G2709" s="31"/>
    </row>
    <row r="2710" spans="1:7" x14ac:dyDescent="0.25">
      <c r="A2710" s="36">
        <v>42522</v>
      </c>
      <c r="B2710" s="7">
        <v>48.39</v>
      </c>
      <c r="C2710" s="7">
        <v>29.7</v>
      </c>
      <c r="D2710" s="7">
        <v>10.8</v>
      </c>
      <c r="E2710" s="7">
        <v>6.2299999999999995</v>
      </c>
      <c r="G2710" s="31"/>
    </row>
    <row r="2711" spans="1:7" x14ac:dyDescent="0.25">
      <c r="A2711" s="36">
        <v>42523</v>
      </c>
      <c r="B2711" s="7">
        <v>48.6</v>
      </c>
      <c r="C2711" s="7">
        <v>29.89</v>
      </c>
      <c r="D2711" s="7">
        <v>10.9</v>
      </c>
      <c r="E2711" s="7">
        <v>6.35</v>
      </c>
      <c r="G2711" s="31"/>
    </row>
    <row r="2712" spans="1:7" x14ac:dyDescent="0.25">
      <c r="A2712" s="36">
        <v>42524</v>
      </c>
      <c r="B2712" s="7">
        <v>48.71</v>
      </c>
      <c r="C2712" s="7">
        <v>29.96</v>
      </c>
      <c r="D2712" s="7">
        <v>11.08</v>
      </c>
      <c r="E2712" s="7">
        <v>6.51</v>
      </c>
      <c r="G2712" s="31"/>
    </row>
    <row r="2713" spans="1:7" x14ac:dyDescent="0.25">
      <c r="A2713" s="36">
        <v>42525</v>
      </c>
      <c r="B2713" s="7">
        <v>48.81</v>
      </c>
      <c r="C2713" s="7">
        <v>30.09</v>
      </c>
      <c r="D2713" s="7">
        <v>11.17</v>
      </c>
      <c r="E2713" s="7">
        <v>6.58</v>
      </c>
      <c r="G2713" s="31"/>
    </row>
    <row r="2714" spans="1:7" x14ac:dyDescent="0.25">
      <c r="A2714" s="36">
        <v>42526</v>
      </c>
      <c r="B2714" s="7">
        <v>48.89</v>
      </c>
      <c r="C2714" s="7">
        <v>30.15</v>
      </c>
      <c r="D2714" s="7">
        <v>11.22</v>
      </c>
      <c r="E2714" s="7">
        <v>6.68</v>
      </c>
      <c r="G2714" s="31"/>
    </row>
    <row r="2715" spans="1:7" x14ac:dyDescent="0.25">
      <c r="A2715" s="36">
        <v>42527</v>
      </c>
      <c r="B2715" s="7">
        <v>48.92</v>
      </c>
      <c r="C2715" s="7">
        <v>30.19</v>
      </c>
      <c r="D2715" s="7">
        <v>11.52</v>
      </c>
      <c r="E2715" s="7">
        <v>6.85</v>
      </c>
      <c r="G2715" s="31"/>
    </row>
    <row r="2716" spans="1:7" x14ac:dyDescent="0.25">
      <c r="A2716" s="36">
        <v>42528</v>
      </c>
      <c r="B2716" s="7">
        <v>48.99</v>
      </c>
      <c r="C2716" s="7">
        <v>30.34</v>
      </c>
      <c r="D2716" s="7">
        <v>11.6</v>
      </c>
      <c r="E2716" s="7">
        <v>6.91</v>
      </c>
      <c r="G2716" s="31"/>
    </row>
    <row r="2717" spans="1:7" x14ac:dyDescent="0.25">
      <c r="A2717" s="36">
        <v>42529</v>
      </c>
      <c r="B2717" s="7">
        <v>49</v>
      </c>
      <c r="C2717" s="7">
        <v>30.42</v>
      </c>
      <c r="D2717" s="7">
        <v>11.6</v>
      </c>
      <c r="E2717" s="7">
        <v>7.0299999999999994</v>
      </c>
      <c r="G2717" s="31"/>
    </row>
    <row r="2718" spans="1:7" x14ac:dyDescent="0.25">
      <c r="A2718" s="36">
        <v>42530</v>
      </c>
      <c r="B2718" s="7">
        <v>49.04</v>
      </c>
      <c r="C2718" s="7">
        <v>30.49</v>
      </c>
      <c r="D2718" s="7">
        <v>11.7</v>
      </c>
      <c r="E2718" s="7">
        <v>7.0299999999999994</v>
      </c>
      <c r="G2718" s="31"/>
    </row>
    <row r="2719" spans="1:7" x14ac:dyDescent="0.25">
      <c r="A2719" s="36">
        <v>42531</v>
      </c>
      <c r="B2719" s="7">
        <v>49.06</v>
      </c>
      <c r="C2719" s="7">
        <v>30.5</v>
      </c>
      <c r="D2719" s="7">
        <v>11.74</v>
      </c>
      <c r="E2719" s="7">
        <v>7.05</v>
      </c>
      <c r="G2719" s="31"/>
    </row>
    <row r="2720" spans="1:7" x14ac:dyDescent="0.25">
      <c r="A2720" s="36">
        <v>42532</v>
      </c>
      <c r="B2720" s="7">
        <v>49.08</v>
      </c>
      <c r="C2720" s="7">
        <v>30.55</v>
      </c>
      <c r="D2720" s="7">
        <v>11.78</v>
      </c>
      <c r="E2720" s="7">
        <v>7.0699999999999994</v>
      </c>
      <c r="G2720" s="31"/>
    </row>
    <row r="2721" spans="1:7" x14ac:dyDescent="0.25">
      <c r="A2721" s="36">
        <v>42533</v>
      </c>
      <c r="B2721" s="7">
        <v>49.11</v>
      </c>
      <c r="C2721" s="7">
        <v>30.6</v>
      </c>
      <c r="D2721" s="7">
        <v>11.8</v>
      </c>
      <c r="E2721" s="7">
        <v>7.13</v>
      </c>
      <c r="G2721" s="31"/>
    </row>
    <row r="2722" spans="1:7" x14ac:dyDescent="0.25">
      <c r="A2722" s="36">
        <v>42534</v>
      </c>
      <c r="B2722" s="7">
        <v>49.18</v>
      </c>
      <c r="C2722" s="7">
        <v>30.62</v>
      </c>
      <c r="D2722" s="7">
        <v>11.84</v>
      </c>
      <c r="E2722" s="7">
        <v>7.18</v>
      </c>
      <c r="G2722" s="31"/>
    </row>
    <row r="2723" spans="1:7" x14ac:dyDescent="0.25">
      <c r="A2723" s="36">
        <v>42535</v>
      </c>
      <c r="B2723" s="7">
        <v>49.21</v>
      </c>
      <c r="C2723" s="7">
        <v>30.75</v>
      </c>
      <c r="D2723" s="7">
        <v>12.04</v>
      </c>
      <c r="E2723" s="7">
        <v>7.21</v>
      </c>
      <c r="G2723" s="31"/>
    </row>
    <row r="2724" spans="1:7" x14ac:dyDescent="0.25">
      <c r="A2724" s="36">
        <v>42536</v>
      </c>
      <c r="B2724" s="7">
        <v>49.5</v>
      </c>
      <c r="C2724" s="6">
        <v>30.8</v>
      </c>
      <c r="D2724" s="6">
        <v>12.1</v>
      </c>
      <c r="E2724" s="7">
        <v>7.25</v>
      </c>
      <c r="G2724" s="31"/>
    </row>
    <row r="2725" spans="1:7" x14ac:dyDescent="0.25">
      <c r="A2725" s="36">
        <v>42537</v>
      </c>
      <c r="B2725" s="6">
        <v>49.77</v>
      </c>
      <c r="C2725" s="6">
        <v>30.85</v>
      </c>
      <c r="D2725" s="6">
        <v>12.14</v>
      </c>
      <c r="E2725" s="6">
        <v>7.31</v>
      </c>
      <c r="G2725" s="31"/>
    </row>
    <row r="2726" spans="1:7" x14ac:dyDescent="0.25">
      <c r="A2726" s="36">
        <v>42538</v>
      </c>
      <c r="B2726" s="6">
        <v>49.92</v>
      </c>
      <c r="C2726" s="6">
        <v>30.97</v>
      </c>
      <c r="D2726" s="6">
        <v>12.18</v>
      </c>
      <c r="E2726" s="6">
        <v>7.35</v>
      </c>
      <c r="G2726" s="31"/>
    </row>
    <row r="2727" spans="1:7" x14ac:dyDescent="0.25">
      <c r="A2727" s="36">
        <v>42539</v>
      </c>
      <c r="B2727" s="6">
        <v>50.02</v>
      </c>
      <c r="C2727" s="6">
        <v>31.04</v>
      </c>
      <c r="D2727" s="6">
        <v>12.26</v>
      </c>
      <c r="E2727" s="6">
        <v>7.43</v>
      </c>
      <c r="G2727" s="31"/>
    </row>
    <row r="2728" spans="1:7" x14ac:dyDescent="0.25">
      <c r="A2728" s="36">
        <v>42540</v>
      </c>
      <c r="B2728" s="6">
        <v>50.04</v>
      </c>
      <c r="C2728" s="6">
        <v>31.12</v>
      </c>
      <c r="D2728" s="6">
        <v>12.32</v>
      </c>
      <c r="E2728" s="6">
        <v>7.4899999999999993</v>
      </c>
      <c r="G2728" s="31"/>
    </row>
    <row r="2729" spans="1:7" x14ac:dyDescent="0.25">
      <c r="A2729" s="36">
        <v>42541</v>
      </c>
      <c r="B2729" s="6">
        <v>50.04</v>
      </c>
      <c r="C2729" s="6">
        <v>31.22</v>
      </c>
      <c r="D2729" s="6">
        <v>12.4</v>
      </c>
      <c r="E2729" s="6">
        <v>7.5299999999999994</v>
      </c>
      <c r="G2729" s="31"/>
    </row>
    <row r="2730" spans="1:7" x14ac:dyDescent="0.25">
      <c r="A2730" s="36">
        <v>42542</v>
      </c>
      <c r="B2730" s="6">
        <v>50.13</v>
      </c>
      <c r="C2730" s="6">
        <v>31.3</v>
      </c>
      <c r="D2730" s="6">
        <v>12.46</v>
      </c>
      <c r="E2730" s="6">
        <v>7.55</v>
      </c>
      <c r="G2730" s="31"/>
    </row>
    <row r="2731" spans="1:7" x14ac:dyDescent="0.25">
      <c r="A2731" s="36">
        <v>42543</v>
      </c>
      <c r="B2731" s="6">
        <v>50.26</v>
      </c>
      <c r="C2731" s="6">
        <v>31.39</v>
      </c>
      <c r="D2731" s="6">
        <v>12.58</v>
      </c>
      <c r="E2731" s="6">
        <v>7.68</v>
      </c>
      <c r="G2731" s="31"/>
    </row>
    <row r="2732" spans="1:7" x14ac:dyDescent="0.25">
      <c r="A2732" s="36">
        <v>42544</v>
      </c>
      <c r="B2732" s="6">
        <v>50.34</v>
      </c>
      <c r="C2732" s="6">
        <v>31.5</v>
      </c>
      <c r="D2732" s="6">
        <v>12.72</v>
      </c>
      <c r="E2732" s="6">
        <v>7.77</v>
      </c>
      <c r="G2732" s="31"/>
    </row>
    <row r="2733" spans="1:7" x14ac:dyDescent="0.25">
      <c r="A2733" s="36">
        <v>42545</v>
      </c>
      <c r="B2733" s="6">
        <v>50.4</v>
      </c>
      <c r="C2733" s="6">
        <v>31.61</v>
      </c>
      <c r="D2733" s="6">
        <v>12.8</v>
      </c>
      <c r="E2733" s="6">
        <v>7.87</v>
      </c>
      <c r="G2733" s="31"/>
    </row>
    <row r="2734" spans="1:7" x14ac:dyDescent="0.25">
      <c r="A2734" s="36">
        <v>42546</v>
      </c>
      <c r="B2734" s="6">
        <v>50.49</v>
      </c>
      <c r="C2734" s="6">
        <v>31.69</v>
      </c>
      <c r="D2734" s="6">
        <v>12.86</v>
      </c>
      <c r="E2734" s="6">
        <v>8.01</v>
      </c>
      <c r="G2734" s="31"/>
    </row>
    <row r="2735" spans="1:7" x14ac:dyDescent="0.25">
      <c r="A2735" s="36">
        <v>42547</v>
      </c>
      <c r="B2735" s="6">
        <v>50.61</v>
      </c>
      <c r="C2735" s="6">
        <v>31.8</v>
      </c>
      <c r="D2735" s="6">
        <v>12.98</v>
      </c>
      <c r="E2735" s="6">
        <v>8.11</v>
      </c>
      <c r="G2735" s="31"/>
    </row>
    <row r="2736" spans="1:7" x14ac:dyDescent="0.25">
      <c r="A2736" s="36">
        <v>42548</v>
      </c>
      <c r="B2736" s="6">
        <v>50.7</v>
      </c>
      <c r="C2736" s="6">
        <v>31.9</v>
      </c>
      <c r="D2736" s="6">
        <v>13.22</v>
      </c>
      <c r="E2736" s="6">
        <v>8.120000000000001</v>
      </c>
      <c r="G2736" s="31"/>
    </row>
    <row r="2737" spans="1:7" x14ac:dyDescent="0.25">
      <c r="A2737" s="36">
        <v>42549</v>
      </c>
      <c r="B2737" s="6">
        <v>50.79</v>
      </c>
      <c r="C2737" s="6">
        <v>32</v>
      </c>
      <c r="D2737" s="6">
        <v>13.3</v>
      </c>
      <c r="E2737" s="6">
        <v>8.25</v>
      </c>
      <c r="G2737" s="31"/>
    </row>
    <row r="2738" spans="1:7" x14ac:dyDescent="0.25">
      <c r="A2738" s="36">
        <v>42550</v>
      </c>
      <c r="B2738" s="6">
        <v>50.84</v>
      </c>
      <c r="C2738" s="6">
        <v>32.119999999999997</v>
      </c>
      <c r="D2738" s="6">
        <v>13.34</v>
      </c>
      <c r="E2738" s="6">
        <v>8.35</v>
      </c>
      <c r="G2738" s="31"/>
    </row>
    <row r="2739" spans="1:7" x14ac:dyDescent="0.25">
      <c r="A2739" s="36">
        <v>42551</v>
      </c>
      <c r="B2739" s="6">
        <v>50.91</v>
      </c>
      <c r="C2739" s="6">
        <v>32.24</v>
      </c>
      <c r="D2739" s="6">
        <v>13.52</v>
      </c>
      <c r="E2739" s="6">
        <v>8.4499999999999993</v>
      </c>
      <c r="G2739" s="31"/>
    </row>
    <row r="2740" spans="1:7" x14ac:dyDescent="0.25">
      <c r="A2740" s="36">
        <v>42552</v>
      </c>
      <c r="B2740" s="6">
        <v>51.07</v>
      </c>
      <c r="C2740" s="6">
        <v>32.340000000000003</v>
      </c>
      <c r="D2740" s="6">
        <v>13.62</v>
      </c>
      <c r="E2740" s="6">
        <v>8.5</v>
      </c>
      <c r="G2740" s="31"/>
    </row>
    <row r="2741" spans="1:7" x14ac:dyDescent="0.25">
      <c r="A2741" s="36">
        <v>42553</v>
      </c>
      <c r="B2741" s="6">
        <v>51.15</v>
      </c>
      <c r="C2741" s="6">
        <v>32.42</v>
      </c>
      <c r="D2741" s="6">
        <v>13.74</v>
      </c>
      <c r="E2741" s="6">
        <v>8.51</v>
      </c>
      <c r="G2741" s="31"/>
    </row>
    <row r="2742" spans="1:7" x14ac:dyDescent="0.25">
      <c r="A2742" s="36">
        <v>42554</v>
      </c>
      <c r="B2742" s="6">
        <v>51.23</v>
      </c>
      <c r="C2742" s="6">
        <v>32.520000000000003</v>
      </c>
      <c r="D2742" s="6">
        <v>13.82</v>
      </c>
      <c r="E2742" s="6">
        <v>8.65</v>
      </c>
      <c r="G2742" s="31"/>
    </row>
    <row r="2743" spans="1:7" x14ac:dyDescent="0.25">
      <c r="A2743" s="36">
        <v>42555</v>
      </c>
      <c r="B2743" s="6">
        <v>51.29</v>
      </c>
      <c r="C2743" s="6">
        <v>32.6</v>
      </c>
      <c r="D2743" s="6">
        <v>13.92</v>
      </c>
      <c r="E2743" s="6">
        <v>8.7099999999999991</v>
      </c>
      <c r="G2743" s="31"/>
    </row>
    <row r="2744" spans="1:7" x14ac:dyDescent="0.25">
      <c r="A2744" s="36">
        <v>42556</v>
      </c>
      <c r="B2744" s="7">
        <v>51.36</v>
      </c>
      <c r="C2744" s="6">
        <v>32.700000000000003</v>
      </c>
      <c r="D2744" s="6">
        <v>14</v>
      </c>
      <c r="E2744" s="7">
        <v>8.81</v>
      </c>
      <c r="G2744" s="31"/>
    </row>
    <row r="2745" spans="1:7" x14ac:dyDescent="0.25">
      <c r="A2745" s="36">
        <v>42557</v>
      </c>
      <c r="B2745" s="7">
        <v>51.46</v>
      </c>
      <c r="C2745" s="6">
        <v>32.78</v>
      </c>
      <c r="D2745" s="6">
        <v>14.12</v>
      </c>
      <c r="E2745" s="7">
        <v>8.85</v>
      </c>
      <c r="G2745" s="31"/>
    </row>
    <row r="2746" spans="1:7" x14ac:dyDescent="0.25">
      <c r="A2746" s="36">
        <v>42558</v>
      </c>
      <c r="B2746" s="7">
        <v>51.58</v>
      </c>
      <c r="C2746" s="6">
        <v>32.86</v>
      </c>
      <c r="D2746" s="6">
        <v>14.2</v>
      </c>
      <c r="E2746" s="7">
        <v>8.9499999999999993</v>
      </c>
      <c r="G2746" s="31"/>
    </row>
    <row r="2747" spans="1:7" x14ac:dyDescent="0.25">
      <c r="A2747" s="36">
        <v>42559</v>
      </c>
      <c r="B2747" s="6">
        <v>51.65</v>
      </c>
      <c r="C2747" s="6">
        <v>33</v>
      </c>
      <c r="D2747" s="6">
        <v>14.3</v>
      </c>
      <c r="E2747" s="6">
        <v>9.0299999999999994</v>
      </c>
      <c r="G2747" s="31"/>
    </row>
    <row r="2748" spans="1:7" x14ac:dyDescent="0.25">
      <c r="A2748" s="36">
        <v>42560</v>
      </c>
      <c r="B2748" s="6">
        <v>51.69</v>
      </c>
      <c r="C2748" s="6">
        <v>33.08</v>
      </c>
      <c r="D2748" s="6">
        <v>14.42</v>
      </c>
      <c r="E2748" s="6">
        <v>9.11</v>
      </c>
      <c r="G2748" s="31"/>
    </row>
    <row r="2749" spans="1:7" x14ac:dyDescent="0.25">
      <c r="A2749" s="36">
        <v>42561</v>
      </c>
      <c r="B2749" s="6">
        <v>51.73</v>
      </c>
      <c r="C2749" s="6">
        <v>33.14</v>
      </c>
      <c r="D2749" s="6">
        <v>14.54</v>
      </c>
      <c r="E2749" s="6">
        <v>9.17</v>
      </c>
      <c r="G2749" s="31"/>
    </row>
    <row r="2750" spans="1:7" x14ac:dyDescent="0.25">
      <c r="A2750" s="36">
        <v>42562</v>
      </c>
      <c r="B2750" s="6">
        <v>51.74</v>
      </c>
      <c r="C2750" s="6">
        <v>33.200000000000003</v>
      </c>
      <c r="D2750" s="6">
        <v>14.66</v>
      </c>
      <c r="E2750" s="6">
        <v>9.23</v>
      </c>
      <c r="G2750" s="31"/>
    </row>
    <row r="2751" spans="1:7" x14ac:dyDescent="0.25">
      <c r="A2751" s="36">
        <v>42563</v>
      </c>
      <c r="B2751" s="6">
        <v>51.77</v>
      </c>
      <c r="C2751" s="6">
        <v>33.25</v>
      </c>
      <c r="D2751" s="6">
        <v>14.78</v>
      </c>
      <c r="E2751" s="6">
        <v>9.23</v>
      </c>
      <c r="G2751" s="31"/>
    </row>
    <row r="2752" spans="1:7" x14ac:dyDescent="0.25">
      <c r="A2752" s="36">
        <v>42564</v>
      </c>
      <c r="B2752" s="6">
        <v>51.77</v>
      </c>
      <c r="C2752" s="6">
        <v>33.32</v>
      </c>
      <c r="D2752" s="6">
        <v>14.92</v>
      </c>
      <c r="E2752" s="6">
        <v>9.48</v>
      </c>
      <c r="G2752" s="31"/>
    </row>
    <row r="2753" spans="1:7" x14ac:dyDescent="0.25">
      <c r="A2753" s="36">
        <v>42565</v>
      </c>
      <c r="B2753" s="6">
        <v>51.79</v>
      </c>
      <c r="C2753" s="6">
        <v>33.380000000000003</v>
      </c>
      <c r="D2753" s="6">
        <v>15</v>
      </c>
      <c r="E2753" s="6">
        <v>9.58</v>
      </c>
      <c r="G2753" s="31"/>
    </row>
    <row r="2754" spans="1:7" x14ac:dyDescent="0.25">
      <c r="A2754" s="36">
        <v>42566</v>
      </c>
      <c r="B2754" s="6">
        <v>51.79</v>
      </c>
      <c r="C2754" s="6">
        <v>33.43</v>
      </c>
      <c r="D2754" s="6">
        <v>15.12</v>
      </c>
      <c r="E2754" s="6">
        <v>9.629999999999999</v>
      </c>
      <c r="G2754" s="31"/>
    </row>
    <row r="2755" spans="1:7" x14ac:dyDescent="0.25">
      <c r="A2755" s="36">
        <v>42567</v>
      </c>
      <c r="B2755" s="6">
        <v>51.96</v>
      </c>
      <c r="C2755" s="6">
        <v>33.49</v>
      </c>
      <c r="D2755" s="6">
        <v>15.22</v>
      </c>
      <c r="E2755" s="6">
        <v>9.73</v>
      </c>
      <c r="G2755" s="31"/>
    </row>
    <row r="2756" spans="1:7" x14ac:dyDescent="0.25">
      <c r="A2756" s="36">
        <v>42568</v>
      </c>
      <c r="B2756" s="6">
        <v>52.01</v>
      </c>
      <c r="C2756" s="6">
        <v>33.590000000000003</v>
      </c>
      <c r="D2756" s="6">
        <v>15.28</v>
      </c>
      <c r="E2756" s="6">
        <v>9.83</v>
      </c>
      <c r="G2756" s="31"/>
    </row>
    <row r="2757" spans="1:7" x14ac:dyDescent="0.25">
      <c r="A2757" s="36">
        <v>42569</v>
      </c>
      <c r="B2757" s="6">
        <v>51.98</v>
      </c>
      <c r="C2757" s="6">
        <v>33.64</v>
      </c>
      <c r="D2757" s="6">
        <v>15.32</v>
      </c>
      <c r="E2757" s="6">
        <v>9.86</v>
      </c>
      <c r="G2757" s="31"/>
    </row>
    <row r="2758" spans="1:7" x14ac:dyDescent="0.25">
      <c r="A2758" s="36">
        <v>42570</v>
      </c>
      <c r="B2758" s="6">
        <v>51.97</v>
      </c>
      <c r="C2758" s="6">
        <v>33.69</v>
      </c>
      <c r="D2758" s="6">
        <v>15.4</v>
      </c>
      <c r="E2758" s="6">
        <v>9.93</v>
      </c>
      <c r="G2758" s="31"/>
    </row>
    <row r="2759" spans="1:7" x14ac:dyDescent="0.25">
      <c r="A2759" s="36">
        <v>42571</v>
      </c>
      <c r="B2759" s="6">
        <v>51.96</v>
      </c>
      <c r="C2759" s="6">
        <v>33.76</v>
      </c>
      <c r="D2759" s="6">
        <v>15.44</v>
      </c>
      <c r="E2759" s="6">
        <v>10.029999999999999</v>
      </c>
      <c r="G2759" s="31"/>
    </row>
    <row r="2760" spans="1:7" x14ac:dyDescent="0.25">
      <c r="A2760" s="36">
        <v>42572</v>
      </c>
      <c r="B2760" s="6">
        <v>51.91</v>
      </c>
      <c r="C2760" s="6">
        <v>33.82</v>
      </c>
      <c r="D2760" s="6">
        <v>15.58</v>
      </c>
      <c r="E2760" s="6">
        <v>10.11</v>
      </c>
      <c r="G2760" s="31"/>
    </row>
    <row r="2761" spans="1:7" x14ac:dyDescent="0.25">
      <c r="A2761" s="36">
        <v>42573</v>
      </c>
      <c r="B2761" s="6">
        <v>51.88</v>
      </c>
      <c r="C2761" s="6">
        <v>33.89</v>
      </c>
      <c r="D2761" s="6">
        <v>15.68</v>
      </c>
      <c r="E2761" s="6">
        <v>10.129999999999999</v>
      </c>
      <c r="G2761" s="31"/>
    </row>
    <row r="2762" spans="1:7" x14ac:dyDescent="0.25">
      <c r="A2762" s="36">
        <v>42574</v>
      </c>
      <c r="B2762" s="6">
        <v>51.88</v>
      </c>
      <c r="C2762" s="6">
        <v>33.94</v>
      </c>
      <c r="D2762" s="6">
        <v>15.74</v>
      </c>
      <c r="E2762" s="6">
        <v>10.209999999999999</v>
      </c>
      <c r="G2762" s="31"/>
    </row>
    <row r="2763" spans="1:7" x14ac:dyDescent="0.25">
      <c r="A2763" s="36">
        <v>42575</v>
      </c>
      <c r="B2763" s="6">
        <v>51.87</v>
      </c>
      <c r="C2763" s="6">
        <v>33.99</v>
      </c>
      <c r="D2763" s="6">
        <v>15.82</v>
      </c>
      <c r="E2763" s="6">
        <v>10.25</v>
      </c>
      <c r="G2763" s="31"/>
    </row>
    <row r="2764" spans="1:7" x14ac:dyDescent="0.25">
      <c r="A2764" s="36">
        <v>42576</v>
      </c>
      <c r="B2764" s="6">
        <v>51.88</v>
      </c>
      <c r="C2764" s="6">
        <v>34.020000000000003</v>
      </c>
      <c r="D2764" s="6">
        <v>15.86</v>
      </c>
      <c r="E2764" s="6">
        <v>10.31</v>
      </c>
      <c r="G2764" s="31"/>
    </row>
    <row r="2765" spans="1:7" x14ac:dyDescent="0.25">
      <c r="A2765" s="36">
        <v>42577</v>
      </c>
      <c r="B2765" s="6">
        <v>51.93</v>
      </c>
      <c r="C2765" s="6">
        <v>34.1</v>
      </c>
      <c r="D2765" s="6">
        <v>15.92</v>
      </c>
      <c r="E2765" s="6">
        <v>10.33</v>
      </c>
      <c r="G2765" s="31"/>
    </row>
    <row r="2766" spans="1:7" x14ac:dyDescent="0.25">
      <c r="A2766" s="36">
        <v>42578</v>
      </c>
      <c r="B2766" s="6">
        <v>51.92</v>
      </c>
      <c r="C2766" s="6">
        <v>34.14</v>
      </c>
      <c r="D2766" s="6">
        <v>16</v>
      </c>
      <c r="E2766" s="6">
        <v>10.43</v>
      </c>
      <c r="G2766" s="31"/>
    </row>
    <row r="2767" spans="1:7" x14ac:dyDescent="0.25">
      <c r="A2767" s="36">
        <v>42579</v>
      </c>
      <c r="B2767" s="6">
        <v>51.94</v>
      </c>
      <c r="C2767" s="6">
        <v>34.17</v>
      </c>
      <c r="D2767" s="6">
        <v>16.02</v>
      </c>
      <c r="E2767" s="6">
        <v>10.51</v>
      </c>
      <c r="G2767" s="31"/>
    </row>
    <row r="2768" spans="1:7" x14ac:dyDescent="0.25">
      <c r="A2768" s="36">
        <v>42580</v>
      </c>
      <c r="B2768" s="6">
        <v>51.95</v>
      </c>
      <c r="C2768" s="6">
        <v>34.22</v>
      </c>
      <c r="D2768" s="6">
        <v>16.079999999999998</v>
      </c>
      <c r="E2768" s="6">
        <v>10.53</v>
      </c>
      <c r="G2768" s="31"/>
    </row>
    <row r="2769" spans="1:7" x14ac:dyDescent="0.25">
      <c r="A2769" s="36">
        <v>42581</v>
      </c>
      <c r="B2769" s="6">
        <v>51.97</v>
      </c>
      <c r="C2769" s="6">
        <v>34.26</v>
      </c>
      <c r="D2769" s="6">
        <v>16.18</v>
      </c>
      <c r="E2769" s="6">
        <v>10.549999999999999</v>
      </c>
      <c r="G2769" s="31"/>
    </row>
    <row r="2770" spans="1:7" x14ac:dyDescent="0.25">
      <c r="A2770" s="36">
        <v>42582</v>
      </c>
      <c r="B2770" s="6">
        <v>51.98</v>
      </c>
      <c r="C2770" s="6">
        <v>34.29</v>
      </c>
      <c r="D2770" s="6">
        <v>16.2</v>
      </c>
      <c r="E2770" s="6">
        <v>10.61</v>
      </c>
      <c r="G2770" s="31"/>
    </row>
    <row r="2771" spans="1:7" x14ac:dyDescent="0.25">
      <c r="A2771" s="36">
        <v>42583</v>
      </c>
      <c r="B2771" s="6">
        <v>52.07</v>
      </c>
      <c r="C2771" s="6">
        <v>34.32</v>
      </c>
      <c r="D2771" s="6">
        <v>16.3</v>
      </c>
      <c r="E2771" s="6">
        <v>10.709999999999999</v>
      </c>
      <c r="G2771" s="31"/>
    </row>
    <row r="2772" spans="1:7" x14ac:dyDescent="0.25">
      <c r="A2772" s="36">
        <v>42584</v>
      </c>
      <c r="B2772" s="6">
        <v>52.1</v>
      </c>
      <c r="C2772" s="6">
        <v>34.35</v>
      </c>
      <c r="D2772" s="6">
        <v>16.36</v>
      </c>
      <c r="E2772" s="6">
        <v>10.78</v>
      </c>
      <c r="G2772" s="31"/>
    </row>
    <row r="2773" spans="1:7" x14ac:dyDescent="0.25">
      <c r="A2773" s="36">
        <v>42585</v>
      </c>
      <c r="B2773" s="6">
        <v>52.2</v>
      </c>
      <c r="C2773" s="6">
        <v>34.39</v>
      </c>
      <c r="D2773" s="6">
        <v>16.399999999999999</v>
      </c>
      <c r="E2773" s="6">
        <v>10.81</v>
      </c>
      <c r="G2773" s="31"/>
    </row>
    <row r="2774" spans="1:7" x14ac:dyDescent="0.25">
      <c r="A2774" s="36">
        <v>42586</v>
      </c>
      <c r="B2774" s="6">
        <v>52.25</v>
      </c>
      <c r="C2774" s="6">
        <v>34.44</v>
      </c>
      <c r="D2774" s="6">
        <v>16.440000000000001</v>
      </c>
      <c r="E2774" s="6">
        <v>10.85</v>
      </c>
      <c r="G2774" s="31"/>
    </row>
    <row r="2775" spans="1:7" x14ac:dyDescent="0.25">
      <c r="A2775" s="36">
        <v>42587</v>
      </c>
      <c r="B2775" s="6">
        <v>52.22</v>
      </c>
      <c r="C2775" s="6">
        <v>34.520000000000003</v>
      </c>
      <c r="D2775" s="6">
        <v>16.52</v>
      </c>
      <c r="E2775" s="6">
        <v>10.879999999999999</v>
      </c>
      <c r="G2775" s="31"/>
    </row>
    <row r="2776" spans="1:7" x14ac:dyDescent="0.25">
      <c r="A2776" s="36">
        <v>42588</v>
      </c>
      <c r="B2776" s="6">
        <v>52.25</v>
      </c>
      <c r="C2776" s="6">
        <v>34.56</v>
      </c>
      <c r="D2776" s="6">
        <v>16.600000000000001</v>
      </c>
      <c r="E2776" s="6">
        <v>10.959999999999999</v>
      </c>
      <c r="G2776" s="31"/>
    </row>
    <row r="2777" spans="1:7" x14ac:dyDescent="0.25">
      <c r="A2777" s="36">
        <v>42589</v>
      </c>
      <c r="B2777" s="6">
        <v>52.21</v>
      </c>
      <c r="C2777" s="6">
        <v>34.56</v>
      </c>
      <c r="D2777" s="6">
        <v>16.66</v>
      </c>
      <c r="E2777" s="6">
        <v>10.969999999999999</v>
      </c>
      <c r="G2777" s="31"/>
    </row>
    <row r="2778" spans="1:7" x14ac:dyDescent="0.25">
      <c r="A2778" s="36">
        <v>42590</v>
      </c>
      <c r="B2778" s="6">
        <v>52.17</v>
      </c>
      <c r="C2778" s="6">
        <v>34.590000000000003</v>
      </c>
      <c r="D2778" s="6">
        <v>16.72</v>
      </c>
      <c r="E2778" s="6">
        <v>11.049999999999999</v>
      </c>
      <c r="G2778" s="31"/>
    </row>
    <row r="2779" spans="1:7" x14ac:dyDescent="0.25">
      <c r="A2779" s="36">
        <v>42591</v>
      </c>
      <c r="B2779" s="6">
        <v>52.14</v>
      </c>
      <c r="C2779" s="6">
        <v>34.590000000000003</v>
      </c>
      <c r="D2779" s="6">
        <v>16.72</v>
      </c>
      <c r="E2779" s="6">
        <v>11.129999999999999</v>
      </c>
      <c r="G2779" s="31"/>
    </row>
    <row r="2780" spans="1:7" x14ac:dyDescent="0.25">
      <c r="A2780" s="36">
        <v>42592</v>
      </c>
      <c r="B2780" s="6">
        <v>52.13</v>
      </c>
      <c r="C2780" s="6">
        <v>34.630000000000003</v>
      </c>
      <c r="D2780" s="6">
        <v>16.760000000000002</v>
      </c>
      <c r="E2780" s="6">
        <v>11.1</v>
      </c>
      <c r="G2780" s="31"/>
    </row>
    <row r="2781" spans="1:7" x14ac:dyDescent="0.25">
      <c r="A2781" s="36">
        <v>42593</v>
      </c>
      <c r="B2781" s="6">
        <v>52.11</v>
      </c>
      <c r="C2781" s="6">
        <v>34.630000000000003</v>
      </c>
      <c r="D2781" s="6">
        <v>16.78</v>
      </c>
      <c r="E2781" s="6">
        <v>11.14</v>
      </c>
      <c r="G2781" s="31"/>
    </row>
    <row r="2782" spans="1:7" x14ac:dyDescent="0.25">
      <c r="A2782" s="36">
        <v>42594</v>
      </c>
      <c r="B2782" s="6">
        <v>52.11</v>
      </c>
      <c r="C2782" s="6">
        <v>34.64</v>
      </c>
      <c r="D2782" s="6">
        <v>16.8</v>
      </c>
      <c r="E2782" s="6">
        <v>11.129999999999999</v>
      </c>
      <c r="G2782" s="31"/>
    </row>
    <row r="2783" spans="1:7" x14ac:dyDescent="0.25">
      <c r="A2783" s="36">
        <v>42595</v>
      </c>
      <c r="B2783" s="6">
        <v>52.11</v>
      </c>
      <c r="C2783" s="6">
        <v>34.700000000000003</v>
      </c>
      <c r="D2783" s="6">
        <v>16.8</v>
      </c>
      <c r="E2783" s="6">
        <v>11.1</v>
      </c>
      <c r="G2783" s="31"/>
    </row>
    <row r="2784" spans="1:7" x14ac:dyDescent="0.25">
      <c r="A2784" s="36">
        <v>42596</v>
      </c>
      <c r="B2784" s="6">
        <v>52.07</v>
      </c>
      <c r="C2784" s="6">
        <v>34.700000000000003</v>
      </c>
      <c r="D2784" s="6">
        <v>16.8</v>
      </c>
      <c r="E2784" s="6">
        <v>11.11</v>
      </c>
      <c r="G2784" s="31"/>
    </row>
    <row r="2785" spans="1:7" x14ac:dyDescent="0.25">
      <c r="A2785" s="36">
        <v>42597</v>
      </c>
      <c r="B2785" s="6">
        <v>52.07</v>
      </c>
      <c r="C2785" s="6">
        <v>34.69</v>
      </c>
      <c r="D2785" s="6">
        <v>16.84</v>
      </c>
      <c r="E2785" s="6">
        <v>11.129999999999999</v>
      </c>
      <c r="G2785" s="31"/>
    </row>
    <row r="2786" spans="1:7" x14ac:dyDescent="0.25">
      <c r="A2786" s="36">
        <v>42598</v>
      </c>
      <c r="B2786" s="6">
        <v>51.98</v>
      </c>
      <c r="C2786" s="6">
        <v>34.67</v>
      </c>
      <c r="D2786" s="6">
        <v>16.88</v>
      </c>
      <c r="E2786" s="6">
        <v>11.17</v>
      </c>
      <c r="G2786" s="31"/>
    </row>
    <row r="2787" spans="1:7" x14ac:dyDescent="0.25">
      <c r="A2787" s="36">
        <v>42599</v>
      </c>
      <c r="B2787" s="6">
        <v>51.92</v>
      </c>
      <c r="C2787" s="6">
        <v>34.659999999999997</v>
      </c>
      <c r="D2787" s="6">
        <v>16.899999999999999</v>
      </c>
      <c r="E2787" s="6">
        <v>11.19</v>
      </c>
      <c r="G2787" s="31"/>
    </row>
    <row r="2788" spans="1:7" x14ac:dyDescent="0.25">
      <c r="A2788" s="36">
        <v>42600</v>
      </c>
      <c r="B2788" s="6">
        <v>51.86</v>
      </c>
      <c r="C2788" s="6">
        <v>34.64</v>
      </c>
      <c r="D2788" s="6">
        <v>16.920000000000002</v>
      </c>
      <c r="E2788" s="6">
        <v>11.209999999999999</v>
      </c>
      <c r="G2788" s="31"/>
    </row>
    <row r="2789" spans="1:7" x14ac:dyDescent="0.25">
      <c r="A2789" s="36">
        <v>42601</v>
      </c>
      <c r="B2789" s="6">
        <v>51.84</v>
      </c>
      <c r="C2789" s="6">
        <v>34.64</v>
      </c>
      <c r="D2789" s="6">
        <v>16.920000000000002</v>
      </c>
      <c r="E2789" s="6">
        <v>11.23</v>
      </c>
      <c r="G2789" s="31"/>
    </row>
    <row r="2790" spans="1:7" x14ac:dyDescent="0.25">
      <c r="A2790" s="36">
        <v>42602</v>
      </c>
      <c r="B2790" s="6">
        <v>51.78</v>
      </c>
      <c r="C2790" s="6">
        <v>34.61</v>
      </c>
      <c r="D2790" s="6">
        <v>16.920000000000002</v>
      </c>
      <c r="E2790" s="6">
        <v>11.23</v>
      </c>
      <c r="G2790" s="31"/>
    </row>
    <row r="2791" spans="1:7" x14ac:dyDescent="0.25">
      <c r="A2791" s="36">
        <v>42603</v>
      </c>
      <c r="B2791" s="6">
        <v>51.69</v>
      </c>
      <c r="C2791" s="6">
        <v>34.56</v>
      </c>
      <c r="D2791" s="6">
        <v>16.920000000000002</v>
      </c>
      <c r="E2791" s="6">
        <v>11.219999999999999</v>
      </c>
      <c r="G2791" s="31"/>
    </row>
    <row r="2792" spans="1:7" x14ac:dyDescent="0.25">
      <c r="A2792" s="36">
        <v>42604</v>
      </c>
      <c r="B2792" s="6">
        <v>51.63</v>
      </c>
      <c r="C2792" s="6">
        <v>34.51</v>
      </c>
      <c r="D2792" s="6">
        <v>16.899999999999999</v>
      </c>
      <c r="E2792" s="6">
        <v>11.25</v>
      </c>
      <c r="G2792" s="31"/>
    </row>
    <row r="2793" spans="1:7" x14ac:dyDescent="0.25">
      <c r="A2793" s="36">
        <v>42605</v>
      </c>
      <c r="B2793" s="6">
        <v>51.63</v>
      </c>
      <c r="C2793" s="6">
        <v>34.5</v>
      </c>
      <c r="D2793" s="6">
        <v>16.899999999999999</v>
      </c>
      <c r="E2793" s="6">
        <v>11.24</v>
      </c>
      <c r="G2793" s="31"/>
    </row>
    <row r="2794" spans="1:7" x14ac:dyDescent="0.25">
      <c r="A2794" s="36">
        <v>42606</v>
      </c>
      <c r="B2794" s="6">
        <v>51.53</v>
      </c>
      <c r="C2794" s="6">
        <v>34.46</v>
      </c>
      <c r="D2794" s="6">
        <v>16.86</v>
      </c>
      <c r="E2794" s="6">
        <v>11.2</v>
      </c>
      <c r="G2794" s="31"/>
    </row>
    <row r="2795" spans="1:7" x14ac:dyDescent="0.25">
      <c r="A2795" s="36">
        <v>42607</v>
      </c>
      <c r="B2795" s="6">
        <v>51.5</v>
      </c>
      <c r="C2795" s="6">
        <v>34.409999999999997</v>
      </c>
      <c r="D2795" s="6">
        <v>16.84</v>
      </c>
      <c r="E2795" s="6">
        <v>11.209999999999999</v>
      </c>
      <c r="G2795" s="31"/>
    </row>
    <row r="2796" spans="1:7" x14ac:dyDescent="0.25">
      <c r="A2796" s="36">
        <v>42608</v>
      </c>
      <c r="B2796" s="6">
        <v>51.47</v>
      </c>
      <c r="C2796" s="6">
        <v>34.380000000000003</v>
      </c>
      <c r="D2796" s="6">
        <v>16.8</v>
      </c>
      <c r="E2796" s="6">
        <v>11.15</v>
      </c>
      <c r="G2796" s="31"/>
    </row>
    <row r="2797" spans="1:7" x14ac:dyDescent="0.25">
      <c r="A2797" s="36">
        <v>42609</v>
      </c>
      <c r="B2797" s="6">
        <v>51.43</v>
      </c>
      <c r="C2797" s="6">
        <v>34.340000000000003</v>
      </c>
      <c r="D2797" s="6">
        <v>16.760000000000002</v>
      </c>
      <c r="E2797" s="6">
        <v>11.1</v>
      </c>
      <c r="G2797" s="31"/>
    </row>
    <row r="2798" spans="1:7" x14ac:dyDescent="0.25">
      <c r="A2798" s="36">
        <v>42610</v>
      </c>
      <c r="B2798" s="6">
        <v>51.43</v>
      </c>
      <c r="C2798" s="6">
        <v>34.31</v>
      </c>
      <c r="D2798" s="6">
        <v>16.72</v>
      </c>
      <c r="E2798" s="6">
        <v>11.06</v>
      </c>
      <c r="G2798" s="31"/>
    </row>
    <row r="2799" spans="1:7" x14ac:dyDescent="0.25">
      <c r="A2799" s="36">
        <v>42611</v>
      </c>
      <c r="B2799" s="6">
        <v>51.38</v>
      </c>
      <c r="C2799" s="6">
        <v>34.25</v>
      </c>
      <c r="D2799" s="6">
        <v>16.68</v>
      </c>
      <c r="E2799" s="6">
        <v>11.1</v>
      </c>
      <c r="G2799" s="31"/>
    </row>
    <row r="2800" spans="1:7" x14ac:dyDescent="0.25">
      <c r="A2800" s="36">
        <v>42612</v>
      </c>
      <c r="B2800" s="6">
        <v>51.31</v>
      </c>
      <c r="C2800" s="6">
        <v>34.200000000000003</v>
      </c>
      <c r="D2800" s="6">
        <v>16.64</v>
      </c>
      <c r="E2800" s="6">
        <v>11.049999999999999</v>
      </c>
      <c r="G2800" s="31"/>
    </row>
    <row r="2801" spans="1:7" x14ac:dyDescent="0.25">
      <c r="A2801" s="36">
        <v>42613</v>
      </c>
      <c r="B2801" s="6">
        <v>51.24</v>
      </c>
      <c r="C2801" s="6">
        <v>34.159999999999997</v>
      </c>
      <c r="D2801" s="6">
        <v>16.600000000000001</v>
      </c>
      <c r="E2801" s="6">
        <v>11.03</v>
      </c>
      <c r="G2801" s="31"/>
    </row>
    <row r="2802" spans="1:7" x14ac:dyDescent="0.25">
      <c r="A2802" s="36">
        <v>42614</v>
      </c>
      <c r="B2802" s="6">
        <v>51.31</v>
      </c>
      <c r="C2802" s="6">
        <v>34.090000000000003</v>
      </c>
      <c r="D2802" s="6">
        <v>16.559999999999999</v>
      </c>
      <c r="E2802" s="6">
        <v>10.98</v>
      </c>
      <c r="G2802" s="31"/>
    </row>
    <row r="2803" spans="1:7" x14ac:dyDescent="0.25">
      <c r="A2803" s="36">
        <v>42615</v>
      </c>
      <c r="B2803" s="6">
        <v>51.04</v>
      </c>
      <c r="C2803" s="6">
        <v>34.049999999999997</v>
      </c>
      <c r="D2803" s="6">
        <v>16.559999999999999</v>
      </c>
      <c r="E2803" s="6">
        <v>10.95</v>
      </c>
      <c r="G2803" s="31"/>
    </row>
    <row r="2804" spans="1:7" x14ac:dyDescent="0.25">
      <c r="A2804" s="36">
        <v>42616</v>
      </c>
      <c r="B2804" s="6">
        <v>51.04</v>
      </c>
      <c r="C2804" s="6">
        <v>34.01</v>
      </c>
      <c r="D2804" s="6">
        <v>16.46</v>
      </c>
      <c r="E2804" s="6">
        <v>10.92</v>
      </c>
      <c r="G2804" s="31"/>
    </row>
    <row r="2805" spans="1:7" x14ac:dyDescent="0.25">
      <c r="A2805" s="36">
        <v>42617</v>
      </c>
      <c r="B2805" s="6">
        <v>50.95</v>
      </c>
      <c r="C2805" s="6">
        <v>34.01</v>
      </c>
      <c r="D2805" s="6">
        <v>16.399999999999999</v>
      </c>
      <c r="E2805" s="6">
        <v>10.86</v>
      </c>
      <c r="G2805" s="31"/>
    </row>
    <row r="2806" spans="1:7" x14ac:dyDescent="0.25">
      <c r="A2806" s="36">
        <v>42618</v>
      </c>
      <c r="B2806" s="6">
        <v>50.84</v>
      </c>
      <c r="C2806" s="6">
        <v>33.9</v>
      </c>
      <c r="D2806" s="6">
        <v>16.36</v>
      </c>
      <c r="E2806" s="6">
        <v>10.86</v>
      </c>
      <c r="G2806" s="31"/>
    </row>
    <row r="2807" spans="1:7" x14ac:dyDescent="0.25">
      <c r="A2807" s="36">
        <v>42619</v>
      </c>
      <c r="B2807" s="6">
        <v>50.74</v>
      </c>
      <c r="C2807" s="6">
        <v>33.85</v>
      </c>
      <c r="D2807" s="6">
        <v>16.32</v>
      </c>
      <c r="E2807" s="6">
        <v>10.84</v>
      </c>
      <c r="G2807" s="31"/>
    </row>
    <row r="2808" spans="1:7" x14ac:dyDescent="0.25">
      <c r="A2808" s="36">
        <v>42620</v>
      </c>
      <c r="B2808" s="6">
        <v>50.7</v>
      </c>
      <c r="C2808" s="6">
        <v>33.799999999999997</v>
      </c>
      <c r="D2808" s="6">
        <v>16.32</v>
      </c>
      <c r="E2808" s="6">
        <v>10.84</v>
      </c>
      <c r="G2808" s="31"/>
    </row>
    <row r="2809" spans="1:7" x14ac:dyDescent="0.25">
      <c r="A2809" s="36">
        <v>42621</v>
      </c>
      <c r="B2809" s="6">
        <v>50.63</v>
      </c>
      <c r="C2809" s="6">
        <v>33.75</v>
      </c>
      <c r="D2809" s="6">
        <v>16.32</v>
      </c>
      <c r="E2809" s="6">
        <v>10.87</v>
      </c>
      <c r="G2809" s="31"/>
    </row>
    <row r="2810" spans="1:7" x14ac:dyDescent="0.25">
      <c r="A2810" s="36">
        <v>42622</v>
      </c>
      <c r="B2810" s="6">
        <v>50.58</v>
      </c>
      <c r="C2810" s="6">
        <v>33.71</v>
      </c>
      <c r="D2810" s="6">
        <v>16.34</v>
      </c>
      <c r="E2810" s="6">
        <v>10.83</v>
      </c>
      <c r="G2810" s="31"/>
    </row>
    <row r="2811" spans="1:7" x14ac:dyDescent="0.25">
      <c r="A2811" s="36">
        <v>42623</v>
      </c>
      <c r="B2811" s="6">
        <v>50.53</v>
      </c>
      <c r="C2811" s="6">
        <v>33.659999999999997</v>
      </c>
      <c r="D2811" s="6">
        <v>16.3</v>
      </c>
      <c r="E2811" s="6">
        <v>10.79</v>
      </c>
      <c r="G2811" s="31"/>
    </row>
    <row r="2812" spans="1:7" x14ac:dyDescent="0.25">
      <c r="A2812" s="36">
        <v>42624</v>
      </c>
      <c r="B2812" s="6">
        <v>50.52</v>
      </c>
      <c r="C2812" s="26">
        <v>33.64</v>
      </c>
      <c r="D2812" s="6">
        <v>16.239999999999998</v>
      </c>
      <c r="E2812" s="6">
        <v>10.79</v>
      </c>
      <c r="G2812" s="31"/>
    </row>
    <row r="2813" spans="1:7" x14ac:dyDescent="0.25">
      <c r="A2813" s="36">
        <v>42625</v>
      </c>
      <c r="B2813" s="6">
        <v>50.57</v>
      </c>
      <c r="C2813" s="6">
        <v>33.6</v>
      </c>
      <c r="D2813" s="6">
        <v>16.22</v>
      </c>
      <c r="E2813" s="6">
        <v>10.75</v>
      </c>
      <c r="G2813" s="31"/>
    </row>
    <row r="2814" spans="1:7" x14ac:dyDescent="0.25">
      <c r="A2814" s="36">
        <v>42626</v>
      </c>
      <c r="B2814" s="6">
        <v>50.42</v>
      </c>
      <c r="C2814" s="6">
        <v>33.6</v>
      </c>
      <c r="D2814" s="6">
        <v>16.2</v>
      </c>
      <c r="E2814" s="6">
        <v>10.76</v>
      </c>
      <c r="G2814" s="31"/>
    </row>
    <row r="2815" spans="1:7" x14ac:dyDescent="0.25">
      <c r="A2815" s="36">
        <v>42627</v>
      </c>
      <c r="B2815" s="6">
        <v>50.36</v>
      </c>
      <c r="C2815" s="6">
        <v>33.58</v>
      </c>
      <c r="D2815" s="6">
        <v>16.14</v>
      </c>
      <c r="E2815" s="6">
        <v>10.68</v>
      </c>
      <c r="G2815" s="31"/>
    </row>
    <row r="2816" spans="1:7" x14ac:dyDescent="0.25">
      <c r="A2816" s="36">
        <v>42628</v>
      </c>
      <c r="B2816" s="6">
        <v>50.31</v>
      </c>
      <c r="C2816" s="6">
        <v>33.53</v>
      </c>
      <c r="D2816" s="6">
        <v>16.100000000000001</v>
      </c>
      <c r="E2816" s="6">
        <v>10.709999999999999</v>
      </c>
      <c r="G2816" s="31"/>
    </row>
    <row r="2817" spans="1:7" x14ac:dyDescent="0.25">
      <c r="A2817" s="36">
        <v>42629</v>
      </c>
      <c r="B2817" s="6">
        <v>50.27</v>
      </c>
      <c r="C2817" s="6">
        <v>33.56</v>
      </c>
      <c r="D2817" s="6">
        <v>16.100000000000001</v>
      </c>
      <c r="E2817" s="6">
        <v>10.67</v>
      </c>
      <c r="G2817" s="31"/>
    </row>
    <row r="2818" spans="1:7" x14ac:dyDescent="0.25">
      <c r="A2818" s="36">
        <v>42630</v>
      </c>
      <c r="B2818" s="6">
        <v>50.16</v>
      </c>
      <c r="C2818" s="6">
        <v>33.520000000000003</v>
      </c>
      <c r="D2818" s="6">
        <v>16.100000000000001</v>
      </c>
      <c r="E2818" s="6">
        <v>10.65</v>
      </c>
      <c r="G2818" s="31"/>
    </row>
    <row r="2819" spans="1:7" x14ac:dyDescent="0.25">
      <c r="A2819" s="36">
        <v>42631</v>
      </c>
      <c r="B2819" s="6">
        <v>50.1</v>
      </c>
      <c r="C2819" s="6">
        <v>33.479999999999997</v>
      </c>
      <c r="D2819" s="6">
        <v>16.100000000000001</v>
      </c>
      <c r="E2819" s="6">
        <v>10.629999999999999</v>
      </c>
      <c r="G2819" s="31"/>
    </row>
    <row r="2820" spans="1:7" x14ac:dyDescent="0.25">
      <c r="A2820" s="36">
        <v>42632</v>
      </c>
      <c r="B2820" s="6">
        <v>50.01</v>
      </c>
      <c r="C2820" s="6">
        <v>33.43</v>
      </c>
      <c r="D2820" s="6">
        <v>16.079999999999998</v>
      </c>
      <c r="E2820" s="6">
        <v>10.62</v>
      </c>
      <c r="G2820" s="31"/>
    </row>
    <row r="2821" spans="1:7" x14ac:dyDescent="0.25">
      <c r="A2821" s="36">
        <v>42633</v>
      </c>
      <c r="B2821" s="6">
        <v>49.9</v>
      </c>
      <c r="C2821" s="6">
        <v>33.380000000000003</v>
      </c>
      <c r="D2821" s="6">
        <v>16</v>
      </c>
      <c r="E2821" s="6">
        <v>10.629999999999999</v>
      </c>
      <c r="G2821" s="31"/>
    </row>
    <row r="2822" spans="1:7" x14ac:dyDescent="0.25">
      <c r="A2822" s="36">
        <v>42634</v>
      </c>
      <c r="B2822" s="6">
        <v>49.75</v>
      </c>
      <c r="C2822" s="6">
        <v>33.33</v>
      </c>
      <c r="D2822" s="6">
        <v>15.98</v>
      </c>
      <c r="E2822" s="6">
        <v>10.629999999999999</v>
      </c>
      <c r="G2822" s="31"/>
    </row>
    <row r="2823" spans="1:7" x14ac:dyDescent="0.25">
      <c r="A2823" s="36">
        <v>42635</v>
      </c>
      <c r="B2823" s="6">
        <v>49.66</v>
      </c>
      <c r="C2823" s="6">
        <v>33.28</v>
      </c>
      <c r="D2823" s="6">
        <v>15.94</v>
      </c>
      <c r="E2823" s="6">
        <v>10.57</v>
      </c>
      <c r="G2823" s="31"/>
    </row>
    <row r="2824" spans="1:7" x14ac:dyDescent="0.25">
      <c r="A2824" s="36">
        <v>42636</v>
      </c>
      <c r="B2824" s="6">
        <v>49.55</v>
      </c>
      <c r="C2824" s="6">
        <v>33.22</v>
      </c>
      <c r="D2824" s="6">
        <v>15.9</v>
      </c>
      <c r="E2824" s="6">
        <v>10.549999999999999</v>
      </c>
      <c r="G2824" s="31"/>
    </row>
    <row r="2825" spans="1:7" x14ac:dyDescent="0.25">
      <c r="A2825" s="36">
        <v>42637</v>
      </c>
      <c r="B2825" s="6">
        <v>49.42</v>
      </c>
      <c r="C2825" s="6">
        <v>33.159999999999997</v>
      </c>
      <c r="D2825" s="6">
        <v>15.88</v>
      </c>
      <c r="E2825" s="6">
        <v>10.51</v>
      </c>
      <c r="G2825" s="31"/>
    </row>
    <row r="2826" spans="1:7" x14ac:dyDescent="0.25">
      <c r="A2826" s="36">
        <v>42638</v>
      </c>
      <c r="B2826" s="6">
        <v>49.32</v>
      </c>
      <c r="C2826" s="6">
        <v>33.090000000000003</v>
      </c>
      <c r="D2826" s="6">
        <v>15.78</v>
      </c>
      <c r="E2826" s="6">
        <v>10.41</v>
      </c>
      <c r="G2826" s="31"/>
    </row>
    <row r="2827" spans="1:7" x14ac:dyDescent="0.25">
      <c r="A2827" s="36">
        <v>42639</v>
      </c>
      <c r="B2827" s="6">
        <v>49.27</v>
      </c>
      <c r="C2827" s="6">
        <v>33.020000000000003</v>
      </c>
      <c r="D2827" s="6">
        <v>15.68</v>
      </c>
      <c r="E2827" s="6">
        <v>10.32</v>
      </c>
      <c r="G2827" s="31"/>
    </row>
    <row r="2828" spans="1:7" x14ac:dyDescent="0.25">
      <c r="A2828" s="36">
        <v>42640</v>
      </c>
      <c r="B2828" s="6">
        <v>49.19</v>
      </c>
      <c r="C2828" s="6">
        <v>32.950000000000003</v>
      </c>
      <c r="D2828" s="6">
        <v>15.58</v>
      </c>
      <c r="E2828" s="6">
        <v>10.27</v>
      </c>
      <c r="G2828" s="31"/>
    </row>
    <row r="2829" spans="1:7" x14ac:dyDescent="0.25">
      <c r="A2829" s="36">
        <v>42641</v>
      </c>
      <c r="B2829" s="6">
        <v>49.08</v>
      </c>
      <c r="C2829" s="6">
        <v>32.86</v>
      </c>
      <c r="D2829" s="6">
        <v>15.48</v>
      </c>
      <c r="E2829" s="6">
        <v>10.219999999999999</v>
      </c>
      <c r="G2829" s="31"/>
    </row>
    <row r="2830" spans="1:7" x14ac:dyDescent="0.25">
      <c r="A2830" s="36">
        <v>42642</v>
      </c>
      <c r="B2830" s="6">
        <v>49</v>
      </c>
      <c r="C2830" s="6">
        <v>32.78</v>
      </c>
      <c r="D2830" s="6">
        <v>15.36</v>
      </c>
      <c r="E2830" s="6">
        <v>10.129999999999999</v>
      </c>
      <c r="G2830" s="31"/>
    </row>
    <row r="2831" spans="1:7" x14ac:dyDescent="0.25">
      <c r="A2831" s="36">
        <v>42643</v>
      </c>
      <c r="B2831" s="6">
        <v>48.86</v>
      </c>
      <c r="C2831" s="6">
        <v>32.700000000000003</v>
      </c>
      <c r="D2831" s="6">
        <v>15.28</v>
      </c>
      <c r="E2831" s="6">
        <v>10.049999999999999</v>
      </c>
      <c r="G2831" s="31"/>
    </row>
    <row r="2832" spans="1:7" x14ac:dyDescent="0.25">
      <c r="A2832" s="36">
        <v>42644</v>
      </c>
      <c r="B2832" s="6">
        <v>48.71</v>
      </c>
      <c r="C2832" s="6">
        <v>32.61</v>
      </c>
      <c r="D2832" s="6">
        <v>15.18</v>
      </c>
      <c r="E2832" s="6">
        <v>9.99</v>
      </c>
      <c r="G2832" s="31"/>
    </row>
    <row r="2833" spans="1:7" x14ac:dyDescent="0.25">
      <c r="A2833" s="36">
        <v>42645</v>
      </c>
      <c r="B2833" s="6">
        <v>48.58</v>
      </c>
      <c r="C2833" s="6">
        <v>32.54</v>
      </c>
      <c r="D2833" s="6">
        <v>15.04</v>
      </c>
      <c r="E2833" s="6">
        <v>9.879999999999999</v>
      </c>
      <c r="G2833" s="31"/>
    </row>
    <row r="2834" spans="1:7" x14ac:dyDescent="0.25">
      <c r="A2834" s="36">
        <v>42646</v>
      </c>
      <c r="B2834" s="6">
        <v>48.46</v>
      </c>
      <c r="C2834" s="6">
        <v>32.43</v>
      </c>
      <c r="D2834" s="6">
        <v>14.94</v>
      </c>
      <c r="E2834" s="6">
        <v>9.77</v>
      </c>
      <c r="G2834" s="31"/>
    </row>
    <row r="2835" spans="1:7" x14ac:dyDescent="0.25">
      <c r="A2835" s="36">
        <v>42647</v>
      </c>
      <c r="B2835" s="6">
        <v>48.35</v>
      </c>
      <c r="C2835" s="6">
        <v>32.36</v>
      </c>
      <c r="D2835" s="6">
        <v>14.82</v>
      </c>
      <c r="E2835" s="6">
        <v>9.7099999999999991</v>
      </c>
      <c r="G2835" s="31"/>
    </row>
    <row r="2836" spans="1:7" x14ac:dyDescent="0.25">
      <c r="A2836" s="36">
        <v>42648</v>
      </c>
      <c r="B2836" s="6">
        <v>48.2</v>
      </c>
      <c r="C2836" s="6">
        <v>32.270000000000003</v>
      </c>
      <c r="D2836" s="6">
        <v>14.72</v>
      </c>
      <c r="E2836" s="6">
        <v>9.629999999999999</v>
      </c>
      <c r="G2836" s="31"/>
    </row>
    <row r="2837" spans="1:7" x14ac:dyDescent="0.25">
      <c r="A2837" s="36">
        <v>42649</v>
      </c>
      <c r="B2837" s="6">
        <v>48.08</v>
      </c>
      <c r="C2837" s="6">
        <v>32.159999999999997</v>
      </c>
      <c r="D2837" s="6">
        <v>14.62</v>
      </c>
      <c r="E2837" s="6">
        <v>9.59</v>
      </c>
      <c r="G2837" s="31"/>
    </row>
    <row r="2838" spans="1:7" x14ac:dyDescent="0.25">
      <c r="A2838" s="36">
        <v>42650</v>
      </c>
      <c r="B2838" s="6">
        <v>47.96</v>
      </c>
      <c r="C2838" s="6">
        <v>32.049999999999997</v>
      </c>
      <c r="D2838" s="6">
        <v>14.52</v>
      </c>
      <c r="E2838" s="6">
        <v>9.5299999999999994</v>
      </c>
      <c r="G2838" s="31"/>
    </row>
    <row r="2839" spans="1:7" x14ac:dyDescent="0.25">
      <c r="A2839" s="36">
        <v>42651</v>
      </c>
      <c r="B2839" s="6">
        <v>47.86</v>
      </c>
      <c r="C2839" s="6">
        <v>31.93</v>
      </c>
      <c r="D2839" s="6">
        <v>14.4</v>
      </c>
      <c r="E2839" s="6">
        <v>9.4</v>
      </c>
      <c r="G2839" s="31"/>
    </row>
    <row r="2840" spans="1:7" x14ac:dyDescent="0.25">
      <c r="A2840" s="36">
        <v>42652</v>
      </c>
      <c r="B2840" s="6">
        <v>47.71</v>
      </c>
      <c r="C2840" s="6">
        <v>31.8</v>
      </c>
      <c r="D2840" s="6">
        <v>14.28</v>
      </c>
      <c r="E2840" s="6">
        <v>9.31</v>
      </c>
      <c r="G2840" s="31"/>
    </row>
    <row r="2841" spans="1:7" x14ac:dyDescent="0.25">
      <c r="A2841" s="36">
        <v>42653</v>
      </c>
      <c r="B2841" s="6">
        <v>47.62</v>
      </c>
      <c r="C2841" s="6">
        <v>31.69</v>
      </c>
      <c r="D2841" s="6">
        <v>14.2</v>
      </c>
      <c r="E2841" s="6">
        <v>9.23</v>
      </c>
      <c r="G2841" s="31"/>
    </row>
    <row r="2842" spans="1:7" x14ac:dyDescent="0.25">
      <c r="A2842" s="36">
        <v>42654</v>
      </c>
      <c r="B2842" s="6">
        <v>47.54</v>
      </c>
      <c r="C2842" s="6">
        <v>31.57</v>
      </c>
      <c r="D2842" s="6">
        <v>14.06</v>
      </c>
      <c r="E2842" s="6">
        <v>9.129999999999999</v>
      </c>
      <c r="G2842" s="31"/>
    </row>
    <row r="2843" spans="1:7" x14ac:dyDescent="0.25">
      <c r="A2843" s="36">
        <v>42655</v>
      </c>
      <c r="B2843" s="6">
        <v>47.43</v>
      </c>
      <c r="C2843" s="6">
        <v>31.48</v>
      </c>
      <c r="D2843" s="6">
        <v>13.96</v>
      </c>
      <c r="E2843" s="6">
        <v>9.02</v>
      </c>
      <c r="G2843" s="31"/>
    </row>
    <row r="2844" spans="1:7" x14ac:dyDescent="0.25">
      <c r="A2844" s="36">
        <v>42656</v>
      </c>
      <c r="B2844" s="6">
        <v>47.4</v>
      </c>
      <c r="C2844" s="6">
        <v>31.38</v>
      </c>
      <c r="D2844" s="6">
        <v>13.94</v>
      </c>
      <c r="E2844" s="6">
        <v>8.879999999999999</v>
      </c>
      <c r="G2844" s="31"/>
    </row>
    <row r="2845" spans="1:7" x14ac:dyDescent="0.25">
      <c r="A2845" s="36">
        <v>42657</v>
      </c>
      <c r="B2845" s="6">
        <v>47.37</v>
      </c>
      <c r="C2845" s="6">
        <v>31.27</v>
      </c>
      <c r="D2845" s="6">
        <v>13.74</v>
      </c>
      <c r="E2845" s="6">
        <v>8.77</v>
      </c>
      <c r="G2845" s="31"/>
    </row>
    <row r="2846" spans="1:7" x14ac:dyDescent="0.25">
      <c r="A2846" s="36">
        <v>42658</v>
      </c>
      <c r="B2846" s="6">
        <v>47.32</v>
      </c>
      <c r="C2846" s="6">
        <v>31.19</v>
      </c>
      <c r="D2846" s="6">
        <v>13.66</v>
      </c>
      <c r="E2846" s="6">
        <v>8.65</v>
      </c>
      <c r="G2846" s="31"/>
    </row>
    <row r="2847" spans="1:7" x14ac:dyDescent="0.25">
      <c r="A2847" s="36">
        <v>42659</v>
      </c>
      <c r="B2847" s="6">
        <v>47.29</v>
      </c>
      <c r="C2847" s="6">
        <v>31.1</v>
      </c>
      <c r="D2847" s="6">
        <v>13.5</v>
      </c>
      <c r="E2847" s="6">
        <v>8.58</v>
      </c>
      <c r="G2847" s="31"/>
    </row>
    <row r="2848" spans="1:7" x14ac:dyDescent="0.25">
      <c r="A2848" s="36">
        <v>42660</v>
      </c>
      <c r="B2848" s="6">
        <v>47.28</v>
      </c>
      <c r="C2848" s="6">
        <v>31</v>
      </c>
      <c r="D2848" s="6">
        <v>13.38</v>
      </c>
      <c r="E2848" s="6">
        <v>8.43</v>
      </c>
      <c r="G2848" s="31"/>
    </row>
    <row r="2849" spans="1:7" x14ac:dyDescent="0.25">
      <c r="A2849" s="36">
        <v>42661</v>
      </c>
      <c r="B2849" s="6">
        <v>47.27</v>
      </c>
      <c r="C2849" s="6">
        <v>30.93</v>
      </c>
      <c r="D2849" s="6">
        <v>13.22</v>
      </c>
      <c r="E2849" s="6">
        <v>8.370000000000001</v>
      </c>
      <c r="G2849" s="31"/>
    </row>
    <row r="2850" spans="1:7" x14ac:dyDescent="0.25">
      <c r="A2850" s="36">
        <v>42662</v>
      </c>
      <c r="B2850" s="6">
        <v>47.24</v>
      </c>
      <c r="C2850" s="6">
        <v>30.86</v>
      </c>
      <c r="D2850" s="6">
        <v>13.22</v>
      </c>
      <c r="E2850" s="6">
        <v>8.34</v>
      </c>
      <c r="G2850" s="31"/>
    </row>
    <row r="2851" spans="1:7" x14ac:dyDescent="0.25">
      <c r="A2851" s="36">
        <v>42663</v>
      </c>
      <c r="B2851" s="6">
        <v>47.22</v>
      </c>
      <c r="C2851" s="6">
        <v>30.78</v>
      </c>
      <c r="D2851" s="6">
        <v>13.16</v>
      </c>
      <c r="E2851" s="6">
        <v>8.25</v>
      </c>
      <c r="G2851" s="31"/>
    </row>
    <row r="2852" spans="1:7" x14ac:dyDescent="0.25">
      <c r="A2852" s="36">
        <v>42664</v>
      </c>
      <c r="B2852" s="6">
        <v>47.19</v>
      </c>
      <c r="C2852" s="6">
        <v>30.72</v>
      </c>
      <c r="D2852" s="6">
        <v>13</v>
      </c>
      <c r="E2852" s="6">
        <v>8.1300000000000008</v>
      </c>
      <c r="G2852" s="31"/>
    </row>
    <row r="2853" spans="1:7" x14ac:dyDescent="0.25">
      <c r="A2853" s="36">
        <v>42665</v>
      </c>
      <c r="B2853" s="6">
        <v>47.15</v>
      </c>
      <c r="C2853" s="6">
        <v>30.66</v>
      </c>
      <c r="D2853" s="6">
        <v>12.88</v>
      </c>
      <c r="E2853" s="6">
        <v>8.08</v>
      </c>
      <c r="G2853" s="31"/>
    </row>
    <row r="2854" spans="1:7" x14ac:dyDescent="0.25">
      <c r="A2854" s="36">
        <v>42666</v>
      </c>
      <c r="B2854" s="6">
        <v>47.1</v>
      </c>
      <c r="C2854" s="6">
        <v>30.6</v>
      </c>
      <c r="D2854" s="6">
        <v>12.34</v>
      </c>
      <c r="E2854" s="6">
        <v>7.91</v>
      </c>
      <c r="G2854" s="31"/>
    </row>
    <row r="2855" spans="1:7" x14ac:dyDescent="0.25">
      <c r="A2855" s="36">
        <v>42667</v>
      </c>
      <c r="B2855" s="6">
        <v>47.05</v>
      </c>
      <c r="C2855" s="6">
        <v>30.52</v>
      </c>
      <c r="D2855" s="6">
        <v>12.62</v>
      </c>
      <c r="E2855" s="6">
        <v>7.8</v>
      </c>
      <c r="G2855" s="31"/>
    </row>
    <row r="2856" spans="1:7" x14ac:dyDescent="0.25">
      <c r="A2856" s="36">
        <v>42668</v>
      </c>
      <c r="B2856" s="6">
        <v>47</v>
      </c>
      <c r="C2856" s="6">
        <v>30.44</v>
      </c>
      <c r="D2856" s="6">
        <v>12.52</v>
      </c>
      <c r="E2856" s="6">
        <v>7.71</v>
      </c>
      <c r="G2856" s="31"/>
    </row>
    <row r="2857" spans="1:7" x14ac:dyDescent="0.25">
      <c r="A2857" s="36">
        <v>42669</v>
      </c>
      <c r="B2857" s="6">
        <v>46.93</v>
      </c>
      <c r="C2857" s="6">
        <v>30.36</v>
      </c>
      <c r="D2857" s="6">
        <v>12.49</v>
      </c>
      <c r="E2857" s="6">
        <v>7.6099999999999994</v>
      </c>
      <c r="G2857" s="31"/>
    </row>
    <row r="2858" spans="1:7" x14ac:dyDescent="0.25">
      <c r="A2858" s="36">
        <v>42670</v>
      </c>
      <c r="B2858" s="6">
        <v>46.86</v>
      </c>
      <c r="C2858" s="6">
        <v>30.26</v>
      </c>
      <c r="D2858" s="6">
        <v>12.32</v>
      </c>
      <c r="E2858" s="6">
        <v>7.55</v>
      </c>
      <c r="G2858" s="31"/>
    </row>
    <row r="2859" spans="1:7" x14ac:dyDescent="0.25">
      <c r="A2859" s="36">
        <v>42671</v>
      </c>
      <c r="B2859" s="6">
        <v>46.81</v>
      </c>
      <c r="C2859" s="6">
        <v>30.17</v>
      </c>
      <c r="D2859" s="6">
        <v>12.26</v>
      </c>
      <c r="E2859" s="6">
        <v>7.5</v>
      </c>
      <c r="G2859" s="31"/>
    </row>
    <row r="2860" spans="1:7" x14ac:dyDescent="0.25">
      <c r="A2860" s="36">
        <v>42672</v>
      </c>
      <c r="B2860" s="6">
        <v>46.8</v>
      </c>
      <c r="C2860" s="6">
        <v>30.08</v>
      </c>
      <c r="D2860" s="6">
        <v>12.16</v>
      </c>
      <c r="E2860" s="6">
        <v>7.43</v>
      </c>
      <c r="G2860" s="31"/>
    </row>
    <row r="2861" spans="1:7" x14ac:dyDescent="0.25">
      <c r="A2861" s="36">
        <v>42673</v>
      </c>
      <c r="B2861" s="6">
        <v>46.75</v>
      </c>
      <c r="C2861" s="6">
        <v>30</v>
      </c>
      <c r="D2861" s="6">
        <v>12.04</v>
      </c>
      <c r="E2861" s="6">
        <v>7.31</v>
      </c>
      <c r="G2861" s="31"/>
    </row>
    <row r="2862" spans="1:7" x14ac:dyDescent="0.25">
      <c r="A2862" s="36">
        <v>42674</v>
      </c>
      <c r="B2862" s="6">
        <v>46.69</v>
      </c>
      <c r="C2862" s="6">
        <v>29.89</v>
      </c>
      <c r="D2862" s="6">
        <v>11.94</v>
      </c>
      <c r="E2862" s="6">
        <v>7.21</v>
      </c>
      <c r="G2862" s="31"/>
    </row>
    <row r="2863" spans="1:7" x14ac:dyDescent="0.25">
      <c r="A2863" s="36">
        <v>42675</v>
      </c>
      <c r="B2863" s="6">
        <v>46.6</v>
      </c>
      <c r="C2863" s="6">
        <v>29.78</v>
      </c>
      <c r="D2863" s="6">
        <v>11.8</v>
      </c>
      <c r="E2863" s="6">
        <v>7.17</v>
      </c>
      <c r="G2863" s="31"/>
    </row>
    <row r="2864" spans="1:7" x14ac:dyDescent="0.25">
      <c r="A2864" s="36">
        <v>42676</v>
      </c>
      <c r="B2864" s="6">
        <v>46.58</v>
      </c>
      <c r="C2864" s="6">
        <v>29.66</v>
      </c>
      <c r="D2864" s="6">
        <v>11.7</v>
      </c>
      <c r="E2864" s="6">
        <v>7.12</v>
      </c>
      <c r="G2864" s="31"/>
    </row>
    <row r="2865" spans="1:7" x14ac:dyDescent="0.25">
      <c r="A2865" s="36">
        <v>42677</v>
      </c>
      <c r="B2865" s="6">
        <v>46.58</v>
      </c>
      <c r="C2865" s="6">
        <v>29.58</v>
      </c>
      <c r="D2865" s="6">
        <v>11.68</v>
      </c>
      <c r="E2865" s="6">
        <v>6.9399999999999995</v>
      </c>
      <c r="G2865" s="31"/>
    </row>
    <row r="2866" spans="1:7" x14ac:dyDescent="0.25">
      <c r="A2866" s="36">
        <v>42678</v>
      </c>
      <c r="B2866" s="6">
        <v>46.52</v>
      </c>
      <c r="C2866" s="6">
        <v>29.51</v>
      </c>
      <c r="D2866" s="6">
        <v>11.58</v>
      </c>
      <c r="E2866" s="6">
        <v>6.91</v>
      </c>
      <c r="G2866" s="31"/>
    </row>
    <row r="2867" spans="1:7" x14ac:dyDescent="0.25">
      <c r="A2867" s="36">
        <v>42679</v>
      </c>
      <c r="B2867" s="6">
        <v>46.5</v>
      </c>
      <c r="C2867" s="6">
        <v>29.45</v>
      </c>
      <c r="D2867" s="6">
        <v>11.44</v>
      </c>
      <c r="E2867" s="6">
        <v>6.8</v>
      </c>
      <c r="G2867" s="31"/>
    </row>
    <row r="2868" spans="1:7" x14ac:dyDescent="0.25">
      <c r="A2868" s="36">
        <v>42680</v>
      </c>
      <c r="B2868" s="6">
        <v>46.44</v>
      </c>
      <c r="C2868" s="6">
        <v>29.45</v>
      </c>
      <c r="D2868" s="6">
        <v>11.42</v>
      </c>
      <c r="E2868" s="6">
        <v>6.7799999999999994</v>
      </c>
      <c r="G2868" s="31"/>
    </row>
    <row r="2869" spans="1:7" x14ac:dyDescent="0.25">
      <c r="A2869" s="36">
        <v>42681</v>
      </c>
      <c r="B2869" s="6">
        <v>46.41</v>
      </c>
      <c r="C2869" s="6">
        <v>29.41</v>
      </c>
      <c r="D2869" s="6">
        <v>11.22</v>
      </c>
      <c r="E2869" s="6">
        <v>6.71</v>
      </c>
      <c r="G2869" s="31"/>
    </row>
    <row r="2870" spans="1:7" x14ac:dyDescent="0.25">
      <c r="A2870" s="36">
        <v>42682</v>
      </c>
      <c r="B2870" s="6">
        <v>46.32</v>
      </c>
      <c r="C2870" s="6">
        <v>29.39</v>
      </c>
      <c r="D2870" s="6">
        <v>11.22</v>
      </c>
      <c r="E2870" s="6">
        <v>6.6999999999999993</v>
      </c>
      <c r="G2870" s="31"/>
    </row>
    <row r="2871" spans="1:7" x14ac:dyDescent="0.25">
      <c r="A2871" s="36">
        <v>42683</v>
      </c>
      <c r="B2871" s="6">
        <v>46.24</v>
      </c>
      <c r="C2871" s="6">
        <v>29.3</v>
      </c>
      <c r="D2871" s="6">
        <v>11.14</v>
      </c>
      <c r="E2871" s="6">
        <v>6.6499999999999995</v>
      </c>
      <c r="G2871" s="31"/>
    </row>
    <row r="2872" spans="1:7" x14ac:dyDescent="0.25">
      <c r="A2872" s="36">
        <v>42684</v>
      </c>
      <c r="B2872" s="6">
        <v>46.18</v>
      </c>
      <c r="C2872" s="6">
        <v>29.22</v>
      </c>
      <c r="D2872" s="6">
        <v>11.06</v>
      </c>
      <c r="E2872" s="6">
        <v>6.6</v>
      </c>
      <c r="G2872" s="31"/>
    </row>
    <row r="2873" spans="1:7" x14ac:dyDescent="0.25">
      <c r="A2873" s="36">
        <v>42685</v>
      </c>
      <c r="B2873" s="6">
        <v>46.12</v>
      </c>
      <c r="C2873" s="6">
        <v>29.16</v>
      </c>
      <c r="D2873" s="6">
        <v>11.06</v>
      </c>
      <c r="E2873" s="6">
        <v>6.5699999999999994</v>
      </c>
      <c r="G2873" s="31"/>
    </row>
    <row r="2874" spans="1:7" x14ac:dyDescent="0.25">
      <c r="A2874" s="36">
        <v>42686</v>
      </c>
      <c r="B2874" s="6">
        <v>46.09</v>
      </c>
      <c r="C2874" s="6">
        <v>29.13</v>
      </c>
      <c r="D2874" s="6">
        <v>11</v>
      </c>
      <c r="E2874" s="6">
        <v>6.54</v>
      </c>
      <c r="G2874" s="31"/>
    </row>
    <row r="2875" spans="1:7" x14ac:dyDescent="0.25">
      <c r="A2875" s="36">
        <v>42687</v>
      </c>
      <c r="B2875" s="6">
        <v>46.07</v>
      </c>
      <c r="C2875" s="6">
        <v>29.06</v>
      </c>
      <c r="D2875" s="6">
        <v>10.9</v>
      </c>
      <c r="E2875" s="6">
        <v>6.52</v>
      </c>
      <c r="G2875" s="31"/>
    </row>
    <row r="2876" spans="1:7" x14ac:dyDescent="0.25">
      <c r="A2876" s="36">
        <v>42688</v>
      </c>
      <c r="B2876" s="6">
        <v>46</v>
      </c>
      <c r="C2876" s="6">
        <v>29</v>
      </c>
      <c r="D2876" s="6">
        <v>10.82</v>
      </c>
      <c r="E2876" s="6">
        <v>6.33</v>
      </c>
      <c r="G2876" s="31"/>
    </row>
    <row r="2877" spans="1:7" x14ac:dyDescent="0.25">
      <c r="A2877" s="36">
        <v>42689</v>
      </c>
      <c r="B2877" s="6">
        <v>45.93</v>
      </c>
      <c r="C2877" s="6">
        <v>28.96</v>
      </c>
      <c r="D2877" s="6">
        <v>10.74</v>
      </c>
      <c r="E2877" s="6">
        <v>6.2799999999999994</v>
      </c>
      <c r="G2877" s="31"/>
    </row>
    <row r="2878" spans="1:7" x14ac:dyDescent="0.25">
      <c r="A2878" s="36">
        <v>42690</v>
      </c>
      <c r="B2878" s="6">
        <v>45.87</v>
      </c>
      <c r="C2878" s="6">
        <v>28.84</v>
      </c>
      <c r="D2878" s="6">
        <v>10.68</v>
      </c>
      <c r="E2878" s="6">
        <v>6.2299999999999995</v>
      </c>
      <c r="G2878" s="31"/>
    </row>
    <row r="2879" spans="1:7" x14ac:dyDescent="0.25">
      <c r="A2879" s="36">
        <v>42691</v>
      </c>
      <c r="B2879" s="6">
        <v>45.81</v>
      </c>
      <c r="C2879" s="6">
        <v>28.78</v>
      </c>
      <c r="D2879" s="6">
        <v>10.6</v>
      </c>
      <c r="E2879" s="6">
        <v>6.1099999999999994</v>
      </c>
      <c r="G2879" s="31"/>
    </row>
    <row r="2880" spans="1:7" x14ac:dyDescent="0.25">
      <c r="A2880" s="36">
        <v>42692</v>
      </c>
      <c r="B2880" s="6">
        <v>45.78</v>
      </c>
      <c r="C2880" s="6">
        <v>28.69</v>
      </c>
      <c r="D2880" s="6">
        <v>10.54</v>
      </c>
      <c r="E2880" s="6">
        <v>6.1099999999999994</v>
      </c>
      <c r="G2880" s="31"/>
    </row>
    <row r="2881" spans="1:7" x14ac:dyDescent="0.25">
      <c r="A2881" s="36">
        <v>42693</v>
      </c>
      <c r="B2881" s="6">
        <v>45.72</v>
      </c>
      <c r="C2881" s="6">
        <v>28.68</v>
      </c>
      <c r="D2881" s="6">
        <v>10.58</v>
      </c>
      <c r="E2881" s="6">
        <v>5.99</v>
      </c>
      <c r="G2881" s="31"/>
    </row>
    <row r="2882" spans="1:7" x14ac:dyDescent="0.25">
      <c r="A2882" s="36">
        <v>42694</v>
      </c>
      <c r="B2882" s="6">
        <v>45.66</v>
      </c>
      <c r="C2882" s="6">
        <v>28.7</v>
      </c>
      <c r="D2882" s="6">
        <v>10.42</v>
      </c>
      <c r="E2882" s="6">
        <v>5.9</v>
      </c>
      <c r="G2882" s="31"/>
    </row>
    <row r="2883" spans="1:7" x14ac:dyDescent="0.25">
      <c r="A2883" s="36">
        <v>42695</v>
      </c>
      <c r="B2883" s="6">
        <v>45.61</v>
      </c>
      <c r="C2883" s="6">
        <v>28.71</v>
      </c>
      <c r="D2883" s="6">
        <v>10.38</v>
      </c>
      <c r="E2883" s="6">
        <v>5.88</v>
      </c>
      <c r="G2883" s="31"/>
    </row>
    <row r="2884" spans="1:7" x14ac:dyDescent="0.25">
      <c r="A2884" s="36">
        <v>42696</v>
      </c>
      <c r="B2884" s="6">
        <v>45.55</v>
      </c>
      <c r="C2884" s="6">
        <v>28.69</v>
      </c>
      <c r="D2884" s="6">
        <v>10.38</v>
      </c>
      <c r="E2884" s="6">
        <v>5.85</v>
      </c>
      <c r="G2884" s="31"/>
    </row>
    <row r="2885" spans="1:7" x14ac:dyDescent="0.25">
      <c r="A2885" s="36">
        <v>42697</v>
      </c>
      <c r="B2885" s="6">
        <v>45.51</v>
      </c>
      <c r="C2885" s="6">
        <v>28.61</v>
      </c>
      <c r="D2885" s="6">
        <v>10.32</v>
      </c>
      <c r="E2885" s="6">
        <v>5.84</v>
      </c>
      <c r="G2885" s="31"/>
    </row>
    <row r="2886" spans="1:7" x14ac:dyDescent="0.25">
      <c r="A2886" s="36">
        <v>42698</v>
      </c>
      <c r="B2886" s="6">
        <v>45.49</v>
      </c>
      <c r="C2886" s="6">
        <v>28.5</v>
      </c>
      <c r="D2886" s="6">
        <v>10.32</v>
      </c>
      <c r="E2886" s="6">
        <v>5.84</v>
      </c>
      <c r="G2886" s="31"/>
    </row>
    <row r="2887" spans="1:7" x14ac:dyDescent="0.25">
      <c r="A2887" s="36">
        <v>42699</v>
      </c>
      <c r="B2887" s="6">
        <v>45.43</v>
      </c>
      <c r="C2887" s="6">
        <v>28.4</v>
      </c>
      <c r="D2887" s="6">
        <v>10.3</v>
      </c>
      <c r="E2887" s="6">
        <v>5.84</v>
      </c>
      <c r="G2887" s="31"/>
    </row>
    <row r="2888" spans="1:7" x14ac:dyDescent="0.25">
      <c r="A2888" s="36">
        <v>42700</v>
      </c>
      <c r="B2888" s="6">
        <v>45.43</v>
      </c>
      <c r="C2888" s="6">
        <v>28.3</v>
      </c>
      <c r="D2888" s="6">
        <v>10.199999999999999</v>
      </c>
      <c r="E2888" s="6">
        <v>5.81</v>
      </c>
      <c r="G2888" s="31"/>
    </row>
    <row r="2889" spans="1:7" x14ac:dyDescent="0.25">
      <c r="A2889" s="36">
        <v>42701</v>
      </c>
      <c r="B2889" s="6">
        <v>45.45</v>
      </c>
      <c r="C2889" s="6">
        <v>28.18</v>
      </c>
      <c r="D2889" s="6">
        <v>10.14</v>
      </c>
      <c r="E2889" s="6">
        <v>5.75</v>
      </c>
      <c r="G2889" s="31"/>
    </row>
    <row r="2890" spans="1:7" x14ac:dyDescent="0.25">
      <c r="A2890" s="36">
        <v>42702</v>
      </c>
      <c r="B2890" s="6">
        <v>45.51</v>
      </c>
      <c r="C2890" s="6">
        <v>28.11</v>
      </c>
      <c r="D2890" s="6">
        <v>10.039999999999999</v>
      </c>
      <c r="E2890" s="6">
        <v>5.71</v>
      </c>
      <c r="G2890" s="31"/>
    </row>
    <row r="2891" spans="1:7" x14ac:dyDescent="0.25">
      <c r="A2891" s="36">
        <v>42703</v>
      </c>
      <c r="B2891" s="6">
        <v>45.52</v>
      </c>
      <c r="C2891" s="6">
        <v>28.03</v>
      </c>
      <c r="D2891" s="6">
        <v>10</v>
      </c>
      <c r="E2891" s="6">
        <v>5.63</v>
      </c>
      <c r="G2891" s="31"/>
    </row>
    <row r="2892" spans="1:7" x14ac:dyDescent="0.25">
      <c r="A2892" s="36">
        <v>42704</v>
      </c>
      <c r="B2892" s="6">
        <v>45.49</v>
      </c>
      <c r="C2892" s="6">
        <v>27.98</v>
      </c>
      <c r="D2892" s="6">
        <v>9.94</v>
      </c>
      <c r="E2892" s="6">
        <v>5.54</v>
      </c>
      <c r="G2892" s="31"/>
    </row>
    <row r="2893" spans="1:7" x14ac:dyDescent="0.25">
      <c r="A2893" s="36">
        <v>42705</v>
      </c>
      <c r="B2893" s="6">
        <v>45.54</v>
      </c>
      <c r="C2893" s="6">
        <v>27.92</v>
      </c>
      <c r="D2893" s="6">
        <v>9.9</v>
      </c>
      <c r="E2893" s="6">
        <v>5.4799999999999995</v>
      </c>
      <c r="G2893" s="31"/>
    </row>
    <row r="2894" spans="1:7" x14ac:dyDescent="0.25">
      <c r="A2894" s="36">
        <v>42706</v>
      </c>
      <c r="B2894" s="6">
        <v>45.55</v>
      </c>
      <c r="C2894" s="6">
        <v>27.93</v>
      </c>
      <c r="D2894" s="6">
        <v>9.8000000000000007</v>
      </c>
      <c r="E2894" s="6">
        <v>5.43</v>
      </c>
      <c r="G2894" s="31"/>
    </row>
    <row r="2895" spans="1:7" x14ac:dyDescent="0.25">
      <c r="A2895" s="36">
        <v>42707</v>
      </c>
      <c r="B2895" s="6">
        <v>45.55</v>
      </c>
      <c r="C2895" s="6">
        <v>28.1</v>
      </c>
      <c r="D2895" s="6">
        <v>9.74</v>
      </c>
      <c r="E2895" s="6">
        <v>5.41</v>
      </c>
      <c r="G2895" s="31"/>
    </row>
    <row r="2896" spans="1:7" x14ac:dyDescent="0.25">
      <c r="A2896" s="36">
        <v>42708</v>
      </c>
      <c r="B2896" s="6">
        <v>45.53</v>
      </c>
      <c r="C2896" s="6">
        <v>28.17</v>
      </c>
      <c r="D2896" s="6">
        <v>9.68</v>
      </c>
      <c r="E2896" s="6">
        <v>5.33</v>
      </c>
      <c r="G2896" s="31"/>
    </row>
    <row r="2897" spans="1:7" x14ac:dyDescent="0.25">
      <c r="A2897" s="36">
        <v>42709</v>
      </c>
      <c r="B2897" s="6">
        <v>45.5</v>
      </c>
      <c r="C2897" s="6">
        <v>28.2</v>
      </c>
      <c r="D2897" s="6">
        <v>9.64</v>
      </c>
      <c r="E2897" s="6">
        <v>5.3</v>
      </c>
      <c r="G2897" s="31"/>
    </row>
    <row r="2898" spans="1:7" x14ac:dyDescent="0.25">
      <c r="A2898" s="36">
        <v>42710</v>
      </c>
      <c r="B2898" s="6">
        <v>45.46</v>
      </c>
      <c r="C2898" s="6">
        <v>28.24</v>
      </c>
      <c r="D2898" s="6">
        <v>9.58</v>
      </c>
      <c r="E2898" s="6">
        <v>5.3</v>
      </c>
      <c r="G2898" s="31"/>
    </row>
    <row r="2899" spans="1:7" x14ac:dyDescent="0.25">
      <c r="A2899" s="36">
        <v>42711</v>
      </c>
      <c r="B2899" s="6">
        <v>45.42</v>
      </c>
      <c r="C2899" s="6">
        <v>28.25</v>
      </c>
      <c r="D2899" s="6">
        <v>9.6</v>
      </c>
      <c r="E2899" s="6">
        <v>5.41</v>
      </c>
      <c r="G2899" s="31"/>
    </row>
    <row r="2900" spans="1:7" x14ac:dyDescent="0.25">
      <c r="A2900" s="36">
        <v>42712</v>
      </c>
      <c r="B2900" s="6">
        <v>45.37</v>
      </c>
      <c r="C2900" s="6">
        <v>28.26</v>
      </c>
      <c r="D2900" s="6">
        <v>9.58</v>
      </c>
      <c r="E2900" s="6">
        <v>5.43</v>
      </c>
      <c r="G2900" s="31"/>
    </row>
    <row r="2901" spans="1:7" x14ac:dyDescent="0.25">
      <c r="A2901" s="36">
        <v>42713</v>
      </c>
      <c r="B2901" s="6">
        <v>45.33</v>
      </c>
      <c r="C2901" s="6">
        <v>28.15</v>
      </c>
      <c r="D2901" s="6">
        <v>9.6999999999999993</v>
      </c>
      <c r="E2901" s="6">
        <v>5.4499999999999993</v>
      </c>
      <c r="G2901" s="31"/>
    </row>
    <row r="2902" spans="1:7" x14ac:dyDescent="0.25">
      <c r="A2902" s="36">
        <v>42714</v>
      </c>
      <c r="B2902" s="6">
        <v>45.27</v>
      </c>
      <c r="C2902" s="6">
        <v>28.25</v>
      </c>
      <c r="D2902" s="6">
        <v>9.7799999999999994</v>
      </c>
      <c r="E2902" s="6">
        <v>5.4899999999999993</v>
      </c>
      <c r="G2902" s="31"/>
    </row>
    <row r="2903" spans="1:7" x14ac:dyDescent="0.25">
      <c r="A2903" s="36">
        <v>42715</v>
      </c>
      <c r="B2903" s="6">
        <v>45.165000000000006</v>
      </c>
      <c r="C2903" s="6">
        <v>28.25</v>
      </c>
      <c r="D2903" s="6">
        <v>9.8000000000000007</v>
      </c>
      <c r="E2903" s="6">
        <v>5.51</v>
      </c>
      <c r="G2903" s="31"/>
    </row>
    <row r="2904" spans="1:7" x14ac:dyDescent="0.25">
      <c r="A2904" s="36">
        <v>42716</v>
      </c>
      <c r="B2904" s="6">
        <v>45.06</v>
      </c>
      <c r="C2904" s="6">
        <v>28.23</v>
      </c>
      <c r="D2904" s="6">
        <v>9.7799999999999994</v>
      </c>
      <c r="E2904" s="6">
        <v>5.43</v>
      </c>
      <c r="G2904" s="31"/>
    </row>
    <row r="2905" spans="1:7" x14ac:dyDescent="0.25">
      <c r="A2905" s="36">
        <v>42717</v>
      </c>
      <c r="B2905" s="6">
        <v>45.15</v>
      </c>
      <c r="C2905" s="6">
        <v>28.18</v>
      </c>
      <c r="D2905" s="6">
        <v>9.76</v>
      </c>
      <c r="E2905" s="6">
        <v>5.43</v>
      </c>
      <c r="G2905" s="31"/>
    </row>
    <row r="2906" spans="1:7" x14ac:dyDescent="0.25">
      <c r="A2906" s="36">
        <v>42718</v>
      </c>
      <c r="B2906" s="6">
        <v>44.99</v>
      </c>
      <c r="C2906" s="6">
        <v>28.08</v>
      </c>
      <c r="D2906" s="6">
        <v>9.8000000000000007</v>
      </c>
      <c r="E2906" s="6">
        <v>5.51</v>
      </c>
      <c r="G2906" s="31"/>
    </row>
    <row r="2907" spans="1:7" x14ac:dyDescent="0.25">
      <c r="A2907" s="36">
        <v>42719</v>
      </c>
      <c r="B2907" s="6">
        <v>44.94</v>
      </c>
      <c r="C2907" s="6">
        <v>27.96</v>
      </c>
      <c r="D2907" s="6">
        <v>9.76</v>
      </c>
      <c r="E2907" s="6">
        <v>5.52</v>
      </c>
      <c r="G2907" s="31"/>
    </row>
    <row r="2908" spans="1:7" x14ac:dyDescent="0.25">
      <c r="A2908" s="36">
        <v>42720</v>
      </c>
      <c r="B2908" s="6">
        <v>44.8</v>
      </c>
      <c r="C2908" s="6">
        <v>27.8</v>
      </c>
      <c r="D2908" s="6">
        <v>9.7799999999999994</v>
      </c>
      <c r="E2908" s="6">
        <v>5.5299999999999994</v>
      </c>
      <c r="G2908" s="31"/>
    </row>
    <row r="2909" spans="1:7" x14ac:dyDescent="0.25">
      <c r="A2909" s="36">
        <v>42721</v>
      </c>
      <c r="B2909" s="6">
        <v>44.88</v>
      </c>
      <c r="C2909" s="6">
        <v>27.6</v>
      </c>
      <c r="D2909" s="6">
        <v>9.64</v>
      </c>
      <c r="E2909" s="6">
        <v>5.54</v>
      </c>
      <c r="G2909" s="31"/>
    </row>
    <row r="2910" spans="1:7" x14ac:dyDescent="0.25">
      <c r="A2910" s="36">
        <v>42722</v>
      </c>
      <c r="B2910" s="6">
        <v>44.88</v>
      </c>
      <c r="C2910" s="6">
        <v>27.47</v>
      </c>
      <c r="D2910" s="6">
        <v>9.4</v>
      </c>
      <c r="E2910" s="6">
        <v>5.43</v>
      </c>
      <c r="G2910" s="31"/>
    </row>
    <row r="2911" spans="1:7" x14ac:dyDescent="0.25">
      <c r="A2911" s="36">
        <v>42723</v>
      </c>
      <c r="B2911" s="6">
        <v>44.86</v>
      </c>
      <c r="C2911" s="6">
        <v>27.32</v>
      </c>
      <c r="D2911" s="6">
        <v>9.3800000000000008</v>
      </c>
      <c r="E2911" s="6">
        <v>5.2799999999999994</v>
      </c>
      <c r="G2911" s="31"/>
    </row>
    <row r="2912" spans="1:7" x14ac:dyDescent="0.25">
      <c r="A2912" s="36">
        <v>42724</v>
      </c>
      <c r="B2912" s="6">
        <v>44.88</v>
      </c>
      <c r="C2912" s="6">
        <v>27.18</v>
      </c>
      <c r="D2912" s="6">
        <v>9.1</v>
      </c>
      <c r="E2912" s="6">
        <v>5.13</v>
      </c>
      <c r="G2912" s="31"/>
    </row>
    <row r="2913" spans="1:7" x14ac:dyDescent="0.25">
      <c r="A2913" s="36">
        <v>42725</v>
      </c>
      <c r="B2913" s="6">
        <v>44.88</v>
      </c>
      <c r="C2913" s="6">
        <v>27.06</v>
      </c>
      <c r="D2913" s="6">
        <v>8.98</v>
      </c>
      <c r="E2913" s="6">
        <v>4.9799999999999995</v>
      </c>
      <c r="G2913" s="31"/>
    </row>
    <row r="2914" spans="1:7" x14ac:dyDescent="0.25">
      <c r="A2914" s="36">
        <v>42726</v>
      </c>
      <c r="B2914" s="6">
        <v>44.9</v>
      </c>
      <c r="C2914" s="6">
        <v>26.97</v>
      </c>
      <c r="D2914" s="6">
        <v>8.84</v>
      </c>
      <c r="E2914" s="6">
        <v>4.83</v>
      </c>
      <c r="G2914" s="31"/>
    </row>
    <row r="2915" spans="1:7" x14ac:dyDescent="0.25">
      <c r="A2915" s="36">
        <v>42727</v>
      </c>
      <c r="B2915" s="6">
        <v>44.89</v>
      </c>
      <c r="C2915" s="6">
        <v>26.9</v>
      </c>
      <c r="D2915" s="6">
        <v>8.66</v>
      </c>
      <c r="E2915" s="6">
        <v>4.76</v>
      </c>
      <c r="G2915" s="31"/>
    </row>
    <row r="2916" spans="1:7" x14ac:dyDescent="0.25">
      <c r="A2916" s="36">
        <v>42728</v>
      </c>
      <c r="B2916" s="6">
        <v>44.85</v>
      </c>
      <c r="C2916" s="6">
        <v>26.82</v>
      </c>
      <c r="D2916" s="6">
        <v>8.56</v>
      </c>
      <c r="E2916" s="6">
        <v>4.6399999999999997</v>
      </c>
      <c r="G2916" s="31"/>
    </row>
    <row r="2917" spans="1:7" x14ac:dyDescent="0.25">
      <c r="A2917" s="36">
        <v>42729</v>
      </c>
      <c r="B2917" s="6">
        <v>44.8</v>
      </c>
      <c r="C2917" s="6">
        <v>26.75</v>
      </c>
      <c r="D2917" s="6">
        <v>8.48</v>
      </c>
      <c r="E2917" s="6">
        <v>4.5299999999999994</v>
      </c>
      <c r="G2917" s="31"/>
    </row>
    <row r="2918" spans="1:7" x14ac:dyDescent="0.25">
      <c r="A2918" s="36">
        <v>42730</v>
      </c>
      <c r="B2918" s="6">
        <v>44.76</v>
      </c>
      <c r="C2918" s="6">
        <v>26.68</v>
      </c>
      <c r="D2918" s="6">
        <v>8.3800000000000008</v>
      </c>
      <c r="E2918" s="6">
        <v>4.41</v>
      </c>
      <c r="G2918" s="31"/>
    </row>
    <row r="2919" spans="1:7" x14ac:dyDescent="0.25">
      <c r="A2919" s="36">
        <v>42731</v>
      </c>
      <c r="B2919" s="6">
        <v>44.67</v>
      </c>
      <c r="C2919" s="6">
        <v>26.6</v>
      </c>
      <c r="D2919" s="6">
        <v>8.34</v>
      </c>
      <c r="E2919" s="6">
        <v>4.33</v>
      </c>
      <c r="G2919" s="31"/>
    </row>
    <row r="2920" spans="1:7" x14ac:dyDescent="0.25">
      <c r="A2920" s="36">
        <v>42732</v>
      </c>
      <c r="B2920" s="6">
        <v>44.6</v>
      </c>
      <c r="C2920" s="6">
        <v>26.52</v>
      </c>
      <c r="D2920" s="6">
        <v>8.3000000000000007</v>
      </c>
      <c r="E2920" s="6">
        <v>4.33</v>
      </c>
      <c r="G2920" s="31"/>
    </row>
    <row r="2921" spans="1:7" x14ac:dyDescent="0.25">
      <c r="A2921" s="36">
        <v>42733</v>
      </c>
      <c r="B2921" s="6">
        <v>44.51</v>
      </c>
      <c r="C2921" s="6">
        <v>26.41</v>
      </c>
      <c r="D2921" s="6">
        <v>8.26</v>
      </c>
      <c r="E2921" s="6">
        <v>4.33</v>
      </c>
      <c r="G2921" s="31"/>
    </row>
    <row r="2922" spans="1:7" x14ac:dyDescent="0.25">
      <c r="A2922" s="36">
        <v>42734</v>
      </c>
      <c r="B2922" s="6">
        <v>44.43</v>
      </c>
      <c r="C2922" s="6">
        <v>26.32</v>
      </c>
      <c r="D2922" s="6">
        <v>8.2799999999999994</v>
      </c>
      <c r="E2922" s="6">
        <v>4.2299999999999995</v>
      </c>
      <c r="G2922" s="31"/>
    </row>
    <row r="2923" spans="1:7" x14ac:dyDescent="0.25">
      <c r="A2923" s="36">
        <v>42735</v>
      </c>
      <c r="B2923" s="6">
        <v>44.43</v>
      </c>
      <c r="C2923" s="6">
        <v>26.24</v>
      </c>
      <c r="D2923" s="6">
        <v>8.2200000000000006</v>
      </c>
      <c r="E2923" s="6">
        <v>4.3099999999999996</v>
      </c>
      <c r="G2923" s="31"/>
    </row>
    <row r="2924" spans="1:7" x14ac:dyDescent="0.25">
      <c r="A2924" s="36">
        <v>42736</v>
      </c>
      <c r="B2924" s="7">
        <v>44.43</v>
      </c>
      <c r="C2924" s="7">
        <v>26.19</v>
      </c>
      <c r="D2924" s="7">
        <v>8.1199999999999992</v>
      </c>
      <c r="E2924" s="7">
        <v>4.2299999999999995</v>
      </c>
      <c r="G2924" s="31"/>
    </row>
    <row r="2925" spans="1:7" x14ac:dyDescent="0.25">
      <c r="A2925" s="36">
        <v>42737</v>
      </c>
      <c r="B2925" s="7">
        <v>44.43</v>
      </c>
      <c r="C2925" s="7">
        <v>26.1</v>
      </c>
      <c r="D2925" s="7">
        <v>8.06</v>
      </c>
      <c r="E2925" s="7">
        <v>4.18</v>
      </c>
      <c r="G2925" s="31"/>
    </row>
    <row r="2926" spans="1:7" x14ac:dyDescent="0.25">
      <c r="A2926" s="36">
        <v>42738</v>
      </c>
      <c r="B2926" s="7">
        <v>44.43</v>
      </c>
      <c r="C2926" s="7">
        <v>26.09</v>
      </c>
      <c r="D2926" s="7">
        <v>8</v>
      </c>
      <c r="E2926" s="7">
        <v>4.13</v>
      </c>
      <c r="G2926" s="31"/>
    </row>
    <row r="2927" spans="1:7" x14ac:dyDescent="0.25">
      <c r="A2927" s="36">
        <v>42739</v>
      </c>
      <c r="B2927" s="7">
        <v>44.45</v>
      </c>
      <c r="C2927" s="7">
        <v>26.1</v>
      </c>
      <c r="D2927" s="7">
        <v>8.1199999999999992</v>
      </c>
      <c r="E2927" s="7">
        <v>4.24</v>
      </c>
      <c r="G2927" s="31"/>
    </row>
    <row r="2928" spans="1:7" x14ac:dyDescent="0.25">
      <c r="A2928" s="36">
        <v>42740</v>
      </c>
      <c r="B2928" s="7">
        <v>44.45</v>
      </c>
      <c r="C2928" s="7">
        <v>26.1</v>
      </c>
      <c r="D2928" s="7">
        <v>8.1</v>
      </c>
      <c r="E2928" s="7">
        <v>4.26</v>
      </c>
      <c r="G2928" s="31"/>
    </row>
    <row r="2929" spans="1:7" x14ac:dyDescent="0.25">
      <c r="A2929" s="36">
        <v>42741</v>
      </c>
      <c r="B2929" s="7">
        <v>44.45</v>
      </c>
      <c r="C2929" s="7">
        <v>26.09</v>
      </c>
      <c r="D2929" s="7">
        <v>8.1</v>
      </c>
      <c r="E2929" s="7">
        <v>4.26</v>
      </c>
      <c r="G2929" s="31"/>
    </row>
    <row r="2930" spans="1:7" x14ac:dyDescent="0.25">
      <c r="A2930" s="36">
        <v>42742</v>
      </c>
      <c r="B2930" s="7">
        <v>44.43</v>
      </c>
      <c r="C2930" s="7">
        <v>26.07</v>
      </c>
      <c r="D2930" s="7">
        <v>8.0399999999999991</v>
      </c>
      <c r="E2930" s="7">
        <v>4.26</v>
      </c>
      <c r="G2930" s="31"/>
    </row>
    <row r="2931" spans="1:7" x14ac:dyDescent="0.25">
      <c r="A2931" s="36">
        <v>42743</v>
      </c>
      <c r="B2931" s="7">
        <v>44.42</v>
      </c>
      <c r="C2931" s="7">
        <v>26.04</v>
      </c>
      <c r="D2931" s="7">
        <v>8.1</v>
      </c>
      <c r="E2931" s="7">
        <v>4.29</v>
      </c>
      <c r="G2931" s="31"/>
    </row>
    <row r="2932" spans="1:7" x14ac:dyDescent="0.25">
      <c r="A2932" s="36">
        <v>42744</v>
      </c>
      <c r="B2932" s="7">
        <v>44.4</v>
      </c>
      <c r="C2932" s="7">
        <v>26.2</v>
      </c>
      <c r="D2932" s="7">
        <v>8</v>
      </c>
      <c r="E2932" s="7">
        <v>4.17</v>
      </c>
      <c r="G2932" s="31"/>
    </row>
    <row r="2933" spans="1:7" x14ac:dyDescent="0.25">
      <c r="A2933" s="36">
        <v>42745</v>
      </c>
      <c r="B2933" s="7">
        <v>44.4</v>
      </c>
      <c r="C2933" s="7">
        <v>26.22</v>
      </c>
      <c r="D2933" s="7">
        <v>7.94</v>
      </c>
      <c r="E2933" s="7">
        <v>4.08</v>
      </c>
      <c r="G2933" s="31"/>
    </row>
    <row r="2934" spans="1:7" x14ac:dyDescent="0.25">
      <c r="A2934" s="36">
        <v>42746</v>
      </c>
      <c r="B2934" s="7">
        <v>44.36</v>
      </c>
      <c r="C2934" s="7">
        <v>26.16</v>
      </c>
      <c r="D2934" s="7">
        <v>7.84</v>
      </c>
      <c r="E2934" s="7">
        <v>4.03</v>
      </c>
      <c r="G2934" s="31"/>
    </row>
    <row r="2935" spans="1:7" x14ac:dyDescent="0.25">
      <c r="A2935" s="36">
        <v>42747</v>
      </c>
      <c r="B2935" s="7">
        <v>44.3</v>
      </c>
      <c r="C2935" s="7">
        <v>26.1</v>
      </c>
      <c r="D2935" s="7">
        <v>7.78</v>
      </c>
      <c r="E2935" s="7">
        <v>4.0599999999999996</v>
      </c>
      <c r="G2935" s="31"/>
    </row>
    <row r="2936" spans="1:7" x14ac:dyDescent="0.25">
      <c r="A2936" s="36">
        <v>42748</v>
      </c>
      <c r="B2936" s="7">
        <v>44.22</v>
      </c>
      <c r="C2936" s="7">
        <v>26.12</v>
      </c>
      <c r="D2936" s="7">
        <v>7.8</v>
      </c>
      <c r="E2936" s="7">
        <v>4.03</v>
      </c>
      <c r="G2936" s="31"/>
    </row>
    <row r="2937" spans="1:7" x14ac:dyDescent="0.25">
      <c r="A2937" s="36">
        <v>42749</v>
      </c>
      <c r="B2937" s="7">
        <v>44.15</v>
      </c>
      <c r="C2937" s="7">
        <v>25.95</v>
      </c>
      <c r="D2937" s="7">
        <v>7.78</v>
      </c>
      <c r="E2937" s="7">
        <v>4.05</v>
      </c>
      <c r="G2937" s="31"/>
    </row>
    <row r="2938" spans="1:7" x14ac:dyDescent="0.25">
      <c r="A2938" s="36">
        <v>42750</v>
      </c>
      <c r="B2938" s="7">
        <v>44.07</v>
      </c>
      <c r="C2938" s="7">
        <v>25.88</v>
      </c>
      <c r="D2938" s="7">
        <v>7.66</v>
      </c>
      <c r="E2938" s="7">
        <v>3.91</v>
      </c>
      <c r="G2938" s="31"/>
    </row>
    <row r="2939" spans="1:7" x14ac:dyDescent="0.25">
      <c r="A2939" s="36">
        <v>42751</v>
      </c>
      <c r="B2939" s="7">
        <v>43.99</v>
      </c>
      <c r="C2939" s="7">
        <v>25.8</v>
      </c>
      <c r="D2939" s="7">
        <v>7.52</v>
      </c>
      <c r="E2939" s="7">
        <v>3.8400000000000003</v>
      </c>
      <c r="G2939" s="31"/>
    </row>
    <row r="2940" spans="1:7" x14ac:dyDescent="0.25">
      <c r="A2940" s="36">
        <v>42752</v>
      </c>
      <c r="B2940" s="7">
        <v>43.91</v>
      </c>
      <c r="C2940" s="7">
        <v>25.73</v>
      </c>
      <c r="D2940" s="7">
        <v>7.4</v>
      </c>
      <c r="E2940" s="7">
        <v>3.77</v>
      </c>
      <c r="G2940" s="31"/>
    </row>
    <row r="2941" spans="1:7" x14ac:dyDescent="0.25">
      <c r="A2941" s="36">
        <v>42753</v>
      </c>
      <c r="B2941" s="7">
        <v>43.8</v>
      </c>
      <c r="C2941" s="7">
        <v>25.64</v>
      </c>
      <c r="D2941" s="7">
        <v>7.25</v>
      </c>
      <c r="E2941" s="7">
        <v>3.62</v>
      </c>
      <c r="G2941" s="31"/>
    </row>
    <row r="2942" spans="1:7" x14ac:dyDescent="0.25">
      <c r="A2942" s="36">
        <v>42754</v>
      </c>
      <c r="B2942" s="7">
        <v>43.67</v>
      </c>
      <c r="C2942" s="7">
        <v>25.55</v>
      </c>
      <c r="D2942" s="7">
        <v>7.1</v>
      </c>
      <c r="E2942" s="7">
        <v>3.48</v>
      </c>
      <c r="G2942" s="31"/>
    </row>
    <row r="2943" spans="1:7" x14ac:dyDescent="0.25">
      <c r="A2943" s="36">
        <v>42755</v>
      </c>
      <c r="B2943" s="7">
        <v>43.67</v>
      </c>
      <c r="C2943" s="7">
        <v>25.47</v>
      </c>
      <c r="D2943" s="7">
        <v>7</v>
      </c>
      <c r="E2943" s="7">
        <v>3.46</v>
      </c>
      <c r="G2943" s="31"/>
    </row>
    <row r="2944" spans="1:7" x14ac:dyDescent="0.25">
      <c r="A2944" s="36">
        <v>42756</v>
      </c>
      <c r="B2944" s="7">
        <v>43.4</v>
      </c>
      <c r="C2944" s="7">
        <v>25.35</v>
      </c>
      <c r="D2944" s="7">
        <v>6.96</v>
      </c>
      <c r="E2944" s="7">
        <v>3.3400000000000003</v>
      </c>
      <c r="G2944" s="31"/>
    </row>
    <row r="2945" spans="1:7" x14ac:dyDescent="0.25">
      <c r="A2945" s="36">
        <v>42757</v>
      </c>
      <c r="B2945" s="7">
        <v>43.28</v>
      </c>
      <c r="C2945" s="7">
        <v>25.22</v>
      </c>
      <c r="D2945" s="7">
        <v>6.82</v>
      </c>
      <c r="E2945" s="7">
        <v>3.2600000000000002</v>
      </c>
      <c r="G2945" s="31"/>
    </row>
    <row r="2946" spans="1:7" x14ac:dyDescent="0.25">
      <c r="A2946" s="36">
        <v>42758</v>
      </c>
      <c r="B2946" s="7">
        <v>43.15</v>
      </c>
      <c r="C2946" s="7">
        <v>25.08</v>
      </c>
      <c r="D2946" s="7">
        <v>6.7</v>
      </c>
      <c r="E2946" s="7">
        <v>3.16</v>
      </c>
      <c r="G2946" s="31"/>
    </row>
    <row r="2947" spans="1:7" x14ac:dyDescent="0.25">
      <c r="A2947" s="36">
        <v>42759</v>
      </c>
      <c r="B2947" s="7">
        <v>43.01</v>
      </c>
      <c r="C2947" s="7">
        <v>24.96</v>
      </c>
      <c r="D2947" s="7">
        <v>6.6</v>
      </c>
      <c r="E2947" s="7">
        <v>3.08</v>
      </c>
      <c r="G2947" s="31"/>
    </row>
    <row r="2948" spans="1:7" x14ac:dyDescent="0.25">
      <c r="A2948" s="36">
        <v>42760</v>
      </c>
      <c r="B2948" s="7">
        <v>42.89</v>
      </c>
      <c r="C2948" s="7">
        <v>24.8</v>
      </c>
      <c r="D2948" s="7">
        <v>6.48</v>
      </c>
      <c r="E2948" s="7">
        <v>3.08</v>
      </c>
      <c r="G2948" s="31"/>
    </row>
    <row r="2949" spans="1:7" x14ac:dyDescent="0.25">
      <c r="A2949" s="36">
        <v>42761</v>
      </c>
      <c r="B2949" s="7">
        <v>42.75</v>
      </c>
      <c r="C2949" s="7">
        <v>24.68</v>
      </c>
      <c r="D2949" s="7">
        <v>6.38</v>
      </c>
      <c r="E2949" s="7">
        <v>3.05</v>
      </c>
      <c r="G2949" s="31"/>
    </row>
    <row r="2950" spans="1:7" x14ac:dyDescent="0.25">
      <c r="A2950" s="36">
        <v>42762</v>
      </c>
      <c r="B2950" s="7">
        <v>42.63</v>
      </c>
      <c r="C2950" s="7">
        <v>24.52</v>
      </c>
      <c r="D2950" s="7">
        <v>6.22</v>
      </c>
      <c r="E2950" s="7">
        <v>2.94</v>
      </c>
      <c r="G2950" s="31"/>
    </row>
    <row r="2951" spans="1:7" x14ac:dyDescent="0.25">
      <c r="A2951" s="36">
        <v>42763</v>
      </c>
      <c r="B2951" s="7">
        <v>42.5</v>
      </c>
      <c r="C2951" s="7">
        <v>24.42</v>
      </c>
      <c r="D2951" s="7">
        <v>6.1</v>
      </c>
      <c r="E2951" s="7">
        <v>2.91</v>
      </c>
      <c r="G2951" s="31"/>
    </row>
    <row r="2952" spans="1:7" x14ac:dyDescent="0.25">
      <c r="A2952" s="36">
        <v>42764</v>
      </c>
      <c r="B2952" s="7">
        <v>42.39</v>
      </c>
      <c r="C2952" s="7">
        <v>24.3</v>
      </c>
      <c r="D2952" s="7">
        <v>6</v>
      </c>
      <c r="E2952" s="7">
        <v>2.87</v>
      </c>
      <c r="G2952" s="31"/>
    </row>
    <row r="2953" spans="1:7" x14ac:dyDescent="0.25">
      <c r="A2953" s="36">
        <v>42765</v>
      </c>
      <c r="B2953" s="7">
        <v>42.3</v>
      </c>
      <c r="C2953" s="7">
        <v>24.18</v>
      </c>
      <c r="D2953" s="7">
        <v>5.88</v>
      </c>
      <c r="E2953" s="7">
        <v>2.8</v>
      </c>
      <c r="G2953" s="31"/>
    </row>
    <row r="2954" spans="1:7" x14ac:dyDescent="0.25">
      <c r="A2954" s="36">
        <v>42766</v>
      </c>
      <c r="B2954" s="7">
        <v>42.23</v>
      </c>
      <c r="C2954" s="7">
        <v>24.05</v>
      </c>
      <c r="D2954" s="7">
        <v>5.8</v>
      </c>
      <c r="E2954" s="7">
        <v>2.74</v>
      </c>
      <c r="G2954" s="31"/>
    </row>
    <row r="2955" spans="1:7" x14ac:dyDescent="0.25">
      <c r="A2955" s="36">
        <v>42767</v>
      </c>
      <c r="B2955" s="7">
        <v>42.17</v>
      </c>
      <c r="C2955" s="7">
        <v>23.9</v>
      </c>
      <c r="D2955" s="7">
        <v>5.7</v>
      </c>
      <c r="E2955" s="7">
        <v>2.69</v>
      </c>
      <c r="G2955" s="31"/>
    </row>
    <row r="2956" spans="1:7" x14ac:dyDescent="0.25">
      <c r="A2956" s="36">
        <v>42768</v>
      </c>
      <c r="B2956" s="7">
        <v>42.15</v>
      </c>
      <c r="C2956" s="7">
        <v>23.76</v>
      </c>
      <c r="D2956" s="7">
        <v>5.68</v>
      </c>
      <c r="E2956" s="7">
        <v>2.64</v>
      </c>
      <c r="G2956" s="31"/>
    </row>
    <row r="2957" spans="1:7" x14ac:dyDescent="0.25">
      <c r="A2957" s="36">
        <v>42769</v>
      </c>
      <c r="B2957" s="7">
        <v>42.15</v>
      </c>
      <c r="C2957" s="7">
        <v>23.68</v>
      </c>
      <c r="D2957" s="7">
        <v>5.42</v>
      </c>
      <c r="E2957" s="7">
        <v>2.59</v>
      </c>
      <c r="G2957" s="31"/>
    </row>
    <row r="2958" spans="1:7" x14ac:dyDescent="0.25">
      <c r="A2958" s="36">
        <v>42770</v>
      </c>
      <c r="B2958" s="7">
        <v>42.15</v>
      </c>
      <c r="C2958" s="7">
        <v>23.6</v>
      </c>
      <c r="D2958" s="7">
        <v>5.32</v>
      </c>
      <c r="E2958" s="7">
        <v>2.54</v>
      </c>
      <c r="G2958" s="31"/>
    </row>
    <row r="2959" spans="1:7" x14ac:dyDescent="0.25">
      <c r="A2959" s="36">
        <v>42771</v>
      </c>
      <c r="B2959" s="7">
        <v>42.15</v>
      </c>
      <c r="C2959" s="7">
        <v>23.66</v>
      </c>
      <c r="D2959" s="7">
        <v>5.24</v>
      </c>
      <c r="E2959" s="7">
        <v>2.48</v>
      </c>
      <c r="G2959" s="31"/>
    </row>
    <row r="2960" spans="1:7" x14ac:dyDescent="0.25">
      <c r="A2960" s="36">
        <v>42772</v>
      </c>
      <c r="B2960" s="7">
        <v>42.14</v>
      </c>
      <c r="C2960" s="7">
        <v>23.7</v>
      </c>
      <c r="D2960" s="7">
        <v>5.0999999999999996</v>
      </c>
      <c r="E2960" s="7">
        <v>2.2799999999999998</v>
      </c>
      <c r="G2960" s="31"/>
    </row>
    <row r="2961" spans="1:7" x14ac:dyDescent="0.25">
      <c r="A2961" s="36">
        <v>42773</v>
      </c>
      <c r="B2961" s="7">
        <v>42.13</v>
      </c>
      <c r="C2961" s="7">
        <v>23.66</v>
      </c>
      <c r="D2961" s="7">
        <v>5.08</v>
      </c>
      <c r="E2961" s="7">
        <v>2.2999999999999998</v>
      </c>
      <c r="G2961" s="31"/>
    </row>
    <row r="2962" spans="1:7" x14ac:dyDescent="0.25">
      <c r="A2962" s="36">
        <v>42774</v>
      </c>
      <c r="B2962" s="7">
        <v>42.13</v>
      </c>
      <c r="C2962" s="7">
        <v>23.63</v>
      </c>
      <c r="D2962" s="7">
        <v>4.96</v>
      </c>
      <c r="E2962" s="7">
        <v>2.27</v>
      </c>
      <c r="G2962" s="31"/>
    </row>
    <row r="2963" spans="1:7" x14ac:dyDescent="0.25">
      <c r="A2963" s="36">
        <v>42775</v>
      </c>
      <c r="B2963" s="7">
        <v>42.07</v>
      </c>
      <c r="C2963" s="7">
        <v>23.62</v>
      </c>
      <c r="D2963" s="7">
        <v>4.9000000000000004</v>
      </c>
      <c r="E2963" s="7">
        <v>2.33</v>
      </c>
      <c r="G2963" s="31"/>
    </row>
    <row r="2964" spans="1:7" x14ac:dyDescent="0.25">
      <c r="A2964" s="36">
        <v>42776</v>
      </c>
      <c r="B2964" s="7">
        <v>42.07</v>
      </c>
      <c r="C2964" s="7">
        <v>23.62</v>
      </c>
      <c r="D2964" s="7">
        <v>4.9000000000000004</v>
      </c>
      <c r="E2964" s="7">
        <v>2.29</v>
      </c>
      <c r="G2964" s="31"/>
    </row>
    <row r="2965" spans="1:7" x14ac:dyDescent="0.25">
      <c r="A2965" s="36">
        <v>42777</v>
      </c>
      <c r="B2965" s="7">
        <v>42.03</v>
      </c>
      <c r="C2965" s="7">
        <v>23.67</v>
      </c>
      <c r="D2965" s="7">
        <v>4.88</v>
      </c>
      <c r="E2965" s="7">
        <v>2.19</v>
      </c>
      <c r="G2965" s="31"/>
    </row>
    <row r="2966" spans="1:7" x14ac:dyDescent="0.25">
      <c r="A2966" s="36">
        <v>42778</v>
      </c>
      <c r="B2966" s="7">
        <v>41.98</v>
      </c>
      <c r="C2966" s="7">
        <v>23.6</v>
      </c>
      <c r="D2966" s="7">
        <v>4.84</v>
      </c>
      <c r="E2966" s="7">
        <v>2.2600000000000002</v>
      </c>
      <c r="G2966" s="31"/>
    </row>
    <row r="2967" spans="1:7" x14ac:dyDescent="0.25">
      <c r="A2967" s="36">
        <v>42779</v>
      </c>
      <c r="B2967" s="7">
        <v>41.91</v>
      </c>
      <c r="C2967" s="7">
        <v>23.56</v>
      </c>
      <c r="D2967" s="7">
        <v>4.8</v>
      </c>
      <c r="E2967" s="7">
        <v>2.16</v>
      </c>
      <c r="G2967" s="31"/>
    </row>
    <row r="2968" spans="1:7" x14ac:dyDescent="0.25">
      <c r="A2968" s="36">
        <v>42780</v>
      </c>
      <c r="B2968" s="7">
        <v>41.9</v>
      </c>
      <c r="C2968" s="7">
        <v>23.5</v>
      </c>
      <c r="D2968" s="7">
        <v>4.78</v>
      </c>
      <c r="E2968" s="7">
        <v>2.2000000000000002</v>
      </c>
      <c r="G2968" s="31"/>
    </row>
    <row r="2969" spans="1:7" x14ac:dyDescent="0.25">
      <c r="A2969" s="36">
        <v>42781</v>
      </c>
      <c r="B2969" s="7">
        <v>41.88</v>
      </c>
      <c r="C2969" s="7">
        <v>23.46</v>
      </c>
      <c r="D2969" s="7">
        <v>4.74</v>
      </c>
      <c r="E2969" s="7">
        <v>2.15</v>
      </c>
      <c r="G2969" s="31"/>
    </row>
    <row r="2970" spans="1:7" x14ac:dyDescent="0.25">
      <c r="A2970" s="36">
        <v>42782</v>
      </c>
      <c r="B2970" s="7">
        <v>41.85</v>
      </c>
      <c r="C2970" s="7">
        <v>23.38</v>
      </c>
      <c r="D2970" s="7">
        <v>4.7</v>
      </c>
      <c r="E2970" s="7">
        <v>2.14</v>
      </c>
      <c r="G2970" s="31"/>
    </row>
    <row r="2971" spans="1:7" x14ac:dyDescent="0.25">
      <c r="A2971" s="36">
        <v>42783</v>
      </c>
      <c r="B2971" s="7">
        <v>41.8</v>
      </c>
      <c r="C2971" s="7">
        <v>23.3</v>
      </c>
      <c r="D2971" s="7">
        <v>4.66</v>
      </c>
      <c r="E2971" s="7">
        <v>2.12</v>
      </c>
      <c r="G2971" s="31"/>
    </row>
    <row r="2972" spans="1:7" x14ac:dyDescent="0.25">
      <c r="A2972" s="36">
        <v>42784</v>
      </c>
      <c r="B2972" s="7">
        <v>41.75</v>
      </c>
      <c r="C2972" s="7">
        <v>23.28</v>
      </c>
      <c r="D2972" s="7">
        <v>4.62</v>
      </c>
      <c r="E2972" s="7">
        <v>2</v>
      </c>
      <c r="G2972" s="31"/>
    </row>
    <row r="2973" spans="1:7" x14ac:dyDescent="0.25">
      <c r="A2973" s="36">
        <v>42785</v>
      </c>
      <c r="B2973" s="7">
        <v>41.66</v>
      </c>
      <c r="C2973" s="7">
        <v>23.2</v>
      </c>
      <c r="D2973" s="7">
        <v>4.54</v>
      </c>
      <c r="E2973" s="7">
        <v>1.96</v>
      </c>
      <c r="G2973" s="31"/>
    </row>
    <row r="2974" spans="1:7" x14ac:dyDescent="0.25">
      <c r="A2974" s="36">
        <v>42786</v>
      </c>
      <c r="B2974" s="7">
        <v>41.57</v>
      </c>
      <c r="C2974" s="7">
        <v>23.16</v>
      </c>
      <c r="D2974" s="7">
        <v>4.46</v>
      </c>
      <c r="E2974" s="7">
        <v>1.98</v>
      </c>
      <c r="G2974" s="31"/>
    </row>
    <row r="2975" spans="1:7" x14ac:dyDescent="0.25">
      <c r="A2975" s="36">
        <v>42787</v>
      </c>
      <c r="B2975" s="7">
        <v>41.47</v>
      </c>
      <c r="C2975" s="7">
        <v>23.07</v>
      </c>
      <c r="D2975" s="7">
        <v>4.46</v>
      </c>
      <c r="E2975" s="7">
        <v>1.8699999999999999</v>
      </c>
      <c r="G2975" s="31"/>
    </row>
    <row r="2976" spans="1:7" x14ac:dyDescent="0.25">
      <c r="A2976" s="36">
        <v>42788</v>
      </c>
      <c r="B2976" s="7">
        <v>41.38</v>
      </c>
      <c r="C2976" s="7">
        <v>22.99</v>
      </c>
      <c r="D2976" s="7">
        <v>4.34</v>
      </c>
      <c r="E2976" s="7">
        <v>1.8499999999999999</v>
      </c>
      <c r="G2976" s="31"/>
    </row>
    <row r="2977" spans="1:7" x14ac:dyDescent="0.25">
      <c r="A2977" s="36">
        <v>42789</v>
      </c>
      <c r="B2977" s="7">
        <v>41.33</v>
      </c>
      <c r="C2977" s="7">
        <v>22.9</v>
      </c>
      <c r="D2977" s="7">
        <v>4.3</v>
      </c>
      <c r="E2977" s="7">
        <v>1.8299999999999998</v>
      </c>
      <c r="G2977" s="31"/>
    </row>
    <row r="2978" spans="1:7" x14ac:dyDescent="0.25">
      <c r="A2978" s="36">
        <v>42790</v>
      </c>
      <c r="B2978" s="7">
        <v>41.24</v>
      </c>
      <c r="C2978" s="7">
        <v>22.78</v>
      </c>
      <c r="D2978" s="7">
        <v>4.22</v>
      </c>
      <c r="E2978" s="7">
        <v>1.8399999999999999</v>
      </c>
      <c r="G2978" s="31"/>
    </row>
    <row r="2979" spans="1:7" x14ac:dyDescent="0.25">
      <c r="A2979" s="36">
        <v>42791</v>
      </c>
      <c r="B2979" s="7">
        <v>41.19</v>
      </c>
      <c r="C2979" s="7">
        <v>22.69</v>
      </c>
      <c r="D2979" s="7">
        <v>4.2</v>
      </c>
      <c r="E2979" s="7">
        <v>1.8399999999999999</v>
      </c>
      <c r="G2979" s="31"/>
    </row>
    <row r="2980" spans="1:7" x14ac:dyDescent="0.25">
      <c r="A2980" s="36">
        <v>42792</v>
      </c>
      <c r="B2980" s="7">
        <v>41.19</v>
      </c>
      <c r="C2980" s="7">
        <v>22.62</v>
      </c>
      <c r="D2980" s="7">
        <v>4.16</v>
      </c>
      <c r="E2980" s="7">
        <v>1.92</v>
      </c>
      <c r="G2980" s="31"/>
    </row>
    <row r="2981" spans="1:7" x14ac:dyDescent="0.25">
      <c r="A2981" s="36">
        <v>42793</v>
      </c>
      <c r="B2981" s="7">
        <v>41.19</v>
      </c>
      <c r="C2981" s="7">
        <v>22.56</v>
      </c>
      <c r="D2981" s="7">
        <v>4.1399999999999997</v>
      </c>
      <c r="E2981" s="7">
        <v>2.0300000000000002</v>
      </c>
      <c r="G2981" s="31"/>
    </row>
    <row r="2982" spans="1:7" x14ac:dyDescent="0.25">
      <c r="A2982" s="36">
        <v>42794</v>
      </c>
      <c r="B2982" s="7">
        <v>41.23</v>
      </c>
      <c r="C2982" s="7">
        <v>22.52</v>
      </c>
      <c r="D2982" s="7">
        <v>4.12</v>
      </c>
      <c r="E2982" s="7">
        <v>1.91</v>
      </c>
      <c r="G2982" s="31"/>
    </row>
    <row r="2983" spans="1:7" x14ac:dyDescent="0.25">
      <c r="A2983" s="36">
        <v>42795</v>
      </c>
      <c r="B2983" s="7">
        <v>41.28</v>
      </c>
      <c r="C2983" s="7">
        <v>22.48</v>
      </c>
      <c r="D2983" s="7">
        <v>4.08</v>
      </c>
      <c r="E2983" s="7">
        <v>2</v>
      </c>
      <c r="G2983" s="31"/>
    </row>
    <row r="2984" spans="1:7" x14ac:dyDescent="0.25">
      <c r="A2984" s="36">
        <v>42796</v>
      </c>
      <c r="B2984" s="7">
        <v>41.34</v>
      </c>
      <c r="C2984" s="7">
        <v>22.38</v>
      </c>
      <c r="D2984" s="7">
        <v>4.08</v>
      </c>
      <c r="E2984" s="7">
        <v>2.0699999999999998</v>
      </c>
      <c r="G2984" s="31"/>
    </row>
    <row r="2985" spans="1:7" x14ac:dyDescent="0.25">
      <c r="A2985" s="36">
        <v>42797</v>
      </c>
      <c r="B2985" s="7">
        <v>41.38</v>
      </c>
      <c r="C2985" s="7">
        <v>22.31</v>
      </c>
      <c r="D2985" s="7">
        <v>4.12</v>
      </c>
      <c r="E2985" s="7">
        <v>2.09</v>
      </c>
      <c r="G2985" s="31"/>
    </row>
    <row r="2986" spans="1:7" x14ac:dyDescent="0.25">
      <c r="A2986" s="36">
        <v>42798</v>
      </c>
      <c r="B2986" s="7">
        <v>41.42</v>
      </c>
      <c r="C2986" s="6">
        <v>22.32</v>
      </c>
      <c r="D2986" s="7">
        <v>4.12</v>
      </c>
      <c r="E2986" s="7">
        <v>2.08</v>
      </c>
      <c r="G2986" s="31"/>
    </row>
    <row r="2987" spans="1:7" x14ac:dyDescent="0.25">
      <c r="A2987" s="36">
        <v>42799</v>
      </c>
      <c r="B2987" s="7">
        <v>41.47</v>
      </c>
      <c r="C2987" s="6">
        <v>22.33</v>
      </c>
      <c r="D2987" s="7">
        <v>3.98</v>
      </c>
      <c r="E2987" s="6">
        <v>2.11</v>
      </c>
      <c r="G2987" s="31"/>
    </row>
    <row r="2988" spans="1:7" x14ac:dyDescent="0.25">
      <c r="A2988" s="36">
        <v>42800</v>
      </c>
      <c r="B2988" s="6">
        <v>41.4</v>
      </c>
      <c r="C2988" s="6">
        <v>22.35</v>
      </c>
      <c r="D2988" s="7">
        <v>3.9</v>
      </c>
      <c r="E2988" s="6">
        <v>1.89</v>
      </c>
      <c r="G2988" s="31"/>
    </row>
    <row r="2989" spans="1:7" x14ac:dyDescent="0.25">
      <c r="A2989" s="36">
        <v>42801</v>
      </c>
      <c r="B2989" s="6">
        <v>41.37</v>
      </c>
      <c r="C2989" s="6">
        <v>22.5</v>
      </c>
      <c r="D2989" s="7">
        <v>3.88</v>
      </c>
      <c r="E2989" s="6">
        <v>1.8399999999999999</v>
      </c>
      <c r="G2989" s="31"/>
    </row>
    <row r="2990" spans="1:7" x14ac:dyDescent="0.25">
      <c r="A2990" s="36">
        <v>42802</v>
      </c>
      <c r="B2990" s="6">
        <v>41.34</v>
      </c>
      <c r="C2990" s="6">
        <v>22.53</v>
      </c>
      <c r="D2990" s="7">
        <v>3.86</v>
      </c>
      <c r="E2990" s="6">
        <v>1.79</v>
      </c>
      <c r="G2990" s="31"/>
    </row>
    <row r="2991" spans="1:7" x14ac:dyDescent="0.25">
      <c r="A2991" s="36">
        <v>42803</v>
      </c>
      <c r="B2991" s="6">
        <v>41.31</v>
      </c>
      <c r="C2991" s="6">
        <v>22.51</v>
      </c>
      <c r="D2991" s="7">
        <v>4</v>
      </c>
      <c r="E2991" s="6">
        <v>1.78</v>
      </c>
      <c r="G2991" s="31"/>
    </row>
    <row r="2992" spans="1:7" x14ac:dyDescent="0.25">
      <c r="A2992" s="36">
        <v>42804</v>
      </c>
      <c r="B2992" s="6">
        <v>41.3</v>
      </c>
      <c r="C2992" s="6">
        <v>22.51</v>
      </c>
      <c r="D2992" s="7">
        <v>4.12</v>
      </c>
      <c r="E2992" s="6">
        <v>1.76</v>
      </c>
      <c r="G2992" s="31"/>
    </row>
    <row r="2993" spans="1:7" x14ac:dyDescent="0.25">
      <c r="A2993" s="36">
        <v>42805</v>
      </c>
      <c r="B2993" s="6">
        <v>41.3</v>
      </c>
      <c r="C2993" s="6">
        <v>22.5</v>
      </c>
      <c r="D2993" s="7">
        <v>4.1399999999999997</v>
      </c>
      <c r="E2993" s="6">
        <v>1.99</v>
      </c>
      <c r="G2993" s="31"/>
    </row>
    <row r="2994" spans="1:7" x14ac:dyDescent="0.25">
      <c r="A2994" s="36">
        <v>42806</v>
      </c>
      <c r="B2994" s="6">
        <v>41.4</v>
      </c>
      <c r="C2994" s="6">
        <v>22.5</v>
      </c>
      <c r="D2994" s="6">
        <v>4.18</v>
      </c>
      <c r="E2994" s="6">
        <v>1.99</v>
      </c>
      <c r="G2994" s="31"/>
    </row>
    <row r="2995" spans="1:7" x14ac:dyDescent="0.25">
      <c r="A2995" s="36">
        <v>42807</v>
      </c>
      <c r="B2995" s="6">
        <v>41.52</v>
      </c>
      <c r="C2995" s="6">
        <v>22.5</v>
      </c>
      <c r="D2995" s="6">
        <v>4.0999999999999996</v>
      </c>
      <c r="E2995" s="6">
        <v>1.8499999999999999</v>
      </c>
      <c r="G2995" s="31"/>
    </row>
    <row r="2996" spans="1:7" x14ac:dyDescent="0.25">
      <c r="A2996" s="36">
        <v>42808</v>
      </c>
      <c r="B2996" s="6">
        <v>41.65</v>
      </c>
      <c r="C2996" s="6">
        <v>22.5</v>
      </c>
      <c r="D2996" s="6">
        <v>4.0999999999999996</v>
      </c>
      <c r="E2996" s="6">
        <v>1.93</v>
      </c>
      <c r="G2996" s="31"/>
    </row>
    <row r="2997" spans="1:7" x14ac:dyDescent="0.25">
      <c r="A2997" s="36">
        <v>42809</v>
      </c>
      <c r="B2997" s="6">
        <v>41.83</v>
      </c>
      <c r="C2997" s="6">
        <v>22.58</v>
      </c>
      <c r="D2997" s="6">
        <v>4.0199999999999996</v>
      </c>
      <c r="E2997" s="6">
        <v>1.91</v>
      </c>
      <c r="G2997" s="31"/>
    </row>
    <row r="2998" spans="1:7" x14ac:dyDescent="0.25">
      <c r="A2998" s="36">
        <v>42810</v>
      </c>
      <c r="B2998" s="6">
        <v>41.97</v>
      </c>
      <c r="C2998" s="6">
        <v>22.7</v>
      </c>
      <c r="D2998" s="6">
        <v>4.0199999999999996</v>
      </c>
      <c r="E2998" s="6">
        <v>1.91</v>
      </c>
      <c r="G2998" s="31"/>
    </row>
    <row r="2999" spans="1:7" x14ac:dyDescent="0.25">
      <c r="A2999" s="36">
        <v>42811</v>
      </c>
      <c r="B2999" s="6">
        <v>42.1</v>
      </c>
      <c r="C2999" s="6">
        <v>23.05</v>
      </c>
      <c r="D2999" s="6">
        <v>4</v>
      </c>
      <c r="E2999" s="6">
        <v>1.91</v>
      </c>
      <c r="G2999" s="31"/>
    </row>
    <row r="3000" spans="1:7" x14ac:dyDescent="0.25">
      <c r="A3000" s="36">
        <v>42812</v>
      </c>
      <c r="B3000" s="6">
        <v>42.19</v>
      </c>
      <c r="C3000" s="6">
        <v>23.2</v>
      </c>
      <c r="D3000" s="6">
        <v>4.2</v>
      </c>
      <c r="E3000" s="6">
        <v>1.95</v>
      </c>
      <c r="G3000" s="31"/>
    </row>
    <row r="3001" spans="1:7" x14ac:dyDescent="0.25">
      <c r="A3001" s="36">
        <v>42813</v>
      </c>
      <c r="B3001" s="6">
        <v>42.27</v>
      </c>
      <c r="C3001" s="6">
        <v>23.35</v>
      </c>
      <c r="D3001" s="6">
        <v>4.28</v>
      </c>
      <c r="E3001" s="6">
        <v>1.95</v>
      </c>
      <c r="G3001" s="31"/>
    </row>
    <row r="3002" spans="1:7" x14ac:dyDescent="0.25">
      <c r="A3002" s="36">
        <v>42814</v>
      </c>
      <c r="B3002" s="6">
        <v>42.27</v>
      </c>
      <c r="C3002" s="6">
        <v>23.52</v>
      </c>
      <c r="D3002" s="6">
        <v>4.38</v>
      </c>
      <c r="E3002" s="6">
        <v>1.92</v>
      </c>
      <c r="G3002" s="31"/>
    </row>
    <row r="3003" spans="1:7" x14ac:dyDescent="0.25">
      <c r="A3003" s="36">
        <v>42815</v>
      </c>
      <c r="B3003" s="6">
        <v>42.23</v>
      </c>
      <c r="C3003" s="6">
        <v>23.65</v>
      </c>
      <c r="D3003" s="6">
        <v>4.42</v>
      </c>
      <c r="E3003" s="6">
        <v>2.02</v>
      </c>
      <c r="G3003" s="31"/>
    </row>
    <row r="3004" spans="1:7" x14ac:dyDescent="0.25">
      <c r="A3004" s="36">
        <v>42816</v>
      </c>
      <c r="B3004" s="6">
        <v>42.19</v>
      </c>
      <c r="C3004" s="6">
        <v>23.7</v>
      </c>
      <c r="D3004" s="6">
        <v>4.4800000000000004</v>
      </c>
      <c r="E3004" s="6">
        <v>1.92</v>
      </c>
      <c r="G3004" s="31"/>
    </row>
    <row r="3005" spans="1:7" x14ac:dyDescent="0.25">
      <c r="A3005" s="36">
        <v>42817</v>
      </c>
      <c r="B3005" s="6">
        <v>42.11</v>
      </c>
      <c r="C3005" s="6">
        <v>23.75</v>
      </c>
      <c r="D3005" s="6">
        <v>4.54</v>
      </c>
      <c r="E3005" s="6">
        <v>2.0699999999999998</v>
      </c>
      <c r="G3005" s="31"/>
    </row>
    <row r="3006" spans="1:7" x14ac:dyDescent="0.25">
      <c r="A3006" s="36">
        <v>42818</v>
      </c>
      <c r="B3006" s="6">
        <v>42.09</v>
      </c>
      <c r="C3006" s="6">
        <v>23.75</v>
      </c>
      <c r="D3006" s="6">
        <v>4.62</v>
      </c>
      <c r="E3006" s="6">
        <v>2.0500000000000003</v>
      </c>
      <c r="G3006" s="31"/>
    </row>
    <row r="3007" spans="1:7" x14ac:dyDescent="0.25">
      <c r="A3007" s="36">
        <v>42819</v>
      </c>
      <c r="B3007" s="6">
        <v>42.1</v>
      </c>
      <c r="C3007" s="6">
        <v>23.74</v>
      </c>
      <c r="D3007" s="6">
        <v>4.68</v>
      </c>
      <c r="E3007" s="6">
        <v>2.04</v>
      </c>
      <c r="G3007" s="31"/>
    </row>
    <row r="3008" spans="1:7" x14ac:dyDescent="0.25">
      <c r="A3008" s="36">
        <v>42820</v>
      </c>
      <c r="B3008" s="6">
        <v>42.17</v>
      </c>
      <c r="C3008" s="6">
        <v>23.73</v>
      </c>
      <c r="D3008" s="6">
        <v>4.74</v>
      </c>
      <c r="E3008" s="6">
        <v>2.15</v>
      </c>
      <c r="G3008" s="31"/>
    </row>
    <row r="3009" spans="1:7" x14ac:dyDescent="0.25">
      <c r="A3009" s="36">
        <v>42821</v>
      </c>
      <c r="B3009" s="6">
        <v>42.26</v>
      </c>
      <c r="C3009" s="6">
        <v>23.72</v>
      </c>
      <c r="D3009" s="6">
        <v>4.84</v>
      </c>
      <c r="E3009" s="6">
        <v>2.27</v>
      </c>
      <c r="G3009" s="31"/>
    </row>
    <row r="3010" spans="1:7" x14ac:dyDescent="0.25">
      <c r="A3010" s="36">
        <v>42822</v>
      </c>
      <c r="B3010" s="6">
        <v>42.4</v>
      </c>
      <c r="C3010" s="6">
        <v>23.72</v>
      </c>
      <c r="D3010" s="6">
        <v>4.82</v>
      </c>
      <c r="E3010" s="6">
        <v>2.31</v>
      </c>
      <c r="G3010" s="31"/>
    </row>
    <row r="3011" spans="1:7" x14ac:dyDescent="0.25">
      <c r="A3011" s="36">
        <v>42823</v>
      </c>
      <c r="B3011" s="6">
        <v>42.55</v>
      </c>
      <c r="C3011" s="6">
        <v>23.72</v>
      </c>
      <c r="D3011" s="6">
        <v>4.9400000000000004</v>
      </c>
      <c r="E3011" s="6">
        <v>2.36</v>
      </c>
      <c r="G3011" s="31"/>
    </row>
    <row r="3012" spans="1:7" x14ac:dyDescent="0.25">
      <c r="A3012" s="36">
        <v>42824</v>
      </c>
      <c r="B3012" s="6">
        <v>42.68</v>
      </c>
      <c r="C3012" s="6">
        <v>23.72</v>
      </c>
      <c r="D3012" s="6">
        <v>4.8600000000000003</v>
      </c>
      <c r="E3012" s="6">
        <v>2.38</v>
      </c>
      <c r="G3012" s="31"/>
    </row>
    <row r="3013" spans="1:7" x14ac:dyDescent="0.25">
      <c r="A3013" s="36">
        <v>42825</v>
      </c>
      <c r="B3013" s="6">
        <v>42.82</v>
      </c>
      <c r="C3013" s="6">
        <v>23.8</v>
      </c>
      <c r="D3013" s="6">
        <v>4.82</v>
      </c>
      <c r="E3013" s="6">
        <v>2.37</v>
      </c>
      <c r="G3013" s="31"/>
    </row>
    <row r="3014" spans="1:7" x14ac:dyDescent="0.25">
      <c r="A3014" s="36">
        <v>42826</v>
      </c>
      <c r="B3014" s="6">
        <v>42.92</v>
      </c>
      <c r="C3014" s="6">
        <v>24.05</v>
      </c>
      <c r="D3014" s="6">
        <v>4.8600000000000003</v>
      </c>
      <c r="E3014" s="6">
        <v>2.37</v>
      </c>
      <c r="G3014" s="31"/>
    </row>
    <row r="3015" spans="1:7" x14ac:dyDescent="0.25">
      <c r="A3015" s="36">
        <v>42827</v>
      </c>
      <c r="B3015" s="6">
        <v>42.96</v>
      </c>
      <c r="C3015" s="6">
        <v>24.2</v>
      </c>
      <c r="D3015" s="6">
        <v>4.8600000000000003</v>
      </c>
      <c r="E3015" s="6">
        <v>2.4</v>
      </c>
      <c r="G3015" s="31"/>
    </row>
    <row r="3016" spans="1:7" x14ac:dyDescent="0.25">
      <c r="A3016" s="36">
        <v>42828</v>
      </c>
      <c r="B3016" s="6">
        <v>42.95</v>
      </c>
      <c r="C3016" s="6">
        <v>24.32</v>
      </c>
      <c r="D3016" s="6">
        <v>4.88</v>
      </c>
      <c r="E3016" s="6">
        <v>2.2800000000000002</v>
      </c>
      <c r="G3016" s="31"/>
    </row>
    <row r="3017" spans="1:7" x14ac:dyDescent="0.25">
      <c r="A3017" s="36">
        <v>42829</v>
      </c>
      <c r="B3017" s="6">
        <v>42.95</v>
      </c>
      <c r="C3017" s="6">
        <v>24.4</v>
      </c>
      <c r="D3017" s="6">
        <v>4.9000000000000004</v>
      </c>
      <c r="E3017" s="6">
        <v>2.35</v>
      </c>
      <c r="G3017" s="31"/>
    </row>
    <row r="3018" spans="1:7" x14ac:dyDescent="0.25">
      <c r="A3018" s="36">
        <v>42830</v>
      </c>
      <c r="B3018" s="6">
        <v>42.94</v>
      </c>
      <c r="C3018" s="6">
        <v>24.48</v>
      </c>
      <c r="D3018" s="6">
        <v>5.18</v>
      </c>
      <c r="E3018" s="6">
        <v>2.4</v>
      </c>
      <c r="G3018" s="31"/>
    </row>
    <row r="3019" spans="1:7" x14ac:dyDescent="0.25">
      <c r="A3019" s="36">
        <v>42831</v>
      </c>
      <c r="B3019" s="6">
        <v>42.92</v>
      </c>
      <c r="C3019" s="6">
        <v>24.58</v>
      </c>
      <c r="D3019" s="6">
        <v>5.3</v>
      </c>
      <c r="E3019" s="6">
        <v>2.5500000000000003</v>
      </c>
      <c r="G3019" s="31"/>
    </row>
    <row r="3020" spans="1:7" x14ac:dyDescent="0.25">
      <c r="A3020" s="36">
        <v>42832</v>
      </c>
      <c r="B3020" s="6">
        <v>42.89</v>
      </c>
      <c r="C3020" s="6">
        <v>24.68</v>
      </c>
      <c r="D3020" s="6">
        <v>5.4</v>
      </c>
      <c r="E3020" s="6">
        <v>2.6</v>
      </c>
      <c r="G3020" s="31"/>
    </row>
    <row r="3021" spans="1:7" x14ac:dyDescent="0.25">
      <c r="A3021" s="36">
        <v>42833</v>
      </c>
      <c r="B3021" s="6">
        <v>42.84</v>
      </c>
      <c r="C3021" s="6">
        <v>24.69</v>
      </c>
      <c r="D3021" s="6">
        <v>5.48</v>
      </c>
      <c r="E3021" s="6">
        <v>2.6500000000000004</v>
      </c>
      <c r="G3021" s="31"/>
    </row>
    <row r="3022" spans="1:7" x14ac:dyDescent="0.25">
      <c r="A3022" s="36">
        <v>42834</v>
      </c>
      <c r="B3022" s="6">
        <v>42.78</v>
      </c>
      <c r="C3022" s="6">
        <v>24.6</v>
      </c>
      <c r="D3022" s="6">
        <v>5.54</v>
      </c>
      <c r="E3022" s="6">
        <v>2.7</v>
      </c>
      <c r="G3022" s="31"/>
    </row>
    <row r="3023" spans="1:7" x14ac:dyDescent="0.25">
      <c r="A3023" s="36">
        <v>42835</v>
      </c>
      <c r="B3023" s="6">
        <v>42.69</v>
      </c>
      <c r="C3023" s="6">
        <v>24.55</v>
      </c>
      <c r="D3023" s="6">
        <v>5.36</v>
      </c>
      <c r="E3023" s="6">
        <v>2.73</v>
      </c>
      <c r="G3023" s="31"/>
    </row>
    <row r="3024" spans="1:7" x14ac:dyDescent="0.25">
      <c r="A3024" s="36">
        <v>42836</v>
      </c>
      <c r="B3024" s="6">
        <v>42.59</v>
      </c>
      <c r="C3024" s="6">
        <v>24.48</v>
      </c>
      <c r="D3024" s="6">
        <v>5.56</v>
      </c>
      <c r="E3024" s="6">
        <v>2.7</v>
      </c>
      <c r="G3024" s="31"/>
    </row>
    <row r="3025" spans="1:7" x14ac:dyDescent="0.25">
      <c r="A3025" s="36">
        <v>42837</v>
      </c>
      <c r="B3025" s="6">
        <v>42.49</v>
      </c>
      <c r="C3025" s="6">
        <v>24.37</v>
      </c>
      <c r="D3025" s="6">
        <v>5.6</v>
      </c>
      <c r="E3025" s="6">
        <v>2.7</v>
      </c>
      <c r="G3025" s="31"/>
    </row>
    <row r="3026" spans="1:7" x14ac:dyDescent="0.25">
      <c r="A3026" s="36">
        <v>42838</v>
      </c>
      <c r="B3026" s="6">
        <v>42.42</v>
      </c>
      <c r="C3026" s="6">
        <v>24.3</v>
      </c>
      <c r="D3026" s="6">
        <v>5.62</v>
      </c>
      <c r="E3026" s="6">
        <v>2.6500000000000004</v>
      </c>
      <c r="G3026" s="31"/>
    </row>
    <row r="3027" spans="1:7" x14ac:dyDescent="0.25">
      <c r="A3027" s="36">
        <v>42839</v>
      </c>
      <c r="B3027" s="6">
        <v>42.4</v>
      </c>
      <c r="C3027" s="6">
        <v>24.2</v>
      </c>
      <c r="D3027" s="6">
        <v>5.36</v>
      </c>
      <c r="E3027" s="6">
        <v>2.6500000000000004</v>
      </c>
      <c r="G3027" s="31"/>
    </row>
    <row r="3028" spans="1:7" x14ac:dyDescent="0.25">
      <c r="A3028" s="36">
        <v>42840</v>
      </c>
      <c r="B3028" s="6">
        <v>42.44</v>
      </c>
      <c r="C3028" s="6">
        <v>23.96</v>
      </c>
      <c r="D3028" s="6">
        <v>5.16</v>
      </c>
      <c r="E3028" s="6">
        <v>2.6700000000000004</v>
      </c>
      <c r="G3028" s="31"/>
    </row>
    <row r="3029" spans="1:7" x14ac:dyDescent="0.25">
      <c r="A3029" s="36">
        <v>42841</v>
      </c>
      <c r="B3029" s="6">
        <v>42.5</v>
      </c>
      <c r="C3029" s="6">
        <v>23.9</v>
      </c>
      <c r="D3029" s="6">
        <v>5.3</v>
      </c>
      <c r="E3029" s="6">
        <v>2.68</v>
      </c>
      <c r="G3029" s="31"/>
    </row>
    <row r="3030" spans="1:7" x14ac:dyDescent="0.25">
      <c r="A3030" s="36">
        <v>42842</v>
      </c>
      <c r="B3030" s="6">
        <v>42.56</v>
      </c>
      <c r="C3030" s="6">
        <v>23.82</v>
      </c>
      <c r="D3030" s="6">
        <v>5.2</v>
      </c>
      <c r="E3030" s="6">
        <v>2.5300000000000002</v>
      </c>
      <c r="G3030" s="31"/>
    </row>
    <row r="3031" spans="1:7" x14ac:dyDescent="0.25">
      <c r="A3031" s="36">
        <v>42843</v>
      </c>
      <c r="B3031" s="6">
        <v>42.67</v>
      </c>
      <c r="C3031" s="6">
        <v>23.8</v>
      </c>
      <c r="D3031" s="6">
        <v>5.16</v>
      </c>
      <c r="E3031" s="6">
        <v>2.4500000000000002</v>
      </c>
      <c r="G3031" s="31"/>
    </row>
    <row r="3032" spans="1:7" x14ac:dyDescent="0.25">
      <c r="A3032" s="36">
        <v>42844</v>
      </c>
      <c r="B3032" s="6">
        <v>42.77</v>
      </c>
      <c r="C3032" s="6">
        <v>23.84</v>
      </c>
      <c r="D3032" s="6">
        <v>5.12</v>
      </c>
      <c r="E3032" s="6">
        <v>2.41</v>
      </c>
      <c r="G3032" s="31"/>
    </row>
    <row r="3033" spans="1:7" x14ac:dyDescent="0.25">
      <c r="A3033" s="36">
        <v>42845</v>
      </c>
      <c r="B3033" s="6">
        <v>42.84</v>
      </c>
      <c r="C3033" s="6">
        <v>23.89</v>
      </c>
      <c r="D3033" s="6">
        <v>5.08</v>
      </c>
      <c r="E3033" s="6">
        <v>2.41</v>
      </c>
      <c r="G3033" s="31"/>
    </row>
    <row r="3034" spans="1:7" x14ac:dyDescent="0.25">
      <c r="A3034" s="36">
        <v>42846</v>
      </c>
      <c r="B3034" s="6">
        <v>42.92</v>
      </c>
      <c r="C3034" s="6">
        <v>24.05</v>
      </c>
      <c r="D3034" s="6">
        <v>5.08</v>
      </c>
      <c r="E3034" s="6">
        <v>2.35</v>
      </c>
      <c r="G3034" s="31"/>
    </row>
    <row r="3035" spans="1:7" x14ac:dyDescent="0.25">
      <c r="A3035" s="36">
        <v>42847</v>
      </c>
      <c r="B3035" s="6">
        <v>43.03</v>
      </c>
      <c r="C3035" s="6">
        <v>24.12</v>
      </c>
      <c r="D3035" s="6">
        <v>5.08</v>
      </c>
      <c r="E3035" s="6">
        <v>2.3199999999999998</v>
      </c>
      <c r="G3035" s="31"/>
    </row>
    <row r="3036" spans="1:7" x14ac:dyDescent="0.25">
      <c r="A3036" s="36">
        <v>42848</v>
      </c>
      <c r="B3036" s="6">
        <v>43.15</v>
      </c>
      <c r="C3036" s="6">
        <v>24.29</v>
      </c>
      <c r="D3036" s="6">
        <v>5.22</v>
      </c>
      <c r="E3036" s="6">
        <v>2.3000000000000003</v>
      </c>
      <c r="G3036" s="31"/>
    </row>
    <row r="3037" spans="1:7" x14ac:dyDescent="0.25">
      <c r="A3037" s="36">
        <v>42849</v>
      </c>
      <c r="B3037" s="6">
        <v>43.28</v>
      </c>
      <c r="C3037" s="6">
        <v>24.41</v>
      </c>
      <c r="D3037" s="6">
        <v>5.32</v>
      </c>
      <c r="E3037" s="6">
        <v>2.48</v>
      </c>
      <c r="G3037" s="31"/>
    </row>
    <row r="3038" spans="1:7" x14ac:dyDescent="0.25">
      <c r="A3038" s="36">
        <v>42850</v>
      </c>
      <c r="B3038" s="6">
        <v>43.43</v>
      </c>
      <c r="C3038" s="6">
        <v>24.6</v>
      </c>
      <c r="D3038" s="6">
        <v>5.4</v>
      </c>
      <c r="E3038" s="6">
        <v>2.7</v>
      </c>
      <c r="G3038" s="31"/>
    </row>
    <row r="3039" spans="1:7" x14ac:dyDescent="0.25">
      <c r="A3039" s="36">
        <v>42851</v>
      </c>
      <c r="B3039" s="6">
        <v>43.58</v>
      </c>
      <c r="C3039" s="6">
        <v>24.76</v>
      </c>
      <c r="D3039" s="6">
        <v>5.46</v>
      </c>
      <c r="E3039" s="6">
        <v>2.77</v>
      </c>
      <c r="G3039" s="31"/>
    </row>
    <row r="3040" spans="1:7" x14ac:dyDescent="0.25">
      <c r="A3040" s="36">
        <v>42852</v>
      </c>
      <c r="B3040" s="6">
        <v>43.7</v>
      </c>
      <c r="C3040" s="6">
        <v>24.9</v>
      </c>
      <c r="D3040" s="6">
        <v>5.58</v>
      </c>
      <c r="E3040" s="6">
        <v>2.8800000000000003</v>
      </c>
      <c r="G3040" s="31"/>
    </row>
    <row r="3041" spans="1:7" x14ac:dyDescent="0.25">
      <c r="A3041" s="36">
        <v>42853</v>
      </c>
      <c r="B3041" s="6">
        <v>43.81</v>
      </c>
      <c r="C3041" s="6">
        <v>24.98</v>
      </c>
      <c r="D3041" s="6">
        <v>5.28</v>
      </c>
      <c r="E3041" s="6">
        <v>2.9000000000000004</v>
      </c>
      <c r="G3041" s="31"/>
    </row>
    <row r="3042" spans="1:7" x14ac:dyDescent="0.25">
      <c r="A3042" s="36">
        <v>42854</v>
      </c>
      <c r="B3042" s="6">
        <v>43.93</v>
      </c>
      <c r="C3042" s="6">
        <v>25.11</v>
      </c>
      <c r="D3042" s="6">
        <v>5.72</v>
      </c>
      <c r="E3042" s="6">
        <v>2.9200000000000004</v>
      </c>
      <c r="G3042" s="31"/>
    </row>
    <row r="3043" spans="1:7" x14ac:dyDescent="0.25">
      <c r="A3043" s="36">
        <v>42855</v>
      </c>
      <c r="B3043" s="6">
        <v>44.02</v>
      </c>
      <c r="C3043" s="6">
        <v>25.21</v>
      </c>
      <c r="D3043" s="6">
        <v>5.9</v>
      </c>
      <c r="E3043" s="6">
        <v>2.9200000000000004</v>
      </c>
      <c r="G3043" s="31"/>
    </row>
    <row r="3044" spans="1:7" x14ac:dyDescent="0.25">
      <c r="A3044" s="36">
        <v>42856</v>
      </c>
      <c r="B3044" s="6">
        <v>44.14</v>
      </c>
      <c r="C3044" s="6">
        <v>25.37</v>
      </c>
      <c r="D3044" s="6">
        <v>6</v>
      </c>
      <c r="E3044" s="6">
        <v>2.91</v>
      </c>
      <c r="G3044" s="31"/>
    </row>
    <row r="3045" spans="1:7" x14ac:dyDescent="0.25">
      <c r="A3045" s="36">
        <v>42857</v>
      </c>
      <c r="B3045" s="6">
        <v>44.26</v>
      </c>
      <c r="C3045" s="6">
        <v>25.52</v>
      </c>
      <c r="D3045" s="6">
        <v>6.1</v>
      </c>
      <c r="E3045" s="6">
        <v>2.91</v>
      </c>
      <c r="G3045" s="31"/>
    </row>
    <row r="3046" spans="1:7" x14ac:dyDescent="0.25">
      <c r="A3046" s="36">
        <v>42858</v>
      </c>
      <c r="B3046" s="6">
        <v>44.45</v>
      </c>
      <c r="C3046" s="6">
        <v>25.62</v>
      </c>
      <c r="D3046" s="6">
        <v>6.2</v>
      </c>
      <c r="E3046" s="6">
        <v>3.06</v>
      </c>
      <c r="G3046" s="31"/>
    </row>
    <row r="3047" spans="1:7" x14ac:dyDescent="0.25">
      <c r="A3047" s="36">
        <v>42859</v>
      </c>
      <c r="B3047" s="6">
        <v>44.6</v>
      </c>
      <c r="C3047" s="6">
        <v>25.73</v>
      </c>
      <c r="D3047" s="6">
        <v>6.32</v>
      </c>
      <c r="E3047" s="6">
        <v>3.0900000000000003</v>
      </c>
      <c r="G3047" s="31"/>
    </row>
    <row r="3048" spans="1:7" x14ac:dyDescent="0.25">
      <c r="A3048" s="36">
        <v>42860</v>
      </c>
      <c r="B3048" s="6">
        <v>44.79</v>
      </c>
      <c r="C3048" s="6">
        <v>25.85</v>
      </c>
      <c r="D3048" s="6">
        <v>6.45</v>
      </c>
      <c r="E3048" s="6">
        <v>3.2800000000000002</v>
      </c>
      <c r="G3048" s="31"/>
    </row>
    <row r="3049" spans="1:7" x14ac:dyDescent="0.25">
      <c r="A3049" s="36">
        <v>42861</v>
      </c>
      <c r="B3049" s="6">
        <v>44.95</v>
      </c>
      <c r="C3049" s="6">
        <v>26.05</v>
      </c>
      <c r="D3049" s="6">
        <v>6.64</v>
      </c>
      <c r="E3049" s="6">
        <v>3.35</v>
      </c>
      <c r="G3049" s="31"/>
    </row>
    <row r="3050" spans="1:7" x14ac:dyDescent="0.25">
      <c r="A3050" s="36">
        <v>42862</v>
      </c>
      <c r="B3050" s="6">
        <v>45.16</v>
      </c>
      <c r="C3050" s="6">
        <v>26.3</v>
      </c>
      <c r="D3050" s="6">
        <v>6.84</v>
      </c>
      <c r="E3050" s="6">
        <v>3.4200000000000004</v>
      </c>
      <c r="G3050" s="31"/>
    </row>
    <row r="3051" spans="1:7" x14ac:dyDescent="0.25">
      <c r="A3051" s="36">
        <v>42863</v>
      </c>
      <c r="B3051" s="6">
        <v>45.38</v>
      </c>
      <c r="C3051" s="6">
        <v>26.48</v>
      </c>
      <c r="D3051" s="6">
        <v>7</v>
      </c>
      <c r="E3051" s="6">
        <v>3.54</v>
      </c>
      <c r="G3051" s="31"/>
    </row>
    <row r="3052" spans="1:7" x14ac:dyDescent="0.25">
      <c r="A3052" s="36">
        <v>42864</v>
      </c>
      <c r="B3052" s="6">
        <v>45.62</v>
      </c>
      <c r="C3052" s="6">
        <v>26.64</v>
      </c>
      <c r="D3052" s="6">
        <v>7.3</v>
      </c>
      <c r="E3052" s="6">
        <v>3.8200000000000003</v>
      </c>
      <c r="G3052" s="31"/>
    </row>
    <row r="3053" spans="1:7" x14ac:dyDescent="0.25">
      <c r="A3053" s="36">
        <v>42865</v>
      </c>
      <c r="B3053" s="6">
        <v>45.86</v>
      </c>
      <c r="C3053" s="6">
        <v>26.84</v>
      </c>
      <c r="D3053" s="6">
        <v>7.58</v>
      </c>
      <c r="E3053" s="6">
        <v>4.0599999999999996</v>
      </c>
      <c r="G3053" s="31"/>
    </row>
    <row r="3054" spans="1:7" x14ac:dyDescent="0.25">
      <c r="A3054" s="36">
        <v>42866</v>
      </c>
      <c r="B3054" s="6">
        <v>45.98</v>
      </c>
      <c r="C3054" s="6">
        <v>27.14</v>
      </c>
      <c r="D3054" s="6">
        <v>7.8</v>
      </c>
      <c r="E3054" s="6">
        <v>4.18</v>
      </c>
      <c r="G3054" s="31"/>
    </row>
    <row r="3055" spans="1:7" x14ac:dyDescent="0.25">
      <c r="A3055" s="36">
        <v>42867</v>
      </c>
      <c r="B3055" s="6">
        <v>46.28</v>
      </c>
      <c r="C3055" s="6">
        <v>27.38</v>
      </c>
      <c r="D3055" s="6">
        <v>8.1</v>
      </c>
      <c r="E3055" s="6">
        <v>4.33</v>
      </c>
      <c r="G3055" s="31"/>
    </row>
    <row r="3056" spans="1:7" x14ac:dyDescent="0.25">
      <c r="A3056" s="36">
        <v>42868</v>
      </c>
      <c r="B3056" s="6">
        <v>46.49</v>
      </c>
      <c r="C3056" s="6">
        <v>27.58</v>
      </c>
      <c r="D3056" s="6">
        <v>8.4600000000000009</v>
      </c>
      <c r="E3056" s="6">
        <v>4.5699999999999994</v>
      </c>
      <c r="G3056" s="31"/>
    </row>
    <row r="3057" spans="1:7" x14ac:dyDescent="0.25">
      <c r="A3057" s="36">
        <v>42869</v>
      </c>
      <c r="B3057" s="6">
        <v>46.55</v>
      </c>
      <c r="C3057" s="6">
        <v>27.8</v>
      </c>
      <c r="D3057" s="6">
        <v>8.8000000000000007</v>
      </c>
      <c r="E3057" s="6">
        <v>4.75</v>
      </c>
      <c r="G3057" s="31"/>
    </row>
    <row r="3058" spans="1:7" x14ac:dyDescent="0.25">
      <c r="A3058" s="36">
        <v>42870</v>
      </c>
      <c r="B3058" s="6">
        <v>46.79</v>
      </c>
      <c r="C3058" s="6">
        <v>27.97</v>
      </c>
      <c r="D3058" s="6">
        <v>9</v>
      </c>
      <c r="E3058" s="6">
        <v>5.08</v>
      </c>
      <c r="G3058" s="31"/>
    </row>
    <row r="3059" spans="1:7" x14ac:dyDescent="0.25">
      <c r="A3059" s="36">
        <v>42871</v>
      </c>
      <c r="B3059" s="6">
        <v>46.98</v>
      </c>
      <c r="C3059" s="6">
        <v>28.21</v>
      </c>
      <c r="D3059" s="6">
        <v>9.16</v>
      </c>
      <c r="E3059" s="6">
        <v>5.2299999999999995</v>
      </c>
      <c r="G3059" s="31"/>
    </row>
    <row r="3060" spans="1:7" x14ac:dyDescent="0.25">
      <c r="A3060" s="36">
        <v>42872</v>
      </c>
      <c r="B3060" s="6">
        <v>47.14</v>
      </c>
      <c r="C3060" s="6">
        <v>28.37</v>
      </c>
      <c r="D3060" s="6">
        <v>9.36</v>
      </c>
      <c r="E3060" s="6">
        <v>5.43</v>
      </c>
      <c r="G3060" s="31"/>
    </row>
    <row r="3061" spans="1:7" x14ac:dyDescent="0.25">
      <c r="A3061" s="36">
        <v>42873</v>
      </c>
      <c r="B3061" s="6">
        <v>47.23</v>
      </c>
      <c r="C3061" s="6">
        <v>28.52</v>
      </c>
      <c r="D3061" s="6">
        <v>9.6999999999999993</v>
      </c>
      <c r="E3061" s="6">
        <v>5.6</v>
      </c>
      <c r="G3061" s="31"/>
    </row>
    <row r="3062" spans="1:7" x14ac:dyDescent="0.25">
      <c r="A3062" s="36">
        <v>42874</v>
      </c>
      <c r="B3062" s="6">
        <v>47.31</v>
      </c>
      <c r="C3062" s="6">
        <v>28.68</v>
      </c>
      <c r="D3062" s="6">
        <v>9.7799999999999994</v>
      </c>
      <c r="E3062" s="6">
        <v>5.6</v>
      </c>
      <c r="G3062" s="31"/>
    </row>
    <row r="3063" spans="1:7" x14ac:dyDescent="0.25">
      <c r="A3063" s="36">
        <v>42875</v>
      </c>
      <c r="B3063" s="6">
        <v>47.39</v>
      </c>
      <c r="C3063" s="6">
        <v>28.79</v>
      </c>
      <c r="D3063" s="6">
        <v>9.9600000000000009</v>
      </c>
      <c r="E3063" s="6">
        <v>5.71</v>
      </c>
      <c r="G3063" s="31"/>
    </row>
    <row r="3064" spans="1:7" x14ac:dyDescent="0.25">
      <c r="A3064" s="36">
        <v>42876</v>
      </c>
      <c r="B3064" s="6">
        <v>47.41</v>
      </c>
      <c r="C3064" s="6">
        <v>28.86</v>
      </c>
      <c r="D3064" s="6">
        <v>10.199999999999999</v>
      </c>
      <c r="E3064" s="6">
        <v>5.93</v>
      </c>
      <c r="G3064" s="31"/>
    </row>
    <row r="3065" spans="1:7" x14ac:dyDescent="0.25">
      <c r="A3065" s="36">
        <v>42877</v>
      </c>
      <c r="B3065" s="6">
        <v>47.48</v>
      </c>
      <c r="C3065" s="6">
        <v>28.95</v>
      </c>
      <c r="D3065" s="6">
        <v>10.34</v>
      </c>
      <c r="E3065" s="6">
        <v>6.06</v>
      </c>
      <c r="G3065" s="31"/>
    </row>
    <row r="3066" spans="1:7" x14ac:dyDescent="0.25">
      <c r="A3066" s="36">
        <v>42878</v>
      </c>
      <c r="B3066" s="6">
        <v>47.52</v>
      </c>
      <c r="C3066" s="6">
        <v>28.98</v>
      </c>
      <c r="D3066" s="6">
        <v>10.48</v>
      </c>
      <c r="E3066" s="6">
        <v>6.16</v>
      </c>
      <c r="G3066" s="31"/>
    </row>
    <row r="3067" spans="1:7" x14ac:dyDescent="0.25">
      <c r="A3067" s="36">
        <v>42879</v>
      </c>
      <c r="B3067" s="6">
        <v>47.56</v>
      </c>
      <c r="C3067" s="6">
        <v>29.02</v>
      </c>
      <c r="D3067" s="6">
        <v>10.6</v>
      </c>
      <c r="E3067" s="6">
        <v>6.26</v>
      </c>
      <c r="G3067" s="31"/>
    </row>
    <row r="3068" spans="1:7" x14ac:dyDescent="0.25">
      <c r="A3068" s="36">
        <v>42880</v>
      </c>
      <c r="B3068" s="6">
        <v>47.59</v>
      </c>
      <c r="C3068" s="7">
        <v>29.1</v>
      </c>
      <c r="D3068" s="7">
        <v>10.8</v>
      </c>
      <c r="E3068" s="6">
        <v>6.1999999999999993</v>
      </c>
      <c r="G3068" s="31"/>
    </row>
    <row r="3069" spans="1:7" x14ac:dyDescent="0.25">
      <c r="A3069" s="36">
        <v>42881</v>
      </c>
      <c r="B3069" s="6">
        <v>47.62</v>
      </c>
      <c r="C3069" s="7">
        <v>29.16</v>
      </c>
      <c r="D3069" s="7">
        <v>10.74</v>
      </c>
      <c r="E3069" s="7">
        <v>6.3</v>
      </c>
      <c r="G3069" s="31"/>
    </row>
    <row r="3070" spans="1:7" x14ac:dyDescent="0.25">
      <c r="A3070" s="36">
        <v>42882</v>
      </c>
      <c r="B3070" s="7">
        <v>47.73</v>
      </c>
      <c r="C3070" s="7">
        <v>29.16</v>
      </c>
      <c r="D3070" s="7">
        <v>10.8</v>
      </c>
      <c r="E3070" s="7">
        <v>6.37</v>
      </c>
      <c r="G3070" s="31"/>
    </row>
    <row r="3071" spans="1:7" x14ac:dyDescent="0.25">
      <c r="A3071" s="36">
        <v>42883</v>
      </c>
      <c r="B3071" s="7">
        <v>47.75</v>
      </c>
      <c r="C3071" s="7">
        <v>29.16</v>
      </c>
      <c r="D3071" s="7">
        <v>10.88</v>
      </c>
      <c r="E3071" s="7">
        <v>6.47</v>
      </c>
      <c r="G3071" s="31"/>
    </row>
    <row r="3072" spans="1:7" x14ac:dyDescent="0.25">
      <c r="A3072" s="36">
        <v>42884</v>
      </c>
      <c r="B3072" s="7">
        <v>47.75</v>
      </c>
      <c r="C3072" s="7">
        <v>29.14</v>
      </c>
      <c r="D3072" s="7">
        <v>10.9</v>
      </c>
      <c r="E3072" s="7">
        <v>6.58</v>
      </c>
      <c r="G3072" s="31"/>
    </row>
    <row r="3073" spans="1:7" x14ac:dyDescent="0.25">
      <c r="A3073" s="36">
        <v>42885</v>
      </c>
      <c r="B3073" s="7">
        <v>47.73</v>
      </c>
      <c r="C3073" s="7">
        <v>29.14</v>
      </c>
      <c r="D3073" s="7">
        <v>10.9</v>
      </c>
      <c r="E3073" s="7">
        <v>6.4799999999999995</v>
      </c>
      <c r="G3073" s="31"/>
    </row>
    <row r="3074" spans="1:7" x14ac:dyDescent="0.25">
      <c r="A3074" s="36">
        <v>42886</v>
      </c>
      <c r="B3074" s="7">
        <v>47.75</v>
      </c>
      <c r="C3074" s="7">
        <v>29.16</v>
      </c>
      <c r="D3074" s="7">
        <v>10.82</v>
      </c>
      <c r="E3074" s="7">
        <v>6.43</v>
      </c>
      <c r="G3074" s="31"/>
    </row>
    <row r="3075" spans="1:7" x14ac:dyDescent="0.25">
      <c r="A3075" s="36">
        <v>42887</v>
      </c>
      <c r="B3075" s="7">
        <v>47.75</v>
      </c>
      <c r="C3075" s="7">
        <v>29.2</v>
      </c>
      <c r="D3075" s="7">
        <v>10.71</v>
      </c>
      <c r="E3075" s="7">
        <v>6.46</v>
      </c>
      <c r="G3075" s="31"/>
    </row>
    <row r="3076" spans="1:7" x14ac:dyDescent="0.25">
      <c r="A3076" s="36">
        <v>42888</v>
      </c>
      <c r="B3076" s="7">
        <v>47.76</v>
      </c>
      <c r="C3076" s="7">
        <v>29.22</v>
      </c>
      <c r="D3076" s="7">
        <v>10.71</v>
      </c>
      <c r="E3076" s="7">
        <v>6.43</v>
      </c>
      <c r="G3076" s="31"/>
    </row>
    <row r="3077" spans="1:7" x14ac:dyDescent="0.25">
      <c r="A3077" s="36">
        <v>42889</v>
      </c>
      <c r="B3077" s="7">
        <v>47.78</v>
      </c>
      <c r="C3077" s="7">
        <v>29.24</v>
      </c>
      <c r="D3077" s="7">
        <v>10.8</v>
      </c>
      <c r="E3077" s="7">
        <v>6.42</v>
      </c>
      <c r="G3077" s="31"/>
    </row>
    <row r="3078" spans="1:7" x14ac:dyDescent="0.25">
      <c r="A3078" s="36">
        <v>42890</v>
      </c>
      <c r="B3078" s="7">
        <v>47.78</v>
      </c>
      <c r="C3078" s="7">
        <v>29.24</v>
      </c>
      <c r="D3078" s="7">
        <v>10.8</v>
      </c>
      <c r="E3078" s="7">
        <v>6.5</v>
      </c>
      <c r="G3078" s="31"/>
    </row>
    <row r="3079" spans="1:7" x14ac:dyDescent="0.25">
      <c r="A3079" s="36">
        <v>42891</v>
      </c>
      <c r="B3079" s="7">
        <v>47.78</v>
      </c>
      <c r="C3079" s="7">
        <v>29.24</v>
      </c>
      <c r="D3079" s="7">
        <v>10.88</v>
      </c>
      <c r="E3079" s="7">
        <v>6.4399999999999995</v>
      </c>
      <c r="G3079" s="31"/>
    </row>
    <row r="3080" spans="1:7" x14ac:dyDescent="0.25">
      <c r="A3080" s="36">
        <v>42892</v>
      </c>
      <c r="B3080" s="7">
        <v>47.82</v>
      </c>
      <c r="C3080" s="7">
        <v>29.25</v>
      </c>
      <c r="D3080" s="7">
        <v>10.88</v>
      </c>
      <c r="E3080" s="7">
        <v>6.4799999999999995</v>
      </c>
      <c r="G3080" s="31"/>
    </row>
    <row r="3081" spans="1:7" x14ac:dyDescent="0.25">
      <c r="A3081" s="36">
        <v>42893</v>
      </c>
      <c r="B3081" s="7">
        <v>47.88</v>
      </c>
      <c r="C3081" s="7">
        <v>29.3</v>
      </c>
      <c r="D3081" s="7">
        <v>10.84</v>
      </c>
      <c r="E3081" s="7">
        <v>6.55</v>
      </c>
      <c r="G3081" s="31"/>
    </row>
    <row r="3082" spans="1:7" x14ac:dyDescent="0.25">
      <c r="A3082" s="36">
        <v>42894</v>
      </c>
      <c r="B3082" s="7">
        <v>47.97</v>
      </c>
      <c r="C3082" s="7">
        <v>29.32</v>
      </c>
      <c r="D3082" s="7">
        <v>10.88</v>
      </c>
      <c r="E3082" s="7">
        <v>6.58</v>
      </c>
      <c r="G3082" s="31"/>
    </row>
    <row r="3083" spans="1:7" x14ac:dyDescent="0.25">
      <c r="A3083" s="36">
        <v>42895</v>
      </c>
      <c r="B3083" s="7">
        <v>48.12</v>
      </c>
      <c r="C3083" s="7">
        <v>29.42</v>
      </c>
      <c r="D3083" s="7">
        <v>10.88</v>
      </c>
      <c r="E3083" s="7">
        <v>6.4799999999999995</v>
      </c>
      <c r="G3083" s="31"/>
    </row>
    <row r="3084" spans="1:7" x14ac:dyDescent="0.25">
      <c r="A3084" s="36">
        <v>42896</v>
      </c>
      <c r="B3084" s="7">
        <v>48.29</v>
      </c>
      <c r="C3084" s="7">
        <v>29.5</v>
      </c>
      <c r="D3084" s="7">
        <v>10.88</v>
      </c>
      <c r="E3084" s="7">
        <v>6.5699999999999994</v>
      </c>
      <c r="G3084" s="31"/>
    </row>
    <row r="3085" spans="1:7" x14ac:dyDescent="0.25">
      <c r="A3085" s="36">
        <v>42897</v>
      </c>
      <c r="B3085" s="7">
        <v>48.44</v>
      </c>
      <c r="C3085" s="7">
        <v>29.58</v>
      </c>
      <c r="D3085" s="7">
        <v>11</v>
      </c>
      <c r="E3085" s="7">
        <v>6.56</v>
      </c>
      <c r="G3085" s="31"/>
    </row>
    <row r="3086" spans="1:7" x14ac:dyDescent="0.25">
      <c r="A3086" s="36">
        <v>42898</v>
      </c>
      <c r="B3086" s="7">
        <v>48.52</v>
      </c>
      <c r="C3086" s="7">
        <v>29.72</v>
      </c>
      <c r="D3086" s="7">
        <v>11.08</v>
      </c>
      <c r="E3086" s="7">
        <v>6.64</v>
      </c>
      <c r="G3086" s="31"/>
    </row>
    <row r="3087" spans="1:7" x14ac:dyDescent="0.25">
      <c r="A3087" s="36">
        <v>42899</v>
      </c>
      <c r="B3087" s="7">
        <v>48.62</v>
      </c>
      <c r="C3087" s="7">
        <v>29.81</v>
      </c>
      <c r="D3087" s="7">
        <v>11.26</v>
      </c>
      <c r="E3087" s="7">
        <v>6.8999999999999995</v>
      </c>
      <c r="G3087" s="31"/>
    </row>
    <row r="3088" spans="1:7" x14ac:dyDescent="0.25">
      <c r="A3088" s="36">
        <v>42900</v>
      </c>
      <c r="B3088" s="7">
        <v>48.74</v>
      </c>
      <c r="C3088" s="7">
        <v>29.92</v>
      </c>
      <c r="D3088" s="7">
        <v>11.5</v>
      </c>
      <c r="E3088" s="7">
        <v>6.97</v>
      </c>
      <c r="G3088" s="31"/>
    </row>
    <row r="3089" spans="1:7" x14ac:dyDescent="0.25">
      <c r="A3089" s="36">
        <v>42901</v>
      </c>
      <c r="B3089" s="7">
        <v>48.82</v>
      </c>
      <c r="C3089" s="6">
        <v>30.04</v>
      </c>
      <c r="D3089" s="6">
        <v>11.68</v>
      </c>
      <c r="E3089" s="7">
        <v>7.14</v>
      </c>
      <c r="G3089" s="31"/>
    </row>
    <row r="3090" spans="1:7" x14ac:dyDescent="0.25">
      <c r="A3090" s="36">
        <v>42902</v>
      </c>
      <c r="B3090" s="7">
        <v>48.96</v>
      </c>
      <c r="C3090" s="6">
        <v>30.19</v>
      </c>
      <c r="D3090" s="6">
        <v>11.88</v>
      </c>
      <c r="E3090" s="6">
        <v>7.35</v>
      </c>
      <c r="G3090" s="31"/>
    </row>
    <row r="3091" spans="1:7" x14ac:dyDescent="0.25">
      <c r="A3091" s="36">
        <v>42903</v>
      </c>
      <c r="B3091" s="6">
        <v>49.02</v>
      </c>
      <c r="C3091" s="6">
        <v>30.34</v>
      </c>
      <c r="D3091" s="6">
        <v>12.06</v>
      </c>
      <c r="E3091" s="6">
        <v>7.3999999999999995</v>
      </c>
      <c r="G3091" s="31"/>
    </row>
    <row r="3092" spans="1:7" x14ac:dyDescent="0.25">
      <c r="A3092" s="36">
        <v>42904</v>
      </c>
      <c r="B3092" s="6">
        <v>49.19</v>
      </c>
      <c r="C3092" s="6">
        <v>30.44</v>
      </c>
      <c r="D3092" s="6">
        <v>12.2</v>
      </c>
      <c r="E3092" s="6">
        <v>7.5299999999999994</v>
      </c>
      <c r="G3092" s="31"/>
    </row>
    <row r="3093" spans="1:7" x14ac:dyDescent="0.25">
      <c r="A3093" s="36">
        <v>42905</v>
      </c>
      <c r="B3093" s="6">
        <v>49.3</v>
      </c>
      <c r="C3093" s="6">
        <v>30.54</v>
      </c>
      <c r="D3093" s="6">
        <v>12.32</v>
      </c>
      <c r="E3093" s="6">
        <v>7.6499999999999995</v>
      </c>
      <c r="G3093" s="31"/>
    </row>
    <row r="3094" spans="1:7" x14ac:dyDescent="0.25">
      <c r="A3094" s="36">
        <v>42906</v>
      </c>
      <c r="B3094" s="6">
        <v>49.4</v>
      </c>
      <c r="C3094" s="6">
        <v>30.68</v>
      </c>
      <c r="D3094" s="6">
        <v>12.46</v>
      </c>
      <c r="E3094" s="6">
        <v>7.75</v>
      </c>
      <c r="G3094" s="31"/>
    </row>
    <row r="3095" spans="1:7" x14ac:dyDescent="0.25">
      <c r="A3095" s="36">
        <v>42907</v>
      </c>
      <c r="B3095" s="6">
        <v>49.49</v>
      </c>
      <c r="C3095" s="6">
        <v>30.79</v>
      </c>
      <c r="D3095" s="6">
        <v>12.54</v>
      </c>
      <c r="E3095" s="6">
        <v>7.8</v>
      </c>
      <c r="G3095" s="31"/>
    </row>
    <row r="3096" spans="1:7" x14ac:dyDescent="0.25">
      <c r="A3096" s="36">
        <v>42908</v>
      </c>
      <c r="B3096" s="6">
        <v>49.55</v>
      </c>
      <c r="C3096" s="6">
        <v>30.9</v>
      </c>
      <c r="D3096" s="6">
        <v>12.6</v>
      </c>
      <c r="E3096" s="6">
        <v>7.8599999999999994</v>
      </c>
      <c r="G3096" s="31"/>
    </row>
    <row r="3097" spans="1:7" x14ac:dyDescent="0.25">
      <c r="A3097" s="36">
        <v>42909</v>
      </c>
      <c r="B3097" s="6">
        <v>49.69</v>
      </c>
      <c r="C3097" s="6">
        <v>31.01</v>
      </c>
      <c r="D3097" s="6">
        <v>12.7</v>
      </c>
      <c r="E3097" s="6">
        <v>7.9499999999999993</v>
      </c>
      <c r="G3097" s="31"/>
    </row>
    <row r="3098" spans="1:7" x14ac:dyDescent="0.25">
      <c r="A3098" s="36">
        <v>42910</v>
      </c>
      <c r="B3098" s="6">
        <v>49.86</v>
      </c>
      <c r="C3098" s="6">
        <v>31.12</v>
      </c>
      <c r="D3098" s="6">
        <v>12.81</v>
      </c>
      <c r="E3098" s="6">
        <v>8.01</v>
      </c>
      <c r="G3098" s="31"/>
    </row>
    <row r="3099" spans="1:7" x14ac:dyDescent="0.25">
      <c r="A3099" s="36">
        <v>42911</v>
      </c>
      <c r="B3099" s="6">
        <v>49.98</v>
      </c>
      <c r="C3099" s="6">
        <v>31.24</v>
      </c>
      <c r="D3099" s="6">
        <v>12.9</v>
      </c>
      <c r="E3099" s="6">
        <v>8.0299999999999994</v>
      </c>
      <c r="G3099" s="31"/>
    </row>
    <row r="3100" spans="1:7" x14ac:dyDescent="0.25">
      <c r="A3100" s="36">
        <v>42912</v>
      </c>
      <c r="B3100" s="6">
        <v>50.15</v>
      </c>
      <c r="C3100" s="6">
        <v>31.38</v>
      </c>
      <c r="D3100" s="6">
        <v>13</v>
      </c>
      <c r="E3100" s="6">
        <v>8.1999999999999993</v>
      </c>
      <c r="G3100" s="31"/>
    </row>
    <row r="3101" spans="1:7" x14ac:dyDescent="0.25">
      <c r="A3101" s="36">
        <v>42913</v>
      </c>
      <c r="B3101" s="6">
        <v>50.24</v>
      </c>
      <c r="C3101" s="6">
        <v>31.47</v>
      </c>
      <c r="D3101" s="6">
        <v>13.1</v>
      </c>
      <c r="E3101" s="6">
        <v>8.2799999999999994</v>
      </c>
      <c r="G3101" s="31"/>
    </row>
    <row r="3102" spans="1:7" x14ac:dyDescent="0.25">
      <c r="A3102" s="36">
        <v>42914</v>
      </c>
      <c r="B3102" s="6">
        <v>50.29</v>
      </c>
      <c r="C3102" s="6">
        <v>31.57</v>
      </c>
      <c r="D3102" s="6">
        <v>13.2</v>
      </c>
      <c r="E3102" s="6">
        <v>8.370000000000001</v>
      </c>
      <c r="G3102" s="31"/>
    </row>
    <row r="3103" spans="1:7" x14ac:dyDescent="0.25">
      <c r="A3103" s="36">
        <v>42915</v>
      </c>
      <c r="B3103" s="6">
        <v>50.29</v>
      </c>
      <c r="C3103" s="6">
        <v>31.66</v>
      </c>
      <c r="D3103" s="6">
        <v>13.3</v>
      </c>
      <c r="E3103" s="6">
        <v>8.4499999999999993</v>
      </c>
      <c r="G3103" s="31"/>
    </row>
    <row r="3104" spans="1:7" x14ac:dyDescent="0.25">
      <c r="A3104" s="36">
        <v>42916</v>
      </c>
      <c r="B3104" s="6">
        <v>50.49</v>
      </c>
      <c r="C3104" s="6">
        <v>31.94</v>
      </c>
      <c r="D3104" s="6">
        <v>13.4</v>
      </c>
      <c r="E3104" s="6">
        <v>8.5</v>
      </c>
      <c r="G3104" s="31"/>
    </row>
    <row r="3105" spans="1:7" x14ac:dyDescent="0.25">
      <c r="A3105" s="36">
        <v>42917</v>
      </c>
      <c r="B3105" s="6">
        <v>50.54</v>
      </c>
      <c r="C3105" s="6">
        <v>32.04</v>
      </c>
      <c r="D3105" s="6">
        <v>13.46</v>
      </c>
      <c r="E3105" s="6">
        <v>8.5499999999999989</v>
      </c>
      <c r="G3105" s="31"/>
    </row>
    <row r="3106" spans="1:7" x14ac:dyDescent="0.25">
      <c r="A3106" s="36">
        <v>42918</v>
      </c>
      <c r="B3106" s="6">
        <v>50.61</v>
      </c>
      <c r="C3106" s="6">
        <v>32.119999999999997</v>
      </c>
      <c r="D3106" s="6">
        <v>13.68</v>
      </c>
      <c r="E3106" s="6">
        <v>8.64</v>
      </c>
      <c r="G3106" s="31"/>
    </row>
    <row r="3107" spans="1:7" x14ac:dyDescent="0.25">
      <c r="A3107" s="36">
        <v>42919</v>
      </c>
      <c r="B3107" s="6">
        <v>50.64</v>
      </c>
      <c r="C3107" s="6">
        <v>32.21</v>
      </c>
      <c r="D3107" s="6">
        <v>13.7</v>
      </c>
      <c r="E3107" s="6">
        <v>8.7199999999999989</v>
      </c>
      <c r="G3107" s="31"/>
    </row>
    <row r="3108" spans="1:7" x14ac:dyDescent="0.25">
      <c r="A3108" s="36">
        <v>42920</v>
      </c>
      <c r="B3108" s="6">
        <v>50.64</v>
      </c>
      <c r="C3108" s="6">
        <v>32.26</v>
      </c>
      <c r="D3108" s="6">
        <v>13.7</v>
      </c>
      <c r="E3108" s="6">
        <v>8.81</v>
      </c>
      <c r="G3108" s="31"/>
    </row>
    <row r="3109" spans="1:7" x14ac:dyDescent="0.25">
      <c r="A3109" s="36">
        <v>42921</v>
      </c>
      <c r="B3109" s="6">
        <v>50.65</v>
      </c>
      <c r="C3109" s="6">
        <v>32.299999999999997</v>
      </c>
      <c r="D3109" s="6">
        <v>13.9</v>
      </c>
      <c r="E3109" s="7">
        <v>8.879999999999999</v>
      </c>
      <c r="G3109" s="31"/>
    </row>
    <row r="3110" spans="1:7" x14ac:dyDescent="0.25">
      <c r="A3110" s="36">
        <v>42922</v>
      </c>
      <c r="B3110" s="7">
        <v>50.68</v>
      </c>
      <c r="C3110" s="6">
        <v>32.4</v>
      </c>
      <c r="D3110" s="6">
        <v>14</v>
      </c>
      <c r="E3110" s="7">
        <v>9.0399999999999991</v>
      </c>
      <c r="G3110" s="31"/>
    </row>
    <row r="3111" spans="1:7" x14ac:dyDescent="0.25">
      <c r="A3111" s="36">
        <v>42923</v>
      </c>
      <c r="B3111" s="7">
        <v>50.71</v>
      </c>
      <c r="C3111" s="6">
        <v>32.44</v>
      </c>
      <c r="D3111" s="6">
        <v>14.12</v>
      </c>
      <c r="E3111" s="7">
        <v>9.1999999999999993</v>
      </c>
      <c r="G3111" s="31"/>
    </row>
    <row r="3112" spans="1:7" x14ac:dyDescent="0.25">
      <c r="A3112" s="36">
        <v>42924</v>
      </c>
      <c r="B3112" s="7">
        <v>50.74</v>
      </c>
      <c r="C3112" s="6">
        <v>32.520000000000003</v>
      </c>
      <c r="D3112" s="6">
        <v>14.2</v>
      </c>
      <c r="E3112" s="6">
        <v>9.32</v>
      </c>
      <c r="G3112" s="31"/>
    </row>
    <row r="3113" spans="1:7" x14ac:dyDescent="0.25">
      <c r="A3113" s="36">
        <v>42925</v>
      </c>
      <c r="B3113" s="6">
        <v>50.78</v>
      </c>
      <c r="C3113" s="6">
        <v>32.619999999999997</v>
      </c>
      <c r="D3113" s="6">
        <v>14.26</v>
      </c>
      <c r="E3113" s="6">
        <v>9.43</v>
      </c>
      <c r="G3113" s="31"/>
    </row>
    <row r="3114" spans="1:7" x14ac:dyDescent="0.25">
      <c r="A3114" s="36">
        <v>42926</v>
      </c>
      <c r="B3114" s="6">
        <v>50.8</v>
      </c>
      <c r="C3114" s="6">
        <v>32.700000000000003</v>
      </c>
      <c r="D3114" s="6">
        <v>14.36</v>
      </c>
      <c r="E3114" s="6">
        <v>9.43</v>
      </c>
      <c r="G3114" s="31"/>
    </row>
    <row r="3115" spans="1:7" x14ac:dyDescent="0.25">
      <c r="A3115" s="36">
        <v>42927</v>
      </c>
      <c r="B3115" s="6">
        <v>50.9</v>
      </c>
      <c r="C3115" s="6">
        <v>32.76</v>
      </c>
      <c r="D3115" s="6">
        <v>14.42</v>
      </c>
      <c r="E3115" s="6">
        <v>9.35</v>
      </c>
      <c r="G3115" s="31"/>
    </row>
    <row r="3116" spans="1:7" x14ac:dyDescent="0.25">
      <c r="A3116" s="36">
        <v>42928</v>
      </c>
      <c r="B3116" s="6">
        <v>51</v>
      </c>
      <c r="C3116" s="6">
        <v>32.82</v>
      </c>
      <c r="D3116" s="6">
        <v>14.5</v>
      </c>
      <c r="E3116" s="6">
        <v>9.42</v>
      </c>
      <c r="G3116" s="31"/>
    </row>
    <row r="3117" spans="1:7" x14ac:dyDescent="0.25">
      <c r="A3117" s="36">
        <v>42929</v>
      </c>
      <c r="B3117" s="6">
        <v>51.19</v>
      </c>
      <c r="C3117" s="6">
        <v>32.9</v>
      </c>
      <c r="D3117" s="6">
        <v>14.6</v>
      </c>
      <c r="E3117" s="6">
        <v>9.5499999999999989</v>
      </c>
      <c r="G3117" s="31"/>
    </row>
    <row r="3118" spans="1:7" x14ac:dyDescent="0.25">
      <c r="A3118" s="36">
        <v>42930</v>
      </c>
      <c r="B3118" s="6">
        <v>51.31</v>
      </c>
      <c r="C3118" s="6">
        <v>32.94</v>
      </c>
      <c r="D3118" s="6">
        <v>14.7</v>
      </c>
      <c r="E3118" s="6">
        <v>9.629999999999999</v>
      </c>
      <c r="G3118" s="31"/>
    </row>
    <row r="3119" spans="1:7" x14ac:dyDescent="0.25">
      <c r="A3119" s="36">
        <v>42931</v>
      </c>
      <c r="B3119" s="6">
        <v>51.35</v>
      </c>
      <c r="C3119" s="6">
        <v>33</v>
      </c>
      <c r="D3119" s="6">
        <v>14.8</v>
      </c>
      <c r="E3119" s="6">
        <v>9.68</v>
      </c>
      <c r="G3119" s="31"/>
    </row>
    <row r="3120" spans="1:7" x14ac:dyDescent="0.25">
      <c r="A3120" s="36">
        <v>42932</v>
      </c>
      <c r="B3120" s="6">
        <v>51.36</v>
      </c>
      <c r="C3120" s="6">
        <v>33.1</v>
      </c>
      <c r="D3120" s="6">
        <v>14.88</v>
      </c>
      <c r="E3120" s="6">
        <v>9.7099999999999991</v>
      </c>
      <c r="G3120" s="31"/>
    </row>
    <row r="3121" spans="1:7" x14ac:dyDescent="0.25">
      <c r="A3121" s="36">
        <v>42933</v>
      </c>
      <c r="B3121" s="6">
        <v>51.36</v>
      </c>
      <c r="C3121" s="6">
        <v>33.159999999999997</v>
      </c>
      <c r="D3121" s="6">
        <v>14.98</v>
      </c>
      <c r="E3121" s="6">
        <v>9.82</v>
      </c>
      <c r="G3121" s="31"/>
    </row>
    <row r="3122" spans="1:7" x14ac:dyDescent="0.25">
      <c r="A3122" s="36">
        <v>42934</v>
      </c>
      <c r="B3122" s="6">
        <v>51.36</v>
      </c>
      <c r="C3122" s="6">
        <v>33.200000000000003</v>
      </c>
      <c r="D3122" s="6">
        <v>15.02</v>
      </c>
      <c r="E3122" s="6">
        <v>9.93</v>
      </c>
      <c r="G3122" s="31"/>
    </row>
    <row r="3123" spans="1:7" x14ac:dyDescent="0.25">
      <c r="A3123" s="36">
        <v>42935</v>
      </c>
      <c r="B3123" s="6">
        <v>51.5</v>
      </c>
      <c r="C3123" s="6">
        <v>33.299999999999997</v>
      </c>
      <c r="D3123" s="6">
        <v>15.14</v>
      </c>
      <c r="E3123" s="6">
        <v>10.35</v>
      </c>
      <c r="G3123" s="31"/>
    </row>
    <row r="3124" spans="1:7" x14ac:dyDescent="0.25">
      <c r="A3124" s="36">
        <v>42936</v>
      </c>
      <c r="B3124" s="6">
        <v>51.68</v>
      </c>
      <c r="C3124" s="6">
        <v>33.369999999999997</v>
      </c>
      <c r="D3124" s="6">
        <v>15.32</v>
      </c>
      <c r="E3124" s="6">
        <v>10.78</v>
      </c>
      <c r="G3124" s="31"/>
    </row>
    <row r="3125" spans="1:7" x14ac:dyDescent="0.25">
      <c r="A3125" s="36">
        <v>42937</v>
      </c>
      <c r="B3125" s="6">
        <v>51.79</v>
      </c>
      <c r="C3125" s="6">
        <v>33.44</v>
      </c>
      <c r="D3125" s="6">
        <v>15.52</v>
      </c>
      <c r="E3125" s="6">
        <v>10.879999999999999</v>
      </c>
      <c r="G3125" s="31"/>
    </row>
    <row r="3126" spans="1:7" x14ac:dyDescent="0.25">
      <c r="A3126" s="36">
        <v>42938</v>
      </c>
      <c r="B3126" s="6">
        <v>51.84</v>
      </c>
      <c r="C3126" s="6">
        <v>33.5</v>
      </c>
      <c r="D3126" s="6">
        <v>15.74</v>
      </c>
      <c r="E3126" s="6">
        <v>11.02</v>
      </c>
      <c r="G3126" s="31"/>
    </row>
    <row r="3127" spans="1:7" x14ac:dyDescent="0.25">
      <c r="A3127" s="36">
        <v>42939</v>
      </c>
      <c r="B3127" s="6">
        <v>51.84</v>
      </c>
      <c r="C3127" s="6">
        <v>33.6</v>
      </c>
      <c r="D3127" s="6">
        <v>15.92</v>
      </c>
      <c r="E3127" s="6">
        <v>11.17</v>
      </c>
      <c r="G3127" s="31"/>
    </row>
    <row r="3128" spans="1:7" x14ac:dyDescent="0.25">
      <c r="A3128" s="36">
        <v>42940</v>
      </c>
      <c r="B3128" s="6">
        <v>51.8</v>
      </c>
      <c r="C3128" s="6">
        <v>33.700000000000003</v>
      </c>
      <c r="D3128" s="6">
        <v>16.04</v>
      </c>
      <c r="E3128" s="6">
        <v>11.34</v>
      </c>
      <c r="G3128" s="31"/>
    </row>
    <row r="3129" spans="1:7" x14ac:dyDescent="0.25">
      <c r="A3129" s="36">
        <v>42941</v>
      </c>
      <c r="B3129" s="6">
        <v>51.76</v>
      </c>
      <c r="C3129" s="6">
        <v>33.75</v>
      </c>
      <c r="D3129" s="6">
        <v>16.28</v>
      </c>
      <c r="E3129" s="6">
        <v>11.52</v>
      </c>
      <c r="G3129" s="31"/>
    </row>
    <row r="3130" spans="1:7" x14ac:dyDescent="0.25">
      <c r="A3130" s="36">
        <v>42942</v>
      </c>
      <c r="B3130" s="6">
        <v>51.8</v>
      </c>
      <c r="C3130" s="6">
        <v>33.83</v>
      </c>
      <c r="D3130" s="6">
        <v>16.440000000000001</v>
      </c>
      <c r="E3130" s="6">
        <v>11.62</v>
      </c>
      <c r="G3130" s="31"/>
    </row>
    <row r="3131" spans="1:7" x14ac:dyDescent="0.25">
      <c r="A3131" s="36">
        <v>42943</v>
      </c>
      <c r="B3131" s="6">
        <v>51.81</v>
      </c>
      <c r="C3131" s="6">
        <v>33.909999999999997</v>
      </c>
      <c r="D3131" s="6">
        <v>16.579999999999998</v>
      </c>
      <c r="E3131" s="6">
        <v>11.69</v>
      </c>
      <c r="G3131" s="31"/>
    </row>
    <row r="3132" spans="1:7" x14ac:dyDescent="0.25">
      <c r="A3132" s="36">
        <v>42944</v>
      </c>
      <c r="B3132" s="6">
        <v>51.9</v>
      </c>
      <c r="C3132" s="6">
        <v>34.020000000000003</v>
      </c>
      <c r="D3132" s="6">
        <v>16.66</v>
      </c>
      <c r="E3132" s="6">
        <v>11.74</v>
      </c>
      <c r="G3132" s="31"/>
    </row>
    <row r="3133" spans="1:7" x14ac:dyDescent="0.25">
      <c r="A3133" s="36">
        <v>42945</v>
      </c>
      <c r="B3133" s="6">
        <v>51.99</v>
      </c>
      <c r="C3133" s="6">
        <v>34.11</v>
      </c>
      <c r="D3133" s="6">
        <v>16.760000000000002</v>
      </c>
      <c r="E3133" s="6">
        <v>11.66</v>
      </c>
      <c r="G3133" s="31"/>
    </row>
    <row r="3134" spans="1:7" x14ac:dyDescent="0.25">
      <c r="A3134" s="36">
        <v>42946</v>
      </c>
      <c r="B3134" s="6">
        <v>51.99</v>
      </c>
      <c r="C3134" s="6">
        <v>34.19</v>
      </c>
      <c r="D3134" s="6">
        <v>16.86</v>
      </c>
      <c r="E3134" s="6">
        <v>11.629999999999999</v>
      </c>
      <c r="G3134" s="31"/>
    </row>
    <row r="3135" spans="1:7" x14ac:dyDescent="0.25">
      <c r="A3135" s="36">
        <v>42947</v>
      </c>
      <c r="B3135" s="6">
        <v>52.16</v>
      </c>
      <c r="C3135" s="6">
        <v>34.26</v>
      </c>
      <c r="D3135" s="6">
        <v>16.96</v>
      </c>
      <c r="E3135" s="6">
        <v>11.7</v>
      </c>
      <c r="G3135" s="31"/>
    </row>
    <row r="3136" spans="1:7" x14ac:dyDescent="0.25">
      <c r="A3136" s="36">
        <v>42948</v>
      </c>
      <c r="B3136" s="6">
        <v>52.21</v>
      </c>
      <c r="C3136" s="6">
        <v>34.33</v>
      </c>
      <c r="D3136" s="6">
        <v>17.02</v>
      </c>
      <c r="E3136" s="6">
        <v>11.75</v>
      </c>
      <c r="G3136" s="31"/>
    </row>
    <row r="3137" spans="1:7" x14ac:dyDescent="0.25">
      <c r="A3137" s="36">
        <v>42949</v>
      </c>
      <c r="B3137" s="6">
        <v>52.22</v>
      </c>
      <c r="C3137" s="6">
        <v>34.4</v>
      </c>
      <c r="D3137" s="6">
        <v>17.100000000000001</v>
      </c>
      <c r="E3137" s="6">
        <v>11.81</v>
      </c>
      <c r="G3137" s="31"/>
    </row>
    <row r="3138" spans="1:7" x14ac:dyDescent="0.25">
      <c r="A3138" s="36">
        <v>42950</v>
      </c>
      <c r="B3138" s="6">
        <v>52.23</v>
      </c>
      <c r="C3138" s="6">
        <v>34.44</v>
      </c>
      <c r="D3138" s="6">
        <v>17.16</v>
      </c>
      <c r="E3138" s="6">
        <v>11.92</v>
      </c>
      <c r="G3138" s="31"/>
    </row>
    <row r="3139" spans="1:7" x14ac:dyDescent="0.25">
      <c r="A3139" s="36">
        <v>42951</v>
      </c>
      <c r="B3139" s="6">
        <v>52.23</v>
      </c>
      <c r="C3139" s="6">
        <v>34.49</v>
      </c>
      <c r="D3139" s="6">
        <v>17.239999999999998</v>
      </c>
      <c r="E3139" s="6">
        <v>11.85</v>
      </c>
      <c r="G3139" s="31"/>
    </row>
    <row r="3140" spans="1:7" x14ac:dyDescent="0.25">
      <c r="A3140" s="36">
        <v>42952</v>
      </c>
      <c r="B3140" s="6">
        <v>52.19</v>
      </c>
      <c r="C3140" s="6">
        <v>34.590000000000003</v>
      </c>
      <c r="D3140" s="6">
        <v>17.32</v>
      </c>
      <c r="E3140" s="6">
        <v>11.79</v>
      </c>
      <c r="G3140" s="31"/>
    </row>
    <row r="3141" spans="1:7" x14ac:dyDescent="0.25">
      <c r="A3141" s="36">
        <v>42953</v>
      </c>
      <c r="B3141" s="6">
        <v>52.22</v>
      </c>
      <c r="C3141" s="6">
        <v>34.64</v>
      </c>
      <c r="D3141" s="6">
        <v>17.34</v>
      </c>
      <c r="E3141" s="6">
        <v>11.86</v>
      </c>
      <c r="G3141" s="31"/>
    </row>
    <row r="3142" spans="1:7" x14ac:dyDescent="0.25">
      <c r="A3142" s="36">
        <v>42954</v>
      </c>
      <c r="B3142" s="6">
        <v>52.2</v>
      </c>
      <c r="C3142" s="6">
        <v>34.659999999999997</v>
      </c>
      <c r="D3142" s="6">
        <v>17.38</v>
      </c>
      <c r="E3142" s="6">
        <v>11.78</v>
      </c>
      <c r="G3142" s="31"/>
    </row>
    <row r="3143" spans="1:7" x14ac:dyDescent="0.25">
      <c r="A3143" s="36">
        <v>42955</v>
      </c>
      <c r="B3143" s="6">
        <v>52.14</v>
      </c>
      <c r="C3143" s="6">
        <v>34.659999999999997</v>
      </c>
      <c r="D3143" s="6">
        <v>17.36</v>
      </c>
      <c r="E3143" s="6">
        <v>11.68</v>
      </c>
      <c r="G3143" s="31"/>
    </row>
    <row r="3144" spans="1:7" x14ac:dyDescent="0.25">
      <c r="A3144" s="36">
        <v>42956</v>
      </c>
      <c r="B3144" s="6">
        <v>52.06</v>
      </c>
      <c r="C3144" s="6">
        <v>34.65</v>
      </c>
      <c r="D3144" s="6">
        <v>17.34</v>
      </c>
      <c r="E3144" s="6">
        <v>11.62</v>
      </c>
      <c r="G3144" s="31"/>
    </row>
    <row r="3145" spans="1:7" x14ac:dyDescent="0.25">
      <c r="A3145" s="36">
        <v>42957</v>
      </c>
      <c r="B3145" s="6">
        <v>51.99</v>
      </c>
      <c r="C3145" s="6">
        <v>34.64</v>
      </c>
      <c r="D3145" s="6">
        <v>17.34</v>
      </c>
      <c r="E3145" s="6">
        <v>11.51</v>
      </c>
      <c r="G3145" s="31"/>
    </row>
    <row r="3146" spans="1:7" x14ac:dyDescent="0.25">
      <c r="A3146" s="36">
        <v>42958</v>
      </c>
      <c r="B3146" s="6">
        <v>51.9</v>
      </c>
      <c r="C3146" s="6">
        <v>34.630000000000003</v>
      </c>
      <c r="D3146" s="6">
        <v>17.28</v>
      </c>
      <c r="E3146" s="6">
        <v>11.48</v>
      </c>
      <c r="G3146" s="31"/>
    </row>
    <row r="3147" spans="1:7" x14ac:dyDescent="0.25">
      <c r="A3147" s="36">
        <v>42959</v>
      </c>
      <c r="B3147" s="6">
        <v>51.83</v>
      </c>
      <c r="C3147" s="6">
        <v>34.6</v>
      </c>
      <c r="D3147" s="6">
        <v>17.22</v>
      </c>
      <c r="E3147" s="6">
        <v>11.469999999999999</v>
      </c>
      <c r="G3147" s="31"/>
    </row>
    <row r="3148" spans="1:7" x14ac:dyDescent="0.25">
      <c r="A3148" s="36">
        <v>42960</v>
      </c>
      <c r="B3148" s="6">
        <v>51.75</v>
      </c>
      <c r="C3148" s="6">
        <v>34.56</v>
      </c>
      <c r="D3148" s="6">
        <v>17.16</v>
      </c>
      <c r="E3148" s="6">
        <v>11.4</v>
      </c>
      <c r="G3148" s="31"/>
    </row>
    <row r="3149" spans="1:7" x14ac:dyDescent="0.25">
      <c r="A3149" s="36">
        <v>42961</v>
      </c>
      <c r="B3149" s="6">
        <v>51.7</v>
      </c>
      <c r="C3149" s="6">
        <v>34.53</v>
      </c>
      <c r="D3149" s="6">
        <v>17.12</v>
      </c>
      <c r="E3149" s="6">
        <v>11.31</v>
      </c>
      <c r="G3149" s="31"/>
    </row>
    <row r="3150" spans="1:7" x14ac:dyDescent="0.25">
      <c r="A3150" s="36">
        <v>42962</v>
      </c>
      <c r="B3150" s="6">
        <v>51.62</v>
      </c>
      <c r="C3150" s="6">
        <v>34.49</v>
      </c>
      <c r="D3150" s="6">
        <v>17.04</v>
      </c>
      <c r="E3150" s="6">
        <v>11.2</v>
      </c>
      <c r="G3150" s="31"/>
    </row>
    <row r="3151" spans="1:7" x14ac:dyDescent="0.25">
      <c r="A3151" s="36">
        <v>42963</v>
      </c>
      <c r="B3151" s="6">
        <v>51.55</v>
      </c>
      <c r="C3151" s="6">
        <v>34.450000000000003</v>
      </c>
      <c r="D3151" s="6">
        <v>17</v>
      </c>
      <c r="E3151" s="6">
        <v>11.15</v>
      </c>
      <c r="G3151" s="31"/>
    </row>
    <row r="3152" spans="1:7" x14ac:dyDescent="0.25">
      <c r="A3152" s="36">
        <v>42964</v>
      </c>
      <c r="B3152" s="6">
        <v>51.44</v>
      </c>
      <c r="C3152" s="6">
        <v>34.409999999999997</v>
      </c>
      <c r="D3152" s="6">
        <v>16.899999999999999</v>
      </c>
      <c r="E3152" s="6">
        <v>11.2</v>
      </c>
      <c r="G3152" s="31"/>
    </row>
    <row r="3153" spans="1:7" x14ac:dyDescent="0.25">
      <c r="A3153" s="36">
        <v>42965</v>
      </c>
      <c r="B3153" s="6">
        <v>51.38</v>
      </c>
      <c r="C3153" s="6">
        <v>34.36</v>
      </c>
      <c r="D3153" s="6">
        <v>16.899999999999999</v>
      </c>
      <c r="E3153" s="6">
        <v>11.25</v>
      </c>
      <c r="G3153" s="31"/>
    </row>
    <row r="3154" spans="1:7" x14ac:dyDescent="0.25">
      <c r="A3154" s="36">
        <v>42966</v>
      </c>
      <c r="B3154" s="6">
        <v>51.29</v>
      </c>
      <c r="C3154" s="6">
        <v>34.32</v>
      </c>
      <c r="D3154" s="6">
        <v>16.86</v>
      </c>
      <c r="E3154" s="6">
        <v>11.219999999999999</v>
      </c>
      <c r="G3154" s="31"/>
    </row>
    <row r="3155" spans="1:7" x14ac:dyDescent="0.25">
      <c r="A3155" s="36">
        <v>42967</v>
      </c>
      <c r="B3155" s="6">
        <v>51.25</v>
      </c>
      <c r="C3155" s="6">
        <v>34.31</v>
      </c>
      <c r="D3155" s="6">
        <v>16.84</v>
      </c>
      <c r="E3155" s="6">
        <v>11.27</v>
      </c>
      <c r="G3155" s="31"/>
    </row>
    <row r="3156" spans="1:7" x14ac:dyDescent="0.25">
      <c r="A3156" s="36">
        <v>42968</v>
      </c>
      <c r="B3156" s="6">
        <v>51.16</v>
      </c>
      <c r="C3156" s="6">
        <v>34.299999999999997</v>
      </c>
      <c r="D3156" s="6">
        <v>16.82</v>
      </c>
      <c r="E3156" s="6">
        <v>11.11</v>
      </c>
      <c r="G3156" s="31"/>
    </row>
    <row r="3157" spans="1:7" x14ac:dyDescent="0.25">
      <c r="A3157" s="36">
        <v>42969</v>
      </c>
      <c r="B3157" s="6">
        <v>51.07</v>
      </c>
      <c r="C3157" s="6">
        <v>34.25</v>
      </c>
      <c r="D3157" s="6">
        <v>16.8</v>
      </c>
      <c r="E3157" s="6">
        <v>11.12</v>
      </c>
      <c r="G3157" s="31"/>
    </row>
    <row r="3158" spans="1:7" x14ac:dyDescent="0.25">
      <c r="A3158" s="36">
        <v>42970</v>
      </c>
      <c r="B3158" s="6">
        <v>50.96</v>
      </c>
      <c r="C3158" s="6">
        <v>34.21</v>
      </c>
      <c r="D3158" s="6">
        <v>16.760000000000002</v>
      </c>
      <c r="E3158" s="6">
        <v>11.07</v>
      </c>
      <c r="G3158" s="31"/>
    </row>
    <row r="3159" spans="1:7" x14ac:dyDescent="0.25">
      <c r="A3159" s="36">
        <v>42971</v>
      </c>
      <c r="B3159" s="6">
        <v>50.85</v>
      </c>
      <c r="C3159" s="6">
        <v>34.159999999999997</v>
      </c>
      <c r="D3159" s="6">
        <v>16.760000000000002</v>
      </c>
      <c r="E3159" s="6">
        <v>11.06</v>
      </c>
      <c r="G3159" s="31"/>
    </row>
    <row r="3160" spans="1:7" x14ac:dyDescent="0.25">
      <c r="A3160" s="36">
        <v>42972</v>
      </c>
      <c r="B3160" s="6">
        <v>50.75</v>
      </c>
      <c r="C3160" s="6">
        <v>34.11</v>
      </c>
      <c r="D3160" s="6">
        <v>16.68</v>
      </c>
      <c r="E3160" s="6">
        <v>10.92</v>
      </c>
      <c r="G3160" s="31"/>
    </row>
    <row r="3161" spans="1:7" x14ac:dyDescent="0.25">
      <c r="A3161" s="36">
        <v>42973</v>
      </c>
      <c r="B3161" s="6">
        <v>50.75</v>
      </c>
      <c r="C3161" s="6">
        <v>34.06</v>
      </c>
      <c r="D3161" s="6">
        <v>16.62</v>
      </c>
      <c r="E3161" s="6">
        <v>10.91</v>
      </c>
      <c r="G3161" s="31"/>
    </row>
    <row r="3162" spans="1:7" x14ac:dyDescent="0.25">
      <c r="A3162" s="36">
        <v>42974</v>
      </c>
      <c r="B3162" s="6">
        <v>50.53</v>
      </c>
      <c r="C3162" s="6">
        <v>34.01</v>
      </c>
      <c r="D3162" s="6">
        <v>16.579999999999998</v>
      </c>
      <c r="E3162" s="6">
        <v>10.87</v>
      </c>
      <c r="G3162" s="31"/>
    </row>
    <row r="3163" spans="1:7" x14ac:dyDescent="0.25">
      <c r="A3163" s="36">
        <v>42975</v>
      </c>
      <c r="B3163" s="6">
        <v>50.42</v>
      </c>
      <c r="C3163" s="6">
        <v>33.950000000000003</v>
      </c>
      <c r="D3163" s="6">
        <v>16.579999999999998</v>
      </c>
      <c r="E3163" s="6">
        <v>10.9</v>
      </c>
      <c r="G3163" s="31"/>
    </row>
    <row r="3164" spans="1:7" x14ac:dyDescent="0.25">
      <c r="A3164" s="36">
        <v>42976</v>
      </c>
      <c r="B3164" s="6">
        <v>50.36</v>
      </c>
      <c r="C3164" s="6">
        <v>33.880000000000003</v>
      </c>
      <c r="D3164" s="6">
        <v>16.559999999999999</v>
      </c>
      <c r="E3164" s="6">
        <v>10.85</v>
      </c>
      <c r="G3164" s="31"/>
    </row>
    <row r="3165" spans="1:7" x14ac:dyDescent="0.25">
      <c r="A3165" s="36">
        <v>42977</v>
      </c>
      <c r="B3165" s="6">
        <v>50.24</v>
      </c>
      <c r="C3165" s="6">
        <v>33.799999999999997</v>
      </c>
      <c r="D3165" s="6">
        <v>16.48</v>
      </c>
      <c r="E3165" s="6">
        <v>10.81</v>
      </c>
      <c r="G3165" s="31"/>
    </row>
    <row r="3166" spans="1:7" x14ac:dyDescent="0.25">
      <c r="A3166" s="36">
        <v>42978</v>
      </c>
      <c r="B3166" s="6">
        <v>50.16</v>
      </c>
      <c r="C3166" s="6">
        <v>33.74</v>
      </c>
      <c r="D3166" s="6">
        <v>16.440000000000001</v>
      </c>
      <c r="E3166" s="6">
        <v>10.82</v>
      </c>
      <c r="G3166" s="31"/>
    </row>
    <row r="3167" spans="1:7" x14ac:dyDescent="0.25">
      <c r="A3167" s="36">
        <v>42979</v>
      </c>
      <c r="B3167" s="6">
        <v>50.12</v>
      </c>
      <c r="C3167" s="6">
        <v>33.68</v>
      </c>
      <c r="D3167" s="6">
        <v>16.399999999999999</v>
      </c>
      <c r="E3167" s="6">
        <v>10.78</v>
      </c>
      <c r="G3167" s="31"/>
    </row>
    <row r="3168" spans="1:7" x14ac:dyDescent="0.25">
      <c r="A3168" s="36">
        <v>42980</v>
      </c>
      <c r="B3168" s="6">
        <v>50.05</v>
      </c>
      <c r="C3168" s="6">
        <v>33.619999999999997</v>
      </c>
      <c r="D3168" s="6">
        <v>16.34</v>
      </c>
      <c r="E3168" s="6">
        <v>10.75</v>
      </c>
      <c r="G3168" s="31"/>
    </row>
    <row r="3169" spans="1:7" x14ac:dyDescent="0.25">
      <c r="A3169" s="36">
        <v>42981</v>
      </c>
      <c r="B3169" s="6">
        <v>49.9</v>
      </c>
      <c r="C3169" s="6">
        <v>33.56</v>
      </c>
      <c r="D3169" s="6">
        <v>16.260000000000002</v>
      </c>
      <c r="E3169" s="6">
        <v>10.76</v>
      </c>
      <c r="G3169" s="31"/>
    </row>
    <row r="3170" spans="1:7" x14ac:dyDescent="0.25">
      <c r="A3170" s="36">
        <v>42982</v>
      </c>
      <c r="B3170" s="6">
        <v>49.72</v>
      </c>
      <c r="C3170" s="6">
        <v>33.5</v>
      </c>
      <c r="D3170" s="6">
        <v>16.2</v>
      </c>
      <c r="E3170" s="6">
        <v>10.6</v>
      </c>
      <c r="G3170" s="31"/>
    </row>
    <row r="3171" spans="1:7" x14ac:dyDescent="0.25">
      <c r="A3171" s="36">
        <v>42983</v>
      </c>
      <c r="B3171" s="6">
        <v>49.55</v>
      </c>
      <c r="C3171" s="6">
        <v>33.409999999999997</v>
      </c>
      <c r="D3171" s="6">
        <v>16.14</v>
      </c>
      <c r="E3171" s="6">
        <v>10.64</v>
      </c>
      <c r="G3171" s="31"/>
    </row>
    <row r="3172" spans="1:7" x14ac:dyDescent="0.25">
      <c r="A3172" s="36">
        <v>42984</v>
      </c>
      <c r="B3172" s="6">
        <v>49.37</v>
      </c>
      <c r="C3172" s="6">
        <v>33.32</v>
      </c>
      <c r="D3172" s="6">
        <v>16.079999999999998</v>
      </c>
      <c r="E3172" s="6">
        <v>10.66</v>
      </c>
      <c r="G3172" s="31"/>
    </row>
    <row r="3173" spans="1:7" x14ac:dyDescent="0.25">
      <c r="A3173" s="36">
        <v>42985</v>
      </c>
      <c r="B3173" s="6">
        <v>49.17</v>
      </c>
      <c r="C3173" s="6">
        <v>33.25</v>
      </c>
      <c r="D3173" s="6">
        <v>16.02</v>
      </c>
      <c r="E3173" s="6">
        <v>10.709999999999999</v>
      </c>
      <c r="G3173" s="31"/>
    </row>
    <row r="3174" spans="1:7" x14ac:dyDescent="0.25">
      <c r="A3174" s="36">
        <v>42986</v>
      </c>
      <c r="B3174" s="6">
        <v>48.97</v>
      </c>
      <c r="C3174" s="6">
        <v>33.159999999999997</v>
      </c>
      <c r="D3174" s="6">
        <v>16</v>
      </c>
      <c r="E3174" s="6">
        <v>10.61</v>
      </c>
      <c r="G3174" s="31"/>
    </row>
    <row r="3175" spans="1:7" x14ac:dyDescent="0.25">
      <c r="A3175" s="36">
        <v>42987</v>
      </c>
      <c r="B3175" s="6">
        <v>48.79</v>
      </c>
      <c r="C3175" s="6">
        <v>33.090000000000003</v>
      </c>
      <c r="D3175" s="6">
        <v>15.9</v>
      </c>
      <c r="E3175" s="6">
        <v>10.5</v>
      </c>
      <c r="G3175" s="31"/>
    </row>
    <row r="3176" spans="1:7" x14ac:dyDescent="0.25">
      <c r="A3176" s="36">
        <v>42988</v>
      </c>
      <c r="B3176" s="6">
        <v>48.6</v>
      </c>
      <c r="C3176" s="6">
        <v>32.979999999999997</v>
      </c>
      <c r="D3176" s="6">
        <v>15.86</v>
      </c>
      <c r="E3176" s="6">
        <v>10.459999999999999</v>
      </c>
      <c r="G3176" s="31"/>
    </row>
    <row r="3177" spans="1:7" x14ac:dyDescent="0.25">
      <c r="A3177" s="36">
        <v>42989</v>
      </c>
      <c r="B3177" s="6">
        <v>48.39</v>
      </c>
      <c r="C3177" s="43">
        <v>32.9</v>
      </c>
      <c r="D3177" s="6">
        <v>15.78</v>
      </c>
      <c r="E3177" s="6">
        <v>10.45</v>
      </c>
      <c r="G3177" s="31"/>
    </row>
    <row r="3178" spans="1:7" x14ac:dyDescent="0.25">
      <c r="A3178" s="36">
        <v>42990</v>
      </c>
      <c r="B3178" s="6">
        <v>48.19</v>
      </c>
      <c r="C3178" s="6">
        <v>32.78</v>
      </c>
      <c r="D3178" s="6">
        <v>15.68</v>
      </c>
      <c r="E3178" s="6">
        <v>10.25</v>
      </c>
      <c r="G3178" s="31"/>
    </row>
    <row r="3179" spans="1:7" x14ac:dyDescent="0.25">
      <c r="A3179" s="36">
        <v>42991</v>
      </c>
      <c r="B3179" s="6">
        <v>48.01</v>
      </c>
      <c r="C3179" s="6">
        <v>32.65</v>
      </c>
      <c r="D3179" s="6">
        <v>15.6</v>
      </c>
      <c r="E3179" s="6">
        <v>10.25</v>
      </c>
      <c r="G3179" s="31"/>
    </row>
    <row r="3180" spans="1:7" x14ac:dyDescent="0.25">
      <c r="A3180" s="36">
        <v>42992</v>
      </c>
      <c r="B3180" s="6">
        <v>47.82</v>
      </c>
      <c r="C3180" s="6">
        <v>32.53</v>
      </c>
      <c r="D3180" s="6">
        <v>15.54</v>
      </c>
      <c r="E3180" s="6">
        <v>10.19</v>
      </c>
      <c r="G3180" s="31"/>
    </row>
    <row r="3181" spans="1:7" x14ac:dyDescent="0.25">
      <c r="A3181" s="36">
        <v>42993</v>
      </c>
      <c r="B3181" s="6">
        <v>47.69</v>
      </c>
      <c r="C3181" s="6">
        <v>32.39</v>
      </c>
      <c r="D3181" s="6">
        <v>15.5</v>
      </c>
      <c r="E3181" s="6">
        <v>10.33</v>
      </c>
      <c r="G3181" s="31"/>
    </row>
    <row r="3182" spans="1:7" x14ac:dyDescent="0.25">
      <c r="A3182" s="36">
        <v>42994</v>
      </c>
      <c r="B3182" s="6">
        <v>47.57</v>
      </c>
      <c r="C3182" s="6">
        <v>32.26</v>
      </c>
      <c r="D3182" s="6">
        <v>15.46</v>
      </c>
      <c r="E3182" s="6">
        <v>10.41</v>
      </c>
      <c r="G3182" s="31"/>
    </row>
    <row r="3183" spans="1:7" x14ac:dyDescent="0.25">
      <c r="A3183" s="36">
        <v>42995</v>
      </c>
      <c r="B3183" s="6">
        <v>47.4</v>
      </c>
      <c r="C3183" s="6">
        <v>32.119999999999997</v>
      </c>
      <c r="D3183" s="6">
        <v>15.28</v>
      </c>
      <c r="E3183" s="6">
        <v>10.35</v>
      </c>
      <c r="G3183" s="31"/>
    </row>
    <row r="3184" spans="1:7" x14ac:dyDescent="0.25">
      <c r="A3184" s="36">
        <v>42996</v>
      </c>
      <c r="B3184" s="6">
        <v>47.34</v>
      </c>
      <c r="C3184" s="6">
        <v>31.99</v>
      </c>
      <c r="D3184" s="6">
        <v>15.12</v>
      </c>
      <c r="E3184" s="6">
        <v>9.92</v>
      </c>
      <c r="G3184" s="31"/>
    </row>
    <row r="3185" spans="1:7" x14ac:dyDescent="0.25">
      <c r="A3185" s="36">
        <v>42997</v>
      </c>
      <c r="B3185" s="6">
        <v>47.31</v>
      </c>
      <c r="C3185" s="6">
        <v>31.84</v>
      </c>
      <c r="D3185" s="6">
        <v>14.96</v>
      </c>
      <c r="E3185" s="6">
        <v>10.01</v>
      </c>
      <c r="G3185" s="31"/>
    </row>
    <row r="3186" spans="1:7" x14ac:dyDescent="0.25">
      <c r="A3186" s="36">
        <v>42998</v>
      </c>
      <c r="B3186" s="6">
        <v>47.26</v>
      </c>
      <c r="C3186" s="6">
        <v>31.71</v>
      </c>
      <c r="D3186" s="6">
        <v>14.84</v>
      </c>
      <c r="E3186" s="6">
        <v>10.08</v>
      </c>
      <c r="G3186" s="31"/>
    </row>
    <row r="3187" spans="1:7" x14ac:dyDescent="0.25">
      <c r="A3187" s="36">
        <v>42999</v>
      </c>
      <c r="B3187" s="6">
        <v>47.18</v>
      </c>
      <c r="C3187" s="6">
        <v>31.59</v>
      </c>
      <c r="D3187" s="6">
        <v>14.74</v>
      </c>
      <c r="E3187" s="6">
        <v>9.92</v>
      </c>
      <c r="G3187" s="31"/>
    </row>
    <row r="3188" spans="1:7" x14ac:dyDescent="0.25">
      <c r="A3188" s="36">
        <v>43000</v>
      </c>
      <c r="B3188" s="6">
        <v>47.1</v>
      </c>
      <c r="C3188" s="6">
        <v>31.46</v>
      </c>
      <c r="D3188" s="6">
        <v>14.58</v>
      </c>
      <c r="E3188" s="6">
        <v>9.7799999999999994</v>
      </c>
      <c r="G3188" s="31"/>
    </row>
    <row r="3189" spans="1:7" x14ac:dyDescent="0.25">
      <c r="A3189" s="36">
        <v>43001</v>
      </c>
      <c r="B3189" s="6">
        <v>47.06</v>
      </c>
      <c r="C3189" s="6">
        <v>31.35</v>
      </c>
      <c r="D3189" s="6">
        <v>14.44</v>
      </c>
      <c r="E3189" s="6">
        <v>9.6199999999999992</v>
      </c>
      <c r="G3189" s="31"/>
    </row>
    <row r="3190" spans="1:7" x14ac:dyDescent="0.25">
      <c r="A3190" s="36">
        <v>43002</v>
      </c>
      <c r="B3190" s="6">
        <v>47.01</v>
      </c>
      <c r="C3190" s="6">
        <v>31.28</v>
      </c>
      <c r="D3190" s="6">
        <v>14.3</v>
      </c>
      <c r="E3190" s="6">
        <v>9.5399999999999991</v>
      </c>
      <c r="G3190" s="31"/>
    </row>
    <row r="3191" spans="1:7" x14ac:dyDescent="0.25">
      <c r="A3191" s="36">
        <v>43003</v>
      </c>
      <c r="B3191" s="6">
        <v>46.96</v>
      </c>
      <c r="C3191" s="6">
        <v>31.18</v>
      </c>
      <c r="D3191" s="6">
        <v>14.18</v>
      </c>
      <c r="E3191" s="6">
        <v>9.5</v>
      </c>
      <c r="G3191" s="31"/>
    </row>
    <row r="3192" spans="1:7" x14ac:dyDescent="0.25">
      <c r="A3192" s="36">
        <v>43004</v>
      </c>
      <c r="B3192" s="6">
        <v>47</v>
      </c>
      <c r="C3192" s="6">
        <v>31.12</v>
      </c>
      <c r="D3192" s="6">
        <v>14.02</v>
      </c>
      <c r="E3192" s="6">
        <v>9.2899999999999991</v>
      </c>
      <c r="G3192" s="31"/>
    </row>
    <row r="3193" spans="1:7" x14ac:dyDescent="0.25">
      <c r="A3193" s="36">
        <v>43005</v>
      </c>
      <c r="B3193" s="6">
        <v>47.01</v>
      </c>
      <c r="C3193" s="6">
        <v>31.04</v>
      </c>
      <c r="D3193" s="6">
        <v>13.9</v>
      </c>
      <c r="E3193" s="6">
        <v>9.26</v>
      </c>
      <c r="G3193" s="31"/>
    </row>
    <row r="3194" spans="1:7" x14ac:dyDescent="0.25">
      <c r="A3194" s="36">
        <v>43006</v>
      </c>
      <c r="B3194" s="6">
        <v>47.04</v>
      </c>
      <c r="C3194" s="6">
        <v>30.98</v>
      </c>
      <c r="D3194" s="6">
        <v>13.76</v>
      </c>
      <c r="E3194" s="6">
        <v>8.9</v>
      </c>
      <c r="G3194" s="31"/>
    </row>
    <row r="3195" spans="1:7" x14ac:dyDescent="0.25">
      <c r="A3195" s="36">
        <v>43007</v>
      </c>
      <c r="B3195" s="6">
        <v>47.04</v>
      </c>
      <c r="C3195" s="6">
        <v>30.98</v>
      </c>
      <c r="D3195" s="6">
        <v>13.58</v>
      </c>
      <c r="E3195" s="6">
        <v>8.89</v>
      </c>
      <c r="G3195" s="31"/>
    </row>
    <row r="3196" spans="1:7" x14ac:dyDescent="0.25">
      <c r="A3196" s="36">
        <v>43008</v>
      </c>
      <c r="B3196" s="6">
        <v>47.13</v>
      </c>
      <c r="C3196" s="6">
        <v>30.94</v>
      </c>
      <c r="D3196" s="6">
        <v>13.5</v>
      </c>
      <c r="E3196" s="6">
        <v>8.9699999999999989</v>
      </c>
      <c r="G3196" s="31"/>
    </row>
    <row r="3197" spans="1:7" x14ac:dyDescent="0.25">
      <c r="A3197" s="36">
        <v>43009</v>
      </c>
      <c r="B3197" s="6">
        <v>47.16</v>
      </c>
      <c r="C3197" s="6">
        <v>30.9</v>
      </c>
      <c r="D3197" s="6">
        <v>13.42</v>
      </c>
      <c r="E3197" s="6">
        <v>8.92</v>
      </c>
      <c r="G3197" s="31"/>
    </row>
    <row r="3198" spans="1:7" x14ac:dyDescent="0.25">
      <c r="A3198" s="36">
        <v>43010</v>
      </c>
      <c r="B3198" s="6">
        <v>47.21</v>
      </c>
      <c r="C3198" s="6">
        <v>30.88</v>
      </c>
      <c r="D3198" s="6">
        <v>13.32</v>
      </c>
      <c r="E3198" s="6">
        <v>8.49</v>
      </c>
      <c r="G3198" s="31"/>
    </row>
    <row r="3199" spans="1:7" x14ac:dyDescent="0.25">
      <c r="A3199" s="36">
        <v>43011</v>
      </c>
      <c r="B3199" s="6">
        <v>47.2</v>
      </c>
      <c r="C3199" s="6">
        <v>30.85</v>
      </c>
      <c r="D3199" s="6">
        <v>13.16</v>
      </c>
      <c r="E3199" s="6">
        <v>8.27</v>
      </c>
      <c r="G3199" s="31"/>
    </row>
    <row r="3200" spans="1:7" x14ac:dyDescent="0.25">
      <c r="A3200" s="36">
        <v>43012</v>
      </c>
      <c r="B3200" s="6">
        <v>47.13</v>
      </c>
      <c r="C3200" s="6">
        <v>30.86</v>
      </c>
      <c r="D3200" s="6">
        <v>13.04</v>
      </c>
      <c r="E3200" s="6">
        <v>8.32</v>
      </c>
      <c r="G3200" s="31"/>
    </row>
    <row r="3201" spans="1:7" x14ac:dyDescent="0.25">
      <c r="A3201" s="36">
        <v>43013</v>
      </c>
      <c r="B3201" s="6">
        <v>47.11</v>
      </c>
      <c r="C3201" s="6">
        <v>30.84</v>
      </c>
      <c r="D3201" s="6">
        <v>12.98</v>
      </c>
      <c r="E3201" s="6">
        <v>8.23</v>
      </c>
      <c r="G3201" s="31"/>
    </row>
    <row r="3202" spans="1:7" x14ac:dyDescent="0.25">
      <c r="A3202" s="36">
        <v>43014</v>
      </c>
      <c r="B3202" s="6">
        <v>47.1</v>
      </c>
      <c r="C3202" s="6">
        <v>30.82</v>
      </c>
      <c r="D3202" s="6">
        <v>12.92</v>
      </c>
      <c r="E3202" s="6">
        <v>8.15</v>
      </c>
      <c r="G3202" s="31"/>
    </row>
    <row r="3203" spans="1:7" x14ac:dyDescent="0.25">
      <c r="A3203" s="36">
        <v>43015</v>
      </c>
      <c r="B3203" s="6">
        <v>47.01</v>
      </c>
      <c r="C3203" s="6">
        <v>30.8</v>
      </c>
      <c r="D3203" s="6">
        <v>12.86</v>
      </c>
      <c r="E3203" s="6">
        <v>8.08</v>
      </c>
      <c r="G3203" s="31"/>
    </row>
    <row r="3204" spans="1:7" x14ac:dyDescent="0.25">
      <c r="A3204" s="36">
        <v>43016</v>
      </c>
      <c r="B3204" s="6">
        <v>46.98</v>
      </c>
      <c r="C3204" s="6">
        <v>30.8</v>
      </c>
      <c r="D3204" s="6">
        <v>12.82</v>
      </c>
      <c r="E3204" s="6">
        <v>8.02</v>
      </c>
      <c r="G3204" s="31"/>
    </row>
    <row r="3205" spans="1:7" x14ac:dyDescent="0.25">
      <c r="A3205" s="36">
        <v>43017</v>
      </c>
      <c r="B3205" s="6">
        <v>46.96</v>
      </c>
      <c r="C3205" s="6">
        <v>30.78</v>
      </c>
      <c r="D3205" s="6">
        <v>12.78</v>
      </c>
      <c r="E3205" s="6">
        <v>7.9899999999999993</v>
      </c>
      <c r="G3205" s="31"/>
    </row>
    <row r="3206" spans="1:7" x14ac:dyDescent="0.25">
      <c r="A3206" s="36">
        <v>43018</v>
      </c>
      <c r="B3206" s="6">
        <v>46.96</v>
      </c>
      <c r="C3206" s="6">
        <v>30.76</v>
      </c>
      <c r="D3206" s="6">
        <v>12.74</v>
      </c>
      <c r="E3206" s="6">
        <v>7.91</v>
      </c>
      <c r="G3206" s="31"/>
    </row>
    <row r="3207" spans="1:7" x14ac:dyDescent="0.25">
      <c r="A3207" s="36">
        <v>43019</v>
      </c>
      <c r="B3207" s="6">
        <v>46.96</v>
      </c>
      <c r="C3207" s="6">
        <v>30.72</v>
      </c>
      <c r="D3207" s="6">
        <v>12.78</v>
      </c>
      <c r="E3207" s="6">
        <v>8.17</v>
      </c>
      <c r="G3207" s="31"/>
    </row>
    <row r="3208" spans="1:7" x14ac:dyDescent="0.25">
      <c r="A3208" s="36">
        <v>43020</v>
      </c>
      <c r="B3208" s="6">
        <v>46.97</v>
      </c>
      <c r="C3208" s="6">
        <v>30.7</v>
      </c>
      <c r="D3208" s="6">
        <v>12.72</v>
      </c>
      <c r="E3208" s="6">
        <v>8.07</v>
      </c>
      <c r="G3208" s="31"/>
    </row>
    <row r="3209" spans="1:7" x14ac:dyDescent="0.25">
      <c r="A3209" s="36">
        <v>43021</v>
      </c>
      <c r="B3209" s="6">
        <v>46.96</v>
      </c>
      <c r="C3209" s="6">
        <v>30.66</v>
      </c>
      <c r="D3209" s="6">
        <v>12.78</v>
      </c>
      <c r="E3209" s="6">
        <v>7.92</v>
      </c>
      <c r="G3209" s="31"/>
    </row>
    <row r="3210" spans="1:7" x14ac:dyDescent="0.25">
      <c r="A3210" s="36">
        <v>43022</v>
      </c>
      <c r="B3210" s="6">
        <v>46.95</v>
      </c>
      <c r="C3210" s="6">
        <v>30.62</v>
      </c>
      <c r="D3210" s="6">
        <v>12.68</v>
      </c>
      <c r="E3210" s="6">
        <v>7.8</v>
      </c>
      <c r="G3210" s="31"/>
    </row>
    <row r="3211" spans="1:7" x14ac:dyDescent="0.25">
      <c r="A3211" s="36">
        <v>43023</v>
      </c>
      <c r="B3211" s="6">
        <v>46.94</v>
      </c>
      <c r="C3211" s="6">
        <v>30.6</v>
      </c>
      <c r="D3211" s="6">
        <v>12.68</v>
      </c>
      <c r="E3211" s="6">
        <v>8.02</v>
      </c>
      <c r="G3211" s="31"/>
    </row>
    <row r="3212" spans="1:7" x14ac:dyDescent="0.25">
      <c r="A3212" s="36">
        <v>43024</v>
      </c>
      <c r="B3212" s="6">
        <v>46.93</v>
      </c>
      <c r="C3212" s="6">
        <v>30.54</v>
      </c>
      <c r="D3212" s="6">
        <v>12.64</v>
      </c>
      <c r="E3212" s="6">
        <v>7.9799999999999995</v>
      </c>
      <c r="G3212" s="31"/>
    </row>
    <row r="3213" spans="1:7" x14ac:dyDescent="0.25">
      <c r="A3213" s="36">
        <v>43025</v>
      </c>
      <c r="B3213" s="6">
        <v>46.92</v>
      </c>
      <c r="C3213" s="6">
        <v>30.48</v>
      </c>
      <c r="D3213" s="6">
        <v>12.48</v>
      </c>
      <c r="E3213" s="6">
        <v>7.88</v>
      </c>
      <c r="G3213" s="31"/>
    </row>
    <row r="3214" spans="1:7" x14ac:dyDescent="0.25">
      <c r="A3214" s="36">
        <v>43026</v>
      </c>
      <c r="B3214" s="6">
        <v>46.91</v>
      </c>
      <c r="C3214" s="6">
        <v>30.46</v>
      </c>
      <c r="D3214" s="6">
        <v>12.46</v>
      </c>
      <c r="E3214" s="6">
        <v>7.7399999999999993</v>
      </c>
      <c r="G3214" s="31"/>
    </row>
    <row r="3215" spans="1:7" x14ac:dyDescent="0.25">
      <c r="A3215" s="36">
        <v>43027</v>
      </c>
      <c r="B3215" s="6">
        <v>46.9</v>
      </c>
      <c r="C3215" s="6">
        <v>30.42</v>
      </c>
      <c r="D3215" s="6">
        <v>12.4</v>
      </c>
      <c r="E3215" s="6">
        <v>7.6</v>
      </c>
      <c r="G3215" s="31"/>
    </row>
    <row r="3216" spans="1:7" x14ac:dyDescent="0.25">
      <c r="A3216" s="36">
        <v>43028</v>
      </c>
      <c r="B3216" s="6">
        <v>46.9</v>
      </c>
      <c r="C3216" s="6">
        <v>30.38</v>
      </c>
      <c r="D3216" s="6">
        <v>12.36</v>
      </c>
      <c r="E3216" s="6">
        <v>7.6</v>
      </c>
      <c r="G3216" s="31"/>
    </row>
    <row r="3217" spans="1:7" x14ac:dyDescent="0.25">
      <c r="A3217" s="36">
        <v>43029</v>
      </c>
      <c r="B3217" s="6">
        <v>46.89</v>
      </c>
      <c r="C3217" s="6">
        <v>30.36</v>
      </c>
      <c r="D3217" s="6">
        <v>12.32</v>
      </c>
      <c r="E3217" s="6">
        <v>7.5299999999999994</v>
      </c>
      <c r="G3217" s="31"/>
    </row>
    <row r="3218" spans="1:7" x14ac:dyDescent="0.25">
      <c r="A3218" s="36">
        <v>43030</v>
      </c>
      <c r="B3218" s="6">
        <v>46.82</v>
      </c>
      <c r="C3218" s="6">
        <v>30.34</v>
      </c>
      <c r="D3218" s="6">
        <v>12.24</v>
      </c>
      <c r="E3218" s="6">
        <v>7.71</v>
      </c>
      <c r="G3218" s="31"/>
    </row>
    <row r="3219" spans="1:7" x14ac:dyDescent="0.25">
      <c r="A3219" s="36">
        <v>43031</v>
      </c>
      <c r="B3219" s="6">
        <v>46.8</v>
      </c>
      <c r="C3219" s="6">
        <v>30.3</v>
      </c>
      <c r="D3219" s="6">
        <v>12.16</v>
      </c>
      <c r="E3219" s="6">
        <v>7.54</v>
      </c>
      <c r="G3219" s="31"/>
    </row>
    <row r="3220" spans="1:7" x14ac:dyDescent="0.25">
      <c r="A3220" s="36">
        <v>43032</v>
      </c>
      <c r="B3220" s="6">
        <v>46.74</v>
      </c>
      <c r="C3220" s="6">
        <v>30.26</v>
      </c>
      <c r="D3220" s="6">
        <v>12.1</v>
      </c>
      <c r="E3220" s="6">
        <v>7.35</v>
      </c>
      <c r="G3220" s="31"/>
    </row>
    <row r="3221" spans="1:7" x14ac:dyDescent="0.25">
      <c r="A3221" s="36">
        <v>43033</v>
      </c>
      <c r="B3221" s="6">
        <v>46.69</v>
      </c>
      <c r="C3221" s="6">
        <v>30.22</v>
      </c>
      <c r="D3221" s="6">
        <v>12.04</v>
      </c>
      <c r="E3221" s="6">
        <v>7.37</v>
      </c>
      <c r="G3221" s="31"/>
    </row>
    <row r="3222" spans="1:7" x14ac:dyDescent="0.25">
      <c r="A3222" s="36">
        <v>43034</v>
      </c>
      <c r="B3222" s="6">
        <v>46.64</v>
      </c>
      <c r="C3222" s="6">
        <v>30.14</v>
      </c>
      <c r="D3222" s="6">
        <v>12</v>
      </c>
      <c r="E3222" s="6">
        <v>7.33</v>
      </c>
      <c r="G3222" s="31"/>
    </row>
    <row r="3223" spans="1:7" x14ac:dyDescent="0.25">
      <c r="A3223" s="36">
        <v>43035</v>
      </c>
      <c r="B3223" s="6">
        <v>46.62</v>
      </c>
      <c r="C3223" s="6">
        <v>30.1</v>
      </c>
      <c r="D3223" s="6">
        <v>11.9</v>
      </c>
      <c r="E3223" s="6">
        <v>7.17</v>
      </c>
      <c r="G3223" s="31"/>
    </row>
    <row r="3224" spans="1:7" x14ac:dyDescent="0.25">
      <c r="A3224" s="36">
        <v>43036</v>
      </c>
      <c r="B3224" s="6">
        <v>46.61</v>
      </c>
      <c r="C3224" s="6">
        <v>30.04</v>
      </c>
      <c r="D3224" s="6">
        <v>11.84</v>
      </c>
      <c r="E3224" s="6">
        <v>7.14</v>
      </c>
      <c r="G3224" s="31"/>
    </row>
    <row r="3225" spans="1:7" x14ac:dyDescent="0.25">
      <c r="A3225" s="36">
        <v>43037</v>
      </c>
      <c r="B3225" s="6">
        <v>46.6</v>
      </c>
      <c r="C3225" s="6">
        <v>30</v>
      </c>
      <c r="D3225" s="6">
        <v>11.8</v>
      </c>
      <c r="E3225" s="6">
        <v>7.0299999999999994</v>
      </c>
      <c r="G3225" s="31"/>
    </row>
    <row r="3226" spans="1:7" x14ac:dyDescent="0.25">
      <c r="A3226" s="36">
        <v>43038</v>
      </c>
      <c r="B3226" s="6">
        <v>46.65</v>
      </c>
      <c r="C3226" s="6">
        <v>29.98</v>
      </c>
      <c r="D3226" s="6">
        <v>11.76</v>
      </c>
      <c r="E3226" s="6">
        <v>7.22</v>
      </c>
      <c r="G3226" s="31"/>
    </row>
    <row r="3227" spans="1:7" x14ac:dyDescent="0.25">
      <c r="A3227" s="36">
        <v>43039</v>
      </c>
      <c r="B3227" s="6">
        <v>46.62</v>
      </c>
      <c r="C3227" s="6">
        <v>29.92</v>
      </c>
      <c r="D3227" s="6">
        <v>11.8</v>
      </c>
      <c r="E3227" s="6">
        <v>7.25</v>
      </c>
      <c r="G3227" s="31"/>
    </row>
    <row r="3228" spans="1:7" x14ac:dyDescent="0.25">
      <c r="A3228" s="36">
        <v>43040</v>
      </c>
      <c r="B3228" s="6">
        <v>46.6</v>
      </c>
      <c r="C3228" s="6">
        <v>29.92</v>
      </c>
      <c r="D3228" s="6">
        <v>11.8</v>
      </c>
      <c r="E3228" s="6">
        <v>7.22</v>
      </c>
      <c r="G3228" s="31"/>
    </row>
    <row r="3229" spans="1:7" x14ac:dyDescent="0.25">
      <c r="A3229" s="36">
        <v>43041</v>
      </c>
      <c r="B3229" s="6">
        <v>46.54</v>
      </c>
      <c r="C3229" s="6">
        <v>29.9</v>
      </c>
      <c r="D3229" s="6">
        <v>11.8</v>
      </c>
      <c r="E3229" s="6">
        <v>7.4499999999999993</v>
      </c>
      <c r="G3229" s="31"/>
    </row>
    <row r="3230" spans="1:7" x14ac:dyDescent="0.25">
      <c r="A3230" s="36">
        <v>43042</v>
      </c>
      <c r="B3230" s="6">
        <v>46.5</v>
      </c>
      <c r="C3230" s="6">
        <v>29.88</v>
      </c>
      <c r="D3230" s="6">
        <v>11.8</v>
      </c>
      <c r="E3230" s="6">
        <v>7.34</v>
      </c>
      <c r="G3230" s="31"/>
    </row>
    <row r="3231" spans="1:7" x14ac:dyDescent="0.25">
      <c r="A3231" s="36">
        <v>43043</v>
      </c>
      <c r="B3231" s="6">
        <v>46.47</v>
      </c>
      <c r="C3231" s="6">
        <v>29.8</v>
      </c>
      <c r="D3231" s="6">
        <v>11.84</v>
      </c>
      <c r="E3231" s="6">
        <v>7.35</v>
      </c>
      <c r="G3231" s="31"/>
    </row>
    <row r="3232" spans="1:7" x14ac:dyDescent="0.25">
      <c r="A3232" s="36">
        <v>43044</v>
      </c>
      <c r="B3232" s="6">
        <v>46.38</v>
      </c>
      <c r="C3232" s="6">
        <v>29.72</v>
      </c>
      <c r="D3232" s="6">
        <v>11.85</v>
      </c>
      <c r="E3232" s="6">
        <v>7.39</v>
      </c>
      <c r="G3232" s="31"/>
    </row>
    <row r="3233" spans="1:7" x14ac:dyDescent="0.25">
      <c r="A3233" s="36">
        <v>43045</v>
      </c>
      <c r="B3233" s="6">
        <v>46.4</v>
      </c>
      <c r="C3233" s="6">
        <v>29.66</v>
      </c>
      <c r="D3233" s="6">
        <v>11.68</v>
      </c>
      <c r="E3233" s="6">
        <v>7.17</v>
      </c>
      <c r="G3233" s="31"/>
    </row>
    <row r="3234" spans="1:7" x14ac:dyDescent="0.25">
      <c r="A3234" s="36">
        <v>43046</v>
      </c>
      <c r="B3234" s="6">
        <v>46.42</v>
      </c>
      <c r="C3234" s="6">
        <v>29.62</v>
      </c>
      <c r="D3234" s="6">
        <v>11.7</v>
      </c>
      <c r="E3234" s="6">
        <v>7.25</v>
      </c>
      <c r="G3234" s="31"/>
    </row>
    <row r="3235" spans="1:7" x14ac:dyDescent="0.25">
      <c r="A3235" s="36">
        <v>43047</v>
      </c>
      <c r="B3235" s="6">
        <v>46.42</v>
      </c>
      <c r="C3235" s="6">
        <v>29.6</v>
      </c>
      <c r="D3235" s="6">
        <v>11.68</v>
      </c>
      <c r="E3235" s="6">
        <v>7.27</v>
      </c>
      <c r="G3235" s="31"/>
    </row>
    <row r="3236" spans="1:7" x14ac:dyDescent="0.25">
      <c r="A3236" s="36">
        <v>43048</v>
      </c>
      <c r="B3236" s="6">
        <v>46.4</v>
      </c>
      <c r="C3236" s="6">
        <v>29.58</v>
      </c>
      <c r="D3236" s="6">
        <v>11.68</v>
      </c>
      <c r="E3236" s="6">
        <v>7.2399999999999993</v>
      </c>
      <c r="G3236" s="31"/>
    </row>
    <row r="3237" spans="1:7" x14ac:dyDescent="0.25">
      <c r="A3237" s="36">
        <v>43049</v>
      </c>
      <c r="B3237" s="6">
        <v>46.49</v>
      </c>
      <c r="C3237" s="6">
        <v>29.54</v>
      </c>
      <c r="D3237" s="6">
        <v>11.58</v>
      </c>
      <c r="E3237" s="6">
        <v>7.1</v>
      </c>
      <c r="G3237" s="31"/>
    </row>
    <row r="3238" spans="1:7" x14ac:dyDescent="0.25">
      <c r="A3238" s="36">
        <v>43050</v>
      </c>
      <c r="B3238" s="6">
        <v>46.56</v>
      </c>
      <c r="C3238" s="6">
        <v>29.54</v>
      </c>
      <c r="D3238" s="6">
        <v>11.54</v>
      </c>
      <c r="E3238" s="6">
        <v>6.9799999999999995</v>
      </c>
      <c r="G3238" s="31"/>
    </row>
    <row r="3239" spans="1:7" x14ac:dyDescent="0.25">
      <c r="A3239" s="36">
        <v>43051</v>
      </c>
      <c r="B3239" s="6">
        <v>46.48</v>
      </c>
      <c r="C3239" s="6">
        <v>29.52</v>
      </c>
      <c r="D3239" s="6">
        <v>11.44</v>
      </c>
      <c r="E3239" s="6">
        <v>6.7799999999999994</v>
      </c>
      <c r="G3239" s="31"/>
    </row>
    <row r="3240" spans="1:7" x14ac:dyDescent="0.25">
      <c r="A3240" s="36">
        <v>43052</v>
      </c>
      <c r="B3240" s="6">
        <v>46.48</v>
      </c>
      <c r="C3240" s="6">
        <v>29.54</v>
      </c>
      <c r="D3240" s="6">
        <v>11.34</v>
      </c>
      <c r="E3240" s="6">
        <v>6.6899999999999995</v>
      </c>
      <c r="G3240" s="31"/>
    </row>
    <row r="3241" spans="1:7" x14ac:dyDescent="0.25">
      <c r="A3241" s="36">
        <v>43053</v>
      </c>
      <c r="B3241" s="6">
        <v>46.46</v>
      </c>
      <c r="C3241" s="6">
        <v>29.52</v>
      </c>
      <c r="D3241" s="6">
        <v>11.32</v>
      </c>
      <c r="E3241" s="6">
        <v>6.6499999999999995</v>
      </c>
      <c r="G3241" s="31"/>
    </row>
    <row r="3242" spans="1:7" x14ac:dyDescent="0.25">
      <c r="A3242" s="36">
        <v>43054</v>
      </c>
      <c r="B3242" s="6">
        <v>46.36</v>
      </c>
      <c r="C3242" s="6">
        <v>29.47</v>
      </c>
      <c r="D3242" s="6">
        <v>11.2</v>
      </c>
      <c r="E3242" s="6">
        <v>6.59</v>
      </c>
      <c r="G3242" s="31"/>
    </row>
    <row r="3243" spans="1:7" x14ac:dyDescent="0.25">
      <c r="A3243" s="36">
        <v>43055</v>
      </c>
      <c r="B3243" s="6">
        <v>46.2</v>
      </c>
      <c r="C3243" s="6">
        <v>29.4</v>
      </c>
      <c r="D3243" s="6">
        <v>11.14</v>
      </c>
      <c r="E3243" s="6">
        <v>6.5299999999999994</v>
      </c>
      <c r="G3243" s="31"/>
    </row>
    <row r="3244" spans="1:7" x14ac:dyDescent="0.25">
      <c r="A3244" s="36">
        <v>43056</v>
      </c>
      <c r="B3244" s="6">
        <v>46.06</v>
      </c>
      <c r="C3244" s="6">
        <v>29.28</v>
      </c>
      <c r="D3244" s="6">
        <v>11.1</v>
      </c>
      <c r="E3244" s="6">
        <v>6.52</v>
      </c>
      <c r="G3244" s="31"/>
    </row>
    <row r="3245" spans="1:7" x14ac:dyDescent="0.25">
      <c r="A3245" s="36">
        <v>43057</v>
      </c>
      <c r="B3245" s="6">
        <v>45.92</v>
      </c>
      <c r="C3245" s="6">
        <v>29.16</v>
      </c>
      <c r="D3245" s="6">
        <v>11</v>
      </c>
      <c r="E3245" s="6">
        <v>6.4799999999999995</v>
      </c>
      <c r="G3245" s="31"/>
    </row>
    <row r="3246" spans="1:7" x14ac:dyDescent="0.25">
      <c r="A3246" s="36">
        <v>43058</v>
      </c>
      <c r="B3246" s="6">
        <v>45.81</v>
      </c>
      <c r="C3246" s="6">
        <v>29</v>
      </c>
      <c r="D3246" s="6">
        <v>10.91</v>
      </c>
      <c r="E3246" s="6">
        <v>6.43</v>
      </c>
      <c r="G3246" s="31"/>
    </row>
    <row r="3247" spans="1:7" x14ac:dyDescent="0.25">
      <c r="A3247" s="36">
        <v>43059</v>
      </c>
      <c r="B3247" s="6">
        <v>45.71</v>
      </c>
      <c r="C3247" s="6">
        <v>28.82</v>
      </c>
      <c r="D3247" s="6">
        <v>10.9</v>
      </c>
      <c r="E3247" s="6">
        <v>6.3599999999999994</v>
      </c>
      <c r="G3247" s="31"/>
    </row>
    <row r="3248" spans="1:7" x14ac:dyDescent="0.25">
      <c r="A3248" s="36">
        <v>43060</v>
      </c>
      <c r="B3248" s="6">
        <v>45.62</v>
      </c>
      <c r="C3248" s="6">
        <v>28.66</v>
      </c>
      <c r="D3248" s="6">
        <v>10.76</v>
      </c>
      <c r="E3248" s="6">
        <v>6.26</v>
      </c>
      <c r="G3248" s="31"/>
    </row>
    <row r="3249" spans="1:7" x14ac:dyDescent="0.25">
      <c r="A3249" s="36">
        <v>43061</v>
      </c>
      <c r="B3249" s="6">
        <v>45.53</v>
      </c>
      <c r="C3249" s="6">
        <v>28.51</v>
      </c>
      <c r="D3249" s="6">
        <v>10.62</v>
      </c>
      <c r="E3249" s="6">
        <v>6.14</v>
      </c>
      <c r="G3249" s="31"/>
    </row>
    <row r="3250" spans="1:7" x14ac:dyDescent="0.25">
      <c r="A3250" s="36">
        <v>43062</v>
      </c>
      <c r="B3250" s="6">
        <v>45.46</v>
      </c>
      <c r="C3250" s="6">
        <v>28.38</v>
      </c>
      <c r="D3250" s="6">
        <v>10.42</v>
      </c>
      <c r="E3250" s="6">
        <v>6.07</v>
      </c>
      <c r="G3250" s="31"/>
    </row>
    <row r="3251" spans="1:7" x14ac:dyDescent="0.25">
      <c r="A3251" s="36">
        <v>43063</v>
      </c>
      <c r="B3251" s="6">
        <v>45.35</v>
      </c>
      <c r="C3251" s="6">
        <v>28.26</v>
      </c>
      <c r="D3251" s="6">
        <v>10.36</v>
      </c>
      <c r="E3251" s="6">
        <v>5.83</v>
      </c>
      <c r="G3251" s="31"/>
    </row>
    <row r="3252" spans="1:7" x14ac:dyDescent="0.25">
      <c r="A3252" s="36">
        <v>43064</v>
      </c>
      <c r="B3252" s="6">
        <v>45.17</v>
      </c>
      <c r="C3252" s="6">
        <v>28.1</v>
      </c>
      <c r="D3252" s="6">
        <v>10.039999999999999</v>
      </c>
      <c r="E3252" s="6">
        <v>5.67</v>
      </c>
      <c r="G3252" s="31"/>
    </row>
    <row r="3253" spans="1:7" x14ac:dyDescent="0.25">
      <c r="A3253" s="36">
        <v>43065</v>
      </c>
      <c r="B3253" s="6">
        <v>45.17</v>
      </c>
      <c r="C3253" s="6">
        <v>27.98</v>
      </c>
      <c r="D3253" s="6">
        <v>9.86</v>
      </c>
      <c r="E3253" s="6">
        <v>5.52</v>
      </c>
      <c r="G3253" s="31"/>
    </row>
    <row r="3254" spans="1:7" x14ac:dyDescent="0.25">
      <c r="A3254" s="36">
        <v>43066</v>
      </c>
      <c r="B3254" s="6">
        <v>45.11</v>
      </c>
      <c r="C3254" s="6">
        <v>27.82</v>
      </c>
      <c r="D3254" s="6">
        <v>9.74</v>
      </c>
      <c r="E3254" s="6">
        <v>5.3999999999999995</v>
      </c>
      <c r="G3254" s="31"/>
    </row>
    <row r="3255" spans="1:7" x14ac:dyDescent="0.25">
      <c r="A3255" s="36">
        <v>43067</v>
      </c>
      <c r="B3255" s="6">
        <v>45.08</v>
      </c>
      <c r="C3255" s="6">
        <v>27.68</v>
      </c>
      <c r="D3255" s="6">
        <v>9.5399999999999991</v>
      </c>
      <c r="E3255" s="6">
        <v>5.27</v>
      </c>
      <c r="G3255" s="31"/>
    </row>
    <row r="3256" spans="1:7" x14ac:dyDescent="0.25">
      <c r="A3256" s="36">
        <v>43068</v>
      </c>
      <c r="B3256" s="6">
        <v>45</v>
      </c>
      <c r="C3256" s="6">
        <v>27.53</v>
      </c>
      <c r="D3256" s="6">
        <v>9.4</v>
      </c>
      <c r="E3256" s="6">
        <v>5.18</v>
      </c>
      <c r="G3256" s="31"/>
    </row>
    <row r="3257" spans="1:7" x14ac:dyDescent="0.25">
      <c r="A3257" s="36">
        <v>43069</v>
      </c>
      <c r="B3257" s="6">
        <v>44.95</v>
      </c>
      <c r="C3257" s="6">
        <v>27.41</v>
      </c>
      <c r="D3257" s="6">
        <v>9.3000000000000007</v>
      </c>
      <c r="E3257" s="6">
        <v>5.09</v>
      </c>
      <c r="G3257" s="31"/>
    </row>
    <row r="3258" spans="1:7" x14ac:dyDescent="0.25">
      <c r="A3258" s="36">
        <v>43070</v>
      </c>
      <c r="B3258" s="6">
        <v>44.91</v>
      </c>
      <c r="C3258" s="6">
        <v>27.3</v>
      </c>
      <c r="D3258" s="6">
        <v>9.14</v>
      </c>
      <c r="E3258" s="6">
        <v>5.04</v>
      </c>
      <c r="G3258" s="31"/>
    </row>
    <row r="3259" spans="1:7" x14ac:dyDescent="0.25">
      <c r="A3259" s="36">
        <v>43071</v>
      </c>
      <c r="B3259" s="6">
        <v>44.9</v>
      </c>
      <c r="C3259" s="6">
        <v>27.24</v>
      </c>
      <c r="D3259" s="6">
        <v>9</v>
      </c>
      <c r="E3259" s="6">
        <v>4.9499999999999993</v>
      </c>
      <c r="G3259" s="31"/>
    </row>
    <row r="3260" spans="1:7" x14ac:dyDescent="0.25">
      <c r="A3260" s="36">
        <v>43072</v>
      </c>
      <c r="B3260" s="6">
        <v>44.86</v>
      </c>
      <c r="C3260" s="6">
        <v>27.2</v>
      </c>
      <c r="D3260" s="6">
        <v>9</v>
      </c>
      <c r="E3260" s="6">
        <v>4.83</v>
      </c>
      <c r="G3260" s="31"/>
    </row>
    <row r="3261" spans="1:7" x14ac:dyDescent="0.25">
      <c r="A3261" s="36">
        <v>43073</v>
      </c>
      <c r="B3261" s="6">
        <v>44.78</v>
      </c>
      <c r="C3261" s="6">
        <v>27.18</v>
      </c>
      <c r="D3261" s="6">
        <v>8.7799999999999994</v>
      </c>
      <c r="E3261" s="6">
        <v>4.72</v>
      </c>
      <c r="G3261" s="31"/>
    </row>
    <row r="3262" spans="1:7" x14ac:dyDescent="0.25">
      <c r="A3262" s="36">
        <v>43074</v>
      </c>
      <c r="B3262" s="6">
        <v>44.7</v>
      </c>
      <c r="C3262" s="6">
        <v>27.12</v>
      </c>
      <c r="D3262" s="6">
        <v>8.6999999999999993</v>
      </c>
      <c r="E3262" s="6">
        <v>4.71</v>
      </c>
      <c r="G3262" s="31"/>
    </row>
    <row r="3263" spans="1:7" x14ac:dyDescent="0.25">
      <c r="A3263" s="36">
        <v>43075</v>
      </c>
      <c r="B3263" s="6">
        <v>44.6</v>
      </c>
      <c r="C3263" s="6">
        <v>27.05</v>
      </c>
      <c r="D3263" s="6">
        <v>8.6199999999999992</v>
      </c>
      <c r="E3263" s="6">
        <v>4.71</v>
      </c>
      <c r="G3263" s="31"/>
    </row>
    <row r="3264" spans="1:7" x14ac:dyDescent="0.25">
      <c r="A3264" s="36">
        <v>43076</v>
      </c>
      <c r="B3264" s="6">
        <v>44.51</v>
      </c>
      <c r="C3264" s="6">
        <v>26.91</v>
      </c>
      <c r="D3264" s="6">
        <v>8.6199999999999992</v>
      </c>
      <c r="E3264" s="6">
        <v>4.71</v>
      </c>
      <c r="G3264" s="31"/>
    </row>
    <row r="3265" spans="1:7" x14ac:dyDescent="0.25">
      <c r="A3265" s="36">
        <v>43077</v>
      </c>
      <c r="B3265" s="6">
        <v>44.38</v>
      </c>
      <c r="C3265" s="6">
        <v>26.77</v>
      </c>
      <c r="D3265" s="6">
        <v>8.6</v>
      </c>
      <c r="E3265" s="6">
        <v>4.66</v>
      </c>
      <c r="G3265" s="31"/>
    </row>
    <row r="3266" spans="1:7" x14ac:dyDescent="0.25">
      <c r="A3266" s="36">
        <v>43078</v>
      </c>
      <c r="B3266" s="6">
        <v>44.28</v>
      </c>
      <c r="C3266" s="6">
        <v>26.6</v>
      </c>
      <c r="D3266" s="6">
        <v>8.52</v>
      </c>
      <c r="E3266" s="6">
        <v>4.5199999999999996</v>
      </c>
      <c r="G3266" s="31"/>
    </row>
    <row r="3267" spans="1:7" x14ac:dyDescent="0.25">
      <c r="A3267" s="36">
        <v>43079</v>
      </c>
      <c r="B3267" s="6">
        <v>44.2</v>
      </c>
      <c r="C3267" s="6">
        <v>26.48</v>
      </c>
      <c r="D3267" s="6">
        <v>8.36</v>
      </c>
      <c r="E3267" s="6">
        <v>4.43</v>
      </c>
      <c r="G3267" s="31"/>
    </row>
    <row r="3268" spans="1:7" x14ac:dyDescent="0.25">
      <c r="A3268" s="36">
        <v>43080</v>
      </c>
      <c r="B3268" s="6">
        <v>44.12</v>
      </c>
      <c r="C3268" s="6">
        <v>26.35</v>
      </c>
      <c r="D3268" s="6">
        <v>8.1999999999999993</v>
      </c>
      <c r="E3268" s="6">
        <v>4.29</v>
      </c>
      <c r="G3268" s="31"/>
    </row>
    <row r="3269" spans="1:7" x14ac:dyDescent="0.25">
      <c r="A3269" s="36">
        <v>43081</v>
      </c>
      <c r="B3269" s="6">
        <v>44.03</v>
      </c>
      <c r="C3269" s="6">
        <v>26.25</v>
      </c>
      <c r="D3269" s="6">
        <v>8.0399999999999991</v>
      </c>
      <c r="E3269" s="6">
        <v>4.13</v>
      </c>
      <c r="G3269" s="31"/>
    </row>
    <row r="3270" spans="1:7" x14ac:dyDescent="0.25">
      <c r="A3270" s="36">
        <v>43082</v>
      </c>
      <c r="B3270" s="6">
        <v>43.93</v>
      </c>
      <c r="C3270" s="6">
        <v>26.14</v>
      </c>
      <c r="D3270" s="6">
        <v>7.88</v>
      </c>
      <c r="E3270" s="6">
        <v>4.13</v>
      </c>
      <c r="G3270" s="31"/>
    </row>
    <row r="3271" spans="1:7" x14ac:dyDescent="0.25">
      <c r="A3271" s="36">
        <v>43083</v>
      </c>
      <c r="B3271" s="6">
        <v>43.81</v>
      </c>
      <c r="C3271" s="6">
        <v>26.08</v>
      </c>
      <c r="D3271" s="6">
        <v>7.7</v>
      </c>
      <c r="E3271" s="6">
        <v>4.09</v>
      </c>
      <c r="G3271" s="31"/>
    </row>
    <row r="3272" spans="1:7" x14ac:dyDescent="0.25">
      <c r="A3272" s="36">
        <v>43084</v>
      </c>
      <c r="B3272" s="6">
        <v>43.66</v>
      </c>
      <c r="C3272" s="6">
        <v>25.94</v>
      </c>
      <c r="D3272" s="6">
        <v>7.6</v>
      </c>
      <c r="E3272" s="6">
        <v>3.8800000000000003</v>
      </c>
      <c r="G3272" s="31"/>
    </row>
    <row r="3273" spans="1:7" x14ac:dyDescent="0.25">
      <c r="A3273" s="36">
        <v>43085</v>
      </c>
      <c r="B3273" s="6">
        <v>43.55</v>
      </c>
      <c r="C3273" s="6">
        <v>25.78</v>
      </c>
      <c r="D3273" s="6">
        <v>7.46</v>
      </c>
      <c r="E3273" s="6">
        <v>3.66</v>
      </c>
      <c r="G3273" s="31"/>
    </row>
    <row r="3274" spans="1:7" x14ac:dyDescent="0.25">
      <c r="A3274" s="36">
        <v>43086</v>
      </c>
      <c r="B3274" s="6">
        <v>43.42</v>
      </c>
      <c r="C3274" s="6">
        <v>25.64</v>
      </c>
      <c r="D3274" s="6">
        <v>7.32</v>
      </c>
      <c r="E3274" s="6">
        <v>3.6300000000000003</v>
      </c>
      <c r="G3274" s="31"/>
    </row>
    <row r="3275" spans="1:7" x14ac:dyDescent="0.25">
      <c r="A3275" s="36">
        <v>43087</v>
      </c>
      <c r="B3275" s="6">
        <v>43.31</v>
      </c>
      <c r="C3275" s="6">
        <v>25.49</v>
      </c>
      <c r="D3275" s="6">
        <v>7.2</v>
      </c>
      <c r="E3275" s="6">
        <v>3.5300000000000002</v>
      </c>
      <c r="G3275" s="31"/>
    </row>
    <row r="3276" spans="1:7" x14ac:dyDescent="0.25">
      <c r="A3276" s="36">
        <v>43088</v>
      </c>
      <c r="B3276" s="6">
        <v>43.2</v>
      </c>
      <c r="C3276" s="6">
        <v>25.34</v>
      </c>
      <c r="D3276" s="6">
        <v>7.04</v>
      </c>
      <c r="E3276" s="6">
        <v>3.44</v>
      </c>
      <c r="G3276" s="31"/>
    </row>
    <row r="3277" spans="1:7" x14ac:dyDescent="0.25">
      <c r="A3277" s="36">
        <v>43089</v>
      </c>
      <c r="B3277" s="6">
        <v>43.1</v>
      </c>
      <c r="C3277" s="6">
        <v>25.2</v>
      </c>
      <c r="D3277" s="6">
        <v>6.9</v>
      </c>
      <c r="E3277" s="6">
        <v>3.33</v>
      </c>
      <c r="G3277" s="31"/>
    </row>
    <row r="3278" spans="1:7" x14ac:dyDescent="0.25">
      <c r="A3278" s="36">
        <v>43090</v>
      </c>
      <c r="B3278" s="6">
        <v>43</v>
      </c>
      <c r="C3278" s="6">
        <v>25.06</v>
      </c>
      <c r="D3278" s="6">
        <v>6.82</v>
      </c>
      <c r="E3278" s="6">
        <v>3.3000000000000003</v>
      </c>
      <c r="G3278" s="31"/>
    </row>
    <row r="3279" spans="1:7" x14ac:dyDescent="0.25">
      <c r="A3279" s="36">
        <v>43091</v>
      </c>
      <c r="B3279" s="6">
        <v>42.9</v>
      </c>
      <c r="C3279" s="6">
        <v>24.91</v>
      </c>
      <c r="D3279" s="11">
        <v>6.6</v>
      </c>
      <c r="E3279" s="6">
        <v>3.1300000000000003</v>
      </c>
      <c r="G3279" s="31"/>
    </row>
    <row r="3280" spans="1:7" x14ac:dyDescent="0.25">
      <c r="A3280" s="36">
        <v>43092</v>
      </c>
      <c r="B3280" s="6">
        <v>42.78</v>
      </c>
      <c r="C3280" s="6">
        <v>24.86</v>
      </c>
      <c r="D3280" s="11">
        <v>6.33</v>
      </c>
      <c r="E3280" s="6">
        <v>3.06</v>
      </c>
      <c r="G3280" s="31"/>
    </row>
    <row r="3281" spans="1:7" x14ac:dyDescent="0.25">
      <c r="A3281" s="36">
        <v>43093</v>
      </c>
      <c r="B3281" s="6">
        <v>42.65</v>
      </c>
      <c r="C3281" s="6">
        <v>24.7</v>
      </c>
      <c r="D3281" s="11">
        <v>6.1950000000000003</v>
      </c>
      <c r="E3281" s="6">
        <v>2.94</v>
      </c>
      <c r="G3281" s="31"/>
    </row>
    <row r="3282" spans="1:7" x14ac:dyDescent="0.25">
      <c r="A3282" s="36">
        <v>43094</v>
      </c>
      <c r="B3282" s="6">
        <v>42.53</v>
      </c>
      <c r="C3282" s="6">
        <v>24.6</v>
      </c>
      <c r="D3282" s="11">
        <v>6.06</v>
      </c>
      <c r="E3282" s="6">
        <v>2.79</v>
      </c>
      <c r="G3282" s="31"/>
    </row>
    <row r="3283" spans="1:7" x14ac:dyDescent="0.25">
      <c r="A3283" s="36">
        <v>43095</v>
      </c>
      <c r="B3283" s="6">
        <v>42.43</v>
      </c>
      <c r="C3283" s="6">
        <v>24.48</v>
      </c>
      <c r="D3283" s="11">
        <v>5.9</v>
      </c>
      <c r="E3283" s="6">
        <v>2.68</v>
      </c>
      <c r="G3283" s="31"/>
    </row>
    <row r="3284" spans="1:7" x14ac:dyDescent="0.25">
      <c r="A3284" s="36">
        <v>43096</v>
      </c>
      <c r="B3284" s="6">
        <v>42.3</v>
      </c>
      <c r="C3284" s="6">
        <v>24.4</v>
      </c>
      <c r="D3284" s="11">
        <v>5.82</v>
      </c>
      <c r="E3284" s="6">
        <v>2.6300000000000003</v>
      </c>
      <c r="G3284" s="31"/>
    </row>
    <row r="3285" spans="1:7" x14ac:dyDescent="0.25">
      <c r="A3285" s="36">
        <v>43097</v>
      </c>
      <c r="B3285" s="6">
        <v>42.2</v>
      </c>
      <c r="C3285" s="6">
        <v>24.2</v>
      </c>
      <c r="D3285" s="11">
        <v>5.62</v>
      </c>
      <c r="E3285" s="6">
        <v>2.5500000000000003</v>
      </c>
      <c r="G3285" s="31"/>
    </row>
    <row r="3286" spans="1:7" x14ac:dyDescent="0.25">
      <c r="A3286" s="36">
        <v>43098</v>
      </c>
      <c r="B3286" s="6">
        <v>42.1</v>
      </c>
      <c r="C3286" s="6">
        <v>24.08</v>
      </c>
      <c r="D3286" s="11">
        <v>5.52</v>
      </c>
      <c r="E3286" s="6">
        <v>2.5300000000000002</v>
      </c>
      <c r="G3286" s="31"/>
    </row>
    <row r="3287" spans="1:7" x14ac:dyDescent="0.25">
      <c r="A3287" s="36">
        <v>43099</v>
      </c>
      <c r="B3287" s="6">
        <v>42</v>
      </c>
      <c r="C3287" s="6">
        <v>23.89</v>
      </c>
      <c r="D3287" s="11">
        <v>5.47</v>
      </c>
      <c r="E3287" s="6">
        <v>2.5300000000000002</v>
      </c>
      <c r="G3287" s="31"/>
    </row>
    <row r="3288" spans="1:7" x14ac:dyDescent="0.25">
      <c r="A3288" s="36">
        <v>43100</v>
      </c>
      <c r="B3288" s="6">
        <v>41.95</v>
      </c>
      <c r="C3288" s="6">
        <v>23.8</v>
      </c>
      <c r="D3288" s="11">
        <v>5.4450000000000003</v>
      </c>
      <c r="E3288" s="6">
        <v>2.46</v>
      </c>
      <c r="G3288" s="31"/>
    </row>
    <row r="3289" spans="1:7" x14ac:dyDescent="0.25">
      <c r="A3289" s="36">
        <v>43101</v>
      </c>
      <c r="B3289" s="7">
        <v>41.91</v>
      </c>
      <c r="C3289" s="7">
        <v>23.76</v>
      </c>
      <c r="D3289" s="8">
        <v>5.42</v>
      </c>
      <c r="E3289" s="7">
        <v>2.4500000000000002</v>
      </c>
      <c r="G3289" s="31"/>
    </row>
    <row r="3290" spans="1:7" x14ac:dyDescent="0.25">
      <c r="A3290" s="36">
        <v>43102</v>
      </c>
      <c r="B3290" s="7">
        <v>41.91</v>
      </c>
      <c r="C3290" s="7">
        <v>23.73</v>
      </c>
      <c r="D3290" s="8">
        <v>5.44</v>
      </c>
      <c r="E3290" s="7">
        <v>2.41</v>
      </c>
      <c r="G3290" s="31"/>
    </row>
    <row r="3291" spans="1:7" x14ac:dyDescent="0.25">
      <c r="A3291" s="36">
        <v>43103</v>
      </c>
      <c r="B3291" s="7">
        <v>41.89</v>
      </c>
      <c r="C3291" s="7">
        <v>23.7</v>
      </c>
      <c r="D3291" s="8">
        <v>5.42</v>
      </c>
      <c r="E3291" s="7">
        <v>2.41</v>
      </c>
      <c r="G3291" s="31"/>
    </row>
    <row r="3292" spans="1:7" x14ac:dyDescent="0.25">
      <c r="A3292" s="36">
        <v>43104</v>
      </c>
      <c r="B3292" s="7">
        <v>41.95</v>
      </c>
      <c r="C3292" s="7">
        <v>23.64</v>
      </c>
      <c r="D3292" s="8">
        <v>5.4</v>
      </c>
      <c r="E3292" s="7">
        <v>2.5300000000000002</v>
      </c>
      <c r="G3292" s="31"/>
    </row>
    <row r="3293" spans="1:7" x14ac:dyDescent="0.25">
      <c r="A3293" s="36">
        <v>43105</v>
      </c>
      <c r="B3293" s="7">
        <v>42.07</v>
      </c>
      <c r="C3293" s="7">
        <v>23.59</v>
      </c>
      <c r="D3293" s="8">
        <v>5.4</v>
      </c>
      <c r="E3293" s="7">
        <v>2.5300000000000002</v>
      </c>
      <c r="G3293" s="31"/>
    </row>
    <row r="3294" spans="1:7" x14ac:dyDescent="0.25">
      <c r="A3294" s="36">
        <v>43106</v>
      </c>
      <c r="B3294" s="7">
        <v>42.15</v>
      </c>
      <c r="C3294" s="7">
        <v>23.57</v>
      </c>
      <c r="D3294" s="8">
        <v>5.46</v>
      </c>
      <c r="E3294" s="7">
        <v>2.5100000000000002</v>
      </c>
      <c r="G3294" s="31"/>
    </row>
    <row r="3295" spans="1:7" x14ac:dyDescent="0.25">
      <c r="A3295" s="36">
        <v>43107</v>
      </c>
      <c r="B3295" s="7">
        <v>42.21</v>
      </c>
      <c r="C3295" s="7">
        <v>23.58</v>
      </c>
      <c r="D3295" s="8">
        <v>5.44</v>
      </c>
      <c r="E3295" s="7">
        <v>2.4900000000000002</v>
      </c>
      <c r="G3295" s="31"/>
    </row>
    <row r="3296" spans="1:7" x14ac:dyDescent="0.25">
      <c r="A3296" s="36">
        <v>43108</v>
      </c>
      <c r="B3296" s="7">
        <v>42.24</v>
      </c>
      <c r="C3296" s="7">
        <v>23.68</v>
      </c>
      <c r="D3296" s="8">
        <v>5.44</v>
      </c>
      <c r="E3296" s="7">
        <v>2.4900000000000002</v>
      </c>
      <c r="G3296" s="31"/>
    </row>
    <row r="3297" spans="1:7" x14ac:dyDescent="0.25">
      <c r="A3297" s="36">
        <v>43109</v>
      </c>
      <c r="B3297" s="7">
        <v>42.23</v>
      </c>
      <c r="C3297" s="7">
        <v>23.8</v>
      </c>
      <c r="D3297" s="8">
        <v>5.42</v>
      </c>
      <c r="E3297" s="7">
        <v>2.5700000000000003</v>
      </c>
      <c r="G3297" s="31"/>
    </row>
    <row r="3298" spans="1:7" x14ac:dyDescent="0.25">
      <c r="A3298" s="36">
        <v>43110</v>
      </c>
      <c r="B3298" s="7">
        <v>42.22</v>
      </c>
      <c r="C3298" s="7">
        <v>23.86</v>
      </c>
      <c r="D3298" s="8">
        <v>5.4</v>
      </c>
      <c r="E3298" s="7">
        <v>2.48</v>
      </c>
      <c r="G3298" s="31"/>
    </row>
    <row r="3299" spans="1:7" x14ac:dyDescent="0.25">
      <c r="A3299" s="36">
        <v>43111</v>
      </c>
      <c r="B3299" s="7">
        <v>42.19</v>
      </c>
      <c r="C3299" s="7">
        <v>23.96</v>
      </c>
      <c r="D3299" s="8">
        <v>5.4</v>
      </c>
      <c r="E3299" s="7">
        <v>2.44</v>
      </c>
      <c r="G3299" s="31"/>
    </row>
    <row r="3300" spans="1:7" x14ac:dyDescent="0.25">
      <c r="A3300" s="36">
        <v>43112</v>
      </c>
      <c r="B3300" s="7">
        <v>42.13</v>
      </c>
      <c r="C3300" s="7">
        <v>24.02</v>
      </c>
      <c r="D3300" s="8">
        <v>5.38</v>
      </c>
      <c r="E3300" s="7">
        <v>2.4900000000000002</v>
      </c>
      <c r="G3300" s="31"/>
    </row>
    <row r="3301" spans="1:7" x14ac:dyDescent="0.25">
      <c r="A3301" s="36">
        <v>43113</v>
      </c>
      <c r="B3301" s="7">
        <v>42.08</v>
      </c>
      <c r="C3301" s="7">
        <v>24</v>
      </c>
      <c r="D3301" s="8">
        <v>5.36</v>
      </c>
      <c r="E3301" s="7">
        <v>2.39</v>
      </c>
      <c r="G3301" s="31"/>
    </row>
    <row r="3302" spans="1:7" x14ac:dyDescent="0.25">
      <c r="A3302" s="36">
        <v>43114</v>
      </c>
      <c r="B3302" s="7">
        <v>42.04</v>
      </c>
      <c r="C3302" s="7">
        <v>23.96</v>
      </c>
      <c r="D3302" s="8">
        <v>5.36</v>
      </c>
      <c r="E3302" s="7">
        <v>2.36</v>
      </c>
      <c r="G3302" s="31"/>
    </row>
    <row r="3303" spans="1:7" x14ac:dyDescent="0.25">
      <c r="A3303" s="36">
        <v>43115</v>
      </c>
      <c r="B3303" s="7">
        <v>42</v>
      </c>
      <c r="C3303" s="7">
        <v>23.9</v>
      </c>
      <c r="D3303" s="8">
        <v>5.32</v>
      </c>
      <c r="E3303" s="7">
        <v>2.4300000000000002</v>
      </c>
      <c r="G3303" s="31"/>
    </row>
    <row r="3304" spans="1:7" x14ac:dyDescent="0.25">
      <c r="A3304" s="36">
        <v>43116</v>
      </c>
      <c r="B3304" s="7">
        <v>41.98</v>
      </c>
      <c r="C3304" s="7">
        <v>23.83</v>
      </c>
      <c r="D3304" s="8">
        <v>5.28</v>
      </c>
      <c r="E3304" s="7">
        <v>2.48</v>
      </c>
      <c r="G3304" s="31"/>
    </row>
    <row r="3305" spans="1:7" x14ac:dyDescent="0.25">
      <c r="A3305" s="36">
        <v>43117</v>
      </c>
      <c r="B3305" s="7">
        <v>41.96</v>
      </c>
      <c r="C3305" s="7">
        <v>23.76</v>
      </c>
      <c r="D3305" s="8">
        <v>5.26</v>
      </c>
      <c r="E3305" s="7">
        <v>2.5</v>
      </c>
      <c r="G3305" s="31"/>
    </row>
    <row r="3306" spans="1:7" x14ac:dyDescent="0.25">
      <c r="A3306" s="36">
        <v>43118</v>
      </c>
      <c r="B3306" s="7">
        <v>41.98</v>
      </c>
      <c r="C3306" s="7">
        <v>23.68</v>
      </c>
      <c r="D3306" s="8">
        <v>5.26</v>
      </c>
      <c r="E3306" s="7">
        <v>2.38</v>
      </c>
      <c r="G3306" s="31"/>
    </row>
    <row r="3307" spans="1:7" x14ac:dyDescent="0.25">
      <c r="A3307" s="36">
        <v>43119</v>
      </c>
      <c r="B3307" s="7">
        <v>42.03</v>
      </c>
      <c r="C3307" s="7">
        <v>23.64</v>
      </c>
      <c r="D3307" s="8">
        <v>5.22</v>
      </c>
      <c r="E3307" s="7">
        <v>2.38</v>
      </c>
      <c r="G3307" s="31"/>
    </row>
    <row r="3308" spans="1:7" x14ac:dyDescent="0.25">
      <c r="A3308" s="36">
        <v>43120</v>
      </c>
      <c r="B3308" s="7">
        <v>42.09</v>
      </c>
      <c r="C3308" s="7">
        <v>23.64</v>
      </c>
      <c r="D3308" s="8">
        <v>5.2</v>
      </c>
      <c r="E3308" s="7">
        <v>2.35</v>
      </c>
      <c r="G3308" s="31"/>
    </row>
    <row r="3309" spans="1:7" x14ac:dyDescent="0.25">
      <c r="A3309" s="36">
        <v>43121</v>
      </c>
      <c r="B3309" s="7">
        <v>42.2</v>
      </c>
      <c r="C3309" s="7">
        <v>23.64</v>
      </c>
      <c r="D3309" s="8">
        <v>5.15</v>
      </c>
      <c r="E3309" s="7">
        <v>2.27</v>
      </c>
      <c r="G3309" s="31"/>
    </row>
    <row r="3310" spans="1:7" x14ac:dyDescent="0.25">
      <c r="A3310" s="36">
        <v>43122</v>
      </c>
      <c r="B3310" s="7">
        <v>42.26</v>
      </c>
      <c r="C3310" s="7">
        <v>23.64</v>
      </c>
      <c r="D3310" s="8">
        <v>5.12</v>
      </c>
      <c r="E3310" s="7">
        <v>2.34</v>
      </c>
      <c r="G3310" s="31"/>
    </row>
    <row r="3311" spans="1:7" x14ac:dyDescent="0.25">
      <c r="A3311" s="36">
        <v>43123</v>
      </c>
      <c r="B3311" s="7">
        <v>42.31</v>
      </c>
      <c r="C3311" s="7">
        <v>23.69</v>
      </c>
      <c r="D3311" s="8">
        <v>5.12</v>
      </c>
      <c r="E3311" s="7">
        <v>2.33</v>
      </c>
      <c r="G3311" s="31"/>
    </row>
    <row r="3312" spans="1:7" x14ac:dyDescent="0.25">
      <c r="A3312" s="36">
        <v>43124</v>
      </c>
      <c r="B3312" s="7">
        <v>42.36</v>
      </c>
      <c r="C3312" s="7">
        <v>23.74</v>
      </c>
      <c r="D3312" s="8">
        <v>5.0999999999999996</v>
      </c>
      <c r="E3312" s="7">
        <v>2.3199999999999998</v>
      </c>
      <c r="G3312" s="31"/>
    </row>
    <row r="3313" spans="1:7" x14ac:dyDescent="0.25">
      <c r="A3313" s="36">
        <v>43125</v>
      </c>
      <c r="B3313" s="7">
        <v>42.4</v>
      </c>
      <c r="C3313" s="7">
        <v>23.83</v>
      </c>
      <c r="D3313" s="8">
        <v>5.08</v>
      </c>
      <c r="E3313" s="7">
        <v>2.35</v>
      </c>
      <c r="G3313" s="31"/>
    </row>
    <row r="3314" spans="1:7" x14ac:dyDescent="0.25">
      <c r="A3314" s="36">
        <v>43126</v>
      </c>
      <c r="B3314" s="7">
        <v>42.41</v>
      </c>
      <c r="C3314" s="7">
        <v>23.89</v>
      </c>
      <c r="D3314" s="8">
        <v>5.08</v>
      </c>
      <c r="E3314" s="7">
        <v>2.35</v>
      </c>
      <c r="G3314" s="31"/>
    </row>
    <row r="3315" spans="1:7" x14ac:dyDescent="0.25">
      <c r="A3315" s="36">
        <v>43127</v>
      </c>
      <c r="B3315" s="7">
        <v>42.4</v>
      </c>
      <c r="C3315" s="7">
        <v>23.93</v>
      </c>
      <c r="D3315" s="8">
        <v>5.08</v>
      </c>
      <c r="E3315" s="7">
        <v>2.2000000000000002</v>
      </c>
      <c r="G3315" s="31"/>
    </row>
    <row r="3316" spans="1:7" x14ac:dyDescent="0.25">
      <c r="A3316" s="36">
        <v>43128</v>
      </c>
      <c r="B3316" s="7">
        <v>42.35</v>
      </c>
      <c r="C3316" s="7">
        <v>24</v>
      </c>
      <c r="D3316" s="8">
        <v>5</v>
      </c>
      <c r="E3316" s="7">
        <v>2.2800000000000002</v>
      </c>
      <c r="G3316" s="31"/>
    </row>
    <row r="3317" spans="1:7" x14ac:dyDescent="0.25">
      <c r="A3317" s="36">
        <v>43129</v>
      </c>
      <c r="B3317" s="7">
        <v>42.28</v>
      </c>
      <c r="C3317" s="7">
        <v>24.05</v>
      </c>
      <c r="D3317" s="8">
        <v>5</v>
      </c>
      <c r="E3317" s="7">
        <v>2.34</v>
      </c>
      <c r="G3317" s="31"/>
    </row>
    <row r="3318" spans="1:7" x14ac:dyDescent="0.25">
      <c r="A3318" s="36">
        <v>43130</v>
      </c>
      <c r="B3318" s="7">
        <v>42.12</v>
      </c>
      <c r="C3318" s="7">
        <v>24</v>
      </c>
      <c r="D3318" s="8">
        <v>4.9800000000000004</v>
      </c>
      <c r="E3318" s="7">
        <v>2.2800000000000002</v>
      </c>
      <c r="G3318" s="31"/>
    </row>
    <row r="3319" spans="1:7" x14ac:dyDescent="0.25">
      <c r="A3319" s="36">
        <v>43131</v>
      </c>
      <c r="B3319" s="7">
        <v>42.1</v>
      </c>
      <c r="C3319" s="7">
        <v>23.95</v>
      </c>
      <c r="D3319" s="8">
        <v>4.9400000000000004</v>
      </c>
      <c r="E3319" s="7">
        <v>2.4300000000000002</v>
      </c>
      <c r="G3319" s="31"/>
    </row>
    <row r="3320" spans="1:7" x14ac:dyDescent="0.25">
      <c r="A3320" s="36">
        <v>43132</v>
      </c>
      <c r="B3320" s="7">
        <v>42.05</v>
      </c>
      <c r="C3320" s="7">
        <v>23.85</v>
      </c>
      <c r="D3320" s="8">
        <v>5.04</v>
      </c>
      <c r="E3320" s="7">
        <v>2.38</v>
      </c>
      <c r="G3320" s="31"/>
    </row>
    <row r="3321" spans="1:7" x14ac:dyDescent="0.25">
      <c r="A3321" s="36">
        <v>43133</v>
      </c>
      <c r="B3321" s="7">
        <v>42.05</v>
      </c>
      <c r="C3321" s="7">
        <v>23.75</v>
      </c>
      <c r="D3321" s="8">
        <v>5.4</v>
      </c>
      <c r="E3321" s="7">
        <v>2.4300000000000002</v>
      </c>
      <c r="G3321" s="31"/>
    </row>
    <row r="3322" spans="1:7" x14ac:dyDescent="0.25">
      <c r="A3322" s="36">
        <v>43134</v>
      </c>
      <c r="B3322" s="7">
        <v>41.96</v>
      </c>
      <c r="C3322" s="7">
        <v>23.64</v>
      </c>
      <c r="D3322" s="8">
        <v>5.2</v>
      </c>
      <c r="E3322" s="7">
        <v>2.4300000000000002</v>
      </c>
      <c r="G3322" s="31"/>
    </row>
    <row r="3323" spans="1:7" x14ac:dyDescent="0.25">
      <c r="A3323" s="36">
        <v>43135</v>
      </c>
      <c r="B3323" s="7">
        <v>41.87</v>
      </c>
      <c r="C3323" s="7">
        <v>23.55</v>
      </c>
      <c r="D3323" s="8">
        <v>5.0599999999999996</v>
      </c>
      <c r="E3323" s="7">
        <v>2.48</v>
      </c>
      <c r="G3323" s="31"/>
    </row>
    <row r="3324" spans="1:7" x14ac:dyDescent="0.25">
      <c r="A3324" s="36">
        <v>43136</v>
      </c>
      <c r="B3324" s="7">
        <v>41.8</v>
      </c>
      <c r="C3324" s="7">
        <v>23.41</v>
      </c>
      <c r="D3324" s="8">
        <v>4.88</v>
      </c>
      <c r="E3324" s="7">
        <v>2.21</v>
      </c>
      <c r="G3324" s="31"/>
    </row>
    <row r="3325" spans="1:7" x14ac:dyDescent="0.25">
      <c r="A3325" s="36">
        <v>43137</v>
      </c>
      <c r="B3325" s="7">
        <v>41.73</v>
      </c>
      <c r="C3325" s="7">
        <v>23.32</v>
      </c>
      <c r="D3325" s="8">
        <v>4.8</v>
      </c>
      <c r="E3325" s="7">
        <v>2.21</v>
      </c>
      <c r="G3325" s="31"/>
    </row>
    <row r="3326" spans="1:7" x14ac:dyDescent="0.25">
      <c r="A3326" s="36">
        <v>43138</v>
      </c>
      <c r="B3326" s="7">
        <v>41.57</v>
      </c>
      <c r="C3326" s="7">
        <v>23.22</v>
      </c>
      <c r="D3326" s="8">
        <v>4.74</v>
      </c>
      <c r="E3326" s="7">
        <v>2.08</v>
      </c>
      <c r="G3326" s="31"/>
    </row>
    <row r="3327" spans="1:7" x14ac:dyDescent="0.25">
      <c r="A3327" s="36">
        <v>43139</v>
      </c>
      <c r="B3327" s="7">
        <v>41.47</v>
      </c>
      <c r="C3327" s="7">
        <v>23.14</v>
      </c>
      <c r="D3327" s="8">
        <v>4.58</v>
      </c>
      <c r="E3327" s="7">
        <v>2.0300000000000002</v>
      </c>
      <c r="G3327" s="31"/>
    </row>
    <row r="3328" spans="1:7" x14ac:dyDescent="0.25">
      <c r="A3328" s="36">
        <v>43140</v>
      </c>
      <c r="B3328" s="7">
        <v>41.39</v>
      </c>
      <c r="C3328" s="7">
        <v>23.04</v>
      </c>
      <c r="D3328" s="8">
        <v>4.54</v>
      </c>
      <c r="E3328" s="7">
        <v>2.02</v>
      </c>
      <c r="G3328" s="31"/>
    </row>
    <row r="3329" spans="1:7" x14ac:dyDescent="0.25">
      <c r="A3329" s="36">
        <v>43141</v>
      </c>
      <c r="B3329" s="7">
        <v>41.3</v>
      </c>
      <c r="C3329" s="7">
        <v>22.96</v>
      </c>
      <c r="D3329" s="8">
        <v>4.4000000000000004</v>
      </c>
      <c r="E3329" s="7">
        <v>1.97</v>
      </c>
      <c r="G3329" s="31"/>
    </row>
    <row r="3330" spans="1:7" x14ac:dyDescent="0.25">
      <c r="A3330" s="36">
        <v>43142</v>
      </c>
      <c r="B3330" s="7">
        <v>41.19</v>
      </c>
      <c r="C3330" s="7">
        <v>22.76</v>
      </c>
      <c r="D3330" s="8">
        <v>4.3</v>
      </c>
      <c r="E3330" s="7">
        <v>1.91</v>
      </c>
      <c r="G3330" s="31"/>
    </row>
    <row r="3331" spans="1:7" x14ac:dyDescent="0.25">
      <c r="A3331" s="36">
        <v>43143</v>
      </c>
      <c r="B3331" s="7">
        <v>41.1</v>
      </c>
      <c r="C3331" s="7">
        <v>22.62</v>
      </c>
      <c r="D3331" s="8">
        <v>4.22</v>
      </c>
      <c r="E3331" s="7">
        <v>1.79</v>
      </c>
      <c r="G3331" s="31"/>
    </row>
    <row r="3332" spans="1:7" x14ac:dyDescent="0.25">
      <c r="A3332" s="36">
        <v>43144</v>
      </c>
      <c r="B3332" s="7">
        <v>41.03</v>
      </c>
      <c r="C3332" s="7">
        <v>22.52</v>
      </c>
      <c r="D3332" s="8">
        <v>4.16</v>
      </c>
      <c r="E3332" s="7">
        <v>1.72</v>
      </c>
      <c r="G3332" s="31"/>
    </row>
    <row r="3333" spans="1:7" x14ac:dyDescent="0.25">
      <c r="A3333" s="36">
        <v>43145</v>
      </c>
      <c r="B3333" s="7">
        <v>40.93</v>
      </c>
      <c r="C3333" s="7">
        <v>22.42</v>
      </c>
      <c r="D3333" s="8">
        <v>4.04</v>
      </c>
      <c r="E3333" s="7">
        <v>1.67</v>
      </c>
      <c r="G3333" s="31"/>
    </row>
    <row r="3334" spans="1:7" x14ac:dyDescent="0.25">
      <c r="A3334" s="36">
        <v>43146</v>
      </c>
      <c r="B3334" s="7">
        <v>40.86</v>
      </c>
      <c r="C3334" s="7">
        <v>22.25</v>
      </c>
      <c r="D3334" s="8">
        <v>3.98</v>
      </c>
      <c r="E3334" s="7">
        <v>1.67</v>
      </c>
      <c r="G3334" s="31"/>
    </row>
    <row r="3335" spans="1:7" x14ac:dyDescent="0.25">
      <c r="A3335" s="36">
        <v>43147</v>
      </c>
      <c r="B3335" s="7">
        <v>40.81</v>
      </c>
      <c r="C3335" s="7">
        <v>22</v>
      </c>
      <c r="D3335" s="8">
        <v>3.86</v>
      </c>
      <c r="E3335" s="7">
        <v>1.77</v>
      </c>
      <c r="G3335" s="31"/>
    </row>
    <row r="3336" spans="1:7" x14ac:dyDescent="0.25">
      <c r="A3336" s="36">
        <v>43148</v>
      </c>
      <c r="B3336" s="7">
        <v>40.75</v>
      </c>
      <c r="C3336" s="7">
        <v>21.9</v>
      </c>
      <c r="D3336" s="8">
        <v>3.7</v>
      </c>
      <c r="E3336" s="7">
        <v>1.78</v>
      </c>
      <c r="G3336" s="31"/>
    </row>
    <row r="3337" spans="1:7" x14ac:dyDescent="0.25">
      <c r="A3337" s="36">
        <v>43149</v>
      </c>
      <c r="B3337" s="7">
        <v>40.71</v>
      </c>
      <c r="C3337" s="7">
        <v>21.8</v>
      </c>
      <c r="D3337" s="8">
        <v>3.64</v>
      </c>
      <c r="E3337" s="7">
        <v>1.8</v>
      </c>
      <c r="G3337" s="31"/>
    </row>
    <row r="3338" spans="1:7" x14ac:dyDescent="0.25">
      <c r="A3338" s="36">
        <v>43150</v>
      </c>
      <c r="B3338" s="7">
        <v>40.67</v>
      </c>
      <c r="C3338" s="7">
        <v>21.7</v>
      </c>
      <c r="D3338" s="8">
        <v>3.6</v>
      </c>
      <c r="E3338" s="7">
        <v>1.66</v>
      </c>
      <c r="G3338" s="31"/>
    </row>
    <row r="3339" spans="1:7" x14ac:dyDescent="0.25">
      <c r="A3339" s="36">
        <v>43151</v>
      </c>
      <c r="B3339" s="7">
        <v>40.64</v>
      </c>
      <c r="C3339" s="7">
        <v>21.62</v>
      </c>
      <c r="D3339" s="8">
        <v>3.58</v>
      </c>
      <c r="E3339" s="7">
        <v>1.66</v>
      </c>
      <c r="G3339" s="31"/>
    </row>
    <row r="3340" spans="1:7" x14ac:dyDescent="0.25">
      <c r="A3340" s="36">
        <v>43152</v>
      </c>
      <c r="B3340" s="7">
        <v>40.6</v>
      </c>
      <c r="C3340" s="7">
        <v>21.57</v>
      </c>
      <c r="D3340" s="8">
        <v>3.5</v>
      </c>
      <c r="E3340" s="7">
        <v>1.63</v>
      </c>
      <c r="G3340" s="31"/>
    </row>
    <row r="3341" spans="1:7" x14ac:dyDescent="0.25">
      <c r="A3341" s="36">
        <v>43153</v>
      </c>
      <c r="B3341" s="7">
        <v>40.58</v>
      </c>
      <c r="C3341" s="7">
        <v>21.54</v>
      </c>
      <c r="D3341" s="8">
        <v>3.46</v>
      </c>
      <c r="E3341" s="7">
        <v>1.53</v>
      </c>
      <c r="G3341" s="31"/>
    </row>
    <row r="3342" spans="1:7" x14ac:dyDescent="0.25">
      <c r="A3342" s="36">
        <v>43154</v>
      </c>
      <c r="B3342" s="7">
        <v>40.57</v>
      </c>
      <c r="C3342" s="7">
        <v>21.52</v>
      </c>
      <c r="D3342" s="8">
        <v>3.4</v>
      </c>
      <c r="E3342" s="7">
        <v>1.43</v>
      </c>
      <c r="G3342" s="31"/>
    </row>
    <row r="3343" spans="1:7" x14ac:dyDescent="0.25">
      <c r="A3343" s="36">
        <v>43155</v>
      </c>
      <c r="B3343" s="7">
        <v>40.57</v>
      </c>
      <c r="C3343" s="7">
        <v>21.48</v>
      </c>
      <c r="D3343" s="8">
        <v>3.26</v>
      </c>
      <c r="E3343" s="7">
        <v>1.46</v>
      </c>
      <c r="G3343" s="31"/>
    </row>
    <row r="3344" spans="1:7" x14ac:dyDescent="0.25">
      <c r="A3344" s="36">
        <v>43156</v>
      </c>
      <c r="B3344" s="7">
        <v>40.56</v>
      </c>
      <c r="C3344" s="7">
        <v>21.46</v>
      </c>
      <c r="D3344" s="8">
        <v>3.32</v>
      </c>
      <c r="E3344" s="7">
        <v>1.4</v>
      </c>
      <c r="G3344" s="31"/>
    </row>
    <row r="3345" spans="1:7" x14ac:dyDescent="0.25">
      <c r="A3345" s="36">
        <v>43157</v>
      </c>
      <c r="B3345" s="7">
        <v>40.549999999999997</v>
      </c>
      <c r="C3345" s="7">
        <v>21.44</v>
      </c>
      <c r="D3345" s="8">
        <v>3.3</v>
      </c>
      <c r="E3345" s="7">
        <v>1.38</v>
      </c>
      <c r="G3345" s="31"/>
    </row>
    <row r="3346" spans="1:7" x14ac:dyDescent="0.25">
      <c r="A3346" s="36">
        <v>43158</v>
      </c>
      <c r="B3346" s="7">
        <v>40.549999999999997</v>
      </c>
      <c r="C3346" s="7">
        <v>21.43</v>
      </c>
      <c r="D3346" s="8">
        <v>3.24</v>
      </c>
      <c r="E3346" s="7">
        <v>1.38</v>
      </c>
      <c r="G3346" s="31"/>
    </row>
    <row r="3347" spans="1:7" x14ac:dyDescent="0.25">
      <c r="A3347" s="36">
        <v>43159</v>
      </c>
      <c r="B3347" s="7">
        <v>40.46</v>
      </c>
      <c r="C3347" s="7">
        <v>21.39</v>
      </c>
      <c r="D3347" s="8">
        <v>3.2</v>
      </c>
      <c r="E3347" s="7">
        <v>1.36</v>
      </c>
      <c r="G3347" s="31"/>
    </row>
    <row r="3348" spans="1:7" x14ac:dyDescent="0.25">
      <c r="A3348" s="36">
        <v>43160</v>
      </c>
      <c r="B3348" s="7">
        <v>40.4</v>
      </c>
      <c r="C3348" s="7">
        <v>21.37</v>
      </c>
      <c r="D3348" s="8">
        <v>3.26</v>
      </c>
      <c r="E3348" s="7">
        <v>1.5</v>
      </c>
      <c r="G3348" s="31"/>
    </row>
    <row r="3349" spans="1:7" x14ac:dyDescent="0.25">
      <c r="A3349" s="36">
        <v>43161</v>
      </c>
      <c r="B3349" s="7">
        <v>40.369999999999997</v>
      </c>
      <c r="C3349" s="7">
        <v>21.36</v>
      </c>
      <c r="D3349" s="8">
        <v>3.12</v>
      </c>
      <c r="E3349" s="7">
        <v>1.45</v>
      </c>
      <c r="G3349" s="31"/>
    </row>
    <row r="3350" spans="1:7" x14ac:dyDescent="0.25">
      <c r="A3350" s="36">
        <v>43162</v>
      </c>
      <c r="B3350" s="7">
        <v>40.28</v>
      </c>
      <c r="C3350" s="7">
        <v>21.32</v>
      </c>
      <c r="D3350" s="8">
        <v>3.07</v>
      </c>
      <c r="E3350" s="7">
        <v>1.46</v>
      </c>
      <c r="G3350" s="31"/>
    </row>
    <row r="3351" spans="1:7" x14ac:dyDescent="0.25">
      <c r="A3351" s="36">
        <v>43163</v>
      </c>
      <c r="B3351" s="7">
        <v>40.229999999999997</v>
      </c>
      <c r="C3351" s="6">
        <v>21.25</v>
      </c>
      <c r="D3351" s="8">
        <v>3.04</v>
      </c>
      <c r="E3351" s="7">
        <v>1.5999999999999999</v>
      </c>
      <c r="G3351" s="31"/>
    </row>
    <row r="3352" spans="1:7" x14ac:dyDescent="0.25">
      <c r="A3352" s="36">
        <v>43164</v>
      </c>
      <c r="B3352" s="7">
        <v>40.200000000000003</v>
      </c>
      <c r="C3352" s="6">
        <v>21.2</v>
      </c>
      <c r="D3352" s="8">
        <v>3.02</v>
      </c>
      <c r="E3352" s="6">
        <v>1.53</v>
      </c>
      <c r="G3352" s="31"/>
    </row>
    <row r="3353" spans="1:7" x14ac:dyDescent="0.25">
      <c r="A3353" s="36">
        <v>43165</v>
      </c>
      <c r="B3353" s="6">
        <v>40.200000000000003</v>
      </c>
      <c r="C3353" s="6">
        <v>21.15</v>
      </c>
      <c r="D3353" s="8">
        <v>3.02</v>
      </c>
      <c r="E3353" s="6">
        <v>1.53</v>
      </c>
      <c r="G3353" s="31"/>
    </row>
    <row r="3354" spans="1:7" x14ac:dyDescent="0.25">
      <c r="A3354" s="36">
        <v>43166</v>
      </c>
      <c r="B3354" s="6">
        <v>40.19</v>
      </c>
      <c r="C3354" s="6">
        <v>21.12</v>
      </c>
      <c r="D3354" s="8">
        <v>2.96</v>
      </c>
      <c r="E3354" s="6">
        <v>1.43</v>
      </c>
      <c r="G3354" s="31"/>
    </row>
    <row r="3355" spans="1:7" x14ac:dyDescent="0.25">
      <c r="A3355" s="36">
        <v>43167</v>
      </c>
      <c r="B3355" s="6">
        <v>40.21</v>
      </c>
      <c r="C3355" s="6">
        <v>21.11</v>
      </c>
      <c r="D3355" s="8">
        <v>2.96</v>
      </c>
      <c r="E3355" s="6">
        <v>1.42</v>
      </c>
      <c r="G3355" s="31"/>
    </row>
    <row r="3356" spans="1:7" x14ac:dyDescent="0.25">
      <c r="A3356" s="36">
        <v>43168</v>
      </c>
      <c r="B3356" s="6">
        <v>40.21</v>
      </c>
      <c r="C3356" s="6">
        <v>21.1</v>
      </c>
      <c r="D3356" s="8">
        <v>2.98</v>
      </c>
      <c r="E3356" s="6">
        <v>1.33</v>
      </c>
      <c r="G3356" s="31"/>
    </row>
    <row r="3357" spans="1:7" x14ac:dyDescent="0.25">
      <c r="A3357" s="36">
        <v>43169</v>
      </c>
      <c r="B3357" s="6">
        <v>40.24</v>
      </c>
      <c r="C3357" s="6">
        <v>21.08</v>
      </c>
      <c r="D3357" s="8">
        <v>2.8</v>
      </c>
      <c r="E3357" s="6">
        <v>1.28</v>
      </c>
      <c r="G3357" s="31"/>
    </row>
    <row r="3358" spans="1:7" x14ac:dyDescent="0.25">
      <c r="A3358" s="36">
        <v>43170</v>
      </c>
      <c r="B3358" s="6">
        <v>40.270000000000003</v>
      </c>
      <c r="C3358" s="6">
        <v>21.06</v>
      </c>
      <c r="D3358" s="8">
        <v>2.8</v>
      </c>
      <c r="E3358" s="6">
        <v>1.23</v>
      </c>
      <c r="G3358" s="31"/>
    </row>
    <row r="3359" spans="1:7" x14ac:dyDescent="0.25">
      <c r="A3359" s="36">
        <v>43171</v>
      </c>
      <c r="B3359" s="6">
        <v>40.26</v>
      </c>
      <c r="C3359" s="6">
        <v>21.08</v>
      </c>
      <c r="D3359" s="8">
        <v>2.8</v>
      </c>
      <c r="E3359" s="6">
        <v>1.1299999999999999</v>
      </c>
      <c r="G3359" s="31"/>
    </row>
    <row r="3360" spans="1:7" x14ac:dyDescent="0.25">
      <c r="A3360" s="36">
        <v>43172</v>
      </c>
      <c r="B3360" s="6">
        <v>40.25</v>
      </c>
      <c r="C3360" s="6">
        <v>21.1</v>
      </c>
      <c r="D3360" s="11">
        <v>2.9</v>
      </c>
      <c r="E3360" s="6">
        <v>1.18</v>
      </c>
      <c r="G3360" s="31"/>
    </row>
    <row r="3361" spans="1:7" x14ac:dyDescent="0.25">
      <c r="A3361" s="36">
        <v>43173</v>
      </c>
      <c r="B3361" s="6">
        <v>40.28</v>
      </c>
      <c r="C3361" s="6">
        <v>21.12</v>
      </c>
      <c r="D3361" s="11">
        <v>2.88</v>
      </c>
      <c r="E3361" s="6">
        <v>1.34</v>
      </c>
      <c r="G3361" s="31"/>
    </row>
    <row r="3362" spans="1:7" x14ac:dyDescent="0.25">
      <c r="A3362" s="36">
        <v>43174</v>
      </c>
      <c r="B3362" s="6">
        <v>40.29</v>
      </c>
      <c r="C3362" s="6">
        <v>21.17</v>
      </c>
      <c r="D3362" s="11">
        <v>2.88</v>
      </c>
      <c r="E3362" s="6">
        <v>1.45</v>
      </c>
      <c r="G3362" s="31"/>
    </row>
    <row r="3363" spans="1:7" x14ac:dyDescent="0.25">
      <c r="A3363" s="36">
        <v>43175</v>
      </c>
      <c r="B3363" s="6">
        <v>40.29</v>
      </c>
      <c r="C3363" s="6">
        <v>21.2</v>
      </c>
      <c r="D3363" s="11">
        <v>2.86</v>
      </c>
      <c r="E3363" s="6">
        <v>1.38</v>
      </c>
      <c r="G3363" s="31"/>
    </row>
    <row r="3364" spans="1:7" x14ac:dyDescent="0.25">
      <c r="A3364" s="36">
        <v>43176</v>
      </c>
      <c r="B3364" s="6">
        <v>40.25</v>
      </c>
      <c r="C3364" s="6">
        <v>21.26</v>
      </c>
      <c r="D3364" s="11">
        <v>2.88</v>
      </c>
      <c r="E3364" s="6">
        <v>1.34</v>
      </c>
      <c r="G3364" s="31"/>
    </row>
    <row r="3365" spans="1:7" x14ac:dyDescent="0.25">
      <c r="A3365" s="36">
        <v>43177</v>
      </c>
      <c r="B3365" s="6">
        <v>40.29</v>
      </c>
      <c r="C3365" s="6">
        <v>21.32</v>
      </c>
      <c r="D3365" s="11">
        <v>2.9</v>
      </c>
      <c r="E3365" s="6">
        <v>1.31</v>
      </c>
      <c r="G3365" s="31"/>
    </row>
    <row r="3366" spans="1:7" x14ac:dyDescent="0.25">
      <c r="A3366" s="36">
        <v>43178</v>
      </c>
      <c r="B3366" s="6">
        <v>40.25</v>
      </c>
      <c r="C3366" s="6">
        <v>21.4</v>
      </c>
      <c r="D3366" s="11">
        <v>2.92</v>
      </c>
      <c r="E3366" s="6">
        <v>1.36</v>
      </c>
      <c r="G3366" s="31"/>
    </row>
    <row r="3367" spans="1:7" x14ac:dyDescent="0.25">
      <c r="A3367" s="36">
        <v>43179</v>
      </c>
      <c r="B3367" s="6">
        <v>40.25</v>
      </c>
      <c r="C3367" s="6">
        <v>21.4</v>
      </c>
      <c r="D3367" s="11">
        <v>2.92</v>
      </c>
      <c r="E3367" s="6">
        <v>1.43</v>
      </c>
      <c r="G3367" s="31"/>
    </row>
    <row r="3368" spans="1:7" x14ac:dyDescent="0.25">
      <c r="A3368" s="36">
        <v>43180</v>
      </c>
      <c r="B3368" s="6">
        <v>40.299999999999997</v>
      </c>
      <c r="C3368" s="6">
        <v>21.38</v>
      </c>
      <c r="D3368" s="11">
        <v>2.94</v>
      </c>
      <c r="E3368" s="6">
        <v>1.5799999999999998</v>
      </c>
      <c r="G3368" s="31"/>
    </row>
    <row r="3369" spans="1:7" x14ac:dyDescent="0.25">
      <c r="A3369" s="36">
        <v>43181</v>
      </c>
      <c r="B3369" s="6">
        <v>40.53</v>
      </c>
      <c r="C3369" s="6">
        <v>21.32</v>
      </c>
      <c r="D3369" s="11">
        <v>2.94</v>
      </c>
      <c r="E3369" s="6">
        <v>1.6199999999999999</v>
      </c>
      <c r="G3369" s="31"/>
    </row>
    <row r="3370" spans="1:7" x14ac:dyDescent="0.25">
      <c r="A3370" s="36">
        <v>43182</v>
      </c>
      <c r="B3370" s="6">
        <v>40.159999999999997</v>
      </c>
      <c r="C3370" s="6">
        <v>21.25</v>
      </c>
      <c r="D3370" s="11">
        <v>2.94</v>
      </c>
      <c r="E3370" s="6">
        <v>1.58</v>
      </c>
      <c r="G3370" s="31"/>
    </row>
    <row r="3371" spans="1:7" x14ac:dyDescent="0.25">
      <c r="A3371" s="36">
        <v>43183</v>
      </c>
      <c r="B3371" s="6">
        <v>40.155000000000001</v>
      </c>
      <c r="C3371" s="6">
        <v>21.18</v>
      </c>
      <c r="D3371" s="11">
        <v>2.96</v>
      </c>
      <c r="E3371" s="6">
        <v>1.5</v>
      </c>
      <c r="G3371" s="31"/>
    </row>
    <row r="3372" spans="1:7" x14ac:dyDescent="0.25">
      <c r="A3372" s="36">
        <v>43184</v>
      </c>
      <c r="B3372" s="6">
        <v>40.15</v>
      </c>
      <c r="C3372" s="6">
        <v>21.13</v>
      </c>
      <c r="D3372" s="11">
        <v>2.96</v>
      </c>
      <c r="E3372" s="6">
        <v>1.43</v>
      </c>
      <c r="G3372" s="31"/>
    </row>
    <row r="3373" spans="1:7" x14ac:dyDescent="0.25">
      <c r="A3373" s="36">
        <v>43185</v>
      </c>
      <c r="B3373" s="6">
        <v>40.15</v>
      </c>
      <c r="C3373" s="6">
        <v>21.1</v>
      </c>
      <c r="D3373" s="11">
        <v>2.96</v>
      </c>
      <c r="E3373" s="6">
        <v>1.44</v>
      </c>
      <c r="G3373" s="31"/>
    </row>
    <row r="3374" spans="1:7" x14ac:dyDescent="0.25">
      <c r="A3374" s="36">
        <v>43186</v>
      </c>
      <c r="B3374" s="6">
        <v>40.17</v>
      </c>
      <c r="C3374" s="6">
        <v>21.07</v>
      </c>
      <c r="D3374" s="11">
        <v>2.98</v>
      </c>
      <c r="E3374" s="6">
        <v>1.43</v>
      </c>
      <c r="G3374" s="31"/>
    </row>
    <row r="3375" spans="1:7" x14ac:dyDescent="0.25">
      <c r="A3375" s="36">
        <v>43187</v>
      </c>
      <c r="B3375" s="6">
        <v>40.17</v>
      </c>
      <c r="C3375" s="6">
        <v>21.05</v>
      </c>
      <c r="D3375" s="11">
        <v>2.98</v>
      </c>
      <c r="E3375" s="6">
        <v>1.48</v>
      </c>
      <c r="G3375" s="31"/>
    </row>
    <row r="3376" spans="1:7" x14ac:dyDescent="0.25">
      <c r="A3376" s="36">
        <v>43188</v>
      </c>
      <c r="B3376" s="6">
        <v>40.17</v>
      </c>
      <c r="C3376" s="6">
        <v>21.03</v>
      </c>
      <c r="D3376" s="11">
        <v>2.96</v>
      </c>
      <c r="E3376" s="6">
        <v>1.43</v>
      </c>
      <c r="G3376" s="31"/>
    </row>
    <row r="3377" spans="1:7" x14ac:dyDescent="0.25">
      <c r="A3377" s="36">
        <v>43189</v>
      </c>
      <c r="B3377" s="6">
        <v>40.159999999999997</v>
      </c>
      <c r="C3377" s="6">
        <v>21.01</v>
      </c>
      <c r="D3377" s="11">
        <v>2.96</v>
      </c>
      <c r="E3377" s="6">
        <v>1.43</v>
      </c>
      <c r="G3377" s="31"/>
    </row>
    <row r="3378" spans="1:7" x14ac:dyDescent="0.25">
      <c r="A3378" s="36">
        <v>43190</v>
      </c>
      <c r="B3378" s="6">
        <v>40.159999999999997</v>
      </c>
      <c r="C3378" s="6">
        <v>20.99</v>
      </c>
      <c r="D3378" s="11">
        <v>2.94</v>
      </c>
      <c r="E3378" s="6">
        <v>1.4</v>
      </c>
      <c r="G3378" s="31"/>
    </row>
    <row r="3379" spans="1:7" x14ac:dyDescent="0.25">
      <c r="A3379" s="36">
        <v>43191</v>
      </c>
      <c r="B3379" s="6">
        <v>40.21</v>
      </c>
      <c r="C3379" s="6">
        <v>20.97</v>
      </c>
      <c r="D3379" s="11">
        <v>2.94</v>
      </c>
      <c r="E3379" s="6">
        <v>1.38</v>
      </c>
      <c r="G3379" s="31"/>
    </row>
    <row r="3380" spans="1:7" x14ac:dyDescent="0.25">
      <c r="A3380" s="36">
        <v>43192</v>
      </c>
      <c r="B3380" s="6">
        <v>40.26</v>
      </c>
      <c r="C3380" s="6">
        <v>20.95</v>
      </c>
      <c r="D3380" s="11">
        <v>2.9</v>
      </c>
      <c r="E3380" s="6">
        <v>1.33</v>
      </c>
      <c r="G3380" s="31"/>
    </row>
    <row r="3381" spans="1:7" x14ac:dyDescent="0.25">
      <c r="A3381" s="36">
        <v>43193</v>
      </c>
      <c r="B3381" s="6">
        <v>40.28</v>
      </c>
      <c r="C3381" s="6">
        <v>20.95</v>
      </c>
      <c r="D3381" s="11">
        <v>2.9</v>
      </c>
      <c r="E3381" s="6">
        <v>1.33</v>
      </c>
      <c r="G3381" s="31"/>
    </row>
    <row r="3382" spans="1:7" x14ac:dyDescent="0.25">
      <c r="A3382" s="36">
        <v>43194</v>
      </c>
      <c r="B3382" s="6">
        <v>40.299999999999997</v>
      </c>
      <c r="C3382" s="6">
        <v>20.97</v>
      </c>
      <c r="D3382" s="11">
        <v>2.9</v>
      </c>
      <c r="E3382" s="6">
        <v>1.43</v>
      </c>
      <c r="G3382" s="31"/>
    </row>
    <row r="3383" spans="1:7" x14ac:dyDescent="0.25">
      <c r="A3383" s="36">
        <v>43195</v>
      </c>
      <c r="B3383" s="6">
        <v>40.53</v>
      </c>
      <c r="C3383" s="6">
        <v>21.09</v>
      </c>
      <c r="D3383" s="11">
        <v>2.74</v>
      </c>
      <c r="E3383" s="6">
        <v>1.42</v>
      </c>
      <c r="G3383" s="31"/>
    </row>
    <row r="3384" spans="1:7" x14ac:dyDescent="0.25">
      <c r="A3384" s="36">
        <v>43196</v>
      </c>
      <c r="B3384" s="6">
        <v>40.630000000000003</v>
      </c>
      <c r="C3384" s="6">
        <v>21.19</v>
      </c>
      <c r="D3384" s="11">
        <v>2.7</v>
      </c>
      <c r="E3384" s="6">
        <v>1.41</v>
      </c>
      <c r="G3384" s="31"/>
    </row>
    <row r="3385" spans="1:7" x14ac:dyDescent="0.25">
      <c r="A3385" s="36">
        <v>43197</v>
      </c>
      <c r="B3385" s="6">
        <v>40.78</v>
      </c>
      <c r="C3385" s="6">
        <v>21.43</v>
      </c>
      <c r="D3385" s="11">
        <v>2.7</v>
      </c>
      <c r="E3385" s="6">
        <v>1.43</v>
      </c>
      <c r="G3385" s="31"/>
    </row>
    <row r="3386" spans="1:7" x14ac:dyDescent="0.25">
      <c r="A3386" s="36">
        <v>43198</v>
      </c>
      <c r="B3386" s="6">
        <v>40.93</v>
      </c>
      <c r="C3386" s="6">
        <v>21.61</v>
      </c>
      <c r="D3386" s="11">
        <v>2.66</v>
      </c>
      <c r="E3386" s="6">
        <v>1.42</v>
      </c>
      <c r="G3386" s="31"/>
    </row>
    <row r="3387" spans="1:7" x14ac:dyDescent="0.25">
      <c r="A3387" s="36">
        <v>43199</v>
      </c>
      <c r="B3387" s="6">
        <v>41.05</v>
      </c>
      <c r="C3387" s="6">
        <v>21.81</v>
      </c>
      <c r="D3387" s="11">
        <v>2.68</v>
      </c>
      <c r="E3387" s="6">
        <v>1.38</v>
      </c>
      <c r="G3387" s="31"/>
    </row>
    <row r="3388" spans="1:7" x14ac:dyDescent="0.25">
      <c r="A3388" s="36">
        <v>43200</v>
      </c>
      <c r="B3388" s="6">
        <v>41.15</v>
      </c>
      <c r="C3388" s="6">
        <v>21.96</v>
      </c>
      <c r="D3388" s="11">
        <v>2.68</v>
      </c>
      <c r="E3388" s="6">
        <v>1.4</v>
      </c>
      <c r="G3388" s="31"/>
    </row>
    <row r="3389" spans="1:7" x14ac:dyDescent="0.25">
      <c r="A3389" s="36">
        <v>43201</v>
      </c>
      <c r="B3389" s="6">
        <v>41.26</v>
      </c>
      <c r="C3389" s="6">
        <v>22.16</v>
      </c>
      <c r="D3389" s="11">
        <v>2.68</v>
      </c>
      <c r="E3389" s="6">
        <v>1.38</v>
      </c>
      <c r="G3389" s="31"/>
    </row>
    <row r="3390" spans="1:7" x14ac:dyDescent="0.25">
      <c r="A3390" s="36">
        <v>43202</v>
      </c>
      <c r="B3390" s="6">
        <v>41.39</v>
      </c>
      <c r="C3390" s="6">
        <v>22.26</v>
      </c>
      <c r="D3390" s="11">
        <v>2.76</v>
      </c>
      <c r="E3390" s="6">
        <v>1.43</v>
      </c>
      <c r="G3390" s="31"/>
    </row>
    <row r="3391" spans="1:7" x14ac:dyDescent="0.25">
      <c r="A3391" s="36">
        <v>43203</v>
      </c>
      <c r="B3391" s="6">
        <v>41.54</v>
      </c>
      <c r="C3391" s="6">
        <v>22.4</v>
      </c>
      <c r="D3391" s="11">
        <v>3</v>
      </c>
      <c r="E3391" s="6">
        <v>1.41</v>
      </c>
      <c r="G3391" s="31"/>
    </row>
    <row r="3392" spans="1:7" x14ac:dyDescent="0.25">
      <c r="A3392" s="36">
        <v>43204</v>
      </c>
      <c r="B3392" s="6">
        <v>41.69</v>
      </c>
      <c r="C3392" s="6">
        <v>22.6</v>
      </c>
      <c r="D3392" s="11">
        <v>3.2</v>
      </c>
      <c r="E3392" s="6">
        <v>1.42</v>
      </c>
      <c r="G3392" s="31"/>
    </row>
    <row r="3393" spans="1:7" x14ac:dyDescent="0.25">
      <c r="A3393" s="36">
        <v>43205</v>
      </c>
      <c r="B3393" s="6">
        <v>41.83</v>
      </c>
      <c r="C3393" s="6">
        <v>22.9</v>
      </c>
      <c r="D3393" s="11">
        <v>3.4</v>
      </c>
      <c r="E3393" s="6">
        <v>1.45</v>
      </c>
      <c r="G3393" s="31"/>
    </row>
    <row r="3394" spans="1:7" x14ac:dyDescent="0.25">
      <c r="A3394" s="36">
        <v>43206</v>
      </c>
      <c r="B3394" s="6">
        <v>41.96</v>
      </c>
      <c r="C3394" s="6">
        <v>23.2</v>
      </c>
      <c r="D3394" s="11">
        <v>3.5</v>
      </c>
      <c r="E3394" s="6">
        <v>1.65</v>
      </c>
      <c r="G3394" s="31"/>
    </row>
    <row r="3395" spans="1:7" x14ac:dyDescent="0.25">
      <c r="A3395" s="36">
        <v>43207</v>
      </c>
      <c r="B3395" s="6">
        <v>42.05</v>
      </c>
      <c r="C3395" s="6">
        <v>23.35</v>
      </c>
      <c r="D3395" s="11">
        <v>3.6</v>
      </c>
      <c r="E3395" s="6">
        <v>1.8299999999999998</v>
      </c>
      <c r="G3395" s="31"/>
    </row>
    <row r="3396" spans="1:7" x14ac:dyDescent="0.25">
      <c r="A3396" s="36">
        <v>43208</v>
      </c>
      <c r="B3396" s="6">
        <v>42.15</v>
      </c>
      <c r="C3396" s="6">
        <v>23.48</v>
      </c>
      <c r="D3396" s="11">
        <v>4.16</v>
      </c>
      <c r="E3396" s="6">
        <v>1.89</v>
      </c>
      <c r="G3396" s="31"/>
    </row>
    <row r="3397" spans="1:7" x14ac:dyDescent="0.25">
      <c r="A3397" s="36">
        <v>43209</v>
      </c>
      <c r="B3397" s="6">
        <v>42.25</v>
      </c>
      <c r="C3397" s="6">
        <v>23.58</v>
      </c>
      <c r="D3397" s="11">
        <v>4.3</v>
      </c>
      <c r="E3397" s="6">
        <v>1.96</v>
      </c>
      <c r="G3397" s="31"/>
    </row>
    <row r="3398" spans="1:7" x14ac:dyDescent="0.25">
      <c r="A3398" s="36">
        <v>43210</v>
      </c>
      <c r="B3398" s="6">
        <v>42.36</v>
      </c>
      <c r="C3398" s="6">
        <v>23.65</v>
      </c>
      <c r="D3398" s="11">
        <v>4.4400000000000004</v>
      </c>
      <c r="E3398" s="6">
        <v>1.97</v>
      </c>
      <c r="G3398" s="31"/>
    </row>
    <row r="3399" spans="1:7" x14ac:dyDescent="0.25">
      <c r="A3399" s="36">
        <v>43211</v>
      </c>
      <c r="B3399" s="6">
        <v>42.49</v>
      </c>
      <c r="C3399" s="6">
        <v>23.75</v>
      </c>
      <c r="D3399" s="11">
        <v>4.55</v>
      </c>
      <c r="E3399" s="6">
        <v>1.99</v>
      </c>
      <c r="G3399" s="31"/>
    </row>
    <row r="3400" spans="1:7" x14ac:dyDescent="0.25">
      <c r="A3400" s="36">
        <v>43212</v>
      </c>
      <c r="B3400" s="6">
        <v>42.63</v>
      </c>
      <c r="C3400" s="6">
        <v>23.85</v>
      </c>
      <c r="D3400" s="11">
        <v>4.66</v>
      </c>
      <c r="E3400" s="6">
        <v>2.09</v>
      </c>
      <c r="G3400" s="31"/>
    </row>
    <row r="3401" spans="1:7" x14ac:dyDescent="0.25">
      <c r="A3401" s="36">
        <v>43213</v>
      </c>
      <c r="B3401" s="6">
        <v>42.81</v>
      </c>
      <c r="C3401" s="6">
        <v>23.97</v>
      </c>
      <c r="D3401" s="11">
        <v>4.76</v>
      </c>
      <c r="E3401" s="6">
        <v>2.14</v>
      </c>
      <c r="G3401" s="31"/>
    </row>
    <row r="3402" spans="1:7" x14ac:dyDescent="0.25">
      <c r="A3402" s="36">
        <v>43214</v>
      </c>
      <c r="B3402" s="6">
        <v>42.99</v>
      </c>
      <c r="C3402" s="6">
        <v>24.1</v>
      </c>
      <c r="D3402" s="11">
        <v>4.78</v>
      </c>
      <c r="E3402" s="6">
        <v>2.19</v>
      </c>
      <c r="G3402" s="31"/>
    </row>
    <row r="3403" spans="1:7" x14ac:dyDescent="0.25">
      <c r="A3403" s="36">
        <v>43215</v>
      </c>
      <c r="B3403" s="6">
        <v>43.15</v>
      </c>
      <c r="C3403" s="6">
        <v>24.25</v>
      </c>
      <c r="D3403" s="11">
        <v>4.9000000000000004</v>
      </c>
      <c r="E3403" s="6">
        <v>2.34</v>
      </c>
      <c r="G3403" s="31"/>
    </row>
    <row r="3404" spans="1:7" x14ac:dyDescent="0.25">
      <c r="A3404" s="36">
        <v>43216</v>
      </c>
      <c r="B3404" s="6">
        <v>43.36</v>
      </c>
      <c r="C3404" s="6">
        <v>24.45</v>
      </c>
      <c r="D3404" s="11">
        <v>5.0999999999999996</v>
      </c>
      <c r="E3404" s="6">
        <v>2.39</v>
      </c>
      <c r="G3404" s="31"/>
    </row>
    <row r="3405" spans="1:7" x14ac:dyDescent="0.25">
      <c r="A3405" s="36">
        <v>43217</v>
      </c>
      <c r="B3405" s="6">
        <v>43.54</v>
      </c>
      <c r="C3405" s="6">
        <v>24.7</v>
      </c>
      <c r="D3405" s="11">
        <v>5.2</v>
      </c>
      <c r="E3405" s="6">
        <v>2.4900000000000002</v>
      </c>
      <c r="G3405" s="31"/>
    </row>
    <row r="3406" spans="1:7" x14ac:dyDescent="0.25">
      <c r="A3406" s="36">
        <v>43218</v>
      </c>
      <c r="B3406" s="6">
        <v>43.84</v>
      </c>
      <c r="C3406" s="6">
        <v>24.95</v>
      </c>
      <c r="D3406" s="11">
        <v>5.2</v>
      </c>
      <c r="E3406" s="6">
        <v>2.5100000000000002</v>
      </c>
      <c r="G3406" s="31"/>
    </row>
    <row r="3407" spans="1:7" x14ac:dyDescent="0.25">
      <c r="A3407" s="36">
        <v>43219</v>
      </c>
      <c r="B3407" s="6">
        <v>43.9</v>
      </c>
      <c r="C3407" s="6">
        <v>25.15</v>
      </c>
      <c r="D3407" s="11">
        <v>5.34</v>
      </c>
      <c r="E3407" s="6">
        <v>2.6300000000000003</v>
      </c>
      <c r="G3407" s="31"/>
    </row>
    <row r="3408" spans="1:7" x14ac:dyDescent="0.25">
      <c r="A3408" s="36">
        <v>43220</v>
      </c>
      <c r="B3408" s="6">
        <v>44.14</v>
      </c>
      <c r="C3408" s="6">
        <v>25.3</v>
      </c>
      <c r="D3408" s="11">
        <v>5.5</v>
      </c>
      <c r="E3408" s="6">
        <v>2.77</v>
      </c>
      <c r="G3408" s="31"/>
    </row>
    <row r="3409" spans="1:7" x14ac:dyDescent="0.25">
      <c r="A3409" s="36">
        <v>43221</v>
      </c>
      <c r="B3409" s="6">
        <v>44.43</v>
      </c>
      <c r="C3409" s="6">
        <v>25.5</v>
      </c>
      <c r="D3409" s="11">
        <v>6</v>
      </c>
      <c r="E3409" s="6">
        <v>2.87</v>
      </c>
      <c r="G3409" s="31"/>
    </row>
    <row r="3410" spans="1:7" x14ac:dyDescent="0.25">
      <c r="A3410" s="36">
        <v>43222</v>
      </c>
      <c r="B3410" s="6">
        <v>44.75</v>
      </c>
      <c r="C3410" s="6">
        <v>25.65</v>
      </c>
      <c r="D3410" s="11">
        <v>6.22</v>
      </c>
      <c r="E3410" s="6">
        <v>2.94</v>
      </c>
      <c r="G3410" s="31"/>
    </row>
    <row r="3411" spans="1:7" x14ac:dyDescent="0.25">
      <c r="A3411" s="36">
        <v>43223</v>
      </c>
      <c r="B3411" s="6">
        <v>45.07</v>
      </c>
      <c r="C3411" s="6">
        <v>25.93</v>
      </c>
      <c r="D3411" s="11">
        <v>6.42</v>
      </c>
      <c r="E3411" s="6">
        <v>3.0900000000000003</v>
      </c>
      <c r="G3411" s="31"/>
    </row>
    <row r="3412" spans="1:7" x14ac:dyDescent="0.25">
      <c r="A3412" s="36">
        <v>43224</v>
      </c>
      <c r="B3412" s="6">
        <v>45.36</v>
      </c>
      <c r="C3412" s="6">
        <v>26.2</v>
      </c>
      <c r="D3412" s="11">
        <v>6.6</v>
      </c>
      <c r="E3412" s="6">
        <v>3.29</v>
      </c>
      <c r="G3412" s="31"/>
    </row>
    <row r="3413" spans="1:7" x14ac:dyDescent="0.25">
      <c r="A3413" s="36">
        <v>43225</v>
      </c>
      <c r="B3413" s="6">
        <v>45.64</v>
      </c>
      <c r="C3413" s="6">
        <v>26.4</v>
      </c>
      <c r="D3413" s="11">
        <v>6.98</v>
      </c>
      <c r="E3413" s="6">
        <v>3.39</v>
      </c>
      <c r="G3413" s="31"/>
    </row>
    <row r="3414" spans="1:7" x14ac:dyDescent="0.25">
      <c r="A3414" s="36">
        <v>43226</v>
      </c>
      <c r="B3414" s="6">
        <v>45.88</v>
      </c>
      <c r="C3414" s="6">
        <v>26.65</v>
      </c>
      <c r="D3414" s="11">
        <v>7.26</v>
      </c>
      <c r="E3414" s="6">
        <v>3.5300000000000002</v>
      </c>
      <c r="G3414" s="31"/>
    </row>
    <row r="3415" spans="1:7" x14ac:dyDescent="0.25">
      <c r="A3415" s="36">
        <v>43227</v>
      </c>
      <c r="B3415" s="6">
        <v>46.1</v>
      </c>
      <c r="C3415" s="6">
        <v>26.98</v>
      </c>
      <c r="D3415" s="11">
        <v>7.5</v>
      </c>
      <c r="E3415" s="6">
        <v>3.8800000000000003</v>
      </c>
      <c r="G3415" s="31"/>
    </row>
    <row r="3416" spans="1:7" x14ac:dyDescent="0.25">
      <c r="A3416" s="36">
        <v>43228</v>
      </c>
      <c r="B3416" s="6">
        <v>46.35</v>
      </c>
      <c r="C3416" s="6">
        <v>27.2</v>
      </c>
      <c r="D3416" s="11">
        <v>7.8</v>
      </c>
      <c r="E3416" s="6">
        <v>4.03</v>
      </c>
      <c r="G3416" s="31"/>
    </row>
    <row r="3417" spans="1:7" x14ac:dyDescent="0.25">
      <c r="A3417" s="36">
        <v>43229</v>
      </c>
      <c r="B3417" s="6">
        <v>46.64</v>
      </c>
      <c r="C3417" s="6">
        <v>27.4</v>
      </c>
      <c r="D3417" s="11">
        <v>8.06</v>
      </c>
      <c r="E3417" s="6">
        <v>4.18</v>
      </c>
      <c r="G3417" s="31"/>
    </row>
    <row r="3418" spans="1:7" x14ac:dyDescent="0.25">
      <c r="A3418" s="36">
        <v>43230</v>
      </c>
      <c r="B3418" s="6">
        <v>46.84</v>
      </c>
      <c r="C3418" s="6">
        <v>27.6</v>
      </c>
      <c r="D3418" s="11">
        <v>8.3000000000000007</v>
      </c>
      <c r="E3418" s="6">
        <v>4.3099999999999996</v>
      </c>
      <c r="G3418" s="31"/>
    </row>
    <row r="3419" spans="1:7" x14ac:dyDescent="0.25">
      <c r="A3419" s="36">
        <v>43231</v>
      </c>
      <c r="B3419" s="6">
        <v>47</v>
      </c>
      <c r="C3419" s="6">
        <v>27.84</v>
      </c>
      <c r="D3419" s="11">
        <v>8.36</v>
      </c>
      <c r="E3419" s="6">
        <v>4.42</v>
      </c>
      <c r="G3419" s="31"/>
    </row>
    <row r="3420" spans="1:7" x14ac:dyDescent="0.25">
      <c r="A3420" s="36">
        <v>43232</v>
      </c>
      <c r="B3420" s="6">
        <v>47.12</v>
      </c>
      <c r="C3420" s="6">
        <v>28.04</v>
      </c>
      <c r="D3420" s="11">
        <v>8.4</v>
      </c>
      <c r="E3420" s="6">
        <v>4.68</v>
      </c>
      <c r="G3420" s="31"/>
    </row>
    <row r="3421" spans="1:7" x14ac:dyDescent="0.25">
      <c r="A3421" s="36">
        <v>43233</v>
      </c>
      <c r="B3421" s="6">
        <v>47.21</v>
      </c>
      <c r="C3421" s="6">
        <v>28.24</v>
      </c>
      <c r="D3421" s="11">
        <v>8.4</v>
      </c>
      <c r="E3421" s="6">
        <v>4.88</v>
      </c>
      <c r="G3421" s="31"/>
    </row>
    <row r="3422" spans="1:7" x14ac:dyDescent="0.25">
      <c r="A3422" s="36">
        <v>43234</v>
      </c>
      <c r="B3422" s="6">
        <v>47.33</v>
      </c>
      <c r="C3422" s="6">
        <v>28.45</v>
      </c>
      <c r="D3422" s="11">
        <v>8.6999999999999993</v>
      </c>
      <c r="E3422" s="6">
        <v>4.9799999999999995</v>
      </c>
      <c r="G3422" s="31"/>
    </row>
    <row r="3423" spans="1:7" x14ac:dyDescent="0.25">
      <c r="A3423" s="36">
        <v>43235</v>
      </c>
      <c r="B3423" s="6">
        <v>47.47</v>
      </c>
      <c r="C3423" s="6">
        <v>28.52</v>
      </c>
      <c r="D3423" s="11">
        <v>9.4</v>
      </c>
      <c r="E3423" s="6">
        <v>5.1999999999999993</v>
      </c>
      <c r="G3423" s="31"/>
    </row>
    <row r="3424" spans="1:7" x14ac:dyDescent="0.25">
      <c r="A3424" s="36">
        <v>43236</v>
      </c>
      <c r="B3424" s="6">
        <v>47.59</v>
      </c>
      <c r="C3424" s="6">
        <v>28.6</v>
      </c>
      <c r="D3424" s="11">
        <v>9.6999999999999993</v>
      </c>
      <c r="E3424" s="6">
        <v>5.38</v>
      </c>
      <c r="G3424" s="31"/>
    </row>
    <row r="3425" spans="1:7" x14ac:dyDescent="0.25">
      <c r="A3425" s="36">
        <v>43237</v>
      </c>
      <c r="B3425" s="6">
        <v>47.71</v>
      </c>
      <c r="C3425" s="6">
        <v>28.67</v>
      </c>
      <c r="D3425" s="11">
        <v>9.94</v>
      </c>
      <c r="E3425" s="6">
        <v>5.5299999999999994</v>
      </c>
      <c r="G3425" s="31"/>
    </row>
    <row r="3426" spans="1:7" x14ac:dyDescent="0.25">
      <c r="A3426" s="36">
        <v>43238</v>
      </c>
      <c r="B3426" s="6">
        <v>47.82</v>
      </c>
      <c r="C3426" s="6">
        <v>28.77</v>
      </c>
      <c r="D3426" s="11">
        <v>10</v>
      </c>
      <c r="E3426" s="6">
        <v>5.63</v>
      </c>
      <c r="G3426" s="31"/>
    </row>
    <row r="3427" spans="1:7" x14ac:dyDescent="0.25">
      <c r="A3427" s="36">
        <v>43239</v>
      </c>
      <c r="B3427" s="6">
        <v>47.91</v>
      </c>
      <c r="C3427" s="6">
        <v>28.9</v>
      </c>
      <c r="D3427" s="6">
        <v>10.06</v>
      </c>
      <c r="E3427" s="6">
        <v>5.66</v>
      </c>
      <c r="G3427" s="31"/>
    </row>
    <row r="3428" spans="1:7" x14ac:dyDescent="0.25">
      <c r="A3428" s="36">
        <v>43240</v>
      </c>
      <c r="B3428" s="6">
        <v>48</v>
      </c>
      <c r="C3428" s="6">
        <v>28.99</v>
      </c>
      <c r="D3428" s="6">
        <v>10.220000000000001</v>
      </c>
      <c r="E3428" s="6">
        <v>5.71</v>
      </c>
      <c r="G3428" s="31"/>
    </row>
    <row r="3429" spans="1:7" x14ac:dyDescent="0.25">
      <c r="A3429" s="36">
        <v>43241</v>
      </c>
      <c r="B3429" s="6">
        <v>48.03</v>
      </c>
      <c r="C3429" s="6">
        <v>29.08</v>
      </c>
      <c r="D3429" s="6">
        <v>10.3</v>
      </c>
      <c r="E3429" s="6">
        <v>5.89</v>
      </c>
      <c r="G3429" s="31"/>
    </row>
    <row r="3430" spans="1:7" x14ac:dyDescent="0.25">
      <c r="A3430" s="36">
        <v>43242</v>
      </c>
      <c r="B3430" s="6">
        <v>48.14</v>
      </c>
      <c r="C3430" s="6">
        <v>29.14</v>
      </c>
      <c r="D3430" s="6">
        <v>10.42</v>
      </c>
      <c r="E3430" s="6">
        <v>5.9899999999999993</v>
      </c>
      <c r="G3430" s="31"/>
    </row>
    <row r="3431" spans="1:7" x14ac:dyDescent="0.25">
      <c r="A3431" s="36">
        <v>43243</v>
      </c>
      <c r="B3431" s="6">
        <v>48.22</v>
      </c>
      <c r="C3431" s="6">
        <v>29.22</v>
      </c>
      <c r="D3431" s="6">
        <v>10.42</v>
      </c>
      <c r="E3431" s="6">
        <v>5.9899999999999993</v>
      </c>
      <c r="G3431" s="31"/>
    </row>
    <row r="3432" spans="1:7" x14ac:dyDescent="0.25">
      <c r="A3432" s="36">
        <v>43244</v>
      </c>
      <c r="B3432" s="6">
        <v>48.28</v>
      </c>
      <c r="C3432" s="6">
        <v>29.3</v>
      </c>
      <c r="D3432" s="6">
        <v>10.5</v>
      </c>
      <c r="E3432" s="6">
        <v>5.88</v>
      </c>
      <c r="G3432" s="31"/>
    </row>
    <row r="3433" spans="1:7" x14ac:dyDescent="0.25">
      <c r="A3433" s="36">
        <v>43245</v>
      </c>
      <c r="B3433" s="6">
        <v>48.37</v>
      </c>
      <c r="C3433" s="7">
        <v>29.37</v>
      </c>
      <c r="D3433" s="7">
        <v>10.44</v>
      </c>
      <c r="E3433" s="6">
        <v>5.9499999999999993</v>
      </c>
      <c r="G3433" s="31"/>
    </row>
    <row r="3434" spans="1:7" x14ac:dyDescent="0.25">
      <c r="A3434" s="36">
        <v>43246</v>
      </c>
      <c r="B3434" s="6">
        <v>48.44</v>
      </c>
      <c r="C3434" s="7">
        <v>29.44</v>
      </c>
      <c r="D3434" s="7">
        <v>10.54</v>
      </c>
      <c r="E3434" s="7">
        <v>6.0299999999999994</v>
      </c>
      <c r="G3434" s="31"/>
    </row>
    <row r="3435" spans="1:7" x14ac:dyDescent="0.25">
      <c r="A3435" s="36">
        <v>43247</v>
      </c>
      <c r="B3435" s="7">
        <v>48.51</v>
      </c>
      <c r="C3435" s="7">
        <v>29.5</v>
      </c>
      <c r="D3435" s="7">
        <v>10.68</v>
      </c>
      <c r="E3435" s="7">
        <v>6.06</v>
      </c>
      <c r="G3435" s="31"/>
    </row>
    <row r="3436" spans="1:7" x14ac:dyDescent="0.25">
      <c r="A3436" s="36">
        <v>43248</v>
      </c>
      <c r="B3436" s="7">
        <v>48.6</v>
      </c>
      <c r="C3436" s="7">
        <v>29.57</v>
      </c>
      <c r="D3436" s="7">
        <v>10.8</v>
      </c>
      <c r="E3436" s="7">
        <v>6.33</v>
      </c>
      <c r="G3436" s="31"/>
    </row>
    <row r="3437" spans="1:7" x14ac:dyDescent="0.25">
      <c r="A3437" s="36">
        <v>43249</v>
      </c>
      <c r="B3437" s="7">
        <v>48.68</v>
      </c>
      <c r="C3437" s="7">
        <v>29.64</v>
      </c>
      <c r="D3437" s="7">
        <v>10.9</v>
      </c>
      <c r="E3437" s="7">
        <v>6.34</v>
      </c>
      <c r="G3437" s="31"/>
    </row>
    <row r="3438" spans="1:7" x14ac:dyDescent="0.25">
      <c r="A3438" s="36">
        <v>43250</v>
      </c>
      <c r="B3438" s="7">
        <v>48.68</v>
      </c>
      <c r="C3438" s="7">
        <v>29.7</v>
      </c>
      <c r="D3438" s="7">
        <v>11</v>
      </c>
      <c r="E3438" s="7">
        <v>6.4399999999999995</v>
      </c>
      <c r="G3438" s="31"/>
    </row>
    <row r="3439" spans="1:7" x14ac:dyDescent="0.25">
      <c r="A3439" s="36">
        <v>43251</v>
      </c>
      <c r="B3439" s="7">
        <v>48.74</v>
      </c>
      <c r="C3439" s="7">
        <v>29.75</v>
      </c>
      <c r="D3439" s="7">
        <v>11.1</v>
      </c>
      <c r="E3439" s="7">
        <v>6.51</v>
      </c>
      <c r="G3439" s="31"/>
    </row>
    <row r="3440" spans="1:7" x14ac:dyDescent="0.25">
      <c r="A3440" s="36">
        <v>43252</v>
      </c>
      <c r="B3440" s="7">
        <v>48.83</v>
      </c>
      <c r="C3440" s="7">
        <v>29.81</v>
      </c>
      <c r="D3440" s="7">
        <v>11.18</v>
      </c>
      <c r="E3440" s="7">
        <v>6.66</v>
      </c>
      <c r="G3440" s="31"/>
    </row>
    <row r="3441" spans="1:7" x14ac:dyDescent="0.25">
      <c r="A3441" s="36">
        <v>43253</v>
      </c>
      <c r="B3441" s="7">
        <v>48.92</v>
      </c>
      <c r="C3441" s="7">
        <v>29.86</v>
      </c>
      <c r="D3441" s="7">
        <v>11.24</v>
      </c>
      <c r="E3441" s="7">
        <v>6.63</v>
      </c>
      <c r="G3441" s="31"/>
    </row>
    <row r="3442" spans="1:7" x14ac:dyDescent="0.25">
      <c r="A3442" s="36">
        <v>43254</v>
      </c>
      <c r="B3442" s="7">
        <v>49.02</v>
      </c>
      <c r="C3442" s="7">
        <v>29.93</v>
      </c>
      <c r="D3442" s="7">
        <v>11.26</v>
      </c>
      <c r="E3442" s="7">
        <v>6.8199999999999994</v>
      </c>
      <c r="G3442" s="31"/>
    </row>
    <row r="3443" spans="1:7" x14ac:dyDescent="0.25">
      <c r="A3443" s="36">
        <v>43255</v>
      </c>
      <c r="B3443" s="7">
        <v>49.12</v>
      </c>
      <c r="C3443" s="7">
        <v>30.01</v>
      </c>
      <c r="D3443" s="7">
        <v>11.4</v>
      </c>
      <c r="E3443" s="7">
        <v>6.7799999999999994</v>
      </c>
      <c r="G3443" s="31"/>
    </row>
    <row r="3444" spans="1:7" x14ac:dyDescent="0.25">
      <c r="A3444" s="36">
        <v>43256</v>
      </c>
      <c r="B3444" s="7">
        <v>49.34</v>
      </c>
      <c r="C3444" s="7">
        <v>30.07</v>
      </c>
      <c r="D3444" s="7">
        <v>11.48</v>
      </c>
      <c r="E3444" s="7">
        <v>6.76</v>
      </c>
      <c r="G3444" s="31"/>
    </row>
    <row r="3445" spans="1:7" x14ac:dyDescent="0.25">
      <c r="A3445" s="36">
        <v>43257</v>
      </c>
      <c r="B3445" s="7">
        <v>49.55</v>
      </c>
      <c r="C3445" s="7">
        <v>30.21</v>
      </c>
      <c r="D3445" s="7">
        <v>11.48</v>
      </c>
      <c r="E3445" s="7">
        <v>6.8599999999999994</v>
      </c>
      <c r="G3445" s="31"/>
    </row>
    <row r="3446" spans="1:7" x14ac:dyDescent="0.25">
      <c r="A3446" s="36">
        <v>43258</v>
      </c>
      <c r="B3446" s="7">
        <v>49.63</v>
      </c>
      <c r="C3446" s="7">
        <v>30.31</v>
      </c>
      <c r="D3446" s="8">
        <v>11.52</v>
      </c>
      <c r="E3446" s="7">
        <v>6.88</v>
      </c>
      <c r="G3446" s="31"/>
    </row>
    <row r="3447" spans="1:7" x14ac:dyDescent="0.25">
      <c r="A3447" s="36">
        <v>43259</v>
      </c>
      <c r="B3447" s="7">
        <v>49.78</v>
      </c>
      <c r="C3447" s="7">
        <v>30.38</v>
      </c>
      <c r="D3447" s="8">
        <v>11.6</v>
      </c>
      <c r="E3447" s="7">
        <v>6.9799999999999995</v>
      </c>
      <c r="G3447" s="31"/>
    </row>
    <row r="3448" spans="1:7" x14ac:dyDescent="0.25">
      <c r="A3448" s="36">
        <v>43260</v>
      </c>
      <c r="B3448" s="7">
        <v>49.95</v>
      </c>
      <c r="C3448" s="7">
        <v>30.47</v>
      </c>
      <c r="D3448" s="8">
        <v>11.7</v>
      </c>
      <c r="E3448" s="7">
        <v>7.04</v>
      </c>
      <c r="G3448" s="31"/>
    </row>
    <row r="3449" spans="1:7" x14ac:dyDescent="0.25">
      <c r="A3449" s="36">
        <v>43261</v>
      </c>
      <c r="B3449" s="7">
        <v>50.3</v>
      </c>
      <c r="C3449" s="7">
        <v>30.55</v>
      </c>
      <c r="D3449" s="8">
        <v>11.78</v>
      </c>
      <c r="E3449" s="7">
        <v>7.14</v>
      </c>
      <c r="G3449" s="31"/>
    </row>
    <row r="3450" spans="1:7" x14ac:dyDescent="0.25">
      <c r="A3450" s="36">
        <v>43262</v>
      </c>
      <c r="B3450" s="7">
        <v>50.46</v>
      </c>
      <c r="C3450" s="7">
        <v>30.64</v>
      </c>
      <c r="D3450" s="8">
        <v>11.9</v>
      </c>
      <c r="E3450" s="7">
        <v>7.18</v>
      </c>
      <c r="G3450" s="31"/>
    </row>
    <row r="3451" spans="1:7" x14ac:dyDescent="0.25">
      <c r="A3451" s="36">
        <v>43263</v>
      </c>
      <c r="B3451" s="7">
        <v>50.63</v>
      </c>
      <c r="C3451" s="7">
        <v>30.76</v>
      </c>
      <c r="D3451" s="8">
        <v>11.96</v>
      </c>
      <c r="E3451" s="7">
        <v>7.2399999999999993</v>
      </c>
      <c r="G3451" s="31"/>
    </row>
    <row r="3452" spans="1:7" x14ac:dyDescent="0.25">
      <c r="A3452" s="36">
        <v>43264</v>
      </c>
      <c r="B3452" s="7">
        <v>50.72</v>
      </c>
      <c r="C3452" s="7">
        <v>30.87</v>
      </c>
      <c r="D3452" s="8">
        <v>12.1</v>
      </c>
      <c r="E3452" s="7">
        <v>7.33</v>
      </c>
      <c r="G3452" s="31"/>
    </row>
    <row r="3453" spans="1:7" x14ac:dyDescent="0.25">
      <c r="A3453" s="36">
        <v>43265</v>
      </c>
      <c r="B3453" s="7">
        <v>50.79</v>
      </c>
      <c r="C3453" s="7">
        <v>30.98</v>
      </c>
      <c r="D3453" s="8">
        <v>12.14</v>
      </c>
      <c r="E3453" s="7">
        <v>7.43</v>
      </c>
      <c r="G3453" s="31"/>
    </row>
    <row r="3454" spans="1:7" x14ac:dyDescent="0.25">
      <c r="A3454" s="36">
        <v>43266</v>
      </c>
      <c r="B3454" s="7">
        <v>50.91</v>
      </c>
      <c r="C3454" s="6">
        <v>31.13</v>
      </c>
      <c r="D3454" s="6">
        <v>12.2</v>
      </c>
      <c r="E3454" s="7">
        <v>7.43</v>
      </c>
      <c r="G3454" s="31"/>
    </row>
    <row r="3455" spans="1:7" x14ac:dyDescent="0.25">
      <c r="A3455" s="36">
        <v>43267</v>
      </c>
      <c r="B3455" s="7">
        <v>50.98</v>
      </c>
      <c r="C3455" s="6">
        <v>31.26</v>
      </c>
      <c r="D3455" s="6">
        <v>12.35</v>
      </c>
      <c r="E3455" s="6">
        <v>7.53</v>
      </c>
      <c r="G3455" s="31"/>
    </row>
    <row r="3456" spans="1:7" x14ac:dyDescent="0.25">
      <c r="A3456" s="36">
        <v>43268</v>
      </c>
      <c r="B3456" s="6">
        <v>51.06</v>
      </c>
      <c r="C3456" s="6">
        <v>31.34</v>
      </c>
      <c r="D3456" s="6">
        <v>12.44</v>
      </c>
      <c r="E3456" s="6">
        <v>7.6</v>
      </c>
      <c r="G3456" s="31"/>
    </row>
    <row r="3457" spans="1:7" x14ac:dyDescent="0.25">
      <c r="A3457" s="36">
        <v>43269</v>
      </c>
      <c r="B3457" s="6">
        <v>51.2</v>
      </c>
      <c r="C3457" s="6">
        <v>31.49</v>
      </c>
      <c r="D3457" s="6">
        <v>12.6</v>
      </c>
      <c r="E3457" s="6">
        <v>7.72</v>
      </c>
      <c r="G3457" s="31"/>
    </row>
    <row r="3458" spans="1:7" x14ac:dyDescent="0.25">
      <c r="A3458" s="36">
        <v>43270</v>
      </c>
      <c r="B3458" s="6">
        <v>51.58</v>
      </c>
      <c r="C3458" s="6">
        <v>31.65</v>
      </c>
      <c r="D3458" s="6">
        <v>12.8</v>
      </c>
      <c r="E3458" s="6">
        <v>7.83</v>
      </c>
      <c r="G3458" s="31"/>
    </row>
    <row r="3459" spans="1:7" x14ac:dyDescent="0.25">
      <c r="A3459" s="36">
        <v>43271</v>
      </c>
      <c r="B3459" s="6">
        <v>51.77</v>
      </c>
      <c r="C3459" s="6">
        <v>31.76</v>
      </c>
      <c r="D3459" s="6">
        <v>12.98</v>
      </c>
      <c r="E3459" s="6">
        <v>7.94</v>
      </c>
      <c r="G3459" s="31"/>
    </row>
    <row r="3460" spans="1:7" x14ac:dyDescent="0.25">
      <c r="A3460" s="36">
        <v>43272</v>
      </c>
      <c r="B3460" s="6">
        <v>51.91</v>
      </c>
      <c r="C3460" s="6">
        <v>31.87</v>
      </c>
      <c r="D3460" s="6">
        <v>13.18</v>
      </c>
      <c r="E3460" s="6">
        <v>8.08</v>
      </c>
      <c r="G3460" s="31"/>
    </row>
    <row r="3461" spans="1:7" x14ac:dyDescent="0.25">
      <c r="A3461" s="36">
        <v>43273</v>
      </c>
      <c r="B3461" s="6">
        <v>52</v>
      </c>
      <c r="C3461" s="6">
        <v>31.99</v>
      </c>
      <c r="D3461" s="6">
        <v>13.32</v>
      </c>
      <c r="E3461" s="6">
        <v>8.52</v>
      </c>
      <c r="G3461" s="31"/>
    </row>
    <row r="3462" spans="1:7" x14ac:dyDescent="0.25">
      <c r="A3462" s="36">
        <v>43274</v>
      </c>
      <c r="B3462" s="6">
        <v>52.13</v>
      </c>
      <c r="C3462" s="6">
        <v>32.1</v>
      </c>
      <c r="D3462" s="6">
        <v>13.5</v>
      </c>
      <c r="E3462" s="6">
        <v>8.73</v>
      </c>
      <c r="G3462" s="31"/>
    </row>
    <row r="3463" spans="1:7" x14ac:dyDescent="0.25">
      <c r="A3463" s="36">
        <v>43275</v>
      </c>
      <c r="B3463" s="6">
        <v>52.23</v>
      </c>
      <c r="C3463" s="6">
        <v>32.28</v>
      </c>
      <c r="D3463" s="6">
        <v>13.62</v>
      </c>
      <c r="E3463" s="6">
        <v>8.9</v>
      </c>
      <c r="G3463" s="31"/>
    </row>
    <row r="3464" spans="1:7" x14ac:dyDescent="0.25">
      <c r="A3464" s="36">
        <v>43276</v>
      </c>
      <c r="B3464" s="6">
        <v>52.3</v>
      </c>
      <c r="C3464" s="6">
        <v>32.369999999999997</v>
      </c>
      <c r="D3464" s="6">
        <v>13.76</v>
      </c>
      <c r="E3464" s="6">
        <v>9.02</v>
      </c>
      <c r="G3464" s="31"/>
    </row>
    <row r="3465" spans="1:7" x14ac:dyDescent="0.25">
      <c r="A3465" s="36">
        <v>43277</v>
      </c>
      <c r="B3465" s="6">
        <v>52.37</v>
      </c>
      <c r="C3465" s="6">
        <v>32.49</v>
      </c>
      <c r="D3465" s="6">
        <v>13.88</v>
      </c>
      <c r="E3465" s="6">
        <v>8.93</v>
      </c>
      <c r="G3465" s="31"/>
    </row>
    <row r="3466" spans="1:7" x14ac:dyDescent="0.25">
      <c r="A3466" s="36">
        <v>43278</v>
      </c>
      <c r="B3466" s="6">
        <v>52.4</v>
      </c>
      <c r="C3466" s="6">
        <v>32.619999999999997</v>
      </c>
      <c r="D3466" s="6">
        <v>14</v>
      </c>
      <c r="E3466" s="6">
        <v>8.9600000000000009</v>
      </c>
      <c r="G3466" s="31"/>
    </row>
    <row r="3467" spans="1:7" x14ac:dyDescent="0.25">
      <c r="A3467" s="36">
        <v>43279</v>
      </c>
      <c r="B3467" s="6">
        <v>52.43</v>
      </c>
      <c r="C3467" s="6">
        <v>32.76</v>
      </c>
      <c r="D3467" s="6">
        <v>14.1</v>
      </c>
      <c r="E3467" s="6">
        <v>9.18</v>
      </c>
      <c r="G3467" s="31"/>
    </row>
    <row r="3468" spans="1:7" x14ac:dyDescent="0.25">
      <c r="A3468" s="36">
        <v>43280</v>
      </c>
      <c r="B3468" s="6">
        <v>52.54</v>
      </c>
      <c r="C3468" s="6">
        <v>32.869999999999997</v>
      </c>
      <c r="D3468" s="6">
        <v>14.22</v>
      </c>
      <c r="E3468" s="6">
        <v>9.19</v>
      </c>
      <c r="G3468" s="31"/>
    </row>
    <row r="3469" spans="1:7" x14ac:dyDescent="0.25">
      <c r="A3469" s="36">
        <v>43281</v>
      </c>
      <c r="B3469" s="6">
        <v>52.6</v>
      </c>
      <c r="C3469" s="6">
        <v>33.020000000000003</v>
      </c>
      <c r="D3469" s="6">
        <v>14.36</v>
      </c>
      <c r="E3469" s="6">
        <v>9.34</v>
      </c>
      <c r="G3469" s="31"/>
    </row>
    <row r="3470" spans="1:7" x14ac:dyDescent="0.25">
      <c r="A3470" s="36">
        <v>43282</v>
      </c>
      <c r="B3470" s="6">
        <v>52.62</v>
      </c>
      <c r="C3470" s="6">
        <v>33.17</v>
      </c>
      <c r="D3470" s="6">
        <v>14.48</v>
      </c>
      <c r="E3470" s="6">
        <v>9.5399999999999991</v>
      </c>
      <c r="G3470" s="31"/>
    </row>
    <row r="3471" spans="1:7" x14ac:dyDescent="0.25">
      <c r="A3471" s="36">
        <v>43283</v>
      </c>
      <c r="B3471" s="6">
        <v>52.64</v>
      </c>
      <c r="C3471" s="6">
        <v>33.32</v>
      </c>
      <c r="D3471" s="6">
        <v>14.66</v>
      </c>
      <c r="E3471" s="6">
        <v>9.84</v>
      </c>
      <c r="G3471" s="31"/>
    </row>
    <row r="3472" spans="1:7" x14ac:dyDescent="0.25">
      <c r="A3472" s="36">
        <v>43284</v>
      </c>
      <c r="B3472" s="6">
        <v>52.64</v>
      </c>
      <c r="C3472" s="6">
        <v>33.4</v>
      </c>
      <c r="D3472" s="6">
        <v>14.9</v>
      </c>
      <c r="E3472" s="6">
        <v>10.26</v>
      </c>
      <c r="G3472" s="31"/>
    </row>
    <row r="3473" spans="1:7" x14ac:dyDescent="0.25">
      <c r="A3473" s="36">
        <v>43285</v>
      </c>
      <c r="B3473" s="6">
        <v>52.62</v>
      </c>
      <c r="C3473" s="6">
        <v>33.5</v>
      </c>
      <c r="D3473" s="6">
        <v>15.14</v>
      </c>
      <c r="E3473" s="6">
        <v>10.34</v>
      </c>
      <c r="G3473" s="31"/>
    </row>
    <row r="3474" spans="1:7" x14ac:dyDescent="0.25">
      <c r="A3474" s="36">
        <v>43286</v>
      </c>
      <c r="B3474" s="6">
        <v>52.6</v>
      </c>
      <c r="C3474" s="6">
        <v>33.6</v>
      </c>
      <c r="D3474" s="6">
        <v>15.3</v>
      </c>
      <c r="E3474" s="7">
        <v>10.58</v>
      </c>
      <c r="G3474" s="31"/>
    </row>
    <row r="3475" spans="1:7" x14ac:dyDescent="0.25">
      <c r="A3475" s="36">
        <v>43287</v>
      </c>
      <c r="B3475" s="7">
        <v>52.57</v>
      </c>
      <c r="C3475" s="6">
        <v>33.69</v>
      </c>
      <c r="D3475" s="6">
        <v>15.5</v>
      </c>
      <c r="E3475" s="7">
        <v>10.53</v>
      </c>
      <c r="G3475" s="31"/>
    </row>
    <row r="3476" spans="1:7" x14ac:dyDescent="0.25">
      <c r="A3476" s="36">
        <v>43288</v>
      </c>
      <c r="B3476" s="7">
        <v>52.55</v>
      </c>
      <c r="C3476" s="6">
        <v>33.770000000000003</v>
      </c>
      <c r="D3476" s="6">
        <v>15.62</v>
      </c>
      <c r="E3476" s="7">
        <v>10.61</v>
      </c>
      <c r="G3476" s="31"/>
    </row>
    <row r="3477" spans="1:7" x14ac:dyDescent="0.25">
      <c r="A3477" s="36">
        <v>43289</v>
      </c>
      <c r="B3477" s="7">
        <v>52.55</v>
      </c>
      <c r="C3477" s="6">
        <v>33.840000000000003</v>
      </c>
      <c r="D3477" s="6">
        <v>15.76</v>
      </c>
      <c r="E3477" s="6">
        <v>10.66</v>
      </c>
      <c r="G3477" s="31"/>
    </row>
    <row r="3478" spans="1:7" x14ac:dyDescent="0.25">
      <c r="A3478" s="36">
        <v>43290</v>
      </c>
      <c r="B3478" s="6">
        <v>52.59</v>
      </c>
      <c r="C3478" s="6">
        <v>33.9</v>
      </c>
      <c r="D3478" s="6">
        <v>15.88</v>
      </c>
      <c r="E3478" s="6">
        <v>10.64</v>
      </c>
      <c r="G3478" s="31"/>
    </row>
    <row r="3479" spans="1:7" x14ac:dyDescent="0.25">
      <c r="A3479" s="36">
        <v>43291</v>
      </c>
      <c r="B3479" s="6">
        <v>52.62</v>
      </c>
      <c r="C3479" s="6">
        <v>34</v>
      </c>
      <c r="D3479" s="6">
        <v>15.98</v>
      </c>
      <c r="E3479" s="6">
        <v>10.79</v>
      </c>
      <c r="G3479" s="31"/>
    </row>
    <row r="3480" spans="1:7" x14ac:dyDescent="0.25">
      <c r="A3480" s="36">
        <v>43292</v>
      </c>
      <c r="B3480" s="6">
        <v>52.69</v>
      </c>
      <c r="C3480" s="6">
        <v>34.04</v>
      </c>
      <c r="D3480" s="6">
        <v>16.079999999999998</v>
      </c>
      <c r="E3480" s="6">
        <v>10.86</v>
      </c>
      <c r="G3480" s="31"/>
    </row>
    <row r="3481" spans="1:7" x14ac:dyDescent="0.25">
      <c r="A3481" s="36">
        <v>43293</v>
      </c>
      <c r="B3481" s="6">
        <v>52.76</v>
      </c>
      <c r="C3481" s="6">
        <v>34.15</v>
      </c>
      <c r="D3481" s="6">
        <v>16.18</v>
      </c>
      <c r="E3481" s="6">
        <v>10.959999999999999</v>
      </c>
      <c r="G3481" s="31"/>
    </row>
    <row r="3482" spans="1:7" x14ac:dyDescent="0.25">
      <c r="A3482" s="36">
        <v>43294</v>
      </c>
      <c r="B3482" s="6">
        <v>52.79</v>
      </c>
      <c r="C3482" s="6">
        <v>34.200000000000003</v>
      </c>
      <c r="D3482" s="6">
        <v>16.28</v>
      </c>
      <c r="E3482" s="6">
        <v>11.04</v>
      </c>
      <c r="G3482" s="31"/>
    </row>
    <row r="3483" spans="1:7" x14ac:dyDescent="0.25">
      <c r="A3483" s="36">
        <v>43295</v>
      </c>
      <c r="B3483" s="6">
        <v>52.85</v>
      </c>
      <c r="C3483" s="6">
        <v>34.25</v>
      </c>
      <c r="D3483" s="6">
        <v>16.38</v>
      </c>
      <c r="E3483" s="6">
        <v>11.1</v>
      </c>
      <c r="G3483" s="31"/>
    </row>
    <row r="3484" spans="1:7" x14ac:dyDescent="0.25">
      <c r="A3484" s="36">
        <v>43296</v>
      </c>
      <c r="B3484" s="6">
        <v>52.9</v>
      </c>
      <c r="C3484" s="6">
        <v>34.299999999999997</v>
      </c>
      <c r="D3484" s="6">
        <v>16.440000000000001</v>
      </c>
      <c r="E3484" s="6">
        <v>11.2</v>
      </c>
      <c r="G3484" s="31"/>
    </row>
    <row r="3485" spans="1:7" x14ac:dyDescent="0.25">
      <c r="A3485" s="36">
        <v>43297</v>
      </c>
      <c r="B3485" s="6">
        <v>52.9</v>
      </c>
      <c r="C3485" s="6">
        <v>34.35</v>
      </c>
      <c r="D3485" s="6">
        <v>16.52</v>
      </c>
      <c r="E3485" s="6">
        <v>11.32</v>
      </c>
      <c r="G3485" s="31"/>
    </row>
    <row r="3486" spans="1:7" x14ac:dyDescent="0.25">
      <c r="A3486" s="36">
        <v>43298</v>
      </c>
      <c r="B3486" s="6">
        <v>52.95</v>
      </c>
      <c r="C3486" s="6">
        <v>34.39</v>
      </c>
      <c r="D3486" s="6">
        <v>16.600000000000001</v>
      </c>
      <c r="E3486" s="6">
        <v>11.299999999999999</v>
      </c>
      <c r="G3486" s="31"/>
    </row>
    <row r="3487" spans="1:7" x14ac:dyDescent="0.25">
      <c r="A3487" s="36">
        <v>43299</v>
      </c>
      <c r="B3487" s="6">
        <v>52.97</v>
      </c>
      <c r="C3487" s="6">
        <v>34.43</v>
      </c>
      <c r="D3487" s="6">
        <v>16.66</v>
      </c>
      <c r="E3487" s="6">
        <v>11.27</v>
      </c>
      <c r="G3487" s="31"/>
    </row>
    <row r="3488" spans="1:7" x14ac:dyDescent="0.25">
      <c r="A3488" s="36">
        <v>43300</v>
      </c>
      <c r="B3488" s="6">
        <v>53</v>
      </c>
      <c r="C3488" s="6">
        <v>34.49</v>
      </c>
      <c r="D3488" s="6">
        <v>16.72</v>
      </c>
      <c r="E3488" s="6">
        <v>11.22</v>
      </c>
      <c r="G3488" s="31"/>
    </row>
    <row r="3489" spans="1:7" x14ac:dyDescent="0.25">
      <c r="A3489" s="36">
        <v>43301</v>
      </c>
      <c r="B3489" s="6">
        <v>53.02</v>
      </c>
      <c r="C3489" s="6">
        <v>34.54</v>
      </c>
      <c r="D3489" s="6">
        <v>16.72</v>
      </c>
      <c r="E3489" s="6">
        <v>11.19</v>
      </c>
      <c r="G3489" s="31"/>
    </row>
    <row r="3490" spans="1:7" x14ac:dyDescent="0.25">
      <c r="A3490" s="36">
        <v>43302</v>
      </c>
      <c r="B3490" s="6">
        <v>52.98</v>
      </c>
      <c r="C3490" s="6">
        <v>34.56</v>
      </c>
      <c r="D3490" s="6">
        <v>16.760000000000002</v>
      </c>
      <c r="E3490" s="6">
        <v>11.38</v>
      </c>
      <c r="G3490" s="31"/>
    </row>
    <row r="3491" spans="1:7" x14ac:dyDescent="0.25">
      <c r="A3491" s="36">
        <v>43303</v>
      </c>
      <c r="B3491" s="6">
        <v>52.98</v>
      </c>
      <c r="C3491" s="6">
        <v>34.590000000000003</v>
      </c>
      <c r="D3491" s="6">
        <v>16.84</v>
      </c>
      <c r="E3491" s="6">
        <v>11.36</v>
      </c>
      <c r="G3491" s="31"/>
    </row>
    <row r="3492" spans="1:7" x14ac:dyDescent="0.25">
      <c r="A3492" s="36">
        <v>43304</v>
      </c>
      <c r="B3492" s="6">
        <v>53</v>
      </c>
      <c r="C3492" s="6">
        <v>34.619999999999997</v>
      </c>
      <c r="D3492" s="6">
        <v>16.86</v>
      </c>
      <c r="E3492" s="6">
        <v>11.23</v>
      </c>
      <c r="G3492" s="31"/>
    </row>
    <row r="3493" spans="1:7" x14ac:dyDescent="0.25">
      <c r="A3493" s="36">
        <v>43305</v>
      </c>
      <c r="B3493" s="6">
        <v>53.04</v>
      </c>
      <c r="C3493" s="6">
        <v>34.65</v>
      </c>
      <c r="D3493" s="6">
        <v>16.86</v>
      </c>
      <c r="E3493" s="6">
        <v>11.35</v>
      </c>
      <c r="G3493" s="31"/>
    </row>
    <row r="3494" spans="1:7" x14ac:dyDescent="0.25">
      <c r="A3494" s="36">
        <v>43306</v>
      </c>
      <c r="B3494" s="6">
        <v>53.1</v>
      </c>
      <c r="C3494" s="6">
        <v>34.72</v>
      </c>
      <c r="D3494" s="6">
        <v>16.88</v>
      </c>
      <c r="E3494" s="6">
        <v>11.29</v>
      </c>
      <c r="G3494" s="31"/>
    </row>
    <row r="3495" spans="1:7" x14ac:dyDescent="0.25">
      <c r="A3495" s="36">
        <v>43307</v>
      </c>
      <c r="B3495" s="6">
        <v>53.3</v>
      </c>
      <c r="C3495" s="6">
        <v>34.76</v>
      </c>
      <c r="D3495" s="6">
        <v>16.920000000000002</v>
      </c>
      <c r="E3495" s="6">
        <v>11.5</v>
      </c>
      <c r="G3495" s="31"/>
    </row>
    <row r="3496" spans="1:7" x14ac:dyDescent="0.25">
      <c r="A3496" s="36">
        <v>43308</v>
      </c>
      <c r="B3496" s="6">
        <v>53.38</v>
      </c>
      <c r="C3496" s="6">
        <v>34.79</v>
      </c>
      <c r="D3496" s="6">
        <v>17.04</v>
      </c>
      <c r="E3496" s="6">
        <v>11.66</v>
      </c>
      <c r="G3496" s="31"/>
    </row>
    <row r="3497" spans="1:7" x14ac:dyDescent="0.25">
      <c r="A3497" s="36">
        <v>43309</v>
      </c>
      <c r="B3497" s="6">
        <v>53.58</v>
      </c>
      <c r="C3497" s="6">
        <v>34.85</v>
      </c>
      <c r="D3497" s="6">
        <v>17.16</v>
      </c>
      <c r="E3497" s="6">
        <v>11.75</v>
      </c>
      <c r="G3497" s="31"/>
    </row>
    <row r="3498" spans="1:7" x14ac:dyDescent="0.25">
      <c r="A3498" s="36">
        <v>43310</v>
      </c>
      <c r="B3498" s="6">
        <v>53.62</v>
      </c>
      <c r="C3498" s="6">
        <v>34.880000000000003</v>
      </c>
      <c r="D3498" s="6">
        <v>17.239999999999998</v>
      </c>
      <c r="E3498" s="6">
        <v>11.78</v>
      </c>
      <c r="G3498" s="31"/>
    </row>
    <row r="3499" spans="1:7" x14ac:dyDescent="0.25">
      <c r="A3499" s="36">
        <v>43311</v>
      </c>
      <c r="B3499" s="6">
        <v>53.67</v>
      </c>
      <c r="C3499" s="6">
        <v>34.92</v>
      </c>
      <c r="D3499" s="6">
        <v>17.3</v>
      </c>
      <c r="E3499" s="6">
        <v>11.85</v>
      </c>
      <c r="G3499" s="31"/>
    </row>
    <row r="3500" spans="1:7" x14ac:dyDescent="0.25">
      <c r="A3500" s="36">
        <v>43312</v>
      </c>
      <c r="B3500" s="6">
        <v>53.78</v>
      </c>
      <c r="C3500" s="6">
        <v>34.94</v>
      </c>
      <c r="D3500" s="6">
        <v>17.32</v>
      </c>
      <c r="E3500" s="6">
        <v>11.81</v>
      </c>
      <c r="G3500" s="31"/>
    </row>
    <row r="3501" spans="1:7" x14ac:dyDescent="0.25">
      <c r="A3501" s="36">
        <v>43313</v>
      </c>
      <c r="B3501" s="6">
        <v>53.82</v>
      </c>
      <c r="C3501" s="6">
        <v>35</v>
      </c>
      <c r="D3501" s="6">
        <v>17.399999999999999</v>
      </c>
      <c r="E3501" s="6">
        <v>11.92</v>
      </c>
      <c r="G3501" s="31"/>
    </row>
    <row r="3502" spans="1:7" x14ac:dyDescent="0.25">
      <c r="A3502" s="36">
        <v>43314</v>
      </c>
      <c r="B3502" s="6">
        <v>53.9</v>
      </c>
      <c r="C3502" s="6">
        <v>35.04</v>
      </c>
      <c r="D3502" s="6">
        <v>17.46</v>
      </c>
      <c r="E3502" s="6">
        <v>11.87</v>
      </c>
      <c r="G3502" s="31"/>
    </row>
    <row r="3503" spans="1:7" x14ac:dyDescent="0.25">
      <c r="A3503" s="36">
        <v>43315</v>
      </c>
      <c r="B3503" s="6">
        <v>54.02</v>
      </c>
      <c r="C3503" s="6">
        <v>35.090000000000003</v>
      </c>
      <c r="D3503" s="6">
        <v>17.52</v>
      </c>
      <c r="E3503" s="6">
        <v>12.03</v>
      </c>
      <c r="G3503" s="31"/>
    </row>
    <row r="3504" spans="1:7" x14ac:dyDescent="0.25">
      <c r="A3504" s="36">
        <v>43316</v>
      </c>
      <c r="B3504" s="6">
        <v>54.17</v>
      </c>
      <c r="C3504" s="6">
        <v>35.14</v>
      </c>
      <c r="D3504" s="6">
        <v>17.62</v>
      </c>
      <c r="E3504" s="6">
        <v>12.049999999999999</v>
      </c>
      <c r="G3504" s="31"/>
    </row>
    <row r="3505" spans="1:7" x14ac:dyDescent="0.25">
      <c r="A3505" s="36">
        <v>43317</v>
      </c>
      <c r="B3505" s="6">
        <v>54.13</v>
      </c>
      <c r="C3505" s="6">
        <v>35.21</v>
      </c>
      <c r="D3505" s="6">
        <v>17.7</v>
      </c>
      <c r="E3505" s="6">
        <v>12.07</v>
      </c>
      <c r="G3505" s="31"/>
    </row>
    <row r="3506" spans="1:7" x14ac:dyDescent="0.25">
      <c r="A3506" s="36">
        <v>43318</v>
      </c>
      <c r="B3506" s="6">
        <v>54.2</v>
      </c>
      <c r="C3506" s="6">
        <v>35.28</v>
      </c>
      <c r="D3506" s="6">
        <v>17.760000000000002</v>
      </c>
      <c r="E3506" s="6">
        <v>12.08</v>
      </c>
      <c r="G3506" s="31"/>
    </row>
    <row r="3507" spans="1:7" x14ac:dyDescent="0.25">
      <c r="A3507" s="36">
        <v>43319</v>
      </c>
      <c r="B3507" s="6">
        <v>54.18</v>
      </c>
      <c r="C3507" s="6">
        <v>35.32</v>
      </c>
      <c r="D3507" s="6">
        <v>17.78</v>
      </c>
      <c r="E3507" s="6">
        <v>12.04</v>
      </c>
      <c r="G3507" s="31"/>
    </row>
    <row r="3508" spans="1:7" x14ac:dyDescent="0.25">
      <c r="A3508" s="36">
        <v>43320</v>
      </c>
      <c r="B3508" s="6">
        <v>54.22</v>
      </c>
      <c r="C3508" s="6">
        <v>35.4</v>
      </c>
      <c r="D3508" s="6">
        <v>17.82</v>
      </c>
      <c r="E3508" s="6">
        <v>11.99</v>
      </c>
      <c r="G3508" s="31"/>
    </row>
    <row r="3509" spans="1:7" x14ac:dyDescent="0.25">
      <c r="A3509" s="36">
        <v>43321</v>
      </c>
      <c r="B3509" s="6">
        <v>54.2</v>
      </c>
      <c r="C3509" s="6">
        <v>35.49</v>
      </c>
      <c r="D3509" s="6">
        <v>17.88</v>
      </c>
      <c r="E3509" s="6">
        <v>12.08</v>
      </c>
      <c r="G3509" s="31"/>
    </row>
    <row r="3510" spans="1:7" x14ac:dyDescent="0.25">
      <c r="A3510" s="36">
        <v>43322</v>
      </c>
      <c r="B3510" s="6">
        <v>54.25</v>
      </c>
      <c r="C3510" s="6">
        <v>35.58</v>
      </c>
      <c r="D3510" s="6">
        <v>17.920000000000002</v>
      </c>
      <c r="E3510" s="6">
        <v>12.03</v>
      </c>
      <c r="G3510" s="31"/>
    </row>
    <row r="3511" spans="1:7" x14ac:dyDescent="0.25">
      <c r="A3511" s="36">
        <v>43323</v>
      </c>
      <c r="B3511" s="6">
        <v>54.28</v>
      </c>
      <c r="C3511" s="6">
        <v>35.65</v>
      </c>
      <c r="D3511" s="6">
        <v>17.98</v>
      </c>
      <c r="E3511" s="6">
        <v>12.01</v>
      </c>
      <c r="G3511" s="31"/>
    </row>
    <row r="3512" spans="1:7" x14ac:dyDescent="0.25">
      <c r="A3512" s="36">
        <v>43324</v>
      </c>
      <c r="B3512" s="6">
        <v>54.27</v>
      </c>
      <c r="C3512" s="6">
        <v>35.71</v>
      </c>
      <c r="D3512" s="11">
        <v>18</v>
      </c>
      <c r="E3512" s="6">
        <v>12.06</v>
      </c>
      <c r="G3512" s="31"/>
    </row>
    <row r="3513" spans="1:7" x14ac:dyDescent="0.25">
      <c r="A3513" s="36">
        <v>43325</v>
      </c>
      <c r="B3513" s="6">
        <v>54.25</v>
      </c>
      <c r="C3513" s="6">
        <v>35.770000000000003</v>
      </c>
      <c r="D3513" s="6">
        <v>18.02</v>
      </c>
      <c r="E3513" s="6">
        <v>11.95</v>
      </c>
      <c r="G3513" s="31"/>
    </row>
    <row r="3514" spans="1:7" x14ac:dyDescent="0.25">
      <c r="A3514" s="36">
        <v>43326</v>
      </c>
      <c r="B3514" s="6">
        <v>54.21</v>
      </c>
      <c r="C3514" s="6">
        <v>35.840000000000003</v>
      </c>
      <c r="D3514" s="6">
        <v>18.04</v>
      </c>
      <c r="E3514" s="6">
        <v>11.86</v>
      </c>
      <c r="G3514" s="31"/>
    </row>
    <row r="3515" spans="1:7" x14ac:dyDescent="0.25">
      <c r="A3515" s="36">
        <v>43327</v>
      </c>
      <c r="B3515" s="6">
        <v>54.17</v>
      </c>
      <c r="C3515" s="6">
        <v>35.909999999999997</v>
      </c>
      <c r="D3515" s="11">
        <v>18.04</v>
      </c>
      <c r="E3515" s="6">
        <v>11.83</v>
      </c>
      <c r="G3515" s="31"/>
    </row>
    <row r="3516" spans="1:7" x14ac:dyDescent="0.25">
      <c r="A3516" s="36">
        <v>43328</v>
      </c>
      <c r="B3516" s="6">
        <v>54.1</v>
      </c>
      <c r="C3516" s="6">
        <v>35.93</v>
      </c>
      <c r="D3516" s="11">
        <v>18.059999999999999</v>
      </c>
      <c r="E3516" s="6">
        <v>11.879999999999999</v>
      </c>
      <c r="G3516" s="31"/>
    </row>
    <row r="3517" spans="1:7" x14ac:dyDescent="0.25">
      <c r="A3517" s="36">
        <v>43329</v>
      </c>
      <c r="B3517" s="6">
        <v>54.04</v>
      </c>
      <c r="C3517" s="6">
        <v>35.97</v>
      </c>
      <c r="D3517" s="11">
        <v>18.04</v>
      </c>
      <c r="E3517" s="6">
        <v>11.85</v>
      </c>
      <c r="G3517" s="31"/>
    </row>
    <row r="3518" spans="1:7" x14ac:dyDescent="0.25">
      <c r="A3518" s="36">
        <v>43330</v>
      </c>
      <c r="B3518" s="6">
        <v>53.9</v>
      </c>
      <c r="C3518" s="6">
        <v>36.01</v>
      </c>
      <c r="D3518" s="11">
        <v>18.100000000000001</v>
      </c>
      <c r="E3518" s="6">
        <v>11.83</v>
      </c>
      <c r="G3518" s="31"/>
    </row>
    <row r="3519" spans="1:7" x14ac:dyDescent="0.25">
      <c r="A3519" s="36">
        <v>43331</v>
      </c>
      <c r="B3519" s="6">
        <v>53.72</v>
      </c>
      <c r="C3519" s="6">
        <v>36.049999999999997</v>
      </c>
      <c r="D3519" s="6">
        <v>18.100000000000001</v>
      </c>
      <c r="E3519" s="6">
        <v>11.81</v>
      </c>
      <c r="G3519" s="31"/>
    </row>
    <row r="3520" spans="1:7" x14ac:dyDescent="0.25">
      <c r="A3520" s="36">
        <v>43332</v>
      </c>
      <c r="B3520" s="6">
        <v>53.62</v>
      </c>
      <c r="C3520" s="6">
        <v>36.049999999999997</v>
      </c>
      <c r="D3520" s="6">
        <v>18.100000000000001</v>
      </c>
      <c r="E3520" s="6">
        <v>11.84</v>
      </c>
      <c r="G3520" s="31"/>
    </row>
    <row r="3521" spans="1:7" x14ac:dyDescent="0.25">
      <c r="A3521" s="36">
        <v>43333</v>
      </c>
      <c r="B3521" s="6">
        <v>53.56</v>
      </c>
      <c r="C3521" s="6">
        <v>36.03</v>
      </c>
      <c r="D3521" s="6">
        <v>18.14</v>
      </c>
      <c r="E3521" s="6">
        <v>11.85</v>
      </c>
      <c r="G3521" s="31"/>
    </row>
    <row r="3522" spans="1:7" x14ac:dyDescent="0.25">
      <c r="A3522" s="36">
        <v>43334</v>
      </c>
      <c r="B3522" s="6">
        <v>53.5</v>
      </c>
      <c r="C3522" s="6">
        <v>36.020000000000003</v>
      </c>
      <c r="D3522" s="6">
        <v>18.18</v>
      </c>
      <c r="E3522" s="6">
        <v>12.04</v>
      </c>
      <c r="G3522" s="31"/>
    </row>
    <row r="3523" spans="1:7" x14ac:dyDescent="0.25">
      <c r="A3523" s="36">
        <v>43335</v>
      </c>
      <c r="B3523" s="6">
        <v>53.42</v>
      </c>
      <c r="C3523" s="6">
        <v>36.06</v>
      </c>
      <c r="D3523" s="6">
        <v>18.22</v>
      </c>
      <c r="E3523" s="6">
        <v>12.129999999999999</v>
      </c>
      <c r="G3523" s="31"/>
    </row>
    <row r="3524" spans="1:7" x14ac:dyDescent="0.25">
      <c r="A3524" s="36">
        <v>43336</v>
      </c>
      <c r="B3524" s="6">
        <v>53.31</v>
      </c>
      <c r="C3524" s="6">
        <v>36.04</v>
      </c>
      <c r="D3524" s="6">
        <v>18.3</v>
      </c>
      <c r="E3524" s="6">
        <v>12.209999999999999</v>
      </c>
      <c r="G3524" s="31"/>
    </row>
    <row r="3525" spans="1:7" x14ac:dyDescent="0.25">
      <c r="A3525" s="36">
        <v>43337</v>
      </c>
      <c r="B3525" s="6">
        <v>53.25</v>
      </c>
      <c r="C3525" s="6">
        <v>36</v>
      </c>
      <c r="D3525" s="6">
        <v>18.34</v>
      </c>
      <c r="E3525" s="6">
        <v>12.26</v>
      </c>
      <c r="G3525" s="31"/>
    </row>
    <row r="3526" spans="1:7" x14ac:dyDescent="0.25">
      <c r="A3526" s="36">
        <v>43338</v>
      </c>
      <c r="B3526" s="6">
        <v>53.19</v>
      </c>
      <c r="C3526" s="6">
        <v>35.96</v>
      </c>
      <c r="D3526" s="6">
        <v>18.34</v>
      </c>
      <c r="E3526" s="6">
        <v>12.26</v>
      </c>
      <c r="G3526" s="31"/>
    </row>
    <row r="3527" spans="1:7" x14ac:dyDescent="0.25">
      <c r="A3527" s="36">
        <v>43339</v>
      </c>
      <c r="B3527" s="6">
        <v>53.13</v>
      </c>
      <c r="C3527" s="6">
        <v>35.93</v>
      </c>
      <c r="D3527" s="6">
        <v>18.32</v>
      </c>
      <c r="E3527" s="6">
        <v>12.25</v>
      </c>
      <c r="G3527" s="31"/>
    </row>
    <row r="3528" spans="1:7" x14ac:dyDescent="0.25">
      <c r="A3528" s="36">
        <v>43340</v>
      </c>
      <c r="B3528" s="6">
        <v>53</v>
      </c>
      <c r="C3528" s="6">
        <v>35.9</v>
      </c>
      <c r="D3528" s="6">
        <v>18.34</v>
      </c>
      <c r="E3528" s="6">
        <v>12.12</v>
      </c>
      <c r="G3528" s="31"/>
    </row>
    <row r="3529" spans="1:7" x14ac:dyDescent="0.25">
      <c r="A3529" s="36">
        <v>43341</v>
      </c>
      <c r="B3529" s="6">
        <v>53</v>
      </c>
      <c r="C3529" s="6">
        <v>35.85</v>
      </c>
      <c r="D3529" s="6">
        <v>18.3</v>
      </c>
      <c r="E3529" s="6">
        <v>12.12</v>
      </c>
      <c r="G3529" s="31"/>
    </row>
    <row r="3530" spans="1:7" x14ac:dyDescent="0.25">
      <c r="A3530" s="36">
        <v>43342</v>
      </c>
      <c r="B3530" s="6">
        <v>52.91</v>
      </c>
      <c r="C3530" s="6">
        <v>35.799999999999997</v>
      </c>
      <c r="D3530" s="6">
        <v>18.28</v>
      </c>
      <c r="E3530" s="6">
        <v>12.18</v>
      </c>
      <c r="G3530" s="31"/>
    </row>
    <row r="3531" spans="1:7" x14ac:dyDescent="0.25">
      <c r="A3531" s="36">
        <v>43343</v>
      </c>
      <c r="B3531" s="6">
        <v>52.81</v>
      </c>
      <c r="C3531" s="6">
        <v>35.76</v>
      </c>
      <c r="D3531" s="6">
        <v>18.28</v>
      </c>
      <c r="E3531" s="6">
        <v>12.29</v>
      </c>
      <c r="G3531" s="31"/>
    </row>
    <row r="3532" spans="1:7" x14ac:dyDescent="0.25">
      <c r="A3532" s="36">
        <v>43344</v>
      </c>
      <c r="B3532" s="6">
        <v>52.73</v>
      </c>
      <c r="C3532" s="6">
        <v>35.700000000000003</v>
      </c>
      <c r="D3532" s="6">
        <v>18.3</v>
      </c>
      <c r="E3532" s="6">
        <v>12.19</v>
      </c>
      <c r="G3532" s="31"/>
    </row>
    <row r="3533" spans="1:7" x14ac:dyDescent="0.25">
      <c r="A3533" s="36">
        <v>43345</v>
      </c>
      <c r="B3533" s="6">
        <v>52.69</v>
      </c>
      <c r="C3533" s="6">
        <v>35.64</v>
      </c>
      <c r="D3533" s="6">
        <v>18.28</v>
      </c>
      <c r="E3533" s="6">
        <v>12.2</v>
      </c>
      <c r="G3533" s="31"/>
    </row>
    <row r="3534" spans="1:7" x14ac:dyDescent="0.25">
      <c r="A3534" s="36">
        <v>43346</v>
      </c>
      <c r="B3534" s="6">
        <v>52.48</v>
      </c>
      <c r="C3534" s="6">
        <v>35.590000000000003</v>
      </c>
      <c r="D3534" s="6">
        <v>18.260000000000002</v>
      </c>
      <c r="E3534" s="6">
        <v>12.31</v>
      </c>
      <c r="G3534" s="31"/>
    </row>
    <row r="3535" spans="1:7" x14ac:dyDescent="0.25">
      <c r="A3535" s="36">
        <v>43347</v>
      </c>
      <c r="B3535" s="6">
        <v>52.42</v>
      </c>
      <c r="C3535" s="6">
        <v>35.58</v>
      </c>
      <c r="D3535" s="6">
        <v>18.2</v>
      </c>
      <c r="E3535" s="6">
        <v>12.34</v>
      </c>
      <c r="G3535" s="31"/>
    </row>
    <row r="3536" spans="1:7" x14ac:dyDescent="0.25">
      <c r="A3536" s="36">
        <v>43348</v>
      </c>
      <c r="B3536" s="6">
        <v>52.37</v>
      </c>
      <c r="C3536" s="6">
        <v>35.53</v>
      </c>
      <c r="D3536" s="6">
        <v>18.28</v>
      </c>
      <c r="E3536" s="6">
        <v>12.28</v>
      </c>
      <c r="G3536" s="31"/>
    </row>
    <row r="3537" spans="1:7" x14ac:dyDescent="0.25">
      <c r="A3537" s="36">
        <v>43349</v>
      </c>
      <c r="B3537" s="6">
        <v>52.32</v>
      </c>
      <c r="C3537" s="6">
        <v>35.479999999999997</v>
      </c>
      <c r="D3537" s="6">
        <v>18.28</v>
      </c>
      <c r="E3537" s="6">
        <v>12.37</v>
      </c>
      <c r="G3537" s="31"/>
    </row>
    <row r="3538" spans="1:7" x14ac:dyDescent="0.25">
      <c r="A3538" s="36">
        <v>43350</v>
      </c>
      <c r="B3538" s="6">
        <v>52.22</v>
      </c>
      <c r="C3538" s="6">
        <v>35.43</v>
      </c>
      <c r="D3538" s="6">
        <v>18.3</v>
      </c>
      <c r="E3538" s="6">
        <v>12.469999999999999</v>
      </c>
      <c r="G3538" s="31"/>
    </row>
    <row r="3539" spans="1:7" x14ac:dyDescent="0.25">
      <c r="A3539" s="36">
        <v>43351</v>
      </c>
      <c r="B3539" s="6">
        <v>52.16</v>
      </c>
      <c r="C3539" s="6">
        <v>35.380000000000003</v>
      </c>
      <c r="D3539" s="6">
        <v>18.28</v>
      </c>
      <c r="E3539" s="6">
        <v>12.4</v>
      </c>
      <c r="G3539" s="31"/>
    </row>
    <row r="3540" spans="1:7" x14ac:dyDescent="0.25">
      <c r="A3540" s="36">
        <v>43352</v>
      </c>
      <c r="B3540" s="6">
        <v>52.11</v>
      </c>
      <c r="C3540" s="6">
        <v>35.340000000000003</v>
      </c>
      <c r="D3540" s="6">
        <v>18.239999999999998</v>
      </c>
      <c r="E3540" s="6">
        <v>12.379999999999999</v>
      </c>
      <c r="G3540" s="31"/>
    </row>
    <row r="3541" spans="1:7" x14ac:dyDescent="0.25">
      <c r="A3541" s="36">
        <v>43353</v>
      </c>
      <c r="B3541" s="6">
        <v>52.02</v>
      </c>
      <c r="C3541" s="6">
        <v>35.299999999999997</v>
      </c>
      <c r="D3541" s="6">
        <v>18.22</v>
      </c>
      <c r="E3541" s="6">
        <v>12.39</v>
      </c>
      <c r="G3541" s="31"/>
    </row>
    <row r="3542" spans="1:7" x14ac:dyDescent="0.25">
      <c r="A3542" s="36">
        <v>43354</v>
      </c>
      <c r="B3542" s="6">
        <v>52</v>
      </c>
      <c r="C3542" s="26">
        <v>35.22</v>
      </c>
      <c r="D3542" s="6">
        <v>18.2</v>
      </c>
      <c r="E3542" s="6">
        <v>12.35</v>
      </c>
      <c r="G3542" s="31"/>
    </row>
    <row r="3543" spans="1:7" x14ac:dyDescent="0.25">
      <c r="A3543" s="36">
        <v>43355</v>
      </c>
      <c r="B3543" s="6">
        <v>51.87</v>
      </c>
      <c r="C3543" s="6">
        <v>35.18</v>
      </c>
      <c r="D3543" s="6">
        <v>18.18</v>
      </c>
      <c r="E3543" s="6">
        <v>12.32</v>
      </c>
      <c r="G3543" s="31"/>
    </row>
    <row r="3544" spans="1:7" x14ac:dyDescent="0.25">
      <c r="A3544" s="36">
        <v>43356</v>
      </c>
      <c r="B3544" s="6">
        <v>51.91</v>
      </c>
      <c r="C3544" s="6">
        <v>35.1</v>
      </c>
      <c r="D3544" s="6">
        <v>18.16</v>
      </c>
      <c r="E3544" s="6">
        <v>12.12</v>
      </c>
      <c r="G3544" s="31"/>
    </row>
    <row r="3545" spans="1:7" x14ac:dyDescent="0.25">
      <c r="A3545" s="36">
        <v>43357</v>
      </c>
      <c r="B3545" s="6">
        <v>51.86</v>
      </c>
      <c r="C3545" s="6">
        <v>35.04</v>
      </c>
      <c r="D3545" s="6">
        <v>18.059999999999999</v>
      </c>
      <c r="E3545" s="6">
        <v>12.29</v>
      </c>
      <c r="G3545" s="31"/>
    </row>
    <row r="3546" spans="1:7" x14ac:dyDescent="0.25">
      <c r="A3546" s="36">
        <v>43358</v>
      </c>
      <c r="B3546" s="6">
        <v>51.78</v>
      </c>
      <c r="C3546" s="6">
        <v>34.96</v>
      </c>
      <c r="D3546" s="6">
        <v>17.96</v>
      </c>
      <c r="E3546" s="6">
        <v>12.17</v>
      </c>
      <c r="G3546" s="31"/>
    </row>
    <row r="3547" spans="1:7" x14ac:dyDescent="0.25">
      <c r="A3547" s="36">
        <v>43359</v>
      </c>
      <c r="B3547" s="6">
        <v>51.75</v>
      </c>
      <c r="C3547" s="6">
        <v>34.9</v>
      </c>
      <c r="D3547" s="6">
        <v>17.920000000000002</v>
      </c>
      <c r="E3547" s="6">
        <v>12.23</v>
      </c>
      <c r="G3547" s="31"/>
    </row>
    <row r="3548" spans="1:7" x14ac:dyDescent="0.25">
      <c r="A3548" s="36">
        <v>43360</v>
      </c>
      <c r="B3548" s="6">
        <v>51.69</v>
      </c>
      <c r="C3548" s="6">
        <v>34.880000000000003</v>
      </c>
      <c r="D3548" s="6">
        <v>17.82</v>
      </c>
      <c r="E3548" s="6">
        <v>12</v>
      </c>
      <c r="G3548" s="31"/>
    </row>
    <row r="3549" spans="1:7" x14ac:dyDescent="0.25">
      <c r="A3549" s="36">
        <v>43361</v>
      </c>
      <c r="B3549" s="6">
        <v>51.63</v>
      </c>
      <c r="C3549" s="6">
        <v>34.81</v>
      </c>
      <c r="D3549" s="11">
        <v>17.72</v>
      </c>
      <c r="E3549" s="6">
        <v>11.92</v>
      </c>
      <c r="G3549" s="31"/>
    </row>
    <row r="3550" spans="1:7" x14ac:dyDescent="0.25">
      <c r="A3550" s="36">
        <v>43362</v>
      </c>
      <c r="B3550" s="6">
        <v>51.58</v>
      </c>
      <c r="C3550" s="6">
        <v>34.75</v>
      </c>
      <c r="D3550" s="6">
        <v>17.66</v>
      </c>
      <c r="E3550" s="6">
        <v>11.84</v>
      </c>
      <c r="G3550" s="31"/>
    </row>
    <row r="3551" spans="1:7" x14ac:dyDescent="0.25">
      <c r="A3551" s="36">
        <v>43363</v>
      </c>
      <c r="B3551" s="6">
        <v>51.54</v>
      </c>
      <c r="C3551" s="6">
        <v>34.68</v>
      </c>
      <c r="D3551" s="6">
        <v>17.559999999999999</v>
      </c>
      <c r="E3551" s="6">
        <v>11.65</v>
      </c>
      <c r="G3551" s="31"/>
    </row>
    <row r="3552" spans="1:7" x14ac:dyDescent="0.25">
      <c r="A3552" s="36">
        <v>43364</v>
      </c>
      <c r="B3552" s="6">
        <v>51.47</v>
      </c>
      <c r="C3552" s="6">
        <v>34.6</v>
      </c>
      <c r="D3552" s="6">
        <v>17.5</v>
      </c>
      <c r="E3552" s="6">
        <v>11.73</v>
      </c>
      <c r="G3552" s="31"/>
    </row>
    <row r="3553" spans="1:7" x14ac:dyDescent="0.25">
      <c r="A3553" s="36">
        <v>43365</v>
      </c>
      <c r="B3553" s="6">
        <v>51.41</v>
      </c>
      <c r="C3553" s="6">
        <v>34.520000000000003</v>
      </c>
      <c r="D3553" s="6">
        <v>17.38</v>
      </c>
      <c r="E3553" s="6">
        <v>11.53</v>
      </c>
      <c r="G3553" s="31"/>
    </row>
    <row r="3554" spans="1:7" x14ac:dyDescent="0.25">
      <c r="A3554" s="36">
        <v>43366</v>
      </c>
      <c r="B3554" s="6">
        <v>51.35</v>
      </c>
      <c r="C3554" s="6">
        <v>34.450000000000003</v>
      </c>
      <c r="D3554" s="6">
        <v>17.3</v>
      </c>
      <c r="E3554" s="6">
        <v>11.33</v>
      </c>
      <c r="G3554" s="31"/>
    </row>
    <row r="3555" spans="1:7" x14ac:dyDescent="0.25">
      <c r="A3555" s="36">
        <v>43367</v>
      </c>
      <c r="B3555" s="6">
        <v>51.28</v>
      </c>
      <c r="C3555" s="6">
        <v>34.4</v>
      </c>
      <c r="D3555" s="6">
        <v>17.239999999999998</v>
      </c>
      <c r="E3555" s="6">
        <v>11.68</v>
      </c>
      <c r="G3555" s="31"/>
    </row>
    <row r="3556" spans="1:7" x14ac:dyDescent="0.25">
      <c r="A3556" s="36">
        <v>43368</v>
      </c>
      <c r="B3556" s="6">
        <v>51.21</v>
      </c>
      <c r="C3556" s="6">
        <v>34.340000000000003</v>
      </c>
      <c r="D3556" s="6">
        <v>17.16</v>
      </c>
      <c r="E3556" s="6">
        <v>11.31</v>
      </c>
      <c r="G3556" s="31"/>
    </row>
    <row r="3557" spans="1:7" x14ac:dyDescent="0.25">
      <c r="A3557" s="36">
        <v>43369</v>
      </c>
      <c r="B3557" s="6">
        <v>51.1</v>
      </c>
      <c r="C3557" s="6">
        <v>34.26</v>
      </c>
      <c r="D3557" s="6">
        <v>17.04</v>
      </c>
      <c r="E3557" s="6">
        <v>11.25</v>
      </c>
      <c r="G3557" s="31"/>
    </row>
    <row r="3558" spans="1:7" x14ac:dyDescent="0.25">
      <c r="A3558" s="36">
        <v>43370</v>
      </c>
      <c r="B3558" s="6">
        <v>51.04</v>
      </c>
      <c r="C3558" s="6">
        <v>34.19</v>
      </c>
      <c r="D3558" s="6">
        <v>16.98</v>
      </c>
      <c r="E3558" s="6">
        <v>11.42</v>
      </c>
      <c r="G3558" s="31"/>
    </row>
    <row r="3559" spans="1:7" x14ac:dyDescent="0.25">
      <c r="A3559" s="36">
        <v>43371</v>
      </c>
      <c r="B3559" s="6">
        <v>50.94</v>
      </c>
      <c r="C3559" s="6">
        <v>34.130000000000003</v>
      </c>
      <c r="D3559" s="6">
        <v>16.899999999999999</v>
      </c>
      <c r="E3559" s="6">
        <v>11.28</v>
      </c>
      <c r="G3559" s="31"/>
    </row>
    <row r="3560" spans="1:7" x14ac:dyDescent="0.25">
      <c r="A3560" s="36">
        <v>43372</v>
      </c>
      <c r="B3560" s="6">
        <v>50.86</v>
      </c>
      <c r="C3560" s="6">
        <v>34.06</v>
      </c>
      <c r="D3560" s="6">
        <v>16.84</v>
      </c>
      <c r="E3560" s="6">
        <v>11.2</v>
      </c>
      <c r="G3560" s="31"/>
    </row>
    <row r="3561" spans="1:7" x14ac:dyDescent="0.25">
      <c r="A3561" s="36">
        <v>43373</v>
      </c>
      <c r="B3561" s="6">
        <v>50.73</v>
      </c>
      <c r="C3561" s="6">
        <v>33.99</v>
      </c>
      <c r="D3561" s="6">
        <v>16.760000000000002</v>
      </c>
      <c r="E3561" s="6">
        <v>11.28</v>
      </c>
      <c r="G3561" s="31"/>
    </row>
    <row r="3562" spans="1:7" x14ac:dyDescent="0.25">
      <c r="A3562" s="36">
        <v>43374</v>
      </c>
      <c r="B3562" s="6">
        <v>50.61</v>
      </c>
      <c r="C3562" s="6">
        <v>33.92</v>
      </c>
      <c r="D3562" s="6">
        <v>16.68</v>
      </c>
      <c r="E3562" s="6">
        <v>11.13</v>
      </c>
      <c r="G3562" s="31"/>
    </row>
    <row r="3563" spans="1:7" x14ac:dyDescent="0.25">
      <c r="A3563" s="36">
        <v>43375</v>
      </c>
      <c r="B3563" s="6">
        <v>50.47</v>
      </c>
      <c r="C3563" s="6">
        <v>33.82</v>
      </c>
      <c r="D3563" s="6">
        <v>16.579999999999998</v>
      </c>
      <c r="E3563" s="6">
        <v>10.95</v>
      </c>
      <c r="G3563" s="31"/>
    </row>
    <row r="3564" spans="1:7" x14ac:dyDescent="0.25">
      <c r="A3564" s="36">
        <v>43376</v>
      </c>
      <c r="B3564" s="6">
        <v>50.37</v>
      </c>
      <c r="C3564" s="6">
        <v>33.770000000000003</v>
      </c>
      <c r="D3564" s="6">
        <v>16.48</v>
      </c>
      <c r="E3564" s="6">
        <v>10.89</v>
      </c>
      <c r="G3564" s="31"/>
    </row>
    <row r="3565" spans="1:7" x14ac:dyDescent="0.25">
      <c r="A3565" s="36">
        <v>43377</v>
      </c>
      <c r="B3565" s="6">
        <v>50.17</v>
      </c>
      <c r="C3565" s="6">
        <v>33.69</v>
      </c>
      <c r="D3565" s="6">
        <v>16.399999999999999</v>
      </c>
      <c r="E3565" s="6">
        <v>10.83</v>
      </c>
      <c r="G3565" s="31"/>
    </row>
    <row r="3566" spans="1:7" x14ac:dyDescent="0.25">
      <c r="A3566" s="36">
        <v>43378</v>
      </c>
      <c r="B3566" s="6">
        <v>50.08</v>
      </c>
      <c r="C3566" s="6">
        <v>33.6</v>
      </c>
      <c r="D3566" s="6">
        <v>16.3</v>
      </c>
      <c r="E3566" s="6">
        <v>10.79</v>
      </c>
      <c r="G3566" s="31"/>
    </row>
    <row r="3567" spans="1:7" x14ac:dyDescent="0.25">
      <c r="A3567" s="36">
        <v>43379</v>
      </c>
      <c r="B3567" s="6">
        <v>49.91</v>
      </c>
      <c r="C3567" s="6">
        <v>33.520000000000003</v>
      </c>
      <c r="D3567" s="6">
        <v>16.2</v>
      </c>
      <c r="E3567" s="6">
        <v>10.75</v>
      </c>
      <c r="G3567" s="31"/>
    </row>
    <row r="3568" spans="1:7" x14ac:dyDescent="0.25">
      <c r="A3568" s="36">
        <v>43380</v>
      </c>
      <c r="B3568" s="6">
        <v>49.74</v>
      </c>
      <c r="C3568" s="6">
        <v>33.43</v>
      </c>
      <c r="D3568" s="6">
        <v>16.100000000000001</v>
      </c>
      <c r="E3568" s="6">
        <v>10.64</v>
      </c>
      <c r="G3568" s="31"/>
    </row>
    <row r="3569" spans="1:7" x14ac:dyDescent="0.25">
      <c r="A3569" s="36">
        <v>43381</v>
      </c>
      <c r="B3569" s="6">
        <v>49.56</v>
      </c>
      <c r="C3569" s="6">
        <v>33.33</v>
      </c>
      <c r="D3569" s="6">
        <v>16</v>
      </c>
      <c r="E3569" s="6">
        <v>10.55</v>
      </c>
      <c r="G3569" s="31"/>
    </row>
    <row r="3570" spans="1:7" x14ac:dyDescent="0.25">
      <c r="A3570" s="36">
        <v>43382</v>
      </c>
      <c r="B3570" s="6">
        <v>49.36</v>
      </c>
      <c r="C3570" s="6">
        <v>33.24</v>
      </c>
      <c r="D3570" s="6">
        <v>15.9</v>
      </c>
      <c r="E3570" s="6">
        <v>10.48</v>
      </c>
      <c r="G3570" s="31"/>
    </row>
    <row r="3571" spans="1:7" x14ac:dyDescent="0.25">
      <c r="A3571" s="36">
        <v>43383</v>
      </c>
      <c r="B3571" s="6">
        <v>49.12</v>
      </c>
      <c r="C3571" s="6">
        <v>33.14</v>
      </c>
      <c r="D3571" s="6">
        <v>15.8</v>
      </c>
      <c r="E3571" s="6">
        <v>10.38</v>
      </c>
      <c r="G3571" s="31"/>
    </row>
    <row r="3572" spans="1:7" x14ac:dyDescent="0.25">
      <c r="A3572" s="36">
        <v>43384</v>
      </c>
      <c r="B3572" s="6">
        <v>48.91</v>
      </c>
      <c r="C3572" s="6">
        <v>33.03</v>
      </c>
      <c r="D3572" s="6">
        <v>15.66</v>
      </c>
      <c r="E3572" s="6">
        <v>10.32</v>
      </c>
      <c r="G3572" s="31"/>
    </row>
    <row r="3573" spans="1:7" x14ac:dyDescent="0.25">
      <c r="A3573" s="36">
        <v>43385</v>
      </c>
      <c r="B3573" s="6">
        <v>48.71</v>
      </c>
      <c r="C3573" s="6">
        <v>32.92</v>
      </c>
      <c r="D3573" s="6">
        <v>15.56</v>
      </c>
      <c r="E3573" s="6">
        <v>10.199999999999999</v>
      </c>
      <c r="G3573" s="31"/>
    </row>
    <row r="3574" spans="1:7" x14ac:dyDescent="0.25">
      <c r="A3574" s="36">
        <v>43386</v>
      </c>
      <c r="B3574" s="6">
        <v>48.66</v>
      </c>
      <c r="C3574" s="6">
        <v>32.82</v>
      </c>
      <c r="D3574" s="6">
        <v>15.4</v>
      </c>
      <c r="E3574" s="6">
        <v>10.09</v>
      </c>
      <c r="G3574" s="31"/>
    </row>
    <row r="3575" spans="1:7" x14ac:dyDescent="0.25">
      <c r="A3575" s="36">
        <v>43387</v>
      </c>
      <c r="B3575" s="6">
        <v>48.2</v>
      </c>
      <c r="C3575" s="6">
        <v>32.700000000000003</v>
      </c>
      <c r="D3575" s="6">
        <v>15.28</v>
      </c>
      <c r="E3575" s="6">
        <v>9.98</v>
      </c>
      <c r="G3575" s="31"/>
    </row>
    <row r="3576" spans="1:7" x14ac:dyDescent="0.25">
      <c r="A3576" s="36">
        <v>43388</v>
      </c>
      <c r="B3576" s="6">
        <v>47.91</v>
      </c>
      <c r="C3576" s="6">
        <v>32.57</v>
      </c>
      <c r="D3576" s="6">
        <v>15.14</v>
      </c>
      <c r="E3576" s="6">
        <v>9.8800000000000008</v>
      </c>
      <c r="G3576" s="31"/>
    </row>
    <row r="3577" spans="1:7" x14ac:dyDescent="0.25">
      <c r="A3577" s="36">
        <v>43389</v>
      </c>
      <c r="B3577" s="6">
        <v>47.62</v>
      </c>
      <c r="C3577" s="6">
        <v>32.44</v>
      </c>
      <c r="D3577" s="6">
        <v>15</v>
      </c>
      <c r="E3577" s="6">
        <v>9.73</v>
      </c>
      <c r="G3577" s="31"/>
    </row>
    <row r="3578" spans="1:7" x14ac:dyDescent="0.25">
      <c r="A3578" s="36">
        <v>43390</v>
      </c>
      <c r="B3578" s="6">
        <v>47.39</v>
      </c>
      <c r="C3578" s="6">
        <v>32.29</v>
      </c>
      <c r="D3578" s="6">
        <v>14.88</v>
      </c>
      <c r="E3578" s="6">
        <v>9.68</v>
      </c>
      <c r="G3578" s="31"/>
    </row>
    <row r="3579" spans="1:7" x14ac:dyDescent="0.25">
      <c r="A3579" s="36">
        <v>43391</v>
      </c>
      <c r="B3579" s="6">
        <v>47.15</v>
      </c>
      <c r="C3579" s="6">
        <v>32.14</v>
      </c>
      <c r="D3579" s="6">
        <v>14.76</v>
      </c>
      <c r="E3579" s="6">
        <v>9.58</v>
      </c>
      <c r="G3579" s="31"/>
    </row>
    <row r="3580" spans="1:7" x14ac:dyDescent="0.25">
      <c r="A3580" s="36">
        <v>43392</v>
      </c>
      <c r="B3580" s="6">
        <v>46.98</v>
      </c>
      <c r="C3580" s="6">
        <v>31.98</v>
      </c>
      <c r="D3580" s="6">
        <v>14.58</v>
      </c>
      <c r="E3580" s="6">
        <v>9.48</v>
      </c>
      <c r="G3580" s="31"/>
    </row>
    <row r="3581" spans="1:7" x14ac:dyDescent="0.25">
      <c r="A3581" s="36">
        <v>43393</v>
      </c>
      <c r="B3581" s="6">
        <v>46.87</v>
      </c>
      <c r="C3581" s="6">
        <v>31.85</v>
      </c>
      <c r="D3581" s="6">
        <v>14.42</v>
      </c>
      <c r="E3581" s="6">
        <v>9.3699999999999992</v>
      </c>
      <c r="G3581" s="31"/>
    </row>
    <row r="3582" spans="1:7" x14ac:dyDescent="0.25">
      <c r="A3582" s="36">
        <v>43394</v>
      </c>
      <c r="B3582" s="6">
        <v>46.75</v>
      </c>
      <c r="C3582" s="6">
        <v>31.7</v>
      </c>
      <c r="D3582" s="6">
        <v>14.28</v>
      </c>
      <c r="E3582" s="6">
        <v>9.17</v>
      </c>
      <c r="G3582" s="31"/>
    </row>
    <row r="3583" spans="1:7" x14ac:dyDescent="0.25">
      <c r="A3583" s="36">
        <v>43395</v>
      </c>
      <c r="B3583" s="6">
        <v>46.66</v>
      </c>
      <c r="C3583" s="6">
        <v>31.55</v>
      </c>
      <c r="D3583" s="6">
        <v>14.14</v>
      </c>
      <c r="E3583" s="6">
        <v>9.09</v>
      </c>
      <c r="G3583" s="31"/>
    </row>
    <row r="3584" spans="1:7" x14ac:dyDescent="0.25">
      <c r="A3584" s="36">
        <v>43396</v>
      </c>
      <c r="B3584" s="6">
        <v>46.61</v>
      </c>
      <c r="C3584" s="6">
        <v>31.42</v>
      </c>
      <c r="D3584" s="6">
        <v>14.02</v>
      </c>
      <c r="E3584" s="6">
        <v>9.18</v>
      </c>
      <c r="G3584" s="31"/>
    </row>
    <row r="3585" spans="1:7" x14ac:dyDescent="0.25">
      <c r="A3585" s="36">
        <v>43397</v>
      </c>
      <c r="B3585" s="6">
        <v>46.54</v>
      </c>
      <c r="C3585" s="6">
        <v>31.3</v>
      </c>
      <c r="D3585" s="6">
        <v>13.9</v>
      </c>
      <c r="E3585" s="6">
        <v>9.08</v>
      </c>
      <c r="G3585" s="31"/>
    </row>
    <row r="3586" spans="1:7" x14ac:dyDescent="0.25">
      <c r="A3586" s="36">
        <v>43398</v>
      </c>
      <c r="B3586" s="6">
        <v>46.48</v>
      </c>
      <c r="C3586" s="6">
        <v>31.19</v>
      </c>
      <c r="D3586" s="6">
        <v>13.82</v>
      </c>
      <c r="E3586" s="6">
        <v>8.879999999999999</v>
      </c>
      <c r="G3586" s="31"/>
    </row>
    <row r="3587" spans="1:7" x14ac:dyDescent="0.25">
      <c r="A3587" s="36">
        <v>43399</v>
      </c>
      <c r="B3587" s="6">
        <v>46.46</v>
      </c>
      <c r="C3587" s="6">
        <v>31.06</v>
      </c>
      <c r="D3587" s="6">
        <v>13.7</v>
      </c>
      <c r="E3587" s="6">
        <v>8.7799999999999994</v>
      </c>
      <c r="G3587" s="31"/>
    </row>
    <row r="3588" spans="1:7" x14ac:dyDescent="0.25">
      <c r="A3588" s="36">
        <v>43400</v>
      </c>
      <c r="B3588" s="6">
        <v>46.42</v>
      </c>
      <c r="C3588" s="6">
        <v>30.94</v>
      </c>
      <c r="D3588" s="6">
        <v>13.56</v>
      </c>
      <c r="E3588" s="6">
        <v>8.68</v>
      </c>
      <c r="G3588" s="31"/>
    </row>
    <row r="3589" spans="1:7" x14ac:dyDescent="0.25">
      <c r="A3589" s="36">
        <v>43401</v>
      </c>
      <c r="B3589" s="6">
        <v>46.38</v>
      </c>
      <c r="C3589" s="6">
        <v>30.78</v>
      </c>
      <c r="D3589" s="6">
        <v>13.4</v>
      </c>
      <c r="E3589" s="6">
        <v>8.58</v>
      </c>
      <c r="G3589" s="31"/>
    </row>
    <row r="3590" spans="1:7" x14ac:dyDescent="0.25">
      <c r="A3590" s="36">
        <v>43402</v>
      </c>
      <c r="B3590" s="6">
        <v>46.37</v>
      </c>
      <c r="C3590" s="6">
        <v>30.62</v>
      </c>
      <c r="D3590" s="6">
        <v>13.22</v>
      </c>
      <c r="E3590" s="6">
        <v>8.48</v>
      </c>
      <c r="G3590" s="31"/>
    </row>
    <row r="3591" spans="1:7" x14ac:dyDescent="0.25">
      <c r="A3591" s="36">
        <v>43403</v>
      </c>
      <c r="B3591" s="6">
        <v>46.35</v>
      </c>
      <c r="C3591" s="6">
        <v>30.48</v>
      </c>
      <c r="D3591" s="6">
        <v>13.06</v>
      </c>
      <c r="E3591" s="6">
        <v>8.1300000000000008</v>
      </c>
      <c r="G3591" s="31"/>
    </row>
    <row r="3592" spans="1:7" x14ac:dyDescent="0.25">
      <c r="A3592" s="36">
        <v>43404</v>
      </c>
      <c r="B3592" s="6">
        <v>46.32</v>
      </c>
      <c r="C3592" s="6">
        <v>30.36</v>
      </c>
      <c r="D3592" s="6">
        <v>13</v>
      </c>
      <c r="E3592" s="6">
        <v>8.0299999999999994</v>
      </c>
      <c r="G3592" s="31"/>
    </row>
    <row r="3593" spans="1:7" x14ac:dyDescent="0.25">
      <c r="A3593" s="36">
        <v>43405</v>
      </c>
      <c r="B3593" s="6">
        <v>46.28</v>
      </c>
      <c r="C3593" s="6">
        <v>30.25</v>
      </c>
      <c r="D3593" s="6">
        <v>12.6</v>
      </c>
      <c r="E3593" s="6">
        <v>7.8199999999999994</v>
      </c>
      <c r="G3593" s="31"/>
    </row>
    <row r="3594" spans="1:7" x14ac:dyDescent="0.25">
      <c r="A3594" s="36">
        <v>43406</v>
      </c>
      <c r="B3594" s="6">
        <v>46.23</v>
      </c>
      <c r="C3594" s="6">
        <v>30.14</v>
      </c>
      <c r="D3594" s="6">
        <v>12.4</v>
      </c>
      <c r="E3594" s="6">
        <v>7.72</v>
      </c>
      <c r="G3594" s="31"/>
    </row>
    <row r="3595" spans="1:7" x14ac:dyDescent="0.25">
      <c r="A3595" s="36">
        <v>43407</v>
      </c>
      <c r="B3595" s="6">
        <v>46.2</v>
      </c>
      <c r="C3595" s="6">
        <v>30.03</v>
      </c>
      <c r="D3595" s="6">
        <v>12.3</v>
      </c>
      <c r="E3595" s="6">
        <v>7.47</v>
      </c>
      <c r="G3595" s="31"/>
    </row>
    <row r="3596" spans="1:7" x14ac:dyDescent="0.25">
      <c r="A3596" s="36">
        <v>43408</v>
      </c>
      <c r="B3596" s="6">
        <v>46.16</v>
      </c>
      <c r="C3596" s="6">
        <v>29.94</v>
      </c>
      <c r="D3596" s="6">
        <v>11.98</v>
      </c>
      <c r="E3596" s="6">
        <v>7.38</v>
      </c>
      <c r="G3596" s="31"/>
    </row>
    <row r="3597" spans="1:7" x14ac:dyDescent="0.25">
      <c r="A3597" s="36">
        <v>43409</v>
      </c>
      <c r="B3597" s="6">
        <v>46.11</v>
      </c>
      <c r="C3597" s="6">
        <v>29.86</v>
      </c>
      <c r="D3597" s="6">
        <v>11.9</v>
      </c>
      <c r="E3597" s="6">
        <v>7.16</v>
      </c>
      <c r="G3597" s="31"/>
    </row>
    <row r="3598" spans="1:7" x14ac:dyDescent="0.25">
      <c r="A3598" s="36">
        <v>43410</v>
      </c>
      <c r="B3598" s="6">
        <v>46.05</v>
      </c>
      <c r="C3598" s="6">
        <v>29.78</v>
      </c>
      <c r="D3598" s="6">
        <v>11.8</v>
      </c>
      <c r="E3598" s="6">
        <v>7.04</v>
      </c>
      <c r="G3598" s="31"/>
    </row>
    <row r="3599" spans="1:7" x14ac:dyDescent="0.25">
      <c r="A3599" s="36">
        <v>43411</v>
      </c>
      <c r="B3599" s="6">
        <v>45.97</v>
      </c>
      <c r="C3599" s="6">
        <v>29.68</v>
      </c>
      <c r="D3599" s="6">
        <v>11.66</v>
      </c>
      <c r="E3599" s="6">
        <v>6.9399999999999995</v>
      </c>
      <c r="G3599" s="31"/>
    </row>
    <row r="3600" spans="1:7" x14ac:dyDescent="0.25">
      <c r="A3600" s="36">
        <v>43412</v>
      </c>
      <c r="B3600" s="6">
        <v>45.84</v>
      </c>
      <c r="C3600" s="6">
        <v>29.58</v>
      </c>
      <c r="D3600" s="6">
        <v>11.64</v>
      </c>
      <c r="E3600" s="6">
        <v>6.94</v>
      </c>
      <c r="G3600" s="31"/>
    </row>
    <row r="3601" spans="1:7" x14ac:dyDescent="0.25">
      <c r="A3601" s="36">
        <v>43413</v>
      </c>
      <c r="B3601" s="6">
        <v>45.78</v>
      </c>
      <c r="C3601" s="6">
        <v>29.48</v>
      </c>
      <c r="D3601" s="6">
        <v>11.5</v>
      </c>
      <c r="E3601" s="6">
        <v>6.96</v>
      </c>
      <c r="G3601" s="31"/>
    </row>
    <row r="3602" spans="1:7" x14ac:dyDescent="0.25">
      <c r="A3602" s="36">
        <v>43414</v>
      </c>
      <c r="B3602" s="6">
        <v>45.75</v>
      </c>
      <c r="C3602" s="6">
        <v>29.38</v>
      </c>
      <c r="D3602" s="6">
        <v>11.4</v>
      </c>
      <c r="E3602" s="6">
        <v>6.88</v>
      </c>
      <c r="G3602" s="31"/>
    </row>
    <row r="3603" spans="1:7" x14ac:dyDescent="0.25">
      <c r="A3603" s="36">
        <v>43415</v>
      </c>
      <c r="B3603" s="6">
        <v>45.71</v>
      </c>
      <c r="C3603" s="6">
        <v>29.28</v>
      </c>
      <c r="D3603" s="6">
        <v>11.28</v>
      </c>
      <c r="E3603" s="6">
        <v>6.6499999999999995</v>
      </c>
      <c r="G3603" s="31"/>
    </row>
    <row r="3604" spans="1:7" x14ac:dyDescent="0.25">
      <c r="A3604" s="36">
        <v>43416</v>
      </c>
      <c r="B3604" s="6">
        <v>45.66</v>
      </c>
      <c r="C3604" s="6">
        <v>29.15</v>
      </c>
      <c r="D3604" s="6">
        <v>11.2</v>
      </c>
      <c r="E3604" s="6">
        <v>6.5</v>
      </c>
      <c r="G3604" s="31"/>
    </row>
    <row r="3605" spans="1:7" x14ac:dyDescent="0.25">
      <c r="A3605" s="36">
        <v>43417</v>
      </c>
      <c r="B3605" s="6">
        <v>45.62</v>
      </c>
      <c r="C3605" s="6">
        <v>29.05</v>
      </c>
      <c r="D3605" s="6">
        <v>11.1</v>
      </c>
      <c r="E3605" s="6">
        <v>6.7799999999999994</v>
      </c>
      <c r="G3605" s="31"/>
    </row>
    <row r="3606" spans="1:7" x14ac:dyDescent="0.25">
      <c r="A3606" s="36">
        <v>43418</v>
      </c>
      <c r="B3606" s="6">
        <v>45.58</v>
      </c>
      <c r="C3606" s="6">
        <v>28.97</v>
      </c>
      <c r="D3606" s="6">
        <v>10.98</v>
      </c>
      <c r="E3606" s="6">
        <v>6.75</v>
      </c>
      <c r="G3606" s="31"/>
    </row>
    <row r="3607" spans="1:7" x14ac:dyDescent="0.25">
      <c r="A3607" s="36">
        <v>43419</v>
      </c>
      <c r="B3607" s="6">
        <v>45.61</v>
      </c>
      <c r="C3607" s="6">
        <v>28.88</v>
      </c>
      <c r="D3607" s="6">
        <v>10.84</v>
      </c>
      <c r="E3607" s="6">
        <v>6.41</v>
      </c>
      <c r="G3607" s="31"/>
    </row>
    <row r="3608" spans="1:7" x14ac:dyDescent="0.25">
      <c r="A3608" s="36">
        <v>43420</v>
      </c>
      <c r="B3608" s="6">
        <v>45.63</v>
      </c>
      <c r="C3608" s="6">
        <v>28.82</v>
      </c>
      <c r="D3608" s="6">
        <v>10.7</v>
      </c>
      <c r="E3608" s="6">
        <v>6.26</v>
      </c>
      <c r="G3608" s="31"/>
    </row>
    <row r="3609" spans="1:7" x14ac:dyDescent="0.25">
      <c r="A3609" s="36">
        <v>43421</v>
      </c>
      <c r="B3609" s="6">
        <v>45.6</v>
      </c>
      <c r="C3609" s="6">
        <v>28.78</v>
      </c>
      <c r="D3609" s="6">
        <v>10.6</v>
      </c>
      <c r="E3609" s="6">
        <v>5.9399999999999995</v>
      </c>
      <c r="G3609" s="31"/>
    </row>
    <row r="3610" spans="1:7" x14ac:dyDescent="0.25">
      <c r="A3610" s="36">
        <v>43422</v>
      </c>
      <c r="B3610" s="6">
        <v>45.57</v>
      </c>
      <c r="C3610" s="6">
        <v>28.76</v>
      </c>
      <c r="D3610" s="6">
        <v>10.5</v>
      </c>
      <c r="E3610" s="6">
        <v>5.8999999999999995</v>
      </c>
      <c r="G3610" s="31"/>
    </row>
    <row r="3611" spans="1:7" x14ac:dyDescent="0.25">
      <c r="A3611" s="36">
        <v>43423</v>
      </c>
      <c r="B3611" s="6">
        <v>45.5</v>
      </c>
      <c r="C3611" s="6">
        <v>28.73</v>
      </c>
      <c r="D3611" s="6">
        <v>10.36</v>
      </c>
      <c r="E3611" s="6">
        <v>5.9499999999999993</v>
      </c>
      <c r="G3611" s="31"/>
    </row>
    <row r="3612" spans="1:7" x14ac:dyDescent="0.25">
      <c r="A3612" s="36">
        <v>43424</v>
      </c>
      <c r="B3612" s="6">
        <v>45.42</v>
      </c>
      <c r="C3612" s="6">
        <v>28.67</v>
      </c>
      <c r="D3612" s="6">
        <v>10.36</v>
      </c>
      <c r="E3612" s="6">
        <v>5.8999999999999995</v>
      </c>
      <c r="G3612" s="31"/>
    </row>
    <row r="3613" spans="1:7" x14ac:dyDescent="0.25">
      <c r="A3613" s="36">
        <v>43425</v>
      </c>
      <c r="B3613" s="6">
        <v>45.35</v>
      </c>
      <c r="C3613" s="6">
        <v>28.52</v>
      </c>
      <c r="D3613" s="6">
        <v>10.36</v>
      </c>
      <c r="E3613" s="6">
        <v>5.9799999999999995</v>
      </c>
      <c r="G3613" s="31"/>
    </row>
    <row r="3614" spans="1:7" x14ac:dyDescent="0.25">
      <c r="A3614" s="36">
        <v>43426</v>
      </c>
      <c r="B3614" s="6">
        <v>45.26</v>
      </c>
      <c r="C3614" s="6">
        <v>28.42</v>
      </c>
      <c r="D3614" s="6">
        <v>10.44</v>
      </c>
      <c r="E3614" s="6">
        <v>5.98</v>
      </c>
      <c r="G3614" s="31"/>
    </row>
    <row r="3615" spans="1:7" x14ac:dyDescent="0.25">
      <c r="A3615" s="36">
        <v>43427</v>
      </c>
      <c r="B3615" s="6">
        <v>45.23</v>
      </c>
      <c r="C3615" s="6">
        <v>28.3</v>
      </c>
      <c r="D3615" s="6">
        <v>10.3</v>
      </c>
      <c r="E3615" s="6">
        <v>5.88</v>
      </c>
      <c r="G3615" s="31"/>
    </row>
    <row r="3616" spans="1:7" x14ac:dyDescent="0.25">
      <c r="A3616" s="36">
        <v>43428</v>
      </c>
      <c r="B3616" s="6">
        <v>45.25</v>
      </c>
      <c r="C3616" s="6">
        <v>28.18</v>
      </c>
      <c r="D3616" s="6">
        <v>10.16</v>
      </c>
      <c r="E3616" s="6">
        <v>5.6999999999999993</v>
      </c>
      <c r="G3616" s="31"/>
    </row>
    <row r="3617" spans="1:7" x14ac:dyDescent="0.25">
      <c r="A3617" s="36">
        <v>43429</v>
      </c>
      <c r="B3617" s="6">
        <v>45.29</v>
      </c>
      <c r="C3617" s="6">
        <v>28.1</v>
      </c>
      <c r="D3617" s="6">
        <v>10</v>
      </c>
      <c r="E3617" s="6">
        <v>5.62</v>
      </c>
      <c r="G3617" s="31"/>
    </row>
    <row r="3618" spans="1:7" x14ac:dyDescent="0.25">
      <c r="A3618" s="36">
        <v>43430</v>
      </c>
      <c r="B3618" s="6">
        <v>45.33</v>
      </c>
      <c r="C3618" s="6">
        <v>28.03</v>
      </c>
      <c r="D3618" s="6">
        <v>9.9</v>
      </c>
      <c r="E3618" s="6">
        <v>5.5699999999999994</v>
      </c>
      <c r="G3618" s="31"/>
    </row>
    <row r="3619" spans="1:7" x14ac:dyDescent="0.25">
      <c r="A3619" s="36">
        <v>43431</v>
      </c>
      <c r="B3619" s="6">
        <v>45.34</v>
      </c>
      <c r="C3619" s="6">
        <v>27.97</v>
      </c>
      <c r="D3619" s="6">
        <v>9.8000000000000007</v>
      </c>
      <c r="E3619" s="6">
        <v>5.52</v>
      </c>
      <c r="G3619" s="31"/>
    </row>
    <row r="3620" spans="1:7" x14ac:dyDescent="0.25">
      <c r="A3620" s="36">
        <v>43432</v>
      </c>
      <c r="B3620" s="6">
        <v>45.31</v>
      </c>
      <c r="C3620" s="6">
        <v>27.92</v>
      </c>
      <c r="D3620" s="6">
        <v>9.6999999999999993</v>
      </c>
      <c r="E3620" s="6">
        <v>5.4899999999999993</v>
      </c>
      <c r="G3620" s="31"/>
    </row>
    <row r="3621" spans="1:7" x14ac:dyDescent="0.25">
      <c r="A3621" s="36">
        <v>43433</v>
      </c>
      <c r="B3621" s="6">
        <v>45.3</v>
      </c>
      <c r="C3621" s="6">
        <v>27.87</v>
      </c>
      <c r="D3621" s="6">
        <v>9.69</v>
      </c>
      <c r="E3621" s="6">
        <v>5.35</v>
      </c>
      <c r="G3621" s="31"/>
    </row>
    <row r="3622" spans="1:7" x14ac:dyDescent="0.25">
      <c r="A3622" s="36">
        <v>43434</v>
      </c>
      <c r="B3622" s="6">
        <v>45.29</v>
      </c>
      <c r="C3622" s="6">
        <v>27.81</v>
      </c>
      <c r="D3622" s="6">
        <v>9.5</v>
      </c>
      <c r="E3622" s="6">
        <v>5.21</v>
      </c>
      <c r="G3622" s="31"/>
    </row>
    <row r="3623" spans="1:7" x14ac:dyDescent="0.25">
      <c r="A3623" s="36">
        <v>43435</v>
      </c>
      <c r="B3623" s="6">
        <v>45.25</v>
      </c>
      <c r="C3623" s="6">
        <v>27.74</v>
      </c>
      <c r="D3623" s="6">
        <v>9.4</v>
      </c>
      <c r="E3623" s="6">
        <v>5.1899999999999995</v>
      </c>
      <c r="G3623" s="31"/>
    </row>
    <row r="3624" spans="1:7" x14ac:dyDescent="0.25">
      <c r="A3624" s="36">
        <v>43436</v>
      </c>
      <c r="B3624" s="6">
        <v>45.2</v>
      </c>
      <c r="C3624" s="6">
        <v>27.67</v>
      </c>
      <c r="D3624" s="6">
        <v>9.4</v>
      </c>
      <c r="E3624" s="6">
        <v>5.22</v>
      </c>
      <c r="G3624" s="31"/>
    </row>
    <row r="3625" spans="1:7" x14ac:dyDescent="0.25">
      <c r="A3625" s="36">
        <v>43437</v>
      </c>
      <c r="B3625" s="6">
        <v>45.14</v>
      </c>
      <c r="C3625" s="6">
        <v>27.57</v>
      </c>
      <c r="D3625" s="6">
        <v>9.5</v>
      </c>
      <c r="E3625" s="6">
        <v>5.42</v>
      </c>
      <c r="G3625" s="31"/>
    </row>
    <row r="3626" spans="1:7" x14ac:dyDescent="0.25">
      <c r="A3626" s="36">
        <v>43438</v>
      </c>
      <c r="B3626" s="6">
        <v>45.07</v>
      </c>
      <c r="C3626" s="6">
        <v>27.45</v>
      </c>
      <c r="D3626" s="6">
        <v>9.5</v>
      </c>
      <c r="E3626" s="6">
        <v>5.3199999999999994</v>
      </c>
      <c r="G3626" s="31"/>
    </row>
    <row r="3627" spans="1:7" x14ac:dyDescent="0.25">
      <c r="A3627" s="36">
        <v>43439</v>
      </c>
      <c r="B3627" s="6">
        <v>45.01</v>
      </c>
      <c r="C3627" s="6">
        <v>27.34</v>
      </c>
      <c r="D3627" s="6">
        <v>9.4</v>
      </c>
      <c r="E3627" s="6">
        <v>5.26</v>
      </c>
      <c r="G3627" s="31"/>
    </row>
    <row r="3628" spans="1:7" x14ac:dyDescent="0.25">
      <c r="A3628" s="36">
        <v>43440</v>
      </c>
      <c r="B3628" s="6">
        <v>44.92</v>
      </c>
      <c r="C3628" s="6">
        <v>27.23</v>
      </c>
      <c r="D3628" s="6">
        <v>9.26</v>
      </c>
      <c r="E3628" s="6">
        <v>5.0599999999999996</v>
      </c>
      <c r="G3628" s="31"/>
    </row>
    <row r="3629" spans="1:7" x14ac:dyDescent="0.25">
      <c r="A3629" s="36">
        <v>43441</v>
      </c>
      <c r="B3629" s="6">
        <v>44.83</v>
      </c>
      <c r="C3629" s="6">
        <v>27.11</v>
      </c>
      <c r="D3629" s="6">
        <v>9.0399999999999991</v>
      </c>
      <c r="E3629" s="6">
        <v>4.97</v>
      </c>
      <c r="G3629" s="31"/>
    </row>
    <row r="3630" spans="1:7" x14ac:dyDescent="0.25">
      <c r="A3630" s="36">
        <v>43442</v>
      </c>
      <c r="B3630" s="6">
        <v>44.68</v>
      </c>
      <c r="C3630" s="6">
        <v>26.99</v>
      </c>
      <c r="D3630" s="6">
        <v>8.84</v>
      </c>
      <c r="E3630" s="6">
        <v>4.8499999999999996</v>
      </c>
      <c r="G3630" s="31"/>
    </row>
    <row r="3631" spans="1:7" x14ac:dyDescent="0.25">
      <c r="A3631" s="36">
        <v>43443</v>
      </c>
      <c r="B3631" s="6">
        <v>44.57</v>
      </c>
      <c r="C3631" s="6">
        <v>26.86</v>
      </c>
      <c r="D3631" s="6">
        <v>8.74</v>
      </c>
      <c r="E3631" s="6">
        <v>4.72</v>
      </c>
      <c r="G3631" s="31"/>
    </row>
    <row r="3632" spans="1:7" x14ac:dyDescent="0.25">
      <c r="A3632" s="36">
        <v>43444</v>
      </c>
      <c r="B3632" s="6">
        <v>44.44</v>
      </c>
      <c r="C3632" s="6">
        <v>26.72</v>
      </c>
      <c r="D3632" s="6">
        <v>8.4499999999999993</v>
      </c>
      <c r="E3632" s="6">
        <v>4.55</v>
      </c>
      <c r="G3632" s="31"/>
    </row>
    <row r="3633" spans="1:7" x14ac:dyDescent="0.25">
      <c r="A3633" s="36">
        <v>43445</v>
      </c>
      <c r="B3633" s="6">
        <v>44.14</v>
      </c>
      <c r="C3633" s="6">
        <v>26.59</v>
      </c>
      <c r="D3633" s="6">
        <v>8.2799999999999994</v>
      </c>
      <c r="E3633" s="6">
        <v>4.37</v>
      </c>
      <c r="G3633" s="31"/>
    </row>
    <row r="3634" spans="1:7" x14ac:dyDescent="0.25">
      <c r="A3634" s="36">
        <v>43446</v>
      </c>
      <c r="B3634" s="6">
        <v>43.95</v>
      </c>
      <c r="C3634" s="6">
        <v>26.45</v>
      </c>
      <c r="D3634" s="6">
        <v>8.1</v>
      </c>
      <c r="E3634" s="6">
        <v>4.25</v>
      </c>
      <c r="G3634" s="31"/>
    </row>
    <row r="3635" spans="1:7" x14ac:dyDescent="0.25">
      <c r="A3635" s="36">
        <v>43447</v>
      </c>
      <c r="B3635" s="6">
        <v>43.8</v>
      </c>
      <c r="C3635" s="6">
        <v>26.26</v>
      </c>
      <c r="D3635" s="6">
        <v>8</v>
      </c>
      <c r="E3635" s="6">
        <v>4.18</v>
      </c>
      <c r="G3635" s="31"/>
    </row>
    <row r="3636" spans="1:7" x14ac:dyDescent="0.25">
      <c r="A3636" s="36">
        <v>43448</v>
      </c>
      <c r="B3636" s="6">
        <v>43.62</v>
      </c>
      <c r="C3636" s="6">
        <v>26.1</v>
      </c>
      <c r="D3636" s="6">
        <v>7.82</v>
      </c>
      <c r="E3636" s="6">
        <v>3.9200000000000004</v>
      </c>
      <c r="G3636" s="31"/>
    </row>
    <row r="3637" spans="1:7" x14ac:dyDescent="0.25">
      <c r="A3637" s="36">
        <v>43449</v>
      </c>
      <c r="B3637" s="6">
        <v>43.51</v>
      </c>
      <c r="C3637" s="6">
        <v>25.95</v>
      </c>
      <c r="D3637" s="6">
        <v>7.9</v>
      </c>
      <c r="E3637" s="6">
        <v>3.94</v>
      </c>
      <c r="G3637" s="31"/>
    </row>
    <row r="3638" spans="1:7" x14ac:dyDescent="0.25">
      <c r="A3638" s="36">
        <v>43450</v>
      </c>
      <c r="B3638" s="6">
        <v>43.37</v>
      </c>
      <c r="C3638" s="6">
        <v>25.78</v>
      </c>
      <c r="D3638" s="6">
        <v>7.5</v>
      </c>
      <c r="E3638" s="6">
        <v>3.73</v>
      </c>
      <c r="G3638" s="31"/>
    </row>
    <row r="3639" spans="1:7" x14ac:dyDescent="0.25">
      <c r="A3639" s="36">
        <v>43451</v>
      </c>
      <c r="B3639" s="6">
        <v>43.25</v>
      </c>
      <c r="C3639" s="6">
        <v>25.6</v>
      </c>
      <c r="D3639" s="6">
        <v>7.4</v>
      </c>
      <c r="E3639" s="6">
        <v>3.6300000000000003</v>
      </c>
      <c r="G3639" s="31"/>
    </row>
    <row r="3640" spans="1:7" x14ac:dyDescent="0.25">
      <c r="A3640" s="36">
        <v>43452</v>
      </c>
      <c r="B3640" s="6">
        <v>43.14</v>
      </c>
      <c r="C3640" s="6">
        <v>25.48</v>
      </c>
      <c r="D3640" s="6">
        <v>7.3</v>
      </c>
      <c r="E3640" s="6">
        <v>3.41</v>
      </c>
      <c r="G3640" s="31"/>
    </row>
    <row r="3641" spans="1:7" x14ac:dyDescent="0.25">
      <c r="A3641" s="36">
        <v>43453</v>
      </c>
      <c r="B3641" s="6">
        <v>43.05</v>
      </c>
      <c r="C3641" s="6">
        <v>25.34</v>
      </c>
      <c r="D3641" s="6">
        <v>6.9</v>
      </c>
      <c r="E3641" s="6">
        <v>3.3000000000000003</v>
      </c>
      <c r="G3641" s="31"/>
    </row>
    <row r="3642" spans="1:7" x14ac:dyDescent="0.25">
      <c r="A3642" s="36">
        <v>43454</v>
      </c>
      <c r="B3642" s="6">
        <v>42.96</v>
      </c>
      <c r="C3642" s="6">
        <v>25.21</v>
      </c>
      <c r="D3642" s="6">
        <v>6.8</v>
      </c>
      <c r="E3642" s="6">
        <v>3.25</v>
      </c>
      <c r="G3642" s="31"/>
    </row>
    <row r="3643" spans="1:7" x14ac:dyDescent="0.25">
      <c r="A3643" s="36">
        <v>43455</v>
      </c>
      <c r="B3643" s="6">
        <v>42.88</v>
      </c>
      <c r="C3643" s="6">
        <v>25.09</v>
      </c>
      <c r="D3643" s="6">
        <v>6.7</v>
      </c>
      <c r="E3643" s="6">
        <v>3.15</v>
      </c>
      <c r="G3643" s="31"/>
    </row>
    <row r="3644" spans="1:7" x14ac:dyDescent="0.25">
      <c r="A3644" s="36">
        <v>43456</v>
      </c>
      <c r="B3644" s="6">
        <v>42.8</v>
      </c>
      <c r="C3644" s="6">
        <v>24.96</v>
      </c>
      <c r="D3644" s="6">
        <v>6.5</v>
      </c>
      <c r="E3644" s="6">
        <v>3.0900000000000003</v>
      </c>
      <c r="G3644" s="31"/>
    </row>
    <row r="3645" spans="1:7" x14ac:dyDescent="0.25">
      <c r="A3645" s="36">
        <v>43457</v>
      </c>
      <c r="B3645" s="6">
        <v>42.72</v>
      </c>
      <c r="C3645" s="6">
        <v>24.85</v>
      </c>
      <c r="D3645" s="6">
        <v>6.36</v>
      </c>
      <c r="E3645" s="6">
        <v>2.95</v>
      </c>
      <c r="G3645" s="31"/>
    </row>
    <row r="3646" spans="1:7" x14ac:dyDescent="0.25">
      <c r="A3646" s="36">
        <v>43458</v>
      </c>
      <c r="B3646" s="6">
        <v>42.68</v>
      </c>
      <c r="C3646" s="6">
        <v>24.76</v>
      </c>
      <c r="D3646" s="6">
        <v>6.23</v>
      </c>
      <c r="E3646" s="6">
        <v>2.8800000000000003</v>
      </c>
      <c r="G3646" s="31"/>
    </row>
    <row r="3647" spans="1:7" x14ac:dyDescent="0.25">
      <c r="A3647" s="36">
        <v>43459</v>
      </c>
      <c r="B3647" s="6">
        <v>42.62</v>
      </c>
      <c r="C3647" s="6">
        <v>24.68</v>
      </c>
      <c r="D3647" s="6">
        <v>6.1</v>
      </c>
      <c r="E3647" s="6">
        <v>2.7600000000000002</v>
      </c>
      <c r="G3647" s="31"/>
    </row>
    <row r="3648" spans="1:7" x14ac:dyDescent="0.25">
      <c r="A3648" s="36">
        <v>43460</v>
      </c>
      <c r="B3648" s="6">
        <v>42.58</v>
      </c>
      <c r="C3648" s="6">
        <v>24.6</v>
      </c>
      <c r="D3648" s="6">
        <v>5.9</v>
      </c>
      <c r="E3648" s="6">
        <v>2.6500000000000004</v>
      </c>
      <c r="G3648" s="31"/>
    </row>
    <row r="3649" spans="1:7" x14ac:dyDescent="0.25">
      <c r="A3649" s="36">
        <v>43461</v>
      </c>
      <c r="B3649" s="6">
        <v>42.54</v>
      </c>
      <c r="C3649" s="6">
        <v>24.52</v>
      </c>
      <c r="D3649" s="6">
        <v>5.8</v>
      </c>
      <c r="E3649" s="6">
        <v>2.7</v>
      </c>
      <c r="G3649" s="31"/>
    </row>
    <row r="3650" spans="1:7" x14ac:dyDescent="0.25">
      <c r="A3650" s="36">
        <v>43462</v>
      </c>
      <c r="B3650" s="6">
        <v>42.51</v>
      </c>
      <c r="C3650" s="6">
        <v>24.44</v>
      </c>
      <c r="D3650" s="6">
        <v>5.8</v>
      </c>
      <c r="E3650" s="6">
        <v>2.69</v>
      </c>
      <c r="G3650" s="31"/>
    </row>
    <row r="3651" spans="1:7" x14ac:dyDescent="0.25">
      <c r="A3651" s="36">
        <v>43463</v>
      </c>
      <c r="B3651" s="6">
        <v>42.48</v>
      </c>
      <c r="C3651" s="6">
        <v>24.4</v>
      </c>
      <c r="D3651" s="6">
        <v>5.7</v>
      </c>
      <c r="E3651" s="6">
        <v>2.5500000000000003</v>
      </c>
      <c r="G3651" s="31"/>
    </row>
    <row r="3652" spans="1:7" x14ac:dyDescent="0.25">
      <c r="A3652" s="36">
        <v>43464</v>
      </c>
      <c r="B3652" s="6">
        <v>42.43</v>
      </c>
      <c r="C3652" s="6">
        <v>24.3</v>
      </c>
      <c r="D3652" s="6">
        <v>5.7</v>
      </c>
      <c r="E3652" s="6">
        <v>2.52</v>
      </c>
      <c r="G3652" s="31"/>
    </row>
    <row r="3653" spans="1:7" x14ac:dyDescent="0.25">
      <c r="A3653" s="36">
        <v>43465</v>
      </c>
      <c r="B3653" s="6">
        <v>42.38</v>
      </c>
      <c r="C3653" s="6">
        <v>24.22</v>
      </c>
      <c r="D3653" s="6">
        <v>5.6</v>
      </c>
      <c r="E3653" s="6">
        <v>2.4500000000000002</v>
      </c>
      <c r="G3653" s="31"/>
    </row>
    <row r="3654" spans="1:7" x14ac:dyDescent="0.25">
      <c r="A3654" s="36">
        <v>43466</v>
      </c>
      <c r="B3654" s="7">
        <v>42.31</v>
      </c>
      <c r="C3654" s="7">
        <v>24.14</v>
      </c>
      <c r="D3654" s="11">
        <v>6.6</v>
      </c>
      <c r="E3654" s="7">
        <v>2.27</v>
      </c>
      <c r="G3654" s="31"/>
    </row>
    <row r="3655" spans="1:7" x14ac:dyDescent="0.25">
      <c r="A3655" s="36">
        <v>43467</v>
      </c>
      <c r="B3655" s="7">
        <v>42.26</v>
      </c>
      <c r="C3655" s="7">
        <v>24.08</v>
      </c>
      <c r="D3655" s="11">
        <v>6.33</v>
      </c>
      <c r="E3655" s="7">
        <v>2.16</v>
      </c>
      <c r="G3655" s="31"/>
    </row>
    <row r="3656" spans="1:7" x14ac:dyDescent="0.25">
      <c r="A3656" s="36">
        <v>43468</v>
      </c>
      <c r="B3656" s="7">
        <v>42.17</v>
      </c>
      <c r="C3656" s="7">
        <v>24.02</v>
      </c>
      <c r="D3656" s="11">
        <v>6.1950000000000003</v>
      </c>
      <c r="E3656" s="7">
        <v>2.2400000000000002</v>
      </c>
      <c r="G3656" s="31"/>
    </row>
    <row r="3657" spans="1:7" x14ac:dyDescent="0.25">
      <c r="A3657" s="36">
        <v>43469</v>
      </c>
      <c r="B3657" s="7">
        <v>42.08</v>
      </c>
      <c r="C3657" s="7">
        <v>23.94</v>
      </c>
      <c r="D3657" s="11">
        <v>6.06</v>
      </c>
      <c r="E3657" s="7">
        <v>2.2200000000000002</v>
      </c>
      <c r="G3657" s="31"/>
    </row>
    <row r="3658" spans="1:7" x14ac:dyDescent="0.25">
      <c r="A3658" s="36">
        <v>43470</v>
      </c>
      <c r="B3658" s="7">
        <v>42</v>
      </c>
      <c r="C3658" s="7">
        <v>23.86</v>
      </c>
      <c r="D3658" s="11">
        <v>5.9</v>
      </c>
      <c r="E3658" s="7">
        <v>2.2400000000000002</v>
      </c>
      <c r="G3658" s="31"/>
    </row>
    <row r="3659" spans="1:7" x14ac:dyDescent="0.25">
      <c r="A3659" s="36">
        <v>43471</v>
      </c>
      <c r="B3659" s="7">
        <v>41.9</v>
      </c>
      <c r="C3659" s="7">
        <v>23.78</v>
      </c>
      <c r="D3659" s="11">
        <v>5.82</v>
      </c>
      <c r="E3659" s="7">
        <v>2.21</v>
      </c>
      <c r="G3659" s="31"/>
    </row>
    <row r="3660" spans="1:7" x14ac:dyDescent="0.25">
      <c r="A3660" s="36">
        <v>43472</v>
      </c>
      <c r="B3660" s="7">
        <v>41.81</v>
      </c>
      <c r="C3660" s="7">
        <v>23.7</v>
      </c>
      <c r="D3660" s="11">
        <v>5.62</v>
      </c>
      <c r="E3660" s="7">
        <v>2.11</v>
      </c>
      <c r="G3660" s="31"/>
    </row>
    <row r="3661" spans="1:7" x14ac:dyDescent="0.25">
      <c r="A3661" s="36">
        <v>43473</v>
      </c>
      <c r="B3661" s="7">
        <v>41.72</v>
      </c>
      <c r="C3661" s="7">
        <v>23.62</v>
      </c>
      <c r="D3661" s="11">
        <v>5.52</v>
      </c>
      <c r="E3661" s="7">
        <v>2.16</v>
      </c>
      <c r="G3661" s="31"/>
    </row>
    <row r="3662" spans="1:7" x14ac:dyDescent="0.25">
      <c r="A3662" s="36">
        <v>43474</v>
      </c>
      <c r="B3662" s="7">
        <v>41.65</v>
      </c>
      <c r="C3662" s="7">
        <v>23.52</v>
      </c>
      <c r="D3662" s="11">
        <v>5.47</v>
      </c>
      <c r="E3662" s="7">
        <v>2.21</v>
      </c>
      <c r="G3662" s="31"/>
    </row>
    <row r="3663" spans="1:7" x14ac:dyDescent="0.25">
      <c r="A3663" s="36">
        <v>43475</v>
      </c>
      <c r="B3663" s="7">
        <v>41.58</v>
      </c>
      <c r="C3663" s="7">
        <v>23.44</v>
      </c>
      <c r="D3663" s="11">
        <v>5.4450000000000003</v>
      </c>
      <c r="E3663" s="7">
        <v>2.0499999999999998</v>
      </c>
      <c r="G3663" s="31"/>
    </row>
    <row r="3664" spans="1:7" x14ac:dyDescent="0.25">
      <c r="A3664" s="36">
        <v>43476</v>
      </c>
      <c r="B3664" s="7">
        <v>41.54</v>
      </c>
      <c r="C3664" s="7">
        <v>23.35</v>
      </c>
      <c r="D3664" s="7">
        <v>4.9000000000000004</v>
      </c>
      <c r="E3664" s="7">
        <v>2.02</v>
      </c>
      <c r="G3664" s="31"/>
    </row>
    <row r="3665" spans="1:7" x14ac:dyDescent="0.25">
      <c r="A3665" s="36">
        <v>43477</v>
      </c>
      <c r="B3665" s="7">
        <v>41.5</v>
      </c>
      <c r="C3665" s="7">
        <v>23.24</v>
      </c>
      <c r="D3665" s="7">
        <v>4.76</v>
      </c>
      <c r="E3665" s="7">
        <v>1.97</v>
      </c>
      <c r="G3665" s="31"/>
    </row>
    <row r="3666" spans="1:7" x14ac:dyDescent="0.25">
      <c r="A3666" s="36">
        <v>43478</v>
      </c>
      <c r="B3666" s="7">
        <v>41.5</v>
      </c>
      <c r="C3666" s="7">
        <v>23.16</v>
      </c>
      <c r="D3666" s="7">
        <v>4.7</v>
      </c>
      <c r="E3666" s="7">
        <v>1.87</v>
      </c>
      <c r="G3666" s="31"/>
    </row>
    <row r="3667" spans="1:7" x14ac:dyDescent="0.25">
      <c r="A3667" s="36">
        <v>43479</v>
      </c>
      <c r="B3667" s="7">
        <v>41.45</v>
      </c>
      <c r="C3667" s="7">
        <v>23.08</v>
      </c>
      <c r="D3667" s="7">
        <v>4.62</v>
      </c>
      <c r="E3667" s="7">
        <v>1.83</v>
      </c>
      <c r="G3667" s="31"/>
    </row>
    <row r="3668" spans="1:7" x14ac:dyDescent="0.25">
      <c r="A3668" s="36">
        <v>43480</v>
      </c>
      <c r="B3668" s="7">
        <v>41.45</v>
      </c>
      <c r="C3668" s="7">
        <v>23.14</v>
      </c>
      <c r="D3668" s="7">
        <v>4.46</v>
      </c>
      <c r="E3668" s="7">
        <v>1.73</v>
      </c>
      <c r="G3668" s="31"/>
    </row>
    <row r="3669" spans="1:7" x14ac:dyDescent="0.25">
      <c r="A3669" s="36">
        <v>43481</v>
      </c>
      <c r="B3669" s="7">
        <v>41.42</v>
      </c>
      <c r="C3669" s="7">
        <v>23.08</v>
      </c>
      <c r="D3669" s="7">
        <v>4.38</v>
      </c>
      <c r="E3669" s="7">
        <v>1.73</v>
      </c>
      <c r="G3669" s="31"/>
    </row>
    <row r="3670" spans="1:7" x14ac:dyDescent="0.25">
      <c r="A3670" s="36">
        <v>43482</v>
      </c>
      <c r="B3670" s="7">
        <v>41.37</v>
      </c>
      <c r="C3670" s="7">
        <v>23.04</v>
      </c>
      <c r="D3670" s="7">
        <v>4.3</v>
      </c>
      <c r="E3670" s="7">
        <v>1.86</v>
      </c>
      <c r="G3670" s="31"/>
    </row>
    <row r="3671" spans="1:7" x14ac:dyDescent="0.25">
      <c r="A3671" s="36">
        <v>43483</v>
      </c>
      <c r="B3671" s="7">
        <v>41.35</v>
      </c>
      <c r="C3671" s="7">
        <v>22.99</v>
      </c>
      <c r="D3671" s="7">
        <v>4.3</v>
      </c>
      <c r="E3671" s="7">
        <v>1.75</v>
      </c>
      <c r="G3671" s="31"/>
    </row>
    <row r="3672" spans="1:7" x14ac:dyDescent="0.25">
      <c r="A3672" s="36">
        <v>43484</v>
      </c>
      <c r="B3672" s="7">
        <v>41.3</v>
      </c>
      <c r="C3672" s="7">
        <v>22.96</v>
      </c>
      <c r="D3672" s="7">
        <v>4.38</v>
      </c>
      <c r="E3672" s="7">
        <v>1.78</v>
      </c>
      <c r="G3672" s="31"/>
    </row>
    <row r="3673" spans="1:7" x14ac:dyDescent="0.25">
      <c r="A3673" s="36">
        <v>43485</v>
      </c>
      <c r="B3673" s="7">
        <v>41.29</v>
      </c>
      <c r="C3673" s="7">
        <v>22.9</v>
      </c>
      <c r="D3673" s="7">
        <v>4.2</v>
      </c>
      <c r="E3673" s="7">
        <v>1.85</v>
      </c>
      <c r="G3673" s="31"/>
    </row>
    <row r="3674" spans="1:7" x14ac:dyDescent="0.25">
      <c r="A3674" s="36">
        <v>43486</v>
      </c>
      <c r="B3674" s="7">
        <v>41.25</v>
      </c>
      <c r="C3674" s="7">
        <v>22.86</v>
      </c>
      <c r="D3674" s="7">
        <v>4.2</v>
      </c>
      <c r="E3674" s="7">
        <v>1.83</v>
      </c>
      <c r="G3674" s="31"/>
    </row>
    <row r="3675" spans="1:7" x14ac:dyDescent="0.25">
      <c r="A3675" s="36">
        <v>43487</v>
      </c>
      <c r="B3675" s="7">
        <v>41.21</v>
      </c>
      <c r="C3675" s="7">
        <v>22.78</v>
      </c>
      <c r="D3675" s="7">
        <v>4.1500000000000004</v>
      </c>
      <c r="E3675" s="7">
        <v>1.87</v>
      </c>
      <c r="G3675" s="31"/>
    </row>
    <row r="3676" spans="1:7" x14ac:dyDescent="0.25">
      <c r="A3676" s="36">
        <v>43488</v>
      </c>
      <c r="B3676" s="7">
        <v>41.23</v>
      </c>
      <c r="C3676" s="7">
        <v>22.74</v>
      </c>
      <c r="D3676" s="7">
        <v>4.0999999999999996</v>
      </c>
      <c r="E3676" s="7">
        <v>1.96</v>
      </c>
      <c r="G3676" s="31"/>
    </row>
    <row r="3677" spans="1:7" x14ac:dyDescent="0.25">
      <c r="A3677" s="36">
        <v>43489</v>
      </c>
      <c r="B3677" s="7">
        <v>41.22</v>
      </c>
      <c r="C3677" s="7">
        <v>22.69</v>
      </c>
      <c r="D3677" s="7">
        <v>4.0999999999999996</v>
      </c>
      <c r="E3677" s="7">
        <v>2.02</v>
      </c>
      <c r="G3677" s="31"/>
    </row>
    <row r="3678" spans="1:7" x14ac:dyDescent="0.25">
      <c r="A3678" s="36">
        <v>43490</v>
      </c>
      <c r="B3678" s="7">
        <v>41.22</v>
      </c>
      <c r="C3678" s="7">
        <v>22.63</v>
      </c>
      <c r="D3678" s="7">
        <v>4.0999999999999996</v>
      </c>
      <c r="E3678" s="7">
        <v>1.94</v>
      </c>
      <c r="G3678" s="31"/>
    </row>
    <row r="3679" spans="1:7" x14ac:dyDescent="0.25">
      <c r="A3679" s="36">
        <v>43491</v>
      </c>
      <c r="B3679" s="7">
        <v>41.22</v>
      </c>
      <c r="C3679" s="7">
        <v>22.57</v>
      </c>
      <c r="D3679" s="7">
        <v>4.0599999999999996</v>
      </c>
      <c r="E3679" s="7">
        <v>1.91</v>
      </c>
      <c r="G3679" s="31"/>
    </row>
    <row r="3680" spans="1:7" x14ac:dyDescent="0.25">
      <c r="A3680" s="36">
        <v>43492</v>
      </c>
      <c r="B3680" s="7">
        <v>41.22</v>
      </c>
      <c r="C3680" s="7">
        <v>22.5</v>
      </c>
      <c r="D3680" s="7">
        <v>4</v>
      </c>
      <c r="E3680" s="7">
        <v>1.73</v>
      </c>
      <c r="G3680" s="31"/>
    </row>
    <row r="3681" spans="1:7" x14ac:dyDescent="0.25">
      <c r="A3681" s="36">
        <v>43493</v>
      </c>
      <c r="B3681" s="7">
        <v>41.22</v>
      </c>
      <c r="C3681" s="7">
        <v>22.44</v>
      </c>
      <c r="D3681" s="7">
        <v>3.98</v>
      </c>
      <c r="E3681" s="7">
        <v>1.77</v>
      </c>
      <c r="G3681" s="31"/>
    </row>
    <row r="3682" spans="1:7" x14ac:dyDescent="0.25">
      <c r="A3682" s="36">
        <v>43494</v>
      </c>
      <c r="B3682" s="7">
        <v>41.25</v>
      </c>
      <c r="C3682" s="7">
        <v>22.36</v>
      </c>
      <c r="D3682" s="8">
        <v>3.9</v>
      </c>
      <c r="E3682" s="7">
        <v>1.8</v>
      </c>
      <c r="G3682" s="31"/>
    </row>
    <row r="3683" spans="1:7" x14ac:dyDescent="0.25">
      <c r="A3683" s="36">
        <v>43495</v>
      </c>
      <c r="B3683" s="7">
        <v>41.27</v>
      </c>
      <c r="C3683" s="7">
        <v>22.31</v>
      </c>
      <c r="D3683" s="8">
        <v>3.98</v>
      </c>
      <c r="E3683" s="7">
        <v>1.75</v>
      </c>
      <c r="G3683" s="31"/>
    </row>
    <row r="3684" spans="1:7" x14ac:dyDescent="0.25">
      <c r="A3684" s="36">
        <v>43496</v>
      </c>
      <c r="B3684" s="7">
        <v>41.27</v>
      </c>
      <c r="C3684" s="7">
        <v>22.31</v>
      </c>
      <c r="D3684" s="8">
        <v>3.84</v>
      </c>
      <c r="E3684" s="7">
        <v>1.66</v>
      </c>
      <c r="G3684" s="31"/>
    </row>
    <row r="3685" spans="1:7" x14ac:dyDescent="0.25">
      <c r="A3685" s="36">
        <v>43497</v>
      </c>
      <c r="B3685" s="7">
        <v>41.24</v>
      </c>
      <c r="C3685" s="7">
        <v>22.28</v>
      </c>
      <c r="D3685" s="8">
        <v>3.8</v>
      </c>
      <c r="E3685" s="7">
        <v>1.58</v>
      </c>
      <c r="G3685" s="31"/>
    </row>
    <row r="3686" spans="1:7" x14ac:dyDescent="0.25">
      <c r="A3686" s="36">
        <v>43498</v>
      </c>
      <c r="B3686" s="7">
        <v>41.17</v>
      </c>
      <c r="C3686" s="7">
        <v>22.28</v>
      </c>
      <c r="D3686" s="8">
        <v>3.8</v>
      </c>
      <c r="E3686" s="7">
        <v>1.58</v>
      </c>
      <c r="G3686" s="31"/>
    </row>
    <row r="3687" spans="1:7" x14ac:dyDescent="0.25">
      <c r="A3687" s="36">
        <v>43499</v>
      </c>
      <c r="B3687" s="7">
        <v>41.16</v>
      </c>
      <c r="C3687" s="7">
        <v>22.29</v>
      </c>
      <c r="D3687" s="8">
        <v>3.8</v>
      </c>
      <c r="E3687" s="7">
        <v>1.57</v>
      </c>
      <c r="G3687" s="31"/>
    </row>
    <row r="3688" spans="1:7" x14ac:dyDescent="0.25">
      <c r="A3688" s="36">
        <v>43500</v>
      </c>
      <c r="B3688" s="7">
        <v>41.14</v>
      </c>
      <c r="C3688" s="7">
        <v>22.29</v>
      </c>
      <c r="D3688" s="8">
        <v>3.78</v>
      </c>
      <c r="E3688" s="7">
        <v>1.55</v>
      </c>
      <c r="G3688" s="31"/>
    </row>
    <row r="3689" spans="1:7" x14ac:dyDescent="0.25">
      <c r="A3689" s="36">
        <v>43501</v>
      </c>
      <c r="B3689" s="7">
        <v>41.13</v>
      </c>
      <c r="C3689" s="7">
        <v>22.27</v>
      </c>
      <c r="D3689" s="8">
        <v>3.78</v>
      </c>
      <c r="E3689" s="7">
        <v>1.6</v>
      </c>
      <c r="G3689" s="31"/>
    </row>
    <row r="3690" spans="1:7" x14ac:dyDescent="0.25">
      <c r="A3690" s="36">
        <v>43502</v>
      </c>
      <c r="B3690" s="7">
        <v>41.13</v>
      </c>
      <c r="C3690" s="7">
        <v>22.2</v>
      </c>
      <c r="D3690" s="8">
        <v>3.74</v>
      </c>
      <c r="E3690" s="7">
        <v>1.61</v>
      </c>
      <c r="G3690" s="31"/>
    </row>
    <row r="3691" spans="1:7" x14ac:dyDescent="0.25">
      <c r="A3691" s="36">
        <v>43503</v>
      </c>
      <c r="B3691" s="7">
        <v>41.17</v>
      </c>
      <c r="C3691" s="7">
        <v>22.17</v>
      </c>
      <c r="D3691" s="8">
        <v>3.74</v>
      </c>
      <c r="E3691" s="7">
        <v>1.71</v>
      </c>
      <c r="G3691" s="31"/>
    </row>
    <row r="3692" spans="1:7" x14ac:dyDescent="0.25">
      <c r="A3692" s="36">
        <v>43504</v>
      </c>
      <c r="B3692" s="7">
        <v>41.23</v>
      </c>
      <c r="C3692" s="7">
        <v>22.14</v>
      </c>
      <c r="D3692" s="8">
        <v>3.72</v>
      </c>
      <c r="E3692" s="7">
        <v>1.63</v>
      </c>
      <c r="G3692" s="31"/>
    </row>
    <row r="3693" spans="1:7" x14ac:dyDescent="0.25">
      <c r="A3693" s="36">
        <v>43505</v>
      </c>
      <c r="B3693" s="7">
        <v>41.26</v>
      </c>
      <c r="C3693" s="7">
        <v>22.14</v>
      </c>
      <c r="D3693" s="8">
        <v>3.7</v>
      </c>
      <c r="E3693" s="7">
        <v>1.66</v>
      </c>
      <c r="G3693" s="31"/>
    </row>
    <row r="3694" spans="1:7" x14ac:dyDescent="0.25">
      <c r="A3694" s="36">
        <v>43506</v>
      </c>
      <c r="B3694" s="7">
        <v>41.29</v>
      </c>
      <c r="C3694" s="7">
        <v>22.16</v>
      </c>
      <c r="D3694" s="8">
        <v>3.7</v>
      </c>
      <c r="E3694" s="7">
        <v>1.62</v>
      </c>
      <c r="G3694" s="31"/>
    </row>
    <row r="3695" spans="1:7" x14ac:dyDescent="0.25">
      <c r="A3695" s="36">
        <v>43507</v>
      </c>
      <c r="B3695" s="7">
        <v>41.32</v>
      </c>
      <c r="C3695" s="7">
        <v>22.18</v>
      </c>
      <c r="D3695" s="8">
        <v>3.7</v>
      </c>
      <c r="E3695" s="7">
        <v>1.63</v>
      </c>
      <c r="G3695" s="31"/>
    </row>
    <row r="3696" spans="1:7" x14ac:dyDescent="0.25">
      <c r="A3696" s="36">
        <v>43508</v>
      </c>
      <c r="B3696" s="7">
        <v>41.32</v>
      </c>
      <c r="C3696" s="7">
        <v>22.18</v>
      </c>
      <c r="D3696" s="8">
        <v>3.7</v>
      </c>
      <c r="E3696" s="7">
        <v>1.58</v>
      </c>
      <c r="G3696" s="31"/>
    </row>
    <row r="3697" spans="1:7" x14ac:dyDescent="0.25">
      <c r="A3697" s="36">
        <v>43509</v>
      </c>
      <c r="B3697" s="7">
        <v>41.31</v>
      </c>
      <c r="C3697" s="7">
        <v>22.2</v>
      </c>
      <c r="D3697" s="8">
        <v>3.7</v>
      </c>
      <c r="E3697" s="7">
        <v>1.64</v>
      </c>
      <c r="G3697" s="31"/>
    </row>
    <row r="3698" spans="1:7" x14ac:dyDescent="0.25">
      <c r="A3698" s="36">
        <v>43510</v>
      </c>
      <c r="B3698" s="7">
        <v>41.3</v>
      </c>
      <c r="C3698" s="7">
        <v>22.22</v>
      </c>
      <c r="D3698" s="8">
        <v>3.68</v>
      </c>
      <c r="E3698" s="7">
        <v>1.63</v>
      </c>
      <c r="G3698" s="31"/>
    </row>
    <row r="3699" spans="1:7" x14ac:dyDescent="0.25">
      <c r="A3699" s="36">
        <v>43511</v>
      </c>
      <c r="B3699" s="7">
        <v>41.26</v>
      </c>
      <c r="C3699" s="7">
        <v>22.27</v>
      </c>
      <c r="D3699" s="8">
        <v>3.68</v>
      </c>
      <c r="E3699" s="7">
        <v>1.62</v>
      </c>
      <c r="G3699" s="31"/>
    </row>
    <row r="3700" spans="1:7" x14ac:dyDescent="0.25">
      <c r="A3700" s="36">
        <v>43512</v>
      </c>
      <c r="B3700" s="7">
        <v>41.21</v>
      </c>
      <c r="C3700" s="7">
        <v>22.23</v>
      </c>
      <c r="D3700" s="8">
        <v>3.66</v>
      </c>
      <c r="E3700" s="7">
        <v>1.53</v>
      </c>
      <c r="G3700" s="31"/>
    </row>
    <row r="3701" spans="1:7" x14ac:dyDescent="0.25">
      <c r="A3701" s="36">
        <v>43513</v>
      </c>
      <c r="B3701" s="7">
        <v>41.18</v>
      </c>
      <c r="C3701" s="7">
        <v>22.2</v>
      </c>
      <c r="D3701" s="8">
        <v>3.66</v>
      </c>
      <c r="E3701" s="7">
        <v>1.69</v>
      </c>
      <c r="G3701" s="31"/>
    </row>
    <row r="3702" spans="1:7" x14ac:dyDescent="0.25">
      <c r="A3702" s="36">
        <v>43514</v>
      </c>
      <c r="B3702" s="7">
        <v>41.11</v>
      </c>
      <c r="C3702" s="7">
        <v>22.18</v>
      </c>
      <c r="D3702" s="8">
        <v>3.66</v>
      </c>
      <c r="E3702" s="7">
        <v>1.63</v>
      </c>
      <c r="G3702" s="31"/>
    </row>
    <row r="3703" spans="1:7" x14ac:dyDescent="0.25">
      <c r="A3703" s="36">
        <v>43515</v>
      </c>
      <c r="B3703" s="7">
        <v>41.07</v>
      </c>
      <c r="C3703" s="7">
        <v>22.14</v>
      </c>
      <c r="D3703" s="8">
        <v>3.64</v>
      </c>
      <c r="E3703" s="7">
        <v>1.7</v>
      </c>
      <c r="G3703" s="31"/>
    </row>
    <row r="3704" spans="1:7" x14ac:dyDescent="0.25">
      <c r="A3704" s="36">
        <v>43516</v>
      </c>
      <c r="B3704" s="7">
        <v>41.02</v>
      </c>
      <c r="C3704" s="7">
        <v>22.1</v>
      </c>
      <c r="D3704" s="8">
        <v>3.64</v>
      </c>
      <c r="E3704" s="7">
        <v>1.71</v>
      </c>
      <c r="G3704" s="31"/>
    </row>
    <row r="3705" spans="1:7" x14ac:dyDescent="0.25">
      <c r="A3705" s="36">
        <v>43517</v>
      </c>
      <c r="B3705" s="7">
        <v>41</v>
      </c>
      <c r="C3705" s="7">
        <v>22.04</v>
      </c>
      <c r="D3705" s="8">
        <v>3.62</v>
      </c>
      <c r="E3705" s="7">
        <v>1.69</v>
      </c>
      <c r="G3705" s="31"/>
    </row>
    <row r="3706" spans="1:7" x14ac:dyDescent="0.25">
      <c r="A3706" s="36">
        <v>43518</v>
      </c>
      <c r="B3706" s="7">
        <v>40.93</v>
      </c>
      <c r="C3706" s="7">
        <v>21.98</v>
      </c>
      <c r="D3706" s="8">
        <v>3.6</v>
      </c>
      <c r="E3706" s="7">
        <v>1.72</v>
      </c>
      <c r="G3706" s="31"/>
    </row>
    <row r="3707" spans="1:7" x14ac:dyDescent="0.25">
      <c r="A3707" s="36">
        <v>43519</v>
      </c>
      <c r="B3707" s="7">
        <v>40.909999999999997</v>
      </c>
      <c r="C3707" s="7">
        <v>21.93</v>
      </c>
      <c r="D3707" s="8">
        <v>3.6</v>
      </c>
      <c r="E3707" s="7">
        <v>1.75</v>
      </c>
      <c r="G3707" s="31"/>
    </row>
    <row r="3708" spans="1:7" x14ac:dyDescent="0.25">
      <c r="A3708" s="36">
        <v>43520</v>
      </c>
      <c r="B3708" s="7">
        <v>40.880000000000003</v>
      </c>
      <c r="C3708" s="7">
        <v>21.88</v>
      </c>
      <c r="D3708" s="8">
        <v>3.6</v>
      </c>
      <c r="E3708" s="7">
        <v>1.69</v>
      </c>
      <c r="G3708" s="31"/>
    </row>
    <row r="3709" spans="1:7" x14ac:dyDescent="0.25">
      <c r="A3709" s="36">
        <v>43521</v>
      </c>
      <c r="B3709" s="7">
        <v>40.86</v>
      </c>
      <c r="C3709" s="7">
        <v>21.84</v>
      </c>
      <c r="D3709" s="8">
        <v>3.6</v>
      </c>
      <c r="E3709" s="7">
        <v>1.59</v>
      </c>
      <c r="G3709" s="31"/>
    </row>
    <row r="3710" spans="1:7" x14ac:dyDescent="0.25">
      <c r="A3710" s="36">
        <v>43522</v>
      </c>
      <c r="B3710" s="7">
        <v>40.83</v>
      </c>
      <c r="C3710" s="7">
        <v>21.78</v>
      </c>
      <c r="D3710" s="8">
        <v>3.58</v>
      </c>
      <c r="E3710" s="7">
        <v>1.56</v>
      </c>
      <c r="G3710" s="31"/>
    </row>
    <row r="3711" spans="1:7" x14ac:dyDescent="0.25">
      <c r="A3711" s="36">
        <v>43523</v>
      </c>
      <c r="B3711" s="7">
        <v>40.799999999999997</v>
      </c>
      <c r="C3711" s="7">
        <v>21.76</v>
      </c>
      <c r="D3711" s="8">
        <v>3.54</v>
      </c>
      <c r="E3711" s="7">
        <v>1.49</v>
      </c>
      <c r="G3711" s="31"/>
    </row>
    <row r="3712" spans="1:7" x14ac:dyDescent="0.25">
      <c r="A3712" s="36">
        <v>43524</v>
      </c>
      <c r="B3712" s="7">
        <v>40.76</v>
      </c>
      <c r="C3712" s="7">
        <v>21.74</v>
      </c>
      <c r="D3712" s="8">
        <v>3.51</v>
      </c>
      <c r="E3712" s="7">
        <v>1.44</v>
      </c>
      <c r="G3712" s="31"/>
    </row>
    <row r="3713" spans="1:7" x14ac:dyDescent="0.25">
      <c r="A3713" s="36">
        <v>43525</v>
      </c>
      <c r="B3713" s="7">
        <v>40.729999999999997</v>
      </c>
      <c r="C3713" s="7">
        <v>21.74</v>
      </c>
      <c r="D3713" s="7">
        <v>3.48</v>
      </c>
      <c r="E3713" s="7">
        <v>1.38</v>
      </c>
      <c r="G3713" s="31"/>
    </row>
    <row r="3714" spans="1:7" x14ac:dyDescent="0.25">
      <c r="A3714" s="36">
        <v>43526</v>
      </c>
      <c r="B3714" s="7">
        <v>40.700000000000003</v>
      </c>
      <c r="C3714" s="7">
        <v>21.71</v>
      </c>
      <c r="D3714" s="7">
        <v>3.48</v>
      </c>
      <c r="E3714" s="7">
        <v>1.36</v>
      </c>
      <c r="G3714" s="31"/>
    </row>
    <row r="3715" spans="1:7" x14ac:dyDescent="0.25">
      <c r="A3715" s="36">
        <v>43527</v>
      </c>
      <c r="B3715" s="7">
        <v>40.630000000000003</v>
      </c>
      <c r="C3715" s="7">
        <v>21.68</v>
      </c>
      <c r="D3715" s="7">
        <v>3.42</v>
      </c>
      <c r="E3715" s="7">
        <v>1.38</v>
      </c>
      <c r="G3715" s="31"/>
    </row>
    <row r="3716" spans="1:7" x14ac:dyDescent="0.25">
      <c r="A3716" s="36">
        <v>43528</v>
      </c>
      <c r="B3716" s="7">
        <v>40.56</v>
      </c>
      <c r="C3716" s="7">
        <v>21.66</v>
      </c>
      <c r="D3716" s="7">
        <v>3.42</v>
      </c>
      <c r="E3716" s="7">
        <v>1.3699999999999999</v>
      </c>
      <c r="G3716" s="31"/>
    </row>
    <row r="3717" spans="1:7" x14ac:dyDescent="0.25">
      <c r="A3717" s="36">
        <v>43529</v>
      </c>
      <c r="B3717" s="7">
        <v>40.53</v>
      </c>
      <c r="C3717" s="7">
        <v>21.64</v>
      </c>
      <c r="D3717" s="7">
        <v>3.3</v>
      </c>
      <c r="E3717" s="6">
        <v>1.4</v>
      </c>
      <c r="G3717" s="31"/>
    </row>
    <row r="3718" spans="1:7" x14ac:dyDescent="0.25">
      <c r="A3718" s="36">
        <v>43530</v>
      </c>
      <c r="B3718" s="6">
        <v>40.49</v>
      </c>
      <c r="C3718" s="7">
        <v>21.62</v>
      </c>
      <c r="D3718" s="7">
        <v>3.2</v>
      </c>
      <c r="E3718" s="6">
        <v>1.43</v>
      </c>
      <c r="G3718" s="31"/>
    </row>
    <row r="3719" spans="1:7" x14ac:dyDescent="0.25">
      <c r="A3719" s="36">
        <v>43531</v>
      </c>
      <c r="B3719" s="6">
        <v>40.46</v>
      </c>
      <c r="C3719" s="7">
        <v>21.56</v>
      </c>
      <c r="D3719" s="7">
        <v>3.12</v>
      </c>
      <c r="E3719" s="6">
        <v>1.45</v>
      </c>
      <c r="G3719" s="31"/>
    </row>
    <row r="3720" spans="1:7" x14ac:dyDescent="0.25">
      <c r="A3720" s="36">
        <v>43532</v>
      </c>
      <c r="B3720" s="6">
        <v>40.46</v>
      </c>
      <c r="C3720" s="7">
        <v>21.5</v>
      </c>
      <c r="D3720" s="7">
        <v>3.1</v>
      </c>
      <c r="E3720" s="6">
        <v>1.1100000000000001</v>
      </c>
      <c r="G3720" s="31"/>
    </row>
    <row r="3721" spans="1:7" x14ac:dyDescent="0.25">
      <c r="A3721" s="36">
        <v>43533</v>
      </c>
      <c r="B3721" s="6">
        <v>40.46</v>
      </c>
      <c r="C3721" s="7">
        <v>21.54</v>
      </c>
      <c r="D3721" s="7">
        <v>3.1</v>
      </c>
      <c r="E3721" s="6">
        <v>1.41</v>
      </c>
      <c r="G3721" s="31"/>
    </row>
    <row r="3722" spans="1:7" x14ac:dyDescent="0.25">
      <c r="A3722" s="36">
        <v>43534</v>
      </c>
      <c r="B3722" s="6">
        <v>40.46</v>
      </c>
      <c r="C3722" s="7">
        <v>21.56</v>
      </c>
      <c r="D3722" s="7">
        <v>3.06</v>
      </c>
      <c r="E3722" s="6">
        <v>1.29</v>
      </c>
      <c r="G3722" s="31"/>
    </row>
    <row r="3723" spans="1:7" x14ac:dyDescent="0.25">
      <c r="A3723" s="36">
        <v>43535</v>
      </c>
      <c r="B3723" s="6">
        <v>40.46</v>
      </c>
      <c r="C3723" s="7">
        <v>21.58</v>
      </c>
      <c r="D3723" s="7">
        <v>3.06</v>
      </c>
      <c r="E3723" s="6">
        <v>1.27</v>
      </c>
      <c r="G3723" s="31"/>
    </row>
    <row r="3724" spans="1:7" x14ac:dyDescent="0.25">
      <c r="A3724" s="36">
        <v>43536</v>
      </c>
      <c r="B3724" s="6">
        <v>40.46</v>
      </c>
      <c r="C3724" s="7">
        <v>21.58</v>
      </c>
      <c r="D3724" s="6">
        <v>3.06</v>
      </c>
      <c r="E3724" s="6">
        <v>1.31</v>
      </c>
      <c r="G3724" s="31"/>
    </row>
    <row r="3725" spans="1:7" x14ac:dyDescent="0.25">
      <c r="A3725" s="36">
        <v>43537</v>
      </c>
      <c r="B3725" s="6">
        <v>40.46</v>
      </c>
      <c r="C3725" s="6">
        <v>21.54</v>
      </c>
      <c r="D3725" s="6">
        <v>3</v>
      </c>
      <c r="E3725" s="6">
        <v>1.35</v>
      </c>
      <c r="G3725" s="31"/>
    </row>
    <row r="3726" spans="1:7" x14ac:dyDescent="0.25">
      <c r="A3726" s="36">
        <v>43538</v>
      </c>
      <c r="B3726" s="6">
        <v>40.46</v>
      </c>
      <c r="C3726" s="6">
        <v>21.56</v>
      </c>
      <c r="D3726" s="6">
        <v>2.96</v>
      </c>
      <c r="E3726" s="6">
        <v>1.27</v>
      </c>
      <c r="G3726" s="31"/>
    </row>
    <row r="3727" spans="1:7" x14ac:dyDescent="0.25">
      <c r="A3727" s="36">
        <v>43539</v>
      </c>
      <c r="B3727" s="6">
        <v>40.46</v>
      </c>
      <c r="C3727" s="6">
        <v>21.56</v>
      </c>
      <c r="D3727" s="6">
        <v>2.92</v>
      </c>
      <c r="E3727" s="6">
        <v>1.31</v>
      </c>
      <c r="G3727" s="31"/>
    </row>
    <row r="3728" spans="1:7" x14ac:dyDescent="0.25">
      <c r="A3728" s="36">
        <v>43540</v>
      </c>
      <c r="B3728" s="6">
        <v>40.46</v>
      </c>
      <c r="C3728" s="6">
        <v>21.55</v>
      </c>
      <c r="D3728" s="6">
        <v>2.9</v>
      </c>
      <c r="E3728" s="6">
        <v>1.3</v>
      </c>
      <c r="G3728" s="31"/>
    </row>
    <row r="3729" spans="1:7" x14ac:dyDescent="0.25">
      <c r="A3729" s="36">
        <v>43541</v>
      </c>
      <c r="B3729" s="6">
        <v>40.46</v>
      </c>
      <c r="C3729" s="6">
        <v>21.56</v>
      </c>
      <c r="D3729" s="6">
        <v>2.9</v>
      </c>
      <c r="E3729" s="6">
        <v>1.27</v>
      </c>
      <c r="G3729" s="31"/>
    </row>
    <row r="3730" spans="1:7" x14ac:dyDescent="0.25">
      <c r="A3730" s="36">
        <v>43542</v>
      </c>
      <c r="B3730" s="6">
        <v>40.46</v>
      </c>
      <c r="C3730" s="6">
        <v>21.56</v>
      </c>
      <c r="D3730" s="6">
        <v>2.88</v>
      </c>
      <c r="E3730" s="6">
        <v>1.32</v>
      </c>
      <c r="G3730" s="31"/>
    </row>
    <row r="3731" spans="1:7" x14ac:dyDescent="0.25">
      <c r="A3731" s="36">
        <v>43543</v>
      </c>
      <c r="B3731" s="6">
        <v>40.479999999999997</v>
      </c>
      <c r="C3731" s="6">
        <v>21.59</v>
      </c>
      <c r="D3731" s="6">
        <v>2.88</v>
      </c>
      <c r="E3731" s="6">
        <v>1.38</v>
      </c>
      <c r="G3731" s="31"/>
    </row>
    <row r="3732" spans="1:7" x14ac:dyDescent="0.25">
      <c r="A3732" s="36">
        <v>43544</v>
      </c>
      <c r="B3732" s="6">
        <v>40.49</v>
      </c>
      <c r="C3732" s="6">
        <v>21.62</v>
      </c>
      <c r="D3732" s="6">
        <v>2.88</v>
      </c>
      <c r="E3732" s="6">
        <v>1.46</v>
      </c>
      <c r="G3732" s="31"/>
    </row>
    <row r="3733" spans="1:7" x14ac:dyDescent="0.25">
      <c r="A3733" s="36">
        <v>43545</v>
      </c>
      <c r="B3733" s="6">
        <v>40.53</v>
      </c>
      <c r="C3733" s="6">
        <v>21.68</v>
      </c>
      <c r="D3733" s="6">
        <v>2.88</v>
      </c>
      <c r="E3733" s="6">
        <v>1.48</v>
      </c>
      <c r="G3733" s="31"/>
    </row>
    <row r="3734" spans="1:7" x14ac:dyDescent="0.25">
      <c r="A3734" s="36">
        <v>43546</v>
      </c>
      <c r="B3734" s="6">
        <v>40.61</v>
      </c>
      <c r="C3734" s="6">
        <v>21.72</v>
      </c>
      <c r="D3734" s="6">
        <v>2.88</v>
      </c>
      <c r="E3734" s="6">
        <v>1.51</v>
      </c>
      <c r="G3734" s="31"/>
    </row>
    <row r="3735" spans="1:7" x14ac:dyDescent="0.25">
      <c r="A3735" s="36">
        <v>43547</v>
      </c>
      <c r="B3735" s="6">
        <v>40.630000000000003</v>
      </c>
      <c r="C3735" s="6">
        <v>21.78</v>
      </c>
      <c r="D3735" s="6">
        <v>2.88</v>
      </c>
      <c r="E3735" s="6">
        <v>1.54</v>
      </c>
      <c r="G3735" s="31"/>
    </row>
    <row r="3736" spans="1:7" x14ac:dyDescent="0.25">
      <c r="A3736" s="36">
        <v>43548</v>
      </c>
      <c r="B3736" s="6">
        <v>40.65</v>
      </c>
      <c r="C3736" s="6">
        <v>21.83</v>
      </c>
      <c r="D3736" s="6">
        <v>2.88</v>
      </c>
      <c r="E3736" s="6">
        <v>1.53</v>
      </c>
      <c r="G3736" s="31"/>
    </row>
    <row r="3737" spans="1:7" x14ac:dyDescent="0.25">
      <c r="A3737" s="36">
        <v>43549</v>
      </c>
      <c r="B3737" s="6">
        <v>40.72</v>
      </c>
      <c r="C3737" s="6">
        <v>21.88</v>
      </c>
      <c r="D3737" s="6">
        <v>2.86</v>
      </c>
      <c r="E3737" s="6">
        <v>1.51</v>
      </c>
      <c r="G3737" s="31"/>
    </row>
    <row r="3738" spans="1:7" x14ac:dyDescent="0.25">
      <c r="A3738" s="36">
        <v>43550</v>
      </c>
      <c r="B3738" s="6">
        <v>40.869999999999997</v>
      </c>
      <c r="C3738" s="6">
        <v>21.94</v>
      </c>
      <c r="D3738" s="6">
        <v>2.86</v>
      </c>
      <c r="E3738" s="6">
        <v>1.43</v>
      </c>
      <c r="G3738" s="31"/>
    </row>
    <row r="3739" spans="1:7" x14ac:dyDescent="0.25">
      <c r="A3739" s="36">
        <v>43551</v>
      </c>
      <c r="B3739" s="6">
        <v>40.83</v>
      </c>
      <c r="C3739" s="6">
        <v>22.01</v>
      </c>
      <c r="D3739" s="6">
        <v>2.82</v>
      </c>
      <c r="E3739" s="6">
        <v>1.2</v>
      </c>
      <c r="G3739" s="31"/>
    </row>
    <row r="3740" spans="1:7" x14ac:dyDescent="0.25">
      <c r="A3740" s="36">
        <v>43552</v>
      </c>
      <c r="B3740" s="6">
        <v>40.93</v>
      </c>
      <c r="C3740" s="6">
        <v>22.06</v>
      </c>
      <c r="D3740" s="6">
        <v>2.82</v>
      </c>
      <c r="E3740" s="6">
        <v>1.23</v>
      </c>
      <c r="G3740" s="31"/>
    </row>
    <row r="3741" spans="1:7" x14ac:dyDescent="0.25">
      <c r="A3741" s="36">
        <v>43553</v>
      </c>
      <c r="B3741" s="6">
        <v>40.97</v>
      </c>
      <c r="C3741" s="6">
        <v>22.12</v>
      </c>
      <c r="D3741" s="11">
        <v>2.86</v>
      </c>
      <c r="E3741" s="6">
        <v>1.49</v>
      </c>
      <c r="G3741" s="31"/>
    </row>
    <row r="3742" spans="1:7" x14ac:dyDescent="0.25">
      <c r="A3742" s="36">
        <v>43554</v>
      </c>
      <c r="B3742" s="6">
        <v>41.03</v>
      </c>
      <c r="C3742" s="6">
        <v>22.18</v>
      </c>
      <c r="D3742" s="6">
        <v>2.84</v>
      </c>
      <c r="E3742" s="6">
        <v>1.24</v>
      </c>
      <c r="G3742" s="31"/>
    </row>
    <row r="3743" spans="1:7" x14ac:dyDescent="0.25">
      <c r="A3743" s="36">
        <v>43555</v>
      </c>
      <c r="B3743" s="6">
        <v>41.09</v>
      </c>
      <c r="C3743" s="6">
        <v>22.2</v>
      </c>
      <c r="D3743" s="6">
        <v>2.82</v>
      </c>
      <c r="E3743" s="6">
        <v>1.37</v>
      </c>
      <c r="G3743" s="31"/>
    </row>
    <row r="3744" spans="1:7" x14ac:dyDescent="0.25">
      <c r="A3744" s="36">
        <v>43556</v>
      </c>
      <c r="B3744" s="6">
        <v>41.14</v>
      </c>
      <c r="C3744" s="6">
        <v>22.24</v>
      </c>
      <c r="D3744" s="6">
        <v>2.82</v>
      </c>
      <c r="E3744" s="6">
        <v>1.1000000000000001</v>
      </c>
      <c r="G3744" s="31"/>
    </row>
    <row r="3745" spans="1:7" x14ac:dyDescent="0.25">
      <c r="A3745" s="36">
        <v>43557</v>
      </c>
      <c r="B3745" s="6">
        <v>41.15</v>
      </c>
      <c r="C3745" s="6">
        <v>22.28</v>
      </c>
      <c r="D3745" s="11">
        <v>2.82</v>
      </c>
      <c r="E3745" s="6">
        <v>1.06</v>
      </c>
      <c r="G3745" s="31"/>
    </row>
    <row r="3746" spans="1:7" x14ac:dyDescent="0.25">
      <c r="A3746" s="36">
        <v>43558</v>
      </c>
      <c r="B3746" s="6">
        <v>41.22</v>
      </c>
      <c r="C3746" s="6">
        <v>22.3</v>
      </c>
      <c r="D3746" s="11">
        <v>2.78</v>
      </c>
      <c r="E3746" s="6">
        <v>1.1100000000000001</v>
      </c>
      <c r="G3746" s="31"/>
    </row>
    <row r="3747" spans="1:7" x14ac:dyDescent="0.25">
      <c r="A3747" s="36">
        <v>43559</v>
      </c>
      <c r="B3747" s="6">
        <v>41.25</v>
      </c>
      <c r="C3747" s="6">
        <v>22.33</v>
      </c>
      <c r="D3747" s="11">
        <v>2.8</v>
      </c>
      <c r="E3747" s="6">
        <v>1.24</v>
      </c>
      <c r="G3747" s="31"/>
    </row>
    <row r="3748" spans="1:7" x14ac:dyDescent="0.25">
      <c r="A3748" s="36">
        <v>43560</v>
      </c>
      <c r="B3748" s="6">
        <v>41.26</v>
      </c>
      <c r="C3748" s="6">
        <v>22.34</v>
      </c>
      <c r="D3748" s="11">
        <v>2.8</v>
      </c>
      <c r="E3748" s="6">
        <v>1.3699999999999999</v>
      </c>
      <c r="G3748" s="31"/>
    </row>
    <row r="3749" spans="1:7" x14ac:dyDescent="0.25">
      <c r="A3749" s="36">
        <v>43561</v>
      </c>
      <c r="B3749" s="6">
        <v>41.26</v>
      </c>
      <c r="C3749" s="6">
        <v>22.35</v>
      </c>
      <c r="D3749" s="11">
        <v>2.84</v>
      </c>
      <c r="E3749" s="6">
        <v>1.52</v>
      </c>
      <c r="G3749" s="31"/>
    </row>
    <row r="3750" spans="1:7" x14ac:dyDescent="0.25">
      <c r="A3750" s="36">
        <v>43562</v>
      </c>
      <c r="B3750" s="6">
        <v>41.26</v>
      </c>
      <c r="C3750" s="6">
        <v>22.36</v>
      </c>
      <c r="D3750" s="11">
        <v>2.86</v>
      </c>
      <c r="E3750" s="6">
        <v>1.5899999999999999</v>
      </c>
      <c r="G3750" s="31"/>
    </row>
    <row r="3751" spans="1:7" x14ac:dyDescent="0.25">
      <c r="A3751" s="36">
        <v>43563</v>
      </c>
      <c r="B3751" s="6">
        <v>41.27</v>
      </c>
      <c r="C3751" s="6">
        <v>22.37</v>
      </c>
      <c r="D3751" s="11">
        <v>2.88</v>
      </c>
      <c r="E3751" s="6">
        <v>1.5</v>
      </c>
      <c r="G3751" s="31"/>
    </row>
    <row r="3752" spans="1:7" x14ac:dyDescent="0.25">
      <c r="A3752" s="36">
        <v>43564</v>
      </c>
      <c r="B3752" s="6">
        <v>41.22</v>
      </c>
      <c r="C3752" s="6">
        <v>22.38</v>
      </c>
      <c r="D3752" s="11">
        <v>2.88</v>
      </c>
      <c r="E3752" s="6">
        <v>1.45</v>
      </c>
      <c r="G3752" s="31"/>
    </row>
    <row r="3753" spans="1:7" x14ac:dyDescent="0.25">
      <c r="A3753" s="36">
        <v>43565</v>
      </c>
      <c r="B3753" s="6">
        <v>41.16</v>
      </c>
      <c r="C3753" s="6">
        <v>22.4</v>
      </c>
      <c r="D3753" s="11">
        <v>2.88</v>
      </c>
      <c r="E3753" s="6">
        <v>1.39</v>
      </c>
      <c r="G3753" s="31"/>
    </row>
    <row r="3754" spans="1:7" x14ac:dyDescent="0.25">
      <c r="A3754" s="36">
        <v>43566</v>
      </c>
      <c r="B3754" s="6">
        <v>41.13</v>
      </c>
      <c r="C3754" s="6">
        <v>22.43</v>
      </c>
      <c r="D3754" s="11">
        <v>2.88</v>
      </c>
      <c r="E3754" s="6">
        <v>1.5899999999999999</v>
      </c>
      <c r="G3754" s="31"/>
    </row>
    <row r="3755" spans="1:7" x14ac:dyDescent="0.25">
      <c r="A3755" s="36">
        <v>43567</v>
      </c>
      <c r="B3755" s="6">
        <v>41.08</v>
      </c>
      <c r="C3755" s="6">
        <v>22.45</v>
      </c>
      <c r="D3755" s="11">
        <v>2.9</v>
      </c>
      <c r="E3755" s="6">
        <v>1.5699999999999998</v>
      </c>
      <c r="G3755" s="31"/>
    </row>
    <row r="3756" spans="1:7" x14ac:dyDescent="0.25">
      <c r="A3756" s="36">
        <v>43568</v>
      </c>
      <c r="B3756" s="6">
        <v>41.05</v>
      </c>
      <c r="C3756" s="6">
        <v>22.44</v>
      </c>
      <c r="D3756" s="11">
        <v>2.9</v>
      </c>
      <c r="E3756" s="6">
        <v>1.49</v>
      </c>
      <c r="G3756" s="31"/>
    </row>
    <row r="3757" spans="1:7" x14ac:dyDescent="0.25">
      <c r="A3757" s="36">
        <v>43569</v>
      </c>
      <c r="B3757" s="6">
        <v>41.03</v>
      </c>
      <c r="C3757" s="6">
        <v>22.43</v>
      </c>
      <c r="D3757" s="11">
        <v>3.14</v>
      </c>
      <c r="E3757" s="6">
        <v>1.5</v>
      </c>
      <c r="G3757" s="31"/>
    </row>
    <row r="3758" spans="1:7" x14ac:dyDescent="0.25">
      <c r="A3758" s="36">
        <v>43570</v>
      </c>
      <c r="B3758" s="6">
        <v>41.05</v>
      </c>
      <c r="C3758" s="6">
        <v>22.42</v>
      </c>
      <c r="D3758" s="11">
        <v>3.34</v>
      </c>
      <c r="E3758" s="6">
        <v>1.48</v>
      </c>
      <c r="G3758" s="31"/>
    </row>
    <row r="3759" spans="1:7" x14ac:dyDescent="0.25">
      <c r="A3759" s="36">
        <v>43571</v>
      </c>
      <c r="B3759" s="6">
        <v>41.08</v>
      </c>
      <c r="C3759" s="6">
        <v>22.38</v>
      </c>
      <c r="D3759" s="11">
        <v>3.5</v>
      </c>
      <c r="E3759" s="6">
        <v>1.51</v>
      </c>
      <c r="G3759" s="31"/>
    </row>
    <row r="3760" spans="1:7" x14ac:dyDescent="0.25">
      <c r="A3760" s="36">
        <v>43572</v>
      </c>
      <c r="B3760" s="6">
        <v>41.14</v>
      </c>
      <c r="C3760" s="6">
        <v>22.34</v>
      </c>
      <c r="D3760" s="11">
        <v>3.52</v>
      </c>
      <c r="E3760" s="6">
        <v>1.5</v>
      </c>
      <c r="G3760" s="31"/>
    </row>
    <row r="3761" spans="1:7" x14ac:dyDescent="0.25">
      <c r="A3761" s="36">
        <v>43573</v>
      </c>
      <c r="B3761" s="6">
        <v>41.19</v>
      </c>
      <c r="C3761" s="6">
        <v>22.31</v>
      </c>
      <c r="D3761" s="11">
        <v>3.52</v>
      </c>
      <c r="E3761" s="6">
        <v>1.55</v>
      </c>
      <c r="G3761" s="31"/>
    </row>
    <row r="3762" spans="1:7" x14ac:dyDescent="0.25">
      <c r="A3762" s="36">
        <v>43574</v>
      </c>
      <c r="B3762" s="6">
        <v>41.3</v>
      </c>
      <c r="C3762" s="6">
        <v>22.28</v>
      </c>
      <c r="D3762" s="11">
        <v>3.6</v>
      </c>
      <c r="E3762" s="6">
        <v>1.49</v>
      </c>
      <c r="G3762" s="31"/>
    </row>
    <row r="3763" spans="1:7" x14ac:dyDescent="0.25">
      <c r="A3763" s="36">
        <v>43575</v>
      </c>
      <c r="B3763" s="6">
        <v>41.4</v>
      </c>
      <c r="C3763" s="6">
        <v>22.32</v>
      </c>
      <c r="D3763" s="11">
        <v>3.7</v>
      </c>
      <c r="E3763" s="6">
        <v>1.54</v>
      </c>
      <c r="G3763" s="31"/>
    </row>
    <row r="3764" spans="1:7" x14ac:dyDescent="0.25">
      <c r="A3764" s="36">
        <v>43576</v>
      </c>
      <c r="B3764" s="6">
        <v>41.53</v>
      </c>
      <c r="C3764" s="6">
        <v>22.37</v>
      </c>
      <c r="D3764" s="11">
        <v>3.76</v>
      </c>
      <c r="E3764" s="6">
        <v>1.5599999999999998</v>
      </c>
      <c r="G3764" s="31"/>
    </row>
    <row r="3765" spans="1:7" x14ac:dyDescent="0.25">
      <c r="A3765" s="36">
        <v>43577</v>
      </c>
      <c r="B3765" s="6">
        <v>41.69</v>
      </c>
      <c r="C3765" s="6">
        <v>22.42</v>
      </c>
      <c r="D3765" s="11">
        <v>3.76</v>
      </c>
      <c r="E3765" s="6">
        <v>1.51</v>
      </c>
      <c r="G3765" s="31"/>
    </row>
    <row r="3766" spans="1:7" x14ac:dyDescent="0.25">
      <c r="A3766" s="36">
        <v>43578</v>
      </c>
      <c r="B3766" s="6">
        <v>41.88</v>
      </c>
      <c r="C3766" s="6">
        <v>22.55</v>
      </c>
      <c r="D3766" s="11">
        <v>3.76</v>
      </c>
      <c r="E3766" s="6">
        <v>1.51</v>
      </c>
      <c r="G3766" s="31"/>
    </row>
    <row r="3767" spans="1:7" x14ac:dyDescent="0.25">
      <c r="A3767" s="36">
        <v>43579</v>
      </c>
      <c r="B3767" s="6">
        <v>42.01</v>
      </c>
      <c r="C3767" s="6">
        <v>22.88</v>
      </c>
      <c r="D3767" s="11">
        <v>3.76</v>
      </c>
      <c r="E3767" s="6">
        <v>1.41</v>
      </c>
      <c r="G3767" s="31"/>
    </row>
    <row r="3768" spans="1:7" x14ac:dyDescent="0.25">
      <c r="A3768" s="36">
        <v>43580</v>
      </c>
      <c r="B3768" s="6">
        <v>42.15</v>
      </c>
      <c r="C3768" s="6">
        <v>22.95</v>
      </c>
      <c r="D3768" s="11">
        <v>3.7</v>
      </c>
      <c r="E3768" s="6">
        <v>1.53</v>
      </c>
      <c r="G3768" s="31"/>
    </row>
    <row r="3769" spans="1:7" x14ac:dyDescent="0.25">
      <c r="A3769" s="36">
        <v>43581</v>
      </c>
      <c r="B3769" s="6">
        <v>42.25</v>
      </c>
      <c r="C3769" s="6">
        <v>23.42</v>
      </c>
      <c r="D3769" s="11">
        <v>3.76</v>
      </c>
      <c r="E3769" s="6">
        <v>1.53</v>
      </c>
      <c r="G3769" s="31"/>
    </row>
    <row r="3770" spans="1:7" x14ac:dyDescent="0.25">
      <c r="A3770" s="36">
        <v>43582</v>
      </c>
      <c r="B3770" s="6">
        <v>42.33</v>
      </c>
      <c r="C3770" s="6">
        <v>23.68</v>
      </c>
      <c r="D3770" s="11">
        <v>3.76</v>
      </c>
      <c r="E3770" s="6">
        <v>1.53</v>
      </c>
      <c r="G3770" s="31"/>
    </row>
    <row r="3771" spans="1:7" x14ac:dyDescent="0.25">
      <c r="A3771" s="36">
        <v>43583</v>
      </c>
      <c r="B3771" s="6">
        <v>42.46</v>
      </c>
      <c r="C3771" s="6">
        <v>23.92</v>
      </c>
      <c r="D3771" s="11">
        <v>3.98</v>
      </c>
      <c r="E3771" s="6">
        <v>1.64</v>
      </c>
      <c r="G3771" s="31"/>
    </row>
    <row r="3772" spans="1:7" x14ac:dyDescent="0.25">
      <c r="A3772" s="36">
        <v>43584</v>
      </c>
      <c r="B3772" s="6">
        <v>42.66</v>
      </c>
      <c r="C3772" s="6">
        <v>24.16</v>
      </c>
      <c r="D3772" s="11">
        <v>4.1399999999999997</v>
      </c>
      <c r="E3772" s="6">
        <v>1.79</v>
      </c>
      <c r="G3772" s="31"/>
    </row>
    <row r="3773" spans="1:7" x14ac:dyDescent="0.25">
      <c r="A3773" s="36">
        <v>43585</v>
      </c>
      <c r="B3773" s="6">
        <v>42.71</v>
      </c>
      <c r="C3773" s="6">
        <v>24.32</v>
      </c>
      <c r="D3773" s="11">
        <v>4.4000000000000004</v>
      </c>
      <c r="E3773" s="6">
        <v>1.8499999999999999</v>
      </c>
      <c r="G3773" s="31"/>
    </row>
    <row r="3774" spans="1:7" x14ac:dyDescent="0.25">
      <c r="A3774" s="36">
        <v>43586</v>
      </c>
      <c r="B3774" s="6">
        <v>42.85</v>
      </c>
      <c r="C3774" s="6">
        <v>24.44</v>
      </c>
      <c r="D3774" s="11">
        <v>4.5999999999999996</v>
      </c>
      <c r="E3774" s="6">
        <v>1.89</v>
      </c>
      <c r="G3774" s="31"/>
    </row>
    <row r="3775" spans="1:7" x14ac:dyDescent="0.25">
      <c r="A3775" s="36">
        <v>43587</v>
      </c>
      <c r="B3775" s="6">
        <v>43.01</v>
      </c>
      <c r="C3775" s="6">
        <v>24.55</v>
      </c>
      <c r="D3775" s="11">
        <v>4.84</v>
      </c>
      <c r="E3775" s="6">
        <v>2.19</v>
      </c>
      <c r="G3775" s="31"/>
    </row>
    <row r="3776" spans="1:7" x14ac:dyDescent="0.25">
      <c r="A3776" s="36">
        <v>43588</v>
      </c>
      <c r="B3776" s="6">
        <v>43.13</v>
      </c>
      <c r="C3776" s="6">
        <v>24.68</v>
      </c>
      <c r="D3776" s="11">
        <v>5.04</v>
      </c>
      <c r="E3776" s="6">
        <v>2.33</v>
      </c>
      <c r="G3776" s="31"/>
    </row>
    <row r="3777" spans="1:7" x14ac:dyDescent="0.25">
      <c r="A3777" s="36">
        <v>43589</v>
      </c>
      <c r="B3777" s="6">
        <v>43.24</v>
      </c>
      <c r="C3777" s="6">
        <v>24.8</v>
      </c>
      <c r="D3777" s="11">
        <v>5.18</v>
      </c>
      <c r="E3777" s="6">
        <v>2.2800000000000002</v>
      </c>
      <c r="G3777" s="31"/>
    </row>
    <row r="3778" spans="1:7" x14ac:dyDescent="0.25">
      <c r="A3778" s="36">
        <v>43590</v>
      </c>
      <c r="B3778" s="6">
        <v>43.3</v>
      </c>
      <c r="C3778" s="6">
        <v>24.9</v>
      </c>
      <c r="D3778" s="11">
        <v>5.3</v>
      </c>
      <c r="E3778" s="6">
        <v>2.4900000000000002</v>
      </c>
      <c r="G3778" s="31"/>
    </row>
    <row r="3779" spans="1:7" x14ac:dyDescent="0.25">
      <c r="A3779" s="36">
        <v>43591</v>
      </c>
      <c r="B3779" s="6">
        <v>43.24</v>
      </c>
      <c r="C3779" s="6">
        <v>25.04</v>
      </c>
      <c r="D3779" s="11">
        <v>5.44</v>
      </c>
      <c r="E3779" s="6">
        <v>2.5300000000000002</v>
      </c>
      <c r="G3779" s="31"/>
    </row>
    <row r="3780" spans="1:7" x14ac:dyDescent="0.25">
      <c r="A3780" s="36">
        <v>43592</v>
      </c>
      <c r="B3780" s="6">
        <v>43.48</v>
      </c>
      <c r="C3780" s="6">
        <v>25.1</v>
      </c>
      <c r="D3780" s="11">
        <v>5.56</v>
      </c>
      <c r="E3780" s="6">
        <v>2.54</v>
      </c>
      <c r="G3780" s="31"/>
    </row>
    <row r="3781" spans="1:7" x14ac:dyDescent="0.25">
      <c r="A3781" s="36">
        <v>43593</v>
      </c>
      <c r="B3781" s="6">
        <v>43.59</v>
      </c>
      <c r="C3781" s="6">
        <v>25.16</v>
      </c>
      <c r="D3781" s="11">
        <v>5.7</v>
      </c>
      <c r="E3781" s="6">
        <v>2.71</v>
      </c>
      <c r="G3781" s="31"/>
    </row>
    <row r="3782" spans="1:7" x14ac:dyDescent="0.25">
      <c r="A3782" s="36">
        <v>43594</v>
      </c>
      <c r="B3782" s="6">
        <v>43.69</v>
      </c>
      <c r="C3782" s="6">
        <v>25.22</v>
      </c>
      <c r="D3782" s="11">
        <v>5.8</v>
      </c>
      <c r="E3782" s="6">
        <v>2.73</v>
      </c>
      <c r="G3782" s="31"/>
    </row>
    <row r="3783" spans="1:7" x14ac:dyDescent="0.25">
      <c r="A3783" s="36">
        <v>43595</v>
      </c>
      <c r="B3783" s="6">
        <v>43.79</v>
      </c>
      <c r="C3783" s="6">
        <v>25.23</v>
      </c>
      <c r="D3783" s="11">
        <v>5.88</v>
      </c>
      <c r="E3783" s="6">
        <v>2.68</v>
      </c>
      <c r="G3783" s="31"/>
    </row>
    <row r="3784" spans="1:7" x14ac:dyDescent="0.25">
      <c r="A3784" s="36">
        <v>43596</v>
      </c>
      <c r="B3784" s="6">
        <v>43.9</v>
      </c>
      <c r="C3784" s="6">
        <v>25.28</v>
      </c>
      <c r="D3784" s="11">
        <v>5.98</v>
      </c>
      <c r="E3784" s="6">
        <v>2.83</v>
      </c>
      <c r="G3784" s="31"/>
    </row>
    <row r="3785" spans="1:7" x14ac:dyDescent="0.25">
      <c r="A3785" s="36">
        <v>43597</v>
      </c>
      <c r="B3785" s="6">
        <v>44.08</v>
      </c>
      <c r="C3785" s="6">
        <v>25.33</v>
      </c>
      <c r="D3785" s="11">
        <v>6.12</v>
      </c>
      <c r="E3785" s="6">
        <v>2.93</v>
      </c>
      <c r="G3785" s="31"/>
    </row>
    <row r="3786" spans="1:7" x14ac:dyDescent="0.25">
      <c r="A3786" s="36">
        <v>43598</v>
      </c>
      <c r="B3786" s="6">
        <v>44.34</v>
      </c>
      <c r="C3786" s="6">
        <v>25.37</v>
      </c>
      <c r="D3786" s="11">
        <v>6.22</v>
      </c>
      <c r="E3786" s="6">
        <v>2.98</v>
      </c>
      <c r="G3786" s="31"/>
    </row>
    <row r="3787" spans="1:7" x14ac:dyDescent="0.25">
      <c r="A3787" s="36">
        <v>43599</v>
      </c>
      <c r="B3787" s="6">
        <v>44.59</v>
      </c>
      <c r="C3787" s="6">
        <v>25.48</v>
      </c>
      <c r="D3787" s="11">
        <v>6.4</v>
      </c>
      <c r="E3787" s="6">
        <v>3.0900000000000003</v>
      </c>
      <c r="G3787" s="31"/>
    </row>
    <row r="3788" spans="1:7" x14ac:dyDescent="0.25">
      <c r="A3788" s="36">
        <v>43600</v>
      </c>
      <c r="B3788" s="6">
        <v>44.85</v>
      </c>
      <c r="C3788" s="6">
        <v>25.68</v>
      </c>
      <c r="D3788" s="11">
        <v>6.5</v>
      </c>
      <c r="E3788" s="6">
        <v>3.19</v>
      </c>
      <c r="G3788" s="31"/>
    </row>
    <row r="3789" spans="1:7" x14ac:dyDescent="0.25">
      <c r="A3789" s="36">
        <v>43601</v>
      </c>
      <c r="B3789" s="6">
        <v>45.05</v>
      </c>
      <c r="C3789" s="6">
        <v>25.98</v>
      </c>
      <c r="D3789" s="11">
        <v>6.66</v>
      </c>
      <c r="E3789" s="6">
        <v>3.22</v>
      </c>
      <c r="G3789" s="31"/>
    </row>
    <row r="3790" spans="1:7" x14ac:dyDescent="0.25">
      <c r="A3790" s="36">
        <v>43602</v>
      </c>
      <c r="B3790" s="6">
        <v>45.38</v>
      </c>
      <c r="C3790" s="6">
        <v>26.3</v>
      </c>
      <c r="D3790" s="11">
        <v>6.84</v>
      </c>
      <c r="E3790" s="6">
        <v>3.3200000000000003</v>
      </c>
      <c r="G3790" s="31"/>
    </row>
    <row r="3791" spans="1:7" x14ac:dyDescent="0.25">
      <c r="A3791" s="36">
        <v>43603</v>
      </c>
      <c r="B3791" s="6">
        <v>45.52</v>
      </c>
      <c r="C3791" s="6">
        <v>26.5</v>
      </c>
      <c r="D3791" s="11">
        <v>7</v>
      </c>
      <c r="E3791" s="6">
        <v>3.4000000000000004</v>
      </c>
      <c r="G3791" s="31"/>
    </row>
    <row r="3792" spans="1:7" x14ac:dyDescent="0.25">
      <c r="A3792" s="36">
        <v>43604</v>
      </c>
      <c r="B3792" s="6">
        <v>45.52</v>
      </c>
      <c r="C3792" s="6">
        <v>26.7</v>
      </c>
      <c r="D3792" s="11">
        <v>7.22</v>
      </c>
      <c r="E3792" s="6">
        <v>3.6</v>
      </c>
      <c r="G3792" s="31"/>
    </row>
    <row r="3793" spans="1:7" x14ac:dyDescent="0.25">
      <c r="A3793" s="36">
        <v>43605</v>
      </c>
      <c r="B3793" s="6">
        <v>45.72</v>
      </c>
      <c r="C3793" s="6">
        <v>26.9</v>
      </c>
      <c r="D3793" s="11">
        <v>7.44</v>
      </c>
      <c r="E3793" s="6">
        <v>3.74</v>
      </c>
      <c r="G3793" s="31"/>
    </row>
    <row r="3794" spans="1:7" x14ac:dyDescent="0.25">
      <c r="A3794" s="36">
        <v>43606</v>
      </c>
      <c r="B3794" s="6">
        <v>45.91</v>
      </c>
      <c r="C3794" s="6">
        <v>27.06</v>
      </c>
      <c r="D3794" s="11">
        <v>7.66</v>
      </c>
      <c r="E3794" s="6">
        <v>3.89</v>
      </c>
      <c r="G3794" s="31"/>
    </row>
    <row r="3795" spans="1:7" x14ac:dyDescent="0.25">
      <c r="A3795" s="36">
        <v>43607</v>
      </c>
      <c r="B3795" s="6">
        <v>46.12</v>
      </c>
      <c r="C3795" s="6">
        <v>27.23</v>
      </c>
      <c r="D3795" s="11">
        <v>7.88</v>
      </c>
      <c r="E3795" s="6">
        <v>4.0599999999999996</v>
      </c>
      <c r="G3795" s="31"/>
    </row>
    <row r="3796" spans="1:7" x14ac:dyDescent="0.25">
      <c r="A3796" s="36">
        <v>43608</v>
      </c>
      <c r="B3796" s="6">
        <v>46.29</v>
      </c>
      <c r="C3796" s="6">
        <v>27.38</v>
      </c>
      <c r="D3796" s="11">
        <v>8.08</v>
      </c>
      <c r="E3796" s="6">
        <v>4.22</v>
      </c>
      <c r="G3796" s="31"/>
    </row>
    <row r="3797" spans="1:7" x14ac:dyDescent="0.25">
      <c r="A3797" s="36">
        <v>43609</v>
      </c>
      <c r="B3797" s="6">
        <v>46.53</v>
      </c>
      <c r="C3797" s="6">
        <v>27.53</v>
      </c>
      <c r="D3797" s="11">
        <v>8.18</v>
      </c>
      <c r="E3797" s="6">
        <v>4.24</v>
      </c>
      <c r="G3797" s="31"/>
    </row>
    <row r="3798" spans="1:7" x14ac:dyDescent="0.25">
      <c r="A3798" s="36">
        <v>43610</v>
      </c>
      <c r="B3798" s="6">
        <v>46.66</v>
      </c>
      <c r="C3798" s="7">
        <v>27.73</v>
      </c>
      <c r="D3798" s="8">
        <v>8.3000000000000007</v>
      </c>
      <c r="E3798" s="6">
        <v>4.54</v>
      </c>
      <c r="G3798" s="31"/>
    </row>
    <row r="3799" spans="1:7" x14ac:dyDescent="0.25">
      <c r="A3799" s="36">
        <v>43611</v>
      </c>
      <c r="B3799" s="6">
        <v>46.75</v>
      </c>
      <c r="C3799" s="7">
        <v>27.83</v>
      </c>
      <c r="D3799" s="8">
        <v>8.44</v>
      </c>
      <c r="E3799" s="7">
        <v>4.47</v>
      </c>
      <c r="G3799" s="31"/>
    </row>
    <row r="3800" spans="1:7" x14ac:dyDescent="0.25">
      <c r="A3800" s="36">
        <v>43612</v>
      </c>
      <c r="B3800" s="7">
        <v>46.81</v>
      </c>
      <c r="C3800" s="7">
        <v>27.93</v>
      </c>
      <c r="D3800" s="8">
        <v>8.68</v>
      </c>
      <c r="E3800" s="7">
        <v>4.51</v>
      </c>
      <c r="G3800" s="31"/>
    </row>
    <row r="3801" spans="1:7" x14ac:dyDescent="0.25">
      <c r="A3801" s="36">
        <v>43613</v>
      </c>
      <c r="B3801" s="7">
        <v>46.88</v>
      </c>
      <c r="C3801" s="7">
        <v>28.03</v>
      </c>
      <c r="D3801" s="8">
        <v>8.9</v>
      </c>
      <c r="E3801" s="7">
        <v>4.87</v>
      </c>
      <c r="G3801" s="31"/>
    </row>
    <row r="3802" spans="1:7" x14ac:dyDescent="0.25">
      <c r="A3802" s="36">
        <v>43614</v>
      </c>
      <c r="B3802" s="7">
        <v>46.92</v>
      </c>
      <c r="C3802" s="7">
        <v>28.08</v>
      </c>
      <c r="D3802" s="8">
        <v>9.08</v>
      </c>
      <c r="E3802" s="7">
        <v>4.92</v>
      </c>
      <c r="G3802" s="31"/>
    </row>
    <row r="3803" spans="1:7" x14ac:dyDescent="0.25">
      <c r="A3803" s="36">
        <v>43615</v>
      </c>
      <c r="B3803" s="7">
        <v>47.02</v>
      </c>
      <c r="C3803" s="7">
        <v>28.14</v>
      </c>
      <c r="D3803" s="8">
        <v>9.18</v>
      </c>
      <c r="E3803" s="7">
        <v>4.93</v>
      </c>
      <c r="G3803" s="31"/>
    </row>
    <row r="3804" spans="1:7" x14ac:dyDescent="0.25">
      <c r="A3804" s="36">
        <v>43616</v>
      </c>
      <c r="B3804" s="7">
        <v>47.07</v>
      </c>
      <c r="C3804" s="7">
        <v>28.2</v>
      </c>
      <c r="D3804" s="8">
        <v>9.26</v>
      </c>
      <c r="E3804" s="7">
        <v>5.3</v>
      </c>
      <c r="G3804" s="31"/>
    </row>
    <row r="3805" spans="1:7" x14ac:dyDescent="0.25">
      <c r="A3805" s="36">
        <v>43617</v>
      </c>
      <c r="B3805" s="7">
        <v>47.11</v>
      </c>
      <c r="C3805" s="7">
        <v>28.3</v>
      </c>
      <c r="D3805" s="8">
        <v>9.3863674521571117</v>
      </c>
      <c r="E3805" s="7">
        <v>5.3999999999999995</v>
      </c>
      <c r="G3805" s="31"/>
    </row>
    <row r="3806" spans="1:7" x14ac:dyDescent="0.25">
      <c r="A3806" s="36">
        <v>43618</v>
      </c>
      <c r="B3806" s="7">
        <v>47.22</v>
      </c>
      <c r="C3806" s="7">
        <v>28.4</v>
      </c>
      <c r="D3806" s="8">
        <v>9.491375895950231</v>
      </c>
      <c r="E3806" s="7">
        <v>5.54</v>
      </c>
      <c r="G3806" s="31"/>
    </row>
    <row r="3807" spans="1:7" x14ac:dyDescent="0.25">
      <c r="A3807" s="36">
        <v>43619</v>
      </c>
      <c r="B3807" s="7">
        <v>47.22</v>
      </c>
      <c r="C3807" s="7">
        <v>28.5</v>
      </c>
      <c r="D3807" s="8">
        <v>9.4600000000000009</v>
      </c>
      <c r="E3807" s="7">
        <v>5.2399999999999993</v>
      </c>
      <c r="G3807" s="31"/>
    </row>
    <row r="3808" spans="1:7" x14ac:dyDescent="0.25">
      <c r="A3808" s="36">
        <v>43620</v>
      </c>
      <c r="B3808" s="7">
        <v>47.43</v>
      </c>
      <c r="C3808" s="7">
        <v>28.6</v>
      </c>
      <c r="D3808" s="8">
        <v>9.5399999999999991</v>
      </c>
      <c r="E3808" s="7">
        <v>5.34</v>
      </c>
      <c r="G3808" s="31"/>
    </row>
    <row r="3809" spans="1:7" x14ac:dyDescent="0.25">
      <c r="A3809" s="36">
        <v>43621</v>
      </c>
      <c r="B3809" s="7">
        <v>47.52</v>
      </c>
      <c r="C3809" s="7">
        <v>28.7</v>
      </c>
      <c r="D3809" s="8">
        <v>9.68</v>
      </c>
      <c r="E3809" s="7">
        <v>5.39</v>
      </c>
      <c r="G3809" s="31"/>
    </row>
    <row r="3810" spans="1:7" x14ac:dyDescent="0.25">
      <c r="A3810" s="36">
        <v>43622</v>
      </c>
      <c r="B3810" s="7">
        <v>47.63</v>
      </c>
      <c r="C3810" s="7">
        <v>28.8</v>
      </c>
      <c r="D3810" s="8">
        <v>9.8000000000000007</v>
      </c>
      <c r="E3810" s="7">
        <v>5.56</v>
      </c>
      <c r="G3810" s="31"/>
    </row>
    <row r="3811" spans="1:7" x14ac:dyDescent="0.25">
      <c r="A3811" s="36">
        <v>43623</v>
      </c>
      <c r="B3811" s="7">
        <v>47.69</v>
      </c>
      <c r="C3811" s="7">
        <v>28.88</v>
      </c>
      <c r="D3811" s="8">
        <v>9.92</v>
      </c>
      <c r="E3811" s="7">
        <v>5.68</v>
      </c>
      <c r="G3811" s="31"/>
    </row>
    <row r="3812" spans="1:7" x14ac:dyDescent="0.25">
      <c r="A3812" s="36">
        <v>43624</v>
      </c>
      <c r="B3812" s="7">
        <v>47.78</v>
      </c>
      <c r="C3812" s="7">
        <v>28.96</v>
      </c>
      <c r="D3812" s="8">
        <v>10.039999999999999</v>
      </c>
      <c r="E3812" s="7">
        <v>5.64</v>
      </c>
      <c r="G3812" s="31"/>
    </row>
    <row r="3813" spans="1:7" x14ac:dyDescent="0.25">
      <c r="A3813" s="36">
        <v>43625</v>
      </c>
      <c r="B3813" s="7">
        <v>47.87</v>
      </c>
      <c r="C3813" s="7">
        <v>29.06</v>
      </c>
      <c r="D3813" s="8">
        <v>10.16</v>
      </c>
      <c r="E3813" s="7">
        <v>5.83</v>
      </c>
      <c r="G3813" s="31"/>
    </row>
    <row r="3814" spans="1:7" x14ac:dyDescent="0.25">
      <c r="A3814" s="36">
        <v>43626</v>
      </c>
      <c r="B3814" s="7">
        <v>47.96</v>
      </c>
      <c r="C3814" s="7">
        <v>29.14</v>
      </c>
      <c r="D3814" s="8">
        <v>10.26</v>
      </c>
      <c r="E3814" s="7">
        <v>5.8999999999999995</v>
      </c>
      <c r="G3814" s="31"/>
    </row>
    <row r="3815" spans="1:7" x14ac:dyDescent="0.25">
      <c r="A3815" s="36">
        <v>43627</v>
      </c>
      <c r="B3815" s="7">
        <v>48</v>
      </c>
      <c r="C3815" s="7">
        <v>29.24</v>
      </c>
      <c r="D3815" s="8">
        <v>10.38</v>
      </c>
      <c r="E3815" s="7">
        <v>5.9499999999999993</v>
      </c>
      <c r="G3815" s="31"/>
    </row>
    <row r="3816" spans="1:7" x14ac:dyDescent="0.25">
      <c r="A3816" s="36">
        <v>43628</v>
      </c>
      <c r="B3816" s="7">
        <v>48.08</v>
      </c>
      <c r="C3816" s="7">
        <v>29.32</v>
      </c>
      <c r="D3816" s="8">
        <v>10.46</v>
      </c>
      <c r="E3816" s="7">
        <v>6.01</v>
      </c>
      <c r="G3816" s="31"/>
    </row>
    <row r="3817" spans="1:7" x14ac:dyDescent="0.25">
      <c r="A3817" s="36">
        <v>43629</v>
      </c>
      <c r="B3817" s="7">
        <v>48.2</v>
      </c>
      <c r="C3817" s="7">
        <v>29.4</v>
      </c>
      <c r="D3817" s="8">
        <v>10.54</v>
      </c>
      <c r="E3817" s="7">
        <v>6.13</v>
      </c>
      <c r="G3817" s="31"/>
    </row>
    <row r="3818" spans="1:7" x14ac:dyDescent="0.25">
      <c r="A3818" s="36">
        <v>43630</v>
      </c>
      <c r="B3818" s="7">
        <v>48.4</v>
      </c>
      <c r="C3818" s="7">
        <v>29.5</v>
      </c>
      <c r="D3818" s="8">
        <v>10.68</v>
      </c>
      <c r="E3818" s="7">
        <v>6.33</v>
      </c>
      <c r="G3818" s="31"/>
    </row>
    <row r="3819" spans="1:7" x14ac:dyDescent="0.25">
      <c r="A3819" s="36">
        <v>43631</v>
      </c>
      <c r="B3819" s="7">
        <v>48.6</v>
      </c>
      <c r="C3819" s="6">
        <v>29.6</v>
      </c>
      <c r="D3819" s="11">
        <v>10.8</v>
      </c>
      <c r="E3819" s="7">
        <v>6.35</v>
      </c>
      <c r="G3819" s="31"/>
    </row>
    <row r="3820" spans="1:7" x14ac:dyDescent="0.25">
      <c r="A3820" s="36">
        <v>43632</v>
      </c>
      <c r="B3820" s="7">
        <v>48.74</v>
      </c>
      <c r="C3820" s="6">
        <v>29.68</v>
      </c>
      <c r="D3820" s="11">
        <v>10.92</v>
      </c>
      <c r="E3820" s="6">
        <v>6.3599999999999994</v>
      </c>
      <c r="G3820" s="31"/>
    </row>
    <row r="3821" spans="1:7" x14ac:dyDescent="0.25">
      <c r="A3821" s="36">
        <v>43633</v>
      </c>
      <c r="B3821" s="6">
        <v>48.88</v>
      </c>
      <c r="C3821" s="6">
        <v>29.78</v>
      </c>
      <c r="D3821" s="11">
        <v>11</v>
      </c>
      <c r="E3821" s="6">
        <v>6.52</v>
      </c>
      <c r="G3821" s="31"/>
    </row>
    <row r="3822" spans="1:7" x14ac:dyDescent="0.25">
      <c r="A3822" s="36">
        <v>43634</v>
      </c>
      <c r="B3822" s="6">
        <v>49.02</v>
      </c>
      <c r="C3822" s="6">
        <v>29.9</v>
      </c>
      <c r="D3822" s="11">
        <v>11.08</v>
      </c>
      <c r="E3822" s="6">
        <v>6.58</v>
      </c>
      <c r="G3822" s="31"/>
    </row>
    <row r="3823" spans="1:7" x14ac:dyDescent="0.25">
      <c r="A3823" s="36">
        <v>43635</v>
      </c>
      <c r="B3823" s="6">
        <v>49.1</v>
      </c>
      <c r="C3823" s="6">
        <v>30.08</v>
      </c>
      <c r="D3823" s="11">
        <v>11.16</v>
      </c>
      <c r="E3823" s="6">
        <v>6.6999999999999993</v>
      </c>
      <c r="G3823" s="31"/>
    </row>
    <row r="3824" spans="1:7" x14ac:dyDescent="0.25">
      <c r="A3824" s="36">
        <v>43636</v>
      </c>
      <c r="B3824" s="6">
        <v>49.26</v>
      </c>
      <c r="C3824" s="6">
        <v>30.14</v>
      </c>
      <c r="D3824" s="11">
        <v>11.28</v>
      </c>
      <c r="E3824" s="6">
        <v>6.71</v>
      </c>
      <c r="G3824" s="31"/>
    </row>
    <row r="3825" spans="1:7" x14ac:dyDescent="0.25">
      <c r="A3825" s="36">
        <v>43637</v>
      </c>
      <c r="B3825" s="6">
        <v>49.4</v>
      </c>
      <c r="C3825" s="6">
        <v>30.24</v>
      </c>
      <c r="D3825" s="11">
        <v>11.4</v>
      </c>
      <c r="E3825" s="6">
        <v>6.76</v>
      </c>
      <c r="G3825" s="31"/>
    </row>
    <row r="3826" spans="1:7" x14ac:dyDescent="0.25">
      <c r="A3826" s="36">
        <v>43638</v>
      </c>
      <c r="B3826" s="6">
        <v>49.59</v>
      </c>
      <c r="C3826" s="6">
        <v>30.36</v>
      </c>
      <c r="D3826" s="11">
        <v>11.57</v>
      </c>
      <c r="E3826" s="6">
        <v>6.8199999999999994</v>
      </c>
      <c r="G3826" s="31"/>
    </row>
    <row r="3827" spans="1:7" x14ac:dyDescent="0.25">
      <c r="A3827" s="36">
        <v>43639</v>
      </c>
      <c r="B3827" s="6">
        <v>49.65</v>
      </c>
      <c r="C3827" s="6">
        <v>30.49</v>
      </c>
      <c r="D3827" s="11">
        <v>11.7</v>
      </c>
      <c r="E3827" s="6">
        <v>6.92</v>
      </c>
      <c r="G3827" s="31"/>
    </row>
    <row r="3828" spans="1:7" x14ac:dyDescent="0.25">
      <c r="A3828" s="36">
        <v>43640</v>
      </c>
      <c r="B3828" s="6">
        <v>49.76</v>
      </c>
      <c r="C3828" s="6">
        <v>30.52</v>
      </c>
      <c r="D3828" s="11">
        <v>11.86</v>
      </c>
      <c r="E3828" s="6">
        <v>7.06</v>
      </c>
      <c r="G3828" s="31"/>
    </row>
    <row r="3829" spans="1:7" x14ac:dyDescent="0.25">
      <c r="A3829" s="36">
        <v>43641</v>
      </c>
      <c r="B3829" s="6">
        <v>49.91</v>
      </c>
      <c r="C3829" s="6">
        <v>30.64</v>
      </c>
      <c r="D3829" s="11">
        <v>11.96</v>
      </c>
      <c r="E3829" s="6">
        <v>7.27</v>
      </c>
      <c r="G3829" s="31"/>
    </row>
    <row r="3830" spans="1:7" x14ac:dyDescent="0.25">
      <c r="A3830" s="36">
        <v>43642</v>
      </c>
      <c r="B3830" s="6">
        <v>50.01</v>
      </c>
      <c r="C3830" s="6">
        <v>30.73</v>
      </c>
      <c r="D3830" s="11">
        <v>12.1</v>
      </c>
      <c r="E3830" s="6">
        <v>7.43</v>
      </c>
      <c r="G3830" s="31"/>
    </row>
    <row r="3831" spans="1:7" x14ac:dyDescent="0.25">
      <c r="A3831" s="36">
        <v>43643</v>
      </c>
      <c r="B3831" s="6">
        <v>50.155000000000001</v>
      </c>
      <c r="C3831" s="6">
        <v>30.85</v>
      </c>
      <c r="D3831" s="11">
        <v>12.22</v>
      </c>
      <c r="E3831" s="6">
        <v>7.4799999999999995</v>
      </c>
      <c r="G3831" s="31"/>
    </row>
    <row r="3832" spans="1:7" x14ac:dyDescent="0.25">
      <c r="A3832" s="36">
        <v>43644</v>
      </c>
      <c r="B3832" s="6">
        <v>50.155000000000001</v>
      </c>
      <c r="C3832" s="6">
        <v>30.95</v>
      </c>
      <c r="D3832" s="11">
        <v>12.32</v>
      </c>
      <c r="E3832" s="6">
        <v>7.59</v>
      </c>
      <c r="G3832" s="31"/>
    </row>
    <row r="3833" spans="1:7" x14ac:dyDescent="0.25">
      <c r="A3833" s="36">
        <v>43645</v>
      </c>
      <c r="B3833" s="6">
        <v>50.155000000000001</v>
      </c>
      <c r="C3833" s="6">
        <v>31.02</v>
      </c>
      <c r="D3833" s="11">
        <v>12.44</v>
      </c>
      <c r="E3833" s="6">
        <v>7.7299999999999995</v>
      </c>
      <c r="G3833" s="31"/>
    </row>
    <row r="3834" spans="1:7" x14ac:dyDescent="0.25">
      <c r="A3834" s="36">
        <v>43646</v>
      </c>
      <c r="B3834" s="6">
        <v>50.155000000000001</v>
      </c>
      <c r="C3834" s="6">
        <v>31.1</v>
      </c>
      <c r="D3834" s="11">
        <v>12.54</v>
      </c>
      <c r="E3834" s="6">
        <v>7.75</v>
      </c>
      <c r="G3834" s="31"/>
    </row>
    <row r="3835" spans="1:7" x14ac:dyDescent="0.25">
      <c r="A3835" s="36">
        <v>43647</v>
      </c>
      <c r="B3835" s="6">
        <v>50.3</v>
      </c>
      <c r="C3835" s="6">
        <v>31.2</v>
      </c>
      <c r="D3835" s="11">
        <v>12.66</v>
      </c>
      <c r="E3835" s="6">
        <v>8.08</v>
      </c>
      <c r="G3835" s="31"/>
    </row>
    <row r="3836" spans="1:7" x14ac:dyDescent="0.25">
      <c r="A3836" s="36">
        <v>43648</v>
      </c>
      <c r="B3836" s="6">
        <v>50.6</v>
      </c>
      <c r="C3836" s="6">
        <v>31.28</v>
      </c>
      <c r="D3836" s="11">
        <v>12.76</v>
      </c>
      <c r="E3836" s="6">
        <v>8.3800000000000008</v>
      </c>
      <c r="G3836" s="31"/>
    </row>
    <row r="3837" spans="1:7" x14ac:dyDescent="0.25">
      <c r="A3837" s="36">
        <v>43649</v>
      </c>
      <c r="B3837" s="6">
        <v>50.8</v>
      </c>
      <c r="C3837" s="6">
        <v>31.36</v>
      </c>
      <c r="D3837" s="11">
        <v>12.92</v>
      </c>
      <c r="E3837" s="6">
        <v>8.5399999999999991</v>
      </c>
      <c r="G3837" s="31"/>
    </row>
    <row r="3838" spans="1:7" x14ac:dyDescent="0.25">
      <c r="A3838" s="36">
        <v>43650</v>
      </c>
      <c r="B3838" s="6">
        <v>51</v>
      </c>
      <c r="C3838" s="6">
        <v>31.45</v>
      </c>
      <c r="D3838" s="11">
        <v>12.98</v>
      </c>
      <c r="E3838" s="6">
        <v>8.49</v>
      </c>
      <c r="G3838" s="31"/>
    </row>
    <row r="3839" spans="1:7" x14ac:dyDescent="0.25">
      <c r="A3839" s="36">
        <v>43651</v>
      </c>
      <c r="B3839" s="6">
        <v>51.1</v>
      </c>
      <c r="C3839" s="6">
        <v>31.53</v>
      </c>
      <c r="D3839" s="11">
        <v>13.08</v>
      </c>
      <c r="E3839" s="6">
        <v>8.5</v>
      </c>
      <c r="G3839" s="31"/>
    </row>
    <row r="3840" spans="1:7" x14ac:dyDescent="0.25">
      <c r="A3840" s="36">
        <v>43652</v>
      </c>
      <c r="B3840" s="6">
        <v>51.3</v>
      </c>
      <c r="C3840" s="6">
        <v>31.71</v>
      </c>
      <c r="D3840" s="11">
        <v>13.12</v>
      </c>
      <c r="E3840" s="6">
        <v>8.5</v>
      </c>
      <c r="G3840" s="31"/>
    </row>
    <row r="3841" spans="1:7" x14ac:dyDescent="0.25">
      <c r="A3841" s="36">
        <v>43653</v>
      </c>
      <c r="B3841" s="6">
        <v>51.3</v>
      </c>
      <c r="C3841" s="6">
        <v>31.8</v>
      </c>
      <c r="D3841" s="11">
        <v>13.24</v>
      </c>
      <c r="E3841" s="6">
        <v>8.4499999999999993</v>
      </c>
      <c r="G3841" s="31"/>
    </row>
    <row r="3842" spans="1:7" x14ac:dyDescent="0.25">
      <c r="A3842" s="36">
        <v>43654</v>
      </c>
      <c r="B3842" s="6">
        <v>51.4</v>
      </c>
      <c r="C3842" s="6">
        <v>31.88</v>
      </c>
      <c r="D3842" s="11">
        <v>13.3</v>
      </c>
      <c r="E3842" s="6">
        <v>8.65</v>
      </c>
      <c r="G3842" s="31"/>
    </row>
    <row r="3843" spans="1:7" x14ac:dyDescent="0.25">
      <c r="A3843" s="36">
        <v>43655</v>
      </c>
      <c r="B3843" s="6">
        <v>51.54</v>
      </c>
      <c r="C3843" s="6">
        <v>32.04</v>
      </c>
      <c r="D3843" s="11">
        <v>13.4</v>
      </c>
      <c r="E3843" s="6">
        <v>8.7999999999999989</v>
      </c>
      <c r="G3843" s="31"/>
    </row>
    <row r="3844" spans="1:7" x14ac:dyDescent="0.25">
      <c r="A3844" s="36">
        <v>43656</v>
      </c>
      <c r="B3844" s="6">
        <v>51.64</v>
      </c>
      <c r="C3844" s="6">
        <v>32.14</v>
      </c>
      <c r="D3844" s="11">
        <v>13.6</v>
      </c>
      <c r="E3844" s="6">
        <v>9.11</v>
      </c>
      <c r="G3844" s="31"/>
    </row>
    <row r="3845" spans="1:7" x14ac:dyDescent="0.25">
      <c r="A3845" s="36">
        <v>43657</v>
      </c>
      <c r="B3845" s="6">
        <v>51.75</v>
      </c>
      <c r="C3845" s="6">
        <v>32.270000000000003</v>
      </c>
      <c r="D3845" s="11">
        <v>13.76</v>
      </c>
      <c r="E3845" s="6">
        <v>9.14</v>
      </c>
      <c r="G3845" s="31"/>
    </row>
    <row r="3846" spans="1:7" x14ac:dyDescent="0.25">
      <c r="A3846" s="36">
        <v>43658</v>
      </c>
      <c r="B3846" s="6">
        <v>51.87</v>
      </c>
      <c r="C3846" s="6">
        <v>32.36</v>
      </c>
      <c r="D3846" s="11">
        <v>13.86</v>
      </c>
      <c r="E3846" s="6">
        <v>9.23</v>
      </c>
      <c r="G3846" s="31"/>
    </row>
    <row r="3847" spans="1:7" x14ac:dyDescent="0.25">
      <c r="A3847" s="36">
        <v>43659</v>
      </c>
      <c r="B3847" s="6">
        <v>51.92</v>
      </c>
      <c r="C3847" s="6">
        <v>32.44</v>
      </c>
      <c r="D3847" s="11">
        <v>13.86</v>
      </c>
      <c r="E3847" s="6">
        <v>9.34</v>
      </c>
      <c r="G3847" s="31"/>
    </row>
    <row r="3848" spans="1:7" x14ac:dyDescent="0.25">
      <c r="A3848" s="36">
        <v>43660</v>
      </c>
      <c r="B3848" s="6">
        <v>51.94</v>
      </c>
      <c r="C3848" s="6">
        <v>32.520000000000003</v>
      </c>
      <c r="D3848" s="11">
        <v>14.06</v>
      </c>
      <c r="E3848" s="6">
        <v>9.32</v>
      </c>
      <c r="G3848" s="31"/>
    </row>
    <row r="3849" spans="1:7" x14ac:dyDescent="0.25">
      <c r="A3849" s="36">
        <v>43661</v>
      </c>
      <c r="B3849" s="6">
        <v>51.9</v>
      </c>
      <c r="C3849" s="6">
        <v>32.6</v>
      </c>
      <c r="D3849" s="11">
        <v>14.18</v>
      </c>
      <c r="E3849" s="6">
        <v>9.33</v>
      </c>
      <c r="G3849" s="31"/>
    </row>
    <row r="3850" spans="1:7" x14ac:dyDescent="0.25">
      <c r="A3850" s="36">
        <v>43662</v>
      </c>
      <c r="B3850" s="6">
        <v>51.87</v>
      </c>
      <c r="C3850" s="6">
        <v>32.68</v>
      </c>
      <c r="D3850" s="11">
        <v>14.28</v>
      </c>
      <c r="E3850" s="6">
        <v>9.42</v>
      </c>
      <c r="G3850" s="31"/>
    </row>
    <row r="3851" spans="1:7" x14ac:dyDescent="0.25">
      <c r="A3851" s="36">
        <v>43663</v>
      </c>
      <c r="B3851" s="6">
        <v>51.82</v>
      </c>
      <c r="C3851" s="6">
        <v>32.76</v>
      </c>
      <c r="D3851" s="11">
        <v>14.36</v>
      </c>
      <c r="E3851" s="6">
        <v>9.5399999999999991</v>
      </c>
      <c r="G3851" s="31"/>
    </row>
    <row r="3852" spans="1:7" x14ac:dyDescent="0.25">
      <c r="A3852" s="36">
        <v>43664</v>
      </c>
      <c r="B3852" s="6">
        <v>51.79</v>
      </c>
      <c r="C3852" s="6">
        <v>32.83</v>
      </c>
      <c r="D3852" s="11">
        <v>14.48</v>
      </c>
      <c r="E3852" s="6">
        <v>9.5299999999999994</v>
      </c>
      <c r="G3852" s="31"/>
    </row>
    <row r="3853" spans="1:7" x14ac:dyDescent="0.25">
      <c r="A3853" s="36">
        <v>43665</v>
      </c>
      <c r="B3853" s="6">
        <v>51.76</v>
      </c>
      <c r="C3853" s="6">
        <v>32.880000000000003</v>
      </c>
      <c r="D3853" s="11">
        <v>14.56</v>
      </c>
      <c r="E3853" s="6">
        <v>9.73</v>
      </c>
      <c r="G3853" s="31"/>
    </row>
    <row r="3854" spans="1:7" x14ac:dyDescent="0.25">
      <c r="A3854" s="36">
        <v>43666</v>
      </c>
      <c r="B3854" s="6">
        <v>51.72</v>
      </c>
      <c r="C3854" s="6">
        <v>32.93</v>
      </c>
      <c r="D3854" s="11">
        <v>14.64</v>
      </c>
      <c r="E3854" s="6">
        <v>9.9</v>
      </c>
      <c r="G3854" s="31"/>
    </row>
    <row r="3855" spans="1:7" x14ac:dyDescent="0.25">
      <c r="A3855" s="36">
        <v>43667</v>
      </c>
      <c r="B3855" s="6">
        <v>51.66</v>
      </c>
      <c r="C3855" s="6">
        <v>32.979999999999997</v>
      </c>
      <c r="D3855" s="11">
        <v>14.74</v>
      </c>
      <c r="E3855" s="6">
        <v>10.049999999999999</v>
      </c>
      <c r="G3855" s="31"/>
    </row>
    <row r="3856" spans="1:7" x14ac:dyDescent="0.25">
      <c r="A3856" s="36">
        <v>43668</v>
      </c>
      <c r="B3856" s="6">
        <v>51.6</v>
      </c>
      <c r="C3856" s="6">
        <v>33.020000000000003</v>
      </c>
      <c r="D3856" s="11">
        <v>14.78</v>
      </c>
      <c r="E3856" s="6">
        <v>9.86</v>
      </c>
      <c r="G3856" s="31"/>
    </row>
    <row r="3857" spans="1:7" x14ac:dyDescent="0.25">
      <c r="A3857" s="36">
        <v>43669</v>
      </c>
      <c r="B3857" s="6">
        <v>51.62</v>
      </c>
      <c r="C3857" s="6">
        <v>33.07</v>
      </c>
      <c r="D3857" s="11">
        <v>14.78</v>
      </c>
      <c r="E3857" s="6">
        <v>9.7999999999999989</v>
      </c>
      <c r="G3857" s="31"/>
    </row>
    <row r="3858" spans="1:7" x14ac:dyDescent="0.25">
      <c r="A3858" s="36">
        <v>43670</v>
      </c>
      <c r="B3858" s="6">
        <v>51.62</v>
      </c>
      <c r="C3858" s="6">
        <v>33.1</v>
      </c>
      <c r="D3858" s="11">
        <v>14.86</v>
      </c>
      <c r="E3858" s="6">
        <v>9.879999999999999</v>
      </c>
      <c r="G3858" s="31"/>
    </row>
    <row r="3859" spans="1:7" x14ac:dyDescent="0.25">
      <c r="A3859" s="36">
        <v>43671</v>
      </c>
      <c r="B3859" s="6">
        <v>51.6</v>
      </c>
      <c r="C3859" s="6">
        <v>33.119999999999997</v>
      </c>
      <c r="D3859" s="11">
        <v>14.9</v>
      </c>
      <c r="E3859" s="6">
        <v>10.07</v>
      </c>
      <c r="G3859" s="31"/>
    </row>
    <row r="3860" spans="1:7" x14ac:dyDescent="0.25">
      <c r="A3860" s="36">
        <v>43672</v>
      </c>
      <c r="B3860" s="6">
        <v>51.56</v>
      </c>
      <c r="C3860" s="6">
        <v>33.14</v>
      </c>
      <c r="D3860" s="11">
        <v>15.04</v>
      </c>
      <c r="E3860" s="6">
        <v>9.9499999999999993</v>
      </c>
      <c r="G3860" s="31"/>
    </row>
    <row r="3861" spans="1:7" x14ac:dyDescent="0.25">
      <c r="A3861" s="36">
        <v>43673</v>
      </c>
      <c r="B3861" s="6">
        <v>51.56</v>
      </c>
      <c r="C3861" s="6">
        <v>33.159999999999997</v>
      </c>
      <c r="D3861" s="11">
        <v>15.08</v>
      </c>
      <c r="E3861" s="6">
        <v>10.01</v>
      </c>
      <c r="G3861" s="31"/>
    </row>
    <row r="3862" spans="1:7" x14ac:dyDescent="0.25">
      <c r="A3862" s="36">
        <v>43674</v>
      </c>
      <c r="B3862" s="6">
        <v>51.55</v>
      </c>
      <c r="C3862" s="6">
        <v>33.19</v>
      </c>
      <c r="D3862" s="11">
        <v>15.12</v>
      </c>
      <c r="E3862" s="6">
        <v>10.1</v>
      </c>
      <c r="G3862" s="31"/>
    </row>
    <row r="3863" spans="1:7" x14ac:dyDescent="0.25">
      <c r="A3863" s="36">
        <v>43675</v>
      </c>
      <c r="B3863" s="6">
        <v>51.54</v>
      </c>
      <c r="C3863" s="6">
        <v>33.22</v>
      </c>
      <c r="D3863" s="11">
        <v>15.22</v>
      </c>
      <c r="E3863" s="6">
        <v>10.24</v>
      </c>
      <c r="G3863" s="31"/>
    </row>
    <row r="3864" spans="1:7" x14ac:dyDescent="0.25">
      <c r="A3864" s="36">
        <v>43676</v>
      </c>
      <c r="B3864" s="6">
        <v>51.49</v>
      </c>
      <c r="C3864" s="6">
        <v>33.24</v>
      </c>
      <c r="D3864" s="11">
        <v>15.3</v>
      </c>
      <c r="E3864" s="6">
        <v>10.4</v>
      </c>
      <c r="G3864" s="31"/>
    </row>
    <row r="3865" spans="1:7" x14ac:dyDescent="0.25">
      <c r="A3865" s="36">
        <v>43677</v>
      </c>
      <c r="B3865" s="6">
        <v>51.48</v>
      </c>
      <c r="C3865" s="6">
        <v>33.26</v>
      </c>
      <c r="D3865" s="11">
        <v>15.38</v>
      </c>
      <c r="E3865" s="6">
        <v>10.39</v>
      </c>
      <c r="G3865" s="31"/>
    </row>
    <row r="3866" spans="1:7" x14ac:dyDescent="0.25">
      <c r="A3866" s="36">
        <v>43678</v>
      </c>
      <c r="B3866" s="6">
        <v>51.48</v>
      </c>
      <c r="C3866" s="6">
        <v>33.28</v>
      </c>
      <c r="D3866" s="11">
        <v>15.4</v>
      </c>
      <c r="E3866" s="6">
        <v>10.34</v>
      </c>
      <c r="G3866" s="31"/>
    </row>
    <row r="3867" spans="1:7" x14ac:dyDescent="0.25">
      <c r="A3867" s="36">
        <v>43679</v>
      </c>
      <c r="B3867" s="6">
        <v>51.5</v>
      </c>
      <c r="C3867" s="6">
        <v>33.299999999999997</v>
      </c>
      <c r="D3867" s="11">
        <v>15.46</v>
      </c>
      <c r="E3867" s="6">
        <v>10.34</v>
      </c>
      <c r="G3867" s="31"/>
    </row>
    <row r="3868" spans="1:7" x14ac:dyDescent="0.25">
      <c r="A3868" s="36">
        <v>43680</v>
      </c>
      <c r="B3868" s="6">
        <v>51.49</v>
      </c>
      <c r="C3868" s="6">
        <v>33.33</v>
      </c>
      <c r="D3868" s="11">
        <v>15.48</v>
      </c>
      <c r="E3868" s="6">
        <v>10.5</v>
      </c>
      <c r="G3868" s="31"/>
    </row>
    <row r="3869" spans="1:7" x14ac:dyDescent="0.25">
      <c r="A3869" s="36">
        <v>43681</v>
      </c>
      <c r="B3869" s="6">
        <v>51.6</v>
      </c>
      <c r="C3869" s="6">
        <v>33.36</v>
      </c>
      <c r="D3869" s="11">
        <v>15.56</v>
      </c>
      <c r="E3869" s="6">
        <v>10.66</v>
      </c>
      <c r="G3869" s="31"/>
    </row>
    <row r="3870" spans="1:7" x14ac:dyDescent="0.25">
      <c r="A3870" s="36">
        <v>43682</v>
      </c>
      <c r="B3870" s="6">
        <v>51.68</v>
      </c>
      <c r="C3870" s="6">
        <v>33.39</v>
      </c>
      <c r="D3870" s="11">
        <v>15.64</v>
      </c>
      <c r="E3870" s="6">
        <v>10.82</v>
      </c>
      <c r="G3870" s="31"/>
    </row>
    <row r="3871" spans="1:7" x14ac:dyDescent="0.25">
      <c r="A3871" s="36">
        <v>43683</v>
      </c>
      <c r="B3871" s="6">
        <v>51.78</v>
      </c>
      <c r="C3871" s="6">
        <v>33.4</v>
      </c>
      <c r="D3871" s="11">
        <v>15.7</v>
      </c>
      <c r="E3871" s="6">
        <v>10.86</v>
      </c>
      <c r="G3871" s="31"/>
    </row>
    <row r="3872" spans="1:7" x14ac:dyDescent="0.25">
      <c r="A3872" s="36">
        <v>43684</v>
      </c>
      <c r="B3872" s="6">
        <v>51.8</v>
      </c>
      <c r="C3872" s="6">
        <v>33.409999999999997</v>
      </c>
      <c r="D3872" s="11">
        <v>15.8</v>
      </c>
      <c r="E3872" s="6">
        <v>11.129999999999999</v>
      </c>
      <c r="G3872" s="31"/>
    </row>
    <row r="3873" spans="1:7" x14ac:dyDescent="0.25">
      <c r="A3873" s="36">
        <v>43685</v>
      </c>
      <c r="B3873" s="6">
        <v>51.8</v>
      </c>
      <c r="C3873" s="6">
        <v>33.43</v>
      </c>
      <c r="D3873" s="11">
        <v>15.88</v>
      </c>
      <c r="E3873" s="6">
        <v>11.23</v>
      </c>
      <c r="G3873" s="31"/>
    </row>
    <row r="3874" spans="1:7" x14ac:dyDescent="0.25">
      <c r="A3874" s="36">
        <v>43686</v>
      </c>
      <c r="B3874" s="6">
        <v>51.8</v>
      </c>
      <c r="C3874" s="6">
        <v>33.450000000000003</v>
      </c>
      <c r="D3874" s="11">
        <v>15.98</v>
      </c>
      <c r="E3874" s="6">
        <v>11.299999999999999</v>
      </c>
      <c r="G3874" s="31"/>
    </row>
    <row r="3875" spans="1:7" x14ac:dyDescent="0.25">
      <c r="A3875" s="36">
        <v>43687</v>
      </c>
      <c r="B3875" s="6">
        <v>51.84</v>
      </c>
      <c r="C3875" s="6">
        <v>33.47</v>
      </c>
      <c r="D3875" s="11">
        <v>16.04</v>
      </c>
      <c r="E3875" s="6">
        <v>11.219999999999999</v>
      </c>
      <c r="G3875" s="31"/>
    </row>
    <row r="3876" spans="1:7" x14ac:dyDescent="0.25">
      <c r="A3876" s="36">
        <v>43688</v>
      </c>
      <c r="B3876" s="6">
        <v>51.84</v>
      </c>
      <c r="C3876" s="6">
        <v>33.49</v>
      </c>
      <c r="D3876" s="11">
        <v>16.04</v>
      </c>
      <c r="E3876" s="6">
        <v>11.04</v>
      </c>
      <c r="G3876" s="31"/>
    </row>
    <row r="3877" spans="1:7" x14ac:dyDescent="0.25">
      <c r="A3877" s="36">
        <v>43689</v>
      </c>
      <c r="B3877" s="6">
        <v>51.84</v>
      </c>
      <c r="C3877" s="6">
        <v>33.520000000000003</v>
      </c>
      <c r="D3877" s="11">
        <v>16</v>
      </c>
      <c r="E3877" s="6">
        <v>11.129999999999999</v>
      </c>
      <c r="G3877" s="31"/>
    </row>
    <row r="3878" spans="1:7" x14ac:dyDescent="0.25">
      <c r="A3878" s="36">
        <v>43690</v>
      </c>
      <c r="B3878" s="6">
        <v>51.84</v>
      </c>
      <c r="C3878" s="6">
        <v>33.549999999999997</v>
      </c>
      <c r="D3878" s="11">
        <v>16.02</v>
      </c>
      <c r="E3878" s="6">
        <v>11.23</v>
      </c>
      <c r="G3878" s="31"/>
    </row>
    <row r="3879" spans="1:7" x14ac:dyDescent="0.25">
      <c r="A3879" s="36">
        <v>43691</v>
      </c>
      <c r="B3879" s="6">
        <v>51.89</v>
      </c>
      <c r="C3879" s="6">
        <v>33.58</v>
      </c>
      <c r="D3879" s="11">
        <v>16.059999999999999</v>
      </c>
      <c r="E3879" s="6">
        <v>11.34</v>
      </c>
      <c r="G3879" s="31"/>
    </row>
    <row r="3880" spans="1:7" x14ac:dyDescent="0.25">
      <c r="A3880" s="36">
        <v>43692</v>
      </c>
      <c r="B3880" s="6">
        <v>51.88</v>
      </c>
      <c r="C3880" s="6">
        <v>33.64</v>
      </c>
      <c r="D3880" s="11">
        <v>16.12</v>
      </c>
      <c r="E3880" s="6">
        <v>11.37</v>
      </c>
      <c r="G3880" s="31"/>
    </row>
    <row r="3881" spans="1:7" x14ac:dyDescent="0.25">
      <c r="A3881" s="36">
        <v>43693</v>
      </c>
      <c r="B3881" s="6">
        <v>51.86</v>
      </c>
      <c r="C3881" s="6">
        <v>33.659999999999997</v>
      </c>
      <c r="D3881" s="11">
        <v>16.239999999999998</v>
      </c>
      <c r="E3881" s="6">
        <v>11.61</v>
      </c>
      <c r="G3881" s="31"/>
    </row>
    <row r="3882" spans="1:7" x14ac:dyDescent="0.25">
      <c r="A3882" s="36">
        <v>43694</v>
      </c>
      <c r="B3882" s="6">
        <v>51.88</v>
      </c>
      <c r="C3882" s="6">
        <v>33.700000000000003</v>
      </c>
      <c r="D3882" s="11">
        <v>16.32</v>
      </c>
      <c r="E3882" s="6">
        <v>11.53</v>
      </c>
      <c r="G3882" s="31"/>
    </row>
    <row r="3883" spans="1:7" x14ac:dyDescent="0.25">
      <c r="A3883" s="36">
        <v>43695</v>
      </c>
      <c r="B3883" s="6">
        <v>51.91</v>
      </c>
      <c r="C3883" s="6">
        <v>33.74</v>
      </c>
      <c r="D3883" s="11">
        <v>16.38</v>
      </c>
      <c r="E3883" s="6">
        <v>11.53</v>
      </c>
      <c r="G3883" s="31"/>
    </row>
    <row r="3884" spans="1:7" x14ac:dyDescent="0.25">
      <c r="A3884" s="36">
        <v>43696</v>
      </c>
      <c r="B3884" s="6">
        <v>51.91</v>
      </c>
      <c r="C3884" s="6">
        <v>33.770000000000003</v>
      </c>
      <c r="D3884" s="11">
        <v>16.420000000000002</v>
      </c>
      <c r="E3884" s="6">
        <v>11.549999999999999</v>
      </c>
      <c r="G3884" s="31"/>
    </row>
    <row r="3885" spans="1:7" x14ac:dyDescent="0.25">
      <c r="A3885" s="36">
        <v>43697</v>
      </c>
      <c r="B3885" s="6">
        <v>51.98</v>
      </c>
      <c r="C3885" s="6">
        <v>33.79</v>
      </c>
      <c r="D3885" s="11">
        <v>16.48</v>
      </c>
      <c r="E3885" s="6">
        <v>11.62</v>
      </c>
      <c r="G3885" s="31"/>
    </row>
    <row r="3886" spans="1:7" x14ac:dyDescent="0.25">
      <c r="A3886" s="36">
        <v>43698</v>
      </c>
      <c r="B3886" s="6">
        <v>51.98</v>
      </c>
      <c r="C3886" s="6">
        <v>33.81</v>
      </c>
      <c r="D3886" s="11">
        <v>16.52</v>
      </c>
      <c r="E3886" s="6">
        <v>11.68</v>
      </c>
      <c r="G3886" s="31"/>
    </row>
    <row r="3887" spans="1:7" x14ac:dyDescent="0.25">
      <c r="A3887" s="36">
        <v>43699</v>
      </c>
      <c r="B3887" s="6">
        <v>51.97</v>
      </c>
      <c r="C3887" s="6">
        <v>33.83</v>
      </c>
      <c r="D3887" s="11">
        <v>16.54</v>
      </c>
      <c r="E3887" s="6">
        <v>11.799999999999999</v>
      </c>
      <c r="G3887" s="31"/>
    </row>
    <row r="3888" spans="1:7" x14ac:dyDescent="0.25">
      <c r="A3888" s="36">
        <v>43700</v>
      </c>
      <c r="B3888" s="6">
        <v>51.97</v>
      </c>
      <c r="C3888" s="6">
        <v>33.840000000000003</v>
      </c>
      <c r="D3888" s="11">
        <v>16.559999999999999</v>
      </c>
      <c r="E3888" s="6">
        <v>11.61</v>
      </c>
      <c r="G3888" s="31"/>
    </row>
    <row r="3889" spans="1:7" x14ac:dyDescent="0.25">
      <c r="A3889" s="36">
        <v>43701</v>
      </c>
      <c r="B3889" s="6">
        <v>52.02</v>
      </c>
      <c r="C3889" s="6">
        <v>33.86</v>
      </c>
      <c r="D3889" s="11">
        <v>16.579999999999998</v>
      </c>
      <c r="E3889" s="6">
        <v>11.58</v>
      </c>
      <c r="G3889" s="31"/>
    </row>
    <row r="3890" spans="1:7" x14ac:dyDescent="0.25">
      <c r="A3890" s="36">
        <v>43702</v>
      </c>
      <c r="B3890" s="6">
        <v>52.03</v>
      </c>
      <c r="C3890" s="6">
        <v>33.869999999999997</v>
      </c>
      <c r="D3890" s="11">
        <v>16.600000000000001</v>
      </c>
      <c r="E3890" s="6">
        <v>11.52</v>
      </c>
      <c r="G3890" s="31"/>
    </row>
    <row r="3891" spans="1:7" x14ac:dyDescent="0.25">
      <c r="A3891" s="36">
        <v>43703</v>
      </c>
      <c r="B3891" s="6">
        <v>52</v>
      </c>
      <c r="C3891" s="6">
        <v>33.880000000000003</v>
      </c>
      <c r="D3891" s="11">
        <v>16.62</v>
      </c>
      <c r="E3891" s="6">
        <v>11.54</v>
      </c>
      <c r="G3891" s="31"/>
    </row>
    <row r="3892" spans="1:7" x14ac:dyDescent="0.25">
      <c r="A3892" s="36">
        <v>43704</v>
      </c>
      <c r="B3892" s="6">
        <v>52</v>
      </c>
      <c r="C3892" s="6">
        <v>33.880000000000003</v>
      </c>
      <c r="D3892" s="11">
        <v>16.579999999999998</v>
      </c>
      <c r="E3892" s="6">
        <v>11.43</v>
      </c>
      <c r="G3892" s="31"/>
    </row>
    <row r="3893" spans="1:7" x14ac:dyDescent="0.25">
      <c r="A3893" s="36">
        <v>43705</v>
      </c>
      <c r="B3893" s="6">
        <v>52</v>
      </c>
      <c r="C3893" s="6">
        <v>33.89</v>
      </c>
      <c r="D3893" s="11">
        <v>16.559999999999999</v>
      </c>
      <c r="E3893" s="6">
        <v>11.379999999999999</v>
      </c>
      <c r="G3893" s="31"/>
    </row>
    <row r="3894" spans="1:7" x14ac:dyDescent="0.25">
      <c r="A3894" s="36">
        <v>43706</v>
      </c>
      <c r="B3894" s="6">
        <v>51.98</v>
      </c>
      <c r="C3894" s="6">
        <v>33.89</v>
      </c>
      <c r="D3894" s="11">
        <v>16.5</v>
      </c>
      <c r="E3894" s="6">
        <v>11.34</v>
      </c>
      <c r="G3894" s="31"/>
    </row>
    <row r="3895" spans="1:7" x14ac:dyDescent="0.25">
      <c r="A3895" s="36">
        <v>43707</v>
      </c>
      <c r="B3895" s="6">
        <v>51.94</v>
      </c>
      <c r="C3895" s="6">
        <v>33.9</v>
      </c>
      <c r="D3895" s="11">
        <v>16.5</v>
      </c>
      <c r="E3895" s="6">
        <v>11.219999999999999</v>
      </c>
      <c r="G3895" s="31"/>
    </row>
    <row r="3896" spans="1:7" x14ac:dyDescent="0.25">
      <c r="A3896" s="36">
        <v>43708</v>
      </c>
      <c r="B3896" s="6">
        <v>51.88</v>
      </c>
      <c r="C3896" s="6">
        <v>33.9</v>
      </c>
      <c r="D3896" s="11">
        <v>16.46</v>
      </c>
      <c r="E3896" s="6">
        <v>11.209999999999999</v>
      </c>
      <c r="G3896" s="31"/>
    </row>
    <row r="3897" spans="1:7" x14ac:dyDescent="0.25">
      <c r="A3897" s="36">
        <v>43709</v>
      </c>
      <c r="B3897" s="6">
        <v>51.82</v>
      </c>
      <c r="C3897" s="6">
        <v>33.89</v>
      </c>
      <c r="D3897" s="11">
        <v>16.420000000000002</v>
      </c>
      <c r="E3897" s="6">
        <v>11.1</v>
      </c>
      <c r="G3897" s="31"/>
    </row>
    <row r="3898" spans="1:7" x14ac:dyDescent="0.25">
      <c r="A3898" s="36">
        <v>43710</v>
      </c>
      <c r="B3898" s="6">
        <v>51.82</v>
      </c>
      <c r="C3898" s="6">
        <v>33.89</v>
      </c>
      <c r="D3898" s="11">
        <v>16.38</v>
      </c>
      <c r="E3898" s="6">
        <v>11.07</v>
      </c>
      <c r="G3898" s="31"/>
    </row>
    <row r="3899" spans="1:7" x14ac:dyDescent="0.25">
      <c r="A3899" s="36">
        <v>43711</v>
      </c>
      <c r="B3899" s="6">
        <v>51.72</v>
      </c>
      <c r="C3899" s="6">
        <v>33.880000000000003</v>
      </c>
      <c r="D3899" s="11">
        <v>16.34</v>
      </c>
      <c r="E3899" s="6">
        <v>11.12</v>
      </c>
      <c r="G3899" s="31"/>
    </row>
    <row r="3900" spans="1:7" x14ac:dyDescent="0.25">
      <c r="A3900" s="36">
        <v>43712</v>
      </c>
      <c r="B3900" s="6">
        <v>51.65</v>
      </c>
      <c r="C3900" s="6">
        <v>33.86</v>
      </c>
      <c r="D3900" s="11">
        <v>16.3</v>
      </c>
      <c r="E3900" s="6">
        <v>11.11</v>
      </c>
      <c r="G3900" s="31"/>
    </row>
    <row r="3901" spans="1:7" x14ac:dyDescent="0.25">
      <c r="A3901" s="36">
        <v>43713</v>
      </c>
      <c r="B3901" s="6">
        <v>51.58</v>
      </c>
      <c r="C3901" s="6">
        <v>33.840000000000003</v>
      </c>
      <c r="D3901" s="11">
        <v>16.260000000000002</v>
      </c>
      <c r="E3901" s="6">
        <v>11.03</v>
      </c>
      <c r="G3901" s="31"/>
    </row>
    <row r="3902" spans="1:7" x14ac:dyDescent="0.25">
      <c r="A3902" s="36">
        <v>43714</v>
      </c>
      <c r="B3902" s="6">
        <v>51.5</v>
      </c>
      <c r="C3902" s="6">
        <v>33.82</v>
      </c>
      <c r="D3902" s="11">
        <v>16.239999999999998</v>
      </c>
      <c r="E3902" s="6">
        <v>11.03</v>
      </c>
      <c r="G3902" s="31"/>
    </row>
    <row r="3903" spans="1:7" x14ac:dyDescent="0.25">
      <c r="A3903" s="36">
        <v>43715</v>
      </c>
      <c r="B3903" s="6">
        <v>51.42</v>
      </c>
      <c r="C3903" s="6">
        <v>33.81</v>
      </c>
      <c r="D3903" s="11">
        <v>16.2</v>
      </c>
      <c r="E3903" s="6">
        <v>11.02</v>
      </c>
      <c r="G3903" s="31"/>
    </row>
    <row r="3904" spans="1:7" x14ac:dyDescent="0.25">
      <c r="A3904" s="36">
        <v>43716</v>
      </c>
      <c r="B3904" s="6">
        <v>51.3</v>
      </c>
      <c r="C3904" s="6">
        <v>33.79</v>
      </c>
      <c r="D3904" s="11">
        <v>16.18</v>
      </c>
      <c r="E3904" s="6">
        <v>11</v>
      </c>
      <c r="G3904" s="31"/>
    </row>
    <row r="3905" spans="1:7" x14ac:dyDescent="0.25">
      <c r="A3905" s="36">
        <v>43717</v>
      </c>
      <c r="B3905" s="6">
        <v>51.18</v>
      </c>
      <c r="C3905" s="6">
        <v>33.770000000000003</v>
      </c>
      <c r="D3905" s="11">
        <v>16.14</v>
      </c>
      <c r="E3905" s="6">
        <v>10.89</v>
      </c>
      <c r="G3905" s="31"/>
    </row>
    <row r="3906" spans="1:7" x14ac:dyDescent="0.25">
      <c r="A3906" s="36">
        <v>43718</v>
      </c>
      <c r="B3906" s="6">
        <v>51.06</v>
      </c>
      <c r="C3906" s="6">
        <v>33.74</v>
      </c>
      <c r="D3906" s="11">
        <v>16.12</v>
      </c>
      <c r="E3906" s="6">
        <v>10.85</v>
      </c>
      <c r="G3906" s="31"/>
    </row>
    <row r="3907" spans="1:7" x14ac:dyDescent="0.25">
      <c r="A3907" s="36">
        <v>43719</v>
      </c>
      <c r="B3907" s="6">
        <v>50.94</v>
      </c>
      <c r="C3907" s="6">
        <v>33.700000000000003</v>
      </c>
      <c r="D3907" s="11">
        <v>16.12</v>
      </c>
      <c r="E3907" s="6">
        <v>10.86</v>
      </c>
      <c r="G3907" s="31"/>
    </row>
    <row r="3908" spans="1:7" x14ac:dyDescent="0.25">
      <c r="A3908" s="36">
        <v>43720</v>
      </c>
      <c r="B3908" s="6">
        <v>50.82</v>
      </c>
      <c r="C3908" s="6">
        <v>33.64</v>
      </c>
      <c r="D3908" s="11">
        <v>16.04</v>
      </c>
      <c r="E3908" s="6">
        <v>10.84</v>
      </c>
      <c r="G3908" s="31"/>
    </row>
    <row r="3909" spans="1:7" x14ac:dyDescent="0.25">
      <c r="A3909" s="36">
        <v>43721</v>
      </c>
      <c r="B3909" s="6">
        <v>50.82</v>
      </c>
      <c r="C3909" s="6">
        <v>33.58</v>
      </c>
      <c r="D3909" s="11">
        <v>16.04</v>
      </c>
      <c r="E3909" s="6">
        <v>10.629999999999999</v>
      </c>
      <c r="G3909" s="31"/>
    </row>
    <row r="3910" spans="1:7" x14ac:dyDescent="0.25">
      <c r="A3910" s="36">
        <v>43722</v>
      </c>
      <c r="B3910" s="6">
        <v>50.6</v>
      </c>
      <c r="C3910" s="6">
        <v>33.57</v>
      </c>
      <c r="D3910" s="11">
        <v>16.02</v>
      </c>
      <c r="E3910" s="6">
        <v>10.69</v>
      </c>
      <c r="G3910" s="31"/>
    </row>
    <row r="3911" spans="1:7" x14ac:dyDescent="0.25">
      <c r="A3911" s="36">
        <v>43723</v>
      </c>
      <c r="B3911" s="6">
        <v>50.5</v>
      </c>
      <c r="C3911" s="6">
        <v>33.44</v>
      </c>
      <c r="D3911" s="11">
        <v>15.98</v>
      </c>
      <c r="E3911" s="6">
        <v>10.73</v>
      </c>
      <c r="G3911" s="31"/>
    </row>
    <row r="3912" spans="1:7" x14ac:dyDescent="0.25">
      <c r="A3912" s="36">
        <v>43724</v>
      </c>
      <c r="B3912" s="6">
        <v>50.4</v>
      </c>
      <c r="C3912" s="6">
        <v>33.36</v>
      </c>
      <c r="D3912" s="11">
        <v>15.94</v>
      </c>
      <c r="E3912" s="6">
        <v>10.7</v>
      </c>
      <c r="G3912" s="31"/>
    </row>
    <row r="3913" spans="1:7" x14ac:dyDescent="0.25">
      <c r="A3913" s="36">
        <v>43725</v>
      </c>
      <c r="B3913" s="6">
        <v>50.3</v>
      </c>
      <c r="C3913" s="6">
        <v>33.28</v>
      </c>
      <c r="D3913" s="11">
        <v>15.92</v>
      </c>
      <c r="E3913" s="6">
        <v>10.59</v>
      </c>
      <c r="G3913" s="31"/>
    </row>
    <row r="3914" spans="1:7" x14ac:dyDescent="0.25">
      <c r="A3914" s="36">
        <v>43726</v>
      </c>
      <c r="B3914" s="6">
        <v>50.2</v>
      </c>
      <c r="C3914" s="6">
        <v>33.200000000000003</v>
      </c>
      <c r="D3914" s="11">
        <v>15.88</v>
      </c>
      <c r="E3914" s="6">
        <v>10.53</v>
      </c>
      <c r="G3914" s="31"/>
    </row>
    <row r="3915" spans="1:7" x14ac:dyDescent="0.25">
      <c r="A3915" s="36">
        <v>43727</v>
      </c>
      <c r="B3915" s="6">
        <v>50.12</v>
      </c>
      <c r="C3915" s="6">
        <v>33.119999999999997</v>
      </c>
      <c r="D3915" s="11">
        <v>15.84</v>
      </c>
      <c r="E3915" s="6">
        <v>10.459999999999999</v>
      </c>
      <c r="G3915" s="31"/>
    </row>
    <row r="3916" spans="1:7" x14ac:dyDescent="0.25">
      <c r="A3916" s="36">
        <v>43728</v>
      </c>
      <c r="B3916" s="6">
        <v>50</v>
      </c>
      <c r="C3916" s="6">
        <v>33</v>
      </c>
      <c r="D3916" s="11">
        <v>15.78</v>
      </c>
      <c r="E3916" s="6">
        <v>10.45</v>
      </c>
      <c r="G3916" s="31"/>
    </row>
    <row r="3917" spans="1:7" x14ac:dyDescent="0.25">
      <c r="A3917" s="36">
        <v>43729</v>
      </c>
      <c r="B3917" s="6">
        <v>49.84</v>
      </c>
      <c r="C3917" s="6">
        <v>32.92</v>
      </c>
      <c r="D3917" s="11">
        <v>15.72</v>
      </c>
      <c r="E3917" s="6">
        <v>10.42</v>
      </c>
      <c r="G3917" s="31"/>
    </row>
    <row r="3918" spans="1:7" x14ac:dyDescent="0.25">
      <c r="A3918" s="36">
        <v>43730</v>
      </c>
      <c r="B3918" s="6">
        <v>49.74</v>
      </c>
      <c r="C3918" s="6">
        <v>32.86</v>
      </c>
      <c r="D3918" s="11">
        <v>15.68</v>
      </c>
      <c r="E3918" s="6">
        <v>10.24</v>
      </c>
      <c r="G3918" s="31"/>
    </row>
    <row r="3919" spans="1:7" x14ac:dyDescent="0.25">
      <c r="A3919" s="36">
        <v>43731</v>
      </c>
      <c r="B3919" s="6">
        <v>49.64</v>
      </c>
      <c r="C3919" s="6">
        <v>32.74</v>
      </c>
      <c r="D3919" s="11">
        <v>15.58</v>
      </c>
      <c r="E3919" s="6">
        <v>10.520000000000001</v>
      </c>
      <c r="G3919" s="31"/>
    </row>
    <row r="3920" spans="1:7" x14ac:dyDescent="0.25">
      <c r="A3920" s="36">
        <v>43732</v>
      </c>
      <c r="B3920" s="6">
        <v>49.5</v>
      </c>
      <c r="C3920" s="6">
        <v>32.65</v>
      </c>
      <c r="D3920" s="11">
        <v>15.5</v>
      </c>
      <c r="E3920" s="6">
        <v>10.3</v>
      </c>
      <c r="G3920" s="31"/>
    </row>
    <row r="3921" spans="1:7" x14ac:dyDescent="0.25">
      <c r="A3921" s="36">
        <v>43733</v>
      </c>
      <c r="B3921" s="6">
        <v>49.34</v>
      </c>
      <c r="C3921" s="6">
        <v>32.549999999999997</v>
      </c>
      <c r="D3921" s="11">
        <v>15.44</v>
      </c>
      <c r="E3921" s="6">
        <v>10.190000000000001</v>
      </c>
      <c r="G3921" s="31"/>
    </row>
    <row r="3922" spans="1:7" x14ac:dyDescent="0.25">
      <c r="A3922" s="36">
        <v>43734</v>
      </c>
      <c r="B3922" s="6">
        <v>49.17</v>
      </c>
      <c r="C3922" s="6">
        <v>32.44</v>
      </c>
      <c r="D3922" s="11">
        <v>15.34</v>
      </c>
      <c r="E3922" s="6">
        <v>10.06</v>
      </c>
      <c r="G3922" s="31"/>
    </row>
    <row r="3923" spans="1:7" x14ac:dyDescent="0.25">
      <c r="A3923" s="36">
        <v>43735</v>
      </c>
      <c r="B3923" s="6">
        <v>49.07</v>
      </c>
      <c r="C3923" s="6">
        <v>32.340000000000003</v>
      </c>
      <c r="D3923" s="11">
        <v>15.22</v>
      </c>
      <c r="E3923" s="6">
        <v>10.040000000000001</v>
      </c>
      <c r="G3923" s="31"/>
    </row>
    <row r="3924" spans="1:7" x14ac:dyDescent="0.25">
      <c r="A3924" s="36">
        <v>43736</v>
      </c>
      <c r="B3924" s="6">
        <v>48.84</v>
      </c>
      <c r="C3924" s="6">
        <v>32.24</v>
      </c>
      <c r="D3924" s="11">
        <v>15.14</v>
      </c>
      <c r="E3924" s="6">
        <v>9.9500000000000011</v>
      </c>
      <c r="G3924" s="31"/>
    </row>
    <row r="3925" spans="1:7" x14ac:dyDescent="0.25">
      <c r="A3925" s="36">
        <v>43737</v>
      </c>
      <c r="B3925" s="6">
        <v>48.68</v>
      </c>
      <c r="C3925" s="6">
        <v>32.14</v>
      </c>
      <c r="D3925" s="11">
        <v>15.08</v>
      </c>
      <c r="E3925" s="6">
        <v>10.1</v>
      </c>
      <c r="G3925" s="31"/>
    </row>
    <row r="3926" spans="1:7" x14ac:dyDescent="0.25">
      <c r="A3926" s="36">
        <v>43738</v>
      </c>
      <c r="B3926" s="6">
        <v>48.5</v>
      </c>
      <c r="C3926" s="6">
        <v>32</v>
      </c>
      <c r="D3926" s="11">
        <v>15</v>
      </c>
      <c r="E3926" s="6">
        <v>9.9</v>
      </c>
      <c r="G3926" s="31"/>
    </row>
    <row r="3927" spans="1:7" x14ac:dyDescent="0.25">
      <c r="A3927" s="36">
        <v>43739</v>
      </c>
      <c r="B3927" s="6">
        <v>48.34</v>
      </c>
      <c r="C3927" s="6">
        <v>31.83</v>
      </c>
      <c r="D3927" s="11">
        <v>14.9</v>
      </c>
      <c r="E3927" s="6">
        <v>9.91</v>
      </c>
      <c r="G3927" s="31"/>
    </row>
    <row r="3928" spans="1:7" x14ac:dyDescent="0.25">
      <c r="A3928" s="36">
        <v>43740</v>
      </c>
      <c r="B3928" s="6">
        <v>48.19</v>
      </c>
      <c r="C3928" s="6">
        <v>31.72</v>
      </c>
      <c r="D3928" s="11">
        <v>14.64</v>
      </c>
      <c r="E3928" s="6">
        <v>9.8099999999999987</v>
      </c>
      <c r="G3928" s="31"/>
    </row>
    <row r="3929" spans="1:7" x14ac:dyDescent="0.25">
      <c r="A3929" s="36">
        <v>43741</v>
      </c>
      <c r="B3929" s="6">
        <v>48.02</v>
      </c>
      <c r="C3929" s="6">
        <v>31.6</v>
      </c>
      <c r="D3929" s="11">
        <v>14.5</v>
      </c>
      <c r="E3929" s="6">
        <v>9.4599999999999991</v>
      </c>
      <c r="G3929" s="31"/>
    </row>
    <row r="3930" spans="1:7" x14ac:dyDescent="0.25">
      <c r="A3930" s="36">
        <v>43742</v>
      </c>
      <c r="B3930" s="6">
        <v>47.87</v>
      </c>
      <c r="C3930" s="6">
        <v>31.48</v>
      </c>
      <c r="D3930" s="11">
        <v>14.4</v>
      </c>
      <c r="E3930" s="6">
        <v>9.27</v>
      </c>
      <c r="G3930" s="31"/>
    </row>
    <row r="3931" spans="1:7" x14ac:dyDescent="0.25">
      <c r="A3931" s="36">
        <v>43743</v>
      </c>
      <c r="B3931" s="6">
        <v>47.68</v>
      </c>
      <c r="C3931" s="6">
        <v>31.34</v>
      </c>
      <c r="D3931" s="11">
        <v>14.32</v>
      </c>
      <c r="E3931" s="6">
        <v>9.0899999999999981</v>
      </c>
      <c r="G3931" s="31"/>
    </row>
    <row r="3932" spans="1:7" x14ac:dyDescent="0.25">
      <c r="A3932" s="36">
        <v>43744</v>
      </c>
      <c r="B3932" s="6">
        <v>47.58</v>
      </c>
      <c r="C3932" s="6">
        <v>31.2</v>
      </c>
      <c r="D3932" s="11">
        <v>14.24</v>
      </c>
      <c r="E3932" s="6">
        <v>8.9199999999999982</v>
      </c>
      <c r="G3932" s="31"/>
    </row>
    <row r="3933" spans="1:7" x14ac:dyDescent="0.25">
      <c r="A3933" s="36">
        <v>43745</v>
      </c>
      <c r="B3933" s="6">
        <v>47.45</v>
      </c>
      <c r="C3933" s="6">
        <v>31.05</v>
      </c>
      <c r="D3933" s="11">
        <v>14.16</v>
      </c>
      <c r="E3933" s="6">
        <v>8.7299999999999986</v>
      </c>
      <c r="G3933" s="31"/>
    </row>
    <row r="3934" spans="1:7" x14ac:dyDescent="0.25">
      <c r="A3934" s="36">
        <v>43746</v>
      </c>
      <c r="B3934" s="6">
        <v>47.37</v>
      </c>
      <c r="C3934" s="6">
        <v>30.9</v>
      </c>
      <c r="D3934" s="11">
        <v>13.7</v>
      </c>
      <c r="E3934" s="6">
        <v>8.61</v>
      </c>
      <c r="G3934" s="31"/>
    </row>
    <row r="3935" spans="1:7" x14ac:dyDescent="0.25">
      <c r="A3935" s="36">
        <v>43747</v>
      </c>
      <c r="B3935" s="6">
        <v>47.3</v>
      </c>
      <c r="C3935" s="6">
        <v>30.76</v>
      </c>
      <c r="D3935" s="11">
        <v>13.48</v>
      </c>
      <c r="E3935" s="6">
        <v>8.5399999999999991</v>
      </c>
      <c r="G3935" s="31"/>
    </row>
    <row r="3936" spans="1:7" x14ac:dyDescent="0.25">
      <c r="A3936" s="36">
        <v>43748</v>
      </c>
      <c r="B3936" s="6">
        <v>47.22</v>
      </c>
      <c r="C3936" s="6">
        <v>30.72</v>
      </c>
      <c r="D3936" s="11">
        <v>13.4</v>
      </c>
      <c r="E3936" s="6">
        <v>8.31</v>
      </c>
      <c r="G3936" s="31"/>
    </row>
    <row r="3937" spans="1:7" x14ac:dyDescent="0.25">
      <c r="A3937" s="36">
        <v>43749</v>
      </c>
      <c r="B3937" s="6">
        <v>47.24</v>
      </c>
      <c r="C3937" s="6">
        <v>30.63</v>
      </c>
      <c r="D3937" s="11">
        <v>13.3</v>
      </c>
      <c r="E3937" s="6">
        <v>8.41</v>
      </c>
      <c r="G3937" s="31"/>
    </row>
    <row r="3938" spans="1:7" x14ac:dyDescent="0.25">
      <c r="A3938" s="36">
        <v>43750</v>
      </c>
      <c r="B3938" s="6">
        <v>47.28</v>
      </c>
      <c r="C3938" s="6">
        <v>30.54</v>
      </c>
      <c r="D3938" s="11">
        <v>13.16</v>
      </c>
      <c r="E3938" s="6">
        <v>8.69</v>
      </c>
      <c r="G3938" s="31"/>
    </row>
    <row r="3939" spans="1:7" x14ac:dyDescent="0.25">
      <c r="A3939" s="36">
        <v>43751</v>
      </c>
      <c r="B3939" s="6">
        <v>47.26</v>
      </c>
      <c r="C3939" s="6">
        <v>30.41</v>
      </c>
      <c r="D3939" s="11">
        <v>13.08</v>
      </c>
      <c r="E3939" s="6">
        <v>8.5</v>
      </c>
      <c r="G3939" s="31"/>
    </row>
    <row r="3940" spans="1:7" x14ac:dyDescent="0.25">
      <c r="A3940" s="36">
        <v>43752</v>
      </c>
      <c r="B3940" s="6">
        <v>47.24</v>
      </c>
      <c r="C3940" s="6">
        <v>30.38</v>
      </c>
      <c r="D3940" s="11">
        <v>12.98</v>
      </c>
      <c r="E3940" s="6">
        <v>8.0500000000000007</v>
      </c>
      <c r="G3940" s="31"/>
    </row>
    <row r="3941" spans="1:7" x14ac:dyDescent="0.25">
      <c r="A3941" s="36">
        <v>43753</v>
      </c>
      <c r="B3941" s="6">
        <v>47.28</v>
      </c>
      <c r="C3941" s="6">
        <v>30.24</v>
      </c>
      <c r="D3941" s="11">
        <v>12.84</v>
      </c>
      <c r="E3941" s="6">
        <v>8.1999999999999993</v>
      </c>
      <c r="G3941" s="31"/>
    </row>
    <row r="3942" spans="1:7" x14ac:dyDescent="0.25">
      <c r="A3942" s="36">
        <v>43754</v>
      </c>
      <c r="B3942" s="6">
        <v>47.28</v>
      </c>
      <c r="C3942" s="6">
        <v>30.15</v>
      </c>
      <c r="D3942" s="11">
        <v>12.72</v>
      </c>
      <c r="E3942" s="6">
        <v>8.0299999999999994</v>
      </c>
      <c r="G3942" s="31"/>
    </row>
    <row r="3943" spans="1:7" x14ac:dyDescent="0.25">
      <c r="A3943" s="36">
        <v>43755</v>
      </c>
      <c r="B3943" s="6">
        <v>47.38</v>
      </c>
      <c r="C3943" s="6">
        <v>30</v>
      </c>
      <c r="D3943" s="11">
        <v>12.6</v>
      </c>
      <c r="E3943" s="6">
        <v>8.02</v>
      </c>
      <c r="G3943" s="31"/>
    </row>
    <row r="3944" spans="1:7" x14ac:dyDescent="0.25">
      <c r="A3944" s="36">
        <v>43756</v>
      </c>
      <c r="B3944" s="6">
        <v>47.38</v>
      </c>
      <c r="C3944" s="6">
        <v>29.94</v>
      </c>
      <c r="D3944" s="11">
        <v>12.46</v>
      </c>
      <c r="E3944" s="6">
        <v>7.54</v>
      </c>
      <c r="G3944" s="31"/>
    </row>
    <row r="3945" spans="1:7" x14ac:dyDescent="0.25">
      <c r="A3945" s="36">
        <v>43757</v>
      </c>
      <c r="B3945" s="6">
        <v>47.38</v>
      </c>
      <c r="C3945" s="6">
        <v>29.91</v>
      </c>
      <c r="D3945" s="11">
        <v>12.38</v>
      </c>
      <c r="E3945" s="6">
        <v>7.29</v>
      </c>
      <c r="G3945" s="31"/>
    </row>
    <row r="3946" spans="1:7" x14ac:dyDescent="0.25">
      <c r="A3946" s="36">
        <v>43758</v>
      </c>
      <c r="B3946" s="6">
        <v>47.46</v>
      </c>
      <c r="C3946" s="6">
        <v>29.89</v>
      </c>
      <c r="D3946" s="11">
        <v>12.28</v>
      </c>
      <c r="E3946" s="6">
        <v>7.31</v>
      </c>
      <c r="G3946" s="31"/>
    </row>
    <row r="3947" spans="1:7" x14ac:dyDescent="0.25">
      <c r="A3947" s="36">
        <v>43759</v>
      </c>
      <c r="B3947" s="6">
        <v>47.51</v>
      </c>
      <c r="C3947" s="6">
        <v>29.87</v>
      </c>
      <c r="D3947" s="11">
        <v>12.16</v>
      </c>
      <c r="E3947" s="6">
        <v>7.3</v>
      </c>
      <c r="G3947" s="31"/>
    </row>
    <row r="3948" spans="1:7" x14ac:dyDescent="0.25">
      <c r="A3948" s="36">
        <v>43760</v>
      </c>
      <c r="B3948" s="6">
        <v>47.52</v>
      </c>
      <c r="C3948" s="6">
        <v>29.86</v>
      </c>
      <c r="D3948" s="11">
        <v>12</v>
      </c>
      <c r="E3948" s="6">
        <v>7.3999999999999995</v>
      </c>
      <c r="G3948" s="31"/>
    </row>
    <row r="3949" spans="1:7" x14ac:dyDescent="0.25">
      <c r="A3949" s="36">
        <v>43761</v>
      </c>
      <c r="B3949" s="6">
        <v>47.54</v>
      </c>
      <c r="C3949" s="6">
        <v>29.85</v>
      </c>
      <c r="D3949" s="11">
        <v>11.78</v>
      </c>
      <c r="E3949" s="6">
        <v>7.4899999999999993</v>
      </c>
      <c r="G3949" s="31"/>
    </row>
    <row r="3950" spans="1:7" x14ac:dyDescent="0.25">
      <c r="A3950" s="36">
        <v>43762</v>
      </c>
      <c r="B3950" s="6">
        <v>47.6</v>
      </c>
      <c r="C3950" s="6">
        <v>29.83</v>
      </c>
      <c r="D3950" s="11">
        <v>11.7</v>
      </c>
      <c r="E3950" s="6">
        <v>7.47</v>
      </c>
      <c r="G3950" s="31"/>
    </row>
    <row r="3951" spans="1:7" x14ac:dyDescent="0.25">
      <c r="A3951" s="36">
        <v>43763</v>
      </c>
      <c r="B3951" s="6">
        <v>47.64</v>
      </c>
      <c r="C3951" s="6">
        <v>29.81</v>
      </c>
      <c r="D3951" s="11">
        <v>11.66</v>
      </c>
      <c r="E3951" s="6">
        <v>7.55</v>
      </c>
      <c r="G3951" s="31"/>
    </row>
    <row r="3952" spans="1:7" x14ac:dyDescent="0.25">
      <c r="A3952" s="36">
        <v>43764</v>
      </c>
      <c r="B3952" s="6">
        <v>47.68</v>
      </c>
      <c r="C3952" s="6">
        <v>29.83</v>
      </c>
      <c r="D3952" s="11">
        <v>11.56</v>
      </c>
      <c r="E3952" s="6">
        <v>7.26</v>
      </c>
      <c r="G3952" s="31"/>
    </row>
    <row r="3953" spans="1:7" x14ac:dyDescent="0.25">
      <c r="A3953" s="36">
        <v>43765</v>
      </c>
      <c r="B3953" s="6">
        <v>47.68</v>
      </c>
      <c r="C3953" s="6">
        <v>29.85</v>
      </c>
      <c r="D3953" s="11">
        <v>11.5</v>
      </c>
      <c r="E3953" s="6">
        <v>7.18</v>
      </c>
      <c r="G3953" s="31"/>
    </row>
    <row r="3954" spans="1:7" x14ac:dyDescent="0.25">
      <c r="A3954" s="36">
        <v>43766</v>
      </c>
      <c r="B3954" s="6">
        <v>47.66</v>
      </c>
      <c r="C3954" s="6">
        <v>29.86</v>
      </c>
      <c r="D3954" s="11">
        <v>11.4</v>
      </c>
      <c r="E3954" s="6">
        <v>7.26</v>
      </c>
      <c r="G3954" s="31"/>
    </row>
    <row r="3955" spans="1:7" x14ac:dyDescent="0.25">
      <c r="A3955" s="36">
        <v>43767</v>
      </c>
      <c r="B3955" s="6">
        <v>47.64</v>
      </c>
      <c r="C3955" s="6">
        <v>29.85</v>
      </c>
      <c r="D3955" s="11">
        <v>11.32</v>
      </c>
      <c r="E3955" s="6">
        <v>7.18</v>
      </c>
      <c r="G3955" s="31"/>
    </row>
    <row r="3956" spans="1:7" x14ac:dyDescent="0.25">
      <c r="A3956" s="36">
        <v>43768</v>
      </c>
      <c r="B3956" s="6">
        <v>47.62</v>
      </c>
      <c r="C3956" s="6">
        <v>29.83</v>
      </c>
      <c r="D3956" s="11">
        <v>11.22</v>
      </c>
      <c r="E3956" s="6">
        <v>7.2399999999999993</v>
      </c>
      <c r="G3956" s="31"/>
    </row>
    <row r="3957" spans="1:7" x14ac:dyDescent="0.25">
      <c r="A3957" s="36">
        <v>43769</v>
      </c>
      <c r="B3957" s="6">
        <v>47.6</v>
      </c>
      <c r="C3957" s="6">
        <v>29.82</v>
      </c>
      <c r="D3957" s="11">
        <v>11.12</v>
      </c>
      <c r="E3957" s="6">
        <v>7.16</v>
      </c>
      <c r="G3957" s="31"/>
    </row>
    <row r="3958" spans="1:7" x14ac:dyDescent="0.25">
      <c r="A3958" s="36">
        <v>43770</v>
      </c>
      <c r="B3958" s="6">
        <v>47.5</v>
      </c>
      <c r="C3958" s="6">
        <v>29.82</v>
      </c>
      <c r="D3958" s="11">
        <v>11.02</v>
      </c>
      <c r="E3958" s="6">
        <v>7.09</v>
      </c>
      <c r="G3958" s="31"/>
    </row>
    <row r="3959" spans="1:7" x14ac:dyDescent="0.25">
      <c r="A3959" s="36">
        <v>43771</v>
      </c>
      <c r="B3959" s="6">
        <v>47.5</v>
      </c>
      <c r="C3959" s="6">
        <v>29.8</v>
      </c>
      <c r="D3959" s="11">
        <v>11.02</v>
      </c>
      <c r="E3959" s="6">
        <v>6.96</v>
      </c>
      <c r="G3959" s="31"/>
    </row>
    <row r="3960" spans="1:7" x14ac:dyDescent="0.25">
      <c r="A3960" s="36">
        <v>43772</v>
      </c>
      <c r="B3960" s="6">
        <v>47.3</v>
      </c>
      <c r="C3960" s="6">
        <v>29.78</v>
      </c>
      <c r="D3960" s="11">
        <v>11</v>
      </c>
      <c r="E3960" s="6">
        <v>6.85</v>
      </c>
      <c r="G3960" s="31"/>
    </row>
    <row r="3961" spans="1:7" x14ac:dyDescent="0.25">
      <c r="A3961" s="36">
        <v>43773</v>
      </c>
      <c r="B3961" s="6">
        <v>47.25</v>
      </c>
      <c r="C3961" s="6">
        <v>29.76</v>
      </c>
      <c r="D3961" s="11">
        <v>11.2</v>
      </c>
      <c r="E3961" s="6">
        <v>6.9399999999999995</v>
      </c>
      <c r="G3961" s="31"/>
    </row>
    <row r="3962" spans="1:7" x14ac:dyDescent="0.25">
      <c r="A3962" s="36">
        <v>43774</v>
      </c>
      <c r="B3962" s="6">
        <v>47.16</v>
      </c>
      <c r="C3962" s="6">
        <v>29.7</v>
      </c>
      <c r="D3962" s="11">
        <v>11.38</v>
      </c>
      <c r="E3962" s="6">
        <v>6.8199999999999994</v>
      </c>
      <c r="G3962" s="31"/>
    </row>
    <row r="3963" spans="1:7" x14ac:dyDescent="0.25">
      <c r="A3963" s="36">
        <v>43775</v>
      </c>
      <c r="B3963" s="6">
        <v>47.05</v>
      </c>
      <c r="C3963" s="6">
        <v>29.61</v>
      </c>
      <c r="D3963" s="11">
        <v>11.36</v>
      </c>
      <c r="E3963" s="6">
        <v>6.84</v>
      </c>
      <c r="G3963" s="31"/>
    </row>
    <row r="3964" spans="1:7" x14ac:dyDescent="0.25">
      <c r="A3964" s="36">
        <v>43776</v>
      </c>
      <c r="B3964" s="6">
        <v>46.96</v>
      </c>
      <c r="C3964" s="6">
        <v>29.55</v>
      </c>
      <c r="D3964" s="11">
        <v>11.32</v>
      </c>
      <c r="E3964" s="6">
        <v>6.71</v>
      </c>
      <c r="G3964" s="31"/>
    </row>
    <row r="3965" spans="1:7" x14ac:dyDescent="0.25">
      <c r="A3965" s="36">
        <v>43777</v>
      </c>
      <c r="B3965" s="6">
        <v>46.9</v>
      </c>
      <c r="C3965" s="6">
        <v>29.44</v>
      </c>
      <c r="D3965" s="11">
        <v>11.3</v>
      </c>
      <c r="E3965" s="6">
        <v>6.629999999999999</v>
      </c>
      <c r="G3965" s="31"/>
    </row>
    <row r="3966" spans="1:7" x14ac:dyDescent="0.25">
      <c r="A3966" s="36">
        <v>43778</v>
      </c>
      <c r="B3966" s="6">
        <v>46.82</v>
      </c>
      <c r="C3966" s="6">
        <v>29.35</v>
      </c>
      <c r="D3966" s="11">
        <v>11.18</v>
      </c>
      <c r="E3966" s="6">
        <v>6.58</v>
      </c>
      <c r="G3966" s="31"/>
    </row>
    <row r="3967" spans="1:7" x14ac:dyDescent="0.25">
      <c r="A3967" s="36">
        <v>43779</v>
      </c>
      <c r="B3967" s="6">
        <v>46.74</v>
      </c>
      <c r="C3967" s="6">
        <v>29.26</v>
      </c>
      <c r="D3967" s="11">
        <v>11.06</v>
      </c>
      <c r="E3967" s="6">
        <v>6.63</v>
      </c>
      <c r="G3967" s="31"/>
    </row>
    <row r="3968" spans="1:7" x14ac:dyDescent="0.25">
      <c r="A3968" s="36">
        <v>43780</v>
      </c>
      <c r="B3968" s="6">
        <v>46.67</v>
      </c>
      <c r="C3968" s="6">
        <v>29.18</v>
      </c>
      <c r="D3968" s="11">
        <v>11</v>
      </c>
      <c r="E3968" s="6">
        <v>6.53</v>
      </c>
      <c r="G3968" s="31"/>
    </row>
    <row r="3969" spans="1:7" x14ac:dyDescent="0.25">
      <c r="A3969" s="36">
        <v>43781</v>
      </c>
      <c r="B3969" s="6">
        <v>46.59</v>
      </c>
      <c r="C3969" s="6">
        <v>29.1</v>
      </c>
      <c r="D3969" s="11">
        <v>10.96</v>
      </c>
      <c r="E3969" s="6">
        <v>6.43</v>
      </c>
      <c r="G3969" s="31"/>
    </row>
    <row r="3970" spans="1:7" x14ac:dyDescent="0.25">
      <c r="A3970" s="36">
        <v>43782</v>
      </c>
      <c r="B3970" s="6">
        <v>46.5</v>
      </c>
      <c r="C3970" s="6">
        <v>28.98</v>
      </c>
      <c r="D3970" s="11">
        <v>10.8</v>
      </c>
      <c r="E3970" s="6">
        <v>6.43</v>
      </c>
      <c r="G3970" s="31"/>
    </row>
    <row r="3971" spans="1:7" x14ac:dyDescent="0.25">
      <c r="A3971" s="36">
        <v>43783</v>
      </c>
      <c r="B3971" s="6">
        <v>46.5</v>
      </c>
      <c r="C3971" s="6">
        <v>28.9</v>
      </c>
      <c r="D3971" s="11">
        <v>10.72</v>
      </c>
      <c r="E3971" s="6">
        <v>6.29</v>
      </c>
      <c r="G3971" s="31"/>
    </row>
    <row r="3972" spans="1:7" x14ac:dyDescent="0.25">
      <c r="A3972" s="36">
        <v>43784</v>
      </c>
      <c r="B3972" s="6">
        <v>46.44</v>
      </c>
      <c r="C3972" s="6">
        <v>28.82</v>
      </c>
      <c r="D3972" s="11">
        <v>10.64</v>
      </c>
      <c r="E3972" s="6">
        <v>6.2299999999999995</v>
      </c>
      <c r="G3972" s="31"/>
    </row>
    <row r="3973" spans="1:7" x14ac:dyDescent="0.25">
      <c r="A3973" s="36">
        <v>43785</v>
      </c>
      <c r="B3973" s="6">
        <v>46.38</v>
      </c>
      <c r="C3973" s="6">
        <v>28.74</v>
      </c>
      <c r="D3973" s="11">
        <v>10.56</v>
      </c>
      <c r="E3973" s="6">
        <v>6.21</v>
      </c>
      <c r="G3973" s="31"/>
    </row>
    <row r="3974" spans="1:7" x14ac:dyDescent="0.25">
      <c r="A3974" s="36">
        <v>43786</v>
      </c>
      <c r="B3974" s="6">
        <v>46.34</v>
      </c>
      <c r="C3974" s="6">
        <v>28.68</v>
      </c>
      <c r="D3974" s="11">
        <v>10.5</v>
      </c>
      <c r="E3974" s="6">
        <v>6.1499999999999995</v>
      </c>
      <c r="G3974" s="31"/>
    </row>
    <row r="3975" spans="1:7" x14ac:dyDescent="0.25">
      <c r="A3975" s="36">
        <v>43787</v>
      </c>
      <c r="B3975" s="6">
        <v>46.3</v>
      </c>
      <c r="C3975" s="6">
        <v>28.62</v>
      </c>
      <c r="D3975" s="11">
        <v>10.42</v>
      </c>
      <c r="E3975" s="6">
        <v>6.01</v>
      </c>
      <c r="G3975" s="31"/>
    </row>
    <row r="3976" spans="1:7" x14ac:dyDescent="0.25">
      <c r="A3976" s="36">
        <v>43788</v>
      </c>
      <c r="B3976" s="6">
        <v>46.28</v>
      </c>
      <c r="C3976" s="6">
        <v>28.58</v>
      </c>
      <c r="D3976" s="11">
        <v>10.36</v>
      </c>
      <c r="E3976" s="6">
        <v>6.0399999999999991</v>
      </c>
      <c r="G3976" s="31"/>
    </row>
    <row r="3977" spans="1:7" x14ac:dyDescent="0.25">
      <c r="A3977" s="36">
        <v>43789</v>
      </c>
      <c r="B3977" s="6">
        <v>46.24</v>
      </c>
      <c r="C3977" s="6">
        <v>28.53</v>
      </c>
      <c r="D3977" s="11">
        <v>10.3</v>
      </c>
      <c r="E3977" s="6">
        <v>5.9799999999999995</v>
      </c>
      <c r="G3977" s="31"/>
    </row>
    <row r="3978" spans="1:7" x14ac:dyDescent="0.25">
      <c r="A3978" s="36">
        <v>43790</v>
      </c>
      <c r="B3978" s="6">
        <v>46.18</v>
      </c>
      <c r="C3978" s="6">
        <v>28.49</v>
      </c>
      <c r="D3978" s="11">
        <v>10.18</v>
      </c>
      <c r="E3978" s="6">
        <v>5.83</v>
      </c>
      <c r="G3978" s="31"/>
    </row>
    <row r="3979" spans="1:7" x14ac:dyDescent="0.25">
      <c r="A3979" s="36">
        <v>43791</v>
      </c>
      <c r="B3979" s="6">
        <v>46.12</v>
      </c>
      <c r="C3979" s="6">
        <v>28.46</v>
      </c>
      <c r="D3979" s="11">
        <v>10.1</v>
      </c>
      <c r="E3979" s="6">
        <v>5.74</v>
      </c>
      <c r="G3979" s="31"/>
    </row>
    <row r="3980" spans="1:7" x14ac:dyDescent="0.25">
      <c r="A3980" s="36">
        <v>43792</v>
      </c>
      <c r="B3980" s="6">
        <v>46.1</v>
      </c>
      <c r="C3980" s="6">
        <v>28.39</v>
      </c>
      <c r="D3980" s="11">
        <v>10</v>
      </c>
      <c r="E3980" s="6">
        <v>5.79</v>
      </c>
      <c r="G3980" s="31"/>
    </row>
    <row r="3981" spans="1:7" x14ac:dyDescent="0.25">
      <c r="A3981" s="36">
        <v>43793</v>
      </c>
      <c r="B3981" s="6">
        <v>46.05</v>
      </c>
      <c r="C3981" s="6">
        <v>28.32</v>
      </c>
      <c r="D3981" s="11">
        <v>9.86</v>
      </c>
      <c r="E3981" s="6">
        <v>5.92</v>
      </c>
      <c r="G3981" s="31"/>
    </row>
    <row r="3982" spans="1:7" x14ac:dyDescent="0.25">
      <c r="A3982" s="36">
        <v>43794</v>
      </c>
      <c r="B3982" s="6">
        <v>46</v>
      </c>
      <c r="C3982" s="6">
        <v>28.25</v>
      </c>
      <c r="D3982" s="11">
        <v>9.8000000000000007</v>
      </c>
      <c r="E3982" s="6">
        <v>6.17</v>
      </c>
      <c r="G3982" s="31"/>
    </row>
    <row r="3983" spans="1:7" x14ac:dyDescent="0.25">
      <c r="A3983" s="36">
        <v>43795</v>
      </c>
      <c r="B3983" s="6">
        <v>45.9</v>
      </c>
      <c r="C3983" s="6">
        <v>28.18</v>
      </c>
      <c r="D3983" s="11">
        <v>9.8800000000000008</v>
      </c>
      <c r="E3983" s="6">
        <v>6.39</v>
      </c>
      <c r="G3983" s="31"/>
    </row>
    <row r="3984" spans="1:7" x14ac:dyDescent="0.25">
      <c r="A3984" s="36">
        <v>43796</v>
      </c>
      <c r="B3984" s="6">
        <v>45.88</v>
      </c>
      <c r="C3984" s="6">
        <v>28.08</v>
      </c>
      <c r="D3984" s="11">
        <v>9.84</v>
      </c>
      <c r="E3984" s="6">
        <v>6.05</v>
      </c>
      <c r="G3984" s="31"/>
    </row>
    <row r="3985" spans="1:7" x14ac:dyDescent="0.25">
      <c r="A3985" s="36">
        <v>43797</v>
      </c>
      <c r="B3985" s="6">
        <v>45.84</v>
      </c>
      <c r="C3985" s="6">
        <v>28</v>
      </c>
      <c r="D3985" s="11">
        <v>9.8000000000000007</v>
      </c>
      <c r="E3985" s="6">
        <v>6.08</v>
      </c>
      <c r="G3985" s="31"/>
    </row>
    <row r="3986" spans="1:7" x14ac:dyDescent="0.25">
      <c r="A3986" s="36">
        <v>43798</v>
      </c>
      <c r="B3986" s="6">
        <v>45.78</v>
      </c>
      <c r="C3986" s="6">
        <v>27.91</v>
      </c>
      <c r="D3986" s="11">
        <v>9.7799999999999994</v>
      </c>
      <c r="E3986" s="6">
        <v>5.67</v>
      </c>
      <c r="G3986" s="31"/>
    </row>
    <row r="3987" spans="1:7" x14ac:dyDescent="0.25">
      <c r="A3987" s="36">
        <v>43799</v>
      </c>
      <c r="B3987" s="6">
        <v>45.7</v>
      </c>
      <c r="C3987" s="6">
        <v>27.83</v>
      </c>
      <c r="D3987" s="11">
        <v>9.7200000000000006</v>
      </c>
      <c r="E3987" s="6">
        <v>5.54</v>
      </c>
      <c r="G3987" s="31"/>
    </row>
    <row r="3988" spans="1:7" x14ac:dyDescent="0.25">
      <c r="A3988" s="36">
        <v>43800</v>
      </c>
      <c r="B3988" s="6">
        <v>45.64</v>
      </c>
      <c r="C3988" s="6">
        <v>27.75</v>
      </c>
      <c r="D3988" s="11">
        <v>9.69</v>
      </c>
      <c r="E3988" s="6">
        <v>5.46</v>
      </c>
      <c r="G3988" s="31"/>
    </row>
    <row r="3989" spans="1:7" x14ac:dyDescent="0.25">
      <c r="A3989" s="36">
        <v>43801</v>
      </c>
      <c r="B3989" s="6">
        <v>45.54</v>
      </c>
      <c r="C3989" s="6">
        <v>27.66</v>
      </c>
      <c r="D3989" s="11">
        <v>9.44</v>
      </c>
      <c r="E3989" s="6">
        <v>5.41</v>
      </c>
      <c r="G3989" s="31"/>
    </row>
    <row r="3990" spans="1:7" x14ac:dyDescent="0.25">
      <c r="A3990" s="36">
        <v>43802</v>
      </c>
      <c r="B3990" s="6">
        <v>45.45</v>
      </c>
      <c r="C3990" s="6">
        <v>27.57</v>
      </c>
      <c r="D3990" s="11">
        <v>9.3000000000000007</v>
      </c>
      <c r="E3990" s="6">
        <v>5.23</v>
      </c>
      <c r="G3990" s="31"/>
    </row>
    <row r="3991" spans="1:7" x14ac:dyDescent="0.25">
      <c r="A3991" s="36">
        <v>43803</v>
      </c>
      <c r="B3991" s="6">
        <v>45.35</v>
      </c>
      <c r="C3991" s="6">
        <v>27.48</v>
      </c>
      <c r="D3991" s="11">
        <v>9.26</v>
      </c>
      <c r="E3991" s="6">
        <v>5.04</v>
      </c>
      <c r="G3991" s="31"/>
    </row>
    <row r="3992" spans="1:7" x14ac:dyDescent="0.25">
      <c r="A3992" s="36">
        <v>43804</v>
      </c>
      <c r="B3992" s="6">
        <v>45.25</v>
      </c>
      <c r="C3992" s="6">
        <v>27.36</v>
      </c>
      <c r="D3992" s="11">
        <v>9.1999999999999993</v>
      </c>
      <c r="E3992" s="6">
        <v>5.04</v>
      </c>
      <c r="G3992" s="31"/>
    </row>
    <row r="3993" spans="1:7" x14ac:dyDescent="0.25">
      <c r="A3993" s="36">
        <v>43805</v>
      </c>
      <c r="B3993" s="6">
        <v>45.16</v>
      </c>
      <c r="C3993" s="6">
        <v>27.28</v>
      </c>
      <c r="D3993" s="11">
        <v>9.1</v>
      </c>
      <c r="E3993" s="6">
        <v>4.93</v>
      </c>
      <c r="G3993" s="31"/>
    </row>
    <row r="3994" spans="1:7" x14ac:dyDescent="0.25">
      <c r="A3994" s="36">
        <v>43806</v>
      </c>
      <c r="B3994" s="6">
        <v>45.08</v>
      </c>
      <c r="C3994" s="6">
        <v>27.14</v>
      </c>
      <c r="D3994" s="11">
        <v>9.02</v>
      </c>
      <c r="E3994" s="6">
        <v>4.75</v>
      </c>
      <c r="G3994" s="31"/>
    </row>
    <row r="3995" spans="1:7" x14ac:dyDescent="0.25">
      <c r="A3995" s="36">
        <v>43807</v>
      </c>
      <c r="B3995" s="6">
        <v>44.99</v>
      </c>
      <c r="C3995" s="6">
        <v>27</v>
      </c>
      <c r="D3995" s="11">
        <v>8.86</v>
      </c>
      <c r="E3995" s="6">
        <v>4.6500000000000004</v>
      </c>
      <c r="G3995" s="31"/>
    </row>
    <row r="3996" spans="1:7" x14ac:dyDescent="0.25">
      <c r="A3996" s="36">
        <v>43808</v>
      </c>
      <c r="B3996" s="6">
        <v>44.92</v>
      </c>
      <c r="C3996" s="6">
        <v>26.88</v>
      </c>
      <c r="D3996" s="11">
        <v>8.6999999999999993</v>
      </c>
      <c r="E3996" s="6">
        <v>4.6500000000000004</v>
      </c>
      <c r="G3996" s="31"/>
    </row>
    <row r="3997" spans="1:7" x14ac:dyDescent="0.25">
      <c r="A3997" s="36">
        <v>43809</v>
      </c>
      <c r="B3997" s="6">
        <v>44.84</v>
      </c>
      <c r="C3997" s="6">
        <v>26.78</v>
      </c>
      <c r="D3997" s="11">
        <v>8.5399999999999991</v>
      </c>
      <c r="E3997" s="6">
        <v>4.5999999999999996</v>
      </c>
      <c r="G3997" s="31"/>
    </row>
    <row r="3998" spans="1:7" x14ac:dyDescent="0.25">
      <c r="A3998" s="36">
        <v>43810</v>
      </c>
      <c r="B3998" s="6">
        <v>44.78</v>
      </c>
      <c r="C3998" s="6">
        <v>26.68</v>
      </c>
      <c r="D3998" s="11">
        <v>8.4</v>
      </c>
      <c r="E3998" s="6">
        <v>4.49</v>
      </c>
      <c r="G3998" s="31"/>
    </row>
    <row r="3999" spans="1:7" x14ac:dyDescent="0.25">
      <c r="A3999" s="36">
        <v>43811</v>
      </c>
      <c r="B3999" s="6">
        <v>44.7</v>
      </c>
      <c r="C3999" s="6">
        <v>26.56</v>
      </c>
      <c r="D3999" s="11">
        <v>8.3000000000000007</v>
      </c>
      <c r="E3999" s="6">
        <v>4.38</v>
      </c>
      <c r="G3999" s="31"/>
    </row>
    <row r="4000" spans="1:7" x14ac:dyDescent="0.25">
      <c r="A4000" s="36">
        <v>43812</v>
      </c>
      <c r="B4000" s="6">
        <v>44.6</v>
      </c>
      <c r="C4000" s="6">
        <v>26.46</v>
      </c>
      <c r="D4000" s="11">
        <v>8.18</v>
      </c>
      <c r="E4000" s="6">
        <v>4.38</v>
      </c>
      <c r="G4000" s="31"/>
    </row>
    <row r="4001" spans="1:7" x14ac:dyDescent="0.25">
      <c r="A4001" s="36">
        <v>43813</v>
      </c>
      <c r="B4001" s="6">
        <v>44.51</v>
      </c>
      <c r="C4001" s="6">
        <v>26.37</v>
      </c>
      <c r="D4001" s="11">
        <v>8.08</v>
      </c>
      <c r="E4001" s="6">
        <v>4.38</v>
      </c>
      <c r="G4001" s="31"/>
    </row>
    <row r="4002" spans="1:7" x14ac:dyDescent="0.25">
      <c r="A4002" s="36">
        <v>43814</v>
      </c>
      <c r="B4002" s="6">
        <v>44.42</v>
      </c>
      <c r="C4002" s="6">
        <v>26.27</v>
      </c>
      <c r="D4002" s="11">
        <v>8</v>
      </c>
      <c r="E4002" s="6">
        <v>4.3600000000000003</v>
      </c>
      <c r="G4002" s="31"/>
    </row>
    <row r="4003" spans="1:7" x14ac:dyDescent="0.25">
      <c r="A4003" s="36">
        <v>43815</v>
      </c>
      <c r="B4003" s="6">
        <v>44.4</v>
      </c>
      <c r="C4003" s="6">
        <v>26.18</v>
      </c>
      <c r="D4003" s="11">
        <v>7.9</v>
      </c>
      <c r="E4003" s="6">
        <v>4.3499999999999996</v>
      </c>
      <c r="G4003" s="31"/>
    </row>
    <row r="4004" spans="1:7" x14ac:dyDescent="0.25">
      <c r="A4004" s="36">
        <v>43816</v>
      </c>
      <c r="B4004" s="6">
        <v>44.34</v>
      </c>
      <c r="C4004" s="6">
        <v>26.08</v>
      </c>
      <c r="D4004" s="11">
        <v>7.82</v>
      </c>
      <c r="E4004" s="6">
        <v>4.3</v>
      </c>
      <c r="G4004" s="31"/>
    </row>
    <row r="4005" spans="1:7" x14ac:dyDescent="0.25">
      <c r="A4005" s="36">
        <v>43817</v>
      </c>
      <c r="B4005" s="6">
        <v>44.27</v>
      </c>
      <c r="C4005" s="6">
        <v>26</v>
      </c>
      <c r="D4005" s="11">
        <v>7.72</v>
      </c>
      <c r="E4005" s="6">
        <v>4.25</v>
      </c>
      <c r="G4005" s="31"/>
    </row>
    <row r="4006" spans="1:7" x14ac:dyDescent="0.25">
      <c r="A4006" s="36">
        <v>43818</v>
      </c>
      <c r="B4006" s="6">
        <v>44.22</v>
      </c>
      <c r="C4006" s="6">
        <v>25.92</v>
      </c>
      <c r="D4006" s="11">
        <v>7.6</v>
      </c>
      <c r="E4006" s="6">
        <v>4.83</v>
      </c>
      <c r="G4006" s="31"/>
    </row>
    <row r="4007" spans="1:7" x14ac:dyDescent="0.25">
      <c r="A4007" s="36">
        <v>43819</v>
      </c>
      <c r="B4007" s="6">
        <v>44.22</v>
      </c>
      <c r="C4007" s="6">
        <v>25.82</v>
      </c>
      <c r="D4007" s="11">
        <v>7.52</v>
      </c>
      <c r="E4007" s="6">
        <v>4.55</v>
      </c>
      <c r="G4007" s="31"/>
    </row>
    <row r="4008" spans="1:7" x14ac:dyDescent="0.25">
      <c r="A4008" s="36">
        <v>43820</v>
      </c>
      <c r="B4008" s="6">
        <v>44.14</v>
      </c>
      <c r="C4008" s="6">
        <v>25.77</v>
      </c>
      <c r="D4008" s="11">
        <v>7.38</v>
      </c>
      <c r="E4008" s="6">
        <v>4.4000000000000004</v>
      </c>
      <c r="G4008" s="31"/>
    </row>
    <row r="4009" spans="1:7" x14ac:dyDescent="0.25">
      <c r="A4009" s="36">
        <v>43821</v>
      </c>
      <c r="B4009" s="6">
        <v>44.3</v>
      </c>
      <c r="C4009" s="6">
        <v>25.72</v>
      </c>
      <c r="D4009" s="11">
        <v>7.38</v>
      </c>
      <c r="E4009" s="6">
        <v>4.04</v>
      </c>
      <c r="G4009" s="31"/>
    </row>
    <row r="4010" spans="1:7" x14ac:dyDescent="0.25">
      <c r="A4010" s="36">
        <v>43822</v>
      </c>
      <c r="B4010" s="6">
        <v>44.38</v>
      </c>
      <c r="C4010" s="6">
        <v>25.74</v>
      </c>
      <c r="D4010" s="11">
        <v>7.38</v>
      </c>
      <c r="E4010" s="6">
        <v>4.0199999999999996</v>
      </c>
      <c r="G4010" s="31"/>
    </row>
    <row r="4011" spans="1:7" x14ac:dyDescent="0.25">
      <c r="A4011" s="36">
        <v>43823</v>
      </c>
      <c r="B4011" s="6">
        <v>44.4</v>
      </c>
      <c r="C4011" s="6">
        <v>25.77</v>
      </c>
      <c r="D4011" s="11">
        <v>7.34</v>
      </c>
      <c r="E4011" s="6">
        <v>4.2299999999999995</v>
      </c>
      <c r="G4011" s="31"/>
    </row>
    <row r="4012" spans="1:7" x14ac:dyDescent="0.25">
      <c r="A4012" s="36">
        <v>43824</v>
      </c>
      <c r="B4012" s="6">
        <v>44.47</v>
      </c>
      <c r="C4012" s="6">
        <v>25.8</v>
      </c>
      <c r="D4012" s="11">
        <v>7.34</v>
      </c>
      <c r="E4012" s="6">
        <v>4</v>
      </c>
      <c r="G4012" s="31"/>
    </row>
    <row r="4013" spans="1:7" x14ac:dyDescent="0.25">
      <c r="A4013" s="36">
        <v>43825</v>
      </c>
      <c r="B4013" s="6">
        <v>44.58</v>
      </c>
      <c r="C4013" s="6">
        <v>25.83</v>
      </c>
      <c r="D4013" s="11">
        <v>7.34</v>
      </c>
      <c r="E4013" s="6">
        <v>3.96</v>
      </c>
      <c r="G4013" s="31"/>
    </row>
    <row r="4014" spans="1:7" x14ac:dyDescent="0.25">
      <c r="A4014" s="36">
        <v>43826</v>
      </c>
      <c r="B4014" s="6">
        <v>44.58</v>
      </c>
      <c r="C4014" s="6">
        <v>25.87</v>
      </c>
      <c r="D4014" s="11">
        <v>7.34</v>
      </c>
      <c r="E4014" s="6">
        <v>3.8400000000000003</v>
      </c>
      <c r="G4014" s="31"/>
    </row>
    <row r="4015" spans="1:7" x14ac:dyDescent="0.25">
      <c r="A4015" s="36">
        <v>43827</v>
      </c>
      <c r="B4015" s="6">
        <v>44.58</v>
      </c>
      <c r="C4015" s="6">
        <v>25.89</v>
      </c>
      <c r="D4015" s="11">
        <v>7.38</v>
      </c>
      <c r="E4015" s="6">
        <v>3.79</v>
      </c>
      <c r="G4015" s="31"/>
    </row>
    <row r="4016" spans="1:7" x14ac:dyDescent="0.25">
      <c r="A4016" s="36">
        <v>43828</v>
      </c>
      <c r="B4016" s="6">
        <v>44.52</v>
      </c>
      <c r="C4016" s="6">
        <v>25.83</v>
      </c>
      <c r="D4016" s="11">
        <v>7.4</v>
      </c>
      <c r="E4016" s="6">
        <v>3.7800000000000002</v>
      </c>
      <c r="G4016" s="31"/>
    </row>
    <row r="4017" spans="1:7" x14ac:dyDescent="0.25">
      <c r="A4017" s="36">
        <v>43829</v>
      </c>
      <c r="B4017" s="6">
        <v>44.48</v>
      </c>
      <c r="C4017" s="6">
        <v>25.92</v>
      </c>
      <c r="D4017" s="11">
        <v>7.4</v>
      </c>
      <c r="E4017" s="6">
        <v>3.7600000000000002</v>
      </c>
      <c r="G4017" s="31"/>
    </row>
    <row r="4018" spans="1:7" x14ac:dyDescent="0.25">
      <c r="A4018" s="36">
        <v>43830</v>
      </c>
      <c r="B4018" s="6">
        <v>44.4</v>
      </c>
      <c r="C4018" s="6">
        <v>25.89</v>
      </c>
      <c r="D4018" s="11">
        <v>7.38</v>
      </c>
      <c r="E4018" s="6">
        <v>3.75</v>
      </c>
      <c r="G4018" s="31"/>
    </row>
    <row r="4019" spans="1:7" x14ac:dyDescent="0.25">
      <c r="A4019" s="36">
        <v>43831</v>
      </c>
      <c r="B4019" s="7">
        <v>44.4</v>
      </c>
      <c r="C4019" s="7">
        <v>25.83</v>
      </c>
      <c r="D4019" s="7">
        <v>7.3</v>
      </c>
      <c r="E4019" s="7">
        <v>3.73</v>
      </c>
      <c r="G4019" s="31"/>
    </row>
    <row r="4020" spans="1:7" x14ac:dyDescent="0.25">
      <c r="A4020" s="36">
        <v>43832</v>
      </c>
      <c r="B4020" s="7">
        <v>44.3</v>
      </c>
      <c r="C4020" s="7">
        <v>25.78</v>
      </c>
      <c r="D4020" s="7">
        <v>7.26</v>
      </c>
      <c r="E4020" s="7">
        <v>3.6200000000000006</v>
      </c>
      <c r="G4020" s="31"/>
    </row>
    <row r="4021" spans="1:7" x14ac:dyDescent="0.25">
      <c r="A4021" s="36">
        <v>43833</v>
      </c>
      <c r="B4021" s="7">
        <v>44.2</v>
      </c>
      <c r="C4021" s="7">
        <v>25.71</v>
      </c>
      <c r="D4021" s="7">
        <v>7.22</v>
      </c>
      <c r="E4021" s="7">
        <v>3.57</v>
      </c>
      <c r="G4021" s="31"/>
    </row>
    <row r="4022" spans="1:7" x14ac:dyDescent="0.25">
      <c r="A4022" s="36">
        <v>43834</v>
      </c>
      <c r="B4022" s="7">
        <v>44.1</v>
      </c>
      <c r="C4022" s="7">
        <v>25.65</v>
      </c>
      <c r="D4022" s="7">
        <v>7.18</v>
      </c>
      <c r="E4022" s="7">
        <v>3.5400000000000005</v>
      </c>
      <c r="G4022" s="31"/>
    </row>
    <row r="4023" spans="1:7" x14ac:dyDescent="0.25">
      <c r="A4023" s="36">
        <v>43835</v>
      </c>
      <c r="B4023" s="7">
        <v>44</v>
      </c>
      <c r="C4023" s="7">
        <v>25.58</v>
      </c>
      <c r="D4023" s="7">
        <v>7.12</v>
      </c>
      <c r="E4023" s="7">
        <v>3.4600000000000004</v>
      </c>
      <c r="G4023" s="31"/>
    </row>
    <row r="4024" spans="1:7" x14ac:dyDescent="0.25">
      <c r="A4024" s="36">
        <v>43836</v>
      </c>
      <c r="B4024" s="7">
        <v>43.9</v>
      </c>
      <c r="C4024" s="7">
        <v>25.51</v>
      </c>
      <c r="D4024" s="7">
        <v>7.06</v>
      </c>
      <c r="E4024" s="7">
        <v>3.3600000000000003</v>
      </c>
      <c r="G4024" s="31"/>
    </row>
    <row r="4025" spans="1:7" x14ac:dyDescent="0.25">
      <c r="A4025" s="36">
        <v>43837</v>
      </c>
      <c r="B4025" s="7">
        <v>43.86</v>
      </c>
      <c r="C4025" s="7">
        <v>25.4</v>
      </c>
      <c r="D4025" s="7">
        <v>6.96</v>
      </c>
      <c r="E4025" s="7">
        <v>3.2800000000000002</v>
      </c>
      <c r="G4025" s="31"/>
    </row>
    <row r="4026" spans="1:7" x14ac:dyDescent="0.25">
      <c r="A4026" s="36">
        <v>43838</v>
      </c>
      <c r="B4026" s="7">
        <v>43.58</v>
      </c>
      <c r="C4026" s="7">
        <v>25.28</v>
      </c>
      <c r="D4026" s="7">
        <v>6.68</v>
      </c>
      <c r="E4026" s="7">
        <v>3.2800000000000002</v>
      </c>
      <c r="G4026" s="31"/>
    </row>
    <row r="4027" spans="1:7" x14ac:dyDescent="0.25">
      <c r="A4027" s="36">
        <v>43839</v>
      </c>
      <c r="B4027" s="7">
        <v>43.48</v>
      </c>
      <c r="C4027" s="7">
        <v>25.16</v>
      </c>
      <c r="D4027" s="7">
        <v>6.6</v>
      </c>
      <c r="E4027" s="7">
        <v>3.27</v>
      </c>
      <c r="G4027" s="31"/>
    </row>
    <row r="4028" spans="1:7" x14ac:dyDescent="0.25">
      <c r="A4028" s="36">
        <v>43840</v>
      </c>
      <c r="B4028" s="7">
        <v>43.34</v>
      </c>
      <c r="C4028" s="7">
        <v>25.04</v>
      </c>
      <c r="D4028" s="7">
        <v>6.5</v>
      </c>
      <c r="E4028" s="7">
        <v>3.21</v>
      </c>
      <c r="G4028" s="31"/>
    </row>
    <row r="4029" spans="1:7" x14ac:dyDescent="0.25">
      <c r="A4029" s="36">
        <v>43841</v>
      </c>
      <c r="B4029" s="7">
        <v>43.34</v>
      </c>
      <c r="C4029" s="7">
        <v>24.94</v>
      </c>
      <c r="D4029" s="7">
        <v>6.36</v>
      </c>
      <c r="E4029" s="7">
        <v>3.18</v>
      </c>
      <c r="G4029" s="31"/>
    </row>
    <row r="4030" spans="1:7" x14ac:dyDescent="0.25">
      <c r="A4030" s="36">
        <v>43842</v>
      </c>
      <c r="B4030" s="7">
        <v>43.23</v>
      </c>
      <c r="C4030" s="7">
        <v>24.85</v>
      </c>
      <c r="D4030" s="7">
        <v>6.26</v>
      </c>
      <c r="E4030" s="7">
        <v>3.06</v>
      </c>
      <c r="G4030" s="31"/>
    </row>
    <row r="4031" spans="1:7" x14ac:dyDescent="0.25">
      <c r="A4031" s="36">
        <v>43843</v>
      </c>
      <c r="B4031" s="7">
        <v>43.12</v>
      </c>
      <c r="C4031" s="7">
        <v>24.76</v>
      </c>
      <c r="D4031" s="7">
        <v>6.18</v>
      </c>
      <c r="E4031" s="7">
        <v>3.06</v>
      </c>
      <c r="G4031" s="31"/>
    </row>
    <row r="4032" spans="1:7" x14ac:dyDescent="0.25">
      <c r="A4032" s="36">
        <v>43844</v>
      </c>
      <c r="B4032" s="7">
        <v>43.02</v>
      </c>
      <c r="C4032" s="7">
        <v>24.76</v>
      </c>
      <c r="D4032" s="7">
        <v>6.02</v>
      </c>
      <c r="E4032" s="7">
        <v>2.98</v>
      </c>
      <c r="G4032" s="31"/>
    </row>
    <row r="4033" spans="1:7" x14ac:dyDescent="0.25">
      <c r="A4033" s="36">
        <v>43845</v>
      </c>
      <c r="B4033" s="7">
        <v>42.92</v>
      </c>
      <c r="C4033" s="7">
        <v>24.55</v>
      </c>
      <c r="D4033" s="7">
        <v>5.92</v>
      </c>
      <c r="E4033" s="7">
        <v>2.98</v>
      </c>
      <c r="G4033" s="31"/>
    </row>
    <row r="4034" spans="1:7" x14ac:dyDescent="0.25">
      <c r="A4034" s="36">
        <v>43846</v>
      </c>
      <c r="B4034" s="7">
        <v>42.8</v>
      </c>
      <c r="C4034" s="7">
        <v>24.45</v>
      </c>
      <c r="D4034" s="7">
        <v>5.82</v>
      </c>
      <c r="E4034" s="7">
        <v>2.8000000000000003</v>
      </c>
      <c r="G4034" s="31"/>
    </row>
    <row r="4035" spans="1:7" x14ac:dyDescent="0.25">
      <c r="A4035" s="36">
        <v>43847</v>
      </c>
      <c r="B4035" s="7">
        <v>42.7</v>
      </c>
      <c r="C4035" s="7">
        <v>24.35</v>
      </c>
      <c r="D4035" s="7">
        <v>5.7</v>
      </c>
      <c r="E4035" s="7">
        <v>2.71</v>
      </c>
      <c r="G4035" s="31"/>
    </row>
    <row r="4036" spans="1:7" x14ac:dyDescent="0.25">
      <c r="A4036" s="36">
        <v>43848</v>
      </c>
      <c r="B4036" s="7">
        <v>42.6</v>
      </c>
      <c r="C4036" s="7">
        <v>24.25</v>
      </c>
      <c r="D4036" s="7">
        <v>5.62</v>
      </c>
      <c r="E4036" s="7">
        <v>2.6700000000000004</v>
      </c>
      <c r="G4036" s="31"/>
    </row>
    <row r="4037" spans="1:7" x14ac:dyDescent="0.25">
      <c r="A4037" s="36">
        <v>43849</v>
      </c>
      <c r="B4037" s="7">
        <v>42.5</v>
      </c>
      <c r="C4037" s="7">
        <v>24.15</v>
      </c>
      <c r="D4037" s="7">
        <v>5.5</v>
      </c>
      <c r="E4037" s="7">
        <v>2.5700000000000003</v>
      </c>
      <c r="G4037" s="31"/>
    </row>
    <row r="4038" spans="1:7" x14ac:dyDescent="0.25">
      <c r="A4038" s="36">
        <v>43850</v>
      </c>
      <c r="B4038" s="7">
        <v>42.4</v>
      </c>
      <c r="C4038" s="7">
        <v>24.05</v>
      </c>
      <c r="D4038" s="7">
        <v>5.4</v>
      </c>
      <c r="E4038" s="7">
        <v>2.4900000000000002</v>
      </c>
      <c r="G4038" s="31"/>
    </row>
    <row r="4039" spans="1:7" x14ac:dyDescent="0.25">
      <c r="A4039" s="36">
        <v>43851</v>
      </c>
      <c r="B4039" s="7">
        <v>42.3</v>
      </c>
      <c r="C4039" s="7">
        <v>23.95</v>
      </c>
      <c r="D4039" s="7">
        <v>5.36</v>
      </c>
      <c r="E4039" s="7">
        <v>2.4500000000000002</v>
      </c>
      <c r="G4039" s="31"/>
    </row>
    <row r="4040" spans="1:7" x14ac:dyDescent="0.25">
      <c r="A4040" s="36">
        <v>43852</v>
      </c>
      <c r="B4040" s="7">
        <v>42.2</v>
      </c>
      <c r="C4040" s="7">
        <v>23.85</v>
      </c>
      <c r="D4040" s="7">
        <v>5.26</v>
      </c>
      <c r="E4040" s="7">
        <v>2.35</v>
      </c>
      <c r="G4040" s="31"/>
    </row>
    <row r="4041" spans="1:7" x14ac:dyDescent="0.25">
      <c r="A4041" s="36">
        <v>43853</v>
      </c>
      <c r="B4041" s="7">
        <v>42.14</v>
      </c>
      <c r="C4041" s="7">
        <v>23.75</v>
      </c>
      <c r="D4041" s="7">
        <v>5.14</v>
      </c>
      <c r="E4041" s="7">
        <v>2.34</v>
      </c>
      <c r="G4041" s="31"/>
    </row>
    <row r="4042" spans="1:7" x14ac:dyDescent="0.25">
      <c r="A4042" s="36">
        <v>43854</v>
      </c>
      <c r="B4042" s="7">
        <v>42.1</v>
      </c>
      <c r="C4042" s="7">
        <v>23.64</v>
      </c>
      <c r="D4042" s="7">
        <v>5.0599999999999996</v>
      </c>
      <c r="E4042" s="7">
        <v>2.34</v>
      </c>
      <c r="G4042" s="31"/>
    </row>
    <row r="4043" spans="1:7" x14ac:dyDescent="0.25">
      <c r="A4043" s="36">
        <v>43855</v>
      </c>
      <c r="B4043" s="7">
        <v>42.05</v>
      </c>
      <c r="C4043" s="7">
        <v>23.61</v>
      </c>
      <c r="D4043" s="7">
        <v>5</v>
      </c>
      <c r="E4043" s="7">
        <v>2.35</v>
      </c>
      <c r="G4043" s="31"/>
    </row>
    <row r="4044" spans="1:7" x14ac:dyDescent="0.25">
      <c r="A4044" s="36">
        <v>43856</v>
      </c>
      <c r="B4044" s="7">
        <v>42</v>
      </c>
      <c r="C4044" s="7">
        <v>23.58</v>
      </c>
      <c r="D4044" s="7">
        <v>4.8600000000000003</v>
      </c>
      <c r="E4044" s="7">
        <v>2.2800000000000002</v>
      </c>
      <c r="G4044" s="31"/>
    </row>
    <row r="4045" spans="1:7" x14ac:dyDescent="0.25">
      <c r="A4045" s="36">
        <v>43857</v>
      </c>
      <c r="B4045" s="7">
        <v>41.98</v>
      </c>
      <c r="C4045" s="7">
        <v>23.54</v>
      </c>
      <c r="D4045" s="7">
        <v>4.8</v>
      </c>
      <c r="E4045" s="7">
        <v>2.1800000000000002</v>
      </c>
      <c r="G4045" s="31"/>
    </row>
    <row r="4046" spans="1:7" x14ac:dyDescent="0.25">
      <c r="A4046" s="36">
        <v>43858</v>
      </c>
      <c r="B4046" s="7">
        <v>41.94</v>
      </c>
      <c r="C4046" s="7">
        <v>23.54</v>
      </c>
      <c r="D4046" s="7">
        <v>4.7</v>
      </c>
      <c r="E4046" s="7">
        <v>2.13</v>
      </c>
      <c r="G4046" s="31"/>
    </row>
    <row r="4047" spans="1:7" x14ac:dyDescent="0.25">
      <c r="A4047" s="36">
        <v>43859</v>
      </c>
      <c r="B4047" s="7">
        <v>41.9</v>
      </c>
      <c r="C4047" s="7">
        <v>23.52</v>
      </c>
      <c r="D4047" s="7">
        <v>4.62</v>
      </c>
      <c r="E4047" s="7">
        <v>2.1</v>
      </c>
      <c r="G4047" s="31"/>
    </row>
    <row r="4048" spans="1:7" x14ac:dyDescent="0.25">
      <c r="A4048" s="36">
        <v>43860</v>
      </c>
      <c r="B4048" s="7">
        <v>41.86</v>
      </c>
      <c r="C4048" s="7">
        <v>23.48</v>
      </c>
      <c r="D4048" s="7">
        <v>4.54</v>
      </c>
      <c r="E4048" s="7">
        <v>2.12</v>
      </c>
      <c r="G4048" s="31"/>
    </row>
    <row r="4049" spans="1:7" x14ac:dyDescent="0.25">
      <c r="A4049" s="36">
        <v>43861</v>
      </c>
      <c r="B4049" s="7">
        <v>41.8</v>
      </c>
      <c r="C4049" s="7">
        <v>23.44</v>
      </c>
      <c r="D4049" s="7">
        <v>4.54</v>
      </c>
      <c r="E4049" s="7">
        <v>2.0499999999999998</v>
      </c>
      <c r="G4049" s="31"/>
    </row>
    <row r="4050" spans="1:7" x14ac:dyDescent="0.25">
      <c r="A4050" s="36">
        <v>43862</v>
      </c>
      <c r="B4050" s="7">
        <v>41.76</v>
      </c>
      <c r="C4050" s="7">
        <v>23.4</v>
      </c>
      <c r="D4050" s="7">
        <v>4.54</v>
      </c>
      <c r="E4050" s="7">
        <v>1.9</v>
      </c>
      <c r="G4050" s="31"/>
    </row>
    <row r="4051" spans="1:7" x14ac:dyDescent="0.25">
      <c r="A4051" s="36">
        <v>43863</v>
      </c>
      <c r="B4051" s="7">
        <v>41.74</v>
      </c>
      <c r="C4051" s="7">
        <v>23.33</v>
      </c>
      <c r="D4051" s="7">
        <v>4.5199999999999996</v>
      </c>
      <c r="E4051" s="7">
        <v>1.89</v>
      </c>
      <c r="G4051" s="31"/>
    </row>
    <row r="4052" spans="1:7" x14ac:dyDescent="0.25">
      <c r="A4052" s="36">
        <v>43864</v>
      </c>
      <c r="B4052" s="7">
        <v>41.7</v>
      </c>
      <c r="C4052" s="7">
        <v>23.26</v>
      </c>
      <c r="D4052" s="7">
        <v>4.4800000000000004</v>
      </c>
      <c r="E4052" s="7">
        <v>1.87</v>
      </c>
      <c r="G4052" s="31"/>
    </row>
    <row r="4053" spans="1:7" x14ac:dyDescent="0.25">
      <c r="A4053" s="36">
        <v>43865</v>
      </c>
      <c r="B4053" s="7">
        <v>41.68</v>
      </c>
      <c r="C4053" s="7">
        <v>23.2</v>
      </c>
      <c r="D4053" s="7">
        <v>4.4000000000000004</v>
      </c>
      <c r="E4053" s="7">
        <v>1.76</v>
      </c>
      <c r="G4053" s="31"/>
    </row>
    <row r="4054" spans="1:7" x14ac:dyDescent="0.25">
      <c r="A4054" s="36">
        <v>43866</v>
      </c>
      <c r="B4054" s="7">
        <v>41.64</v>
      </c>
      <c r="C4054" s="7">
        <v>23.15</v>
      </c>
      <c r="D4054" s="7">
        <v>4.4000000000000004</v>
      </c>
      <c r="E4054" s="7">
        <v>1.69</v>
      </c>
      <c r="G4054" s="31"/>
    </row>
    <row r="4055" spans="1:7" x14ac:dyDescent="0.25">
      <c r="A4055" s="36">
        <v>43867</v>
      </c>
      <c r="B4055" s="7">
        <v>41.6</v>
      </c>
      <c r="C4055" s="7">
        <v>23.1</v>
      </c>
      <c r="D4055" s="7">
        <v>4.38</v>
      </c>
      <c r="E4055" s="7">
        <v>1.69</v>
      </c>
      <c r="G4055" s="31"/>
    </row>
    <row r="4056" spans="1:7" x14ac:dyDescent="0.25">
      <c r="A4056" s="36">
        <v>43868</v>
      </c>
      <c r="B4056" s="7">
        <v>41.56</v>
      </c>
      <c r="C4056" s="7">
        <v>23.05</v>
      </c>
      <c r="D4056" s="7">
        <v>4.3600000000000003</v>
      </c>
      <c r="E4056" s="7">
        <v>1.68</v>
      </c>
      <c r="G4056" s="31"/>
    </row>
    <row r="4057" spans="1:7" x14ac:dyDescent="0.25">
      <c r="A4057" s="36">
        <v>43869</v>
      </c>
      <c r="B4057" s="7">
        <v>41.5</v>
      </c>
      <c r="C4057" s="7">
        <v>23</v>
      </c>
      <c r="D4057" s="7">
        <v>4.32</v>
      </c>
      <c r="E4057" s="7">
        <v>1.68</v>
      </c>
      <c r="G4057" s="31"/>
    </row>
    <row r="4058" spans="1:7" x14ac:dyDescent="0.25">
      <c r="A4058" s="36">
        <v>43870</v>
      </c>
      <c r="B4058" s="7">
        <v>41.44</v>
      </c>
      <c r="C4058" s="7">
        <v>22.95</v>
      </c>
      <c r="D4058" s="7">
        <v>4.24</v>
      </c>
      <c r="E4058" s="7">
        <v>1.67</v>
      </c>
      <c r="G4058" s="31"/>
    </row>
    <row r="4059" spans="1:7" x14ac:dyDescent="0.25">
      <c r="A4059" s="36">
        <v>43871</v>
      </c>
      <c r="B4059" s="7">
        <v>41.36</v>
      </c>
      <c r="C4059" s="7">
        <v>22.88</v>
      </c>
      <c r="D4059" s="7">
        <v>4.16</v>
      </c>
      <c r="E4059" s="7">
        <v>1.67</v>
      </c>
      <c r="G4059" s="31"/>
    </row>
    <row r="4060" spans="1:7" x14ac:dyDescent="0.25">
      <c r="A4060" s="36">
        <v>43872</v>
      </c>
      <c r="B4060" s="7">
        <v>41.28</v>
      </c>
      <c r="C4060" s="7">
        <v>22.8</v>
      </c>
      <c r="D4060" s="7">
        <v>4.0999999999999996</v>
      </c>
      <c r="E4060" s="7">
        <v>1.66</v>
      </c>
      <c r="G4060" s="31"/>
    </row>
    <row r="4061" spans="1:7" x14ac:dyDescent="0.25">
      <c r="A4061" s="36">
        <v>43873</v>
      </c>
      <c r="B4061" s="7">
        <v>41.2</v>
      </c>
      <c r="C4061" s="7">
        <v>22.75</v>
      </c>
      <c r="D4061" s="7">
        <v>4.08</v>
      </c>
      <c r="E4061" s="7">
        <v>1.65</v>
      </c>
      <c r="G4061" s="31"/>
    </row>
    <row r="4062" spans="1:7" x14ac:dyDescent="0.25">
      <c r="A4062" s="36">
        <v>43874</v>
      </c>
      <c r="B4062" s="7">
        <v>41.15</v>
      </c>
      <c r="C4062" s="7">
        <v>22.7</v>
      </c>
      <c r="D4062" s="7">
        <v>4</v>
      </c>
      <c r="E4062" s="7">
        <v>1.64</v>
      </c>
      <c r="G4062" s="31"/>
    </row>
    <row r="4063" spans="1:7" x14ac:dyDescent="0.25">
      <c r="A4063" s="36">
        <v>43875</v>
      </c>
      <c r="B4063" s="7">
        <v>41.05</v>
      </c>
      <c r="C4063" s="7">
        <v>22.62</v>
      </c>
      <c r="D4063" s="7">
        <v>3.96</v>
      </c>
      <c r="E4063" s="7">
        <v>1.63</v>
      </c>
      <c r="G4063" s="31"/>
    </row>
    <row r="4064" spans="1:7" x14ac:dyDescent="0.25">
      <c r="A4064" s="36">
        <v>43876</v>
      </c>
      <c r="B4064" s="7">
        <v>40.950000000000003</v>
      </c>
      <c r="C4064" s="7">
        <v>22.53</v>
      </c>
      <c r="D4064" s="7">
        <v>3.96</v>
      </c>
      <c r="E4064" s="7">
        <v>1.61</v>
      </c>
      <c r="G4064" s="31"/>
    </row>
    <row r="4065" spans="1:7" x14ac:dyDescent="0.25">
      <c r="A4065" s="36">
        <v>43877</v>
      </c>
      <c r="B4065" s="7">
        <v>40.9</v>
      </c>
      <c r="C4065" s="7">
        <v>22.44</v>
      </c>
      <c r="D4065" s="7">
        <v>3.92</v>
      </c>
      <c r="E4065" s="7">
        <v>1.54</v>
      </c>
      <c r="G4065" s="31"/>
    </row>
    <row r="4066" spans="1:7" x14ac:dyDescent="0.25">
      <c r="A4066" s="36">
        <v>43878</v>
      </c>
      <c r="B4066" s="7">
        <v>40.85</v>
      </c>
      <c r="C4066" s="7">
        <v>22.35</v>
      </c>
      <c r="D4066" s="7">
        <v>3.88</v>
      </c>
      <c r="E4066" s="7">
        <v>1.53</v>
      </c>
      <c r="G4066" s="31"/>
    </row>
    <row r="4067" spans="1:7" x14ac:dyDescent="0.25">
      <c r="A4067" s="36">
        <v>43879</v>
      </c>
      <c r="B4067" s="7">
        <v>40.799999999999997</v>
      </c>
      <c r="C4067" s="7">
        <v>22.29</v>
      </c>
      <c r="D4067" s="7">
        <v>3.82</v>
      </c>
      <c r="E4067" s="7">
        <v>1.52</v>
      </c>
      <c r="G4067" s="31"/>
    </row>
    <row r="4068" spans="1:7" x14ac:dyDescent="0.25">
      <c r="A4068" s="36">
        <v>43880</v>
      </c>
      <c r="B4068" s="7">
        <v>40.74</v>
      </c>
      <c r="C4068" s="7">
        <v>22.22</v>
      </c>
      <c r="D4068" s="7">
        <v>3.76</v>
      </c>
      <c r="E4068" s="7">
        <v>1.51</v>
      </c>
      <c r="G4068" s="31"/>
    </row>
    <row r="4069" spans="1:7" x14ac:dyDescent="0.25">
      <c r="A4069" s="36">
        <v>43881</v>
      </c>
      <c r="B4069" s="7">
        <v>40.700000000000003</v>
      </c>
      <c r="C4069" s="7">
        <v>22.14</v>
      </c>
      <c r="D4069" s="7">
        <v>3.76</v>
      </c>
      <c r="E4069" s="7">
        <v>1.39</v>
      </c>
      <c r="G4069" s="31"/>
    </row>
    <row r="4070" spans="1:7" x14ac:dyDescent="0.25">
      <c r="A4070" s="36">
        <v>43882</v>
      </c>
      <c r="B4070" s="7">
        <v>40.659999999999997</v>
      </c>
      <c r="C4070" s="7">
        <v>22.1</v>
      </c>
      <c r="D4070" s="7">
        <v>3.62</v>
      </c>
      <c r="E4070" s="7">
        <v>1.39</v>
      </c>
      <c r="G4070" s="31"/>
    </row>
    <row r="4071" spans="1:7" x14ac:dyDescent="0.25">
      <c r="A4071" s="36">
        <v>43883</v>
      </c>
      <c r="B4071" s="7">
        <v>40.6</v>
      </c>
      <c r="C4071" s="7">
        <v>22.06</v>
      </c>
      <c r="D4071" s="7">
        <v>3.56</v>
      </c>
      <c r="E4071" s="7">
        <v>1.41</v>
      </c>
      <c r="G4071" s="31"/>
    </row>
    <row r="4072" spans="1:7" x14ac:dyDescent="0.25">
      <c r="A4072" s="36">
        <v>43884</v>
      </c>
      <c r="B4072" s="7">
        <v>40.6</v>
      </c>
      <c r="C4072" s="7">
        <v>22.02</v>
      </c>
      <c r="D4072" s="7">
        <v>3.46</v>
      </c>
      <c r="E4072" s="7">
        <v>1.4</v>
      </c>
      <c r="G4072" s="31"/>
    </row>
    <row r="4073" spans="1:7" x14ac:dyDescent="0.25">
      <c r="A4073" s="36">
        <v>43885</v>
      </c>
      <c r="B4073" s="7">
        <v>40.6</v>
      </c>
      <c r="C4073" s="7">
        <v>21.99</v>
      </c>
      <c r="D4073" s="7">
        <v>3.32</v>
      </c>
      <c r="E4073" s="7">
        <v>1.39</v>
      </c>
      <c r="G4073" s="31"/>
    </row>
    <row r="4074" spans="1:7" x14ac:dyDescent="0.25">
      <c r="A4074" s="36">
        <v>43886</v>
      </c>
      <c r="B4074" s="7">
        <v>40.6</v>
      </c>
      <c r="C4074" s="7">
        <v>21.96</v>
      </c>
      <c r="D4074" s="7">
        <v>3.2</v>
      </c>
      <c r="E4074" s="7">
        <v>1.39</v>
      </c>
      <c r="G4074" s="31"/>
    </row>
    <row r="4075" spans="1:7" x14ac:dyDescent="0.25">
      <c r="A4075" s="36">
        <v>43887</v>
      </c>
      <c r="B4075" s="7">
        <v>40.6</v>
      </c>
      <c r="C4075" s="7">
        <v>21.92</v>
      </c>
      <c r="D4075" s="7">
        <v>3.18</v>
      </c>
      <c r="E4075" s="7">
        <v>1.38</v>
      </c>
      <c r="G4075" s="31"/>
    </row>
    <row r="4076" spans="1:7" x14ac:dyDescent="0.25">
      <c r="A4076" s="36">
        <v>43888</v>
      </c>
      <c r="B4076" s="7">
        <v>40.54</v>
      </c>
      <c r="C4076" s="7">
        <v>21.84</v>
      </c>
      <c r="D4076" s="7">
        <v>3.16</v>
      </c>
      <c r="E4076" s="7">
        <v>1.38</v>
      </c>
      <c r="G4076" s="31"/>
    </row>
    <row r="4077" spans="1:7" x14ac:dyDescent="0.25">
      <c r="A4077" s="36">
        <v>43889</v>
      </c>
      <c r="B4077" s="7">
        <v>40.5</v>
      </c>
      <c r="C4077" s="7">
        <v>21.77</v>
      </c>
      <c r="D4077" s="7">
        <v>3.1</v>
      </c>
      <c r="E4077" s="7">
        <v>1.37</v>
      </c>
      <c r="G4077" s="31"/>
    </row>
    <row r="4078" spans="1:7" x14ac:dyDescent="0.25">
      <c r="A4078" s="36">
        <v>43890</v>
      </c>
      <c r="B4078" s="7">
        <v>40.5</v>
      </c>
      <c r="C4078" s="7">
        <v>21.74</v>
      </c>
      <c r="D4078" s="7">
        <v>3.1</v>
      </c>
      <c r="G4078" s="31"/>
    </row>
    <row r="4079" spans="1:7" x14ac:dyDescent="0.25">
      <c r="A4079" s="36">
        <v>43891</v>
      </c>
      <c r="B4079" s="7">
        <v>40.5</v>
      </c>
      <c r="C4079" s="7">
        <v>21.72</v>
      </c>
      <c r="D4079" s="7">
        <v>3.08</v>
      </c>
      <c r="E4079" s="7">
        <v>1.37</v>
      </c>
      <c r="G4079" s="31"/>
    </row>
    <row r="4080" spans="1:7" x14ac:dyDescent="0.25">
      <c r="A4080" s="36">
        <v>43892</v>
      </c>
      <c r="B4080" s="7">
        <v>40.5</v>
      </c>
      <c r="C4080" s="7">
        <v>21.7</v>
      </c>
      <c r="D4080" s="7">
        <v>3.04</v>
      </c>
      <c r="E4080" s="7">
        <v>1.32</v>
      </c>
      <c r="G4080" s="31"/>
    </row>
    <row r="4081" spans="1:7" x14ac:dyDescent="0.25">
      <c r="A4081" s="36">
        <v>43893</v>
      </c>
      <c r="B4081" s="7">
        <v>40.5</v>
      </c>
      <c r="C4081" s="7">
        <v>21.69</v>
      </c>
      <c r="D4081" s="7">
        <v>2.98</v>
      </c>
      <c r="E4081" s="7">
        <v>1.25</v>
      </c>
      <c r="G4081" s="31"/>
    </row>
    <row r="4082" spans="1:7" x14ac:dyDescent="0.25">
      <c r="A4082" s="36">
        <v>43894</v>
      </c>
      <c r="B4082" s="7">
        <v>40.5</v>
      </c>
      <c r="C4082" s="7">
        <v>21.67</v>
      </c>
      <c r="D4082" s="7">
        <v>2.98</v>
      </c>
      <c r="E4082" s="7">
        <v>1.2</v>
      </c>
      <c r="G4082" s="31"/>
    </row>
    <row r="4083" spans="1:7" x14ac:dyDescent="0.25">
      <c r="A4083" s="36">
        <v>43895</v>
      </c>
      <c r="B4083" s="6">
        <v>40.5</v>
      </c>
      <c r="C4083" s="7">
        <v>21.65</v>
      </c>
      <c r="D4083" s="7">
        <v>2.98</v>
      </c>
      <c r="E4083" s="6">
        <v>1.1100000000000001</v>
      </c>
      <c r="G4083" s="31"/>
    </row>
    <row r="4084" spans="1:7" x14ac:dyDescent="0.25">
      <c r="A4084" s="36">
        <v>43896</v>
      </c>
      <c r="B4084" s="6">
        <v>40.5</v>
      </c>
      <c r="C4084" s="7">
        <v>21.64</v>
      </c>
      <c r="D4084" s="7">
        <v>2.96</v>
      </c>
      <c r="E4084" s="6">
        <v>1.1100000000000001</v>
      </c>
      <c r="G4084" s="31"/>
    </row>
    <row r="4085" spans="1:7" x14ac:dyDescent="0.25">
      <c r="A4085" s="36">
        <v>43897</v>
      </c>
      <c r="B4085" s="6">
        <v>40.479999999999997</v>
      </c>
      <c r="C4085" s="7">
        <v>21.63</v>
      </c>
      <c r="D4085" s="7">
        <v>2.96</v>
      </c>
      <c r="E4085" s="6">
        <v>1.08</v>
      </c>
      <c r="G4085" s="31"/>
    </row>
    <row r="4086" spans="1:7" x14ac:dyDescent="0.25">
      <c r="A4086" s="36">
        <v>43898</v>
      </c>
      <c r="B4086" s="6">
        <v>40.479999999999997</v>
      </c>
      <c r="C4086" s="7">
        <v>21.62</v>
      </c>
      <c r="D4086" s="7">
        <v>2.96</v>
      </c>
      <c r="E4086" s="6">
        <v>1.04</v>
      </c>
      <c r="G4086" s="31"/>
    </row>
    <row r="4087" spans="1:7" x14ac:dyDescent="0.25">
      <c r="A4087" s="36">
        <v>43899</v>
      </c>
      <c r="B4087" s="6">
        <v>40.47</v>
      </c>
      <c r="C4087" s="7">
        <v>21.62</v>
      </c>
      <c r="D4087" s="7">
        <v>2.96</v>
      </c>
      <c r="E4087" s="6">
        <v>1.02</v>
      </c>
      <c r="G4087" s="31"/>
    </row>
    <row r="4088" spans="1:7" x14ac:dyDescent="0.25">
      <c r="A4088" s="36">
        <v>43900</v>
      </c>
      <c r="B4088" s="6">
        <v>40.46</v>
      </c>
      <c r="C4088" s="7">
        <v>21.62</v>
      </c>
      <c r="D4088" s="7">
        <v>2.94</v>
      </c>
      <c r="E4088" s="6">
        <v>1.01</v>
      </c>
      <c r="G4088" s="31"/>
    </row>
    <row r="4089" spans="1:7" x14ac:dyDescent="0.25">
      <c r="A4089" s="36">
        <v>43901</v>
      </c>
      <c r="B4089" s="6">
        <v>40.44</v>
      </c>
      <c r="C4089" s="7">
        <v>21.61</v>
      </c>
      <c r="D4089" s="6">
        <v>2.94</v>
      </c>
      <c r="E4089" s="6">
        <v>1</v>
      </c>
      <c r="G4089" s="31"/>
    </row>
    <row r="4090" spans="1:7" x14ac:dyDescent="0.25">
      <c r="A4090" s="36">
        <v>43902</v>
      </c>
      <c r="B4090" s="6">
        <v>40.44</v>
      </c>
      <c r="C4090" s="7">
        <v>21.6</v>
      </c>
      <c r="D4090" s="6">
        <v>2.94</v>
      </c>
      <c r="E4090" s="6">
        <v>0.99</v>
      </c>
      <c r="G4090" s="31"/>
    </row>
    <row r="4091" spans="1:7" x14ac:dyDescent="0.25">
      <c r="A4091" s="36">
        <v>43903</v>
      </c>
      <c r="B4091" s="6">
        <v>40.43</v>
      </c>
      <c r="C4091" s="6">
        <v>21.59</v>
      </c>
      <c r="D4091" s="6">
        <v>2.92</v>
      </c>
      <c r="E4091" s="6">
        <v>0.98</v>
      </c>
      <c r="G4091" s="31"/>
    </row>
    <row r="4092" spans="1:7" x14ac:dyDescent="0.25">
      <c r="A4092" s="36">
        <v>43904</v>
      </c>
      <c r="B4092" s="6">
        <v>40.43</v>
      </c>
      <c r="C4092" s="6">
        <v>21.56</v>
      </c>
      <c r="D4092" s="6">
        <v>2.92</v>
      </c>
      <c r="E4092" s="6">
        <v>0.96</v>
      </c>
      <c r="G4092" s="31"/>
    </row>
    <row r="4093" spans="1:7" x14ac:dyDescent="0.25">
      <c r="A4093" s="36">
        <v>43905</v>
      </c>
      <c r="B4093" s="6">
        <v>40.42</v>
      </c>
      <c r="C4093" s="6">
        <v>21.54</v>
      </c>
      <c r="D4093" s="6">
        <v>2.88</v>
      </c>
      <c r="E4093" s="6">
        <v>0.94</v>
      </c>
      <c r="G4093" s="31"/>
    </row>
    <row r="4094" spans="1:7" x14ac:dyDescent="0.25">
      <c r="A4094" s="36">
        <v>43906</v>
      </c>
      <c r="B4094" s="6">
        <v>40.42</v>
      </c>
      <c r="C4094" s="6">
        <v>21.52</v>
      </c>
      <c r="D4094" s="6">
        <v>2.88</v>
      </c>
      <c r="E4094" s="6">
        <v>0.93</v>
      </c>
      <c r="G4094" s="31"/>
    </row>
    <row r="4095" spans="1:7" x14ac:dyDescent="0.25">
      <c r="A4095" s="36">
        <v>43907</v>
      </c>
      <c r="B4095" s="6">
        <v>40.42</v>
      </c>
      <c r="C4095" s="6">
        <v>21.5</v>
      </c>
      <c r="D4095" s="6">
        <v>2.88</v>
      </c>
      <c r="E4095" s="6">
        <v>0.91</v>
      </c>
      <c r="G4095" s="31"/>
    </row>
    <row r="4096" spans="1:7" x14ac:dyDescent="0.25">
      <c r="A4096" s="36">
        <v>43908</v>
      </c>
      <c r="B4096" s="6">
        <v>40.42</v>
      </c>
      <c r="C4096" s="6">
        <v>21.48</v>
      </c>
      <c r="D4096" s="6">
        <v>2.86</v>
      </c>
      <c r="E4096" s="6">
        <v>0.9</v>
      </c>
      <c r="G4096" s="31"/>
    </row>
    <row r="4097" spans="1:7" x14ac:dyDescent="0.25">
      <c r="A4097" s="36">
        <v>43909</v>
      </c>
      <c r="B4097" s="6">
        <v>40.42</v>
      </c>
      <c r="C4097" s="6">
        <v>21.47</v>
      </c>
      <c r="D4097" s="6">
        <v>2.86</v>
      </c>
      <c r="E4097" s="6">
        <v>0.9</v>
      </c>
      <c r="G4097" s="31"/>
    </row>
    <row r="4098" spans="1:7" x14ac:dyDescent="0.25">
      <c r="A4098" s="36">
        <v>43910</v>
      </c>
      <c r="B4098" s="6">
        <v>40.42</v>
      </c>
      <c r="C4098" s="6">
        <v>21.46</v>
      </c>
      <c r="D4098" s="6">
        <v>2.86</v>
      </c>
      <c r="E4098" s="6">
        <v>0.88</v>
      </c>
      <c r="G4098" s="31"/>
    </row>
    <row r="4099" spans="1:7" x14ac:dyDescent="0.25">
      <c r="A4099" s="36">
        <v>43911</v>
      </c>
      <c r="B4099" s="6">
        <v>40.42</v>
      </c>
      <c r="C4099" s="6">
        <v>21.45</v>
      </c>
      <c r="D4099" s="6">
        <v>2.8</v>
      </c>
      <c r="E4099" s="6">
        <v>0.87</v>
      </c>
      <c r="G4099" s="31"/>
    </row>
    <row r="4100" spans="1:7" x14ac:dyDescent="0.25">
      <c r="A4100" s="36">
        <v>43912</v>
      </c>
      <c r="B4100" s="6">
        <v>40.42</v>
      </c>
      <c r="C4100" s="6">
        <v>21.44</v>
      </c>
      <c r="D4100" s="6">
        <v>2.8</v>
      </c>
      <c r="E4100" s="6">
        <v>0.87</v>
      </c>
      <c r="G4100" s="31"/>
    </row>
    <row r="4101" spans="1:7" x14ac:dyDescent="0.25">
      <c r="A4101" s="36">
        <v>43913</v>
      </c>
      <c r="B4101" s="6">
        <v>40.46</v>
      </c>
      <c r="C4101" s="6">
        <v>21.43</v>
      </c>
      <c r="D4101" s="6">
        <v>2.8</v>
      </c>
      <c r="E4101" s="6">
        <v>0.85</v>
      </c>
      <c r="G4101" s="31"/>
    </row>
    <row r="4102" spans="1:7" x14ac:dyDescent="0.25">
      <c r="A4102" s="36">
        <v>43914</v>
      </c>
      <c r="B4102" s="6">
        <v>40.450000000000003</v>
      </c>
      <c r="C4102" s="6">
        <v>21.43</v>
      </c>
      <c r="D4102" s="6">
        <v>2.78</v>
      </c>
      <c r="E4102" s="6">
        <v>0.84</v>
      </c>
      <c r="G4102" s="31"/>
    </row>
    <row r="4103" spans="1:7" x14ac:dyDescent="0.25">
      <c r="A4103" s="36">
        <v>43915</v>
      </c>
      <c r="B4103" s="6">
        <v>40.44</v>
      </c>
      <c r="C4103" s="6">
        <v>21.44</v>
      </c>
      <c r="D4103" s="6">
        <v>2.78</v>
      </c>
      <c r="E4103" s="6">
        <v>0.84</v>
      </c>
      <c r="G4103" s="31"/>
    </row>
    <row r="4104" spans="1:7" x14ac:dyDescent="0.25">
      <c r="A4104" s="36">
        <v>43916</v>
      </c>
      <c r="B4104" s="6">
        <v>40.409999999999997</v>
      </c>
      <c r="C4104" s="6">
        <v>21.46</v>
      </c>
      <c r="D4104" s="6">
        <v>2.78</v>
      </c>
      <c r="E4104" s="6">
        <v>0.83</v>
      </c>
      <c r="G4104" s="31"/>
    </row>
    <row r="4105" spans="1:7" x14ac:dyDescent="0.25">
      <c r="A4105" s="36">
        <v>43917</v>
      </c>
      <c r="B4105" s="6">
        <v>40.4</v>
      </c>
      <c r="C4105" s="6">
        <v>21.47</v>
      </c>
      <c r="D4105" s="6">
        <v>2.78</v>
      </c>
      <c r="E4105" s="6">
        <v>0.81</v>
      </c>
      <c r="G4105" s="31"/>
    </row>
    <row r="4106" spans="1:7" x14ac:dyDescent="0.25">
      <c r="A4106" s="36">
        <v>43918</v>
      </c>
      <c r="B4106" s="6">
        <v>40.380000000000003</v>
      </c>
      <c r="C4106" s="6">
        <v>21.49</v>
      </c>
      <c r="D4106" s="6">
        <v>2.78</v>
      </c>
      <c r="E4106" s="6">
        <v>0.79</v>
      </c>
      <c r="G4106" s="31"/>
    </row>
    <row r="4107" spans="1:7" x14ac:dyDescent="0.25">
      <c r="A4107" s="36">
        <v>43919</v>
      </c>
      <c r="B4107" s="6">
        <v>40.380000000000003</v>
      </c>
      <c r="C4107" s="6">
        <v>21.5</v>
      </c>
      <c r="D4107" s="6">
        <v>2.78</v>
      </c>
      <c r="E4107" s="6">
        <v>0.77</v>
      </c>
      <c r="G4107" s="31"/>
    </row>
    <row r="4108" spans="1:7" x14ac:dyDescent="0.25">
      <c r="A4108" s="36">
        <v>43920</v>
      </c>
      <c r="B4108" s="6">
        <v>40.340000000000003</v>
      </c>
      <c r="C4108" s="6">
        <v>21.52</v>
      </c>
      <c r="D4108" s="6">
        <v>2.78</v>
      </c>
      <c r="E4108" s="6">
        <v>0.75</v>
      </c>
      <c r="G4108" s="31"/>
    </row>
    <row r="4109" spans="1:7" x14ac:dyDescent="0.25">
      <c r="A4109" s="36">
        <v>43921</v>
      </c>
      <c r="B4109" s="6">
        <v>40.299999999999997</v>
      </c>
      <c r="C4109" s="6">
        <v>21.48</v>
      </c>
      <c r="D4109" s="6">
        <v>2.78</v>
      </c>
      <c r="E4109" s="6">
        <v>0.74</v>
      </c>
      <c r="G4109" s="31"/>
    </row>
    <row r="4110" spans="1:7" x14ac:dyDescent="0.25">
      <c r="A4110" s="36">
        <v>43922</v>
      </c>
      <c r="B4110" s="6">
        <v>40.28</v>
      </c>
      <c r="C4110" s="6">
        <v>21.45</v>
      </c>
      <c r="D4110" s="6">
        <v>2.78</v>
      </c>
      <c r="E4110" s="6">
        <v>0.74</v>
      </c>
      <c r="G4110" s="31"/>
    </row>
    <row r="4111" spans="1:7" x14ac:dyDescent="0.25">
      <c r="A4111" s="36">
        <v>43923</v>
      </c>
      <c r="B4111" s="6">
        <v>40.26</v>
      </c>
      <c r="C4111" s="6">
        <v>21.39</v>
      </c>
      <c r="D4111" s="6">
        <v>2.78</v>
      </c>
      <c r="E4111" s="6">
        <v>0.73</v>
      </c>
      <c r="G4111" s="31"/>
    </row>
    <row r="4112" spans="1:7" x14ac:dyDescent="0.25">
      <c r="A4112" s="36">
        <v>43924</v>
      </c>
      <c r="B4112" s="6">
        <v>40.26</v>
      </c>
      <c r="C4112" s="6">
        <v>21.38</v>
      </c>
      <c r="D4112" s="6">
        <v>2.78</v>
      </c>
      <c r="E4112" s="6">
        <v>0.73</v>
      </c>
      <c r="G4112" s="31"/>
    </row>
    <row r="4113" spans="1:7" x14ac:dyDescent="0.25">
      <c r="A4113" s="36">
        <v>43925</v>
      </c>
      <c r="B4113" s="6">
        <v>40.26</v>
      </c>
      <c r="C4113" s="6">
        <v>21.37</v>
      </c>
      <c r="D4113" s="6">
        <v>2.78</v>
      </c>
      <c r="E4113" s="6">
        <v>0.71</v>
      </c>
      <c r="G4113" s="31"/>
    </row>
    <row r="4114" spans="1:7" x14ac:dyDescent="0.25">
      <c r="A4114" s="36">
        <v>43926</v>
      </c>
      <c r="B4114" s="6">
        <v>40.380000000000003</v>
      </c>
      <c r="C4114" s="6">
        <v>21.36</v>
      </c>
      <c r="D4114" s="6">
        <v>2.78</v>
      </c>
      <c r="E4114" s="6">
        <v>0.71</v>
      </c>
      <c r="G4114" s="31"/>
    </row>
    <row r="4115" spans="1:7" x14ac:dyDescent="0.25">
      <c r="A4115" s="36">
        <v>43927</v>
      </c>
      <c r="B4115" s="6">
        <v>40.44</v>
      </c>
      <c r="C4115" s="6">
        <v>21.35</v>
      </c>
      <c r="D4115" s="6">
        <v>2.78</v>
      </c>
      <c r="E4115" s="6">
        <v>0.7</v>
      </c>
      <c r="G4115" s="31"/>
    </row>
    <row r="4116" spans="1:7" x14ac:dyDescent="0.25">
      <c r="A4116" s="36">
        <v>43928</v>
      </c>
      <c r="B4116" s="6">
        <v>40.5</v>
      </c>
      <c r="C4116" s="6">
        <v>21.34</v>
      </c>
      <c r="D4116" s="6">
        <v>2.78</v>
      </c>
      <c r="E4116" s="6">
        <v>0.72</v>
      </c>
      <c r="G4116" s="31"/>
    </row>
    <row r="4117" spans="1:7" x14ac:dyDescent="0.25">
      <c r="A4117" s="36">
        <v>43929</v>
      </c>
      <c r="B4117" s="6">
        <v>40.6</v>
      </c>
      <c r="C4117" s="6">
        <v>21.35</v>
      </c>
      <c r="D4117" s="6">
        <v>2.78</v>
      </c>
      <c r="E4117" s="6">
        <v>0.72</v>
      </c>
      <c r="G4117" s="31"/>
    </row>
    <row r="4118" spans="1:7" x14ac:dyDescent="0.25">
      <c r="A4118" s="36">
        <v>43930</v>
      </c>
      <c r="B4118" s="6">
        <v>40.72</v>
      </c>
      <c r="C4118" s="6">
        <v>21.36</v>
      </c>
      <c r="D4118" s="6">
        <v>2.78</v>
      </c>
      <c r="E4118" s="6">
        <v>0.71</v>
      </c>
      <c r="G4118" s="31"/>
    </row>
    <row r="4119" spans="1:7" x14ac:dyDescent="0.25">
      <c r="A4119" s="36">
        <v>43931</v>
      </c>
      <c r="B4119" s="6">
        <v>40.78</v>
      </c>
      <c r="C4119" s="6">
        <v>21.36</v>
      </c>
      <c r="D4119" s="6">
        <v>2.78</v>
      </c>
      <c r="E4119" s="6">
        <v>0.73</v>
      </c>
      <c r="G4119" s="31"/>
    </row>
    <row r="4120" spans="1:7" x14ac:dyDescent="0.25">
      <c r="A4120" s="36">
        <v>43932</v>
      </c>
      <c r="B4120" s="6">
        <v>40.880000000000003</v>
      </c>
      <c r="C4120" s="6">
        <v>21.37</v>
      </c>
      <c r="D4120" s="6">
        <v>2.78</v>
      </c>
      <c r="E4120" s="6">
        <v>0.73</v>
      </c>
      <c r="G4120" s="31"/>
    </row>
    <row r="4121" spans="1:7" x14ac:dyDescent="0.25">
      <c r="A4121" s="36">
        <v>43933</v>
      </c>
      <c r="B4121" s="6">
        <v>41</v>
      </c>
      <c r="C4121" s="6">
        <v>21.4</v>
      </c>
      <c r="D4121" s="6">
        <v>2.82</v>
      </c>
      <c r="E4121" s="6">
        <v>0.72</v>
      </c>
      <c r="G4121" s="31"/>
    </row>
    <row r="4122" spans="1:7" x14ac:dyDescent="0.25">
      <c r="A4122" s="36">
        <v>43934</v>
      </c>
      <c r="B4122" s="6">
        <v>41.1</v>
      </c>
      <c r="C4122" s="6">
        <v>21.41</v>
      </c>
      <c r="D4122" s="6">
        <v>2.84</v>
      </c>
      <c r="E4122" s="6">
        <v>0.75</v>
      </c>
      <c r="G4122" s="31"/>
    </row>
    <row r="4123" spans="1:7" x14ac:dyDescent="0.25">
      <c r="A4123" s="36">
        <v>43935</v>
      </c>
      <c r="B4123" s="6">
        <v>41.2</v>
      </c>
      <c r="C4123" s="6">
        <v>21.44</v>
      </c>
      <c r="D4123" s="6">
        <v>2.88</v>
      </c>
      <c r="E4123" s="6">
        <v>0.74</v>
      </c>
      <c r="G4123" s="31"/>
    </row>
    <row r="4124" spans="1:7" x14ac:dyDescent="0.25">
      <c r="A4124" s="36">
        <v>43936</v>
      </c>
      <c r="B4124" s="6">
        <v>41.3</v>
      </c>
      <c r="C4124" s="6">
        <v>21.46</v>
      </c>
      <c r="D4124" s="6">
        <v>2.92</v>
      </c>
      <c r="E4124" s="6">
        <v>0.78</v>
      </c>
      <c r="G4124" s="31"/>
    </row>
    <row r="4125" spans="1:7" x14ac:dyDescent="0.25">
      <c r="A4125" s="36">
        <v>43937</v>
      </c>
      <c r="B4125" s="6">
        <v>41.4</v>
      </c>
      <c r="C4125" s="6">
        <v>21.48</v>
      </c>
      <c r="D4125" s="6">
        <v>2.94</v>
      </c>
      <c r="E4125" s="6">
        <v>0.77</v>
      </c>
      <c r="G4125" s="31"/>
    </row>
    <row r="4126" spans="1:7" x14ac:dyDescent="0.25">
      <c r="A4126" s="36">
        <v>43938</v>
      </c>
      <c r="B4126" s="6">
        <v>41.44</v>
      </c>
      <c r="C4126" s="6">
        <v>21.5</v>
      </c>
      <c r="D4126" s="6">
        <v>2.96</v>
      </c>
      <c r="E4126" s="6">
        <v>0.79</v>
      </c>
      <c r="G4126" s="31"/>
    </row>
    <row r="4127" spans="1:7" x14ac:dyDescent="0.25">
      <c r="A4127" s="36">
        <v>43939</v>
      </c>
      <c r="B4127" s="6">
        <v>41.47</v>
      </c>
      <c r="C4127" s="6">
        <v>21.53</v>
      </c>
      <c r="D4127" s="6">
        <v>2.98</v>
      </c>
      <c r="E4127" s="6">
        <v>0.79</v>
      </c>
      <c r="G4127" s="31"/>
    </row>
    <row r="4128" spans="1:7" x14ac:dyDescent="0.25">
      <c r="A4128" s="36">
        <v>43940</v>
      </c>
      <c r="B4128" s="6">
        <v>41.48</v>
      </c>
      <c r="C4128" s="6">
        <v>21.56</v>
      </c>
      <c r="D4128" s="6">
        <v>3</v>
      </c>
      <c r="E4128" s="6">
        <v>0.87</v>
      </c>
      <c r="G4128" s="31"/>
    </row>
    <row r="4129" spans="1:7" x14ac:dyDescent="0.25">
      <c r="A4129" s="36">
        <v>43941</v>
      </c>
      <c r="B4129" s="6">
        <v>41.46</v>
      </c>
      <c r="C4129" s="6">
        <v>21.59</v>
      </c>
      <c r="D4129" s="6">
        <v>3.18</v>
      </c>
      <c r="E4129" s="6">
        <v>0.86</v>
      </c>
      <c r="G4129" s="31"/>
    </row>
    <row r="4130" spans="1:7" x14ac:dyDescent="0.25">
      <c r="A4130" s="36">
        <v>43942</v>
      </c>
      <c r="B4130" s="6">
        <v>41.46</v>
      </c>
      <c r="C4130" s="6">
        <v>21.62</v>
      </c>
      <c r="D4130" s="6">
        <v>3.38</v>
      </c>
      <c r="E4130" s="6">
        <v>0.96</v>
      </c>
      <c r="G4130" s="31"/>
    </row>
    <row r="4131" spans="1:7" x14ac:dyDescent="0.25">
      <c r="A4131" s="36">
        <v>43943</v>
      </c>
      <c r="B4131" s="6">
        <v>41.42</v>
      </c>
      <c r="C4131" s="6">
        <v>21.65</v>
      </c>
      <c r="D4131" s="6">
        <v>3.48</v>
      </c>
      <c r="E4131" s="6">
        <v>0.94</v>
      </c>
      <c r="G4131" s="31"/>
    </row>
    <row r="4132" spans="1:7" x14ac:dyDescent="0.25">
      <c r="A4132" s="36">
        <v>43944</v>
      </c>
      <c r="B4132" s="6">
        <v>41.38</v>
      </c>
      <c r="C4132" s="6">
        <v>21.68</v>
      </c>
      <c r="D4132" s="6">
        <v>3.68</v>
      </c>
      <c r="E4132" s="6">
        <v>1.04</v>
      </c>
      <c r="G4132" s="31"/>
    </row>
    <row r="4133" spans="1:7" x14ac:dyDescent="0.25">
      <c r="A4133" s="36">
        <v>43945</v>
      </c>
      <c r="B4133" s="6">
        <v>41.42</v>
      </c>
      <c r="C4133" s="6">
        <v>21.7</v>
      </c>
      <c r="D4133" s="6">
        <v>3.8</v>
      </c>
      <c r="E4133" s="6">
        <v>1.03</v>
      </c>
      <c r="G4133" s="31"/>
    </row>
    <row r="4134" spans="1:7" x14ac:dyDescent="0.25">
      <c r="A4134" s="36">
        <v>43946</v>
      </c>
      <c r="B4134" s="6">
        <v>41.52</v>
      </c>
      <c r="C4134" s="6">
        <v>21.85</v>
      </c>
      <c r="D4134" s="6">
        <v>3.84</v>
      </c>
      <c r="E4134" s="6">
        <v>1.1299999999999999</v>
      </c>
      <c r="G4134" s="31"/>
    </row>
    <row r="4135" spans="1:7" x14ac:dyDescent="0.25">
      <c r="A4135" s="36">
        <v>43947</v>
      </c>
      <c r="B4135" s="6">
        <v>41.6</v>
      </c>
      <c r="C4135" s="6">
        <v>22</v>
      </c>
      <c r="D4135" s="6">
        <v>3.84</v>
      </c>
      <c r="E4135" s="6">
        <v>1.1100000000000001</v>
      </c>
      <c r="G4135" s="31"/>
    </row>
    <row r="4136" spans="1:7" x14ac:dyDescent="0.25">
      <c r="A4136" s="36">
        <v>43948</v>
      </c>
      <c r="B4136" s="6">
        <v>41.64</v>
      </c>
      <c r="C4136" s="6">
        <v>22.15</v>
      </c>
      <c r="D4136" s="6">
        <v>3.8</v>
      </c>
      <c r="E4136" s="6">
        <v>1.26</v>
      </c>
      <c r="G4136" s="31"/>
    </row>
    <row r="4137" spans="1:7" x14ac:dyDescent="0.25">
      <c r="A4137" s="36">
        <v>43949</v>
      </c>
      <c r="B4137" s="6">
        <v>41.68</v>
      </c>
      <c r="C4137" s="6">
        <v>22.26</v>
      </c>
      <c r="D4137" s="6">
        <v>3.76</v>
      </c>
      <c r="E4137" s="6">
        <v>1.24</v>
      </c>
      <c r="G4137" s="31"/>
    </row>
    <row r="4138" spans="1:7" x14ac:dyDescent="0.25">
      <c r="A4138" s="36">
        <v>43950</v>
      </c>
      <c r="B4138" s="6">
        <v>41.7</v>
      </c>
      <c r="C4138" s="6">
        <v>22.48</v>
      </c>
      <c r="D4138" s="6">
        <v>3.76</v>
      </c>
      <c r="E4138" s="6">
        <v>1.39</v>
      </c>
      <c r="G4138" s="31"/>
    </row>
    <row r="4139" spans="1:7" x14ac:dyDescent="0.25">
      <c r="A4139" s="36">
        <v>43951</v>
      </c>
      <c r="B4139" s="6">
        <v>41.72</v>
      </c>
      <c r="C4139" s="6">
        <v>22.68</v>
      </c>
      <c r="D4139" s="6">
        <v>3.7</v>
      </c>
      <c r="E4139" s="6">
        <v>1.46</v>
      </c>
      <c r="G4139" s="31"/>
    </row>
    <row r="4140" spans="1:7" x14ac:dyDescent="0.25">
      <c r="A4140" s="36">
        <v>43952</v>
      </c>
      <c r="B4140" s="6">
        <v>41.7</v>
      </c>
      <c r="C4140" s="6">
        <v>22.86</v>
      </c>
      <c r="D4140" s="6">
        <v>3.74</v>
      </c>
      <c r="E4140" s="6">
        <v>1.48</v>
      </c>
      <c r="G4140" s="31"/>
    </row>
    <row r="4141" spans="1:7" x14ac:dyDescent="0.25">
      <c r="A4141" s="36">
        <v>43953</v>
      </c>
      <c r="B4141" s="6">
        <v>41.7</v>
      </c>
      <c r="C4141" s="6">
        <v>23.04</v>
      </c>
      <c r="D4141" s="6">
        <v>3.78</v>
      </c>
      <c r="E4141" s="6">
        <v>1.5999999999999999</v>
      </c>
      <c r="G4141" s="31"/>
    </row>
    <row r="4142" spans="1:7" x14ac:dyDescent="0.25">
      <c r="A4142" s="36">
        <v>43954</v>
      </c>
      <c r="B4142" s="6">
        <v>41.68</v>
      </c>
      <c r="C4142" s="6">
        <v>23.15</v>
      </c>
      <c r="D4142" s="6">
        <v>3.8</v>
      </c>
      <c r="E4142" s="6">
        <v>1.7</v>
      </c>
      <c r="G4142" s="31"/>
    </row>
    <row r="4143" spans="1:7" x14ac:dyDescent="0.25">
      <c r="A4143" s="36">
        <v>43955</v>
      </c>
      <c r="B4143" s="6">
        <v>41.68</v>
      </c>
      <c r="C4143" s="6">
        <v>23.28</v>
      </c>
      <c r="D4143" s="6">
        <v>3.88</v>
      </c>
      <c r="E4143" s="6">
        <v>1.75</v>
      </c>
      <c r="G4143" s="31"/>
    </row>
    <row r="4144" spans="1:7" x14ac:dyDescent="0.25">
      <c r="A4144" s="36">
        <v>43956</v>
      </c>
      <c r="B4144" s="6">
        <v>41.72</v>
      </c>
      <c r="C4144" s="6">
        <v>23.4</v>
      </c>
      <c r="D4144" s="6">
        <v>3.88</v>
      </c>
      <c r="E4144" s="6">
        <v>1.75</v>
      </c>
      <c r="G4144" s="31"/>
    </row>
    <row r="4145" spans="1:7" x14ac:dyDescent="0.25">
      <c r="A4145" s="36">
        <v>43957</v>
      </c>
      <c r="B4145" s="6">
        <v>41.77</v>
      </c>
      <c r="C4145" s="6">
        <v>23.7</v>
      </c>
      <c r="D4145" s="6">
        <v>4.04</v>
      </c>
      <c r="E4145" s="6">
        <v>1.76</v>
      </c>
      <c r="G4145" s="31"/>
    </row>
    <row r="4146" spans="1:7" x14ac:dyDescent="0.25">
      <c r="A4146" s="36">
        <v>43958</v>
      </c>
      <c r="B4146" s="6">
        <v>41.89</v>
      </c>
      <c r="C4146" s="6">
        <v>23.86</v>
      </c>
      <c r="D4146" s="6">
        <v>4.0599999999999996</v>
      </c>
      <c r="E4146" s="6">
        <v>1.91</v>
      </c>
      <c r="G4146" s="31"/>
    </row>
    <row r="4147" spans="1:7" x14ac:dyDescent="0.25">
      <c r="A4147" s="36">
        <v>43959</v>
      </c>
      <c r="B4147" s="6">
        <v>42.06</v>
      </c>
      <c r="C4147" s="6">
        <v>23.99</v>
      </c>
      <c r="D4147" s="6">
        <v>4.0599999999999996</v>
      </c>
      <c r="E4147" s="6">
        <v>1.97</v>
      </c>
      <c r="G4147" s="31"/>
    </row>
    <row r="4148" spans="1:7" x14ac:dyDescent="0.25">
      <c r="A4148" s="36">
        <v>43960</v>
      </c>
      <c r="B4148" s="6">
        <v>42.28</v>
      </c>
      <c r="C4148" s="6">
        <v>24.08</v>
      </c>
      <c r="D4148" s="6">
        <v>4.0999999999999996</v>
      </c>
      <c r="E4148" s="6">
        <v>2.06</v>
      </c>
      <c r="G4148" s="31"/>
    </row>
    <row r="4149" spans="1:7" x14ac:dyDescent="0.25">
      <c r="A4149" s="36">
        <v>43961</v>
      </c>
      <c r="B4149" s="6">
        <v>42.29</v>
      </c>
      <c r="C4149" s="6">
        <v>24.19</v>
      </c>
      <c r="D4149" s="6">
        <v>4.0999999999999996</v>
      </c>
      <c r="E4149" s="6">
        <v>2.0699999999999998</v>
      </c>
      <c r="G4149" s="31"/>
    </row>
    <row r="4150" spans="1:7" x14ac:dyDescent="0.25">
      <c r="A4150" s="36">
        <v>43962</v>
      </c>
      <c r="B4150" s="6">
        <v>42.29</v>
      </c>
      <c r="C4150" s="6">
        <v>24.35</v>
      </c>
      <c r="D4150" s="6">
        <v>4.2</v>
      </c>
      <c r="E4150" s="6">
        <v>2</v>
      </c>
      <c r="G4150" s="31"/>
    </row>
    <row r="4151" spans="1:7" x14ac:dyDescent="0.25">
      <c r="A4151" s="36">
        <v>43963</v>
      </c>
      <c r="B4151" s="6">
        <v>42.3</v>
      </c>
      <c r="C4151" s="6">
        <v>24.49</v>
      </c>
      <c r="D4151" s="6">
        <v>4.3</v>
      </c>
      <c r="E4151" s="6">
        <v>1.97</v>
      </c>
      <c r="G4151" s="31"/>
    </row>
    <row r="4152" spans="1:7" x14ac:dyDescent="0.25">
      <c r="A4152" s="36">
        <v>43964</v>
      </c>
      <c r="B4152" s="6">
        <v>42.53</v>
      </c>
      <c r="C4152" s="6">
        <v>24.68</v>
      </c>
      <c r="D4152" s="6">
        <v>4.5</v>
      </c>
      <c r="E4152" s="6">
        <v>1.98</v>
      </c>
      <c r="G4152" s="31"/>
    </row>
    <row r="4153" spans="1:7" x14ac:dyDescent="0.25">
      <c r="A4153" s="36">
        <v>43965</v>
      </c>
      <c r="B4153" s="6">
        <v>42.75</v>
      </c>
      <c r="C4153" s="6">
        <v>24.8</v>
      </c>
      <c r="D4153" s="6">
        <v>4.5999999999999996</v>
      </c>
      <c r="E4153" s="6">
        <v>1.96</v>
      </c>
      <c r="G4153" s="31"/>
    </row>
    <row r="4154" spans="1:7" x14ac:dyDescent="0.25">
      <c r="A4154" s="36">
        <v>43966</v>
      </c>
      <c r="B4154" s="6">
        <v>42.93</v>
      </c>
      <c r="C4154" s="6">
        <v>24.98</v>
      </c>
      <c r="D4154" s="6">
        <v>4.8</v>
      </c>
      <c r="E4154" s="6">
        <v>1.99</v>
      </c>
      <c r="G4154" s="31"/>
    </row>
    <row r="4155" spans="1:7" x14ac:dyDescent="0.25">
      <c r="A4155" s="36">
        <v>43967</v>
      </c>
      <c r="B4155" s="6">
        <v>43.09</v>
      </c>
      <c r="C4155" s="6">
        <v>25.06</v>
      </c>
      <c r="D4155" s="6">
        <v>5</v>
      </c>
      <c r="E4155" s="6">
        <v>2.15</v>
      </c>
      <c r="G4155" s="31"/>
    </row>
    <row r="4156" spans="1:7" x14ac:dyDescent="0.25">
      <c r="A4156" s="36">
        <v>43968</v>
      </c>
      <c r="B4156" s="6">
        <v>43.23</v>
      </c>
      <c r="C4156" s="6">
        <v>25.17</v>
      </c>
      <c r="D4156" s="6">
        <v>5.2</v>
      </c>
      <c r="E4156" s="6">
        <v>2.23</v>
      </c>
      <c r="G4156" s="31"/>
    </row>
    <row r="4157" spans="1:7" x14ac:dyDescent="0.25">
      <c r="A4157" s="36">
        <v>43969</v>
      </c>
      <c r="B4157" s="6">
        <v>43.27</v>
      </c>
      <c r="C4157" s="6">
        <v>25.27</v>
      </c>
      <c r="D4157" s="6">
        <v>5.5</v>
      </c>
      <c r="E4157" s="6">
        <v>2.41</v>
      </c>
      <c r="G4157" s="31"/>
    </row>
    <row r="4158" spans="1:7" x14ac:dyDescent="0.25">
      <c r="A4158" s="36">
        <v>43970</v>
      </c>
      <c r="B4158" s="6">
        <v>43.54</v>
      </c>
      <c r="C4158" s="6">
        <v>25.44</v>
      </c>
      <c r="D4158" s="6">
        <v>5.7</v>
      </c>
      <c r="E4158" s="6">
        <v>2.6</v>
      </c>
      <c r="G4158" s="31"/>
    </row>
    <row r="4159" spans="1:7" x14ac:dyDescent="0.25">
      <c r="A4159" s="36">
        <v>43971</v>
      </c>
      <c r="B4159" s="6">
        <v>43.76</v>
      </c>
      <c r="C4159" s="6">
        <v>25.58</v>
      </c>
      <c r="D4159" s="6">
        <v>6.02</v>
      </c>
      <c r="E4159" s="6">
        <v>2.87</v>
      </c>
      <c r="G4159" s="31"/>
    </row>
    <row r="4160" spans="1:7" x14ac:dyDescent="0.25">
      <c r="A4160" s="36">
        <v>43972</v>
      </c>
      <c r="B4160" s="6">
        <v>43.95</v>
      </c>
      <c r="C4160" s="6">
        <v>25.73</v>
      </c>
      <c r="D4160" s="6">
        <v>6.32</v>
      </c>
      <c r="E4160" s="6">
        <v>3.0500000000000003</v>
      </c>
      <c r="G4160" s="31"/>
    </row>
    <row r="4161" spans="1:7" x14ac:dyDescent="0.25">
      <c r="A4161" s="36">
        <v>43973</v>
      </c>
      <c r="B4161" s="6">
        <v>44.1</v>
      </c>
      <c r="C4161" s="6">
        <v>25.88</v>
      </c>
      <c r="D4161" s="6">
        <v>6.5</v>
      </c>
      <c r="E4161" s="6">
        <v>3.27</v>
      </c>
      <c r="G4161" s="31"/>
    </row>
    <row r="4162" spans="1:7" x14ac:dyDescent="0.25">
      <c r="A4162" s="36">
        <v>43974</v>
      </c>
      <c r="B4162" s="6">
        <v>44.17</v>
      </c>
      <c r="C4162" s="6">
        <v>26.01</v>
      </c>
      <c r="D4162" s="6">
        <v>6.88</v>
      </c>
      <c r="E4162" s="6">
        <v>3.2600000000000002</v>
      </c>
      <c r="G4162" s="31"/>
    </row>
    <row r="4163" spans="1:7" x14ac:dyDescent="0.25">
      <c r="A4163" s="36">
        <v>43975</v>
      </c>
      <c r="B4163" s="6">
        <v>44.27</v>
      </c>
      <c r="C4163" s="6">
        <v>26.15</v>
      </c>
      <c r="D4163" s="7">
        <v>7.1</v>
      </c>
      <c r="E4163" s="6">
        <v>3.3200000000000003</v>
      </c>
      <c r="G4163" s="31"/>
    </row>
    <row r="4164" spans="1:7" x14ac:dyDescent="0.25">
      <c r="A4164" s="36">
        <v>43976</v>
      </c>
      <c r="B4164" s="6">
        <v>44.37</v>
      </c>
      <c r="C4164" s="7">
        <v>26.28</v>
      </c>
      <c r="D4164" s="7">
        <v>7.2</v>
      </c>
      <c r="E4164" s="6">
        <v>3.47</v>
      </c>
      <c r="G4164" s="31"/>
    </row>
    <row r="4165" spans="1:7" x14ac:dyDescent="0.25">
      <c r="A4165" s="36">
        <v>43977</v>
      </c>
      <c r="B4165" s="7">
        <v>44.48</v>
      </c>
      <c r="C4165" s="7">
        <v>26.4</v>
      </c>
      <c r="D4165" s="7">
        <v>7.34</v>
      </c>
      <c r="E4165" s="7">
        <v>3.62</v>
      </c>
      <c r="G4165" s="31"/>
    </row>
    <row r="4166" spans="1:7" x14ac:dyDescent="0.25">
      <c r="A4166" s="36">
        <v>43978</v>
      </c>
      <c r="B4166" s="7">
        <v>44.58</v>
      </c>
      <c r="C4166" s="7">
        <v>26.55</v>
      </c>
      <c r="D4166" s="7">
        <v>7.46</v>
      </c>
      <c r="E4166" s="7">
        <v>3.79</v>
      </c>
      <c r="G4166" s="31"/>
    </row>
    <row r="4167" spans="1:7" x14ac:dyDescent="0.25">
      <c r="A4167" s="36">
        <v>43979</v>
      </c>
      <c r="B4167" s="7">
        <v>44.74</v>
      </c>
      <c r="C4167" s="7">
        <v>26.7</v>
      </c>
      <c r="D4167" s="7">
        <v>7.6</v>
      </c>
      <c r="E4167" s="7">
        <v>3.73</v>
      </c>
      <c r="G4167" s="31"/>
    </row>
    <row r="4168" spans="1:7" x14ac:dyDescent="0.25">
      <c r="A4168" s="36">
        <v>43980</v>
      </c>
      <c r="B4168" s="7">
        <v>44.91</v>
      </c>
      <c r="C4168" s="7">
        <v>26.85</v>
      </c>
      <c r="D4168" s="7">
        <v>7.75</v>
      </c>
      <c r="E4168" s="7">
        <v>3.94</v>
      </c>
      <c r="G4168" s="31"/>
    </row>
    <row r="4169" spans="1:7" x14ac:dyDescent="0.25">
      <c r="A4169" s="36">
        <v>43981</v>
      </c>
      <c r="B4169" s="7">
        <v>45.1</v>
      </c>
      <c r="C4169" s="7">
        <v>26.99</v>
      </c>
      <c r="D4169" s="8">
        <v>8</v>
      </c>
      <c r="E4169" s="7">
        <v>4.08</v>
      </c>
      <c r="G4169" s="31"/>
    </row>
    <row r="4170" spans="1:7" x14ac:dyDescent="0.25">
      <c r="A4170" s="36">
        <v>43982</v>
      </c>
      <c r="B4170" s="7">
        <v>45.22</v>
      </c>
      <c r="C4170" s="7">
        <v>27.15</v>
      </c>
      <c r="D4170" s="7">
        <v>8.1199999999999992</v>
      </c>
      <c r="E4170" s="7">
        <v>4.05</v>
      </c>
      <c r="G4170" s="31"/>
    </row>
    <row r="4171" spans="1:7" x14ac:dyDescent="0.25">
      <c r="A4171" s="36">
        <v>43983</v>
      </c>
      <c r="B4171" s="7">
        <v>45.37</v>
      </c>
      <c r="C4171" s="7">
        <v>27.28</v>
      </c>
      <c r="D4171" s="7">
        <v>8.1999999999999993</v>
      </c>
      <c r="E4171" s="7">
        <v>4.17</v>
      </c>
      <c r="G4171" s="31"/>
    </row>
    <row r="4172" spans="1:7" x14ac:dyDescent="0.25">
      <c r="A4172" s="36">
        <v>43984</v>
      </c>
      <c r="B4172" s="7">
        <v>45.5</v>
      </c>
      <c r="C4172" s="7">
        <v>27.31</v>
      </c>
      <c r="D4172" s="7">
        <v>8.32</v>
      </c>
      <c r="E4172" s="7">
        <v>4.33</v>
      </c>
      <c r="G4172" s="31"/>
    </row>
    <row r="4173" spans="1:7" x14ac:dyDescent="0.25">
      <c r="A4173" s="36">
        <v>43985</v>
      </c>
      <c r="B4173" s="7">
        <v>45.32</v>
      </c>
      <c r="C4173" s="7">
        <v>27.43</v>
      </c>
      <c r="D4173" s="7">
        <v>8.48</v>
      </c>
      <c r="E4173" s="7">
        <v>4.4000000000000004</v>
      </c>
      <c r="G4173" s="31"/>
    </row>
    <row r="4174" spans="1:7" x14ac:dyDescent="0.25">
      <c r="A4174" s="36">
        <v>43986</v>
      </c>
      <c r="B4174" s="7">
        <v>45.72</v>
      </c>
      <c r="C4174" s="7">
        <v>27.53</v>
      </c>
      <c r="D4174" s="7">
        <v>8.64</v>
      </c>
      <c r="E4174" s="7">
        <v>4.6399999999999997</v>
      </c>
      <c r="G4174" s="31"/>
    </row>
    <row r="4175" spans="1:7" x14ac:dyDescent="0.25">
      <c r="A4175" s="36">
        <v>43987</v>
      </c>
      <c r="B4175" s="7">
        <v>45.77</v>
      </c>
      <c r="C4175" s="7">
        <v>27.68</v>
      </c>
      <c r="D4175" s="7">
        <v>8.8000000000000007</v>
      </c>
      <c r="E4175" s="7">
        <v>4.68</v>
      </c>
      <c r="G4175" s="31"/>
    </row>
    <row r="4176" spans="1:7" x14ac:dyDescent="0.25">
      <c r="A4176" s="36">
        <v>43988</v>
      </c>
      <c r="B4176" s="7">
        <v>45.86</v>
      </c>
      <c r="C4176" s="7">
        <v>27.79</v>
      </c>
      <c r="D4176" s="7">
        <v>8.94</v>
      </c>
      <c r="E4176" s="7">
        <v>4.8099999999999996</v>
      </c>
      <c r="G4176" s="31"/>
    </row>
    <row r="4177" spans="1:7" x14ac:dyDescent="0.25">
      <c r="A4177" s="36">
        <v>43989</v>
      </c>
      <c r="B4177" s="7">
        <v>45.94</v>
      </c>
      <c r="C4177" s="7">
        <v>27.9</v>
      </c>
      <c r="D4177" s="7">
        <v>9.0399999999999991</v>
      </c>
      <c r="E4177" s="7">
        <v>4.88</v>
      </c>
      <c r="G4177" s="31"/>
    </row>
    <row r="4178" spans="1:7" x14ac:dyDescent="0.25">
      <c r="A4178" s="36">
        <v>43990</v>
      </c>
      <c r="B4178" s="7">
        <v>45.98</v>
      </c>
      <c r="C4178" s="7">
        <v>28</v>
      </c>
      <c r="D4178" s="7">
        <v>9.08</v>
      </c>
      <c r="E4178" s="7">
        <v>4.92</v>
      </c>
      <c r="G4178" s="31"/>
    </row>
    <row r="4179" spans="1:7" x14ac:dyDescent="0.25">
      <c r="A4179" s="36">
        <v>43991</v>
      </c>
      <c r="B4179" s="7">
        <v>46.02</v>
      </c>
      <c r="C4179" s="7">
        <v>28.1</v>
      </c>
      <c r="D4179" s="7">
        <v>9.14</v>
      </c>
      <c r="E4179" s="7">
        <v>4.97</v>
      </c>
      <c r="G4179" s="31"/>
    </row>
    <row r="4180" spans="1:7" x14ac:dyDescent="0.25">
      <c r="A4180" s="36">
        <v>43992</v>
      </c>
      <c r="B4180" s="7">
        <v>46.07</v>
      </c>
      <c r="C4180" s="7">
        <v>28.12</v>
      </c>
      <c r="D4180" s="7">
        <v>9.18</v>
      </c>
      <c r="E4180" s="7">
        <v>4.8899999999999997</v>
      </c>
      <c r="G4180" s="31"/>
    </row>
    <row r="4181" spans="1:7" x14ac:dyDescent="0.25">
      <c r="A4181" s="36">
        <v>43993</v>
      </c>
      <c r="B4181" s="7">
        <v>46.09</v>
      </c>
      <c r="C4181" s="7">
        <v>28.17</v>
      </c>
      <c r="D4181" s="7">
        <v>9.4</v>
      </c>
      <c r="E4181" s="7">
        <v>5.08</v>
      </c>
      <c r="G4181" s="31"/>
    </row>
    <row r="4182" spans="1:7" x14ac:dyDescent="0.25">
      <c r="A4182" s="36">
        <v>43994</v>
      </c>
      <c r="B4182" s="7">
        <v>46.09</v>
      </c>
      <c r="C4182" s="7">
        <v>28.22</v>
      </c>
      <c r="D4182" s="7">
        <v>9.5399999999999991</v>
      </c>
      <c r="E4182" s="7">
        <v>5.0999999999999996</v>
      </c>
      <c r="G4182" s="31"/>
    </row>
    <row r="4183" spans="1:7" x14ac:dyDescent="0.25">
      <c r="A4183" s="36">
        <v>43995</v>
      </c>
      <c r="B4183" s="7">
        <v>46.13</v>
      </c>
      <c r="C4183" s="7">
        <v>28.27</v>
      </c>
      <c r="D4183" s="7">
        <v>9.6</v>
      </c>
      <c r="E4183" s="7">
        <v>5.18</v>
      </c>
      <c r="G4183" s="31"/>
    </row>
    <row r="4184" spans="1:7" x14ac:dyDescent="0.25">
      <c r="A4184" s="36">
        <v>43996</v>
      </c>
      <c r="B4184" s="7">
        <v>46.2</v>
      </c>
      <c r="C4184" s="7">
        <v>28.32</v>
      </c>
      <c r="D4184" s="6">
        <v>9.64</v>
      </c>
      <c r="E4184" s="7">
        <v>5.38</v>
      </c>
      <c r="G4184" s="31"/>
    </row>
    <row r="4185" spans="1:7" x14ac:dyDescent="0.25">
      <c r="A4185" s="36">
        <v>43997</v>
      </c>
      <c r="B4185" s="7">
        <v>46.28</v>
      </c>
      <c r="C4185" s="7">
        <v>28.36</v>
      </c>
      <c r="D4185" s="6">
        <v>9.6999999999999993</v>
      </c>
      <c r="E4185" s="7">
        <v>5.43</v>
      </c>
      <c r="G4185" s="31"/>
    </row>
    <row r="4186" spans="1:7" x14ac:dyDescent="0.25">
      <c r="A4186" s="36">
        <v>43998</v>
      </c>
      <c r="B4186" s="6">
        <v>46.28</v>
      </c>
      <c r="C4186" s="7">
        <v>28.44</v>
      </c>
      <c r="D4186" s="6">
        <v>9.7799999999999994</v>
      </c>
      <c r="E4186" s="6">
        <v>5.48</v>
      </c>
      <c r="G4186" s="31"/>
    </row>
    <row r="4187" spans="1:7" x14ac:dyDescent="0.25">
      <c r="A4187" s="36">
        <v>43999</v>
      </c>
      <c r="B4187" s="6">
        <v>46.4</v>
      </c>
      <c r="C4187" s="7">
        <v>28.47</v>
      </c>
      <c r="D4187" s="6">
        <v>9.8800000000000008</v>
      </c>
      <c r="E4187" s="6">
        <v>5.55</v>
      </c>
      <c r="G4187" s="31"/>
    </row>
    <row r="4188" spans="1:7" x14ac:dyDescent="0.25">
      <c r="A4188" s="36">
        <v>44000</v>
      </c>
      <c r="B4188" s="6">
        <v>46.78</v>
      </c>
      <c r="C4188" s="7">
        <v>28.52</v>
      </c>
      <c r="D4188" s="6">
        <v>10</v>
      </c>
      <c r="E4188" s="6">
        <v>5.55</v>
      </c>
      <c r="G4188" s="31"/>
    </row>
    <row r="4189" spans="1:7" x14ac:dyDescent="0.25">
      <c r="A4189" s="36">
        <v>44001</v>
      </c>
      <c r="B4189" s="6">
        <v>47</v>
      </c>
      <c r="C4189" s="7">
        <v>28.57</v>
      </c>
      <c r="D4189" s="6">
        <v>10.1</v>
      </c>
      <c r="E4189" s="6">
        <v>5.65</v>
      </c>
      <c r="G4189" s="31"/>
    </row>
    <row r="4190" spans="1:7" x14ac:dyDescent="0.25">
      <c r="A4190" s="36">
        <v>44002</v>
      </c>
      <c r="B4190" s="6">
        <v>47.84</v>
      </c>
      <c r="C4190" s="7">
        <v>28.7</v>
      </c>
      <c r="D4190" s="6">
        <v>10.199999999999999</v>
      </c>
      <c r="E4190" s="6">
        <v>5.67</v>
      </c>
      <c r="G4190" s="31"/>
    </row>
    <row r="4191" spans="1:7" x14ac:dyDescent="0.25">
      <c r="A4191" s="36">
        <v>44003</v>
      </c>
      <c r="B4191" s="6">
        <v>47.91</v>
      </c>
      <c r="C4191" s="7">
        <v>28.83</v>
      </c>
      <c r="D4191" s="6">
        <v>10.28</v>
      </c>
      <c r="E4191" s="6">
        <v>5.75</v>
      </c>
      <c r="G4191" s="31"/>
    </row>
    <row r="4192" spans="1:7" x14ac:dyDescent="0.25">
      <c r="A4192" s="36">
        <v>44004</v>
      </c>
      <c r="B4192" s="6">
        <v>48</v>
      </c>
      <c r="C4192" s="7">
        <v>28.97</v>
      </c>
      <c r="D4192" s="6">
        <v>10.38</v>
      </c>
      <c r="E4192" s="6">
        <v>5.94</v>
      </c>
      <c r="G4192" s="31"/>
    </row>
    <row r="4193" spans="1:7" x14ac:dyDescent="0.25">
      <c r="A4193" s="36">
        <v>44005</v>
      </c>
      <c r="B4193" s="6">
        <v>48.1</v>
      </c>
      <c r="C4193" s="7">
        <v>29.05</v>
      </c>
      <c r="D4193" s="6">
        <v>10.48</v>
      </c>
      <c r="E4193" s="6">
        <v>6.11</v>
      </c>
      <c r="G4193" s="31"/>
    </row>
    <row r="4194" spans="1:7" x14ac:dyDescent="0.25">
      <c r="A4194" s="36">
        <v>44006</v>
      </c>
      <c r="B4194" s="6">
        <v>48.15</v>
      </c>
      <c r="C4194" s="7">
        <v>29.13</v>
      </c>
      <c r="D4194" s="6">
        <v>10.6</v>
      </c>
      <c r="E4194" s="6">
        <v>6.16</v>
      </c>
      <c r="G4194" s="31"/>
    </row>
    <row r="4195" spans="1:7" x14ac:dyDescent="0.25">
      <c r="A4195" s="36">
        <v>44007</v>
      </c>
      <c r="B4195" s="6">
        <v>48.26</v>
      </c>
      <c r="C4195" s="7">
        <v>29.21</v>
      </c>
      <c r="D4195" s="6">
        <v>10.8</v>
      </c>
      <c r="E4195" s="6">
        <v>6.31</v>
      </c>
      <c r="G4195" s="31"/>
    </row>
    <row r="4196" spans="1:7" x14ac:dyDescent="0.25">
      <c r="A4196" s="36">
        <v>44008</v>
      </c>
      <c r="B4196" s="6">
        <v>48.29</v>
      </c>
      <c r="C4196" s="7">
        <v>29.29</v>
      </c>
      <c r="D4196" s="6">
        <v>10.84</v>
      </c>
      <c r="E4196" s="6">
        <v>6.39</v>
      </c>
      <c r="G4196" s="31"/>
    </row>
    <row r="4197" spans="1:7" x14ac:dyDescent="0.25">
      <c r="A4197" s="36">
        <v>44009</v>
      </c>
      <c r="B4197" s="6">
        <v>48.47</v>
      </c>
      <c r="C4197" s="7">
        <v>29.36</v>
      </c>
      <c r="D4197" s="6">
        <v>10.92</v>
      </c>
      <c r="E4197" s="6">
        <v>6.31</v>
      </c>
      <c r="G4197" s="31"/>
    </row>
    <row r="4198" spans="1:7" x14ac:dyDescent="0.25">
      <c r="A4198" s="36">
        <v>44010</v>
      </c>
      <c r="B4198" s="6">
        <v>48.6</v>
      </c>
      <c r="C4198" s="7">
        <v>29.43</v>
      </c>
      <c r="D4198" s="6">
        <v>10.98</v>
      </c>
      <c r="E4198" s="6">
        <v>6.41</v>
      </c>
      <c r="G4198" s="31"/>
    </row>
    <row r="4199" spans="1:7" x14ac:dyDescent="0.25">
      <c r="A4199" s="36">
        <v>44011</v>
      </c>
      <c r="B4199" s="6">
        <v>48.78</v>
      </c>
      <c r="C4199" s="7">
        <v>29.5</v>
      </c>
      <c r="D4199" s="6">
        <v>11.08</v>
      </c>
      <c r="E4199" s="6">
        <v>6.37</v>
      </c>
      <c r="G4199" s="31"/>
    </row>
    <row r="4200" spans="1:7" x14ac:dyDescent="0.25">
      <c r="A4200" s="36">
        <v>44012</v>
      </c>
      <c r="B4200" s="6">
        <v>48.9</v>
      </c>
      <c r="C4200" s="6">
        <v>29.64</v>
      </c>
      <c r="D4200" s="6">
        <v>11.16</v>
      </c>
      <c r="E4200" s="6">
        <v>6.51</v>
      </c>
      <c r="G4200" s="31"/>
    </row>
    <row r="4201" spans="1:7" x14ac:dyDescent="0.25">
      <c r="A4201" s="36">
        <v>44013</v>
      </c>
      <c r="B4201" s="6">
        <v>49.05</v>
      </c>
      <c r="C4201" s="6">
        <v>29.74</v>
      </c>
      <c r="D4201" s="6">
        <v>11.28</v>
      </c>
      <c r="E4201" s="6">
        <v>6.67</v>
      </c>
      <c r="G4201" s="31"/>
    </row>
    <row r="4202" spans="1:7" x14ac:dyDescent="0.25">
      <c r="A4202" s="36">
        <v>44014</v>
      </c>
      <c r="B4202" s="6">
        <v>49.14</v>
      </c>
      <c r="C4202" s="6">
        <v>29.82</v>
      </c>
      <c r="D4202" s="6">
        <v>11.38</v>
      </c>
      <c r="E4202" s="6">
        <v>6.77</v>
      </c>
      <c r="G4202" s="31"/>
    </row>
    <row r="4203" spans="1:7" x14ac:dyDescent="0.25">
      <c r="A4203" s="36">
        <v>44015</v>
      </c>
      <c r="B4203" s="6">
        <v>49.26</v>
      </c>
      <c r="C4203" s="6">
        <v>29.9</v>
      </c>
      <c r="D4203" s="6">
        <v>11.46</v>
      </c>
      <c r="E4203" s="6">
        <v>6.83</v>
      </c>
      <c r="G4203" s="31"/>
    </row>
    <row r="4204" spans="1:7" x14ac:dyDescent="0.25">
      <c r="A4204" s="36">
        <v>44016</v>
      </c>
      <c r="B4204" s="6">
        <v>49.35</v>
      </c>
      <c r="C4204" s="6">
        <v>29.98</v>
      </c>
      <c r="D4204" s="6">
        <v>11.54</v>
      </c>
      <c r="E4204" s="6">
        <v>6.89</v>
      </c>
      <c r="G4204" s="31"/>
    </row>
    <row r="4205" spans="1:7" x14ac:dyDescent="0.25">
      <c r="A4205" s="36">
        <v>44017</v>
      </c>
      <c r="B4205" s="6">
        <v>49.45</v>
      </c>
      <c r="C4205" s="6">
        <v>30.06</v>
      </c>
      <c r="D4205" s="6">
        <v>11.66</v>
      </c>
      <c r="E4205" s="6">
        <v>6.9499999999999993</v>
      </c>
      <c r="G4205" s="31"/>
    </row>
    <row r="4206" spans="1:7" x14ac:dyDescent="0.25">
      <c r="A4206" s="36">
        <v>44018</v>
      </c>
      <c r="B4206" s="7">
        <v>49.57</v>
      </c>
      <c r="C4206" s="6">
        <v>30.12</v>
      </c>
      <c r="D4206" s="6">
        <v>11.76</v>
      </c>
      <c r="E4206" s="7">
        <v>6.9499999999999993</v>
      </c>
      <c r="G4206" s="31"/>
    </row>
    <row r="4207" spans="1:7" x14ac:dyDescent="0.25">
      <c r="A4207" s="36">
        <v>44019</v>
      </c>
      <c r="B4207" s="7">
        <v>49.69</v>
      </c>
      <c r="C4207" s="6">
        <v>30.22</v>
      </c>
      <c r="D4207" s="6">
        <v>11.9</v>
      </c>
      <c r="E4207" s="7">
        <v>7.01</v>
      </c>
      <c r="G4207" s="31"/>
    </row>
    <row r="4208" spans="1:7" x14ac:dyDescent="0.25">
      <c r="A4208" s="36">
        <v>44020</v>
      </c>
      <c r="B4208" s="6">
        <v>49.77</v>
      </c>
      <c r="C4208" s="6">
        <v>30.3</v>
      </c>
      <c r="D4208" s="6">
        <v>11.94</v>
      </c>
      <c r="E4208" s="6">
        <v>7.17</v>
      </c>
      <c r="G4208" s="31"/>
    </row>
    <row r="4209" spans="1:7" x14ac:dyDescent="0.25">
      <c r="A4209" s="36">
        <v>44021</v>
      </c>
      <c r="B4209" s="6">
        <v>49.81</v>
      </c>
      <c r="C4209" s="6">
        <v>30.38</v>
      </c>
      <c r="D4209" s="6">
        <v>11.96</v>
      </c>
      <c r="E4209" s="6">
        <v>7.2399999999999993</v>
      </c>
      <c r="G4209" s="31"/>
    </row>
    <row r="4210" spans="1:7" x14ac:dyDescent="0.25">
      <c r="A4210" s="36">
        <v>44022</v>
      </c>
      <c r="B4210" s="6">
        <v>49.87</v>
      </c>
      <c r="C4210" s="6">
        <v>30.46</v>
      </c>
      <c r="D4210" s="6">
        <v>12.06</v>
      </c>
      <c r="E4210" s="6">
        <v>7.29</v>
      </c>
      <c r="G4210" s="31"/>
    </row>
    <row r="4211" spans="1:7" x14ac:dyDescent="0.25">
      <c r="A4211" s="36">
        <v>44023</v>
      </c>
      <c r="B4211" s="6">
        <v>49.94</v>
      </c>
      <c r="C4211" s="6">
        <v>30.54</v>
      </c>
      <c r="D4211" s="6">
        <v>12.16</v>
      </c>
      <c r="E4211" s="6">
        <v>7.3</v>
      </c>
      <c r="G4211" s="31"/>
    </row>
    <row r="4212" spans="1:7" x14ac:dyDescent="0.25">
      <c r="A4212" s="36">
        <v>44024</v>
      </c>
      <c r="B4212" s="6">
        <v>50</v>
      </c>
      <c r="C4212" s="6">
        <v>30.62</v>
      </c>
      <c r="D4212" s="6">
        <v>12.24</v>
      </c>
      <c r="E4212" s="6">
        <v>7.34</v>
      </c>
      <c r="G4212" s="31"/>
    </row>
    <row r="4213" spans="1:7" x14ac:dyDescent="0.25">
      <c r="A4213" s="36">
        <v>44025</v>
      </c>
      <c r="B4213" s="6">
        <v>50.06</v>
      </c>
      <c r="C4213" s="6">
        <v>30.69</v>
      </c>
      <c r="D4213" s="6">
        <v>12.3</v>
      </c>
      <c r="E4213" s="6">
        <v>7.52</v>
      </c>
      <c r="G4213" s="31"/>
    </row>
    <row r="4214" spans="1:7" x14ac:dyDescent="0.25">
      <c r="A4214" s="36">
        <v>44026</v>
      </c>
      <c r="B4214" s="6">
        <v>50.08</v>
      </c>
      <c r="C4214" s="6">
        <v>30.76</v>
      </c>
      <c r="D4214" s="6">
        <v>12.4</v>
      </c>
      <c r="E4214" s="6">
        <v>7.52</v>
      </c>
      <c r="G4214" s="31"/>
    </row>
    <row r="4215" spans="1:7" x14ac:dyDescent="0.25">
      <c r="A4215" s="36">
        <v>44027</v>
      </c>
      <c r="B4215" s="6">
        <v>50.1</v>
      </c>
      <c r="C4215" s="6">
        <v>30.84</v>
      </c>
      <c r="D4215" s="6">
        <v>12.52</v>
      </c>
      <c r="E4215" s="6">
        <v>7.5699999999999994</v>
      </c>
      <c r="G4215" s="31"/>
    </row>
    <row r="4216" spans="1:7" x14ac:dyDescent="0.25">
      <c r="A4216" s="36">
        <v>44028</v>
      </c>
      <c r="B4216" s="6">
        <v>50.12</v>
      </c>
      <c r="C4216" s="6">
        <v>30.9</v>
      </c>
      <c r="D4216" s="6">
        <v>12.62</v>
      </c>
      <c r="E4216" s="6">
        <v>7.58</v>
      </c>
      <c r="G4216" s="31"/>
    </row>
    <row r="4217" spans="1:7" x14ac:dyDescent="0.25">
      <c r="A4217" s="36">
        <v>44029</v>
      </c>
      <c r="B4217" s="6">
        <v>50.15</v>
      </c>
      <c r="C4217" s="6">
        <v>30.98</v>
      </c>
      <c r="D4217" s="6">
        <v>12.64</v>
      </c>
      <c r="E4217" s="6">
        <v>7.6899999999999995</v>
      </c>
      <c r="G4217" s="31"/>
    </row>
    <row r="4218" spans="1:7" x14ac:dyDescent="0.25">
      <c r="A4218" s="36">
        <v>44030</v>
      </c>
      <c r="B4218" s="6">
        <v>50.2</v>
      </c>
      <c r="C4218" s="6">
        <v>31.06</v>
      </c>
      <c r="D4218" s="6">
        <v>12.72</v>
      </c>
      <c r="E4218" s="6">
        <v>7.8199999999999994</v>
      </c>
      <c r="G4218" s="31"/>
    </row>
    <row r="4219" spans="1:7" x14ac:dyDescent="0.25">
      <c r="A4219" s="36">
        <v>44031</v>
      </c>
      <c r="B4219" s="6">
        <v>50.22</v>
      </c>
      <c r="C4219" s="6">
        <v>31.13</v>
      </c>
      <c r="D4219" s="6">
        <v>12.8</v>
      </c>
      <c r="E4219" s="6">
        <v>7.8999999999999995</v>
      </c>
      <c r="G4219" s="31"/>
    </row>
    <row r="4220" spans="1:7" x14ac:dyDescent="0.25">
      <c r="A4220" s="36">
        <v>44032</v>
      </c>
      <c r="B4220" s="6">
        <v>50.26</v>
      </c>
      <c r="C4220" s="6">
        <v>31.2</v>
      </c>
      <c r="D4220" s="6">
        <v>12.84</v>
      </c>
      <c r="E4220" s="6">
        <v>7.9899999999999993</v>
      </c>
      <c r="G4220" s="31"/>
    </row>
    <row r="4221" spans="1:7" x14ac:dyDescent="0.25">
      <c r="A4221" s="36">
        <v>44033</v>
      </c>
      <c r="B4221" s="6">
        <v>50.33</v>
      </c>
      <c r="C4221" s="6">
        <v>31.27</v>
      </c>
      <c r="D4221" s="6">
        <v>12.96</v>
      </c>
      <c r="E4221" s="6">
        <v>8.120000000000001</v>
      </c>
      <c r="G4221" s="31"/>
    </row>
    <row r="4222" spans="1:7" x14ac:dyDescent="0.25">
      <c r="A4222" s="36">
        <v>44034</v>
      </c>
      <c r="B4222" s="6">
        <v>50.36</v>
      </c>
      <c r="C4222" s="6">
        <v>31.32</v>
      </c>
      <c r="D4222" s="6">
        <v>13.16</v>
      </c>
      <c r="E4222" s="6">
        <v>8.120000000000001</v>
      </c>
      <c r="G4222" s="31"/>
    </row>
    <row r="4223" spans="1:7" x14ac:dyDescent="0.25">
      <c r="A4223" s="36">
        <v>44035</v>
      </c>
      <c r="B4223" s="6">
        <v>50.45</v>
      </c>
      <c r="C4223" s="6">
        <v>31.37</v>
      </c>
      <c r="D4223" s="6">
        <v>13.26</v>
      </c>
      <c r="E4223" s="6">
        <v>8.26</v>
      </c>
      <c r="G4223" s="31"/>
    </row>
    <row r="4224" spans="1:7" x14ac:dyDescent="0.25">
      <c r="A4224" s="36">
        <v>44036</v>
      </c>
      <c r="B4224" s="6">
        <v>50.52</v>
      </c>
      <c r="C4224" s="6">
        <v>31.44</v>
      </c>
      <c r="D4224" s="6">
        <v>13.36</v>
      </c>
      <c r="E4224" s="6">
        <v>8.25</v>
      </c>
      <c r="G4224" s="31"/>
    </row>
    <row r="4225" spans="1:7" x14ac:dyDescent="0.25">
      <c r="A4225" s="36">
        <v>44037</v>
      </c>
      <c r="B4225" s="6">
        <v>50.55</v>
      </c>
      <c r="C4225" s="6">
        <v>31.51</v>
      </c>
      <c r="D4225" s="6">
        <v>13.4</v>
      </c>
      <c r="E4225" s="6">
        <v>8.27</v>
      </c>
      <c r="G4225" s="31"/>
    </row>
    <row r="4226" spans="1:7" x14ac:dyDescent="0.25">
      <c r="A4226" s="36">
        <v>44038</v>
      </c>
      <c r="B4226" s="6">
        <v>50.58</v>
      </c>
      <c r="C4226" s="6">
        <v>31.59</v>
      </c>
      <c r="D4226" s="6">
        <v>13.44</v>
      </c>
      <c r="E4226" s="6">
        <v>8.36</v>
      </c>
      <c r="G4226" s="31"/>
    </row>
    <row r="4227" spans="1:7" x14ac:dyDescent="0.25">
      <c r="A4227" s="36">
        <v>44039</v>
      </c>
      <c r="B4227" s="6">
        <v>50.66</v>
      </c>
      <c r="C4227" s="6">
        <v>31.67</v>
      </c>
      <c r="D4227" s="6">
        <v>13.5</v>
      </c>
      <c r="E4227" s="6">
        <v>8.4599999999999991</v>
      </c>
      <c r="G4227" s="31"/>
    </row>
    <row r="4228" spans="1:7" x14ac:dyDescent="0.25">
      <c r="A4228" s="36">
        <v>44040</v>
      </c>
      <c r="B4228" s="6">
        <v>50.69</v>
      </c>
      <c r="C4228" s="6">
        <v>31.75</v>
      </c>
      <c r="D4228" s="6">
        <v>13.58</v>
      </c>
      <c r="E4228" s="6">
        <v>8.52</v>
      </c>
      <c r="G4228" s="31"/>
    </row>
    <row r="4229" spans="1:7" x14ac:dyDescent="0.25">
      <c r="A4229" s="36">
        <v>44041</v>
      </c>
      <c r="B4229" s="6">
        <v>50.67</v>
      </c>
      <c r="C4229" s="6">
        <v>31.8</v>
      </c>
      <c r="D4229" s="6">
        <v>13.68</v>
      </c>
      <c r="E4229" s="6">
        <v>8.6199999999999992</v>
      </c>
      <c r="G4229" s="31"/>
    </row>
    <row r="4230" spans="1:7" x14ac:dyDescent="0.25">
      <c r="A4230" s="36">
        <v>44042</v>
      </c>
      <c r="B4230" s="6">
        <v>50.68</v>
      </c>
      <c r="C4230" s="6">
        <v>31.8</v>
      </c>
      <c r="D4230" s="6">
        <v>13.74</v>
      </c>
      <c r="E4230" s="6">
        <v>8.6</v>
      </c>
      <c r="G4230" s="31"/>
    </row>
    <row r="4231" spans="1:7" x14ac:dyDescent="0.25">
      <c r="A4231" s="36">
        <v>44043</v>
      </c>
      <c r="B4231" s="6">
        <v>50.6</v>
      </c>
      <c r="C4231" s="6">
        <v>31.9</v>
      </c>
      <c r="D4231" s="6">
        <v>13.84</v>
      </c>
      <c r="E4231" s="6">
        <v>8.68</v>
      </c>
      <c r="G4231" s="31"/>
    </row>
    <row r="4232" spans="1:7" x14ac:dyDescent="0.25">
      <c r="A4232" s="36">
        <v>44044</v>
      </c>
      <c r="B4232" s="6">
        <v>50.58</v>
      </c>
      <c r="C4232" s="6">
        <v>31.94</v>
      </c>
      <c r="D4232" s="6">
        <v>14.02</v>
      </c>
      <c r="E4232" s="6">
        <v>8.77</v>
      </c>
      <c r="G4232" s="31"/>
    </row>
    <row r="4233" spans="1:7" x14ac:dyDescent="0.25">
      <c r="A4233" s="36">
        <v>44045</v>
      </c>
      <c r="B4233" s="6">
        <v>50.5</v>
      </c>
      <c r="C4233" s="6">
        <v>31.98</v>
      </c>
      <c r="D4233" s="6">
        <v>14.1</v>
      </c>
      <c r="E4233" s="6">
        <v>9.18</v>
      </c>
      <c r="G4233" s="31"/>
    </row>
    <row r="4234" spans="1:7" x14ac:dyDescent="0.25">
      <c r="A4234" s="36">
        <v>44046</v>
      </c>
      <c r="B4234" s="6">
        <v>50.43</v>
      </c>
      <c r="C4234" s="6">
        <v>32.020000000000003</v>
      </c>
      <c r="D4234" s="6">
        <v>14.18</v>
      </c>
      <c r="E4234" s="6">
        <v>9.2999999999999989</v>
      </c>
      <c r="G4234" s="31"/>
    </row>
    <row r="4235" spans="1:7" x14ac:dyDescent="0.25">
      <c r="A4235" s="36">
        <v>44047</v>
      </c>
      <c r="B4235" s="6">
        <v>50.38</v>
      </c>
      <c r="C4235" s="6">
        <v>32.03</v>
      </c>
      <c r="D4235" s="6">
        <v>14.28</v>
      </c>
      <c r="E4235" s="6">
        <v>9.2999999999999989</v>
      </c>
      <c r="G4235" s="31"/>
    </row>
    <row r="4236" spans="1:7" x14ac:dyDescent="0.25">
      <c r="A4236" s="36">
        <v>44048</v>
      </c>
      <c r="B4236" s="6">
        <v>50.3</v>
      </c>
      <c r="C4236" s="6">
        <v>32.049999999999997</v>
      </c>
      <c r="D4236" s="6">
        <v>14.38</v>
      </c>
      <c r="E4236" s="6">
        <v>9.31</v>
      </c>
      <c r="G4236" s="31"/>
    </row>
    <row r="4237" spans="1:7" x14ac:dyDescent="0.25">
      <c r="A4237" s="36">
        <v>44049</v>
      </c>
      <c r="B4237" s="6">
        <v>50.22</v>
      </c>
      <c r="C4237" s="6">
        <v>32.090000000000003</v>
      </c>
      <c r="D4237" s="6">
        <v>14.4</v>
      </c>
      <c r="E4237" s="6">
        <v>9.32</v>
      </c>
      <c r="G4237" s="31"/>
    </row>
    <row r="4238" spans="1:7" x14ac:dyDescent="0.25">
      <c r="A4238" s="36">
        <v>44050</v>
      </c>
      <c r="B4238" s="6">
        <v>50.2</v>
      </c>
      <c r="C4238" s="6">
        <v>32.11</v>
      </c>
      <c r="D4238" s="6">
        <v>14.42</v>
      </c>
      <c r="E4238" s="6">
        <v>9.4</v>
      </c>
      <c r="G4238" s="31"/>
    </row>
    <row r="4239" spans="1:7" x14ac:dyDescent="0.25">
      <c r="A4239" s="36">
        <v>44051</v>
      </c>
      <c r="B4239" s="6">
        <v>50.16</v>
      </c>
      <c r="C4239" s="6">
        <v>32.11</v>
      </c>
      <c r="D4239" s="6">
        <v>14.48</v>
      </c>
      <c r="E4239" s="6">
        <v>9.74</v>
      </c>
      <c r="G4239" s="31"/>
    </row>
    <row r="4240" spans="1:7" x14ac:dyDescent="0.25">
      <c r="A4240" s="36">
        <v>44052</v>
      </c>
      <c r="B4240" s="6">
        <v>50.1</v>
      </c>
      <c r="C4240" s="6">
        <v>32.11</v>
      </c>
      <c r="D4240" s="6">
        <v>14.54</v>
      </c>
      <c r="E4240" s="6">
        <v>9.75</v>
      </c>
      <c r="G4240" s="31"/>
    </row>
    <row r="4241" spans="1:7" x14ac:dyDescent="0.25">
      <c r="A4241" s="36">
        <v>44053</v>
      </c>
      <c r="B4241" s="6">
        <v>50.1</v>
      </c>
      <c r="C4241" s="6">
        <v>32.11</v>
      </c>
      <c r="D4241" s="6">
        <v>14.62</v>
      </c>
      <c r="E4241" s="6">
        <v>9.85</v>
      </c>
      <c r="G4241" s="31"/>
    </row>
    <row r="4242" spans="1:7" x14ac:dyDescent="0.25">
      <c r="A4242" s="36">
        <v>44054</v>
      </c>
      <c r="B4242" s="6">
        <v>50</v>
      </c>
      <c r="C4242" s="6">
        <v>32.11</v>
      </c>
      <c r="D4242" s="6">
        <v>14.72</v>
      </c>
      <c r="E4242" s="6">
        <v>9.9</v>
      </c>
      <c r="G4242" s="31"/>
    </row>
    <row r="4243" spans="1:7" x14ac:dyDescent="0.25">
      <c r="A4243" s="36">
        <v>44055</v>
      </c>
      <c r="B4243" s="6">
        <v>49.97</v>
      </c>
      <c r="C4243" s="6">
        <v>32.08</v>
      </c>
      <c r="D4243" s="6">
        <v>14.76</v>
      </c>
      <c r="E4243" s="6">
        <v>9.99</v>
      </c>
      <c r="G4243" s="31"/>
    </row>
    <row r="4244" spans="1:7" x14ac:dyDescent="0.25">
      <c r="A4244" s="36">
        <v>44056</v>
      </c>
      <c r="B4244" s="6">
        <v>49.89</v>
      </c>
      <c r="C4244" s="6">
        <v>32.049999999999997</v>
      </c>
      <c r="D4244" s="6">
        <v>14.78</v>
      </c>
      <c r="E4244" s="6">
        <v>10.039999999999999</v>
      </c>
      <c r="G4244" s="31"/>
    </row>
    <row r="4245" spans="1:7" x14ac:dyDescent="0.25">
      <c r="A4245" s="36">
        <v>44057</v>
      </c>
      <c r="B4245" s="6">
        <v>49.86</v>
      </c>
      <c r="C4245" s="6">
        <v>32.020000000000003</v>
      </c>
      <c r="D4245" s="6">
        <v>14.82</v>
      </c>
      <c r="E4245" s="6">
        <v>10.119999999999999</v>
      </c>
      <c r="G4245" s="31"/>
    </row>
    <row r="4246" spans="1:7" x14ac:dyDescent="0.25">
      <c r="A4246" s="36">
        <v>44058</v>
      </c>
      <c r="B4246" s="6">
        <v>49.77</v>
      </c>
      <c r="C4246" s="6">
        <v>31.98</v>
      </c>
      <c r="D4246" s="6">
        <v>14.9</v>
      </c>
      <c r="E4246" s="6">
        <v>10.219999999999999</v>
      </c>
      <c r="G4246" s="31"/>
    </row>
    <row r="4247" spans="1:7" x14ac:dyDescent="0.25">
      <c r="A4247" s="36">
        <v>44059</v>
      </c>
      <c r="B4247" s="6">
        <v>49.68</v>
      </c>
      <c r="C4247" s="6">
        <v>31.94</v>
      </c>
      <c r="D4247" s="6">
        <v>14.9</v>
      </c>
      <c r="E4247" s="6">
        <v>10.28</v>
      </c>
      <c r="G4247" s="31"/>
    </row>
    <row r="4248" spans="1:7" x14ac:dyDescent="0.25">
      <c r="A4248" s="36">
        <v>44060</v>
      </c>
      <c r="B4248" s="6">
        <v>49.63</v>
      </c>
      <c r="C4248" s="6">
        <v>31.89</v>
      </c>
      <c r="D4248" s="6">
        <v>14.92</v>
      </c>
      <c r="E4248" s="6">
        <v>10.35</v>
      </c>
      <c r="G4248" s="31"/>
    </row>
    <row r="4249" spans="1:7" x14ac:dyDescent="0.25">
      <c r="A4249" s="36">
        <v>44061</v>
      </c>
      <c r="B4249" s="6">
        <v>49.54</v>
      </c>
      <c r="C4249" s="6">
        <v>31.84</v>
      </c>
      <c r="D4249" s="6">
        <v>14.9</v>
      </c>
      <c r="E4249" s="6">
        <v>10.379999999999999</v>
      </c>
      <c r="G4249" s="31"/>
    </row>
    <row r="4250" spans="1:7" x14ac:dyDescent="0.25">
      <c r="A4250" s="36">
        <v>44062</v>
      </c>
      <c r="B4250" s="6">
        <v>49.5</v>
      </c>
      <c r="C4250" s="6">
        <v>31.78</v>
      </c>
      <c r="D4250" s="6">
        <v>14.88</v>
      </c>
      <c r="E4250" s="6">
        <v>10.4</v>
      </c>
      <c r="G4250" s="31"/>
    </row>
    <row r="4251" spans="1:7" x14ac:dyDescent="0.25">
      <c r="A4251" s="36">
        <v>44063</v>
      </c>
      <c r="B4251" s="6">
        <v>49.44</v>
      </c>
      <c r="C4251" s="6">
        <v>31.72</v>
      </c>
      <c r="D4251" s="6">
        <v>14.82</v>
      </c>
      <c r="E4251" s="6">
        <v>10.33</v>
      </c>
      <c r="G4251" s="31"/>
    </row>
    <row r="4252" spans="1:7" x14ac:dyDescent="0.25">
      <c r="A4252" s="36">
        <v>44064</v>
      </c>
      <c r="B4252" s="6">
        <v>49.38</v>
      </c>
      <c r="C4252" s="6">
        <v>31.68</v>
      </c>
      <c r="D4252" s="6">
        <v>14.7</v>
      </c>
      <c r="E4252" s="6">
        <v>10.35</v>
      </c>
      <c r="G4252" s="31"/>
    </row>
    <row r="4253" spans="1:7" x14ac:dyDescent="0.25">
      <c r="A4253" s="36">
        <v>44065</v>
      </c>
      <c r="B4253" s="6">
        <v>49.32</v>
      </c>
      <c r="C4253" s="6">
        <v>31.65</v>
      </c>
      <c r="D4253" s="6">
        <v>14.7</v>
      </c>
      <c r="E4253" s="6">
        <v>10.299999999999999</v>
      </c>
      <c r="G4253" s="31"/>
    </row>
    <row r="4254" spans="1:7" x14ac:dyDescent="0.25">
      <c r="A4254" s="36">
        <v>44066</v>
      </c>
      <c r="B4254" s="6">
        <v>49.3</v>
      </c>
      <c r="C4254" s="6">
        <v>31.61</v>
      </c>
      <c r="D4254" s="6">
        <v>14.68</v>
      </c>
      <c r="E4254" s="6">
        <v>10.32</v>
      </c>
      <c r="G4254" s="31"/>
    </row>
    <row r="4255" spans="1:7" x14ac:dyDescent="0.25">
      <c r="A4255" s="36">
        <v>44067</v>
      </c>
      <c r="B4255" s="6">
        <v>49.3</v>
      </c>
      <c r="C4255" s="6">
        <v>31.58</v>
      </c>
      <c r="D4255" s="6">
        <v>14.6</v>
      </c>
      <c r="E4255" s="6">
        <v>10.27</v>
      </c>
      <c r="G4255" s="31"/>
    </row>
    <row r="4256" spans="1:7" x14ac:dyDescent="0.25">
      <c r="A4256" s="36">
        <v>44068</v>
      </c>
      <c r="B4256" s="6">
        <v>49.24</v>
      </c>
      <c r="C4256" s="6">
        <v>31.55</v>
      </c>
      <c r="D4256" s="6">
        <v>14.54</v>
      </c>
      <c r="E4256" s="6">
        <v>10.24</v>
      </c>
      <c r="G4256" s="31"/>
    </row>
    <row r="4257" spans="1:7" x14ac:dyDescent="0.25">
      <c r="A4257" s="36">
        <v>44069</v>
      </c>
      <c r="B4257" s="6">
        <v>49.2</v>
      </c>
      <c r="C4257" s="6">
        <v>31.54</v>
      </c>
      <c r="D4257" s="6">
        <v>14.5</v>
      </c>
      <c r="E4257" s="6">
        <v>10.199999999999999</v>
      </c>
      <c r="G4257" s="31"/>
    </row>
    <row r="4258" spans="1:7" x14ac:dyDescent="0.25">
      <c r="A4258" s="36">
        <v>44070</v>
      </c>
      <c r="B4258" s="6">
        <v>49.16</v>
      </c>
      <c r="C4258" s="6">
        <v>31.54</v>
      </c>
      <c r="D4258" s="6">
        <v>14.46</v>
      </c>
      <c r="E4258" s="6">
        <v>10.19</v>
      </c>
      <c r="G4258" s="31"/>
    </row>
    <row r="4259" spans="1:7" x14ac:dyDescent="0.25">
      <c r="A4259" s="36">
        <v>44071</v>
      </c>
      <c r="B4259" s="6">
        <v>49.14</v>
      </c>
      <c r="C4259" s="6">
        <v>31.51</v>
      </c>
      <c r="D4259" s="6">
        <v>14.4</v>
      </c>
      <c r="E4259" s="6">
        <v>10.06</v>
      </c>
      <c r="G4259" s="31"/>
    </row>
    <row r="4260" spans="1:7" x14ac:dyDescent="0.25">
      <c r="A4260" s="36">
        <v>44072</v>
      </c>
      <c r="B4260" s="6">
        <v>49.05</v>
      </c>
      <c r="C4260" s="6">
        <v>31.49</v>
      </c>
      <c r="D4260" s="6">
        <v>14.34</v>
      </c>
      <c r="E4260" s="6">
        <v>10.06</v>
      </c>
      <c r="G4260" s="31"/>
    </row>
    <row r="4261" spans="1:7" x14ac:dyDescent="0.25">
      <c r="A4261" s="36">
        <v>44073</v>
      </c>
      <c r="B4261" s="6">
        <v>49.07</v>
      </c>
      <c r="C4261" s="6">
        <v>31.47</v>
      </c>
      <c r="D4261" s="6">
        <v>14.3</v>
      </c>
      <c r="E4261" s="6">
        <v>10.01</v>
      </c>
      <c r="G4261" s="31"/>
    </row>
    <row r="4262" spans="1:7" x14ac:dyDescent="0.25">
      <c r="A4262" s="36">
        <v>44074</v>
      </c>
      <c r="B4262" s="6">
        <v>49.01</v>
      </c>
      <c r="C4262" s="6">
        <v>31.45</v>
      </c>
      <c r="D4262" s="6">
        <v>14.16</v>
      </c>
      <c r="E4262" s="6">
        <v>9.9499999999999993</v>
      </c>
      <c r="G4262" s="31"/>
    </row>
    <row r="4263" spans="1:7" x14ac:dyDescent="0.25">
      <c r="A4263" s="36">
        <v>44075</v>
      </c>
      <c r="B4263" s="6">
        <v>48.94</v>
      </c>
      <c r="C4263" s="6">
        <v>31.44</v>
      </c>
      <c r="D4263" s="6">
        <v>14.08</v>
      </c>
      <c r="E4263" s="6">
        <v>10.01</v>
      </c>
      <c r="G4263" s="31"/>
    </row>
    <row r="4264" spans="1:7" x14ac:dyDescent="0.25">
      <c r="A4264" s="36">
        <v>44076</v>
      </c>
      <c r="B4264" s="6">
        <v>48.82</v>
      </c>
      <c r="C4264" s="6">
        <v>31.44</v>
      </c>
      <c r="D4264" s="6">
        <v>14.04</v>
      </c>
      <c r="E4264" s="6">
        <v>9.9699999999999989</v>
      </c>
      <c r="G4264" s="31"/>
    </row>
    <row r="4265" spans="1:7" x14ac:dyDescent="0.25">
      <c r="A4265" s="36">
        <v>44077</v>
      </c>
      <c r="B4265" s="6">
        <v>48.8</v>
      </c>
      <c r="C4265" s="6">
        <v>31.44</v>
      </c>
      <c r="D4265" s="6">
        <v>13.98</v>
      </c>
      <c r="E4265" s="6">
        <v>9.93</v>
      </c>
      <c r="G4265" s="31"/>
    </row>
    <row r="4266" spans="1:7" x14ac:dyDescent="0.25">
      <c r="A4266" s="36">
        <v>44078</v>
      </c>
      <c r="B4266" s="6">
        <v>48.76</v>
      </c>
      <c r="C4266" s="6">
        <v>31.42</v>
      </c>
      <c r="D4266" s="6">
        <v>13.84</v>
      </c>
      <c r="E4266" s="6">
        <v>9.89</v>
      </c>
      <c r="G4266" s="31"/>
    </row>
    <row r="4267" spans="1:7" x14ac:dyDescent="0.25">
      <c r="A4267" s="36">
        <v>44079</v>
      </c>
      <c r="B4267" s="6">
        <v>48.66</v>
      </c>
      <c r="C4267" s="6">
        <v>31.38</v>
      </c>
      <c r="D4267" s="6">
        <v>13.84</v>
      </c>
      <c r="E4267" s="6">
        <v>10.01</v>
      </c>
      <c r="G4267" s="31"/>
    </row>
    <row r="4268" spans="1:7" x14ac:dyDescent="0.25">
      <c r="A4268" s="36">
        <v>44080</v>
      </c>
      <c r="B4268" s="6">
        <v>48.54</v>
      </c>
      <c r="C4268" s="6">
        <v>31.35</v>
      </c>
      <c r="D4268" s="6">
        <v>13.8</v>
      </c>
      <c r="E4268" s="6">
        <v>10.09</v>
      </c>
      <c r="G4268" s="31"/>
    </row>
    <row r="4269" spans="1:7" x14ac:dyDescent="0.25">
      <c r="A4269" s="36">
        <v>44081</v>
      </c>
      <c r="B4269" s="6">
        <v>48.46</v>
      </c>
      <c r="C4269" s="6">
        <v>31.33</v>
      </c>
      <c r="D4269" s="6">
        <v>13.74</v>
      </c>
      <c r="E4269" s="6">
        <v>10.11</v>
      </c>
      <c r="G4269" s="31"/>
    </row>
    <row r="4270" spans="1:7" x14ac:dyDescent="0.25">
      <c r="A4270" s="36">
        <v>44082</v>
      </c>
      <c r="B4270" s="6">
        <v>48.36</v>
      </c>
      <c r="C4270" s="6">
        <v>31.28</v>
      </c>
      <c r="D4270" s="6">
        <v>13.72</v>
      </c>
      <c r="E4270" s="6">
        <v>10.01</v>
      </c>
      <c r="G4270" s="31"/>
    </row>
    <row r="4271" spans="1:7" x14ac:dyDescent="0.25">
      <c r="A4271" s="36">
        <v>44083</v>
      </c>
      <c r="B4271" s="6">
        <v>48.32</v>
      </c>
      <c r="C4271" s="6">
        <v>31.22</v>
      </c>
      <c r="D4271" s="6">
        <v>13.7</v>
      </c>
      <c r="E4271" s="6">
        <v>9.7999999999999989</v>
      </c>
      <c r="G4271" s="31"/>
    </row>
    <row r="4272" spans="1:7" x14ac:dyDescent="0.25">
      <c r="A4272" s="36">
        <v>44084</v>
      </c>
      <c r="B4272" s="6">
        <v>48.23</v>
      </c>
      <c r="C4272" s="6">
        <v>31.16</v>
      </c>
      <c r="D4272" s="6">
        <v>13.7</v>
      </c>
      <c r="E4272" s="6">
        <v>9.6</v>
      </c>
      <c r="G4272" s="31"/>
    </row>
    <row r="4273" spans="1:7" x14ac:dyDescent="0.25">
      <c r="A4273" s="36">
        <v>44085</v>
      </c>
      <c r="B4273" s="6">
        <v>48.13</v>
      </c>
      <c r="C4273" s="6">
        <v>31.1</v>
      </c>
      <c r="D4273" s="6">
        <v>13.7</v>
      </c>
      <c r="E4273" s="6">
        <v>9.4</v>
      </c>
      <c r="G4273" s="31"/>
    </row>
    <row r="4274" spans="1:7" x14ac:dyDescent="0.25">
      <c r="A4274" s="36">
        <v>44086</v>
      </c>
      <c r="B4274" s="6">
        <v>48.07</v>
      </c>
      <c r="C4274" s="6">
        <v>31.03</v>
      </c>
      <c r="D4274" s="6">
        <v>13.68</v>
      </c>
      <c r="E4274" s="6">
        <v>9.24</v>
      </c>
      <c r="G4274" s="31"/>
    </row>
    <row r="4275" spans="1:7" x14ac:dyDescent="0.25">
      <c r="A4275" s="36">
        <v>44087</v>
      </c>
      <c r="B4275" s="6">
        <v>47.9</v>
      </c>
      <c r="C4275" s="6">
        <v>30.96</v>
      </c>
      <c r="D4275" s="6">
        <v>13.56</v>
      </c>
      <c r="E4275" s="6">
        <v>9.27</v>
      </c>
      <c r="G4275" s="31"/>
    </row>
    <row r="4276" spans="1:7" x14ac:dyDescent="0.25">
      <c r="A4276" s="36">
        <v>44088</v>
      </c>
      <c r="B4276" s="6">
        <v>47.85</v>
      </c>
      <c r="C4276" s="6">
        <v>30.88</v>
      </c>
      <c r="D4276" s="6">
        <v>13.4</v>
      </c>
      <c r="E4276" s="6">
        <v>9.14</v>
      </c>
      <c r="G4276" s="31"/>
    </row>
    <row r="4277" spans="1:7" x14ac:dyDescent="0.25">
      <c r="A4277" s="36">
        <v>44089</v>
      </c>
      <c r="B4277" s="6">
        <v>47.5</v>
      </c>
      <c r="C4277" s="6">
        <v>30.8</v>
      </c>
      <c r="D4277" s="6">
        <v>13.3</v>
      </c>
      <c r="E4277" s="6">
        <v>8.7999999999999989</v>
      </c>
      <c r="G4277" s="31"/>
    </row>
    <row r="4278" spans="1:7" x14ac:dyDescent="0.25">
      <c r="A4278" s="36">
        <v>44090</v>
      </c>
      <c r="B4278" s="6">
        <v>47.42</v>
      </c>
      <c r="C4278" s="6">
        <v>30.7</v>
      </c>
      <c r="D4278" s="6">
        <v>13.12</v>
      </c>
      <c r="E4278" s="6">
        <v>8.59</v>
      </c>
      <c r="G4278" s="31"/>
    </row>
    <row r="4279" spans="1:7" x14ac:dyDescent="0.25">
      <c r="A4279" s="36">
        <v>44091</v>
      </c>
      <c r="B4279" s="6">
        <v>47.39</v>
      </c>
      <c r="C4279" s="6">
        <v>30.62</v>
      </c>
      <c r="D4279" s="6">
        <v>12.9</v>
      </c>
      <c r="E4279" s="6">
        <v>8.44</v>
      </c>
      <c r="G4279" s="31"/>
    </row>
    <row r="4280" spans="1:7" x14ac:dyDescent="0.25">
      <c r="A4280" s="36">
        <v>44092</v>
      </c>
      <c r="B4280" s="6">
        <v>47.32</v>
      </c>
      <c r="C4280" s="6">
        <v>30.52</v>
      </c>
      <c r="D4280" s="6">
        <v>12.74</v>
      </c>
      <c r="E4280" s="6">
        <v>8.34</v>
      </c>
      <c r="G4280" s="31"/>
    </row>
    <row r="4281" spans="1:7" x14ac:dyDescent="0.25">
      <c r="A4281" s="36">
        <v>44093</v>
      </c>
      <c r="B4281" s="6">
        <v>47.29</v>
      </c>
      <c r="C4281" s="6">
        <v>30.42</v>
      </c>
      <c r="D4281" s="6">
        <v>12.7</v>
      </c>
      <c r="E4281" s="6">
        <v>8.2799999999999994</v>
      </c>
      <c r="G4281" s="31"/>
    </row>
    <row r="4282" spans="1:7" x14ac:dyDescent="0.25">
      <c r="A4282" s="36">
        <v>44094</v>
      </c>
      <c r="B4282" s="6">
        <v>47.17</v>
      </c>
      <c r="C4282" s="6">
        <v>30.31</v>
      </c>
      <c r="D4282" s="6">
        <v>12.62</v>
      </c>
      <c r="E4282" s="6">
        <v>8.1</v>
      </c>
      <c r="G4282" s="31"/>
    </row>
    <row r="4283" spans="1:7" x14ac:dyDescent="0.25">
      <c r="A4283" s="36">
        <v>44095</v>
      </c>
      <c r="B4283" s="6">
        <v>47.1</v>
      </c>
      <c r="C4283" s="6">
        <v>30.2</v>
      </c>
      <c r="D4283" s="6">
        <v>12.48</v>
      </c>
      <c r="E4283" s="6">
        <v>8.18</v>
      </c>
      <c r="G4283" s="31"/>
    </row>
    <row r="4284" spans="1:7" x14ac:dyDescent="0.25">
      <c r="A4284" s="36">
        <v>44096</v>
      </c>
      <c r="B4284" s="6">
        <v>47.02</v>
      </c>
      <c r="C4284" s="6">
        <v>30.1</v>
      </c>
      <c r="D4284" s="6">
        <v>12.44</v>
      </c>
      <c r="E4284" s="6">
        <v>8.18</v>
      </c>
      <c r="G4284" s="31"/>
    </row>
    <row r="4285" spans="1:7" x14ac:dyDescent="0.25">
      <c r="A4285" s="36">
        <v>44097</v>
      </c>
      <c r="B4285" s="6">
        <v>46.94</v>
      </c>
      <c r="C4285" s="6">
        <v>30</v>
      </c>
      <c r="D4285" s="6">
        <v>12.3</v>
      </c>
      <c r="E4285" s="6">
        <v>8.09</v>
      </c>
      <c r="G4285" s="31"/>
    </row>
    <row r="4286" spans="1:7" x14ac:dyDescent="0.25">
      <c r="A4286" s="36">
        <v>44098</v>
      </c>
      <c r="B4286" s="6">
        <v>46.86</v>
      </c>
      <c r="C4286" s="6">
        <v>29.89</v>
      </c>
      <c r="D4286" s="6">
        <v>12.18</v>
      </c>
      <c r="E4286" s="6">
        <v>7.89</v>
      </c>
      <c r="G4286" s="31"/>
    </row>
    <row r="4287" spans="1:7" x14ac:dyDescent="0.25">
      <c r="A4287" s="36">
        <v>44099</v>
      </c>
      <c r="B4287" s="6">
        <v>46.8</v>
      </c>
      <c r="C4287" s="6">
        <v>29.8</v>
      </c>
      <c r="D4287" s="6">
        <v>12</v>
      </c>
      <c r="E4287" s="6">
        <v>7.6999999999999993</v>
      </c>
      <c r="G4287" s="31"/>
    </row>
    <row r="4288" spans="1:7" x14ac:dyDescent="0.25">
      <c r="A4288" s="36">
        <v>44100</v>
      </c>
      <c r="B4288" s="6">
        <v>46.74</v>
      </c>
      <c r="C4288" s="6">
        <v>29.72</v>
      </c>
      <c r="D4288" s="6">
        <v>11.9</v>
      </c>
      <c r="E4288" s="6">
        <v>7.54</v>
      </c>
      <c r="G4288" s="31"/>
    </row>
    <row r="4289" spans="1:7" x14ac:dyDescent="0.25">
      <c r="A4289" s="36">
        <v>44101</v>
      </c>
      <c r="B4289" s="6">
        <v>46.58</v>
      </c>
      <c r="C4289" s="6">
        <v>29.64</v>
      </c>
      <c r="D4289" s="6">
        <v>11.8</v>
      </c>
      <c r="E4289" s="6">
        <v>7.46</v>
      </c>
      <c r="G4289" s="31"/>
    </row>
    <row r="4290" spans="1:7" x14ac:dyDescent="0.25">
      <c r="A4290" s="36">
        <v>44102</v>
      </c>
      <c r="B4290" s="6">
        <v>46.5</v>
      </c>
      <c r="C4290" s="6">
        <v>29.57</v>
      </c>
      <c r="D4290" s="6">
        <v>11.6</v>
      </c>
      <c r="E4290" s="6">
        <v>7.29</v>
      </c>
      <c r="G4290" s="31"/>
    </row>
    <row r="4291" spans="1:7" x14ac:dyDescent="0.25">
      <c r="A4291" s="36">
        <v>44103</v>
      </c>
      <c r="B4291" s="6">
        <v>46.47</v>
      </c>
      <c r="C4291" s="6">
        <v>29.5</v>
      </c>
      <c r="D4291" s="6">
        <v>11.52</v>
      </c>
      <c r="E4291" s="6">
        <v>7.08</v>
      </c>
      <c r="G4291" s="31"/>
    </row>
    <row r="4292" spans="1:7" x14ac:dyDescent="0.25">
      <c r="A4292" s="36">
        <v>44104</v>
      </c>
      <c r="B4292" s="6">
        <v>46.42</v>
      </c>
      <c r="C4292" s="6">
        <v>29.44</v>
      </c>
      <c r="D4292" s="6">
        <v>11.36</v>
      </c>
      <c r="E4292" s="6">
        <v>7.1</v>
      </c>
      <c r="G4292" s="31"/>
    </row>
    <row r="4293" spans="1:7" x14ac:dyDescent="0.25">
      <c r="A4293" s="36">
        <v>44105</v>
      </c>
      <c r="B4293" s="6">
        <v>46.38</v>
      </c>
      <c r="C4293" s="6">
        <v>29.39</v>
      </c>
      <c r="D4293" s="6">
        <v>11.24</v>
      </c>
      <c r="E4293" s="6">
        <v>7.01</v>
      </c>
      <c r="G4293" s="31"/>
    </row>
    <row r="4294" spans="1:7" x14ac:dyDescent="0.25">
      <c r="A4294" s="36">
        <v>44106</v>
      </c>
      <c r="B4294" s="6">
        <v>46.3</v>
      </c>
      <c r="C4294" s="6">
        <v>29.35</v>
      </c>
      <c r="D4294" s="6">
        <v>11.14</v>
      </c>
      <c r="E4294" s="6">
        <v>6.92</v>
      </c>
      <c r="G4294" s="31"/>
    </row>
    <row r="4295" spans="1:7" x14ac:dyDescent="0.25">
      <c r="A4295" s="36">
        <v>44107</v>
      </c>
      <c r="B4295" s="6">
        <v>46.27</v>
      </c>
      <c r="C4295" s="6">
        <v>29.32</v>
      </c>
      <c r="D4295" s="6">
        <v>11</v>
      </c>
      <c r="E4295" s="6">
        <v>6.92</v>
      </c>
      <c r="G4295" s="31"/>
    </row>
    <row r="4296" spans="1:7" x14ac:dyDescent="0.25">
      <c r="A4296" s="36">
        <v>44108</v>
      </c>
      <c r="B4296" s="6">
        <v>46.19</v>
      </c>
      <c r="C4296" s="6">
        <v>29.29</v>
      </c>
      <c r="D4296" s="6">
        <v>10.9</v>
      </c>
      <c r="E4296" s="6">
        <v>6.92</v>
      </c>
      <c r="G4296" s="31"/>
    </row>
    <row r="4297" spans="1:7" x14ac:dyDescent="0.25">
      <c r="A4297" s="36">
        <v>44109</v>
      </c>
      <c r="B4297" s="6">
        <v>46.14</v>
      </c>
      <c r="C4297" s="6">
        <v>29.26</v>
      </c>
      <c r="D4297" s="6">
        <v>10.9</v>
      </c>
      <c r="E4297" s="6">
        <v>6.77</v>
      </c>
      <c r="G4297" s="31"/>
    </row>
    <row r="4298" spans="1:7" x14ac:dyDescent="0.25">
      <c r="A4298" s="36">
        <v>44110</v>
      </c>
      <c r="B4298" s="6">
        <v>46.12</v>
      </c>
      <c r="C4298" s="6">
        <v>29.22</v>
      </c>
      <c r="D4298" s="6">
        <v>10.84</v>
      </c>
      <c r="E4298" s="6">
        <v>6.7399999999999993</v>
      </c>
      <c r="G4298" s="31"/>
    </row>
    <row r="4299" spans="1:7" x14ac:dyDescent="0.25">
      <c r="A4299" s="36">
        <v>44111</v>
      </c>
      <c r="B4299" s="6">
        <v>46.12</v>
      </c>
      <c r="C4299" s="6">
        <v>29.18</v>
      </c>
      <c r="D4299" s="6">
        <v>10.84</v>
      </c>
      <c r="E4299" s="6">
        <v>6.63</v>
      </c>
      <c r="G4299" s="31"/>
    </row>
    <row r="4300" spans="1:7" x14ac:dyDescent="0.25">
      <c r="A4300" s="36">
        <v>44112</v>
      </c>
      <c r="B4300" s="6">
        <v>46.05</v>
      </c>
      <c r="C4300" s="6">
        <v>29.16</v>
      </c>
      <c r="D4300" s="6">
        <v>10.84</v>
      </c>
      <c r="E4300" s="6">
        <v>6.63</v>
      </c>
      <c r="G4300" s="31"/>
    </row>
    <row r="4301" spans="1:7" x14ac:dyDescent="0.25">
      <c r="A4301" s="36">
        <v>44113</v>
      </c>
      <c r="B4301" s="6">
        <v>46.32</v>
      </c>
      <c r="C4301" s="6">
        <v>29.16</v>
      </c>
      <c r="D4301" s="6">
        <v>10.84</v>
      </c>
      <c r="E4301" s="6">
        <v>6.62</v>
      </c>
      <c r="G4301" s="31"/>
    </row>
    <row r="4302" spans="1:7" x14ac:dyDescent="0.25">
      <c r="A4302" s="36">
        <v>44114</v>
      </c>
      <c r="B4302" s="6">
        <v>46.5</v>
      </c>
      <c r="C4302" s="6">
        <v>29.16</v>
      </c>
      <c r="D4302" s="6">
        <v>10.9</v>
      </c>
      <c r="E4302" s="6">
        <v>6.6099999999999994</v>
      </c>
      <c r="G4302" s="31"/>
    </row>
    <row r="4303" spans="1:7" x14ac:dyDescent="0.25">
      <c r="A4303" s="36">
        <v>44115</v>
      </c>
      <c r="B4303" s="6">
        <v>46.58</v>
      </c>
      <c r="C4303" s="6">
        <v>29.16</v>
      </c>
      <c r="D4303" s="6">
        <v>10.94</v>
      </c>
      <c r="E4303" s="6">
        <v>6.6</v>
      </c>
      <c r="G4303" s="31"/>
    </row>
    <row r="4304" spans="1:7" x14ac:dyDescent="0.25">
      <c r="A4304" s="36">
        <v>44116</v>
      </c>
      <c r="B4304" s="6">
        <v>46.65</v>
      </c>
      <c r="C4304" s="6">
        <v>29.17</v>
      </c>
      <c r="D4304" s="6">
        <v>10.94</v>
      </c>
      <c r="E4304" s="6">
        <v>6.59</v>
      </c>
      <c r="G4304" s="31"/>
    </row>
    <row r="4305" spans="1:7" x14ac:dyDescent="0.25">
      <c r="A4305" s="36">
        <v>44117</v>
      </c>
      <c r="B4305" s="6">
        <v>46.69</v>
      </c>
      <c r="C4305" s="6">
        <v>29.2</v>
      </c>
      <c r="D4305" s="6">
        <v>10.92</v>
      </c>
      <c r="E4305" s="6">
        <v>6.58</v>
      </c>
      <c r="G4305" s="31"/>
    </row>
    <row r="4306" spans="1:7" x14ac:dyDescent="0.25">
      <c r="A4306" s="36">
        <v>44118</v>
      </c>
      <c r="B4306" s="6">
        <v>46.73</v>
      </c>
      <c r="C4306" s="6">
        <v>29.23</v>
      </c>
      <c r="D4306" s="6">
        <v>10.92</v>
      </c>
      <c r="E4306" s="6">
        <v>6.5699999999999994</v>
      </c>
      <c r="G4306" s="31"/>
    </row>
    <row r="4307" spans="1:7" x14ac:dyDescent="0.25">
      <c r="A4307" s="36">
        <v>44119</v>
      </c>
      <c r="B4307" s="6">
        <v>46.76</v>
      </c>
      <c r="C4307" s="6">
        <v>29.27</v>
      </c>
      <c r="D4307" s="6">
        <v>10.96</v>
      </c>
      <c r="E4307" s="6">
        <v>6.56</v>
      </c>
      <c r="G4307" s="31"/>
    </row>
    <row r="4308" spans="1:7" x14ac:dyDescent="0.25">
      <c r="A4308" s="36">
        <v>44120</v>
      </c>
      <c r="B4308" s="6">
        <v>46.79</v>
      </c>
      <c r="C4308" s="6">
        <v>29.32</v>
      </c>
      <c r="D4308" s="6">
        <v>11</v>
      </c>
      <c r="E4308" s="6">
        <v>6.56</v>
      </c>
      <c r="G4308" s="31"/>
    </row>
    <row r="4309" spans="1:7" x14ac:dyDescent="0.25">
      <c r="A4309" s="36">
        <v>44121</v>
      </c>
      <c r="B4309" s="6">
        <v>46.74</v>
      </c>
      <c r="C4309" s="6">
        <v>29.34</v>
      </c>
      <c r="D4309" s="6">
        <v>11</v>
      </c>
      <c r="E4309" s="6">
        <v>6.55</v>
      </c>
      <c r="G4309" s="31"/>
    </row>
    <row r="4310" spans="1:7" x14ac:dyDescent="0.25">
      <c r="A4310" s="36">
        <v>44122</v>
      </c>
      <c r="B4310" s="6">
        <v>46.76</v>
      </c>
      <c r="C4310" s="6">
        <v>29.36</v>
      </c>
      <c r="D4310" s="6">
        <v>11</v>
      </c>
      <c r="E4310" s="6">
        <v>6.55</v>
      </c>
      <c r="G4310" s="31"/>
    </row>
    <row r="4311" spans="1:7" x14ac:dyDescent="0.25">
      <c r="A4311" s="36">
        <v>44123</v>
      </c>
      <c r="B4311" s="6">
        <v>46.7</v>
      </c>
      <c r="C4311" s="6">
        <v>29.39</v>
      </c>
      <c r="D4311" s="6">
        <v>11.04</v>
      </c>
      <c r="E4311" s="6">
        <v>6.54</v>
      </c>
      <c r="G4311" s="31"/>
    </row>
    <row r="4312" spans="1:7" x14ac:dyDescent="0.25">
      <c r="A4312" s="36">
        <v>44124</v>
      </c>
      <c r="B4312" s="6">
        <v>46.66</v>
      </c>
      <c r="C4312" s="6">
        <v>29.38</v>
      </c>
      <c r="D4312" s="6">
        <v>11.04</v>
      </c>
      <c r="E4312" s="6">
        <v>6.54</v>
      </c>
      <c r="G4312" s="31"/>
    </row>
    <row r="4313" spans="1:7" x14ac:dyDescent="0.25">
      <c r="A4313" s="36">
        <v>44125</v>
      </c>
      <c r="B4313" s="6">
        <v>46.55</v>
      </c>
      <c r="C4313" s="6">
        <v>29.33</v>
      </c>
      <c r="D4313" s="6">
        <v>11.02</v>
      </c>
      <c r="E4313" s="6">
        <v>6.5299999999999994</v>
      </c>
      <c r="G4313" s="31"/>
    </row>
    <row r="4314" spans="1:7" x14ac:dyDescent="0.25">
      <c r="A4314" s="36">
        <v>44126</v>
      </c>
      <c r="B4314" s="6">
        <v>46.49</v>
      </c>
      <c r="C4314" s="6">
        <v>29.28</v>
      </c>
      <c r="D4314" s="6">
        <v>10.96</v>
      </c>
      <c r="E4314" s="6">
        <v>6.5299999999999994</v>
      </c>
      <c r="G4314" s="31"/>
    </row>
    <row r="4315" spans="1:7" x14ac:dyDescent="0.25">
      <c r="A4315" s="36">
        <v>44127</v>
      </c>
      <c r="B4315" s="6">
        <v>46.49</v>
      </c>
      <c r="C4315" s="6">
        <v>29.21</v>
      </c>
      <c r="D4315" s="6">
        <v>10.9</v>
      </c>
      <c r="E4315" s="6">
        <v>6.5299999999999994</v>
      </c>
      <c r="G4315" s="31"/>
    </row>
    <row r="4316" spans="1:7" x14ac:dyDescent="0.25">
      <c r="A4316" s="36">
        <v>44128</v>
      </c>
      <c r="B4316" s="6">
        <v>46.34</v>
      </c>
      <c r="C4316" s="6">
        <v>29.14</v>
      </c>
      <c r="D4316" s="6">
        <v>10.8</v>
      </c>
      <c r="E4316" s="6">
        <v>6.4799999999999995</v>
      </c>
      <c r="G4316" s="31"/>
    </row>
    <row r="4317" spans="1:7" x14ac:dyDescent="0.25">
      <c r="A4317" s="36">
        <v>44129</v>
      </c>
      <c r="B4317" s="6">
        <v>46.2</v>
      </c>
      <c r="C4317" s="6">
        <v>29.07</v>
      </c>
      <c r="D4317" s="6">
        <v>10.72</v>
      </c>
      <c r="E4317" s="6">
        <v>6.4499999999999993</v>
      </c>
      <c r="G4317" s="31"/>
    </row>
    <row r="4318" spans="1:7" x14ac:dyDescent="0.25">
      <c r="A4318" s="36">
        <v>44130</v>
      </c>
      <c r="B4318" s="6">
        <v>46.15</v>
      </c>
      <c r="C4318" s="6">
        <v>28.98</v>
      </c>
      <c r="D4318" s="6">
        <v>10.68</v>
      </c>
      <c r="E4318" s="6">
        <v>6.37</v>
      </c>
      <c r="G4318" s="31"/>
    </row>
    <row r="4319" spans="1:7" x14ac:dyDescent="0.25">
      <c r="A4319" s="36">
        <v>44131</v>
      </c>
      <c r="B4319" s="6">
        <v>46.11</v>
      </c>
      <c r="C4319" s="6">
        <v>28.88</v>
      </c>
      <c r="D4319" s="6">
        <v>10.64</v>
      </c>
      <c r="E4319" s="6">
        <v>6.37</v>
      </c>
      <c r="G4319" s="31"/>
    </row>
    <row r="4320" spans="1:7" x14ac:dyDescent="0.25">
      <c r="A4320" s="36">
        <v>44132</v>
      </c>
      <c r="B4320" s="6">
        <v>46</v>
      </c>
      <c r="C4320" s="6">
        <v>28.78</v>
      </c>
      <c r="D4320" s="6">
        <v>10.6</v>
      </c>
      <c r="E4320" s="6">
        <v>6.3199999999999994</v>
      </c>
      <c r="G4320" s="31"/>
    </row>
    <row r="4321" spans="1:7" x14ac:dyDescent="0.25">
      <c r="A4321" s="36">
        <v>44133</v>
      </c>
      <c r="B4321" s="6">
        <v>45.9</v>
      </c>
      <c r="C4321" s="6">
        <v>28.68</v>
      </c>
      <c r="D4321" s="6">
        <v>10.58</v>
      </c>
      <c r="E4321" s="6">
        <v>6.3</v>
      </c>
      <c r="G4321" s="31"/>
    </row>
    <row r="4322" spans="1:7" x14ac:dyDescent="0.25">
      <c r="A4322" s="36">
        <v>44134</v>
      </c>
      <c r="B4322" s="6">
        <v>45.82</v>
      </c>
      <c r="C4322" s="6">
        <v>28.58</v>
      </c>
      <c r="D4322" s="6">
        <v>10.54</v>
      </c>
      <c r="E4322" s="6">
        <v>6.21</v>
      </c>
      <c r="G4322" s="31"/>
    </row>
    <row r="4323" spans="1:7" x14ac:dyDescent="0.25">
      <c r="A4323" s="36">
        <v>44135</v>
      </c>
      <c r="B4323" s="6">
        <v>45.81</v>
      </c>
      <c r="C4323" s="6">
        <v>28.48</v>
      </c>
      <c r="D4323" s="6">
        <v>10.4</v>
      </c>
      <c r="E4323" s="6">
        <v>6.1499999999999995</v>
      </c>
      <c r="G4323" s="31"/>
    </row>
    <row r="4324" spans="1:7" x14ac:dyDescent="0.25">
      <c r="A4324" s="36">
        <v>44136</v>
      </c>
      <c r="B4324" s="6">
        <v>45.78</v>
      </c>
      <c r="C4324" s="6">
        <v>28.38</v>
      </c>
      <c r="D4324" s="6">
        <v>10.199999999999999</v>
      </c>
      <c r="E4324" s="6">
        <v>6.05</v>
      </c>
      <c r="G4324" s="31"/>
    </row>
    <row r="4325" spans="1:7" x14ac:dyDescent="0.25">
      <c r="A4325" s="36">
        <v>44137</v>
      </c>
      <c r="B4325" s="6">
        <v>45.8</v>
      </c>
      <c r="C4325" s="6">
        <v>28.36</v>
      </c>
      <c r="D4325" s="6">
        <v>10.06</v>
      </c>
      <c r="E4325" s="6">
        <v>6.01</v>
      </c>
      <c r="G4325" s="31"/>
    </row>
    <row r="4326" spans="1:7" x14ac:dyDescent="0.25">
      <c r="A4326" s="36">
        <v>44138</v>
      </c>
      <c r="B4326" s="6">
        <v>45.85</v>
      </c>
      <c r="C4326" s="6">
        <v>28.36</v>
      </c>
      <c r="D4326" s="6">
        <v>10</v>
      </c>
      <c r="E4326" s="6">
        <v>5.8199999999999994</v>
      </c>
      <c r="G4326" s="31"/>
    </row>
    <row r="4327" spans="1:7" x14ac:dyDescent="0.25">
      <c r="A4327" s="36">
        <v>44139</v>
      </c>
      <c r="B4327" s="6">
        <v>45.9</v>
      </c>
      <c r="C4327" s="6">
        <v>28.35</v>
      </c>
      <c r="D4327" s="6">
        <v>10</v>
      </c>
      <c r="E4327" s="6">
        <v>5.7299999999999995</v>
      </c>
      <c r="G4327" s="31"/>
    </row>
    <row r="4328" spans="1:7" x14ac:dyDescent="0.25">
      <c r="A4328" s="36">
        <v>44140</v>
      </c>
      <c r="B4328" s="6">
        <v>45.94</v>
      </c>
      <c r="C4328" s="6">
        <v>28.34</v>
      </c>
      <c r="D4328" s="6">
        <v>10</v>
      </c>
      <c r="E4328" s="6">
        <v>5.81</v>
      </c>
      <c r="G4328" s="31"/>
    </row>
    <row r="4329" spans="1:7" x14ac:dyDescent="0.25">
      <c r="A4329" s="36">
        <v>44141</v>
      </c>
      <c r="B4329" s="6">
        <v>45.92</v>
      </c>
      <c r="C4329" s="6">
        <v>28.34</v>
      </c>
      <c r="D4329" s="6">
        <v>10</v>
      </c>
      <c r="E4329" s="6">
        <v>5.81</v>
      </c>
      <c r="G4329" s="31"/>
    </row>
    <row r="4330" spans="1:7" x14ac:dyDescent="0.25">
      <c r="A4330" s="36">
        <v>44142</v>
      </c>
      <c r="B4330" s="6">
        <v>46.18</v>
      </c>
      <c r="C4330" s="6">
        <v>28.38</v>
      </c>
      <c r="D4330" s="6">
        <v>10</v>
      </c>
      <c r="E4330" s="6">
        <v>5.87</v>
      </c>
      <c r="G4330" s="31"/>
    </row>
    <row r="4331" spans="1:7" x14ac:dyDescent="0.25">
      <c r="A4331" s="36">
        <v>44143</v>
      </c>
      <c r="B4331" s="6">
        <v>46.3</v>
      </c>
      <c r="C4331" s="6">
        <v>28.42</v>
      </c>
      <c r="D4331" s="6">
        <v>10.039999999999999</v>
      </c>
      <c r="E4331" s="6">
        <v>5.91</v>
      </c>
      <c r="G4331" s="31"/>
    </row>
    <row r="4332" spans="1:7" x14ac:dyDescent="0.25">
      <c r="A4332" s="36">
        <v>44144</v>
      </c>
      <c r="B4332" s="6">
        <v>46.38</v>
      </c>
      <c r="C4332" s="6">
        <v>28.45</v>
      </c>
      <c r="D4332" s="6">
        <v>10.199999999999999</v>
      </c>
      <c r="E4332" s="6">
        <v>6.14</v>
      </c>
      <c r="G4332" s="31"/>
    </row>
    <row r="4333" spans="1:7" x14ac:dyDescent="0.25">
      <c r="A4333" s="36">
        <v>44145</v>
      </c>
      <c r="B4333" s="6">
        <v>46.47</v>
      </c>
      <c r="C4333" s="6">
        <v>28.58</v>
      </c>
      <c r="D4333" s="6">
        <v>10.38</v>
      </c>
      <c r="E4333" s="6">
        <v>6.2399999999999993</v>
      </c>
      <c r="G4333" s="31"/>
    </row>
    <row r="4334" spans="1:7" x14ac:dyDescent="0.25">
      <c r="A4334" s="36">
        <v>44146</v>
      </c>
      <c r="B4334" s="6">
        <v>46.5</v>
      </c>
      <c r="C4334" s="6">
        <v>28.68</v>
      </c>
      <c r="D4334" s="6">
        <v>10.44</v>
      </c>
      <c r="E4334" s="6">
        <v>6.34</v>
      </c>
      <c r="G4334" s="31"/>
    </row>
    <row r="4335" spans="1:7" x14ac:dyDescent="0.25">
      <c r="A4335" s="36">
        <v>44147</v>
      </c>
      <c r="B4335" s="6">
        <v>46.53</v>
      </c>
      <c r="C4335" s="6">
        <v>28.75</v>
      </c>
      <c r="D4335" s="6">
        <v>10.46</v>
      </c>
      <c r="E4335" s="6">
        <v>6.34</v>
      </c>
      <c r="G4335" s="31"/>
    </row>
    <row r="4336" spans="1:7" x14ac:dyDescent="0.25">
      <c r="A4336" s="36">
        <v>44148</v>
      </c>
      <c r="B4336" s="6">
        <v>46.5</v>
      </c>
      <c r="C4336" s="6">
        <v>28.8</v>
      </c>
      <c r="D4336" s="6">
        <v>10.44</v>
      </c>
      <c r="E4336" s="6">
        <v>6.33</v>
      </c>
      <c r="G4336" s="31"/>
    </row>
    <row r="4337" spans="1:7" x14ac:dyDescent="0.25">
      <c r="A4337" s="36">
        <v>44149</v>
      </c>
      <c r="B4337" s="6">
        <v>46.48</v>
      </c>
      <c r="C4337" s="6">
        <v>28.84</v>
      </c>
      <c r="D4337" s="6">
        <v>10.44</v>
      </c>
      <c r="E4337" s="6">
        <v>6.31</v>
      </c>
      <c r="G4337" s="31"/>
    </row>
    <row r="4338" spans="1:7" x14ac:dyDescent="0.25">
      <c r="A4338" s="36">
        <v>44150</v>
      </c>
      <c r="B4338" s="6">
        <v>46.45</v>
      </c>
      <c r="C4338" s="6">
        <v>28.88</v>
      </c>
      <c r="D4338" s="6">
        <v>10.46</v>
      </c>
      <c r="E4338" s="6">
        <v>6.3199999999999994</v>
      </c>
      <c r="G4338" s="31"/>
    </row>
    <row r="4339" spans="1:7" x14ac:dyDescent="0.25">
      <c r="A4339" s="36">
        <v>44151</v>
      </c>
      <c r="B4339" s="6">
        <v>46.41</v>
      </c>
      <c r="C4339" s="6">
        <v>28.92</v>
      </c>
      <c r="D4339" s="6">
        <v>10.48</v>
      </c>
      <c r="E4339" s="6">
        <v>6.3199999999999994</v>
      </c>
      <c r="G4339" s="31"/>
    </row>
    <row r="4340" spans="1:7" x14ac:dyDescent="0.25">
      <c r="A4340" s="36">
        <v>44152</v>
      </c>
      <c r="B4340" s="6">
        <v>46.4</v>
      </c>
      <c r="C4340" s="6">
        <v>28.92</v>
      </c>
      <c r="D4340" s="6">
        <v>10.54</v>
      </c>
      <c r="E4340" s="6">
        <v>6.35</v>
      </c>
      <c r="G4340" s="31"/>
    </row>
    <row r="4341" spans="1:7" x14ac:dyDescent="0.25">
      <c r="A4341" s="36">
        <v>44153</v>
      </c>
      <c r="B4341" s="6">
        <v>46.43</v>
      </c>
      <c r="C4341" s="6">
        <v>28.99</v>
      </c>
      <c r="D4341" s="6">
        <v>10.6</v>
      </c>
      <c r="E4341" s="6">
        <v>6.3999999999999995</v>
      </c>
      <c r="G4341" s="31"/>
    </row>
    <row r="4342" spans="1:7" x14ac:dyDescent="0.25">
      <c r="A4342" s="36">
        <v>44154</v>
      </c>
      <c r="B4342" s="6">
        <v>46.41</v>
      </c>
      <c r="C4342" s="6">
        <v>29.04</v>
      </c>
      <c r="D4342" s="6">
        <v>10.7</v>
      </c>
      <c r="E4342" s="6">
        <v>6.54</v>
      </c>
      <c r="G4342" s="31"/>
    </row>
    <row r="4343" spans="1:7" x14ac:dyDescent="0.25">
      <c r="A4343" s="36">
        <v>44155</v>
      </c>
      <c r="B4343" s="6">
        <v>46.39</v>
      </c>
      <c r="C4343" s="6">
        <v>29.08</v>
      </c>
      <c r="D4343" s="6">
        <v>10.76</v>
      </c>
      <c r="E4343" s="6">
        <v>6.64</v>
      </c>
      <c r="G4343" s="31"/>
    </row>
    <row r="4344" spans="1:7" x14ac:dyDescent="0.25">
      <c r="A4344" s="36">
        <v>44156</v>
      </c>
      <c r="B4344" s="6">
        <v>46.37</v>
      </c>
      <c r="C4344" s="6">
        <v>29.12</v>
      </c>
      <c r="D4344" s="6">
        <v>10.82</v>
      </c>
      <c r="E4344" s="6">
        <v>6.62</v>
      </c>
      <c r="G4344" s="31"/>
    </row>
    <row r="4345" spans="1:7" x14ac:dyDescent="0.25">
      <c r="A4345" s="36">
        <v>44157</v>
      </c>
      <c r="B4345" s="6">
        <v>46.26</v>
      </c>
      <c r="C4345" s="6">
        <v>29.16</v>
      </c>
      <c r="D4345" s="6">
        <v>10.84</v>
      </c>
      <c r="E4345" s="6">
        <v>6.72</v>
      </c>
      <c r="G4345" s="31"/>
    </row>
    <row r="4346" spans="1:7" x14ac:dyDescent="0.25">
      <c r="A4346" s="36">
        <v>44158</v>
      </c>
      <c r="B4346" s="6">
        <v>46.15</v>
      </c>
      <c r="C4346" s="6">
        <v>29.12</v>
      </c>
      <c r="D4346" s="6">
        <v>10.82</v>
      </c>
      <c r="E4346" s="6">
        <v>6.7399999999999993</v>
      </c>
      <c r="G4346" s="31"/>
    </row>
    <row r="4347" spans="1:7" x14ac:dyDescent="0.25">
      <c r="A4347" s="36">
        <v>44159</v>
      </c>
      <c r="B4347" s="6">
        <v>46.02</v>
      </c>
      <c r="C4347" s="6">
        <v>29.08</v>
      </c>
      <c r="D4347" s="6">
        <v>10.74</v>
      </c>
      <c r="E4347" s="6">
        <v>6.52</v>
      </c>
      <c r="G4347" s="31"/>
    </row>
    <row r="4348" spans="1:7" x14ac:dyDescent="0.25">
      <c r="A4348" s="36">
        <v>44160</v>
      </c>
      <c r="B4348" s="6">
        <v>45.9</v>
      </c>
      <c r="C4348" s="6">
        <v>29.01</v>
      </c>
      <c r="D4348" s="6">
        <v>10.76</v>
      </c>
      <c r="E4348" s="6">
        <v>6.37</v>
      </c>
      <c r="G4348" s="31"/>
    </row>
    <row r="4349" spans="1:7" x14ac:dyDescent="0.25">
      <c r="A4349" s="36">
        <v>44161</v>
      </c>
      <c r="B4349" s="6">
        <v>45.87</v>
      </c>
      <c r="C4349" s="6">
        <v>28.92</v>
      </c>
      <c r="D4349" s="6">
        <v>10.78</v>
      </c>
      <c r="E4349" s="6">
        <v>6.37</v>
      </c>
      <c r="G4349" s="31"/>
    </row>
    <row r="4350" spans="1:7" x14ac:dyDescent="0.25">
      <c r="A4350" s="36">
        <v>44162</v>
      </c>
      <c r="B4350" s="6">
        <v>45.89</v>
      </c>
      <c r="C4350" s="6">
        <v>28.88</v>
      </c>
      <c r="D4350" s="6">
        <v>10.82</v>
      </c>
      <c r="E4350" s="6">
        <v>6.37</v>
      </c>
      <c r="G4350" s="31"/>
    </row>
    <row r="4351" spans="1:7" x14ac:dyDescent="0.25">
      <c r="A4351" s="36">
        <v>44163</v>
      </c>
      <c r="B4351" s="6">
        <v>45.66</v>
      </c>
      <c r="C4351" s="6">
        <v>28.7</v>
      </c>
      <c r="D4351" s="6">
        <v>10.96</v>
      </c>
      <c r="E4351" s="6">
        <v>6.3599999999999994</v>
      </c>
      <c r="G4351" s="31"/>
    </row>
    <row r="4352" spans="1:7" x14ac:dyDescent="0.25">
      <c r="A4352" s="36">
        <v>44164</v>
      </c>
      <c r="B4352" s="6">
        <v>45.67</v>
      </c>
      <c r="C4352" s="6">
        <v>28.6</v>
      </c>
      <c r="D4352" s="6">
        <v>11</v>
      </c>
      <c r="E4352" s="6">
        <v>6.34</v>
      </c>
      <c r="G4352" s="31"/>
    </row>
    <row r="4353" spans="1:7" x14ac:dyDescent="0.25">
      <c r="A4353" s="36">
        <v>44165</v>
      </c>
      <c r="B4353" s="6">
        <v>45.76</v>
      </c>
      <c r="C4353" s="6">
        <v>28.45</v>
      </c>
      <c r="D4353" s="6">
        <v>10.98</v>
      </c>
      <c r="E4353" s="6">
        <v>6.29</v>
      </c>
      <c r="G4353" s="31"/>
    </row>
    <row r="4354" spans="1:7" x14ac:dyDescent="0.25">
      <c r="A4354" s="36">
        <v>44166</v>
      </c>
      <c r="B4354" s="6">
        <v>45.8</v>
      </c>
      <c r="C4354" s="6">
        <v>28.36</v>
      </c>
      <c r="D4354" s="6">
        <v>10.86</v>
      </c>
      <c r="E4354" s="6">
        <v>6.2399999999999993</v>
      </c>
      <c r="G4354" s="31"/>
    </row>
    <row r="4355" spans="1:7" x14ac:dyDescent="0.25">
      <c r="A4355" s="36">
        <v>44167</v>
      </c>
      <c r="B4355" s="6">
        <v>45.95</v>
      </c>
      <c r="C4355" s="6">
        <v>28.26</v>
      </c>
      <c r="D4355" s="6">
        <v>10.74</v>
      </c>
      <c r="E4355" s="6">
        <v>6.1899999999999995</v>
      </c>
      <c r="G4355" s="31"/>
    </row>
    <row r="4356" spans="1:7" x14ac:dyDescent="0.25">
      <c r="A4356" s="36">
        <v>44168</v>
      </c>
      <c r="B4356" s="6">
        <v>46.1</v>
      </c>
      <c r="C4356" s="6">
        <v>28.28</v>
      </c>
      <c r="D4356" s="6">
        <v>10.68</v>
      </c>
      <c r="E4356" s="6">
        <v>6.09</v>
      </c>
      <c r="G4356" s="31"/>
    </row>
    <row r="4357" spans="1:7" x14ac:dyDescent="0.25">
      <c r="A4357" s="36">
        <v>44169</v>
      </c>
      <c r="B4357" s="6">
        <v>46.24</v>
      </c>
      <c r="C4357" s="6">
        <v>28.28</v>
      </c>
      <c r="D4357" s="6">
        <v>10.64</v>
      </c>
      <c r="E4357" s="6">
        <v>5.9899999999999993</v>
      </c>
      <c r="G4357" s="31"/>
    </row>
    <row r="4358" spans="1:7" x14ac:dyDescent="0.25">
      <c r="A4358" s="36">
        <v>44170</v>
      </c>
      <c r="B4358" s="6">
        <v>46.35</v>
      </c>
      <c r="C4358" s="6">
        <v>28.38</v>
      </c>
      <c r="D4358" s="6">
        <v>10.6</v>
      </c>
      <c r="E4358" s="6">
        <v>5.9399999999999995</v>
      </c>
      <c r="G4358" s="31"/>
    </row>
    <row r="4359" spans="1:7" x14ac:dyDescent="0.25">
      <c r="A4359" s="36">
        <v>44171</v>
      </c>
      <c r="B4359" s="6">
        <v>46.42</v>
      </c>
      <c r="C4359" s="6">
        <v>28.47</v>
      </c>
      <c r="D4359" s="6">
        <v>10.56</v>
      </c>
      <c r="E4359" s="6">
        <v>5.89</v>
      </c>
      <c r="G4359" s="31"/>
    </row>
    <row r="4360" spans="1:7" x14ac:dyDescent="0.25">
      <c r="A4360" s="36">
        <v>44172</v>
      </c>
      <c r="B4360" s="6">
        <v>46.5</v>
      </c>
      <c r="C4360" s="6">
        <v>28.5</v>
      </c>
      <c r="D4360" s="6">
        <v>10.56</v>
      </c>
      <c r="E4360" s="6">
        <v>5.79</v>
      </c>
      <c r="G4360" s="31"/>
    </row>
    <row r="4361" spans="1:7" x14ac:dyDescent="0.25">
      <c r="A4361" s="36">
        <v>44173</v>
      </c>
      <c r="B4361" s="6">
        <v>46.5</v>
      </c>
      <c r="C4361" s="6">
        <v>28.56</v>
      </c>
      <c r="D4361" s="6">
        <v>10.64</v>
      </c>
      <c r="E4361" s="6">
        <v>5.7399999999999993</v>
      </c>
      <c r="G4361" s="31"/>
    </row>
    <row r="4362" spans="1:7" x14ac:dyDescent="0.25">
      <c r="A4362" s="36">
        <v>44174</v>
      </c>
      <c r="B4362" s="6">
        <v>46.56</v>
      </c>
      <c r="C4362" s="6">
        <v>28.58</v>
      </c>
      <c r="D4362" s="6">
        <v>10.66</v>
      </c>
      <c r="E4362" s="6">
        <v>5.6899999999999995</v>
      </c>
      <c r="G4362" s="31"/>
    </row>
    <row r="4363" spans="1:7" x14ac:dyDescent="0.25">
      <c r="A4363" s="36">
        <v>44175</v>
      </c>
      <c r="B4363" s="6">
        <v>46.54</v>
      </c>
      <c r="C4363" s="6">
        <v>28.58</v>
      </c>
      <c r="D4363" s="6">
        <v>10.68</v>
      </c>
      <c r="E4363" s="6">
        <v>5.64</v>
      </c>
      <c r="G4363" s="31"/>
    </row>
    <row r="4364" spans="1:7" x14ac:dyDescent="0.25">
      <c r="A4364" s="36">
        <v>44176</v>
      </c>
      <c r="B4364" s="6">
        <v>46.5</v>
      </c>
      <c r="C4364" s="6">
        <v>28.56</v>
      </c>
      <c r="D4364" s="6">
        <v>10.62</v>
      </c>
      <c r="E4364" s="6">
        <v>5.54</v>
      </c>
      <c r="G4364" s="31"/>
    </row>
    <row r="4365" spans="1:7" x14ac:dyDescent="0.25">
      <c r="A4365" s="36">
        <v>44177</v>
      </c>
      <c r="B4365" s="6">
        <v>46.44</v>
      </c>
      <c r="C4365" s="6">
        <v>28.54</v>
      </c>
      <c r="D4365" s="6">
        <v>10.6</v>
      </c>
      <c r="E4365" s="6">
        <v>5.4899999999999993</v>
      </c>
      <c r="G4365" s="31"/>
    </row>
    <row r="4366" spans="1:7" x14ac:dyDescent="0.25">
      <c r="A4366" s="36">
        <v>44178</v>
      </c>
      <c r="B4366" s="6">
        <v>46.34</v>
      </c>
      <c r="C4366" s="6">
        <v>28.48</v>
      </c>
      <c r="D4366" s="6">
        <v>10.48</v>
      </c>
      <c r="E4366" s="6">
        <v>5.4399999999999995</v>
      </c>
      <c r="G4366" s="31"/>
    </row>
    <row r="4367" spans="1:7" x14ac:dyDescent="0.25">
      <c r="A4367" s="36">
        <v>44179</v>
      </c>
      <c r="B4367" s="6">
        <v>46.28</v>
      </c>
      <c r="C4367" s="6">
        <v>28.4</v>
      </c>
      <c r="D4367" s="6">
        <v>10.18</v>
      </c>
      <c r="E4367" s="6">
        <v>5.39</v>
      </c>
      <c r="G4367" s="31"/>
    </row>
    <row r="4368" spans="1:7" x14ac:dyDescent="0.25">
      <c r="A4368" s="36">
        <v>44180</v>
      </c>
      <c r="B4368" s="6">
        <v>46.2</v>
      </c>
      <c r="C4368" s="6">
        <v>28.3</v>
      </c>
      <c r="D4368" s="6">
        <v>10.3</v>
      </c>
      <c r="E4368" s="6">
        <v>5.34</v>
      </c>
      <c r="G4368" s="31"/>
    </row>
    <row r="4369" spans="1:7" x14ac:dyDescent="0.25">
      <c r="A4369" s="36">
        <v>44181</v>
      </c>
      <c r="B4369" s="6">
        <v>46.1</v>
      </c>
      <c r="C4369" s="6">
        <v>28.2</v>
      </c>
      <c r="D4369" s="6">
        <v>10.24</v>
      </c>
      <c r="E4369" s="6">
        <v>5.29</v>
      </c>
      <c r="G4369" s="31"/>
    </row>
    <row r="4370" spans="1:7" x14ac:dyDescent="0.25">
      <c r="A4370" s="36">
        <v>44182</v>
      </c>
      <c r="B4370" s="6">
        <v>45.98</v>
      </c>
      <c r="C4370" s="6">
        <v>28.12</v>
      </c>
      <c r="D4370" s="6">
        <v>10.16</v>
      </c>
      <c r="E4370" s="6">
        <v>5.25</v>
      </c>
      <c r="G4370" s="31"/>
    </row>
    <row r="4371" spans="1:7" x14ac:dyDescent="0.25">
      <c r="A4371" s="36">
        <v>44183</v>
      </c>
      <c r="B4371" s="6">
        <v>45.84</v>
      </c>
      <c r="C4371" s="6">
        <v>28.05</v>
      </c>
      <c r="D4371" s="6">
        <v>10.1</v>
      </c>
      <c r="E4371" s="6">
        <v>5.21</v>
      </c>
      <c r="G4371" s="31"/>
    </row>
    <row r="4372" spans="1:7" x14ac:dyDescent="0.25">
      <c r="A4372" s="36">
        <v>44184</v>
      </c>
      <c r="B4372" s="6">
        <v>45.72</v>
      </c>
      <c r="C4372" s="6">
        <v>27.94</v>
      </c>
      <c r="D4372" s="6">
        <v>9.9600000000000009</v>
      </c>
      <c r="E4372" s="6">
        <v>5.18</v>
      </c>
      <c r="G4372" s="31"/>
    </row>
    <row r="4373" spans="1:7" x14ac:dyDescent="0.25">
      <c r="A4373" s="36">
        <v>44185</v>
      </c>
      <c r="B4373" s="6">
        <v>45.64</v>
      </c>
      <c r="C4373" s="6">
        <v>27.8</v>
      </c>
      <c r="D4373" s="6">
        <v>9.76</v>
      </c>
      <c r="E4373" s="6">
        <v>5.16</v>
      </c>
      <c r="G4373" s="31"/>
    </row>
    <row r="4374" spans="1:7" x14ac:dyDescent="0.25">
      <c r="A4374" s="36">
        <v>44186</v>
      </c>
      <c r="B4374" s="6">
        <v>45.58</v>
      </c>
      <c r="C4374" s="6">
        <v>27.64</v>
      </c>
      <c r="D4374" s="6">
        <v>9.64</v>
      </c>
      <c r="E4374" s="6">
        <v>5.16</v>
      </c>
      <c r="G4374" s="31"/>
    </row>
    <row r="4375" spans="1:7" x14ac:dyDescent="0.25">
      <c r="A4375" s="36">
        <v>44187</v>
      </c>
      <c r="B4375" s="6">
        <v>45.49</v>
      </c>
      <c r="C4375" s="6">
        <v>27.48</v>
      </c>
      <c r="D4375" s="6">
        <v>9.5</v>
      </c>
      <c r="E4375" s="6">
        <v>5.13</v>
      </c>
      <c r="G4375" s="31"/>
    </row>
    <row r="4376" spans="1:7" x14ac:dyDescent="0.25">
      <c r="A4376" s="36">
        <v>44188</v>
      </c>
      <c r="B4376" s="6">
        <v>45.22</v>
      </c>
      <c r="C4376" s="6">
        <v>27.34</v>
      </c>
      <c r="D4376" s="6">
        <v>9.36</v>
      </c>
      <c r="E4376" s="6">
        <v>5.0999999999999996</v>
      </c>
      <c r="G4376" s="31"/>
    </row>
    <row r="4377" spans="1:7" x14ac:dyDescent="0.25">
      <c r="A4377" s="36">
        <v>44189</v>
      </c>
      <c r="B4377" s="6">
        <v>45.06</v>
      </c>
      <c r="C4377" s="6">
        <v>27.15</v>
      </c>
      <c r="D4377" s="6">
        <v>9.24</v>
      </c>
      <c r="E4377" s="6">
        <v>5.08</v>
      </c>
      <c r="G4377" s="31"/>
    </row>
    <row r="4378" spans="1:7" x14ac:dyDescent="0.25">
      <c r="A4378" s="36">
        <v>44190</v>
      </c>
      <c r="B4378" s="6">
        <v>44.95</v>
      </c>
      <c r="C4378" s="6">
        <v>27.02</v>
      </c>
      <c r="D4378" s="6">
        <v>8.92</v>
      </c>
      <c r="E4378" s="6">
        <v>5.05</v>
      </c>
      <c r="G4378" s="31"/>
    </row>
    <row r="4379" spans="1:7" x14ac:dyDescent="0.25">
      <c r="A4379" s="36">
        <v>44191</v>
      </c>
      <c r="B4379" s="6">
        <v>44.87</v>
      </c>
      <c r="C4379" s="6">
        <v>26.96</v>
      </c>
      <c r="D4379" s="6">
        <v>8.74</v>
      </c>
      <c r="E4379" s="6">
        <v>5.0199999999999996</v>
      </c>
      <c r="G4379" s="31"/>
    </row>
    <row r="4380" spans="1:7" x14ac:dyDescent="0.25">
      <c r="A4380" s="36">
        <v>44192</v>
      </c>
      <c r="B4380" s="6">
        <v>44.79</v>
      </c>
      <c r="C4380" s="6">
        <v>26.85</v>
      </c>
      <c r="D4380" s="6">
        <v>8.6</v>
      </c>
      <c r="E4380" s="6">
        <v>5.0199999999999996</v>
      </c>
      <c r="G4380" s="31"/>
    </row>
    <row r="4381" spans="1:7" x14ac:dyDescent="0.25">
      <c r="A4381" s="36">
        <v>44193</v>
      </c>
      <c r="B4381" s="6">
        <v>44.76</v>
      </c>
      <c r="C4381" s="6">
        <v>26.7</v>
      </c>
      <c r="D4381" s="6">
        <v>8.5</v>
      </c>
      <c r="E4381" s="6">
        <v>4.79</v>
      </c>
      <c r="G4381" s="31"/>
    </row>
    <row r="4382" spans="1:7" x14ac:dyDescent="0.25">
      <c r="A4382" s="36">
        <v>44194</v>
      </c>
      <c r="B4382" s="6">
        <v>44.68</v>
      </c>
      <c r="C4382" s="6">
        <v>26.6</v>
      </c>
      <c r="D4382" s="6">
        <v>8.4</v>
      </c>
      <c r="E4382" s="6">
        <v>4.6499999999999995</v>
      </c>
      <c r="G4382" s="31"/>
    </row>
    <row r="4383" spans="1:7" x14ac:dyDescent="0.25">
      <c r="A4383" s="36">
        <v>44195</v>
      </c>
      <c r="B4383" s="6">
        <v>44.66</v>
      </c>
      <c r="C4383" s="6">
        <v>26.5</v>
      </c>
      <c r="D4383" s="6">
        <v>8.3000000000000007</v>
      </c>
      <c r="E4383" s="6">
        <v>4.5999999999999996</v>
      </c>
      <c r="G4383" s="31"/>
    </row>
    <row r="4384" spans="1:7" x14ac:dyDescent="0.25">
      <c r="A4384" s="36">
        <v>44196</v>
      </c>
      <c r="B4384" s="6">
        <v>44.6</v>
      </c>
      <c r="C4384" s="6">
        <v>26.4</v>
      </c>
      <c r="D4384" s="6">
        <v>8.1999999999999993</v>
      </c>
      <c r="E4384" s="6">
        <v>4.55</v>
      </c>
      <c r="G4384" s="31"/>
    </row>
    <row r="4385" spans="1:7" x14ac:dyDescent="0.25">
      <c r="A4385" s="36">
        <v>44197</v>
      </c>
      <c r="B4385" s="7">
        <v>44.54</v>
      </c>
      <c r="C4385" s="7">
        <v>26.33</v>
      </c>
      <c r="D4385" s="6">
        <v>8.1999999999999993</v>
      </c>
      <c r="E4385" s="7">
        <v>4.5</v>
      </c>
      <c r="G4385" s="31"/>
    </row>
    <row r="4386" spans="1:7" x14ac:dyDescent="0.25">
      <c r="A4386" s="36">
        <v>44198</v>
      </c>
      <c r="B4386" s="7">
        <v>44.49</v>
      </c>
      <c r="C4386" s="7">
        <v>26.27</v>
      </c>
      <c r="D4386" s="6">
        <v>8.1999999999999993</v>
      </c>
      <c r="E4386" s="7">
        <v>4.4499999999999993</v>
      </c>
      <c r="G4386" s="31"/>
    </row>
    <row r="4387" spans="1:7" x14ac:dyDescent="0.25">
      <c r="A4387" s="36">
        <v>44199</v>
      </c>
      <c r="B4387" s="7">
        <v>44.44</v>
      </c>
      <c r="C4387" s="7">
        <v>26.26</v>
      </c>
      <c r="D4387" s="6">
        <v>8.1999999999999993</v>
      </c>
      <c r="E4387" s="7">
        <v>4.4000000000000004</v>
      </c>
      <c r="G4387" s="31"/>
    </row>
    <row r="4388" spans="1:7" x14ac:dyDescent="0.25">
      <c r="A4388" s="36">
        <v>44200</v>
      </c>
      <c r="B4388" s="7">
        <v>44.5</v>
      </c>
      <c r="C4388" s="7">
        <v>26.26</v>
      </c>
      <c r="D4388" s="6">
        <v>8.3000000000000007</v>
      </c>
      <c r="E4388" s="7">
        <v>4.3899999999999997</v>
      </c>
      <c r="G4388" s="31"/>
    </row>
    <row r="4389" spans="1:7" x14ac:dyDescent="0.25">
      <c r="A4389" s="36">
        <v>44201</v>
      </c>
      <c r="B4389" s="7">
        <v>44.46</v>
      </c>
      <c r="C4389" s="7">
        <v>26.26</v>
      </c>
      <c r="D4389" s="6">
        <v>8.34</v>
      </c>
      <c r="E4389" s="7">
        <v>4.38</v>
      </c>
      <c r="G4389" s="31"/>
    </row>
    <row r="4390" spans="1:7" x14ac:dyDescent="0.25">
      <c r="A4390" s="36">
        <v>44202</v>
      </c>
      <c r="B4390" s="7">
        <v>44.41</v>
      </c>
      <c r="C4390" s="7">
        <v>26.25</v>
      </c>
      <c r="D4390" s="6">
        <v>8.34</v>
      </c>
      <c r="E4390" s="7">
        <v>4.38</v>
      </c>
      <c r="G4390" s="31"/>
    </row>
    <row r="4391" spans="1:7" x14ac:dyDescent="0.25">
      <c r="A4391" s="36">
        <v>44203</v>
      </c>
      <c r="B4391" s="7">
        <v>44.46</v>
      </c>
      <c r="C4391" s="7">
        <v>26.21</v>
      </c>
      <c r="D4391" s="6">
        <v>8.3000000000000007</v>
      </c>
      <c r="E4391" s="7">
        <v>4.37</v>
      </c>
      <c r="G4391" s="31"/>
    </row>
    <row r="4392" spans="1:7" x14ac:dyDescent="0.25">
      <c r="A4392" s="36">
        <v>44204</v>
      </c>
      <c r="B4392" s="7">
        <v>44.52</v>
      </c>
      <c r="C4392" s="7">
        <v>26.18</v>
      </c>
      <c r="D4392" s="6">
        <v>8.2799999999999994</v>
      </c>
      <c r="E4392" s="7">
        <v>4.3600000000000003</v>
      </c>
      <c r="G4392" s="31"/>
    </row>
    <row r="4393" spans="1:7" x14ac:dyDescent="0.25">
      <c r="A4393" s="36">
        <v>44205</v>
      </c>
      <c r="B4393" s="7">
        <v>44.6</v>
      </c>
      <c r="C4393" s="7">
        <v>26.15</v>
      </c>
      <c r="D4393" s="6">
        <v>8.18</v>
      </c>
      <c r="E4393" s="7">
        <v>4.3499999999999996</v>
      </c>
      <c r="G4393" s="31"/>
    </row>
    <row r="4394" spans="1:7" x14ac:dyDescent="0.25">
      <c r="A4394" s="36">
        <v>44206</v>
      </c>
      <c r="B4394" s="7">
        <v>44.5</v>
      </c>
      <c r="C4394" s="7">
        <v>26.12</v>
      </c>
      <c r="D4394" s="6">
        <v>8.18</v>
      </c>
      <c r="E4394" s="7">
        <v>4.34</v>
      </c>
      <c r="G4394" s="31"/>
    </row>
    <row r="4395" spans="1:7" x14ac:dyDescent="0.25">
      <c r="A4395" s="36">
        <v>44207</v>
      </c>
      <c r="B4395" s="7">
        <v>44.43</v>
      </c>
      <c r="C4395" s="7">
        <v>26.05</v>
      </c>
      <c r="D4395" s="6">
        <v>8.14</v>
      </c>
      <c r="E4395" s="7">
        <v>4.33</v>
      </c>
      <c r="G4395" s="31"/>
    </row>
    <row r="4396" spans="1:7" x14ac:dyDescent="0.25">
      <c r="A4396" s="36">
        <v>44208</v>
      </c>
      <c r="B4396" s="7">
        <v>44.44</v>
      </c>
      <c r="C4396" s="7">
        <v>26.01</v>
      </c>
      <c r="D4396" s="6">
        <v>8.1</v>
      </c>
      <c r="E4396" s="7">
        <v>4.33</v>
      </c>
      <c r="G4396" s="31"/>
    </row>
    <row r="4397" spans="1:7" x14ac:dyDescent="0.25">
      <c r="A4397" s="36">
        <v>44209</v>
      </c>
      <c r="B4397" s="7">
        <v>44.36</v>
      </c>
      <c r="C4397" s="7">
        <v>25.94</v>
      </c>
      <c r="D4397" s="6">
        <v>8.02</v>
      </c>
      <c r="E4397" s="7">
        <v>4.32</v>
      </c>
      <c r="G4397" s="31"/>
    </row>
    <row r="4398" spans="1:7" x14ac:dyDescent="0.25">
      <c r="A4398" s="36">
        <v>44210</v>
      </c>
      <c r="B4398" s="7">
        <v>44.27</v>
      </c>
      <c r="C4398" s="7">
        <v>25.86</v>
      </c>
      <c r="D4398" s="6">
        <v>7.98</v>
      </c>
      <c r="E4398" s="7">
        <v>4.32</v>
      </c>
      <c r="G4398" s="31"/>
    </row>
    <row r="4399" spans="1:7" x14ac:dyDescent="0.25">
      <c r="A4399" s="36">
        <v>44211</v>
      </c>
      <c r="B4399" s="7">
        <v>44.17</v>
      </c>
      <c r="C4399" s="7">
        <v>25.77</v>
      </c>
      <c r="D4399" s="6">
        <v>7.84</v>
      </c>
      <c r="E4399" s="7">
        <v>4.3099999999999996</v>
      </c>
      <c r="G4399" s="31"/>
    </row>
    <row r="4400" spans="1:7" x14ac:dyDescent="0.25">
      <c r="A4400" s="36">
        <v>44212</v>
      </c>
      <c r="B4400" s="7">
        <v>44.07</v>
      </c>
      <c r="C4400" s="7">
        <v>25.68</v>
      </c>
      <c r="D4400" s="6">
        <v>7.8</v>
      </c>
      <c r="E4400" s="7">
        <v>4.3</v>
      </c>
      <c r="G4400" s="31"/>
    </row>
    <row r="4401" spans="1:7" x14ac:dyDescent="0.25">
      <c r="A4401" s="36">
        <v>44213</v>
      </c>
      <c r="B4401" s="7">
        <v>43.97</v>
      </c>
      <c r="C4401" s="7">
        <v>25.59</v>
      </c>
      <c r="D4401" s="6">
        <v>7.74</v>
      </c>
      <c r="E4401" s="7">
        <v>4.29</v>
      </c>
      <c r="G4401" s="31"/>
    </row>
    <row r="4402" spans="1:7" x14ac:dyDescent="0.25">
      <c r="A4402" s="36">
        <v>44214</v>
      </c>
      <c r="B4402" s="7">
        <v>43.83</v>
      </c>
      <c r="C4402" s="7">
        <v>25.49</v>
      </c>
      <c r="D4402" s="6">
        <v>7.34</v>
      </c>
      <c r="E4402" s="7">
        <v>4.28</v>
      </c>
      <c r="G4402" s="31"/>
    </row>
    <row r="4403" spans="1:7" x14ac:dyDescent="0.25">
      <c r="A4403" s="36">
        <v>44215</v>
      </c>
      <c r="B4403" s="7">
        <v>43.72</v>
      </c>
      <c r="C4403" s="7">
        <v>25.42</v>
      </c>
      <c r="D4403" s="6">
        <v>7.26</v>
      </c>
      <c r="E4403" s="7">
        <v>4.28</v>
      </c>
      <c r="G4403" s="31"/>
    </row>
    <row r="4404" spans="1:7" x14ac:dyDescent="0.25">
      <c r="A4404" s="36">
        <v>44216</v>
      </c>
      <c r="B4404" s="7">
        <v>43.61</v>
      </c>
      <c r="C4404" s="7">
        <v>25.35</v>
      </c>
      <c r="D4404" s="6">
        <v>7.18</v>
      </c>
      <c r="E4404" s="7">
        <v>4.2699999999999996</v>
      </c>
      <c r="G4404" s="31"/>
    </row>
    <row r="4405" spans="1:7" x14ac:dyDescent="0.25">
      <c r="A4405" s="36">
        <v>44217</v>
      </c>
      <c r="B4405" s="7">
        <v>43.45</v>
      </c>
      <c r="C4405" s="7">
        <v>25.27</v>
      </c>
      <c r="D4405" s="6">
        <v>6.96</v>
      </c>
      <c r="E4405" s="7">
        <v>4.2699999999999996</v>
      </c>
      <c r="G4405" s="31"/>
    </row>
    <row r="4406" spans="1:7" x14ac:dyDescent="0.25">
      <c r="A4406" s="36">
        <v>44218</v>
      </c>
      <c r="B4406" s="7">
        <v>43.34</v>
      </c>
      <c r="C4406" s="7">
        <v>25.17</v>
      </c>
      <c r="D4406" s="6">
        <v>6.88</v>
      </c>
      <c r="E4406" s="7">
        <v>4.26</v>
      </c>
      <c r="G4406" s="31"/>
    </row>
    <row r="4407" spans="1:7" x14ac:dyDescent="0.25">
      <c r="A4407" s="36">
        <v>44219</v>
      </c>
      <c r="B4407" s="7">
        <v>43.22</v>
      </c>
      <c r="C4407" s="7">
        <v>25.07</v>
      </c>
      <c r="D4407" s="6">
        <v>6.78</v>
      </c>
      <c r="E4407" s="7">
        <v>4.16</v>
      </c>
      <c r="G4407" s="31"/>
    </row>
    <row r="4408" spans="1:7" x14ac:dyDescent="0.25">
      <c r="A4408" s="36">
        <v>44220</v>
      </c>
      <c r="B4408" s="7">
        <v>43.16</v>
      </c>
      <c r="C4408" s="7">
        <v>24.99</v>
      </c>
      <c r="D4408" s="6">
        <v>6.68</v>
      </c>
      <c r="E4408" s="7">
        <v>4.0599999999999996</v>
      </c>
      <c r="G4408" s="31"/>
    </row>
    <row r="4409" spans="1:7" x14ac:dyDescent="0.25">
      <c r="A4409" s="36">
        <v>44221</v>
      </c>
      <c r="B4409" s="7">
        <v>43.03</v>
      </c>
      <c r="C4409" s="7">
        <v>24.77</v>
      </c>
      <c r="D4409" s="6">
        <v>6.6</v>
      </c>
      <c r="E4409" s="7">
        <v>3.96</v>
      </c>
      <c r="G4409" s="31"/>
    </row>
    <row r="4410" spans="1:7" x14ac:dyDescent="0.25">
      <c r="A4410" s="36">
        <v>44222</v>
      </c>
      <c r="B4410" s="7">
        <v>42.95</v>
      </c>
      <c r="C4410" s="7">
        <v>24.68</v>
      </c>
      <c r="D4410" s="6">
        <v>6.48</v>
      </c>
      <c r="E4410" s="7">
        <v>3.8600000000000003</v>
      </c>
      <c r="G4410" s="31"/>
    </row>
    <row r="4411" spans="1:7" x14ac:dyDescent="0.25">
      <c r="A4411" s="36">
        <v>44223</v>
      </c>
      <c r="B4411" s="7">
        <v>42.9</v>
      </c>
      <c r="C4411" s="7">
        <v>24.59</v>
      </c>
      <c r="D4411" s="6">
        <v>6.3</v>
      </c>
      <c r="E4411" s="7">
        <v>3.7600000000000002</v>
      </c>
      <c r="G4411" s="31"/>
    </row>
    <row r="4412" spans="1:7" x14ac:dyDescent="0.25">
      <c r="A4412" s="36">
        <v>44224</v>
      </c>
      <c r="B4412" s="7">
        <v>42.81</v>
      </c>
      <c r="C4412" s="7">
        <v>24.42</v>
      </c>
      <c r="D4412" s="6">
        <v>6.22</v>
      </c>
      <c r="E4412" s="7">
        <v>3.6100000000000003</v>
      </c>
      <c r="G4412" s="31"/>
    </row>
    <row r="4413" spans="1:7" x14ac:dyDescent="0.25">
      <c r="A4413" s="36">
        <v>44225</v>
      </c>
      <c r="B4413" s="7">
        <v>42.74</v>
      </c>
      <c r="C4413" s="7">
        <v>24.34</v>
      </c>
      <c r="D4413" s="6">
        <v>6.1</v>
      </c>
      <c r="E4413" s="7">
        <v>3.47</v>
      </c>
      <c r="G4413" s="31"/>
    </row>
    <row r="4414" spans="1:7" x14ac:dyDescent="0.25">
      <c r="A4414" s="36">
        <v>44226</v>
      </c>
      <c r="B4414" s="7">
        <v>42.72</v>
      </c>
      <c r="C4414" s="7">
        <v>24.25</v>
      </c>
      <c r="D4414" s="6">
        <v>6.02</v>
      </c>
      <c r="E4414" s="7">
        <v>3.3600000000000003</v>
      </c>
      <c r="G4414" s="31"/>
    </row>
    <row r="4415" spans="1:7" x14ac:dyDescent="0.25">
      <c r="A4415" s="36">
        <v>44227</v>
      </c>
      <c r="B4415" s="7">
        <v>42.68</v>
      </c>
      <c r="C4415" s="7">
        <v>24.08</v>
      </c>
      <c r="D4415" s="6">
        <v>6</v>
      </c>
      <c r="E4415" s="7">
        <v>3.23</v>
      </c>
      <c r="G4415" s="31"/>
    </row>
    <row r="4416" spans="1:7" x14ac:dyDescent="0.25">
      <c r="A4416" s="36">
        <v>44228</v>
      </c>
      <c r="B4416" s="7">
        <v>42.59</v>
      </c>
      <c r="C4416" s="7">
        <v>24.1</v>
      </c>
      <c r="D4416" s="6">
        <v>5.9</v>
      </c>
      <c r="E4416" s="7">
        <v>3.19</v>
      </c>
      <c r="G4416" s="31"/>
    </row>
    <row r="4417" spans="1:7" x14ac:dyDescent="0.25">
      <c r="A4417" s="36">
        <v>44229</v>
      </c>
      <c r="B4417" s="7">
        <v>42.53</v>
      </c>
      <c r="C4417" s="7">
        <v>24.05</v>
      </c>
      <c r="D4417" s="6">
        <v>5.66</v>
      </c>
      <c r="E4417" s="7">
        <v>3.04</v>
      </c>
      <c r="G4417" s="31"/>
    </row>
    <row r="4418" spans="1:7" x14ac:dyDescent="0.25">
      <c r="A4418" s="36">
        <v>44230</v>
      </c>
      <c r="B4418" s="7">
        <v>42.39</v>
      </c>
      <c r="C4418" s="7">
        <v>23.98</v>
      </c>
      <c r="D4418" s="6">
        <v>5.58</v>
      </c>
      <c r="E4418" s="7">
        <v>2.94</v>
      </c>
      <c r="G4418" s="31"/>
    </row>
    <row r="4419" spans="1:7" x14ac:dyDescent="0.25">
      <c r="A4419" s="36">
        <v>44231</v>
      </c>
      <c r="B4419" s="7">
        <v>42.37</v>
      </c>
      <c r="C4419" s="7">
        <v>23.94</v>
      </c>
      <c r="D4419" s="6">
        <v>5.46</v>
      </c>
      <c r="E4419" s="7">
        <v>2.79</v>
      </c>
      <c r="G4419" s="31"/>
    </row>
    <row r="4420" spans="1:7" x14ac:dyDescent="0.25">
      <c r="A4420" s="36">
        <v>44232</v>
      </c>
      <c r="B4420" s="7">
        <v>42.2</v>
      </c>
      <c r="C4420" s="7">
        <v>23.85</v>
      </c>
      <c r="D4420" s="6">
        <v>5.42</v>
      </c>
      <c r="E4420" s="7">
        <v>2.6700000000000004</v>
      </c>
      <c r="G4420" s="31"/>
    </row>
    <row r="4421" spans="1:7" x14ac:dyDescent="0.25">
      <c r="A4421" s="36">
        <v>44233</v>
      </c>
      <c r="B4421" s="7">
        <v>42.16</v>
      </c>
      <c r="C4421" s="7">
        <v>23.76</v>
      </c>
      <c r="D4421" s="6">
        <v>5.3</v>
      </c>
      <c r="E4421" s="7">
        <v>2.62</v>
      </c>
      <c r="G4421" s="31"/>
    </row>
    <row r="4422" spans="1:7" x14ac:dyDescent="0.25">
      <c r="A4422" s="36">
        <v>44234</v>
      </c>
      <c r="B4422" s="7">
        <v>42.09</v>
      </c>
      <c r="C4422" s="7">
        <v>23.68</v>
      </c>
      <c r="D4422" s="6">
        <v>5.28</v>
      </c>
      <c r="E4422" s="7">
        <v>2.56</v>
      </c>
      <c r="G4422" s="31"/>
    </row>
    <row r="4423" spans="1:7" x14ac:dyDescent="0.25">
      <c r="A4423" s="36">
        <v>44235</v>
      </c>
      <c r="B4423" s="7">
        <v>42.08</v>
      </c>
      <c r="C4423" s="7">
        <v>23.58</v>
      </c>
      <c r="D4423" s="6">
        <v>5.28</v>
      </c>
      <c r="E4423" s="7">
        <v>2.5100000000000002</v>
      </c>
      <c r="G4423" s="31"/>
    </row>
    <row r="4424" spans="1:7" x14ac:dyDescent="0.25">
      <c r="A4424" s="36">
        <v>44236</v>
      </c>
      <c r="B4424" s="7">
        <v>42.08</v>
      </c>
      <c r="C4424" s="7">
        <v>23.52</v>
      </c>
      <c r="D4424" s="6">
        <v>5.24</v>
      </c>
      <c r="E4424" s="7">
        <v>2.39</v>
      </c>
      <c r="G4424" s="31"/>
    </row>
    <row r="4425" spans="1:7" x14ac:dyDescent="0.25">
      <c r="A4425" s="36">
        <v>44237</v>
      </c>
      <c r="B4425" s="7">
        <v>42.07</v>
      </c>
      <c r="C4425" s="7">
        <v>23.45</v>
      </c>
      <c r="D4425" s="6">
        <v>5.18</v>
      </c>
      <c r="E4425" s="7">
        <v>2.34</v>
      </c>
      <c r="G4425" s="31"/>
    </row>
    <row r="4426" spans="1:7" x14ac:dyDescent="0.25">
      <c r="A4426" s="36">
        <v>44238</v>
      </c>
      <c r="B4426" s="7">
        <v>42.09</v>
      </c>
      <c r="C4426" s="7">
        <v>23.36</v>
      </c>
      <c r="D4426" s="6">
        <v>5.08</v>
      </c>
      <c r="E4426" s="7">
        <v>2.34</v>
      </c>
      <c r="G4426" s="31"/>
    </row>
    <row r="4427" spans="1:7" x14ac:dyDescent="0.25">
      <c r="A4427" s="36">
        <v>44239</v>
      </c>
      <c r="B4427" s="7">
        <v>42.1</v>
      </c>
      <c r="C4427" s="7">
        <v>23.38</v>
      </c>
      <c r="D4427" s="6">
        <v>5</v>
      </c>
      <c r="E4427" s="7">
        <v>2.34</v>
      </c>
      <c r="G4427" s="31"/>
    </row>
    <row r="4428" spans="1:7" x14ac:dyDescent="0.25">
      <c r="A4428" s="36">
        <v>44240</v>
      </c>
      <c r="B4428" s="7">
        <v>42.09</v>
      </c>
      <c r="C4428" s="7">
        <v>23.38</v>
      </c>
      <c r="D4428" s="6">
        <v>4.92</v>
      </c>
      <c r="E4428" s="7">
        <v>2.3199999999999998</v>
      </c>
      <c r="G4428" s="31"/>
    </row>
    <row r="4429" spans="1:7" x14ac:dyDescent="0.25">
      <c r="A4429" s="36">
        <v>44241</v>
      </c>
      <c r="B4429" s="7">
        <v>42.08</v>
      </c>
      <c r="C4429" s="7">
        <v>23.38</v>
      </c>
      <c r="D4429" s="6">
        <v>4.82</v>
      </c>
      <c r="E4429" s="7">
        <v>2.27</v>
      </c>
      <c r="G4429" s="31"/>
    </row>
    <row r="4430" spans="1:7" x14ac:dyDescent="0.25">
      <c r="A4430" s="36">
        <v>44242</v>
      </c>
      <c r="B4430" s="7">
        <v>42.1</v>
      </c>
      <c r="C4430" s="7">
        <v>23.37</v>
      </c>
      <c r="D4430" s="6">
        <v>4.78</v>
      </c>
      <c r="E4430" s="7">
        <v>2.2400000000000002</v>
      </c>
      <c r="G4430" s="31"/>
    </row>
    <row r="4431" spans="1:7" x14ac:dyDescent="0.25">
      <c r="A4431" s="36">
        <v>44243</v>
      </c>
      <c r="B4431" s="7">
        <v>42.08</v>
      </c>
      <c r="C4431" s="7">
        <v>23.35</v>
      </c>
      <c r="D4431" s="6">
        <v>4.7</v>
      </c>
      <c r="E4431" s="7">
        <v>2.2400000000000002</v>
      </c>
      <c r="G4431" s="31"/>
    </row>
    <row r="4432" spans="1:7" x14ac:dyDescent="0.25">
      <c r="A4432" s="36">
        <v>44244</v>
      </c>
      <c r="B4432" s="7">
        <v>42.05</v>
      </c>
      <c r="C4432" s="7">
        <v>23.3</v>
      </c>
      <c r="D4432" s="6">
        <v>4.7</v>
      </c>
      <c r="E4432" s="7">
        <v>2.14</v>
      </c>
      <c r="G4432" s="31"/>
    </row>
    <row r="4433" spans="1:7" x14ac:dyDescent="0.25">
      <c r="A4433" s="36">
        <v>44245</v>
      </c>
      <c r="B4433" s="7">
        <v>42.07</v>
      </c>
      <c r="C4433" s="7">
        <v>23.24</v>
      </c>
      <c r="D4433" s="6">
        <v>4.5999999999999996</v>
      </c>
      <c r="E4433" s="7">
        <v>2.0300000000000002</v>
      </c>
      <c r="G4433" s="31"/>
    </row>
    <row r="4434" spans="1:7" x14ac:dyDescent="0.25">
      <c r="A4434" s="36">
        <v>44246</v>
      </c>
      <c r="B4434" s="7">
        <v>42.07</v>
      </c>
      <c r="C4434" s="7">
        <v>23.18</v>
      </c>
      <c r="D4434" s="6">
        <v>4.5199999999999996</v>
      </c>
      <c r="E4434" s="7">
        <v>2.12</v>
      </c>
      <c r="G4434" s="31"/>
    </row>
    <row r="4435" spans="1:7" x14ac:dyDescent="0.25">
      <c r="A4435" s="36">
        <v>44247</v>
      </c>
      <c r="B4435" s="7">
        <v>42.03</v>
      </c>
      <c r="C4435" s="7">
        <v>23.12</v>
      </c>
      <c r="D4435" s="6">
        <v>4.5</v>
      </c>
      <c r="E4435" s="7">
        <v>2.0699999999999998</v>
      </c>
      <c r="G4435" s="31"/>
    </row>
    <row r="4436" spans="1:7" x14ac:dyDescent="0.25">
      <c r="A4436" s="36">
        <v>44248</v>
      </c>
      <c r="B4436" s="7">
        <v>42.03</v>
      </c>
      <c r="C4436" s="7">
        <v>23.08</v>
      </c>
      <c r="D4436" s="6">
        <v>4.5</v>
      </c>
      <c r="E4436" s="7">
        <v>1.99</v>
      </c>
      <c r="G4436" s="31"/>
    </row>
    <row r="4437" spans="1:7" x14ac:dyDescent="0.25">
      <c r="A4437" s="36">
        <v>44249</v>
      </c>
      <c r="B4437" s="7">
        <v>42.05</v>
      </c>
      <c r="C4437" s="7">
        <v>22.98</v>
      </c>
      <c r="D4437" s="6">
        <v>4.46</v>
      </c>
      <c r="E4437" s="7">
        <v>1.8599999999999999</v>
      </c>
      <c r="G4437" s="31"/>
    </row>
    <row r="4438" spans="1:7" x14ac:dyDescent="0.25">
      <c r="A4438" s="36">
        <v>44250</v>
      </c>
      <c r="B4438" s="7">
        <v>42.02</v>
      </c>
      <c r="C4438" s="7">
        <v>22.95</v>
      </c>
      <c r="D4438" s="6">
        <v>4.4000000000000004</v>
      </c>
      <c r="E4438" s="7">
        <v>1.8599999999999999</v>
      </c>
      <c r="G4438" s="31"/>
    </row>
    <row r="4439" spans="1:7" x14ac:dyDescent="0.25">
      <c r="A4439" s="36">
        <v>44251</v>
      </c>
      <c r="B4439" s="7">
        <v>42.33</v>
      </c>
      <c r="C4439" s="7">
        <v>22.92</v>
      </c>
      <c r="D4439" s="6">
        <v>4.3600000000000003</v>
      </c>
      <c r="E4439" s="7">
        <v>1.89</v>
      </c>
      <c r="G4439" s="31"/>
    </row>
    <row r="4440" spans="1:7" x14ac:dyDescent="0.25">
      <c r="A4440" s="36">
        <v>44252</v>
      </c>
      <c r="B4440" s="7">
        <v>42.38</v>
      </c>
      <c r="C4440" s="7">
        <v>22.81</v>
      </c>
      <c r="D4440" s="6">
        <v>4.3</v>
      </c>
      <c r="E4440" s="7">
        <v>1.9</v>
      </c>
      <c r="G4440" s="31"/>
    </row>
    <row r="4441" spans="1:7" x14ac:dyDescent="0.25">
      <c r="A4441" s="36">
        <v>44253</v>
      </c>
      <c r="B4441" s="7">
        <v>42.39</v>
      </c>
      <c r="C4441" s="7">
        <v>22.75</v>
      </c>
      <c r="D4441" s="6">
        <v>4.28</v>
      </c>
      <c r="E4441" s="7">
        <v>2</v>
      </c>
      <c r="G4441" s="31"/>
    </row>
    <row r="4442" spans="1:7" x14ac:dyDescent="0.25">
      <c r="A4442" s="36">
        <v>44254</v>
      </c>
      <c r="B4442" s="7">
        <v>42.35</v>
      </c>
      <c r="C4442" s="7">
        <v>22.68</v>
      </c>
      <c r="D4442" s="6">
        <v>4.28</v>
      </c>
      <c r="E4442" s="7">
        <v>2.1</v>
      </c>
      <c r="G4442" s="31"/>
    </row>
    <row r="4443" spans="1:7" x14ac:dyDescent="0.25">
      <c r="A4443" s="36">
        <v>44255</v>
      </c>
      <c r="B4443" s="7">
        <v>42.34</v>
      </c>
      <c r="C4443" s="7">
        <v>22.63</v>
      </c>
      <c r="D4443" s="6">
        <v>4.24</v>
      </c>
      <c r="E4443" s="7">
        <v>2.09</v>
      </c>
      <c r="G4443" s="31"/>
    </row>
    <row r="4444" spans="1:7" x14ac:dyDescent="0.25">
      <c r="A4444" s="36">
        <v>44256</v>
      </c>
      <c r="B4444" s="7">
        <v>42.2</v>
      </c>
      <c r="C4444" s="7">
        <v>22.53</v>
      </c>
      <c r="D4444" s="6">
        <v>4.18</v>
      </c>
      <c r="E4444" s="7">
        <v>1.93</v>
      </c>
      <c r="G4444" s="31"/>
    </row>
    <row r="4445" spans="1:7" x14ac:dyDescent="0.25">
      <c r="A4445" s="36">
        <v>44257</v>
      </c>
      <c r="B4445" s="7">
        <v>42.18</v>
      </c>
      <c r="C4445" s="7">
        <v>22.51</v>
      </c>
      <c r="D4445" s="6">
        <v>4.0999999999999996</v>
      </c>
      <c r="E4445" s="7">
        <v>1.93</v>
      </c>
      <c r="G4445" s="31"/>
    </row>
    <row r="4446" spans="1:7" x14ac:dyDescent="0.25">
      <c r="A4446" s="36">
        <v>44258</v>
      </c>
      <c r="B4446" s="7">
        <v>42.09</v>
      </c>
      <c r="C4446" s="7">
        <v>22.5</v>
      </c>
      <c r="D4446" s="6">
        <v>4.04</v>
      </c>
      <c r="E4446" s="7">
        <v>1.88</v>
      </c>
      <c r="G4446" s="31"/>
    </row>
    <row r="4447" spans="1:7" x14ac:dyDescent="0.25">
      <c r="A4447" s="36">
        <v>44259</v>
      </c>
      <c r="B4447" s="7">
        <v>41.92</v>
      </c>
      <c r="C4447" s="7">
        <v>22.5</v>
      </c>
      <c r="D4447" s="6">
        <v>4</v>
      </c>
      <c r="E4447" s="7">
        <v>1.93</v>
      </c>
      <c r="G4447" s="31"/>
    </row>
    <row r="4448" spans="1:7" x14ac:dyDescent="0.25">
      <c r="A4448" s="36">
        <v>44260</v>
      </c>
      <c r="B4448" s="7">
        <v>41.82</v>
      </c>
      <c r="C4448" s="7">
        <v>22.56</v>
      </c>
      <c r="D4448" s="6">
        <v>3.96</v>
      </c>
      <c r="E4448" s="6">
        <v>1.88</v>
      </c>
      <c r="G4448" s="31"/>
    </row>
    <row r="4449" spans="1:7" x14ac:dyDescent="0.25">
      <c r="A4449" s="36">
        <v>44261</v>
      </c>
      <c r="B4449" s="7">
        <v>41.71</v>
      </c>
      <c r="C4449" s="7">
        <v>22.6</v>
      </c>
      <c r="D4449" s="6">
        <v>3.9</v>
      </c>
      <c r="E4449" s="6">
        <v>1.88</v>
      </c>
      <c r="G4449" s="31"/>
    </row>
    <row r="4450" spans="1:7" x14ac:dyDescent="0.25">
      <c r="A4450" s="36">
        <v>44262</v>
      </c>
      <c r="B4450" s="7">
        <v>41.62</v>
      </c>
      <c r="C4450" s="7">
        <v>22.64</v>
      </c>
      <c r="D4450" s="6">
        <v>3.8</v>
      </c>
      <c r="E4450" s="6">
        <v>1.78</v>
      </c>
      <c r="G4450" s="31"/>
    </row>
    <row r="4451" spans="1:7" x14ac:dyDescent="0.25">
      <c r="A4451" s="36">
        <v>44263</v>
      </c>
      <c r="B4451" s="7">
        <v>41.55</v>
      </c>
      <c r="C4451" s="7">
        <v>22.62</v>
      </c>
      <c r="D4451" s="6">
        <v>3.7</v>
      </c>
      <c r="E4451" s="6">
        <v>1.76</v>
      </c>
      <c r="G4451" s="31"/>
    </row>
    <row r="4452" spans="1:7" x14ac:dyDescent="0.25">
      <c r="A4452" s="36">
        <v>44264</v>
      </c>
      <c r="B4452" s="7">
        <v>41.46</v>
      </c>
      <c r="C4452" s="7">
        <v>22.62</v>
      </c>
      <c r="D4452" s="6">
        <v>3.62</v>
      </c>
      <c r="E4452" s="6">
        <v>1.76</v>
      </c>
      <c r="G4452" s="31"/>
    </row>
    <row r="4453" spans="1:7" x14ac:dyDescent="0.25">
      <c r="A4453" s="36">
        <v>44265</v>
      </c>
      <c r="B4453" s="7">
        <v>41.34</v>
      </c>
      <c r="C4453" s="7">
        <v>22.6</v>
      </c>
      <c r="D4453" s="6">
        <v>3.56</v>
      </c>
      <c r="E4453" s="6">
        <v>1.72</v>
      </c>
      <c r="G4453" s="31"/>
    </row>
    <row r="4454" spans="1:7" x14ac:dyDescent="0.25">
      <c r="A4454" s="36">
        <v>44266</v>
      </c>
      <c r="B4454" s="7">
        <v>41.22</v>
      </c>
      <c r="C4454" s="7">
        <v>22.6</v>
      </c>
      <c r="D4454" s="6">
        <v>3.56</v>
      </c>
      <c r="E4454" s="6">
        <v>1.8099999999999998</v>
      </c>
      <c r="G4454" s="31"/>
    </row>
    <row r="4455" spans="1:7" x14ac:dyDescent="0.25">
      <c r="A4455" s="36">
        <v>44267</v>
      </c>
      <c r="B4455" s="7">
        <v>41.23</v>
      </c>
      <c r="C4455" s="7">
        <v>22.57</v>
      </c>
      <c r="D4455" s="6">
        <v>3.42</v>
      </c>
      <c r="E4455" s="6">
        <v>1.8599999999999999</v>
      </c>
      <c r="G4455" s="31"/>
    </row>
    <row r="4456" spans="1:7" x14ac:dyDescent="0.25">
      <c r="A4456" s="36">
        <v>44268</v>
      </c>
      <c r="B4456" s="7">
        <v>41.31</v>
      </c>
      <c r="C4456" s="7">
        <v>22.55</v>
      </c>
      <c r="D4456" s="6">
        <v>3.38</v>
      </c>
      <c r="E4456" s="6">
        <v>1.8599999999999999</v>
      </c>
      <c r="G4456" s="31"/>
    </row>
    <row r="4457" spans="1:7" x14ac:dyDescent="0.25">
      <c r="A4457" s="36">
        <v>44269</v>
      </c>
      <c r="B4457" s="7">
        <v>41.41</v>
      </c>
      <c r="C4457" s="6">
        <v>22.57</v>
      </c>
      <c r="D4457" s="6">
        <v>3.34</v>
      </c>
      <c r="E4457" s="6">
        <v>1.8399999999999999</v>
      </c>
      <c r="G4457" s="31"/>
    </row>
    <row r="4458" spans="1:7" x14ac:dyDescent="0.25">
      <c r="A4458" s="36">
        <v>44270</v>
      </c>
      <c r="B4458" s="7">
        <v>41.51</v>
      </c>
      <c r="C4458" s="6">
        <v>22.64</v>
      </c>
      <c r="D4458" s="6">
        <v>3.4</v>
      </c>
      <c r="E4458" s="6">
        <v>1.91</v>
      </c>
      <c r="G4458" s="31"/>
    </row>
    <row r="4459" spans="1:7" x14ac:dyDescent="0.25">
      <c r="A4459" s="36">
        <v>44271</v>
      </c>
      <c r="B4459" s="7">
        <v>41.59</v>
      </c>
      <c r="C4459" s="6">
        <v>22.73</v>
      </c>
      <c r="D4459" s="6">
        <v>3.52</v>
      </c>
      <c r="E4459" s="6">
        <v>1.92</v>
      </c>
      <c r="G4459" s="31"/>
    </row>
    <row r="4460" spans="1:7" x14ac:dyDescent="0.25">
      <c r="A4460" s="36">
        <v>44272</v>
      </c>
      <c r="B4460" s="7">
        <v>41.64</v>
      </c>
      <c r="C4460" s="6">
        <v>22.78</v>
      </c>
      <c r="D4460" s="6">
        <v>3.6</v>
      </c>
      <c r="E4460" s="6">
        <v>1.94</v>
      </c>
      <c r="G4460" s="31"/>
    </row>
    <row r="4461" spans="1:7" x14ac:dyDescent="0.25">
      <c r="A4461" s="36">
        <v>44273</v>
      </c>
      <c r="B4461" s="7">
        <v>41.73</v>
      </c>
      <c r="C4461" s="6">
        <v>22.86</v>
      </c>
      <c r="D4461" s="6">
        <v>3.72</v>
      </c>
      <c r="E4461" s="6">
        <v>1.89</v>
      </c>
      <c r="G4461" s="31"/>
    </row>
    <row r="4462" spans="1:7" x14ac:dyDescent="0.25">
      <c r="A4462" s="36">
        <v>44274</v>
      </c>
      <c r="B4462" s="7">
        <v>41.76</v>
      </c>
      <c r="C4462" s="6">
        <v>22.9</v>
      </c>
      <c r="D4462" s="6">
        <v>3.88</v>
      </c>
      <c r="E4462" s="6">
        <v>1.89</v>
      </c>
      <c r="G4462" s="31"/>
    </row>
    <row r="4463" spans="1:7" x14ac:dyDescent="0.25">
      <c r="A4463" s="36">
        <v>44275</v>
      </c>
      <c r="B4463" s="7">
        <v>41.84</v>
      </c>
      <c r="C4463" s="6">
        <v>22.95</v>
      </c>
      <c r="D4463" s="6">
        <v>4.0599999999999996</v>
      </c>
      <c r="E4463" s="6">
        <v>1.8699999999999999</v>
      </c>
      <c r="G4463" s="31"/>
    </row>
    <row r="4464" spans="1:7" x14ac:dyDescent="0.25">
      <c r="A4464" s="36">
        <v>44276</v>
      </c>
      <c r="B4464" s="7">
        <v>41.89</v>
      </c>
      <c r="C4464" s="6">
        <v>22.98</v>
      </c>
      <c r="D4464" s="6">
        <v>4.1399999999999997</v>
      </c>
      <c r="E4464" s="6">
        <v>1.95</v>
      </c>
      <c r="G4464" s="31"/>
    </row>
    <row r="4465" spans="1:7" x14ac:dyDescent="0.25">
      <c r="A4465" s="36">
        <v>44277</v>
      </c>
      <c r="B4465" s="7">
        <v>41.92</v>
      </c>
      <c r="C4465" s="6">
        <v>23.05</v>
      </c>
      <c r="D4465" s="6">
        <v>4.32</v>
      </c>
      <c r="E4465" s="6">
        <v>2</v>
      </c>
      <c r="G4465" s="31"/>
    </row>
    <row r="4466" spans="1:7" x14ac:dyDescent="0.25">
      <c r="A4466" s="36">
        <v>44278</v>
      </c>
      <c r="B4466" s="7">
        <v>41.96</v>
      </c>
      <c r="C4466" s="6">
        <v>23.12</v>
      </c>
      <c r="D4466" s="6">
        <v>4.5</v>
      </c>
      <c r="E4466" s="6">
        <v>1.92</v>
      </c>
      <c r="G4466" s="31"/>
    </row>
    <row r="4467" spans="1:7" x14ac:dyDescent="0.25">
      <c r="A4467" s="36">
        <v>44279</v>
      </c>
      <c r="B4467" s="7">
        <v>42.02</v>
      </c>
      <c r="C4467" s="6">
        <v>23.16</v>
      </c>
      <c r="D4467" s="6">
        <v>4.5999999999999996</v>
      </c>
      <c r="E4467" s="6">
        <v>1.99</v>
      </c>
      <c r="G4467" s="31"/>
    </row>
    <row r="4468" spans="1:7" x14ac:dyDescent="0.25">
      <c r="A4468" s="36">
        <v>44280</v>
      </c>
      <c r="B4468" s="7">
        <v>42.05</v>
      </c>
      <c r="C4468" s="6">
        <v>23.24</v>
      </c>
      <c r="D4468" s="6">
        <v>4.5999999999999996</v>
      </c>
      <c r="E4468" s="6">
        <v>1.94</v>
      </c>
      <c r="G4468" s="31"/>
    </row>
    <row r="4469" spans="1:7" x14ac:dyDescent="0.25">
      <c r="A4469" s="36">
        <v>44281</v>
      </c>
      <c r="B4469" s="7">
        <v>42.09</v>
      </c>
      <c r="C4469" s="6">
        <v>23.3</v>
      </c>
      <c r="D4469" s="6">
        <v>4.5599999999999996</v>
      </c>
      <c r="E4469" s="6">
        <v>2.0300000000000002</v>
      </c>
      <c r="G4469" s="31"/>
    </row>
    <row r="4470" spans="1:7" x14ac:dyDescent="0.25">
      <c r="A4470" s="36">
        <v>44282</v>
      </c>
      <c r="B4470" s="7">
        <v>42.15</v>
      </c>
      <c r="C4470" s="6">
        <v>23.37</v>
      </c>
      <c r="D4470" s="6">
        <v>4.46</v>
      </c>
      <c r="E4470" s="6">
        <v>2.06</v>
      </c>
      <c r="G4470" s="31"/>
    </row>
    <row r="4471" spans="1:7" x14ac:dyDescent="0.25">
      <c r="A4471" s="36">
        <v>44283</v>
      </c>
      <c r="B4471" s="7">
        <v>42.28</v>
      </c>
      <c r="C4471" s="6">
        <v>23.42</v>
      </c>
      <c r="D4471" s="6">
        <v>4.46</v>
      </c>
      <c r="E4471" s="6">
        <v>2.12</v>
      </c>
      <c r="G4471" s="31"/>
    </row>
    <row r="4472" spans="1:7" x14ac:dyDescent="0.25">
      <c r="A4472" s="36">
        <v>44284</v>
      </c>
      <c r="B4472" s="7">
        <v>42.4</v>
      </c>
      <c r="C4472" s="6">
        <v>23.46</v>
      </c>
      <c r="D4472" s="6">
        <v>4.76</v>
      </c>
      <c r="E4472" s="6">
        <v>2.16</v>
      </c>
      <c r="G4472" s="31"/>
    </row>
    <row r="4473" spans="1:7" x14ac:dyDescent="0.25">
      <c r="A4473" s="36">
        <v>44285</v>
      </c>
      <c r="B4473" s="7">
        <v>42.5</v>
      </c>
      <c r="C4473" s="6">
        <v>23.5</v>
      </c>
      <c r="D4473" s="6">
        <v>4.9800000000000004</v>
      </c>
      <c r="E4473" s="6">
        <v>2.2800000000000002</v>
      </c>
      <c r="G4473" s="31"/>
    </row>
    <row r="4474" spans="1:7" x14ac:dyDescent="0.25">
      <c r="A4474" s="36">
        <v>44286</v>
      </c>
      <c r="B4474" s="7">
        <v>42.66</v>
      </c>
      <c r="C4474" s="6">
        <v>23.57</v>
      </c>
      <c r="D4474" s="9">
        <v>5.08</v>
      </c>
      <c r="E4474" s="6">
        <v>2.3199999999999998</v>
      </c>
      <c r="G4474" s="31"/>
    </row>
    <row r="4475" spans="1:7" x14ac:dyDescent="0.25">
      <c r="A4475" s="36">
        <v>44287</v>
      </c>
      <c r="B4475" s="7">
        <v>42.77</v>
      </c>
      <c r="C4475" s="6">
        <v>23.67</v>
      </c>
      <c r="D4475" s="9">
        <v>5.0999999999999996</v>
      </c>
      <c r="E4475" s="6">
        <v>2.34</v>
      </c>
      <c r="G4475" s="31"/>
    </row>
    <row r="4476" spans="1:7" x14ac:dyDescent="0.25">
      <c r="A4476" s="36">
        <v>44288</v>
      </c>
      <c r="B4476" s="7">
        <v>42.89</v>
      </c>
      <c r="C4476" s="6">
        <v>23.78</v>
      </c>
      <c r="D4476" s="9">
        <v>5.2</v>
      </c>
      <c r="E4476" s="6">
        <v>2.5</v>
      </c>
      <c r="G4476" s="31"/>
    </row>
    <row r="4477" spans="1:7" x14ac:dyDescent="0.25">
      <c r="A4477" s="36">
        <v>44289</v>
      </c>
      <c r="B4477" s="7">
        <v>42.95</v>
      </c>
      <c r="C4477" s="6">
        <v>23.88</v>
      </c>
      <c r="D4477" s="9">
        <v>5.22</v>
      </c>
      <c r="E4477" s="6">
        <v>2.54</v>
      </c>
      <c r="G4477" s="31"/>
    </row>
    <row r="4478" spans="1:7" x14ac:dyDescent="0.25">
      <c r="A4478" s="36">
        <v>44290</v>
      </c>
      <c r="B4478" s="7">
        <v>43.03</v>
      </c>
      <c r="C4478" s="6">
        <v>24.03</v>
      </c>
      <c r="D4478" s="9">
        <v>5.24</v>
      </c>
      <c r="E4478" s="6">
        <v>2.4700000000000002</v>
      </c>
      <c r="G4478" s="31"/>
    </row>
    <row r="4479" spans="1:7" x14ac:dyDescent="0.25">
      <c r="A4479" s="36">
        <v>44291</v>
      </c>
      <c r="B4479" s="7">
        <v>43.09</v>
      </c>
      <c r="C4479" s="6">
        <v>24.19</v>
      </c>
      <c r="D4479" s="9">
        <v>5.24</v>
      </c>
      <c r="E4479" s="6">
        <v>2.4500000000000002</v>
      </c>
      <c r="G4479" s="31"/>
    </row>
    <row r="4480" spans="1:7" x14ac:dyDescent="0.25">
      <c r="A4480" s="36">
        <v>44292</v>
      </c>
      <c r="B4480" s="7">
        <v>43.13</v>
      </c>
      <c r="C4480" s="6">
        <v>24.35</v>
      </c>
      <c r="D4480" s="9">
        <v>5.26</v>
      </c>
      <c r="E4480" s="6">
        <v>2.38</v>
      </c>
      <c r="G4480" s="31"/>
    </row>
    <row r="4481" spans="1:7" x14ac:dyDescent="0.25">
      <c r="A4481" s="36">
        <v>44293</v>
      </c>
      <c r="B4481" s="7">
        <v>43.23</v>
      </c>
      <c r="C4481" s="6">
        <v>24.45</v>
      </c>
      <c r="D4481" s="6">
        <v>5.34</v>
      </c>
      <c r="E4481" s="6">
        <v>2.38</v>
      </c>
      <c r="G4481" s="31"/>
    </row>
    <row r="4482" spans="1:7" x14ac:dyDescent="0.25">
      <c r="A4482" s="36">
        <v>44294</v>
      </c>
      <c r="B4482" s="7">
        <v>43.31</v>
      </c>
      <c r="C4482" s="6">
        <v>24.55</v>
      </c>
      <c r="D4482" s="6">
        <v>5.46</v>
      </c>
      <c r="E4482" s="6">
        <v>2.4700000000000002</v>
      </c>
      <c r="G4482" s="31"/>
    </row>
    <row r="4483" spans="1:7" x14ac:dyDescent="0.25">
      <c r="A4483" s="36">
        <v>44295</v>
      </c>
      <c r="B4483" s="7">
        <v>43.44</v>
      </c>
      <c r="C4483" s="6">
        <v>24.67</v>
      </c>
      <c r="D4483" s="6">
        <v>5.64</v>
      </c>
      <c r="E4483" s="6">
        <v>2.52</v>
      </c>
      <c r="G4483" s="31"/>
    </row>
    <row r="4484" spans="1:7" x14ac:dyDescent="0.25">
      <c r="A4484" s="36">
        <v>44296</v>
      </c>
      <c r="B4484" s="7">
        <v>43.59</v>
      </c>
      <c r="C4484" s="6">
        <v>24.75</v>
      </c>
      <c r="D4484" s="6">
        <v>5.86</v>
      </c>
      <c r="E4484" s="6">
        <v>2.68</v>
      </c>
      <c r="G4484" s="31"/>
    </row>
    <row r="4485" spans="1:7" x14ac:dyDescent="0.25">
      <c r="A4485" s="36">
        <v>44297</v>
      </c>
      <c r="B4485" s="7">
        <v>43.79</v>
      </c>
      <c r="C4485" s="6">
        <v>24.85</v>
      </c>
      <c r="D4485" s="6">
        <v>5.94</v>
      </c>
      <c r="E4485" s="6">
        <v>2.8800000000000003</v>
      </c>
      <c r="G4485" s="31"/>
    </row>
    <row r="4486" spans="1:7" x14ac:dyDescent="0.25">
      <c r="A4486" s="36">
        <v>44298</v>
      </c>
      <c r="B4486" s="7">
        <v>44</v>
      </c>
      <c r="C4486" s="6">
        <v>24.94</v>
      </c>
      <c r="D4486" s="6">
        <v>6.18</v>
      </c>
      <c r="E4486" s="6">
        <v>2.98</v>
      </c>
      <c r="G4486" s="31"/>
    </row>
    <row r="4487" spans="1:7" x14ac:dyDescent="0.25">
      <c r="A4487" s="36">
        <v>44299</v>
      </c>
      <c r="B4487" s="7">
        <v>44.17</v>
      </c>
      <c r="C4487" s="6">
        <v>25.1</v>
      </c>
      <c r="D4487" s="6">
        <v>6.3</v>
      </c>
      <c r="E4487" s="6">
        <v>3.06</v>
      </c>
      <c r="G4487" s="31"/>
    </row>
    <row r="4488" spans="1:7" x14ac:dyDescent="0.25">
      <c r="A4488" s="36">
        <v>44300</v>
      </c>
      <c r="B4488" s="7">
        <v>44.4</v>
      </c>
      <c r="C4488" s="6">
        <v>25.35</v>
      </c>
      <c r="D4488" s="6">
        <v>6.4</v>
      </c>
      <c r="E4488" s="6">
        <v>3.0700000000000003</v>
      </c>
      <c r="G4488" s="31"/>
    </row>
    <row r="4489" spans="1:7" x14ac:dyDescent="0.25">
      <c r="A4489" s="36">
        <v>44301</v>
      </c>
      <c r="B4489" s="7">
        <v>44.69</v>
      </c>
      <c r="C4489" s="6">
        <v>25.55</v>
      </c>
      <c r="D4489" s="6">
        <v>6.54</v>
      </c>
      <c r="E4489" s="6">
        <v>3.12</v>
      </c>
      <c r="G4489" s="31"/>
    </row>
    <row r="4490" spans="1:7" x14ac:dyDescent="0.25">
      <c r="A4490" s="36">
        <v>44302</v>
      </c>
      <c r="B4490" s="7">
        <v>44.94</v>
      </c>
      <c r="C4490" s="6">
        <v>25.74</v>
      </c>
      <c r="D4490" s="6">
        <v>6.7</v>
      </c>
      <c r="E4490" s="6">
        <v>3.29</v>
      </c>
      <c r="G4490" s="31"/>
    </row>
    <row r="4491" spans="1:7" x14ac:dyDescent="0.25">
      <c r="A4491" s="36">
        <v>44303</v>
      </c>
      <c r="B4491" s="7">
        <v>45.15</v>
      </c>
      <c r="C4491" s="6">
        <v>25.93</v>
      </c>
      <c r="D4491" s="6">
        <v>6.82</v>
      </c>
      <c r="E4491" s="6">
        <v>3.3800000000000003</v>
      </c>
      <c r="G4491" s="31"/>
    </row>
    <row r="4492" spans="1:7" x14ac:dyDescent="0.25">
      <c r="A4492" s="36">
        <v>44304</v>
      </c>
      <c r="B4492" s="7">
        <v>45.33</v>
      </c>
      <c r="C4492" s="6">
        <v>26.29</v>
      </c>
      <c r="D4492" s="6">
        <v>7.26</v>
      </c>
      <c r="E4492" s="6">
        <v>3.49</v>
      </c>
      <c r="G4492" s="31"/>
    </row>
    <row r="4493" spans="1:7" x14ac:dyDescent="0.25">
      <c r="A4493" s="36">
        <v>44305</v>
      </c>
      <c r="B4493" s="6">
        <v>45.47</v>
      </c>
      <c r="C4493" s="6">
        <v>26.68</v>
      </c>
      <c r="D4493" s="6">
        <v>7.56</v>
      </c>
      <c r="E4493" s="6">
        <v>3.79</v>
      </c>
      <c r="G4493" s="31"/>
    </row>
    <row r="4494" spans="1:7" x14ac:dyDescent="0.25">
      <c r="A4494" s="36">
        <v>44306</v>
      </c>
      <c r="B4494" s="6">
        <v>45.55</v>
      </c>
      <c r="C4494" s="6">
        <v>26.85</v>
      </c>
      <c r="D4494" s="6">
        <v>7.7</v>
      </c>
      <c r="E4494" s="6">
        <v>3.99</v>
      </c>
      <c r="G4494" s="31"/>
    </row>
    <row r="4495" spans="1:7" x14ac:dyDescent="0.25">
      <c r="A4495" s="36">
        <v>44307</v>
      </c>
      <c r="B4495" s="6">
        <v>45.61</v>
      </c>
      <c r="C4495" s="6">
        <v>26.92</v>
      </c>
      <c r="D4495" s="6">
        <v>8.0399999999999991</v>
      </c>
      <c r="E4495" s="6">
        <v>4.25</v>
      </c>
      <c r="G4495" s="31"/>
    </row>
    <row r="4496" spans="1:7" x14ac:dyDescent="0.25">
      <c r="A4496" s="36">
        <v>44308</v>
      </c>
      <c r="B4496" s="6">
        <v>45.64</v>
      </c>
      <c r="C4496" s="6">
        <v>27.04</v>
      </c>
      <c r="D4496" s="9">
        <v>8.3000000000000007</v>
      </c>
      <c r="E4496" s="6">
        <v>4.66</v>
      </c>
      <c r="G4496" s="31"/>
    </row>
    <row r="4497" spans="1:7" x14ac:dyDescent="0.25">
      <c r="A4497" s="36">
        <v>44309</v>
      </c>
      <c r="B4497" s="6">
        <v>45.65</v>
      </c>
      <c r="C4497" s="6">
        <v>27.07</v>
      </c>
      <c r="D4497" s="9">
        <v>8.44</v>
      </c>
      <c r="E4497" s="6">
        <v>4.88</v>
      </c>
      <c r="G4497" s="31"/>
    </row>
    <row r="4498" spans="1:7" x14ac:dyDescent="0.25">
      <c r="A4498" s="36">
        <v>44310</v>
      </c>
      <c r="B4498" s="6">
        <v>45.65</v>
      </c>
      <c r="C4498" s="6">
        <v>27.11</v>
      </c>
      <c r="D4498" s="6">
        <v>8.58</v>
      </c>
      <c r="E4498" s="6">
        <v>4.9399999999999995</v>
      </c>
      <c r="G4498" s="31"/>
    </row>
    <row r="4499" spans="1:7" x14ac:dyDescent="0.25">
      <c r="A4499" s="36">
        <v>44311</v>
      </c>
      <c r="B4499" s="6">
        <v>45.63</v>
      </c>
      <c r="C4499" s="6">
        <v>27.14</v>
      </c>
      <c r="D4499" s="6">
        <v>8.7200000000000006</v>
      </c>
      <c r="E4499" s="6">
        <v>5.01</v>
      </c>
      <c r="G4499" s="31"/>
    </row>
    <row r="4500" spans="1:7" x14ac:dyDescent="0.25">
      <c r="A4500" s="36">
        <v>44312</v>
      </c>
      <c r="B4500" s="6">
        <v>45.55</v>
      </c>
      <c r="C4500" s="6">
        <v>27.14</v>
      </c>
      <c r="D4500" s="6">
        <v>8.9</v>
      </c>
      <c r="E4500" s="6">
        <v>5.05</v>
      </c>
      <c r="G4500" s="31"/>
    </row>
    <row r="4501" spans="1:7" x14ac:dyDescent="0.25">
      <c r="A4501" s="36">
        <v>44313</v>
      </c>
      <c r="B4501" s="6">
        <v>45.54</v>
      </c>
      <c r="C4501" s="6">
        <v>27.12</v>
      </c>
      <c r="D4501" s="6">
        <v>8.9</v>
      </c>
      <c r="E4501" s="6">
        <v>5.0699999999999994</v>
      </c>
      <c r="G4501" s="31"/>
    </row>
    <row r="4502" spans="1:7" x14ac:dyDescent="0.25">
      <c r="A4502" s="36">
        <v>44314</v>
      </c>
      <c r="B4502" s="6">
        <v>45.54</v>
      </c>
      <c r="C4502" s="6">
        <v>27.05</v>
      </c>
      <c r="D4502" s="6">
        <v>8.9</v>
      </c>
      <c r="E4502" s="6">
        <v>5.2399999999999993</v>
      </c>
      <c r="G4502" s="31"/>
    </row>
    <row r="4503" spans="1:7" x14ac:dyDescent="0.25">
      <c r="A4503" s="36">
        <v>44315</v>
      </c>
      <c r="B4503" s="6">
        <v>45.54</v>
      </c>
      <c r="C4503" s="6">
        <v>27</v>
      </c>
      <c r="D4503" s="6">
        <v>8.92</v>
      </c>
      <c r="E4503" s="6">
        <v>5.18</v>
      </c>
      <c r="G4503" s="31"/>
    </row>
    <row r="4504" spans="1:7" x14ac:dyDescent="0.25">
      <c r="A4504" s="36">
        <v>44316</v>
      </c>
      <c r="B4504" s="6">
        <v>45.83</v>
      </c>
      <c r="C4504" s="6">
        <v>26.95</v>
      </c>
      <c r="D4504" s="25">
        <v>8.6999999999999993</v>
      </c>
      <c r="E4504" s="6">
        <v>5.13</v>
      </c>
      <c r="G4504" s="31"/>
    </row>
    <row r="4505" spans="1:7" x14ac:dyDescent="0.25">
      <c r="A4505" s="36">
        <v>44317</v>
      </c>
      <c r="B4505" s="6">
        <v>45.94</v>
      </c>
      <c r="C4505" s="6">
        <v>26.95</v>
      </c>
      <c r="D4505" s="25">
        <v>8.64</v>
      </c>
      <c r="E4505" s="6">
        <v>5.08</v>
      </c>
      <c r="G4505" s="31"/>
    </row>
    <row r="4506" spans="1:7" x14ac:dyDescent="0.25">
      <c r="A4506" s="36">
        <v>44318</v>
      </c>
      <c r="B4506" s="6">
        <v>46.16</v>
      </c>
      <c r="C4506" s="6">
        <v>26.98</v>
      </c>
      <c r="D4506" s="25">
        <v>8.58</v>
      </c>
      <c r="E4506" s="6">
        <v>5.08</v>
      </c>
      <c r="G4506" s="31"/>
    </row>
    <row r="4507" spans="1:7" x14ac:dyDescent="0.25">
      <c r="A4507" s="36">
        <v>44319</v>
      </c>
      <c r="B4507" s="6">
        <v>46.39</v>
      </c>
      <c r="C4507" s="6">
        <v>27.1</v>
      </c>
      <c r="D4507" s="25">
        <v>8.7200000000000006</v>
      </c>
      <c r="E4507" s="6">
        <v>5.13</v>
      </c>
      <c r="G4507" s="31"/>
    </row>
    <row r="4508" spans="1:7" x14ac:dyDescent="0.25">
      <c r="A4508" s="36">
        <v>44320</v>
      </c>
      <c r="B4508" s="6">
        <v>46.64</v>
      </c>
      <c r="C4508" s="6">
        <v>27.16</v>
      </c>
      <c r="D4508" s="25">
        <v>8.7799999999999994</v>
      </c>
      <c r="E4508" s="6">
        <v>5.2299999999999995</v>
      </c>
      <c r="G4508" s="31"/>
    </row>
    <row r="4509" spans="1:7" x14ac:dyDescent="0.25">
      <c r="A4509" s="36">
        <v>44321</v>
      </c>
      <c r="B4509" s="6">
        <v>46.81</v>
      </c>
      <c r="C4509" s="6">
        <v>27.54</v>
      </c>
      <c r="D4509" s="25">
        <v>8.9</v>
      </c>
      <c r="E4509" s="6">
        <v>5.33</v>
      </c>
      <c r="G4509" s="31"/>
    </row>
    <row r="4510" spans="1:7" x14ac:dyDescent="0.25">
      <c r="A4510" s="36">
        <v>44322</v>
      </c>
      <c r="B4510" s="6">
        <v>46.92</v>
      </c>
      <c r="C4510" s="6">
        <v>27.8</v>
      </c>
      <c r="D4510" s="25">
        <v>9.0399999999999991</v>
      </c>
      <c r="E4510" s="6">
        <v>5.58</v>
      </c>
      <c r="G4510" s="31"/>
    </row>
    <row r="4511" spans="1:7" x14ac:dyDescent="0.25">
      <c r="A4511" s="36">
        <v>44323</v>
      </c>
      <c r="B4511" s="6">
        <v>47.01</v>
      </c>
      <c r="C4511" s="6">
        <v>27.98</v>
      </c>
      <c r="D4511" s="25">
        <v>9.2799999999999994</v>
      </c>
      <c r="E4511" s="6">
        <v>5.7799999999999994</v>
      </c>
      <c r="G4511" s="31"/>
    </row>
    <row r="4512" spans="1:7" x14ac:dyDescent="0.25">
      <c r="A4512" s="36">
        <v>44324</v>
      </c>
      <c r="B4512" s="6">
        <v>47.08</v>
      </c>
      <c r="C4512" s="6">
        <v>28.18</v>
      </c>
      <c r="D4512" s="25">
        <v>9.5399999999999991</v>
      </c>
      <c r="E4512" s="6">
        <v>6.0299999999999994</v>
      </c>
      <c r="G4512" s="31"/>
    </row>
    <row r="4513" spans="1:7" x14ac:dyDescent="0.25">
      <c r="A4513" s="36">
        <v>44325</v>
      </c>
      <c r="B4513" s="6">
        <v>47.1</v>
      </c>
      <c r="C4513" s="6">
        <v>28.34</v>
      </c>
      <c r="D4513" s="25">
        <v>9.8000000000000007</v>
      </c>
      <c r="E4513" s="6">
        <v>6.2799999999999994</v>
      </c>
      <c r="G4513" s="31"/>
    </row>
    <row r="4514" spans="1:7" x14ac:dyDescent="0.25">
      <c r="A4514" s="36">
        <v>44326</v>
      </c>
      <c r="B4514" s="6">
        <v>47.13</v>
      </c>
      <c r="C4514" s="6">
        <v>28.46</v>
      </c>
      <c r="D4514" s="25">
        <v>9.9600000000000009</v>
      </c>
      <c r="E4514" s="6">
        <v>6.4799999999999995</v>
      </c>
      <c r="G4514" s="31"/>
    </row>
    <row r="4515" spans="1:7" x14ac:dyDescent="0.25">
      <c r="A4515" s="36">
        <v>44327</v>
      </c>
      <c r="B4515" s="6">
        <v>47.25</v>
      </c>
      <c r="C4515" s="6">
        <v>28.58</v>
      </c>
      <c r="D4515" s="25">
        <v>10.24</v>
      </c>
      <c r="E4515" s="6">
        <v>6.6499999999999995</v>
      </c>
      <c r="G4515" s="31"/>
    </row>
    <row r="4516" spans="1:7" x14ac:dyDescent="0.25">
      <c r="A4516" s="36">
        <v>44328</v>
      </c>
      <c r="B4516" s="6">
        <v>47.4</v>
      </c>
      <c r="C4516" s="6">
        <v>28.68</v>
      </c>
      <c r="D4516" s="25">
        <v>10.42</v>
      </c>
      <c r="E4516" s="6">
        <v>6.88</v>
      </c>
      <c r="G4516" s="31"/>
    </row>
    <row r="4517" spans="1:7" x14ac:dyDescent="0.25">
      <c r="A4517" s="36">
        <v>44329</v>
      </c>
      <c r="B4517" s="6">
        <v>47.54</v>
      </c>
      <c r="C4517" s="6">
        <v>28.78</v>
      </c>
      <c r="D4517" s="25">
        <v>10.48</v>
      </c>
      <c r="E4517" s="6">
        <v>6.93</v>
      </c>
      <c r="G4517" s="31"/>
    </row>
    <row r="4518" spans="1:7" x14ac:dyDescent="0.25">
      <c r="A4518" s="36">
        <v>44330</v>
      </c>
      <c r="B4518" s="6">
        <v>47.65</v>
      </c>
      <c r="C4518" s="6">
        <v>28.88</v>
      </c>
      <c r="D4518" s="25">
        <v>10.6</v>
      </c>
      <c r="E4518" s="6">
        <v>7.05</v>
      </c>
      <c r="G4518" s="31"/>
    </row>
    <row r="4519" spans="1:7" x14ac:dyDescent="0.25">
      <c r="A4519" s="36">
        <v>44331</v>
      </c>
      <c r="B4519" s="6">
        <v>47.75</v>
      </c>
      <c r="C4519" s="6">
        <v>28.95</v>
      </c>
      <c r="D4519" s="25">
        <v>10.69</v>
      </c>
      <c r="E4519" s="6">
        <v>7.1499999999999995</v>
      </c>
      <c r="G4519" s="31"/>
    </row>
    <row r="4520" spans="1:7" x14ac:dyDescent="0.25">
      <c r="A4520" s="36">
        <v>44332</v>
      </c>
      <c r="B4520" s="6">
        <v>47.82</v>
      </c>
      <c r="C4520" s="6">
        <v>29.04</v>
      </c>
      <c r="D4520" s="6">
        <v>10.82</v>
      </c>
      <c r="E4520" s="6">
        <v>7.27</v>
      </c>
      <c r="G4520" s="31"/>
    </row>
    <row r="4521" spans="1:7" x14ac:dyDescent="0.25">
      <c r="A4521" s="36">
        <v>44333</v>
      </c>
      <c r="B4521" s="6">
        <v>47.98</v>
      </c>
      <c r="C4521" s="6">
        <v>29.15</v>
      </c>
      <c r="D4521" s="6">
        <v>10.92</v>
      </c>
      <c r="E4521" s="6">
        <v>7.37</v>
      </c>
      <c r="G4521" s="31"/>
    </row>
    <row r="4522" spans="1:7" x14ac:dyDescent="0.25">
      <c r="A4522" s="36">
        <v>44334</v>
      </c>
      <c r="B4522" s="9">
        <v>48.12</v>
      </c>
      <c r="C4522" s="6">
        <v>29.25</v>
      </c>
      <c r="D4522" s="6">
        <v>11</v>
      </c>
      <c r="E4522" s="6">
        <v>7.4899999999999993</v>
      </c>
      <c r="G4522" s="31"/>
    </row>
    <row r="4523" spans="1:7" x14ac:dyDescent="0.25">
      <c r="A4523" s="36">
        <v>44335</v>
      </c>
      <c r="B4523" s="6">
        <v>48.23</v>
      </c>
      <c r="C4523" s="6">
        <v>29.35</v>
      </c>
      <c r="D4523" s="6">
        <v>11.1</v>
      </c>
      <c r="E4523" s="6">
        <v>7.59</v>
      </c>
      <c r="G4523" s="31"/>
    </row>
    <row r="4524" spans="1:7" x14ac:dyDescent="0.25">
      <c r="A4524" s="36">
        <v>44336</v>
      </c>
      <c r="B4524" s="6">
        <v>48.34</v>
      </c>
      <c r="C4524" s="6">
        <v>29.42</v>
      </c>
      <c r="D4524" s="6">
        <v>11.2</v>
      </c>
      <c r="E4524" s="6">
        <v>7.6899999999999995</v>
      </c>
      <c r="G4524" s="31"/>
    </row>
    <row r="4525" spans="1:7" x14ac:dyDescent="0.25">
      <c r="A4525" s="36">
        <v>44337</v>
      </c>
      <c r="B4525" s="6">
        <v>48.44</v>
      </c>
      <c r="C4525" s="6">
        <v>29.52</v>
      </c>
      <c r="D4525" s="6">
        <v>11.3</v>
      </c>
      <c r="E4525" s="6">
        <v>7.7799999999999994</v>
      </c>
      <c r="G4525" s="31"/>
    </row>
    <row r="4526" spans="1:7" x14ac:dyDescent="0.25">
      <c r="A4526" s="36">
        <v>44338</v>
      </c>
      <c r="B4526" s="6">
        <v>48.52</v>
      </c>
      <c r="C4526" s="6">
        <v>29.6</v>
      </c>
      <c r="D4526" s="6">
        <v>11.38</v>
      </c>
      <c r="E4526" s="6">
        <v>7.88</v>
      </c>
      <c r="G4526" s="31"/>
    </row>
    <row r="4527" spans="1:7" x14ac:dyDescent="0.25">
      <c r="A4527" s="36">
        <v>44339</v>
      </c>
      <c r="B4527" s="6">
        <v>48.6</v>
      </c>
      <c r="C4527" s="6">
        <v>29.65</v>
      </c>
      <c r="D4527" s="6">
        <v>11.46</v>
      </c>
      <c r="E4527" s="6">
        <v>7.9799999999999995</v>
      </c>
      <c r="G4527" s="31"/>
    </row>
    <row r="4528" spans="1:7" x14ac:dyDescent="0.25">
      <c r="A4528" s="36">
        <v>44340</v>
      </c>
      <c r="B4528" s="6">
        <v>48.6</v>
      </c>
      <c r="C4528" s="6">
        <v>29.75</v>
      </c>
      <c r="D4528" s="7">
        <v>11.54</v>
      </c>
      <c r="E4528" s="6">
        <v>8.0500000000000007</v>
      </c>
      <c r="G4528" s="31"/>
    </row>
    <row r="4529" spans="1:7" x14ac:dyDescent="0.25">
      <c r="A4529" s="36">
        <v>44341</v>
      </c>
      <c r="B4529" s="6">
        <v>48.8</v>
      </c>
      <c r="C4529" s="7">
        <v>29.75</v>
      </c>
      <c r="D4529" s="7">
        <v>11.58</v>
      </c>
      <c r="E4529" s="6">
        <v>8.15</v>
      </c>
      <c r="G4529" s="31"/>
    </row>
    <row r="4530" spans="1:7" x14ac:dyDescent="0.25">
      <c r="A4530" s="36">
        <v>44342</v>
      </c>
      <c r="B4530" s="7">
        <v>48.95</v>
      </c>
      <c r="C4530" s="7">
        <v>29.82</v>
      </c>
      <c r="D4530" s="7">
        <v>11.68</v>
      </c>
      <c r="E4530" s="6">
        <v>8.2100000000000009</v>
      </c>
      <c r="G4530" s="31"/>
    </row>
    <row r="4531" spans="1:7" x14ac:dyDescent="0.25">
      <c r="A4531" s="36">
        <v>44343</v>
      </c>
      <c r="B4531" s="7">
        <v>49.12</v>
      </c>
      <c r="C4531" s="7">
        <v>29.92</v>
      </c>
      <c r="D4531" s="7">
        <v>11.78</v>
      </c>
      <c r="E4531" s="6">
        <v>8.27</v>
      </c>
      <c r="G4531" s="31"/>
    </row>
    <row r="4532" spans="1:7" x14ac:dyDescent="0.25">
      <c r="A4532" s="36">
        <v>44344</v>
      </c>
      <c r="B4532" s="7">
        <v>49.29</v>
      </c>
      <c r="C4532" s="7">
        <v>30.04</v>
      </c>
      <c r="D4532" s="7">
        <v>11.86</v>
      </c>
      <c r="E4532" s="6">
        <v>8.35</v>
      </c>
      <c r="G4532" s="31"/>
    </row>
    <row r="4533" spans="1:7" x14ac:dyDescent="0.25">
      <c r="A4533" s="36">
        <v>44345</v>
      </c>
      <c r="B4533" s="7">
        <v>49.43</v>
      </c>
      <c r="C4533" s="7">
        <v>30.22</v>
      </c>
      <c r="D4533" s="7">
        <v>12</v>
      </c>
      <c r="E4533" s="6">
        <v>8.43</v>
      </c>
      <c r="G4533" s="31"/>
    </row>
    <row r="4534" spans="1:7" x14ac:dyDescent="0.25">
      <c r="A4534" s="36">
        <v>44346</v>
      </c>
      <c r="B4534" s="7">
        <v>49.8</v>
      </c>
      <c r="C4534" s="7">
        <v>30.33</v>
      </c>
      <c r="D4534" s="7">
        <v>12.12</v>
      </c>
      <c r="E4534" s="6">
        <v>8.51</v>
      </c>
      <c r="G4534" s="31"/>
    </row>
    <row r="4535" spans="1:7" x14ac:dyDescent="0.25">
      <c r="A4535" s="36">
        <v>44347</v>
      </c>
      <c r="B4535" s="7">
        <v>49.82</v>
      </c>
      <c r="C4535" s="7">
        <v>30.43</v>
      </c>
      <c r="D4535" s="7">
        <v>12.28</v>
      </c>
      <c r="E4535" s="6">
        <v>8.61</v>
      </c>
      <c r="G4535" s="31"/>
    </row>
    <row r="4536" spans="1:7" x14ac:dyDescent="0.25">
      <c r="A4536" s="36">
        <v>44348</v>
      </c>
      <c r="B4536" s="7">
        <v>49.85</v>
      </c>
      <c r="C4536" s="7">
        <v>30.56</v>
      </c>
      <c r="D4536" s="7">
        <v>12.42</v>
      </c>
      <c r="E4536" s="7">
        <v>8.6999999999999993</v>
      </c>
      <c r="G4536" s="31"/>
    </row>
    <row r="4537" spans="1:7" x14ac:dyDescent="0.25">
      <c r="A4537" s="36">
        <v>44349</v>
      </c>
      <c r="B4537" s="7">
        <v>49.98</v>
      </c>
      <c r="C4537" s="7">
        <v>30.68</v>
      </c>
      <c r="D4537" s="7">
        <v>12.6</v>
      </c>
      <c r="E4537" s="7">
        <v>8.81</v>
      </c>
      <c r="G4537" s="31"/>
    </row>
    <row r="4538" spans="1:7" x14ac:dyDescent="0.25">
      <c r="A4538" s="36">
        <v>44350</v>
      </c>
      <c r="B4538" s="7">
        <v>50.07</v>
      </c>
      <c r="C4538" s="7">
        <v>30.79</v>
      </c>
      <c r="D4538" s="7">
        <v>12.76</v>
      </c>
      <c r="E4538" s="7">
        <v>8.91</v>
      </c>
      <c r="G4538" s="31"/>
    </row>
    <row r="4539" spans="1:7" x14ac:dyDescent="0.25">
      <c r="A4539" s="36">
        <v>44351</v>
      </c>
      <c r="B4539" s="7">
        <v>50.15</v>
      </c>
      <c r="C4539" s="7">
        <v>30.92</v>
      </c>
      <c r="D4539" s="7">
        <v>12.94</v>
      </c>
      <c r="E4539" s="7">
        <v>8.99</v>
      </c>
      <c r="G4539" s="31"/>
    </row>
    <row r="4540" spans="1:7" x14ac:dyDescent="0.25">
      <c r="A4540" s="36">
        <v>44352</v>
      </c>
      <c r="B4540" s="7">
        <v>50.26</v>
      </c>
      <c r="C4540" s="7">
        <v>31.03</v>
      </c>
      <c r="D4540" s="7">
        <v>13.08</v>
      </c>
      <c r="E4540" s="7">
        <v>9.09</v>
      </c>
      <c r="G4540" s="31"/>
    </row>
    <row r="4541" spans="1:7" x14ac:dyDescent="0.25">
      <c r="A4541" s="36">
        <v>44353</v>
      </c>
      <c r="B4541" s="7">
        <v>50.32</v>
      </c>
      <c r="C4541" s="7">
        <v>31.13</v>
      </c>
      <c r="D4541" s="7">
        <v>13.22</v>
      </c>
      <c r="E4541" s="7">
        <v>9.18</v>
      </c>
      <c r="G4541" s="31"/>
    </row>
    <row r="4542" spans="1:7" x14ac:dyDescent="0.25">
      <c r="A4542" s="36">
        <v>44354</v>
      </c>
      <c r="B4542" s="7">
        <v>50.38</v>
      </c>
      <c r="C4542" s="7">
        <v>31.24</v>
      </c>
      <c r="D4542" s="7">
        <v>13.38</v>
      </c>
      <c r="E4542" s="7">
        <v>9.26</v>
      </c>
      <c r="G4542" s="31"/>
    </row>
    <row r="4543" spans="1:7" x14ac:dyDescent="0.25">
      <c r="A4543" s="36">
        <v>44355</v>
      </c>
      <c r="B4543" s="7">
        <v>50.46</v>
      </c>
      <c r="C4543" s="7">
        <v>31.33</v>
      </c>
      <c r="D4543" s="7">
        <v>13.5</v>
      </c>
      <c r="E4543" s="7">
        <v>9.33</v>
      </c>
      <c r="G4543" s="31"/>
    </row>
    <row r="4544" spans="1:7" x14ac:dyDescent="0.25">
      <c r="A4544" s="36">
        <v>44356</v>
      </c>
      <c r="B4544" s="7">
        <v>50.58</v>
      </c>
      <c r="C4544" s="7">
        <v>31.42</v>
      </c>
      <c r="D4544" s="7">
        <v>13.66</v>
      </c>
      <c r="E4544" s="7">
        <v>9.34</v>
      </c>
      <c r="G4544" s="31"/>
    </row>
    <row r="4545" spans="1:7" x14ac:dyDescent="0.25">
      <c r="A4545" s="36">
        <v>44357</v>
      </c>
      <c r="B4545" s="7">
        <v>50.68</v>
      </c>
      <c r="C4545" s="7">
        <v>31.5</v>
      </c>
      <c r="D4545" s="7">
        <v>13.76</v>
      </c>
      <c r="E4545" s="7">
        <v>9.3699999999999992</v>
      </c>
      <c r="G4545" s="31"/>
    </row>
    <row r="4546" spans="1:7" x14ac:dyDescent="0.25">
      <c r="A4546" s="36">
        <v>44358</v>
      </c>
      <c r="B4546" s="7">
        <v>50.78</v>
      </c>
      <c r="C4546" s="7">
        <v>31.56</v>
      </c>
      <c r="D4546" s="15">
        <v>13.84</v>
      </c>
      <c r="E4546" s="7">
        <v>9.4</v>
      </c>
      <c r="G4546" s="31"/>
    </row>
    <row r="4547" spans="1:7" x14ac:dyDescent="0.25">
      <c r="A4547" s="36">
        <v>44359</v>
      </c>
      <c r="B4547" s="7">
        <v>50.85</v>
      </c>
      <c r="C4547" s="7">
        <v>31.64</v>
      </c>
      <c r="D4547" s="15">
        <v>13.88</v>
      </c>
      <c r="E4547" s="7">
        <v>9.5</v>
      </c>
      <c r="G4547" s="31"/>
    </row>
    <row r="4548" spans="1:7" x14ac:dyDescent="0.25">
      <c r="A4548" s="36">
        <v>44360</v>
      </c>
      <c r="B4548" s="7">
        <v>50.92</v>
      </c>
      <c r="C4548" s="7">
        <v>31.7</v>
      </c>
      <c r="D4548" s="7">
        <v>13.88</v>
      </c>
      <c r="E4548" s="7">
        <v>9.5499999999999989</v>
      </c>
      <c r="G4548" s="31"/>
    </row>
    <row r="4549" spans="1:7" x14ac:dyDescent="0.25">
      <c r="A4549" s="36">
        <v>44361</v>
      </c>
      <c r="B4549" s="7">
        <v>50.98</v>
      </c>
      <c r="C4549" s="7">
        <v>31.76</v>
      </c>
      <c r="D4549" s="6">
        <v>13.92</v>
      </c>
      <c r="E4549" s="7">
        <v>9.58</v>
      </c>
      <c r="G4549" s="31"/>
    </row>
    <row r="4550" spans="1:7" x14ac:dyDescent="0.25">
      <c r="A4550" s="36">
        <v>44362</v>
      </c>
      <c r="B4550" s="7">
        <v>51.02</v>
      </c>
      <c r="C4550" s="7">
        <v>31.88</v>
      </c>
      <c r="D4550" s="6">
        <v>13.98</v>
      </c>
      <c r="E4550" s="7">
        <v>9.59</v>
      </c>
      <c r="G4550" s="31"/>
    </row>
    <row r="4551" spans="1:7" x14ac:dyDescent="0.25">
      <c r="A4551" s="36">
        <v>44363</v>
      </c>
      <c r="B4551" s="6">
        <v>51.06</v>
      </c>
      <c r="C4551" s="7">
        <v>32</v>
      </c>
      <c r="D4551" s="6">
        <v>14.04</v>
      </c>
      <c r="E4551" s="7">
        <v>9.6199999999999992</v>
      </c>
      <c r="G4551" s="31"/>
    </row>
    <row r="4552" spans="1:7" x14ac:dyDescent="0.25">
      <c r="A4552" s="36">
        <v>44364</v>
      </c>
      <c r="B4552" s="6">
        <v>51.1</v>
      </c>
      <c r="C4552" s="7">
        <v>32.049999999999997</v>
      </c>
      <c r="D4552" s="6">
        <v>14.12</v>
      </c>
      <c r="E4552" s="7">
        <v>9.68</v>
      </c>
      <c r="G4552" s="31"/>
    </row>
    <row r="4553" spans="1:7" x14ac:dyDescent="0.25">
      <c r="A4553" s="36">
        <v>44365</v>
      </c>
      <c r="B4553" s="6">
        <v>51.1</v>
      </c>
      <c r="C4553" s="7">
        <v>32.090000000000003</v>
      </c>
      <c r="D4553" s="6">
        <v>14.2</v>
      </c>
      <c r="E4553" s="7">
        <v>9.7099999999999991</v>
      </c>
      <c r="G4553" s="31"/>
    </row>
    <row r="4554" spans="1:7" x14ac:dyDescent="0.25">
      <c r="A4554" s="36">
        <v>44366</v>
      </c>
      <c r="B4554" s="6">
        <v>51.1</v>
      </c>
      <c r="C4554" s="7">
        <v>32.14</v>
      </c>
      <c r="D4554" s="6">
        <v>14.26</v>
      </c>
      <c r="E4554" s="7">
        <v>9.7799999999999994</v>
      </c>
      <c r="G4554" s="31"/>
    </row>
    <row r="4555" spans="1:7" x14ac:dyDescent="0.25">
      <c r="A4555" s="36">
        <v>44367</v>
      </c>
      <c r="B4555" s="6">
        <v>51.12</v>
      </c>
      <c r="C4555" s="7">
        <v>32.18</v>
      </c>
      <c r="D4555" s="6">
        <v>14.28</v>
      </c>
      <c r="E4555" s="7">
        <v>9.83</v>
      </c>
      <c r="G4555" s="31"/>
    </row>
    <row r="4556" spans="1:7" x14ac:dyDescent="0.25">
      <c r="A4556" s="36">
        <v>44368</v>
      </c>
      <c r="B4556" s="6">
        <v>51.14</v>
      </c>
      <c r="C4556" s="7">
        <v>32.24</v>
      </c>
      <c r="D4556" s="6">
        <v>14.32</v>
      </c>
      <c r="E4556" s="7">
        <v>9.84</v>
      </c>
      <c r="G4556" s="31"/>
    </row>
    <row r="4557" spans="1:7" x14ac:dyDescent="0.25">
      <c r="A4557" s="36">
        <v>44369</v>
      </c>
      <c r="B4557" s="6">
        <v>51.16</v>
      </c>
      <c r="C4557" s="7">
        <v>32.28</v>
      </c>
      <c r="D4557" s="6">
        <v>14.4</v>
      </c>
      <c r="E4557" s="7">
        <v>9.85</v>
      </c>
      <c r="G4557" s="31"/>
    </row>
    <row r="4558" spans="1:7" x14ac:dyDescent="0.25">
      <c r="A4558" s="36">
        <v>44370</v>
      </c>
      <c r="B4558" s="6">
        <v>51.14</v>
      </c>
      <c r="C4558" s="7">
        <v>32.32</v>
      </c>
      <c r="D4558" s="6">
        <v>14.44</v>
      </c>
      <c r="E4558" s="7">
        <v>9.93</v>
      </c>
      <c r="G4558" s="31"/>
    </row>
    <row r="4559" spans="1:7" x14ac:dyDescent="0.25">
      <c r="A4559" s="36">
        <v>44371</v>
      </c>
      <c r="B4559" s="6">
        <v>51.14</v>
      </c>
      <c r="C4559" s="7">
        <v>32.369999999999997</v>
      </c>
      <c r="D4559" s="6">
        <v>14.5</v>
      </c>
      <c r="E4559" s="7">
        <v>9.9599999999999991</v>
      </c>
      <c r="G4559" s="31"/>
    </row>
    <row r="4560" spans="1:7" x14ac:dyDescent="0.25">
      <c r="A4560" s="36">
        <v>44372</v>
      </c>
      <c r="B4560" s="6">
        <v>51.15</v>
      </c>
      <c r="C4560" s="7">
        <v>32.4</v>
      </c>
      <c r="D4560" s="6">
        <v>14.54</v>
      </c>
      <c r="E4560" s="7">
        <v>10.029999999999999</v>
      </c>
      <c r="G4560" s="31"/>
    </row>
    <row r="4561" spans="1:7" x14ac:dyDescent="0.25">
      <c r="A4561" s="36">
        <v>44373</v>
      </c>
      <c r="B4561" s="6">
        <v>51.14</v>
      </c>
      <c r="C4561" s="7">
        <v>32.44</v>
      </c>
      <c r="D4561" s="6">
        <v>14.56</v>
      </c>
      <c r="E4561" s="7">
        <v>10.049999999999999</v>
      </c>
      <c r="G4561" s="31"/>
    </row>
    <row r="4562" spans="1:7" x14ac:dyDescent="0.25">
      <c r="A4562" s="36">
        <v>44374</v>
      </c>
      <c r="B4562" s="6">
        <v>51.16</v>
      </c>
      <c r="C4562" s="7">
        <v>32.479999999999997</v>
      </c>
      <c r="D4562" s="6">
        <v>14.6</v>
      </c>
      <c r="E4562" s="7">
        <v>10.06</v>
      </c>
      <c r="G4562" s="31"/>
    </row>
    <row r="4563" spans="1:7" x14ac:dyDescent="0.25">
      <c r="A4563" s="36">
        <v>44375</v>
      </c>
      <c r="B4563" s="6">
        <v>51.18</v>
      </c>
      <c r="C4563" s="7">
        <v>32.520000000000003</v>
      </c>
      <c r="D4563" s="6">
        <v>14.64</v>
      </c>
      <c r="E4563" s="7">
        <v>10.08</v>
      </c>
      <c r="G4563" s="31"/>
    </row>
    <row r="4564" spans="1:7" x14ac:dyDescent="0.25">
      <c r="A4564" s="36">
        <v>44376</v>
      </c>
      <c r="B4564" s="6">
        <v>51.13</v>
      </c>
      <c r="C4564" s="7">
        <v>32.54</v>
      </c>
      <c r="D4564" s="6">
        <v>14.66</v>
      </c>
      <c r="E4564" s="7">
        <v>10.119999999999999</v>
      </c>
      <c r="G4564" s="31"/>
    </row>
    <row r="4565" spans="1:7" x14ac:dyDescent="0.25">
      <c r="A4565" s="36">
        <v>44377</v>
      </c>
      <c r="B4565" s="6">
        <v>51.16</v>
      </c>
      <c r="C4565" s="6">
        <v>32.6</v>
      </c>
      <c r="D4565" s="6">
        <v>14.72</v>
      </c>
      <c r="E4565" s="7">
        <v>10.15</v>
      </c>
      <c r="G4565" s="31"/>
    </row>
    <row r="4566" spans="1:7" x14ac:dyDescent="0.25">
      <c r="A4566" s="36">
        <v>44378</v>
      </c>
      <c r="B4566" s="6">
        <v>51.2</v>
      </c>
      <c r="C4566" s="6">
        <v>32.630000000000003</v>
      </c>
      <c r="D4566" s="6">
        <v>14.78</v>
      </c>
      <c r="E4566" s="7">
        <v>10.14</v>
      </c>
      <c r="G4566" s="31"/>
    </row>
    <row r="4567" spans="1:7" x14ac:dyDescent="0.25">
      <c r="A4567" s="36">
        <v>44379</v>
      </c>
      <c r="B4567" s="6">
        <v>51.22</v>
      </c>
      <c r="C4567" s="6">
        <v>32.659999999999997</v>
      </c>
      <c r="D4567" s="6">
        <v>14.84</v>
      </c>
      <c r="E4567" s="7">
        <v>10.14</v>
      </c>
      <c r="G4567" s="31"/>
    </row>
    <row r="4568" spans="1:7" x14ac:dyDescent="0.25">
      <c r="A4568" s="36">
        <v>44380</v>
      </c>
      <c r="B4568" s="6">
        <v>51.22</v>
      </c>
      <c r="C4568" s="6">
        <v>32.68</v>
      </c>
      <c r="D4568" s="6">
        <v>14.94</v>
      </c>
      <c r="E4568" s="7">
        <v>10.19</v>
      </c>
      <c r="G4568" s="31"/>
    </row>
    <row r="4569" spans="1:7" x14ac:dyDescent="0.25">
      <c r="A4569" s="36">
        <v>44381</v>
      </c>
      <c r="B4569" s="6">
        <v>51.2</v>
      </c>
      <c r="C4569" s="6">
        <v>32.700000000000003</v>
      </c>
      <c r="D4569" s="6">
        <v>14.94</v>
      </c>
      <c r="E4569" s="7">
        <v>10.199999999999999</v>
      </c>
      <c r="G4569" s="31"/>
    </row>
    <row r="4570" spans="1:7" x14ac:dyDescent="0.25">
      <c r="A4570" s="36">
        <v>44382</v>
      </c>
      <c r="B4570" s="6">
        <v>51.19</v>
      </c>
      <c r="C4570" s="6">
        <v>32.729999999999997</v>
      </c>
      <c r="D4570" s="6">
        <v>15</v>
      </c>
      <c r="E4570" s="7">
        <v>10.219999999999999</v>
      </c>
      <c r="G4570" s="31"/>
    </row>
    <row r="4571" spans="1:7" x14ac:dyDescent="0.25">
      <c r="A4571" s="36">
        <v>44383</v>
      </c>
      <c r="B4571" s="7">
        <v>51.16</v>
      </c>
      <c r="C4571" s="6">
        <v>32.75</v>
      </c>
      <c r="D4571" s="6">
        <v>15.02</v>
      </c>
      <c r="E4571" s="7">
        <v>10.24</v>
      </c>
      <c r="G4571" s="31"/>
    </row>
    <row r="4572" spans="1:7" x14ac:dyDescent="0.25">
      <c r="A4572" s="36">
        <v>44384</v>
      </c>
      <c r="B4572" s="7">
        <v>51.18</v>
      </c>
      <c r="C4572" s="6">
        <v>32.770000000000003</v>
      </c>
      <c r="D4572" s="6">
        <v>15.02</v>
      </c>
      <c r="E4572" s="7">
        <v>10.23</v>
      </c>
      <c r="G4572" s="31"/>
    </row>
    <row r="4573" spans="1:7" x14ac:dyDescent="0.25">
      <c r="A4573" s="36">
        <v>44385</v>
      </c>
      <c r="B4573" s="6">
        <v>51.22</v>
      </c>
      <c r="C4573" s="6">
        <v>32.770000000000003</v>
      </c>
      <c r="D4573" s="6">
        <v>15.04</v>
      </c>
      <c r="E4573" s="7">
        <v>10.16</v>
      </c>
      <c r="G4573" s="31"/>
    </row>
    <row r="4574" spans="1:7" x14ac:dyDescent="0.25">
      <c r="A4574" s="36">
        <v>44386</v>
      </c>
      <c r="B4574" s="6">
        <v>51.26</v>
      </c>
      <c r="C4574" s="6">
        <v>32.799999999999997</v>
      </c>
      <c r="D4574" s="6">
        <v>15.08</v>
      </c>
      <c r="E4574" s="7">
        <v>10.19</v>
      </c>
      <c r="G4574" s="31"/>
    </row>
    <row r="4575" spans="1:7" x14ac:dyDescent="0.25">
      <c r="A4575" s="36">
        <v>44387</v>
      </c>
      <c r="B4575" s="6">
        <v>51.36</v>
      </c>
      <c r="C4575" s="6">
        <v>32.86</v>
      </c>
      <c r="D4575" s="6">
        <v>15.08</v>
      </c>
      <c r="E4575" s="7">
        <v>10.19</v>
      </c>
      <c r="G4575" s="31"/>
    </row>
    <row r="4576" spans="1:7" x14ac:dyDescent="0.25">
      <c r="A4576" s="36">
        <v>44388</v>
      </c>
      <c r="B4576" s="6">
        <v>51.36</v>
      </c>
      <c r="C4576" s="6">
        <v>32.880000000000003</v>
      </c>
      <c r="D4576" s="6">
        <v>15.1</v>
      </c>
      <c r="E4576" s="7">
        <v>10.16</v>
      </c>
      <c r="G4576" s="31"/>
    </row>
    <row r="4577" spans="1:7" x14ac:dyDescent="0.25">
      <c r="A4577" s="36">
        <v>44389</v>
      </c>
      <c r="B4577" s="6">
        <v>51.36</v>
      </c>
      <c r="C4577" s="6">
        <v>32.9</v>
      </c>
      <c r="D4577" s="6">
        <v>15.14</v>
      </c>
      <c r="E4577" s="7">
        <v>10.129999999999999</v>
      </c>
      <c r="G4577" s="31"/>
    </row>
    <row r="4578" spans="1:7" x14ac:dyDescent="0.25">
      <c r="A4578" s="36">
        <v>44390</v>
      </c>
      <c r="B4578" s="6">
        <v>51.36</v>
      </c>
      <c r="C4578" s="6">
        <v>32.94</v>
      </c>
      <c r="D4578" s="6">
        <v>15.18</v>
      </c>
      <c r="E4578" s="7">
        <v>10.199999999999999</v>
      </c>
      <c r="G4578" s="31"/>
    </row>
    <row r="4579" spans="1:7" x14ac:dyDescent="0.25">
      <c r="A4579" s="36">
        <v>44391</v>
      </c>
      <c r="B4579" s="6">
        <v>51.36</v>
      </c>
      <c r="C4579" s="6">
        <v>32.96</v>
      </c>
      <c r="D4579" s="6">
        <v>15.22</v>
      </c>
      <c r="E4579" s="6">
        <v>10.27</v>
      </c>
      <c r="G4579" s="31"/>
    </row>
    <row r="4580" spans="1:7" x14ac:dyDescent="0.25">
      <c r="A4580" s="36">
        <v>44392</v>
      </c>
      <c r="B4580" s="6">
        <v>51.36</v>
      </c>
      <c r="C4580" s="6">
        <v>32.979999999999997</v>
      </c>
      <c r="D4580" s="6">
        <v>15.28</v>
      </c>
      <c r="E4580" s="6">
        <v>10.27</v>
      </c>
      <c r="G4580" s="31"/>
    </row>
    <row r="4581" spans="1:7" x14ac:dyDescent="0.25">
      <c r="A4581" s="36">
        <v>44393</v>
      </c>
      <c r="B4581" s="6">
        <v>51.36</v>
      </c>
      <c r="C4581" s="6">
        <v>33.01</v>
      </c>
      <c r="D4581" s="6">
        <v>15.32</v>
      </c>
      <c r="E4581" s="6">
        <v>10.29</v>
      </c>
      <c r="G4581" s="31"/>
    </row>
    <row r="4582" spans="1:7" x14ac:dyDescent="0.25">
      <c r="A4582" s="36">
        <v>44394</v>
      </c>
      <c r="B4582" s="6">
        <v>51.34</v>
      </c>
      <c r="C4582" s="6">
        <v>33.04</v>
      </c>
      <c r="D4582" s="6">
        <v>15.38</v>
      </c>
      <c r="E4582" s="6">
        <v>10.34</v>
      </c>
      <c r="G4582" s="31"/>
    </row>
    <row r="4583" spans="1:7" x14ac:dyDescent="0.25">
      <c r="A4583" s="36">
        <v>44395</v>
      </c>
      <c r="B4583" s="6">
        <v>51.38</v>
      </c>
      <c r="C4583" s="6">
        <v>33.08</v>
      </c>
      <c r="D4583" s="6">
        <v>15.42</v>
      </c>
      <c r="E4583" s="6">
        <v>10.379999999999999</v>
      </c>
      <c r="G4583" s="31"/>
    </row>
    <row r="4584" spans="1:7" x14ac:dyDescent="0.25">
      <c r="A4584" s="36">
        <v>44396</v>
      </c>
      <c r="B4584" s="6">
        <v>51.4</v>
      </c>
      <c r="C4584" s="6">
        <v>33.1</v>
      </c>
      <c r="D4584" s="6">
        <v>15.46</v>
      </c>
      <c r="E4584" s="6">
        <v>10.35</v>
      </c>
      <c r="G4584" s="31"/>
    </row>
    <row r="4585" spans="1:7" x14ac:dyDescent="0.25">
      <c r="A4585" s="36">
        <v>44397</v>
      </c>
      <c r="B4585" s="6">
        <v>51.38</v>
      </c>
      <c r="C4585" s="6">
        <v>33.119999999999997</v>
      </c>
      <c r="D4585" s="6">
        <v>15.52</v>
      </c>
      <c r="E4585" s="6">
        <v>10.43</v>
      </c>
      <c r="G4585" s="31"/>
    </row>
    <row r="4586" spans="1:7" x14ac:dyDescent="0.25">
      <c r="A4586" s="36">
        <v>44398</v>
      </c>
      <c r="B4586" s="6">
        <v>51.42</v>
      </c>
      <c r="C4586" s="6">
        <v>33.14</v>
      </c>
      <c r="D4586" s="6">
        <v>15.58</v>
      </c>
      <c r="E4586" s="6">
        <v>10.53</v>
      </c>
      <c r="G4586" s="31"/>
    </row>
    <row r="4587" spans="1:7" x14ac:dyDescent="0.25">
      <c r="A4587" s="36">
        <v>44399</v>
      </c>
      <c r="B4587" s="6">
        <v>51.48</v>
      </c>
      <c r="C4587" s="6">
        <v>33.159999999999997</v>
      </c>
      <c r="D4587" s="6">
        <v>15.6</v>
      </c>
      <c r="E4587" s="6">
        <v>10.58</v>
      </c>
      <c r="G4587" s="31"/>
    </row>
    <row r="4588" spans="1:7" x14ac:dyDescent="0.25">
      <c r="A4588" s="36">
        <v>44400</v>
      </c>
      <c r="B4588" s="6">
        <v>51.52</v>
      </c>
      <c r="C4588" s="6">
        <v>33.22</v>
      </c>
      <c r="D4588" s="6">
        <v>15.64</v>
      </c>
      <c r="E4588" s="6">
        <v>10.5</v>
      </c>
      <c r="G4588" s="31"/>
    </row>
    <row r="4589" spans="1:7" x14ac:dyDescent="0.25">
      <c r="A4589" s="36">
        <v>44401</v>
      </c>
      <c r="B4589" s="6">
        <v>51.62</v>
      </c>
      <c r="C4589" s="6">
        <v>33.26</v>
      </c>
      <c r="D4589" s="6">
        <v>15.7</v>
      </c>
      <c r="E4589" s="6">
        <v>10.5</v>
      </c>
      <c r="G4589" s="31"/>
    </row>
    <row r="4590" spans="1:7" x14ac:dyDescent="0.25">
      <c r="A4590" s="36">
        <v>44402</v>
      </c>
      <c r="B4590" s="6">
        <v>51.62</v>
      </c>
      <c r="C4590" s="6">
        <v>33.299999999999997</v>
      </c>
      <c r="D4590" s="6">
        <v>15.72</v>
      </c>
      <c r="E4590" s="6">
        <v>10.6</v>
      </c>
      <c r="G4590" s="31"/>
    </row>
    <row r="4591" spans="1:7" x14ac:dyDescent="0.25">
      <c r="A4591" s="36">
        <v>44403</v>
      </c>
      <c r="B4591" s="6">
        <v>51.68</v>
      </c>
      <c r="C4591" s="6">
        <v>33.340000000000003</v>
      </c>
      <c r="D4591" s="6">
        <v>15.78</v>
      </c>
      <c r="E4591" s="6">
        <v>10.64</v>
      </c>
      <c r="G4591" s="31"/>
    </row>
    <row r="4592" spans="1:7" x14ac:dyDescent="0.25">
      <c r="A4592" s="36">
        <v>44404</v>
      </c>
      <c r="B4592" s="6">
        <v>51.74</v>
      </c>
      <c r="C4592" s="6">
        <v>33.42</v>
      </c>
      <c r="D4592" s="6">
        <v>15.82</v>
      </c>
      <c r="E4592" s="6">
        <v>10.69</v>
      </c>
      <c r="G4592" s="31"/>
    </row>
    <row r="4593" spans="1:7" x14ac:dyDescent="0.25">
      <c r="A4593" s="36">
        <v>44405</v>
      </c>
      <c r="B4593" s="6">
        <v>51.81</v>
      </c>
      <c r="C4593" s="6">
        <v>33.479999999999997</v>
      </c>
      <c r="D4593" s="6">
        <v>15.88</v>
      </c>
      <c r="E4593" s="6">
        <v>10.74</v>
      </c>
      <c r="G4593" s="31"/>
    </row>
    <row r="4594" spans="1:7" x14ac:dyDescent="0.25">
      <c r="A4594" s="36">
        <v>44406</v>
      </c>
      <c r="B4594" s="6">
        <v>51.84</v>
      </c>
      <c r="C4594" s="6">
        <v>33.520000000000003</v>
      </c>
      <c r="D4594" s="6">
        <v>15.94</v>
      </c>
      <c r="E4594" s="6">
        <v>10.79</v>
      </c>
      <c r="G4594" s="31"/>
    </row>
    <row r="4595" spans="1:7" x14ac:dyDescent="0.25">
      <c r="A4595" s="36">
        <v>44407</v>
      </c>
      <c r="B4595" s="6">
        <v>51.88</v>
      </c>
      <c r="C4595" s="6">
        <v>33.58</v>
      </c>
      <c r="D4595" s="6">
        <v>16</v>
      </c>
      <c r="E4595" s="6">
        <v>10.86</v>
      </c>
      <c r="G4595" s="31"/>
    </row>
    <row r="4596" spans="1:7" x14ac:dyDescent="0.25">
      <c r="A4596" s="36">
        <v>44408</v>
      </c>
      <c r="B4596" s="6">
        <v>51.94</v>
      </c>
      <c r="C4596" s="6">
        <v>33.65</v>
      </c>
      <c r="D4596" s="6">
        <v>16.059999999999999</v>
      </c>
      <c r="E4596" s="6">
        <v>10.89</v>
      </c>
      <c r="G4596" s="31"/>
    </row>
    <row r="4597" spans="1:7" x14ac:dyDescent="0.25">
      <c r="A4597" s="36">
        <v>44409</v>
      </c>
      <c r="B4597" s="6">
        <v>51.98</v>
      </c>
      <c r="C4597" s="6">
        <v>33.700000000000003</v>
      </c>
      <c r="D4597" s="6">
        <v>16.12</v>
      </c>
      <c r="E4597" s="6">
        <v>10.93</v>
      </c>
      <c r="G4597" s="31"/>
    </row>
    <row r="4598" spans="1:7" x14ac:dyDescent="0.25">
      <c r="A4598" s="36">
        <v>44410</v>
      </c>
      <c r="B4598" s="6">
        <v>52.04</v>
      </c>
      <c r="C4598" s="6">
        <v>33.78</v>
      </c>
      <c r="D4598" s="6">
        <v>16.260000000000002</v>
      </c>
      <c r="E4598" s="6">
        <v>10.959999999999999</v>
      </c>
      <c r="G4598" s="31"/>
    </row>
    <row r="4599" spans="1:7" x14ac:dyDescent="0.25">
      <c r="A4599" s="36">
        <v>44411</v>
      </c>
      <c r="B4599" s="6">
        <v>52.08</v>
      </c>
      <c r="C4599" s="6">
        <v>33.83</v>
      </c>
      <c r="D4599" s="6">
        <v>16.399999999999999</v>
      </c>
      <c r="E4599" s="6">
        <v>11.049999999999999</v>
      </c>
      <c r="G4599" s="31"/>
    </row>
    <row r="4600" spans="1:7" x14ac:dyDescent="0.25">
      <c r="A4600" s="36">
        <v>44412</v>
      </c>
      <c r="B4600" s="6">
        <v>52.14</v>
      </c>
      <c r="C4600" s="6">
        <v>33.880000000000003</v>
      </c>
      <c r="D4600" s="6">
        <v>16.54</v>
      </c>
      <c r="E4600" s="6">
        <v>11.16</v>
      </c>
      <c r="G4600" s="31"/>
    </row>
    <row r="4601" spans="1:7" x14ac:dyDescent="0.25">
      <c r="A4601" s="36">
        <v>44413</v>
      </c>
      <c r="B4601" s="6">
        <v>52.16</v>
      </c>
      <c r="C4601" s="6">
        <v>33.93</v>
      </c>
      <c r="D4601" s="6">
        <v>16.64</v>
      </c>
      <c r="E4601" s="6">
        <v>11.29</v>
      </c>
      <c r="G4601" s="31"/>
    </row>
    <row r="4602" spans="1:7" x14ac:dyDescent="0.25">
      <c r="A4602" s="36">
        <v>44414</v>
      </c>
      <c r="B4602" s="6">
        <v>52.17</v>
      </c>
      <c r="C4602" s="6">
        <v>33.979999999999997</v>
      </c>
      <c r="D4602" s="6">
        <v>16.7</v>
      </c>
      <c r="E4602" s="6">
        <v>11.44</v>
      </c>
      <c r="G4602" s="31"/>
    </row>
    <row r="4603" spans="1:7" x14ac:dyDescent="0.25">
      <c r="A4603" s="36">
        <v>44415</v>
      </c>
      <c r="B4603" s="6">
        <v>52.22</v>
      </c>
      <c r="C4603" s="6">
        <v>34.020000000000003</v>
      </c>
      <c r="D4603" s="6">
        <v>16.72</v>
      </c>
      <c r="E4603" s="6">
        <v>11.56</v>
      </c>
      <c r="G4603" s="31"/>
    </row>
    <row r="4604" spans="1:7" x14ac:dyDescent="0.25">
      <c r="A4604" s="36">
        <v>44416</v>
      </c>
      <c r="B4604" s="6">
        <v>52.22</v>
      </c>
      <c r="C4604" s="6">
        <v>34.06</v>
      </c>
      <c r="D4604" s="6">
        <v>16.72</v>
      </c>
      <c r="E4604" s="6">
        <v>11.58</v>
      </c>
      <c r="G4604" s="31"/>
    </row>
    <row r="4605" spans="1:7" x14ac:dyDescent="0.25">
      <c r="A4605" s="36">
        <v>44417</v>
      </c>
      <c r="B4605" s="6">
        <v>52.18</v>
      </c>
      <c r="C4605" s="6">
        <v>34.1</v>
      </c>
      <c r="D4605" s="6">
        <v>16.760000000000002</v>
      </c>
      <c r="E4605" s="6">
        <v>11.64</v>
      </c>
      <c r="G4605" s="31"/>
    </row>
    <row r="4606" spans="1:7" x14ac:dyDescent="0.25">
      <c r="A4606" s="36">
        <v>44418</v>
      </c>
      <c r="B4606" s="6">
        <v>52.08</v>
      </c>
      <c r="C4606" s="6">
        <v>34.14</v>
      </c>
      <c r="D4606" s="6">
        <v>16.760000000000002</v>
      </c>
      <c r="E4606" s="6">
        <v>11.57</v>
      </c>
      <c r="G4606" s="31"/>
    </row>
    <row r="4607" spans="1:7" x14ac:dyDescent="0.25">
      <c r="A4607" s="36">
        <v>44419</v>
      </c>
      <c r="B4607" s="6">
        <v>52.06</v>
      </c>
      <c r="C4607" s="6">
        <v>34.18</v>
      </c>
      <c r="D4607" s="6">
        <v>16.78</v>
      </c>
      <c r="E4607" s="6">
        <v>11.629999999999999</v>
      </c>
      <c r="G4607" s="31"/>
    </row>
    <row r="4608" spans="1:7" x14ac:dyDescent="0.25">
      <c r="A4608" s="36">
        <v>44420</v>
      </c>
      <c r="B4608" s="6">
        <v>52</v>
      </c>
      <c r="C4608" s="6">
        <v>34.18</v>
      </c>
      <c r="D4608" s="6">
        <v>16.8</v>
      </c>
      <c r="E4608" s="6">
        <v>11.629999999999999</v>
      </c>
      <c r="G4608" s="31"/>
    </row>
    <row r="4609" spans="1:7" x14ac:dyDescent="0.25">
      <c r="A4609" s="36">
        <v>44421</v>
      </c>
      <c r="B4609" s="6">
        <v>51.94</v>
      </c>
      <c r="C4609" s="6">
        <v>34.299999999999997</v>
      </c>
      <c r="D4609" s="6">
        <v>16.86</v>
      </c>
      <c r="E4609" s="6">
        <v>11.68</v>
      </c>
      <c r="G4609" s="31"/>
    </row>
    <row r="4610" spans="1:7" x14ac:dyDescent="0.25">
      <c r="A4610" s="36">
        <v>44422</v>
      </c>
      <c r="B4610" s="6">
        <v>51.94</v>
      </c>
      <c r="C4610" s="6">
        <v>34.33</v>
      </c>
      <c r="D4610" s="6">
        <v>16.98</v>
      </c>
      <c r="E4610" s="6">
        <v>11.67</v>
      </c>
      <c r="G4610" s="31"/>
    </row>
    <row r="4611" spans="1:7" x14ac:dyDescent="0.25">
      <c r="A4611" s="36">
        <v>44423</v>
      </c>
      <c r="B4611" s="6">
        <v>51.86</v>
      </c>
      <c r="C4611" s="6">
        <v>34.36</v>
      </c>
      <c r="D4611" s="6">
        <v>17.04</v>
      </c>
      <c r="E4611" s="6">
        <v>11.81</v>
      </c>
      <c r="G4611" s="31"/>
    </row>
    <row r="4612" spans="1:7" x14ac:dyDescent="0.25">
      <c r="A4612" s="36">
        <v>44424</v>
      </c>
      <c r="B4612" s="6">
        <v>51.77</v>
      </c>
      <c r="C4612" s="6">
        <v>34.380000000000003</v>
      </c>
      <c r="D4612" s="6">
        <v>17.14</v>
      </c>
      <c r="E4612" s="6">
        <v>11.959999999999999</v>
      </c>
      <c r="G4612" s="31"/>
    </row>
    <row r="4613" spans="1:7" x14ac:dyDescent="0.25">
      <c r="A4613" s="36">
        <v>44425</v>
      </c>
      <c r="B4613" s="6">
        <v>51.7</v>
      </c>
      <c r="C4613" s="6">
        <v>34.39</v>
      </c>
      <c r="D4613" s="6">
        <v>17.18</v>
      </c>
      <c r="E4613" s="6">
        <v>12.02</v>
      </c>
      <c r="G4613" s="31"/>
    </row>
    <row r="4614" spans="1:7" x14ac:dyDescent="0.25">
      <c r="A4614" s="36">
        <v>44426</v>
      </c>
      <c r="B4614" s="6">
        <v>51.6</v>
      </c>
      <c r="C4614" s="6">
        <v>34.39</v>
      </c>
      <c r="D4614" s="6">
        <v>17.22</v>
      </c>
      <c r="E4614" s="6">
        <v>12.06</v>
      </c>
      <c r="G4614" s="31"/>
    </row>
    <row r="4615" spans="1:7" x14ac:dyDescent="0.25">
      <c r="A4615" s="36">
        <v>44427</v>
      </c>
      <c r="B4615" s="6">
        <v>51.54</v>
      </c>
      <c r="C4615" s="6">
        <v>34.380000000000003</v>
      </c>
      <c r="D4615" s="6">
        <v>17.239999999999998</v>
      </c>
      <c r="E4615" s="6">
        <v>12.14</v>
      </c>
      <c r="G4615" s="31"/>
    </row>
    <row r="4616" spans="1:7" x14ac:dyDescent="0.25">
      <c r="A4616" s="36">
        <v>44428</v>
      </c>
      <c r="B4616" s="6">
        <v>51.46</v>
      </c>
      <c r="C4616" s="6">
        <v>34.369999999999997</v>
      </c>
      <c r="D4616" s="6">
        <v>17.260000000000002</v>
      </c>
      <c r="E4616" s="6">
        <v>12.1</v>
      </c>
      <c r="G4616" s="31"/>
    </row>
    <row r="4617" spans="1:7" x14ac:dyDescent="0.25">
      <c r="A4617" s="36">
        <v>44429</v>
      </c>
      <c r="B4617" s="6">
        <v>51.38</v>
      </c>
      <c r="C4617" s="6">
        <v>34.340000000000003</v>
      </c>
      <c r="D4617" s="6">
        <v>17.239999999999998</v>
      </c>
      <c r="E4617" s="6">
        <v>12.11</v>
      </c>
      <c r="G4617" s="31"/>
    </row>
    <row r="4618" spans="1:7" x14ac:dyDescent="0.25">
      <c r="A4618" s="36">
        <v>44430</v>
      </c>
      <c r="B4618" s="6">
        <v>51.3</v>
      </c>
      <c r="C4618" s="6">
        <v>34.299999999999997</v>
      </c>
      <c r="D4618" s="6">
        <v>17.2</v>
      </c>
      <c r="E4618" s="6">
        <v>12.12</v>
      </c>
      <c r="G4618" s="31"/>
    </row>
    <row r="4619" spans="1:7" x14ac:dyDescent="0.25">
      <c r="A4619" s="36">
        <v>44431</v>
      </c>
      <c r="B4619" s="6">
        <v>51.26</v>
      </c>
      <c r="C4619" s="6">
        <v>34.29</v>
      </c>
      <c r="D4619" s="6">
        <v>17.239999999999998</v>
      </c>
      <c r="E4619" s="6">
        <v>12.12</v>
      </c>
      <c r="G4619" s="31"/>
    </row>
    <row r="4620" spans="1:7" x14ac:dyDescent="0.25">
      <c r="A4620" s="36">
        <v>44432</v>
      </c>
      <c r="B4620" s="6">
        <v>51.19</v>
      </c>
      <c r="C4620" s="6">
        <v>34.24</v>
      </c>
      <c r="D4620" s="6">
        <v>17.2</v>
      </c>
      <c r="E4620" s="6">
        <v>12.12</v>
      </c>
      <c r="G4620" s="31"/>
    </row>
    <row r="4621" spans="1:7" x14ac:dyDescent="0.25">
      <c r="A4621" s="36">
        <v>44433</v>
      </c>
      <c r="B4621" s="6">
        <v>51.16</v>
      </c>
      <c r="C4621" s="6">
        <v>34.22</v>
      </c>
      <c r="D4621" s="6">
        <v>17.18</v>
      </c>
      <c r="E4621" s="6">
        <v>12.09</v>
      </c>
      <c r="G4621" s="31"/>
    </row>
    <row r="4622" spans="1:7" x14ac:dyDescent="0.25">
      <c r="A4622" s="36">
        <v>44434</v>
      </c>
      <c r="B4622" s="6">
        <v>51.1</v>
      </c>
      <c r="C4622" s="6">
        <v>34.15</v>
      </c>
      <c r="D4622" s="6">
        <v>17.16</v>
      </c>
      <c r="E4622" s="6">
        <v>12.11</v>
      </c>
      <c r="G4622" s="31"/>
    </row>
    <row r="4623" spans="1:7" x14ac:dyDescent="0.25">
      <c r="A4623" s="36">
        <v>44435</v>
      </c>
      <c r="B4623" s="6">
        <v>51.04</v>
      </c>
      <c r="C4623" s="6">
        <v>34.119999999999997</v>
      </c>
      <c r="D4623" s="6">
        <v>17.12</v>
      </c>
      <c r="E4623" s="6">
        <v>12.03</v>
      </c>
      <c r="G4623" s="31"/>
    </row>
    <row r="4624" spans="1:7" x14ac:dyDescent="0.25">
      <c r="A4624" s="36">
        <v>44436</v>
      </c>
      <c r="B4624" s="6">
        <v>51</v>
      </c>
      <c r="C4624" s="6">
        <v>34.1</v>
      </c>
      <c r="D4624" s="6">
        <v>17.14</v>
      </c>
      <c r="E4624" s="6">
        <v>12.03</v>
      </c>
      <c r="G4624" s="31"/>
    </row>
    <row r="4625" spans="1:7" x14ac:dyDescent="0.25">
      <c r="A4625" s="36">
        <v>44437</v>
      </c>
      <c r="B4625" s="6">
        <v>51</v>
      </c>
      <c r="C4625" s="6">
        <v>34.08</v>
      </c>
      <c r="D4625" s="6">
        <v>17.12</v>
      </c>
      <c r="E4625" s="6">
        <v>12.07</v>
      </c>
      <c r="G4625" s="31"/>
    </row>
    <row r="4626" spans="1:7" x14ac:dyDescent="0.25">
      <c r="A4626" s="36">
        <v>44438</v>
      </c>
      <c r="B4626" s="6">
        <v>51</v>
      </c>
      <c r="C4626" s="6">
        <v>34.06</v>
      </c>
      <c r="D4626" s="6">
        <v>17.12</v>
      </c>
      <c r="E4626" s="6">
        <v>12.09</v>
      </c>
      <c r="G4626" s="31"/>
    </row>
    <row r="4627" spans="1:7" x14ac:dyDescent="0.25">
      <c r="A4627" s="36">
        <v>44439</v>
      </c>
      <c r="B4627" s="6">
        <v>50.96</v>
      </c>
      <c r="C4627" s="6">
        <v>34.020000000000003</v>
      </c>
      <c r="D4627" s="6">
        <v>17.079999999999998</v>
      </c>
      <c r="E4627" s="6">
        <v>12.049999999999999</v>
      </c>
      <c r="G4627" s="31"/>
    </row>
    <row r="4628" spans="1:7" x14ac:dyDescent="0.25">
      <c r="A4628" s="36">
        <v>44440</v>
      </c>
      <c r="B4628" s="6">
        <v>50.92</v>
      </c>
      <c r="C4628" s="6">
        <v>33.979999999999997</v>
      </c>
      <c r="D4628" s="6">
        <v>17.04</v>
      </c>
      <c r="E4628" s="6">
        <v>12.03</v>
      </c>
      <c r="G4628" s="31"/>
    </row>
    <row r="4629" spans="1:7" x14ac:dyDescent="0.25">
      <c r="A4629" s="36">
        <v>44441</v>
      </c>
      <c r="B4629" s="6">
        <v>50.88</v>
      </c>
      <c r="C4629" s="6">
        <v>33.94</v>
      </c>
      <c r="D4629" s="6">
        <v>17</v>
      </c>
      <c r="E4629" s="6">
        <v>12.01</v>
      </c>
      <c r="G4629" s="31"/>
    </row>
    <row r="4630" spans="1:7" x14ac:dyDescent="0.25">
      <c r="A4630" s="36">
        <v>44442</v>
      </c>
      <c r="B4630" s="6">
        <v>50.82</v>
      </c>
      <c r="C4630" s="6">
        <v>33.880000000000003</v>
      </c>
      <c r="D4630" s="6">
        <v>16.98</v>
      </c>
      <c r="E4630" s="6">
        <v>11.92</v>
      </c>
      <c r="G4630" s="31"/>
    </row>
    <row r="4631" spans="1:7" x14ac:dyDescent="0.25">
      <c r="A4631" s="36">
        <v>44443</v>
      </c>
      <c r="B4631" s="6">
        <v>50.82</v>
      </c>
      <c r="C4631" s="6">
        <v>33.869999999999997</v>
      </c>
      <c r="D4631" s="6">
        <v>17</v>
      </c>
      <c r="E4631" s="6">
        <v>11.98</v>
      </c>
      <c r="G4631" s="31"/>
    </row>
    <row r="4632" spans="1:7" x14ac:dyDescent="0.25">
      <c r="A4632" s="36">
        <v>44444</v>
      </c>
      <c r="B4632" s="6">
        <v>50.72</v>
      </c>
      <c r="C4632" s="6">
        <v>33.82</v>
      </c>
      <c r="D4632" s="6">
        <v>17</v>
      </c>
      <c r="E4632" s="6">
        <v>11.91</v>
      </c>
      <c r="G4632" s="31"/>
    </row>
    <row r="4633" spans="1:7" x14ac:dyDescent="0.25">
      <c r="A4633" s="36">
        <v>44445</v>
      </c>
      <c r="B4633" s="6">
        <v>50.7</v>
      </c>
      <c r="C4633" s="6">
        <v>33.76</v>
      </c>
      <c r="D4633" s="6">
        <v>16.940000000000001</v>
      </c>
      <c r="E4633" s="6">
        <v>11.91</v>
      </c>
      <c r="G4633" s="31"/>
    </row>
    <row r="4634" spans="1:7" x14ac:dyDescent="0.25">
      <c r="A4634" s="36">
        <v>44446</v>
      </c>
      <c r="B4634" s="6">
        <v>50.68</v>
      </c>
      <c r="C4634" s="6">
        <v>33.74</v>
      </c>
      <c r="D4634" s="6">
        <v>16.84</v>
      </c>
      <c r="E4634" s="6">
        <v>11.69</v>
      </c>
      <c r="G4634" s="31"/>
    </row>
    <row r="4635" spans="1:7" x14ac:dyDescent="0.25">
      <c r="A4635" s="36">
        <v>44447</v>
      </c>
      <c r="B4635" s="6">
        <v>50.6</v>
      </c>
      <c r="C4635" s="6">
        <v>33.68</v>
      </c>
      <c r="D4635" s="6">
        <v>16.72</v>
      </c>
      <c r="E4635" s="6">
        <v>11.48</v>
      </c>
      <c r="G4635" s="31"/>
    </row>
    <row r="4636" spans="1:7" x14ac:dyDescent="0.25">
      <c r="A4636" s="36">
        <v>44448</v>
      </c>
      <c r="B4636" s="6">
        <v>50.64</v>
      </c>
      <c r="C4636" s="6">
        <v>33.619999999999997</v>
      </c>
      <c r="D4636" s="6">
        <v>16.600000000000001</v>
      </c>
      <c r="E4636" s="6">
        <v>11.36</v>
      </c>
      <c r="G4636" s="31"/>
    </row>
    <row r="4637" spans="1:7" x14ac:dyDescent="0.25">
      <c r="A4637" s="36">
        <v>44449</v>
      </c>
      <c r="B4637" s="6">
        <v>50.58</v>
      </c>
      <c r="C4637" s="6">
        <v>33.56</v>
      </c>
      <c r="D4637" s="6">
        <v>16.52</v>
      </c>
      <c r="E4637" s="6">
        <v>11.31</v>
      </c>
      <c r="G4637" s="31"/>
    </row>
    <row r="4638" spans="1:7" x14ac:dyDescent="0.25">
      <c r="A4638" s="36">
        <v>44450</v>
      </c>
      <c r="B4638" s="6">
        <v>50.56</v>
      </c>
      <c r="C4638" s="6">
        <v>33.520000000000003</v>
      </c>
      <c r="D4638" s="6">
        <v>16.420000000000002</v>
      </c>
      <c r="E4638" s="6">
        <v>11.16</v>
      </c>
      <c r="G4638" s="31"/>
    </row>
    <row r="4639" spans="1:7" x14ac:dyDescent="0.25">
      <c r="A4639" s="36">
        <v>44451</v>
      </c>
      <c r="B4639" s="6">
        <v>50.54</v>
      </c>
      <c r="C4639" s="6">
        <v>33.46</v>
      </c>
      <c r="D4639" s="6">
        <v>16.32</v>
      </c>
      <c r="E4639" s="6">
        <v>11.1</v>
      </c>
      <c r="G4639" s="31"/>
    </row>
    <row r="4640" spans="1:7" x14ac:dyDescent="0.25">
      <c r="A4640" s="36">
        <v>44452</v>
      </c>
      <c r="B4640" s="6">
        <v>50.5</v>
      </c>
      <c r="C4640" s="6">
        <v>33.42</v>
      </c>
      <c r="D4640" s="6">
        <v>16.22</v>
      </c>
      <c r="E4640" s="6">
        <v>11.049999999999999</v>
      </c>
      <c r="G4640" s="31"/>
    </row>
    <row r="4641" spans="1:7" x14ac:dyDescent="0.25">
      <c r="A4641" s="36">
        <v>44453</v>
      </c>
      <c r="B4641" s="6">
        <v>50.46</v>
      </c>
      <c r="C4641" s="6">
        <v>33.380000000000003</v>
      </c>
      <c r="D4641" s="6">
        <v>16.14</v>
      </c>
      <c r="E4641" s="6">
        <v>10.92</v>
      </c>
      <c r="G4641" s="31"/>
    </row>
    <row r="4642" spans="1:7" x14ac:dyDescent="0.25">
      <c r="A4642" s="36">
        <v>44454</v>
      </c>
      <c r="B4642" s="6">
        <v>50.42</v>
      </c>
      <c r="C4642" s="6">
        <v>33.340000000000003</v>
      </c>
      <c r="D4642" s="6">
        <v>16.059999999999999</v>
      </c>
      <c r="E4642" s="6">
        <v>10.87</v>
      </c>
      <c r="G4642" s="31"/>
    </row>
    <row r="4643" spans="1:7" x14ac:dyDescent="0.25">
      <c r="A4643" s="36">
        <v>44455</v>
      </c>
      <c r="B4643" s="6">
        <v>50.32</v>
      </c>
      <c r="C4643" s="6">
        <v>33.28</v>
      </c>
      <c r="D4643" s="6">
        <v>15.96</v>
      </c>
      <c r="E4643" s="6">
        <v>10.76</v>
      </c>
      <c r="G4643" s="31"/>
    </row>
    <row r="4644" spans="1:7" x14ac:dyDescent="0.25">
      <c r="A4644" s="36">
        <v>44456</v>
      </c>
      <c r="B4644" s="6">
        <v>50.28</v>
      </c>
      <c r="C4644" s="6">
        <v>33.24</v>
      </c>
      <c r="D4644" s="6">
        <v>15.88</v>
      </c>
      <c r="E4644" s="6">
        <v>10.68</v>
      </c>
      <c r="G4644" s="31"/>
    </row>
    <row r="4645" spans="1:7" x14ac:dyDescent="0.25">
      <c r="A4645" s="36">
        <v>44457</v>
      </c>
      <c r="B4645" s="6">
        <v>50.24</v>
      </c>
      <c r="C4645" s="6">
        <v>33.200000000000003</v>
      </c>
      <c r="D4645" s="6">
        <v>15.82</v>
      </c>
      <c r="E4645" s="6">
        <v>10.6</v>
      </c>
      <c r="G4645" s="31"/>
    </row>
    <row r="4646" spans="1:7" x14ac:dyDescent="0.25">
      <c r="A4646" s="36">
        <v>44458</v>
      </c>
      <c r="B4646" s="6">
        <v>50.18</v>
      </c>
      <c r="C4646" s="6">
        <v>33.15</v>
      </c>
      <c r="D4646" s="6">
        <v>15.76</v>
      </c>
      <c r="E4646" s="6">
        <v>10.59</v>
      </c>
      <c r="G4646" s="31"/>
    </row>
    <row r="4647" spans="1:7" x14ac:dyDescent="0.25">
      <c r="A4647" s="36">
        <v>44459</v>
      </c>
      <c r="B4647" s="6">
        <v>50.14</v>
      </c>
      <c r="C4647" s="6">
        <v>33.11</v>
      </c>
      <c r="D4647" s="6">
        <v>15.68</v>
      </c>
      <c r="E4647" s="6">
        <v>10.54</v>
      </c>
      <c r="G4647" s="31"/>
    </row>
    <row r="4648" spans="1:7" x14ac:dyDescent="0.25">
      <c r="A4648" s="36">
        <v>44460</v>
      </c>
      <c r="B4648" s="6">
        <v>50.08</v>
      </c>
      <c r="C4648" s="6">
        <v>33.08</v>
      </c>
      <c r="D4648" s="6">
        <v>15.63</v>
      </c>
      <c r="E4648" s="6">
        <v>10.45</v>
      </c>
      <c r="G4648" s="31"/>
    </row>
    <row r="4649" spans="1:7" x14ac:dyDescent="0.25">
      <c r="A4649" s="36">
        <v>44461</v>
      </c>
      <c r="B4649" s="6">
        <v>50.02</v>
      </c>
      <c r="C4649" s="6">
        <v>33.04</v>
      </c>
      <c r="D4649" s="6">
        <v>15.56</v>
      </c>
      <c r="E4649" s="6">
        <v>10.379999999999999</v>
      </c>
      <c r="G4649" s="31"/>
    </row>
    <row r="4650" spans="1:7" x14ac:dyDescent="0.25">
      <c r="A4650" s="36">
        <v>44462</v>
      </c>
      <c r="B4650" s="6">
        <v>49.98</v>
      </c>
      <c r="C4650" s="6">
        <v>33.04</v>
      </c>
      <c r="D4650" s="6">
        <v>15.52</v>
      </c>
      <c r="E4650" s="6">
        <v>10.4</v>
      </c>
      <c r="G4650" s="31"/>
    </row>
    <row r="4651" spans="1:7" x14ac:dyDescent="0.25">
      <c r="A4651" s="36">
        <v>44463</v>
      </c>
      <c r="B4651" s="6">
        <v>49.98</v>
      </c>
      <c r="C4651" s="6">
        <v>33</v>
      </c>
      <c r="D4651" s="6">
        <v>15.5</v>
      </c>
      <c r="E4651" s="6">
        <v>10.37</v>
      </c>
      <c r="G4651" s="31"/>
    </row>
    <row r="4652" spans="1:7" x14ac:dyDescent="0.25">
      <c r="A4652" s="36">
        <v>44464</v>
      </c>
      <c r="B4652" s="6">
        <v>49.9</v>
      </c>
      <c r="C4652" s="6">
        <v>32.979999999999997</v>
      </c>
      <c r="D4652" s="6">
        <v>15.46</v>
      </c>
      <c r="E4652" s="6">
        <v>10.37</v>
      </c>
      <c r="G4652" s="31"/>
    </row>
    <row r="4653" spans="1:7" x14ac:dyDescent="0.25">
      <c r="A4653" s="36">
        <v>44465</v>
      </c>
      <c r="B4653" s="6">
        <v>49.86</v>
      </c>
      <c r="C4653" s="6">
        <v>32.94</v>
      </c>
      <c r="D4653" s="6">
        <v>15.4</v>
      </c>
      <c r="E4653" s="6">
        <v>10.37</v>
      </c>
      <c r="G4653" s="31"/>
    </row>
    <row r="4654" spans="1:7" x14ac:dyDescent="0.25">
      <c r="A4654" s="36">
        <v>44466</v>
      </c>
      <c r="B4654" s="6">
        <v>49.86</v>
      </c>
      <c r="C4654" s="6">
        <v>32.94</v>
      </c>
      <c r="D4654" s="6">
        <v>15.38</v>
      </c>
      <c r="E4654" s="6">
        <v>10.33</v>
      </c>
      <c r="G4654" s="31"/>
    </row>
    <row r="4655" spans="1:7" x14ac:dyDescent="0.25">
      <c r="A4655" s="36">
        <v>44467</v>
      </c>
      <c r="B4655" s="6">
        <v>49.74</v>
      </c>
      <c r="C4655" s="6">
        <v>32.86</v>
      </c>
      <c r="D4655" s="6">
        <v>15.32</v>
      </c>
      <c r="E4655" s="6">
        <v>10.19</v>
      </c>
      <c r="G4655" s="31"/>
    </row>
    <row r="4656" spans="1:7" x14ac:dyDescent="0.25">
      <c r="A4656" s="36">
        <v>44468</v>
      </c>
      <c r="B4656" s="6">
        <v>49.7</v>
      </c>
      <c r="C4656" s="6">
        <v>32.82</v>
      </c>
      <c r="D4656" s="6">
        <v>15.26</v>
      </c>
      <c r="E4656" s="6">
        <v>10.199999999999999</v>
      </c>
      <c r="G4656" s="31"/>
    </row>
    <row r="4657" spans="1:7" x14ac:dyDescent="0.25">
      <c r="A4657" s="36">
        <v>44469</v>
      </c>
      <c r="B4657" s="6">
        <v>49.7</v>
      </c>
      <c r="C4657" s="6">
        <v>32.799999999999997</v>
      </c>
      <c r="D4657" s="6">
        <v>15.2</v>
      </c>
      <c r="E4657" s="6">
        <v>10.11</v>
      </c>
      <c r="G4657" s="31"/>
    </row>
    <row r="4658" spans="1:7" x14ac:dyDescent="0.25">
      <c r="A4658" s="36">
        <v>44470</v>
      </c>
      <c r="B4658" s="6">
        <v>49.64</v>
      </c>
      <c r="C4658" s="6">
        <v>32.76</v>
      </c>
      <c r="D4658" s="6">
        <v>15.14</v>
      </c>
      <c r="E4658" s="6">
        <v>10.049999999999999</v>
      </c>
      <c r="G4658" s="31"/>
    </row>
    <row r="4659" spans="1:7" x14ac:dyDescent="0.25">
      <c r="A4659" s="36">
        <v>44471</v>
      </c>
      <c r="B4659" s="6">
        <v>49.56</v>
      </c>
      <c r="C4659" s="6">
        <v>32.700000000000003</v>
      </c>
      <c r="D4659" s="6">
        <v>15.08</v>
      </c>
      <c r="E4659" s="6">
        <v>10.01</v>
      </c>
      <c r="G4659" s="31"/>
    </row>
    <row r="4660" spans="1:7" x14ac:dyDescent="0.25">
      <c r="A4660" s="36">
        <v>44472</v>
      </c>
      <c r="B4660" s="6">
        <v>49.44</v>
      </c>
      <c r="C4660" s="6">
        <v>32.64</v>
      </c>
      <c r="D4660" s="6">
        <v>15.04</v>
      </c>
      <c r="E4660" s="6">
        <v>10</v>
      </c>
      <c r="G4660" s="31"/>
    </row>
    <row r="4661" spans="1:7" x14ac:dyDescent="0.25">
      <c r="A4661" s="36">
        <v>44473</v>
      </c>
      <c r="B4661" s="6">
        <v>49.34</v>
      </c>
      <c r="C4661" s="6">
        <v>32.58</v>
      </c>
      <c r="D4661" s="6">
        <v>14.96</v>
      </c>
      <c r="E4661" s="6">
        <v>9.94</v>
      </c>
      <c r="G4661" s="31"/>
    </row>
    <row r="4662" spans="1:7" x14ac:dyDescent="0.25">
      <c r="A4662" s="36">
        <v>44474</v>
      </c>
      <c r="B4662" s="6">
        <v>49.34</v>
      </c>
      <c r="C4662" s="6">
        <v>32.520000000000003</v>
      </c>
      <c r="D4662" s="6">
        <v>14.88</v>
      </c>
      <c r="E4662" s="6">
        <v>9.91</v>
      </c>
      <c r="G4662" s="31"/>
    </row>
    <row r="4663" spans="1:7" x14ac:dyDescent="0.25">
      <c r="A4663" s="36">
        <v>44475</v>
      </c>
      <c r="B4663" s="6">
        <v>49.2</v>
      </c>
      <c r="C4663" s="6">
        <v>32.479999999999997</v>
      </c>
      <c r="D4663" s="6">
        <v>14.8</v>
      </c>
      <c r="E4663" s="6">
        <v>9.85</v>
      </c>
      <c r="G4663" s="31"/>
    </row>
    <row r="4664" spans="1:7" x14ac:dyDescent="0.25">
      <c r="A4664" s="36">
        <v>44476</v>
      </c>
      <c r="B4664" s="6">
        <v>49.16</v>
      </c>
      <c r="C4664" s="6">
        <v>32.42</v>
      </c>
      <c r="D4664" s="6">
        <v>14.72</v>
      </c>
      <c r="E4664" s="6">
        <v>9.76</v>
      </c>
      <c r="G4664" s="31"/>
    </row>
    <row r="4665" spans="1:7" x14ac:dyDescent="0.25">
      <c r="A4665" s="36">
        <v>44477</v>
      </c>
      <c r="B4665" s="6">
        <v>49.1</v>
      </c>
      <c r="C4665" s="6">
        <v>32.36</v>
      </c>
      <c r="D4665" s="6">
        <v>14.64</v>
      </c>
      <c r="E4665" s="6">
        <v>9.7199999999999989</v>
      </c>
      <c r="G4665" s="31"/>
    </row>
    <row r="4666" spans="1:7" x14ac:dyDescent="0.25">
      <c r="A4666" s="36">
        <v>44478</v>
      </c>
      <c r="B4666" s="6">
        <v>49.04</v>
      </c>
      <c r="C4666" s="6">
        <v>32.299999999999997</v>
      </c>
      <c r="D4666" s="6">
        <v>14.58</v>
      </c>
      <c r="E4666" s="6">
        <v>9.69</v>
      </c>
      <c r="G4666" s="31"/>
    </row>
    <row r="4667" spans="1:7" x14ac:dyDescent="0.25">
      <c r="A4667" s="36">
        <v>44479</v>
      </c>
      <c r="B4667" s="6">
        <v>48.92</v>
      </c>
      <c r="C4667" s="6">
        <v>32.22</v>
      </c>
      <c r="D4667" s="6">
        <v>14.52</v>
      </c>
      <c r="E4667" s="6">
        <v>9.67</v>
      </c>
      <c r="G4667" s="31"/>
    </row>
    <row r="4668" spans="1:7" x14ac:dyDescent="0.25">
      <c r="A4668" s="36">
        <v>44480</v>
      </c>
      <c r="B4668" s="6">
        <v>48.92</v>
      </c>
      <c r="C4668" s="6">
        <v>32.18</v>
      </c>
      <c r="D4668" s="6">
        <v>14.46</v>
      </c>
      <c r="E4668" s="6">
        <v>9.629999999999999</v>
      </c>
      <c r="G4668" s="31"/>
    </row>
    <row r="4669" spans="1:7" x14ac:dyDescent="0.25">
      <c r="A4669" s="36">
        <v>44481</v>
      </c>
      <c r="B4669" s="6">
        <v>48.82</v>
      </c>
      <c r="C4669" s="6">
        <v>32.159999999999997</v>
      </c>
      <c r="D4669" s="6">
        <v>14.38</v>
      </c>
      <c r="E4669" s="6">
        <v>9.51</v>
      </c>
      <c r="G4669" s="31"/>
    </row>
    <row r="4670" spans="1:7" x14ac:dyDescent="0.25">
      <c r="A4670" s="36">
        <v>44482</v>
      </c>
      <c r="B4670" s="6">
        <v>48.68</v>
      </c>
      <c r="C4670" s="6">
        <v>32.1</v>
      </c>
      <c r="D4670" s="6">
        <v>14.3</v>
      </c>
      <c r="E4670" s="6">
        <v>9.4599999999999991</v>
      </c>
      <c r="G4670" s="31"/>
    </row>
    <row r="4671" spans="1:7" x14ac:dyDescent="0.25">
      <c r="A4671" s="36">
        <v>44483</v>
      </c>
      <c r="B4671" s="6">
        <v>48.52</v>
      </c>
      <c r="C4671" s="6">
        <v>32.049999999999997</v>
      </c>
      <c r="D4671" s="6">
        <v>14.28</v>
      </c>
      <c r="E4671" s="6">
        <v>9.379999999999999</v>
      </c>
      <c r="G4671" s="31"/>
    </row>
    <row r="4672" spans="1:7" x14ac:dyDescent="0.25">
      <c r="A4672" s="36">
        <v>44484</v>
      </c>
      <c r="B4672" s="6">
        <v>48.32</v>
      </c>
      <c r="C4672" s="6">
        <v>31.98</v>
      </c>
      <c r="D4672" s="6">
        <v>14.28</v>
      </c>
      <c r="E4672" s="6">
        <v>9.629999999999999</v>
      </c>
      <c r="G4672" s="31"/>
    </row>
    <row r="4673" spans="1:7" x14ac:dyDescent="0.25">
      <c r="A4673" s="36">
        <v>44485</v>
      </c>
      <c r="B4673" s="6">
        <v>48.14</v>
      </c>
      <c r="C4673" s="6">
        <v>31.9</v>
      </c>
      <c r="D4673" s="6">
        <v>14.22</v>
      </c>
      <c r="E4673" s="6">
        <v>9.629999999999999</v>
      </c>
      <c r="G4673" s="31"/>
    </row>
    <row r="4674" spans="1:7" x14ac:dyDescent="0.25">
      <c r="A4674" s="36">
        <v>44486</v>
      </c>
      <c r="B4674" s="6">
        <v>47.95</v>
      </c>
      <c r="C4674" s="6">
        <v>31.82</v>
      </c>
      <c r="D4674" s="6">
        <v>14.2</v>
      </c>
      <c r="E4674" s="6">
        <v>9.5299999999999994</v>
      </c>
      <c r="G4674" s="31"/>
    </row>
    <row r="4675" spans="1:7" x14ac:dyDescent="0.25">
      <c r="A4675" s="36">
        <v>44487</v>
      </c>
      <c r="B4675" s="6">
        <v>47.78</v>
      </c>
      <c r="C4675" s="6">
        <v>31.72</v>
      </c>
      <c r="D4675" s="6">
        <v>14.18</v>
      </c>
      <c r="E4675" s="6">
        <v>9.6</v>
      </c>
      <c r="G4675" s="31"/>
    </row>
    <row r="4676" spans="1:7" x14ac:dyDescent="0.25">
      <c r="A4676" s="36">
        <v>44488</v>
      </c>
      <c r="B4676" s="6">
        <v>47.6</v>
      </c>
      <c r="C4676" s="6">
        <v>31.6</v>
      </c>
      <c r="D4676" s="6">
        <v>14.08</v>
      </c>
      <c r="E4676" s="6">
        <v>9.51</v>
      </c>
      <c r="G4676" s="31"/>
    </row>
    <row r="4677" spans="1:7" x14ac:dyDescent="0.25">
      <c r="A4677" s="36">
        <v>44489</v>
      </c>
      <c r="B4677" s="6">
        <v>47.44</v>
      </c>
      <c r="C4677" s="6">
        <v>31.48</v>
      </c>
      <c r="D4677" s="6">
        <v>13.98</v>
      </c>
      <c r="E4677" s="6">
        <v>9.32</v>
      </c>
      <c r="G4677" s="31"/>
    </row>
    <row r="4678" spans="1:7" x14ac:dyDescent="0.25">
      <c r="A4678" s="36">
        <v>44490</v>
      </c>
      <c r="B4678" s="6">
        <v>47.34</v>
      </c>
      <c r="C4678" s="6">
        <v>31.34</v>
      </c>
      <c r="D4678" s="6">
        <v>13.9</v>
      </c>
      <c r="E4678" s="6">
        <v>9.23</v>
      </c>
      <c r="G4678" s="31"/>
    </row>
    <row r="4679" spans="1:7" x14ac:dyDescent="0.25">
      <c r="A4679" s="36">
        <v>44491</v>
      </c>
      <c r="B4679" s="6">
        <v>47.28</v>
      </c>
      <c r="C4679" s="6">
        <v>31.16</v>
      </c>
      <c r="D4679" s="6">
        <v>13.8</v>
      </c>
      <c r="E4679" s="6">
        <v>9.23</v>
      </c>
      <c r="G4679" s="31"/>
    </row>
    <row r="4680" spans="1:7" x14ac:dyDescent="0.25">
      <c r="A4680" s="36">
        <v>44492</v>
      </c>
      <c r="B4680" s="6">
        <v>47.24</v>
      </c>
      <c r="C4680" s="6">
        <v>31.02</v>
      </c>
      <c r="D4680" s="6">
        <v>13.7</v>
      </c>
      <c r="E4680" s="6">
        <v>9.1199999999999992</v>
      </c>
      <c r="G4680" s="31"/>
    </row>
    <row r="4681" spans="1:7" x14ac:dyDescent="0.25">
      <c r="A4681" s="36">
        <v>44493</v>
      </c>
      <c r="B4681" s="6">
        <v>47.21</v>
      </c>
      <c r="C4681" s="6">
        <v>30.9</v>
      </c>
      <c r="D4681" s="6">
        <v>13.66</v>
      </c>
      <c r="E4681" s="6">
        <v>8.99</v>
      </c>
      <c r="G4681" s="31"/>
    </row>
    <row r="4682" spans="1:7" x14ac:dyDescent="0.25">
      <c r="A4682" s="36">
        <v>44494</v>
      </c>
      <c r="B4682" s="6">
        <v>47.12</v>
      </c>
      <c r="C4682" s="6">
        <v>30.78</v>
      </c>
      <c r="D4682" s="6">
        <v>13.6</v>
      </c>
      <c r="E4682" s="6">
        <v>9.1199999999999992</v>
      </c>
      <c r="G4682" s="31"/>
    </row>
    <row r="4683" spans="1:7" x14ac:dyDescent="0.25">
      <c r="A4683" s="36">
        <v>44495</v>
      </c>
      <c r="B4683" s="6">
        <v>47.12</v>
      </c>
      <c r="C4683" s="6">
        <v>30.65</v>
      </c>
      <c r="D4683" s="6">
        <v>13.46</v>
      </c>
      <c r="E4683" s="6">
        <v>9.129999999999999</v>
      </c>
      <c r="G4683" s="31"/>
    </row>
    <row r="4684" spans="1:7" x14ac:dyDescent="0.25">
      <c r="A4684" s="36">
        <v>44496</v>
      </c>
      <c r="B4684" s="6">
        <v>47.24</v>
      </c>
      <c r="C4684" s="6">
        <v>30.55</v>
      </c>
      <c r="D4684" s="6">
        <v>13.36</v>
      </c>
      <c r="E4684" s="6">
        <v>9.0499999999999989</v>
      </c>
      <c r="G4684" s="31"/>
    </row>
    <row r="4685" spans="1:7" x14ac:dyDescent="0.25">
      <c r="A4685" s="36">
        <v>44497</v>
      </c>
      <c r="B4685" s="6">
        <v>47.4</v>
      </c>
      <c r="C4685" s="6">
        <v>30.47</v>
      </c>
      <c r="D4685" s="6">
        <v>13.08</v>
      </c>
      <c r="E4685" s="6">
        <v>8.73</v>
      </c>
      <c r="G4685" s="31"/>
    </row>
    <row r="4686" spans="1:7" x14ac:dyDescent="0.25">
      <c r="A4686" s="36">
        <v>44498</v>
      </c>
      <c r="B4686" s="6">
        <v>47.48</v>
      </c>
      <c r="C4686" s="6">
        <v>30.39</v>
      </c>
      <c r="D4686" s="6">
        <v>13</v>
      </c>
      <c r="E4686" s="6">
        <v>9.7899999999999991</v>
      </c>
      <c r="G4686" s="31"/>
    </row>
    <row r="4687" spans="1:7" x14ac:dyDescent="0.25">
      <c r="A4687" s="36">
        <v>44499</v>
      </c>
      <c r="B4687" s="6">
        <v>47.48</v>
      </c>
      <c r="C4687" s="6">
        <v>30.34</v>
      </c>
      <c r="D4687" s="6">
        <v>12.9</v>
      </c>
      <c r="E4687" s="6">
        <v>8.86</v>
      </c>
      <c r="G4687" s="31"/>
    </row>
    <row r="4688" spans="1:7" x14ac:dyDescent="0.25">
      <c r="A4688" s="36">
        <v>44500</v>
      </c>
      <c r="B4688" s="6">
        <v>47.5</v>
      </c>
      <c r="C4688" s="6">
        <v>30.28</v>
      </c>
      <c r="D4688" s="6">
        <v>12.9</v>
      </c>
      <c r="E4688" s="6">
        <v>8.69</v>
      </c>
      <c r="G4688" s="31"/>
    </row>
    <row r="4689" spans="1:7" x14ac:dyDescent="0.25">
      <c r="A4689" s="36">
        <v>44501</v>
      </c>
      <c r="B4689" s="6">
        <v>47.47</v>
      </c>
      <c r="C4689" s="6">
        <v>30.22</v>
      </c>
      <c r="D4689" s="6">
        <v>12.8</v>
      </c>
      <c r="E4689" s="6">
        <v>8.51</v>
      </c>
      <c r="G4689" s="31"/>
    </row>
    <row r="4690" spans="1:7" x14ac:dyDescent="0.25">
      <c r="A4690" s="36">
        <v>44502</v>
      </c>
      <c r="B4690" s="6">
        <v>47.46</v>
      </c>
      <c r="C4690" s="6">
        <v>30.18</v>
      </c>
      <c r="D4690" s="6">
        <v>12.7</v>
      </c>
      <c r="E4690" s="6">
        <v>8.3800000000000008</v>
      </c>
      <c r="G4690" s="31"/>
    </row>
    <row r="4691" spans="1:7" x14ac:dyDescent="0.25">
      <c r="A4691" s="36">
        <v>44503</v>
      </c>
      <c r="B4691" s="6">
        <v>47.4</v>
      </c>
      <c r="C4691" s="6">
        <v>30.16</v>
      </c>
      <c r="D4691" s="6">
        <v>12.6</v>
      </c>
      <c r="E4691" s="6">
        <v>8.3000000000000007</v>
      </c>
      <c r="G4691" s="31"/>
    </row>
    <row r="4692" spans="1:7" x14ac:dyDescent="0.25">
      <c r="A4692" s="36">
        <v>44504</v>
      </c>
      <c r="B4692" s="6">
        <v>47.34</v>
      </c>
      <c r="C4692" s="6">
        <v>30.12</v>
      </c>
      <c r="D4692" s="6">
        <v>12.6</v>
      </c>
      <c r="E4692" s="6">
        <v>8.2799999999999994</v>
      </c>
      <c r="G4692" s="31"/>
    </row>
    <row r="4693" spans="1:7" x14ac:dyDescent="0.25">
      <c r="A4693" s="36">
        <v>44505</v>
      </c>
      <c r="B4693" s="6">
        <v>47.28</v>
      </c>
      <c r="C4693" s="6">
        <v>30.09</v>
      </c>
      <c r="D4693" s="6">
        <v>12.54</v>
      </c>
      <c r="E4693" s="6">
        <v>8.31</v>
      </c>
      <c r="G4693" s="31"/>
    </row>
    <row r="4694" spans="1:7" x14ac:dyDescent="0.25">
      <c r="A4694" s="36">
        <v>44506</v>
      </c>
      <c r="B4694" s="6">
        <v>47.2</v>
      </c>
      <c r="C4694" s="6">
        <v>30.06</v>
      </c>
      <c r="D4694" s="6">
        <v>12.44</v>
      </c>
      <c r="E4694" s="6">
        <v>8.24</v>
      </c>
      <c r="G4694" s="31"/>
    </row>
    <row r="4695" spans="1:7" x14ac:dyDescent="0.25">
      <c r="A4695" s="36">
        <v>44507</v>
      </c>
      <c r="B4695" s="6">
        <v>47.12</v>
      </c>
      <c r="C4695" s="6">
        <v>30.02</v>
      </c>
      <c r="D4695" s="6">
        <v>12.32</v>
      </c>
      <c r="E4695" s="6">
        <v>8.24</v>
      </c>
      <c r="G4695" s="31"/>
    </row>
    <row r="4696" spans="1:7" x14ac:dyDescent="0.25">
      <c r="A4696" s="36">
        <v>44508</v>
      </c>
      <c r="B4696" s="6">
        <v>47.04</v>
      </c>
      <c r="C4696" s="6">
        <v>29.96</v>
      </c>
      <c r="D4696" s="6">
        <v>12.12</v>
      </c>
      <c r="E4696" s="6">
        <v>8.11</v>
      </c>
      <c r="G4696" s="31"/>
    </row>
    <row r="4697" spans="1:7" x14ac:dyDescent="0.25">
      <c r="A4697" s="36">
        <v>44509</v>
      </c>
      <c r="B4697" s="6">
        <v>46.98</v>
      </c>
      <c r="C4697" s="6">
        <v>29.9</v>
      </c>
      <c r="D4697" s="6">
        <v>12.04</v>
      </c>
      <c r="E4697" s="6">
        <v>7.79</v>
      </c>
      <c r="G4697" s="31"/>
    </row>
    <row r="4698" spans="1:7" x14ac:dyDescent="0.25">
      <c r="A4698" s="36">
        <v>44510</v>
      </c>
      <c r="B4698" s="6">
        <v>46.86</v>
      </c>
      <c r="C4698" s="6">
        <v>29.9</v>
      </c>
      <c r="D4698" s="6">
        <v>11.86</v>
      </c>
      <c r="E4698" s="6">
        <v>7.52</v>
      </c>
      <c r="G4698" s="31"/>
    </row>
    <row r="4699" spans="1:7" x14ac:dyDescent="0.25">
      <c r="A4699" s="36">
        <v>44511</v>
      </c>
      <c r="B4699" s="6">
        <v>46.76</v>
      </c>
      <c r="C4699" s="6">
        <v>29.75</v>
      </c>
      <c r="D4699" s="6">
        <v>11.82</v>
      </c>
      <c r="E4699" s="6">
        <v>7.42</v>
      </c>
      <c r="G4699" s="31"/>
    </row>
    <row r="4700" spans="1:7" x14ac:dyDescent="0.25">
      <c r="A4700" s="36">
        <v>44512</v>
      </c>
      <c r="B4700" s="6">
        <v>46.65</v>
      </c>
      <c r="C4700" s="6">
        <v>29.75</v>
      </c>
      <c r="D4700" s="6">
        <v>11.74</v>
      </c>
      <c r="E4700" s="6">
        <v>7.34</v>
      </c>
      <c r="G4700" s="31"/>
    </row>
    <row r="4701" spans="1:7" x14ac:dyDescent="0.25">
      <c r="A4701" s="36">
        <v>44513</v>
      </c>
      <c r="B4701" s="6">
        <v>46.49</v>
      </c>
      <c r="C4701" s="6">
        <v>29.54</v>
      </c>
      <c r="D4701" s="6">
        <v>11.62</v>
      </c>
      <c r="E4701" s="6">
        <v>7.27</v>
      </c>
      <c r="G4701" s="31"/>
    </row>
    <row r="4702" spans="1:7" x14ac:dyDescent="0.25">
      <c r="A4702" s="36">
        <v>44514</v>
      </c>
      <c r="B4702" s="6">
        <v>46.42</v>
      </c>
      <c r="C4702" s="6">
        <v>29.4</v>
      </c>
      <c r="D4702" s="6">
        <v>11.5</v>
      </c>
      <c r="E4702" s="6">
        <v>7.1899999999999995</v>
      </c>
      <c r="G4702" s="31"/>
    </row>
    <row r="4703" spans="1:7" x14ac:dyDescent="0.25">
      <c r="A4703" s="36">
        <v>44515</v>
      </c>
      <c r="B4703" s="6">
        <v>46.32</v>
      </c>
      <c r="C4703" s="6">
        <v>29.24</v>
      </c>
      <c r="D4703" s="6">
        <v>11.35</v>
      </c>
      <c r="E4703" s="6">
        <v>7.04</v>
      </c>
      <c r="G4703" s="31"/>
    </row>
    <row r="4704" spans="1:7" x14ac:dyDescent="0.25">
      <c r="A4704" s="36">
        <v>44516</v>
      </c>
      <c r="B4704" s="6">
        <v>46.22</v>
      </c>
      <c r="C4704" s="6">
        <v>29.06</v>
      </c>
      <c r="D4704" s="6">
        <v>11.18</v>
      </c>
      <c r="E4704" s="6">
        <v>6.9399999999999995</v>
      </c>
      <c r="G4704" s="31"/>
    </row>
    <row r="4705" spans="1:7" x14ac:dyDescent="0.25">
      <c r="A4705" s="36">
        <v>44517</v>
      </c>
      <c r="B4705" s="6">
        <v>46.09</v>
      </c>
      <c r="C4705" s="6">
        <v>28.91</v>
      </c>
      <c r="D4705" s="6">
        <v>10.98</v>
      </c>
      <c r="E4705" s="6">
        <v>6.76</v>
      </c>
      <c r="G4705" s="31"/>
    </row>
    <row r="4706" spans="1:7" x14ac:dyDescent="0.25">
      <c r="A4706" s="36">
        <v>44518</v>
      </c>
      <c r="B4706" s="6">
        <v>45.94</v>
      </c>
      <c r="C4706" s="6">
        <v>28.75</v>
      </c>
      <c r="D4706" s="6">
        <v>10.8</v>
      </c>
      <c r="E4706" s="6">
        <v>6.6</v>
      </c>
      <c r="G4706" s="31"/>
    </row>
    <row r="4707" spans="1:7" x14ac:dyDescent="0.25">
      <c r="A4707" s="36">
        <v>44519</v>
      </c>
      <c r="B4707" s="6">
        <v>45.8</v>
      </c>
      <c r="C4707" s="6">
        <v>28.63</v>
      </c>
      <c r="D4707" s="6">
        <v>10.64</v>
      </c>
      <c r="E4707" s="6">
        <v>6.4399999999999995</v>
      </c>
      <c r="G4707" s="31"/>
    </row>
    <row r="4708" spans="1:7" x14ac:dyDescent="0.25">
      <c r="A4708" s="36">
        <v>44520</v>
      </c>
      <c r="B4708" s="6">
        <v>45.68</v>
      </c>
      <c r="C4708" s="6">
        <v>28.48</v>
      </c>
      <c r="D4708" s="6">
        <v>10.54</v>
      </c>
      <c r="E4708" s="6">
        <v>6.31</v>
      </c>
      <c r="G4708" s="31"/>
    </row>
    <row r="4709" spans="1:7" x14ac:dyDescent="0.25">
      <c r="A4709" s="36">
        <v>44521</v>
      </c>
      <c r="B4709" s="6">
        <v>45.55</v>
      </c>
      <c r="C4709" s="6">
        <v>28.14</v>
      </c>
      <c r="D4709" s="6">
        <v>10.38</v>
      </c>
      <c r="E4709" s="6">
        <v>6.1099999999999994</v>
      </c>
      <c r="G4709" s="31"/>
    </row>
    <row r="4710" spans="1:7" x14ac:dyDescent="0.25">
      <c r="A4710" s="36">
        <v>44522</v>
      </c>
      <c r="B4710" s="6">
        <v>45.44</v>
      </c>
      <c r="C4710" s="6">
        <v>28.04</v>
      </c>
      <c r="D4710" s="6">
        <v>10.220000000000001</v>
      </c>
      <c r="E4710" s="6">
        <v>5.9399999999999995</v>
      </c>
      <c r="G4710" s="31"/>
    </row>
    <row r="4711" spans="1:7" x14ac:dyDescent="0.25">
      <c r="A4711" s="36">
        <v>44523</v>
      </c>
      <c r="B4711" s="6">
        <v>45.36</v>
      </c>
      <c r="C4711" s="6">
        <v>27.86</v>
      </c>
      <c r="D4711" s="6">
        <v>9.9</v>
      </c>
      <c r="E4711" s="6">
        <v>5.8199999999999994</v>
      </c>
      <c r="G4711" s="31"/>
    </row>
    <row r="4712" spans="1:7" x14ac:dyDescent="0.25">
      <c r="A4712" s="36">
        <v>44524</v>
      </c>
      <c r="B4712" s="6">
        <v>45.28</v>
      </c>
      <c r="C4712" s="6">
        <v>27.73</v>
      </c>
      <c r="D4712" s="6">
        <v>9.82</v>
      </c>
      <c r="E4712" s="6">
        <v>5.68</v>
      </c>
      <c r="G4712" s="31"/>
    </row>
    <row r="4713" spans="1:7" x14ac:dyDescent="0.25">
      <c r="A4713" s="36">
        <v>44525</v>
      </c>
      <c r="B4713" s="6">
        <v>45.22</v>
      </c>
      <c r="C4713" s="6">
        <v>27.58</v>
      </c>
      <c r="D4713" s="6">
        <v>9.76</v>
      </c>
      <c r="E4713" s="6">
        <v>5.59</v>
      </c>
      <c r="G4713" s="31"/>
    </row>
    <row r="4714" spans="1:7" x14ac:dyDescent="0.25">
      <c r="A4714" s="36">
        <v>44526</v>
      </c>
      <c r="B4714" s="6">
        <v>45.22</v>
      </c>
      <c r="C4714" s="6">
        <v>27.52</v>
      </c>
      <c r="D4714" s="6">
        <v>9.66</v>
      </c>
      <c r="E4714" s="6">
        <v>5.52</v>
      </c>
      <c r="G4714" s="31"/>
    </row>
    <row r="4715" spans="1:7" x14ac:dyDescent="0.25">
      <c r="A4715" s="36">
        <v>44527</v>
      </c>
      <c r="B4715" s="6">
        <v>45.18</v>
      </c>
      <c r="C4715" s="6">
        <v>27.45</v>
      </c>
      <c r="D4715" s="6">
        <v>9.58</v>
      </c>
      <c r="E4715" s="6">
        <v>5.47</v>
      </c>
      <c r="G4715" s="31"/>
    </row>
    <row r="4716" spans="1:7" x14ac:dyDescent="0.25">
      <c r="A4716" s="36">
        <v>44528</v>
      </c>
      <c r="B4716" s="6">
        <v>45.13</v>
      </c>
      <c r="C4716" s="6">
        <v>27.38</v>
      </c>
      <c r="D4716" s="6">
        <v>9.5399999999999991</v>
      </c>
      <c r="E4716" s="6">
        <v>5.88</v>
      </c>
      <c r="G4716" s="31"/>
    </row>
    <row r="4717" spans="1:7" x14ac:dyDescent="0.25">
      <c r="A4717" s="36">
        <v>44529</v>
      </c>
      <c r="B4717" s="6">
        <v>45.04</v>
      </c>
      <c r="C4717" s="6">
        <v>27.31</v>
      </c>
      <c r="D4717" s="6">
        <v>9.42</v>
      </c>
      <c r="E4717" s="6">
        <v>5.85</v>
      </c>
      <c r="G4717" s="31"/>
    </row>
    <row r="4718" spans="1:7" x14ac:dyDescent="0.25">
      <c r="A4718" s="36">
        <v>44530</v>
      </c>
      <c r="B4718" s="6">
        <v>44.95</v>
      </c>
      <c r="C4718" s="6">
        <v>27.26</v>
      </c>
      <c r="D4718" s="6">
        <v>9.32</v>
      </c>
      <c r="E4718" s="6">
        <v>5.6999999999999993</v>
      </c>
      <c r="G4718" s="31"/>
    </row>
    <row r="4719" spans="1:7" x14ac:dyDescent="0.25">
      <c r="A4719" s="36">
        <v>44531</v>
      </c>
      <c r="B4719" s="6">
        <v>44.86</v>
      </c>
      <c r="C4719" s="6">
        <v>27.2</v>
      </c>
      <c r="D4719" s="6">
        <v>9.24</v>
      </c>
      <c r="E4719" s="6">
        <v>5.68</v>
      </c>
      <c r="G4719" s="31"/>
    </row>
    <row r="4720" spans="1:7" x14ac:dyDescent="0.25">
      <c r="A4720" s="36">
        <v>44532</v>
      </c>
      <c r="B4720" s="6">
        <v>44.78</v>
      </c>
      <c r="C4720" s="6">
        <v>27.15</v>
      </c>
      <c r="D4720" s="6">
        <v>9.1</v>
      </c>
      <c r="E4720" s="6">
        <v>5.47</v>
      </c>
      <c r="G4720" s="31"/>
    </row>
    <row r="4721" spans="1:7" x14ac:dyDescent="0.25">
      <c r="A4721" s="36">
        <v>44533</v>
      </c>
      <c r="B4721" s="6">
        <v>44.7</v>
      </c>
      <c r="C4721" s="6">
        <v>27.08</v>
      </c>
      <c r="D4721" s="6">
        <v>9</v>
      </c>
      <c r="E4721" s="6">
        <v>5.3199999999999994</v>
      </c>
      <c r="G4721" s="31"/>
    </row>
    <row r="4722" spans="1:7" x14ac:dyDescent="0.25">
      <c r="A4722" s="36">
        <v>44534</v>
      </c>
      <c r="B4722" s="6">
        <v>44.6</v>
      </c>
      <c r="C4722" s="6">
        <v>27</v>
      </c>
      <c r="D4722" s="6">
        <v>8.86</v>
      </c>
      <c r="E4722" s="6">
        <v>5.1099999999999994</v>
      </c>
      <c r="G4722" s="31"/>
    </row>
    <row r="4723" spans="1:7" x14ac:dyDescent="0.25">
      <c r="A4723" s="36">
        <v>44535</v>
      </c>
      <c r="B4723" s="6">
        <v>44.55</v>
      </c>
      <c r="C4723" s="6">
        <v>26.96</v>
      </c>
      <c r="D4723" s="6">
        <v>8.86</v>
      </c>
      <c r="E4723" s="6">
        <v>4.97</v>
      </c>
      <c r="G4723" s="31"/>
    </row>
    <row r="4724" spans="1:7" x14ac:dyDescent="0.25">
      <c r="A4724" s="36">
        <v>44536</v>
      </c>
      <c r="B4724" s="6">
        <v>44.48</v>
      </c>
      <c r="C4724" s="6">
        <v>26.91</v>
      </c>
      <c r="D4724" s="6">
        <v>8.84</v>
      </c>
      <c r="E4724" s="6">
        <v>4.8999999999999995</v>
      </c>
      <c r="G4724" s="31"/>
    </row>
    <row r="4725" spans="1:7" x14ac:dyDescent="0.25">
      <c r="A4725" s="36">
        <v>44537</v>
      </c>
      <c r="B4725" s="6">
        <v>44.44</v>
      </c>
      <c r="C4725" s="6">
        <v>26.78</v>
      </c>
      <c r="D4725" s="6">
        <v>8.8000000000000007</v>
      </c>
      <c r="E4725" s="6">
        <v>4.8499999999999996</v>
      </c>
      <c r="G4725" s="31"/>
    </row>
    <row r="4726" spans="1:7" x14ac:dyDescent="0.25">
      <c r="A4726" s="36">
        <v>44538</v>
      </c>
      <c r="B4726" s="6">
        <v>44.44</v>
      </c>
      <c r="C4726" s="6">
        <v>26.66</v>
      </c>
      <c r="D4726" s="6">
        <v>8.6999999999999993</v>
      </c>
      <c r="E4726" s="6">
        <v>4.8999999999999995</v>
      </c>
      <c r="G4726" s="31"/>
    </row>
    <row r="4727" spans="1:7" x14ac:dyDescent="0.25">
      <c r="A4727" s="36">
        <v>44539</v>
      </c>
      <c r="B4727" s="6">
        <v>44.44</v>
      </c>
      <c r="C4727" s="6">
        <v>26.55</v>
      </c>
      <c r="D4727" s="6">
        <v>8.58</v>
      </c>
      <c r="E4727" s="6">
        <v>4.83</v>
      </c>
      <c r="G4727" s="31"/>
    </row>
    <row r="4728" spans="1:7" x14ac:dyDescent="0.25">
      <c r="A4728" s="36">
        <v>44540</v>
      </c>
      <c r="B4728" s="6">
        <v>44.42</v>
      </c>
      <c r="C4728" s="6">
        <v>26.46</v>
      </c>
      <c r="D4728" s="6">
        <v>8.48</v>
      </c>
      <c r="E4728" s="6">
        <v>4.75</v>
      </c>
      <c r="G4728" s="31"/>
    </row>
    <row r="4729" spans="1:7" x14ac:dyDescent="0.25">
      <c r="A4729" s="36">
        <v>44541</v>
      </c>
      <c r="B4729" s="6">
        <v>44.42</v>
      </c>
      <c r="C4729" s="6">
        <v>26.37</v>
      </c>
      <c r="D4729" s="6">
        <v>8.4</v>
      </c>
      <c r="E4729" s="6">
        <v>4.6099999999999994</v>
      </c>
      <c r="G4729" s="31"/>
    </row>
    <row r="4730" spans="1:7" x14ac:dyDescent="0.25">
      <c r="A4730" s="36">
        <v>44542</v>
      </c>
      <c r="B4730" s="6">
        <v>44.36</v>
      </c>
      <c r="C4730" s="6">
        <v>26.3</v>
      </c>
      <c r="D4730" s="6">
        <v>8.3000000000000007</v>
      </c>
      <c r="E4730" s="6">
        <v>4.6899999999999995</v>
      </c>
      <c r="G4730" s="31"/>
    </row>
    <row r="4731" spans="1:7" x14ac:dyDescent="0.25">
      <c r="A4731" s="36">
        <v>44543</v>
      </c>
      <c r="B4731" s="6">
        <v>44.28</v>
      </c>
      <c r="C4731" s="6">
        <v>26.26</v>
      </c>
      <c r="D4731" s="6">
        <v>8.3000000000000007</v>
      </c>
      <c r="E4731" s="6">
        <v>4.84</v>
      </c>
      <c r="G4731" s="31"/>
    </row>
    <row r="4732" spans="1:7" x14ac:dyDescent="0.25">
      <c r="A4732" s="36">
        <v>44544</v>
      </c>
      <c r="B4732" s="6">
        <v>44.18</v>
      </c>
      <c r="C4732" s="6">
        <v>26.16</v>
      </c>
      <c r="D4732" s="6">
        <v>8.24</v>
      </c>
      <c r="E4732" s="6">
        <v>4.6999999999999993</v>
      </c>
      <c r="G4732" s="31"/>
    </row>
    <row r="4733" spans="1:7" x14ac:dyDescent="0.25">
      <c r="A4733" s="36">
        <v>44545</v>
      </c>
      <c r="B4733" s="6">
        <v>44.08</v>
      </c>
      <c r="C4733" s="6">
        <v>26.08</v>
      </c>
      <c r="D4733" s="6">
        <v>8.16</v>
      </c>
      <c r="E4733" s="6">
        <v>4.7399999999999993</v>
      </c>
      <c r="G4733" s="31"/>
    </row>
    <row r="4734" spans="1:7" x14ac:dyDescent="0.25">
      <c r="A4734" s="36">
        <v>44546</v>
      </c>
      <c r="B4734" s="6">
        <v>44</v>
      </c>
      <c r="C4734" s="6">
        <v>25.95</v>
      </c>
      <c r="D4734" s="6">
        <v>8.11</v>
      </c>
      <c r="E4734" s="6">
        <v>4.79</v>
      </c>
      <c r="G4734" s="31"/>
    </row>
    <row r="4735" spans="1:7" x14ac:dyDescent="0.25">
      <c r="A4735" s="36">
        <v>44547</v>
      </c>
      <c r="B4735" s="6">
        <v>43.92</v>
      </c>
      <c r="C4735" s="6">
        <v>25.85</v>
      </c>
      <c r="D4735" s="6">
        <v>8.0299999999999994</v>
      </c>
      <c r="E4735" s="6">
        <v>4.7399999999999993</v>
      </c>
      <c r="G4735" s="31"/>
    </row>
    <row r="4736" spans="1:7" x14ac:dyDescent="0.25">
      <c r="A4736" s="36">
        <v>44548</v>
      </c>
      <c r="B4736" s="6">
        <v>43.84</v>
      </c>
      <c r="C4736" s="6">
        <v>25.73</v>
      </c>
      <c r="D4736" s="6">
        <v>8.0299999999999994</v>
      </c>
      <c r="E4736" s="6">
        <v>4.68</v>
      </c>
      <c r="G4736" s="31"/>
    </row>
    <row r="4737" spans="1:7" x14ac:dyDescent="0.25">
      <c r="A4737" s="36">
        <v>44549</v>
      </c>
      <c r="B4737" s="6">
        <v>43.8</v>
      </c>
      <c r="C4737" s="6">
        <v>25.6</v>
      </c>
      <c r="D4737" s="6">
        <v>8</v>
      </c>
      <c r="E4737" s="6">
        <v>4.62</v>
      </c>
      <c r="G4737" s="31"/>
    </row>
    <row r="4738" spans="1:7" x14ac:dyDescent="0.25">
      <c r="A4738" s="36">
        <v>44550</v>
      </c>
      <c r="B4738" s="6">
        <v>43.76</v>
      </c>
      <c r="C4738" s="6">
        <v>25.52</v>
      </c>
      <c r="D4738" s="6">
        <v>7.98</v>
      </c>
      <c r="E4738" s="6">
        <v>4.63</v>
      </c>
      <c r="G4738" s="31"/>
    </row>
    <row r="4739" spans="1:7" x14ac:dyDescent="0.25">
      <c r="A4739" s="36">
        <v>44551</v>
      </c>
      <c r="B4739" s="6">
        <v>43.7</v>
      </c>
      <c r="C4739" s="6">
        <v>25.4</v>
      </c>
      <c r="D4739" s="6">
        <v>7.75</v>
      </c>
      <c r="E4739" s="6">
        <v>5.14</v>
      </c>
      <c r="G4739" s="31"/>
    </row>
    <row r="4740" spans="1:7" x14ac:dyDescent="0.25">
      <c r="A4740" s="36">
        <v>44552</v>
      </c>
      <c r="B4740" s="6">
        <v>43.76</v>
      </c>
      <c r="C4740" s="6">
        <v>25.32</v>
      </c>
      <c r="D4740" s="6">
        <v>7.6</v>
      </c>
      <c r="E4740" s="6">
        <v>5.1499999999999995</v>
      </c>
      <c r="G4740" s="31"/>
    </row>
    <row r="4741" spans="1:7" x14ac:dyDescent="0.25">
      <c r="A4741" s="36">
        <v>44553</v>
      </c>
      <c r="B4741" s="6">
        <v>43.77</v>
      </c>
      <c r="C4741" s="6">
        <v>25.27</v>
      </c>
      <c r="D4741" s="6">
        <v>7.55</v>
      </c>
      <c r="E4741" s="6">
        <v>4.6499999999999995</v>
      </c>
      <c r="G4741" s="31"/>
    </row>
    <row r="4742" spans="1:7" x14ac:dyDescent="0.25">
      <c r="A4742" s="36">
        <v>44554</v>
      </c>
      <c r="B4742" s="6">
        <v>43.77</v>
      </c>
      <c r="C4742" s="6">
        <v>25.18</v>
      </c>
      <c r="D4742" s="6">
        <v>7.5</v>
      </c>
      <c r="E4742" s="6">
        <v>4.3899999999999997</v>
      </c>
      <c r="G4742" s="31"/>
    </row>
    <row r="4743" spans="1:7" x14ac:dyDescent="0.25">
      <c r="A4743" s="36">
        <v>44555</v>
      </c>
      <c r="B4743" s="6">
        <v>43.76</v>
      </c>
      <c r="C4743" s="6">
        <v>25.12</v>
      </c>
      <c r="D4743" s="6">
        <v>7.6</v>
      </c>
      <c r="E4743" s="6">
        <v>4.26</v>
      </c>
      <c r="G4743" s="31"/>
    </row>
    <row r="4744" spans="1:7" x14ac:dyDescent="0.25">
      <c r="A4744" s="36">
        <v>44556</v>
      </c>
      <c r="B4744" s="6">
        <v>43.7</v>
      </c>
      <c r="C4744" s="6">
        <v>25.12</v>
      </c>
      <c r="D4744" s="6">
        <v>7.5</v>
      </c>
      <c r="E4744" s="6">
        <v>4.43</v>
      </c>
      <c r="G4744" s="31"/>
    </row>
    <row r="4745" spans="1:7" x14ac:dyDescent="0.25">
      <c r="A4745" s="36">
        <v>44557</v>
      </c>
      <c r="B4745" s="6">
        <v>43.66</v>
      </c>
      <c r="C4745" s="6">
        <v>25.1</v>
      </c>
      <c r="D4745" s="6">
        <v>7.34</v>
      </c>
      <c r="E4745" s="6">
        <v>4.29</v>
      </c>
      <c r="G4745" s="31"/>
    </row>
    <row r="4746" spans="1:7" x14ac:dyDescent="0.25">
      <c r="A4746" s="36">
        <v>44558</v>
      </c>
      <c r="B4746" s="6">
        <v>43.57</v>
      </c>
      <c r="C4746" s="6">
        <v>25</v>
      </c>
      <c r="D4746" s="6">
        <v>7.3</v>
      </c>
      <c r="E4746" s="6">
        <v>4.2</v>
      </c>
      <c r="G4746" s="31"/>
    </row>
    <row r="4747" spans="1:7" x14ac:dyDescent="0.25">
      <c r="A4747" s="36">
        <v>44559</v>
      </c>
      <c r="B4747" s="6">
        <v>43.48</v>
      </c>
      <c r="C4747" s="6">
        <v>24.98</v>
      </c>
      <c r="D4747" s="6">
        <v>7.2</v>
      </c>
      <c r="E4747" s="6">
        <v>4.1899999999999995</v>
      </c>
      <c r="G4747" s="31"/>
    </row>
    <row r="4748" spans="1:7" x14ac:dyDescent="0.25">
      <c r="A4748" s="36">
        <v>44560</v>
      </c>
      <c r="B4748" s="6">
        <v>43.35</v>
      </c>
      <c r="C4748" s="6">
        <v>24.95</v>
      </c>
      <c r="D4748" s="6">
        <v>7.14</v>
      </c>
      <c r="E4748" s="6">
        <v>4.12</v>
      </c>
      <c r="G4748" s="31"/>
    </row>
    <row r="4749" spans="1:7" x14ac:dyDescent="0.25">
      <c r="A4749" s="36">
        <v>44561</v>
      </c>
      <c r="B4749" s="6">
        <v>43.3</v>
      </c>
      <c r="C4749" s="6">
        <v>24.95</v>
      </c>
      <c r="D4749" s="6">
        <v>7.14</v>
      </c>
      <c r="E4749" s="6">
        <v>3.99</v>
      </c>
      <c r="G4749" s="31"/>
    </row>
    <row r="4750" spans="1:7" x14ac:dyDescent="0.25">
      <c r="A4750" s="36">
        <v>44562</v>
      </c>
      <c r="B4750" s="7">
        <v>43.25</v>
      </c>
      <c r="C4750" s="7">
        <v>24.9</v>
      </c>
      <c r="D4750" s="6">
        <v>7.2</v>
      </c>
      <c r="E4750" s="7">
        <v>3.8400000000000003</v>
      </c>
      <c r="G4750" s="31"/>
    </row>
    <row r="4751" spans="1:7" x14ac:dyDescent="0.25">
      <c r="A4751" s="36">
        <v>44563</v>
      </c>
      <c r="B4751" s="7">
        <v>43.14</v>
      </c>
      <c r="C4751" s="7">
        <v>24.86</v>
      </c>
      <c r="D4751" s="6">
        <v>7</v>
      </c>
      <c r="E4751" s="7">
        <v>3.79</v>
      </c>
      <c r="G4751" s="31"/>
    </row>
    <row r="4752" spans="1:7" x14ac:dyDescent="0.25">
      <c r="A4752" s="36">
        <v>44564</v>
      </c>
      <c r="B4752" s="7">
        <v>43.02</v>
      </c>
      <c r="C4752" s="7">
        <v>24.82</v>
      </c>
      <c r="D4752" s="6">
        <v>6.84</v>
      </c>
      <c r="E4752" s="7">
        <v>3.6500000000000004</v>
      </c>
      <c r="G4752" s="31"/>
    </row>
    <row r="4753" spans="1:7" x14ac:dyDescent="0.25">
      <c r="A4753" s="36">
        <v>44565</v>
      </c>
      <c r="B4753" s="7">
        <v>42.9</v>
      </c>
      <c r="C4753" s="7">
        <v>24.8</v>
      </c>
      <c r="D4753" s="6">
        <v>6.8</v>
      </c>
      <c r="E4753" s="7">
        <v>3.39</v>
      </c>
      <c r="G4753" s="31"/>
    </row>
    <row r="4754" spans="1:7" x14ac:dyDescent="0.25">
      <c r="A4754" s="36">
        <v>44566</v>
      </c>
      <c r="B4754" s="7">
        <v>42.79</v>
      </c>
      <c r="C4754" s="7">
        <v>24.75</v>
      </c>
      <c r="D4754" s="6">
        <v>6.7</v>
      </c>
      <c r="E4754" s="7">
        <v>3.21</v>
      </c>
      <c r="G4754" s="31"/>
    </row>
    <row r="4755" spans="1:7" x14ac:dyDescent="0.25">
      <c r="A4755" s="36">
        <v>44567</v>
      </c>
      <c r="B4755" s="7">
        <v>42.66</v>
      </c>
      <c r="C4755" s="7">
        <v>24.7</v>
      </c>
      <c r="D4755" s="6">
        <v>6.5</v>
      </c>
      <c r="E4755" s="7">
        <v>3.1500000000000004</v>
      </c>
      <c r="G4755" s="31"/>
    </row>
    <row r="4756" spans="1:7" x14ac:dyDescent="0.25">
      <c r="A4756" s="36">
        <v>44568</v>
      </c>
      <c r="B4756" s="7">
        <v>42.54</v>
      </c>
      <c r="C4756" s="7">
        <v>24.64</v>
      </c>
      <c r="D4756" s="6">
        <v>6.4</v>
      </c>
      <c r="E4756" s="7">
        <v>3.0300000000000002</v>
      </c>
      <c r="G4756" s="31"/>
    </row>
    <row r="4757" spans="1:7" x14ac:dyDescent="0.25">
      <c r="A4757" s="36">
        <v>44569</v>
      </c>
      <c r="B4757" s="7">
        <v>42.42</v>
      </c>
      <c r="C4757" s="7">
        <v>24.49</v>
      </c>
      <c r="D4757" s="6">
        <v>6.02</v>
      </c>
      <c r="E4757" s="7">
        <v>2.94</v>
      </c>
      <c r="G4757" s="31"/>
    </row>
    <row r="4758" spans="1:7" x14ac:dyDescent="0.25">
      <c r="A4758" s="36">
        <v>44570</v>
      </c>
      <c r="B4758" s="7">
        <v>42.3</v>
      </c>
      <c r="C4758" s="7">
        <v>24.29</v>
      </c>
      <c r="D4758" s="6">
        <v>5.86</v>
      </c>
      <c r="E4758" s="7">
        <v>2.8200000000000003</v>
      </c>
      <c r="G4758" s="31"/>
    </row>
    <row r="4759" spans="1:7" x14ac:dyDescent="0.25">
      <c r="A4759" s="36">
        <v>44571</v>
      </c>
      <c r="B4759" s="7">
        <v>42.18</v>
      </c>
      <c r="C4759" s="7">
        <v>24</v>
      </c>
      <c r="D4759" s="6">
        <v>5.72</v>
      </c>
      <c r="E4759" s="7">
        <v>2.68</v>
      </c>
      <c r="G4759" s="31"/>
    </row>
    <row r="4760" spans="1:7" x14ac:dyDescent="0.25">
      <c r="A4760" s="36">
        <v>44572</v>
      </c>
      <c r="B4760" s="7">
        <v>42.06</v>
      </c>
      <c r="C4760" s="7">
        <v>23.84</v>
      </c>
      <c r="D4760" s="6">
        <v>5.6</v>
      </c>
      <c r="E4760" s="7">
        <v>2.62</v>
      </c>
      <c r="G4760" s="31"/>
    </row>
    <row r="4761" spans="1:7" x14ac:dyDescent="0.25">
      <c r="A4761" s="36">
        <v>44573</v>
      </c>
      <c r="B4761" s="7">
        <v>41.96</v>
      </c>
      <c r="C4761" s="7">
        <v>23.75</v>
      </c>
      <c r="D4761" s="6">
        <v>5.48</v>
      </c>
      <c r="E4761" s="7">
        <v>2.64</v>
      </c>
      <c r="G4761" s="31"/>
    </row>
    <row r="4762" spans="1:7" x14ac:dyDescent="0.25">
      <c r="A4762" s="36">
        <v>44574</v>
      </c>
      <c r="B4762" s="7">
        <v>41.84</v>
      </c>
      <c r="C4762" s="7">
        <v>23.66</v>
      </c>
      <c r="D4762" s="6">
        <v>5.36</v>
      </c>
      <c r="E4762" s="7">
        <v>2.4500000000000002</v>
      </c>
      <c r="G4762" s="31"/>
    </row>
    <row r="4763" spans="1:7" x14ac:dyDescent="0.25">
      <c r="A4763" s="36">
        <v>44575</v>
      </c>
      <c r="B4763" s="7">
        <v>41.74</v>
      </c>
      <c r="C4763" s="7">
        <v>23.55</v>
      </c>
      <c r="D4763" s="6">
        <v>5.24</v>
      </c>
      <c r="E4763" s="7">
        <v>2.38</v>
      </c>
      <c r="G4763" s="31"/>
    </row>
    <row r="4764" spans="1:7" x14ac:dyDescent="0.25">
      <c r="A4764" s="36">
        <v>44576</v>
      </c>
      <c r="B4764" s="7">
        <v>41.64</v>
      </c>
      <c r="C4764" s="7">
        <v>23.45</v>
      </c>
      <c r="D4764" s="6">
        <v>5.0999999999999996</v>
      </c>
      <c r="E4764" s="7">
        <v>2.34</v>
      </c>
      <c r="G4764" s="31"/>
    </row>
    <row r="4765" spans="1:7" x14ac:dyDescent="0.25">
      <c r="A4765" s="36">
        <v>44577</v>
      </c>
      <c r="B4765" s="7">
        <v>41.55</v>
      </c>
      <c r="C4765" s="7">
        <v>23.34</v>
      </c>
      <c r="D4765" s="6">
        <v>5</v>
      </c>
      <c r="E4765" s="7">
        <v>2.29</v>
      </c>
      <c r="G4765" s="31"/>
    </row>
    <row r="4766" spans="1:7" x14ac:dyDescent="0.25">
      <c r="A4766" s="36">
        <v>44578</v>
      </c>
      <c r="B4766" s="7">
        <v>41.49</v>
      </c>
      <c r="C4766" s="7">
        <v>23.24</v>
      </c>
      <c r="D4766" s="6">
        <v>4.92</v>
      </c>
      <c r="E4766" s="7">
        <v>2.31</v>
      </c>
      <c r="G4766" s="31"/>
    </row>
    <row r="4767" spans="1:7" x14ac:dyDescent="0.25">
      <c r="A4767" s="36">
        <v>44579</v>
      </c>
      <c r="B4767" s="7">
        <v>41.44</v>
      </c>
      <c r="C4767" s="7">
        <v>23.16</v>
      </c>
      <c r="D4767" s="6">
        <v>4.8</v>
      </c>
      <c r="E4767" s="7">
        <v>2.3199999999999998</v>
      </c>
      <c r="G4767" s="31"/>
    </row>
    <row r="4768" spans="1:7" x14ac:dyDescent="0.25">
      <c r="A4768" s="36">
        <v>44580</v>
      </c>
      <c r="B4768" s="7">
        <v>41.42</v>
      </c>
      <c r="C4768" s="7">
        <v>23.1</v>
      </c>
      <c r="D4768" s="6">
        <v>4.7</v>
      </c>
      <c r="E4768" s="7">
        <v>2.29</v>
      </c>
      <c r="G4768" s="31"/>
    </row>
    <row r="4769" spans="1:7" x14ac:dyDescent="0.25">
      <c r="A4769" s="36">
        <v>44581</v>
      </c>
      <c r="B4769" s="7">
        <v>41.4</v>
      </c>
      <c r="C4769" s="7">
        <v>22.99</v>
      </c>
      <c r="D4769" s="6">
        <v>4.62</v>
      </c>
      <c r="E4769" s="7">
        <v>2.29</v>
      </c>
      <c r="G4769" s="31"/>
    </row>
    <row r="4770" spans="1:7" x14ac:dyDescent="0.25">
      <c r="A4770" s="36">
        <v>44582</v>
      </c>
      <c r="B4770" s="7">
        <v>41.4</v>
      </c>
      <c r="C4770" s="7">
        <v>22.95</v>
      </c>
      <c r="D4770" s="6">
        <v>4.54</v>
      </c>
      <c r="E4770" s="7">
        <v>2.13</v>
      </c>
      <c r="G4770" s="31"/>
    </row>
    <row r="4771" spans="1:7" x14ac:dyDescent="0.25">
      <c r="A4771" s="36">
        <v>44583</v>
      </c>
      <c r="B4771" s="7">
        <v>41.35</v>
      </c>
      <c r="C4771" s="7">
        <v>22.9</v>
      </c>
      <c r="D4771" s="6">
        <v>4.5199999999999996</v>
      </c>
      <c r="E4771" s="7">
        <v>2.16</v>
      </c>
      <c r="G4771" s="31"/>
    </row>
    <row r="4772" spans="1:7" x14ac:dyDescent="0.25">
      <c r="A4772" s="36">
        <v>44584</v>
      </c>
      <c r="B4772" s="7">
        <v>41.33</v>
      </c>
      <c r="C4772" s="7">
        <v>22.88</v>
      </c>
      <c r="D4772" s="6">
        <v>4.5199999999999996</v>
      </c>
      <c r="E4772" s="7">
        <v>2.21</v>
      </c>
      <c r="G4772" s="31"/>
    </row>
    <row r="4773" spans="1:7" x14ac:dyDescent="0.25">
      <c r="A4773" s="36">
        <v>44585</v>
      </c>
      <c r="B4773" s="7">
        <v>41.31</v>
      </c>
      <c r="C4773" s="7">
        <v>22.85</v>
      </c>
      <c r="D4773" s="6">
        <v>4.4800000000000004</v>
      </c>
      <c r="E4773" s="7">
        <v>2.15</v>
      </c>
      <c r="G4773" s="31"/>
    </row>
    <row r="4774" spans="1:7" x14ac:dyDescent="0.25">
      <c r="A4774" s="36">
        <v>44586</v>
      </c>
      <c r="B4774" s="7">
        <v>41.3</v>
      </c>
      <c r="C4774" s="7">
        <v>22.83</v>
      </c>
      <c r="D4774" s="6">
        <v>4.42</v>
      </c>
      <c r="E4774" s="7">
        <v>2.08</v>
      </c>
      <c r="G4774" s="31"/>
    </row>
    <row r="4775" spans="1:7" x14ac:dyDescent="0.25">
      <c r="A4775" s="36">
        <v>44587</v>
      </c>
      <c r="B4775" s="7">
        <v>41.29</v>
      </c>
      <c r="C4775" s="7">
        <v>22.8</v>
      </c>
      <c r="D4775" s="6">
        <v>4.38</v>
      </c>
      <c r="E4775" s="7">
        <v>2.1</v>
      </c>
      <c r="G4775" s="31"/>
    </row>
    <row r="4776" spans="1:7" x14ac:dyDescent="0.25">
      <c r="A4776" s="36">
        <v>44588</v>
      </c>
      <c r="B4776" s="7">
        <v>41.27</v>
      </c>
      <c r="C4776" s="7">
        <v>22.77</v>
      </c>
      <c r="D4776" s="6">
        <v>4.3600000000000003</v>
      </c>
      <c r="E4776" s="7">
        <v>2.0100000000000002</v>
      </c>
      <c r="G4776" s="31"/>
    </row>
    <row r="4777" spans="1:7" x14ac:dyDescent="0.25">
      <c r="A4777" s="36">
        <v>44589</v>
      </c>
      <c r="B4777" s="7">
        <v>41.26</v>
      </c>
      <c r="C4777" s="7">
        <v>22.74</v>
      </c>
      <c r="D4777" s="6">
        <v>4.34</v>
      </c>
      <c r="E4777" s="7">
        <v>1.96</v>
      </c>
      <c r="G4777" s="31"/>
    </row>
    <row r="4778" spans="1:7" x14ac:dyDescent="0.25">
      <c r="A4778" s="36">
        <v>44590</v>
      </c>
      <c r="B4778" s="7">
        <v>41.26</v>
      </c>
      <c r="C4778" s="7">
        <v>22.71</v>
      </c>
      <c r="D4778" s="6">
        <v>4.3</v>
      </c>
      <c r="E4778" s="7">
        <v>1.8499999999999999</v>
      </c>
      <c r="G4778" s="31"/>
    </row>
    <row r="4779" spans="1:7" x14ac:dyDescent="0.25">
      <c r="A4779" s="36">
        <v>44591</v>
      </c>
      <c r="B4779" s="7">
        <v>41.29</v>
      </c>
      <c r="C4779" s="7">
        <v>22.7</v>
      </c>
      <c r="D4779" s="6">
        <v>4.26</v>
      </c>
      <c r="E4779" s="7">
        <v>1.89</v>
      </c>
      <c r="G4779" s="31"/>
    </row>
    <row r="4780" spans="1:7" x14ac:dyDescent="0.25">
      <c r="A4780" s="36">
        <v>44592</v>
      </c>
      <c r="B4780" s="7">
        <v>41.3</v>
      </c>
      <c r="C4780" s="7">
        <v>22.7</v>
      </c>
      <c r="D4780" s="6">
        <v>4.2</v>
      </c>
      <c r="E4780" s="7">
        <v>1.99</v>
      </c>
      <c r="G4780" s="31"/>
    </row>
    <row r="4781" spans="1:7" x14ac:dyDescent="0.25">
      <c r="A4781" s="36">
        <v>44593</v>
      </c>
      <c r="B4781" s="7">
        <v>41.27</v>
      </c>
      <c r="C4781" s="7">
        <v>22.68</v>
      </c>
      <c r="D4781" s="6">
        <v>4.16</v>
      </c>
      <c r="E4781" s="7">
        <v>2.0300000000000002</v>
      </c>
      <c r="G4781" s="31"/>
    </row>
    <row r="4782" spans="1:7" x14ac:dyDescent="0.25">
      <c r="A4782" s="36">
        <v>44594</v>
      </c>
      <c r="B4782" s="7">
        <v>41.22</v>
      </c>
      <c r="C4782" s="7">
        <v>22.68</v>
      </c>
      <c r="D4782" s="6">
        <v>4.12</v>
      </c>
      <c r="E4782" s="7">
        <v>2.11</v>
      </c>
      <c r="G4782" s="31"/>
    </row>
    <row r="4783" spans="1:7" x14ac:dyDescent="0.25">
      <c r="A4783" s="36">
        <v>44595</v>
      </c>
      <c r="B4783" s="7">
        <v>41.15</v>
      </c>
      <c r="C4783" s="7">
        <v>22.66</v>
      </c>
      <c r="D4783" s="6">
        <v>4.08</v>
      </c>
      <c r="E4783" s="7">
        <v>2.08</v>
      </c>
      <c r="G4783" s="31"/>
    </row>
    <row r="4784" spans="1:7" x14ac:dyDescent="0.25">
      <c r="A4784" s="36">
        <v>44596</v>
      </c>
      <c r="B4784" s="7">
        <v>41.1</v>
      </c>
      <c r="C4784" s="7">
        <v>22.64</v>
      </c>
      <c r="D4784" s="6">
        <v>4.0599999999999996</v>
      </c>
      <c r="E4784" s="7">
        <v>2.02</v>
      </c>
      <c r="G4784" s="31"/>
    </row>
    <row r="4785" spans="1:7" x14ac:dyDescent="0.25">
      <c r="A4785" s="36">
        <v>44597</v>
      </c>
      <c r="B4785" s="7">
        <v>41.04</v>
      </c>
      <c r="C4785" s="7">
        <v>22.59</v>
      </c>
      <c r="D4785" s="6">
        <v>4.04</v>
      </c>
      <c r="E4785" s="7">
        <v>2.0300000000000002</v>
      </c>
      <c r="G4785" s="31"/>
    </row>
    <row r="4786" spans="1:7" x14ac:dyDescent="0.25">
      <c r="A4786" s="36">
        <v>44598</v>
      </c>
      <c r="B4786" s="7">
        <v>40.98</v>
      </c>
      <c r="C4786" s="7">
        <v>22.54</v>
      </c>
      <c r="D4786" s="6">
        <v>4</v>
      </c>
      <c r="E4786" s="7">
        <v>1.94</v>
      </c>
      <c r="G4786" s="31"/>
    </row>
    <row r="4787" spans="1:7" x14ac:dyDescent="0.25">
      <c r="A4787" s="36">
        <v>44599</v>
      </c>
      <c r="B4787" s="7">
        <v>40.94</v>
      </c>
      <c r="C4787" s="7">
        <v>22.48</v>
      </c>
      <c r="D4787" s="6">
        <v>3.94</v>
      </c>
      <c r="E4787" s="7">
        <v>1.95</v>
      </c>
      <c r="G4787" s="31"/>
    </row>
    <row r="4788" spans="1:7" x14ac:dyDescent="0.25">
      <c r="A4788" s="36">
        <v>44600</v>
      </c>
      <c r="B4788" s="7">
        <v>40.9</v>
      </c>
      <c r="C4788" s="7">
        <v>22.42</v>
      </c>
      <c r="D4788" s="6">
        <v>3.9</v>
      </c>
      <c r="E4788" s="7">
        <v>1.8499999999999999</v>
      </c>
      <c r="G4788" s="31"/>
    </row>
    <row r="4789" spans="1:7" x14ac:dyDescent="0.25">
      <c r="A4789" s="36">
        <v>44601</v>
      </c>
      <c r="B4789" s="7">
        <v>40.85</v>
      </c>
      <c r="C4789" s="7">
        <v>22.35</v>
      </c>
      <c r="D4789" s="6">
        <v>3.86</v>
      </c>
      <c r="E4789" s="7">
        <v>1.7</v>
      </c>
      <c r="G4789" s="31"/>
    </row>
    <row r="4790" spans="1:7" x14ac:dyDescent="0.25">
      <c r="A4790" s="36">
        <v>44602</v>
      </c>
      <c r="B4790" s="7">
        <v>40.82</v>
      </c>
      <c r="C4790" s="7">
        <v>22.32</v>
      </c>
      <c r="D4790" s="6">
        <v>3.76</v>
      </c>
      <c r="E4790" s="7">
        <v>1.5899999999999999</v>
      </c>
      <c r="G4790" s="31"/>
    </row>
    <row r="4791" spans="1:7" x14ac:dyDescent="0.25">
      <c r="A4791" s="36">
        <v>44603</v>
      </c>
      <c r="B4791" s="7">
        <v>40.82</v>
      </c>
      <c r="C4791" s="7">
        <v>22.26</v>
      </c>
      <c r="D4791" s="6">
        <v>3.7</v>
      </c>
      <c r="E4791" s="7">
        <v>1.6099999999999999</v>
      </c>
      <c r="G4791" s="31"/>
    </row>
    <row r="4792" spans="1:7" x14ac:dyDescent="0.25">
      <c r="A4792" s="36">
        <v>44604</v>
      </c>
      <c r="B4792" s="7">
        <v>40.82</v>
      </c>
      <c r="C4792" s="7">
        <v>22.23</v>
      </c>
      <c r="D4792" s="6">
        <v>3.6</v>
      </c>
      <c r="E4792" s="7">
        <v>1.54</v>
      </c>
      <c r="G4792" s="31"/>
    </row>
    <row r="4793" spans="1:7" x14ac:dyDescent="0.25">
      <c r="A4793" s="36">
        <v>44605</v>
      </c>
      <c r="B4793" s="7">
        <v>40.82</v>
      </c>
      <c r="C4793" s="7">
        <v>22.19</v>
      </c>
      <c r="D4793" s="6">
        <v>3.6</v>
      </c>
      <c r="E4793" s="7">
        <v>1.53</v>
      </c>
      <c r="G4793" s="31"/>
    </row>
    <row r="4794" spans="1:7" x14ac:dyDescent="0.25">
      <c r="A4794" s="36">
        <v>44606</v>
      </c>
      <c r="B4794" s="7">
        <v>40.82</v>
      </c>
      <c r="C4794" s="7">
        <v>22.15</v>
      </c>
      <c r="D4794" s="6">
        <v>3.5</v>
      </c>
      <c r="E4794" s="7">
        <v>1.51</v>
      </c>
      <c r="G4794" s="31"/>
    </row>
    <row r="4795" spans="1:7" x14ac:dyDescent="0.25">
      <c r="A4795" s="36">
        <v>44607</v>
      </c>
      <c r="B4795" s="7">
        <v>40.82</v>
      </c>
      <c r="C4795" s="7">
        <v>22.14</v>
      </c>
      <c r="D4795" s="6">
        <v>3.45</v>
      </c>
      <c r="E4795" s="7">
        <v>1.5799999999999998</v>
      </c>
      <c r="G4795" s="31"/>
    </row>
    <row r="4796" spans="1:7" x14ac:dyDescent="0.25">
      <c r="A4796" s="36">
        <v>44608</v>
      </c>
      <c r="B4796" s="7">
        <v>40.81</v>
      </c>
      <c r="C4796" s="7">
        <v>22.14</v>
      </c>
      <c r="D4796" s="6">
        <v>3.4</v>
      </c>
      <c r="E4796" s="7">
        <v>1.67</v>
      </c>
      <c r="G4796" s="31"/>
    </row>
    <row r="4797" spans="1:7" x14ac:dyDescent="0.25">
      <c r="A4797" s="36">
        <v>44609</v>
      </c>
      <c r="B4797" s="7">
        <v>40.82</v>
      </c>
      <c r="C4797" s="7">
        <v>22.14</v>
      </c>
      <c r="D4797" s="6">
        <v>3.36</v>
      </c>
      <c r="E4797" s="7">
        <v>1.77</v>
      </c>
      <c r="G4797" s="31"/>
    </row>
    <row r="4798" spans="1:7" x14ac:dyDescent="0.25">
      <c r="A4798" s="36">
        <v>44610</v>
      </c>
      <c r="B4798" s="7">
        <v>40.81</v>
      </c>
      <c r="C4798" s="7">
        <v>22.14</v>
      </c>
      <c r="D4798" s="6">
        <v>3.32</v>
      </c>
      <c r="E4798" s="7">
        <v>1.8</v>
      </c>
      <c r="G4798" s="31"/>
    </row>
    <row r="4799" spans="1:7" x14ac:dyDescent="0.25">
      <c r="A4799" s="36">
        <v>44611</v>
      </c>
      <c r="B4799" s="7">
        <v>40.81</v>
      </c>
      <c r="C4799" s="7">
        <v>22.15</v>
      </c>
      <c r="D4799" s="6">
        <v>3.28</v>
      </c>
      <c r="E4799" s="7">
        <v>1.71</v>
      </c>
      <c r="G4799" s="31"/>
    </row>
    <row r="4800" spans="1:7" x14ac:dyDescent="0.25">
      <c r="A4800" s="36">
        <v>44612</v>
      </c>
      <c r="B4800" s="7">
        <v>40.799999999999997</v>
      </c>
      <c r="C4800" s="7">
        <v>22.16</v>
      </c>
      <c r="D4800" s="6">
        <v>3.28</v>
      </c>
      <c r="E4800" s="7">
        <v>1.75</v>
      </c>
      <c r="G4800" s="31"/>
    </row>
    <row r="4801" spans="1:7" x14ac:dyDescent="0.25">
      <c r="A4801" s="36">
        <v>44613</v>
      </c>
      <c r="B4801" s="7">
        <v>40.799999999999997</v>
      </c>
      <c r="C4801" s="7">
        <v>22.18</v>
      </c>
      <c r="D4801" s="6">
        <v>3.29</v>
      </c>
      <c r="E4801" s="7">
        <v>1.77</v>
      </c>
      <c r="G4801" s="31"/>
    </row>
    <row r="4802" spans="1:7" x14ac:dyDescent="0.25">
      <c r="A4802" s="36">
        <v>44614</v>
      </c>
      <c r="B4802" s="7">
        <v>40.79</v>
      </c>
      <c r="C4802" s="7">
        <v>22.18</v>
      </c>
      <c r="D4802" s="6">
        <v>3.2</v>
      </c>
      <c r="E4802" s="7">
        <v>1.68</v>
      </c>
      <c r="G4802" s="31"/>
    </row>
    <row r="4803" spans="1:7" x14ac:dyDescent="0.25">
      <c r="A4803" s="36">
        <v>44615</v>
      </c>
      <c r="B4803" s="7">
        <v>40.700000000000003</v>
      </c>
      <c r="C4803" s="7">
        <v>22.17</v>
      </c>
      <c r="D4803" s="6">
        <v>3.19</v>
      </c>
      <c r="E4803" s="7">
        <v>1.6099999999999999</v>
      </c>
      <c r="G4803" s="31"/>
    </row>
    <row r="4804" spans="1:7" x14ac:dyDescent="0.25">
      <c r="A4804" s="36">
        <v>44616</v>
      </c>
      <c r="B4804" s="7">
        <v>40.770000000000003</v>
      </c>
      <c r="C4804" s="7">
        <v>22.15</v>
      </c>
      <c r="D4804" s="6">
        <v>3.18</v>
      </c>
      <c r="E4804" s="7">
        <v>1.64</v>
      </c>
      <c r="G4804" s="31"/>
    </row>
    <row r="4805" spans="1:7" x14ac:dyDescent="0.25">
      <c r="A4805" s="36">
        <v>44617</v>
      </c>
      <c r="B4805" s="7">
        <v>40.770000000000003</v>
      </c>
      <c r="C4805" s="7">
        <v>22.13</v>
      </c>
      <c r="D4805" s="6">
        <v>3.17</v>
      </c>
      <c r="E4805" s="7">
        <v>1.5799999999999998</v>
      </c>
      <c r="G4805" s="31"/>
    </row>
    <row r="4806" spans="1:7" x14ac:dyDescent="0.25">
      <c r="A4806" s="36">
        <v>44618</v>
      </c>
      <c r="B4806" s="7">
        <v>40.78</v>
      </c>
      <c r="C4806" s="7">
        <v>22.13</v>
      </c>
      <c r="D4806" s="6">
        <v>3.18</v>
      </c>
      <c r="E4806" s="7">
        <v>1.5599999999999998</v>
      </c>
      <c r="G4806" s="31"/>
    </row>
    <row r="4807" spans="1:7" x14ac:dyDescent="0.25">
      <c r="A4807" s="36">
        <v>44619</v>
      </c>
      <c r="B4807" s="7">
        <v>40.81</v>
      </c>
      <c r="C4807" s="7">
        <v>22.14</v>
      </c>
      <c r="D4807" s="6">
        <v>3.2</v>
      </c>
      <c r="E4807" s="7">
        <v>1.5799999999999998</v>
      </c>
      <c r="G4807" s="31"/>
    </row>
    <row r="4808" spans="1:7" x14ac:dyDescent="0.25">
      <c r="A4808" s="36">
        <v>44620</v>
      </c>
      <c r="B4808" s="7">
        <v>40.83</v>
      </c>
      <c r="C4808" s="7">
        <v>22.14</v>
      </c>
      <c r="D4808" s="6">
        <v>3.25</v>
      </c>
      <c r="E4808" s="7">
        <v>1.5799999999999998</v>
      </c>
      <c r="G4808" s="31"/>
    </row>
    <row r="4809" spans="1:7" x14ac:dyDescent="0.25">
      <c r="A4809" s="36">
        <v>44621</v>
      </c>
      <c r="B4809" s="7">
        <v>41.05</v>
      </c>
      <c r="C4809" s="7">
        <v>22.14</v>
      </c>
      <c r="D4809" s="6">
        <v>3.34</v>
      </c>
      <c r="E4809" s="7">
        <v>1.65</v>
      </c>
      <c r="G4809" s="31"/>
    </row>
    <row r="4810" spans="1:7" x14ac:dyDescent="0.25">
      <c r="A4810" s="36">
        <v>44622</v>
      </c>
      <c r="B4810" s="7">
        <v>41.2</v>
      </c>
      <c r="C4810" s="7">
        <v>22.18</v>
      </c>
      <c r="D4810" s="6">
        <v>3.43</v>
      </c>
      <c r="E4810" s="7">
        <v>1.72</v>
      </c>
      <c r="G4810" s="31"/>
    </row>
    <row r="4811" spans="1:7" x14ac:dyDescent="0.25">
      <c r="A4811" s="36">
        <v>44623</v>
      </c>
      <c r="B4811" s="7">
        <v>41.39</v>
      </c>
      <c r="C4811" s="7">
        <v>22.18</v>
      </c>
      <c r="D4811" s="6">
        <v>3.52</v>
      </c>
      <c r="E4811" s="7">
        <v>1.95</v>
      </c>
      <c r="G4811" s="31"/>
    </row>
    <row r="4812" spans="1:7" x14ac:dyDescent="0.25">
      <c r="A4812" s="36">
        <v>44624</v>
      </c>
      <c r="B4812" s="7">
        <v>41.33</v>
      </c>
      <c r="C4812" s="7">
        <v>22.22</v>
      </c>
      <c r="D4812" s="6">
        <v>3.61</v>
      </c>
      <c r="E4812" s="7">
        <v>2.0699999999999998</v>
      </c>
      <c r="G4812" s="31"/>
    </row>
    <row r="4813" spans="1:7" x14ac:dyDescent="0.25">
      <c r="A4813" s="36">
        <v>44625</v>
      </c>
      <c r="B4813" s="7">
        <v>41.66</v>
      </c>
      <c r="C4813" s="7">
        <v>22.32</v>
      </c>
      <c r="D4813" s="6">
        <v>3.7</v>
      </c>
      <c r="E4813" s="6">
        <v>2.13</v>
      </c>
      <c r="G4813" s="31"/>
    </row>
    <row r="4814" spans="1:7" x14ac:dyDescent="0.25">
      <c r="A4814" s="36">
        <v>44626</v>
      </c>
      <c r="B4814" s="7">
        <v>41.75</v>
      </c>
      <c r="C4814" s="7">
        <v>22.42</v>
      </c>
      <c r="D4814" s="6">
        <v>3.79</v>
      </c>
      <c r="E4814" s="6">
        <v>2.11</v>
      </c>
      <c r="G4814" s="31"/>
    </row>
    <row r="4815" spans="1:7" x14ac:dyDescent="0.25">
      <c r="A4815" s="36">
        <v>44627</v>
      </c>
      <c r="B4815" s="7">
        <v>41.8</v>
      </c>
      <c r="C4815" s="7">
        <v>22.54</v>
      </c>
      <c r="D4815" s="6">
        <v>3.87</v>
      </c>
      <c r="E4815" s="6">
        <v>2.0500000000000003</v>
      </c>
      <c r="G4815" s="31"/>
    </row>
    <row r="4816" spans="1:7" x14ac:dyDescent="0.25">
      <c r="A4816" s="36">
        <v>44628</v>
      </c>
      <c r="B4816" s="7">
        <v>41.85</v>
      </c>
      <c r="C4816" s="7">
        <v>22.74</v>
      </c>
      <c r="D4816" s="6">
        <v>3.96</v>
      </c>
      <c r="E4816" s="6">
        <v>1.92</v>
      </c>
      <c r="G4816" s="31"/>
    </row>
    <row r="4817" spans="1:7" x14ac:dyDescent="0.25">
      <c r="A4817" s="36">
        <v>44629</v>
      </c>
      <c r="B4817" s="7">
        <v>41.85</v>
      </c>
      <c r="C4817" s="7">
        <v>22.88</v>
      </c>
      <c r="D4817" s="6">
        <v>4.05</v>
      </c>
      <c r="E4817" s="6">
        <v>1.8</v>
      </c>
      <c r="G4817" s="31"/>
    </row>
    <row r="4818" spans="1:7" x14ac:dyDescent="0.25">
      <c r="A4818" s="36">
        <v>44630</v>
      </c>
      <c r="B4818" s="7">
        <v>41.87</v>
      </c>
      <c r="C4818" s="7">
        <v>23.08</v>
      </c>
      <c r="D4818" s="6">
        <v>4.0999999999999996</v>
      </c>
      <c r="E4818" s="6">
        <v>1.74</v>
      </c>
      <c r="G4818" s="31"/>
    </row>
    <row r="4819" spans="1:7" x14ac:dyDescent="0.25">
      <c r="A4819" s="36">
        <v>44631</v>
      </c>
      <c r="B4819" s="7">
        <v>41.89</v>
      </c>
      <c r="C4819" s="7">
        <v>23.1</v>
      </c>
      <c r="D4819" s="6">
        <v>4.3</v>
      </c>
      <c r="E4819" s="6">
        <v>1.8199999999999998</v>
      </c>
      <c r="G4819" s="31"/>
    </row>
    <row r="4820" spans="1:7" x14ac:dyDescent="0.25">
      <c r="A4820" s="36">
        <v>44632</v>
      </c>
      <c r="B4820" s="7">
        <v>41.89</v>
      </c>
      <c r="C4820" s="7">
        <v>23.15</v>
      </c>
      <c r="D4820" s="6">
        <v>4.46</v>
      </c>
      <c r="E4820" s="6">
        <v>1.98</v>
      </c>
      <c r="G4820" s="31"/>
    </row>
    <row r="4821" spans="1:7" x14ac:dyDescent="0.25">
      <c r="A4821" s="36">
        <v>44633</v>
      </c>
      <c r="B4821" s="7">
        <v>41.89</v>
      </c>
      <c r="C4821" s="7">
        <v>23.22</v>
      </c>
      <c r="D4821" s="6">
        <v>4.58</v>
      </c>
      <c r="E4821" s="6">
        <v>2.02</v>
      </c>
      <c r="G4821" s="31"/>
    </row>
    <row r="4822" spans="1:7" x14ac:dyDescent="0.25">
      <c r="A4822" s="36">
        <v>44634</v>
      </c>
      <c r="B4822" s="7">
        <v>41.9</v>
      </c>
      <c r="C4822" s="6">
        <v>23.25</v>
      </c>
      <c r="D4822" s="6">
        <v>4.74</v>
      </c>
      <c r="E4822" s="6">
        <v>2.0699999999999998</v>
      </c>
      <c r="G4822" s="31"/>
    </row>
    <row r="4823" spans="1:7" x14ac:dyDescent="0.25">
      <c r="A4823" s="36">
        <v>44635</v>
      </c>
      <c r="B4823" s="7">
        <v>41.93</v>
      </c>
      <c r="C4823" s="6">
        <v>23.28</v>
      </c>
      <c r="D4823" s="6">
        <v>4.9400000000000004</v>
      </c>
      <c r="E4823" s="6">
        <v>2.2400000000000002</v>
      </c>
      <c r="G4823" s="31"/>
    </row>
    <row r="4824" spans="1:7" x14ac:dyDescent="0.25">
      <c r="A4824" s="36">
        <v>44636</v>
      </c>
      <c r="B4824" s="7">
        <v>42.05</v>
      </c>
      <c r="C4824" s="6">
        <v>23.28</v>
      </c>
      <c r="D4824" s="6">
        <v>5.12</v>
      </c>
      <c r="E4824" s="6">
        <v>2.42</v>
      </c>
      <c r="G4824" s="31"/>
    </row>
    <row r="4825" spans="1:7" x14ac:dyDescent="0.25">
      <c r="A4825" s="36">
        <v>44637</v>
      </c>
      <c r="B4825" s="7">
        <v>42.17</v>
      </c>
      <c r="C4825" s="6">
        <v>23.26</v>
      </c>
      <c r="D4825" s="6">
        <v>5.22</v>
      </c>
      <c r="E4825" s="6">
        <v>2.48</v>
      </c>
      <c r="G4825" s="31"/>
    </row>
    <row r="4826" spans="1:7" x14ac:dyDescent="0.25">
      <c r="A4826" s="36">
        <v>44638</v>
      </c>
      <c r="B4826" s="7">
        <v>42.27</v>
      </c>
      <c r="C4826" s="6">
        <v>23.26</v>
      </c>
      <c r="D4826" s="6">
        <v>5.25</v>
      </c>
      <c r="E4826" s="6">
        <v>2.5900000000000003</v>
      </c>
      <c r="G4826" s="31"/>
    </row>
    <row r="4827" spans="1:7" x14ac:dyDescent="0.25">
      <c r="A4827" s="36">
        <v>44639</v>
      </c>
      <c r="B4827" s="7">
        <v>42.33</v>
      </c>
      <c r="C4827" s="6">
        <v>23.32</v>
      </c>
      <c r="D4827" s="6">
        <v>5.26</v>
      </c>
      <c r="E4827" s="6">
        <v>2.6500000000000004</v>
      </c>
      <c r="G4827" s="31"/>
    </row>
    <row r="4828" spans="1:7" x14ac:dyDescent="0.25">
      <c r="A4828" s="36">
        <v>44640</v>
      </c>
      <c r="B4828" s="7">
        <v>42.44</v>
      </c>
      <c r="C4828" s="6">
        <v>23.4</v>
      </c>
      <c r="D4828" s="6">
        <v>5.3</v>
      </c>
      <c r="E4828" s="6">
        <v>2.68</v>
      </c>
      <c r="G4828" s="31"/>
    </row>
    <row r="4829" spans="1:7" x14ac:dyDescent="0.25">
      <c r="A4829" s="36">
        <v>44641</v>
      </c>
      <c r="B4829" s="7">
        <v>42.6</v>
      </c>
      <c r="C4829" s="6">
        <v>23.48</v>
      </c>
      <c r="D4829" s="6">
        <v>5.45</v>
      </c>
      <c r="E4829" s="6">
        <v>2.72</v>
      </c>
      <c r="G4829" s="31"/>
    </row>
    <row r="4830" spans="1:7" x14ac:dyDescent="0.25">
      <c r="A4830" s="36">
        <v>44642</v>
      </c>
      <c r="B4830" s="7">
        <v>42.85</v>
      </c>
      <c r="C4830" s="6">
        <v>23.52</v>
      </c>
      <c r="D4830" s="6">
        <v>5.56</v>
      </c>
      <c r="E4830" s="6">
        <v>2.79</v>
      </c>
      <c r="G4830" s="31"/>
    </row>
    <row r="4831" spans="1:7" x14ac:dyDescent="0.25">
      <c r="A4831" s="36">
        <v>44643</v>
      </c>
      <c r="B4831" s="7">
        <v>43.07</v>
      </c>
      <c r="C4831" s="6">
        <v>23.6</v>
      </c>
      <c r="D4831" s="6">
        <v>5.66</v>
      </c>
      <c r="E4831" s="6">
        <v>2.79</v>
      </c>
      <c r="G4831" s="31"/>
    </row>
    <row r="4832" spans="1:7" x14ac:dyDescent="0.25">
      <c r="A4832" s="36">
        <v>44644</v>
      </c>
      <c r="B4832" s="7">
        <v>43.23</v>
      </c>
      <c r="C4832" s="6">
        <v>23.68</v>
      </c>
      <c r="D4832" s="6">
        <v>5.72</v>
      </c>
      <c r="E4832" s="6">
        <v>2.74</v>
      </c>
      <c r="G4832" s="31"/>
    </row>
    <row r="4833" spans="1:7" x14ac:dyDescent="0.25">
      <c r="A4833" s="36">
        <v>44645</v>
      </c>
      <c r="B4833" s="7">
        <v>43.29</v>
      </c>
      <c r="C4833" s="6">
        <v>23.8</v>
      </c>
      <c r="D4833" s="6">
        <v>5.74</v>
      </c>
      <c r="E4833" s="6">
        <v>2.8200000000000003</v>
      </c>
      <c r="G4833" s="31"/>
    </row>
    <row r="4834" spans="1:7" x14ac:dyDescent="0.25">
      <c r="A4834" s="36">
        <v>44646</v>
      </c>
      <c r="B4834" s="7">
        <v>43.33</v>
      </c>
      <c r="C4834" s="6">
        <v>23.96</v>
      </c>
      <c r="D4834" s="6">
        <v>5.78</v>
      </c>
      <c r="E4834" s="6">
        <v>3.2</v>
      </c>
      <c r="G4834" s="31"/>
    </row>
    <row r="4835" spans="1:7" x14ac:dyDescent="0.25">
      <c r="A4835" s="36">
        <v>44647</v>
      </c>
      <c r="B4835" s="7">
        <v>43.33</v>
      </c>
      <c r="C4835" s="6">
        <v>24.08</v>
      </c>
      <c r="D4835" s="6">
        <v>5.88</v>
      </c>
      <c r="E4835" s="6">
        <v>3.37</v>
      </c>
      <c r="G4835" s="31"/>
    </row>
    <row r="4836" spans="1:7" x14ac:dyDescent="0.25">
      <c r="A4836" s="36">
        <v>44648</v>
      </c>
      <c r="B4836" s="7">
        <v>43.35</v>
      </c>
      <c r="C4836" s="6">
        <v>24.2</v>
      </c>
      <c r="D4836" s="6">
        <v>5.94</v>
      </c>
      <c r="E4836" s="6">
        <v>3.49</v>
      </c>
      <c r="G4836" s="31"/>
    </row>
    <row r="4837" spans="1:7" x14ac:dyDescent="0.25">
      <c r="A4837" s="36">
        <v>44649</v>
      </c>
      <c r="B4837" s="7">
        <v>43.38</v>
      </c>
      <c r="C4837" s="6">
        <v>24.26</v>
      </c>
      <c r="D4837" s="6">
        <v>5.98</v>
      </c>
      <c r="E4837" s="6">
        <v>3.5100000000000002</v>
      </c>
      <c r="G4837" s="31"/>
    </row>
    <row r="4838" spans="1:7" x14ac:dyDescent="0.25">
      <c r="A4838" s="36">
        <v>44650</v>
      </c>
      <c r="B4838" s="7">
        <v>43.44</v>
      </c>
      <c r="C4838" s="6">
        <v>24.3</v>
      </c>
      <c r="D4838" s="6">
        <v>5.98</v>
      </c>
      <c r="E4838" s="6">
        <v>3.54</v>
      </c>
      <c r="G4838" s="31"/>
    </row>
    <row r="4839" spans="1:7" x14ac:dyDescent="0.25">
      <c r="A4839" s="36">
        <v>44651</v>
      </c>
      <c r="B4839" s="7">
        <v>43.51</v>
      </c>
      <c r="C4839" s="6">
        <v>24.3</v>
      </c>
      <c r="D4839" s="6">
        <v>5.98</v>
      </c>
      <c r="E4839" s="6">
        <v>3.56</v>
      </c>
      <c r="G4839" s="31"/>
    </row>
    <row r="4840" spans="1:7" x14ac:dyDescent="0.25">
      <c r="A4840" s="36">
        <v>44652</v>
      </c>
      <c r="B4840" s="7">
        <v>43.55</v>
      </c>
      <c r="C4840" s="6">
        <v>24.3</v>
      </c>
      <c r="D4840" s="9">
        <v>6</v>
      </c>
      <c r="E4840" s="6">
        <v>3.6</v>
      </c>
      <c r="G4840" s="31"/>
    </row>
    <row r="4841" spans="1:7" x14ac:dyDescent="0.25">
      <c r="A4841" s="36">
        <v>44653</v>
      </c>
      <c r="B4841" s="7">
        <v>43.58</v>
      </c>
      <c r="C4841" s="6">
        <v>24.32</v>
      </c>
      <c r="D4841" s="9">
        <v>6.02</v>
      </c>
      <c r="E4841" s="6">
        <v>3.64</v>
      </c>
      <c r="G4841" s="31"/>
    </row>
    <row r="4842" spans="1:7" x14ac:dyDescent="0.25">
      <c r="A4842" s="36">
        <v>44654</v>
      </c>
      <c r="B4842" s="7">
        <v>43.56</v>
      </c>
      <c r="C4842" s="6">
        <v>24.4</v>
      </c>
      <c r="D4842" s="9">
        <v>6</v>
      </c>
      <c r="E4842" s="6">
        <v>3.5500000000000003</v>
      </c>
      <c r="G4842" s="31"/>
    </row>
    <row r="4843" spans="1:7" x14ac:dyDescent="0.25">
      <c r="A4843" s="36">
        <v>44655</v>
      </c>
      <c r="B4843" s="7">
        <v>43.52</v>
      </c>
      <c r="C4843" s="6">
        <v>24.48</v>
      </c>
      <c r="D4843" s="9">
        <v>6</v>
      </c>
      <c r="E4843" s="6">
        <v>3.58</v>
      </c>
      <c r="G4843" s="31"/>
    </row>
    <row r="4844" spans="1:7" x14ac:dyDescent="0.25">
      <c r="A4844" s="36">
        <v>44656</v>
      </c>
      <c r="B4844" s="7">
        <v>43.47</v>
      </c>
      <c r="C4844" s="6">
        <v>24.5</v>
      </c>
      <c r="D4844" s="9">
        <v>6</v>
      </c>
      <c r="E4844" s="6">
        <v>3.5900000000000003</v>
      </c>
      <c r="G4844" s="31"/>
    </row>
    <row r="4845" spans="1:7" x14ac:dyDescent="0.25">
      <c r="A4845" s="36">
        <v>44657</v>
      </c>
      <c r="B4845" s="7">
        <v>43.45</v>
      </c>
      <c r="C4845" s="6">
        <v>24.54</v>
      </c>
      <c r="D4845" s="9">
        <v>5.95</v>
      </c>
      <c r="E4845" s="6">
        <v>3.56</v>
      </c>
      <c r="G4845" s="31"/>
    </row>
    <row r="4846" spans="1:7" x14ac:dyDescent="0.25">
      <c r="A4846" s="36">
        <v>44658</v>
      </c>
      <c r="B4846" s="7">
        <v>43.44</v>
      </c>
      <c r="C4846" s="6">
        <v>24.56</v>
      </c>
      <c r="D4846" s="9">
        <v>5.92</v>
      </c>
      <c r="E4846" s="6">
        <v>3.54</v>
      </c>
      <c r="G4846" s="31"/>
    </row>
    <row r="4847" spans="1:7" x14ac:dyDescent="0.25">
      <c r="A4847" s="36">
        <v>44659</v>
      </c>
      <c r="B4847" s="7">
        <v>43.45</v>
      </c>
      <c r="C4847" s="6">
        <v>24.56</v>
      </c>
      <c r="D4847" s="6">
        <v>5.92</v>
      </c>
      <c r="E4847" s="6">
        <v>3.5</v>
      </c>
      <c r="G4847" s="31"/>
    </row>
    <row r="4848" spans="1:7" x14ac:dyDescent="0.25">
      <c r="A4848" s="36">
        <v>44660</v>
      </c>
      <c r="B4848" s="7">
        <v>43.43</v>
      </c>
      <c r="C4848" s="6">
        <v>24.56</v>
      </c>
      <c r="D4848" s="6">
        <v>5.98</v>
      </c>
      <c r="E4848" s="6">
        <v>3.5</v>
      </c>
      <c r="G4848" s="31"/>
    </row>
    <row r="4849" spans="1:7" x14ac:dyDescent="0.25">
      <c r="A4849" s="36">
        <v>44661</v>
      </c>
      <c r="B4849" s="7">
        <v>43.39</v>
      </c>
      <c r="C4849" s="6">
        <v>24.56</v>
      </c>
      <c r="D4849" s="6">
        <v>6.1</v>
      </c>
      <c r="E4849" s="6">
        <v>3.54</v>
      </c>
      <c r="G4849" s="31"/>
    </row>
    <row r="4850" spans="1:7" x14ac:dyDescent="0.25">
      <c r="A4850" s="36">
        <v>44662</v>
      </c>
      <c r="B4850" s="7">
        <v>43.35</v>
      </c>
      <c r="C4850" s="6">
        <v>24.54</v>
      </c>
      <c r="D4850" s="6">
        <v>6.16</v>
      </c>
      <c r="E4850" s="6">
        <v>3.58</v>
      </c>
      <c r="G4850" s="31"/>
    </row>
    <row r="4851" spans="1:7" x14ac:dyDescent="0.25">
      <c r="A4851" s="36">
        <v>44663</v>
      </c>
      <c r="B4851" s="7">
        <v>43.33</v>
      </c>
      <c r="C4851" s="6">
        <v>24.52</v>
      </c>
      <c r="D4851" s="6">
        <v>6.16</v>
      </c>
      <c r="E4851" s="6">
        <v>3.5500000000000003</v>
      </c>
      <c r="G4851" s="31"/>
    </row>
    <row r="4852" spans="1:7" x14ac:dyDescent="0.25">
      <c r="A4852" s="36">
        <v>44664</v>
      </c>
      <c r="B4852" s="7">
        <v>43.32</v>
      </c>
      <c r="C4852" s="6">
        <v>24.48</v>
      </c>
      <c r="D4852" s="6">
        <v>6.14</v>
      </c>
      <c r="E4852" s="6">
        <v>3.58</v>
      </c>
      <c r="G4852" s="31"/>
    </row>
    <row r="4853" spans="1:7" x14ac:dyDescent="0.25">
      <c r="A4853" s="36">
        <v>44665</v>
      </c>
      <c r="B4853" s="7">
        <v>43.31</v>
      </c>
      <c r="C4853" s="6">
        <v>24.45</v>
      </c>
      <c r="D4853" s="6">
        <v>6.08</v>
      </c>
      <c r="E4853" s="6">
        <v>3.56</v>
      </c>
      <c r="G4853" s="31"/>
    </row>
    <row r="4854" spans="1:7" x14ac:dyDescent="0.25">
      <c r="A4854" s="36">
        <v>44666</v>
      </c>
      <c r="B4854" s="7">
        <v>43.3</v>
      </c>
      <c r="C4854" s="6">
        <v>24.43</v>
      </c>
      <c r="D4854" s="6">
        <v>6.05</v>
      </c>
      <c r="E4854" s="6">
        <v>3.6300000000000003</v>
      </c>
      <c r="G4854" s="31"/>
    </row>
    <row r="4855" spans="1:7" x14ac:dyDescent="0.25">
      <c r="A4855" s="36">
        <v>44667</v>
      </c>
      <c r="B4855" s="7">
        <v>43.3</v>
      </c>
      <c r="C4855" s="6">
        <v>24.52</v>
      </c>
      <c r="D4855" s="6">
        <v>6.06</v>
      </c>
      <c r="E4855" s="6">
        <v>3.6500000000000004</v>
      </c>
      <c r="G4855" s="31"/>
    </row>
    <row r="4856" spans="1:7" x14ac:dyDescent="0.25">
      <c r="A4856" s="36">
        <v>44668</v>
      </c>
      <c r="B4856" s="7">
        <v>43.31</v>
      </c>
      <c r="C4856" s="6">
        <v>24.6</v>
      </c>
      <c r="D4856" s="6">
        <v>6.08</v>
      </c>
      <c r="E4856" s="6">
        <v>3.58</v>
      </c>
      <c r="G4856" s="31"/>
    </row>
    <row r="4857" spans="1:7" x14ac:dyDescent="0.25">
      <c r="A4857" s="36">
        <v>44669</v>
      </c>
      <c r="B4857" s="7">
        <v>43.31</v>
      </c>
      <c r="C4857" s="6">
        <v>24.66</v>
      </c>
      <c r="D4857" s="6">
        <v>6.06</v>
      </c>
      <c r="E4857" s="6">
        <v>3.6100000000000003</v>
      </c>
      <c r="G4857" s="31"/>
    </row>
    <row r="4858" spans="1:7" x14ac:dyDescent="0.25">
      <c r="A4858" s="36">
        <v>44670</v>
      </c>
      <c r="B4858" s="6">
        <v>43.36</v>
      </c>
      <c r="C4858" s="6">
        <v>24.68</v>
      </c>
      <c r="D4858" s="6">
        <v>6.06</v>
      </c>
      <c r="E4858" s="6">
        <v>3.6700000000000004</v>
      </c>
      <c r="G4858" s="31"/>
    </row>
    <row r="4859" spans="1:7" x14ac:dyDescent="0.25">
      <c r="A4859" s="36">
        <v>44671</v>
      </c>
      <c r="B4859" s="6">
        <v>43.45</v>
      </c>
      <c r="C4859" s="6">
        <v>24.68</v>
      </c>
      <c r="D4859" s="6">
        <v>6.1</v>
      </c>
      <c r="E4859" s="6">
        <v>3.66</v>
      </c>
      <c r="G4859" s="31"/>
    </row>
    <row r="4860" spans="1:7" x14ac:dyDescent="0.25">
      <c r="A4860" s="36">
        <v>44672</v>
      </c>
      <c r="B4860" s="6">
        <v>43.58</v>
      </c>
      <c r="C4860" s="6">
        <v>24.68</v>
      </c>
      <c r="D4860" s="6">
        <v>6.16</v>
      </c>
      <c r="E4860" s="6">
        <v>3.5900000000000003</v>
      </c>
      <c r="G4860" s="31"/>
    </row>
    <row r="4861" spans="1:7" x14ac:dyDescent="0.25">
      <c r="A4861" s="36">
        <v>44673</v>
      </c>
      <c r="B4861" s="6">
        <v>43.69</v>
      </c>
      <c r="C4861" s="6">
        <v>24.7</v>
      </c>
      <c r="D4861" s="6">
        <v>6.18</v>
      </c>
      <c r="E4861" s="6">
        <v>3.6300000000000003</v>
      </c>
      <c r="G4861" s="31"/>
    </row>
    <row r="4862" spans="1:7" x14ac:dyDescent="0.25">
      <c r="A4862" s="36">
        <v>44674</v>
      </c>
      <c r="B4862" s="6">
        <v>43.82</v>
      </c>
      <c r="C4862" s="6">
        <v>24.73</v>
      </c>
      <c r="D4862" s="9">
        <v>6.2</v>
      </c>
      <c r="E4862" s="6">
        <v>3.5100000000000002</v>
      </c>
      <c r="G4862" s="31"/>
    </row>
    <row r="4863" spans="1:7" x14ac:dyDescent="0.25">
      <c r="A4863" s="36">
        <v>44675</v>
      </c>
      <c r="B4863" s="6">
        <v>43.9</v>
      </c>
      <c r="C4863" s="6">
        <v>24.78</v>
      </c>
      <c r="D4863" s="9">
        <v>6.08</v>
      </c>
      <c r="E4863" s="6">
        <v>3.02</v>
      </c>
      <c r="G4863" s="31"/>
    </row>
    <row r="4864" spans="1:7" x14ac:dyDescent="0.25">
      <c r="A4864" s="36">
        <v>44676</v>
      </c>
      <c r="B4864" s="6">
        <v>43.97</v>
      </c>
      <c r="C4864" s="6">
        <v>24.88</v>
      </c>
      <c r="D4864" s="6">
        <v>6.02</v>
      </c>
      <c r="E4864" s="6">
        <v>3.2</v>
      </c>
      <c r="G4864" s="31"/>
    </row>
    <row r="4865" spans="1:7" x14ac:dyDescent="0.25">
      <c r="A4865" s="36">
        <v>44677</v>
      </c>
      <c r="B4865" s="6">
        <v>44.05</v>
      </c>
      <c r="C4865" s="6">
        <v>24.98</v>
      </c>
      <c r="D4865" s="6">
        <v>6.04</v>
      </c>
      <c r="E4865" s="6">
        <v>3.3400000000000003</v>
      </c>
      <c r="G4865" s="31"/>
    </row>
    <row r="4866" spans="1:7" x14ac:dyDescent="0.25">
      <c r="A4866" s="36">
        <v>44678</v>
      </c>
      <c r="B4866" s="6">
        <v>44.12</v>
      </c>
      <c r="C4866" s="6">
        <v>25.12</v>
      </c>
      <c r="D4866" s="6">
        <v>6.14</v>
      </c>
      <c r="E4866" s="6">
        <v>3.4200000000000004</v>
      </c>
      <c r="G4866" s="31"/>
    </row>
    <row r="4867" spans="1:7" x14ac:dyDescent="0.25">
      <c r="A4867" s="36">
        <v>44679</v>
      </c>
      <c r="B4867" s="6">
        <v>44.21</v>
      </c>
      <c r="C4867" s="6">
        <v>25.25</v>
      </c>
      <c r="D4867" s="6">
        <v>6.22</v>
      </c>
      <c r="E4867" s="6">
        <v>3.3800000000000003</v>
      </c>
      <c r="G4867" s="31"/>
    </row>
    <row r="4868" spans="1:7" x14ac:dyDescent="0.25">
      <c r="A4868" s="36">
        <v>44680</v>
      </c>
      <c r="B4868" s="6">
        <v>44.27</v>
      </c>
      <c r="C4868" s="6">
        <v>25.38</v>
      </c>
      <c r="D4868" s="6">
        <v>6.34</v>
      </c>
      <c r="E4868" s="6">
        <v>3.5500000000000003</v>
      </c>
      <c r="G4868" s="31"/>
    </row>
    <row r="4869" spans="1:7" x14ac:dyDescent="0.25">
      <c r="A4869" s="36">
        <v>44681</v>
      </c>
      <c r="B4869" s="6">
        <v>44.33</v>
      </c>
      <c r="C4869" s="6">
        <v>25.52</v>
      </c>
      <c r="D4869" s="6">
        <v>6.48</v>
      </c>
      <c r="E4869" s="6">
        <v>3.6</v>
      </c>
      <c r="G4869" s="31"/>
    </row>
    <row r="4870" spans="1:7" x14ac:dyDescent="0.25">
      <c r="A4870" s="36">
        <v>44682</v>
      </c>
      <c r="B4870" s="6">
        <v>44.45</v>
      </c>
      <c r="C4870" s="6">
        <v>25.62</v>
      </c>
      <c r="D4870" s="25">
        <v>6.74</v>
      </c>
      <c r="E4870" s="6">
        <v>3.8400000000000003</v>
      </c>
      <c r="G4870" s="31"/>
    </row>
    <row r="4871" spans="1:7" x14ac:dyDescent="0.25">
      <c r="A4871" s="36">
        <v>44683</v>
      </c>
      <c r="B4871" s="6">
        <v>44.63</v>
      </c>
      <c r="C4871" s="6">
        <v>25.78</v>
      </c>
      <c r="D4871" s="25">
        <v>6.96</v>
      </c>
      <c r="E4871" s="6">
        <v>3.97</v>
      </c>
      <c r="G4871" s="31"/>
    </row>
    <row r="4872" spans="1:7" x14ac:dyDescent="0.25">
      <c r="A4872" s="36">
        <v>44684</v>
      </c>
      <c r="B4872" s="6">
        <v>44.8</v>
      </c>
      <c r="C4872" s="6">
        <v>25.95</v>
      </c>
      <c r="D4872" s="25">
        <v>7.06</v>
      </c>
      <c r="E4872" s="6">
        <v>3.8800000000000003</v>
      </c>
      <c r="G4872" s="31"/>
    </row>
    <row r="4873" spans="1:7" x14ac:dyDescent="0.25">
      <c r="A4873" s="36">
        <v>44685</v>
      </c>
      <c r="B4873" s="6">
        <v>44.9</v>
      </c>
      <c r="C4873" s="6">
        <v>26.14</v>
      </c>
      <c r="D4873" s="25">
        <v>7.16</v>
      </c>
      <c r="E4873" s="6">
        <v>3.95</v>
      </c>
      <c r="G4873" s="31"/>
    </row>
    <row r="4874" spans="1:7" x14ac:dyDescent="0.25">
      <c r="A4874" s="36">
        <v>44686</v>
      </c>
      <c r="B4874" s="6">
        <v>44.99</v>
      </c>
      <c r="C4874" s="6">
        <v>26.31</v>
      </c>
      <c r="D4874" s="25">
        <v>7.34</v>
      </c>
      <c r="E4874" s="6">
        <v>4.1500000000000004</v>
      </c>
      <c r="G4874" s="31"/>
    </row>
    <row r="4875" spans="1:7" x14ac:dyDescent="0.25">
      <c r="A4875" s="36">
        <v>44687</v>
      </c>
      <c r="B4875" s="6">
        <v>45.1</v>
      </c>
      <c r="C4875" s="6">
        <v>26.44</v>
      </c>
      <c r="D4875" s="25">
        <v>7.5</v>
      </c>
      <c r="E4875" s="6">
        <v>4.34</v>
      </c>
      <c r="G4875" s="31"/>
    </row>
    <row r="4876" spans="1:7" x14ac:dyDescent="0.25">
      <c r="A4876" s="36">
        <v>44688</v>
      </c>
      <c r="B4876" s="6">
        <v>45.23</v>
      </c>
      <c r="C4876" s="6">
        <v>26.63</v>
      </c>
      <c r="D4876" s="25">
        <v>7.64</v>
      </c>
      <c r="E4876" s="6">
        <v>4.37</v>
      </c>
      <c r="G4876" s="31"/>
    </row>
    <row r="4877" spans="1:7" x14ac:dyDescent="0.25">
      <c r="A4877" s="36">
        <v>44689</v>
      </c>
      <c r="B4877" s="6">
        <v>45.4</v>
      </c>
      <c r="C4877" s="6">
        <v>26.72</v>
      </c>
      <c r="D4877" s="25">
        <v>7.76</v>
      </c>
      <c r="E4877" s="6">
        <v>4.4499999999999993</v>
      </c>
      <c r="G4877" s="31"/>
    </row>
    <row r="4878" spans="1:7" x14ac:dyDescent="0.25">
      <c r="A4878" s="36">
        <v>44690</v>
      </c>
      <c r="B4878" s="6">
        <v>45.62</v>
      </c>
      <c r="C4878" s="6">
        <v>26.86</v>
      </c>
      <c r="D4878" s="25">
        <v>7.9</v>
      </c>
      <c r="E4878" s="6">
        <v>4.5</v>
      </c>
      <c r="G4878" s="31"/>
    </row>
    <row r="4879" spans="1:7" x14ac:dyDescent="0.25">
      <c r="A4879" s="36">
        <v>44691</v>
      </c>
      <c r="B4879" s="6">
        <v>45.81</v>
      </c>
      <c r="C4879" s="6">
        <v>27.15</v>
      </c>
      <c r="D4879" s="25">
        <v>8.1999999999999993</v>
      </c>
      <c r="E4879" s="6">
        <v>4.79</v>
      </c>
      <c r="G4879" s="31"/>
    </row>
    <row r="4880" spans="1:7" x14ac:dyDescent="0.25">
      <c r="A4880" s="36">
        <v>44692</v>
      </c>
      <c r="B4880" s="6">
        <v>46.01</v>
      </c>
      <c r="C4880" s="6">
        <v>27.28</v>
      </c>
      <c r="D4880" s="25">
        <v>8.58</v>
      </c>
      <c r="E4880" s="6">
        <v>5.29</v>
      </c>
      <c r="G4880" s="31"/>
    </row>
    <row r="4881" spans="1:7" x14ac:dyDescent="0.25">
      <c r="A4881" s="36">
        <v>44693</v>
      </c>
      <c r="B4881" s="6">
        <v>46.24</v>
      </c>
      <c r="C4881" s="6">
        <v>27.38</v>
      </c>
      <c r="D4881" s="25">
        <v>8.8800000000000008</v>
      </c>
      <c r="E4881" s="6">
        <v>5.4499999999999993</v>
      </c>
      <c r="G4881" s="31"/>
    </row>
    <row r="4882" spans="1:7" x14ac:dyDescent="0.25">
      <c r="A4882" s="36">
        <v>44694</v>
      </c>
      <c r="B4882" s="6">
        <v>46.48</v>
      </c>
      <c r="C4882" s="6">
        <v>27.47</v>
      </c>
      <c r="D4882" s="25">
        <v>9.08</v>
      </c>
      <c r="E4882" s="6">
        <v>5.47</v>
      </c>
      <c r="G4882" s="31"/>
    </row>
    <row r="4883" spans="1:7" x14ac:dyDescent="0.25">
      <c r="A4883" s="36">
        <v>44695</v>
      </c>
      <c r="B4883" s="6">
        <v>46.66</v>
      </c>
      <c r="C4883" s="6">
        <v>27.6</v>
      </c>
      <c r="D4883" s="25">
        <v>9.1999999999999993</v>
      </c>
      <c r="E4883" s="6">
        <v>5.68</v>
      </c>
      <c r="G4883" s="31"/>
    </row>
    <row r="4884" spans="1:7" x14ac:dyDescent="0.25">
      <c r="A4884" s="36">
        <v>44696</v>
      </c>
      <c r="B4884" s="6">
        <v>46.82</v>
      </c>
      <c r="C4884" s="6">
        <v>27.76</v>
      </c>
      <c r="D4884" s="25">
        <v>9.26</v>
      </c>
      <c r="E4884" s="6">
        <v>5.93</v>
      </c>
      <c r="G4884" s="31"/>
    </row>
    <row r="4885" spans="1:7" x14ac:dyDescent="0.25">
      <c r="A4885" s="36">
        <v>44697</v>
      </c>
      <c r="B4885" s="6">
        <v>46.94</v>
      </c>
      <c r="C4885" s="6">
        <v>27.92</v>
      </c>
      <c r="D4885" s="25">
        <v>9.36</v>
      </c>
      <c r="E4885" s="6">
        <v>6.1</v>
      </c>
      <c r="G4885" s="31"/>
    </row>
    <row r="4886" spans="1:7" x14ac:dyDescent="0.25">
      <c r="A4886" s="36">
        <v>44698</v>
      </c>
      <c r="B4886" s="6">
        <v>47.12</v>
      </c>
      <c r="C4886" s="6">
        <v>28.1</v>
      </c>
      <c r="D4886" s="6">
        <v>9.4600000000000009</v>
      </c>
      <c r="E4886" s="6">
        <v>6.14</v>
      </c>
      <c r="G4886" s="31"/>
    </row>
    <row r="4887" spans="1:7" x14ac:dyDescent="0.25">
      <c r="A4887" s="36">
        <v>44699</v>
      </c>
      <c r="B4887" s="9">
        <v>47.3</v>
      </c>
      <c r="C4887" s="6">
        <v>28.28</v>
      </c>
      <c r="D4887" s="6">
        <v>9.6</v>
      </c>
      <c r="E4887" s="6">
        <v>6.1499999999999995</v>
      </c>
      <c r="G4887" s="31"/>
    </row>
    <row r="4888" spans="1:7" x14ac:dyDescent="0.25">
      <c r="A4888" s="36">
        <v>44700</v>
      </c>
      <c r="B4888" s="6">
        <v>47.54</v>
      </c>
      <c r="C4888" s="6">
        <v>28.46</v>
      </c>
      <c r="D4888" s="6">
        <v>9.7799999999999994</v>
      </c>
      <c r="E4888" s="6">
        <v>6.21</v>
      </c>
      <c r="G4888" s="31"/>
    </row>
    <row r="4889" spans="1:7" x14ac:dyDescent="0.25">
      <c r="A4889" s="36">
        <v>44701</v>
      </c>
      <c r="B4889" s="6">
        <v>47.77</v>
      </c>
      <c r="C4889" s="6">
        <v>28.63</v>
      </c>
      <c r="D4889" s="6">
        <v>9.94</v>
      </c>
      <c r="E4889" s="6">
        <v>6.38</v>
      </c>
      <c r="G4889" s="31"/>
    </row>
    <row r="4890" spans="1:7" x14ac:dyDescent="0.25">
      <c r="A4890" s="36">
        <v>44702</v>
      </c>
      <c r="B4890" s="6">
        <v>47.98</v>
      </c>
      <c r="C4890" s="6">
        <v>28.8</v>
      </c>
      <c r="D4890" s="6">
        <v>10.14</v>
      </c>
      <c r="E4890" s="6">
        <v>6.58</v>
      </c>
      <c r="G4890" s="31"/>
    </row>
    <row r="4891" spans="1:7" x14ac:dyDescent="0.25">
      <c r="A4891" s="36">
        <v>44703</v>
      </c>
      <c r="B4891" s="6">
        <v>48.12</v>
      </c>
      <c r="C4891" s="6">
        <v>28.9</v>
      </c>
      <c r="D4891" s="6">
        <v>10.28</v>
      </c>
      <c r="E4891" s="6">
        <v>6.62</v>
      </c>
      <c r="G4891" s="31"/>
    </row>
    <row r="4892" spans="1:7" x14ac:dyDescent="0.25">
      <c r="A4892" s="36">
        <v>44704</v>
      </c>
      <c r="B4892" s="6">
        <v>48.24</v>
      </c>
      <c r="C4892" s="6">
        <v>29</v>
      </c>
      <c r="D4892" s="6">
        <v>10.4</v>
      </c>
      <c r="E4892" s="6">
        <v>6.6899999999999995</v>
      </c>
      <c r="G4892" s="31"/>
    </row>
    <row r="4893" spans="1:7" x14ac:dyDescent="0.25">
      <c r="A4893" s="36">
        <v>44705</v>
      </c>
      <c r="B4893" s="6">
        <v>48.38</v>
      </c>
      <c r="C4893" s="6">
        <v>29.11</v>
      </c>
      <c r="D4893" s="6">
        <v>10.54</v>
      </c>
      <c r="E4893" s="6">
        <v>6.7799999999999994</v>
      </c>
      <c r="G4893" s="31"/>
    </row>
    <row r="4894" spans="1:7" x14ac:dyDescent="0.25">
      <c r="A4894" s="36">
        <v>44706</v>
      </c>
      <c r="B4894" s="6">
        <v>48.46</v>
      </c>
      <c r="C4894" s="7">
        <v>29.22</v>
      </c>
      <c r="D4894" s="7">
        <v>10.74</v>
      </c>
      <c r="E4894" s="6">
        <v>7.06</v>
      </c>
      <c r="G4894" s="31"/>
    </row>
    <row r="4895" spans="1:7" x14ac:dyDescent="0.25">
      <c r="A4895" s="36">
        <v>44707</v>
      </c>
      <c r="B4895" s="7">
        <v>48.56</v>
      </c>
      <c r="C4895" s="7">
        <v>29.35</v>
      </c>
      <c r="D4895" s="7">
        <v>10.9</v>
      </c>
      <c r="E4895" s="6">
        <v>7.1899999999999995</v>
      </c>
      <c r="G4895" s="31"/>
    </row>
    <row r="4896" spans="1:7" x14ac:dyDescent="0.25">
      <c r="A4896" s="36">
        <v>44708</v>
      </c>
      <c r="B4896" s="7">
        <v>48.65</v>
      </c>
      <c r="C4896" s="7">
        <v>29.48</v>
      </c>
      <c r="D4896" s="7">
        <v>11.06</v>
      </c>
      <c r="E4896" s="6">
        <v>7.14</v>
      </c>
      <c r="G4896" s="31"/>
    </row>
    <row r="4897" spans="1:7" x14ac:dyDescent="0.25">
      <c r="A4897" s="36">
        <v>44709</v>
      </c>
      <c r="B4897" s="7">
        <v>48.7</v>
      </c>
      <c r="C4897" s="7">
        <v>29.57</v>
      </c>
      <c r="D4897" s="7">
        <v>11.22</v>
      </c>
      <c r="E4897" s="6">
        <v>7.1999999999999993</v>
      </c>
      <c r="G4897" s="31"/>
    </row>
    <row r="4898" spans="1:7" x14ac:dyDescent="0.25">
      <c r="A4898" s="36">
        <v>44710</v>
      </c>
      <c r="B4898" s="7">
        <v>48.78</v>
      </c>
      <c r="C4898" s="7">
        <v>29.66</v>
      </c>
      <c r="D4898" s="7">
        <v>11.41</v>
      </c>
      <c r="E4898" s="6">
        <v>7.46</v>
      </c>
      <c r="G4898" s="31"/>
    </row>
    <row r="4899" spans="1:7" x14ac:dyDescent="0.25">
      <c r="A4899" s="36">
        <v>44711</v>
      </c>
      <c r="B4899" s="7">
        <v>48.85</v>
      </c>
      <c r="C4899" s="7">
        <v>29.74</v>
      </c>
      <c r="D4899" s="7">
        <v>11.58</v>
      </c>
      <c r="E4899" s="6">
        <v>7.63</v>
      </c>
      <c r="G4899" s="31"/>
    </row>
    <row r="4900" spans="1:7" x14ac:dyDescent="0.25">
      <c r="A4900" s="36">
        <v>44712</v>
      </c>
      <c r="B4900" s="7">
        <v>48.95</v>
      </c>
      <c r="C4900" s="7">
        <v>29.81</v>
      </c>
      <c r="D4900" s="7">
        <v>11.68</v>
      </c>
      <c r="E4900" s="6">
        <v>7.6499999999999995</v>
      </c>
      <c r="G4900" s="31"/>
    </row>
    <row r="4901" spans="1:7" x14ac:dyDescent="0.25">
      <c r="A4901" s="36">
        <v>44713</v>
      </c>
      <c r="B4901" s="7">
        <v>49.05</v>
      </c>
      <c r="C4901" s="7">
        <v>29.87</v>
      </c>
      <c r="D4901" s="7">
        <v>11.76</v>
      </c>
      <c r="E4901" s="7">
        <v>7.6</v>
      </c>
      <c r="G4901" s="31"/>
    </row>
    <row r="4902" spans="1:7" x14ac:dyDescent="0.25">
      <c r="A4902" s="36">
        <v>44714</v>
      </c>
      <c r="B4902" s="7">
        <v>49.18</v>
      </c>
      <c r="C4902" s="7">
        <v>29.95</v>
      </c>
      <c r="D4902" s="7">
        <v>11.76</v>
      </c>
      <c r="E4902" s="7">
        <v>7.35</v>
      </c>
      <c r="G4902" s="31"/>
    </row>
    <row r="4903" spans="1:7" x14ac:dyDescent="0.25">
      <c r="A4903" s="36">
        <v>44715</v>
      </c>
      <c r="B4903" s="7">
        <v>49.3</v>
      </c>
      <c r="C4903" s="7">
        <v>30.04</v>
      </c>
      <c r="D4903" s="7">
        <v>11.8</v>
      </c>
      <c r="E4903" s="7">
        <v>7.42</v>
      </c>
      <c r="G4903" s="31"/>
    </row>
    <row r="4904" spans="1:7" x14ac:dyDescent="0.25">
      <c r="A4904" s="36">
        <v>44716</v>
      </c>
      <c r="B4904" s="7">
        <v>49.38</v>
      </c>
      <c r="C4904" s="7">
        <v>30.12</v>
      </c>
      <c r="D4904" s="7">
        <v>11.88</v>
      </c>
      <c r="E4904" s="7">
        <v>7.64</v>
      </c>
      <c r="G4904" s="31"/>
    </row>
    <row r="4905" spans="1:7" x14ac:dyDescent="0.25">
      <c r="A4905" s="36">
        <v>44717</v>
      </c>
      <c r="B4905" s="7">
        <v>49.45</v>
      </c>
      <c r="C4905" s="7">
        <v>30.22</v>
      </c>
      <c r="D4905" s="7">
        <v>11.96</v>
      </c>
      <c r="E4905" s="7">
        <v>7.68</v>
      </c>
      <c r="G4905" s="31"/>
    </row>
    <row r="4906" spans="1:7" x14ac:dyDescent="0.25">
      <c r="A4906" s="36">
        <v>44718</v>
      </c>
      <c r="B4906" s="7">
        <v>49.48</v>
      </c>
      <c r="C4906" s="7">
        <v>30.33</v>
      </c>
      <c r="D4906" s="7">
        <v>12</v>
      </c>
      <c r="E4906" s="7">
        <v>7.8199999999999994</v>
      </c>
      <c r="G4906" s="31"/>
    </row>
    <row r="4907" spans="1:7" x14ac:dyDescent="0.25">
      <c r="A4907" s="36">
        <v>44719</v>
      </c>
      <c r="B4907" s="7">
        <v>49.52</v>
      </c>
      <c r="C4907" s="7">
        <v>30.4</v>
      </c>
      <c r="D4907" s="7">
        <v>12.18</v>
      </c>
      <c r="E4907" s="7">
        <v>8.18</v>
      </c>
      <c r="G4907" s="31"/>
    </row>
    <row r="4908" spans="1:7" x14ac:dyDescent="0.25">
      <c r="A4908" s="36">
        <v>44720</v>
      </c>
      <c r="B4908" s="7">
        <v>49.55</v>
      </c>
      <c r="C4908" s="7">
        <v>30.47</v>
      </c>
      <c r="D4908" s="7">
        <v>12.32</v>
      </c>
      <c r="E4908" s="7">
        <v>8.1</v>
      </c>
      <c r="G4908" s="31"/>
    </row>
    <row r="4909" spans="1:7" x14ac:dyDescent="0.25">
      <c r="A4909" s="36">
        <v>44721</v>
      </c>
      <c r="B4909" s="7">
        <v>49.56</v>
      </c>
      <c r="C4909" s="7">
        <v>30.54</v>
      </c>
      <c r="D4909" s="7">
        <v>12.38</v>
      </c>
      <c r="E4909" s="7">
        <v>7.8999999999999995</v>
      </c>
      <c r="G4909" s="31"/>
    </row>
    <row r="4910" spans="1:7" x14ac:dyDescent="0.25">
      <c r="A4910" s="36">
        <v>44722</v>
      </c>
      <c r="B4910" s="7">
        <v>49.58</v>
      </c>
      <c r="C4910" s="7">
        <v>30.58</v>
      </c>
      <c r="D4910" s="7">
        <v>12.52</v>
      </c>
      <c r="E4910" s="7">
        <v>8.33</v>
      </c>
      <c r="G4910" s="31"/>
    </row>
    <row r="4911" spans="1:7" x14ac:dyDescent="0.25">
      <c r="A4911" s="36">
        <v>44723</v>
      </c>
      <c r="B4911" s="7">
        <v>49.72</v>
      </c>
      <c r="C4911" s="7">
        <v>30.65</v>
      </c>
      <c r="D4911" s="7">
        <v>12.6</v>
      </c>
      <c r="E4911" s="7">
        <v>8.120000000000001</v>
      </c>
      <c r="G4911" s="31"/>
    </row>
    <row r="4912" spans="1:7" x14ac:dyDescent="0.25">
      <c r="A4912" s="36">
        <v>44724</v>
      </c>
      <c r="B4912" s="7">
        <v>49.81</v>
      </c>
      <c r="C4912" s="7">
        <v>30.72</v>
      </c>
      <c r="D4912" s="7">
        <v>12.68</v>
      </c>
      <c r="E4912" s="7">
        <v>8.36</v>
      </c>
      <c r="G4912" s="31"/>
    </row>
    <row r="4913" spans="1:7" x14ac:dyDescent="0.25">
      <c r="A4913" s="36">
        <v>44725</v>
      </c>
      <c r="B4913" s="7">
        <v>50</v>
      </c>
      <c r="C4913" s="7">
        <v>30.88</v>
      </c>
      <c r="D4913" s="7">
        <v>12.8</v>
      </c>
      <c r="E4913" s="7">
        <v>8.51</v>
      </c>
      <c r="G4913" s="31"/>
    </row>
    <row r="4914" spans="1:7" x14ac:dyDescent="0.25">
      <c r="A4914" s="36">
        <v>44726</v>
      </c>
      <c r="B4914" s="7">
        <v>50.11</v>
      </c>
      <c r="C4914" s="7">
        <v>30.98</v>
      </c>
      <c r="D4914" s="7">
        <v>12.94</v>
      </c>
      <c r="E4914" s="7">
        <v>8.61</v>
      </c>
      <c r="G4914" s="31"/>
    </row>
    <row r="4915" spans="1:7" x14ac:dyDescent="0.25">
      <c r="A4915" s="36">
        <v>44727</v>
      </c>
      <c r="B4915" s="7">
        <v>50.13</v>
      </c>
      <c r="C4915" s="7">
        <v>31.04</v>
      </c>
      <c r="D4915" s="6">
        <v>13</v>
      </c>
      <c r="E4915" s="7">
        <v>8.52</v>
      </c>
      <c r="G4915" s="31"/>
    </row>
    <row r="4916" spans="1:7" x14ac:dyDescent="0.25">
      <c r="A4916" s="36">
        <v>44728</v>
      </c>
      <c r="B4916" s="6">
        <v>50.16</v>
      </c>
      <c r="C4916" s="7">
        <v>31.12</v>
      </c>
      <c r="D4916" s="6">
        <v>13.1</v>
      </c>
      <c r="E4916" s="7">
        <v>8.81</v>
      </c>
      <c r="G4916" s="31"/>
    </row>
    <row r="4917" spans="1:7" x14ac:dyDescent="0.25">
      <c r="A4917" s="36">
        <v>44729</v>
      </c>
      <c r="B4917" s="6">
        <v>50.18</v>
      </c>
      <c r="C4917" s="7">
        <v>31.21</v>
      </c>
      <c r="D4917" s="6">
        <v>13.2</v>
      </c>
      <c r="E4917" s="7">
        <v>8.89</v>
      </c>
      <c r="G4917" s="31"/>
    </row>
    <row r="4918" spans="1:7" x14ac:dyDescent="0.25">
      <c r="A4918" s="36">
        <v>44730</v>
      </c>
      <c r="B4918" s="6">
        <v>50.18</v>
      </c>
      <c r="C4918" s="7">
        <v>31.27</v>
      </c>
      <c r="D4918" s="6">
        <v>13.32</v>
      </c>
      <c r="E4918" s="7">
        <v>8.99</v>
      </c>
      <c r="G4918" s="31"/>
    </row>
    <row r="4919" spans="1:7" x14ac:dyDescent="0.25">
      <c r="A4919" s="36">
        <v>44731</v>
      </c>
      <c r="B4919" s="6">
        <v>50.2</v>
      </c>
      <c r="C4919" s="7">
        <v>31.35</v>
      </c>
      <c r="D4919" s="6">
        <v>13.42</v>
      </c>
      <c r="E4919" s="7">
        <v>9.0299999999999994</v>
      </c>
      <c r="G4919" s="31"/>
    </row>
    <row r="4920" spans="1:7" x14ac:dyDescent="0.25">
      <c r="A4920" s="36">
        <v>44732</v>
      </c>
      <c r="B4920" s="6">
        <v>50.4</v>
      </c>
      <c r="C4920" s="7">
        <v>31.42</v>
      </c>
      <c r="D4920" s="6">
        <v>13.5</v>
      </c>
      <c r="E4920" s="7">
        <v>9.129999999999999</v>
      </c>
      <c r="G4920" s="31"/>
    </row>
    <row r="4921" spans="1:7" x14ac:dyDescent="0.25">
      <c r="A4921" s="36">
        <v>44733</v>
      </c>
      <c r="B4921" s="6">
        <v>50.44</v>
      </c>
      <c r="C4921" s="7">
        <v>31.5</v>
      </c>
      <c r="D4921" s="6">
        <v>13.62</v>
      </c>
      <c r="E4921" s="7">
        <v>9.24</v>
      </c>
      <c r="G4921" s="31"/>
    </row>
    <row r="4922" spans="1:7" x14ac:dyDescent="0.25">
      <c r="A4922" s="36">
        <v>44734</v>
      </c>
      <c r="B4922" s="6">
        <v>50.48</v>
      </c>
      <c r="C4922" s="7">
        <v>31.57</v>
      </c>
      <c r="D4922" s="6">
        <v>13.8</v>
      </c>
      <c r="E4922" s="7">
        <v>9.6</v>
      </c>
      <c r="G4922" s="31"/>
    </row>
    <row r="4923" spans="1:7" x14ac:dyDescent="0.25">
      <c r="A4923" s="36">
        <v>44735</v>
      </c>
      <c r="B4923" s="6">
        <v>50.5</v>
      </c>
      <c r="C4923" s="7">
        <v>31.64</v>
      </c>
      <c r="D4923" s="6">
        <v>13.98</v>
      </c>
      <c r="E4923" s="7">
        <v>9.6999999999999993</v>
      </c>
      <c r="G4923" s="31"/>
    </row>
    <row r="4924" spans="1:7" x14ac:dyDescent="0.25">
      <c r="A4924" s="36">
        <v>44736</v>
      </c>
      <c r="B4924" s="6">
        <v>50.56</v>
      </c>
      <c r="C4924" s="7">
        <v>31.68</v>
      </c>
      <c r="D4924" s="6">
        <v>14</v>
      </c>
      <c r="E4924" s="7">
        <v>9.7199999999999989</v>
      </c>
      <c r="G4924" s="31"/>
    </row>
    <row r="4925" spans="1:7" x14ac:dyDescent="0.25">
      <c r="A4925" s="36">
        <v>44737</v>
      </c>
      <c r="B4925" s="6">
        <v>50.68</v>
      </c>
      <c r="C4925" s="7">
        <v>31.77</v>
      </c>
      <c r="D4925" s="6">
        <v>14.16</v>
      </c>
      <c r="E4925" s="7">
        <v>9.92</v>
      </c>
      <c r="G4925" s="31"/>
    </row>
    <row r="4926" spans="1:7" x14ac:dyDescent="0.25">
      <c r="A4926" s="36">
        <v>44738</v>
      </c>
      <c r="B4926" s="6">
        <v>50.76</v>
      </c>
      <c r="C4926" s="7">
        <v>31.9</v>
      </c>
      <c r="D4926" s="6">
        <v>14.3</v>
      </c>
      <c r="E4926" s="7">
        <v>9.99</v>
      </c>
      <c r="G4926" s="31"/>
    </row>
    <row r="4927" spans="1:7" x14ac:dyDescent="0.25">
      <c r="A4927" s="36">
        <v>44739</v>
      </c>
      <c r="B4927" s="6">
        <v>50.83</v>
      </c>
      <c r="C4927" s="7">
        <v>31.95</v>
      </c>
      <c r="D4927" s="6">
        <v>14.444000000000001</v>
      </c>
      <c r="E4927" s="7">
        <v>10.08</v>
      </c>
      <c r="G4927" s="31"/>
    </row>
    <row r="4928" spans="1:7" x14ac:dyDescent="0.25">
      <c r="A4928" s="36">
        <v>44740</v>
      </c>
      <c r="B4928" s="6">
        <v>50.88</v>
      </c>
      <c r="C4928" s="7">
        <v>32.049999999999997</v>
      </c>
      <c r="D4928" s="6">
        <v>14.64</v>
      </c>
      <c r="E4928" s="7">
        <v>10.31</v>
      </c>
      <c r="G4928" s="31"/>
    </row>
    <row r="4929" spans="1:7" x14ac:dyDescent="0.25">
      <c r="A4929" s="36">
        <v>44741</v>
      </c>
      <c r="B4929" s="6">
        <v>50.9</v>
      </c>
      <c r="C4929" s="7">
        <v>32.119999999999997</v>
      </c>
      <c r="D4929" s="6">
        <v>14.76</v>
      </c>
      <c r="E4929" s="7">
        <v>10.45</v>
      </c>
      <c r="G4929" s="31"/>
    </row>
    <row r="4930" spans="1:7" x14ac:dyDescent="0.25">
      <c r="A4930" s="36">
        <v>44742</v>
      </c>
      <c r="B4930" s="6">
        <v>50.96</v>
      </c>
      <c r="C4930" s="6">
        <v>32.17</v>
      </c>
      <c r="D4930" s="6">
        <v>14.9</v>
      </c>
      <c r="E4930" s="7">
        <v>10.57</v>
      </c>
      <c r="G4930" s="31"/>
    </row>
    <row r="4931" spans="1:7" x14ac:dyDescent="0.25">
      <c r="A4931" s="36">
        <v>44743</v>
      </c>
      <c r="B4931" s="6">
        <v>50.96</v>
      </c>
      <c r="C4931" s="6">
        <v>32.270000000000003</v>
      </c>
      <c r="D4931" s="6">
        <v>15</v>
      </c>
      <c r="E4931" s="7">
        <v>10.629999999999999</v>
      </c>
      <c r="G4931" s="31"/>
    </row>
    <row r="4932" spans="1:7" x14ac:dyDescent="0.25">
      <c r="A4932" s="36">
        <v>44744</v>
      </c>
      <c r="B4932" s="6">
        <v>50.97</v>
      </c>
      <c r="C4932" s="6">
        <v>32.35</v>
      </c>
      <c r="D4932" s="6">
        <v>15.08</v>
      </c>
      <c r="E4932" s="7">
        <v>10.65</v>
      </c>
      <c r="G4932" s="31"/>
    </row>
    <row r="4933" spans="1:7" x14ac:dyDescent="0.25">
      <c r="A4933" s="36">
        <v>44745</v>
      </c>
      <c r="B4933" s="6">
        <v>51</v>
      </c>
      <c r="C4933" s="6">
        <v>32.4</v>
      </c>
      <c r="D4933" s="6">
        <v>15.18</v>
      </c>
      <c r="E4933" s="7">
        <v>10.74</v>
      </c>
      <c r="G4933" s="31"/>
    </row>
    <row r="4934" spans="1:7" x14ac:dyDescent="0.25">
      <c r="A4934" s="36">
        <v>44746</v>
      </c>
      <c r="B4934" s="6">
        <v>51.04</v>
      </c>
      <c r="C4934" s="6">
        <v>32.46</v>
      </c>
      <c r="D4934" s="6">
        <v>15.26</v>
      </c>
      <c r="E4934" s="7">
        <v>10.78</v>
      </c>
      <c r="G4934" s="31"/>
    </row>
    <row r="4935" spans="1:7" x14ac:dyDescent="0.25">
      <c r="A4935" s="36">
        <v>44747</v>
      </c>
      <c r="B4935" s="6">
        <v>51.12</v>
      </c>
      <c r="C4935" s="6">
        <v>32.53</v>
      </c>
      <c r="D4935" s="6">
        <v>15.32</v>
      </c>
      <c r="E4935" s="7">
        <v>10.86</v>
      </c>
      <c r="G4935" s="31"/>
    </row>
    <row r="4936" spans="1:7" x14ac:dyDescent="0.25">
      <c r="A4936" s="36">
        <v>44748</v>
      </c>
      <c r="B4936" s="7">
        <v>51.2</v>
      </c>
      <c r="C4936" s="6">
        <v>32.58</v>
      </c>
      <c r="D4936" s="6">
        <v>15.38</v>
      </c>
      <c r="E4936" s="7">
        <v>10.84</v>
      </c>
      <c r="G4936" s="31"/>
    </row>
    <row r="4937" spans="1:7" x14ac:dyDescent="0.25">
      <c r="A4937" s="36">
        <v>44749</v>
      </c>
      <c r="B4937" s="7">
        <v>51.25</v>
      </c>
      <c r="C4937" s="6">
        <v>32.630000000000003</v>
      </c>
      <c r="D4937" s="6">
        <v>15.42</v>
      </c>
      <c r="E4937" s="7">
        <v>10.78</v>
      </c>
      <c r="G4937" s="31"/>
    </row>
    <row r="4938" spans="1:7" x14ac:dyDescent="0.25">
      <c r="A4938" s="36">
        <v>44750</v>
      </c>
      <c r="B4938" s="6">
        <v>51.36</v>
      </c>
      <c r="C4938" s="6">
        <v>32.68</v>
      </c>
      <c r="D4938" s="6">
        <v>15.44</v>
      </c>
      <c r="E4938" s="7">
        <v>10.74</v>
      </c>
      <c r="G4938" s="31"/>
    </row>
    <row r="4939" spans="1:7" x14ac:dyDescent="0.25">
      <c r="A4939" s="36">
        <v>44751</v>
      </c>
      <c r="B4939" s="6">
        <v>51.42</v>
      </c>
      <c r="C4939" s="6">
        <v>32.75</v>
      </c>
      <c r="D4939" s="6">
        <v>15.46</v>
      </c>
      <c r="E4939" s="7">
        <v>10.75</v>
      </c>
      <c r="G4939" s="31"/>
    </row>
    <row r="4940" spans="1:7" x14ac:dyDescent="0.25">
      <c r="A4940" s="36">
        <v>44752</v>
      </c>
      <c r="B4940" s="6">
        <v>51.52</v>
      </c>
      <c r="C4940" s="6">
        <v>32.79</v>
      </c>
      <c r="D4940" s="6">
        <v>15.46</v>
      </c>
      <c r="E4940" s="7">
        <v>10.78</v>
      </c>
      <c r="G4940" s="31"/>
    </row>
    <row r="4941" spans="1:7" x14ac:dyDescent="0.25">
      <c r="A4941" s="36">
        <v>44753</v>
      </c>
      <c r="B4941" s="6">
        <v>51.58</v>
      </c>
      <c r="C4941" s="6">
        <v>32.83</v>
      </c>
      <c r="D4941" s="6">
        <v>15.48</v>
      </c>
      <c r="E4941" s="7">
        <v>10.77</v>
      </c>
      <c r="G4941" s="31"/>
    </row>
    <row r="4942" spans="1:7" x14ac:dyDescent="0.25">
      <c r="A4942" s="36">
        <v>44754</v>
      </c>
      <c r="B4942" s="6">
        <v>51.63</v>
      </c>
      <c r="C4942" s="6">
        <v>32.89</v>
      </c>
      <c r="D4942" s="6">
        <v>15.48</v>
      </c>
      <c r="E4942" s="7">
        <v>10.69</v>
      </c>
      <c r="G4942" s="31"/>
    </row>
    <row r="4943" spans="1:7" x14ac:dyDescent="0.25">
      <c r="A4943" s="36">
        <v>44755</v>
      </c>
      <c r="B4943" s="6">
        <v>51.69</v>
      </c>
      <c r="C4943" s="6">
        <v>32.950000000000003</v>
      </c>
      <c r="D4943" s="6">
        <v>15.48</v>
      </c>
      <c r="E4943" s="7">
        <v>10.469999999999999</v>
      </c>
      <c r="G4943" s="31"/>
    </row>
    <row r="4944" spans="1:7" x14ac:dyDescent="0.25">
      <c r="A4944" s="36">
        <v>44756</v>
      </c>
      <c r="B4944" s="6">
        <v>51.72</v>
      </c>
      <c r="C4944" s="6">
        <v>33.01</v>
      </c>
      <c r="D4944" s="6">
        <v>15.45</v>
      </c>
      <c r="E4944" s="6">
        <v>10.57</v>
      </c>
      <c r="G4944" s="31"/>
    </row>
    <row r="4945" spans="1:7" x14ac:dyDescent="0.25">
      <c r="A4945" s="36">
        <v>44757</v>
      </c>
      <c r="B4945" s="6">
        <v>51.75</v>
      </c>
      <c r="C4945" s="6">
        <v>33.06</v>
      </c>
      <c r="D4945" s="6">
        <v>15.47</v>
      </c>
      <c r="E4945" s="6">
        <v>10.68</v>
      </c>
      <c r="G4945" s="31"/>
    </row>
    <row r="4946" spans="1:7" x14ac:dyDescent="0.25">
      <c r="A4946" s="36">
        <v>44758</v>
      </c>
      <c r="B4946" s="6">
        <v>51.74</v>
      </c>
      <c r="C4946" s="6">
        <v>33.119999999999997</v>
      </c>
      <c r="D4946" s="6">
        <v>15.54</v>
      </c>
      <c r="E4946" s="6">
        <v>10.73</v>
      </c>
      <c r="G4946" s="31"/>
    </row>
    <row r="4947" spans="1:7" x14ac:dyDescent="0.25">
      <c r="A4947" s="36">
        <v>44759</v>
      </c>
      <c r="B4947" s="6">
        <v>51.75</v>
      </c>
      <c r="C4947" s="6">
        <v>33.17</v>
      </c>
      <c r="D4947" s="6">
        <v>15.59</v>
      </c>
      <c r="E4947" s="6">
        <v>10.799999999999999</v>
      </c>
      <c r="G4947" s="31"/>
    </row>
    <row r="4948" spans="1:7" x14ac:dyDescent="0.25">
      <c r="A4948" s="36">
        <v>44760</v>
      </c>
      <c r="B4948" s="6">
        <v>51.86</v>
      </c>
      <c r="C4948" s="6">
        <v>33.22</v>
      </c>
      <c r="D4948" s="6">
        <v>15.67</v>
      </c>
      <c r="E4948" s="6">
        <v>10.91</v>
      </c>
      <c r="G4948" s="31"/>
    </row>
    <row r="4949" spans="1:7" x14ac:dyDescent="0.25">
      <c r="A4949" s="36">
        <v>44761</v>
      </c>
      <c r="B4949" s="6">
        <v>51.9</v>
      </c>
      <c r="C4949" s="6">
        <v>33.28</v>
      </c>
      <c r="D4949" s="6">
        <v>15.72</v>
      </c>
      <c r="E4949" s="6">
        <v>10.89</v>
      </c>
      <c r="G4949" s="31"/>
    </row>
    <row r="4950" spans="1:7" x14ac:dyDescent="0.25">
      <c r="A4950" s="36">
        <v>44762</v>
      </c>
      <c r="B4950" s="6">
        <v>51.94</v>
      </c>
      <c r="C4950" s="6">
        <v>33.380000000000003</v>
      </c>
      <c r="D4950" s="6">
        <v>15.8</v>
      </c>
      <c r="E4950" s="6">
        <v>10.98</v>
      </c>
      <c r="G4950" s="31"/>
    </row>
    <row r="4951" spans="1:7" x14ac:dyDescent="0.25">
      <c r="A4951" s="36">
        <v>44763</v>
      </c>
      <c r="B4951" s="6">
        <v>51.98</v>
      </c>
      <c r="C4951" s="6">
        <v>33.44</v>
      </c>
      <c r="D4951" s="6">
        <v>15.87</v>
      </c>
      <c r="E4951" s="6">
        <v>11.03</v>
      </c>
      <c r="G4951" s="31"/>
    </row>
    <row r="4952" spans="1:7" x14ac:dyDescent="0.25">
      <c r="A4952" s="36">
        <v>44764</v>
      </c>
      <c r="B4952" s="6">
        <v>51.98</v>
      </c>
      <c r="C4952" s="6">
        <v>33.479999999999997</v>
      </c>
      <c r="D4952" s="6">
        <v>15.95</v>
      </c>
      <c r="E4952" s="6">
        <v>11.04</v>
      </c>
      <c r="G4952" s="31"/>
    </row>
    <row r="4953" spans="1:7" x14ac:dyDescent="0.25">
      <c r="A4953" s="36">
        <v>44765</v>
      </c>
      <c r="B4953" s="6">
        <v>51.98</v>
      </c>
      <c r="C4953" s="6">
        <v>33.51</v>
      </c>
      <c r="D4953" s="6">
        <v>15.99</v>
      </c>
      <c r="E4953" s="6">
        <v>11.06</v>
      </c>
      <c r="G4953" s="31"/>
    </row>
    <row r="4954" spans="1:7" x14ac:dyDescent="0.25">
      <c r="A4954" s="36">
        <v>44766</v>
      </c>
      <c r="B4954" s="6">
        <v>52</v>
      </c>
      <c r="C4954" s="6">
        <v>33.56</v>
      </c>
      <c r="D4954" s="6">
        <v>16.02</v>
      </c>
      <c r="E4954" s="6">
        <v>11.07</v>
      </c>
      <c r="G4954" s="31"/>
    </row>
    <row r="4955" spans="1:7" x14ac:dyDescent="0.25">
      <c r="A4955" s="36">
        <v>44767</v>
      </c>
      <c r="B4955" s="6">
        <v>51.98</v>
      </c>
      <c r="C4955" s="6">
        <v>33.6</v>
      </c>
      <c r="D4955" s="6">
        <v>16.05</v>
      </c>
      <c r="E4955" s="6">
        <v>11.07</v>
      </c>
      <c r="G4955" s="31"/>
    </row>
    <row r="4956" spans="1:7" x14ac:dyDescent="0.25">
      <c r="A4956" s="36">
        <v>44768</v>
      </c>
      <c r="B4956" s="6">
        <v>51.98</v>
      </c>
      <c r="C4956" s="6">
        <v>33.64</v>
      </c>
      <c r="D4956" s="6">
        <v>16.07</v>
      </c>
      <c r="E4956" s="6">
        <v>10.94</v>
      </c>
      <c r="G4956" s="31"/>
    </row>
    <row r="4957" spans="1:7" x14ac:dyDescent="0.25">
      <c r="A4957" s="36">
        <v>44769</v>
      </c>
      <c r="B4957" s="6">
        <v>52.02</v>
      </c>
      <c r="C4957" s="6">
        <v>33.67</v>
      </c>
      <c r="D4957" s="6">
        <v>16.079999999999998</v>
      </c>
      <c r="E4957" s="6">
        <v>10.89</v>
      </c>
      <c r="G4957" s="31"/>
    </row>
    <row r="4958" spans="1:7" x14ac:dyDescent="0.25">
      <c r="A4958" s="36">
        <v>44770</v>
      </c>
      <c r="B4958" s="6">
        <v>52.08</v>
      </c>
      <c r="C4958" s="6">
        <v>33.71</v>
      </c>
      <c r="D4958" s="6">
        <v>16.09</v>
      </c>
      <c r="E4958" s="6">
        <v>10.879999999999999</v>
      </c>
      <c r="G4958" s="31"/>
    </row>
    <row r="4959" spans="1:7" x14ac:dyDescent="0.25">
      <c r="A4959" s="36">
        <v>44771</v>
      </c>
      <c r="B4959" s="6">
        <v>52.1</v>
      </c>
      <c r="C4959" s="6">
        <v>33.75</v>
      </c>
      <c r="D4959" s="6">
        <v>16.100000000000001</v>
      </c>
      <c r="E4959" s="6">
        <v>10.89</v>
      </c>
      <c r="G4959" s="31"/>
    </row>
    <row r="4960" spans="1:7" x14ac:dyDescent="0.25">
      <c r="A4960" s="36">
        <v>44772</v>
      </c>
      <c r="B4960" s="6">
        <v>52.1</v>
      </c>
      <c r="C4960" s="6">
        <v>33.799999999999997</v>
      </c>
      <c r="D4960" s="6">
        <v>16.170000000000002</v>
      </c>
      <c r="E4960" s="6">
        <v>10.959999999999999</v>
      </c>
      <c r="G4960" s="31"/>
    </row>
    <row r="4961" spans="1:7" x14ac:dyDescent="0.25">
      <c r="A4961" s="36">
        <v>44773</v>
      </c>
      <c r="B4961" s="6">
        <v>52.1</v>
      </c>
      <c r="C4961" s="6">
        <v>33.86</v>
      </c>
      <c r="D4961" s="6">
        <v>16.25</v>
      </c>
      <c r="E4961" s="6">
        <v>11.049999999999999</v>
      </c>
      <c r="G4961" s="31"/>
    </row>
    <row r="4962" spans="1:7" x14ac:dyDescent="0.25">
      <c r="A4962" s="36">
        <v>44774</v>
      </c>
      <c r="B4962" s="6">
        <v>52.1</v>
      </c>
      <c r="C4962" s="6">
        <v>33.86</v>
      </c>
      <c r="D4962" s="6">
        <v>16.37</v>
      </c>
      <c r="E4962" s="6">
        <v>11.27</v>
      </c>
      <c r="G4962" s="31"/>
    </row>
    <row r="4963" spans="1:7" x14ac:dyDescent="0.25">
      <c r="A4963" s="36">
        <v>44775</v>
      </c>
      <c r="B4963" s="6">
        <v>52.15</v>
      </c>
      <c r="C4963" s="6">
        <v>33.880000000000003</v>
      </c>
      <c r="D4963" s="6">
        <v>16.47</v>
      </c>
      <c r="E4963" s="6">
        <v>11.37</v>
      </c>
      <c r="G4963" s="31"/>
    </row>
    <row r="4964" spans="1:7" x14ac:dyDescent="0.25">
      <c r="A4964" s="36">
        <v>44776</v>
      </c>
      <c r="B4964" s="6">
        <v>52.2</v>
      </c>
      <c r="C4964" s="6">
        <v>33.93</v>
      </c>
      <c r="D4964" s="6">
        <v>16.55</v>
      </c>
      <c r="E4964" s="6">
        <v>11.41</v>
      </c>
      <c r="G4964" s="31"/>
    </row>
    <row r="4965" spans="1:7" x14ac:dyDescent="0.25">
      <c r="A4965" s="36">
        <v>44777</v>
      </c>
      <c r="B4965" s="6">
        <v>52.18</v>
      </c>
      <c r="C4965" s="6">
        <v>33.97</v>
      </c>
      <c r="D4965" s="6">
        <v>16.61</v>
      </c>
      <c r="E4965" s="6">
        <v>11.5</v>
      </c>
      <c r="G4965" s="31"/>
    </row>
    <row r="4966" spans="1:7" x14ac:dyDescent="0.25">
      <c r="A4966" s="36">
        <v>44778</v>
      </c>
      <c r="B4966" s="6">
        <v>52.14</v>
      </c>
      <c r="C4966" s="6">
        <v>34</v>
      </c>
      <c r="D4966" s="6">
        <v>16.649999999999999</v>
      </c>
      <c r="E4966" s="6">
        <v>11.54</v>
      </c>
      <c r="G4966" s="31"/>
    </row>
    <row r="4967" spans="1:7" x14ac:dyDescent="0.25">
      <c r="A4967" s="36">
        <v>44779</v>
      </c>
      <c r="B4967" s="6">
        <v>52.1</v>
      </c>
      <c r="C4967" s="6">
        <v>34.020000000000003</v>
      </c>
      <c r="D4967" s="6">
        <v>16.690000000000001</v>
      </c>
      <c r="E4967" s="6">
        <v>11.56</v>
      </c>
      <c r="G4967" s="31"/>
    </row>
    <row r="4968" spans="1:7" x14ac:dyDescent="0.25">
      <c r="A4968" s="36">
        <v>44780</v>
      </c>
      <c r="B4968" s="6">
        <v>52.06</v>
      </c>
      <c r="C4968" s="6">
        <v>34.04</v>
      </c>
      <c r="D4968" s="6">
        <v>16.7</v>
      </c>
      <c r="E4968" s="6">
        <v>11.57</v>
      </c>
      <c r="G4968" s="31"/>
    </row>
    <row r="4969" spans="1:7" x14ac:dyDescent="0.25">
      <c r="A4969" s="36">
        <v>44781</v>
      </c>
      <c r="B4969" s="6">
        <v>52.04</v>
      </c>
      <c r="C4969" s="6">
        <v>34.04</v>
      </c>
      <c r="D4969" s="6">
        <v>16.7</v>
      </c>
      <c r="E4969" s="6">
        <v>11.54</v>
      </c>
      <c r="G4969" s="31"/>
    </row>
    <row r="4970" spans="1:7" x14ac:dyDescent="0.25">
      <c r="A4970" s="36">
        <v>44782</v>
      </c>
      <c r="B4970" s="6">
        <v>52.02</v>
      </c>
      <c r="C4970" s="6">
        <v>34.04</v>
      </c>
      <c r="D4970" s="6">
        <v>16.7</v>
      </c>
      <c r="E4970" s="6">
        <v>11.57</v>
      </c>
      <c r="G4970" s="31"/>
    </row>
    <row r="4971" spans="1:7" x14ac:dyDescent="0.25">
      <c r="A4971" s="36">
        <v>44783</v>
      </c>
      <c r="B4971" s="6">
        <v>52</v>
      </c>
      <c r="C4971" s="6">
        <v>34.119999999999997</v>
      </c>
      <c r="D4971" s="6">
        <v>16.71</v>
      </c>
      <c r="E4971" s="6">
        <v>11.53</v>
      </c>
      <c r="G4971" s="31"/>
    </row>
    <row r="4972" spans="1:7" x14ac:dyDescent="0.25">
      <c r="A4972" s="36">
        <v>44784</v>
      </c>
      <c r="B4972" s="6">
        <v>51.97</v>
      </c>
      <c r="C4972" s="6">
        <v>34.119999999999997</v>
      </c>
      <c r="D4972" s="6">
        <v>16.73</v>
      </c>
      <c r="E4972" s="6">
        <v>11.4</v>
      </c>
      <c r="G4972" s="31"/>
    </row>
    <row r="4973" spans="1:7" x14ac:dyDescent="0.25">
      <c r="A4973" s="36">
        <v>44785</v>
      </c>
      <c r="B4973" s="6">
        <v>51.94</v>
      </c>
      <c r="C4973" s="6">
        <v>34.119999999999997</v>
      </c>
      <c r="D4973" s="6">
        <v>16.73</v>
      </c>
      <c r="E4973" s="6">
        <v>11.32</v>
      </c>
      <c r="G4973" s="31"/>
    </row>
    <row r="4974" spans="1:7" x14ac:dyDescent="0.25">
      <c r="A4974" s="36">
        <v>44786</v>
      </c>
      <c r="B4974" s="6">
        <v>51.9</v>
      </c>
      <c r="C4974" s="6">
        <v>34.14</v>
      </c>
      <c r="D4974" s="6">
        <v>16.71</v>
      </c>
      <c r="E4974" s="6">
        <v>11.27</v>
      </c>
      <c r="G4974" s="31"/>
    </row>
    <row r="4975" spans="1:7" x14ac:dyDescent="0.25">
      <c r="A4975" s="36">
        <v>44787</v>
      </c>
      <c r="B4975" s="6">
        <v>51.91</v>
      </c>
      <c r="C4975" s="6">
        <v>34.17</v>
      </c>
      <c r="D4975" s="6">
        <v>16.690000000000001</v>
      </c>
      <c r="E4975" s="6">
        <v>11.27</v>
      </c>
      <c r="G4975" s="31"/>
    </row>
    <row r="4976" spans="1:7" x14ac:dyDescent="0.25">
      <c r="A4976" s="36">
        <v>44788</v>
      </c>
      <c r="B4976" s="6">
        <v>51.91</v>
      </c>
      <c r="C4976" s="6">
        <v>34.17</v>
      </c>
      <c r="D4976" s="6">
        <v>16.68</v>
      </c>
      <c r="E4976" s="6">
        <v>11.26</v>
      </c>
      <c r="G4976" s="31"/>
    </row>
    <row r="4977" spans="1:7" x14ac:dyDescent="0.25">
      <c r="A4977" s="36">
        <v>44789</v>
      </c>
      <c r="B4977" s="6">
        <v>51.9</v>
      </c>
      <c r="C4977" s="6">
        <v>34.17</v>
      </c>
      <c r="D4977" s="6">
        <v>16.68</v>
      </c>
      <c r="E4977" s="6">
        <v>11.25</v>
      </c>
      <c r="G4977" s="31"/>
    </row>
    <row r="4978" spans="1:7" x14ac:dyDescent="0.25">
      <c r="A4978" s="36">
        <v>44790</v>
      </c>
      <c r="B4978" s="6">
        <v>51.9</v>
      </c>
      <c r="C4978" s="6">
        <v>34.15</v>
      </c>
      <c r="D4978" s="6">
        <v>16.66</v>
      </c>
      <c r="E4978" s="6">
        <v>11.23</v>
      </c>
      <c r="G4978" s="31"/>
    </row>
    <row r="4979" spans="1:7" x14ac:dyDescent="0.25">
      <c r="A4979" s="36">
        <v>44791</v>
      </c>
      <c r="B4979" s="6">
        <v>51.84</v>
      </c>
      <c r="C4979" s="6">
        <v>34.14</v>
      </c>
      <c r="D4979" s="6">
        <v>16.649999999999999</v>
      </c>
      <c r="E4979" s="6">
        <v>11.27</v>
      </c>
      <c r="G4979" s="31"/>
    </row>
    <row r="4980" spans="1:7" x14ac:dyDescent="0.25">
      <c r="A4980" s="36">
        <v>44792</v>
      </c>
      <c r="B4980" s="6">
        <v>51.84</v>
      </c>
      <c r="C4980" s="6">
        <v>34.119999999999997</v>
      </c>
      <c r="D4980" s="6">
        <v>16.64</v>
      </c>
      <c r="E4980" s="6">
        <v>11.23</v>
      </c>
      <c r="G4980" s="31"/>
    </row>
    <row r="4981" spans="1:7" x14ac:dyDescent="0.25">
      <c r="A4981" s="36">
        <v>44793</v>
      </c>
      <c r="B4981" s="6">
        <v>51.79</v>
      </c>
      <c r="C4981" s="6">
        <v>34.119999999999997</v>
      </c>
      <c r="D4981" s="6">
        <v>16.579999999999998</v>
      </c>
      <c r="E4981" s="6">
        <v>11.18</v>
      </c>
      <c r="G4981" s="31"/>
    </row>
    <row r="4982" spans="1:7" x14ac:dyDescent="0.25">
      <c r="A4982" s="36">
        <v>44794</v>
      </c>
      <c r="B4982" s="6">
        <v>51.8</v>
      </c>
      <c r="C4982" s="6">
        <v>34.119999999999997</v>
      </c>
      <c r="D4982" s="6">
        <v>16.63</v>
      </c>
      <c r="E4982" s="6">
        <v>11.16</v>
      </c>
      <c r="G4982" s="31"/>
    </row>
    <row r="4983" spans="1:7" x14ac:dyDescent="0.25">
      <c r="A4983" s="36">
        <v>44795</v>
      </c>
      <c r="B4983" s="6">
        <v>51.79</v>
      </c>
      <c r="C4983" s="6">
        <v>34.15</v>
      </c>
      <c r="D4983" s="6">
        <v>16.62</v>
      </c>
      <c r="E4983" s="6">
        <v>11.129999999999999</v>
      </c>
      <c r="G4983" s="31"/>
    </row>
    <row r="4984" spans="1:7" x14ac:dyDescent="0.25">
      <c r="A4984" s="36">
        <v>44796</v>
      </c>
      <c r="B4984" s="6">
        <v>51.75</v>
      </c>
      <c r="C4984" s="6">
        <v>34.14</v>
      </c>
      <c r="D4984" s="6">
        <v>16.61</v>
      </c>
      <c r="E4984" s="6">
        <v>11.11</v>
      </c>
      <c r="G4984" s="31"/>
    </row>
    <row r="4985" spans="1:7" x14ac:dyDescent="0.25">
      <c r="A4985" s="36">
        <v>44797</v>
      </c>
      <c r="B4985" s="6">
        <v>51.67</v>
      </c>
      <c r="C4985" s="6">
        <v>34.14</v>
      </c>
      <c r="D4985" s="6">
        <v>16.600000000000001</v>
      </c>
      <c r="E4985" s="6">
        <v>11.17</v>
      </c>
      <c r="G4985" s="31"/>
    </row>
    <row r="4986" spans="1:7" x14ac:dyDescent="0.25">
      <c r="A4986" s="36">
        <v>44798</v>
      </c>
      <c r="B4986" s="6">
        <v>51.62</v>
      </c>
      <c r="C4986" s="6">
        <v>34.14</v>
      </c>
      <c r="D4986" s="6">
        <v>16.579999999999998</v>
      </c>
      <c r="E4986" s="6">
        <v>11.15</v>
      </c>
      <c r="G4986" s="31"/>
    </row>
    <row r="4987" spans="1:7" x14ac:dyDescent="0.25">
      <c r="A4987" s="36">
        <v>44799</v>
      </c>
      <c r="B4987" s="6">
        <v>51.56</v>
      </c>
      <c r="C4987" s="6">
        <v>34.14</v>
      </c>
      <c r="D4987" s="6">
        <v>16.559999999999999</v>
      </c>
      <c r="E4987" s="6">
        <v>11.24</v>
      </c>
      <c r="G4987" s="31"/>
    </row>
    <row r="4988" spans="1:7" x14ac:dyDescent="0.25">
      <c r="A4988" s="36">
        <v>44800</v>
      </c>
      <c r="B4988" s="6">
        <v>51.52</v>
      </c>
      <c r="C4988" s="6">
        <v>34.14</v>
      </c>
      <c r="D4988" s="6">
        <v>16.579999999999998</v>
      </c>
      <c r="E4988" s="6">
        <v>11.31</v>
      </c>
      <c r="G4988" s="31"/>
    </row>
    <row r="4989" spans="1:7" x14ac:dyDescent="0.25">
      <c r="A4989" s="36">
        <v>44801</v>
      </c>
      <c r="B4989" s="6">
        <v>51.44</v>
      </c>
      <c r="C4989" s="6">
        <v>34.119999999999997</v>
      </c>
      <c r="D4989" s="6">
        <v>16.61</v>
      </c>
      <c r="E4989" s="6">
        <v>11.33</v>
      </c>
      <c r="G4989" s="31"/>
    </row>
    <row r="4990" spans="1:7" x14ac:dyDescent="0.25">
      <c r="A4990" s="36">
        <v>44802</v>
      </c>
      <c r="B4990" s="6">
        <v>51.4</v>
      </c>
      <c r="C4990" s="6">
        <v>34.14</v>
      </c>
      <c r="D4990" s="6">
        <v>16.61</v>
      </c>
      <c r="E4990" s="6">
        <v>11.4</v>
      </c>
      <c r="G4990" s="31"/>
    </row>
    <row r="4991" spans="1:7" x14ac:dyDescent="0.25">
      <c r="A4991" s="36">
        <v>44803</v>
      </c>
      <c r="B4991" s="6">
        <v>51.28</v>
      </c>
      <c r="C4991" s="6">
        <v>34.14</v>
      </c>
      <c r="D4991" s="6">
        <v>16.64</v>
      </c>
      <c r="E4991" s="6">
        <v>11.39</v>
      </c>
      <c r="G4991" s="31"/>
    </row>
    <row r="4992" spans="1:7" x14ac:dyDescent="0.25">
      <c r="A4992" s="36">
        <v>44804</v>
      </c>
      <c r="B4992" s="6">
        <v>51.16</v>
      </c>
      <c r="C4992" s="6">
        <v>34.14</v>
      </c>
      <c r="D4992" s="6">
        <v>16.68</v>
      </c>
      <c r="E4992" s="6">
        <v>11.45</v>
      </c>
      <c r="G4992" s="31"/>
    </row>
    <row r="4993" spans="1:7" x14ac:dyDescent="0.25">
      <c r="A4993" s="36">
        <v>44805</v>
      </c>
      <c r="B4993" s="6">
        <v>51.06</v>
      </c>
      <c r="C4993" s="6">
        <v>34.14</v>
      </c>
      <c r="D4993" s="6">
        <v>16.68</v>
      </c>
      <c r="E4993" s="6">
        <v>11.469999999999999</v>
      </c>
      <c r="G4993" s="31"/>
    </row>
    <row r="4994" spans="1:7" x14ac:dyDescent="0.25">
      <c r="A4994" s="36">
        <v>44806</v>
      </c>
      <c r="B4994" s="6">
        <v>50.95</v>
      </c>
      <c r="C4994" s="6">
        <v>34.119999999999997</v>
      </c>
      <c r="D4994" s="6">
        <v>16.68</v>
      </c>
      <c r="E4994" s="6">
        <v>11.48</v>
      </c>
      <c r="G4994" s="31"/>
    </row>
    <row r="4995" spans="1:7" x14ac:dyDescent="0.25">
      <c r="A4995" s="36">
        <v>44807</v>
      </c>
      <c r="B4995" s="6">
        <v>50.95</v>
      </c>
      <c r="C4995" s="6">
        <v>34.08</v>
      </c>
      <c r="D4995" s="6">
        <v>16.690000000000001</v>
      </c>
      <c r="E4995" s="6">
        <v>11.549999999999999</v>
      </c>
      <c r="G4995" s="31"/>
    </row>
    <row r="4996" spans="1:7" x14ac:dyDescent="0.25">
      <c r="A4996" s="36">
        <v>44808</v>
      </c>
      <c r="B4996" s="6">
        <v>50.94</v>
      </c>
      <c r="C4996" s="6">
        <v>34.04</v>
      </c>
      <c r="D4996" s="6">
        <v>16.72</v>
      </c>
      <c r="E4996" s="6">
        <v>11.51</v>
      </c>
      <c r="G4996" s="31"/>
    </row>
    <row r="4997" spans="1:7" x14ac:dyDescent="0.25">
      <c r="A4997" s="36">
        <v>44809</v>
      </c>
      <c r="B4997" s="6">
        <v>50.86</v>
      </c>
      <c r="C4997" s="6">
        <v>33.99</v>
      </c>
      <c r="D4997" s="6">
        <v>16.71</v>
      </c>
      <c r="E4997" s="6">
        <v>11.54</v>
      </c>
      <c r="G4997" s="31"/>
    </row>
    <row r="4998" spans="1:7" x14ac:dyDescent="0.25">
      <c r="A4998" s="36">
        <v>44810</v>
      </c>
      <c r="B4998" s="6">
        <v>50.82</v>
      </c>
      <c r="C4998" s="6">
        <v>33.97</v>
      </c>
      <c r="D4998" s="6">
        <v>16.73</v>
      </c>
      <c r="E4998" s="6">
        <v>11.56</v>
      </c>
      <c r="G4998" s="31"/>
    </row>
    <row r="4999" spans="1:7" x14ac:dyDescent="0.25">
      <c r="A4999" s="36">
        <v>44811</v>
      </c>
      <c r="B4999" s="6">
        <v>50.82</v>
      </c>
      <c r="C4999" s="6">
        <v>33.94</v>
      </c>
      <c r="D4999" s="6">
        <v>16.739999999999998</v>
      </c>
      <c r="E4999" s="6">
        <v>11.59</v>
      </c>
      <c r="G4999" s="31"/>
    </row>
    <row r="5000" spans="1:7" x14ac:dyDescent="0.25">
      <c r="A5000" s="36">
        <v>44812</v>
      </c>
      <c r="B5000" s="6">
        <v>50.76</v>
      </c>
      <c r="C5000" s="6">
        <v>33.9</v>
      </c>
      <c r="D5000" s="6">
        <v>16.75</v>
      </c>
      <c r="E5000" s="6">
        <v>11.61</v>
      </c>
      <c r="G5000" s="31"/>
    </row>
    <row r="5001" spans="1:7" x14ac:dyDescent="0.25">
      <c r="A5001" s="36">
        <v>44813</v>
      </c>
      <c r="B5001" s="6">
        <v>50.7</v>
      </c>
      <c r="C5001" s="6">
        <v>33.840000000000003</v>
      </c>
      <c r="D5001" s="6">
        <v>16.760000000000002</v>
      </c>
      <c r="E5001" s="6">
        <v>11.629999999999999</v>
      </c>
      <c r="G5001" s="31"/>
    </row>
    <row r="5002" spans="1:7" x14ac:dyDescent="0.25">
      <c r="A5002" s="36">
        <v>44814</v>
      </c>
      <c r="B5002" s="6">
        <v>50.64</v>
      </c>
      <c r="C5002" s="6">
        <v>33.799999999999997</v>
      </c>
      <c r="D5002" s="6">
        <v>16.739999999999998</v>
      </c>
      <c r="E5002" s="6">
        <v>11.66</v>
      </c>
      <c r="G5002" s="31"/>
    </row>
    <row r="5003" spans="1:7" x14ac:dyDescent="0.25">
      <c r="A5003" s="36">
        <v>44815</v>
      </c>
      <c r="B5003" s="6">
        <v>50.56</v>
      </c>
      <c r="C5003" s="6">
        <v>33.75</v>
      </c>
      <c r="D5003" s="6">
        <v>16.739999999999998</v>
      </c>
      <c r="E5003" s="6">
        <v>11.61</v>
      </c>
      <c r="G5003" s="31"/>
    </row>
    <row r="5004" spans="1:7" x14ac:dyDescent="0.25">
      <c r="A5004" s="36">
        <v>44816</v>
      </c>
      <c r="B5004" s="6">
        <v>50.48</v>
      </c>
      <c r="C5004" s="6">
        <v>33.700000000000003</v>
      </c>
      <c r="D5004" s="6">
        <v>16.7</v>
      </c>
      <c r="E5004" s="6">
        <v>11.59</v>
      </c>
      <c r="G5004" s="31"/>
    </row>
    <row r="5005" spans="1:7" x14ac:dyDescent="0.25">
      <c r="A5005" s="36">
        <v>44817</v>
      </c>
      <c r="B5005" s="6">
        <v>50.38</v>
      </c>
      <c r="C5005" s="6">
        <v>33.65</v>
      </c>
      <c r="D5005" s="6">
        <v>16.670000000000002</v>
      </c>
      <c r="E5005" s="6">
        <v>11.52</v>
      </c>
      <c r="G5005" s="31"/>
    </row>
    <row r="5006" spans="1:7" x14ac:dyDescent="0.25">
      <c r="A5006" s="36">
        <v>44818</v>
      </c>
      <c r="B5006" s="6">
        <v>50.28</v>
      </c>
      <c r="C5006" s="6">
        <v>33.6</v>
      </c>
      <c r="D5006" s="6">
        <v>16.62</v>
      </c>
      <c r="E5006" s="6">
        <v>11.44</v>
      </c>
      <c r="G5006" s="31"/>
    </row>
    <row r="5007" spans="1:7" x14ac:dyDescent="0.25">
      <c r="A5007" s="36">
        <v>44819</v>
      </c>
      <c r="B5007" s="6">
        <v>50.2</v>
      </c>
      <c r="C5007" s="6">
        <v>33.54</v>
      </c>
      <c r="D5007" s="6">
        <v>16.579999999999998</v>
      </c>
      <c r="E5007" s="6">
        <v>11.4</v>
      </c>
      <c r="G5007" s="31"/>
    </row>
    <row r="5008" spans="1:7" x14ac:dyDescent="0.25">
      <c r="A5008" s="36">
        <v>44820</v>
      </c>
      <c r="B5008" s="6">
        <v>50.14</v>
      </c>
      <c r="C5008" s="6">
        <v>33.47</v>
      </c>
      <c r="D5008" s="6">
        <v>16.52</v>
      </c>
      <c r="E5008" s="6">
        <v>11.36</v>
      </c>
      <c r="G5008" s="31"/>
    </row>
    <row r="5009" spans="1:7" x14ac:dyDescent="0.25">
      <c r="A5009" s="36">
        <v>44821</v>
      </c>
      <c r="B5009" s="6">
        <v>50.06</v>
      </c>
      <c r="C5009" s="6">
        <v>33.42</v>
      </c>
      <c r="D5009" s="6">
        <v>16.48</v>
      </c>
      <c r="E5009" s="6">
        <v>11.28</v>
      </c>
      <c r="G5009" s="31"/>
    </row>
    <row r="5010" spans="1:7" x14ac:dyDescent="0.25">
      <c r="A5010" s="36">
        <v>44822</v>
      </c>
      <c r="B5010" s="6">
        <v>49.96</v>
      </c>
      <c r="C5010" s="6">
        <v>33.36</v>
      </c>
      <c r="D5010" s="6">
        <v>16.440000000000001</v>
      </c>
      <c r="E5010" s="6">
        <v>11.35</v>
      </c>
      <c r="G5010" s="31"/>
    </row>
    <row r="5011" spans="1:7" x14ac:dyDescent="0.25">
      <c r="A5011" s="36">
        <v>44823</v>
      </c>
      <c r="B5011" s="6">
        <v>49.88</v>
      </c>
      <c r="C5011" s="6">
        <v>33.29</v>
      </c>
      <c r="D5011" s="6">
        <v>16.38</v>
      </c>
      <c r="E5011" s="6">
        <v>11.27</v>
      </c>
      <c r="G5011" s="31"/>
    </row>
    <row r="5012" spans="1:7" x14ac:dyDescent="0.25">
      <c r="A5012" s="36">
        <v>44824</v>
      </c>
      <c r="B5012" s="6">
        <v>49.8</v>
      </c>
      <c r="C5012" s="6">
        <v>33.22</v>
      </c>
      <c r="D5012" s="6">
        <v>16.28</v>
      </c>
      <c r="E5012" s="6">
        <v>11.18</v>
      </c>
      <c r="G5012" s="31"/>
    </row>
    <row r="5013" spans="1:7" x14ac:dyDescent="0.25">
      <c r="A5013" s="36">
        <v>44825</v>
      </c>
      <c r="B5013" s="6">
        <v>49.68</v>
      </c>
      <c r="C5013" s="6">
        <v>33.17</v>
      </c>
      <c r="D5013" s="6">
        <v>16.2</v>
      </c>
      <c r="E5013" s="6">
        <v>11.17</v>
      </c>
      <c r="G5013" s="31"/>
    </row>
    <row r="5014" spans="1:7" x14ac:dyDescent="0.25">
      <c r="A5014" s="36">
        <v>44826</v>
      </c>
      <c r="B5014" s="6">
        <v>49.56</v>
      </c>
      <c r="C5014" s="6">
        <v>33.119999999999997</v>
      </c>
      <c r="D5014" s="6">
        <v>16.100000000000001</v>
      </c>
      <c r="E5014" s="6">
        <v>11.129999999999999</v>
      </c>
      <c r="G5014" s="31"/>
    </row>
    <row r="5015" spans="1:7" x14ac:dyDescent="0.25">
      <c r="A5015" s="36">
        <v>44827</v>
      </c>
      <c r="B5015" s="6">
        <v>49.46</v>
      </c>
      <c r="C5015" s="6">
        <v>33.04</v>
      </c>
      <c r="D5015" s="6">
        <v>16.02</v>
      </c>
      <c r="E5015" s="6">
        <v>11.01</v>
      </c>
      <c r="G5015" s="31"/>
    </row>
    <row r="5016" spans="1:7" x14ac:dyDescent="0.25">
      <c r="A5016" s="36">
        <v>44828</v>
      </c>
      <c r="B5016" s="6">
        <v>49.36</v>
      </c>
      <c r="C5016" s="6">
        <v>32.96</v>
      </c>
      <c r="D5016" s="6">
        <v>15.91</v>
      </c>
      <c r="E5016" s="6">
        <v>10.86</v>
      </c>
      <c r="G5016" s="31"/>
    </row>
    <row r="5017" spans="1:7" x14ac:dyDescent="0.25">
      <c r="A5017" s="36">
        <v>44829</v>
      </c>
      <c r="B5017" s="6">
        <v>49.2</v>
      </c>
      <c r="C5017" s="6">
        <v>32.9</v>
      </c>
      <c r="D5017" s="6">
        <v>15.82</v>
      </c>
      <c r="E5017" s="6">
        <v>10.67</v>
      </c>
      <c r="G5017" s="31"/>
    </row>
    <row r="5018" spans="1:7" x14ac:dyDescent="0.25">
      <c r="A5018" s="36">
        <v>44830</v>
      </c>
      <c r="B5018" s="6">
        <v>49.05</v>
      </c>
      <c r="C5018" s="6">
        <v>32.82</v>
      </c>
      <c r="D5018" s="6">
        <v>15.69</v>
      </c>
      <c r="E5018" s="6">
        <v>10.61</v>
      </c>
      <c r="G5018" s="31"/>
    </row>
    <row r="5019" spans="1:7" x14ac:dyDescent="0.25">
      <c r="A5019" s="36">
        <v>44831</v>
      </c>
      <c r="B5019" s="6">
        <v>48.9</v>
      </c>
      <c r="C5019" s="6">
        <v>32.74</v>
      </c>
      <c r="D5019" s="6">
        <v>15.59</v>
      </c>
      <c r="E5019" s="6">
        <v>10.469999999999999</v>
      </c>
      <c r="G5019" s="31"/>
    </row>
    <row r="5020" spans="1:7" x14ac:dyDescent="0.25">
      <c r="A5020" s="36">
        <v>44832</v>
      </c>
      <c r="B5020" s="6">
        <v>48.72</v>
      </c>
      <c r="C5020" s="6">
        <v>32.65</v>
      </c>
      <c r="D5020" s="6">
        <v>15.48</v>
      </c>
      <c r="E5020" s="6">
        <v>10.34</v>
      </c>
      <c r="G5020" s="31"/>
    </row>
    <row r="5021" spans="1:7" x14ac:dyDescent="0.25">
      <c r="A5021" s="36">
        <v>44833</v>
      </c>
      <c r="B5021" s="6">
        <v>48.5</v>
      </c>
      <c r="C5021" s="6">
        <v>32.56</v>
      </c>
      <c r="D5021" s="6">
        <v>15.4</v>
      </c>
      <c r="E5021" s="6">
        <v>10.34</v>
      </c>
      <c r="G5021" s="31"/>
    </row>
    <row r="5022" spans="1:7" x14ac:dyDescent="0.25">
      <c r="A5022" s="36">
        <v>44834</v>
      </c>
      <c r="B5022" s="6">
        <v>48.29</v>
      </c>
      <c r="C5022" s="6">
        <v>32.479999999999997</v>
      </c>
      <c r="D5022" s="6">
        <v>15.3</v>
      </c>
      <c r="E5022" s="6">
        <v>10.28</v>
      </c>
      <c r="G5022" s="31"/>
    </row>
    <row r="5023" spans="1:7" x14ac:dyDescent="0.25">
      <c r="A5023" s="36">
        <v>44835</v>
      </c>
      <c r="B5023" s="6">
        <v>48.1</v>
      </c>
      <c r="C5023" s="6">
        <v>32.369999999999997</v>
      </c>
      <c r="D5023" s="6">
        <v>15.22</v>
      </c>
      <c r="E5023" s="6">
        <v>10.219999999999999</v>
      </c>
      <c r="G5023" s="31"/>
    </row>
    <row r="5024" spans="1:7" x14ac:dyDescent="0.25">
      <c r="A5024" s="36">
        <v>44836</v>
      </c>
      <c r="B5024" s="6">
        <v>47.98</v>
      </c>
      <c r="C5024" s="6">
        <v>32.26</v>
      </c>
      <c r="D5024" s="6">
        <v>15.13</v>
      </c>
      <c r="E5024" s="6">
        <v>10.219999999999999</v>
      </c>
      <c r="G5024" s="31"/>
    </row>
    <row r="5025" spans="1:7" x14ac:dyDescent="0.25">
      <c r="A5025" s="36">
        <v>44837</v>
      </c>
      <c r="B5025" s="6">
        <v>47.86</v>
      </c>
      <c r="C5025" s="6">
        <v>32.15</v>
      </c>
      <c r="D5025" s="6">
        <v>15.06</v>
      </c>
      <c r="E5025" s="6">
        <v>10.15</v>
      </c>
      <c r="G5025" s="31"/>
    </row>
    <row r="5026" spans="1:7" x14ac:dyDescent="0.25">
      <c r="A5026" s="36">
        <v>44838</v>
      </c>
      <c r="B5026" s="6">
        <v>47.72</v>
      </c>
      <c r="C5026" s="6">
        <v>32.04</v>
      </c>
      <c r="D5026" s="6">
        <v>15</v>
      </c>
      <c r="E5026" s="6">
        <v>10.119999999999999</v>
      </c>
      <c r="G5026" s="31"/>
    </row>
    <row r="5027" spans="1:7" x14ac:dyDescent="0.25">
      <c r="A5027" s="36">
        <v>44839</v>
      </c>
      <c r="B5027" s="6">
        <v>47.6</v>
      </c>
      <c r="C5027" s="6">
        <v>31.9</v>
      </c>
      <c r="D5027" s="6">
        <v>14.9</v>
      </c>
      <c r="E5027" s="6">
        <v>10.199999999999999</v>
      </c>
      <c r="G5027" s="31"/>
    </row>
    <row r="5028" spans="1:7" x14ac:dyDescent="0.25">
      <c r="A5028" s="36">
        <v>44840</v>
      </c>
      <c r="B5028" s="6">
        <v>47.48</v>
      </c>
      <c r="C5028" s="6">
        <v>31.8</v>
      </c>
      <c r="D5028" s="6">
        <v>14.92</v>
      </c>
      <c r="E5028" s="6">
        <v>10.199999999999999</v>
      </c>
      <c r="G5028" s="31"/>
    </row>
    <row r="5029" spans="1:7" x14ac:dyDescent="0.25">
      <c r="A5029" s="36">
        <v>44841</v>
      </c>
      <c r="B5029" s="6">
        <v>47.38</v>
      </c>
      <c r="C5029" s="6">
        <v>31.66</v>
      </c>
      <c r="D5029" s="6">
        <v>14.8</v>
      </c>
      <c r="E5029" s="6">
        <v>10.129999999999999</v>
      </c>
      <c r="G5029" s="31"/>
    </row>
    <row r="5030" spans="1:7" x14ac:dyDescent="0.25">
      <c r="A5030" s="36">
        <v>44842</v>
      </c>
      <c r="B5030" s="6">
        <v>47.3</v>
      </c>
      <c r="C5030" s="6">
        <v>31.55</v>
      </c>
      <c r="D5030" s="6">
        <v>14.68</v>
      </c>
      <c r="E5030" s="6">
        <v>10</v>
      </c>
      <c r="G5030" s="31"/>
    </row>
    <row r="5031" spans="1:7" x14ac:dyDescent="0.25">
      <c r="A5031" s="36">
        <v>44843</v>
      </c>
      <c r="B5031" s="6">
        <v>47.2</v>
      </c>
      <c r="C5031" s="6">
        <v>31.44</v>
      </c>
      <c r="D5031" s="6">
        <v>14.6</v>
      </c>
      <c r="E5031" s="6">
        <v>9.9699999999999989</v>
      </c>
      <c r="G5031" s="31"/>
    </row>
    <row r="5032" spans="1:7" x14ac:dyDescent="0.25">
      <c r="A5032" s="36">
        <v>44844</v>
      </c>
      <c r="B5032" s="6">
        <v>47.1</v>
      </c>
      <c r="C5032" s="6">
        <v>31.32</v>
      </c>
      <c r="D5032" s="6">
        <v>14.48</v>
      </c>
      <c r="E5032" s="6">
        <v>9.9</v>
      </c>
      <c r="G5032" s="31"/>
    </row>
    <row r="5033" spans="1:7" x14ac:dyDescent="0.25">
      <c r="A5033" s="36">
        <v>44845</v>
      </c>
      <c r="B5033" s="6">
        <v>47.06</v>
      </c>
      <c r="C5033" s="6">
        <v>31.2</v>
      </c>
      <c r="D5033" s="6">
        <v>14.32</v>
      </c>
      <c r="E5033" s="6">
        <v>9.91</v>
      </c>
      <c r="G5033" s="31"/>
    </row>
    <row r="5034" spans="1:7" x14ac:dyDescent="0.25">
      <c r="A5034" s="36">
        <v>44846</v>
      </c>
      <c r="B5034" s="6">
        <v>46.96</v>
      </c>
      <c r="C5034" s="6">
        <v>31.12</v>
      </c>
      <c r="D5034" s="6">
        <v>14.2</v>
      </c>
      <c r="E5034" s="6">
        <v>9.7199999999999989</v>
      </c>
      <c r="G5034" s="31"/>
    </row>
    <row r="5035" spans="1:7" x14ac:dyDescent="0.25">
      <c r="A5035" s="36">
        <v>44847</v>
      </c>
      <c r="B5035" s="6">
        <v>46.92</v>
      </c>
      <c r="C5035" s="6">
        <v>31.03</v>
      </c>
      <c r="D5035" s="6">
        <v>14.06</v>
      </c>
      <c r="E5035" s="6">
        <v>9.65</v>
      </c>
      <c r="G5035" s="31"/>
    </row>
    <row r="5036" spans="1:7" x14ac:dyDescent="0.25">
      <c r="A5036" s="36">
        <v>44848</v>
      </c>
      <c r="B5036" s="6">
        <v>46.88</v>
      </c>
      <c r="C5036" s="6">
        <v>30.92</v>
      </c>
      <c r="D5036" s="6">
        <v>13.92</v>
      </c>
      <c r="E5036" s="6">
        <v>9.4599999999999991</v>
      </c>
      <c r="G5036" s="31"/>
    </row>
    <row r="5037" spans="1:7" x14ac:dyDescent="0.25">
      <c r="A5037" s="36">
        <v>44849</v>
      </c>
      <c r="B5037" s="6">
        <v>46.87</v>
      </c>
      <c r="C5037" s="6">
        <v>30.82</v>
      </c>
      <c r="D5037" s="6">
        <v>13.75</v>
      </c>
      <c r="E5037" s="6">
        <v>9.24</v>
      </c>
      <c r="G5037" s="31"/>
    </row>
    <row r="5038" spans="1:7" x14ac:dyDescent="0.25">
      <c r="A5038" s="36">
        <v>44850</v>
      </c>
      <c r="B5038" s="6">
        <v>46.84</v>
      </c>
      <c r="C5038" s="6">
        <v>30.74</v>
      </c>
      <c r="D5038" s="6">
        <v>13.6</v>
      </c>
      <c r="E5038" s="6">
        <v>9.15</v>
      </c>
      <c r="G5038" s="31"/>
    </row>
    <row r="5039" spans="1:7" x14ac:dyDescent="0.25">
      <c r="A5039" s="36">
        <v>44851</v>
      </c>
      <c r="B5039" s="6">
        <v>46.84</v>
      </c>
      <c r="C5039" s="6">
        <v>30.67</v>
      </c>
      <c r="D5039" s="6">
        <v>13.46</v>
      </c>
      <c r="E5039" s="6">
        <v>9</v>
      </c>
      <c r="G5039" s="31"/>
    </row>
    <row r="5040" spans="1:7" x14ac:dyDescent="0.25">
      <c r="A5040" s="36">
        <v>44852</v>
      </c>
      <c r="B5040" s="6">
        <v>46.84</v>
      </c>
      <c r="C5040" s="6">
        <v>30.58</v>
      </c>
      <c r="D5040" s="6">
        <v>13.35</v>
      </c>
      <c r="E5040" s="6">
        <v>9.02</v>
      </c>
      <c r="G5040" s="31"/>
    </row>
    <row r="5041" spans="1:7" x14ac:dyDescent="0.25">
      <c r="A5041" s="36">
        <v>44853</v>
      </c>
      <c r="B5041" s="6">
        <v>46.85</v>
      </c>
      <c r="C5041" s="6">
        <v>30.53</v>
      </c>
      <c r="D5041" s="6">
        <v>13.24</v>
      </c>
      <c r="E5041" s="6">
        <v>8.9499999999999993</v>
      </c>
      <c r="G5041" s="31"/>
    </row>
    <row r="5042" spans="1:7" x14ac:dyDescent="0.25">
      <c r="A5042" s="36">
        <v>44854</v>
      </c>
      <c r="B5042" s="6">
        <v>46.86</v>
      </c>
      <c r="C5042" s="6">
        <v>30.48</v>
      </c>
      <c r="D5042" s="6">
        <v>13.12</v>
      </c>
      <c r="E5042" s="6">
        <v>8.92</v>
      </c>
      <c r="G5042" s="31"/>
    </row>
    <row r="5043" spans="1:7" x14ac:dyDescent="0.25">
      <c r="A5043" s="36">
        <v>44855</v>
      </c>
      <c r="B5043" s="6">
        <v>46.86</v>
      </c>
      <c r="C5043" s="6">
        <v>30.42</v>
      </c>
      <c r="D5043" s="6">
        <v>12.99</v>
      </c>
      <c r="E5043" s="6">
        <v>8.74</v>
      </c>
      <c r="G5043" s="31"/>
    </row>
    <row r="5044" spans="1:7" x14ac:dyDescent="0.25">
      <c r="A5044" s="36">
        <v>44856</v>
      </c>
      <c r="B5044" s="6">
        <v>46.86</v>
      </c>
      <c r="C5044" s="6">
        <v>30.36</v>
      </c>
      <c r="D5044" s="6">
        <v>12.9</v>
      </c>
      <c r="E5044" s="6">
        <v>8.7099999999999991</v>
      </c>
      <c r="G5044" s="31"/>
    </row>
    <row r="5045" spans="1:7" x14ac:dyDescent="0.25">
      <c r="A5045" s="36">
        <v>44857</v>
      </c>
      <c r="B5045" s="6">
        <v>46.86</v>
      </c>
      <c r="C5045" s="6">
        <v>30.3</v>
      </c>
      <c r="D5045" s="6">
        <v>12.79</v>
      </c>
      <c r="E5045" s="6">
        <v>8.41</v>
      </c>
      <c r="G5045" s="31"/>
    </row>
    <row r="5046" spans="1:7" x14ac:dyDescent="0.25">
      <c r="A5046" s="36">
        <v>44858</v>
      </c>
      <c r="B5046" s="6">
        <v>46.88</v>
      </c>
      <c r="C5046" s="6">
        <v>30.24</v>
      </c>
      <c r="D5046" s="6">
        <v>12.65</v>
      </c>
      <c r="E5046" s="6">
        <v>8.3000000000000007</v>
      </c>
      <c r="G5046" s="31"/>
    </row>
    <row r="5047" spans="1:7" x14ac:dyDescent="0.25">
      <c r="A5047" s="36">
        <v>44859</v>
      </c>
      <c r="B5047" s="6">
        <v>46.92</v>
      </c>
      <c r="C5047" s="6">
        <v>30.22</v>
      </c>
      <c r="D5047" s="6">
        <v>12.58</v>
      </c>
      <c r="E5047" s="6">
        <v>8.18</v>
      </c>
      <c r="G5047" s="31"/>
    </row>
    <row r="5048" spans="1:7" x14ac:dyDescent="0.25">
      <c r="A5048" s="36">
        <v>44860</v>
      </c>
      <c r="B5048" s="6">
        <v>46.96</v>
      </c>
      <c r="C5048" s="6">
        <v>30.2</v>
      </c>
      <c r="D5048" s="6">
        <v>12.47</v>
      </c>
      <c r="E5048" s="6">
        <v>8</v>
      </c>
      <c r="G5048" s="31"/>
    </row>
    <row r="5049" spans="1:7" x14ac:dyDescent="0.25">
      <c r="A5049" s="36">
        <v>44861</v>
      </c>
      <c r="B5049" s="6">
        <v>46.96</v>
      </c>
      <c r="C5049" s="6">
        <v>30.17</v>
      </c>
      <c r="D5049" s="6">
        <v>12.37</v>
      </c>
      <c r="E5049" s="6">
        <v>7.89</v>
      </c>
      <c r="G5049" s="31"/>
    </row>
    <row r="5050" spans="1:7" x14ac:dyDescent="0.25">
      <c r="A5050" s="36">
        <v>44862</v>
      </c>
      <c r="B5050" s="6">
        <v>46.94</v>
      </c>
      <c r="C5050" s="6">
        <v>30.15</v>
      </c>
      <c r="D5050" s="6">
        <v>12.3</v>
      </c>
      <c r="E5050" s="6">
        <v>7.8</v>
      </c>
      <c r="G5050" s="31"/>
    </row>
    <row r="5051" spans="1:7" x14ac:dyDescent="0.25">
      <c r="A5051" s="36">
        <v>44863</v>
      </c>
      <c r="B5051" s="6">
        <v>47.02</v>
      </c>
      <c r="C5051" s="6">
        <v>30.1</v>
      </c>
      <c r="D5051" s="6">
        <v>12.29</v>
      </c>
      <c r="E5051" s="6">
        <v>7.81</v>
      </c>
      <c r="G5051" s="31"/>
    </row>
    <row r="5052" spans="1:7" x14ac:dyDescent="0.25">
      <c r="A5052" s="36">
        <v>44864</v>
      </c>
      <c r="B5052" s="6">
        <v>47.04</v>
      </c>
      <c r="C5052" s="6">
        <v>30.17</v>
      </c>
      <c r="D5052" s="6">
        <v>12.25</v>
      </c>
      <c r="E5052" s="6">
        <v>7.8599999999999994</v>
      </c>
      <c r="G5052" s="31"/>
    </row>
    <row r="5053" spans="1:7" x14ac:dyDescent="0.25">
      <c r="A5053" s="36">
        <v>44865</v>
      </c>
      <c r="B5053" s="6">
        <v>47.04</v>
      </c>
      <c r="C5053" s="6">
        <v>30.17</v>
      </c>
      <c r="D5053" s="6">
        <v>12.22</v>
      </c>
      <c r="E5053" s="6">
        <v>7.87</v>
      </c>
      <c r="G5053" s="31"/>
    </row>
    <row r="5054" spans="1:7" x14ac:dyDescent="0.25">
      <c r="A5054" s="36">
        <v>44866</v>
      </c>
      <c r="B5054" s="6">
        <v>47.02</v>
      </c>
      <c r="C5054" s="6">
        <v>30.2</v>
      </c>
      <c r="D5054" s="6">
        <v>12.25</v>
      </c>
      <c r="E5054" s="6">
        <v>7.92</v>
      </c>
      <c r="G5054" s="31"/>
    </row>
    <row r="5055" spans="1:7" x14ac:dyDescent="0.25">
      <c r="A5055" s="36">
        <v>44867</v>
      </c>
      <c r="B5055" s="6">
        <v>47</v>
      </c>
      <c r="C5055" s="6">
        <v>30.2</v>
      </c>
      <c r="D5055" s="6">
        <v>12.3</v>
      </c>
      <c r="E5055" s="6">
        <v>8.1</v>
      </c>
      <c r="G5055" s="31"/>
    </row>
    <row r="5056" spans="1:7" x14ac:dyDescent="0.25">
      <c r="A5056" s="36">
        <v>44868</v>
      </c>
      <c r="B5056" s="6">
        <v>47.02</v>
      </c>
      <c r="C5056" s="6">
        <v>30.2</v>
      </c>
      <c r="D5056" s="6">
        <v>12.38</v>
      </c>
      <c r="E5056" s="6">
        <v>8.27</v>
      </c>
      <c r="G5056" s="31"/>
    </row>
    <row r="5057" spans="1:7" x14ac:dyDescent="0.25">
      <c r="A5057" s="36">
        <v>44869</v>
      </c>
      <c r="B5057" s="6">
        <v>47.02</v>
      </c>
      <c r="C5057" s="6">
        <v>30.22</v>
      </c>
      <c r="D5057" s="6">
        <v>12.47</v>
      </c>
      <c r="E5057" s="6">
        <v>8.39</v>
      </c>
      <c r="G5057" s="31"/>
    </row>
    <row r="5058" spans="1:7" x14ac:dyDescent="0.25">
      <c r="A5058" s="36">
        <v>44870</v>
      </c>
      <c r="B5058" s="6">
        <v>47.02</v>
      </c>
      <c r="C5058" s="6">
        <v>30.21</v>
      </c>
      <c r="D5058" s="6">
        <v>12.56</v>
      </c>
      <c r="E5058" s="6">
        <v>8.39</v>
      </c>
      <c r="G5058" s="31"/>
    </row>
    <row r="5059" spans="1:7" x14ac:dyDescent="0.25">
      <c r="A5059" s="36">
        <v>44871</v>
      </c>
      <c r="B5059" s="6">
        <v>46.99</v>
      </c>
      <c r="C5059" s="6">
        <v>30.2</v>
      </c>
      <c r="D5059" s="6">
        <v>12.6</v>
      </c>
      <c r="E5059" s="6">
        <v>8.65</v>
      </c>
      <c r="G5059" s="31"/>
    </row>
    <row r="5060" spans="1:7" x14ac:dyDescent="0.25">
      <c r="A5060" s="36">
        <v>44872</v>
      </c>
      <c r="B5060" s="6">
        <v>46.98</v>
      </c>
      <c r="C5060" s="6">
        <v>30.18</v>
      </c>
      <c r="D5060" s="6">
        <v>12.66</v>
      </c>
      <c r="E5060" s="6">
        <v>8.7099999999999991</v>
      </c>
      <c r="G5060" s="31"/>
    </row>
    <row r="5061" spans="1:7" x14ac:dyDescent="0.25">
      <c r="A5061" s="36">
        <v>44873</v>
      </c>
      <c r="B5061" s="6">
        <v>46.92</v>
      </c>
      <c r="C5061" s="6">
        <v>30.14</v>
      </c>
      <c r="D5061" s="6">
        <v>12.66</v>
      </c>
      <c r="E5061" s="6">
        <v>8.74</v>
      </c>
      <c r="G5061" s="31"/>
    </row>
    <row r="5062" spans="1:7" x14ac:dyDescent="0.25">
      <c r="A5062" s="36">
        <v>44874</v>
      </c>
      <c r="B5062" s="6">
        <v>46.98</v>
      </c>
      <c r="C5062" s="6">
        <v>30.12</v>
      </c>
      <c r="D5062" s="6">
        <v>12.68</v>
      </c>
      <c r="E5062" s="6">
        <v>8.8699999999999992</v>
      </c>
      <c r="G5062" s="31"/>
    </row>
    <row r="5063" spans="1:7" x14ac:dyDescent="0.25">
      <c r="A5063" s="36">
        <v>44875</v>
      </c>
      <c r="B5063" s="6">
        <v>46.95</v>
      </c>
      <c r="C5063" s="6">
        <v>30.14</v>
      </c>
      <c r="D5063" s="6">
        <v>12.71</v>
      </c>
      <c r="E5063" s="6">
        <v>8.9</v>
      </c>
      <c r="G5063" s="31"/>
    </row>
    <row r="5064" spans="1:7" x14ac:dyDescent="0.25">
      <c r="A5064" s="36">
        <v>44876</v>
      </c>
      <c r="B5064" s="6">
        <v>46.9</v>
      </c>
      <c r="C5064" s="6">
        <v>30.16</v>
      </c>
      <c r="D5064" s="6">
        <v>12.68</v>
      </c>
      <c r="E5064" s="6">
        <v>8.81</v>
      </c>
      <c r="G5064" s="31"/>
    </row>
    <row r="5065" spans="1:7" x14ac:dyDescent="0.25">
      <c r="A5065" s="36">
        <v>44877</v>
      </c>
      <c r="B5065" s="6">
        <v>46.84</v>
      </c>
      <c r="C5065" s="6">
        <v>30.2</v>
      </c>
      <c r="D5065" s="6">
        <v>12.68</v>
      </c>
      <c r="E5065" s="6">
        <v>8.7899999999999991</v>
      </c>
      <c r="G5065" s="31"/>
    </row>
    <row r="5066" spans="1:7" x14ac:dyDescent="0.25">
      <c r="A5066" s="36">
        <v>44878</v>
      </c>
      <c r="B5066" s="6">
        <v>46.77</v>
      </c>
      <c r="C5066" s="6">
        <v>30.18</v>
      </c>
      <c r="D5066" s="6">
        <v>12.73</v>
      </c>
      <c r="E5066" s="6">
        <v>8.7899999999999991</v>
      </c>
      <c r="G5066" s="31"/>
    </row>
    <row r="5067" spans="1:7" x14ac:dyDescent="0.25">
      <c r="A5067" s="36">
        <v>44879</v>
      </c>
      <c r="B5067" s="6">
        <v>46.7</v>
      </c>
      <c r="C5067" s="6">
        <v>30.18</v>
      </c>
      <c r="D5067" s="6">
        <v>12.75</v>
      </c>
      <c r="E5067" s="6">
        <v>8.6999999999999993</v>
      </c>
      <c r="G5067" s="31"/>
    </row>
    <row r="5068" spans="1:7" x14ac:dyDescent="0.25">
      <c r="A5068" s="36">
        <v>44880</v>
      </c>
      <c r="B5068" s="6">
        <v>46.6</v>
      </c>
      <c r="C5068" s="6">
        <v>30.16</v>
      </c>
      <c r="D5068" s="6">
        <v>12.73</v>
      </c>
      <c r="E5068" s="6">
        <v>8.4599999999999991</v>
      </c>
      <c r="G5068" s="31"/>
    </row>
    <row r="5069" spans="1:7" x14ac:dyDescent="0.25">
      <c r="A5069" s="36">
        <v>44881</v>
      </c>
      <c r="B5069" s="6">
        <v>46.56</v>
      </c>
      <c r="C5069" s="6">
        <v>30.08</v>
      </c>
      <c r="D5069" s="6">
        <v>12.68</v>
      </c>
      <c r="E5069" s="6">
        <v>8.25</v>
      </c>
      <c r="G5069" s="31"/>
    </row>
    <row r="5070" spans="1:7" x14ac:dyDescent="0.25">
      <c r="A5070" s="36">
        <v>44882</v>
      </c>
      <c r="B5070" s="6">
        <v>46.56</v>
      </c>
      <c r="C5070" s="6">
        <v>30.01</v>
      </c>
      <c r="D5070" s="6">
        <v>12.57</v>
      </c>
      <c r="E5070" s="6">
        <v>7.97</v>
      </c>
      <c r="G5070" s="31"/>
    </row>
    <row r="5071" spans="1:7" x14ac:dyDescent="0.25">
      <c r="A5071" s="36">
        <v>44883</v>
      </c>
      <c r="B5071" s="6">
        <v>46.68</v>
      </c>
      <c r="C5071" s="6">
        <v>29.94</v>
      </c>
      <c r="D5071" s="6">
        <v>12.44</v>
      </c>
      <c r="E5071" s="6">
        <v>7.92</v>
      </c>
      <c r="G5071" s="31"/>
    </row>
    <row r="5072" spans="1:7" x14ac:dyDescent="0.25">
      <c r="A5072" s="36">
        <v>44884</v>
      </c>
      <c r="B5072" s="6">
        <v>46.7</v>
      </c>
      <c r="C5072" s="6">
        <v>29.9</v>
      </c>
      <c r="D5072" s="6">
        <v>12.33</v>
      </c>
      <c r="E5072" s="6">
        <v>7.9399999999999995</v>
      </c>
      <c r="G5072" s="31"/>
    </row>
    <row r="5073" spans="1:7" x14ac:dyDescent="0.25">
      <c r="A5073" s="36">
        <v>44885</v>
      </c>
      <c r="B5073" s="6">
        <v>46.68</v>
      </c>
      <c r="C5073" s="6">
        <v>29.86</v>
      </c>
      <c r="D5073" s="6">
        <v>12.24</v>
      </c>
      <c r="E5073" s="6">
        <v>7.7399999999999993</v>
      </c>
      <c r="G5073" s="31"/>
    </row>
    <row r="5074" spans="1:7" x14ac:dyDescent="0.25">
      <c r="A5074" s="36">
        <v>44886</v>
      </c>
      <c r="B5074" s="6">
        <v>46.65</v>
      </c>
      <c r="C5074" s="6">
        <v>29.84</v>
      </c>
      <c r="D5074" s="6">
        <v>12.18</v>
      </c>
      <c r="E5074" s="6">
        <v>7.68</v>
      </c>
      <c r="G5074" s="31"/>
    </row>
    <row r="5075" spans="1:7" x14ac:dyDescent="0.25">
      <c r="A5075" s="36">
        <v>44887</v>
      </c>
      <c r="B5075" s="6">
        <v>46.63</v>
      </c>
      <c r="C5075" s="6">
        <v>29.8</v>
      </c>
      <c r="D5075" s="6">
        <v>12.19</v>
      </c>
      <c r="E5075" s="6">
        <v>7.96</v>
      </c>
      <c r="G5075" s="31"/>
    </row>
    <row r="5076" spans="1:7" x14ac:dyDescent="0.25">
      <c r="A5076" s="36">
        <v>44888</v>
      </c>
      <c r="B5076" s="6">
        <v>46.64</v>
      </c>
      <c r="C5076" s="6">
        <v>29.76</v>
      </c>
      <c r="D5076" s="6">
        <v>12.21</v>
      </c>
      <c r="E5076" s="6">
        <v>8.1</v>
      </c>
      <c r="G5076" s="31"/>
    </row>
    <row r="5077" spans="1:7" x14ac:dyDescent="0.25">
      <c r="A5077" s="36">
        <v>44889</v>
      </c>
      <c r="B5077" s="6">
        <v>46.66</v>
      </c>
      <c r="C5077" s="6">
        <v>29.7</v>
      </c>
      <c r="D5077" s="6">
        <v>12.2</v>
      </c>
      <c r="E5077" s="6">
        <v>8.11</v>
      </c>
      <c r="G5077" s="31"/>
    </row>
    <row r="5078" spans="1:7" x14ac:dyDescent="0.25">
      <c r="A5078" s="36">
        <v>44890</v>
      </c>
      <c r="B5078" s="6">
        <v>46.63</v>
      </c>
      <c r="C5078" s="6">
        <v>29.66</v>
      </c>
      <c r="D5078" s="6">
        <v>12.19</v>
      </c>
      <c r="E5078" s="6">
        <v>8.1999999999999993</v>
      </c>
      <c r="G5078" s="31"/>
    </row>
    <row r="5079" spans="1:7" x14ac:dyDescent="0.25">
      <c r="A5079" s="36">
        <v>44891</v>
      </c>
      <c r="B5079" s="6">
        <v>46.61</v>
      </c>
      <c r="C5079" s="6">
        <v>29.62</v>
      </c>
      <c r="D5079" s="6">
        <v>12.14</v>
      </c>
      <c r="E5079" s="6">
        <v>8.16</v>
      </c>
      <c r="G5079" s="31"/>
    </row>
    <row r="5080" spans="1:7" x14ac:dyDescent="0.25">
      <c r="A5080" s="36">
        <v>44892</v>
      </c>
      <c r="B5080" s="6">
        <v>46.57</v>
      </c>
      <c r="C5080" s="6">
        <v>29.61</v>
      </c>
      <c r="D5080" s="6">
        <v>12.04</v>
      </c>
      <c r="E5080" s="6">
        <v>8.02</v>
      </c>
      <c r="G5080" s="31"/>
    </row>
    <row r="5081" spans="1:7" x14ac:dyDescent="0.25">
      <c r="A5081" s="36">
        <v>44893</v>
      </c>
      <c r="B5081" s="6">
        <v>46.54</v>
      </c>
      <c r="C5081" s="6">
        <v>29.6</v>
      </c>
      <c r="D5081" s="6">
        <v>11.97</v>
      </c>
      <c r="E5081" s="6">
        <v>7.9499999999999993</v>
      </c>
      <c r="G5081" s="31"/>
    </row>
    <row r="5082" spans="1:7" x14ac:dyDescent="0.25">
      <c r="A5082" s="36">
        <v>44894</v>
      </c>
      <c r="B5082" s="6">
        <v>46.48</v>
      </c>
      <c r="C5082" s="6">
        <v>29.57</v>
      </c>
      <c r="D5082" s="6">
        <v>11.94</v>
      </c>
      <c r="E5082" s="6">
        <v>8.01</v>
      </c>
      <c r="G5082" s="31"/>
    </row>
    <row r="5083" spans="1:7" x14ac:dyDescent="0.25">
      <c r="A5083" s="36">
        <v>44895</v>
      </c>
      <c r="B5083" s="6">
        <v>46.44</v>
      </c>
      <c r="C5083" s="6">
        <v>29.52</v>
      </c>
      <c r="D5083" s="6">
        <v>11.94</v>
      </c>
      <c r="E5083" s="6">
        <v>8.26</v>
      </c>
      <c r="G5083" s="31"/>
    </row>
    <row r="5084" spans="1:7" x14ac:dyDescent="0.25">
      <c r="A5084" s="36">
        <v>44896</v>
      </c>
      <c r="B5084" s="6">
        <v>46.38</v>
      </c>
      <c r="C5084" s="6">
        <v>29.47</v>
      </c>
      <c r="D5084" s="6">
        <v>11.98</v>
      </c>
      <c r="E5084" s="6">
        <v>8.31</v>
      </c>
      <c r="G5084" s="31"/>
    </row>
    <row r="5085" spans="1:7" x14ac:dyDescent="0.25">
      <c r="A5085" s="36">
        <v>44897</v>
      </c>
      <c r="B5085" s="6">
        <v>46.35</v>
      </c>
      <c r="C5085" s="6">
        <v>29.41</v>
      </c>
      <c r="D5085" s="6">
        <v>11.96</v>
      </c>
      <c r="E5085" s="6">
        <v>8.16</v>
      </c>
      <c r="G5085" s="31"/>
    </row>
    <row r="5086" spans="1:7" x14ac:dyDescent="0.25">
      <c r="A5086" s="36">
        <v>44898</v>
      </c>
      <c r="B5086" s="6">
        <v>46.3</v>
      </c>
      <c r="C5086" s="6">
        <v>29.34</v>
      </c>
      <c r="D5086" s="6">
        <v>11.94</v>
      </c>
      <c r="E5086" s="6">
        <v>8.24</v>
      </c>
      <c r="G5086" s="31"/>
    </row>
    <row r="5087" spans="1:7" x14ac:dyDescent="0.25">
      <c r="A5087" s="36">
        <v>44899</v>
      </c>
      <c r="B5087" s="6">
        <v>46.24</v>
      </c>
      <c r="C5087" s="6">
        <v>29.26</v>
      </c>
      <c r="D5087" s="6">
        <v>11.87</v>
      </c>
      <c r="E5087" s="6">
        <v>7.92</v>
      </c>
      <c r="G5087" s="31"/>
    </row>
    <row r="5088" spans="1:7" x14ac:dyDescent="0.25">
      <c r="A5088" s="36">
        <v>44900</v>
      </c>
      <c r="B5088" s="6">
        <v>46.15</v>
      </c>
      <c r="C5088" s="6">
        <v>29.15</v>
      </c>
      <c r="D5088" s="6">
        <v>11.77</v>
      </c>
      <c r="E5088" s="6">
        <v>7.87</v>
      </c>
      <c r="G5088" s="31"/>
    </row>
    <row r="5089" spans="1:7" x14ac:dyDescent="0.25">
      <c r="A5089" s="36">
        <v>44901</v>
      </c>
      <c r="B5089" s="6">
        <v>46.04</v>
      </c>
      <c r="C5089" s="6">
        <v>29.12</v>
      </c>
      <c r="D5089" s="6">
        <v>11.62</v>
      </c>
      <c r="E5089" s="6">
        <v>7.5699999999999994</v>
      </c>
      <c r="G5089" s="31"/>
    </row>
    <row r="5090" spans="1:7" x14ac:dyDescent="0.25">
      <c r="A5090" s="36">
        <v>44902</v>
      </c>
      <c r="B5090" s="6">
        <v>45.9</v>
      </c>
      <c r="C5090" s="6">
        <v>29.05</v>
      </c>
      <c r="D5090" s="6">
        <v>11.43</v>
      </c>
      <c r="E5090" s="6">
        <v>7.3199999999999994</v>
      </c>
      <c r="G5090" s="31"/>
    </row>
    <row r="5091" spans="1:7" x14ac:dyDescent="0.25">
      <c r="A5091" s="36">
        <v>44903</v>
      </c>
      <c r="B5091" s="6">
        <v>45.75</v>
      </c>
      <c r="C5091" s="6">
        <v>29</v>
      </c>
      <c r="D5091" s="6">
        <v>11.27</v>
      </c>
      <c r="E5091" s="6">
        <v>7.33</v>
      </c>
      <c r="G5091" s="31"/>
    </row>
    <row r="5092" spans="1:7" x14ac:dyDescent="0.25">
      <c r="A5092" s="36">
        <v>44904</v>
      </c>
      <c r="B5092" s="6">
        <v>45.64</v>
      </c>
      <c r="C5092" s="6">
        <v>28.98</v>
      </c>
      <c r="D5092" s="6">
        <v>11.2</v>
      </c>
      <c r="E5092" s="6">
        <v>7.3999999999999995</v>
      </c>
      <c r="G5092" s="31"/>
    </row>
    <row r="5093" spans="1:7" x14ac:dyDescent="0.25">
      <c r="A5093" s="36">
        <v>44905</v>
      </c>
      <c r="B5093" s="6">
        <v>45.49</v>
      </c>
      <c r="C5093" s="6">
        <v>28.94</v>
      </c>
      <c r="D5093" s="6">
        <v>11.14</v>
      </c>
      <c r="E5093" s="6">
        <v>7.46</v>
      </c>
      <c r="G5093" s="31"/>
    </row>
    <row r="5094" spans="1:7" x14ac:dyDescent="0.25">
      <c r="A5094" s="36">
        <v>44906</v>
      </c>
      <c r="B5094" s="6">
        <v>45.34</v>
      </c>
      <c r="C5094" s="6">
        <v>28.64</v>
      </c>
      <c r="D5094" s="6">
        <v>11.05</v>
      </c>
      <c r="E5094" s="6">
        <v>7.42</v>
      </c>
      <c r="G5094" s="31"/>
    </row>
    <row r="5095" spans="1:7" x14ac:dyDescent="0.25">
      <c r="A5095" s="36">
        <v>44907</v>
      </c>
      <c r="B5095" s="6">
        <v>45.24</v>
      </c>
      <c r="C5095" s="6">
        <v>28.45</v>
      </c>
      <c r="D5095" s="6">
        <v>10.91</v>
      </c>
      <c r="E5095" s="6">
        <v>7.39</v>
      </c>
      <c r="G5095" s="31"/>
    </row>
    <row r="5096" spans="1:7" x14ac:dyDescent="0.25">
      <c r="A5096" s="36">
        <v>44908</v>
      </c>
      <c r="B5096" s="6">
        <v>45.13</v>
      </c>
      <c r="C5096" s="6">
        <v>28.26</v>
      </c>
      <c r="D5096" s="6">
        <v>10.75</v>
      </c>
      <c r="E5096" s="6">
        <v>7.34</v>
      </c>
      <c r="G5096" s="31"/>
    </row>
    <row r="5097" spans="1:7" x14ac:dyDescent="0.25">
      <c r="A5097" s="36">
        <v>44909</v>
      </c>
      <c r="B5097" s="6">
        <v>45</v>
      </c>
      <c r="C5097" s="6">
        <v>28.12</v>
      </c>
      <c r="D5097" s="6">
        <v>10.52</v>
      </c>
      <c r="E5097" s="6">
        <v>7.1</v>
      </c>
      <c r="G5097" s="31"/>
    </row>
    <row r="5098" spans="1:7" x14ac:dyDescent="0.25">
      <c r="A5098" s="36">
        <v>44910</v>
      </c>
      <c r="B5098" s="6">
        <v>44.87</v>
      </c>
      <c r="C5098" s="6">
        <v>27.97</v>
      </c>
      <c r="D5098" s="6">
        <v>10.31</v>
      </c>
      <c r="E5098" s="6">
        <v>6.71</v>
      </c>
      <c r="G5098" s="31"/>
    </row>
    <row r="5099" spans="1:7" x14ac:dyDescent="0.25">
      <c r="A5099" s="36">
        <v>44911</v>
      </c>
      <c r="B5099" s="6">
        <v>44.74</v>
      </c>
      <c r="C5099" s="6">
        <v>27.8</v>
      </c>
      <c r="D5099" s="6">
        <v>10.17</v>
      </c>
      <c r="E5099" s="6">
        <v>6.52</v>
      </c>
      <c r="G5099" s="31"/>
    </row>
    <row r="5100" spans="1:7" x14ac:dyDescent="0.25">
      <c r="A5100" s="36">
        <v>44912</v>
      </c>
      <c r="B5100" s="6">
        <v>44.6</v>
      </c>
      <c r="C5100" s="6">
        <v>27.6</v>
      </c>
      <c r="D5100" s="6">
        <v>10.029999999999999</v>
      </c>
      <c r="E5100" s="6">
        <v>6.39</v>
      </c>
      <c r="G5100" s="31"/>
    </row>
    <row r="5101" spans="1:7" x14ac:dyDescent="0.25">
      <c r="A5101" s="36">
        <v>44913</v>
      </c>
      <c r="B5101" s="6">
        <v>44.45</v>
      </c>
      <c r="C5101" s="6">
        <v>27.42</v>
      </c>
      <c r="D5101" s="6">
        <v>9.93</v>
      </c>
      <c r="E5101" s="6">
        <v>6.4899999999999993</v>
      </c>
      <c r="G5101" s="31"/>
    </row>
    <row r="5102" spans="1:7" x14ac:dyDescent="0.25">
      <c r="A5102" s="36">
        <v>44914</v>
      </c>
      <c r="B5102" s="6">
        <v>44.28</v>
      </c>
      <c r="C5102" s="6">
        <v>27.25</v>
      </c>
      <c r="D5102" s="6">
        <v>9.6300000000000008</v>
      </c>
      <c r="E5102" s="6">
        <v>5.68</v>
      </c>
      <c r="G5102" s="31"/>
    </row>
    <row r="5103" spans="1:7" x14ac:dyDescent="0.25">
      <c r="A5103" s="36">
        <v>44915</v>
      </c>
      <c r="B5103" s="6">
        <v>44.11</v>
      </c>
      <c r="C5103" s="6">
        <v>26.92</v>
      </c>
      <c r="D5103" s="6">
        <v>9.33</v>
      </c>
      <c r="E5103" s="6">
        <v>5.41</v>
      </c>
      <c r="G5103" s="31"/>
    </row>
    <row r="5104" spans="1:7" x14ac:dyDescent="0.25">
      <c r="A5104" s="36">
        <v>44916</v>
      </c>
      <c r="B5104" s="6">
        <v>43.91</v>
      </c>
      <c r="C5104" s="6">
        <v>26.66</v>
      </c>
      <c r="D5104" s="6">
        <v>9.06</v>
      </c>
      <c r="E5104" s="6">
        <v>5.22</v>
      </c>
      <c r="G5104" s="31"/>
    </row>
    <row r="5105" spans="1:7" x14ac:dyDescent="0.25">
      <c r="A5105" s="36">
        <v>44917</v>
      </c>
      <c r="B5105" s="6">
        <v>43.75</v>
      </c>
      <c r="C5105" s="6">
        <v>26.5</v>
      </c>
      <c r="D5105" s="6">
        <v>8.89</v>
      </c>
      <c r="E5105" s="6">
        <v>5.04</v>
      </c>
      <c r="G5105" s="31"/>
    </row>
    <row r="5106" spans="1:7" x14ac:dyDescent="0.25">
      <c r="A5106" s="36">
        <v>44918</v>
      </c>
      <c r="B5106" s="6">
        <v>43.57</v>
      </c>
      <c r="C5106" s="6">
        <v>26.34</v>
      </c>
      <c r="D5106" s="6">
        <v>8.6300000000000008</v>
      </c>
      <c r="E5106" s="6">
        <v>4.76</v>
      </c>
      <c r="G5106" s="31"/>
    </row>
    <row r="5107" spans="1:7" x14ac:dyDescent="0.25">
      <c r="A5107" s="36">
        <v>44919</v>
      </c>
      <c r="B5107" s="6">
        <v>43.4</v>
      </c>
      <c r="C5107" s="6">
        <v>26.22</v>
      </c>
      <c r="D5107" s="6">
        <v>8.42</v>
      </c>
      <c r="E5107" s="6">
        <v>4.68</v>
      </c>
      <c r="G5107" s="31"/>
    </row>
    <row r="5108" spans="1:7" x14ac:dyDescent="0.25">
      <c r="A5108" s="36">
        <v>44920</v>
      </c>
      <c r="B5108" s="6">
        <v>43.22</v>
      </c>
      <c r="C5108" s="6">
        <v>26.12</v>
      </c>
      <c r="D5108" s="6">
        <v>8.2799999999999994</v>
      </c>
      <c r="E5108" s="6">
        <v>4.5299999999999994</v>
      </c>
      <c r="G5108" s="31"/>
    </row>
    <row r="5109" spans="1:7" x14ac:dyDescent="0.25">
      <c r="A5109" s="36">
        <v>44921</v>
      </c>
      <c r="B5109" s="6">
        <v>43.05</v>
      </c>
      <c r="C5109" s="6">
        <v>25.84</v>
      </c>
      <c r="D5109" s="6">
        <v>8.02</v>
      </c>
      <c r="E5109" s="6">
        <v>4.33</v>
      </c>
      <c r="G5109" s="31"/>
    </row>
    <row r="5110" spans="1:7" x14ac:dyDescent="0.25">
      <c r="A5110" s="36">
        <v>44922</v>
      </c>
      <c r="B5110" s="6">
        <v>42.91</v>
      </c>
      <c r="C5110" s="6">
        <v>25.55</v>
      </c>
      <c r="D5110" s="6">
        <v>7.82</v>
      </c>
      <c r="E5110" s="6">
        <v>4.25</v>
      </c>
      <c r="G5110" s="31"/>
    </row>
    <row r="5111" spans="1:7" x14ac:dyDescent="0.25">
      <c r="A5111" s="36">
        <v>44923</v>
      </c>
      <c r="B5111" s="6">
        <v>42.77</v>
      </c>
      <c r="C5111" s="6">
        <v>25.38</v>
      </c>
      <c r="D5111" s="6">
        <v>7.58</v>
      </c>
      <c r="E5111" s="6">
        <v>4.1100000000000003</v>
      </c>
      <c r="G5111" s="31"/>
    </row>
    <row r="5112" spans="1:7" x14ac:dyDescent="0.25">
      <c r="A5112" s="36">
        <v>44924</v>
      </c>
      <c r="B5112" s="6">
        <v>42.64</v>
      </c>
      <c r="C5112" s="6">
        <v>25.19</v>
      </c>
      <c r="D5112" s="6">
        <v>7.38</v>
      </c>
      <c r="E5112" s="6">
        <v>3.94</v>
      </c>
      <c r="G5112" s="31"/>
    </row>
    <row r="5113" spans="1:7" x14ac:dyDescent="0.25">
      <c r="A5113" s="36">
        <v>44925</v>
      </c>
      <c r="B5113" s="6">
        <v>42.53</v>
      </c>
      <c r="C5113" s="6">
        <v>25.04</v>
      </c>
      <c r="D5113" s="6">
        <v>7.2</v>
      </c>
      <c r="E5113" s="6">
        <v>3.72</v>
      </c>
      <c r="G5113" s="31"/>
    </row>
    <row r="5114" spans="1:7" x14ac:dyDescent="0.25">
      <c r="A5114" s="36">
        <v>44926</v>
      </c>
      <c r="B5114" s="6">
        <v>42.43</v>
      </c>
      <c r="C5114" s="6">
        <v>24.88</v>
      </c>
      <c r="D5114" s="6">
        <v>7.06</v>
      </c>
      <c r="E5114" s="6">
        <v>3.6100000000000003</v>
      </c>
      <c r="G5114" s="31"/>
    </row>
    <row r="5115" spans="1:7" x14ac:dyDescent="0.25">
      <c r="A5115" s="36">
        <v>44927</v>
      </c>
      <c r="B5115" s="7">
        <v>42.43</v>
      </c>
      <c r="C5115" s="7">
        <v>24.73</v>
      </c>
      <c r="D5115" s="6">
        <v>6.93</v>
      </c>
      <c r="E5115" s="7">
        <v>3.04</v>
      </c>
      <c r="G5115" s="31"/>
    </row>
    <row r="5116" spans="1:7" x14ac:dyDescent="0.25">
      <c r="A5116" s="36">
        <v>44928</v>
      </c>
      <c r="B5116" s="7">
        <v>42.33</v>
      </c>
      <c r="C5116" s="7">
        <v>24.6</v>
      </c>
      <c r="D5116" s="6">
        <v>6.76</v>
      </c>
      <c r="E5116" s="7">
        <v>2.96</v>
      </c>
      <c r="G5116" s="31"/>
    </row>
    <row r="5117" spans="1:7" x14ac:dyDescent="0.25">
      <c r="A5117" s="36">
        <v>44929</v>
      </c>
      <c r="B5117" s="7">
        <v>42.25</v>
      </c>
      <c r="C5117" s="7">
        <v>24.46</v>
      </c>
      <c r="D5117" s="6">
        <v>6.6</v>
      </c>
      <c r="E5117" s="7">
        <v>2.78</v>
      </c>
      <c r="G5117" s="31"/>
    </row>
    <row r="5118" spans="1:7" x14ac:dyDescent="0.25">
      <c r="A5118" s="36">
        <v>44930</v>
      </c>
      <c r="B5118" s="7">
        <v>42.17</v>
      </c>
      <c r="C5118" s="7">
        <v>24.34</v>
      </c>
      <c r="D5118" s="6">
        <v>6.44</v>
      </c>
      <c r="E5118" s="7">
        <v>2.68</v>
      </c>
      <c r="G5118" s="31"/>
    </row>
    <row r="5119" spans="1:7" x14ac:dyDescent="0.25">
      <c r="A5119" s="36">
        <v>44931</v>
      </c>
      <c r="B5119" s="7">
        <v>42.13</v>
      </c>
      <c r="C5119" s="7">
        <v>24.24</v>
      </c>
      <c r="D5119" s="6">
        <v>6.3</v>
      </c>
      <c r="E5119" s="7">
        <v>2.72</v>
      </c>
      <c r="G5119" s="31"/>
    </row>
    <row r="5120" spans="1:7" x14ac:dyDescent="0.25">
      <c r="A5120" s="36">
        <v>44932</v>
      </c>
      <c r="B5120" s="7">
        <v>42.11</v>
      </c>
      <c r="C5120" s="7">
        <v>24.14</v>
      </c>
      <c r="D5120" s="6">
        <v>6.22</v>
      </c>
      <c r="E5120" s="7">
        <v>2.59</v>
      </c>
      <c r="G5120" s="31"/>
    </row>
    <row r="5121" spans="1:7" x14ac:dyDescent="0.25">
      <c r="A5121" s="36">
        <v>44933</v>
      </c>
      <c r="B5121" s="7">
        <v>42.1</v>
      </c>
      <c r="C5121" s="7">
        <v>24.08</v>
      </c>
      <c r="D5121" s="6">
        <v>6.16</v>
      </c>
      <c r="E5121" s="7">
        <v>2.57</v>
      </c>
      <c r="G5121" s="31"/>
    </row>
    <row r="5122" spans="1:7" x14ac:dyDescent="0.25">
      <c r="A5122" s="36">
        <v>44934</v>
      </c>
      <c r="B5122" s="7">
        <v>42.1</v>
      </c>
      <c r="C5122" s="7">
        <v>24.04</v>
      </c>
      <c r="D5122" s="6">
        <v>6.14</v>
      </c>
      <c r="E5122" s="7">
        <v>2.71</v>
      </c>
      <c r="G5122" s="31"/>
    </row>
    <row r="5123" spans="1:7" x14ac:dyDescent="0.25">
      <c r="A5123" s="36">
        <v>44935</v>
      </c>
      <c r="B5123" s="7">
        <v>42.14</v>
      </c>
      <c r="C5123" s="7">
        <v>24.02</v>
      </c>
      <c r="D5123" s="6">
        <v>6.15</v>
      </c>
      <c r="E5123" s="7">
        <v>2.78</v>
      </c>
      <c r="G5123" s="31"/>
    </row>
    <row r="5124" spans="1:7" x14ac:dyDescent="0.25">
      <c r="A5124" s="36">
        <v>44936</v>
      </c>
      <c r="B5124" s="7">
        <v>42.25</v>
      </c>
      <c r="C5124" s="7">
        <v>23.98</v>
      </c>
      <c r="D5124" s="6">
        <v>6.17</v>
      </c>
      <c r="E5124" s="7">
        <v>3</v>
      </c>
      <c r="G5124" s="31"/>
    </row>
    <row r="5125" spans="1:7" x14ac:dyDescent="0.25">
      <c r="A5125" s="36">
        <v>44937</v>
      </c>
      <c r="B5125" s="7">
        <v>42.37</v>
      </c>
      <c r="C5125" s="7">
        <v>23.98</v>
      </c>
      <c r="D5125" s="6">
        <v>6.22</v>
      </c>
      <c r="E5125" s="7">
        <v>3.23</v>
      </c>
      <c r="G5125" s="31"/>
    </row>
    <row r="5126" spans="1:7" x14ac:dyDescent="0.25">
      <c r="A5126" s="36">
        <v>44938</v>
      </c>
      <c r="B5126" s="7">
        <v>42.45</v>
      </c>
      <c r="C5126" s="7">
        <v>24.03</v>
      </c>
      <c r="D5126" s="6">
        <v>6.35</v>
      </c>
      <c r="E5126" s="7">
        <v>3.33</v>
      </c>
      <c r="G5126" s="31"/>
    </row>
    <row r="5127" spans="1:7" x14ac:dyDescent="0.25">
      <c r="A5127" s="36">
        <v>44939</v>
      </c>
      <c r="B5127" s="7">
        <v>42.5</v>
      </c>
      <c r="C5127" s="7">
        <v>24.08</v>
      </c>
      <c r="D5127" s="6">
        <v>6.39</v>
      </c>
      <c r="E5127" s="7">
        <v>3.4</v>
      </c>
      <c r="G5127" s="31"/>
    </row>
    <row r="5128" spans="1:7" x14ac:dyDescent="0.25">
      <c r="A5128" s="36">
        <v>44940</v>
      </c>
      <c r="B5128" s="7">
        <v>42.57</v>
      </c>
      <c r="C5128" s="7">
        <v>24.12</v>
      </c>
      <c r="D5128" s="6">
        <v>6.38</v>
      </c>
      <c r="E5128" s="7">
        <v>3.39</v>
      </c>
      <c r="G5128" s="31"/>
    </row>
    <row r="5129" spans="1:7" x14ac:dyDescent="0.25">
      <c r="A5129" s="36">
        <v>44941</v>
      </c>
      <c r="B5129" s="7">
        <v>42.63</v>
      </c>
      <c r="C5129" s="7">
        <v>24.18</v>
      </c>
      <c r="D5129" s="6">
        <v>6.38</v>
      </c>
      <c r="E5129" s="7">
        <v>3.54</v>
      </c>
      <c r="G5129" s="31"/>
    </row>
    <row r="5130" spans="1:7" x14ac:dyDescent="0.25">
      <c r="A5130" s="36">
        <v>44942</v>
      </c>
      <c r="B5130" s="7">
        <v>42.68</v>
      </c>
      <c r="C5130" s="7">
        <v>24.22</v>
      </c>
      <c r="D5130" s="6">
        <v>6.38</v>
      </c>
      <c r="E5130" s="7">
        <v>3.48</v>
      </c>
      <c r="G5130" s="31"/>
    </row>
    <row r="5131" spans="1:7" x14ac:dyDescent="0.25">
      <c r="A5131" s="36">
        <v>44943</v>
      </c>
      <c r="B5131" s="7">
        <v>42.73</v>
      </c>
      <c r="C5131" s="7">
        <v>24.28</v>
      </c>
      <c r="D5131" s="6">
        <v>6.39</v>
      </c>
      <c r="E5131" s="7">
        <v>3.35</v>
      </c>
      <c r="G5131" s="31"/>
    </row>
    <row r="5132" spans="1:7" x14ac:dyDescent="0.25">
      <c r="A5132" s="36">
        <v>44944</v>
      </c>
      <c r="B5132" s="7">
        <v>42.78</v>
      </c>
      <c r="C5132" s="7">
        <v>24.37</v>
      </c>
      <c r="D5132" s="6">
        <v>6.32</v>
      </c>
      <c r="E5132" s="7">
        <v>3.13</v>
      </c>
      <c r="G5132" s="31"/>
    </row>
    <row r="5133" spans="1:7" x14ac:dyDescent="0.25">
      <c r="A5133" s="36">
        <v>44945</v>
      </c>
      <c r="B5133" s="7">
        <v>42.82</v>
      </c>
      <c r="C5133" s="7">
        <v>24.4</v>
      </c>
      <c r="D5133" s="6">
        <v>6.25</v>
      </c>
      <c r="E5133" s="7">
        <v>2.92</v>
      </c>
      <c r="G5133" s="31"/>
    </row>
    <row r="5134" spans="1:7" x14ac:dyDescent="0.25">
      <c r="A5134" s="36">
        <v>44946</v>
      </c>
      <c r="B5134" s="7">
        <v>42.84</v>
      </c>
      <c r="C5134" s="7">
        <v>24.48</v>
      </c>
      <c r="D5134" s="6">
        <v>6.19</v>
      </c>
      <c r="E5134" s="7">
        <v>2.7</v>
      </c>
      <c r="G5134" s="31"/>
    </row>
    <row r="5135" spans="1:7" x14ac:dyDescent="0.25">
      <c r="A5135" s="36">
        <v>44947</v>
      </c>
      <c r="B5135" s="7">
        <v>42.82</v>
      </c>
      <c r="C5135" s="7">
        <v>24.55</v>
      </c>
      <c r="D5135" s="6">
        <v>6.16</v>
      </c>
      <c r="E5135" s="7">
        <v>2.64</v>
      </c>
      <c r="G5135" s="31"/>
    </row>
    <row r="5136" spans="1:7" x14ac:dyDescent="0.25">
      <c r="A5136" s="36">
        <v>44948</v>
      </c>
      <c r="B5136" s="7">
        <v>42.86</v>
      </c>
      <c r="C5136" s="7">
        <v>24.64</v>
      </c>
      <c r="D5136" s="6">
        <v>6.13</v>
      </c>
      <c r="E5136" s="7">
        <v>2.58</v>
      </c>
      <c r="G5136" s="31"/>
    </row>
    <row r="5137" spans="1:7" x14ac:dyDescent="0.25">
      <c r="A5137" s="36">
        <v>44949</v>
      </c>
      <c r="B5137" s="7">
        <v>42.86</v>
      </c>
      <c r="C5137" s="7">
        <v>24.64</v>
      </c>
      <c r="D5137" s="6">
        <v>6.15</v>
      </c>
      <c r="E5137" s="7">
        <v>2.68</v>
      </c>
      <c r="G5137" s="31"/>
    </row>
    <row r="5138" spans="1:7" x14ac:dyDescent="0.25">
      <c r="A5138" s="36">
        <v>44950</v>
      </c>
      <c r="B5138" s="7">
        <v>42.86</v>
      </c>
      <c r="C5138" s="7">
        <v>24.6</v>
      </c>
      <c r="D5138" s="6">
        <v>6.17</v>
      </c>
      <c r="E5138" s="7">
        <v>2.56</v>
      </c>
      <c r="G5138" s="31"/>
    </row>
    <row r="5139" spans="1:7" x14ac:dyDescent="0.25">
      <c r="A5139" s="36">
        <v>44951</v>
      </c>
      <c r="B5139" s="7">
        <v>42.85</v>
      </c>
      <c r="C5139" s="7">
        <v>24.58</v>
      </c>
      <c r="D5139" s="6">
        <v>6.15</v>
      </c>
      <c r="E5139" s="7">
        <v>2.65</v>
      </c>
      <c r="G5139" s="31"/>
    </row>
    <row r="5140" spans="1:7" x14ac:dyDescent="0.25">
      <c r="A5140" s="36">
        <v>44952</v>
      </c>
      <c r="B5140" s="7">
        <v>42.82</v>
      </c>
      <c r="C5140" s="7">
        <v>24.56</v>
      </c>
      <c r="D5140" s="6">
        <v>6.14</v>
      </c>
      <c r="E5140" s="7">
        <v>2.62</v>
      </c>
      <c r="G5140" s="31"/>
    </row>
    <row r="5141" spans="1:7" x14ac:dyDescent="0.25">
      <c r="A5141" s="36">
        <v>44953</v>
      </c>
      <c r="B5141" s="7">
        <v>42.77</v>
      </c>
      <c r="C5141" s="7">
        <v>24.55</v>
      </c>
      <c r="D5141" s="6">
        <v>6.1</v>
      </c>
      <c r="E5141" s="7">
        <v>2.6</v>
      </c>
      <c r="G5141" s="31"/>
    </row>
    <row r="5142" spans="1:7" x14ac:dyDescent="0.25">
      <c r="A5142" s="36">
        <v>44954</v>
      </c>
      <c r="B5142" s="7">
        <v>42.71</v>
      </c>
      <c r="C5142" s="7">
        <v>24.5</v>
      </c>
      <c r="D5142" s="6">
        <v>6.07</v>
      </c>
      <c r="E5142" s="7">
        <v>2.48</v>
      </c>
      <c r="G5142" s="31"/>
    </row>
    <row r="5143" spans="1:7" x14ac:dyDescent="0.25">
      <c r="A5143" s="36">
        <v>44955</v>
      </c>
      <c r="B5143" s="7">
        <v>42.64</v>
      </c>
      <c r="C5143" s="7">
        <v>24.45</v>
      </c>
      <c r="D5143" s="6">
        <v>6.03</v>
      </c>
      <c r="E5143" s="7">
        <v>2.44</v>
      </c>
      <c r="G5143" s="31"/>
    </row>
    <row r="5144" spans="1:7" x14ac:dyDescent="0.25">
      <c r="A5144" s="36">
        <v>44956</v>
      </c>
      <c r="B5144" s="7">
        <v>42.55</v>
      </c>
      <c r="C5144" s="7">
        <v>24.38</v>
      </c>
      <c r="D5144" s="6">
        <v>5.97</v>
      </c>
      <c r="E5144" s="7">
        <v>2.36</v>
      </c>
      <c r="G5144" s="31"/>
    </row>
    <row r="5145" spans="1:7" x14ac:dyDescent="0.25">
      <c r="A5145" s="36">
        <v>44957</v>
      </c>
      <c r="B5145" s="7">
        <v>42.45</v>
      </c>
      <c r="C5145" s="7">
        <v>24.2</v>
      </c>
      <c r="D5145" s="6">
        <v>5.92</v>
      </c>
      <c r="E5145" s="7">
        <v>2.2999999999999998</v>
      </c>
      <c r="G5145" s="31"/>
    </row>
    <row r="5146" spans="1:7" x14ac:dyDescent="0.25">
      <c r="A5146" s="36">
        <v>44958</v>
      </c>
      <c r="B5146" s="7">
        <v>42.31</v>
      </c>
      <c r="C5146" s="7">
        <v>24.2</v>
      </c>
      <c r="D5146" s="6">
        <v>5.83</v>
      </c>
      <c r="E5146" s="7">
        <v>2.2200000000000002</v>
      </c>
      <c r="G5146" s="31"/>
    </row>
    <row r="5147" spans="1:7" x14ac:dyDescent="0.25">
      <c r="A5147" s="36">
        <v>44959</v>
      </c>
      <c r="B5147" s="7">
        <v>42.19</v>
      </c>
      <c r="C5147" s="7">
        <v>24.09</v>
      </c>
      <c r="D5147" s="6">
        <v>5.75</v>
      </c>
      <c r="E5147" s="7">
        <v>2.25</v>
      </c>
      <c r="G5147" s="31"/>
    </row>
    <row r="5148" spans="1:7" x14ac:dyDescent="0.25">
      <c r="A5148" s="36">
        <v>44960</v>
      </c>
      <c r="B5148" s="7">
        <v>42.04</v>
      </c>
      <c r="C5148" s="7">
        <v>23.96</v>
      </c>
      <c r="D5148" s="6">
        <v>5.66</v>
      </c>
      <c r="E5148" s="7">
        <v>2.2400000000000002</v>
      </c>
      <c r="G5148" s="31"/>
    </row>
    <row r="5149" spans="1:7" x14ac:dyDescent="0.25">
      <c r="A5149" s="36">
        <v>44961</v>
      </c>
      <c r="B5149" s="7">
        <v>41.91</v>
      </c>
      <c r="C5149" s="7">
        <v>23.86</v>
      </c>
      <c r="D5149" s="6">
        <v>5.55</v>
      </c>
      <c r="E5149" s="7">
        <v>2.2000000000000002</v>
      </c>
      <c r="G5149" s="31"/>
    </row>
    <row r="5150" spans="1:7" x14ac:dyDescent="0.25">
      <c r="A5150" s="36">
        <v>44962</v>
      </c>
      <c r="B5150" s="7">
        <v>41.78</v>
      </c>
      <c r="C5150" s="7">
        <v>23.75</v>
      </c>
      <c r="D5150" s="6">
        <v>5.44</v>
      </c>
      <c r="E5150" s="7">
        <v>2.08</v>
      </c>
      <c r="G5150" s="31"/>
    </row>
    <row r="5151" spans="1:7" x14ac:dyDescent="0.25">
      <c r="A5151" s="36">
        <v>44963</v>
      </c>
      <c r="B5151" s="7">
        <v>41.67</v>
      </c>
      <c r="C5151" s="7">
        <v>23.6</v>
      </c>
      <c r="D5151" s="6">
        <v>5.33</v>
      </c>
      <c r="E5151" s="7">
        <v>2.14</v>
      </c>
      <c r="G5151" s="31"/>
    </row>
    <row r="5152" spans="1:7" x14ac:dyDescent="0.25">
      <c r="A5152" s="36">
        <v>44964</v>
      </c>
      <c r="B5152" s="7">
        <v>41.57</v>
      </c>
      <c r="C5152" s="7">
        <v>23.5</v>
      </c>
      <c r="D5152" s="6">
        <v>5.22</v>
      </c>
      <c r="E5152" s="7">
        <v>2.1800000000000002</v>
      </c>
      <c r="G5152" s="31"/>
    </row>
    <row r="5153" spans="1:7" x14ac:dyDescent="0.25">
      <c r="A5153" s="36">
        <v>44965</v>
      </c>
      <c r="B5153" s="7">
        <v>41.5</v>
      </c>
      <c r="C5153" s="7">
        <v>23.38</v>
      </c>
      <c r="D5153" s="6">
        <v>5.12</v>
      </c>
      <c r="E5153" s="7">
        <v>2.0699999999999998</v>
      </c>
      <c r="G5153" s="31"/>
    </row>
    <row r="5154" spans="1:7" x14ac:dyDescent="0.25">
      <c r="A5154" s="36">
        <v>44966</v>
      </c>
      <c r="B5154" s="7">
        <v>41.45</v>
      </c>
      <c r="C5154" s="7">
        <v>23.18</v>
      </c>
      <c r="D5154" s="6">
        <v>5.0199999999999996</v>
      </c>
      <c r="E5154" s="7">
        <v>2.0499999999999998</v>
      </c>
      <c r="G5154" s="31"/>
    </row>
    <row r="5155" spans="1:7" x14ac:dyDescent="0.25">
      <c r="A5155" s="36">
        <v>44967</v>
      </c>
      <c r="B5155" s="7">
        <v>41.42</v>
      </c>
      <c r="C5155" s="7">
        <v>23.15</v>
      </c>
      <c r="D5155" s="6">
        <v>4.92</v>
      </c>
      <c r="E5155" s="7">
        <v>1.95</v>
      </c>
      <c r="G5155" s="31"/>
    </row>
    <row r="5156" spans="1:7" x14ac:dyDescent="0.25">
      <c r="A5156" s="36">
        <v>44968</v>
      </c>
      <c r="B5156" s="7">
        <v>41.45</v>
      </c>
      <c r="C5156" s="7">
        <v>23.09</v>
      </c>
      <c r="D5156" s="6">
        <v>4.8</v>
      </c>
      <c r="E5156" s="7">
        <v>1.9</v>
      </c>
      <c r="G5156" s="31"/>
    </row>
    <row r="5157" spans="1:7" x14ac:dyDescent="0.25">
      <c r="A5157" s="36">
        <v>44969</v>
      </c>
      <c r="B5157" s="7">
        <v>41.43</v>
      </c>
      <c r="C5157" s="7">
        <v>23.03</v>
      </c>
      <c r="D5157" s="6">
        <v>4.7</v>
      </c>
      <c r="E5157" s="7">
        <v>1.82</v>
      </c>
      <c r="G5157" s="31"/>
    </row>
    <row r="5158" spans="1:7" x14ac:dyDescent="0.25">
      <c r="A5158" s="36">
        <v>44970</v>
      </c>
      <c r="B5158" s="7">
        <v>41.43</v>
      </c>
      <c r="C5158" s="7">
        <v>22.98</v>
      </c>
      <c r="D5158" s="6">
        <v>4.59</v>
      </c>
      <c r="E5158" s="7">
        <v>1.71</v>
      </c>
      <c r="G5158" s="31"/>
    </row>
    <row r="5159" spans="1:7" x14ac:dyDescent="0.25">
      <c r="A5159" s="36">
        <v>44971</v>
      </c>
      <c r="B5159" s="7">
        <v>41.41</v>
      </c>
      <c r="C5159" s="7">
        <v>22.96</v>
      </c>
      <c r="D5159" s="6">
        <v>4.49</v>
      </c>
      <c r="E5159" s="7">
        <v>1.62</v>
      </c>
      <c r="G5159" s="31"/>
    </row>
    <row r="5160" spans="1:7" x14ac:dyDescent="0.25">
      <c r="A5160" s="36">
        <v>44972</v>
      </c>
      <c r="B5160" s="7">
        <v>41.41</v>
      </c>
      <c r="C5160" s="7">
        <v>22.91</v>
      </c>
      <c r="D5160" s="6">
        <v>4.4000000000000004</v>
      </c>
      <c r="E5160" s="7">
        <v>1.53</v>
      </c>
      <c r="G5160" s="31"/>
    </row>
    <row r="5161" spans="1:7" x14ac:dyDescent="0.25">
      <c r="A5161" s="36">
        <v>44973</v>
      </c>
      <c r="B5161" s="7">
        <v>41.39</v>
      </c>
      <c r="C5161" s="7">
        <v>22.91</v>
      </c>
      <c r="D5161" s="6">
        <v>4.3600000000000003</v>
      </c>
      <c r="E5161" s="7">
        <v>1.5</v>
      </c>
      <c r="G5161" s="31"/>
    </row>
    <row r="5162" spans="1:7" x14ac:dyDescent="0.25">
      <c r="A5162" s="36">
        <v>44974</v>
      </c>
      <c r="B5162" s="7">
        <v>41.37</v>
      </c>
      <c r="C5162" s="7">
        <v>22.89</v>
      </c>
      <c r="D5162" s="6">
        <v>4.32</v>
      </c>
      <c r="E5162" s="7">
        <v>1.54</v>
      </c>
      <c r="G5162" s="31"/>
    </row>
    <row r="5163" spans="1:7" x14ac:dyDescent="0.25">
      <c r="A5163" s="36">
        <v>44975</v>
      </c>
      <c r="B5163" s="7">
        <v>41.36</v>
      </c>
      <c r="C5163" s="7">
        <v>22.88</v>
      </c>
      <c r="D5163" s="6">
        <v>4.29</v>
      </c>
      <c r="E5163" s="7">
        <v>1.51</v>
      </c>
      <c r="G5163" s="31"/>
    </row>
    <row r="5164" spans="1:7" x14ac:dyDescent="0.25">
      <c r="A5164" s="36">
        <v>44976</v>
      </c>
      <c r="B5164" s="7">
        <v>41.38</v>
      </c>
      <c r="C5164" s="7">
        <v>22.86</v>
      </c>
      <c r="D5164" s="6">
        <v>4.26</v>
      </c>
      <c r="E5164" s="7">
        <v>1.51</v>
      </c>
      <c r="G5164" s="31"/>
    </row>
    <row r="5165" spans="1:7" x14ac:dyDescent="0.25">
      <c r="A5165" s="36">
        <v>44977</v>
      </c>
      <c r="B5165" s="7">
        <v>41.41</v>
      </c>
      <c r="C5165" s="7">
        <v>22.85</v>
      </c>
      <c r="D5165" s="6">
        <v>4.26</v>
      </c>
      <c r="E5165" s="7">
        <v>1.56</v>
      </c>
      <c r="G5165" s="31"/>
    </row>
    <row r="5166" spans="1:7" x14ac:dyDescent="0.25">
      <c r="A5166" s="36">
        <v>44978</v>
      </c>
      <c r="B5166" s="7">
        <v>41.4</v>
      </c>
      <c r="C5166" s="7">
        <v>22.85</v>
      </c>
      <c r="D5166" s="6">
        <v>4.3</v>
      </c>
      <c r="E5166" s="7">
        <v>1.59</v>
      </c>
      <c r="G5166" s="31"/>
    </row>
    <row r="5167" spans="1:7" x14ac:dyDescent="0.25">
      <c r="A5167" s="36">
        <v>44979</v>
      </c>
      <c r="B5167" s="7">
        <v>41.41</v>
      </c>
      <c r="C5167" s="7">
        <v>22.85</v>
      </c>
      <c r="D5167" s="6">
        <v>4.34</v>
      </c>
      <c r="E5167" s="7">
        <v>1.7</v>
      </c>
      <c r="G5167" s="31"/>
    </row>
    <row r="5168" spans="1:7" x14ac:dyDescent="0.25">
      <c r="A5168" s="36">
        <v>44980</v>
      </c>
      <c r="B5168" s="7">
        <v>41.39</v>
      </c>
      <c r="C5168" s="7">
        <v>22.84</v>
      </c>
      <c r="D5168" s="6">
        <v>4.34</v>
      </c>
      <c r="E5168" s="7">
        <v>1.65</v>
      </c>
      <c r="G5168" s="31"/>
    </row>
    <row r="5169" spans="1:7" x14ac:dyDescent="0.25">
      <c r="A5169" s="36">
        <v>44981</v>
      </c>
      <c r="B5169" s="7">
        <v>41.38</v>
      </c>
      <c r="C5169" s="7">
        <v>22.86</v>
      </c>
      <c r="D5169" s="6">
        <v>4.3099999999999996</v>
      </c>
      <c r="E5169" s="7">
        <v>1.69</v>
      </c>
      <c r="G5169" s="31"/>
    </row>
    <row r="5170" spans="1:7" x14ac:dyDescent="0.25">
      <c r="A5170" s="36">
        <v>44982</v>
      </c>
      <c r="B5170" s="7">
        <v>41.36</v>
      </c>
      <c r="C5170" s="7">
        <v>22.88</v>
      </c>
      <c r="D5170" s="6">
        <v>4.26</v>
      </c>
      <c r="E5170" s="7">
        <v>1.64</v>
      </c>
      <c r="G5170" s="31"/>
    </row>
    <row r="5171" spans="1:7" x14ac:dyDescent="0.25">
      <c r="A5171" s="36">
        <v>44983</v>
      </c>
      <c r="B5171" s="7">
        <v>41.31</v>
      </c>
      <c r="C5171" s="7">
        <v>22.88</v>
      </c>
      <c r="D5171" s="6">
        <v>4.21</v>
      </c>
      <c r="E5171" s="7">
        <v>1.49</v>
      </c>
      <c r="G5171" s="31"/>
    </row>
    <row r="5172" spans="1:7" x14ac:dyDescent="0.25">
      <c r="A5172" s="36">
        <v>44984</v>
      </c>
      <c r="B5172" s="7">
        <v>41.26</v>
      </c>
      <c r="C5172" s="7">
        <v>22.9</v>
      </c>
      <c r="D5172" s="6">
        <v>4.1900000000000004</v>
      </c>
      <c r="E5172" s="7">
        <v>1.43</v>
      </c>
      <c r="G5172" s="31"/>
    </row>
    <row r="5173" spans="1:7" x14ac:dyDescent="0.25">
      <c r="A5173" s="36">
        <v>44985</v>
      </c>
      <c r="B5173" s="7">
        <v>41.2</v>
      </c>
      <c r="C5173" s="7">
        <v>22.88</v>
      </c>
      <c r="D5173" s="6">
        <v>4.18</v>
      </c>
      <c r="E5173" s="7">
        <v>1.37</v>
      </c>
      <c r="G5173" s="31"/>
    </row>
    <row r="5174" spans="1:7" x14ac:dyDescent="0.25">
      <c r="A5174" s="36">
        <v>44986</v>
      </c>
      <c r="B5174" s="34">
        <v>41.17</v>
      </c>
      <c r="C5174" s="7">
        <v>22.85</v>
      </c>
      <c r="D5174" s="6">
        <v>4.1500000000000004</v>
      </c>
      <c r="E5174" s="7">
        <v>1.33</v>
      </c>
      <c r="G5174" s="31"/>
    </row>
    <row r="5175" spans="1:7" x14ac:dyDescent="0.25">
      <c r="A5175" s="36">
        <v>44987</v>
      </c>
      <c r="B5175" s="34">
        <v>41.12</v>
      </c>
      <c r="C5175" s="7">
        <v>22.79</v>
      </c>
      <c r="D5175" s="6">
        <v>4.1399999999999997</v>
      </c>
      <c r="E5175" s="7">
        <v>1.37</v>
      </c>
      <c r="G5175" s="31"/>
    </row>
    <row r="5176" spans="1:7" x14ac:dyDescent="0.25">
      <c r="A5176" s="36">
        <v>44988</v>
      </c>
      <c r="B5176" s="34">
        <v>41.09</v>
      </c>
      <c r="C5176" s="7">
        <v>22.75</v>
      </c>
      <c r="D5176" s="6">
        <v>4.0999999999999996</v>
      </c>
      <c r="E5176" s="7">
        <v>1.45</v>
      </c>
      <c r="G5176" s="31"/>
    </row>
    <row r="5177" spans="1:7" x14ac:dyDescent="0.25">
      <c r="A5177" s="36">
        <v>44989</v>
      </c>
      <c r="B5177" s="34">
        <v>41.09</v>
      </c>
      <c r="C5177" s="7">
        <v>22.68</v>
      </c>
      <c r="D5177" s="6">
        <v>4.07</v>
      </c>
      <c r="E5177" s="7">
        <v>1.47</v>
      </c>
      <c r="G5177" s="31"/>
    </row>
    <row r="5178" spans="1:7" x14ac:dyDescent="0.25">
      <c r="A5178" s="36">
        <v>44990</v>
      </c>
      <c r="B5178" s="34">
        <v>41.11</v>
      </c>
      <c r="C5178" s="7">
        <v>22.63</v>
      </c>
      <c r="D5178" s="6">
        <v>4.03</v>
      </c>
      <c r="E5178" s="6">
        <v>1.45</v>
      </c>
      <c r="G5178" s="31"/>
    </row>
    <row r="5179" spans="1:7" x14ac:dyDescent="0.25">
      <c r="A5179" s="36">
        <v>44991</v>
      </c>
      <c r="B5179" s="34">
        <v>41.13</v>
      </c>
      <c r="C5179" s="7">
        <v>22.6</v>
      </c>
      <c r="D5179" s="6">
        <v>4</v>
      </c>
      <c r="E5179" s="6">
        <v>1.44</v>
      </c>
      <c r="G5179" s="31"/>
    </row>
    <row r="5180" spans="1:7" x14ac:dyDescent="0.25">
      <c r="A5180" s="36">
        <v>44992</v>
      </c>
      <c r="B5180" s="34">
        <v>41.17</v>
      </c>
      <c r="C5180" s="7">
        <v>22.58</v>
      </c>
      <c r="D5180" s="6">
        <v>4</v>
      </c>
      <c r="E5180" s="6">
        <v>1.55</v>
      </c>
      <c r="G5180" s="31"/>
    </row>
    <row r="5181" spans="1:7" x14ac:dyDescent="0.25">
      <c r="A5181" s="36">
        <v>44993</v>
      </c>
      <c r="B5181" s="34">
        <v>41.2</v>
      </c>
      <c r="C5181" s="7">
        <v>22.56</v>
      </c>
      <c r="D5181" s="6">
        <v>3.98</v>
      </c>
      <c r="E5181" s="6">
        <v>1.62</v>
      </c>
      <c r="G5181" s="31"/>
    </row>
    <row r="5182" spans="1:7" x14ac:dyDescent="0.25">
      <c r="A5182" s="36">
        <v>44994</v>
      </c>
      <c r="B5182" s="34">
        <v>41.23</v>
      </c>
      <c r="C5182" s="7">
        <v>22.57</v>
      </c>
      <c r="D5182" s="6">
        <v>4</v>
      </c>
      <c r="E5182" s="6">
        <v>1.58</v>
      </c>
      <c r="G5182" s="31"/>
    </row>
    <row r="5183" spans="1:7" x14ac:dyDescent="0.25">
      <c r="A5183" s="36">
        <v>44995</v>
      </c>
      <c r="B5183" s="34">
        <v>41.25</v>
      </c>
      <c r="C5183" s="7">
        <v>22.62</v>
      </c>
      <c r="D5183" s="6">
        <v>3.98</v>
      </c>
      <c r="E5183" s="6">
        <v>1.53</v>
      </c>
      <c r="G5183" s="31"/>
    </row>
    <row r="5184" spans="1:7" x14ac:dyDescent="0.25">
      <c r="A5184" s="36">
        <v>44996</v>
      </c>
      <c r="B5184" s="34">
        <v>41.27</v>
      </c>
      <c r="C5184" s="7">
        <v>22.62</v>
      </c>
      <c r="D5184" s="6">
        <v>3.96</v>
      </c>
      <c r="E5184" s="6">
        <v>1.44</v>
      </c>
      <c r="G5184" s="31"/>
    </row>
    <row r="5185" spans="1:7" x14ac:dyDescent="0.25">
      <c r="A5185" s="36">
        <v>44997</v>
      </c>
      <c r="B5185" s="34">
        <v>41.28</v>
      </c>
      <c r="C5185" s="7">
        <v>22.67</v>
      </c>
      <c r="D5185" s="6">
        <v>3.96</v>
      </c>
      <c r="E5185" s="6">
        <v>1.46</v>
      </c>
      <c r="G5185" s="31"/>
    </row>
    <row r="5186" spans="1:7" x14ac:dyDescent="0.25">
      <c r="A5186" s="36">
        <v>44998</v>
      </c>
      <c r="B5186" s="34">
        <v>41.29</v>
      </c>
      <c r="C5186" s="7">
        <v>22.66</v>
      </c>
      <c r="D5186" s="6">
        <v>3.9</v>
      </c>
      <c r="E5186" s="6">
        <v>1.39</v>
      </c>
      <c r="G5186" s="31"/>
    </row>
    <row r="5187" spans="1:7" x14ac:dyDescent="0.25">
      <c r="A5187" s="36">
        <v>44999</v>
      </c>
      <c r="B5187" s="34">
        <v>41.38</v>
      </c>
      <c r="C5187" s="6">
        <v>22.71</v>
      </c>
      <c r="D5187" s="6">
        <v>3.98</v>
      </c>
      <c r="E5187" s="6">
        <v>1.49</v>
      </c>
      <c r="G5187" s="31"/>
    </row>
    <row r="5188" spans="1:7" x14ac:dyDescent="0.25">
      <c r="A5188" s="36">
        <v>45000</v>
      </c>
      <c r="B5188" s="34">
        <v>41.5</v>
      </c>
      <c r="C5188" s="6">
        <v>22.78</v>
      </c>
      <c r="D5188" s="6">
        <v>3.98</v>
      </c>
      <c r="E5188" s="6">
        <v>1.39</v>
      </c>
      <c r="G5188" s="31"/>
    </row>
    <row r="5189" spans="1:7" x14ac:dyDescent="0.25">
      <c r="A5189" s="36">
        <v>45001</v>
      </c>
      <c r="B5189" s="34">
        <v>41.64</v>
      </c>
      <c r="C5189" s="6">
        <v>22.88</v>
      </c>
      <c r="D5189" s="6">
        <v>4.0599999999999996</v>
      </c>
      <c r="E5189" s="6">
        <v>1.45</v>
      </c>
      <c r="G5189" s="31"/>
    </row>
    <row r="5190" spans="1:7" x14ac:dyDescent="0.25">
      <c r="A5190" s="36">
        <v>45002</v>
      </c>
      <c r="B5190" s="34">
        <v>41.71</v>
      </c>
      <c r="C5190" s="6">
        <v>22.96</v>
      </c>
      <c r="D5190" s="6">
        <v>4.0999999999999996</v>
      </c>
      <c r="E5190" s="6">
        <v>1.39</v>
      </c>
      <c r="G5190" s="31"/>
    </row>
    <row r="5191" spans="1:7" x14ac:dyDescent="0.25">
      <c r="A5191" s="36">
        <v>45003</v>
      </c>
      <c r="B5191" s="34">
        <v>41.83</v>
      </c>
      <c r="C5191" s="6">
        <v>23.05</v>
      </c>
      <c r="D5191" s="6">
        <v>4.12</v>
      </c>
      <c r="E5191" s="6">
        <v>1.48</v>
      </c>
      <c r="G5191" s="31"/>
    </row>
    <row r="5192" spans="1:7" x14ac:dyDescent="0.25">
      <c r="A5192" s="36">
        <v>45004</v>
      </c>
      <c r="B5192" s="34">
        <v>41.85</v>
      </c>
      <c r="C5192" s="6">
        <v>23.16</v>
      </c>
      <c r="D5192" s="6">
        <v>4.1500000000000004</v>
      </c>
      <c r="E5192" s="6">
        <v>1.52</v>
      </c>
      <c r="G5192" s="31"/>
    </row>
    <row r="5193" spans="1:7" x14ac:dyDescent="0.25">
      <c r="A5193" s="36">
        <v>45005</v>
      </c>
      <c r="B5193" s="34">
        <v>41.87</v>
      </c>
      <c r="C5193" s="6">
        <v>23.28</v>
      </c>
      <c r="D5193" s="6">
        <v>4.1900000000000004</v>
      </c>
      <c r="E5193" s="6">
        <v>1.58</v>
      </c>
      <c r="G5193" s="31"/>
    </row>
    <row r="5194" spans="1:7" x14ac:dyDescent="0.25">
      <c r="A5194" s="36">
        <v>45006</v>
      </c>
      <c r="B5194" s="34">
        <v>41.85</v>
      </c>
      <c r="C5194" s="6">
        <v>23.36</v>
      </c>
      <c r="D5194" s="6">
        <v>4.24</v>
      </c>
      <c r="E5194" s="6">
        <v>1.67</v>
      </c>
      <c r="G5194" s="31"/>
    </row>
    <row r="5195" spans="1:7" x14ac:dyDescent="0.25">
      <c r="A5195" s="36">
        <v>45007</v>
      </c>
      <c r="B5195" s="34">
        <v>41.81</v>
      </c>
      <c r="C5195" s="6">
        <v>23.58</v>
      </c>
      <c r="D5195" s="6">
        <v>4.29</v>
      </c>
      <c r="E5195" s="6">
        <v>1.75</v>
      </c>
      <c r="G5195" s="31"/>
    </row>
    <row r="5196" spans="1:7" x14ac:dyDescent="0.25">
      <c r="A5196" s="36">
        <v>45008</v>
      </c>
      <c r="B5196" s="34">
        <v>41.78</v>
      </c>
      <c r="C5196" s="6">
        <v>23.68</v>
      </c>
      <c r="D5196" s="6">
        <v>4.4000000000000004</v>
      </c>
      <c r="E5196" s="6">
        <v>1.83</v>
      </c>
      <c r="G5196" s="31"/>
    </row>
    <row r="5197" spans="1:7" x14ac:dyDescent="0.25">
      <c r="A5197" s="36">
        <v>45009</v>
      </c>
      <c r="B5197" s="34">
        <v>41.76</v>
      </c>
      <c r="C5197" s="6">
        <v>23.64</v>
      </c>
      <c r="D5197" s="6">
        <v>4.29</v>
      </c>
      <c r="E5197" s="6">
        <v>1.78</v>
      </c>
      <c r="G5197" s="31"/>
    </row>
    <row r="5198" spans="1:7" x14ac:dyDescent="0.25">
      <c r="A5198" s="36">
        <v>45010</v>
      </c>
      <c r="B5198" s="34">
        <v>41.79</v>
      </c>
      <c r="C5198" s="6">
        <v>23.56</v>
      </c>
      <c r="D5198" s="6">
        <v>4.58</v>
      </c>
      <c r="E5198" s="6">
        <v>1.81</v>
      </c>
      <c r="G5198" s="31"/>
    </row>
    <row r="5199" spans="1:7" x14ac:dyDescent="0.25">
      <c r="A5199" s="36">
        <v>45011</v>
      </c>
      <c r="B5199" s="34">
        <v>41.81</v>
      </c>
      <c r="C5199" s="6">
        <v>23.48</v>
      </c>
      <c r="D5199" s="6">
        <v>4.6399999999999997</v>
      </c>
      <c r="E5199" s="6">
        <v>1.83</v>
      </c>
      <c r="G5199" s="31"/>
    </row>
    <row r="5200" spans="1:7" x14ac:dyDescent="0.25">
      <c r="A5200" s="36">
        <v>45012</v>
      </c>
      <c r="B5200" s="34">
        <v>41.85</v>
      </c>
      <c r="C5200" s="6">
        <v>23.42</v>
      </c>
      <c r="D5200" s="6">
        <v>4.6399999999999997</v>
      </c>
      <c r="E5200" s="6">
        <v>1.74</v>
      </c>
      <c r="G5200" s="31"/>
    </row>
    <row r="5201" spans="1:7" x14ac:dyDescent="0.25">
      <c r="A5201" s="36">
        <v>45013</v>
      </c>
      <c r="B5201" s="34">
        <v>41.87</v>
      </c>
      <c r="C5201" s="6">
        <v>23.37</v>
      </c>
      <c r="D5201" s="6">
        <v>4.62</v>
      </c>
      <c r="E5201" s="6">
        <v>1.67</v>
      </c>
      <c r="G5201" s="31"/>
    </row>
    <row r="5202" spans="1:7" x14ac:dyDescent="0.25">
      <c r="A5202" s="36">
        <v>45014</v>
      </c>
      <c r="B5202" s="34">
        <v>41.87</v>
      </c>
      <c r="C5202" s="6">
        <v>23.33</v>
      </c>
      <c r="D5202" s="6">
        <v>4.54</v>
      </c>
      <c r="E5202" s="6">
        <v>1.58</v>
      </c>
      <c r="G5202" s="31"/>
    </row>
    <row r="5203" spans="1:7" x14ac:dyDescent="0.25">
      <c r="A5203" s="36">
        <v>45015</v>
      </c>
      <c r="B5203" s="34">
        <v>41.86</v>
      </c>
      <c r="C5203" s="6">
        <v>23.31</v>
      </c>
      <c r="D5203" s="6">
        <v>4.49</v>
      </c>
      <c r="E5203" s="6">
        <v>1.53</v>
      </c>
      <c r="G5203" s="31"/>
    </row>
    <row r="5204" spans="1:7" x14ac:dyDescent="0.25">
      <c r="A5204" s="36">
        <v>45016</v>
      </c>
      <c r="B5204" s="34">
        <v>41.83</v>
      </c>
      <c r="C5204" s="6">
        <v>23.29</v>
      </c>
      <c r="D5204" s="6">
        <v>4.45</v>
      </c>
      <c r="E5204" s="6">
        <v>1.53</v>
      </c>
      <c r="G5204" s="31"/>
    </row>
    <row r="5205" spans="1:7" x14ac:dyDescent="0.25">
      <c r="A5205" s="36">
        <v>45017</v>
      </c>
      <c r="B5205" s="34">
        <v>41.8</v>
      </c>
      <c r="C5205" s="6">
        <v>23.28</v>
      </c>
      <c r="D5205" s="9">
        <v>4.41</v>
      </c>
      <c r="E5205" s="6">
        <v>1.58</v>
      </c>
      <c r="G5205" s="31"/>
    </row>
    <row r="5206" spans="1:7" x14ac:dyDescent="0.25">
      <c r="A5206" s="36">
        <v>45018</v>
      </c>
      <c r="B5206" s="34">
        <v>41.77</v>
      </c>
      <c r="C5206" s="6">
        <v>23.26</v>
      </c>
      <c r="D5206" s="9">
        <v>4.38</v>
      </c>
      <c r="E5206" s="6">
        <v>1.57</v>
      </c>
      <c r="G5206" s="31"/>
    </row>
    <row r="5207" spans="1:7" x14ac:dyDescent="0.25">
      <c r="A5207" s="36">
        <v>45019</v>
      </c>
      <c r="B5207" s="34">
        <v>41.77</v>
      </c>
      <c r="C5207" s="6">
        <v>23.24</v>
      </c>
      <c r="D5207" s="9">
        <v>4.37</v>
      </c>
      <c r="E5207" s="6">
        <v>1.61</v>
      </c>
      <c r="G5207" s="31"/>
    </row>
    <row r="5208" spans="1:7" x14ac:dyDescent="0.25">
      <c r="A5208" s="36">
        <v>45020</v>
      </c>
      <c r="B5208" s="34">
        <v>41.73</v>
      </c>
      <c r="C5208" s="6">
        <v>23.23</v>
      </c>
      <c r="D5208" s="9">
        <v>4.3899999999999997</v>
      </c>
      <c r="E5208" s="6">
        <v>1.65</v>
      </c>
      <c r="G5208" s="31"/>
    </row>
    <row r="5209" spans="1:7" x14ac:dyDescent="0.25">
      <c r="A5209" s="36">
        <v>45021</v>
      </c>
      <c r="B5209" s="34">
        <v>41.73</v>
      </c>
      <c r="C5209" s="6">
        <v>23.22</v>
      </c>
      <c r="D5209" s="9">
        <v>4.38</v>
      </c>
      <c r="E5209" s="6">
        <v>1.7</v>
      </c>
      <c r="G5209" s="31"/>
    </row>
    <row r="5210" spans="1:7" x14ac:dyDescent="0.25">
      <c r="A5210" s="36">
        <v>45022</v>
      </c>
      <c r="B5210" s="34">
        <v>41.73</v>
      </c>
      <c r="C5210" s="6">
        <v>23.19</v>
      </c>
      <c r="D5210" s="9">
        <v>4.3600000000000003</v>
      </c>
      <c r="E5210" s="6">
        <v>1.67</v>
      </c>
      <c r="G5210" s="31"/>
    </row>
    <row r="5211" spans="1:7" x14ac:dyDescent="0.25">
      <c r="A5211" s="36">
        <v>45023</v>
      </c>
      <c r="B5211" s="34">
        <v>41.77</v>
      </c>
      <c r="C5211" s="6">
        <v>23.14</v>
      </c>
      <c r="D5211" s="9">
        <v>4.3600000000000003</v>
      </c>
      <c r="E5211" s="6">
        <v>1.67</v>
      </c>
      <c r="G5211" s="31"/>
    </row>
    <row r="5212" spans="1:7" x14ac:dyDescent="0.25">
      <c r="A5212" s="36">
        <v>45024</v>
      </c>
      <c r="B5212" s="34">
        <v>41.76</v>
      </c>
      <c r="C5212" s="6">
        <v>23.17</v>
      </c>
      <c r="D5212" s="6">
        <v>4.38</v>
      </c>
      <c r="E5212" s="6">
        <v>1.68</v>
      </c>
      <c r="G5212" s="31"/>
    </row>
    <row r="5213" spans="1:7" x14ac:dyDescent="0.25">
      <c r="A5213" s="36">
        <v>45025</v>
      </c>
      <c r="B5213" s="34">
        <v>41.76</v>
      </c>
      <c r="C5213" s="6">
        <v>23.2</v>
      </c>
      <c r="D5213" s="6">
        <v>4.37</v>
      </c>
      <c r="E5213" s="6">
        <v>1.68</v>
      </c>
      <c r="G5213" s="31"/>
    </row>
    <row r="5214" spans="1:7" x14ac:dyDescent="0.25">
      <c r="A5214" s="36">
        <v>45026</v>
      </c>
      <c r="B5214" s="34">
        <v>41.78</v>
      </c>
      <c r="C5214" s="6">
        <v>23.23</v>
      </c>
      <c r="D5214" s="6">
        <v>4.3499999999999996</v>
      </c>
      <c r="E5214" s="6">
        <v>1.65</v>
      </c>
      <c r="G5214" s="31"/>
    </row>
    <row r="5215" spans="1:7" x14ac:dyDescent="0.25">
      <c r="A5215" s="36">
        <v>45027</v>
      </c>
      <c r="B5215" s="34">
        <v>41.8</v>
      </c>
      <c r="C5215" s="6">
        <v>23.28</v>
      </c>
      <c r="D5215" s="6">
        <v>4.32</v>
      </c>
      <c r="E5215" s="6">
        <v>1.64</v>
      </c>
      <c r="G5215" s="31"/>
    </row>
    <row r="5216" spans="1:7" x14ac:dyDescent="0.25">
      <c r="A5216" s="36">
        <v>45028</v>
      </c>
      <c r="B5216" s="34">
        <v>41.81</v>
      </c>
      <c r="C5216" s="6">
        <v>23.37</v>
      </c>
      <c r="D5216" s="6">
        <v>4.32</v>
      </c>
      <c r="E5216" s="6">
        <v>1.66</v>
      </c>
      <c r="G5216" s="31"/>
    </row>
    <row r="5217" spans="1:7" x14ac:dyDescent="0.25">
      <c r="A5217" s="36">
        <v>45029</v>
      </c>
      <c r="B5217" s="34">
        <v>41.85</v>
      </c>
      <c r="C5217" s="6">
        <v>23.48</v>
      </c>
      <c r="D5217" s="6">
        <v>4.3099999999999996</v>
      </c>
      <c r="E5217" s="6">
        <v>1.54</v>
      </c>
      <c r="G5217" s="31"/>
    </row>
    <row r="5218" spans="1:7" x14ac:dyDescent="0.25">
      <c r="A5218" s="36">
        <v>45030</v>
      </c>
      <c r="B5218" s="34">
        <v>41.86</v>
      </c>
      <c r="C5218" s="6">
        <v>23.55</v>
      </c>
      <c r="D5218" s="6">
        <v>4.33</v>
      </c>
      <c r="E5218" s="6">
        <v>1.63</v>
      </c>
      <c r="G5218" s="31"/>
    </row>
    <row r="5219" spans="1:7" x14ac:dyDescent="0.25">
      <c r="A5219" s="36">
        <v>45031</v>
      </c>
      <c r="B5219" s="34">
        <v>41.87</v>
      </c>
      <c r="C5219" s="6">
        <v>23.54</v>
      </c>
      <c r="D5219" s="6">
        <v>4.3899999999999997</v>
      </c>
      <c r="E5219" s="6">
        <v>1.6</v>
      </c>
      <c r="G5219" s="31"/>
    </row>
    <row r="5220" spans="1:7" x14ac:dyDescent="0.25">
      <c r="A5220" s="36">
        <v>45032</v>
      </c>
      <c r="B5220" s="34">
        <v>41.9</v>
      </c>
      <c r="C5220" s="6">
        <v>23.52</v>
      </c>
      <c r="D5220" s="6">
        <v>4.46</v>
      </c>
      <c r="E5220" s="6">
        <v>1.6</v>
      </c>
      <c r="G5220" s="31"/>
    </row>
    <row r="5221" spans="1:7" x14ac:dyDescent="0.25">
      <c r="A5221" s="36">
        <v>45033</v>
      </c>
      <c r="B5221" s="34">
        <v>41.95</v>
      </c>
      <c r="C5221" s="6">
        <v>23.48</v>
      </c>
      <c r="D5221" s="6">
        <v>4.4800000000000004</v>
      </c>
      <c r="E5221" s="6">
        <v>1.73</v>
      </c>
      <c r="G5221" s="31"/>
    </row>
    <row r="5222" spans="1:7" x14ac:dyDescent="0.25">
      <c r="A5222" s="36">
        <v>45034</v>
      </c>
      <c r="B5222" s="34">
        <v>42</v>
      </c>
      <c r="C5222" s="6">
        <v>23.45</v>
      </c>
      <c r="D5222" s="6">
        <v>4.5</v>
      </c>
      <c r="E5222" s="6">
        <v>1.81</v>
      </c>
      <c r="G5222" s="31"/>
    </row>
    <row r="5223" spans="1:7" x14ac:dyDescent="0.25">
      <c r="A5223" s="36">
        <v>45035</v>
      </c>
      <c r="B5223" s="34">
        <v>42.1</v>
      </c>
      <c r="C5223" s="6">
        <v>23.46</v>
      </c>
      <c r="D5223" s="6">
        <v>4.5199999999999996</v>
      </c>
      <c r="E5223" s="6">
        <v>1.8</v>
      </c>
      <c r="G5223" s="31"/>
    </row>
    <row r="5224" spans="1:7" x14ac:dyDescent="0.25">
      <c r="A5224" s="36">
        <v>45036</v>
      </c>
      <c r="B5224" s="34">
        <v>42.18</v>
      </c>
      <c r="C5224" s="6">
        <v>23.49</v>
      </c>
      <c r="D5224" s="6">
        <v>4.5199999999999996</v>
      </c>
      <c r="E5224" s="6">
        <v>1.84</v>
      </c>
      <c r="G5224" s="31"/>
    </row>
    <row r="5225" spans="1:7" x14ac:dyDescent="0.25">
      <c r="A5225" s="36">
        <v>45037</v>
      </c>
      <c r="B5225" s="34">
        <v>42.32</v>
      </c>
      <c r="C5225" s="6">
        <v>23.57</v>
      </c>
      <c r="D5225" s="6">
        <v>4.53</v>
      </c>
      <c r="E5225" s="6">
        <v>1.82</v>
      </c>
      <c r="G5225" s="31"/>
    </row>
    <row r="5226" spans="1:7" x14ac:dyDescent="0.25">
      <c r="A5226" s="36">
        <v>45038</v>
      </c>
      <c r="B5226" s="34">
        <v>42.42</v>
      </c>
      <c r="C5226" s="6">
        <v>23.6</v>
      </c>
      <c r="D5226" s="6">
        <v>4.57</v>
      </c>
      <c r="E5226" s="6">
        <v>1.89</v>
      </c>
      <c r="G5226" s="31"/>
    </row>
    <row r="5227" spans="1:7" x14ac:dyDescent="0.25">
      <c r="A5227" s="36">
        <v>45039</v>
      </c>
      <c r="B5227" s="34">
        <v>42.55</v>
      </c>
      <c r="C5227" s="6">
        <v>23.67</v>
      </c>
      <c r="D5227" s="9">
        <v>4.6900000000000004</v>
      </c>
      <c r="E5227" s="6">
        <v>1.82</v>
      </c>
      <c r="G5227" s="31"/>
    </row>
    <row r="5228" spans="1:7" x14ac:dyDescent="0.25">
      <c r="A5228" s="36">
        <v>45040</v>
      </c>
      <c r="B5228" s="34">
        <v>42.7</v>
      </c>
      <c r="C5228" s="6">
        <v>23.78</v>
      </c>
      <c r="D5228" s="9">
        <v>4.83</v>
      </c>
      <c r="E5228" s="6">
        <v>1.88</v>
      </c>
      <c r="G5228" s="31"/>
    </row>
    <row r="5229" spans="1:7" x14ac:dyDescent="0.25">
      <c r="A5229" s="36">
        <v>45041</v>
      </c>
      <c r="B5229" s="34">
        <v>42.86</v>
      </c>
      <c r="C5229" s="6">
        <v>23.85</v>
      </c>
      <c r="D5229" s="6">
        <v>4.93</v>
      </c>
      <c r="E5229" s="6">
        <v>1.9</v>
      </c>
      <c r="G5229" s="31"/>
    </row>
    <row r="5230" spans="1:7" x14ac:dyDescent="0.25">
      <c r="A5230" s="36">
        <v>45042</v>
      </c>
      <c r="B5230" s="34">
        <v>43.05</v>
      </c>
      <c r="C5230" s="6">
        <v>23.97</v>
      </c>
      <c r="D5230" s="6">
        <v>5</v>
      </c>
      <c r="E5230" s="6">
        <v>1.97</v>
      </c>
      <c r="G5230" s="31"/>
    </row>
    <row r="5231" spans="1:7" x14ac:dyDescent="0.25">
      <c r="A5231" s="36">
        <v>45043</v>
      </c>
      <c r="B5231" s="34">
        <v>43.22</v>
      </c>
      <c r="C5231" s="6">
        <v>24.29</v>
      </c>
      <c r="D5231" s="6">
        <v>5.18</v>
      </c>
      <c r="E5231" s="6">
        <v>1.94</v>
      </c>
      <c r="G5231" s="31"/>
    </row>
    <row r="5232" spans="1:7" x14ac:dyDescent="0.25">
      <c r="A5232" s="36">
        <v>45044</v>
      </c>
      <c r="B5232" s="34">
        <v>43.39</v>
      </c>
      <c r="C5232" s="6">
        <v>24.48</v>
      </c>
      <c r="D5232" s="6">
        <v>5.31</v>
      </c>
      <c r="E5232" s="6">
        <v>2.11</v>
      </c>
      <c r="G5232" s="31"/>
    </row>
    <row r="5233" spans="1:7" x14ac:dyDescent="0.25">
      <c r="A5233" s="36">
        <v>45045</v>
      </c>
      <c r="B5233" s="34">
        <v>43.55</v>
      </c>
      <c r="C5233" s="6">
        <v>24.64</v>
      </c>
      <c r="D5233" s="6">
        <v>5.45</v>
      </c>
      <c r="E5233" s="6">
        <v>2.21</v>
      </c>
      <c r="G5233" s="31"/>
    </row>
    <row r="5234" spans="1:7" x14ac:dyDescent="0.25">
      <c r="A5234" s="36">
        <v>45046</v>
      </c>
      <c r="B5234" s="34">
        <v>43.65</v>
      </c>
      <c r="C5234" s="6">
        <v>24.82</v>
      </c>
      <c r="D5234" s="6">
        <v>5.65</v>
      </c>
      <c r="E5234" s="6">
        <v>2.36</v>
      </c>
      <c r="G5234" s="31"/>
    </row>
    <row r="5235" spans="1:7" x14ac:dyDescent="0.25">
      <c r="A5235" s="36">
        <v>45047</v>
      </c>
      <c r="B5235" s="34">
        <v>43.79</v>
      </c>
      <c r="C5235" s="6">
        <v>24.9</v>
      </c>
      <c r="D5235" s="25">
        <v>5.85</v>
      </c>
      <c r="E5235" s="6">
        <v>2.48</v>
      </c>
      <c r="G5235" s="31"/>
    </row>
    <row r="5236" spans="1:7" x14ac:dyDescent="0.25">
      <c r="A5236" s="36">
        <v>45048</v>
      </c>
      <c r="B5236" s="34">
        <v>43.91</v>
      </c>
      <c r="C5236" s="6">
        <v>25</v>
      </c>
      <c r="D5236" s="25">
        <v>5.95</v>
      </c>
      <c r="E5236" s="6">
        <v>2.5499999999999998</v>
      </c>
      <c r="G5236" s="31"/>
    </row>
    <row r="5237" spans="1:7" x14ac:dyDescent="0.25">
      <c r="A5237" s="36">
        <v>45049</v>
      </c>
      <c r="B5237" s="34">
        <v>43.98</v>
      </c>
      <c r="C5237" s="6">
        <v>25.15</v>
      </c>
      <c r="D5237" s="25">
        <v>6.04</v>
      </c>
      <c r="E5237" s="6">
        <v>2.59</v>
      </c>
      <c r="G5237" s="31"/>
    </row>
    <row r="5238" spans="1:7" x14ac:dyDescent="0.25">
      <c r="A5238" s="36">
        <v>45050</v>
      </c>
      <c r="B5238" s="34">
        <v>43.99</v>
      </c>
      <c r="C5238" s="6">
        <v>25.36</v>
      </c>
      <c r="D5238" s="25">
        <v>6.13</v>
      </c>
      <c r="E5238" s="6">
        <v>2.75</v>
      </c>
      <c r="G5238" s="31"/>
    </row>
    <row r="5239" spans="1:7" x14ac:dyDescent="0.25">
      <c r="A5239" s="36">
        <v>45051</v>
      </c>
      <c r="B5239" s="34">
        <v>43.97</v>
      </c>
      <c r="C5239" s="6">
        <v>25.5</v>
      </c>
      <c r="D5239" s="25">
        <v>6.24</v>
      </c>
      <c r="E5239" s="6">
        <v>2.79</v>
      </c>
      <c r="G5239" s="31"/>
    </row>
    <row r="5240" spans="1:7" x14ac:dyDescent="0.25">
      <c r="A5240" s="36">
        <v>45052</v>
      </c>
      <c r="B5240" s="34">
        <v>43.93</v>
      </c>
      <c r="C5240" s="6">
        <v>25.65</v>
      </c>
      <c r="D5240" s="25">
        <v>6.39</v>
      </c>
      <c r="E5240" s="6">
        <v>2.96</v>
      </c>
      <c r="G5240" s="31"/>
    </row>
    <row r="5241" spans="1:7" x14ac:dyDescent="0.25">
      <c r="A5241" s="36">
        <v>45053</v>
      </c>
      <c r="B5241" s="34">
        <v>43.87</v>
      </c>
      <c r="C5241" s="6">
        <v>25.66</v>
      </c>
      <c r="D5241" s="25">
        <v>6.53</v>
      </c>
      <c r="E5241" s="6">
        <v>3.01</v>
      </c>
      <c r="G5241" s="31"/>
    </row>
    <row r="5242" spans="1:7" x14ac:dyDescent="0.25">
      <c r="A5242" s="36">
        <v>45054</v>
      </c>
      <c r="B5242" s="34">
        <v>43.83</v>
      </c>
      <c r="C5242" s="6">
        <v>25.68</v>
      </c>
      <c r="D5242" s="25">
        <v>6.65</v>
      </c>
      <c r="E5242" s="6">
        <v>3.05</v>
      </c>
      <c r="G5242" s="31"/>
    </row>
    <row r="5243" spans="1:7" x14ac:dyDescent="0.25">
      <c r="A5243" s="36">
        <v>45055</v>
      </c>
      <c r="B5243" s="34">
        <v>43.79</v>
      </c>
      <c r="C5243" s="6">
        <v>25.66</v>
      </c>
      <c r="D5243" s="25">
        <v>6.72</v>
      </c>
      <c r="E5243" s="6">
        <v>3.02</v>
      </c>
      <c r="G5243" s="31"/>
    </row>
    <row r="5244" spans="1:7" x14ac:dyDescent="0.25">
      <c r="A5244" s="36">
        <v>45056</v>
      </c>
      <c r="B5244" s="34">
        <v>43.77</v>
      </c>
      <c r="C5244" s="6">
        <v>25.62</v>
      </c>
      <c r="D5244" s="25">
        <v>6.79</v>
      </c>
      <c r="E5244" s="6">
        <v>3.06</v>
      </c>
      <c r="G5244" s="31"/>
    </row>
    <row r="5245" spans="1:7" x14ac:dyDescent="0.25">
      <c r="A5245" s="36">
        <v>45057</v>
      </c>
      <c r="B5245" s="34">
        <v>43.82</v>
      </c>
      <c r="C5245" s="6">
        <v>25.52</v>
      </c>
      <c r="D5245" s="25">
        <v>6.79</v>
      </c>
      <c r="E5245" s="6">
        <v>3.1</v>
      </c>
      <c r="G5245" s="31"/>
    </row>
    <row r="5246" spans="1:7" x14ac:dyDescent="0.25">
      <c r="A5246" s="36">
        <v>45058</v>
      </c>
      <c r="B5246" s="34">
        <v>43.92</v>
      </c>
      <c r="C5246" s="6">
        <v>25.46</v>
      </c>
      <c r="D5246" s="25">
        <v>6.79</v>
      </c>
      <c r="E5246" s="6">
        <v>3.07</v>
      </c>
      <c r="G5246" s="31"/>
    </row>
    <row r="5247" spans="1:7" x14ac:dyDescent="0.25">
      <c r="A5247" s="36">
        <v>45059</v>
      </c>
      <c r="B5247" s="34">
        <v>44.07</v>
      </c>
      <c r="C5247" s="6">
        <v>25.42</v>
      </c>
      <c r="D5247" s="25">
        <v>6.76</v>
      </c>
      <c r="E5247" s="6">
        <v>3.05</v>
      </c>
      <c r="G5247" s="31"/>
    </row>
    <row r="5248" spans="1:7" x14ac:dyDescent="0.25">
      <c r="A5248" s="36">
        <v>45060</v>
      </c>
      <c r="B5248" s="34">
        <v>44.25</v>
      </c>
      <c r="C5248" s="6">
        <v>25.44</v>
      </c>
      <c r="D5248" s="25">
        <v>6.7</v>
      </c>
      <c r="E5248" s="6">
        <v>2.94</v>
      </c>
      <c r="G5248" s="31"/>
    </row>
    <row r="5249" spans="1:7" x14ac:dyDescent="0.25">
      <c r="A5249" s="36">
        <v>45061</v>
      </c>
      <c r="B5249" s="34">
        <v>44.47</v>
      </c>
      <c r="C5249" s="6">
        <v>25.44</v>
      </c>
      <c r="D5249" s="25">
        <v>6.7</v>
      </c>
      <c r="E5249" s="6">
        <v>3.03</v>
      </c>
      <c r="G5249" s="31"/>
    </row>
    <row r="5250" spans="1:7" x14ac:dyDescent="0.25">
      <c r="A5250" s="36">
        <v>45062</v>
      </c>
      <c r="B5250" s="34">
        <v>44.71</v>
      </c>
      <c r="C5250" s="6">
        <v>25.48</v>
      </c>
      <c r="D5250" s="25">
        <v>6.79</v>
      </c>
      <c r="E5250" s="6">
        <v>3.09</v>
      </c>
      <c r="G5250" s="31"/>
    </row>
    <row r="5251" spans="1:7" x14ac:dyDescent="0.25">
      <c r="A5251" s="36">
        <v>45063</v>
      </c>
      <c r="B5251" s="34">
        <v>44.97</v>
      </c>
      <c r="C5251" s="6">
        <v>25.62</v>
      </c>
      <c r="D5251" s="6">
        <v>6.9</v>
      </c>
      <c r="E5251" s="6">
        <v>3.22</v>
      </c>
      <c r="G5251" s="31"/>
    </row>
    <row r="5252" spans="1:7" x14ac:dyDescent="0.25">
      <c r="A5252" s="36">
        <v>45064</v>
      </c>
      <c r="B5252" s="34">
        <v>45.23</v>
      </c>
      <c r="C5252" s="6">
        <v>25.86</v>
      </c>
      <c r="D5252" s="6">
        <v>7.01</v>
      </c>
      <c r="E5252" s="6">
        <v>3.33</v>
      </c>
      <c r="G5252" s="31"/>
    </row>
    <row r="5253" spans="1:7" x14ac:dyDescent="0.25">
      <c r="A5253" s="36">
        <v>45065</v>
      </c>
      <c r="B5253" s="34">
        <v>45.47</v>
      </c>
      <c r="C5253" s="6">
        <v>26.14</v>
      </c>
      <c r="D5253" s="6">
        <v>7.11</v>
      </c>
      <c r="E5253" s="6">
        <v>3.32</v>
      </c>
      <c r="G5253" s="31"/>
    </row>
    <row r="5254" spans="1:7" x14ac:dyDescent="0.25">
      <c r="A5254" s="36">
        <v>45066</v>
      </c>
      <c r="B5254" s="34">
        <v>45.63</v>
      </c>
      <c r="C5254" s="6">
        <v>26.4</v>
      </c>
      <c r="D5254" s="6">
        <v>7.24</v>
      </c>
      <c r="E5254" s="6">
        <v>3.36</v>
      </c>
      <c r="G5254" s="31"/>
    </row>
    <row r="5255" spans="1:7" x14ac:dyDescent="0.25">
      <c r="A5255" s="36">
        <v>45067</v>
      </c>
      <c r="B5255" s="34">
        <v>45.73</v>
      </c>
      <c r="C5255" s="6">
        <v>26.68</v>
      </c>
      <c r="D5255" s="6">
        <v>7.48</v>
      </c>
      <c r="E5255" s="6">
        <v>3.38</v>
      </c>
      <c r="G5255" s="31"/>
    </row>
    <row r="5256" spans="1:7" x14ac:dyDescent="0.25">
      <c r="A5256" s="36">
        <v>45068</v>
      </c>
      <c r="B5256" s="34">
        <v>45.87</v>
      </c>
      <c r="C5256" s="6">
        <v>26.85</v>
      </c>
      <c r="D5256" s="6">
        <v>7.79</v>
      </c>
      <c r="E5256" s="6">
        <v>3.76</v>
      </c>
      <c r="G5256" s="31"/>
    </row>
    <row r="5257" spans="1:7" x14ac:dyDescent="0.25">
      <c r="A5257" s="36">
        <v>45069</v>
      </c>
      <c r="B5257" s="34">
        <v>45.95</v>
      </c>
      <c r="C5257" s="6">
        <v>26.99</v>
      </c>
      <c r="D5257" s="6">
        <v>8</v>
      </c>
      <c r="E5257" s="6">
        <v>3.92</v>
      </c>
      <c r="G5257" s="31"/>
    </row>
    <row r="5258" spans="1:7" x14ac:dyDescent="0.25">
      <c r="A5258" s="36">
        <v>45070</v>
      </c>
      <c r="B5258" s="34">
        <v>46</v>
      </c>
      <c r="C5258" s="6">
        <v>27.11</v>
      </c>
      <c r="D5258" s="6">
        <v>8.26</v>
      </c>
      <c r="E5258" s="6">
        <v>4.04</v>
      </c>
      <c r="G5258" s="31"/>
    </row>
    <row r="5259" spans="1:7" x14ac:dyDescent="0.25">
      <c r="A5259" s="36">
        <v>45071</v>
      </c>
      <c r="B5259" s="34">
        <v>46.08</v>
      </c>
      <c r="C5259" s="7">
        <v>27.2</v>
      </c>
      <c r="D5259" s="7">
        <v>8.43</v>
      </c>
      <c r="E5259" s="6">
        <v>4.21</v>
      </c>
      <c r="G5259" s="31"/>
    </row>
    <row r="5260" spans="1:7" x14ac:dyDescent="0.25">
      <c r="A5260" s="36">
        <v>45072</v>
      </c>
      <c r="B5260" s="34">
        <v>46.2</v>
      </c>
      <c r="C5260" s="7">
        <v>27.25</v>
      </c>
      <c r="D5260" s="7">
        <v>8.5500000000000007</v>
      </c>
      <c r="E5260" s="6">
        <v>4.3099999999999996</v>
      </c>
      <c r="G5260" s="31"/>
    </row>
    <row r="5261" spans="1:7" x14ac:dyDescent="0.25">
      <c r="A5261" s="36">
        <v>45073</v>
      </c>
      <c r="B5261" s="34">
        <v>46.32</v>
      </c>
      <c r="C5261" s="7">
        <v>27.24</v>
      </c>
      <c r="D5261" s="7">
        <v>8.68</v>
      </c>
      <c r="E5261" s="6">
        <v>4.3600000000000003</v>
      </c>
      <c r="G5261" s="31"/>
    </row>
    <row r="5262" spans="1:7" x14ac:dyDescent="0.25">
      <c r="A5262" s="36">
        <v>45074</v>
      </c>
      <c r="B5262" s="34">
        <v>46.58</v>
      </c>
      <c r="C5262" s="7">
        <v>27.42</v>
      </c>
      <c r="D5262" s="7">
        <v>8.7799999999999994</v>
      </c>
      <c r="E5262" s="6">
        <v>4.46</v>
      </c>
      <c r="G5262" s="31"/>
    </row>
    <row r="5263" spans="1:7" x14ac:dyDescent="0.25">
      <c r="A5263" s="36">
        <v>45075</v>
      </c>
      <c r="B5263" s="34">
        <v>46.82</v>
      </c>
      <c r="C5263" s="7">
        <v>27.56</v>
      </c>
      <c r="D5263" s="7">
        <v>8.86</v>
      </c>
      <c r="E5263" s="6">
        <v>4.63</v>
      </c>
      <c r="G5263" s="31"/>
    </row>
    <row r="5264" spans="1:7" x14ac:dyDescent="0.25">
      <c r="A5264" s="36">
        <v>45076</v>
      </c>
      <c r="B5264" s="34">
        <v>47.06</v>
      </c>
      <c r="C5264" s="7">
        <v>27.8</v>
      </c>
      <c r="D5264" s="7">
        <v>9.0399999999999991</v>
      </c>
      <c r="E5264" s="6">
        <v>4.74</v>
      </c>
      <c r="G5264" s="31"/>
    </row>
    <row r="5265" spans="1:7" x14ac:dyDescent="0.25">
      <c r="A5265" s="36">
        <v>45077</v>
      </c>
      <c r="B5265" s="34">
        <v>47.22</v>
      </c>
      <c r="C5265" s="7">
        <v>27.98</v>
      </c>
      <c r="D5265" s="7">
        <v>9.31</v>
      </c>
      <c r="E5265" s="6">
        <v>5.01</v>
      </c>
      <c r="G5265" s="31"/>
    </row>
    <row r="5266" spans="1:7" x14ac:dyDescent="0.25">
      <c r="A5266" s="36">
        <v>45078</v>
      </c>
      <c r="B5266" s="34">
        <v>47.32</v>
      </c>
      <c r="C5266" s="7">
        <v>28.15</v>
      </c>
      <c r="D5266" s="7">
        <v>9.59</v>
      </c>
      <c r="E5266" s="7">
        <v>5.19</v>
      </c>
      <c r="G5266" s="31"/>
    </row>
    <row r="5267" spans="1:7" x14ac:dyDescent="0.25">
      <c r="A5267" s="36">
        <v>45079</v>
      </c>
      <c r="B5267" s="34">
        <v>47.4</v>
      </c>
      <c r="C5267" s="7">
        <v>28.35</v>
      </c>
      <c r="D5267" s="7">
        <v>9.81</v>
      </c>
      <c r="E5267" s="7">
        <v>5.28</v>
      </c>
      <c r="G5267" s="31"/>
    </row>
    <row r="5268" spans="1:7" x14ac:dyDescent="0.25">
      <c r="A5268" s="36">
        <v>45080</v>
      </c>
      <c r="B5268" s="34">
        <v>47.5</v>
      </c>
      <c r="C5268" s="7">
        <v>28.51</v>
      </c>
      <c r="D5268" s="7">
        <v>9.98</v>
      </c>
      <c r="E5268" s="7">
        <v>5.35</v>
      </c>
      <c r="G5268" s="31"/>
    </row>
    <row r="5269" spans="1:7" x14ac:dyDescent="0.25">
      <c r="A5269" s="36">
        <v>45081</v>
      </c>
      <c r="B5269" s="34">
        <v>47.56</v>
      </c>
      <c r="C5269" s="7">
        <v>28.66</v>
      </c>
      <c r="D5269" s="7">
        <v>10.08</v>
      </c>
      <c r="E5269" s="7">
        <v>5.48</v>
      </c>
      <c r="G5269" s="31"/>
    </row>
    <row r="5270" spans="1:7" x14ac:dyDescent="0.25">
      <c r="A5270" s="36">
        <v>45082</v>
      </c>
      <c r="B5270" s="34">
        <v>47.62</v>
      </c>
      <c r="C5270" s="7">
        <v>28.94</v>
      </c>
      <c r="D5270" s="7">
        <v>10.18</v>
      </c>
      <c r="E5270" s="7">
        <v>5.7</v>
      </c>
      <c r="G5270" s="31"/>
    </row>
    <row r="5271" spans="1:7" x14ac:dyDescent="0.25">
      <c r="A5271" s="36">
        <v>45083</v>
      </c>
      <c r="B5271" s="34">
        <v>47.68</v>
      </c>
      <c r="C5271" s="7">
        <v>29.09</v>
      </c>
      <c r="D5271" s="7">
        <v>10.31</v>
      </c>
      <c r="E5271" s="7">
        <v>5.98</v>
      </c>
      <c r="G5271" s="31"/>
    </row>
    <row r="5272" spans="1:7" x14ac:dyDescent="0.25">
      <c r="A5272" s="36">
        <v>45084</v>
      </c>
      <c r="B5272" s="34">
        <v>47.74</v>
      </c>
      <c r="C5272" s="7">
        <v>29.14</v>
      </c>
      <c r="D5272" s="7">
        <v>10.47</v>
      </c>
      <c r="E5272" s="7">
        <v>6.34</v>
      </c>
      <c r="G5272" s="31"/>
    </row>
    <row r="5273" spans="1:7" x14ac:dyDescent="0.25">
      <c r="A5273" s="36">
        <v>45085</v>
      </c>
      <c r="B5273" s="34">
        <v>47.82</v>
      </c>
      <c r="C5273" s="7">
        <v>29.21</v>
      </c>
      <c r="D5273" s="7">
        <v>10.64</v>
      </c>
      <c r="E5273" s="7">
        <v>6.57</v>
      </c>
      <c r="G5273" s="31"/>
    </row>
    <row r="5274" spans="1:7" x14ac:dyDescent="0.25">
      <c r="A5274" s="36">
        <v>45086</v>
      </c>
      <c r="B5274" s="34">
        <v>47.88</v>
      </c>
      <c r="C5274" s="7">
        <v>29.27</v>
      </c>
      <c r="D5274" s="7">
        <v>10.78</v>
      </c>
      <c r="E5274" s="7">
        <v>6.79</v>
      </c>
      <c r="G5274" s="31"/>
    </row>
    <row r="5275" spans="1:7" x14ac:dyDescent="0.25">
      <c r="A5275" s="36">
        <v>45087</v>
      </c>
      <c r="B5275" s="34">
        <v>48.04</v>
      </c>
      <c r="C5275" s="7">
        <v>29.38</v>
      </c>
      <c r="D5275" s="7">
        <v>10.96</v>
      </c>
      <c r="E5275" s="7">
        <v>6.94</v>
      </c>
      <c r="G5275" s="31"/>
    </row>
    <row r="5276" spans="1:7" x14ac:dyDescent="0.25">
      <c r="A5276" s="36">
        <v>45088</v>
      </c>
      <c r="B5276" s="34">
        <v>48.12</v>
      </c>
      <c r="C5276" s="7">
        <v>29.46</v>
      </c>
      <c r="D5276" s="7">
        <v>11.1</v>
      </c>
      <c r="E5276" s="7">
        <v>6.99</v>
      </c>
      <c r="G5276" s="31"/>
    </row>
    <row r="5277" spans="1:7" x14ac:dyDescent="0.25">
      <c r="A5277" s="36">
        <v>45089</v>
      </c>
      <c r="B5277" s="34">
        <v>48.2</v>
      </c>
      <c r="C5277" s="7">
        <v>29.55</v>
      </c>
      <c r="D5277" s="15">
        <v>11.25</v>
      </c>
      <c r="E5277" s="7">
        <v>7.11</v>
      </c>
      <c r="G5277" s="31"/>
    </row>
    <row r="5278" spans="1:7" x14ac:dyDescent="0.25">
      <c r="A5278" s="36">
        <v>45090</v>
      </c>
      <c r="B5278" s="34">
        <v>48.32</v>
      </c>
      <c r="C5278" s="7">
        <v>29.62</v>
      </c>
      <c r="D5278" s="15">
        <v>11.39</v>
      </c>
      <c r="E5278" s="7">
        <v>7.2</v>
      </c>
      <c r="G5278" s="31"/>
    </row>
    <row r="5279" spans="1:7" x14ac:dyDescent="0.25">
      <c r="A5279" s="36">
        <v>45091</v>
      </c>
      <c r="B5279" s="34">
        <v>48.4</v>
      </c>
      <c r="C5279" s="7">
        <v>29.7</v>
      </c>
      <c r="D5279" s="7">
        <v>11.54</v>
      </c>
      <c r="E5279" s="7">
        <v>7.3</v>
      </c>
      <c r="G5279" s="31"/>
    </row>
    <row r="5280" spans="1:7" x14ac:dyDescent="0.25">
      <c r="A5280" s="36">
        <v>45092</v>
      </c>
      <c r="B5280" s="34">
        <v>48.42</v>
      </c>
      <c r="C5280" s="7">
        <v>29.75</v>
      </c>
      <c r="D5280" s="6">
        <v>11.65</v>
      </c>
      <c r="E5280" s="7">
        <v>7.3</v>
      </c>
      <c r="G5280" s="31"/>
    </row>
    <row r="5281" spans="1:7" x14ac:dyDescent="0.25">
      <c r="A5281" s="36">
        <v>45093</v>
      </c>
      <c r="B5281" s="34">
        <v>48.58</v>
      </c>
      <c r="C5281" s="7">
        <v>29.84</v>
      </c>
      <c r="D5281" s="6">
        <v>11.74</v>
      </c>
      <c r="E5281" s="7">
        <v>7.45</v>
      </c>
      <c r="G5281" s="31"/>
    </row>
    <row r="5282" spans="1:7" x14ac:dyDescent="0.25">
      <c r="A5282" s="36">
        <v>45094</v>
      </c>
      <c r="B5282" s="34">
        <v>48.76</v>
      </c>
      <c r="C5282" s="7">
        <v>29.95</v>
      </c>
      <c r="D5282" s="6">
        <v>11.82</v>
      </c>
      <c r="E5282" s="7">
        <v>7.56</v>
      </c>
      <c r="G5282" s="31"/>
    </row>
    <row r="5283" spans="1:7" x14ac:dyDescent="0.25">
      <c r="A5283" s="36">
        <v>45095</v>
      </c>
      <c r="B5283" s="34">
        <v>48.84</v>
      </c>
      <c r="C5283" s="7">
        <v>30.08</v>
      </c>
      <c r="D5283" s="6">
        <v>11.95</v>
      </c>
      <c r="E5283" s="7">
        <v>7.62</v>
      </c>
      <c r="G5283" s="31"/>
    </row>
    <row r="5284" spans="1:7" x14ac:dyDescent="0.25">
      <c r="A5284" s="36">
        <v>45096</v>
      </c>
      <c r="B5284" s="34">
        <v>48.88</v>
      </c>
      <c r="C5284" s="7">
        <v>30.2</v>
      </c>
      <c r="D5284" s="6">
        <v>12.1</v>
      </c>
      <c r="E5284" s="7">
        <v>7.93</v>
      </c>
      <c r="G5284" s="31"/>
    </row>
    <row r="5285" spans="1:7" x14ac:dyDescent="0.25">
      <c r="A5285" s="36">
        <v>45097</v>
      </c>
      <c r="B5285" s="34">
        <v>48.94</v>
      </c>
      <c r="C5285" s="7">
        <v>30.3</v>
      </c>
      <c r="D5285" s="6">
        <v>12.35</v>
      </c>
      <c r="E5285" s="7">
        <v>8.14</v>
      </c>
      <c r="G5285" s="31"/>
    </row>
    <row r="5286" spans="1:7" x14ac:dyDescent="0.25">
      <c r="A5286" s="36">
        <v>45098</v>
      </c>
      <c r="B5286" s="34">
        <v>48.96</v>
      </c>
      <c r="C5286" s="7">
        <v>30.42</v>
      </c>
      <c r="D5286" s="6">
        <v>12.5</v>
      </c>
      <c r="E5286" s="7">
        <v>8.33</v>
      </c>
      <c r="G5286" s="31"/>
    </row>
    <row r="5287" spans="1:7" x14ac:dyDescent="0.25">
      <c r="A5287" s="36">
        <v>45099</v>
      </c>
      <c r="B5287" s="34">
        <v>48.96</v>
      </c>
      <c r="C5287" s="7">
        <v>30.5</v>
      </c>
      <c r="D5287" s="6">
        <v>12.77</v>
      </c>
      <c r="E5287" s="7">
        <v>8.42</v>
      </c>
      <c r="G5287" s="31"/>
    </row>
    <row r="5288" spans="1:7" x14ac:dyDescent="0.25">
      <c r="A5288" s="36">
        <v>45100</v>
      </c>
      <c r="B5288" s="34">
        <v>48.98</v>
      </c>
      <c r="C5288" s="7">
        <v>30.58</v>
      </c>
      <c r="D5288" s="6">
        <v>12.91</v>
      </c>
      <c r="E5288" s="7">
        <v>8.5</v>
      </c>
      <c r="G5288" s="31"/>
    </row>
    <row r="5289" spans="1:7" x14ac:dyDescent="0.25">
      <c r="A5289" s="36">
        <v>45101</v>
      </c>
      <c r="B5289" s="34">
        <v>49</v>
      </c>
      <c r="C5289" s="7">
        <v>30.65</v>
      </c>
      <c r="D5289" s="6">
        <v>13.09</v>
      </c>
      <c r="E5289" s="7">
        <v>8.58</v>
      </c>
      <c r="G5289" s="31"/>
    </row>
    <row r="5290" spans="1:7" x14ac:dyDescent="0.25">
      <c r="A5290" s="36">
        <v>45102</v>
      </c>
      <c r="B5290" s="34">
        <v>49</v>
      </c>
      <c r="C5290" s="7">
        <v>30.73</v>
      </c>
      <c r="D5290" s="6">
        <v>13.24</v>
      </c>
      <c r="E5290" s="7">
        <v>8.67</v>
      </c>
      <c r="G5290" s="31"/>
    </row>
    <row r="5291" spans="1:7" x14ac:dyDescent="0.25">
      <c r="A5291" s="36">
        <v>45103</v>
      </c>
      <c r="B5291" s="34">
        <v>49.03</v>
      </c>
      <c r="C5291" s="7">
        <v>30.8</v>
      </c>
      <c r="D5291" s="6">
        <v>13.3</v>
      </c>
      <c r="E5291" s="7">
        <v>8.6999999999999993</v>
      </c>
      <c r="G5291" s="31"/>
    </row>
    <row r="5292" spans="1:7" x14ac:dyDescent="0.25">
      <c r="A5292" s="36">
        <v>45104</v>
      </c>
      <c r="B5292" s="34">
        <v>49.08</v>
      </c>
      <c r="C5292" s="7">
        <v>30.85</v>
      </c>
      <c r="D5292" s="6">
        <v>13.37</v>
      </c>
      <c r="E5292" s="7">
        <v>8.74</v>
      </c>
      <c r="G5292" s="31"/>
    </row>
    <row r="5293" spans="1:7" x14ac:dyDescent="0.25">
      <c r="A5293" s="36">
        <v>45105</v>
      </c>
      <c r="B5293" s="34">
        <v>49.09</v>
      </c>
      <c r="C5293" s="7">
        <v>30.9</v>
      </c>
      <c r="D5293" s="6">
        <v>13.38</v>
      </c>
      <c r="E5293" s="7">
        <v>8.7899999999999991</v>
      </c>
      <c r="G5293" s="31"/>
    </row>
    <row r="5294" spans="1:7" x14ac:dyDescent="0.25">
      <c r="A5294" s="36">
        <v>45106</v>
      </c>
      <c r="B5294" s="34">
        <v>49.1</v>
      </c>
      <c r="C5294" s="7">
        <v>30.95</v>
      </c>
      <c r="D5294" s="6">
        <v>13.4</v>
      </c>
      <c r="E5294" s="7">
        <v>8.86</v>
      </c>
      <c r="G5294" s="31"/>
    </row>
    <row r="5295" spans="1:7" x14ac:dyDescent="0.25">
      <c r="A5295" s="36">
        <v>45107</v>
      </c>
      <c r="B5295" s="34">
        <v>49.12</v>
      </c>
      <c r="C5295" s="6">
        <v>31</v>
      </c>
      <c r="D5295" s="6">
        <v>13.45</v>
      </c>
      <c r="E5295" s="7">
        <v>8.94</v>
      </c>
      <c r="G5295" s="31"/>
    </row>
    <row r="5296" spans="1:7" x14ac:dyDescent="0.25">
      <c r="A5296" s="36">
        <v>45108</v>
      </c>
      <c r="B5296" s="34">
        <v>49.16</v>
      </c>
      <c r="C5296" s="6">
        <v>31.04</v>
      </c>
      <c r="D5296" s="6">
        <v>13.5</v>
      </c>
      <c r="E5296" s="7">
        <v>8.9600000000000009</v>
      </c>
      <c r="G5296" s="31"/>
    </row>
    <row r="5297" spans="1:7" x14ac:dyDescent="0.25">
      <c r="A5297" s="36">
        <v>45109</v>
      </c>
      <c r="B5297" s="34">
        <v>49.14</v>
      </c>
      <c r="C5297" s="6">
        <v>31.1</v>
      </c>
      <c r="D5297" s="6">
        <v>13.56</v>
      </c>
      <c r="E5297" s="7">
        <v>8.99</v>
      </c>
      <c r="G5297" s="31"/>
    </row>
    <row r="5298" spans="1:7" x14ac:dyDescent="0.25">
      <c r="A5298" s="36">
        <v>45110</v>
      </c>
      <c r="B5298" s="34">
        <v>49.14</v>
      </c>
      <c r="C5298" s="6">
        <v>31.14</v>
      </c>
      <c r="D5298" s="6">
        <v>13.62</v>
      </c>
      <c r="E5298" s="7">
        <v>9.18</v>
      </c>
      <c r="G5298" s="31"/>
    </row>
    <row r="5299" spans="1:7" x14ac:dyDescent="0.25">
      <c r="A5299" s="36">
        <v>45111</v>
      </c>
      <c r="B5299" s="34">
        <v>49.22</v>
      </c>
      <c r="C5299" s="6">
        <v>31.17</v>
      </c>
      <c r="D5299" s="6">
        <v>13.72</v>
      </c>
      <c r="E5299" s="7">
        <v>9.26</v>
      </c>
      <c r="G5299" s="31"/>
    </row>
    <row r="5300" spans="1:7" x14ac:dyDescent="0.25">
      <c r="A5300" s="36">
        <v>45112</v>
      </c>
      <c r="B5300" s="34">
        <v>49.38</v>
      </c>
      <c r="C5300" s="6">
        <v>31.24</v>
      </c>
      <c r="D5300" s="6">
        <v>13.84</v>
      </c>
      <c r="E5300" s="7">
        <v>9.35</v>
      </c>
      <c r="G5300" s="31"/>
    </row>
    <row r="5301" spans="1:7" x14ac:dyDescent="0.25">
      <c r="A5301" s="36">
        <v>45113</v>
      </c>
      <c r="B5301" s="34">
        <v>49.45</v>
      </c>
      <c r="C5301" s="6">
        <v>31.28</v>
      </c>
      <c r="D5301" s="6">
        <v>13.93</v>
      </c>
      <c r="E5301" s="7">
        <v>9.42</v>
      </c>
      <c r="G5301" s="31"/>
    </row>
    <row r="5302" spans="1:7" x14ac:dyDescent="0.25">
      <c r="A5302" s="36">
        <v>45114</v>
      </c>
      <c r="B5302" s="34">
        <v>49.46</v>
      </c>
      <c r="C5302" s="6">
        <v>31.33</v>
      </c>
      <c r="D5302" s="6">
        <v>14</v>
      </c>
      <c r="E5302" s="7">
        <v>9.4600000000000009</v>
      </c>
      <c r="G5302" s="31"/>
    </row>
    <row r="5303" spans="1:7" x14ac:dyDescent="0.25">
      <c r="A5303" s="36">
        <v>45115</v>
      </c>
      <c r="B5303" s="34">
        <v>49.52</v>
      </c>
      <c r="C5303" s="6">
        <v>31.38</v>
      </c>
      <c r="D5303" s="6">
        <v>14.06</v>
      </c>
      <c r="E5303" s="7">
        <v>9.42</v>
      </c>
      <c r="G5303" s="31"/>
    </row>
    <row r="5304" spans="1:7" x14ac:dyDescent="0.25">
      <c r="A5304" s="36">
        <v>45116</v>
      </c>
      <c r="B5304" s="34">
        <v>49.54</v>
      </c>
      <c r="C5304" s="6">
        <v>31.44</v>
      </c>
      <c r="D5304" s="6">
        <v>14.13</v>
      </c>
      <c r="E5304" s="7">
        <v>9.64</v>
      </c>
      <c r="G5304" s="31"/>
    </row>
    <row r="5305" spans="1:7" x14ac:dyDescent="0.25">
      <c r="A5305" s="36">
        <v>45117</v>
      </c>
      <c r="B5305" s="34">
        <v>49.58</v>
      </c>
      <c r="C5305" s="6">
        <v>31.48</v>
      </c>
      <c r="D5305" s="6">
        <v>14.18</v>
      </c>
      <c r="E5305" s="7">
        <v>9.64</v>
      </c>
      <c r="G5305" s="31"/>
    </row>
    <row r="5306" spans="1:7" x14ac:dyDescent="0.25">
      <c r="A5306" s="36">
        <v>45118</v>
      </c>
      <c r="B5306" s="34">
        <v>49.68</v>
      </c>
      <c r="C5306" s="6">
        <v>31.53</v>
      </c>
      <c r="D5306" s="6">
        <v>14.22</v>
      </c>
      <c r="E5306" s="7">
        <v>9.67</v>
      </c>
      <c r="G5306" s="31"/>
    </row>
    <row r="5307" spans="1:7" x14ac:dyDescent="0.25">
      <c r="A5307" s="36">
        <v>45119</v>
      </c>
      <c r="B5307" s="34">
        <v>49.76</v>
      </c>
      <c r="C5307" s="6">
        <v>31.57</v>
      </c>
      <c r="D5307" s="6">
        <v>14.28</v>
      </c>
      <c r="E5307" s="7">
        <v>9.75</v>
      </c>
      <c r="G5307" s="31"/>
    </row>
    <row r="5308" spans="1:7" x14ac:dyDescent="0.25">
      <c r="A5308" s="36">
        <v>45120</v>
      </c>
      <c r="B5308" s="34">
        <v>49.86</v>
      </c>
      <c r="C5308" s="6">
        <v>31.6</v>
      </c>
      <c r="D5308" s="6">
        <v>14.34</v>
      </c>
      <c r="E5308" s="7">
        <v>9.73</v>
      </c>
      <c r="G5308" s="31"/>
    </row>
    <row r="5309" spans="1:7" x14ac:dyDescent="0.25">
      <c r="A5309" s="36">
        <v>45121</v>
      </c>
      <c r="B5309" s="34">
        <v>49.96</v>
      </c>
      <c r="C5309" s="6">
        <v>31.64</v>
      </c>
      <c r="D5309" s="6">
        <v>14.4</v>
      </c>
      <c r="E5309" s="6">
        <v>9.5500000000000007</v>
      </c>
      <c r="G5309" s="31"/>
    </row>
    <row r="5310" spans="1:7" x14ac:dyDescent="0.25">
      <c r="A5310" s="36">
        <v>45122</v>
      </c>
      <c r="B5310" s="34">
        <v>50.1</v>
      </c>
      <c r="C5310" s="6">
        <v>31.7</v>
      </c>
      <c r="D5310" s="6">
        <v>14.44</v>
      </c>
      <c r="E5310" s="6">
        <v>9.1999999999999993</v>
      </c>
      <c r="G5310" s="31"/>
    </row>
    <row r="5311" spans="1:7" x14ac:dyDescent="0.25">
      <c r="A5311" s="36">
        <v>45123</v>
      </c>
      <c r="B5311" s="34">
        <v>50.22</v>
      </c>
      <c r="C5311" s="6">
        <v>31.77</v>
      </c>
      <c r="D5311" s="6">
        <v>14.41</v>
      </c>
      <c r="E5311" s="6">
        <v>9.2100000000000009</v>
      </c>
      <c r="G5311" s="31"/>
    </row>
    <row r="5312" spans="1:7" x14ac:dyDescent="0.25">
      <c r="A5312" s="36">
        <v>45124</v>
      </c>
      <c r="B5312" s="34">
        <v>50.34</v>
      </c>
      <c r="C5312" s="6">
        <v>31.83</v>
      </c>
      <c r="D5312" s="6">
        <v>14.4</v>
      </c>
      <c r="E5312" s="6">
        <v>9.42</v>
      </c>
      <c r="G5312" s="31"/>
    </row>
    <row r="5313" spans="1:7" x14ac:dyDescent="0.25">
      <c r="A5313" s="36">
        <v>45125</v>
      </c>
      <c r="B5313" s="34">
        <v>50.44</v>
      </c>
      <c r="C5313" s="6">
        <v>31.9</v>
      </c>
      <c r="D5313" s="6">
        <v>14.46</v>
      </c>
      <c r="E5313" s="6">
        <v>9.44</v>
      </c>
      <c r="G5313" s="31"/>
    </row>
    <row r="5314" spans="1:7" x14ac:dyDescent="0.25">
      <c r="A5314" s="36">
        <v>45126</v>
      </c>
      <c r="B5314" s="34">
        <v>50.52</v>
      </c>
      <c r="C5314" s="6">
        <v>31.98</v>
      </c>
      <c r="D5314" s="6">
        <v>14.48</v>
      </c>
      <c r="E5314" s="6">
        <v>9.44</v>
      </c>
      <c r="G5314" s="31"/>
    </row>
    <row r="5315" spans="1:7" x14ac:dyDescent="0.25">
      <c r="A5315" s="36">
        <v>45127</v>
      </c>
      <c r="B5315" s="34">
        <v>50.58</v>
      </c>
      <c r="C5315" s="6">
        <v>32.04</v>
      </c>
      <c r="D5315" s="6">
        <v>14.52</v>
      </c>
      <c r="E5315" s="6">
        <v>9.4499999999999993</v>
      </c>
      <c r="G5315" s="31"/>
    </row>
    <row r="5316" spans="1:7" x14ac:dyDescent="0.25">
      <c r="A5316" s="36">
        <v>45128</v>
      </c>
      <c r="B5316" s="34">
        <v>50.54</v>
      </c>
      <c r="C5316" s="6">
        <v>32.1</v>
      </c>
      <c r="D5316" s="6">
        <v>14.55</v>
      </c>
      <c r="E5316" s="6">
        <v>9.4700000000000006</v>
      </c>
      <c r="G5316" s="31"/>
    </row>
    <row r="5317" spans="1:7" x14ac:dyDescent="0.25">
      <c r="A5317" s="36">
        <v>45129</v>
      </c>
      <c r="B5317" s="34">
        <v>50.58</v>
      </c>
      <c r="C5317" s="6">
        <v>32.159999999999997</v>
      </c>
      <c r="D5317" s="6">
        <v>14.58</v>
      </c>
      <c r="E5317" s="6">
        <v>9.44</v>
      </c>
      <c r="G5317" s="31"/>
    </row>
    <row r="5318" spans="1:7" x14ac:dyDescent="0.25">
      <c r="A5318" s="36">
        <v>45130</v>
      </c>
      <c r="B5318" s="34">
        <v>50.56</v>
      </c>
      <c r="C5318" s="6">
        <v>32.24</v>
      </c>
      <c r="D5318" s="6">
        <v>14.62</v>
      </c>
      <c r="E5318" s="6">
        <v>9.5</v>
      </c>
      <c r="G5318" s="31"/>
    </row>
    <row r="5319" spans="1:7" x14ac:dyDescent="0.25">
      <c r="A5319" s="36">
        <v>45131</v>
      </c>
      <c r="B5319" s="34">
        <v>50.6</v>
      </c>
      <c r="C5319" s="6">
        <v>32.32</v>
      </c>
      <c r="D5319" s="6">
        <v>14.67</v>
      </c>
      <c r="E5319" s="6">
        <v>9.52</v>
      </c>
      <c r="G5319" s="31"/>
    </row>
    <row r="5320" spans="1:7" x14ac:dyDescent="0.25">
      <c r="A5320" s="36">
        <v>45132</v>
      </c>
      <c r="B5320" s="34">
        <v>50.62</v>
      </c>
      <c r="C5320" s="6">
        <v>32.380000000000003</v>
      </c>
      <c r="D5320" s="6">
        <v>14.74</v>
      </c>
      <c r="E5320" s="6">
        <v>9.57</v>
      </c>
      <c r="G5320" s="31"/>
    </row>
    <row r="5321" spans="1:7" x14ac:dyDescent="0.25">
      <c r="A5321" s="36">
        <v>45133</v>
      </c>
      <c r="B5321" s="34">
        <v>50.64</v>
      </c>
      <c r="C5321" s="6">
        <v>32.450000000000003</v>
      </c>
      <c r="D5321" s="6">
        <v>14.81</v>
      </c>
      <c r="E5321" s="6">
        <v>9.68</v>
      </c>
      <c r="G5321" s="31"/>
    </row>
    <row r="5322" spans="1:7" x14ac:dyDescent="0.25">
      <c r="A5322" s="36">
        <v>45134</v>
      </c>
      <c r="B5322" s="34">
        <v>50.66</v>
      </c>
      <c r="C5322" s="6">
        <v>32.5</v>
      </c>
      <c r="D5322" s="6">
        <v>14.89</v>
      </c>
      <c r="E5322" s="6">
        <v>9.7100000000000009</v>
      </c>
      <c r="G5322" s="31"/>
    </row>
    <row r="5323" spans="1:7" x14ac:dyDescent="0.25">
      <c r="A5323" s="36">
        <v>45135</v>
      </c>
      <c r="B5323" s="34">
        <v>50.64</v>
      </c>
      <c r="C5323" s="6">
        <v>32.54</v>
      </c>
      <c r="D5323" s="6">
        <v>14.98</v>
      </c>
      <c r="E5323" s="6">
        <v>9.77</v>
      </c>
      <c r="G5323" s="31"/>
    </row>
    <row r="5324" spans="1:7" x14ac:dyDescent="0.25">
      <c r="A5324" s="36">
        <v>45136</v>
      </c>
      <c r="B5324" s="34">
        <v>50.64</v>
      </c>
      <c r="C5324" s="6">
        <v>32.58</v>
      </c>
      <c r="D5324" s="6">
        <v>15.04</v>
      </c>
      <c r="E5324" s="6">
        <v>9.83</v>
      </c>
      <c r="G5324" s="31"/>
    </row>
    <row r="5325" spans="1:7" x14ac:dyDescent="0.25">
      <c r="A5325" s="36">
        <v>45137</v>
      </c>
      <c r="B5325" s="34">
        <v>50.62</v>
      </c>
      <c r="C5325" s="6">
        <v>32.619999999999997</v>
      </c>
      <c r="D5325" s="6">
        <v>15.09</v>
      </c>
      <c r="E5325" s="6">
        <v>10.06</v>
      </c>
      <c r="G5325" s="31"/>
    </row>
    <row r="5326" spans="1:7" x14ac:dyDescent="0.25">
      <c r="A5326" s="36">
        <v>45138</v>
      </c>
      <c r="B5326" s="34">
        <v>50.68</v>
      </c>
      <c r="C5326" s="6">
        <v>32.65</v>
      </c>
      <c r="D5326" s="6">
        <v>15.14</v>
      </c>
      <c r="E5326" s="6">
        <v>10.17</v>
      </c>
      <c r="G5326" s="31"/>
    </row>
    <row r="5327" spans="1:7" x14ac:dyDescent="0.25">
      <c r="A5327" s="36">
        <v>45139</v>
      </c>
      <c r="B5327" s="34">
        <v>50.78</v>
      </c>
      <c r="C5327" s="6">
        <v>32.700000000000003</v>
      </c>
      <c r="D5327" s="6">
        <v>15.24</v>
      </c>
      <c r="E5327" s="6">
        <v>10.210000000000001</v>
      </c>
      <c r="G5327" s="31"/>
    </row>
    <row r="5328" spans="1:7" x14ac:dyDescent="0.25">
      <c r="A5328" s="36">
        <v>45140</v>
      </c>
      <c r="B5328" s="34">
        <v>50.9</v>
      </c>
      <c r="C5328" s="6">
        <v>32.74</v>
      </c>
      <c r="D5328" s="6">
        <v>15.35</v>
      </c>
      <c r="E5328" s="6">
        <v>10.26</v>
      </c>
      <c r="G5328" s="31"/>
    </row>
    <row r="5329" spans="1:7" x14ac:dyDescent="0.25">
      <c r="A5329" s="36">
        <v>45141</v>
      </c>
      <c r="B5329" s="34">
        <v>50.94</v>
      </c>
      <c r="C5329" s="6">
        <v>32.78</v>
      </c>
      <c r="D5329" s="6">
        <v>15.38</v>
      </c>
      <c r="E5329" s="6">
        <v>10.36</v>
      </c>
      <c r="G5329" s="31"/>
    </row>
    <row r="5330" spans="1:7" x14ac:dyDescent="0.25">
      <c r="A5330" s="36">
        <v>45142</v>
      </c>
      <c r="B5330" s="34">
        <v>50.96</v>
      </c>
      <c r="C5330" s="6">
        <v>32.82</v>
      </c>
      <c r="D5330" s="6">
        <v>15.44</v>
      </c>
      <c r="E5330" s="6">
        <v>10.38</v>
      </c>
      <c r="G5330" s="31"/>
    </row>
    <row r="5331" spans="1:7" x14ac:dyDescent="0.25">
      <c r="A5331" s="36">
        <v>45143</v>
      </c>
      <c r="B5331" s="34">
        <v>50.99</v>
      </c>
      <c r="C5331" s="6">
        <v>32.86</v>
      </c>
      <c r="D5331" s="6">
        <v>15.49</v>
      </c>
      <c r="E5331" s="6">
        <v>10.33</v>
      </c>
      <c r="G5331" s="31"/>
    </row>
    <row r="5332" spans="1:7" x14ac:dyDescent="0.25">
      <c r="A5332" s="36">
        <v>45144</v>
      </c>
      <c r="B5332" s="34">
        <v>50.96</v>
      </c>
      <c r="C5332" s="6">
        <v>32.93</v>
      </c>
      <c r="D5332" s="6">
        <v>15.56</v>
      </c>
      <c r="E5332" s="6">
        <v>10.36</v>
      </c>
      <c r="G5332" s="31"/>
    </row>
    <row r="5333" spans="1:7" x14ac:dyDescent="0.25">
      <c r="A5333" s="36">
        <v>45145</v>
      </c>
      <c r="B5333" s="34">
        <v>51</v>
      </c>
      <c r="C5333" s="6">
        <v>32.979999999999997</v>
      </c>
      <c r="D5333" s="6">
        <v>15.6</v>
      </c>
      <c r="E5333" s="6">
        <v>10.37</v>
      </c>
      <c r="G5333" s="31"/>
    </row>
    <row r="5334" spans="1:7" x14ac:dyDescent="0.25">
      <c r="A5334" s="36">
        <v>45146</v>
      </c>
      <c r="B5334" s="34">
        <v>51.03</v>
      </c>
      <c r="C5334" s="6">
        <v>33.04</v>
      </c>
      <c r="D5334" s="6">
        <v>15.67</v>
      </c>
      <c r="E5334" s="6">
        <v>10.1</v>
      </c>
      <c r="G5334" s="31"/>
    </row>
    <row r="5335" spans="1:7" x14ac:dyDescent="0.25">
      <c r="A5335" s="36">
        <v>45147</v>
      </c>
      <c r="B5335" s="34">
        <v>50.98</v>
      </c>
      <c r="C5335" s="6">
        <v>33.08</v>
      </c>
      <c r="D5335" s="6">
        <v>15.64</v>
      </c>
      <c r="E5335" s="6">
        <v>10.210000000000001</v>
      </c>
      <c r="G5335" s="31"/>
    </row>
    <row r="5336" spans="1:7" x14ac:dyDescent="0.25">
      <c r="A5336" s="36">
        <v>45148</v>
      </c>
      <c r="B5336" s="34">
        <v>50.94</v>
      </c>
      <c r="C5336" s="6">
        <v>33.119999999999997</v>
      </c>
      <c r="D5336" s="6">
        <v>15.65</v>
      </c>
      <c r="E5336" s="6">
        <v>10.19</v>
      </c>
      <c r="G5336" s="31"/>
    </row>
    <row r="5337" spans="1:7" x14ac:dyDescent="0.25">
      <c r="A5337" s="36">
        <v>45149</v>
      </c>
      <c r="B5337" s="34">
        <v>50.88</v>
      </c>
      <c r="C5337" s="6">
        <v>33.14</v>
      </c>
      <c r="D5337" s="6">
        <v>15.65</v>
      </c>
      <c r="E5337" s="6">
        <v>10.15</v>
      </c>
      <c r="G5337" s="31"/>
    </row>
    <row r="5338" spans="1:7" x14ac:dyDescent="0.25">
      <c r="A5338" s="36">
        <v>45150</v>
      </c>
      <c r="B5338" s="34">
        <v>50.8</v>
      </c>
      <c r="C5338" s="6">
        <v>33.159999999999997</v>
      </c>
      <c r="D5338" s="6">
        <v>15.67</v>
      </c>
      <c r="E5338" s="6">
        <v>10.15</v>
      </c>
      <c r="G5338" s="31"/>
    </row>
    <row r="5339" spans="1:7" x14ac:dyDescent="0.25">
      <c r="A5339" s="36">
        <v>45151</v>
      </c>
      <c r="B5339" s="34">
        <v>50.8</v>
      </c>
      <c r="C5339" s="6">
        <v>33.17</v>
      </c>
      <c r="D5339" s="6">
        <v>15.66</v>
      </c>
      <c r="E5339" s="6">
        <v>10.08</v>
      </c>
      <c r="G5339" s="31"/>
    </row>
    <row r="5340" spans="1:7" x14ac:dyDescent="0.25">
      <c r="A5340" s="36">
        <v>45152</v>
      </c>
      <c r="B5340" s="34">
        <v>50.7</v>
      </c>
      <c r="C5340" s="6">
        <v>33.19</v>
      </c>
      <c r="D5340" s="6">
        <v>15.64</v>
      </c>
      <c r="E5340" s="6">
        <v>9.9499999999999993</v>
      </c>
      <c r="G5340" s="31"/>
    </row>
    <row r="5341" spans="1:7" x14ac:dyDescent="0.25">
      <c r="A5341" s="36">
        <v>45153</v>
      </c>
      <c r="B5341" s="34">
        <v>50.68</v>
      </c>
      <c r="C5341" s="6">
        <v>33.19</v>
      </c>
      <c r="D5341" s="6">
        <v>15.62</v>
      </c>
      <c r="E5341" s="6">
        <v>9.9</v>
      </c>
      <c r="G5341" s="31"/>
    </row>
    <row r="5342" spans="1:7" x14ac:dyDescent="0.25">
      <c r="A5342" s="36">
        <v>45154</v>
      </c>
      <c r="B5342" s="34">
        <v>50.68</v>
      </c>
      <c r="C5342" s="6">
        <v>33.200000000000003</v>
      </c>
      <c r="D5342" s="6">
        <v>15.6</v>
      </c>
      <c r="E5342" s="6">
        <v>9.8699999999999992</v>
      </c>
      <c r="G5342" s="31"/>
    </row>
    <row r="5343" spans="1:7" x14ac:dyDescent="0.25">
      <c r="A5343" s="36">
        <v>45155</v>
      </c>
      <c r="B5343" s="34">
        <v>50.7</v>
      </c>
      <c r="C5343" s="6">
        <v>33.21</v>
      </c>
      <c r="D5343" s="6">
        <v>15.56</v>
      </c>
      <c r="E5343" s="6">
        <v>9.86</v>
      </c>
      <c r="G5343" s="31"/>
    </row>
    <row r="5344" spans="1:7" x14ac:dyDescent="0.25">
      <c r="A5344" s="36">
        <v>45156</v>
      </c>
      <c r="B5344" s="34">
        <v>50.6</v>
      </c>
      <c r="C5344" s="6">
        <v>33.200000000000003</v>
      </c>
      <c r="D5344" s="6">
        <v>15.55</v>
      </c>
      <c r="E5344" s="6">
        <v>9.82</v>
      </c>
      <c r="G5344" s="31"/>
    </row>
    <row r="5345" spans="1:7" x14ac:dyDescent="0.25">
      <c r="A5345" s="36">
        <v>45157</v>
      </c>
      <c r="B5345" s="34">
        <v>50.58</v>
      </c>
      <c r="C5345" s="6">
        <v>33.200000000000003</v>
      </c>
      <c r="D5345" s="6">
        <v>15.5</v>
      </c>
      <c r="E5345" s="6">
        <v>9.7799999999999994</v>
      </c>
      <c r="G5345" s="31"/>
    </row>
    <row r="5346" spans="1:7" x14ac:dyDescent="0.25">
      <c r="A5346" s="36">
        <v>45158</v>
      </c>
      <c r="B5346" s="34">
        <v>50.52</v>
      </c>
      <c r="C5346" s="6">
        <v>33.21</v>
      </c>
      <c r="D5346" s="6">
        <v>15.51</v>
      </c>
      <c r="E5346" s="6">
        <v>9.83</v>
      </c>
      <c r="G5346" s="31"/>
    </row>
    <row r="5347" spans="1:7" x14ac:dyDescent="0.25">
      <c r="A5347" s="36">
        <v>45159</v>
      </c>
      <c r="B5347" s="34">
        <v>50.44</v>
      </c>
      <c r="C5347" s="6">
        <v>33.200000000000003</v>
      </c>
      <c r="D5347" s="6">
        <v>15.51</v>
      </c>
      <c r="E5347" s="6">
        <v>9.85</v>
      </c>
      <c r="G5347" s="31"/>
    </row>
    <row r="5348" spans="1:7" x14ac:dyDescent="0.25">
      <c r="A5348" s="36">
        <v>45160</v>
      </c>
      <c r="B5348" s="34">
        <v>50.36</v>
      </c>
      <c r="C5348" s="6">
        <v>33.200000000000003</v>
      </c>
      <c r="D5348" s="6">
        <v>15.54</v>
      </c>
      <c r="E5348" s="6">
        <v>9.81</v>
      </c>
      <c r="G5348" s="31"/>
    </row>
    <row r="5349" spans="1:7" x14ac:dyDescent="0.25">
      <c r="A5349" s="36">
        <v>45161</v>
      </c>
      <c r="B5349" s="34">
        <v>50.26</v>
      </c>
      <c r="C5349" s="6">
        <v>33.200000000000003</v>
      </c>
      <c r="D5349" s="6">
        <v>15.53</v>
      </c>
      <c r="E5349" s="6">
        <v>9.8000000000000007</v>
      </c>
      <c r="G5349" s="31"/>
    </row>
    <row r="5350" spans="1:7" x14ac:dyDescent="0.25">
      <c r="A5350" s="36">
        <v>45162</v>
      </c>
      <c r="B5350" s="34">
        <v>50.22</v>
      </c>
      <c r="C5350" s="6">
        <v>33.21</v>
      </c>
      <c r="D5350" s="6">
        <v>15.51</v>
      </c>
      <c r="E5350" s="6">
        <v>9.75</v>
      </c>
      <c r="G5350" s="31"/>
    </row>
    <row r="5351" spans="1:7" x14ac:dyDescent="0.25">
      <c r="A5351" s="36">
        <v>45163</v>
      </c>
      <c r="B5351" s="34">
        <v>50.12</v>
      </c>
      <c r="C5351" s="6">
        <v>33.18</v>
      </c>
      <c r="D5351" s="6">
        <v>15.5</v>
      </c>
      <c r="E5351" s="6">
        <v>9.75</v>
      </c>
      <c r="G5351" s="31"/>
    </row>
    <row r="5352" spans="1:7" x14ac:dyDescent="0.25">
      <c r="A5352" s="36">
        <v>45164</v>
      </c>
      <c r="B5352" s="34">
        <v>50</v>
      </c>
      <c r="C5352" s="6">
        <v>33.159999999999997</v>
      </c>
      <c r="D5352" s="6">
        <v>15.46</v>
      </c>
      <c r="E5352" s="6">
        <v>9.76</v>
      </c>
      <c r="G5352" s="31"/>
    </row>
    <row r="5353" spans="1:7" x14ac:dyDescent="0.25">
      <c r="A5353" s="36">
        <v>45165</v>
      </c>
      <c r="B5353" s="34">
        <v>49.9</v>
      </c>
      <c r="C5353" s="6">
        <v>33.119999999999997</v>
      </c>
      <c r="D5353" s="6">
        <v>15.44</v>
      </c>
      <c r="E5353" s="6">
        <v>9.74</v>
      </c>
      <c r="G5353" s="31"/>
    </row>
    <row r="5354" spans="1:7" x14ac:dyDescent="0.25">
      <c r="A5354" s="36">
        <v>45166</v>
      </c>
      <c r="B5354" s="34">
        <v>49.78</v>
      </c>
      <c r="C5354" s="6">
        <v>33.08</v>
      </c>
      <c r="D5354" s="6">
        <v>15.4</v>
      </c>
      <c r="E5354" s="6">
        <v>9.7200000000000006</v>
      </c>
      <c r="G5354" s="31"/>
    </row>
    <row r="5355" spans="1:7" x14ac:dyDescent="0.25">
      <c r="A5355" s="36">
        <v>45167</v>
      </c>
      <c r="B5355" s="34">
        <v>49.68</v>
      </c>
      <c r="C5355" s="6">
        <v>33.04</v>
      </c>
      <c r="D5355" s="6">
        <v>15.37</v>
      </c>
      <c r="E5355" s="6">
        <v>9.68</v>
      </c>
      <c r="G5355" s="31"/>
    </row>
    <row r="5356" spans="1:7" x14ac:dyDescent="0.25">
      <c r="A5356" s="36">
        <v>45168</v>
      </c>
      <c r="B5356" s="34">
        <v>49.58</v>
      </c>
      <c r="C5356" s="6">
        <v>32.97</v>
      </c>
      <c r="D5356" s="6">
        <v>15.3</v>
      </c>
      <c r="E5356" s="6">
        <v>9.64</v>
      </c>
      <c r="G5356" s="31"/>
    </row>
    <row r="5357" spans="1:7" x14ac:dyDescent="0.25">
      <c r="A5357" s="36">
        <v>45169</v>
      </c>
      <c r="B5357" s="34">
        <v>49.46</v>
      </c>
      <c r="C5357" s="6">
        <v>32.9</v>
      </c>
      <c r="D5357" s="6">
        <v>15.25</v>
      </c>
      <c r="E5357" s="6">
        <v>9.58</v>
      </c>
      <c r="G5357" s="31"/>
    </row>
    <row r="5358" spans="1:7" x14ac:dyDescent="0.25">
      <c r="A5358" s="36">
        <v>45170</v>
      </c>
      <c r="B5358" s="34">
        <v>49.34</v>
      </c>
      <c r="C5358" s="6">
        <v>32.82</v>
      </c>
      <c r="D5358" s="6">
        <v>15.19</v>
      </c>
      <c r="E5358" s="6">
        <v>9.5</v>
      </c>
      <c r="G5358" s="31"/>
    </row>
    <row r="5359" spans="1:7" x14ac:dyDescent="0.25">
      <c r="A5359" s="36">
        <v>45171</v>
      </c>
      <c r="B5359" s="34">
        <v>49.18</v>
      </c>
      <c r="C5359" s="6">
        <v>32.75</v>
      </c>
      <c r="D5359" s="6">
        <v>15.19</v>
      </c>
      <c r="E5359" s="6">
        <v>9.49</v>
      </c>
      <c r="G5359" s="31"/>
    </row>
    <row r="5360" spans="1:7" x14ac:dyDescent="0.25">
      <c r="A5360" s="36">
        <v>45172</v>
      </c>
      <c r="B5360" s="34">
        <v>49.02</v>
      </c>
      <c r="C5360" s="6">
        <v>32.67</v>
      </c>
      <c r="D5360" s="6">
        <v>15.04</v>
      </c>
      <c r="E5360" s="6">
        <v>9.4</v>
      </c>
      <c r="G5360" s="31"/>
    </row>
    <row r="5361" spans="1:7" x14ac:dyDescent="0.25">
      <c r="A5361" s="36">
        <v>45173</v>
      </c>
      <c r="B5361" s="34">
        <v>48.87</v>
      </c>
      <c r="C5361" s="6">
        <v>32.57</v>
      </c>
      <c r="D5361" s="6">
        <v>14.96</v>
      </c>
      <c r="E5361" s="6">
        <v>9.34</v>
      </c>
      <c r="G5361" s="31"/>
    </row>
    <row r="5362" spans="1:7" x14ac:dyDescent="0.25">
      <c r="A5362" s="36">
        <v>45174</v>
      </c>
      <c r="B5362" s="34">
        <v>48.72</v>
      </c>
      <c r="C5362" s="6">
        <v>32.46</v>
      </c>
      <c r="D5362" s="6">
        <v>14.77</v>
      </c>
      <c r="E5362" s="6">
        <v>9.34</v>
      </c>
      <c r="G5362" s="31"/>
    </row>
    <row r="5363" spans="1:7" x14ac:dyDescent="0.25">
      <c r="A5363" s="36">
        <v>45175</v>
      </c>
      <c r="B5363" s="34">
        <v>48.56</v>
      </c>
      <c r="C5363" s="6">
        <v>32.35</v>
      </c>
      <c r="D5363" s="6">
        <v>14.88</v>
      </c>
      <c r="E5363" s="6">
        <v>9.23</v>
      </c>
      <c r="G5363" s="31"/>
    </row>
    <row r="5364" spans="1:7" x14ac:dyDescent="0.25">
      <c r="A5364" s="36">
        <v>45176</v>
      </c>
      <c r="B5364" s="34">
        <v>48.38</v>
      </c>
      <c r="C5364" s="6">
        <v>32.229999999999997</v>
      </c>
      <c r="D5364" s="6">
        <v>14.69</v>
      </c>
      <c r="E5364" s="6">
        <v>9.15</v>
      </c>
      <c r="G5364" s="31"/>
    </row>
    <row r="5365" spans="1:7" x14ac:dyDescent="0.25">
      <c r="A5365" s="36">
        <v>45177</v>
      </c>
      <c r="B5365" s="34">
        <v>48.2</v>
      </c>
      <c r="C5365" s="6">
        <v>32.1</v>
      </c>
      <c r="D5365" s="6">
        <v>14.6</v>
      </c>
      <c r="E5365" s="6">
        <v>9.06</v>
      </c>
      <c r="G5365" s="31"/>
    </row>
    <row r="5366" spans="1:7" x14ac:dyDescent="0.25">
      <c r="A5366" s="36">
        <v>45178</v>
      </c>
      <c r="B5366" s="34">
        <v>48.02</v>
      </c>
      <c r="C5366" s="6">
        <v>31.95</v>
      </c>
      <c r="D5366" s="6">
        <v>14.48</v>
      </c>
      <c r="E5366" s="6">
        <v>8.86</v>
      </c>
      <c r="G5366" s="31"/>
    </row>
    <row r="5367" spans="1:7" x14ac:dyDescent="0.25">
      <c r="A5367" s="36">
        <v>45179</v>
      </c>
      <c r="B5367" s="34">
        <v>47.84</v>
      </c>
      <c r="C5367" s="6">
        <v>31.8</v>
      </c>
      <c r="D5367" s="6">
        <v>14.35</v>
      </c>
      <c r="E5367" s="6">
        <v>8.83</v>
      </c>
      <c r="G5367" s="31"/>
    </row>
    <row r="5368" spans="1:7" x14ac:dyDescent="0.25">
      <c r="A5368" s="36">
        <v>45180</v>
      </c>
      <c r="B5368" s="34">
        <v>47.7</v>
      </c>
      <c r="C5368" s="6">
        <v>31.66</v>
      </c>
      <c r="D5368" s="6">
        <v>14.23</v>
      </c>
      <c r="E5368" s="6">
        <v>8.75</v>
      </c>
      <c r="G5368" s="31"/>
    </row>
    <row r="5369" spans="1:7" x14ac:dyDescent="0.25">
      <c r="A5369" s="36">
        <v>45181</v>
      </c>
      <c r="B5369" s="34">
        <v>47.5</v>
      </c>
      <c r="C5369" s="6">
        <v>31.51</v>
      </c>
      <c r="D5369" s="6">
        <v>14.09</v>
      </c>
      <c r="E5369" s="6">
        <v>8.64</v>
      </c>
      <c r="G5369" s="31"/>
    </row>
    <row r="5370" spans="1:7" x14ac:dyDescent="0.25">
      <c r="A5370" s="36">
        <v>45182</v>
      </c>
      <c r="B5370" s="34">
        <v>47.28</v>
      </c>
      <c r="C5370" s="6">
        <v>31.36</v>
      </c>
      <c r="D5370" s="6">
        <v>13.95</v>
      </c>
      <c r="E5370" s="6">
        <v>8.5</v>
      </c>
      <c r="G5370" s="31"/>
    </row>
    <row r="5371" spans="1:7" x14ac:dyDescent="0.25">
      <c r="A5371" s="36">
        <v>45183</v>
      </c>
      <c r="B5371" s="34">
        <v>47.05</v>
      </c>
      <c r="C5371" s="6">
        <v>31.2</v>
      </c>
      <c r="D5371" s="6">
        <v>13.95</v>
      </c>
      <c r="E5371" s="6">
        <v>8.43</v>
      </c>
      <c r="G5371" s="31"/>
    </row>
    <row r="5372" spans="1:7" x14ac:dyDescent="0.25">
      <c r="A5372" s="36">
        <v>45184</v>
      </c>
      <c r="B5372" s="34">
        <v>46.82</v>
      </c>
      <c r="C5372" s="6">
        <v>31.04</v>
      </c>
      <c r="D5372" s="6">
        <v>13.67</v>
      </c>
      <c r="E5372" s="6">
        <v>8.3699999999999992</v>
      </c>
      <c r="G5372" s="31"/>
    </row>
    <row r="5373" spans="1:7" x14ac:dyDescent="0.25">
      <c r="A5373" s="36">
        <v>45185</v>
      </c>
      <c r="B5373" s="34">
        <v>46.6</v>
      </c>
      <c r="C5373" s="6">
        <v>30.88</v>
      </c>
      <c r="D5373" s="6">
        <v>13.51</v>
      </c>
      <c r="E5373" s="6">
        <v>8.32</v>
      </c>
      <c r="G5373" s="31"/>
    </row>
    <row r="5374" spans="1:7" x14ac:dyDescent="0.25">
      <c r="A5374" s="36">
        <v>45186</v>
      </c>
      <c r="B5374" s="34">
        <v>46.44</v>
      </c>
      <c r="C5374" s="6">
        <v>30.7</v>
      </c>
      <c r="D5374" s="6">
        <v>13.36</v>
      </c>
      <c r="E5374" s="6">
        <v>8.0399999999999991</v>
      </c>
      <c r="G5374" s="31"/>
    </row>
    <row r="5375" spans="1:7" x14ac:dyDescent="0.25">
      <c r="A5375" s="36">
        <v>45187</v>
      </c>
      <c r="B5375" s="34">
        <v>46.29</v>
      </c>
      <c r="C5375" s="6">
        <v>30.56</v>
      </c>
      <c r="D5375" s="6">
        <v>13.18</v>
      </c>
      <c r="E5375" s="6">
        <v>7.89</v>
      </c>
      <c r="G5375" s="31"/>
    </row>
    <row r="5376" spans="1:7" x14ac:dyDescent="0.25">
      <c r="A5376" s="36">
        <v>45188</v>
      </c>
      <c r="B5376" s="34">
        <v>46.14</v>
      </c>
      <c r="C5376" s="6">
        <v>30.41</v>
      </c>
      <c r="D5376" s="6">
        <v>13.01</v>
      </c>
      <c r="E5376" s="6">
        <v>7.76</v>
      </c>
      <c r="G5376" s="31"/>
    </row>
    <row r="5377" spans="1:7" x14ac:dyDescent="0.25">
      <c r="A5377" s="36">
        <v>45189</v>
      </c>
      <c r="B5377" s="34">
        <v>46.02</v>
      </c>
      <c r="C5377" s="6">
        <v>30.26</v>
      </c>
      <c r="D5377" s="6">
        <v>12.83</v>
      </c>
      <c r="E5377" s="6">
        <v>7.61</v>
      </c>
      <c r="G5377" s="31"/>
    </row>
    <row r="5378" spans="1:7" x14ac:dyDescent="0.25">
      <c r="A5378" s="36">
        <v>45190</v>
      </c>
      <c r="B5378" s="34">
        <v>45.9</v>
      </c>
      <c r="C5378" s="6">
        <v>30.1</v>
      </c>
      <c r="D5378" s="6">
        <v>12.66</v>
      </c>
      <c r="E5378" s="6">
        <v>7.45</v>
      </c>
      <c r="G5378" s="31"/>
    </row>
    <row r="5379" spans="1:7" x14ac:dyDescent="0.25">
      <c r="A5379" s="36">
        <v>45191</v>
      </c>
      <c r="B5379" s="34">
        <v>45.8</v>
      </c>
      <c r="C5379" s="6">
        <v>29.94</v>
      </c>
      <c r="D5379" s="6">
        <v>12.52</v>
      </c>
      <c r="E5379" s="6">
        <v>7.38</v>
      </c>
      <c r="G5379" s="31"/>
    </row>
    <row r="5380" spans="1:7" x14ac:dyDescent="0.25">
      <c r="A5380" s="36">
        <v>45192</v>
      </c>
      <c r="B5380" s="34">
        <v>45.7</v>
      </c>
      <c r="C5380" s="6">
        <v>29.78</v>
      </c>
      <c r="D5380" s="6">
        <v>12.37</v>
      </c>
      <c r="E5380" s="6">
        <v>7.23</v>
      </c>
      <c r="G5380" s="31"/>
    </row>
    <row r="5381" spans="1:7" x14ac:dyDescent="0.25">
      <c r="A5381" s="36">
        <v>45193</v>
      </c>
      <c r="B5381" s="34">
        <v>45.6</v>
      </c>
      <c r="C5381" s="6">
        <v>29.6</v>
      </c>
      <c r="D5381" s="6">
        <v>12.18</v>
      </c>
      <c r="E5381" s="6">
        <v>7.07</v>
      </c>
      <c r="G5381" s="31"/>
    </row>
    <row r="5382" spans="1:7" x14ac:dyDescent="0.25">
      <c r="A5382" s="36">
        <v>45194</v>
      </c>
      <c r="B5382" s="34">
        <v>45.5</v>
      </c>
      <c r="C5382" s="6">
        <v>29.46</v>
      </c>
      <c r="D5382" s="6">
        <v>12</v>
      </c>
      <c r="E5382" s="6">
        <v>6.88</v>
      </c>
      <c r="G5382" s="31"/>
    </row>
    <row r="5383" spans="1:7" x14ac:dyDescent="0.25">
      <c r="A5383" s="36">
        <v>45195</v>
      </c>
      <c r="B5383" s="34">
        <v>45.48</v>
      </c>
      <c r="C5383" s="6">
        <v>29.33</v>
      </c>
      <c r="D5383" s="6">
        <v>11.82</v>
      </c>
      <c r="E5383" s="6">
        <v>6.85</v>
      </c>
      <c r="G5383" s="31"/>
    </row>
    <row r="5384" spans="1:7" x14ac:dyDescent="0.25">
      <c r="A5384" s="36">
        <v>45196</v>
      </c>
      <c r="B5384" s="34">
        <v>45.4</v>
      </c>
      <c r="C5384" s="6">
        <v>29.2</v>
      </c>
      <c r="D5384" s="6">
        <v>11.73</v>
      </c>
      <c r="E5384" s="6">
        <v>6.72</v>
      </c>
      <c r="G5384" s="31"/>
    </row>
    <row r="5385" spans="1:7" x14ac:dyDescent="0.25">
      <c r="A5385" s="36">
        <v>45197</v>
      </c>
      <c r="B5385" s="34">
        <v>45.35</v>
      </c>
      <c r="C5385" s="6">
        <v>29.08</v>
      </c>
      <c r="D5385" s="6">
        <v>11.61</v>
      </c>
      <c r="E5385" s="6">
        <v>6.69</v>
      </c>
      <c r="G5385" s="31"/>
    </row>
    <row r="5386" spans="1:7" x14ac:dyDescent="0.25">
      <c r="A5386" s="36">
        <v>45198</v>
      </c>
      <c r="B5386" s="34">
        <v>45.28</v>
      </c>
      <c r="C5386" s="6">
        <v>28.98</v>
      </c>
      <c r="D5386" s="6">
        <v>11.49</v>
      </c>
      <c r="E5386" s="6">
        <v>6.58</v>
      </c>
      <c r="G5386" s="31"/>
    </row>
    <row r="5387" spans="1:7" x14ac:dyDescent="0.25">
      <c r="A5387" s="36">
        <v>45199</v>
      </c>
      <c r="B5387" s="34">
        <v>45.26</v>
      </c>
      <c r="C5387" s="6">
        <v>28.83</v>
      </c>
      <c r="D5387" s="6">
        <v>11.33</v>
      </c>
      <c r="E5387" s="6">
        <v>6.43</v>
      </c>
      <c r="G5387" s="31"/>
    </row>
    <row r="5388" spans="1:7" x14ac:dyDescent="0.25">
      <c r="A5388" s="36">
        <v>45200</v>
      </c>
      <c r="B5388" s="34">
        <v>45.27</v>
      </c>
      <c r="C5388" s="6">
        <v>28.8</v>
      </c>
      <c r="D5388" s="6">
        <v>11.15</v>
      </c>
      <c r="E5388" s="6">
        <v>6.26</v>
      </c>
      <c r="G5388" s="31"/>
    </row>
    <row r="5389" spans="1:7" x14ac:dyDescent="0.25">
      <c r="A5389" s="36">
        <v>45201</v>
      </c>
      <c r="B5389" s="34">
        <v>45.24</v>
      </c>
      <c r="C5389" s="6">
        <v>28.68</v>
      </c>
      <c r="D5389" s="6">
        <v>10.94</v>
      </c>
      <c r="E5389" s="6">
        <v>6.09</v>
      </c>
      <c r="G5389" s="31"/>
    </row>
    <row r="5390" spans="1:7" x14ac:dyDescent="0.25">
      <c r="A5390" s="36">
        <v>45202</v>
      </c>
      <c r="B5390" s="34">
        <v>45.18</v>
      </c>
      <c r="C5390" s="6">
        <v>28.58</v>
      </c>
      <c r="D5390" s="6">
        <v>10.75</v>
      </c>
      <c r="E5390" s="6">
        <v>5.98</v>
      </c>
      <c r="G5390" s="31"/>
    </row>
    <row r="5391" spans="1:7" x14ac:dyDescent="0.25">
      <c r="A5391" s="36">
        <v>45203</v>
      </c>
      <c r="B5391" s="34">
        <v>45.09</v>
      </c>
      <c r="C5391" s="6">
        <v>28.48</v>
      </c>
      <c r="D5391" s="6">
        <v>10.56</v>
      </c>
      <c r="E5391" s="6">
        <v>5.84</v>
      </c>
      <c r="G5391" s="31"/>
    </row>
    <row r="5392" spans="1:7" x14ac:dyDescent="0.25">
      <c r="A5392" s="36">
        <v>45204</v>
      </c>
      <c r="B5392" s="34">
        <v>44.99</v>
      </c>
      <c r="C5392" s="6">
        <v>28.28</v>
      </c>
      <c r="D5392" s="6">
        <v>10.4</v>
      </c>
      <c r="E5392" s="6">
        <v>5.7</v>
      </c>
      <c r="G5392" s="31"/>
    </row>
    <row r="5393" spans="1:7" x14ac:dyDescent="0.25">
      <c r="A5393" s="36">
        <v>45205</v>
      </c>
      <c r="B5393" s="34">
        <v>44.89</v>
      </c>
      <c r="C5393" s="6">
        <v>28.18</v>
      </c>
      <c r="D5393" s="6">
        <v>10.27</v>
      </c>
      <c r="E5393" s="6">
        <v>5.61</v>
      </c>
      <c r="G5393" s="31"/>
    </row>
    <row r="5394" spans="1:7" x14ac:dyDescent="0.25">
      <c r="A5394" s="36">
        <v>45206</v>
      </c>
      <c r="B5394" s="34">
        <v>44.79</v>
      </c>
      <c r="C5394" s="6">
        <v>28.08</v>
      </c>
      <c r="D5394" s="6">
        <v>10.15</v>
      </c>
      <c r="E5394" s="6">
        <v>5.38</v>
      </c>
      <c r="G5394" s="31"/>
    </row>
    <row r="5395" spans="1:7" x14ac:dyDescent="0.25">
      <c r="A5395" s="36">
        <v>45207</v>
      </c>
      <c r="B5395" s="34">
        <v>44.68</v>
      </c>
      <c r="C5395" s="6">
        <v>27.94</v>
      </c>
      <c r="D5395" s="6">
        <v>10</v>
      </c>
      <c r="E5395" s="6">
        <v>5.35</v>
      </c>
      <c r="G5395" s="31"/>
    </row>
    <row r="5396" spans="1:7" x14ac:dyDescent="0.25">
      <c r="A5396" s="36">
        <v>45208</v>
      </c>
      <c r="B5396" s="34">
        <v>44.58</v>
      </c>
      <c r="C5396" s="6">
        <v>27.83</v>
      </c>
      <c r="D5396" s="6">
        <v>9.86</v>
      </c>
      <c r="E5396" s="6">
        <v>5.25</v>
      </c>
      <c r="G5396" s="31"/>
    </row>
    <row r="5397" spans="1:7" x14ac:dyDescent="0.25">
      <c r="A5397" s="36">
        <v>45209</v>
      </c>
      <c r="B5397" s="34">
        <v>44.44</v>
      </c>
      <c r="C5397" s="6">
        <v>27.71</v>
      </c>
      <c r="D5397" s="6">
        <v>9.7799999999999994</v>
      </c>
      <c r="E5397" s="6">
        <v>5.18</v>
      </c>
      <c r="G5397" s="31"/>
    </row>
    <row r="5398" spans="1:7" x14ac:dyDescent="0.25">
      <c r="A5398" s="36">
        <v>45210</v>
      </c>
      <c r="B5398" s="34">
        <v>44.31</v>
      </c>
      <c r="C5398" s="6">
        <v>27.55</v>
      </c>
      <c r="D5398" s="6">
        <v>9.68</v>
      </c>
      <c r="E5398" s="6">
        <v>5.1100000000000003</v>
      </c>
      <c r="G5398" s="31"/>
    </row>
    <row r="5399" spans="1:7" x14ac:dyDescent="0.25">
      <c r="A5399" s="36">
        <v>45211</v>
      </c>
      <c r="B5399" s="34">
        <v>44.18</v>
      </c>
      <c r="C5399" s="6">
        <v>27.4</v>
      </c>
      <c r="D5399" s="6">
        <v>9.56</v>
      </c>
      <c r="E5399" s="6">
        <v>5.0599999999999996</v>
      </c>
      <c r="G5399" s="31"/>
    </row>
    <row r="5400" spans="1:7" x14ac:dyDescent="0.25">
      <c r="A5400" s="36">
        <v>45212</v>
      </c>
      <c r="B5400" s="34">
        <v>44.03</v>
      </c>
      <c r="C5400" s="6">
        <v>27.25</v>
      </c>
      <c r="D5400" s="6">
        <v>9.39</v>
      </c>
      <c r="E5400" s="6">
        <v>4.9400000000000004</v>
      </c>
      <c r="G5400" s="31"/>
    </row>
    <row r="5401" spans="1:7" x14ac:dyDescent="0.25">
      <c r="A5401" s="36">
        <v>45213</v>
      </c>
      <c r="B5401" s="34">
        <v>43.9</v>
      </c>
      <c r="C5401" s="6">
        <v>27.12</v>
      </c>
      <c r="D5401" s="6">
        <v>9.2200000000000006</v>
      </c>
      <c r="E5401" s="6">
        <v>4.88</v>
      </c>
      <c r="G5401" s="31"/>
    </row>
    <row r="5402" spans="1:7" x14ac:dyDescent="0.25">
      <c r="A5402" s="36">
        <v>45214</v>
      </c>
      <c r="B5402" s="34">
        <v>43.78</v>
      </c>
      <c r="C5402" s="6">
        <v>26.95</v>
      </c>
      <c r="D5402" s="6">
        <v>9.0399999999999991</v>
      </c>
      <c r="E5402" s="6">
        <v>4.76</v>
      </c>
      <c r="G5402" s="31"/>
    </row>
    <row r="5403" spans="1:7" x14ac:dyDescent="0.25">
      <c r="A5403" s="36">
        <v>45215</v>
      </c>
      <c r="B5403" s="34">
        <v>43.7</v>
      </c>
      <c r="C5403" s="6">
        <v>26.8</v>
      </c>
      <c r="D5403" s="6">
        <v>8.92</v>
      </c>
      <c r="E5403" s="6">
        <v>4.55</v>
      </c>
      <c r="G5403" s="31"/>
    </row>
    <row r="5404" spans="1:7" x14ac:dyDescent="0.25">
      <c r="A5404" s="36">
        <v>45216</v>
      </c>
      <c r="B5404" s="34">
        <v>43.64</v>
      </c>
      <c r="C5404" s="6">
        <v>26.66</v>
      </c>
      <c r="D5404" s="6">
        <v>8.76</v>
      </c>
      <c r="E5404" s="6">
        <v>4.43</v>
      </c>
      <c r="G5404" s="31"/>
    </row>
    <row r="5405" spans="1:7" x14ac:dyDescent="0.25">
      <c r="A5405" s="36">
        <v>45217</v>
      </c>
      <c r="B5405" s="34">
        <v>43.59</v>
      </c>
      <c r="C5405" s="6">
        <v>26.58</v>
      </c>
      <c r="D5405" s="6">
        <v>8.58</v>
      </c>
      <c r="E5405" s="6">
        <v>4.33</v>
      </c>
      <c r="G5405" s="31"/>
    </row>
    <row r="5406" spans="1:7" x14ac:dyDescent="0.25">
      <c r="A5406" s="36">
        <v>45218</v>
      </c>
      <c r="B5406" s="34">
        <v>43.59</v>
      </c>
      <c r="C5406" s="6">
        <v>26.54</v>
      </c>
      <c r="D5406" s="6">
        <v>8.43</v>
      </c>
      <c r="E5406" s="6">
        <v>4.2300000000000004</v>
      </c>
      <c r="G5406" s="31"/>
    </row>
    <row r="5407" spans="1:7" x14ac:dyDescent="0.25">
      <c r="A5407" s="36">
        <v>45219</v>
      </c>
      <c r="B5407" s="34">
        <v>43.59</v>
      </c>
      <c r="C5407" s="6">
        <v>26.47</v>
      </c>
      <c r="D5407" s="6">
        <v>8.35</v>
      </c>
      <c r="E5407" s="6">
        <v>4.1500000000000004</v>
      </c>
      <c r="G5407" s="31"/>
    </row>
    <row r="5408" spans="1:7" x14ac:dyDescent="0.25">
      <c r="A5408" s="36">
        <v>45220</v>
      </c>
      <c r="B5408" s="34">
        <v>43.64</v>
      </c>
      <c r="C5408" s="6">
        <v>26.42</v>
      </c>
      <c r="D5408" s="6">
        <v>8.27</v>
      </c>
      <c r="E5408" s="6">
        <v>4.09</v>
      </c>
      <c r="G5408" s="31"/>
    </row>
    <row r="5409" spans="1:7" x14ac:dyDescent="0.25">
      <c r="A5409" s="36">
        <v>45221</v>
      </c>
      <c r="B5409" s="34">
        <v>43.64</v>
      </c>
      <c r="C5409" s="6">
        <v>26.38</v>
      </c>
      <c r="D5409" s="6">
        <v>8.1999999999999993</v>
      </c>
      <c r="E5409" s="6">
        <v>3.98</v>
      </c>
      <c r="G5409" s="31"/>
    </row>
    <row r="5410" spans="1:7" x14ac:dyDescent="0.25">
      <c r="A5410" s="36">
        <v>45222</v>
      </c>
      <c r="B5410" s="34">
        <v>43.65</v>
      </c>
      <c r="C5410" s="6">
        <v>26.38</v>
      </c>
      <c r="D5410" s="6">
        <v>8.1199999999999992</v>
      </c>
      <c r="E5410" s="6">
        <v>3.94</v>
      </c>
      <c r="G5410" s="31"/>
    </row>
    <row r="5411" spans="1:7" x14ac:dyDescent="0.25">
      <c r="A5411" s="36">
        <v>45223</v>
      </c>
      <c r="B5411" s="34">
        <v>43.7</v>
      </c>
      <c r="C5411" s="6">
        <v>26.37</v>
      </c>
      <c r="D5411" s="6">
        <v>8.07</v>
      </c>
      <c r="E5411" s="6">
        <v>3.93</v>
      </c>
      <c r="G5411" s="31"/>
    </row>
    <row r="5412" spans="1:7" x14ac:dyDescent="0.25">
      <c r="A5412" s="36">
        <v>45224</v>
      </c>
      <c r="B5412" s="34">
        <v>43.81</v>
      </c>
      <c r="C5412" s="6">
        <v>26.37</v>
      </c>
      <c r="D5412" s="6">
        <v>8.09</v>
      </c>
      <c r="E5412" s="6">
        <v>3.96</v>
      </c>
      <c r="G5412" s="31"/>
    </row>
    <row r="5413" spans="1:7" x14ac:dyDescent="0.25">
      <c r="A5413" s="36">
        <v>45225</v>
      </c>
      <c r="B5413" s="34">
        <v>43.9</v>
      </c>
      <c r="C5413" s="6">
        <v>26.47</v>
      </c>
      <c r="D5413" s="6">
        <v>8.1999999999999993</v>
      </c>
      <c r="E5413" s="6">
        <v>4.1100000000000003</v>
      </c>
      <c r="G5413" s="31"/>
    </row>
    <row r="5414" spans="1:7" x14ac:dyDescent="0.25">
      <c r="A5414" s="36">
        <v>45226</v>
      </c>
      <c r="B5414" s="34">
        <v>43.95</v>
      </c>
      <c r="C5414" s="6">
        <v>26.52</v>
      </c>
      <c r="D5414" s="6">
        <v>8.34</v>
      </c>
      <c r="E5414" s="6">
        <v>4.24</v>
      </c>
      <c r="G5414" s="31"/>
    </row>
    <row r="5415" spans="1:7" x14ac:dyDescent="0.25">
      <c r="A5415" s="36">
        <v>45227</v>
      </c>
      <c r="B5415" s="34">
        <v>43.97</v>
      </c>
      <c r="C5415" s="6">
        <v>26.58</v>
      </c>
      <c r="D5415" s="6">
        <v>8.41</v>
      </c>
      <c r="E5415" s="6">
        <v>4.21</v>
      </c>
      <c r="G5415" s="31"/>
    </row>
    <row r="5416" spans="1:7" x14ac:dyDescent="0.25">
      <c r="A5416" s="36">
        <v>45228</v>
      </c>
      <c r="B5416" s="34">
        <v>43.99</v>
      </c>
      <c r="C5416" s="6">
        <v>26.6</v>
      </c>
      <c r="D5416" s="6">
        <v>8.42</v>
      </c>
      <c r="E5416" s="6">
        <v>4.1900000000000004</v>
      </c>
      <c r="G5416" s="31"/>
    </row>
    <row r="5417" spans="1:7" x14ac:dyDescent="0.25">
      <c r="A5417" s="36">
        <v>45229</v>
      </c>
      <c r="B5417" s="34">
        <v>43.99</v>
      </c>
      <c r="C5417" s="6">
        <v>26.64</v>
      </c>
      <c r="D5417" s="6">
        <v>8.43</v>
      </c>
      <c r="E5417" s="6">
        <v>4.24</v>
      </c>
      <c r="G5417" s="31"/>
    </row>
    <row r="5418" spans="1:7" x14ac:dyDescent="0.25">
      <c r="A5418" s="36">
        <v>45230</v>
      </c>
      <c r="B5418" s="34">
        <v>43.98</v>
      </c>
      <c r="C5418" s="6">
        <v>26.66</v>
      </c>
      <c r="D5418" s="6">
        <v>8.44</v>
      </c>
      <c r="E5418" s="6">
        <v>4.21</v>
      </c>
      <c r="G5418" s="31"/>
    </row>
    <row r="5419" spans="1:7" x14ac:dyDescent="0.25">
      <c r="A5419" s="36">
        <v>45231</v>
      </c>
      <c r="B5419" s="34">
        <v>43.94</v>
      </c>
      <c r="C5419" s="6">
        <v>26.66</v>
      </c>
      <c r="D5419" s="6">
        <v>8.44</v>
      </c>
      <c r="E5419" s="6">
        <v>4.22</v>
      </c>
      <c r="G5419" s="31"/>
    </row>
    <row r="5420" spans="1:7" x14ac:dyDescent="0.25">
      <c r="A5420" s="36">
        <v>45232</v>
      </c>
      <c r="B5420" s="34">
        <v>43.91</v>
      </c>
      <c r="C5420" s="6">
        <v>26.65</v>
      </c>
      <c r="D5420" s="6">
        <v>8.44</v>
      </c>
      <c r="E5420" s="6">
        <v>4.1900000000000004</v>
      </c>
      <c r="G5420" s="31"/>
    </row>
    <row r="5421" spans="1:7" x14ac:dyDescent="0.25">
      <c r="A5421" s="36">
        <v>45233</v>
      </c>
      <c r="B5421" s="34">
        <v>43.83</v>
      </c>
      <c r="C5421" s="6">
        <v>26.63</v>
      </c>
      <c r="D5421" s="6">
        <v>8.42</v>
      </c>
      <c r="E5421" s="6">
        <v>4.1500000000000004</v>
      </c>
      <c r="G5421" s="31"/>
    </row>
    <row r="5422" spans="1:7" x14ac:dyDescent="0.25">
      <c r="A5422" s="36">
        <v>45234</v>
      </c>
      <c r="B5422" s="34">
        <v>43.78</v>
      </c>
      <c r="C5422" s="6">
        <v>26.62</v>
      </c>
      <c r="D5422" s="6">
        <v>8.3699999999999992</v>
      </c>
      <c r="E5422" s="6">
        <v>4.12</v>
      </c>
      <c r="G5422" s="31"/>
    </row>
    <row r="5423" spans="1:7" x14ac:dyDescent="0.25">
      <c r="A5423" s="36">
        <v>45235</v>
      </c>
      <c r="B5423" s="34">
        <v>43.74</v>
      </c>
      <c r="C5423" s="6">
        <v>26.65</v>
      </c>
      <c r="D5423" s="6">
        <v>8.31</v>
      </c>
      <c r="E5423" s="6">
        <v>4.08</v>
      </c>
      <c r="G5423" s="31"/>
    </row>
    <row r="5424" spans="1:7" x14ac:dyDescent="0.25">
      <c r="A5424" s="36">
        <v>45236</v>
      </c>
      <c r="B5424" s="34">
        <v>43.65</v>
      </c>
      <c r="C5424" s="6">
        <v>26.64</v>
      </c>
      <c r="D5424" s="6">
        <v>8.27</v>
      </c>
      <c r="E5424" s="6">
        <v>4.0199999999999996</v>
      </c>
      <c r="G5424" s="31"/>
    </row>
    <row r="5425" spans="1:7" x14ac:dyDescent="0.25">
      <c r="A5425" s="36">
        <v>45237</v>
      </c>
      <c r="B5425" s="34">
        <v>43.64</v>
      </c>
      <c r="C5425" s="6">
        <v>26.63</v>
      </c>
      <c r="D5425" s="6">
        <v>8.26</v>
      </c>
      <c r="E5425" s="6">
        <v>4.0599999999999996</v>
      </c>
      <c r="G5425" s="31"/>
    </row>
    <row r="5426" spans="1:7" x14ac:dyDescent="0.25">
      <c r="A5426" s="36">
        <v>45238</v>
      </c>
      <c r="B5426" s="34">
        <v>43.6</v>
      </c>
      <c r="C5426" s="6">
        <v>26.6</v>
      </c>
      <c r="D5426" s="6">
        <v>8.26</v>
      </c>
      <c r="E5426" s="6">
        <v>4.0999999999999996</v>
      </c>
      <c r="G5426" s="31"/>
    </row>
    <row r="5427" spans="1:7" x14ac:dyDescent="0.25">
      <c r="A5427" s="36">
        <v>45239</v>
      </c>
      <c r="B5427" s="34">
        <v>43.57</v>
      </c>
      <c r="C5427" s="6">
        <v>26.58</v>
      </c>
      <c r="D5427" s="6">
        <v>8.31</v>
      </c>
      <c r="E5427" s="6">
        <v>4.12</v>
      </c>
      <c r="G5427" s="31"/>
    </row>
    <row r="5428" spans="1:7" x14ac:dyDescent="0.25">
      <c r="A5428" s="36">
        <v>45240</v>
      </c>
      <c r="B5428" s="34">
        <v>43.54</v>
      </c>
      <c r="C5428" s="6">
        <v>26.56</v>
      </c>
      <c r="D5428" s="6">
        <v>8.32</v>
      </c>
      <c r="E5428" s="6">
        <v>4.13</v>
      </c>
      <c r="G5428" s="31"/>
    </row>
    <row r="5429" spans="1:7" x14ac:dyDescent="0.25">
      <c r="A5429" s="36">
        <v>45241</v>
      </c>
      <c r="B5429" s="34">
        <v>43.54</v>
      </c>
      <c r="C5429" s="6">
        <v>26.55</v>
      </c>
      <c r="D5429" s="6">
        <v>8.31</v>
      </c>
      <c r="E5429" s="6">
        <v>4.13</v>
      </c>
      <c r="G5429" s="31"/>
    </row>
    <row r="5430" spans="1:7" x14ac:dyDescent="0.25">
      <c r="A5430" s="36">
        <v>45242</v>
      </c>
      <c r="B5430" s="34">
        <v>43.59</v>
      </c>
      <c r="C5430" s="6">
        <v>26.5</v>
      </c>
      <c r="D5430" s="6">
        <v>8.2799999999999994</v>
      </c>
      <c r="E5430" s="6">
        <v>4.09</v>
      </c>
      <c r="G5430" s="31"/>
    </row>
    <row r="5431" spans="1:7" x14ac:dyDescent="0.25">
      <c r="A5431" s="36">
        <v>45243</v>
      </c>
      <c r="B5431" s="34">
        <v>43.68</v>
      </c>
      <c r="C5431" s="6">
        <v>26.5</v>
      </c>
      <c r="D5431" s="6">
        <v>8.24</v>
      </c>
      <c r="E5431" s="6">
        <v>4.08</v>
      </c>
      <c r="G5431" s="31"/>
    </row>
    <row r="5432" spans="1:7" x14ac:dyDescent="0.25">
      <c r="A5432" s="36">
        <v>45244</v>
      </c>
      <c r="B5432" s="34">
        <v>43.8</v>
      </c>
      <c r="C5432" s="6">
        <v>26.56</v>
      </c>
      <c r="D5432" s="6">
        <v>8.19</v>
      </c>
      <c r="E5432" s="6">
        <v>4.04</v>
      </c>
      <c r="G5432" s="31"/>
    </row>
    <row r="5433" spans="1:7" x14ac:dyDescent="0.25">
      <c r="A5433" s="36">
        <v>45245</v>
      </c>
      <c r="B5433" s="34">
        <v>43.88</v>
      </c>
      <c r="C5433" s="6">
        <v>26.68</v>
      </c>
      <c r="D5433" s="6">
        <v>8.19</v>
      </c>
      <c r="E5433" s="6">
        <v>4.0599999999999996</v>
      </c>
      <c r="G5433" s="31"/>
    </row>
    <row r="5434" spans="1:7" x14ac:dyDescent="0.25">
      <c r="A5434" s="36">
        <v>45246</v>
      </c>
      <c r="B5434" s="34">
        <v>43.91</v>
      </c>
      <c r="C5434" s="6">
        <v>26.78</v>
      </c>
      <c r="D5434" s="6">
        <v>8.2100000000000009</v>
      </c>
      <c r="E5434" s="6">
        <v>4.08</v>
      </c>
      <c r="G5434" s="31"/>
    </row>
    <row r="5435" spans="1:7" x14ac:dyDescent="0.25">
      <c r="A5435" s="36">
        <v>45247</v>
      </c>
      <c r="B5435" s="34">
        <v>43.94</v>
      </c>
      <c r="C5435" s="6">
        <v>26.84</v>
      </c>
      <c r="D5435" s="6">
        <v>8.25</v>
      </c>
      <c r="E5435" s="6">
        <v>4.16</v>
      </c>
      <c r="G5435" s="31"/>
    </row>
    <row r="5436" spans="1:7" x14ac:dyDescent="0.25">
      <c r="A5436" s="36">
        <v>45248</v>
      </c>
      <c r="B5436" s="34">
        <v>43.95</v>
      </c>
      <c r="C5436" s="6">
        <v>26.88</v>
      </c>
      <c r="D5436" s="6">
        <v>8.31</v>
      </c>
      <c r="E5436" s="6">
        <v>4.12</v>
      </c>
      <c r="G5436" s="31"/>
    </row>
    <row r="5437" spans="1:7" x14ac:dyDescent="0.25">
      <c r="A5437" s="36">
        <v>45249</v>
      </c>
      <c r="B5437" s="34">
        <v>43.94</v>
      </c>
      <c r="C5437" s="6">
        <v>26.9</v>
      </c>
      <c r="D5437" s="6">
        <v>8.36</v>
      </c>
      <c r="E5437" s="6">
        <v>4.1500000000000004</v>
      </c>
      <c r="G5437" s="31"/>
    </row>
    <row r="5438" spans="1:7" x14ac:dyDescent="0.25">
      <c r="A5438" s="36">
        <v>45250</v>
      </c>
      <c r="B5438" s="34">
        <v>43.92</v>
      </c>
      <c r="C5438" s="6">
        <v>26.86</v>
      </c>
      <c r="D5438" s="6">
        <v>8.39</v>
      </c>
      <c r="E5438" s="6">
        <v>4.16</v>
      </c>
      <c r="G5438" s="31"/>
    </row>
    <row r="5439" spans="1:7" x14ac:dyDescent="0.25">
      <c r="A5439" s="36">
        <v>45251</v>
      </c>
      <c r="B5439" s="34">
        <v>43.87</v>
      </c>
      <c r="C5439" s="6">
        <v>26.8</v>
      </c>
      <c r="D5439" s="6">
        <v>8.42</v>
      </c>
      <c r="E5439" s="6">
        <v>4.17</v>
      </c>
      <c r="G5439" s="31"/>
    </row>
    <row r="5440" spans="1:7" x14ac:dyDescent="0.25">
      <c r="A5440" s="36">
        <v>45252</v>
      </c>
      <c r="B5440" s="34">
        <v>43.82</v>
      </c>
      <c r="C5440" s="6">
        <v>26.74</v>
      </c>
      <c r="D5440" s="6">
        <v>8.44</v>
      </c>
      <c r="E5440" s="6">
        <v>4.2</v>
      </c>
      <c r="G5440" s="31"/>
    </row>
    <row r="5441" spans="1:7" x14ac:dyDescent="0.25">
      <c r="A5441" s="36">
        <v>45253</v>
      </c>
      <c r="B5441" s="34">
        <v>43.75</v>
      </c>
      <c r="C5441" s="6">
        <v>26.62</v>
      </c>
      <c r="D5441" s="6">
        <v>8.42</v>
      </c>
      <c r="E5441" s="6">
        <v>4.22</v>
      </c>
      <c r="G5441" s="31"/>
    </row>
    <row r="5442" spans="1:7" x14ac:dyDescent="0.25">
      <c r="A5442" s="36">
        <v>45254</v>
      </c>
      <c r="B5442" s="34">
        <v>43.7</v>
      </c>
      <c r="C5442" s="6">
        <v>26.5</v>
      </c>
      <c r="D5442" s="6">
        <v>8.34</v>
      </c>
      <c r="E5442" s="6">
        <v>4.12</v>
      </c>
      <c r="G5442" s="31"/>
    </row>
    <row r="5443" spans="1:7" x14ac:dyDescent="0.25">
      <c r="A5443" s="36">
        <v>45255</v>
      </c>
      <c r="B5443" s="34">
        <v>43.65</v>
      </c>
      <c r="C5443" s="6">
        <v>26.37</v>
      </c>
      <c r="D5443" s="6">
        <v>8.2799999999999994</v>
      </c>
      <c r="E5443" s="6">
        <v>4.1100000000000003</v>
      </c>
      <c r="G5443" s="31"/>
    </row>
    <row r="5444" spans="1:7" x14ac:dyDescent="0.25">
      <c r="A5444" s="36">
        <v>45256</v>
      </c>
      <c r="B5444" s="34">
        <v>43.63</v>
      </c>
      <c r="C5444" s="6">
        <v>26.25</v>
      </c>
      <c r="D5444" s="6">
        <v>8.1999999999999993</v>
      </c>
      <c r="E5444" s="6">
        <v>4.05</v>
      </c>
      <c r="G5444" s="31"/>
    </row>
    <row r="5445" spans="1:7" x14ac:dyDescent="0.25">
      <c r="A5445" s="36">
        <v>45257</v>
      </c>
      <c r="B5445" s="34">
        <v>43.64</v>
      </c>
      <c r="C5445" s="6">
        <v>26.13</v>
      </c>
      <c r="D5445" s="6">
        <v>8.07</v>
      </c>
      <c r="E5445" s="6">
        <v>3.95</v>
      </c>
      <c r="G5445" s="31"/>
    </row>
    <row r="5446" spans="1:7" x14ac:dyDescent="0.25">
      <c r="A5446" s="36">
        <v>45258</v>
      </c>
      <c r="B5446" s="34">
        <v>43.71</v>
      </c>
      <c r="C5446" s="6">
        <v>26.03</v>
      </c>
      <c r="D5446" s="6">
        <v>7.96</v>
      </c>
      <c r="E5446" s="6">
        <v>3.89</v>
      </c>
      <c r="G5446" s="31"/>
    </row>
    <row r="5447" spans="1:7" x14ac:dyDescent="0.25">
      <c r="A5447" s="36">
        <v>45259</v>
      </c>
      <c r="B5447" s="34">
        <v>43.77</v>
      </c>
      <c r="C5447" s="6">
        <v>25.98</v>
      </c>
      <c r="D5447" s="6">
        <v>7.84</v>
      </c>
      <c r="E5447" s="6">
        <v>3.81</v>
      </c>
      <c r="G5447" s="31"/>
    </row>
    <row r="5448" spans="1:7" x14ac:dyDescent="0.25">
      <c r="A5448" s="36">
        <v>45260</v>
      </c>
      <c r="B5448" s="34">
        <v>43.76</v>
      </c>
      <c r="C5448" s="6">
        <v>25.93</v>
      </c>
      <c r="D5448" s="6">
        <v>7.75</v>
      </c>
      <c r="E5448" s="6">
        <v>3.73</v>
      </c>
      <c r="G5448" s="31"/>
    </row>
    <row r="5449" spans="1:7" x14ac:dyDescent="0.25">
      <c r="A5449" s="36">
        <v>45261</v>
      </c>
      <c r="B5449" s="34">
        <v>43.71</v>
      </c>
      <c r="C5449" s="6">
        <v>25.86</v>
      </c>
      <c r="D5449" s="6">
        <v>7.68</v>
      </c>
      <c r="E5449" s="6">
        <v>3.57</v>
      </c>
      <c r="G5449" s="31"/>
    </row>
    <row r="5450" spans="1:7" x14ac:dyDescent="0.25">
      <c r="A5450" s="36">
        <v>45262</v>
      </c>
      <c r="B5450" s="34">
        <v>43.64</v>
      </c>
      <c r="C5450" s="6">
        <v>25.8</v>
      </c>
      <c r="D5450" s="6">
        <v>7.68</v>
      </c>
      <c r="E5450" s="6">
        <v>3.52</v>
      </c>
      <c r="G5450" s="31"/>
    </row>
    <row r="5451" spans="1:7" x14ac:dyDescent="0.25">
      <c r="A5451" s="36">
        <v>45263</v>
      </c>
      <c r="B5451" s="34">
        <v>43.47</v>
      </c>
      <c r="C5451" s="6">
        <v>25.73</v>
      </c>
      <c r="D5451" s="6">
        <v>7.49</v>
      </c>
      <c r="E5451" s="6">
        <v>3.39</v>
      </c>
      <c r="G5451" s="31"/>
    </row>
    <row r="5452" spans="1:7" x14ac:dyDescent="0.25">
      <c r="A5452" s="36">
        <v>45264</v>
      </c>
      <c r="B5452" s="34">
        <v>43.44</v>
      </c>
      <c r="C5452" s="6">
        <v>25.66</v>
      </c>
      <c r="D5452" s="6">
        <v>7.36</v>
      </c>
      <c r="E5452" s="6">
        <v>3.29</v>
      </c>
      <c r="G5452" s="31"/>
    </row>
    <row r="5453" spans="1:7" x14ac:dyDescent="0.25">
      <c r="A5453" s="36">
        <v>45265</v>
      </c>
      <c r="B5453" s="34">
        <v>43.36</v>
      </c>
      <c r="C5453" s="6">
        <v>25.5</v>
      </c>
      <c r="D5453" s="6">
        <v>7.29</v>
      </c>
      <c r="E5453" s="6">
        <v>3.29</v>
      </c>
      <c r="G5453" s="31"/>
    </row>
    <row r="5454" spans="1:7" x14ac:dyDescent="0.25">
      <c r="A5454" s="36">
        <v>45266</v>
      </c>
      <c r="B5454" s="34">
        <v>43.23</v>
      </c>
      <c r="C5454" s="6">
        <v>25.52</v>
      </c>
      <c r="D5454" s="6">
        <v>7.2</v>
      </c>
      <c r="E5454" s="6">
        <v>3.21</v>
      </c>
      <c r="G5454" s="31"/>
    </row>
    <row r="5455" spans="1:7" x14ac:dyDescent="0.25">
      <c r="A5455" s="36">
        <v>45267</v>
      </c>
      <c r="B5455" s="34">
        <v>43.1</v>
      </c>
      <c r="C5455" s="6">
        <v>25.41</v>
      </c>
      <c r="D5455" s="6">
        <v>7.09</v>
      </c>
      <c r="E5455" s="6">
        <v>3.15</v>
      </c>
      <c r="G5455" s="31"/>
    </row>
    <row r="5456" spans="1:7" x14ac:dyDescent="0.25">
      <c r="A5456" s="36">
        <v>45268</v>
      </c>
      <c r="B5456" s="34">
        <v>42.97</v>
      </c>
      <c r="C5456" s="6">
        <v>25.28</v>
      </c>
      <c r="D5456" s="6">
        <v>6.99</v>
      </c>
      <c r="E5456" s="6">
        <v>3.03</v>
      </c>
      <c r="G5456" s="31"/>
    </row>
    <row r="5457" spans="1:7" x14ac:dyDescent="0.25">
      <c r="A5457" s="36">
        <v>45269</v>
      </c>
      <c r="B5457" s="34">
        <v>42.86</v>
      </c>
      <c r="C5457" s="6">
        <v>25.15</v>
      </c>
      <c r="D5457" s="6">
        <v>6.88</v>
      </c>
      <c r="E5457" s="6">
        <v>3.07</v>
      </c>
      <c r="G5457" s="31"/>
    </row>
    <row r="5458" spans="1:7" x14ac:dyDescent="0.25">
      <c r="A5458" s="36">
        <v>45270</v>
      </c>
      <c r="B5458" s="34">
        <v>42.68</v>
      </c>
      <c r="C5458" s="6">
        <v>25.03</v>
      </c>
      <c r="D5458" s="6">
        <v>6.76</v>
      </c>
      <c r="E5458" s="6">
        <v>3.01</v>
      </c>
      <c r="G5458" s="31"/>
    </row>
    <row r="5459" spans="1:7" x14ac:dyDescent="0.25">
      <c r="A5459" s="36">
        <v>45271</v>
      </c>
      <c r="B5459" s="34">
        <v>42.68</v>
      </c>
      <c r="C5459" s="6">
        <v>24.9</v>
      </c>
      <c r="D5459" s="6">
        <v>6.68</v>
      </c>
      <c r="E5459" s="6">
        <v>2.99</v>
      </c>
      <c r="G5459" s="31"/>
    </row>
    <row r="5460" spans="1:7" x14ac:dyDescent="0.25">
      <c r="A5460" s="36">
        <v>45272</v>
      </c>
      <c r="B5460" s="34">
        <v>42.62</v>
      </c>
      <c r="C5460" s="6">
        <v>24.8</v>
      </c>
      <c r="D5460" s="6">
        <v>6.62</v>
      </c>
      <c r="E5460" s="6">
        <v>2.85</v>
      </c>
      <c r="G5460" s="31"/>
    </row>
    <row r="5461" spans="1:7" x14ac:dyDescent="0.25">
      <c r="A5461" s="36">
        <v>45273</v>
      </c>
      <c r="B5461" s="34">
        <v>42.58</v>
      </c>
      <c r="C5461" s="6">
        <v>24.65</v>
      </c>
      <c r="D5461" s="6">
        <v>6.56</v>
      </c>
      <c r="E5461" s="6">
        <v>2.91</v>
      </c>
      <c r="G5461" s="31"/>
    </row>
    <row r="5462" spans="1:7" x14ac:dyDescent="0.25">
      <c r="A5462" s="36">
        <v>45274</v>
      </c>
      <c r="B5462" s="34">
        <v>42.55</v>
      </c>
      <c r="C5462" s="6">
        <v>24.55</v>
      </c>
      <c r="D5462" s="6">
        <v>6.48</v>
      </c>
      <c r="E5462" s="6">
        <v>2.83</v>
      </c>
      <c r="G5462" s="31"/>
    </row>
    <row r="5463" spans="1:7" x14ac:dyDescent="0.25">
      <c r="A5463" s="36">
        <v>45275</v>
      </c>
      <c r="B5463" s="34">
        <v>42.49</v>
      </c>
      <c r="C5463" s="6">
        <v>24.47</v>
      </c>
      <c r="D5463" s="6">
        <v>6.37</v>
      </c>
      <c r="E5463" s="6">
        <v>2.79</v>
      </c>
      <c r="G5463" s="31"/>
    </row>
    <row r="5464" spans="1:7" x14ac:dyDescent="0.25">
      <c r="A5464" s="36">
        <v>45276</v>
      </c>
      <c r="B5464" s="34">
        <v>42.47</v>
      </c>
      <c r="C5464" s="6">
        <v>24.42</v>
      </c>
      <c r="D5464" s="6">
        <v>6.29</v>
      </c>
      <c r="E5464" s="6">
        <v>2.7</v>
      </c>
      <c r="G5464" s="31"/>
    </row>
    <row r="5465" spans="1:7" x14ac:dyDescent="0.25">
      <c r="A5465" s="36">
        <v>45277</v>
      </c>
      <c r="B5465" s="34">
        <v>42.45</v>
      </c>
      <c r="C5465" s="6">
        <v>24.38</v>
      </c>
      <c r="D5465" s="6">
        <v>6.11</v>
      </c>
      <c r="E5465" s="6">
        <v>2.6</v>
      </c>
      <c r="G5465" s="31"/>
    </row>
    <row r="5466" spans="1:7" x14ac:dyDescent="0.25">
      <c r="A5466" s="36">
        <v>45278</v>
      </c>
      <c r="B5466" s="34">
        <v>42.4</v>
      </c>
      <c r="C5466" s="6">
        <v>24.35</v>
      </c>
      <c r="D5466" s="6">
        <v>5.98</v>
      </c>
      <c r="E5466" s="6">
        <v>2.54</v>
      </c>
      <c r="G5466" s="31"/>
    </row>
    <row r="5467" spans="1:7" x14ac:dyDescent="0.25">
      <c r="A5467" s="36">
        <v>45279</v>
      </c>
      <c r="B5467" s="34">
        <v>42.34</v>
      </c>
      <c r="C5467" s="6">
        <v>24.35</v>
      </c>
      <c r="D5467" s="6">
        <v>5.92</v>
      </c>
      <c r="E5467" s="6">
        <v>2.5299999999999998</v>
      </c>
      <c r="G5467" s="31"/>
    </row>
    <row r="5468" spans="1:7" x14ac:dyDescent="0.25">
      <c r="A5468" s="36">
        <v>45280</v>
      </c>
      <c r="B5468" s="34">
        <v>42.29</v>
      </c>
      <c r="C5468" s="6">
        <v>24.34</v>
      </c>
      <c r="D5468" s="6">
        <v>5.9</v>
      </c>
      <c r="E5468" s="6">
        <v>2.4500000000000002</v>
      </c>
      <c r="G5468" s="31"/>
    </row>
    <row r="5469" spans="1:7" x14ac:dyDescent="0.25">
      <c r="A5469" s="36">
        <v>45281</v>
      </c>
      <c r="B5469" s="34">
        <v>42.27</v>
      </c>
      <c r="C5469" s="6">
        <v>24.29</v>
      </c>
      <c r="D5469" s="6">
        <v>5.92</v>
      </c>
      <c r="E5469" s="6">
        <v>2.39</v>
      </c>
      <c r="G5469" s="31"/>
    </row>
    <row r="5470" spans="1:7" x14ac:dyDescent="0.25">
      <c r="A5470" s="36">
        <v>45282</v>
      </c>
      <c r="B5470" s="34">
        <v>42.27</v>
      </c>
      <c r="C5470" s="6">
        <v>24.21</v>
      </c>
      <c r="D5470" s="6">
        <v>5.8</v>
      </c>
      <c r="E5470" s="6">
        <v>2.38</v>
      </c>
      <c r="G5470" s="31"/>
    </row>
    <row r="5471" spans="1:7" x14ac:dyDescent="0.25">
      <c r="A5471" s="36">
        <v>45283</v>
      </c>
      <c r="B5471" s="34">
        <v>42.26</v>
      </c>
      <c r="C5471" s="6">
        <v>24.15</v>
      </c>
      <c r="D5471" s="6">
        <v>5.72</v>
      </c>
      <c r="E5471" s="6">
        <v>2.35</v>
      </c>
      <c r="G5471" s="31"/>
    </row>
    <row r="5472" spans="1:7" x14ac:dyDescent="0.25">
      <c r="A5472" s="36">
        <v>45284</v>
      </c>
      <c r="B5472" s="34">
        <v>42.24</v>
      </c>
      <c r="C5472" s="6">
        <v>24.1</v>
      </c>
      <c r="D5472" s="6">
        <v>5.64</v>
      </c>
      <c r="E5472" s="6">
        <v>2.2999999999999998</v>
      </c>
      <c r="G5472" s="31"/>
    </row>
    <row r="5473" spans="1:7" x14ac:dyDescent="0.25">
      <c r="A5473" s="36">
        <v>45285</v>
      </c>
      <c r="B5473" s="34">
        <v>42.22</v>
      </c>
      <c r="C5473" s="6">
        <v>24.07</v>
      </c>
      <c r="D5473" s="6">
        <v>5.62</v>
      </c>
      <c r="E5473" s="6">
        <v>2.29</v>
      </c>
      <c r="G5473" s="31"/>
    </row>
    <row r="5474" spans="1:7" x14ac:dyDescent="0.25">
      <c r="A5474" s="36">
        <v>45286</v>
      </c>
      <c r="B5474" s="34">
        <v>42.19</v>
      </c>
      <c r="C5474" s="6">
        <v>24.05</v>
      </c>
      <c r="D5474" s="6">
        <v>5.54</v>
      </c>
      <c r="E5474" s="6">
        <v>2.27</v>
      </c>
      <c r="G5474" s="31"/>
    </row>
    <row r="5475" spans="1:7" x14ac:dyDescent="0.25">
      <c r="A5475" s="36">
        <v>45287</v>
      </c>
      <c r="B5475" s="34">
        <v>42.22</v>
      </c>
      <c r="C5475" s="6">
        <v>24.07</v>
      </c>
      <c r="D5475" s="6">
        <v>5.49</v>
      </c>
      <c r="E5475" s="6">
        <v>2.2400000000000002</v>
      </c>
      <c r="G5475" s="31"/>
    </row>
    <row r="5476" spans="1:7" x14ac:dyDescent="0.25">
      <c r="A5476" s="36">
        <v>45288</v>
      </c>
      <c r="B5476" s="34">
        <v>42.24</v>
      </c>
      <c r="C5476" s="6">
        <v>24.07</v>
      </c>
      <c r="D5476" s="6">
        <v>5.47</v>
      </c>
      <c r="E5476" s="6">
        <v>2.21</v>
      </c>
      <c r="G5476" s="31"/>
    </row>
    <row r="5477" spans="1:7" x14ac:dyDescent="0.25">
      <c r="A5477" s="36">
        <v>45289</v>
      </c>
      <c r="B5477" s="34">
        <v>42.29</v>
      </c>
      <c r="C5477" s="6">
        <v>24.05</v>
      </c>
      <c r="D5477" s="6">
        <v>5.47</v>
      </c>
      <c r="E5477" s="6">
        <v>2.23</v>
      </c>
      <c r="G5477" s="31"/>
    </row>
    <row r="5478" spans="1:7" x14ac:dyDescent="0.25">
      <c r="A5478" s="36">
        <v>45290</v>
      </c>
      <c r="B5478" s="34">
        <v>42.37</v>
      </c>
      <c r="C5478" s="6">
        <v>24.05</v>
      </c>
      <c r="D5478" s="6">
        <v>5.47</v>
      </c>
      <c r="E5478" s="6">
        <v>2.23</v>
      </c>
      <c r="G5478" s="31"/>
    </row>
    <row r="5479" spans="1:7" x14ac:dyDescent="0.25">
      <c r="A5479" s="36">
        <v>45291</v>
      </c>
      <c r="B5479" s="34">
        <v>42.42</v>
      </c>
      <c r="C5479" s="6">
        <v>24.05</v>
      </c>
      <c r="D5479" s="6">
        <v>5.45</v>
      </c>
      <c r="E5479" s="6">
        <v>2.2000000000000002</v>
      </c>
      <c r="G5479" s="31"/>
    </row>
    <row r="5480" spans="1:7" x14ac:dyDescent="0.25">
      <c r="A5480" s="36">
        <v>45292</v>
      </c>
      <c r="B5480" s="7">
        <v>42.45</v>
      </c>
      <c r="C5480" s="10">
        <v>24.07</v>
      </c>
      <c r="D5480" s="10">
        <v>5.44</v>
      </c>
      <c r="E5480" s="7">
        <v>2.16</v>
      </c>
      <c r="G5480" s="31"/>
    </row>
    <row r="5481" spans="1:7" x14ac:dyDescent="0.25">
      <c r="A5481" s="36">
        <v>45293</v>
      </c>
      <c r="B5481" s="7">
        <v>42.46</v>
      </c>
      <c r="C5481" s="10">
        <v>24.1</v>
      </c>
      <c r="D5481" s="10">
        <v>5.44</v>
      </c>
      <c r="E5481" s="7">
        <v>2.12</v>
      </c>
      <c r="G5481" s="31"/>
    </row>
    <row r="5482" spans="1:7" x14ac:dyDescent="0.25">
      <c r="A5482" s="36">
        <v>45294</v>
      </c>
      <c r="B5482" s="7">
        <v>42.48</v>
      </c>
      <c r="C5482" s="10">
        <v>24.14</v>
      </c>
      <c r="D5482" s="10">
        <v>5.43</v>
      </c>
      <c r="E5482" s="7">
        <v>2.11</v>
      </c>
      <c r="G5482" s="31"/>
    </row>
    <row r="5483" spans="1:7" x14ac:dyDescent="0.25">
      <c r="A5483" s="36">
        <v>45295</v>
      </c>
      <c r="B5483" s="7">
        <v>42.48</v>
      </c>
      <c r="C5483" s="10">
        <v>24.22</v>
      </c>
      <c r="D5483" s="10">
        <v>5.39</v>
      </c>
      <c r="E5483" s="7">
        <v>2.1</v>
      </c>
      <c r="G5483" s="31"/>
    </row>
    <row r="5484" spans="1:7" x14ac:dyDescent="0.25">
      <c r="A5484" s="36">
        <v>45296</v>
      </c>
      <c r="B5484" s="7">
        <v>42.46</v>
      </c>
      <c r="C5484" s="10">
        <v>24.3</v>
      </c>
      <c r="D5484" s="10">
        <v>5.36</v>
      </c>
      <c r="E5484" s="7">
        <v>2.08</v>
      </c>
      <c r="G5484" s="31"/>
    </row>
    <row r="5485" spans="1:7" x14ac:dyDescent="0.25">
      <c r="A5485" s="36">
        <v>45297</v>
      </c>
      <c r="B5485" s="7">
        <v>42.43</v>
      </c>
      <c r="C5485" s="10">
        <v>24.37</v>
      </c>
      <c r="D5485" s="10">
        <v>5.38</v>
      </c>
      <c r="E5485" s="7">
        <v>2.02</v>
      </c>
      <c r="G5485" s="31"/>
    </row>
    <row r="5486" spans="1:7" x14ac:dyDescent="0.25">
      <c r="A5486" s="36">
        <v>45298</v>
      </c>
      <c r="B5486" s="7">
        <v>42.39</v>
      </c>
      <c r="C5486" s="10">
        <v>24.39</v>
      </c>
      <c r="D5486" s="10">
        <v>5.4</v>
      </c>
      <c r="E5486" s="7">
        <v>2.04</v>
      </c>
      <c r="G5486" s="31"/>
    </row>
    <row r="5487" spans="1:7" x14ac:dyDescent="0.25">
      <c r="A5487" s="36">
        <v>45299</v>
      </c>
      <c r="B5487" s="7">
        <v>42.34</v>
      </c>
      <c r="C5487" s="10">
        <v>24.39</v>
      </c>
      <c r="D5487" s="10">
        <v>5.47</v>
      </c>
      <c r="E5487" s="7">
        <v>2.0499999999999998</v>
      </c>
      <c r="G5487" s="31"/>
    </row>
    <row r="5488" spans="1:7" x14ac:dyDescent="0.25">
      <c r="A5488" s="36">
        <v>45300</v>
      </c>
      <c r="B5488" s="7">
        <v>42.27</v>
      </c>
      <c r="C5488" s="10">
        <v>24.35</v>
      </c>
      <c r="D5488" s="10">
        <v>5.5</v>
      </c>
      <c r="E5488" s="7">
        <v>2.09</v>
      </c>
      <c r="G5488" s="31"/>
    </row>
    <row r="5489" spans="1:7" x14ac:dyDescent="0.25">
      <c r="A5489" s="36">
        <v>45301</v>
      </c>
      <c r="B5489" s="7">
        <v>42.2</v>
      </c>
      <c r="C5489" s="10">
        <v>24.28</v>
      </c>
      <c r="D5489" s="10">
        <v>5.54</v>
      </c>
      <c r="E5489" s="7">
        <v>2.09</v>
      </c>
      <c r="G5489" s="31"/>
    </row>
    <row r="5490" spans="1:7" x14ac:dyDescent="0.25">
      <c r="A5490" s="36">
        <v>45302</v>
      </c>
      <c r="B5490" s="7">
        <v>42.1</v>
      </c>
      <c r="C5490" s="10">
        <v>24.17</v>
      </c>
      <c r="D5490" s="10">
        <v>5.54</v>
      </c>
      <c r="E5490" s="7">
        <v>2.2000000000000002</v>
      </c>
      <c r="G5490" s="31"/>
    </row>
    <row r="5491" spans="1:7" x14ac:dyDescent="0.25">
      <c r="A5491" s="36">
        <v>45303</v>
      </c>
      <c r="B5491" s="7">
        <v>42.06</v>
      </c>
      <c r="C5491" s="10">
        <v>24.04</v>
      </c>
      <c r="D5491" s="10">
        <v>5.51</v>
      </c>
      <c r="E5491" s="7">
        <v>2.2599999999999998</v>
      </c>
      <c r="G5491" s="31"/>
    </row>
    <row r="5492" spans="1:7" x14ac:dyDescent="0.25">
      <c r="A5492" s="36">
        <v>45304</v>
      </c>
      <c r="B5492" s="7">
        <v>42</v>
      </c>
      <c r="C5492" s="10">
        <v>23.9</v>
      </c>
      <c r="D5492" s="10">
        <v>5.4</v>
      </c>
      <c r="E5492" s="7">
        <v>2.27</v>
      </c>
      <c r="G5492" s="31"/>
    </row>
    <row r="5493" spans="1:7" x14ac:dyDescent="0.25">
      <c r="A5493" s="36">
        <v>45305</v>
      </c>
      <c r="B5493" s="7">
        <v>41.94</v>
      </c>
      <c r="C5493" s="10">
        <v>23.8</v>
      </c>
      <c r="D5493" s="10">
        <v>5.52</v>
      </c>
      <c r="E5493" s="7">
        <v>2.29</v>
      </c>
      <c r="G5493" s="31"/>
    </row>
    <row r="5494" spans="1:7" x14ac:dyDescent="0.25">
      <c r="A5494" s="36">
        <v>45306</v>
      </c>
      <c r="B5494" s="7">
        <v>41.89</v>
      </c>
      <c r="C5494" s="10">
        <v>23.69</v>
      </c>
      <c r="D5494" s="10">
        <v>5.22</v>
      </c>
      <c r="E5494" s="7">
        <v>2.2599999999999998</v>
      </c>
      <c r="G5494" s="31"/>
    </row>
    <row r="5495" spans="1:7" x14ac:dyDescent="0.25">
      <c r="A5495" s="36">
        <v>45307</v>
      </c>
      <c r="B5495" s="7">
        <v>41.83</v>
      </c>
      <c r="C5495" s="10">
        <v>23.6</v>
      </c>
      <c r="D5495" s="10">
        <v>5.12</v>
      </c>
      <c r="E5495" s="7">
        <v>2.15</v>
      </c>
      <c r="G5495" s="31"/>
    </row>
    <row r="5496" spans="1:7" x14ac:dyDescent="0.25">
      <c r="A5496" s="36">
        <v>45308</v>
      </c>
      <c r="B5496" s="7">
        <v>41.78</v>
      </c>
      <c r="C5496" s="10">
        <v>23.51</v>
      </c>
      <c r="D5496" s="10">
        <v>5</v>
      </c>
      <c r="E5496" s="7">
        <v>2.08</v>
      </c>
      <c r="G5496" s="31"/>
    </row>
    <row r="5497" spans="1:7" x14ac:dyDescent="0.25">
      <c r="A5497" s="36">
        <v>45309</v>
      </c>
      <c r="B5497" s="7">
        <v>41.73</v>
      </c>
      <c r="C5497" s="10">
        <v>23.43</v>
      </c>
      <c r="D5497" s="10">
        <v>4.9400000000000004</v>
      </c>
      <c r="E5497" s="7">
        <v>2.0299999999999998</v>
      </c>
      <c r="G5497" s="31"/>
    </row>
    <row r="5498" spans="1:7" x14ac:dyDescent="0.25">
      <c r="A5498" s="36">
        <v>45310</v>
      </c>
      <c r="B5498" s="7">
        <v>41.69</v>
      </c>
      <c r="C5498" s="10">
        <v>23.36</v>
      </c>
      <c r="D5498" s="10">
        <v>4.9000000000000004</v>
      </c>
      <c r="E5498" s="7">
        <v>1.95</v>
      </c>
      <c r="G5498" s="31"/>
    </row>
    <row r="5499" spans="1:7" x14ac:dyDescent="0.25">
      <c r="A5499" s="36">
        <v>45311</v>
      </c>
      <c r="B5499" s="7">
        <v>41.64</v>
      </c>
      <c r="C5499" s="10">
        <v>23.28</v>
      </c>
      <c r="D5499" s="10">
        <v>4.79</v>
      </c>
      <c r="E5499" s="7">
        <v>1.88</v>
      </c>
      <c r="G5499" s="31"/>
    </row>
    <row r="5500" spans="1:7" x14ac:dyDescent="0.25">
      <c r="A5500" s="36">
        <v>45312</v>
      </c>
      <c r="B5500" s="7">
        <v>41.58</v>
      </c>
      <c r="C5500" s="10">
        <v>23.22</v>
      </c>
      <c r="D5500" s="10">
        <v>4.68</v>
      </c>
      <c r="E5500" s="7">
        <v>1.77</v>
      </c>
      <c r="G5500" s="31"/>
    </row>
    <row r="5501" spans="1:7" x14ac:dyDescent="0.25">
      <c r="A5501" s="36">
        <v>45313</v>
      </c>
      <c r="B5501" s="7">
        <v>41.5</v>
      </c>
      <c r="C5501" s="10">
        <v>23.16</v>
      </c>
      <c r="D5501" s="10">
        <v>4.58</v>
      </c>
      <c r="E5501" s="7">
        <v>1.71</v>
      </c>
      <c r="G5501" s="31"/>
    </row>
    <row r="5502" spans="1:7" x14ac:dyDescent="0.25">
      <c r="A5502" s="36">
        <v>45314</v>
      </c>
      <c r="B5502" s="7">
        <v>41.42</v>
      </c>
      <c r="C5502" s="10">
        <v>23.09</v>
      </c>
      <c r="D5502" s="10">
        <v>4.49</v>
      </c>
      <c r="E5502" s="7">
        <v>1.67</v>
      </c>
      <c r="G5502" s="31"/>
    </row>
    <row r="5503" spans="1:7" x14ac:dyDescent="0.25">
      <c r="A5503" s="36">
        <v>45315</v>
      </c>
      <c r="B5503" s="7">
        <v>41.35</v>
      </c>
      <c r="C5503" s="10">
        <v>23.02</v>
      </c>
      <c r="D5503" s="10">
        <v>4.42</v>
      </c>
      <c r="E5503" s="7">
        <v>1.63</v>
      </c>
      <c r="G5503" s="31"/>
    </row>
    <row r="5504" spans="1:7" x14ac:dyDescent="0.25">
      <c r="A5504" s="36">
        <v>45316</v>
      </c>
      <c r="B5504" s="7">
        <v>41.27</v>
      </c>
      <c r="C5504" s="10">
        <v>22.94</v>
      </c>
      <c r="D5504" s="10">
        <v>4.34</v>
      </c>
      <c r="E5504" s="7">
        <v>1.59</v>
      </c>
      <c r="G5504" s="31"/>
    </row>
    <row r="5505" spans="1:7" x14ac:dyDescent="0.25">
      <c r="A5505" s="36">
        <v>45317</v>
      </c>
      <c r="B5505" s="7">
        <v>41.2</v>
      </c>
      <c r="C5505" s="10">
        <v>22.86</v>
      </c>
      <c r="D5505" s="10">
        <v>4.28</v>
      </c>
      <c r="E5505" s="7">
        <v>1.62</v>
      </c>
      <c r="G5505" s="31"/>
    </row>
    <row r="5506" spans="1:7" x14ac:dyDescent="0.25">
      <c r="A5506" s="36">
        <v>45318</v>
      </c>
      <c r="B5506" s="7">
        <v>41.14</v>
      </c>
      <c r="C5506" s="10">
        <v>22.79</v>
      </c>
      <c r="D5506" s="10">
        <v>4.22</v>
      </c>
      <c r="E5506" s="7">
        <v>1.57</v>
      </c>
      <c r="G5506" s="31"/>
    </row>
    <row r="5507" spans="1:7" x14ac:dyDescent="0.25">
      <c r="A5507" s="36">
        <v>45319</v>
      </c>
      <c r="B5507" s="7">
        <v>41.07</v>
      </c>
      <c r="C5507" s="10">
        <v>22.73</v>
      </c>
      <c r="D5507" s="10">
        <v>4.0999999999999996</v>
      </c>
      <c r="E5507" s="7">
        <v>1.54</v>
      </c>
      <c r="G5507" s="31"/>
    </row>
    <row r="5508" spans="1:7" x14ac:dyDescent="0.25">
      <c r="A5508" s="36">
        <v>45320</v>
      </c>
      <c r="B5508" s="7">
        <v>41</v>
      </c>
      <c r="C5508" s="10">
        <v>22.67</v>
      </c>
      <c r="D5508" s="10">
        <v>4.0199999999999996</v>
      </c>
      <c r="E5508" s="7">
        <v>1.45</v>
      </c>
      <c r="G5508" s="31"/>
    </row>
    <row r="5509" spans="1:7" x14ac:dyDescent="0.25">
      <c r="A5509" s="36">
        <v>45321</v>
      </c>
      <c r="B5509" s="7">
        <v>40.93</v>
      </c>
      <c r="C5509" s="10">
        <v>22.62</v>
      </c>
      <c r="D5509" s="10">
        <v>3.96</v>
      </c>
      <c r="E5509" s="7">
        <v>1.52</v>
      </c>
      <c r="G5509" s="31"/>
    </row>
    <row r="5510" spans="1:7" x14ac:dyDescent="0.25">
      <c r="A5510" s="36">
        <v>45322</v>
      </c>
      <c r="B5510" s="7">
        <v>40.85</v>
      </c>
      <c r="C5510" s="10">
        <v>22.56</v>
      </c>
      <c r="D5510" s="10">
        <v>3.9</v>
      </c>
      <c r="E5510" s="7">
        <v>1.42</v>
      </c>
      <c r="G5510" s="31"/>
    </row>
    <row r="5511" spans="1:7" x14ac:dyDescent="0.25">
      <c r="A5511" s="36">
        <v>45323</v>
      </c>
      <c r="B5511" s="7">
        <v>40.79</v>
      </c>
      <c r="C5511" s="10">
        <v>22.5</v>
      </c>
      <c r="D5511" s="10">
        <v>3.8</v>
      </c>
      <c r="E5511" s="7">
        <v>1.39</v>
      </c>
      <c r="G5511" s="31"/>
    </row>
    <row r="5512" spans="1:7" x14ac:dyDescent="0.25">
      <c r="A5512" s="36">
        <v>45324</v>
      </c>
      <c r="B5512" s="7">
        <v>40.72</v>
      </c>
      <c r="C5512" s="10">
        <v>22.45</v>
      </c>
      <c r="D5512" s="10">
        <v>3.74</v>
      </c>
      <c r="E5512" s="7">
        <v>1.36</v>
      </c>
      <c r="G5512" s="31"/>
    </row>
    <row r="5513" spans="1:7" x14ac:dyDescent="0.25">
      <c r="A5513" s="36">
        <v>45325</v>
      </c>
      <c r="B5513" s="7">
        <v>40.67</v>
      </c>
      <c r="C5513" s="10">
        <v>22.38</v>
      </c>
      <c r="D5513" s="10">
        <v>3.7</v>
      </c>
      <c r="E5513" s="7">
        <v>1.25</v>
      </c>
      <c r="G5513" s="31"/>
    </row>
    <row r="5514" spans="1:7" x14ac:dyDescent="0.25">
      <c r="A5514" s="36">
        <v>45326</v>
      </c>
      <c r="B5514" s="7">
        <v>40.69</v>
      </c>
      <c r="C5514" s="10">
        <v>22.33</v>
      </c>
      <c r="D5514" s="10">
        <v>3.63</v>
      </c>
      <c r="E5514" s="7">
        <v>1.2</v>
      </c>
      <c r="G5514" s="31"/>
    </row>
    <row r="5515" spans="1:7" x14ac:dyDescent="0.25">
      <c r="A5515" s="36">
        <v>45327</v>
      </c>
      <c r="B5515" s="7">
        <v>40.68</v>
      </c>
      <c r="C5515" s="10">
        <v>22.28</v>
      </c>
      <c r="D5515" s="10">
        <v>3.52</v>
      </c>
      <c r="E5515" s="7">
        <v>1.1399999999999999</v>
      </c>
      <c r="G5515" s="31"/>
    </row>
    <row r="5516" spans="1:7" x14ac:dyDescent="0.25">
      <c r="A5516" s="36">
        <v>45328</v>
      </c>
      <c r="B5516" s="7">
        <v>40.71</v>
      </c>
      <c r="C5516" s="10">
        <v>22.25</v>
      </c>
      <c r="D5516" s="10">
        <v>3.46</v>
      </c>
      <c r="E5516" s="7">
        <v>1.07</v>
      </c>
      <c r="G5516" s="31"/>
    </row>
    <row r="5517" spans="1:7" x14ac:dyDescent="0.25">
      <c r="A5517" s="36">
        <v>45329</v>
      </c>
      <c r="B5517" s="7">
        <v>40.74</v>
      </c>
      <c r="C5517" s="10">
        <v>22.25</v>
      </c>
      <c r="D5517" s="10">
        <v>3.4</v>
      </c>
      <c r="E5517" s="7">
        <v>1.1100000000000001</v>
      </c>
      <c r="G5517" s="31"/>
    </row>
    <row r="5518" spans="1:7" x14ac:dyDescent="0.25">
      <c r="A5518" s="36">
        <v>45330</v>
      </c>
      <c r="B5518" s="7">
        <v>40.799999999999997</v>
      </c>
      <c r="C5518" s="10">
        <v>22.26</v>
      </c>
      <c r="D5518" s="10">
        <v>3.38</v>
      </c>
      <c r="E5518" s="7">
        <v>1.1200000000000001</v>
      </c>
      <c r="G5518" s="31"/>
    </row>
    <row r="5519" spans="1:7" x14ac:dyDescent="0.25">
      <c r="A5519" s="36">
        <v>45331</v>
      </c>
      <c r="B5519" s="7">
        <v>40.869999999999997</v>
      </c>
      <c r="C5519" s="10">
        <v>22.28</v>
      </c>
      <c r="D5519" s="10">
        <v>3.39</v>
      </c>
      <c r="E5519" s="7">
        <v>1.17</v>
      </c>
      <c r="G5519" s="31"/>
    </row>
    <row r="5520" spans="1:7" x14ac:dyDescent="0.25">
      <c r="A5520" s="36">
        <v>45332</v>
      </c>
      <c r="B5520" s="7">
        <v>40.92</v>
      </c>
      <c r="C5520" s="10">
        <v>22.35</v>
      </c>
      <c r="D5520" s="10">
        <v>3.4</v>
      </c>
      <c r="E5520" s="7">
        <v>1.23</v>
      </c>
      <c r="G5520" s="31"/>
    </row>
    <row r="5521" spans="1:7" x14ac:dyDescent="0.25">
      <c r="A5521" s="36">
        <v>45333</v>
      </c>
      <c r="B5521" s="7">
        <v>40.97</v>
      </c>
      <c r="C5521" s="10">
        <v>22.39</v>
      </c>
      <c r="D5521" s="10">
        <v>3.42</v>
      </c>
      <c r="E5521" s="7">
        <v>1.32</v>
      </c>
      <c r="G5521" s="31"/>
    </row>
    <row r="5522" spans="1:7" x14ac:dyDescent="0.25">
      <c r="A5522" s="36">
        <v>45334</v>
      </c>
      <c r="B5522" s="7">
        <v>41.02</v>
      </c>
      <c r="C5522" s="10">
        <v>22.44</v>
      </c>
      <c r="D5522" s="10">
        <v>3.45</v>
      </c>
      <c r="E5522" s="7">
        <v>1.35</v>
      </c>
      <c r="G5522" s="31"/>
    </row>
    <row r="5523" spans="1:7" x14ac:dyDescent="0.25">
      <c r="A5523" s="36">
        <v>45335</v>
      </c>
      <c r="B5523" s="7">
        <v>41.06</v>
      </c>
      <c r="C5523" s="10">
        <v>22.48</v>
      </c>
      <c r="D5523" s="10">
        <v>3.48</v>
      </c>
      <c r="E5523" s="7">
        <v>1.38</v>
      </c>
      <c r="G5523" s="31"/>
    </row>
    <row r="5524" spans="1:7" x14ac:dyDescent="0.25">
      <c r="A5524" s="36">
        <v>45336</v>
      </c>
      <c r="B5524" s="7">
        <v>41.09</v>
      </c>
      <c r="C5524" s="10">
        <v>22.55</v>
      </c>
      <c r="D5524" s="10">
        <v>3.5</v>
      </c>
      <c r="E5524" s="7">
        <v>1.39</v>
      </c>
      <c r="G5524" s="31"/>
    </row>
    <row r="5525" spans="1:7" x14ac:dyDescent="0.25">
      <c r="A5525" s="36">
        <v>45337</v>
      </c>
      <c r="B5525" s="7">
        <v>41.09</v>
      </c>
      <c r="C5525" s="10">
        <v>22.65</v>
      </c>
      <c r="D5525" s="10">
        <v>3.54</v>
      </c>
      <c r="E5525" s="7">
        <v>1.4</v>
      </c>
      <c r="G5525" s="31"/>
    </row>
    <row r="5526" spans="1:7" x14ac:dyDescent="0.25">
      <c r="A5526" s="36">
        <v>45338</v>
      </c>
      <c r="B5526" s="7">
        <v>41.08</v>
      </c>
      <c r="C5526" s="10">
        <v>22.76</v>
      </c>
      <c r="D5526" s="10">
        <v>3.59</v>
      </c>
      <c r="E5526" s="7">
        <v>1.33</v>
      </c>
      <c r="G5526" s="31"/>
    </row>
    <row r="5527" spans="1:7" x14ac:dyDescent="0.25">
      <c r="A5527" s="36">
        <v>45339</v>
      </c>
      <c r="B5527" s="7">
        <v>41.06</v>
      </c>
      <c r="C5527" s="10">
        <v>22.85</v>
      </c>
      <c r="D5527" s="10">
        <v>3.62</v>
      </c>
      <c r="E5527" s="7">
        <v>1.32</v>
      </c>
      <c r="G5527" s="31"/>
    </row>
    <row r="5528" spans="1:7" x14ac:dyDescent="0.25">
      <c r="A5528" s="36">
        <v>45340</v>
      </c>
      <c r="B5528" s="7">
        <v>41.03</v>
      </c>
      <c r="C5528" s="10">
        <v>22.86</v>
      </c>
      <c r="D5528" s="10">
        <v>3.68</v>
      </c>
      <c r="E5528" s="7">
        <v>1.18</v>
      </c>
      <c r="G5528" s="31"/>
    </row>
    <row r="5529" spans="1:7" x14ac:dyDescent="0.25">
      <c r="A5529" s="36">
        <v>45341</v>
      </c>
      <c r="B5529" s="7">
        <v>41</v>
      </c>
      <c r="C5529" s="10">
        <v>22.82</v>
      </c>
      <c r="D5529" s="10">
        <v>3.74</v>
      </c>
      <c r="E5529" s="7">
        <v>1.1299999999999999</v>
      </c>
      <c r="G5529" s="31"/>
    </row>
    <row r="5530" spans="1:7" x14ac:dyDescent="0.25">
      <c r="A5530" s="36">
        <v>45342</v>
      </c>
      <c r="B5530" s="7">
        <v>40.98</v>
      </c>
      <c r="C5530" s="10">
        <v>22.77</v>
      </c>
      <c r="D5530" s="10">
        <v>3.79</v>
      </c>
      <c r="E5530" s="7">
        <v>1.17</v>
      </c>
      <c r="G5530" s="31"/>
    </row>
    <row r="5531" spans="1:7" x14ac:dyDescent="0.25">
      <c r="A5531" s="36">
        <v>45343</v>
      </c>
      <c r="B5531" s="7">
        <v>40.97</v>
      </c>
      <c r="C5531" s="10">
        <v>22.71</v>
      </c>
      <c r="D5531" s="10">
        <v>3.82</v>
      </c>
      <c r="E5531" s="7">
        <v>1.25</v>
      </c>
      <c r="G5531" s="31"/>
    </row>
    <row r="5532" spans="1:7" x14ac:dyDescent="0.25">
      <c r="A5532" s="36">
        <v>45344</v>
      </c>
      <c r="B5532" s="7">
        <v>40.96</v>
      </c>
      <c r="C5532" s="10">
        <v>22.66</v>
      </c>
      <c r="D5532" s="10">
        <v>3.84</v>
      </c>
      <c r="E5532" s="7">
        <v>1.34</v>
      </c>
      <c r="G5532" s="31"/>
    </row>
    <row r="5533" spans="1:7" x14ac:dyDescent="0.25">
      <c r="A5533" s="36">
        <v>45345</v>
      </c>
      <c r="B5533" s="7">
        <v>40.950000000000003</v>
      </c>
      <c r="C5533" s="10">
        <v>22.6</v>
      </c>
      <c r="D5533" s="10">
        <v>3.82</v>
      </c>
      <c r="E5533" s="7">
        <v>1.38</v>
      </c>
      <c r="G5533" s="31"/>
    </row>
    <row r="5534" spans="1:7" x14ac:dyDescent="0.25">
      <c r="A5534" s="36">
        <v>45346</v>
      </c>
      <c r="B5534" s="7">
        <v>40.94</v>
      </c>
      <c r="C5534" s="10">
        <v>22.55</v>
      </c>
      <c r="D5534" s="10">
        <v>3.78</v>
      </c>
      <c r="E5534" s="7">
        <v>1.37</v>
      </c>
      <c r="G5534" s="31"/>
    </row>
    <row r="5535" spans="1:7" x14ac:dyDescent="0.25">
      <c r="A5535" s="36">
        <v>45347</v>
      </c>
      <c r="B5535" s="7">
        <v>40.909999999999997</v>
      </c>
      <c r="C5535" s="10">
        <v>22.51</v>
      </c>
      <c r="D5535" s="10">
        <v>3.73</v>
      </c>
      <c r="E5535" s="7">
        <v>1.38</v>
      </c>
      <c r="G5535" s="31"/>
    </row>
    <row r="5536" spans="1:7" x14ac:dyDescent="0.25">
      <c r="A5536" s="36">
        <v>45348</v>
      </c>
      <c r="B5536" s="7">
        <v>40.9</v>
      </c>
      <c r="C5536" s="10">
        <v>22.5</v>
      </c>
      <c r="D5536" s="10">
        <v>3.68</v>
      </c>
      <c r="E5536" s="7">
        <v>1.39</v>
      </c>
      <c r="G5536" s="31"/>
    </row>
    <row r="5537" spans="1:7" x14ac:dyDescent="0.25">
      <c r="A5537" s="36">
        <v>45349</v>
      </c>
      <c r="B5537" s="7">
        <v>40.840000000000003</v>
      </c>
      <c r="C5537" s="10">
        <v>22.5</v>
      </c>
      <c r="D5537" s="10">
        <v>3.63</v>
      </c>
      <c r="E5537" s="7">
        <v>1.35</v>
      </c>
      <c r="G5537" s="31"/>
    </row>
    <row r="5538" spans="1:7" x14ac:dyDescent="0.25">
      <c r="A5538" s="36">
        <v>45350</v>
      </c>
      <c r="B5538" s="7">
        <v>40.75</v>
      </c>
      <c r="C5538" s="10">
        <v>22.47</v>
      </c>
      <c r="D5538" s="10">
        <v>3.58</v>
      </c>
      <c r="E5538" s="7">
        <v>1.32</v>
      </c>
      <c r="G5538" s="31"/>
    </row>
    <row r="5539" spans="1:7" x14ac:dyDescent="0.25">
      <c r="A5539" s="36">
        <v>45351</v>
      </c>
      <c r="B5539" s="7">
        <v>40.700000000000003</v>
      </c>
      <c r="C5539" s="10">
        <v>22.36</v>
      </c>
      <c r="D5539" s="10">
        <v>3.54</v>
      </c>
      <c r="E5539" s="7">
        <v>1.31</v>
      </c>
      <c r="G5539" s="31"/>
    </row>
    <row r="5540" spans="1:7" x14ac:dyDescent="0.25">
      <c r="A5540" s="36">
        <v>45352</v>
      </c>
      <c r="B5540" s="1">
        <v>40.700000000000003</v>
      </c>
      <c r="C5540" s="10">
        <v>22.36</v>
      </c>
      <c r="D5540" s="10">
        <v>3.53</v>
      </c>
      <c r="E5540" s="7">
        <v>1.25</v>
      </c>
      <c r="G5540" s="31"/>
    </row>
    <row r="5541" spans="1:7" x14ac:dyDescent="0.25">
      <c r="A5541" s="36">
        <v>45353</v>
      </c>
      <c r="B5541" s="7">
        <v>40.67</v>
      </c>
      <c r="C5541" s="10">
        <v>22.29</v>
      </c>
      <c r="D5541" s="10">
        <v>3.5</v>
      </c>
      <c r="E5541" s="7">
        <v>1.23</v>
      </c>
      <c r="G5541" s="31"/>
    </row>
    <row r="5542" spans="1:7" x14ac:dyDescent="0.25">
      <c r="A5542" s="36">
        <v>45354</v>
      </c>
      <c r="B5542" s="7">
        <v>40.57</v>
      </c>
      <c r="C5542" s="10">
        <v>22.23</v>
      </c>
      <c r="D5542" s="10">
        <v>3.46</v>
      </c>
      <c r="E5542" s="7">
        <v>1.17</v>
      </c>
      <c r="G5542" s="31"/>
    </row>
    <row r="5543" spans="1:7" x14ac:dyDescent="0.25">
      <c r="A5543" s="36">
        <v>45355</v>
      </c>
      <c r="B5543" s="7">
        <v>40.51</v>
      </c>
      <c r="C5543" s="10">
        <v>22.17</v>
      </c>
      <c r="D5543" s="10">
        <v>3.39</v>
      </c>
      <c r="E5543" s="7">
        <v>1.1299999999999999</v>
      </c>
      <c r="G5543" s="31"/>
    </row>
    <row r="5544" spans="1:7" x14ac:dyDescent="0.25">
      <c r="A5544" s="36">
        <v>45356</v>
      </c>
      <c r="B5544" s="7">
        <v>40.47</v>
      </c>
      <c r="C5544" s="10">
        <v>22.11</v>
      </c>
      <c r="D5544" s="10">
        <v>3.33</v>
      </c>
      <c r="E5544" s="6">
        <v>1.08</v>
      </c>
      <c r="G5544" s="31"/>
    </row>
    <row r="5545" spans="1:7" x14ac:dyDescent="0.25">
      <c r="A5545" s="36">
        <v>45357</v>
      </c>
      <c r="B5545" s="7">
        <v>40.44</v>
      </c>
      <c r="C5545" s="10">
        <v>22.05</v>
      </c>
      <c r="D5545" s="10">
        <v>3.29</v>
      </c>
      <c r="E5545" s="6">
        <v>1.04</v>
      </c>
      <c r="G5545" s="31"/>
    </row>
    <row r="5546" spans="1:7" x14ac:dyDescent="0.25">
      <c r="A5546" s="36">
        <v>45358</v>
      </c>
      <c r="B5546" s="7">
        <v>40.43</v>
      </c>
      <c r="C5546" s="10">
        <v>22</v>
      </c>
      <c r="D5546" s="10">
        <v>3.24</v>
      </c>
      <c r="E5546" s="6">
        <v>1.18</v>
      </c>
      <c r="G5546" s="31"/>
    </row>
    <row r="5547" spans="1:7" x14ac:dyDescent="0.25">
      <c r="A5547" s="36">
        <v>45359</v>
      </c>
      <c r="B5547" s="7">
        <v>40.42</v>
      </c>
      <c r="C5547" s="10">
        <v>21.96</v>
      </c>
      <c r="D5547" s="10">
        <v>3.21</v>
      </c>
      <c r="E5547" s="6">
        <v>1.21</v>
      </c>
      <c r="G5547" s="31"/>
    </row>
    <row r="5548" spans="1:7" x14ac:dyDescent="0.25">
      <c r="A5548" s="36">
        <v>45360</v>
      </c>
      <c r="B5548" s="7">
        <v>40.4</v>
      </c>
      <c r="C5548" s="10">
        <v>21.93</v>
      </c>
      <c r="D5548" s="10">
        <v>3.19</v>
      </c>
      <c r="E5548" s="6">
        <v>1.28</v>
      </c>
      <c r="G5548" s="31"/>
    </row>
    <row r="5549" spans="1:7" x14ac:dyDescent="0.25">
      <c r="A5549" s="36">
        <v>45361</v>
      </c>
      <c r="B5549" s="7">
        <v>40.380000000000003</v>
      </c>
      <c r="C5549" s="10">
        <v>21.91</v>
      </c>
      <c r="D5549" s="10">
        <v>3.14</v>
      </c>
      <c r="E5549" s="6">
        <v>1.26</v>
      </c>
      <c r="G5549" s="31"/>
    </row>
    <row r="5550" spans="1:7" x14ac:dyDescent="0.25">
      <c r="A5550" s="36">
        <v>45362</v>
      </c>
      <c r="B5550" s="7">
        <v>40.36</v>
      </c>
      <c r="C5550" s="10">
        <v>21.9</v>
      </c>
      <c r="D5550" s="10">
        <v>3.11</v>
      </c>
      <c r="E5550" s="6">
        <v>1.27</v>
      </c>
      <c r="G5550" s="31"/>
    </row>
    <row r="5551" spans="1:7" x14ac:dyDescent="0.25">
      <c r="A5551" s="36">
        <v>45363</v>
      </c>
      <c r="B5551" s="7">
        <v>40.35</v>
      </c>
      <c r="C5551" s="10">
        <v>21.87</v>
      </c>
      <c r="D5551" s="10">
        <v>3.07</v>
      </c>
      <c r="E5551" s="6">
        <v>1.3</v>
      </c>
      <c r="G5551" s="31"/>
    </row>
    <row r="5552" spans="1:7" x14ac:dyDescent="0.25">
      <c r="A5552" s="36">
        <v>45364</v>
      </c>
      <c r="B5552" s="7">
        <v>40.32</v>
      </c>
      <c r="C5552" s="10">
        <v>21.84</v>
      </c>
      <c r="D5552" s="10">
        <v>3.03</v>
      </c>
      <c r="E5552" s="6">
        <v>1.34</v>
      </c>
      <c r="G5552" s="31"/>
    </row>
    <row r="5553" spans="1:7" x14ac:dyDescent="0.25">
      <c r="A5553" s="36">
        <v>45365</v>
      </c>
      <c r="B5553" s="7">
        <v>40.33</v>
      </c>
      <c r="C5553" s="10">
        <v>21.81</v>
      </c>
      <c r="D5553" s="10">
        <v>3.01</v>
      </c>
      <c r="E5553" s="6">
        <v>1.29</v>
      </c>
      <c r="G5553" s="31"/>
    </row>
    <row r="5554" spans="1:7" x14ac:dyDescent="0.25">
      <c r="A5554" s="36">
        <v>45366</v>
      </c>
      <c r="B5554" s="7">
        <v>40.33</v>
      </c>
      <c r="C5554" s="10">
        <v>21.78</v>
      </c>
      <c r="D5554" s="10">
        <v>3</v>
      </c>
      <c r="E5554" s="6">
        <v>1.24</v>
      </c>
      <c r="G5554" s="31"/>
    </row>
    <row r="5555" spans="1:7" x14ac:dyDescent="0.25">
      <c r="A5555" s="36">
        <v>45367</v>
      </c>
      <c r="B5555" s="7">
        <v>40.32</v>
      </c>
      <c r="C5555" s="10">
        <v>21.76</v>
      </c>
      <c r="D5555" s="10">
        <v>3</v>
      </c>
      <c r="E5555" s="6">
        <v>1.1200000000000001</v>
      </c>
      <c r="G5555" s="31"/>
    </row>
    <row r="5556" spans="1:7" x14ac:dyDescent="0.25">
      <c r="A5556" s="36">
        <v>45368</v>
      </c>
      <c r="B5556" s="7">
        <v>40.31</v>
      </c>
      <c r="C5556" s="10">
        <v>21.76</v>
      </c>
      <c r="D5556" s="10">
        <v>2.92</v>
      </c>
      <c r="E5556" s="6">
        <v>1.04</v>
      </c>
      <c r="G5556" s="31"/>
    </row>
    <row r="5557" spans="1:7" x14ac:dyDescent="0.25">
      <c r="A5557" s="36">
        <v>45369</v>
      </c>
      <c r="B5557" s="7">
        <v>40.29</v>
      </c>
      <c r="C5557" s="10">
        <v>21.76</v>
      </c>
      <c r="D5557" s="10">
        <v>2.89</v>
      </c>
      <c r="E5557" s="6">
        <v>1.01</v>
      </c>
      <c r="G5557" s="31"/>
    </row>
    <row r="5558" spans="1:7" x14ac:dyDescent="0.25">
      <c r="A5558" s="36">
        <v>45370</v>
      </c>
      <c r="B5558" s="7">
        <v>40.31</v>
      </c>
      <c r="C5558" s="10">
        <v>21.76</v>
      </c>
      <c r="D5558" s="10">
        <v>2.89</v>
      </c>
      <c r="E5558" s="6">
        <v>0.94</v>
      </c>
      <c r="G5558" s="31"/>
    </row>
    <row r="5559" spans="1:7" x14ac:dyDescent="0.25">
      <c r="A5559" s="36">
        <v>45371</v>
      </c>
      <c r="B5559" s="7">
        <v>40.32</v>
      </c>
      <c r="C5559" s="10">
        <v>21.77</v>
      </c>
      <c r="D5559" s="10">
        <v>2.84</v>
      </c>
      <c r="E5559" s="6">
        <v>0.99</v>
      </c>
      <c r="G5559" s="31"/>
    </row>
    <row r="5560" spans="1:7" x14ac:dyDescent="0.25">
      <c r="A5560" s="36">
        <v>45372</v>
      </c>
      <c r="B5560" s="7">
        <v>40.32</v>
      </c>
      <c r="C5560" s="10">
        <v>21.79</v>
      </c>
      <c r="D5560" s="10">
        <v>2.82</v>
      </c>
      <c r="E5560" s="6">
        <v>1</v>
      </c>
      <c r="G5560" s="31"/>
    </row>
    <row r="5561" spans="1:7" x14ac:dyDescent="0.25">
      <c r="A5561" s="36">
        <v>45373</v>
      </c>
      <c r="B5561" s="7">
        <v>40.340000000000003</v>
      </c>
      <c r="C5561" s="10">
        <v>21.81</v>
      </c>
      <c r="D5561" s="10">
        <v>2.82</v>
      </c>
      <c r="E5561" s="6">
        <v>1.08</v>
      </c>
      <c r="G5561" s="31"/>
    </row>
    <row r="5562" spans="1:7" x14ac:dyDescent="0.25">
      <c r="A5562" s="36">
        <v>45374</v>
      </c>
      <c r="B5562" s="7">
        <v>40.36</v>
      </c>
      <c r="C5562" s="10">
        <v>21.82</v>
      </c>
      <c r="D5562" s="10">
        <v>2.84</v>
      </c>
      <c r="E5562" s="6">
        <v>1.1499999999999999</v>
      </c>
      <c r="G5562" s="31"/>
    </row>
    <row r="5563" spans="1:7" x14ac:dyDescent="0.25">
      <c r="A5563" s="36">
        <v>45375</v>
      </c>
      <c r="B5563" s="7">
        <v>40.36</v>
      </c>
      <c r="C5563" s="10">
        <v>21.85</v>
      </c>
      <c r="D5563" s="10">
        <v>2.88</v>
      </c>
      <c r="E5563" s="6">
        <v>1.18</v>
      </c>
      <c r="G5563" s="31"/>
    </row>
    <row r="5564" spans="1:7" x14ac:dyDescent="0.25">
      <c r="A5564" s="36">
        <v>45376</v>
      </c>
      <c r="B5564" s="7">
        <v>40.36</v>
      </c>
      <c r="C5564" s="10">
        <v>21.88</v>
      </c>
      <c r="D5564" s="10">
        <v>2.88</v>
      </c>
      <c r="E5564" s="6">
        <v>1.23</v>
      </c>
      <c r="G5564" s="31"/>
    </row>
    <row r="5565" spans="1:7" x14ac:dyDescent="0.25">
      <c r="A5565" s="36">
        <v>45377</v>
      </c>
      <c r="B5565" s="7">
        <v>40.33</v>
      </c>
      <c r="C5565" s="10">
        <v>21.87</v>
      </c>
      <c r="D5565" s="10">
        <v>2.9</v>
      </c>
      <c r="E5565" s="6">
        <v>1.18</v>
      </c>
      <c r="G5565" s="31"/>
    </row>
    <row r="5566" spans="1:7" x14ac:dyDescent="0.25">
      <c r="A5566" s="36">
        <v>45378</v>
      </c>
      <c r="B5566" s="7">
        <v>40.33</v>
      </c>
      <c r="C5566" s="10">
        <v>21.88</v>
      </c>
      <c r="D5566" s="10">
        <v>2.96</v>
      </c>
      <c r="E5566" s="6">
        <v>1.19</v>
      </c>
      <c r="G5566" s="31"/>
    </row>
    <row r="5567" spans="1:7" x14ac:dyDescent="0.25">
      <c r="A5567" s="36">
        <v>45379</v>
      </c>
      <c r="B5567" s="7">
        <v>40.36</v>
      </c>
      <c r="C5567" s="10">
        <v>21.9</v>
      </c>
      <c r="D5567" s="10">
        <v>2.98</v>
      </c>
      <c r="E5567" s="6">
        <v>1.17</v>
      </c>
      <c r="G5567" s="31"/>
    </row>
    <row r="5568" spans="1:7" x14ac:dyDescent="0.25">
      <c r="A5568" s="36">
        <v>45380</v>
      </c>
      <c r="B5568" s="7">
        <v>40.4</v>
      </c>
      <c r="C5568" s="10">
        <v>21.91</v>
      </c>
      <c r="D5568" s="10">
        <v>2.96</v>
      </c>
      <c r="E5568" s="6">
        <v>1.1599999999999999</v>
      </c>
      <c r="G5568" s="31"/>
    </row>
    <row r="5569" spans="1:7" x14ac:dyDescent="0.25">
      <c r="A5569" s="36">
        <v>45381</v>
      </c>
      <c r="B5569" s="7">
        <v>40.46</v>
      </c>
      <c r="C5569" s="10">
        <v>21.92</v>
      </c>
      <c r="D5569" s="22">
        <v>2.96</v>
      </c>
      <c r="E5569" s="6">
        <v>1.1299999999999999</v>
      </c>
      <c r="G5569" s="31"/>
    </row>
    <row r="5570" spans="1:7" x14ac:dyDescent="0.25">
      <c r="A5570" s="36">
        <v>45382</v>
      </c>
      <c r="B5570" s="7">
        <v>40.53</v>
      </c>
      <c r="C5570" s="10">
        <v>21.93</v>
      </c>
      <c r="D5570" s="22">
        <v>2.97</v>
      </c>
      <c r="E5570" s="6">
        <v>1.18</v>
      </c>
      <c r="G5570" s="31"/>
    </row>
    <row r="5571" spans="1:7" x14ac:dyDescent="0.25">
      <c r="A5571" s="36">
        <v>45383</v>
      </c>
      <c r="B5571" s="7">
        <v>40.56</v>
      </c>
      <c r="C5571" s="10">
        <v>21.96</v>
      </c>
      <c r="D5571" s="22">
        <v>2.99</v>
      </c>
      <c r="E5571" s="6">
        <v>1.19</v>
      </c>
      <c r="G5571" s="31"/>
    </row>
    <row r="5572" spans="1:7" x14ac:dyDescent="0.25">
      <c r="A5572" s="36">
        <v>45384</v>
      </c>
      <c r="B5572" s="7">
        <v>40.6</v>
      </c>
      <c r="C5572" s="10">
        <v>21.98</v>
      </c>
      <c r="D5572" s="10">
        <v>2.98</v>
      </c>
      <c r="E5572" s="6">
        <v>1.1000000000000001</v>
      </c>
      <c r="G5572" s="31"/>
    </row>
    <row r="5573" spans="1:7" x14ac:dyDescent="0.25">
      <c r="A5573" s="36">
        <v>45385</v>
      </c>
      <c r="B5573" s="7">
        <v>40.64</v>
      </c>
      <c r="C5573" s="10">
        <v>22.01</v>
      </c>
      <c r="D5573" s="10">
        <v>2.98</v>
      </c>
      <c r="E5573" s="6">
        <v>1.1100000000000001</v>
      </c>
      <c r="G5573" s="31"/>
    </row>
    <row r="5574" spans="1:7" x14ac:dyDescent="0.25">
      <c r="A5574" s="36">
        <v>45386</v>
      </c>
      <c r="B5574" s="7">
        <v>40.68</v>
      </c>
      <c r="C5574" s="10">
        <v>22.03</v>
      </c>
      <c r="D5574" s="10">
        <v>3</v>
      </c>
      <c r="E5574" s="6">
        <v>1.1200000000000001</v>
      </c>
      <c r="G5574" s="31"/>
    </row>
    <row r="5575" spans="1:7" x14ac:dyDescent="0.25">
      <c r="A5575" s="36">
        <v>45387</v>
      </c>
      <c r="B5575" s="7">
        <v>40.74</v>
      </c>
      <c r="C5575" s="10">
        <v>22.04</v>
      </c>
      <c r="D5575" s="10">
        <v>3</v>
      </c>
      <c r="E5575" s="6">
        <v>1.21</v>
      </c>
      <c r="G5575" s="31"/>
    </row>
    <row r="5576" spans="1:7" x14ac:dyDescent="0.25">
      <c r="A5576" s="36">
        <v>45388</v>
      </c>
      <c r="B5576" s="7">
        <v>40.76</v>
      </c>
      <c r="C5576" s="10">
        <v>22.06</v>
      </c>
      <c r="D5576" s="10">
        <v>3.04</v>
      </c>
      <c r="E5576" s="6">
        <v>1.26</v>
      </c>
      <c r="G5576" s="31"/>
    </row>
    <row r="5577" spans="1:7" x14ac:dyDescent="0.25">
      <c r="A5577" s="36">
        <v>45389</v>
      </c>
      <c r="B5577" s="7">
        <v>40.82</v>
      </c>
      <c r="C5577" s="10">
        <v>22.08</v>
      </c>
      <c r="D5577" s="10">
        <v>3.06</v>
      </c>
      <c r="E5577" s="6">
        <v>1.34</v>
      </c>
      <c r="G5577" s="31"/>
    </row>
    <row r="5578" spans="1:7" x14ac:dyDescent="0.25">
      <c r="A5578" s="36">
        <v>45390</v>
      </c>
      <c r="B5578" s="7">
        <v>40.9</v>
      </c>
      <c r="C5578" s="10">
        <v>22.12</v>
      </c>
      <c r="D5578" s="10">
        <v>3.1</v>
      </c>
      <c r="E5578" s="6">
        <v>1.37</v>
      </c>
      <c r="G5578" s="31"/>
    </row>
    <row r="5579" spans="1:7" x14ac:dyDescent="0.25">
      <c r="A5579" s="36">
        <v>45391</v>
      </c>
      <c r="B5579" s="7">
        <v>41.01</v>
      </c>
      <c r="C5579" s="10">
        <v>22.16</v>
      </c>
      <c r="D5579" s="10">
        <v>3.17</v>
      </c>
      <c r="E5579" s="6">
        <v>1.42</v>
      </c>
      <c r="G5579" s="31"/>
    </row>
    <row r="5580" spans="1:7" x14ac:dyDescent="0.25">
      <c r="A5580" s="36">
        <v>45392</v>
      </c>
      <c r="B5580" s="7">
        <v>41.12</v>
      </c>
      <c r="C5580" s="10">
        <v>22.2</v>
      </c>
      <c r="D5580" s="10">
        <v>3.26</v>
      </c>
      <c r="E5580" s="6">
        <v>1.42</v>
      </c>
      <c r="G5580" s="31"/>
    </row>
    <row r="5581" spans="1:7" x14ac:dyDescent="0.25">
      <c r="A5581" s="36">
        <v>45393</v>
      </c>
      <c r="B5581" s="7">
        <v>41.21</v>
      </c>
      <c r="C5581" s="10">
        <v>22.28</v>
      </c>
      <c r="D5581" s="10">
        <v>3.32</v>
      </c>
      <c r="E5581" s="6">
        <v>1.46</v>
      </c>
      <c r="G5581" s="31"/>
    </row>
    <row r="5582" spans="1:7" x14ac:dyDescent="0.25">
      <c r="A5582" s="36">
        <v>45394</v>
      </c>
      <c r="B5582" s="7">
        <v>41.3</v>
      </c>
      <c r="C5582" s="10">
        <v>22.37</v>
      </c>
      <c r="D5582" s="10">
        <v>3.35</v>
      </c>
      <c r="E5582" s="6">
        <v>1.41</v>
      </c>
      <c r="G5582" s="31"/>
    </row>
    <row r="5583" spans="1:7" x14ac:dyDescent="0.25">
      <c r="A5583" s="36">
        <v>45395</v>
      </c>
      <c r="B5583" s="7">
        <v>41.41</v>
      </c>
      <c r="C5583" s="10">
        <v>22.48</v>
      </c>
      <c r="D5583" s="10">
        <v>3.36</v>
      </c>
      <c r="E5583" s="6">
        <v>1.3</v>
      </c>
      <c r="G5583" s="31"/>
    </row>
    <row r="5584" spans="1:7" x14ac:dyDescent="0.25">
      <c r="A5584" s="36">
        <v>45396</v>
      </c>
      <c r="B5584" s="7">
        <v>41.44</v>
      </c>
      <c r="C5584" s="10">
        <v>22.6</v>
      </c>
      <c r="D5584" s="10">
        <v>3.36</v>
      </c>
      <c r="E5584" s="6">
        <v>1.31</v>
      </c>
      <c r="G5584" s="31"/>
    </row>
    <row r="5585" spans="1:7" x14ac:dyDescent="0.25">
      <c r="A5585" s="36">
        <v>45397</v>
      </c>
      <c r="B5585" s="7">
        <v>41.47</v>
      </c>
      <c r="C5585" s="10">
        <v>22.69</v>
      </c>
      <c r="D5585" s="10">
        <v>3.39</v>
      </c>
      <c r="E5585" s="6">
        <v>1.29</v>
      </c>
      <c r="G5585" s="31"/>
    </row>
    <row r="5586" spans="1:7" x14ac:dyDescent="0.25">
      <c r="A5586" s="36">
        <v>45398</v>
      </c>
      <c r="B5586" s="7">
        <v>41.47</v>
      </c>
      <c r="C5586" s="10">
        <v>22.78</v>
      </c>
      <c r="D5586" s="10">
        <v>3.45</v>
      </c>
      <c r="E5586" s="6">
        <v>1.29</v>
      </c>
      <c r="G5586" s="31"/>
    </row>
    <row r="5587" spans="1:7" x14ac:dyDescent="0.25">
      <c r="A5587" s="36">
        <v>45399</v>
      </c>
      <c r="B5587" s="7">
        <v>41.45</v>
      </c>
      <c r="C5587" s="10">
        <v>22.87</v>
      </c>
      <c r="D5587" s="10">
        <v>3.52</v>
      </c>
      <c r="E5587" s="6">
        <v>1.29</v>
      </c>
      <c r="G5587" s="31"/>
    </row>
    <row r="5588" spans="1:7" x14ac:dyDescent="0.25">
      <c r="A5588" s="36">
        <v>45400</v>
      </c>
      <c r="B5588" s="7">
        <v>41.45</v>
      </c>
      <c r="C5588" s="10">
        <v>22.93</v>
      </c>
      <c r="D5588" s="10">
        <v>3.59</v>
      </c>
      <c r="E5588" s="6">
        <v>1.38</v>
      </c>
      <c r="G5588" s="31"/>
    </row>
    <row r="5589" spans="1:7" x14ac:dyDescent="0.25">
      <c r="A5589" s="36">
        <v>45401</v>
      </c>
      <c r="B5589" s="7">
        <v>41.47</v>
      </c>
      <c r="C5589" s="10">
        <v>22.96</v>
      </c>
      <c r="D5589" s="10">
        <v>3.7</v>
      </c>
      <c r="E5589" s="6">
        <v>1.45</v>
      </c>
      <c r="G5589" s="31"/>
    </row>
    <row r="5590" spans="1:7" x14ac:dyDescent="0.25">
      <c r="A5590" s="36">
        <v>45402</v>
      </c>
      <c r="B5590" s="7">
        <v>41.48</v>
      </c>
      <c r="C5590" s="10">
        <v>22.95</v>
      </c>
      <c r="D5590" s="10">
        <v>3.82</v>
      </c>
      <c r="E5590" s="6">
        <v>1.54</v>
      </c>
      <c r="G5590" s="31"/>
    </row>
    <row r="5591" spans="1:7" x14ac:dyDescent="0.25">
      <c r="A5591" s="36">
        <v>45403</v>
      </c>
      <c r="B5591" s="7">
        <v>41.52</v>
      </c>
      <c r="C5591" s="10">
        <v>22.92</v>
      </c>
      <c r="D5591" s="10">
        <v>3.91</v>
      </c>
      <c r="E5591" s="6">
        <v>1.56</v>
      </c>
      <c r="G5591" s="31"/>
    </row>
    <row r="5592" spans="1:7" x14ac:dyDescent="0.25">
      <c r="A5592" s="36">
        <v>45404</v>
      </c>
      <c r="B5592" s="7">
        <v>41.57</v>
      </c>
      <c r="C5592" s="10">
        <v>22.9</v>
      </c>
      <c r="D5592" s="10">
        <v>3.94</v>
      </c>
      <c r="E5592" s="6">
        <v>1.54</v>
      </c>
      <c r="G5592" s="31"/>
    </row>
    <row r="5593" spans="1:7" x14ac:dyDescent="0.25">
      <c r="A5593" s="36">
        <v>45405</v>
      </c>
      <c r="B5593" s="7">
        <v>41.64</v>
      </c>
      <c r="C5593" s="10">
        <v>22.89</v>
      </c>
      <c r="D5593" s="10">
        <v>3.94</v>
      </c>
      <c r="E5593" s="6">
        <v>1.59</v>
      </c>
      <c r="G5593" s="31"/>
    </row>
    <row r="5594" spans="1:7" x14ac:dyDescent="0.25">
      <c r="A5594" s="36">
        <v>45406</v>
      </c>
      <c r="B5594" s="7">
        <v>41.7</v>
      </c>
      <c r="C5594" s="10">
        <v>22.89</v>
      </c>
      <c r="D5594" s="10">
        <v>3.96</v>
      </c>
      <c r="E5594" s="6">
        <v>1.59</v>
      </c>
      <c r="G5594" s="31"/>
    </row>
    <row r="5595" spans="1:7" x14ac:dyDescent="0.25">
      <c r="A5595" s="36">
        <v>45407</v>
      </c>
      <c r="B5595" s="7">
        <v>41.78</v>
      </c>
      <c r="C5595" s="10">
        <v>22.93</v>
      </c>
      <c r="D5595" s="10">
        <v>3.94</v>
      </c>
      <c r="E5595" s="6">
        <v>1.58</v>
      </c>
      <c r="G5595" s="31"/>
    </row>
    <row r="5596" spans="1:7" x14ac:dyDescent="0.25">
      <c r="A5596" s="36">
        <v>45408</v>
      </c>
      <c r="B5596" s="7">
        <v>41.84</v>
      </c>
      <c r="C5596" s="10">
        <v>22.98</v>
      </c>
      <c r="D5596" s="10">
        <v>3.93</v>
      </c>
      <c r="E5596" s="6">
        <v>1.65</v>
      </c>
      <c r="G5596" s="31"/>
    </row>
    <row r="5597" spans="1:7" x14ac:dyDescent="0.25">
      <c r="A5597" s="36">
        <v>45409</v>
      </c>
      <c r="B5597" s="7">
        <v>41.89</v>
      </c>
      <c r="C5597" s="10">
        <v>23.03</v>
      </c>
      <c r="D5597" s="10">
        <v>3.96</v>
      </c>
      <c r="E5597" s="6">
        <v>1.62</v>
      </c>
      <c r="G5597" s="31"/>
    </row>
    <row r="5598" spans="1:7" x14ac:dyDescent="0.25">
      <c r="A5598" s="36">
        <v>45410</v>
      </c>
      <c r="B5598" s="7">
        <v>41.95</v>
      </c>
      <c r="C5598" s="10">
        <v>23.09</v>
      </c>
      <c r="D5598" s="10">
        <v>3.98</v>
      </c>
      <c r="E5598" s="6">
        <v>1.62</v>
      </c>
      <c r="G5598" s="31"/>
    </row>
    <row r="5599" spans="1:7" x14ac:dyDescent="0.25">
      <c r="A5599" s="36">
        <v>45411</v>
      </c>
      <c r="B5599" s="7">
        <v>42.06</v>
      </c>
      <c r="C5599" s="10">
        <v>23.2</v>
      </c>
      <c r="D5599" s="10">
        <v>3.99</v>
      </c>
      <c r="E5599" s="6">
        <v>1.74</v>
      </c>
      <c r="G5599" s="31"/>
    </row>
    <row r="5600" spans="1:7" x14ac:dyDescent="0.25">
      <c r="A5600" s="36">
        <v>45412</v>
      </c>
      <c r="B5600" s="7">
        <v>42.08</v>
      </c>
      <c r="C5600" s="10">
        <v>23.34</v>
      </c>
      <c r="D5600" s="10">
        <v>4.03</v>
      </c>
      <c r="E5600" s="6">
        <v>1.73</v>
      </c>
      <c r="G5600" s="31"/>
    </row>
    <row r="5601" spans="1:7" x14ac:dyDescent="0.25">
      <c r="A5601" s="36">
        <v>45413</v>
      </c>
      <c r="B5601" s="7">
        <v>42.13</v>
      </c>
      <c r="C5601" s="10">
        <v>23.48</v>
      </c>
      <c r="D5601" s="10">
        <v>4.1399999999999997</v>
      </c>
      <c r="E5601" s="6">
        <v>1.78</v>
      </c>
      <c r="G5601" s="31"/>
    </row>
    <row r="5602" spans="1:7" x14ac:dyDescent="0.25">
      <c r="A5602" s="36">
        <v>45414</v>
      </c>
      <c r="B5602" s="7">
        <v>42.17</v>
      </c>
      <c r="C5602" s="10">
        <v>23.64</v>
      </c>
      <c r="D5602" s="10">
        <v>4.2300000000000004</v>
      </c>
      <c r="E5602" s="6">
        <v>1.8</v>
      </c>
      <c r="G5602" s="31"/>
    </row>
    <row r="5603" spans="1:7" x14ac:dyDescent="0.25">
      <c r="A5603" s="36">
        <v>45415</v>
      </c>
      <c r="B5603" s="7">
        <v>42.27</v>
      </c>
      <c r="C5603" s="10">
        <v>23.78</v>
      </c>
      <c r="D5603" s="10">
        <v>4.34</v>
      </c>
      <c r="E5603" s="6">
        <v>1.86</v>
      </c>
      <c r="G5603" s="31"/>
    </row>
    <row r="5604" spans="1:7" x14ac:dyDescent="0.25">
      <c r="A5604" s="36">
        <v>45416</v>
      </c>
      <c r="B5604" s="7">
        <v>42.42</v>
      </c>
      <c r="C5604" s="10">
        <v>23.88</v>
      </c>
      <c r="D5604" s="10">
        <v>4.46</v>
      </c>
      <c r="E5604" s="6">
        <v>1.9</v>
      </c>
      <c r="G5604" s="31"/>
    </row>
    <row r="5605" spans="1:7" x14ac:dyDescent="0.25">
      <c r="A5605" s="36">
        <v>45417</v>
      </c>
      <c r="B5605" s="7">
        <v>42.6</v>
      </c>
      <c r="C5605" s="23">
        <v>23.96</v>
      </c>
      <c r="D5605" s="10">
        <v>4.5999999999999996</v>
      </c>
      <c r="E5605" s="6">
        <v>1.96</v>
      </c>
      <c r="G5605" s="31"/>
    </row>
    <row r="5606" spans="1:7" x14ac:dyDescent="0.25">
      <c r="A5606" s="36">
        <v>45418</v>
      </c>
      <c r="B5606" s="7">
        <v>42.86</v>
      </c>
      <c r="C5606" s="23">
        <v>24.06</v>
      </c>
      <c r="D5606" s="10">
        <v>4.7300000000000004</v>
      </c>
      <c r="E5606" s="6">
        <v>2.04</v>
      </c>
      <c r="G5606" s="31"/>
    </row>
    <row r="5607" spans="1:7" x14ac:dyDescent="0.25">
      <c r="A5607" s="36">
        <v>45419</v>
      </c>
      <c r="B5607" s="7">
        <v>43.16</v>
      </c>
      <c r="C5607" s="10">
        <v>24.28</v>
      </c>
      <c r="D5607" s="10">
        <v>4.87</v>
      </c>
      <c r="E5607" s="6">
        <v>2.15</v>
      </c>
      <c r="G5607" s="31"/>
    </row>
    <row r="5608" spans="1:7" x14ac:dyDescent="0.25">
      <c r="A5608" s="36">
        <v>45420</v>
      </c>
      <c r="B5608" s="7">
        <v>43.52</v>
      </c>
      <c r="C5608" s="10">
        <v>24.59</v>
      </c>
      <c r="D5608" s="10">
        <v>4.9800000000000004</v>
      </c>
      <c r="E5608" s="6">
        <v>2.21</v>
      </c>
      <c r="G5608" s="31"/>
    </row>
    <row r="5609" spans="1:7" x14ac:dyDescent="0.25">
      <c r="A5609" s="36">
        <v>45421</v>
      </c>
      <c r="B5609" s="7">
        <v>43.94</v>
      </c>
      <c r="C5609" s="10">
        <v>24.91</v>
      </c>
      <c r="D5609" s="10">
        <v>5.12</v>
      </c>
      <c r="E5609" s="6">
        <v>2.29</v>
      </c>
      <c r="G5609" s="31"/>
    </row>
    <row r="5610" spans="1:7" x14ac:dyDescent="0.25">
      <c r="A5610" s="36">
        <v>45422</v>
      </c>
      <c r="B5610" s="7">
        <v>44.28</v>
      </c>
      <c r="C5610" s="10">
        <v>25.19</v>
      </c>
      <c r="D5610" s="10">
        <v>5.35</v>
      </c>
      <c r="E5610" s="6">
        <v>2.4700000000000002</v>
      </c>
      <c r="G5610" s="31"/>
    </row>
    <row r="5611" spans="1:7" x14ac:dyDescent="0.25">
      <c r="A5611" s="36">
        <v>45423</v>
      </c>
      <c r="B5611" s="7">
        <v>44.53</v>
      </c>
      <c r="C5611" s="10">
        <v>25.48</v>
      </c>
      <c r="D5611" s="10">
        <v>5.67</v>
      </c>
      <c r="E5611" s="6">
        <v>2.6</v>
      </c>
      <c r="G5611" s="31"/>
    </row>
    <row r="5612" spans="1:7" x14ac:dyDescent="0.25">
      <c r="A5612" s="36">
        <v>45424</v>
      </c>
      <c r="B5612" s="7">
        <v>44.77</v>
      </c>
      <c r="C5612" s="10">
        <v>25.76</v>
      </c>
      <c r="D5612" s="10">
        <v>5.96</v>
      </c>
      <c r="E5612" s="6">
        <v>2.72</v>
      </c>
      <c r="G5612" s="31"/>
    </row>
    <row r="5613" spans="1:7" x14ac:dyDescent="0.25">
      <c r="A5613" s="36">
        <v>45425</v>
      </c>
      <c r="B5613" s="7">
        <v>44.95</v>
      </c>
      <c r="C5613" s="10">
        <v>26</v>
      </c>
      <c r="D5613" s="10">
        <v>6.34</v>
      </c>
      <c r="E5613" s="6">
        <v>2.9</v>
      </c>
      <c r="G5613" s="31"/>
    </row>
    <row r="5614" spans="1:7" x14ac:dyDescent="0.25">
      <c r="A5614" s="36">
        <v>45426</v>
      </c>
      <c r="B5614" s="7">
        <v>45.1</v>
      </c>
      <c r="C5614" s="10">
        <v>26.23</v>
      </c>
      <c r="D5614" s="10">
        <v>6.61</v>
      </c>
      <c r="E5614" s="6">
        <v>3.09</v>
      </c>
      <c r="G5614" s="31"/>
    </row>
    <row r="5615" spans="1:7" x14ac:dyDescent="0.25">
      <c r="A5615" s="36">
        <v>45427</v>
      </c>
      <c r="B5615" s="7">
        <v>45.24</v>
      </c>
      <c r="C5615" s="10">
        <v>26.4</v>
      </c>
      <c r="D5615" s="10">
        <v>6.9</v>
      </c>
      <c r="E5615" s="6">
        <v>3.29</v>
      </c>
      <c r="G5615" s="31"/>
    </row>
    <row r="5616" spans="1:7" x14ac:dyDescent="0.25">
      <c r="A5616" s="36">
        <v>45428</v>
      </c>
      <c r="B5616" s="7">
        <v>45.42</v>
      </c>
      <c r="C5616" s="10">
        <v>26.53</v>
      </c>
      <c r="D5616" s="10">
        <v>7.2</v>
      </c>
      <c r="E5616" s="6">
        <v>3.47</v>
      </c>
      <c r="G5616" s="31"/>
    </row>
    <row r="5617" spans="1:7" x14ac:dyDescent="0.25">
      <c r="A5617" s="36">
        <v>45429</v>
      </c>
      <c r="B5617" s="7">
        <v>45.7</v>
      </c>
      <c r="C5617" s="10">
        <v>26.69</v>
      </c>
      <c r="D5617" s="10">
        <v>7.49</v>
      </c>
      <c r="E5617" s="6">
        <v>3.73</v>
      </c>
      <c r="G5617" s="31"/>
    </row>
    <row r="5618" spans="1:7" x14ac:dyDescent="0.25">
      <c r="A5618" s="36">
        <v>45430</v>
      </c>
      <c r="B5618" s="7">
        <v>46.04</v>
      </c>
      <c r="C5618" s="10">
        <v>26.89</v>
      </c>
      <c r="D5618" s="10">
        <v>7.71</v>
      </c>
      <c r="E5618" s="6">
        <v>3.84</v>
      </c>
      <c r="G5618" s="31"/>
    </row>
    <row r="5619" spans="1:7" x14ac:dyDescent="0.25">
      <c r="A5619" s="36">
        <v>45431</v>
      </c>
      <c r="B5619" s="7">
        <v>46.26</v>
      </c>
      <c r="C5619" s="10">
        <v>27.12</v>
      </c>
      <c r="D5619" s="10">
        <v>7.86</v>
      </c>
      <c r="E5619" s="6">
        <v>3.98</v>
      </c>
      <c r="G5619" s="31"/>
    </row>
    <row r="5620" spans="1:7" x14ac:dyDescent="0.25">
      <c r="A5620" s="36">
        <v>45432</v>
      </c>
      <c r="B5620" s="7">
        <v>46.43</v>
      </c>
      <c r="C5620" s="10">
        <v>27.32</v>
      </c>
      <c r="D5620" s="10">
        <v>8.0299999999999994</v>
      </c>
      <c r="E5620" s="6">
        <v>4.12</v>
      </c>
      <c r="G5620" s="31"/>
    </row>
    <row r="5621" spans="1:7" x14ac:dyDescent="0.25">
      <c r="A5621" s="36">
        <v>45433</v>
      </c>
      <c r="B5621" s="7">
        <v>46.56</v>
      </c>
      <c r="C5621" s="10">
        <v>27.51</v>
      </c>
      <c r="D5621" s="10">
        <v>8.23</v>
      </c>
      <c r="E5621" s="6">
        <v>4.28</v>
      </c>
      <c r="G5621" s="31"/>
    </row>
    <row r="5622" spans="1:7" x14ac:dyDescent="0.25">
      <c r="A5622" s="36">
        <v>45434</v>
      </c>
      <c r="B5622" s="7">
        <v>46.68</v>
      </c>
      <c r="C5622" s="10">
        <v>27.65</v>
      </c>
      <c r="D5622" s="10">
        <v>8.48</v>
      </c>
      <c r="E5622" s="6">
        <v>4.41</v>
      </c>
      <c r="G5622" s="31"/>
    </row>
    <row r="5623" spans="1:7" x14ac:dyDescent="0.25">
      <c r="A5623" s="36">
        <v>45435</v>
      </c>
      <c r="B5623" s="7">
        <v>46.77</v>
      </c>
      <c r="C5623" s="10">
        <v>27.75</v>
      </c>
      <c r="D5623" s="10">
        <v>8.73</v>
      </c>
      <c r="E5623" s="6">
        <v>4.57</v>
      </c>
      <c r="G5623" s="31"/>
    </row>
    <row r="5624" spans="1:7" x14ac:dyDescent="0.25">
      <c r="A5624" s="36">
        <v>45436</v>
      </c>
      <c r="B5624" s="7">
        <v>46.9</v>
      </c>
      <c r="C5624" s="10">
        <v>27.86</v>
      </c>
      <c r="D5624" s="10">
        <v>8.9</v>
      </c>
      <c r="E5624" s="6">
        <v>4.6399999999999997</v>
      </c>
      <c r="G5624" s="31"/>
    </row>
    <row r="5625" spans="1:7" x14ac:dyDescent="0.25">
      <c r="A5625" s="36">
        <v>45437</v>
      </c>
      <c r="B5625" s="7">
        <v>46.98</v>
      </c>
      <c r="C5625" s="10">
        <v>27.95</v>
      </c>
      <c r="D5625" s="10">
        <v>8.9600000000000009</v>
      </c>
      <c r="E5625" s="6">
        <v>4.76</v>
      </c>
      <c r="G5625" s="31"/>
    </row>
    <row r="5626" spans="1:7" x14ac:dyDescent="0.25">
      <c r="A5626" s="36">
        <v>45438</v>
      </c>
      <c r="B5626" s="7">
        <v>47.06</v>
      </c>
      <c r="C5626" s="10">
        <v>28.07</v>
      </c>
      <c r="D5626" s="10">
        <v>9.08</v>
      </c>
      <c r="E5626" s="6">
        <v>4.8600000000000003</v>
      </c>
      <c r="G5626" s="31"/>
    </row>
    <row r="5627" spans="1:7" x14ac:dyDescent="0.25">
      <c r="A5627" s="36">
        <v>45439</v>
      </c>
      <c r="B5627" s="7">
        <v>47.16</v>
      </c>
      <c r="C5627" s="10">
        <v>28.21</v>
      </c>
      <c r="D5627" s="10">
        <v>9.27</v>
      </c>
      <c r="E5627" s="6">
        <v>4.9800000000000004</v>
      </c>
      <c r="G5627" s="31"/>
    </row>
    <row r="5628" spans="1:7" x14ac:dyDescent="0.25">
      <c r="A5628" s="36">
        <v>45440</v>
      </c>
      <c r="B5628" s="7">
        <v>47.26</v>
      </c>
      <c r="C5628" s="10">
        <v>28.33</v>
      </c>
      <c r="D5628" s="10">
        <v>9.42</v>
      </c>
      <c r="E5628" s="6">
        <v>5.09</v>
      </c>
      <c r="G5628" s="31"/>
    </row>
    <row r="5629" spans="1:7" x14ac:dyDescent="0.25">
      <c r="A5629" s="36">
        <v>45441</v>
      </c>
      <c r="B5629" s="7">
        <v>47.4</v>
      </c>
      <c r="C5629" s="10">
        <v>28.45</v>
      </c>
      <c r="D5629" s="10">
        <v>9.5299999999999994</v>
      </c>
      <c r="E5629" s="6">
        <v>5.16</v>
      </c>
      <c r="G5629" s="31"/>
    </row>
    <row r="5630" spans="1:7" x14ac:dyDescent="0.25">
      <c r="A5630" s="36">
        <v>45442</v>
      </c>
      <c r="B5630" s="7">
        <v>47.54</v>
      </c>
      <c r="C5630" s="10">
        <v>28.6</v>
      </c>
      <c r="D5630" s="10">
        <v>9.6300000000000008</v>
      </c>
      <c r="E5630" s="6">
        <v>5.18</v>
      </c>
      <c r="G5630" s="31"/>
    </row>
    <row r="5631" spans="1:7" x14ac:dyDescent="0.25">
      <c r="A5631" s="36">
        <v>45443</v>
      </c>
      <c r="B5631" s="7">
        <v>47.68</v>
      </c>
      <c r="C5631" s="10">
        <v>28.74</v>
      </c>
      <c r="D5631" s="10">
        <v>9.73</v>
      </c>
      <c r="E5631" s="6">
        <v>5.33</v>
      </c>
      <c r="G5631" s="31"/>
    </row>
    <row r="5632" spans="1:7" x14ac:dyDescent="0.25">
      <c r="A5632" s="36">
        <v>45444</v>
      </c>
      <c r="B5632" s="7">
        <v>47.88</v>
      </c>
      <c r="C5632" s="10">
        <v>28.89</v>
      </c>
      <c r="D5632" s="10">
        <v>9.9</v>
      </c>
      <c r="E5632" s="7">
        <v>5.47</v>
      </c>
      <c r="G5632" s="31"/>
    </row>
    <row r="5633" spans="1:7" x14ac:dyDescent="0.25">
      <c r="A5633" s="36">
        <v>45445</v>
      </c>
      <c r="B5633" s="7">
        <v>48.04</v>
      </c>
      <c r="C5633" s="10">
        <v>29.05</v>
      </c>
      <c r="D5633" s="10">
        <v>10.09</v>
      </c>
      <c r="E5633" s="7">
        <v>5.59</v>
      </c>
      <c r="G5633" s="31"/>
    </row>
    <row r="5634" spans="1:7" x14ac:dyDescent="0.25">
      <c r="A5634" s="36">
        <v>45446</v>
      </c>
      <c r="B5634" s="7">
        <v>48.2</v>
      </c>
      <c r="C5634" s="10">
        <v>29.24</v>
      </c>
      <c r="D5634" s="10">
        <v>10.28</v>
      </c>
      <c r="E5634" s="7">
        <v>5.76</v>
      </c>
      <c r="G5634" s="31"/>
    </row>
    <row r="5635" spans="1:7" x14ac:dyDescent="0.25">
      <c r="A5635" s="36">
        <v>45447</v>
      </c>
      <c r="B5635" s="7">
        <v>48.34</v>
      </c>
      <c r="C5635" s="10">
        <v>29.42</v>
      </c>
      <c r="D5635" s="10">
        <v>10.49</v>
      </c>
      <c r="E5635" s="7">
        <v>5.89</v>
      </c>
      <c r="G5635" s="31"/>
    </row>
    <row r="5636" spans="1:7" x14ac:dyDescent="0.25">
      <c r="A5636" s="36">
        <v>45448</v>
      </c>
      <c r="B5636" s="7">
        <v>48.48</v>
      </c>
      <c r="C5636" s="10">
        <v>29.58</v>
      </c>
      <c r="D5636" s="10">
        <v>10.7</v>
      </c>
      <c r="E5636" s="7">
        <v>6.07</v>
      </c>
      <c r="G5636" s="31"/>
    </row>
    <row r="5637" spans="1:7" x14ac:dyDescent="0.25">
      <c r="A5637" s="36">
        <v>45449</v>
      </c>
      <c r="B5637" s="7">
        <v>48.66</v>
      </c>
      <c r="C5637" s="10">
        <v>29.74</v>
      </c>
      <c r="D5637" s="10">
        <v>10.95</v>
      </c>
      <c r="E5637" s="7">
        <v>6.21</v>
      </c>
      <c r="G5637" s="31"/>
    </row>
    <row r="5638" spans="1:7" x14ac:dyDescent="0.25">
      <c r="A5638" s="36">
        <v>45450</v>
      </c>
      <c r="B5638" s="7">
        <v>48.76</v>
      </c>
      <c r="C5638" s="10">
        <v>29.88</v>
      </c>
      <c r="D5638" s="10">
        <v>11.17</v>
      </c>
      <c r="E5638" s="7">
        <v>6.39</v>
      </c>
      <c r="G5638" s="31"/>
    </row>
    <row r="5639" spans="1:7" x14ac:dyDescent="0.25">
      <c r="A5639" s="36">
        <v>45451</v>
      </c>
      <c r="B5639" s="7">
        <v>48.94</v>
      </c>
      <c r="C5639" s="10">
        <v>30.01</v>
      </c>
      <c r="D5639" s="10">
        <v>11.36</v>
      </c>
      <c r="E5639" s="7">
        <v>6.57</v>
      </c>
      <c r="G5639" s="31"/>
    </row>
    <row r="5640" spans="1:7" x14ac:dyDescent="0.25">
      <c r="A5640" s="36">
        <v>45452</v>
      </c>
      <c r="B5640" s="7">
        <v>49.1</v>
      </c>
      <c r="C5640" s="10">
        <v>30.14</v>
      </c>
      <c r="D5640" s="10">
        <v>11.56</v>
      </c>
      <c r="E5640" s="7">
        <v>6.63</v>
      </c>
      <c r="G5640" s="31"/>
    </row>
    <row r="5641" spans="1:7" x14ac:dyDescent="0.25">
      <c r="A5641" s="36">
        <v>45453</v>
      </c>
      <c r="B5641" s="7">
        <v>49.24</v>
      </c>
      <c r="C5641" s="10">
        <v>30.27</v>
      </c>
      <c r="D5641" s="10">
        <v>11.7</v>
      </c>
      <c r="E5641" s="7">
        <v>6.74</v>
      </c>
      <c r="G5641" s="31"/>
    </row>
    <row r="5642" spans="1:7" x14ac:dyDescent="0.25">
      <c r="A5642" s="36">
        <v>45454</v>
      </c>
      <c r="B5642" s="7">
        <v>49.36</v>
      </c>
      <c r="C5642" s="10">
        <v>30.4</v>
      </c>
      <c r="D5642" s="10">
        <v>11.84</v>
      </c>
      <c r="E5642" s="7">
        <v>6.82</v>
      </c>
      <c r="G5642" s="31"/>
    </row>
    <row r="5643" spans="1:7" x14ac:dyDescent="0.25">
      <c r="A5643" s="36">
        <v>45455</v>
      </c>
      <c r="B5643" s="7">
        <v>49.46</v>
      </c>
      <c r="C5643" s="10">
        <v>30.52</v>
      </c>
      <c r="D5643" s="10">
        <v>11.98</v>
      </c>
      <c r="E5643" s="7">
        <v>6.94</v>
      </c>
      <c r="G5643" s="31"/>
    </row>
    <row r="5644" spans="1:7" x14ac:dyDescent="0.25">
      <c r="A5644" s="36">
        <v>45456</v>
      </c>
      <c r="B5644" s="7">
        <v>49.61</v>
      </c>
      <c r="C5644" s="10">
        <v>30.62</v>
      </c>
      <c r="D5644" s="10">
        <v>12.11</v>
      </c>
      <c r="E5644" s="7">
        <v>7.08</v>
      </c>
      <c r="G5644" s="31"/>
    </row>
    <row r="5645" spans="1:7" x14ac:dyDescent="0.25">
      <c r="A5645" s="36">
        <v>45457</v>
      </c>
      <c r="B5645" s="7">
        <v>49.7</v>
      </c>
      <c r="C5645" s="10">
        <v>30.73</v>
      </c>
      <c r="D5645" s="10">
        <v>12.26</v>
      </c>
      <c r="E5645" s="7">
        <v>7.18</v>
      </c>
      <c r="G5645" s="31"/>
    </row>
    <row r="5646" spans="1:7" x14ac:dyDescent="0.25">
      <c r="A5646" s="36">
        <v>45458</v>
      </c>
      <c r="B5646" s="7">
        <v>49.78</v>
      </c>
      <c r="C5646" s="10">
        <v>30.83</v>
      </c>
      <c r="D5646" s="10">
        <v>12.41</v>
      </c>
      <c r="E5646" s="7">
        <v>7.29</v>
      </c>
      <c r="G5646" s="31"/>
    </row>
    <row r="5647" spans="1:7" x14ac:dyDescent="0.25">
      <c r="A5647" s="36">
        <v>45459</v>
      </c>
      <c r="B5647" s="7">
        <v>49.84</v>
      </c>
      <c r="C5647" s="10">
        <v>30.95</v>
      </c>
      <c r="D5647" s="10">
        <v>12.56</v>
      </c>
      <c r="E5647" s="7">
        <v>7.38</v>
      </c>
      <c r="G5647" s="31"/>
    </row>
    <row r="5648" spans="1:7" x14ac:dyDescent="0.25">
      <c r="A5648" s="36">
        <v>45460</v>
      </c>
      <c r="B5648" s="7">
        <v>49.9</v>
      </c>
      <c r="C5648" s="10">
        <v>31.06</v>
      </c>
      <c r="D5648" s="10">
        <v>12.68</v>
      </c>
      <c r="E5648" s="7">
        <v>7.52</v>
      </c>
      <c r="G5648" s="31"/>
    </row>
    <row r="5649" spans="1:7" x14ac:dyDescent="0.25">
      <c r="A5649" s="36">
        <v>45461</v>
      </c>
      <c r="B5649" s="7">
        <v>49.97</v>
      </c>
      <c r="C5649" s="10">
        <v>31.15</v>
      </c>
      <c r="D5649" s="10">
        <v>12.82</v>
      </c>
      <c r="E5649" s="7">
        <v>7.61</v>
      </c>
      <c r="G5649" s="31"/>
    </row>
    <row r="5650" spans="1:7" x14ac:dyDescent="0.25">
      <c r="A5650" s="36">
        <v>45462</v>
      </c>
      <c r="B5650" s="7">
        <v>49.98</v>
      </c>
      <c r="C5650" s="10">
        <v>31.23</v>
      </c>
      <c r="D5650" s="10">
        <v>12.96</v>
      </c>
      <c r="E5650" s="7">
        <v>7.71</v>
      </c>
      <c r="G5650" s="31"/>
    </row>
    <row r="5651" spans="1:7" x14ac:dyDescent="0.25">
      <c r="A5651" s="36">
        <v>45463</v>
      </c>
      <c r="B5651" s="7">
        <v>50.08</v>
      </c>
      <c r="C5651" s="10">
        <v>31.29</v>
      </c>
      <c r="D5651" s="10">
        <v>13.07</v>
      </c>
      <c r="E5651" s="7">
        <v>7.85</v>
      </c>
      <c r="G5651" s="31"/>
    </row>
    <row r="5652" spans="1:7" x14ac:dyDescent="0.25">
      <c r="A5652" s="36">
        <v>45464</v>
      </c>
      <c r="B5652" s="7">
        <v>50.22</v>
      </c>
      <c r="C5652" s="10">
        <v>31.4</v>
      </c>
      <c r="D5652" s="10">
        <v>13.19</v>
      </c>
      <c r="E5652" s="7">
        <v>7.91</v>
      </c>
      <c r="G5652" s="31"/>
    </row>
    <row r="5653" spans="1:7" x14ac:dyDescent="0.25">
      <c r="A5653" s="36">
        <v>45465</v>
      </c>
      <c r="B5653" s="7">
        <v>50.34</v>
      </c>
      <c r="C5653" s="10">
        <v>31.5</v>
      </c>
      <c r="D5653" s="10">
        <v>13.26</v>
      </c>
      <c r="E5653" s="7">
        <v>8.01</v>
      </c>
      <c r="G5653" s="31"/>
    </row>
    <row r="5654" spans="1:7" x14ac:dyDescent="0.25">
      <c r="A5654" s="36">
        <v>45466</v>
      </c>
      <c r="B5654" s="7">
        <v>50.5</v>
      </c>
      <c r="C5654" s="10">
        <v>31.59</v>
      </c>
      <c r="D5654" s="10">
        <v>13.32</v>
      </c>
      <c r="E5654" s="7">
        <v>8.0399999999999991</v>
      </c>
      <c r="G5654" s="31"/>
    </row>
    <row r="5655" spans="1:7" x14ac:dyDescent="0.25">
      <c r="A5655" s="36">
        <v>45467</v>
      </c>
      <c r="B5655" s="7">
        <v>50.62</v>
      </c>
      <c r="C5655" s="10">
        <v>31.7</v>
      </c>
      <c r="D5655" s="10">
        <v>13.4</v>
      </c>
      <c r="E5655" s="7">
        <v>8.11</v>
      </c>
      <c r="G5655" s="31"/>
    </row>
    <row r="5656" spans="1:7" x14ac:dyDescent="0.25">
      <c r="A5656" s="36">
        <v>45468</v>
      </c>
      <c r="B5656" s="7">
        <v>50.74</v>
      </c>
      <c r="C5656" s="10">
        <v>31.8</v>
      </c>
      <c r="D5656" s="10">
        <v>13.48</v>
      </c>
      <c r="E5656" s="7">
        <v>8.18</v>
      </c>
      <c r="G5656" s="31"/>
    </row>
    <row r="5657" spans="1:7" x14ac:dyDescent="0.25">
      <c r="A5657" s="36">
        <v>45469</v>
      </c>
      <c r="B5657" s="7">
        <v>50.78</v>
      </c>
      <c r="C5657" s="10">
        <v>31.88</v>
      </c>
      <c r="D5657" s="10">
        <v>13.62</v>
      </c>
      <c r="E5657" s="7">
        <v>8.2799999999999994</v>
      </c>
      <c r="G5657" s="31"/>
    </row>
    <row r="5658" spans="1:7" x14ac:dyDescent="0.25">
      <c r="A5658" s="36">
        <v>45470</v>
      </c>
      <c r="B5658" s="7">
        <v>50.79</v>
      </c>
      <c r="C5658" s="10">
        <v>31.97</v>
      </c>
      <c r="D5658" s="10">
        <v>13.73</v>
      </c>
      <c r="E5658" s="7">
        <v>8.3699999999999992</v>
      </c>
      <c r="G5658" s="31"/>
    </row>
    <row r="5659" spans="1:7" x14ac:dyDescent="0.25">
      <c r="A5659" s="36">
        <v>45471</v>
      </c>
      <c r="B5659" s="7">
        <v>50.85</v>
      </c>
      <c r="C5659" s="10">
        <v>32.06</v>
      </c>
      <c r="D5659" s="10">
        <v>13.83</v>
      </c>
      <c r="E5659" s="7">
        <v>8.4700000000000006</v>
      </c>
      <c r="G5659" s="31"/>
    </row>
    <row r="5660" spans="1:7" x14ac:dyDescent="0.25">
      <c r="A5660" s="36">
        <v>45472</v>
      </c>
      <c r="B5660" s="7">
        <v>50.86</v>
      </c>
      <c r="C5660" s="10">
        <v>32.119999999999997</v>
      </c>
      <c r="D5660" s="10">
        <v>13.94</v>
      </c>
      <c r="E5660" s="7">
        <v>8.49</v>
      </c>
      <c r="G5660" s="31"/>
    </row>
    <row r="5661" spans="1:7" x14ac:dyDescent="0.25">
      <c r="A5661" s="36">
        <v>45473</v>
      </c>
      <c r="B5661" s="7">
        <v>50.88</v>
      </c>
      <c r="C5661" s="10">
        <v>32.18</v>
      </c>
      <c r="D5661" s="10">
        <v>13.98</v>
      </c>
      <c r="E5661" s="7">
        <v>8.5299999999999994</v>
      </c>
      <c r="G5661" s="31"/>
    </row>
    <row r="5662" spans="1:7" x14ac:dyDescent="0.25">
      <c r="A5662" s="36">
        <v>45474</v>
      </c>
      <c r="B5662" s="7">
        <v>50.88</v>
      </c>
      <c r="C5662" s="10">
        <v>32.26</v>
      </c>
      <c r="D5662" s="10">
        <v>14</v>
      </c>
      <c r="E5662" s="7">
        <v>8.58</v>
      </c>
      <c r="G5662" s="31"/>
    </row>
    <row r="5663" spans="1:7" x14ac:dyDescent="0.25">
      <c r="A5663" s="36">
        <v>45475</v>
      </c>
      <c r="B5663" s="7">
        <v>50.9</v>
      </c>
      <c r="C5663" s="10">
        <v>32.31</v>
      </c>
      <c r="D5663" s="10">
        <v>14.04</v>
      </c>
      <c r="E5663" s="7">
        <v>8.6199999999999992</v>
      </c>
      <c r="G5663" s="31"/>
    </row>
    <row r="5664" spans="1:7" x14ac:dyDescent="0.25">
      <c r="A5664" s="36">
        <v>45476</v>
      </c>
      <c r="B5664" s="7">
        <v>50.92</v>
      </c>
      <c r="C5664" s="10">
        <v>32.380000000000003</v>
      </c>
      <c r="D5664" s="10">
        <v>14.08</v>
      </c>
      <c r="E5664" s="7">
        <v>8.65</v>
      </c>
      <c r="G5664" s="31"/>
    </row>
    <row r="5665" spans="1:7" x14ac:dyDescent="0.25">
      <c r="A5665" s="36">
        <v>45477</v>
      </c>
      <c r="B5665" s="7">
        <v>50.96</v>
      </c>
      <c r="C5665" s="10">
        <v>32.43</v>
      </c>
      <c r="D5665" s="10">
        <v>14.16</v>
      </c>
      <c r="E5665" s="7">
        <v>8.7200000000000006</v>
      </c>
      <c r="G5665" s="31"/>
    </row>
    <row r="5666" spans="1:7" x14ac:dyDescent="0.25">
      <c r="A5666" s="36">
        <v>45478</v>
      </c>
      <c r="B5666" s="7">
        <v>51.02</v>
      </c>
      <c r="C5666" s="10">
        <v>32.46</v>
      </c>
      <c r="D5666" s="10">
        <v>14.22</v>
      </c>
      <c r="E5666" s="7">
        <v>8.74</v>
      </c>
      <c r="G5666" s="31"/>
    </row>
    <row r="5667" spans="1:7" x14ac:dyDescent="0.25">
      <c r="A5667" s="36">
        <v>45479</v>
      </c>
      <c r="B5667" s="7">
        <v>51.08</v>
      </c>
      <c r="C5667" s="10">
        <v>32.57</v>
      </c>
      <c r="D5667" s="10">
        <v>14.29</v>
      </c>
      <c r="E5667" s="7">
        <v>8.82</v>
      </c>
      <c r="G5667" s="31"/>
    </row>
    <row r="5668" spans="1:7" x14ac:dyDescent="0.25">
      <c r="A5668" s="36">
        <v>45480</v>
      </c>
      <c r="B5668" s="7">
        <v>51.22</v>
      </c>
      <c r="C5668" s="10">
        <v>32.659999999999997</v>
      </c>
      <c r="D5668" s="10">
        <v>14.35</v>
      </c>
      <c r="E5668" s="7">
        <v>8.8699999999999992</v>
      </c>
      <c r="G5668" s="31"/>
    </row>
    <row r="5669" spans="1:7" x14ac:dyDescent="0.25">
      <c r="A5669" s="36">
        <v>45481</v>
      </c>
      <c r="B5669" s="7">
        <v>51.28</v>
      </c>
      <c r="C5669" s="10">
        <v>32.72</v>
      </c>
      <c r="D5669" s="10">
        <v>14.41</v>
      </c>
      <c r="E5669" s="7">
        <v>8.91</v>
      </c>
      <c r="G5669" s="31"/>
    </row>
    <row r="5670" spans="1:7" x14ac:dyDescent="0.25">
      <c r="A5670" s="36">
        <v>45482</v>
      </c>
      <c r="B5670" s="7">
        <v>51.36</v>
      </c>
      <c r="C5670" s="10">
        <v>32.799999999999997</v>
      </c>
      <c r="D5670" s="10">
        <v>14.48</v>
      </c>
      <c r="E5670" s="7">
        <v>8.9600000000000009</v>
      </c>
      <c r="G5670" s="31"/>
    </row>
    <row r="5671" spans="1:7" x14ac:dyDescent="0.25">
      <c r="A5671" s="36">
        <v>45483</v>
      </c>
      <c r="B5671" s="7">
        <v>51.44</v>
      </c>
      <c r="C5671" s="10">
        <v>32.869999999999997</v>
      </c>
      <c r="D5671" s="10">
        <v>14.57</v>
      </c>
      <c r="E5671" s="7">
        <v>9.0399999999999991</v>
      </c>
      <c r="G5671" s="31"/>
    </row>
    <row r="5672" spans="1:7" x14ac:dyDescent="0.25">
      <c r="A5672" s="36">
        <v>45484</v>
      </c>
      <c r="B5672" s="7">
        <v>51.48</v>
      </c>
      <c r="C5672" s="10">
        <v>32.92</v>
      </c>
      <c r="D5672" s="10">
        <v>14.64</v>
      </c>
      <c r="E5672" s="7">
        <v>9.09</v>
      </c>
      <c r="G5672" s="31"/>
    </row>
    <row r="5673" spans="1:7" x14ac:dyDescent="0.25">
      <c r="A5673" s="36">
        <v>45485</v>
      </c>
      <c r="B5673" s="7">
        <v>51.52</v>
      </c>
      <c r="C5673" s="10">
        <v>32.97</v>
      </c>
      <c r="D5673" s="10">
        <v>14.72</v>
      </c>
      <c r="E5673" s="7">
        <v>9.17</v>
      </c>
      <c r="G5673" s="31"/>
    </row>
    <row r="5674" spans="1:7" x14ac:dyDescent="0.25">
      <c r="A5674" s="36">
        <v>45486</v>
      </c>
      <c r="B5674" s="7">
        <v>51.62</v>
      </c>
      <c r="C5674" s="10">
        <v>33.049999999999997</v>
      </c>
      <c r="D5674" s="10">
        <v>14.79</v>
      </c>
      <c r="E5674" s="7">
        <v>9.27</v>
      </c>
      <c r="G5674" s="31"/>
    </row>
    <row r="5675" spans="1:7" x14ac:dyDescent="0.25">
      <c r="A5675" s="36">
        <v>45487</v>
      </c>
      <c r="B5675" s="7">
        <v>51.66</v>
      </c>
      <c r="C5675" s="10">
        <v>33.130000000000003</v>
      </c>
      <c r="D5675" s="10">
        <v>14.85</v>
      </c>
      <c r="E5675" s="6">
        <v>9.25</v>
      </c>
      <c r="G5675" s="31"/>
    </row>
    <row r="5676" spans="1:7" x14ac:dyDescent="0.25">
      <c r="A5676" s="36">
        <v>45488</v>
      </c>
      <c r="B5676" s="7">
        <v>51.68</v>
      </c>
      <c r="C5676" s="10">
        <v>33.200000000000003</v>
      </c>
      <c r="D5676" s="10">
        <v>14.91</v>
      </c>
      <c r="E5676" s="6">
        <v>9.33</v>
      </c>
      <c r="G5676" s="31"/>
    </row>
    <row r="5677" spans="1:7" x14ac:dyDescent="0.25">
      <c r="A5677" s="36">
        <v>45489</v>
      </c>
      <c r="B5677" s="7">
        <v>51.66</v>
      </c>
      <c r="C5677" s="10">
        <v>33.28</v>
      </c>
      <c r="D5677" s="10">
        <v>15.01</v>
      </c>
      <c r="E5677" s="6">
        <v>9.41</v>
      </c>
      <c r="G5677" s="31"/>
    </row>
    <row r="5678" spans="1:7" x14ac:dyDescent="0.25">
      <c r="A5678" s="36">
        <v>45490</v>
      </c>
      <c r="B5678" s="7">
        <v>51.68</v>
      </c>
      <c r="C5678" s="10">
        <v>33.340000000000003</v>
      </c>
      <c r="D5678" s="10">
        <v>15.1</v>
      </c>
      <c r="E5678" s="6">
        <v>9.5299999999999994</v>
      </c>
      <c r="G5678" s="31"/>
    </row>
    <row r="5679" spans="1:7" x14ac:dyDescent="0.25">
      <c r="A5679" s="36">
        <v>45491</v>
      </c>
      <c r="B5679" s="7">
        <v>51.72</v>
      </c>
      <c r="C5679" s="10">
        <v>33.42</v>
      </c>
      <c r="D5679" s="10">
        <v>15.21</v>
      </c>
      <c r="E5679" s="6">
        <v>9.6</v>
      </c>
      <c r="G5679" s="31"/>
    </row>
    <row r="5680" spans="1:7" x14ac:dyDescent="0.25">
      <c r="A5680" s="36">
        <v>45492</v>
      </c>
      <c r="B5680" s="7">
        <v>51.74</v>
      </c>
      <c r="C5680" s="10">
        <v>33.49</v>
      </c>
      <c r="D5680" s="10">
        <v>15.34</v>
      </c>
      <c r="E5680" s="6">
        <v>9.66</v>
      </c>
      <c r="G5680" s="31"/>
    </row>
    <row r="5681" spans="1:7" x14ac:dyDescent="0.25">
      <c r="A5681" s="36">
        <v>45493</v>
      </c>
      <c r="B5681" s="7">
        <v>51.72</v>
      </c>
      <c r="C5681" s="10">
        <v>33.549999999999997</v>
      </c>
      <c r="D5681" s="10">
        <v>15.48</v>
      </c>
      <c r="E5681" s="6">
        <v>9.76</v>
      </c>
      <c r="G5681" s="31"/>
    </row>
    <row r="5682" spans="1:7" x14ac:dyDescent="0.25">
      <c r="A5682" s="36">
        <v>45494</v>
      </c>
      <c r="B5682" s="7">
        <v>51.72</v>
      </c>
      <c r="C5682" s="10">
        <v>33.619999999999997</v>
      </c>
      <c r="D5682" s="10">
        <v>15.6</v>
      </c>
      <c r="E5682" s="6">
        <v>9.8800000000000008</v>
      </c>
      <c r="G5682" s="31"/>
    </row>
    <row r="5683" spans="1:7" x14ac:dyDescent="0.25">
      <c r="A5683" s="36">
        <v>45495</v>
      </c>
      <c r="B5683" s="7">
        <v>51.69</v>
      </c>
      <c r="C5683" s="10">
        <v>33.68</v>
      </c>
      <c r="D5683" s="10">
        <v>15.7</v>
      </c>
      <c r="E5683" s="6">
        <v>9.94</v>
      </c>
      <c r="G5683" s="31"/>
    </row>
    <row r="5684" spans="1:7" x14ac:dyDescent="0.25">
      <c r="A5684" s="36">
        <v>45496</v>
      </c>
      <c r="B5684" s="7">
        <v>51.68</v>
      </c>
      <c r="C5684" s="10">
        <v>33.729999999999997</v>
      </c>
      <c r="D5684" s="10">
        <v>15.84</v>
      </c>
      <c r="E5684" s="6">
        <v>10.06</v>
      </c>
      <c r="G5684" s="31"/>
    </row>
    <row r="5685" spans="1:7" x14ac:dyDescent="0.25">
      <c r="A5685" s="36">
        <v>45497</v>
      </c>
      <c r="B5685" s="7">
        <v>51.62</v>
      </c>
      <c r="C5685" s="10">
        <v>33.770000000000003</v>
      </c>
      <c r="D5685" s="10">
        <v>15.96</v>
      </c>
      <c r="E5685" s="6">
        <v>10.15</v>
      </c>
      <c r="G5685" s="31"/>
    </row>
    <row r="5686" spans="1:7" x14ac:dyDescent="0.25">
      <c r="A5686" s="36">
        <v>45498</v>
      </c>
      <c r="B5686" s="7">
        <v>51.7</v>
      </c>
      <c r="C5686" s="10">
        <v>33.83</v>
      </c>
      <c r="D5686" s="10">
        <v>16.09</v>
      </c>
      <c r="E5686" s="6">
        <v>10.27</v>
      </c>
      <c r="G5686" s="31"/>
    </row>
    <row r="5687" spans="1:7" x14ac:dyDescent="0.25">
      <c r="A5687" s="36">
        <v>45499</v>
      </c>
      <c r="B5687" s="7">
        <v>51.7</v>
      </c>
      <c r="C5687" s="10">
        <v>33.86</v>
      </c>
      <c r="D5687" s="10">
        <v>16.25</v>
      </c>
      <c r="E5687" s="6">
        <v>10.35</v>
      </c>
      <c r="G5687" s="31"/>
    </row>
    <row r="5688" spans="1:7" x14ac:dyDescent="0.25">
      <c r="A5688" s="36">
        <v>45500</v>
      </c>
      <c r="B5688" s="7">
        <v>51.76</v>
      </c>
      <c r="C5688" s="10">
        <v>33.92</v>
      </c>
      <c r="D5688" s="10">
        <v>16.3</v>
      </c>
      <c r="E5688" s="6">
        <v>10.38</v>
      </c>
      <c r="G5688" s="31"/>
    </row>
    <row r="5689" spans="1:7" x14ac:dyDescent="0.25">
      <c r="A5689" s="36">
        <v>45501</v>
      </c>
      <c r="B5689" s="7">
        <v>51.78</v>
      </c>
      <c r="C5689" s="10">
        <v>33.96</v>
      </c>
      <c r="D5689" s="10">
        <v>16.36</v>
      </c>
      <c r="E5689" s="6">
        <v>10.44</v>
      </c>
      <c r="G5689" s="31"/>
    </row>
    <row r="5690" spans="1:7" x14ac:dyDescent="0.25">
      <c r="A5690" s="36">
        <v>45502</v>
      </c>
      <c r="B5690" s="7">
        <v>51.78</v>
      </c>
      <c r="C5690" s="10">
        <v>34.049999999999997</v>
      </c>
      <c r="D5690" s="10">
        <v>16.440000000000001</v>
      </c>
      <c r="E5690" s="6">
        <v>10.52</v>
      </c>
      <c r="G5690" s="31"/>
    </row>
    <row r="5691" spans="1:7" x14ac:dyDescent="0.25">
      <c r="A5691" s="36">
        <v>45503</v>
      </c>
      <c r="B5691" s="7">
        <v>51.72</v>
      </c>
      <c r="C5691" s="10">
        <v>34.08</v>
      </c>
      <c r="D5691" s="10">
        <v>16.52</v>
      </c>
      <c r="E5691" s="6">
        <v>10.6</v>
      </c>
      <c r="G5691" s="31"/>
    </row>
    <row r="5692" spans="1:7" x14ac:dyDescent="0.25">
      <c r="A5692" s="36">
        <v>45504</v>
      </c>
      <c r="B5692" s="7">
        <v>51.68</v>
      </c>
      <c r="C5692" s="10">
        <v>34.11</v>
      </c>
      <c r="D5692" s="10">
        <v>16.600000000000001</v>
      </c>
      <c r="E5692" s="6">
        <v>10.63</v>
      </c>
      <c r="G5692" s="31"/>
    </row>
    <row r="5693" spans="1:7" x14ac:dyDescent="0.25">
      <c r="A5693" s="36">
        <v>45505</v>
      </c>
      <c r="B5693" s="7">
        <v>51.58</v>
      </c>
      <c r="C5693" s="10">
        <v>34.130000000000003</v>
      </c>
      <c r="D5693" s="10">
        <v>16.68</v>
      </c>
      <c r="E5693" s="6">
        <v>10.7</v>
      </c>
      <c r="G5693" s="31"/>
    </row>
    <row r="5694" spans="1:7" x14ac:dyDescent="0.25">
      <c r="A5694" s="36">
        <v>45506</v>
      </c>
      <c r="B5694" s="7">
        <v>51.5</v>
      </c>
      <c r="C5694" s="10">
        <v>34.14</v>
      </c>
      <c r="D5694" s="10">
        <v>16.739999999999998</v>
      </c>
      <c r="E5694" s="6">
        <v>10.73</v>
      </c>
      <c r="G5694" s="31"/>
    </row>
    <row r="5695" spans="1:7" x14ac:dyDescent="0.25">
      <c r="A5695" s="36">
        <v>45507</v>
      </c>
      <c r="B5695" s="7">
        <v>51.46</v>
      </c>
      <c r="C5695" s="10">
        <v>34.159999999999997</v>
      </c>
      <c r="D5695" s="10">
        <v>16.78</v>
      </c>
      <c r="E5695" s="6">
        <v>10.79</v>
      </c>
      <c r="G5695" s="31"/>
    </row>
    <row r="5696" spans="1:7" x14ac:dyDescent="0.25">
      <c r="A5696" s="36">
        <v>45508</v>
      </c>
      <c r="B5696" s="7">
        <v>51.38</v>
      </c>
      <c r="C5696" s="10">
        <v>34.15</v>
      </c>
      <c r="D5696" s="10">
        <v>16.8</v>
      </c>
      <c r="E5696" s="6">
        <v>10.78</v>
      </c>
      <c r="G5696" s="31"/>
    </row>
    <row r="5697" spans="1:7" x14ac:dyDescent="0.25">
      <c r="A5697" s="36">
        <v>45509</v>
      </c>
      <c r="B5697" s="7">
        <v>51.32</v>
      </c>
      <c r="C5697" s="10">
        <v>34.159999999999997</v>
      </c>
      <c r="D5697" s="10">
        <v>16.8</v>
      </c>
      <c r="E5697" s="6">
        <v>10.8</v>
      </c>
      <c r="G5697" s="31"/>
    </row>
    <row r="5698" spans="1:7" x14ac:dyDescent="0.25">
      <c r="A5698" s="36">
        <v>45510</v>
      </c>
      <c r="B5698" s="7">
        <v>51.32</v>
      </c>
      <c r="C5698" s="10">
        <v>34.15</v>
      </c>
      <c r="D5698" s="10">
        <v>16.8</v>
      </c>
      <c r="E5698" s="6">
        <v>10.77</v>
      </c>
      <c r="G5698" s="31"/>
    </row>
    <row r="5699" spans="1:7" x14ac:dyDescent="0.25">
      <c r="A5699" s="36">
        <v>45511</v>
      </c>
      <c r="B5699" s="7">
        <v>51.28</v>
      </c>
      <c r="C5699" s="10">
        <v>34.130000000000003</v>
      </c>
      <c r="D5699" s="10">
        <v>16.8</v>
      </c>
      <c r="E5699" s="6">
        <v>10.77</v>
      </c>
      <c r="G5699" s="31"/>
    </row>
    <row r="5700" spans="1:7" x14ac:dyDescent="0.25">
      <c r="A5700" s="36">
        <v>45512</v>
      </c>
      <c r="B5700" s="7">
        <v>51.24</v>
      </c>
      <c r="C5700" s="10">
        <v>34.1</v>
      </c>
      <c r="D5700" s="10">
        <v>16.760000000000002</v>
      </c>
      <c r="E5700" s="6">
        <v>10.77</v>
      </c>
      <c r="G5700" s="31"/>
    </row>
    <row r="5701" spans="1:7" x14ac:dyDescent="0.25">
      <c r="A5701" s="36">
        <v>45513</v>
      </c>
      <c r="B5701" s="7">
        <v>51.18</v>
      </c>
      <c r="C5701" s="10">
        <v>34.07</v>
      </c>
      <c r="D5701" s="10">
        <v>16.760000000000002</v>
      </c>
      <c r="E5701" s="6">
        <v>10.74</v>
      </c>
      <c r="G5701" s="31"/>
    </row>
    <row r="5702" spans="1:7" x14ac:dyDescent="0.25">
      <c r="A5702" s="36">
        <v>45514</v>
      </c>
      <c r="B5702" s="7">
        <v>51.12</v>
      </c>
      <c r="C5702" s="10">
        <v>34.049999999999997</v>
      </c>
      <c r="D5702" s="10">
        <v>16.72</v>
      </c>
      <c r="E5702" s="6">
        <v>10.74</v>
      </c>
      <c r="G5702" s="31"/>
    </row>
    <row r="5703" spans="1:7" x14ac:dyDescent="0.25">
      <c r="A5703" s="36">
        <v>45515</v>
      </c>
      <c r="B5703" s="7">
        <v>51.02</v>
      </c>
      <c r="C5703" s="10">
        <v>34.07</v>
      </c>
      <c r="D5703" s="10">
        <v>16.7</v>
      </c>
      <c r="E5703" s="6">
        <v>10.71</v>
      </c>
      <c r="G5703" s="31"/>
    </row>
    <row r="5704" spans="1:7" x14ac:dyDescent="0.25">
      <c r="A5704" s="36">
        <v>45516</v>
      </c>
      <c r="B5704" s="7">
        <v>50.94</v>
      </c>
      <c r="C5704" s="10">
        <v>34.07</v>
      </c>
      <c r="D5704" s="10">
        <v>16.690000000000001</v>
      </c>
      <c r="E5704" s="6">
        <v>10.73</v>
      </c>
      <c r="G5704" s="31"/>
    </row>
    <row r="5705" spans="1:7" x14ac:dyDescent="0.25">
      <c r="A5705" s="36">
        <v>45517</v>
      </c>
      <c r="B5705" s="7">
        <v>50.88</v>
      </c>
      <c r="C5705" s="10">
        <v>34.020000000000003</v>
      </c>
      <c r="D5705" s="10">
        <v>16.690000000000001</v>
      </c>
      <c r="E5705" s="6">
        <v>10.7</v>
      </c>
      <c r="G5705" s="31"/>
    </row>
    <row r="5706" spans="1:7" x14ac:dyDescent="0.25">
      <c r="A5706" s="36">
        <v>45518</v>
      </c>
      <c r="B5706" s="7">
        <v>50.8</v>
      </c>
      <c r="C5706" s="10">
        <v>33.979999999999997</v>
      </c>
      <c r="D5706" s="10">
        <v>16.68</v>
      </c>
      <c r="E5706" s="6">
        <v>10.71</v>
      </c>
      <c r="G5706" s="31"/>
    </row>
    <row r="5707" spans="1:7" x14ac:dyDescent="0.25">
      <c r="A5707" s="36">
        <v>45519</v>
      </c>
      <c r="B5707" s="7">
        <v>50.72</v>
      </c>
      <c r="C5707" s="10">
        <v>33.94</v>
      </c>
      <c r="D5707" s="10">
        <v>16.7</v>
      </c>
      <c r="E5707" s="6">
        <v>10.69</v>
      </c>
      <c r="G5707" s="31"/>
    </row>
    <row r="5708" spans="1:7" x14ac:dyDescent="0.25">
      <c r="A5708" s="36">
        <v>45520</v>
      </c>
      <c r="B5708" s="7">
        <v>50.64</v>
      </c>
      <c r="C5708" s="10">
        <v>33.89</v>
      </c>
      <c r="D5708" s="10">
        <v>16.66</v>
      </c>
      <c r="E5708" s="6">
        <v>10.7</v>
      </c>
      <c r="G5708" s="31"/>
    </row>
    <row r="5709" spans="1:7" x14ac:dyDescent="0.25">
      <c r="A5709" s="36">
        <v>45521</v>
      </c>
      <c r="B5709" s="7">
        <v>50.6</v>
      </c>
      <c r="C5709" s="10">
        <v>33.74</v>
      </c>
      <c r="D5709" s="10">
        <v>16.66</v>
      </c>
      <c r="E5709" s="6">
        <v>10.68</v>
      </c>
      <c r="G5709" s="31"/>
    </row>
    <row r="5710" spans="1:7" x14ac:dyDescent="0.25">
      <c r="A5710" s="36">
        <v>45522</v>
      </c>
      <c r="B5710" s="7">
        <v>50.52</v>
      </c>
      <c r="C5710" s="10">
        <v>33.770000000000003</v>
      </c>
      <c r="D5710" s="10">
        <v>16.63</v>
      </c>
      <c r="E5710" s="6">
        <v>10.65</v>
      </c>
      <c r="G5710" s="31"/>
    </row>
    <row r="5711" spans="1:7" x14ac:dyDescent="0.25">
      <c r="A5711" s="36">
        <v>45523</v>
      </c>
      <c r="B5711" s="7">
        <v>50.44</v>
      </c>
      <c r="C5711" s="10">
        <v>33.71</v>
      </c>
      <c r="D5711" s="10">
        <v>16.59</v>
      </c>
      <c r="E5711" s="6">
        <v>10.67</v>
      </c>
      <c r="G5711" s="31"/>
    </row>
    <row r="5712" spans="1:7" x14ac:dyDescent="0.25">
      <c r="A5712" s="36">
        <v>45524</v>
      </c>
      <c r="B5712" s="7">
        <v>50.36</v>
      </c>
      <c r="C5712" s="10">
        <v>33.64</v>
      </c>
      <c r="D5712" s="10">
        <v>16.54</v>
      </c>
      <c r="E5712" s="6">
        <v>10.65</v>
      </c>
      <c r="G5712" s="31"/>
    </row>
    <row r="5713" spans="1:7" x14ac:dyDescent="0.25">
      <c r="A5713" s="36">
        <v>45525</v>
      </c>
      <c r="B5713" s="7">
        <v>50.28</v>
      </c>
      <c r="C5713" s="10">
        <v>33.56</v>
      </c>
      <c r="D5713" s="10">
        <v>16.48</v>
      </c>
      <c r="E5713" s="6">
        <v>10.59</v>
      </c>
      <c r="G5713" s="31"/>
    </row>
    <row r="5714" spans="1:7" x14ac:dyDescent="0.25">
      <c r="A5714" s="36">
        <v>45526</v>
      </c>
      <c r="B5714" s="7">
        <v>50.16</v>
      </c>
      <c r="C5714" s="10">
        <v>33.479999999999997</v>
      </c>
      <c r="D5714" s="10">
        <v>16.38</v>
      </c>
      <c r="E5714" s="6">
        <v>10.53</v>
      </c>
      <c r="G5714" s="31"/>
    </row>
    <row r="5715" spans="1:7" x14ac:dyDescent="0.25">
      <c r="A5715" s="36">
        <v>45527</v>
      </c>
      <c r="B5715" s="7">
        <v>50.04</v>
      </c>
      <c r="C5715" s="10">
        <v>33.4</v>
      </c>
      <c r="D5715" s="10">
        <v>16.28</v>
      </c>
      <c r="E5715" s="6">
        <v>10.48</v>
      </c>
      <c r="G5715" s="31"/>
    </row>
    <row r="5716" spans="1:7" x14ac:dyDescent="0.25">
      <c r="A5716" s="36">
        <v>45528</v>
      </c>
      <c r="B5716" s="7">
        <v>49.9</v>
      </c>
      <c r="C5716" s="10">
        <v>33.32</v>
      </c>
      <c r="D5716" s="10">
        <v>16.2</v>
      </c>
      <c r="E5716" s="6">
        <v>10.39</v>
      </c>
      <c r="G5716" s="31"/>
    </row>
    <row r="5717" spans="1:7" x14ac:dyDescent="0.25">
      <c r="A5717" s="36">
        <v>45529</v>
      </c>
      <c r="B5717" s="7">
        <v>49.78</v>
      </c>
      <c r="C5717" s="10">
        <v>33.26</v>
      </c>
      <c r="D5717" s="10">
        <v>16.100000000000001</v>
      </c>
      <c r="E5717" s="6">
        <v>10.3</v>
      </c>
      <c r="G5717" s="31"/>
    </row>
    <row r="5718" spans="1:7" x14ac:dyDescent="0.25">
      <c r="A5718" s="36">
        <v>45530</v>
      </c>
      <c r="B5718" s="7">
        <v>49.64</v>
      </c>
      <c r="C5718" s="10">
        <v>33.159999999999997</v>
      </c>
      <c r="D5718" s="10">
        <v>15.98</v>
      </c>
      <c r="E5718" s="6">
        <v>10.210000000000001</v>
      </c>
      <c r="G5718" s="31"/>
    </row>
    <row r="5719" spans="1:7" x14ac:dyDescent="0.25">
      <c r="A5719" s="36">
        <v>45531</v>
      </c>
      <c r="B5719" s="7">
        <v>49.54</v>
      </c>
      <c r="C5719" s="10">
        <v>33.06</v>
      </c>
      <c r="D5719" s="10">
        <v>15.9</v>
      </c>
      <c r="E5719" s="6">
        <v>10.130000000000001</v>
      </c>
      <c r="G5719" s="31"/>
    </row>
    <row r="5720" spans="1:7" x14ac:dyDescent="0.25">
      <c r="A5720" s="36">
        <v>45532</v>
      </c>
      <c r="B5720" s="7">
        <v>49.48</v>
      </c>
      <c r="C5720" s="10">
        <v>32.99</v>
      </c>
      <c r="D5720" s="10">
        <v>15.8</v>
      </c>
      <c r="E5720" s="6">
        <v>10.039999999999999</v>
      </c>
      <c r="G5720" s="31"/>
    </row>
    <row r="5721" spans="1:7" x14ac:dyDescent="0.25">
      <c r="A5721" s="36">
        <v>45533</v>
      </c>
      <c r="B5721" s="7">
        <v>49.38</v>
      </c>
      <c r="C5721" s="10">
        <v>32.9</v>
      </c>
      <c r="D5721" s="10">
        <v>15.74</v>
      </c>
      <c r="E5721" s="6">
        <v>9.91</v>
      </c>
      <c r="G5721" s="31"/>
    </row>
    <row r="5722" spans="1:7" x14ac:dyDescent="0.25">
      <c r="A5722" s="36">
        <v>45534</v>
      </c>
      <c r="B5722" s="7">
        <v>49.32</v>
      </c>
      <c r="C5722" s="10">
        <v>32.799999999999997</v>
      </c>
      <c r="D5722" s="10">
        <v>15.64</v>
      </c>
      <c r="E5722" s="6">
        <v>9.9</v>
      </c>
      <c r="G5722" s="31"/>
    </row>
    <row r="5723" spans="1:7" x14ac:dyDescent="0.25">
      <c r="A5723" s="36">
        <v>45535</v>
      </c>
      <c r="B5723" s="7">
        <v>49.29</v>
      </c>
      <c r="C5723" s="10">
        <v>32.700000000000003</v>
      </c>
      <c r="D5723" s="10">
        <v>15.58</v>
      </c>
      <c r="E5723" s="6">
        <v>9.85</v>
      </c>
      <c r="G5723" s="31"/>
    </row>
    <row r="5724" spans="1:7" x14ac:dyDescent="0.25">
      <c r="A5724" s="36">
        <v>45536</v>
      </c>
      <c r="B5724" s="7">
        <v>49.22</v>
      </c>
      <c r="C5724" s="10">
        <v>32.64</v>
      </c>
      <c r="D5724" s="10">
        <v>15.51</v>
      </c>
      <c r="E5724" s="6">
        <v>9.82</v>
      </c>
      <c r="G5724" s="31"/>
    </row>
    <row r="5725" spans="1:7" x14ac:dyDescent="0.25">
      <c r="A5725" s="36">
        <v>45537</v>
      </c>
      <c r="B5725" s="7">
        <v>49.18</v>
      </c>
      <c r="C5725" s="10">
        <v>32.57</v>
      </c>
      <c r="D5725" s="10">
        <v>15.44</v>
      </c>
      <c r="E5725" s="6">
        <v>9.82</v>
      </c>
      <c r="G5725" s="31"/>
    </row>
    <row r="5726" spans="1:7" x14ac:dyDescent="0.25">
      <c r="A5726" s="36">
        <v>45538</v>
      </c>
      <c r="B5726" s="7">
        <v>49.02</v>
      </c>
      <c r="C5726" s="10">
        <v>32.47</v>
      </c>
      <c r="D5726" s="10">
        <v>15.42</v>
      </c>
      <c r="E5726" s="6">
        <v>9.7899999999999991</v>
      </c>
      <c r="G5726" s="31"/>
    </row>
    <row r="5727" spans="1:7" x14ac:dyDescent="0.25">
      <c r="A5727" s="36">
        <v>45539</v>
      </c>
      <c r="B5727" s="7">
        <v>48.91</v>
      </c>
      <c r="C5727" s="10">
        <v>32.4</v>
      </c>
      <c r="D5727" s="10">
        <v>15.36</v>
      </c>
      <c r="E5727" s="6">
        <v>9.75</v>
      </c>
      <c r="G5727" s="31"/>
    </row>
    <row r="5728" spans="1:7" x14ac:dyDescent="0.25">
      <c r="A5728" s="36">
        <v>45540</v>
      </c>
      <c r="B5728" s="7">
        <v>48.8</v>
      </c>
      <c r="C5728" s="10">
        <v>32.340000000000003</v>
      </c>
      <c r="D5728" s="10">
        <v>15.28</v>
      </c>
      <c r="E5728" s="6">
        <v>9.67</v>
      </c>
      <c r="G5728" s="31"/>
    </row>
    <row r="5729" spans="1:7" x14ac:dyDescent="0.25">
      <c r="A5729" s="36">
        <v>45541</v>
      </c>
      <c r="B5729" s="7">
        <v>48.65</v>
      </c>
      <c r="C5729" s="10">
        <v>32.25</v>
      </c>
      <c r="D5729" s="10">
        <v>15.17</v>
      </c>
      <c r="E5729" s="6">
        <v>9.57</v>
      </c>
      <c r="G5729" s="31"/>
    </row>
    <row r="5730" spans="1:7" x14ac:dyDescent="0.25">
      <c r="A5730" s="36">
        <v>45542</v>
      </c>
      <c r="B5730" s="7">
        <v>48.53</v>
      </c>
      <c r="C5730" s="10">
        <v>32.17</v>
      </c>
      <c r="D5730" s="10">
        <v>15.08</v>
      </c>
      <c r="E5730" s="6">
        <v>9.48</v>
      </c>
      <c r="G5730" s="31"/>
    </row>
    <row r="5731" spans="1:7" x14ac:dyDescent="0.25">
      <c r="A5731" s="36">
        <v>45543</v>
      </c>
      <c r="B5731" s="7">
        <v>48.37</v>
      </c>
      <c r="C5731" s="10">
        <v>32.07</v>
      </c>
      <c r="D5731" s="10">
        <v>14.96</v>
      </c>
      <c r="E5731" s="6">
        <v>9.3699999999999992</v>
      </c>
      <c r="G5731" s="31"/>
    </row>
    <row r="5732" spans="1:7" x14ac:dyDescent="0.25">
      <c r="A5732" s="36">
        <v>45544</v>
      </c>
      <c r="B5732" s="7">
        <v>48.25</v>
      </c>
      <c r="C5732" s="10">
        <v>31.97</v>
      </c>
      <c r="D5732" s="10">
        <v>14.87</v>
      </c>
      <c r="E5732" s="6">
        <v>9.3000000000000007</v>
      </c>
      <c r="G5732" s="31"/>
    </row>
    <row r="5733" spans="1:7" x14ac:dyDescent="0.25">
      <c r="A5733" s="36">
        <v>45545</v>
      </c>
      <c r="B5733" s="7">
        <v>48.16</v>
      </c>
      <c r="C5733" s="10">
        <v>31.87</v>
      </c>
      <c r="D5733" s="10">
        <v>14.75</v>
      </c>
      <c r="E5733" s="6">
        <v>9.23</v>
      </c>
      <c r="G5733" s="31"/>
    </row>
    <row r="5734" spans="1:7" x14ac:dyDescent="0.25">
      <c r="A5734" s="36">
        <v>45546</v>
      </c>
      <c r="B5734" s="7">
        <v>48.08</v>
      </c>
      <c r="C5734" s="10">
        <v>31.76</v>
      </c>
      <c r="D5734" s="10">
        <v>14.64</v>
      </c>
      <c r="E5734" s="6">
        <v>9.16</v>
      </c>
      <c r="G5734" s="31"/>
    </row>
    <row r="5735" spans="1:7" x14ac:dyDescent="0.25">
      <c r="A5735" s="36">
        <v>45547</v>
      </c>
      <c r="B5735" s="7">
        <v>47.96</v>
      </c>
      <c r="C5735" s="10">
        <v>31.65</v>
      </c>
      <c r="D5735" s="10">
        <v>14.54</v>
      </c>
      <c r="E5735" s="6">
        <v>9.06</v>
      </c>
      <c r="G5735" s="31"/>
    </row>
    <row r="5736" spans="1:7" x14ac:dyDescent="0.25">
      <c r="A5736" s="36">
        <v>45548</v>
      </c>
      <c r="B5736" s="7">
        <v>47.83</v>
      </c>
      <c r="C5736" s="10">
        <v>31.53</v>
      </c>
      <c r="D5736" s="10">
        <v>14.42</v>
      </c>
      <c r="E5736" s="6">
        <v>8.9499999999999993</v>
      </c>
      <c r="G5736" s="31"/>
    </row>
    <row r="5737" spans="1:7" x14ac:dyDescent="0.25">
      <c r="A5737" s="36">
        <v>45549</v>
      </c>
      <c r="B5737" s="7">
        <v>47.67</v>
      </c>
      <c r="C5737" s="10">
        <v>31.42</v>
      </c>
      <c r="D5737" s="10">
        <v>14.3</v>
      </c>
      <c r="E5737" s="6">
        <v>8.85</v>
      </c>
      <c r="G5737" s="31"/>
    </row>
    <row r="5738" spans="1:7" x14ac:dyDescent="0.25">
      <c r="A5738" s="36">
        <v>45550</v>
      </c>
      <c r="B5738" s="7">
        <v>47.53</v>
      </c>
      <c r="C5738" s="10">
        <v>31.3</v>
      </c>
      <c r="D5738" s="10">
        <v>14.17</v>
      </c>
      <c r="E5738" s="6">
        <v>8.74</v>
      </c>
      <c r="G5738" s="31"/>
    </row>
    <row r="5739" spans="1:7" x14ac:dyDescent="0.25">
      <c r="A5739" s="36">
        <v>45551</v>
      </c>
      <c r="B5739" s="7">
        <v>47.4</v>
      </c>
      <c r="C5739" s="10">
        <v>31.18</v>
      </c>
      <c r="D5739" s="10">
        <v>14.04</v>
      </c>
      <c r="E5739" s="6">
        <v>8.65</v>
      </c>
      <c r="G5739" s="31"/>
    </row>
    <row r="5740" spans="1:7" x14ac:dyDescent="0.25">
      <c r="A5740" s="36">
        <v>45552</v>
      </c>
      <c r="B5740" s="7">
        <v>47.29</v>
      </c>
      <c r="C5740" s="10">
        <v>31.06</v>
      </c>
      <c r="D5740" s="10">
        <v>13.93</v>
      </c>
      <c r="E5740" s="6">
        <v>8.57</v>
      </c>
      <c r="G5740" s="31"/>
    </row>
    <row r="5741" spans="1:7" x14ac:dyDescent="0.25">
      <c r="A5741" s="36">
        <v>45553</v>
      </c>
      <c r="B5741" s="7">
        <v>47.17</v>
      </c>
      <c r="C5741" s="10">
        <v>30.94</v>
      </c>
      <c r="D5741" s="10">
        <v>13.82</v>
      </c>
      <c r="E5741" s="6">
        <v>8.5299999999999994</v>
      </c>
      <c r="G5741" s="31"/>
    </row>
    <row r="5742" spans="1:7" x14ac:dyDescent="0.25">
      <c r="A5742" s="36">
        <v>45554</v>
      </c>
      <c r="B5742" s="7">
        <v>47.06</v>
      </c>
      <c r="C5742" s="10">
        <v>30.82</v>
      </c>
      <c r="D5742" s="10">
        <v>13.76</v>
      </c>
      <c r="E5742" s="6">
        <v>8.42</v>
      </c>
      <c r="G5742" s="31"/>
    </row>
    <row r="5743" spans="1:7" x14ac:dyDescent="0.25">
      <c r="A5743" s="36">
        <v>45555</v>
      </c>
      <c r="B5743" s="7">
        <v>46.91</v>
      </c>
      <c r="C5743" s="10">
        <v>30.68</v>
      </c>
      <c r="D5743" s="10">
        <v>13.66</v>
      </c>
      <c r="E5743" s="6">
        <v>8.34</v>
      </c>
      <c r="G5743" s="31"/>
    </row>
    <row r="5744" spans="1:7" x14ac:dyDescent="0.25">
      <c r="A5744" s="36">
        <v>45556</v>
      </c>
      <c r="B5744" s="7">
        <v>46.79</v>
      </c>
      <c r="C5744" s="10">
        <v>30.56</v>
      </c>
      <c r="D5744" s="10">
        <v>13.51</v>
      </c>
      <c r="E5744" s="6">
        <v>8.24</v>
      </c>
      <c r="G5744" s="31"/>
    </row>
    <row r="5745" spans="1:7" x14ac:dyDescent="0.25">
      <c r="A5745" s="36">
        <v>45557</v>
      </c>
      <c r="B5745" s="7">
        <v>46.6</v>
      </c>
      <c r="C5745" s="10">
        <v>30.45</v>
      </c>
      <c r="D5745" s="10">
        <v>13.37</v>
      </c>
      <c r="E5745" s="6">
        <v>8.1300000000000008</v>
      </c>
      <c r="G5745" s="31"/>
    </row>
    <row r="5746" spans="1:7" x14ac:dyDescent="0.25">
      <c r="A5746" s="36">
        <v>45558</v>
      </c>
      <c r="B5746" s="7">
        <v>46.42</v>
      </c>
      <c r="C5746" s="10">
        <v>30.3</v>
      </c>
      <c r="D5746" s="10">
        <v>13.23</v>
      </c>
      <c r="E5746" s="6">
        <v>8</v>
      </c>
      <c r="G5746" s="31"/>
    </row>
    <row r="5747" spans="1:7" x14ac:dyDescent="0.25">
      <c r="A5747" s="36">
        <v>45559</v>
      </c>
      <c r="B5747" s="7">
        <v>46.29</v>
      </c>
      <c r="C5747" s="10">
        <v>30.13</v>
      </c>
      <c r="D5747" s="10">
        <v>13.08</v>
      </c>
      <c r="E5747" s="6">
        <v>7.88</v>
      </c>
      <c r="G5747" s="31"/>
    </row>
    <row r="5748" spans="1:7" x14ac:dyDescent="0.25">
      <c r="A5748" s="36">
        <v>45560</v>
      </c>
      <c r="B5748" s="7">
        <v>46.12</v>
      </c>
      <c r="C5748" s="10">
        <v>29.98</v>
      </c>
      <c r="D5748" s="10">
        <v>12.9</v>
      </c>
      <c r="E5748" s="6">
        <v>7.67</v>
      </c>
      <c r="G5748" s="31"/>
    </row>
    <row r="5749" spans="1:7" x14ac:dyDescent="0.25">
      <c r="A5749" s="36">
        <v>45561</v>
      </c>
      <c r="B5749" s="7">
        <v>46.04</v>
      </c>
      <c r="C5749" s="10">
        <v>29.82</v>
      </c>
      <c r="D5749" s="10">
        <v>12.72</v>
      </c>
      <c r="E5749" s="6">
        <v>7.54</v>
      </c>
      <c r="G5749" s="31"/>
    </row>
    <row r="5750" spans="1:7" x14ac:dyDescent="0.25">
      <c r="A5750" s="36">
        <v>45562</v>
      </c>
      <c r="B5750" s="7">
        <v>45.84</v>
      </c>
      <c r="C5750" s="10">
        <v>29.68</v>
      </c>
      <c r="D5750" s="10">
        <v>12.51</v>
      </c>
      <c r="E5750" s="6">
        <v>7.4</v>
      </c>
      <c r="G5750" s="31"/>
    </row>
    <row r="5751" spans="1:7" x14ac:dyDescent="0.25">
      <c r="A5751" s="36">
        <v>45563</v>
      </c>
      <c r="B5751" s="7">
        <v>45.73</v>
      </c>
      <c r="C5751" s="10">
        <v>29.52</v>
      </c>
      <c r="D5751" s="10">
        <v>12.32</v>
      </c>
      <c r="E5751" s="6">
        <v>7.24</v>
      </c>
      <c r="G5751" s="31"/>
    </row>
    <row r="5752" spans="1:7" x14ac:dyDescent="0.25">
      <c r="A5752" s="36">
        <v>45564</v>
      </c>
      <c r="B5752" s="7">
        <v>45.6</v>
      </c>
      <c r="C5752" s="10">
        <v>29.38</v>
      </c>
      <c r="D5752" s="10">
        <v>12.14</v>
      </c>
      <c r="E5752" s="6">
        <v>7.02</v>
      </c>
      <c r="G5752" s="31"/>
    </row>
    <row r="5753" spans="1:7" x14ac:dyDescent="0.25">
      <c r="A5753" s="36">
        <v>45565</v>
      </c>
      <c r="B5753" s="7">
        <v>45.5</v>
      </c>
      <c r="C5753" s="10">
        <v>29.27</v>
      </c>
      <c r="D5753" s="10">
        <v>11.96</v>
      </c>
      <c r="E5753" s="6">
        <v>6.92</v>
      </c>
      <c r="G5753" s="31"/>
    </row>
    <row r="5754" spans="1:7" x14ac:dyDescent="0.25">
      <c r="A5754" s="36">
        <v>45566</v>
      </c>
      <c r="B5754" s="7">
        <v>45.44</v>
      </c>
      <c r="C5754" s="10">
        <v>29.17</v>
      </c>
      <c r="D5754" s="10">
        <v>11.78</v>
      </c>
      <c r="E5754" s="6">
        <v>6.86</v>
      </c>
      <c r="G5754" s="31"/>
    </row>
    <row r="5755" spans="1:7" x14ac:dyDescent="0.25">
      <c r="A5755" s="36">
        <v>45567</v>
      </c>
      <c r="B5755" s="7">
        <v>45.39</v>
      </c>
      <c r="C5755" s="10">
        <v>29.02</v>
      </c>
      <c r="D5755" s="10">
        <v>11.64</v>
      </c>
      <c r="E5755" s="6">
        <v>6.69</v>
      </c>
      <c r="G5755" s="31"/>
    </row>
    <row r="5756" spans="1:7" x14ac:dyDescent="0.25">
      <c r="A5756" s="36">
        <v>45568</v>
      </c>
      <c r="B5756" s="7">
        <v>45.24</v>
      </c>
      <c r="C5756" s="10">
        <v>28.9</v>
      </c>
      <c r="D5756" s="10">
        <v>11.48</v>
      </c>
      <c r="E5756" s="6">
        <v>6.55</v>
      </c>
      <c r="G5756" s="31"/>
    </row>
    <row r="5757" spans="1:7" x14ac:dyDescent="0.25">
      <c r="A5757" s="36">
        <v>45569</v>
      </c>
      <c r="B5757" s="7">
        <v>45.16</v>
      </c>
      <c r="C5757" s="10">
        <v>28.79</v>
      </c>
      <c r="D5757" s="10">
        <v>11.29</v>
      </c>
      <c r="E5757" s="6">
        <v>6.5</v>
      </c>
      <c r="G5757" s="31"/>
    </row>
    <row r="5758" spans="1:7" x14ac:dyDescent="0.25">
      <c r="A5758" s="36">
        <v>45570</v>
      </c>
      <c r="B5758" s="7">
        <v>45</v>
      </c>
      <c r="C5758" s="10">
        <v>28.64</v>
      </c>
      <c r="D5758" s="10">
        <v>11.13</v>
      </c>
      <c r="E5758" s="6">
        <v>6.34</v>
      </c>
      <c r="G5758" s="31"/>
    </row>
    <row r="5759" spans="1:7" x14ac:dyDescent="0.25">
      <c r="A5759" s="36">
        <v>45571</v>
      </c>
      <c r="B5759" s="7">
        <v>44.97</v>
      </c>
      <c r="C5759" s="10">
        <v>28.55</v>
      </c>
      <c r="D5759" s="10">
        <v>10.95</v>
      </c>
      <c r="E5759" s="6">
        <v>6.24</v>
      </c>
      <c r="G5759" s="31"/>
    </row>
    <row r="5760" spans="1:7" x14ac:dyDescent="0.25">
      <c r="A5760" s="36">
        <v>45572</v>
      </c>
      <c r="B5760" s="7">
        <v>44.91</v>
      </c>
      <c r="C5760" s="10">
        <v>28.52</v>
      </c>
      <c r="D5760" s="10">
        <v>10.79</v>
      </c>
      <c r="E5760" s="6">
        <v>6.1</v>
      </c>
      <c r="G5760" s="31"/>
    </row>
    <row r="5761" spans="1:7" x14ac:dyDescent="0.25">
      <c r="A5761" s="36">
        <v>45573</v>
      </c>
      <c r="B5761" s="7">
        <v>44.85</v>
      </c>
      <c r="C5761" s="10">
        <v>28.48</v>
      </c>
      <c r="D5761" s="10">
        <v>10.65</v>
      </c>
      <c r="E5761" s="6">
        <v>5.96</v>
      </c>
      <c r="G5761" s="31"/>
    </row>
    <row r="5762" spans="1:7" x14ac:dyDescent="0.25">
      <c r="A5762" s="36">
        <v>45574</v>
      </c>
      <c r="B5762" s="7">
        <v>44.78</v>
      </c>
      <c r="C5762" s="10">
        <v>28.44</v>
      </c>
      <c r="D5762" s="10">
        <v>10.56</v>
      </c>
      <c r="E5762" s="6">
        <v>5.88</v>
      </c>
      <c r="G5762" s="31"/>
    </row>
    <row r="5763" spans="1:7" x14ac:dyDescent="0.25">
      <c r="A5763" s="36">
        <v>45575</v>
      </c>
      <c r="B5763" s="7">
        <v>44.68</v>
      </c>
      <c r="C5763" s="10">
        <v>28.34</v>
      </c>
      <c r="D5763" s="10">
        <v>10.48</v>
      </c>
      <c r="E5763" s="6">
        <v>5.78</v>
      </c>
      <c r="G5763" s="31"/>
    </row>
    <row r="5764" spans="1:7" x14ac:dyDescent="0.25">
      <c r="A5764" s="36">
        <v>45576</v>
      </c>
      <c r="B5764" s="7">
        <v>44.59</v>
      </c>
      <c r="C5764" s="10">
        <v>28.25</v>
      </c>
      <c r="D5764" s="10">
        <v>10.4</v>
      </c>
      <c r="E5764" s="6">
        <v>5.8</v>
      </c>
      <c r="G5764" s="31"/>
    </row>
    <row r="5765" spans="1:7" x14ac:dyDescent="0.25">
      <c r="A5765" s="36">
        <v>45577</v>
      </c>
      <c r="B5765" s="7">
        <v>44.48</v>
      </c>
      <c r="C5765" s="10">
        <v>28.12</v>
      </c>
      <c r="D5765" s="10">
        <v>10.34</v>
      </c>
      <c r="E5765" s="6">
        <v>5.72</v>
      </c>
      <c r="G5765" s="31"/>
    </row>
    <row r="5766" spans="1:7" x14ac:dyDescent="0.25">
      <c r="A5766" s="36">
        <v>45578</v>
      </c>
      <c r="B5766" s="7">
        <v>44.4</v>
      </c>
      <c r="C5766" s="10">
        <v>27.98</v>
      </c>
      <c r="D5766" s="10">
        <v>10.24</v>
      </c>
      <c r="E5766" s="6">
        <v>5.6</v>
      </c>
      <c r="G5766" s="31"/>
    </row>
    <row r="5767" spans="1:7" x14ac:dyDescent="0.25">
      <c r="A5767" s="36">
        <v>45579</v>
      </c>
      <c r="B5767" s="7">
        <v>44.36</v>
      </c>
      <c r="C5767" s="10">
        <v>27.88</v>
      </c>
      <c r="D5767" s="10">
        <v>10.14</v>
      </c>
      <c r="E5767" s="6">
        <v>5.53</v>
      </c>
      <c r="G5767" s="31"/>
    </row>
    <row r="5768" spans="1:7" x14ac:dyDescent="0.25">
      <c r="A5768" s="36">
        <v>45580</v>
      </c>
      <c r="B5768" s="7">
        <v>44.34</v>
      </c>
      <c r="C5768" s="10">
        <v>27.82</v>
      </c>
      <c r="D5768" s="10">
        <v>10</v>
      </c>
      <c r="E5768" s="6">
        <v>5.49</v>
      </c>
      <c r="G5768" s="31"/>
    </row>
    <row r="5769" spans="1:7" x14ac:dyDescent="0.25">
      <c r="A5769" s="36">
        <v>45581</v>
      </c>
      <c r="B5769" s="7">
        <v>44.35</v>
      </c>
      <c r="C5769" s="10">
        <v>27.82</v>
      </c>
      <c r="D5769" s="10">
        <v>9.8800000000000008</v>
      </c>
      <c r="E5769" s="6">
        <v>5.38</v>
      </c>
      <c r="G5769" s="31"/>
    </row>
    <row r="5770" spans="1:7" x14ac:dyDescent="0.25">
      <c r="A5770" s="36">
        <v>45582</v>
      </c>
      <c r="B5770" s="7">
        <v>44.33</v>
      </c>
      <c r="C5770" s="10">
        <v>27.85</v>
      </c>
      <c r="D5770" s="10">
        <v>9.7899999999999991</v>
      </c>
      <c r="E5770" s="6">
        <v>5.3</v>
      </c>
      <c r="G5770" s="31"/>
    </row>
    <row r="5771" spans="1:7" x14ac:dyDescent="0.25">
      <c r="A5771" s="36">
        <v>45583</v>
      </c>
      <c r="B5771" s="7">
        <v>44.26</v>
      </c>
      <c r="C5771" s="10">
        <v>27.86</v>
      </c>
      <c r="D5771" s="10">
        <v>9.7200000000000006</v>
      </c>
      <c r="E5771" s="6">
        <v>5.29</v>
      </c>
      <c r="G5771" s="31"/>
    </row>
    <row r="5772" spans="1:7" x14ac:dyDescent="0.25">
      <c r="A5772" s="36">
        <v>45584</v>
      </c>
      <c r="B5772" s="7">
        <v>44.15</v>
      </c>
      <c r="C5772" s="10">
        <v>27.84</v>
      </c>
      <c r="D5772" s="10">
        <v>9.68</v>
      </c>
      <c r="E5772" s="6">
        <v>5.25</v>
      </c>
      <c r="G5772" s="31"/>
    </row>
    <row r="5773" spans="1:7" x14ac:dyDescent="0.25">
      <c r="A5773" s="36">
        <v>45585</v>
      </c>
      <c r="B5773" s="7">
        <v>44.1</v>
      </c>
      <c r="C5773" s="10">
        <v>27.78</v>
      </c>
      <c r="D5773" s="10">
        <v>9.65</v>
      </c>
      <c r="E5773" s="6">
        <v>5.24</v>
      </c>
      <c r="G5773" s="31"/>
    </row>
    <row r="5774" spans="1:7" x14ac:dyDescent="0.25">
      <c r="A5774" s="36">
        <v>45586</v>
      </c>
      <c r="B5774" s="7">
        <v>44.05</v>
      </c>
      <c r="C5774" s="10">
        <v>27.72</v>
      </c>
      <c r="D5774" s="10">
        <v>9.6</v>
      </c>
      <c r="E5774" s="6">
        <v>5.18</v>
      </c>
      <c r="G5774" s="31"/>
    </row>
    <row r="5775" spans="1:7" x14ac:dyDescent="0.25">
      <c r="A5775" s="36">
        <v>45587</v>
      </c>
      <c r="B5775" s="7">
        <v>43.95</v>
      </c>
      <c r="C5775" s="10">
        <v>27.65</v>
      </c>
      <c r="D5775" s="10">
        <v>9.52</v>
      </c>
      <c r="E5775" s="6">
        <v>5.14</v>
      </c>
      <c r="G5775" s="31"/>
    </row>
    <row r="5776" spans="1:7" x14ac:dyDescent="0.25">
      <c r="A5776" s="36">
        <v>45588</v>
      </c>
      <c r="B5776" s="7">
        <v>43.85</v>
      </c>
      <c r="C5776" s="10">
        <v>27.59</v>
      </c>
      <c r="D5776" s="10">
        <v>9.44</v>
      </c>
      <c r="E5776" s="6">
        <v>5.0199999999999996</v>
      </c>
      <c r="G5776" s="31"/>
    </row>
    <row r="5777" spans="1:7" x14ac:dyDescent="0.25">
      <c r="A5777" s="36">
        <v>45589</v>
      </c>
      <c r="B5777" s="7">
        <v>43.79</v>
      </c>
      <c r="C5777" s="10">
        <v>27.49</v>
      </c>
      <c r="D5777" s="10">
        <v>9.35</v>
      </c>
      <c r="E5777" s="6">
        <v>4.92</v>
      </c>
      <c r="G5777" s="31"/>
    </row>
    <row r="5778" spans="1:7" x14ac:dyDescent="0.25">
      <c r="A5778" s="36">
        <v>45590</v>
      </c>
      <c r="B5778" s="7">
        <v>43.72</v>
      </c>
      <c r="C5778" s="10">
        <v>27.37</v>
      </c>
      <c r="D5778" s="10">
        <v>9.26</v>
      </c>
      <c r="E5778" s="6">
        <v>4.91</v>
      </c>
      <c r="G5778" s="31"/>
    </row>
    <row r="5779" spans="1:7" x14ac:dyDescent="0.25">
      <c r="A5779" s="36">
        <v>45591</v>
      </c>
      <c r="B5779" s="7">
        <v>43.66</v>
      </c>
      <c r="C5779" s="10">
        <v>27.24</v>
      </c>
      <c r="D5779" s="10">
        <v>9.17</v>
      </c>
      <c r="E5779" s="6">
        <v>4.87</v>
      </c>
      <c r="G5779" s="31"/>
    </row>
    <row r="5780" spans="1:7" x14ac:dyDescent="0.25">
      <c r="A5780" s="36">
        <v>45592</v>
      </c>
      <c r="B5780" s="7">
        <v>43.61</v>
      </c>
      <c r="C5780" s="10">
        <v>27.1</v>
      </c>
      <c r="D5780" s="10">
        <v>9.07</v>
      </c>
      <c r="E5780" s="6">
        <v>4.7699999999999996</v>
      </c>
      <c r="G5780" s="31"/>
    </row>
    <row r="5781" spans="1:7" x14ac:dyDescent="0.25">
      <c r="A5781" s="36">
        <v>45593</v>
      </c>
      <c r="B5781" s="7">
        <v>43.59</v>
      </c>
      <c r="C5781" s="10">
        <v>26.93</v>
      </c>
      <c r="D5781" s="10">
        <v>9</v>
      </c>
      <c r="E5781" s="6">
        <v>4.71</v>
      </c>
      <c r="G5781" s="31"/>
    </row>
    <row r="5782" spans="1:7" x14ac:dyDescent="0.25">
      <c r="A5782" s="36">
        <v>45594</v>
      </c>
      <c r="B5782" s="7">
        <v>43.57</v>
      </c>
      <c r="C5782" s="10">
        <v>26.81</v>
      </c>
      <c r="D5782" s="10">
        <v>8.9</v>
      </c>
      <c r="E5782" s="6">
        <v>4.66</v>
      </c>
      <c r="G5782" s="31"/>
    </row>
    <row r="5783" spans="1:7" x14ac:dyDescent="0.25">
      <c r="A5783" s="36">
        <v>45595</v>
      </c>
      <c r="B5783" s="7">
        <v>43.56</v>
      </c>
      <c r="C5783" s="10">
        <v>26.7</v>
      </c>
      <c r="D5783" s="10">
        <v>8.8000000000000007</v>
      </c>
      <c r="E5783" s="6">
        <v>4.58</v>
      </c>
      <c r="G5783" s="31"/>
    </row>
    <row r="5784" spans="1:7" x14ac:dyDescent="0.25">
      <c r="A5784" s="36">
        <v>45596</v>
      </c>
      <c r="B5784" s="7">
        <v>43.55</v>
      </c>
      <c r="C5784" s="10">
        <v>26.59</v>
      </c>
      <c r="D5784" s="10">
        <v>8.7200000000000006</v>
      </c>
      <c r="E5784" s="6">
        <v>4.51</v>
      </c>
      <c r="G5784" s="31"/>
    </row>
    <row r="5785" spans="1:7" x14ac:dyDescent="0.25">
      <c r="A5785" s="36">
        <v>45597</v>
      </c>
      <c r="B5785" s="7">
        <v>43.53</v>
      </c>
      <c r="C5785" s="10">
        <v>26.5</v>
      </c>
      <c r="D5785" s="10">
        <v>8.61</v>
      </c>
      <c r="E5785" s="6">
        <v>4.4000000000000004</v>
      </c>
      <c r="G5785" s="31"/>
    </row>
    <row r="5786" spans="1:7" x14ac:dyDescent="0.25">
      <c r="A5786" s="36">
        <v>45598</v>
      </c>
      <c r="B5786" s="7">
        <v>43.53</v>
      </c>
      <c r="C5786" s="10">
        <v>26.4</v>
      </c>
      <c r="D5786" s="10">
        <v>8.4700000000000006</v>
      </c>
      <c r="E5786" s="6">
        <v>4.3</v>
      </c>
      <c r="G5786" s="31"/>
    </row>
    <row r="5787" spans="1:7" x14ac:dyDescent="0.25">
      <c r="A5787" s="36">
        <v>45599</v>
      </c>
      <c r="B5787" s="7">
        <v>43.5</v>
      </c>
      <c r="C5787" s="10">
        <v>26.4</v>
      </c>
      <c r="D5787" s="10">
        <v>8.32</v>
      </c>
      <c r="E5787" s="6">
        <v>4.2</v>
      </c>
      <c r="G5787" s="31"/>
    </row>
    <row r="5788" spans="1:7" x14ac:dyDescent="0.25">
      <c r="A5788" s="36">
        <v>45600</v>
      </c>
      <c r="B5788" s="7">
        <v>43.48</v>
      </c>
      <c r="C5788" s="10">
        <v>26.3</v>
      </c>
      <c r="D5788" s="10">
        <v>8.19</v>
      </c>
      <c r="E5788" s="6">
        <v>4.0999999999999996</v>
      </c>
      <c r="G5788" s="31"/>
    </row>
    <row r="5789" spans="1:7" x14ac:dyDescent="0.25">
      <c r="A5789" s="36">
        <v>45601</v>
      </c>
      <c r="B5789" s="7">
        <v>43.45</v>
      </c>
      <c r="C5789" s="10">
        <v>26.28</v>
      </c>
      <c r="D5789" s="10">
        <v>8.08</v>
      </c>
      <c r="E5789" s="6">
        <v>4</v>
      </c>
      <c r="G5789" s="31"/>
    </row>
    <row r="5790" spans="1:7" x14ac:dyDescent="0.25">
      <c r="A5790" s="36">
        <v>45602</v>
      </c>
      <c r="B5790" s="7">
        <v>43.42</v>
      </c>
      <c r="C5790" s="10">
        <v>26.32</v>
      </c>
      <c r="D5790" s="10">
        <v>8.02</v>
      </c>
      <c r="E5790" s="6">
        <v>3.97</v>
      </c>
      <c r="G5790" s="31"/>
    </row>
    <row r="5791" spans="1:7" x14ac:dyDescent="0.25">
      <c r="A5791" s="36">
        <v>45603</v>
      </c>
      <c r="B5791" s="7">
        <v>43.34</v>
      </c>
      <c r="C5791" s="10">
        <v>26.32</v>
      </c>
      <c r="D5791" s="10">
        <v>8</v>
      </c>
      <c r="E5791" s="6">
        <v>3.94</v>
      </c>
      <c r="G5791" s="31"/>
    </row>
    <row r="5792" spans="1:7" x14ac:dyDescent="0.25">
      <c r="A5792" s="36">
        <v>45604</v>
      </c>
      <c r="B5792" s="7">
        <v>43.25</v>
      </c>
      <c r="C5792" s="10">
        <v>26.26</v>
      </c>
      <c r="D5792" s="10">
        <v>7.97</v>
      </c>
      <c r="E5792" s="6">
        <v>3.92</v>
      </c>
      <c r="G5792" s="31"/>
    </row>
    <row r="5793" spans="1:7" x14ac:dyDescent="0.25">
      <c r="A5793" s="36">
        <v>45605</v>
      </c>
      <c r="B5793" s="7">
        <v>43.19</v>
      </c>
      <c r="C5793" s="10">
        <v>26.2</v>
      </c>
      <c r="D5793" s="10">
        <v>7.95</v>
      </c>
      <c r="E5793" s="6">
        <v>3.95</v>
      </c>
      <c r="G5793" s="31"/>
    </row>
    <row r="5794" spans="1:7" x14ac:dyDescent="0.25">
      <c r="A5794" s="36">
        <v>45606</v>
      </c>
      <c r="B5794" s="7">
        <v>43.2</v>
      </c>
      <c r="C5794" s="10">
        <v>26.1</v>
      </c>
      <c r="D5794" s="10">
        <v>7.95</v>
      </c>
      <c r="E5794" s="6">
        <v>3.9</v>
      </c>
      <c r="G5794" s="31"/>
    </row>
    <row r="5795" spans="1:7" x14ac:dyDescent="0.25">
      <c r="A5795" s="36">
        <v>45607</v>
      </c>
      <c r="B5795" s="7">
        <v>43.25</v>
      </c>
      <c r="C5795" s="10">
        <v>25.98</v>
      </c>
      <c r="D5795" s="10">
        <v>7.89</v>
      </c>
      <c r="E5795" s="6">
        <v>3.85</v>
      </c>
      <c r="G5795" s="31"/>
    </row>
    <row r="5796" spans="1:7" x14ac:dyDescent="0.25">
      <c r="A5796" s="36">
        <v>45608</v>
      </c>
      <c r="B5796" s="7">
        <v>43.27</v>
      </c>
      <c r="C5796" s="10">
        <v>26.08</v>
      </c>
      <c r="D5796" s="10">
        <v>7.8</v>
      </c>
      <c r="E5796" s="6">
        <v>3.83</v>
      </c>
      <c r="G5796" s="31"/>
    </row>
    <row r="5797" spans="1:7" x14ac:dyDescent="0.25">
      <c r="A5797" s="36">
        <v>45609</v>
      </c>
      <c r="B5797" s="7">
        <v>43.26</v>
      </c>
      <c r="C5797" s="10">
        <v>26.12</v>
      </c>
      <c r="D5797" s="10">
        <v>7.77</v>
      </c>
      <c r="E5797" s="6">
        <v>3.87</v>
      </c>
      <c r="G5797" s="31"/>
    </row>
    <row r="5798" spans="1:7" x14ac:dyDescent="0.25">
      <c r="A5798" s="36">
        <v>45610</v>
      </c>
      <c r="B5798" s="7">
        <v>43.24</v>
      </c>
      <c r="C5798" s="10">
        <v>26.14</v>
      </c>
      <c r="D5798" s="10">
        <v>7.75</v>
      </c>
      <c r="E5798" s="6">
        <v>3.85</v>
      </c>
      <c r="G5798" s="31"/>
    </row>
    <row r="5799" spans="1:7" x14ac:dyDescent="0.25">
      <c r="A5799" s="36">
        <v>45611</v>
      </c>
      <c r="B5799" s="7">
        <v>43.25</v>
      </c>
      <c r="C5799" s="10">
        <v>26.1</v>
      </c>
      <c r="D5799" s="10">
        <v>7.78</v>
      </c>
      <c r="E5799" s="6">
        <v>3.92</v>
      </c>
      <c r="G5799" s="31"/>
    </row>
    <row r="5800" spans="1:7" x14ac:dyDescent="0.25">
      <c r="A5800" s="36">
        <v>45612</v>
      </c>
      <c r="B5800" s="7">
        <v>43.24</v>
      </c>
      <c r="C5800" s="10">
        <v>26.08</v>
      </c>
      <c r="D5800" s="10">
        <v>7.79</v>
      </c>
      <c r="E5800" s="6">
        <v>3.95</v>
      </c>
      <c r="G5800" s="31"/>
    </row>
    <row r="5801" spans="1:7" x14ac:dyDescent="0.25">
      <c r="A5801" s="36">
        <v>45613</v>
      </c>
      <c r="B5801" s="7">
        <v>43.22</v>
      </c>
      <c r="C5801" s="10">
        <v>26.05</v>
      </c>
      <c r="D5801" s="10">
        <v>7.76</v>
      </c>
      <c r="E5801" s="6">
        <v>3.93</v>
      </c>
      <c r="G5801" s="31"/>
    </row>
    <row r="5802" spans="1:7" x14ac:dyDescent="0.25">
      <c r="A5802" s="36">
        <v>45614</v>
      </c>
      <c r="B5802" s="7">
        <v>43.24</v>
      </c>
      <c r="C5802" s="10">
        <v>26.05</v>
      </c>
      <c r="D5802" s="10">
        <v>7.73</v>
      </c>
      <c r="E5802" s="6">
        <v>3.93</v>
      </c>
      <c r="G5802" s="31"/>
    </row>
    <row r="5803" spans="1:7" x14ac:dyDescent="0.25">
      <c r="A5803" s="36">
        <v>45615</v>
      </c>
      <c r="B5803" s="7">
        <v>43.27</v>
      </c>
      <c r="C5803" s="10">
        <v>26.07</v>
      </c>
      <c r="D5803" s="10">
        <v>7.7</v>
      </c>
      <c r="E5803" s="6">
        <v>3.89</v>
      </c>
      <c r="G5803" s="31"/>
    </row>
    <row r="5804" spans="1:7" x14ac:dyDescent="0.25">
      <c r="A5804" s="36">
        <v>45616</v>
      </c>
      <c r="B5804" s="7">
        <v>43.35</v>
      </c>
      <c r="C5804" s="10">
        <v>26.05</v>
      </c>
      <c r="D5804" s="10">
        <v>7.69</v>
      </c>
      <c r="E5804" s="6">
        <v>3.87</v>
      </c>
      <c r="G5804" s="31"/>
    </row>
    <row r="5805" spans="1:7" x14ac:dyDescent="0.25">
      <c r="A5805" s="36">
        <v>45617</v>
      </c>
      <c r="B5805" s="7">
        <v>43.46</v>
      </c>
      <c r="C5805" s="10">
        <v>26.04</v>
      </c>
      <c r="D5805" s="10">
        <v>7.68</v>
      </c>
      <c r="E5805" s="6">
        <v>3.81</v>
      </c>
      <c r="G5805" s="31"/>
    </row>
    <row r="5806" spans="1:7" x14ac:dyDescent="0.25">
      <c r="A5806" s="36">
        <v>45618</v>
      </c>
      <c r="B5806" s="7">
        <v>43.59</v>
      </c>
      <c r="C5806" s="10">
        <v>26.05</v>
      </c>
      <c r="D5806" s="10">
        <v>7.66</v>
      </c>
      <c r="E5806" s="6">
        <v>3.81</v>
      </c>
      <c r="G5806" s="31"/>
    </row>
    <row r="5807" spans="1:7" x14ac:dyDescent="0.25">
      <c r="A5807" s="36">
        <v>45619</v>
      </c>
      <c r="B5807" s="7">
        <v>43.77</v>
      </c>
      <c r="C5807" s="10">
        <v>26.1</v>
      </c>
      <c r="D5807" s="10">
        <v>7.64</v>
      </c>
      <c r="E5807" s="6">
        <v>3.82</v>
      </c>
      <c r="G5807" s="31"/>
    </row>
    <row r="5808" spans="1:7" x14ac:dyDescent="0.25">
      <c r="A5808" s="36">
        <v>45620</v>
      </c>
      <c r="B5808" s="7">
        <v>43.97</v>
      </c>
      <c r="C5808" s="10">
        <v>26.21</v>
      </c>
      <c r="D5808" s="10">
        <v>7.67</v>
      </c>
      <c r="E5808" s="6">
        <v>3.82</v>
      </c>
      <c r="G5808" s="31"/>
    </row>
    <row r="5809" spans="1:7" x14ac:dyDescent="0.25">
      <c r="A5809" s="36">
        <v>45621</v>
      </c>
      <c r="B5809" s="7">
        <v>44.15</v>
      </c>
      <c r="C5809" s="10">
        <v>26.32</v>
      </c>
      <c r="D5809" s="10">
        <v>7.7</v>
      </c>
      <c r="E5809" s="6">
        <v>3.84</v>
      </c>
      <c r="G5809" s="31"/>
    </row>
    <row r="5810" spans="1:7" x14ac:dyDescent="0.25">
      <c r="A5810" s="36">
        <v>45622</v>
      </c>
      <c r="B5810" s="7">
        <v>44.29</v>
      </c>
      <c r="C5810" s="10">
        <v>26.42</v>
      </c>
      <c r="D5810" s="10">
        <v>7.75</v>
      </c>
      <c r="E5810" s="6">
        <v>3.79</v>
      </c>
      <c r="G5810" s="31"/>
    </row>
    <row r="5811" spans="1:7" x14ac:dyDescent="0.25">
      <c r="A5811" s="36">
        <v>45623</v>
      </c>
      <c r="B5811" s="7">
        <v>44.4</v>
      </c>
      <c r="C5811" s="10">
        <v>26.5</v>
      </c>
      <c r="D5811" s="10">
        <v>7.84</v>
      </c>
      <c r="E5811" s="6">
        <v>3.85</v>
      </c>
      <c r="G5811" s="31"/>
    </row>
    <row r="5812" spans="1:7" x14ac:dyDescent="0.25">
      <c r="A5812" s="36">
        <v>45624</v>
      </c>
      <c r="B5812" s="7">
        <v>44.48</v>
      </c>
      <c r="C5812" s="10">
        <v>26.6</v>
      </c>
      <c r="D5812" s="10">
        <v>7.96</v>
      </c>
      <c r="E5812" s="6">
        <v>3.89</v>
      </c>
      <c r="G5812" s="31"/>
    </row>
    <row r="5813" spans="1:7" x14ac:dyDescent="0.25">
      <c r="A5813" s="36">
        <v>45625</v>
      </c>
      <c r="B5813" s="7">
        <v>44.54</v>
      </c>
      <c r="C5813" s="10">
        <v>26.7</v>
      </c>
      <c r="D5813" s="10">
        <v>8.07</v>
      </c>
      <c r="E5813" s="6">
        <v>3.94</v>
      </c>
      <c r="G5813" s="31"/>
    </row>
    <row r="5814" spans="1:7" x14ac:dyDescent="0.25">
      <c r="A5814" s="36">
        <v>45626</v>
      </c>
      <c r="B5814" s="7">
        <v>44.58</v>
      </c>
      <c r="C5814" s="10">
        <v>26.8</v>
      </c>
      <c r="D5814" s="10">
        <v>8.06</v>
      </c>
      <c r="E5814" s="6">
        <v>3.94</v>
      </c>
      <c r="G5814" s="31"/>
    </row>
    <row r="5815" spans="1:7" x14ac:dyDescent="0.25">
      <c r="A5815" s="36">
        <v>45627</v>
      </c>
      <c r="B5815" s="7">
        <v>44.6</v>
      </c>
      <c r="C5815" s="10">
        <v>26.87</v>
      </c>
      <c r="D5815" s="10">
        <v>8.1999999999999993</v>
      </c>
      <c r="E5815" s="6">
        <v>4.0999999999999996</v>
      </c>
      <c r="G5815" s="31"/>
    </row>
    <row r="5816" spans="1:7" x14ac:dyDescent="0.25">
      <c r="A5816" s="36">
        <v>45628</v>
      </c>
      <c r="B5816" s="7">
        <v>44.57</v>
      </c>
      <c r="C5816" s="10">
        <v>26.88</v>
      </c>
      <c r="D5816" s="10">
        <v>8.2799999999999994</v>
      </c>
      <c r="E5816" s="6">
        <v>4.3</v>
      </c>
      <c r="G5816" s="31"/>
    </row>
    <row r="5817" spans="1:7" x14ac:dyDescent="0.25">
      <c r="A5817" s="36">
        <v>45629</v>
      </c>
      <c r="B5817" s="7">
        <v>44.55</v>
      </c>
      <c r="C5817" s="10">
        <v>26.82</v>
      </c>
      <c r="D5817" s="10">
        <v>8.35</v>
      </c>
      <c r="E5817" s="6">
        <v>4.2699999999999996</v>
      </c>
      <c r="G5817" s="31"/>
    </row>
    <row r="5818" spans="1:7" x14ac:dyDescent="0.25">
      <c r="A5818" s="36">
        <v>45630</v>
      </c>
      <c r="B5818" s="7">
        <v>44.52</v>
      </c>
      <c r="C5818" s="10">
        <v>26.78</v>
      </c>
      <c r="D5818" s="10">
        <v>8.3699999999999992</v>
      </c>
      <c r="E5818" s="6">
        <v>4.2699999999999996</v>
      </c>
      <c r="G5818" s="31"/>
    </row>
    <row r="5819" spans="1:7" x14ac:dyDescent="0.25">
      <c r="A5819" s="36">
        <v>45631</v>
      </c>
      <c r="B5819" s="7">
        <v>44.5</v>
      </c>
      <c r="C5819" s="10">
        <v>26.68</v>
      </c>
      <c r="D5819" s="10">
        <v>8.3699999999999992</v>
      </c>
      <c r="E5819" s="6">
        <v>4.21</v>
      </c>
      <c r="G5819" s="31"/>
    </row>
    <row r="5820" spans="1:7" x14ac:dyDescent="0.25">
      <c r="A5820" s="36">
        <v>45632</v>
      </c>
      <c r="B5820" s="7">
        <v>44.45</v>
      </c>
      <c r="C5820" s="10">
        <v>26.6</v>
      </c>
      <c r="D5820" s="10">
        <v>8.34</v>
      </c>
      <c r="E5820" s="6">
        <v>4.2699999999999996</v>
      </c>
      <c r="G5820" s="31"/>
    </row>
    <row r="5821" spans="1:7" x14ac:dyDescent="0.25">
      <c r="A5821" s="36">
        <v>45633</v>
      </c>
      <c r="B5821" s="7">
        <v>44.37</v>
      </c>
      <c r="C5821" s="10">
        <v>26.52</v>
      </c>
      <c r="D5821" s="10">
        <v>8.3000000000000007</v>
      </c>
      <c r="E5821" s="6">
        <v>4.22</v>
      </c>
      <c r="G5821" s="31"/>
    </row>
    <row r="5822" spans="1:7" x14ac:dyDescent="0.25">
      <c r="A5822" s="36">
        <v>45634</v>
      </c>
      <c r="B5822" s="7">
        <v>44.28</v>
      </c>
      <c r="C5822" s="10">
        <v>26.44</v>
      </c>
      <c r="D5822" s="10">
        <v>8.2200000000000006</v>
      </c>
      <c r="E5822" s="6">
        <v>4.0999999999999996</v>
      </c>
      <c r="G5822" s="31"/>
    </row>
    <row r="5823" spans="1:7" x14ac:dyDescent="0.25">
      <c r="A5823" s="36">
        <v>45635</v>
      </c>
      <c r="B5823" s="7">
        <v>44.2</v>
      </c>
      <c r="C5823" s="10">
        <v>26.32</v>
      </c>
      <c r="D5823" s="10">
        <v>8.17</v>
      </c>
      <c r="E5823" s="6">
        <v>4.07</v>
      </c>
      <c r="G5823" s="31"/>
    </row>
    <row r="5824" spans="1:7" x14ac:dyDescent="0.25">
      <c r="A5824" s="36">
        <v>45636</v>
      </c>
      <c r="B5824" s="7">
        <v>44.09</v>
      </c>
      <c r="C5824" s="10">
        <v>26.2</v>
      </c>
      <c r="D5824" s="10">
        <v>8.1</v>
      </c>
      <c r="E5824" s="6">
        <v>3.85</v>
      </c>
      <c r="G5824" s="31"/>
    </row>
    <row r="5825" spans="1:7" x14ac:dyDescent="0.25">
      <c r="A5825" s="36">
        <v>45637</v>
      </c>
      <c r="B5825" s="7">
        <v>44</v>
      </c>
      <c r="C5825" s="10">
        <v>26.08</v>
      </c>
      <c r="D5825" s="10">
        <v>8.02</v>
      </c>
      <c r="E5825" s="6">
        <v>3.9</v>
      </c>
      <c r="G5825" s="31"/>
    </row>
    <row r="5826" spans="1:7" x14ac:dyDescent="0.25">
      <c r="A5826" s="36">
        <v>45638</v>
      </c>
      <c r="B5826" s="7">
        <v>43.91</v>
      </c>
      <c r="C5826" s="10">
        <v>25.97</v>
      </c>
      <c r="D5826" s="10">
        <v>7.9</v>
      </c>
      <c r="E5826" s="6">
        <v>3.8</v>
      </c>
      <c r="G5826" s="31"/>
    </row>
    <row r="5827" spans="1:7" x14ac:dyDescent="0.25">
      <c r="A5827" s="36">
        <v>45639</v>
      </c>
      <c r="B5827" s="7">
        <v>43.78</v>
      </c>
      <c r="C5827" s="10">
        <v>25.82</v>
      </c>
      <c r="D5827" s="10">
        <v>7.74</v>
      </c>
      <c r="E5827" s="6">
        <v>3.58</v>
      </c>
      <c r="G5827" s="31"/>
    </row>
    <row r="5828" spans="1:7" x14ac:dyDescent="0.25">
      <c r="A5828" s="36">
        <v>45640</v>
      </c>
      <c r="B5828" s="7">
        <v>43.68</v>
      </c>
      <c r="C5828" s="10">
        <v>25.66</v>
      </c>
      <c r="D5828" s="10">
        <v>7.58</v>
      </c>
      <c r="E5828" s="6">
        <v>3.48</v>
      </c>
      <c r="G5828" s="31"/>
    </row>
    <row r="5829" spans="1:7" x14ac:dyDescent="0.25">
      <c r="A5829" s="36">
        <v>45641</v>
      </c>
      <c r="B5829" s="7">
        <v>43.54</v>
      </c>
      <c r="C5829" s="10">
        <v>25.55</v>
      </c>
      <c r="D5829" s="10">
        <v>7.44</v>
      </c>
      <c r="E5829" s="6">
        <v>3.35</v>
      </c>
      <c r="G5829" s="31"/>
    </row>
    <row r="5830" spans="1:7" x14ac:dyDescent="0.25">
      <c r="A5830" s="36">
        <v>45642</v>
      </c>
      <c r="B5830" s="7">
        <v>43.39</v>
      </c>
      <c r="C5830" s="10">
        <v>25.44</v>
      </c>
      <c r="D5830" s="10">
        <v>7.27</v>
      </c>
      <c r="E5830" s="6">
        <v>3.47</v>
      </c>
      <c r="G5830" s="31"/>
    </row>
    <row r="5831" spans="1:7" x14ac:dyDescent="0.25">
      <c r="A5831" s="36">
        <v>45643</v>
      </c>
      <c r="B5831" s="7">
        <v>43.24</v>
      </c>
      <c r="C5831" s="10">
        <v>25.3</v>
      </c>
      <c r="D5831" s="10">
        <v>7.16</v>
      </c>
      <c r="E5831" s="6">
        <v>3.45</v>
      </c>
      <c r="G5831" s="31"/>
    </row>
    <row r="5832" spans="1:7" x14ac:dyDescent="0.25">
      <c r="A5832" s="36">
        <v>45644</v>
      </c>
      <c r="B5832" s="7">
        <v>43.1</v>
      </c>
      <c r="C5832" s="10">
        <v>25.16</v>
      </c>
      <c r="D5832" s="10">
        <v>7.06</v>
      </c>
      <c r="E5832" s="6">
        <v>3.41</v>
      </c>
      <c r="G5832" s="31"/>
    </row>
    <row r="5833" spans="1:7" x14ac:dyDescent="0.25">
      <c r="A5833" s="36">
        <v>45645</v>
      </c>
      <c r="B5833" s="7">
        <v>42.99</v>
      </c>
      <c r="C5833" s="10">
        <v>25.02</v>
      </c>
      <c r="D5833" s="10">
        <v>6.96</v>
      </c>
      <c r="E5833" s="6">
        <v>3.4321999999999999</v>
      </c>
      <c r="G5833" s="31"/>
    </row>
    <row r="5834" spans="1:7" x14ac:dyDescent="0.25">
      <c r="A5834" s="36">
        <v>45646</v>
      </c>
      <c r="B5834" s="7">
        <v>42.91</v>
      </c>
      <c r="C5834" s="10">
        <v>24.9</v>
      </c>
      <c r="D5834" s="10">
        <v>6.84</v>
      </c>
      <c r="E5834" s="6">
        <v>3.2754479999999999</v>
      </c>
      <c r="G5834" s="31"/>
    </row>
    <row r="5835" spans="1:7" x14ac:dyDescent="0.25">
      <c r="A5835" s="36">
        <v>45647</v>
      </c>
      <c r="B5835" s="7">
        <v>42.87</v>
      </c>
      <c r="C5835" s="10">
        <v>24.75</v>
      </c>
      <c r="D5835" s="10">
        <v>6.7</v>
      </c>
      <c r="E5835" s="6">
        <v>3.1578840000000001</v>
      </c>
      <c r="G5835" s="31"/>
    </row>
    <row r="5836" spans="1:7" x14ac:dyDescent="0.25">
      <c r="A5836" s="36">
        <v>45648</v>
      </c>
      <c r="B5836" s="7">
        <v>42.87</v>
      </c>
      <c r="C5836" s="10">
        <v>24.65</v>
      </c>
      <c r="D5836" s="10">
        <v>6.54</v>
      </c>
      <c r="E5836" s="6">
        <v>3.1284929999999997</v>
      </c>
      <c r="G5836" s="31"/>
    </row>
    <row r="5837" spans="1:7" x14ac:dyDescent="0.25">
      <c r="A5837" s="36">
        <v>45649</v>
      </c>
      <c r="B5837" s="7">
        <v>42.86</v>
      </c>
      <c r="C5837" s="10">
        <v>24.6</v>
      </c>
      <c r="D5837" s="10">
        <v>6.38</v>
      </c>
      <c r="E5837" s="6">
        <v>2.8639739999999998</v>
      </c>
      <c r="G5837" s="31"/>
    </row>
    <row r="5838" spans="1:7" x14ac:dyDescent="0.25">
      <c r="A5838" s="36">
        <v>45650</v>
      </c>
      <c r="B5838" s="7">
        <v>42.85</v>
      </c>
      <c r="C5838" s="10">
        <v>24.55</v>
      </c>
      <c r="D5838" s="10">
        <v>6.27</v>
      </c>
      <c r="E5838" s="6">
        <v>2.6876280000000001</v>
      </c>
      <c r="G5838" s="31"/>
    </row>
    <row r="5839" spans="1:7" x14ac:dyDescent="0.25">
      <c r="A5839" s="36">
        <v>45651</v>
      </c>
      <c r="B5839" s="7">
        <v>42.79</v>
      </c>
      <c r="C5839" s="10">
        <v>24.5</v>
      </c>
      <c r="D5839" s="10">
        <v>6.18</v>
      </c>
      <c r="E5839" s="6">
        <v>2.697425</v>
      </c>
      <c r="G5839" s="31"/>
    </row>
    <row r="5840" spans="1:7" x14ac:dyDescent="0.25">
      <c r="A5840" s="36">
        <v>45652</v>
      </c>
      <c r="B5840" s="7">
        <v>42.83</v>
      </c>
      <c r="C5840" s="10">
        <v>24.48</v>
      </c>
      <c r="D5840" s="10">
        <v>6.12</v>
      </c>
      <c r="E5840" s="6">
        <v>2.6386430000000001</v>
      </c>
      <c r="G5840" s="31"/>
    </row>
    <row r="5841" spans="1:7" x14ac:dyDescent="0.25">
      <c r="A5841" s="36">
        <v>45653</v>
      </c>
      <c r="B5841" s="7">
        <v>42.9</v>
      </c>
      <c r="C5841" s="10">
        <v>24.45</v>
      </c>
      <c r="D5841" s="10">
        <v>6.04</v>
      </c>
      <c r="E5841" s="6">
        <v>2.6876280000000001</v>
      </c>
      <c r="G5841" s="31"/>
    </row>
    <row r="5842" spans="1:7" x14ac:dyDescent="0.25">
      <c r="A5842" s="36">
        <v>45654</v>
      </c>
      <c r="B5842" s="7">
        <v>42.97</v>
      </c>
      <c r="C5842" s="10">
        <v>24.43</v>
      </c>
      <c r="D5842" s="10">
        <v>6</v>
      </c>
      <c r="E5842" s="6">
        <v>2.540673</v>
      </c>
      <c r="G5842" s="31"/>
    </row>
    <row r="5843" spans="1:7" x14ac:dyDescent="0.25">
      <c r="A5843" s="36">
        <v>45655</v>
      </c>
      <c r="B5843" s="7">
        <v>43.04</v>
      </c>
      <c r="C5843" s="10">
        <v>24.43</v>
      </c>
      <c r="D5843" s="10">
        <v>5.96</v>
      </c>
      <c r="E5843" s="6">
        <v>2.7170190000000001</v>
      </c>
      <c r="G5843" s="31"/>
    </row>
    <row r="5844" spans="1:7" x14ac:dyDescent="0.25">
      <c r="A5844" s="36">
        <v>45656</v>
      </c>
      <c r="B5844" s="7">
        <v>43.15</v>
      </c>
      <c r="C5844" s="10">
        <v>24.47</v>
      </c>
      <c r="D5844" s="10">
        <v>5.96</v>
      </c>
      <c r="E5844" s="6">
        <v>2.69</v>
      </c>
      <c r="G5844" s="31"/>
    </row>
    <row r="5845" spans="1:7" x14ac:dyDescent="0.25">
      <c r="A5845" s="36">
        <v>45657</v>
      </c>
      <c r="B5845" s="7">
        <v>43.32</v>
      </c>
      <c r="C5845" s="10">
        <v>24.5</v>
      </c>
      <c r="D5845" s="10">
        <v>5.94</v>
      </c>
      <c r="E5845" s="6">
        <v>2.6</v>
      </c>
      <c r="G5845" s="31"/>
    </row>
    <row r="5846" spans="1:7" x14ac:dyDescent="0.25">
      <c r="A5846" s="36">
        <v>45658</v>
      </c>
      <c r="B5846" s="10">
        <v>43.44</v>
      </c>
      <c r="C5846" s="10">
        <v>24.59</v>
      </c>
      <c r="D5846" s="10">
        <v>5.95</v>
      </c>
      <c r="E5846" s="7">
        <v>2.5300000000000002</v>
      </c>
      <c r="G5846" s="31"/>
    </row>
    <row r="5847" spans="1:7" x14ac:dyDescent="0.25">
      <c r="A5847" s="36">
        <v>45659</v>
      </c>
      <c r="B5847" s="10">
        <v>43.53</v>
      </c>
      <c r="C5847" s="10">
        <v>24.68</v>
      </c>
      <c r="D5847" s="10">
        <v>5.94</v>
      </c>
      <c r="E5847" s="7">
        <v>2.5200000000000005</v>
      </c>
      <c r="G5847" s="31"/>
    </row>
    <row r="5848" spans="1:7" x14ac:dyDescent="0.25">
      <c r="A5848" s="36">
        <v>45660</v>
      </c>
      <c r="B5848" s="10">
        <v>43.58</v>
      </c>
      <c r="C5848" s="10">
        <v>24.78</v>
      </c>
      <c r="D5848" s="10">
        <v>5.98</v>
      </c>
      <c r="E5848" s="7">
        <v>2.5</v>
      </c>
      <c r="G5848" s="31"/>
    </row>
    <row r="5849" spans="1:7" x14ac:dyDescent="0.25">
      <c r="A5849" s="36">
        <v>45661</v>
      </c>
      <c r="B5849" s="10">
        <v>43.64</v>
      </c>
      <c r="C5849" s="10">
        <v>24.82</v>
      </c>
      <c r="D5849" s="10">
        <v>6.02</v>
      </c>
      <c r="E5849" s="7">
        <v>2.59</v>
      </c>
      <c r="G5849" s="31"/>
    </row>
    <row r="5850" spans="1:7" x14ac:dyDescent="0.25">
      <c r="A5850" s="36">
        <v>45662</v>
      </c>
      <c r="B5850" s="10">
        <v>43.7</v>
      </c>
      <c r="C5850" s="10">
        <v>24.88</v>
      </c>
      <c r="D5850" s="10">
        <v>6.08</v>
      </c>
      <c r="E5850" s="7">
        <v>2.6900000000000004</v>
      </c>
      <c r="G5850" s="31"/>
    </row>
    <row r="5851" spans="1:7" x14ac:dyDescent="0.25">
      <c r="A5851" s="36">
        <v>45663</v>
      </c>
      <c r="B5851" s="10">
        <v>43.73</v>
      </c>
      <c r="C5851" s="10">
        <v>24.93</v>
      </c>
      <c r="D5851" s="10">
        <v>6.15</v>
      </c>
      <c r="E5851" s="7">
        <v>2.5</v>
      </c>
      <c r="G5851" s="31"/>
    </row>
    <row r="5852" spans="1:7" x14ac:dyDescent="0.25">
      <c r="A5852" s="36">
        <v>45664</v>
      </c>
      <c r="B5852" s="10">
        <v>43.75</v>
      </c>
      <c r="C5852" s="10">
        <v>25.04</v>
      </c>
      <c r="D5852" s="10">
        <v>6.27</v>
      </c>
      <c r="E5852" s="7">
        <v>2.71</v>
      </c>
      <c r="G5852" s="31"/>
    </row>
    <row r="5853" spans="1:7" x14ac:dyDescent="0.25">
      <c r="A5853" s="36">
        <v>45665</v>
      </c>
      <c r="B5853" s="10">
        <v>43.73</v>
      </c>
      <c r="C5853" s="10">
        <v>25.12</v>
      </c>
      <c r="D5853" s="10">
        <v>6.46</v>
      </c>
      <c r="E5853" s="7">
        <v>2.8200000000000003</v>
      </c>
      <c r="G5853" s="31"/>
    </row>
    <row r="5854" spans="1:7" x14ac:dyDescent="0.25">
      <c r="A5854" s="36">
        <v>45666</v>
      </c>
      <c r="B5854" s="10">
        <v>43.7</v>
      </c>
      <c r="C5854" s="10">
        <v>25.14</v>
      </c>
      <c r="D5854" s="10">
        <v>6.64</v>
      </c>
      <c r="E5854" s="7">
        <v>3</v>
      </c>
      <c r="G5854" s="31"/>
    </row>
    <row r="5855" spans="1:7" x14ac:dyDescent="0.25">
      <c r="A5855" s="36">
        <v>45667</v>
      </c>
      <c r="B5855" s="10">
        <v>43.63</v>
      </c>
      <c r="C5855" s="10">
        <v>25.08</v>
      </c>
      <c r="D5855" s="10">
        <v>6.75</v>
      </c>
      <c r="E5855" s="7">
        <v>3.01</v>
      </c>
      <c r="G5855" s="31"/>
    </row>
    <row r="5856" spans="1:7" x14ac:dyDescent="0.25">
      <c r="A5856" s="36">
        <v>45668</v>
      </c>
      <c r="B5856" s="10">
        <v>43.57</v>
      </c>
      <c r="C5856" s="10">
        <v>25.02</v>
      </c>
      <c r="D5856" s="10">
        <v>6.78</v>
      </c>
      <c r="E5856" s="7">
        <v>2.9400000000000004</v>
      </c>
      <c r="G5856" s="31"/>
    </row>
    <row r="5857" spans="1:7" x14ac:dyDescent="0.25">
      <c r="A5857" s="36">
        <v>45669</v>
      </c>
      <c r="B5857" s="10">
        <v>43.5</v>
      </c>
      <c r="C5857" s="10">
        <v>24.97</v>
      </c>
      <c r="D5857" s="10">
        <v>6.72</v>
      </c>
      <c r="E5857" s="7">
        <v>3.0300000000000002</v>
      </c>
      <c r="G5857" s="31"/>
    </row>
    <row r="5858" spans="1:7" x14ac:dyDescent="0.25">
      <c r="A5858" s="36">
        <v>45670</v>
      </c>
      <c r="B5858" s="10">
        <v>43.44</v>
      </c>
      <c r="C5858" s="10">
        <v>24.94</v>
      </c>
      <c r="D5858" s="10">
        <v>6.62</v>
      </c>
      <c r="E5858" s="7">
        <v>2.92</v>
      </c>
      <c r="G5858" s="31"/>
    </row>
    <row r="5859" spans="1:7" x14ac:dyDescent="0.25">
      <c r="A5859" s="36">
        <v>45671</v>
      </c>
      <c r="B5859" s="10">
        <v>43.36</v>
      </c>
      <c r="C5859" s="10">
        <v>24.94</v>
      </c>
      <c r="D5859" s="10">
        <v>6.53</v>
      </c>
      <c r="E5859" s="7">
        <v>3.04</v>
      </c>
      <c r="G5859" s="31"/>
    </row>
    <row r="5860" spans="1:7" x14ac:dyDescent="0.25">
      <c r="A5860" s="36">
        <v>45672</v>
      </c>
      <c r="B5860" s="10">
        <v>43.24</v>
      </c>
      <c r="C5860" s="10">
        <v>24.96</v>
      </c>
      <c r="D5860" s="10">
        <v>6.45</v>
      </c>
      <c r="E5860" s="7">
        <v>2.9800000000000004</v>
      </c>
      <c r="G5860" s="31"/>
    </row>
    <row r="5861" spans="1:7" x14ac:dyDescent="0.25">
      <c r="A5861" s="36">
        <v>45673</v>
      </c>
      <c r="B5861" s="10">
        <v>43.11</v>
      </c>
      <c r="C5861" s="10">
        <v>24.93</v>
      </c>
      <c r="D5861" s="10">
        <v>6.36</v>
      </c>
      <c r="E5861" s="7">
        <v>2.8</v>
      </c>
      <c r="G5861" s="31"/>
    </row>
    <row r="5862" spans="1:7" x14ac:dyDescent="0.25">
      <c r="A5862" s="36">
        <v>45674</v>
      </c>
      <c r="B5862" s="10">
        <v>42.96</v>
      </c>
      <c r="C5862" s="10">
        <v>24.9</v>
      </c>
      <c r="D5862" s="10">
        <v>6.32</v>
      </c>
      <c r="E5862" s="7">
        <v>2.84</v>
      </c>
      <c r="G5862" s="31"/>
    </row>
    <row r="5863" spans="1:7" x14ac:dyDescent="0.25">
      <c r="A5863" s="36">
        <v>45675</v>
      </c>
      <c r="B5863" s="10">
        <v>42.83</v>
      </c>
      <c r="C5863" s="10">
        <v>24.76</v>
      </c>
      <c r="D5863" s="10">
        <v>6.27</v>
      </c>
      <c r="E5863" s="7">
        <v>2.7800000000000002</v>
      </c>
      <c r="G5863" s="31"/>
    </row>
    <row r="5864" spans="1:7" x14ac:dyDescent="0.25">
      <c r="A5864" s="36">
        <v>45676</v>
      </c>
      <c r="B5864" s="10">
        <v>42.71</v>
      </c>
      <c r="C5864" s="10">
        <v>24.6</v>
      </c>
      <c r="D5864" s="10">
        <v>6.22</v>
      </c>
      <c r="E5864" s="7">
        <v>2.7800000000000002</v>
      </c>
      <c r="G5864" s="31"/>
    </row>
    <row r="5865" spans="1:7" x14ac:dyDescent="0.25">
      <c r="A5865" s="36">
        <v>45677</v>
      </c>
      <c r="B5865" s="10">
        <v>42.57</v>
      </c>
      <c r="C5865" s="10">
        <v>24.42</v>
      </c>
      <c r="D5865" s="10">
        <v>6.14</v>
      </c>
      <c r="E5865" s="7">
        <v>2.67</v>
      </c>
      <c r="G5865" s="31"/>
    </row>
    <row r="5866" spans="1:7" x14ac:dyDescent="0.25">
      <c r="A5866" s="36">
        <v>45678</v>
      </c>
      <c r="B5866" s="10">
        <v>42.45</v>
      </c>
      <c r="C5866" s="10">
        <v>24.27</v>
      </c>
      <c r="D5866" s="10">
        <v>6.02</v>
      </c>
      <c r="E5866" s="7">
        <v>2.5999999999999996</v>
      </c>
      <c r="G5866" s="31"/>
    </row>
    <row r="5867" spans="1:7" x14ac:dyDescent="0.25">
      <c r="A5867" s="36">
        <v>45679</v>
      </c>
      <c r="B5867" s="10">
        <v>42.33</v>
      </c>
      <c r="C5867" s="10">
        <v>24.12</v>
      </c>
      <c r="D5867" s="10">
        <v>5.87</v>
      </c>
      <c r="E5867" s="7">
        <v>2.5599999999999996</v>
      </c>
      <c r="G5867" s="31"/>
    </row>
    <row r="5868" spans="1:7" x14ac:dyDescent="0.25">
      <c r="A5868" s="36">
        <v>45680</v>
      </c>
      <c r="B5868" s="10">
        <v>42.21</v>
      </c>
      <c r="C5868" s="10">
        <v>23.97</v>
      </c>
      <c r="D5868" s="10">
        <v>5.7</v>
      </c>
      <c r="E5868" s="7">
        <v>2.2800000000000002</v>
      </c>
      <c r="G5868" s="31"/>
    </row>
    <row r="5869" spans="1:7" x14ac:dyDescent="0.25">
      <c r="A5869" s="36">
        <v>45681</v>
      </c>
      <c r="B5869" s="10">
        <v>42.08</v>
      </c>
      <c r="C5869" s="10">
        <v>23.85</v>
      </c>
      <c r="D5869" s="10">
        <v>5.56</v>
      </c>
      <c r="E5869" s="7">
        <v>2.2300000000000004</v>
      </c>
      <c r="G5869" s="31"/>
    </row>
    <row r="5870" spans="1:7" x14ac:dyDescent="0.25">
      <c r="A5870" s="36">
        <v>45682</v>
      </c>
      <c r="B5870" s="10">
        <v>41.98</v>
      </c>
      <c r="C5870" s="10">
        <v>23.72</v>
      </c>
      <c r="D5870" s="10">
        <v>5.38</v>
      </c>
      <c r="E5870" s="7">
        <v>2.21</v>
      </c>
      <c r="G5870" s="31"/>
    </row>
    <row r="5871" spans="1:7" x14ac:dyDescent="0.25">
      <c r="A5871" s="36">
        <v>45683</v>
      </c>
      <c r="B5871" s="10">
        <v>41.91</v>
      </c>
      <c r="C5871" s="10">
        <v>23.62</v>
      </c>
      <c r="D5871" s="10">
        <v>5.35</v>
      </c>
      <c r="E5871" s="7">
        <v>2.0200000000000005</v>
      </c>
      <c r="G5871" s="31"/>
    </row>
    <row r="5872" spans="1:7" x14ac:dyDescent="0.25">
      <c r="A5872" s="36">
        <v>45684</v>
      </c>
      <c r="B5872" s="10">
        <v>41.84</v>
      </c>
      <c r="C5872" s="10">
        <v>23.53</v>
      </c>
      <c r="D5872" s="10">
        <v>5.12</v>
      </c>
      <c r="E5872" s="7">
        <v>2.0599999999999996</v>
      </c>
      <c r="G5872" s="31"/>
    </row>
    <row r="5873" spans="1:7" x14ac:dyDescent="0.25">
      <c r="A5873" s="36">
        <v>45685</v>
      </c>
      <c r="B5873" s="10">
        <v>41.76</v>
      </c>
      <c r="C5873" s="10">
        <v>23.46</v>
      </c>
      <c r="D5873" s="10">
        <v>5</v>
      </c>
      <c r="E5873" s="7">
        <v>2.0499999999999998</v>
      </c>
      <c r="G5873" s="31"/>
    </row>
    <row r="5874" spans="1:7" x14ac:dyDescent="0.25">
      <c r="A5874" s="36">
        <v>45686</v>
      </c>
      <c r="B5874" s="10">
        <v>41.76</v>
      </c>
      <c r="C5874" s="10">
        <v>23.36</v>
      </c>
      <c r="D5874" s="10">
        <v>4.97</v>
      </c>
      <c r="E5874" s="7">
        <v>2.02</v>
      </c>
      <c r="G5874" s="31"/>
    </row>
    <row r="5875" spans="1:7" x14ac:dyDescent="0.25">
      <c r="A5875" s="36">
        <v>45687</v>
      </c>
      <c r="B5875" s="10">
        <v>41.75</v>
      </c>
      <c r="C5875" s="10">
        <v>23.28</v>
      </c>
      <c r="D5875" s="10">
        <v>4.96</v>
      </c>
      <c r="E5875" s="7">
        <v>2.09</v>
      </c>
      <c r="G5875" s="31"/>
    </row>
    <row r="5876" spans="1:7" x14ac:dyDescent="0.25">
      <c r="A5876" s="36">
        <v>45688</v>
      </c>
      <c r="B5876" s="10">
        <v>41.8</v>
      </c>
      <c r="C5876" s="10">
        <v>23.2</v>
      </c>
      <c r="D5876" s="10">
        <v>4.95</v>
      </c>
      <c r="E5876" s="7">
        <v>2.12</v>
      </c>
      <c r="G5876" s="31"/>
    </row>
    <row r="5877" spans="1:7" x14ac:dyDescent="0.25">
      <c r="A5877" s="36">
        <v>45689</v>
      </c>
      <c r="B5877" s="10">
        <v>41.86</v>
      </c>
      <c r="C5877" s="10">
        <v>23.15</v>
      </c>
      <c r="D5877" s="10">
        <v>4.9000000000000004</v>
      </c>
      <c r="E5877" s="7">
        <v>2.14</v>
      </c>
      <c r="G5877" s="31"/>
    </row>
    <row r="5878" spans="1:7" x14ac:dyDescent="0.25">
      <c r="A5878" s="36">
        <v>45690</v>
      </c>
      <c r="B5878" s="10">
        <v>41.91</v>
      </c>
      <c r="C5878" s="10">
        <v>23.13</v>
      </c>
      <c r="D5878" s="10">
        <v>4.82</v>
      </c>
      <c r="E5878" s="7">
        <v>2.13</v>
      </c>
      <c r="G5878" s="31"/>
    </row>
    <row r="5879" spans="1:7" x14ac:dyDescent="0.25">
      <c r="A5879" s="36">
        <v>45691</v>
      </c>
      <c r="B5879" s="10">
        <v>41.92</v>
      </c>
      <c r="C5879" s="10">
        <v>23.13</v>
      </c>
      <c r="D5879" s="10">
        <v>4.72</v>
      </c>
      <c r="E5879" s="7">
        <v>2.0099999999999998</v>
      </c>
      <c r="G5879" s="31"/>
    </row>
    <row r="5880" spans="1:7" x14ac:dyDescent="0.25">
      <c r="A5880" s="36">
        <v>45692</v>
      </c>
      <c r="B5880" s="10">
        <v>41.92</v>
      </c>
      <c r="C5880" s="10">
        <v>23.16</v>
      </c>
      <c r="D5880" s="10">
        <v>4.6399999999999997</v>
      </c>
      <c r="E5880" s="7">
        <v>1.99</v>
      </c>
      <c r="G5880" s="31"/>
    </row>
    <row r="5881" spans="1:7" x14ac:dyDescent="0.25">
      <c r="A5881" s="36">
        <v>45693</v>
      </c>
      <c r="B5881" s="10">
        <v>41.89</v>
      </c>
      <c r="C5881" s="10">
        <v>23.18</v>
      </c>
      <c r="D5881" s="10">
        <v>4.5999999999999996</v>
      </c>
      <c r="E5881" s="7">
        <v>1.9</v>
      </c>
      <c r="G5881" s="31"/>
    </row>
    <row r="5882" spans="1:7" x14ac:dyDescent="0.25">
      <c r="A5882" s="36">
        <v>45694</v>
      </c>
      <c r="B5882" s="10">
        <v>41.84</v>
      </c>
      <c r="C5882" s="10">
        <v>23.19</v>
      </c>
      <c r="D5882" s="10">
        <v>4.5599999999999996</v>
      </c>
      <c r="E5882" s="7">
        <v>1.81</v>
      </c>
      <c r="G5882" s="31"/>
    </row>
    <row r="5883" spans="1:7" x14ac:dyDescent="0.25">
      <c r="A5883" s="36">
        <v>45695</v>
      </c>
      <c r="B5883" s="10">
        <v>41.74</v>
      </c>
      <c r="C5883" s="10">
        <v>23.17</v>
      </c>
      <c r="D5883" s="10">
        <v>4.5199999999999996</v>
      </c>
      <c r="E5883" s="7">
        <v>1.79</v>
      </c>
      <c r="G5883" s="31"/>
    </row>
    <row r="5884" spans="1:7" x14ac:dyDescent="0.25">
      <c r="A5884" s="36">
        <v>45696</v>
      </c>
      <c r="B5884" s="10">
        <v>41.67</v>
      </c>
      <c r="C5884" s="10">
        <v>23.16</v>
      </c>
      <c r="D5884" s="10">
        <v>4.5</v>
      </c>
      <c r="E5884" s="7">
        <v>1.75</v>
      </c>
      <c r="G5884" s="31"/>
    </row>
    <row r="5885" spans="1:7" x14ac:dyDescent="0.25">
      <c r="A5885" s="36">
        <v>45697</v>
      </c>
      <c r="B5885" s="10">
        <v>41.59</v>
      </c>
      <c r="C5885" s="10">
        <v>23.13</v>
      </c>
      <c r="D5885" s="10">
        <v>4.47</v>
      </c>
      <c r="E5885" s="7">
        <v>1.76</v>
      </c>
      <c r="G5885" s="31"/>
    </row>
    <row r="5886" spans="1:7" x14ac:dyDescent="0.25">
      <c r="A5886" s="36">
        <v>45698</v>
      </c>
      <c r="B5886" s="10">
        <v>41.53</v>
      </c>
      <c r="C5886" s="10">
        <v>23.09</v>
      </c>
      <c r="D5886" s="10">
        <v>4.4400000000000004</v>
      </c>
      <c r="E5886" s="7">
        <v>1.7</v>
      </c>
      <c r="G5886" s="31"/>
    </row>
    <row r="5887" spans="1:7" x14ac:dyDescent="0.25">
      <c r="A5887" s="36">
        <v>45699</v>
      </c>
      <c r="B5887" s="10">
        <v>41.47</v>
      </c>
      <c r="C5887" s="10">
        <v>23.04</v>
      </c>
      <c r="D5887" s="10">
        <v>4.41</v>
      </c>
      <c r="E5887" s="7">
        <v>1.76</v>
      </c>
      <c r="G5887" s="31"/>
    </row>
    <row r="5888" spans="1:7" x14ac:dyDescent="0.25">
      <c r="A5888" s="36">
        <v>45700</v>
      </c>
      <c r="B5888" s="10">
        <v>41.43</v>
      </c>
      <c r="C5888" s="10">
        <v>22.99</v>
      </c>
      <c r="D5888" s="10">
        <v>4.38</v>
      </c>
      <c r="E5888" s="7">
        <v>1.78</v>
      </c>
      <c r="G5888" s="31"/>
    </row>
    <row r="5889" spans="1:40" x14ac:dyDescent="0.25">
      <c r="A5889" s="36">
        <v>45701</v>
      </c>
      <c r="B5889" s="10">
        <v>41.38</v>
      </c>
      <c r="C5889" s="10">
        <v>22.91</v>
      </c>
      <c r="D5889" s="10">
        <v>4.34</v>
      </c>
      <c r="E5889" s="7">
        <v>1.81</v>
      </c>
      <c r="G5889" s="31"/>
    </row>
    <row r="5890" spans="1:40" x14ac:dyDescent="0.25">
      <c r="A5890" s="36">
        <v>45702</v>
      </c>
      <c r="B5890" s="10">
        <v>41.36</v>
      </c>
      <c r="C5890" s="10">
        <v>22.83</v>
      </c>
      <c r="D5890" s="10">
        <v>4.3</v>
      </c>
      <c r="E5890" s="7">
        <v>1.85</v>
      </c>
      <c r="G5890" s="31"/>
    </row>
    <row r="5891" spans="1:40" x14ac:dyDescent="0.25">
      <c r="A5891" s="36">
        <v>45703</v>
      </c>
      <c r="B5891" s="10">
        <v>41.32</v>
      </c>
      <c r="C5891" s="10">
        <v>22.76</v>
      </c>
      <c r="D5891" s="10">
        <v>4.26</v>
      </c>
      <c r="E5891" s="7">
        <v>1.79</v>
      </c>
      <c r="G5891" s="31"/>
    </row>
    <row r="5892" spans="1:40" x14ac:dyDescent="0.25">
      <c r="A5892" s="36">
        <v>45704</v>
      </c>
      <c r="B5892" s="10">
        <v>41.27</v>
      </c>
      <c r="C5892" s="10">
        <v>22.73</v>
      </c>
      <c r="D5892" s="10">
        <v>4.22</v>
      </c>
      <c r="E5892" s="7">
        <v>1.77</v>
      </c>
      <c r="G5892" s="31"/>
    </row>
    <row r="5893" spans="1:40" x14ac:dyDescent="0.25">
      <c r="A5893" s="36">
        <v>45705</v>
      </c>
      <c r="B5893" s="10">
        <v>41.23</v>
      </c>
      <c r="C5893" s="10">
        <v>22.69</v>
      </c>
      <c r="D5893" s="10">
        <v>4.0999999999999996</v>
      </c>
      <c r="E5893" s="7">
        <v>1.66</v>
      </c>
      <c r="G5893" s="31"/>
    </row>
    <row r="5894" spans="1:40" x14ac:dyDescent="0.25">
      <c r="A5894" s="36">
        <v>45706</v>
      </c>
      <c r="B5894" s="10">
        <v>41.21</v>
      </c>
      <c r="C5894" s="10">
        <v>22.65</v>
      </c>
      <c r="D5894" s="10">
        <v>4.0199999999999996</v>
      </c>
      <c r="E5894" s="7">
        <v>1.6</v>
      </c>
      <c r="G5894" s="31"/>
    </row>
    <row r="5895" spans="1:40" x14ac:dyDescent="0.25">
      <c r="A5895" s="36">
        <v>45707</v>
      </c>
      <c r="B5895" s="10">
        <v>41.19</v>
      </c>
      <c r="C5895" s="10">
        <v>22.6</v>
      </c>
      <c r="D5895" s="10">
        <v>3.94</v>
      </c>
      <c r="E5895" s="7">
        <v>1.58</v>
      </c>
      <c r="G5895" s="31"/>
    </row>
    <row r="5896" spans="1:40" x14ac:dyDescent="0.25">
      <c r="A5896" s="36">
        <v>45708</v>
      </c>
      <c r="B5896" s="10">
        <v>41.19</v>
      </c>
      <c r="C5896" s="10">
        <v>22.58</v>
      </c>
      <c r="D5896" s="10">
        <v>3.91</v>
      </c>
      <c r="E5896" s="7">
        <v>1.46</v>
      </c>
      <c r="G5896" s="31"/>
    </row>
    <row r="5897" spans="1:40" x14ac:dyDescent="0.25">
      <c r="A5897" s="36">
        <v>45709</v>
      </c>
      <c r="B5897" s="10">
        <v>41.19</v>
      </c>
      <c r="C5897" s="10">
        <v>22.57</v>
      </c>
      <c r="D5897" s="10">
        <v>3.88</v>
      </c>
      <c r="E5897" s="7">
        <v>1.44</v>
      </c>
      <c r="G5897" s="31"/>
    </row>
    <row r="5898" spans="1:40" x14ac:dyDescent="0.25">
      <c r="A5898" s="36">
        <v>45710</v>
      </c>
      <c r="B5898" s="10">
        <v>41.22</v>
      </c>
      <c r="C5898" s="10">
        <v>22.56</v>
      </c>
      <c r="D5898" s="10">
        <v>3.92</v>
      </c>
      <c r="E5898" s="7">
        <v>1.43</v>
      </c>
      <c r="G5898" s="31"/>
    </row>
    <row r="5899" spans="1:40" x14ac:dyDescent="0.25">
      <c r="A5899" s="36">
        <v>45711</v>
      </c>
      <c r="B5899" s="10">
        <v>41.26</v>
      </c>
      <c r="C5899" s="10">
        <v>22.55</v>
      </c>
      <c r="D5899" s="10">
        <v>3.96</v>
      </c>
      <c r="E5899" s="7">
        <v>1.4</v>
      </c>
      <c r="G5899" s="31"/>
    </row>
    <row r="5900" spans="1:40" x14ac:dyDescent="0.25">
      <c r="A5900" s="36">
        <v>45712</v>
      </c>
      <c r="B5900" s="10">
        <v>41.32</v>
      </c>
      <c r="C5900" s="10">
        <v>22.55</v>
      </c>
      <c r="D5900" s="10">
        <v>3.98</v>
      </c>
      <c r="E5900" s="7">
        <v>1.44</v>
      </c>
      <c r="G5900" s="31"/>
    </row>
    <row r="5901" spans="1:40" x14ac:dyDescent="0.25">
      <c r="A5901" s="36">
        <v>45713</v>
      </c>
      <c r="B5901" s="34"/>
      <c r="D5901" s="10"/>
      <c r="G5901" s="31"/>
      <c r="Q5901" s="35">
        <v>41.038083</v>
      </c>
      <c r="R5901" s="35">
        <v>22.248669</v>
      </c>
      <c r="S5901" s="35">
        <v>3.841278</v>
      </c>
      <c r="T5901" s="35">
        <v>1.350649</v>
      </c>
      <c r="U5901" s="35">
        <v>45.983780000000003</v>
      </c>
      <c r="V5901" s="35">
        <v>0</v>
      </c>
      <c r="W5901" s="35">
        <v>-5.0050629999999998</v>
      </c>
      <c r="X5901" s="35">
        <v>0</v>
      </c>
      <c r="Y5901" s="35">
        <v>5.9366000000000002E-2</v>
      </c>
      <c r="Z5901" s="35">
        <v>27.833752</v>
      </c>
      <c r="AA5901" s="35">
        <v>0</v>
      </c>
      <c r="AB5901" s="35">
        <v>-5.6956389999999999</v>
      </c>
      <c r="AC5901" s="35">
        <v>0</v>
      </c>
      <c r="AD5901" s="35">
        <v>0.110556</v>
      </c>
      <c r="AE5901" s="35">
        <v>9.7240839999999995</v>
      </c>
      <c r="AF5901" s="35">
        <v>0</v>
      </c>
      <c r="AG5901" s="35">
        <v>-6.0949759999999999</v>
      </c>
      <c r="AH5901" s="35">
        <v>0</v>
      </c>
      <c r="AI5901" s="35">
        <v>0.21217</v>
      </c>
      <c r="AJ5901" s="35">
        <v>5.4815500000000004</v>
      </c>
      <c r="AK5901" s="35">
        <v>5.3559999999999997E-3</v>
      </c>
      <c r="AL5901" s="35">
        <v>-4.2659979999999997</v>
      </c>
      <c r="AM5901" s="35">
        <v>0</v>
      </c>
      <c r="AN5901" s="35">
        <v>0.129741</v>
      </c>
    </row>
    <row r="5902" spans="1:40" x14ac:dyDescent="0.25">
      <c r="A5902" s="36">
        <v>45714</v>
      </c>
      <c r="B5902" s="34"/>
      <c r="G5902" s="31"/>
      <c r="Q5902" s="35">
        <v>40.985343</v>
      </c>
      <c r="R5902" s="35">
        <v>22.135673000000001</v>
      </c>
      <c r="S5902" s="35">
        <v>3.7684150000000001</v>
      </c>
      <c r="T5902" s="35">
        <v>1.2915909999999999</v>
      </c>
      <c r="U5902" s="35">
        <v>46.011662999999999</v>
      </c>
      <c r="V5902" s="35">
        <v>0</v>
      </c>
      <c r="W5902" s="35">
        <v>-5.0367839999999999</v>
      </c>
      <c r="X5902" s="35">
        <v>0</v>
      </c>
      <c r="Y5902" s="35">
        <v>1.0465E-2</v>
      </c>
      <c r="Z5902" s="35">
        <v>27.841640999999999</v>
      </c>
      <c r="AA5902" s="35">
        <v>0</v>
      </c>
      <c r="AB5902" s="35">
        <v>-5.743913</v>
      </c>
      <c r="AC5902" s="35">
        <v>0</v>
      </c>
      <c r="AD5902" s="35">
        <v>3.7946000000000001E-2</v>
      </c>
      <c r="AE5902" s="35">
        <v>9.7421349999999993</v>
      </c>
      <c r="AF5902" s="35">
        <v>0</v>
      </c>
      <c r="AG5902" s="35">
        <v>-6.1184890000000003</v>
      </c>
      <c r="AH5902" s="35">
        <v>0</v>
      </c>
      <c r="AI5902" s="35">
        <v>0.14477000000000001</v>
      </c>
      <c r="AJ5902" s="35">
        <v>5.4798900000000001</v>
      </c>
      <c r="AK5902" s="35">
        <v>1.0718E-2</v>
      </c>
      <c r="AL5902" s="35">
        <v>-4.2851460000000001</v>
      </c>
      <c r="AM5902" s="35">
        <v>0</v>
      </c>
      <c r="AN5902" s="35">
        <v>8.6128999999999997E-2</v>
      </c>
    </row>
    <row r="5903" spans="1:40" x14ac:dyDescent="0.25">
      <c r="A5903" s="36">
        <v>45715</v>
      </c>
      <c r="B5903" s="34"/>
      <c r="G5903" s="31"/>
      <c r="Q5903" s="35">
        <v>40.980223000000002</v>
      </c>
      <c r="R5903" s="35">
        <v>22.079135999999998</v>
      </c>
      <c r="S5903" s="35">
        <v>3.7173419999999999</v>
      </c>
      <c r="T5903" s="35">
        <v>1.1856249999999999</v>
      </c>
      <c r="U5903" s="35">
        <v>46.033605000000001</v>
      </c>
      <c r="V5903" s="35">
        <v>0</v>
      </c>
      <c r="W5903" s="35">
        <v>-5.0552270000000004</v>
      </c>
      <c r="X5903" s="35">
        <v>0</v>
      </c>
      <c r="Y5903" s="35">
        <v>1.8450000000000001E-3</v>
      </c>
      <c r="Z5903" s="35">
        <v>27.847785999999999</v>
      </c>
      <c r="AA5903" s="35">
        <v>0</v>
      </c>
      <c r="AB5903" s="35">
        <v>-5.7816739999999998</v>
      </c>
      <c r="AC5903" s="35">
        <v>0</v>
      </c>
      <c r="AD5903" s="35">
        <v>1.3024000000000001E-2</v>
      </c>
      <c r="AE5903" s="35">
        <v>9.7581959999999999</v>
      </c>
      <c r="AF5903" s="35">
        <v>0</v>
      </c>
      <c r="AG5903" s="35">
        <v>-6.139634</v>
      </c>
      <c r="AH5903" s="35">
        <v>0</v>
      </c>
      <c r="AI5903" s="35">
        <v>9.8780999999999994E-2</v>
      </c>
      <c r="AJ5903" s="35">
        <v>5.4785870000000001</v>
      </c>
      <c r="AK5903" s="35">
        <v>-3.4516999999999999E-2</v>
      </c>
      <c r="AL5903" s="35">
        <v>-4.3156210000000002</v>
      </c>
      <c r="AM5903" s="35">
        <v>0</v>
      </c>
      <c r="AN5903" s="35">
        <v>5.7175999999999998E-2</v>
      </c>
    </row>
    <row r="5904" spans="1:40" x14ac:dyDescent="0.25">
      <c r="A5904" s="36">
        <v>45716</v>
      </c>
      <c r="B5904" s="34"/>
      <c r="G5904" s="31"/>
      <c r="Q5904" s="35">
        <v>40.995752000000003</v>
      </c>
      <c r="R5904" s="35">
        <v>22.041972999999999</v>
      </c>
      <c r="S5904" s="35">
        <v>3.6887829999999999</v>
      </c>
      <c r="T5904" s="35">
        <v>0.92294399999999999</v>
      </c>
      <c r="U5904" s="35">
        <v>46.050877999999997</v>
      </c>
      <c r="V5904" s="35">
        <v>0</v>
      </c>
      <c r="W5904" s="35">
        <v>-5.0554509999999997</v>
      </c>
      <c r="X5904" s="35">
        <v>0</v>
      </c>
      <c r="Y5904" s="35">
        <v>3.2499999999999999E-4</v>
      </c>
      <c r="Z5904" s="35">
        <v>27.852578000000001</v>
      </c>
      <c r="AA5904" s="35">
        <v>0</v>
      </c>
      <c r="AB5904" s="35">
        <v>-5.8150740000000001</v>
      </c>
      <c r="AC5904" s="35">
        <v>0</v>
      </c>
      <c r="AD5904" s="35">
        <v>4.47E-3</v>
      </c>
      <c r="AE5904" s="35">
        <v>9.7726830000000007</v>
      </c>
      <c r="AF5904" s="35">
        <v>0</v>
      </c>
      <c r="AG5904" s="35">
        <v>-6.1513010000000001</v>
      </c>
      <c r="AH5904" s="35">
        <v>0</v>
      </c>
      <c r="AI5904" s="35">
        <v>6.7401000000000003E-2</v>
      </c>
      <c r="AJ5904" s="35">
        <v>5.4775650000000002</v>
      </c>
      <c r="AK5904" s="35">
        <v>-7.6949999999999996E-3</v>
      </c>
      <c r="AL5904" s="35">
        <v>-4.3517130000000002</v>
      </c>
      <c r="AM5904" s="35">
        <v>-0.23316899999999999</v>
      </c>
      <c r="AN5904" s="35">
        <v>3.7955999999999997E-2</v>
      </c>
    </row>
    <row r="5905" spans="1:40" x14ac:dyDescent="0.25">
      <c r="A5905" s="36">
        <v>45717</v>
      </c>
      <c r="B5905" s="34"/>
      <c r="G5905" s="31"/>
      <c r="Q5905" s="35">
        <v>41.008844000000003</v>
      </c>
      <c r="R5905" s="35">
        <v>22.006845999999999</v>
      </c>
      <c r="S5905" s="35">
        <v>3.6786669999999999</v>
      </c>
      <c r="T5905" s="35">
        <v>0.91797300000000004</v>
      </c>
      <c r="U5905" s="35">
        <v>46.064478000000001</v>
      </c>
      <c r="V5905" s="35">
        <v>0</v>
      </c>
      <c r="W5905" s="35">
        <v>-5.0556919999999996</v>
      </c>
      <c r="X5905" s="35">
        <v>0</v>
      </c>
      <c r="Y5905" s="35">
        <v>5.7000000000000003E-5</v>
      </c>
      <c r="Z5905" s="35">
        <v>27.856317000000001</v>
      </c>
      <c r="AA5905" s="35">
        <v>0</v>
      </c>
      <c r="AB5905" s="35">
        <v>-5.8510049999999998</v>
      </c>
      <c r="AC5905" s="35">
        <v>0</v>
      </c>
      <c r="AD5905" s="35">
        <v>1.534E-3</v>
      </c>
      <c r="AE5905" s="35">
        <v>9.785895</v>
      </c>
      <c r="AF5905" s="35">
        <v>0</v>
      </c>
      <c r="AG5905" s="35">
        <v>-6.1532179999999999</v>
      </c>
      <c r="AH5905" s="35">
        <v>0</v>
      </c>
      <c r="AI5905" s="35">
        <v>4.5990000000000003E-2</v>
      </c>
      <c r="AJ5905" s="35">
        <v>5.4767659999999996</v>
      </c>
      <c r="AK5905" s="35">
        <v>1.0501999999999999E-2</v>
      </c>
      <c r="AL5905" s="35">
        <v>-4.3444859999999998</v>
      </c>
      <c r="AM5905" s="35">
        <v>-0.25000499999999998</v>
      </c>
      <c r="AN5905" s="35">
        <v>2.5197000000000001E-2</v>
      </c>
    </row>
    <row r="5906" spans="1:40" x14ac:dyDescent="0.25">
      <c r="A5906" s="36">
        <v>45718</v>
      </c>
      <c r="B5906" s="34"/>
      <c r="G5906" s="31"/>
      <c r="Q5906" s="35">
        <v>41.030675000000002</v>
      </c>
      <c r="R5906" s="35">
        <v>21.977252</v>
      </c>
      <c r="S5906" s="35">
        <v>3.6367989999999999</v>
      </c>
      <c r="T5906" s="35">
        <v>1.150128</v>
      </c>
      <c r="U5906" s="35">
        <v>46.075189999999999</v>
      </c>
      <c r="V5906" s="35">
        <v>0</v>
      </c>
      <c r="W5906" s="35">
        <v>-5.0445250000000001</v>
      </c>
      <c r="X5906" s="35">
        <v>0</v>
      </c>
      <c r="Y5906" s="35">
        <v>1.0000000000000001E-5</v>
      </c>
      <c r="Z5906" s="35">
        <v>27.859238999999999</v>
      </c>
      <c r="AA5906" s="35">
        <v>0</v>
      </c>
      <c r="AB5906" s="35">
        <v>-5.8825130000000003</v>
      </c>
      <c r="AC5906" s="35">
        <v>0</v>
      </c>
      <c r="AD5906" s="35">
        <v>5.2700000000000002E-4</v>
      </c>
      <c r="AE5906" s="35">
        <v>9.7980730000000005</v>
      </c>
      <c r="AF5906" s="35">
        <v>0</v>
      </c>
      <c r="AG5906" s="35">
        <v>-6.1926540000000001</v>
      </c>
      <c r="AH5906" s="35">
        <v>0</v>
      </c>
      <c r="AI5906" s="35">
        <v>3.1379999999999998E-2</v>
      </c>
      <c r="AJ5906" s="35">
        <v>5.4761430000000004</v>
      </c>
      <c r="AK5906" s="35">
        <v>6.8519999999999996E-3</v>
      </c>
      <c r="AL5906" s="35">
        <v>-4.3495949999999999</v>
      </c>
      <c r="AM5906" s="35">
        <v>0</v>
      </c>
      <c r="AN5906" s="35">
        <v>1.6726999999999999E-2</v>
      </c>
    </row>
    <row r="5907" spans="1:40" x14ac:dyDescent="0.25">
      <c r="A5907" s="36">
        <v>45719</v>
      </c>
      <c r="B5907" s="34"/>
      <c r="G5907" s="31"/>
      <c r="Q5907" s="35">
        <v>40.998747000000002</v>
      </c>
      <c r="R5907" s="35">
        <v>21.941338999999999</v>
      </c>
      <c r="S5907" s="35">
        <v>3.6153559999999998</v>
      </c>
      <c r="T5907" s="35">
        <v>1.148547</v>
      </c>
      <c r="U5907" s="35">
        <v>46.083627999999997</v>
      </c>
      <c r="V5907" s="35">
        <v>0</v>
      </c>
      <c r="W5907" s="35">
        <v>-5.0848829999999996</v>
      </c>
      <c r="X5907" s="35">
        <v>0</v>
      </c>
      <c r="Y5907" s="35">
        <v>1.9999999999999999E-6</v>
      </c>
      <c r="Z5907" s="35">
        <v>27.861522999999998</v>
      </c>
      <c r="AA5907" s="35">
        <v>0</v>
      </c>
      <c r="AB5907" s="35">
        <v>-5.9203650000000003</v>
      </c>
      <c r="AC5907" s="35">
        <v>0</v>
      </c>
      <c r="AD5907" s="35">
        <v>1.8100000000000001E-4</v>
      </c>
      <c r="AE5907" s="35">
        <v>9.8094110000000008</v>
      </c>
      <c r="AF5907" s="35">
        <v>0</v>
      </c>
      <c r="AG5907" s="35">
        <v>-6.2154660000000002</v>
      </c>
      <c r="AH5907" s="35">
        <v>0</v>
      </c>
      <c r="AI5907" s="35">
        <v>2.1410999999999999E-2</v>
      </c>
      <c r="AJ5907" s="35">
        <v>5.4756619999999998</v>
      </c>
      <c r="AK5907" s="35">
        <v>2.4610000000000001E-3</v>
      </c>
      <c r="AL5907" s="35">
        <v>-4.340681</v>
      </c>
      <c r="AM5907" s="35">
        <v>0</v>
      </c>
      <c r="AN5907" s="35">
        <v>1.1103999999999999E-2</v>
      </c>
    </row>
    <row r="5908" spans="1:40" x14ac:dyDescent="0.25">
      <c r="A5908" s="36">
        <v>45720</v>
      </c>
      <c r="B5908" s="34"/>
      <c r="G5908" s="31"/>
      <c r="Q5908" s="35">
        <v>40.954757999999998</v>
      </c>
      <c r="R5908" s="35">
        <v>21.915917</v>
      </c>
      <c r="S5908" s="35">
        <v>3.5891060000000001</v>
      </c>
      <c r="T5908" s="35">
        <v>1.161492</v>
      </c>
      <c r="U5908" s="35">
        <v>46.090277</v>
      </c>
      <c r="V5908" s="35">
        <v>0</v>
      </c>
      <c r="W5908" s="35">
        <v>-5.1355190000000004</v>
      </c>
      <c r="X5908" s="35">
        <v>0</v>
      </c>
      <c r="Y5908" s="35">
        <v>0</v>
      </c>
      <c r="Z5908" s="35">
        <v>27.863309999999998</v>
      </c>
      <c r="AA5908" s="35">
        <v>0</v>
      </c>
      <c r="AB5908" s="35">
        <v>-5.9474559999999999</v>
      </c>
      <c r="AC5908" s="35">
        <v>0</v>
      </c>
      <c r="AD5908" s="35">
        <v>6.2000000000000003E-5</v>
      </c>
      <c r="AE5908" s="35">
        <v>9.8200679999999991</v>
      </c>
      <c r="AF5908" s="35">
        <v>0</v>
      </c>
      <c r="AG5908" s="35">
        <v>-6.245571</v>
      </c>
      <c r="AH5908" s="35">
        <v>0</v>
      </c>
      <c r="AI5908" s="35">
        <v>1.461E-2</v>
      </c>
      <c r="AJ5908" s="35">
        <v>5.4752910000000004</v>
      </c>
      <c r="AK5908" s="35">
        <v>1.3309E-2</v>
      </c>
      <c r="AL5908" s="35">
        <v>-4.3344800000000001</v>
      </c>
      <c r="AM5908" s="35">
        <v>0</v>
      </c>
      <c r="AN5908" s="35">
        <v>7.3720000000000001E-3</v>
      </c>
    </row>
    <row r="5909" spans="1:40" x14ac:dyDescent="0.25">
      <c r="A5909" s="36">
        <v>45721</v>
      </c>
      <c r="B5909" s="34"/>
      <c r="G5909" s="31"/>
      <c r="Q5909" s="35">
        <v>40.958649999999999</v>
      </c>
      <c r="R5909" s="35">
        <v>21.911681999999999</v>
      </c>
      <c r="S5909" s="35">
        <v>3.548009</v>
      </c>
      <c r="T5909" s="35">
        <v>1.1485019999999999</v>
      </c>
      <c r="U5909" s="35">
        <v>46.095516000000003</v>
      </c>
      <c r="V5909" s="35">
        <v>0</v>
      </c>
      <c r="W5909" s="35">
        <v>-5.1368660000000004</v>
      </c>
      <c r="X5909" s="35">
        <v>0</v>
      </c>
      <c r="Y5909" s="35">
        <v>0</v>
      </c>
      <c r="Z5909" s="35">
        <v>27.864709999999999</v>
      </c>
      <c r="AA5909" s="35">
        <v>0</v>
      </c>
      <c r="AB5909" s="35">
        <v>-5.953049</v>
      </c>
      <c r="AC5909" s="35">
        <v>0</v>
      </c>
      <c r="AD5909" s="35">
        <v>2.0999999999999999E-5</v>
      </c>
      <c r="AE5909" s="35">
        <v>9.8267570000000006</v>
      </c>
      <c r="AF5909" s="35">
        <v>0</v>
      </c>
      <c r="AG5909" s="35">
        <v>-6.288716</v>
      </c>
      <c r="AH5909" s="35">
        <v>0</v>
      </c>
      <c r="AI5909" s="35">
        <v>9.9690000000000004E-3</v>
      </c>
      <c r="AJ5909" s="35">
        <v>5.4750100000000002</v>
      </c>
      <c r="AK5909" s="35">
        <v>1.3849999999999999E-2</v>
      </c>
      <c r="AL5909" s="35">
        <v>-4.3452510000000002</v>
      </c>
      <c r="AM5909" s="35">
        <v>0</v>
      </c>
      <c r="AN5909" s="35">
        <v>4.8939999999999999E-3</v>
      </c>
    </row>
    <row r="5910" spans="1:40" x14ac:dyDescent="0.25">
      <c r="A5910" s="36">
        <v>45722</v>
      </c>
      <c r="B5910" s="34"/>
      <c r="G5910" s="31"/>
      <c r="Q5910" s="35">
        <v>40.950707000000001</v>
      </c>
      <c r="R5910" s="35">
        <v>21.917204999999999</v>
      </c>
      <c r="S5910" s="35">
        <v>3.5146250000000001</v>
      </c>
      <c r="T5910" s="35">
        <v>1.0856779999999999</v>
      </c>
      <c r="U5910" s="35">
        <v>46.099646</v>
      </c>
      <c r="V5910" s="35">
        <v>0</v>
      </c>
      <c r="W5910" s="35">
        <v>-5.1489390000000004</v>
      </c>
      <c r="X5910" s="35">
        <v>0</v>
      </c>
      <c r="Y5910" s="35">
        <v>0</v>
      </c>
      <c r="Z5910" s="35">
        <v>27.865808000000001</v>
      </c>
      <c r="AA5910" s="35">
        <v>0</v>
      </c>
      <c r="AB5910" s="35">
        <v>-5.9486100000000004</v>
      </c>
      <c r="AC5910" s="35">
        <v>0</v>
      </c>
      <c r="AD5910" s="35">
        <v>6.9999999999999999E-6</v>
      </c>
      <c r="AE5910" s="35">
        <v>9.8310589999999998</v>
      </c>
      <c r="AF5910" s="35">
        <v>0</v>
      </c>
      <c r="AG5910" s="35">
        <v>-6.3232359999999996</v>
      </c>
      <c r="AH5910" s="35">
        <v>0</v>
      </c>
      <c r="AI5910" s="35">
        <v>6.8019999999999999E-3</v>
      </c>
      <c r="AJ5910" s="35">
        <v>5.4747979999999998</v>
      </c>
      <c r="AK5910" s="35">
        <v>-3.4951999999999997E-2</v>
      </c>
      <c r="AL5910" s="35">
        <v>-4.3574159999999997</v>
      </c>
      <c r="AM5910" s="35">
        <v>0</v>
      </c>
      <c r="AN5910" s="35">
        <v>3.2490000000000002E-3</v>
      </c>
    </row>
    <row r="5911" spans="1:40" x14ac:dyDescent="0.25">
      <c r="A5911" s="36">
        <v>45723</v>
      </c>
      <c r="B5911" s="34"/>
      <c r="G5911" s="31"/>
      <c r="Q5911" s="35">
        <v>40.932651</v>
      </c>
      <c r="R5911" s="35">
        <v>21.934875999999999</v>
      </c>
      <c r="S5911" s="35">
        <v>3.4954420000000002</v>
      </c>
      <c r="T5911" s="35">
        <v>1.080227</v>
      </c>
      <c r="U5911" s="35">
        <v>46.102901000000003</v>
      </c>
      <c r="V5911" s="35">
        <v>0</v>
      </c>
      <c r="W5911" s="35">
        <v>-5.1702500000000002</v>
      </c>
      <c r="X5911" s="35">
        <v>0</v>
      </c>
      <c r="Y5911" s="35">
        <v>0</v>
      </c>
      <c r="Z5911" s="35">
        <v>27.866668000000001</v>
      </c>
      <c r="AA5911" s="35">
        <v>0</v>
      </c>
      <c r="AB5911" s="35">
        <v>-5.9317950000000002</v>
      </c>
      <c r="AC5911" s="35">
        <v>0</v>
      </c>
      <c r="AD5911" s="35">
        <v>3.0000000000000001E-6</v>
      </c>
      <c r="AE5911" s="35">
        <v>9.8345490000000009</v>
      </c>
      <c r="AF5911" s="35">
        <v>0</v>
      </c>
      <c r="AG5911" s="35">
        <v>-6.3437489999999999</v>
      </c>
      <c r="AH5911" s="35">
        <v>0</v>
      </c>
      <c r="AI5911" s="35">
        <v>4.6410000000000002E-3</v>
      </c>
      <c r="AJ5911" s="35">
        <v>5.4746430000000004</v>
      </c>
      <c r="AK5911" s="35">
        <v>-1.3278999999999999E-2</v>
      </c>
      <c r="AL5911" s="35">
        <v>-4.3832940000000002</v>
      </c>
      <c r="AM5911" s="35">
        <v>0</v>
      </c>
      <c r="AN5911" s="35">
        <v>2.1570000000000001E-3</v>
      </c>
    </row>
    <row r="5912" spans="1:40" x14ac:dyDescent="0.25">
      <c r="A5912" s="36">
        <v>45724</v>
      </c>
      <c r="B5912" s="34"/>
      <c r="G5912" s="31"/>
      <c r="Q5912" s="35">
        <v>40.910215000000001</v>
      </c>
      <c r="R5912" s="35">
        <v>21.954806000000001</v>
      </c>
      <c r="S5912" s="35">
        <v>3.4960260000000001</v>
      </c>
      <c r="T5912" s="35">
        <v>1.0604180000000001</v>
      </c>
      <c r="U5912" s="35">
        <v>46.105466</v>
      </c>
      <c r="V5912" s="35">
        <v>0</v>
      </c>
      <c r="W5912" s="35">
        <v>-5.1952499999999997</v>
      </c>
      <c r="X5912" s="35">
        <v>0</v>
      </c>
      <c r="Y5912" s="35">
        <v>0</v>
      </c>
      <c r="Z5912" s="35">
        <v>27.867343999999999</v>
      </c>
      <c r="AA5912" s="35">
        <v>0</v>
      </c>
      <c r="AB5912" s="35">
        <v>-5.9125389999999998</v>
      </c>
      <c r="AC5912" s="35">
        <v>0</v>
      </c>
      <c r="AD5912" s="35">
        <v>9.9999999999999995E-7</v>
      </c>
      <c r="AE5912" s="35">
        <v>9.8373810000000006</v>
      </c>
      <c r="AF5912" s="35">
        <v>0</v>
      </c>
      <c r="AG5912" s="35">
        <v>-6.3445220000000004</v>
      </c>
      <c r="AH5912" s="35">
        <v>0</v>
      </c>
      <c r="AI5912" s="35">
        <v>3.1670000000000001E-3</v>
      </c>
      <c r="AJ5912" s="35">
        <v>5.474532</v>
      </c>
      <c r="AK5912" s="35">
        <v>3.2940000000000001E-3</v>
      </c>
      <c r="AL5912" s="35">
        <v>-4.4188400000000003</v>
      </c>
      <c r="AM5912" s="35">
        <v>0</v>
      </c>
      <c r="AN5912" s="35">
        <v>1.4319999999999999E-3</v>
      </c>
    </row>
    <row r="5913" spans="1:40" x14ac:dyDescent="0.25">
      <c r="A5913" s="36">
        <v>45725</v>
      </c>
      <c r="B5913" s="34"/>
      <c r="G5913" s="31"/>
      <c r="Q5913" s="35">
        <v>40.889719999999997</v>
      </c>
      <c r="R5913" s="35">
        <v>21.964590999999999</v>
      </c>
      <c r="S5913" s="35">
        <v>3.5037630000000002</v>
      </c>
      <c r="T5913" s="35">
        <v>1.0573680000000001</v>
      </c>
      <c r="U5913" s="35">
        <v>46.107486999999999</v>
      </c>
      <c r="V5913" s="35">
        <v>0</v>
      </c>
      <c r="W5913" s="35">
        <v>-5.2177670000000003</v>
      </c>
      <c r="X5913" s="35">
        <v>0</v>
      </c>
      <c r="Y5913" s="35">
        <v>0</v>
      </c>
      <c r="Z5913" s="35">
        <v>27.867875000000002</v>
      </c>
      <c r="AA5913" s="35">
        <v>0</v>
      </c>
      <c r="AB5913" s="35">
        <v>-5.9032840000000002</v>
      </c>
      <c r="AC5913" s="35">
        <v>0</v>
      </c>
      <c r="AD5913" s="35">
        <v>0</v>
      </c>
      <c r="AE5913" s="35">
        <v>9.8396790000000003</v>
      </c>
      <c r="AF5913" s="35">
        <v>0</v>
      </c>
      <c r="AG5913" s="35">
        <v>-6.3380770000000002</v>
      </c>
      <c r="AH5913" s="35">
        <v>0</v>
      </c>
      <c r="AI5913" s="35">
        <v>2.1610000000000002E-3</v>
      </c>
      <c r="AJ5913" s="35">
        <v>5.474456</v>
      </c>
      <c r="AK5913" s="35">
        <v>1.5821000000000002E-2</v>
      </c>
      <c r="AL5913" s="35">
        <v>-4.4338600000000001</v>
      </c>
      <c r="AM5913" s="35">
        <v>0</v>
      </c>
      <c r="AN5913" s="35">
        <v>9.5E-4</v>
      </c>
    </row>
    <row r="5914" spans="1:40" x14ac:dyDescent="0.25">
      <c r="A5914" s="36">
        <v>45726</v>
      </c>
      <c r="B5914" s="34"/>
      <c r="G5914" s="31"/>
      <c r="Q5914" s="35">
        <v>40.872473999999997</v>
      </c>
      <c r="R5914" s="35">
        <v>21.967784999999999</v>
      </c>
      <c r="S5914" s="35">
        <v>3.5078939999999998</v>
      </c>
      <c r="T5914" s="35">
        <v>1.034486</v>
      </c>
      <c r="U5914" s="35">
        <v>46.109079999999999</v>
      </c>
      <c r="V5914" s="35">
        <v>0</v>
      </c>
      <c r="W5914" s="35">
        <v>-5.2366060000000001</v>
      </c>
      <c r="X5914" s="35">
        <v>0</v>
      </c>
      <c r="Y5914" s="35">
        <v>0</v>
      </c>
      <c r="Z5914" s="35">
        <v>27.868292</v>
      </c>
      <c r="AA5914" s="35">
        <v>0</v>
      </c>
      <c r="AB5914" s="35">
        <v>-5.9005070000000002</v>
      </c>
      <c r="AC5914" s="35">
        <v>0</v>
      </c>
      <c r="AD5914" s="35">
        <v>0</v>
      </c>
      <c r="AE5914" s="35">
        <v>9.8415420000000005</v>
      </c>
      <c r="AF5914" s="35">
        <v>0</v>
      </c>
      <c r="AG5914" s="35">
        <v>-6.3351220000000001</v>
      </c>
      <c r="AH5914" s="35">
        <v>0</v>
      </c>
      <c r="AI5914" s="35">
        <v>1.474E-3</v>
      </c>
      <c r="AJ5914" s="35">
        <v>5.4744089999999996</v>
      </c>
      <c r="AK5914" s="35">
        <v>-2.8779999999999999E-3</v>
      </c>
      <c r="AL5914" s="35">
        <v>-4.4376759999999997</v>
      </c>
      <c r="AM5914" s="35">
        <v>0</v>
      </c>
      <c r="AN5914" s="35">
        <v>6.3100000000000005E-4</v>
      </c>
    </row>
    <row r="5915" spans="1:40" x14ac:dyDescent="0.25">
      <c r="A5915" s="36">
        <v>45727</v>
      </c>
      <c r="B5915" s="34"/>
      <c r="G5915" s="31"/>
      <c r="Q5915" s="35">
        <v>40.863393000000002</v>
      </c>
      <c r="R5915" s="35">
        <v>21.958164</v>
      </c>
      <c r="S5915" s="35">
        <v>3.5074580000000002</v>
      </c>
      <c r="T5915" s="35">
        <v>1.0666629999999999</v>
      </c>
      <c r="U5915" s="35">
        <v>46.110334000000002</v>
      </c>
      <c r="V5915" s="35">
        <v>0</v>
      </c>
      <c r="W5915" s="35">
        <v>-5.2469419999999998</v>
      </c>
      <c r="X5915" s="35">
        <v>0</v>
      </c>
      <c r="Y5915" s="35">
        <v>0</v>
      </c>
      <c r="Z5915" s="35">
        <v>27.86862</v>
      </c>
      <c r="AA5915" s="35">
        <v>0</v>
      </c>
      <c r="AB5915" s="35">
        <v>-5.9104559999999999</v>
      </c>
      <c r="AC5915" s="35">
        <v>0</v>
      </c>
      <c r="AD5915" s="35">
        <v>0</v>
      </c>
      <c r="AE5915" s="35">
        <v>9.8430540000000004</v>
      </c>
      <c r="AF5915" s="35">
        <v>0</v>
      </c>
      <c r="AG5915" s="35">
        <v>-6.3366020000000001</v>
      </c>
      <c r="AH5915" s="35">
        <v>0</v>
      </c>
      <c r="AI5915" s="35">
        <v>1.0059999999999999E-3</v>
      </c>
      <c r="AJ5915" s="35">
        <v>5.4743849999999998</v>
      </c>
      <c r="AK5915" s="35">
        <v>2.1975000000000001E-2</v>
      </c>
      <c r="AL5915" s="35">
        <v>-4.4301149999999998</v>
      </c>
      <c r="AM5915" s="35">
        <v>0</v>
      </c>
      <c r="AN5915" s="35">
        <v>4.1899999999999999E-4</v>
      </c>
    </row>
    <row r="5916" spans="1:40" x14ac:dyDescent="0.25">
      <c r="A5916" s="36">
        <v>45728</v>
      </c>
      <c r="B5916" s="34"/>
      <c r="G5916" s="31"/>
      <c r="Q5916" s="35">
        <v>40.867362999999997</v>
      </c>
      <c r="R5916" s="35">
        <v>21.950534999999999</v>
      </c>
      <c r="S5916" s="35">
        <v>3.5024139999999999</v>
      </c>
      <c r="T5916" s="35">
        <v>1.071906</v>
      </c>
      <c r="U5916" s="35">
        <v>46.111322000000001</v>
      </c>
      <c r="V5916" s="35">
        <v>0</v>
      </c>
      <c r="W5916" s="35">
        <v>-5.2439590000000003</v>
      </c>
      <c r="X5916" s="35">
        <v>0</v>
      </c>
      <c r="Y5916" s="35">
        <v>0</v>
      </c>
      <c r="Z5916" s="35">
        <v>27.868877999999999</v>
      </c>
      <c r="AA5916" s="35">
        <v>0</v>
      </c>
      <c r="AB5916" s="35">
        <v>-5.918342</v>
      </c>
      <c r="AC5916" s="35">
        <v>0</v>
      </c>
      <c r="AD5916" s="35">
        <v>0</v>
      </c>
      <c r="AE5916" s="35">
        <v>9.8442790000000002</v>
      </c>
      <c r="AF5916" s="35">
        <v>0</v>
      </c>
      <c r="AG5916" s="35">
        <v>-6.3425510000000003</v>
      </c>
      <c r="AH5916" s="35">
        <v>0</v>
      </c>
      <c r="AI5916" s="35">
        <v>6.8599999999999998E-4</v>
      </c>
      <c r="AJ5916" s="35">
        <v>5.4743779999999997</v>
      </c>
      <c r="AK5916" s="35">
        <v>1.7909999999999999E-2</v>
      </c>
      <c r="AL5916" s="35">
        <v>-4.4206599999999998</v>
      </c>
      <c r="AM5916" s="35">
        <v>0</v>
      </c>
      <c r="AN5916" s="35">
        <v>2.7799999999999998E-4</v>
      </c>
    </row>
    <row r="5917" spans="1:40" x14ac:dyDescent="0.25">
      <c r="A5917" s="36">
        <v>45729</v>
      </c>
      <c r="B5917" s="34"/>
      <c r="G5917" s="31"/>
      <c r="Q5917" s="35">
        <v>40.887847000000001</v>
      </c>
      <c r="R5917" s="35">
        <v>21.954720999999999</v>
      </c>
      <c r="S5917" s="35">
        <v>3.4964689999999998</v>
      </c>
      <c r="T5917" s="35">
        <v>1.0237419999999999</v>
      </c>
      <c r="U5917" s="35">
        <v>46.112098000000003</v>
      </c>
      <c r="V5917" s="35">
        <v>0</v>
      </c>
      <c r="W5917" s="35">
        <v>-5.2242509999999998</v>
      </c>
      <c r="X5917" s="35">
        <v>0</v>
      </c>
      <c r="Y5917" s="35">
        <v>0</v>
      </c>
      <c r="Z5917" s="35">
        <v>27.869081000000001</v>
      </c>
      <c r="AA5917" s="35">
        <v>0</v>
      </c>
      <c r="AB5917" s="35">
        <v>-5.9143600000000003</v>
      </c>
      <c r="AC5917" s="35">
        <v>0</v>
      </c>
      <c r="AD5917" s="35">
        <v>0</v>
      </c>
      <c r="AE5917" s="35">
        <v>9.8452730000000006</v>
      </c>
      <c r="AF5917" s="35">
        <v>0</v>
      </c>
      <c r="AG5917" s="35">
        <v>-6.349272</v>
      </c>
      <c r="AH5917" s="35">
        <v>0</v>
      </c>
      <c r="AI5917" s="35">
        <v>4.6799999999999999E-4</v>
      </c>
      <c r="AJ5917" s="35">
        <v>5.474386</v>
      </c>
      <c r="AK5917" s="35">
        <v>-3.6246E-2</v>
      </c>
      <c r="AL5917" s="35">
        <v>-4.4145820000000002</v>
      </c>
      <c r="AM5917" s="35">
        <v>0</v>
      </c>
      <c r="AN5917" s="35">
        <v>1.85E-4</v>
      </c>
    </row>
    <row r="5918" spans="1:40" x14ac:dyDescent="0.25">
      <c r="A5918" s="36">
        <v>45730</v>
      </c>
      <c r="B5918" s="34"/>
      <c r="G5918" s="31"/>
      <c r="Q5918" s="35">
        <v>40.923070000000003</v>
      </c>
      <c r="R5918" s="35">
        <v>21.965921000000002</v>
      </c>
      <c r="S5918" s="35">
        <v>3.494828</v>
      </c>
      <c r="T5918" s="35">
        <v>1.0488999999999999</v>
      </c>
      <c r="U5918" s="35">
        <v>46.112707999999998</v>
      </c>
      <c r="V5918" s="35">
        <v>0</v>
      </c>
      <c r="W5918" s="35">
        <v>-5.1896380000000004</v>
      </c>
      <c r="X5918" s="35">
        <v>0</v>
      </c>
      <c r="Y5918" s="35">
        <v>0</v>
      </c>
      <c r="Z5918" s="35">
        <v>27.869240000000001</v>
      </c>
      <c r="AA5918" s="35">
        <v>0</v>
      </c>
      <c r="AB5918" s="35">
        <v>-5.9033189999999998</v>
      </c>
      <c r="AC5918" s="35">
        <v>0</v>
      </c>
      <c r="AD5918" s="35">
        <v>0</v>
      </c>
      <c r="AE5918" s="35">
        <v>9.8460780000000003</v>
      </c>
      <c r="AF5918" s="35">
        <v>0</v>
      </c>
      <c r="AG5918" s="35">
        <v>-6.3515689999999996</v>
      </c>
      <c r="AH5918" s="35">
        <v>0</v>
      </c>
      <c r="AI5918" s="35">
        <v>3.2000000000000003E-4</v>
      </c>
      <c r="AJ5918" s="35">
        <v>5.4744039999999998</v>
      </c>
      <c r="AK5918" s="35">
        <v>-2.0944000000000001E-2</v>
      </c>
      <c r="AL5918" s="35">
        <v>-4.4046830000000003</v>
      </c>
      <c r="AM5918" s="35">
        <v>0</v>
      </c>
      <c r="AN5918" s="35">
        <v>1.2300000000000001E-4</v>
      </c>
    </row>
    <row r="5919" spans="1:40" x14ac:dyDescent="0.25">
      <c r="A5919" s="36">
        <v>45731</v>
      </c>
      <c r="B5919" s="34"/>
      <c r="G5919" s="31"/>
      <c r="Q5919" s="35">
        <v>40.969149000000002</v>
      </c>
      <c r="R5919" s="35">
        <v>21.795922999999998</v>
      </c>
      <c r="S5919" s="35">
        <v>3.504648</v>
      </c>
      <c r="T5919" s="35">
        <v>1.0779540000000001</v>
      </c>
      <c r="U5919" s="35">
        <v>46.113185999999999</v>
      </c>
      <c r="V5919" s="35">
        <v>0</v>
      </c>
      <c r="W5919" s="35">
        <v>-5.144037</v>
      </c>
      <c r="X5919" s="35">
        <v>0</v>
      </c>
      <c r="Y5919" s="35">
        <v>0</v>
      </c>
      <c r="Z5919" s="35">
        <v>27.869365999999999</v>
      </c>
      <c r="AA5919" s="35">
        <v>0</v>
      </c>
      <c r="AB5919" s="35">
        <v>-5.8846579999999999</v>
      </c>
      <c r="AC5919" s="35">
        <v>-0.18878500000000001</v>
      </c>
      <c r="AD5919" s="35">
        <v>0</v>
      </c>
      <c r="AE5919" s="35">
        <v>9.8467300000000009</v>
      </c>
      <c r="AF5919" s="35">
        <v>0</v>
      </c>
      <c r="AG5919" s="35">
        <v>-6.3422999999999998</v>
      </c>
      <c r="AH5919" s="35">
        <v>0</v>
      </c>
      <c r="AI5919" s="35">
        <v>2.1800000000000001E-4</v>
      </c>
      <c r="AJ5919" s="35">
        <v>5.4744330000000003</v>
      </c>
      <c r="AK5919" s="35">
        <v>-6.13E-3</v>
      </c>
      <c r="AL5919" s="35">
        <v>-4.3904300000000003</v>
      </c>
      <c r="AM5919" s="35">
        <v>0</v>
      </c>
      <c r="AN5919" s="35">
        <v>8.1000000000000004E-5</v>
      </c>
    </row>
    <row r="5920" spans="1:40" x14ac:dyDescent="0.25">
      <c r="A5920" s="36">
        <v>45732</v>
      </c>
      <c r="B5920" s="34"/>
      <c r="G5920" s="31"/>
      <c r="Q5920" s="35">
        <v>41.019725000000001</v>
      </c>
      <c r="R5920" s="35">
        <v>22.016569</v>
      </c>
      <c r="S5920" s="35">
        <v>3.5283730000000002</v>
      </c>
      <c r="T5920" s="35">
        <v>1.111313</v>
      </c>
      <c r="U5920" s="35">
        <v>46.11356</v>
      </c>
      <c r="V5920" s="35">
        <v>0</v>
      </c>
      <c r="W5920" s="35">
        <v>-5.0938350000000003</v>
      </c>
      <c r="X5920" s="35">
        <v>0</v>
      </c>
      <c r="Y5920" s="35">
        <v>0</v>
      </c>
      <c r="Z5920" s="35">
        <v>27.869465000000002</v>
      </c>
      <c r="AA5920" s="35">
        <v>0</v>
      </c>
      <c r="AB5920" s="35">
        <v>-5.8528960000000003</v>
      </c>
      <c r="AC5920" s="35">
        <v>0</v>
      </c>
      <c r="AD5920" s="35">
        <v>0</v>
      </c>
      <c r="AE5920" s="35">
        <v>9.8472580000000001</v>
      </c>
      <c r="AF5920" s="35">
        <v>0</v>
      </c>
      <c r="AG5920" s="35">
        <v>-6.3190340000000003</v>
      </c>
      <c r="AH5920" s="35">
        <v>0</v>
      </c>
      <c r="AI5920" s="35">
        <v>1.4899999999999999E-4</v>
      </c>
      <c r="AJ5920" s="35">
        <v>5.4744679999999999</v>
      </c>
      <c r="AK5920" s="35">
        <v>1.6187E-2</v>
      </c>
      <c r="AL5920" s="35">
        <v>-4.379397</v>
      </c>
      <c r="AM5920" s="35">
        <v>0</v>
      </c>
      <c r="AN5920" s="35">
        <v>5.3999999999999998E-5</v>
      </c>
    </row>
    <row r="5921" spans="1:40" x14ac:dyDescent="0.25">
      <c r="A5921" s="36">
        <v>45733</v>
      </c>
      <c r="B5921" s="34"/>
      <c r="G5921" s="31"/>
      <c r="Q5921" s="35">
        <v>41.066260999999997</v>
      </c>
      <c r="R5921" s="35">
        <v>22.061033999999999</v>
      </c>
      <c r="S5921" s="35">
        <v>3.559447</v>
      </c>
      <c r="T5921" s="35">
        <v>1.102263</v>
      </c>
      <c r="U5921" s="35">
        <v>46.113852000000001</v>
      </c>
      <c r="V5921" s="35">
        <v>0</v>
      </c>
      <c r="W5921" s="35">
        <v>-5.0475909999999997</v>
      </c>
      <c r="X5921" s="35">
        <v>0</v>
      </c>
      <c r="Y5921" s="35">
        <v>0</v>
      </c>
      <c r="Z5921" s="35">
        <v>27.869541999999999</v>
      </c>
      <c r="AA5921" s="35">
        <v>0</v>
      </c>
      <c r="AB5921" s="35">
        <v>-5.8085079999999998</v>
      </c>
      <c r="AC5921" s="35">
        <v>0</v>
      </c>
      <c r="AD5921" s="35">
        <v>0</v>
      </c>
      <c r="AE5921" s="35">
        <v>9.8476859999999995</v>
      </c>
      <c r="AF5921" s="35">
        <v>0</v>
      </c>
      <c r="AG5921" s="35">
        <v>-6.288341</v>
      </c>
      <c r="AH5921" s="35">
        <v>0</v>
      </c>
      <c r="AI5921" s="35">
        <v>1.02E-4</v>
      </c>
      <c r="AJ5921" s="35">
        <v>5.4745090000000003</v>
      </c>
      <c r="AK5921" s="35">
        <v>3.86E-4</v>
      </c>
      <c r="AL5921" s="35">
        <v>-4.372668</v>
      </c>
      <c r="AM5921" s="35">
        <v>0</v>
      </c>
      <c r="AN5921" s="35">
        <v>3.6000000000000001E-5</v>
      </c>
    </row>
    <row r="5922" spans="1:40" x14ac:dyDescent="0.25">
      <c r="A5922" s="36">
        <v>45734</v>
      </c>
      <c r="B5922" s="34"/>
      <c r="G5922" s="31"/>
      <c r="Q5922" s="35">
        <v>41.105533999999999</v>
      </c>
      <c r="R5922" s="35">
        <v>22.108423999999999</v>
      </c>
      <c r="S5922" s="35">
        <v>3.5920730000000001</v>
      </c>
      <c r="T5922" s="35">
        <v>1.1449119999999999</v>
      </c>
      <c r="U5922" s="35">
        <v>46.114078999999997</v>
      </c>
      <c r="V5922" s="35">
        <v>0</v>
      </c>
      <c r="W5922" s="35">
        <v>-5.0085459999999999</v>
      </c>
      <c r="X5922" s="35">
        <v>0</v>
      </c>
      <c r="Y5922" s="35">
        <v>0</v>
      </c>
      <c r="Z5922" s="35">
        <v>27.869603000000001</v>
      </c>
      <c r="AA5922" s="35">
        <v>0</v>
      </c>
      <c r="AB5922" s="35">
        <v>-5.7611790000000003</v>
      </c>
      <c r="AC5922" s="35">
        <v>0</v>
      </c>
      <c r="AD5922" s="35">
        <v>0</v>
      </c>
      <c r="AE5922" s="35">
        <v>9.8480319999999999</v>
      </c>
      <c r="AF5922" s="35">
        <v>0</v>
      </c>
      <c r="AG5922" s="35">
        <v>-6.2560279999999997</v>
      </c>
      <c r="AH5922" s="35">
        <v>0</v>
      </c>
      <c r="AI5922" s="35">
        <v>6.8999999999999997E-5</v>
      </c>
      <c r="AJ5922" s="35">
        <v>5.4745549999999996</v>
      </c>
      <c r="AK5922" s="35">
        <v>3.4131000000000002E-2</v>
      </c>
      <c r="AL5922" s="35">
        <v>-4.3637969999999999</v>
      </c>
      <c r="AM5922" s="35">
        <v>0</v>
      </c>
      <c r="AN5922" s="35">
        <v>2.4000000000000001E-5</v>
      </c>
    </row>
    <row r="5923" spans="1:40" x14ac:dyDescent="0.25">
      <c r="A5923" s="36">
        <v>45735</v>
      </c>
      <c r="B5923" s="34"/>
      <c r="G5923" s="31"/>
      <c r="Q5923" s="35">
        <v>41.143295000000002</v>
      </c>
      <c r="R5923" s="35">
        <v>22.153220999999998</v>
      </c>
      <c r="S5923" s="35">
        <v>3.6280389999999998</v>
      </c>
      <c r="T5923" s="35">
        <v>1.1503559999999999</v>
      </c>
      <c r="U5923" s="35">
        <v>46.114255</v>
      </c>
      <c r="V5923" s="35">
        <v>0</v>
      </c>
      <c r="W5923" s="35">
        <v>-4.9709599999999998</v>
      </c>
      <c r="X5923" s="35">
        <v>0</v>
      </c>
      <c r="Y5923" s="35">
        <v>0</v>
      </c>
      <c r="Z5923" s="35">
        <v>27.869651000000001</v>
      </c>
      <c r="AA5923" s="35">
        <v>0</v>
      </c>
      <c r="AB5923" s="35">
        <v>-5.7164299999999999</v>
      </c>
      <c r="AC5923" s="35">
        <v>0</v>
      </c>
      <c r="AD5923" s="35">
        <v>0</v>
      </c>
      <c r="AE5923" s="35">
        <v>9.8483110000000007</v>
      </c>
      <c r="AF5923" s="35">
        <v>0</v>
      </c>
      <c r="AG5923" s="35">
        <v>-6.2203189999999999</v>
      </c>
      <c r="AH5923" s="35">
        <v>0</v>
      </c>
      <c r="AI5923" s="35">
        <v>4.6999999999999997E-5</v>
      </c>
      <c r="AJ5923" s="35">
        <v>5.4746040000000002</v>
      </c>
      <c r="AK5923" s="35">
        <v>2.1406000000000001E-2</v>
      </c>
      <c r="AL5923" s="35">
        <v>-4.3456700000000001</v>
      </c>
      <c r="AM5923" s="35">
        <v>0</v>
      </c>
      <c r="AN5923" s="35">
        <v>1.5999999999999999E-5</v>
      </c>
    </row>
    <row r="5924" spans="1:40" x14ac:dyDescent="0.25">
      <c r="A5924" s="36">
        <v>45736</v>
      </c>
      <c r="B5924" s="34"/>
      <c r="G5924" s="31"/>
      <c r="Q5924" s="35">
        <v>41.186534000000002</v>
      </c>
      <c r="R5924" s="35">
        <v>22.201535</v>
      </c>
      <c r="S5924" s="35">
        <v>3.6676540000000002</v>
      </c>
      <c r="T5924" s="35">
        <v>1.12039</v>
      </c>
      <c r="U5924" s="35">
        <v>46.11439</v>
      </c>
      <c r="V5924" s="35">
        <v>0</v>
      </c>
      <c r="W5924" s="35">
        <v>-4.9278560000000002</v>
      </c>
      <c r="X5924" s="35">
        <v>0</v>
      </c>
      <c r="Y5924" s="35">
        <v>0</v>
      </c>
      <c r="Z5924" s="35">
        <v>27.869688</v>
      </c>
      <c r="AA5924" s="35">
        <v>0</v>
      </c>
      <c r="AB5924" s="35">
        <v>-5.6681540000000004</v>
      </c>
      <c r="AC5924" s="35">
        <v>0</v>
      </c>
      <c r="AD5924" s="35">
        <v>0</v>
      </c>
      <c r="AE5924" s="35">
        <v>9.8485359999999993</v>
      </c>
      <c r="AF5924" s="35">
        <v>0</v>
      </c>
      <c r="AG5924" s="35">
        <v>-6.1809149999999997</v>
      </c>
      <c r="AH5924" s="35">
        <v>0</v>
      </c>
      <c r="AI5924" s="35">
        <v>3.1999999999999999E-5</v>
      </c>
      <c r="AJ5924" s="35">
        <v>5.4746569999999997</v>
      </c>
      <c r="AK5924" s="35">
        <v>-3.7726000000000003E-2</v>
      </c>
      <c r="AL5924" s="35">
        <v>-4.3165509999999996</v>
      </c>
      <c r="AM5924" s="35">
        <v>0</v>
      </c>
      <c r="AN5924" s="35">
        <v>1.0000000000000001E-5</v>
      </c>
    </row>
    <row r="5925" spans="1:40" x14ac:dyDescent="0.25">
      <c r="A5925" s="36">
        <v>45737</v>
      </c>
      <c r="B5925" s="34"/>
      <c r="G5925" s="31"/>
      <c r="Q5925" s="35">
        <v>41.234549999999999</v>
      </c>
      <c r="R5925" s="35">
        <v>22.251463000000001</v>
      </c>
      <c r="S5925" s="35">
        <v>3.7069920000000001</v>
      </c>
      <c r="T5925" s="35">
        <v>1.1625049999999999</v>
      </c>
      <c r="U5925" s="35">
        <v>46.114493000000003</v>
      </c>
      <c r="V5925" s="35">
        <v>0</v>
      </c>
      <c r="W5925" s="35">
        <v>-4.8799419999999998</v>
      </c>
      <c r="X5925" s="35">
        <v>0</v>
      </c>
      <c r="Y5925" s="35">
        <v>0</v>
      </c>
      <c r="Z5925" s="35">
        <v>27.869717000000001</v>
      </c>
      <c r="AA5925" s="35">
        <v>0</v>
      </c>
      <c r="AB5925" s="35">
        <v>-5.6182550000000004</v>
      </c>
      <c r="AC5925" s="35">
        <v>0</v>
      </c>
      <c r="AD5925" s="35">
        <v>0</v>
      </c>
      <c r="AE5925" s="35">
        <v>9.8487179999999999</v>
      </c>
      <c r="AF5925" s="35">
        <v>0</v>
      </c>
      <c r="AG5925" s="35">
        <v>-6.1417479999999998</v>
      </c>
      <c r="AH5925" s="35">
        <v>0</v>
      </c>
      <c r="AI5925" s="35">
        <v>2.1999999999999999E-5</v>
      </c>
      <c r="AJ5925" s="35">
        <v>5.4747110000000001</v>
      </c>
      <c r="AK5925" s="35">
        <v>-2.8965999999999999E-2</v>
      </c>
      <c r="AL5925" s="35">
        <v>-4.2832470000000002</v>
      </c>
      <c r="AM5925" s="35">
        <v>0</v>
      </c>
      <c r="AN5925" s="35">
        <v>6.9999999999999999E-6</v>
      </c>
    </row>
    <row r="5926" spans="1:40" x14ac:dyDescent="0.25">
      <c r="A5926" s="36">
        <v>45738</v>
      </c>
      <c r="B5926" s="34"/>
      <c r="G5926" s="31"/>
      <c r="Q5926" s="35">
        <v>41.277648999999997</v>
      </c>
      <c r="R5926" s="35">
        <v>22.291523999999999</v>
      </c>
      <c r="S5926" s="35">
        <v>3.7473589999999999</v>
      </c>
      <c r="T5926" s="35">
        <v>1.2051430000000001</v>
      </c>
      <c r="U5926" s="35">
        <v>46.114570000000001</v>
      </c>
      <c r="V5926" s="35">
        <v>0</v>
      </c>
      <c r="W5926" s="35">
        <v>-4.8369210000000002</v>
      </c>
      <c r="X5926" s="35">
        <v>0</v>
      </c>
      <c r="Y5926" s="35">
        <v>0</v>
      </c>
      <c r="Z5926" s="35">
        <v>27.86974</v>
      </c>
      <c r="AA5926" s="35">
        <v>0</v>
      </c>
      <c r="AB5926" s="35">
        <v>-5.5782160000000003</v>
      </c>
      <c r="AC5926" s="35">
        <v>0</v>
      </c>
      <c r="AD5926" s="35">
        <v>0</v>
      </c>
      <c r="AE5926" s="35">
        <v>9.8488640000000007</v>
      </c>
      <c r="AF5926" s="35">
        <v>0</v>
      </c>
      <c r="AG5926" s="35">
        <v>-6.1015199999999998</v>
      </c>
      <c r="AH5926" s="35">
        <v>0</v>
      </c>
      <c r="AI5926" s="35">
        <v>1.5E-5</v>
      </c>
      <c r="AJ5926" s="35">
        <v>5.4747680000000001</v>
      </c>
      <c r="AK5926" s="35">
        <v>-1.6091000000000001E-2</v>
      </c>
      <c r="AL5926" s="35">
        <v>-4.2535379999999998</v>
      </c>
      <c r="AM5926" s="35">
        <v>0</v>
      </c>
      <c r="AN5926" s="35">
        <v>5.0000000000000004E-6</v>
      </c>
    </row>
    <row r="5927" spans="1:40" x14ac:dyDescent="0.25">
      <c r="A5927" s="36">
        <v>45739</v>
      </c>
      <c r="B5927" s="34"/>
      <c r="G5927" s="31"/>
      <c r="Q5927" s="35">
        <v>41.310890000000001</v>
      </c>
      <c r="R5927" s="35">
        <v>22.322178000000001</v>
      </c>
      <c r="S5927" s="35">
        <v>3.7889629999999999</v>
      </c>
      <c r="T5927" s="35">
        <v>1.258875</v>
      </c>
      <c r="U5927" s="35">
        <v>46.114626999999999</v>
      </c>
      <c r="V5927" s="35">
        <v>0</v>
      </c>
      <c r="W5927" s="35">
        <v>-4.8037369999999999</v>
      </c>
      <c r="X5927" s="35">
        <v>0</v>
      </c>
      <c r="Y5927" s="35">
        <v>0</v>
      </c>
      <c r="Z5927" s="35">
        <v>27.869757</v>
      </c>
      <c r="AA5927" s="35">
        <v>0</v>
      </c>
      <c r="AB5927" s="35">
        <v>-5.5475789999999998</v>
      </c>
      <c r="AC5927" s="35">
        <v>0</v>
      </c>
      <c r="AD5927" s="35">
        <v>0</v>
      </c>
      <c r="AE5927" s="35">
        <v>9.8489819999999995</v>
      </c>
      <c r="AF5927" s="35">
        <v>0</v>
      </c>
      <c r="AG5927" s="35">
        <v>-6.0600290000000001</v>
      </c>
      <c r="AH5927" s="35">
        <v>0</v>
      </c>
      <c r="AI5927" s="35">
        <v>1.0000000000000001E-5</v>
      </c>
      <c r="AJ5927" s="35">
        <v>5.4748260000000002</v>
      </c>
      <c r="AK5927" s="35">
        <v>1.5851000000000001E-2</v>
      </c>
      <c r="AL5927" s="35">
        <v>-4.2318049999999996</v>
      </c>
      <c r="AM5927" s="35">
        <v>0</v>
      </c>
      <c r="AN5927" s="35">
        <v>3.0000000000000001E-6</v>
      </c>
    </row>
    <row r="5928" spans="1:40" x14ac:dyDescent="0.25">
      <c r="A5928" s="36">
        <v>45740</v>
      </c>
      <c r="B5928" s="34"/>
      <c r="G5928" s="31"/>
      <c r="Q5928" s="35">
        <v>41.350884999999998</v>
      </c>
      <c r="R5928" s="35">
        <v>22.347463000000001</v>
      </c>
      <c r="S5928" s="35">
        <v>3.8243290000000001</v>
      </c>
      <c r="T5928" s="35">
        <v>1.2566189999999999</v>
      </c>
      <c r="U5928" s="35">
        <v>46.114668000000002</v>
      </c>
      <c r="V5928" s="35">
        <v>0</v>
      </c>
      <c r="W5928" s="35">
        <v>-4.7637830000000001</v>
      </c>
      <c r="X5928" s="35">
        <v>0</v>
      </c>
      <c r="Y5928" s="35">
        <v>0</v>
      </c>
      <c r="Z5928" s="35">
        <v>27.869771</v>
      </c>
      <c r="AA5928" s="35">
        <v>0</v>
      </c>
      <c r="AB5928" s="35">
        <v>-5.5223079999999998</v>
      </c>
      <c r="AC5928" s="35">
        <v>0</v>
      </c>
      <c r="AD5928" s="35">
        <v>0</v>
      </c>
      <c r="AE5928" s="35">
        <v>9.8490760000000002</v>
      </c>
      <c r="AF5928" s="35">
        <v>0</v>
      </c>
      <c r="AG5928" s="35">
        <v>-6.0247539999999997</v>
      </c>
      <c r="AH5928" s="35">
        <v>0</v>
      </c>
      <c r="AI5928" s="35">
        <v>6.9999999999999999E-6</v>
      </c>
      <c r="AJ5928" s="35">
        <v>5.4748859999999997</v>
      </c>
      <c r="AK5928" s="35">
        <v>2.8270000000000001E-3</v>
      </c>
      <c r="AL5928" s="35">
        <v>-4.2210960000000002</v>
      </c>
      <c r="AM5928" s="35">
        <v>0</v>
      </c>
      <c r="AN5928" s="35">
        <v>1.9999999999999999E-6</v>
      </c>
    </row>
    <row r="5929" spans="1:40" x14ac:dyDescent="0.25">
      <c r="A5929" s="36">
        <v>45741</v>
      </c>
      <c r="B5929" s="34"/>
      <c r="G5929" s="31"/>
      <c r="Q5929" s="35">
        <v>41.401463</v>
      </c>
      <c r="R5929" s="35">
        <v>22.372157000000001</v>
      </c>
      <c r="S5929" s="35">
        <v>3.8467500000000001</v>
      </c>
      <c r="T5929" s="35">
        <v>1.3068979999999999</v>
      </c>
      <c r="U5929" s="35">
        <v>46.114696000000002</v>
      </c>
      <c r="V5929" s="35">
        <v>0</v>
      </c>
      <c r="W5929" s="35">
        <v>-4.7132329999999998</v>
      </c>
      <c r="X5929" s="35">
        <v>0</v>
      </c>
      <c r="Y5929" s="35">
        <v>0</v>
      </c>
      <c r="Z5929" s="35">
        <v>27.869781</v>
      </c>
      <c r="AA5929" s="35">
        <v>0</v>
      </c>
      <c r="AB5929" s="35">
        <v>-5.4976240000000001</v>
      </c>
      <c r="AC5929" s="35">
        <v>0</v>
      </c>
      <c r="AD5929" s="35">
        <v>0</v>
      </c>
      <c r="AE5929" s="35">
        <v>9.8491510000000009</v>
      </c>
      <c r="AF5929" s="35">
        <v>0</v>
      </c>
      <c r="AG5929" s="35">
        <v>-6.0024059999999997</v>
      </c>
      <c r="AH5929" s="35">
        <v>0</v>
      </c>
      <c r="AI5929" s="35">
        <v>5.0000000000000004E-6</v>
      </c>
      <c r="AJ5929" s="35">
        <v>5.4749460000000001</v>
      </c>
      <c r="AK5929" s="35">
        <v>4.5398000000000001E-2</v>
      </c>
      <c r="AL5929" s="35">
        <v>-4.2134470000000004</v>
      </c>
      <c r="AM5929" s="35">
        <v>0</v>
      </c>
      <c r="AN5929" s="35">
        <v>9.9999999999999995E-7</v>
      </c>
    </row>
    <row r="5930" spans="1:40" x14ac:dyDescent="0.25">
      <c r="A5930" s="36">
        <v>45742</v>
      </c>
      <c r="B5930" s="34"/>
      <c r="G5930" s="31"/>
      <c r="Q5930" s="35">
        <v>41.440354999999997</v>
      </c>
      <c r="R5930" s="35">
        <v>22.403852000000001</v>
      </c>
      <c r="S5930" s="35">
        <v>3.8533979999999999</v>
      </c>
      <c r="T5930" s="35">
        <v>1.3013380000000001</v>
      </c>
      <c r="U5930" s="35">
        <v>46.114714999999997</v>
      </c>
      <c r="V5930" s="35">
        <v>0</v>
      </c>
      <c r="W5930" s="35">
        <v>-4.6743589999999999</v>
      </c>
      <c r="X5930" s="35">
        <v>0</v>
      </c>
      <c r="Y5930" s="35">
        <v>0</v>
      </c>
      <c r="Z5930" s="35">
        <v>27.869789000000001</v>
      </c>
      <c r="AA5930" s="35">
        <v>0</v>
      </c>
      <c r="AB5930" s="35">
        <v>-5.4659370000000003</v>
      </c>
      <c r="AC5930" s="35">
        <v>0</v>
      </c>
      <c r="AD5930" s="35">
        <v>0</v>
      </c>
      <c r="AE5930" s="35">
        <v>9.8492110000000004</v>
      </c>
      <c r="AF5930" s="35">
        <v>0</v>
      </c>
      <c r="AG5930" s="35">
        <v>-5.9958159999999996</v>
      </c>
      <c r="AH5930" s="35">
        <v>0</v>
      </c>
      <c r="AI5930" s="35">
        <v>3.0000000000000001E-6</v>
      </c>
      <c r="AJ5930" s="35">
        <v>5.4750069999999997</v>
      </c>
      <c r="AK5930" s="35">
        <v>2.4017E-2</v>
      </c>
      <c r="AL5930" s="35">
        <v>-4.1976880000000003</v>
      </c>
      <c r="AM5930" s="35">
        <v>0</v>
      </c>
      <c r="AN5930" s="35">
        <v>9.9999999999999995E-7</v>
      </c>
    </row>
    <row r="5931" spans="1:40" x14ac:dyDescent="0.25">
      <c r="A5931" s="36">
        <v>45743</v>
      </c>
      <c r="B5931" s="34"/>
      <c r="G5931" s="31"/>
      <c r="Q5931" s="35">
        <v>41.476412000000003</v>
      </c>
      <c r="R5931" s="35">
        <v>22.429126</v>
      </c>
      <c r="S5931" s="35">
        <v>3.8567830000000001</v>
      </c>
      <c r="T5931" s="35">
        <v>1.247039</v>
      </c>
      <c r="U5931" s="35">
        <v>46.114725</v>
      </c>
      <c r="V5931" s="35">
        <v>0</v>
      </c>
      <c r="W5931" s="35">
        <v>-4.6383130000000001</v>
      </c>
      <c r="X5931" s="35">
        <v>0</v>
      </c>
      <c r="Y5931" s="35">
        <v>0</v>
      </c>
      <c r="Z5931" s="35">
        <v>27.869793999999999</v>
      </c>
      <c r="AA5931" s="35">
        <v>0</v>
      </c>
      <c r="AB5931" s="35">
        <v>-5.4406679999999996</v>
      </c>
      <c r="AC5931" s="35">
        <v>0</v>
      </c>
      <c r="AD5931" s="35">
        <v>0</v>
      </c>
      <c r="AE5931" s="35">
        <v>9.8492580000000007</v>
      </c>
      <c r="AF5931" s="35">
        <v>0</v>
      </c>
      <c r="AG5931" s="35">
        <v>-5.9924770000000001</v>
      </c>
      <c r="AH5931" s="35">
        <v>0</v>
      </c>
      <c r="AI5931" s="35">
        <v>1.9999999999999999E-6</v>
      </c>
      <c r="AJ5931" s="35">
        <v>5.4750690000000004</v>
      </c>
      <c r="AK5931" s="35">
        <v>-3.8986E-2</v>
      </c>
      <c r="AL5931" s="35">
        <v>-4.189044</v>
      </c>
      <c r="AM5931" s="35">
        <v>0</v>
      </c>
      <c r="AN5931" s="35">
        <v>9.9999999999999995E-7</v>
      </c>
    </row>
    <row r="5932" spans="1:40" x14ac:dyDescent="0.25">
      <c r="A5932" s="36">
        <v>45744</v>
      </c>
      <c r="B5932" s="34"/>
      <c r="G5932" s="31"/>
      <c r="Q5932" s="35">
        <v>41.532234000000003</v>
      </c>
      <c r="R5932" s="35">
        <v>22.465171999999999</v>
      </c>
      <c r="S5932" s="35">
        <v>3.877542</v>
      </c>
      <c r="T5932" s="35">
        <v>1.264351</v>
      </c>
      <c r="U5932" s="35">
        <v>46.114728999999997</v>
      </c>
      <c r="V5932" s="35">
        <v>0</v>
      </c>
      <c r="W5932" s="35">
        <v>-4.5824949999999998</v>
      </c>
      <c r="X5932" s="35">
        <v>0</v>
      </c>
      <c r="Y5932" s="35">
        <v>0</v>
      </c>
      <c r="Z5932" s="35">
        <v>27.869797999999999</v>
      </c>
      <c r="AA5932" s="35">
        <v>0</v>
      </c>
      <c r="AB5932" s="35">
        <v>-5.4046260000000004</v>
      </c>
      <c r="AC5932" s="35">
        <v>0</v>
      </c>
      <c r="AD5932" s="35">
        <v>0</v>
      </c>
      <c r="AE5932" s="35">
        <v>9.8492949999999997</v>
      </c>
      <c r="AF5932" s="35">
        <v>0</v>
      </c>
      <c r="AG5932" s="35">
        <v>-5.9717549999999999</v>
      </c>
      <c r="AH5932" s="35">
        <v>0</v>
      </c>
      <c r="AI5932" s="35">
        <v>1.9999999999999999E-6</v>
      </c>
      <c r="AJ5932" s="35">
        <v>5.4751310000000002</v>
      </c>
      <c r="AK5932" s="35">
        <v>-2.7657999999999999E-2</v>
      </c>
      <c r="AL5932" s="35">
        <v>-4.183122</v>
      </c>
      <c r="AM5932" s="35">
        <v>0</v>
      </c>
      <c r="AN5932" s="35">
        <v>0</v>
      </c>
    </row>
    <row r="5933" spans="1:40" x14ac:dyDescent="0.25">
      <c r="A5933" s="36">
        <v>45745</v>
      </c>
      <c r="B5933" s="34"/>
      <c r="G5933" s="31"/>
      <c r="Q5933" s="35">
        <v>41.567754999999998</v>
      </c>
      <c r="R5933" s="35">
        <v>22.512664000000001</v>
      </c>
      <c r="S5933" s="35">
        <v>3.89534</v>
      </c>
      <c r="T5933" s="35">
        <v>1.289817</v>
      </c>
      <c r="U5933" s="35">
        <v>46.114727999999999</v>
      </c>
      <c r="V5933" s="35">
        <v>0</v>
      </c>
      <c r="W5933" s="35">
        <v>-4.5469730000000004</v>
      </c>
      <c r="X5933" s="35">
        <v>0</v>
      </c>
      <c r="Y5933" s="35">
        <v>0</v>
      </c>
      <c r="Z5933" s="35">
        <v>27.869800999999999</v>
      </c>
      <c r="AA5933" s="35">
        <v>0</v>
      </c>
      <c r="AB5933" s="35">
        <v>-5.3571369999999998</v>
      </c>
      <c r="AC5933" s="35">
        <v>0</v>
      </c>
      <c r="AD5933" s="35">
        <v>0</v>
      </c>
      <c r="AE5933" s="35">
        <v>9.8493239999999993</v>
      </c>
      <c r="AF5933" s="35">
        <v>0</v>
      </c>
      <c r="AG5933" s="35">
        <v>-5.9539850000000003</v>
      </c>
      <c r="AH5933" s="35">
        <v>0</v>
      </c>
      <c r="AI5933" s="35">
        <v>9.9999999999999995E-7</v>
      </c>
      <c r="AJ5933" s="35">
        <v>5.475193</v>
      </c>
      <c r="AK5933" s="35">
        <v>-2.1231E-2</v>
      </c>
      <c r="AL5933" s="35">
        <v>-4.1641450000000004</v>
      </c>
      <c r="AM5933" s="35">
        <v>0</v>
      </c>
      <c r="AN5933" s="35">
        <v>0</v>
      </c>
    </row>
    <row r="5934" spans="1:40" x14ac:dyDescent="0.25">
      <c r="A5934" s="36">
        <v>45746</v>
      </c>
      <c r="B5934" s="34"/>
      <c r="G5934" s="31"/>
      <c r="Q5934" s="35">
        <v>41.595537</v>
      </c>
      <c r="R5934" s="35">
        <v>22.542161</v>
      </c>
      <c r="S5934" s="35">
        <v>3.8938299999999999</v>
      </c>
      <c r="T5934" s="35">
        <v>1.301844</v>
      </c>
      <c r="U5934" s="35">
        <v>46.114722999999998</v>
      </c>
      <c r="V5934" s="35">
        <v>0</v>
      </c>
      <c r="W5934" s="35">
        <v>-4.5191869999999996</v>
      </c>
      <c r="X5934" s="35">
        <v>0</v>
      </c>
      <c r="Y5934" s="35">
        <v>0</v>
      </c>
      <c r="Z5934" s="35">
        <v>27.869803000000001</v>
      </c>
      <c r="AA5934" s="35">
        <v>0</v>
      </c>
      <c r="AB5934" s="35">
        <v>-5.3276409999999998</v>
      </c>
      <c r="AC5934" s="35">
        <v>0</v>
      </c>
      <c r="AD5934" s="35">
        <v>0</v>
      </c>
      <c r="AE5934" s="35">
        <v>9.8493460000000006</v>
      </c>
      <c r="AF5934" s="35">
        <v>0</v>
      </c>
      <c r="AG5934" s="35">
        <v>-5.9555170000000004</v>
      </c>
      <c r="AH5934" s="35">
        <v>0</v>
      </c>
      <c r="AI5934" s="35">
        <v>9.9999999999999995E-7</v>
      </c>
      <c r="AJ5934" s="35">
        <v>5.4752559999999999</v>
      </c>
      <c r="AK5934" s="35">
        <v>1.0044000000000001E-2</v>
      </c>
      <c r="AL5934" s="35">
        <v>-4.1834569999999998</v>
      </c>
      <c r="AM5934" s="35">
        <v>0</v>
      </c>
      <c r="AN5934" s="35">
        <v>0</v>
      </c>
    </row>
    <row r="5935" spans="1:40" x14ac:dyDescent="0.25">
      <c r="A5935" s="36">
        <v>45747</v>
      </c>
      <c r="B5935" s="34"/>
      <c r="G5935" s="31"/>
      <c r="Q5935" s="35">
        <v>41.638728999999998</v>
      </c>
      <c r="R5935" s="35">
        <v>22.557846000000001</v>
      </c>
      <c r="S5935" s="35">
        <v>3.9186399999999999</v>
      </c>
      <c r="T5935" s="35">
        <v>1.3055190000000001</v>
      </c>
      <c r="U5935" s="35">
        <v>46.114714999999997</v>
      </c>
      <c r="V5935" s="35">
        <v>0</v>
      </c>
      <c r="W5935" s="35">
        <v>-4.4759859999999998</v>
      </c>
      <c r="X5935" s="35">
        <v>0</v>
      </c>
      <c r="Y5935" s="35">
        <v>0</v>
      </c>
      <c r="Z5935" s="35">
        <v>27.869803000000001</v>
      </c>
      <c r="AA5935" s="35">
        <v>0</v>
      </c>
      <c r="AB5935" s="35">
        <v>-5.3119569999999996</v>
      </c>
      <c r="AC5935" s="35">
        <v>0</v>
      </c>
      <c r="AD5935" s="35">
        <v>0</v>
      </c>
      <c r="AE5935" s="35">
        <v>9.8493619999999993</v>
      </c>
      <c r="AF5935" s="35">
        <v>0</v>
      </c>
      <c r="AG5935" s="35">
        <v>-5.9307230000000004</v>
      </c>
      <c r="AH5935" s="35">
        <v>0</v>
      </c>
      <c r="AI5935" s="35">
        <v>0</v>
      </c>
      <c r="AJ5935" s="35">
        <v>5.4753189999999998</v>
      </c>
      <c r="AK5935" s="35">
        <v>5.0509999999999999E-3</v>
      </c>
      <c r="AL5935" s="35">
        <v>-4.1748510000000003</v>
      </c>
      <c r="AM5935" s="35">
        <v>0</v>
      </c>
      <c r="AN5935" s="35">
        <v>0</v>
      </c>
    </row>
    <row r="5936" spans="1:40" x14ac:dyDescent="0.25">
      <c r="A5936" s="36"/>
      <c r="B5936" s="34"/>
      <c r="G5936" s="31"/>
    </row>
    <row r="5937" spans="1:7" x14ac:dyDescent="0.25">
      <c r="A5937" s="36"/>
      <c r="B5937" s="34"/>
      <c r="G5937" s="31"/>
    </row>
    <row r="5938" spans="1:7" x14ac:dyDescent="0.25">
      <c r="A5938" s="36"/>
      <c r="B5938" s="34"/>
      <c r="G5938" s="31"/>
    </row>
    <row r="5939" spans="1:7" x14ac:dyDescent="0.25">
      <c r="A5939" s="36"/>
      <c r="B5939" s="34"/>
      <c r="G5939" s="31"/>
    </row>
    <row r="5940" spans="1:7" x14ac:dyDescent="0.25">
      <c r="A5940" s="36"/>
      <c r="B5940" s="34"/>
      <c r="G5940" s="31"/>
    </row>
    <row r="5941" spans="1:7" x14ac:dyDescent="0.25">
      <c r="A5941" s="36"/>
      <c r="B5941" s="34"/>
      <c r="G5941" s="31"/>
    </row>
    <row r="5942" spans="1:7" x14ac:dyDescent="0.25">
      <c r="A5942" s="36"/>
      <c r="B5942" s="34"/>
      <c r="G5942" s="31"/>
    </row>
    <row r="5943" spans="1:7" x14ac:dyDescent="0.25">
      <c r="A5943" s="36"/>
      <c r="B5943" s="34"/>
      <c r="G5943" s="31"/>
    </row>
    <row r="5944" spans="1:7" x14ac:dyDescent="0.25">
      <c r="A5944" s="36"/>
      <c r="B5944" s="34"/>
      <c r="G5944" s="31"/>
    </row>
    <row r="5945" spans="1:7" x14ac:dyDescent="0.25">
      <c r="A5945" s="36"/>
      <c r="B5945" s="34"/>
      <c r="G5945" s="31"/>
    </row>
    <row r="5946" spans="1:7" x14ac:dyDescent="0.25">
      <c r="A5946" s="36"/>
      <c r="B5946" s="34"/>
      <c r="G5946" s="31"/>
    </row>
    <row r="5947" spans="1:7" x14ac:dyDescent="0.25">
      <c r="A5947" s="36"/>
      <c r="B5947" s="34"/>
      <c r="G5947" s="31"/>
    </row>
    <row r="5948" spans="1:7" x14ac:dyDescent="0.25">
      <c r="A5948" s="36"/>
      <c r="B5948" s="34"/>
      <c r="G5948" s="31"/>
    </row>
    <row r="5949" spans="1:7" x14ac:dyDescent="0.25">
      <c r="A5949" s="36"/>
      <c r="B5949" s="34"/>
      <c r="G5949" s="31"/>
    </row>
    <row r="5950" spans="1:7" x14ac:dyDescent="0.25">
      <c r="A5950" s="36"/>
      <c r="B5950" s="34"/>
      <c r="G5950" s="31"/>
    </row>
    <row r="5951" spans="1:7" x14ac:dyDescent="0.25">
      <c r="A5951" s="36"/>
      <c r="B5951" s="34"/>
      <c r="G5951" s="31"/>
    </row>
    <row r="5952" spans="1:7" x14ac:dyDescent="0.25">
      <c r="A5952" s="36"/>
      <c r="B5952" s="34"/>
      <c r="G5952" s="31"/>
    </row>
    <row r="5953" spans="1:7" x14ac:dyDescent="0.25">
      <c r="A5953" s="36"/>
      <c r="B5953" s="34"/>
      <c r="G5953" s="31"/>
    </row>
    <row r="5954" spans="1:7" x14ac:dyDescent="0.25">
      <c r="A5954" s="36"/>
      <c r="B5954" s="34"/>
      <c r="G5954" s="31"/>
    </row>
    <row r="5955" spans="1:7" x14ac:dyDescent="0.25">
      <c r="A5955" s="36"/>
      <c r="B5955" s="34"/>
      <c r="G5955" s="31"/>
    </row>
    <row r="5956" spans="1:7" x14ac:dyDescent="0.25">
      <c r="A5956" s="36"/>
      <c r="B5956" s="34"/>
      <c r="G5956" s="31"/>
    </row>
    <row r="5957" spans="1:7" x14ac:dyDescent="0.25">
      <c r="A5957" s="36"/>
      <c r="B5957" s="34"/>
      <c r="G5957" s="31"/>
    </row>
    <row r="5958" spans="1:7" x14ac:dyDescent="0.25">
      <c r="A5958" s="36"/>
      <c r="B5958" s="34"/>
      <c r="G5958" s="31"/>
    </row>
    <row r="5959" spans="1:7" x14ac:dyDescent="0.25">
      <c r="A5959" s="36"/>
      <c r="B5959" s="34"/>
      <c r="G5959" s="31"/>
    </row>
    <row r="5960" spans="1:7" x14ac:dyDescent="0.25">
      <c r="A5960" s="36"/>
      <c r="B5960" s="34"/>
      <c r="G5960" s="31"/>
    </row>
    <row r="5961" spans="1:7" x14ac:dyDescent="0.25">
      <c r="A5961" s="36"/>
      <c r="B5961" s="34"/>
      <c r="G5961" s="31"/>
    </row>
    <row r="5962" spans="1:7" x14ac:dyDescent="0.25">
      <c r="A5962" s="36"/>
      <c r="B5962" s="34"/>
      <c r="G5962" s="31"/>
    </row>
    <row r="5963" spans="1:7" x14ac:dyDescent="0.25">
      <c r="A5963" s="36"/>
      <c r="B5963" s="34"/>
      <c r="G5963" s="31"/>
    </row>
    <row r="5964" spans="1:7" x14ac:dyDescent="0.25">
      <c r="A5964" s="36"/>
      <c r="B5964" s="34"/>
      <c r="G5964" s="31"/>
    </row>
    <row r="5965" spans="1:7" x14ac:dyDescent="0.25">
      <c r="A5965" s="36"/>
      <c r="B5965" s="34"/>
      <c r="G5965" s="31"/>
    </row>
    <row r="5966" spans="1:7" x14ac:dyDescent="0.25">
      <c r="A5966" s="36"/>
      <c r="B5966" s="34"/>
      <c r="G5966" s="31"/>
    </row>
    <row r="5967" spans="1:7" x14ac:dyDescent="0.25">
      <c r="A5967" s="36"/>
      <c r="B5967" s="34"/>
      <c r="G5967" s="31"/>
    </row>
    <row r="5968" spans="1:7" x14ac:dyDescent="0.25">
      <c r="A5968" s="36"/>
      <c r="B5968" s="34"/>
      <c r="G5968" s="31"/>
    </row>
    <row r="5969" spans="1:7" x14ac:dyDescent="0.25">
      <c r="A5969" s="36"/>
      <c r="B5969" s="34"/>
      <c r="G5969" s="31"/>
    </row>
    <row r="5970" spans="1:7" x14ac:dyDescent="0.25">
      <c r="A5970" s="36"/>
      <c r="B5970" s="34"/>
      <c r="G5970" s="31"/>
    </row>
    <row r="5971" spans="1:7" x14ac:dyDescent="0.25">
      <c r="A5971" s="36"/>
      <c r="B5971" s="34"/>
      <c r="G5971" s="31"/>
    </row>
    <row r="5972" spans="1:7" x14ac:dyDescent="0.25">
      <c r="A5972" s="36"/>
      <c r="B5972" s="34"/>
      <c r="G5972" s="31"/>
    </row>
    <row r="5973" spans="1:7" x14ac:dyDescent="0.25">
      <c r="A5973" s="36"/>
      <c r="B5973" s="34"/>
      <c r="G5973" s="31"/>
    </row>
    <row r="5974" spans="1:7" x14ac:dyDescent="0.25">
      <c r="A5974" s="36"/>
      <c r="B5974" s="34"/>
      <c r="G5974" s="31"/>
    </row>
    <row r="5975" spans="1:7" x14ac:dyDescent="0.25">
      <c r="A5975" s="36"/>
      <c r="B5975" s="34"/>
      <c r="G5975" s="31"/>
    </row>
    <row r="5976" spans="1:7" x14ac:dyDescent="0.25">
      <c r="A5976" s="36"/>
      <c r="B5976" s="34"/>
      <c r="G5976" s="31"/>
    </row>
    <row r="5977" spans="1:7" x14ac:dyDescent="0.25">
      <c r="A5977" s="36"/>
      <c r="B5977" s="34"/>
      <c r="G5977" s="31"/>
    </row>
    <row r="5978" spans="1:7" x14ac:dyDescent="0.25">
      <c r="A5978" s="36"/>
      <c r="B5978" s="34"/>
      <c r="G5978" s="31"/>
    </row>
    <row r="5979" spans="1:7" x14ac:dyDescent="0.25">
      <c r="A5979" s="36"/>
      <c r="B5979" s="34"/>
      <c r="G5979" s="31"/>
    </row>
    <row r="5980" spans="1:7" x14ac:dyDescent="0.25">
      <c r="A5980" s="36"/>
      <c r="B5980" s="34"/>
      <c r="G5980" s="31"/>
    </row>
    <row r="5981" spans="1:7" x14ac:dyDescent="0.25">
      <c r="A5981" s="36"/>
      <c r="B5981" s="34"/>
      <c r="G5981" s="31"/>
    </row>
    <row r="5982" spans="1:7" x14ac:dyDescent="0.25">
      <c r="A5982" s="36"/>
      <c r="B5982" s="34"/>
      <c r="G5982" s="31"/>
    </row>
    <row r="5983" spans="1:7" x14ac:dyDescent="0.25">
      <c r="A5983" s="36"/>
      <c r="B5983" s="34"/>
      <c r="G5983" s="31"/>
    </row>
    <row r="5984" spans="1:7" x14ac:dyDescent="0.25">
      <c r="A5984" s="36"/>
      <c r="B5984" s="34"/>
      <c r="G5984" s="31"/>
    </row>
    <row r="5985" spans="1:7" x14ac:dyDescent="0.25">
      <c r="A5985" s="36"/>
      <c r="B5985" s="34"/>
      <c r="G5985" s="31"/>
    </row>
    <row r="5986" spans="1:7" x14ac:dyDescent="0.25">
      <c r="A5986" s="36"/>
      <c r="B5986" s="34"/>
      <c r="G5986" s="31"/>
    </row>
    <row r="5987" spans="1:7" x14ac:dyDescent="0.25">
      <c r="A5987" s="36"/>
      <c r="B5987" s="34"/>
      <c r="G5987" s="31"/>
    </row>
    <row r="5988" spans="1:7" x14ac:dyDescent="0.25">
      <c r="A5988" s="36"/>
      <c r="B5988" s="34"/>
      <c r="G5988" s="31"/>
    </row>
    <row r="5989" spans="1:7" x14ac:dyDescent="0.25">
      <c r="A5989" s="36"/>
      <c r="B5989" s="34"/>
      <c r="G5989" s="31"/>
    </row>
    <row r="5990" spans="1:7" x14ac:dyDescent="0.25">
      <c r="A5990" s="36"/>
      <c r="B5990" s="34"/>
      <c r="G5990" s="31"/>
    </row>
    <row r="5991" spans="1:7" x14ac:dyDescent="0.25">
      <c r="A5991" s="36"/>
      <c r="B5991" s="34"/>
      <c r="G5991" s="31"/>
    </row>
    <row r="5992" spans="1:7" x14ac:dyDescent="0.25">
      <c r="A5992" s="36"/>
      <c r="B5992" s="34"/>
      <c r="G5992" s="31"/>
    </row>
    <row r="5993" spans="1:7" x14ac:dyDescent="0.25">
      <c r="A5993" s="36"/>
      <c r="B5993" s="34"/>
      <c r="G5993" s="31"/>
    </row>
    <row r="5994" spans="1:7" x14ac:dyDescent="0.25">
      <c r="A5994" s="36"/>
      <c r="B5994" s="34"/>
      <c r="G5994" s="31"/>
    </row>
    <row r="5995" spans="1:7" x14ac:dyDescent="0.25">
      <c r="A5995" s="36"/>
      <c r="B5995" s="34"/>
      <c r="G5995" s="31"/>
    </row>
    <row r="5996" spans="1:7" x14ac:dyDescent="0.25">
      <c r="A5996" s="36"/>
      <c r="B5996" s="34"/>
      <c r="G5996" s="31"/>
    </row>
    <row r="5997" spans="1:7" x14ac:dyDescent="0.25">
      <c r="A5997" s="36"/>
      <c r="B5997" s="34"/>
      <c r="G5997" s="31"/>
    </row>
    <row r="5998" spans="1:7" x14ac:dyDescent="0.25">
      <c r="A5998" s="36"/>
      <c r="B5998" s="34"/>
      <c r="G5998" s="31"/>
    </row>
    <row r="5999" spans="1:7" x14ac:dyDescent="0.25">
      <c r="A5999" s="36"/>
      <c r="B5999" s="34"/>
      <c r="G5999" s="31"/>
    </row>
    <row r="6000" spans="1:7" x14ac:dyDescent="0.25">
      <c r="A6000" s="36"/>
      <c r="B6000" s="34"/>
      <c r="G6000" s="31"/>
    </row>
    <row r="6001" spans="1:7" x14ac:dyDescent="0.25">
      <c r="A6001" s="36"/>
      <c r="B6001" s="34"/>
      <c r="G6001" s="31"/>
    </row>
    <row r="6002" spans="1:7" x14ac:dyDescent="0.25">
      <c r="A6002" s="36"/>
      <c r="B6002" s="34"/>
      <c r="G6002" s="31"/>
    </row>
    <row r="6003" spans="1:7" x14ac:dyDescent="0.25">
      <c r="A6003" s="36"/>
      <c r="B6003" s="34"/>
      <c r="G6003" s="31"/>
    </row>
    <row r="6004" spans="1:7" x14ac:dyDescent="0.25">
      <c r="A6004" s="36"/>
      <c r="B6004" s="34"/>
      <c r="G6004" s="31"/>
    </row>
    <row r="6005" spans="1:7" x14ac:dyDescent="0.25">
      <c r="A6005" s="36"/>
      <c r="B6005" s="34"/>
      <c r="G6005" s="31"/>
    </row>
    <row r="6006" spans="1:7" x14ac:dyDescent="0.25">
      <c r="A6006" s="36"/>
      <c r="B6006" s="34"/>
      <c r="G6006" s="31"/>
    </row>
    <row r="6007" spans="1:7" x14ac:dyDescent="0.25">
      <c r="A6007" s="36"/>
      <c r="B6007" s="34"/>
      <c r="G6007" s="31"/>
    </row>
    <row r="6008" spans="1:7" x14ac:dyDescent="0.25">
      <c r="A6008" s="36"/>
      <c r="B6008" s="34"/>
      <c r="G6008" s="31"/>
    </row>
    <row r="6009" spans="1:7" x14ac:dyDescent="0.25">
      <c r="A6009" s="36"/>
      <c r="B6009" s="34"/>
      <c r="G6009" s="31"/>
    </row>
    <row r="6010" spans="1:7" x14ac:dyDescent="0.25">
      <c r="A6010" s="36"/>
      <c r="B6010" s="34"/>
      <c r="G6010" s="31"/>
    </row>
    <row r="6011" spans="1:7" x14ac:dyDescent="0.25">
      <c r="A6011" s="36"/>
      <c r="B6011" s="34"/>
      <c r="G6011" s="31"/>
    </row>
    <row r="6012" spans="1:7" x14ac:dyDescent="0.25">
      <c r="A6012" s="36"/>
      <c r="B6012" s="34"/>
      <c r="G6012" s="31"/>
    </row>
    <row r="6013" spans="1:7" x14ac:dyDescent="0.25">
      <c r="A6013" s="36"/>
      <c r="B6013" s="34"/>
      <c r="G6013" s="31"/>
    </row>
    <row r="6014" spans="1:7" x14ac:dyDescent="0.25">
      <c r="A6014" s="36"/>
      <c r="B6014" s="34"/>
      <c r="G6014" s="31"/>
    </row>
    <row r="6015" spans="1:7" x14ac:dyDescent="0.25">
      <c r="A6015" s="36"/>
      <c r="B6015" s="34"/>
      <c r="G6015" s="31"/>
    </row>
    <row r="6016" spans="1:7" x14ac:dyDescent="0.25">
      <c r="A6016" s="36"/>
      <c r="B6016" s="34"/>
      <c r="G6016" s="31"/>
    </row>
    <row r="6017" spans="1:7" x14ac:dyDescent="0.25">
      <c r="A6017" s="36"/>
      <c r="B6017" s="34"/>
      <c r="G6017" s="31"/>
    </row>
    <row r="6018" spans="1:7" x14ac:dyDescent="0.25">
      <c r="A6018" s="36"/>
      <c r="B6018" s="34"/>
      <c r="G6018" s="31"/>
    </row>
    <row r="6019" spans="1:7" x14ac:dyDescent="0.25">
      <c r="A6019" s="36"/>
      <c r="B6019" s="34"/>
      <c r="G6019" s="31"/>
    </row>
    <row r="6020" spans="1:7" x14ac:dyDescent="0.25">
      <c r="A6020" s="36"/>
      <c r="B6020" s="34"/>
      <c r="G6020" s="31"/>
    </row>
    <row r="6021" spans="1:7" x14ac:dyDescent="0.25">
      <c r="A6021" s="36"/>
      <c r="B6021" s="34"/>
      <c r="G6021" s="31"/>
    </row>
    <row r="6022" spans="1:7" x14ac:dyDescent="0.25">
      <c r="A6022" s="36"/>
      <c r="B6022" s="34"/>
      <c r="G6022" s="31"/>
    </row>
    <row r="6023" spans="1:7" x14ac:dyDescent="0.25">
      <c r="A6023" s="36"/>
      <c r="B6023" s="34"/>
      <c r="G6023" s="31"/>
    </row>
    <row r="6024" spans="1:7" x14ac:dyDescent="0.25">
      <c r="A6024" s="36"/>
      <c r="B6024" s="34"/>
      <c r="G6024" s="31"/>
    </row>
    <row r="6025" spans="1:7" x14ac:dyDescent="0.25">
      <c r="A6025" s="36"/>
      <c r="B6025" s="34"/>
      <c r="G6025" s="31"/>
    </row>
    <row r="6026" spans="1:7" x14ac:dyDescent="0.25">
      <c r="A6026" s="36"/>
      <c r="B6026" s="34"/>
      <c r="G6026" s="31"/>
    </row>
    <row r="6027" spans="1:7" x14ac:dyDescent="0.25">
      <c r="A6027" s="36"/>
      <c r="B6027" s="34"/>
      <c r="G6027" s="31"/>
    </row>
    <row r="6028" spans="1:7" x14ac:dyDescent="0.25">
      <c r="A6028" s="36"/>
      <c r="B6028" s="34"/>
      <c r="G6028" s="31"/>
    </row>
    <row r="6029" spans="1:7" x14ac:dyDescent="0.25">
      <c r="A6029" s="36"/>
      <c r="B6029" s="34"/>
      <c r="G6029" s="31"/>
    </row>
    <row r="6030" spans="1:7" x14ac:dyDescent="0.25">
      <c r="A6030" s="36"/>
      <c r="B6030" s="34"/>
      <c r="G6030" s="31"/>
    </row>
    <row r="6031" spans="1:7" x14ac:dyDescent="0.25">
      <c r="A6031" s="36"/>
      <c r="B6031" s="34"/>
      <c r="G6031" s="31"/>
    </row>
    <row r="6032" spans="1:7" x14ac:dyDescent="0.25">
      <c r="A6032" s="36"/>
      <c r="B6032" s="34"/>
      <c r="G6032" s="31"/>
    </row>
    <row r="6033" spans="1:7" x14ac:dyDescent="0.25">
      <c r="A6033" s="36"/>
      <c r="B6033" s="34"/>
      <c r="G6033" s="31"/>
    </row>
    <row r="6034" spans="1:7" x14ac:dyDescent="0.25">
      <c r="A6034" s="36"/>
      <c r="B6034" s="34"/>
      <c r="G6034" s="31"/>
    </row>
    <row r="6035" spans="1:7" x14ac:dyDescent="0.25">
      <c r="A6035" s="36"/>
      <c r="B6035" s="34"/>
      <c r="G6035" s="31"/>
    </row>
    <row r="6036" spans="1:7" x14ac:dyDescent="0.25">
      <c r="A6036" s="36"/>
      <c r="B6036" s="34"/>
      <c r="G6036" s="31"/>
    </row>
    <row r="6037" spans="1:7" x14ac:dyDescent="0.25">
      <c r="A6037" s="36"/>
      <c r="B6037" s="34"/>
      <c r="G6037" s="31"/>
    </row>
    <row r="6038" spans="1:7" x14ac:dyDescent="0.25">
      <c r="A6038" s="36"/>
      <c r="B6038" s="34"/>
      <c r="G6038" s="31"/>
    </row>
    <row r="6039" spans="1:7" x14ac:dyDescent="0.25">
      <c r="A6039" s="36"/>
      <c r="B6039" s="34"/>
      <c r="G6039" s="31"/>
    </row>
    <row r="6040" spans="1:7" x14ac:dyDescent="0.25">
      <c r="A6040" s="36"/>
      <c r="B6040" s="34"/>
      <c r="G6040" s="31"/>
    </row>
    <row r="6041" spans="1:7" x14ac:dyDescent="0.25">
      <c r="A6041" s="36"/>
      <c r="B6041" s="34"/>
      <c r="G6041" s="31"/>
    </row>
    <row r="6042" spans="1:7" x14ac:dyDescent="0.25">
      <c r="A6042" s="36"/>
      <c r="B6042" s="34"/>
      <c r="G6042" s="31"/>
    </row>
    <row r="6043" spans="1:7" x14ac:dyDescent="0.25">
      <c r="A6043" s="36"/>
      <c r="B6043" s="34"/>
      <c r="G6043" s="31"/>
    </row>
    <row r="6044" spans="1:7" x14ac:dyDescent="0.25">
      <c r="A6044" s="36"/>
      <c r="B6044" s="34"/>
      <c r="G6044" s="31"/>
    </row>
    <row r="6045" spans="1:7" x14ac:dyDescent="0.25">
      <c r="A6045" s="36"/>
      <c r="B6045" s="34"/>
      <c r="G6045" s="31"/>
    </row>
    <row r="6046" spans="1:7" x14ac:dyDescent="0.25">
      <c r="A6046" s="36"/>
      <c r="B6046" s="34"/>
      <c r="G6046" s="31"/>
    </row>
    <row r="6047" spans="1:7" x14ac:dyDescent="0.25">
      <c r="A6047" s="36"/>
      <c r="B6047" s="34"/>
      <c r="G6047" s="31"/>
    </row>
    <row r="6048" spans="1:7" x14ac:dyDescent="0.25">
      <c r="A6048" s="36"/>
      <c r="B6048" s="34"/>
      <c r="G6048" s="31"/>
    </row>
    <row r="6049" spans="1:7" x14ac:dyDescent="0.25">
      <c r="A6049" s="36"/>
      <c r="B6049" s="34"/>
      <c r="G6049" s="31"/>
    </row>
    <row r="6050" spans="1:7" x14ac:dyDescent="0.25">
      <c r="A6050" s="36"/>
      <c r="B6050" s="34"/>
      <c r="G6050" s="31"/>
    </row>
    <row r="6051" spans="1:7" x14ac:dyDescent="0.25">
      <c r="A6051" s="36"/>
      <c r="B6051" s="34"/>
      <c r="G6051" s="31"/>
    </row>
    <row r="6052" spans="1:7" x14ac:dyDescent="0.25">
      <c r="A6052" s="36"/>
      <c r="B6052" s="34"/>
      <c r="G6052" s="31"/>
    </row>
    <row r="6053" spans="1:7" x14ac:dyDescent="0.25">
      <c r="A6053" s="36"/>
      <c r="B6053" s="34"/>
      <c r="G6053" s="31"/>
    </row>
    <row r="6054" spans="1:7" x14ac:dyDescent="0.25">
      <c r="A6054" s="36"/>
      <c r="B6054" s="34"/>
      <c r="G6054" s="31"/>
    </row>
    <row r="6055" spans="1:7" x14ac:dyDescent="0.25">
      <c r="A6055" s="36"/>
      <c r="B6055" s="34"/>
      <c r="G6055" s="31"/>
    </row>
    <row r="6056" spans="1:7" x14ac:dyDescent="0.25">
      <c r="A6056" s="36"/>
      <c r="B6056" s="34"/>
      <c r="G6056" s="31"/>
    </row>
    <row r="6057" spans="1:7" x14ac:dyDescent="0.25">
      <c r="A6057" s="36"/>
      <c r="B6057" s="34"/>
      <c r="G6057" s="31"/>
    </row>
    <row r="6058" spans="1:7" x14ac:dyDescent="0.25">
      <c r="A6058" s="36"/>
      <c r="B6058" s="34"/>
      <c r="G6058" s="31"/>
    </row>
    <row r="6059" spans="1:7" x14ac:dyDescent="0.25">
      <c r="A6059" s="36"/>
      <c r="B6059" s="34"/>
      <c r="G6059" s="31"/>
    </row>
    <row r="6060" spans="1:7" x14ac:dyDescent="0.25">
      <c r="A6060" s="36"/>
      <c r="B6060" s="34"/>
      <c r="G6060" s="31"/>
    </row>
    <row r="6061" spans="1:7" x14ac:dyDescent="0.25">
      <c r="A6061" s="36"/>
      <c r="B6061" s="34"/>
      <c r="G6061" s="31"/>
    </row>
    <row r="6062" spans="1:7" x14ac:dyDescent="0.25">
      <c r="A6062" s="36"/>
      <c r="B6062" s="34"/>
      <c r="G6062" s="31"/>
    </row>
    <row r="6063" spans="1:7" x14ac:dyDescent="0.25">
      <c r="A6063" s="36"/>
      <c r="B6063" s="34"/>
      <c r="G6063" s="31"/>
    </row>
    <row r="6064" spans="1:7" x14ac:dyDescent="0.25">
      <c r="A6064" s="36"/>
      <c r="B6064" s="34"/>
      <c r="G6064" s="31"/>
    </row>
    <row r="6065" spans="1:7" x14ac:dyDescent="0.25">
      <c r="A6065" s="36"/>
      <c r="B6065" s="34"/>
      <c r="G6065" s="31"/>
    </row>
    <row r="6066" spans="1:7" x14ac:dyDescent="0.25">
      <c r="A6066" s="36"/>
      <c r="B6066" s="34"/>
      <c r="G6066" s="31"/>
    </row>
    <row r="6067" spans="1:7" x14ac:dyDescent="0.25">
      <c r="A6067" s="36"/>
      <c r="B6067" s="34"/>
      <c r="G6067" s="31"/>
    </row>
    <row r="6068" spans="1:7" x14ac:dyDescent="0.25">
      <c r="A6068" s="36"/>
      <c r="B6068" s="34"/>
      <c r="G6068" s="31"/>
    </row>
    <row r="6069" spans="1:7" x14ac:dyDescent="0.25">
      <c r="A6069" s="36"/>
      <c r="B6069" s="34"/>
      <c r="G6069" s="31"/>
    </row>
    <row r="6070" spans="1:7" x14ac:dyDescent="0.25">
      <c r="A6070" s="36"/>
      <c r="B6070" s="34"/>
      <c r="G6070" s="31"/>
    </row>
    <row r="6071" spans="1:7" x14ac:dyDescent="0.25">
      <c r="A6071" s="36"/>
      <c r="B6071" s="34"/>
      <c r="G6071" s="31"/>
    </row>
    <row r="6072" spans="1:7" x14ac:dyDescent="0.25">
      <c r="A6072" s="36"/>
      <c r="B6072" s="34"/>
      <c r="G6072" s="31"/>
    </row>
    <row r="6073" spans="1:7" x14ac:dyDescent="0.25">
      <c r="A6073" s="36"/>
      <c r="B6073" s="34"/>
      <c r="G6073" s="31"/>
    </row>
    <row r="6074" spans="1:7" x14ac:dyDescent="0.25">
      <c r="A6074" s="36"/>
      <c r="B6074" s="34"/>
      <c r="G6074" s="31"/>
    </row>
    <row r="6075" spans="1:7" x14ac:dyDescent="0.25">
      <c r="A6075" s="36"/>
      <c r="B6075" s="34"/>
      <c r="G6075" s="31"/>
    </row>
    <row r="6076" spans="1:7" x14ac:dyDescent="0.25">
      <c r="A6076" s="36"/>
      <c r="B6076" s="34"/>
      <c r="G6076" s="31"/>
    </row>
    <row r="6077" spans="1:7" x14ac:dyDescent="0.25">
      <c r="A6077" s="36"/>
      <c r="B6077" s="34"/>
      <c r="G6077" s="31"/>
    </row>
    <row r="6078" spans="1:7" x14ac:dyDescent="0.25">
      <c r="A6078" s="36"/>
      <c r="B6078" s="34"/>
      <c r="G6078" s="31"/>
    </row>
    <row r="6079" spans="1:7" x14ac:dyDescent="0.25">
      <c r="A6079" s="36"/>
      <c r="B6079" s="34"/>
      <c r="G6079" s="31"/>
    </row>
    <row r="6080" spans="1:7" x14ac:dyDescent="0.25">
      <c r="A6080" s="36"/>
      <c r="B6080" s="34"/>
      <c r="G6080" s="31"/>
    </row>
    <row r="6081" spans="1:7" x14ac:dyDescent="0.25">
      <c r="A6081" s="36"/>
      <c r="B6081" s="34"/>
      <c r="G6081" s="31"/>
    </row>
    <row r="6082" spans="1:7" x14ac:dyDescent="0.25">
      <c r="A6082" s="36"/>
      <c r="B6082" s="34"/>
      <c r="G6082" s="31"/>
    </row>
    <row r="6083" spans="1:7" x14ac:dyDescent="0.25">
      <c r="A6083" s="36"/>
      <c r="B6083" s="34"/>
      <c r="G6083" s="31"/>
    </row>
    <row r="6084" spans="1:7" x14ac:dyDescent="0.25">
      <c r="A6084" s="36"/>
      <c r="B6084" s="34"/>
      <c r="G6084" s="31"/>
    </row>
    <row r="6085" spans="1:7" x14ac:dyDescent="0.25">
      <c r="A6085" s="36"/>
      <c r="B6085" s="34"/>
      <c r="G6085" s="31"/>
    </row>
    <row r="6086" spans="1:7" x14ac:dyDescent="0.25">
      <c r="A6086" s="36"/>
      <c r="B6086" s="34"/>
      <c r="G6086" s="31"/>
    </row>
    <row r="6087" spans="1:7" x14ac:dyDescent="0.25">
      <c r="A6087" s="36"/>
      <c r="B6087" s="34"/>
      <c r="G6087" s="31"/>
    </row>
    <row r="6088" spans="1:7" x14ac:dyDescent="0.25">
      <c r="A6088" s="36"/>
      <c r="B6088" s="34"/>
      <c r="G6088" s="31"/>
    </row>
    <row r="6089" spans="1:7" x14ac:dyDescent="0.25">
      <c r="A6089" s="36"/>
      <c r="B6089" s="34"/>
      <c r="G6089" s="31"/>
    </row>
    <row r="6090" spans="1:7" x14ac:dyDescent="0.25">
      <c r="A6090" s="36"/>
      <c r="B6090" s="34"/>
      <c r="G6090" s="31"/>
    </row>
    <row r="6091" spans="1:7" x14ac:dyDescent="0.25">
      <c r="A6091" s="36"/>
      <c r="B6091" s="34"/>
      <c r="G6091" s="31"/>
    </row>
    <row r="6092" spans="1:7" x14ac:dyDescent="0.25">
      <c r="A6092" s="36"/>
      <c r="B6092" s="34"/>
      <c r="G6092" s="31"/>
    </row>
    <row r="6093" spans="1:7" x14ac:dyDescent="0.25">
      <c r="A6093" s="36"/>
      <c r="B6093" s="34"/>
      <c r="G6093" s="31"/>
    </row>
    <row r="6094" spans="1:7" x14ac:dyDescent="0.25">
      <c r="A6094" s="36"/>
      <c r="B6094" s="34"/>
      <c r="G6094" s="31"/>
    </row>
    <row r="6095" spans="1:7" x14ac:dyDescent="0.25">
      <c r="A6095" s="36"/>
      <c r="B6095" s="34"/>
      <c r="G6095" s="31"/>
    </row>
    <row r="6096" spans="1:7" x14ac:dyDescent="0.25">
      <c r="A6096" s="36"/>
      <c r="B6096" s="34"/>
      <c r="G6096" s="31"/>
    </row>
    <row r="6097" spans="1:7" x14ac:dyDescent="0.25">
      <c r="A6097" s="36"/>
      <c r="B6097" s="34"/>
      <c r="G6097" s="31"/>
    </row>
    <row r="6098" spans="1:7" x14ac:dyDescent="0.25">
      <c r="A6098" s="36"/>
      <c r="B6098" s="34"/>
      <c r="G6098" s="31"/>
    </row>
    <row r="6099" spans="1:7" x14ac:dyDescent="0.25">
      <c r="A6099" s="36"/>
      <c r="B6099" s="34"/>
      <c r="G6099" s="31"/>
    </row>
    <row r="6100" spans="1:7" x14ac:dyDescent="0.25">
      <c r="A6100" s="36"/>
      <c r="B6100" s="34"/>
      <c r="G6100" s="31"/>
    </row>
    <row r="6101" spans="1:7" x14ac:dyDescent="0.25">
      <c r="A6101" s="36"/>
      <c r="B6101" s="34"/>
      <c r="G6101" s="31"/>
    </row>
    <row r="6102" spans="1:7" x14ac:dyDescent="0.25">
      <c r="A6102" s="36"/>
      <c r="B6102" s="34"/>
      <c r="G6102" s="31"/>
    </row>
    <row r="6103" spans="1:7" x14ac:dyDescent="0.25">
      <c r="A6103" s="36"/>
      <c r="B6103" s="34"/>
      <c r="G6103" s="31"/>
    </row>
    <row r="6104" spans="1:7" x14ac:dyDescent="0.25">
      <c r="A6104" s="36"/>
      <c r="B6104" s="34"/>
      <c r="G6104" s="31"/>
    </row>
    <row r="6105" spans="1:7" x14ac:dyDescent="0.25">
      <c r="A6105" s="36"/>
      <c r="B6105" s="34"/>
      <c r="G6105" s="31"/>
    </row>
    <row r="6106" spans="1:7" x14ac:dyDescent="0.25">
      <c r="A6106" s="36"/>
      <c r="B6106" s="34"/>
      <c r="G6106" s="31"/>
    </row>
    <row r="6107" spans="1:7" x14ac:dyDescent="0.25">
      <c r="A6107" s="36"/>
      <c r="B6107" s="34"/>
      <c r="G6107" s="31"/>
    </row>
    <row r="6108" spans="1:7" x14ac:dyDescent="0.25">
      <c r="A6108" s="36"/>
      <c r="B6108" s="34"/>
      <c r="G6108" s="31"/>
    </row>
    <row r="6109" spans="1:7" x14ac:dyDescent="0.25">
      <c r="A6109" s="36"/>
      <c r="B6109" s="34"/>
      <c r="G6109" s="31"/>
    </row>
    <row r="6110" spans="1:7" x14ac:dyDescent="0.25">
      <c r="A6110" s="36"/>
      <c r="B6110" s="34"/>
      <c r="G6110" s="31"/>
    </row>
    <row r="6111" spans="1:7" x14ac:dyDescent="0.25">
      <c r="A6111" s="36"/>
      <c r="B6111" s="34"/>
      <c r="G6111" s="31"/>
    </row>
    <row r="6112" spans="1:7" x14ac:dyDescent="0.25">
      <c r="A6112" s="36"/>
      <c r="B6112" s="34"/>
      <c r="G6112" s="31"/>
    </row>
    <row r="6113" spans="1:7" x14ac:dyDescent="0.25">
      <c r="A6113" s="36"/>
      <c r="B6113" s="34"/>
      <c r="G6113" s="31"/>
    </row>
    <row r="6114" spans="1:7" x14ac:dyDescent="0.25">
      <c r="A6114" s="36"/>
      <c r="B6114" s="34"/>
      <c r="G6114" s="31"/>
    </row>
    <row r="6115" spans="1:7" x14ac:dyDescent="0.25">
      <c r="A6115" s="36"/>
      <c r="B6115" s="34"/>
      <c r="G6115" s="31"/>
    </row>
    <row r="6116" spans="1:7" x14ac:dyDescent="0.25">
      <c r="A6116" s="36"/>
      <c r="B6116" s="34"/>
      <c r="G6116" s="31"/>
    </row>
    <row r="6117" spans="1:7" x14ac:dyDescent="0.25">
      <c r="A6117" s="36"/>
      <c r="B6117" s="34"/>
      <c r="G6117" s="31"/>
    </row>
    <row r="6118" spans="1:7" x14ac:dyDescent="0.25">
      <c r="A6118" s="36"/>
      <c r="B6118" s="34"/>
      <c r="G6118" s="31"/>
    </row>
    <row r="6119" spans="1:7" x14ac:dyDescent="0.25">
      <c r="A6119" s="36"/>
      <c r="B6119" s="34"/>
      <c r="G6119" s="31"/>
    </row>
    <row r="6120" spans="1:7" x14ac:dyDescent="0.25">
      <c r="A6120" s="36"/>
      <c r="B6120" s="34"/>
      <c r="G6120" s="31"/>
    </row>
    <row r="6121" spans="1:7" x14ac:dyDescent="0.25">
      <c r="A6121" s="36"/>
      <c r="B6121" s="34"/>
      <c r="G6121" s="31"/>
    </row>
    <row r="6122" spans="1:7" x14ac:dyDescent="0.25">
      <c r="A6122" s="36"/>
      <c r="B6122" s="34"/>
      <c r="G6122" s="31"/>
    </row>
    <row r="6123" spans="1:7" x14ac:dyDescent="0.25">
      <c r="A6123" s="36"/>
      <c r="B6123" s="34"/>
      <c r="G6123" s="31"/>
    </row>
    <row r="6124" spans="1:7" x14ac:dyDescent="0.25">
      <c r="A6124" s="36"/>
      <c r="B6124" s="34"/>
      <c r="G6124" s="31"/>
    </row>
    <row r="6125" spans="1:7" x14ac:dyDescent="0.25">
      <c r="A6125" s="36"/>
      <c r="B6125" s="34"/>
      <c r="G6125" s="31"/>
    </row>
    <row r="6126" spans="1:7" x14ac:dyDescent="0.25">
      <c r="A6126" s="36"/>
      <c r="B6126" s="34"/>
      <c r="G6126" s="31"/>
    </row>
    <row r="6127" spans="1:7" x14ac:dyDescent="0.25">
      <c r="A6127" s="36"/>
      <c r="B6127" s="34"/>
      <c r="G6127" s="31"/>
    </row>
    <row r="6128" spans="1:7" x14ac:dyDescent="0.25">
      <c r="A6128" s="36"/>
      <c r="B6128" s="34"/>
      <c r="G6128" s="31"/>
    </row>
    <row r="6129" spans="1:7" x14ac:dyDescent="0.25">
      <c r="A6129" s="36"/>
      <c r="B6129" s="34"/>
      <c r="G6129" s="31"/>
    </row>
    <row r="6130" spans="1:7" x14ac:dyDescent="0.25">
      <c r="A6130" s="36"/>
      <c r="B6130" s="34"/>
      <c r="G6130" s="31"/>
    </row>
    <row r="6131" spans="1:7" x14ac:dyDescent="0.25">
      <c r="A6131" s="36"/>
      <c r="B6131" s="34"/>
      <c r="G6131" s="31"/>
    </row>
    <row r="6132" spans="1:7" x14ac:dyDescent="0.25">
      <c r="A6132" s="36"/>
      <c r="B6132" s="34"/>
      <c r="G6132" s="31"/>
    </row>
    <row r="6133" spans="1:7" x14ac:dyDescent="0.25">
      <c r="A6133" s="36"/>
      <c r="B6133" s="34"/>
      <c r="G6133" s="31"/>
    </row>
    <row r="6134" spans="1:7" x14ac:dyDescent="0.25">
      <c r="A6134" s="36"/>
      <c r="B6134" s="34"/>
      <c r="G6134" s="31"/>
    </row>
    <row r="6135" spans="1:7" x14ac:dyDescent="0.25">
      <c r="A6135" s="36"/>
      <c r="B6135" s="34"/>
      <c r="G6135" s="31"/>
    </row>
    <row r="6136" spans="1:7" x14ac:dyDescent="0.25">
      <c r="A6136" s="36"/>
      <c r="B6136" s="34"/>
      <c r="G6136" s="31"/>
    </row>
    <row r="6137" spans="1:7" x14ac:dyDescent="0.25">
      <c r="A6137" s="36"/>
      <c r="B6137" s="34"/>
      <c r="G6137" s="31"/>
    </row>
    <row r="6138" spans="1:7" x14ac:dyDescent="0.25">
      <c r="A6138" s="36"/>
      <c r="B6138" s="34"/>
      <c r="G6138" s="31"/>
    </row>
    <row r="6139" spans="1:7" x14ac:dyDescent="0.25">
      <c r="A6139" s="36"/>
      <c r="B6139" s="34"/>
      <c r="G6139" s="31"/>
    </row>
    <row r="6140" spans="1:7" x14ac:dyDescent="0.25">
      <c r="A6140" s="36"/>
      <c r="B6140" s="34"/>
      <c r="G6140" s="31"/>
    </row>
    <row r="6141" spans="1:7" x14ac:dyDescent="0.25">
      <c r="A6141" s="36"/>
      <c r="B6141" s="34"/>
      <c r="G6141" s="31"/>
    </row>
    <row r="6142" spans="1:7" x14ac:dyDescent="0.25">
      <c r="A6142" s="36"/>
      <c r="B6142" s="34"/>
      <c r="G6142" s="31"/>
    </row>
    <row r="6143" spans="1:7" x14ac:dyDescent="0.25">
      <c r="A6143" s="36"/>
      <c r="B6143" s="34"/>
      <c r="G6143" s="31"/>
    </row>
    <row r="6144" spans="1:7" x14ac:dyDescent="0.25">
      <c r="A6144" s="36"/>
      <c r="B6144" s="34"/>
      <c r="G6144" s="31"/>
    </row>
    <row r="6145" spans="1:7" x14ac:dyDescent="0.25">
      <c r="A6145" s="36"/>
      <c r="B6145" s="34"/>
      <c r="G6145" s="31"/>
    </row>
    <row r="6146" spans="1:7" x14ac:dyDescent="0.25">
      <c r="A6146" s="36"/>
      <c r="B6146" s="34"/>
      <c r="G6146" s="31"/>
    </row>
    <row r="6147" spans="1:7" x14ac:dyDescent="0.25">
      <c r="A6147" s="36"/>
      <c r="B6147" s="34"/>
      <c r="G6147" s="31"/>
    </row>
    <row r="6148" spans="1:7" x14ac:dyDescent="0.25">
      <c r="A6148" s="36"/>
      <c r="B6148" s="34"/>
      <c r="G6148" s="31"/>
    </row>
    <row r="6149" spans="1:7" x14ac:dyDescent="0.25">
      <c r="A6149" s="36"/>
      <c r="B6149" s="34"/>
      <c r="G6149" s="31"/>
    </row>
    <row r="6150" spans="1:7" x14ac:dyDescent="0.25">
      <c r="A6150" s="36"/>
      <c r="B6150" s="34"/>
      <c r="G6150" s="31"/>
    </row>
    <row r="6151" spans="1:7" x14ac:dyDescent="0.25">
      <c r="A6151" s="36"/>
      <c r="B6151" s="34"/>
      <c r="G6151" s="31"/>
    </row>
    <row r="6152" spans="1:7" x14ac:dyDescent="0.25">
      <c r="A6152" s="36"/>
      <c r="B6152" s="34"/>
      <c r="G6152" s="31"/>
    </row>
    <row r="6153" spans="1:7" x14ac:dyDescent="0.25">
      <c r="A6153" s="36"/>
      <c r="B6153" s="34"/>
      <c r="G6153" s="31"/>
    </row>
    <row r="6154" spans="1:7" x14ac:dyDescent="0.25">
      <c r="A6154" s="36"/>
      <c r="B6154" s="34"/>
      <c r="G6154" s="31"/>
    </row>
    <row r="6155" spans="1:7" x14ac:dyDescent="0.25">
      <c r="A6155" s="36"/>
      <c r="B6155" s="34"/>
      <c r="G6155" s="31"/>
    </row>
    <row r="6156" spans="1:7" x14ac:dyDescent="0.25">
      <c r="A6156" s="36"/>
      <c r="B6156" s="34"/>
      <c r="G6156" s="31"/>
    </row>
    <row r="6157" spans="1:7" x14ac:dyDescent="0.25">
      <c r="A6157" s="36"/>
      <c r="B6157" s="34"/>
      <c r="G6157" s="31"/>
    </row>
    <row r="6158" spans="1:7" x14ac:dyDescent="0.25">
      <c r="A6158" s="36"/>
      <c r="B6158" s="34"/>
      <c r="G6158" s="31"/>
    </row>
    <row r="6159" spans="1:7" x14ac:dyDescent="0.25">
      <c r="A6159" s="36"/>
      <c r="B6159" s="34"/>
      <c r="G6159" s="31"/>
    </row>
    <row r="6160" spans="1:7" x14ac:dyDescent="0.25">
      <c r="A6160" s="36"/>
      <c r="B6160" s="34"/>
      <c r="G6160" s="31"/>
    </row>
    <row r="6161" spans="1:7" x14ac:dyDescent="0.25">
      <c r="A6161" s="36"/>
      <c r="B6161" s="34"/>
      <c r="G6161" s="31"/>
    </row>
    <row r="6162" spans="1:7" x14ac:dyDescent="0.25">
      <c r="A6162" s="36"/>
      <c r="B6162" s="34"/>
      <c r="G6162" s="31"/>
    </row>
    <row r="6163" spans="1:7" x14ac:dyDescent="0.25">
      <c r="A6163" s="36"/>
      <c r="B6163" s="34"/>
      <c r="G6163" s="31"/>
    </row>
    <row r="6164" spans="1:7" x14ac:dyDescent="0.25">
      <c r="A6164" s="36"/>
      <c r="B6164" s="34"/>
      <c r="G6164" s="31"/>
    </row>
    <row r="6165" spans="1:7" x14ac:dyDescent="0.25">
      <c r="A6165" s="36"/>
      <c r="B6165" s="34"/>
      <c r="G6165" s="31"/>
    </row>
    <row r="6166" spans="1:7" x14ac:dyDescent="0.25">
      <c r="A6166" s="36"/>
      <c r="B6166" s="34"/>
      <c r="G6166" s="31"/>
    </row>
    <row r="6167" spans="1:7" x14ac:dyDescent="0.25">
      <c r="A6167" s="36"/>
      <c r="B6167" s="34"/>
      <c r="G6167" s="31"/>
    </row>
    <row r="6168" spans="1:7" x14ac:dyDescent="0.25">
      <c r="A6168" s="36"/>
      <c r="B6168" s="34"/>
      <c r="G6168" s="31"/>
    </row>
    <row r="6169" spans="1:7" x14ac:dyDescent="0.25">
      <c r="A6169" s="36"/>
      <c r="B6169" s="34"/>
      <c r="G6169" s="31"/>
    </row>
    <row r="6170" spans="1:7" x14ac:dyDescent="0.25">
      <c r="A6170" s="36"/>
      <c r="B6170" s="34"/>
      <c r="G6170" s="31"/>
    </row>
    <row r="6171" spans="1:7" x14ac:dyDescent="0.25">
      <c r="A6171" s="36"/>
      <c r="B6171" s="34"/>
      <c r="G6171" s="31"/>
    </row>
    <row r="6172" spans="1:7" x14ac:dyDescent="0.25">
      <c r="A6172" s="36"/>
      <c r="B6172" s="34"/>
      <c r="G6172" s="31"/>
    </row>
    <row r="6173" spans="1:7" x14ac:dyDescent="0.25">
      <c r="A6173" s="36"/>
      <c r="B6173" s="34"/>
      <c r="G6173" s="31"/>
    </row>
    <row r="6174" spans="1:7" x14ac:dyDescent="0.25">
      <c r="A6174" s="36"/>
      <c r="B6174" s="34"/>
      <c r="G6174" s="31"/>
    </row>
    <row r="6175" spans="1:7" x14ac:dyDescent="0.25">
      <c r="A6175" s="36"/>
      <c r="B6175" s="34"/>
      <c r="G6175" s="31"/>
    </row>
    <row r="6176" spans="1:7" x14ac:dyDescent="0.25">
      <c r="A6176" s="36"/>
      <c r="B6176" s="34"/>
      <c r="G6176" s="31"/>
    </row>
    <row r="6177" spans="1:7" x14ac:dyDescent="0.25">
      <c r="A6177" s="36"/>
      <c r="B6177" s="34"/>
      <c r="G6177" s="31"/>
    </row>
    <row r="6178" spans="1:7" x14ac:dyDescent="0.25">
      <c r="A6178" s="36"/>
      <c r="B6178" s="34"/>
      <c r="G6178" s="31"/>
    </row>
    <row r="6179" spans="1:7" x14ac:dyDescent="0.25">
      <c r="A6179" s="36"/>
      <c r="B6179" s="34"/>
      <c r="G6179" s="31"/>
    </row>
    <row r="6180" spans="1:7" x14ac:dyDescent="0.25">
      <c r="A6180" s="36"/>
      <c r="B6180" s="34"/>
      <c r="G6180" s="31"/>
    </row>
    <row r="6181" spans="1:7" x14ac:dyDescent="0.25">
      <c r="A6181" s="36"/>
      <c r="B6181" s="34"/>
      <c r="G6181" s="31"/>
    </row>
    <row r="6182" spans="1:7" x14ac:dyDescent="0.25">
      <c r="A6182" s="36"/>
      <c r="B6182" s="34"/>
      <c r="G6182" s="31"/>
    </row>
    <row r="6183" spans="1:7" x14ac:dyDescent="0.25">
      <c r="A6183" s="36"/>
      <c r="B6183" s="34"/>
      <c r="G6183" s="31"/>
    </row>
    <row r="6184" spans="1:7" x14ac:dyDescent="0.25">
      <c r="A6184" s="36"/>
      <c r="B6184" s="34"/>
      <c r="G6184" s="31"/>
    </row>
    <row r="6185" spans="1:7" x14ac:dyDescent="0.25">
      <c r="A6185" s="36"/>
      <c r="B6185" s="34"/>
      <c r="G6185" s="31"/>
    </row>
    <row r="6186" spans="1:7" x14ac:dyDescent="0.25">
      <c r="A6186" s="36"/>
      <c r="B6186" s="34"/>
      <c r="G6186" s="31"/>
    </row>
    <row r="6187" spans="1:7" x14ac:dyDescent="0.25">
      <c r="A6187" s="36"/>
      <c r="B6187" s="34"/>
      <c r="G6187" s="31"/>
    </row>
    <row r="6188" spans="1:7" x14ac:dyDescent="0.25">
      <c r="A6188" s="36"/>
      <c r="B6188" s="34"/>
      <c r="G6188" s="31"/>
    </row>
    <row r="6189" spans="1:7" x14ac:dyDescent="0.25">
      <c r="A6189" s="36"/>
      <c r="B6189" s="34"/>
      <c r="G6189" s="31"/>
    </row>
    <row r="6190" spans="1:7" x14ac:dyDescent="0.25">
      <c r="A6190" s="36"/>
      <c r="B6190" s="34"/>
      <c r="G6190" s="31"/>
    </row>
    <row r="6191" spans="1:7" x14ac:dyDescent="0.25">
      <c r="A6191" s="36"/>
      <c r="B6191" s="34"/>
      <c r="G6191" s="31"/>
    </row>
    <row r="6192" spans="1:7" x14ac:dyDescent="0.25">
      <c r="A6192" s="36"/>
      <c r="B6192" s="34"/>
      <c r="G6192" s="31"/>
    </row>
    <row r="6193" spans="1:7" x14ac:dyDescent="0.25">
      <c r="A6193" s="36"/>
      <c r="B6193" s="34"/>
      <c r="G6193" s="31"/>
    </row>
    <row r="6194" spans="1:7" x14ac:dyDescent="0.25">
      <c r="A6194" s="36"/>
      <c r="B6194" s="34"/>
      <c r="G6194" s="31"/>
    </row>
    <row r="6195" spans="1:7" x14ac:dyDescent="0.25">
      <c r="A6195" s="36"/>
      <c r="B6195" s="34"/>
      <c r="G6195" s="31"/>
    </row>
    <row r="6196" spans="1:7" x14ac:dyDescent="0.25">
      <c r="A6196" s="36"/>
      <c r="B6196" s="34"/>
      <c r="G6196" s="31"/>
    </row>
    <row r="6197" spans="1:7" x14ac:dyDescent="0.25">
      <c r="A6197" s="36"/>
      <c r="B6197" s="34"/>
      <c r="G6197" s="31"/>
    </row>
    <row r="6198" spans="1:7" x14ac:dyDescent="0.25">
      <c r="A6198" s="36"/>
      <c r="B6198" s="34"/>
      <c r="G6198" s="31"/>
    </row>
    <row r="6199" spans="1:7" x14ac:dyDescent="0.25">
      <c r="A6199" s="36"/>
      <c r="B6199" s="34"/>
      <c r="G6199" s="31"/>
    </row>
    <row r="6200" spans="1:7" x14ac:dyDescent="0.25">
      <c r="A6200" s="36"/>
      <c r="B6200" s="34"/>
      <c r="G6200" s="31"/>
    </row>
    <row r="6201" spans="1:7" x14ac:dyDescent="0.25">
      <c r="A6201" s="36"/>
      <c r="B6201" s="34"/>
      <c r="G6201" s="31"/>
    </row>
    <row r="6202" spans="1:7" x14ac:dyDescent="0.25">
      <c r="A6202" s="36"/>
      <c r="B6202" s="34"/>
      <c r="G6202" s="31"/>
    </row>
    <row r="6203" spans="1:7" x14ac:dyDescent="0.25">
      <c r="A6203" s="36"/>
      <c r="B6203" s="34"/>
      <c r="G6203" s="31"/>
    </row>
    <row r="6204" spans="1:7" x14ac:dyDescent="0.25">
      <c r="A6204" s="36"/>
      <c r="B6204" s="34"/>
      <c r="G6204" s="31"/>
    </row>
    <row r="6205" spans="1:7" x14ac:dyDescent="0.25">
      <c r="A6205" s="36"/>
      <c r="B6205" s="34"/>
      <c r="G6205" s="31"/>
    </row>
    <row r="6206" spans="1:7" x14ac:dyDescent="0.25">
      <c r="A6206" s="36"/>
      <c r="B6206" s="34"/>
      <c r="G6206" s="31"/>
    </row>
    <row r="6207" spans="1:7" x14ac:dyDescent="0.25">
      <c r="A6207" s="36"/>
      <c r="B6207" s="34"/>
      <c r="G6207" s="31"/>
    </row>
    <row r="6208" spans="1:7" x14ac:dyDescent="0.25">
      <c r="A6208" s="36"/>
      <c r="B6208" s="34"/>
      <c r="G6208" s="31"/>
    </row>
    <row r="6209" spans="1:7" x14ac:dyDescent="0.25">
      <c r="A6209" s="36"/>
      <c r="B6209" s="34"/>
      <c r="G6209" s="31"/>
    </row>
    <row r="6210" spans="1:7" x14ac:dyDescent="0.25">
      <c r="A6210" s="36"/>
      <c r="B6210" s="34"/>
      <c r="G6210" s="31"/>
    </row>
    <row r="6211" spans="1:7" x14ac:dyDescent="0.25">
      <c r="A6211" s="36"/>
      <c r="B6211" s="34"/>
      <c r="G6211" s="31"/>
    </row>
    <row r="6212" spans="1:7" x14ac:dyDescent="0.25">
      <c r="A6212" s="36"/>
      <c r="B6212" s="34"/>
      <c r="G6212" s="31"/>
    </row>
    <row r="6213" spans="1:7" x14ac:dyDescent="0.25">
      <c r="A6213" s="36"/>
      <c r="B6213" s="34"/>
      <c r="G6213" s="31"/>
    </row>
    <row r="6214" spans="1:7" x14ac:dyDescent="0.25">
      <c r="A6214" s="36"/>
      <c r="B6214" s="34"/>
      <c r="G6214" s="31"/>
    </row>
    <row r="6215" spans="1:7" x14ac:dyDescent="0.25">
      <c r="A6215" s="36"/>
      <c r="B6215" s="34"/>
      <c r="G6215" s="31"/>
    </row>
    <row r="6216" spans="1:7" x14ac:dyDescent="0.25">
      <c r="A6216" s="36"/>
      <c r="B6216" s="34"/>
      <c r="G6216" s="31"/>
    </row>
    <row r="6217" spans="1:7" x14ac:dyDescent="0.25">
      <c r="A6217" s="36"/>
      <c r="B6217" s="34"/>
      <c r="G6217" s="31"/>
    </row>
    <row r="6218" spans="1:7" x14ac:dyDescent="0.25">
      <c r="A6218" s="36"/>
      <c r="B6218" s="34"/>
      <c r="G6218" s="31"/>
    </row>
    <row r="6219" spans="1:7" x14ac:dyDescent="0.25">
      <c r="A6219" s="36"/>
      <c r="B6219" s="34"/>
      <c r="G6219" s="31"/>
    </row>
    <row r="6220" spans="1:7" x14ac:dyDescent="0.25">
      <c r="A6220" s="36"/>
      <c r="B6220" s="34"/>
      <c r="G6220" s="31"/>
    </row>
    <row r="6221" spans="1:7" x14ac:dyDescent="0.25">
      <c r="A6221" s="36"/>
      <c r="B6221" s="34"/>
      <c r="G6221" s="31"/>
    </row>
    <row r="6222" spans="1:7" x14ac:dyDescent="0.25">
      <c r="A6222" s="36"/>
      <c r="B6222" s="34"/>
      <c r="G6222" s="31"/>
    </row>
    <row r="6223" spans="1:7" x14ac:dyDescent="0.25">
      <c r="A6223" s="36"/>
      <c r="B6223" s="34"/>
      <c r="G6223" s="31"/>
    </row>
    <row r="6224" spans="1:7" x14ac:dyDescent="0.25">
      <c r="A6224" s="36"/>
      <c r="B6224" s="34"/>
      <c r="G6224" s="31"/>
    </row>
    <row r="6225" spans="1:7" x14ac:dyDescent="0.25">
      <c r="A6225" s="36"/>
      <c r="B6225" s="34"/>
      <c r="G6225" s="31"/>
    </row>
    <row r="6226" spans="1:7" x14ac:dyDescent="0.25">
      <c r="A6226" s="36"/>
      <c r="B6226" s="34"/>
      <c r="G6226" s="31"/>
    </row>
    <row r="6227" spans="1:7" x14ac:dyDescent="0.25">
      <c r="A6227" s="36"/>
      <c r="B6227" s="34"/>
      <c r="G6227" s="31"/>
    </row>
    <row r="6228" spans="1:7" x14ac:dyDescent="0.25">
      <c r="A6228" s="36"/>
      <c r="B6228" s="34"/>
      <c r="G6228" s="31"/>
    </row>
    <row r="6229" spans="1:7" x14ac:dyDescent="0.25">
      <c r="A6229" s="36"/>
      <c r="B6229" s="34"/>
      <c r="G6229" s="31"/>
    </row>
    <row r="6230" spans="1:7" x14ac:dyDescent="0.25">
      <c r="A6230" s="36"/>
      <c r="B6230" s="34"/>
      <c r="G6230" s="31"/>
    </row>
    <row r="6231" spans="1:7" x14ac:dyDescent="0.25">
      <c r="A6231" s="36"/>
      <c r="B6231" s="34"/>
      <c r="G6231" s="31"/>
    </row>
    <row r="6232" spans="1:7" x14ac:dyDescent="0.25">
      <c r="A6232" s="36"/>
      <c r="B6232" s="34"/>
      <c r="G6232" s="31"/>
    </row>
    <row r="6233" spans="1:7" x14ac:dyDescent="0.25">
      <c r="A6233" s="36"/>
      <c r="B6233" s="34"/>
      <c r="G6233" s="31"/>
    </row>
    <row r="6234" spans="1:7" x14ac:dyDescent="0.25">
      <c r="A6234" s="36"/>
      <c r="B6234" s="34"/>
      <c r="G6234" s="31"/>
    </row>
    <row r="6235" spans="1:7" x14ac:dyDescent="0.25">
      <c r="A6235" s="36"/>
      <c r="B6235" s="34"/>
      <c r="G6235" s="31"/>
    </row>
    <row r="6236" spans="1:7" x14ac:dyDescent="0.25">
      <c r="A6236" s="36"/>
      <c r="B6236" s="34"/>
      <c r="G6236" s="31"/>
    </row>
    <row r="6237" spans="1:7" x14ac:dyDescent="0.25">
      <c r="A6237" s="36"/>
      <c r="B6237" s="34"/>
      <c r="G6237" s="31"/>
    </row>
    <row r="6238" spans="1:7" x14ac:dyDescent="0.25">
      <c r="A6238" s="36"/>
      <c r="B6238" s="34"/>
      <c r="G6238" s="31"/>
    </row>
    <row r="6239" spans="1:7" x14ac:dyDescent="0.25">
      <c r="A6239" s="36"/>
      <c r="B6239" s="34"/>
      <c r="G6239" s="31"/>
    </row>
    <row r="6240" spans="1:7" x14ac:dyDescent="0.25">
      <c r="A6240" s="36"/>
      <c r="B6240" s="34"/>
      <c r="G6240" s="31"/>
    </row>
    <row r="6241" spans="1:7" x14ac:dyDescent="0.25">
      <c r="A6241" s="36"/>
      <c r="B6241" s="34"/>
      <c r="G6241" s="31"/>
    </row>
    <row r="6242" spans="1:7" x14ac:dyDescent="0.25">
      <c r="A6242" s="36"/>
      <c r="B6242" s="34"/>
      <c r="G6242" s="31"/>
    </row>
    <row r="6243" spans="1:7" x14ac:dyDescent="0.25">
      <c r="A6243" s="36"/>
      <c r="B6243" s="34"/>
      <c r="G6243" s="31"/>
    </row>
    <row r="6244" spans="1:7" x14ac:dyDescent="0.25">
      <c r="A6244" s="36"/>
      <c r="B6244" s="34"/>
      <c r="G6244" s="31"/>
    </row>
    <row r="6245" spans="1:7" x14ac:dyDescent="0.25">
      <c r="A6245" s="36"/>
      <c r="B6245" s="34"/>
      <c r="G6245" s="31"/>
    </row>
    <row r="6246" spans="1:7" x14ac:dyDescent="0.25">
      <c r="A6246" s="36"/>
      <c r="B6246" s="34"/>
      <c r="G6246" s="31"/>
    </row>
    <row r="6247" spans="1:7" x14ac:dyDescent="0.25">
      <c r="A6247" s="36"/>
      <c r="B6247" s="34"/>
      <c r="G6247" s="31"/>
    </row>
    <row r="6248" spans="1:7" x14ac:dyDescent="0.25">
      <c r="A6248" s="36"/>
      <c r="B6248" s="34"/>
      <c r="G6248" s="31"/>
    </row>
    <row r="6249" spans="1:7" x14ac:dyDescent="0.25">
      <c r="A6249" s="36"/>
      <c r="B6249" s="34"/>
      <c r="G6249" s="31"/>
    </row>
    <row r="6250" spans="1:7" x14ac:dyDescent="0.25">
      <c r="A6250" s="36"/>
      <c r="B6250" s="34"/>
      <c r="G6250" s="31"/>
    </row>
    <row r="6251" spans="1:7" x14ac:dyDescent="0.25">
      <c r="A6251" s="36"/>
      <c r="B6251" s="34"/>
      <c r="G6251" s="31"/>
    </row>
    <row r="6252" spans="1:7" x14ac:dyDescent="0.25">
      <c r="A6252" s="36"/>
      <c r="B6252" s="34"/>
      <c r="G6252" s="31"/>
    </row>
    <row r="6253" spans="1:7" x14ac:dyDescent="0.25">
      <c r="A6253" s="36"/>
      <c r="B6253" s="34"/>
      <c r="G6253" s="31"/>
    </row>
    <row r="6254" spans="1:7" x14ac:dyDescent="0.25">
      <c r="A6254" s="36"/>
      <c r="B6254" s="34"/>
      <c r="G6254" s="31"/>
    </row>
    <row r="6255" spans="1:7" x14ac:dyDescent="0.25">
      <c r="A6255" s="36"/>
      <c r="B6255" s="34"/>
      <c r="G6255" s="31"/>
    </row>
    <row r="6256" spans="1:7" x14ac:dyDescent="0.25">
      <c r="A6256" s="36"/>
      <c r="B6256" s="34"/>
      <c r="G6256" s="31"/>
    </row>
    <row r="6257" spans="1:7" x14ac:dyDescent="0.25">
      <c r="A6257" s="36"/>
      <c r="B6257" s="34"/>
      <c r="G6257" s="31"/>
    </row>
    <row r="6258" spans="1:7" x14ac:dyDescent="0.25">
      <c r="A6258" s="36"/>
      <c r="B6258" s="34"/>
      <c r="G6258" s="31"/>
    </row>
    <row r="6259" spans="1:7" x14ac:dyDescent="0.25">
      <c r="A6259" s="36"/>
      <c r="B6259" s="34"/>
      <c r="G6259" s="31"/>
    </row>
    <row r="6260" spans="1:7" x14ac:dyDescent="0.25">
      <c r="A6260" s="36"/>
      <c r="B6260" s="34"/>
      <c r="G6260" s="31"/>
    </row>
    <row r="6261" spans="1:7" x14ac:dyDescent="0.25">
      <c r="A6261" s="36"/>
      <c r="B6261" s="34"/>
      <c r="G6261" s="31"/>
    </row>
    <row r="6262" spans="1:7" x14ac:dyDescent="0.25">
      <c r="A6262" s="36"/>
      <c r="B6262" s="34"/>
      <c r="G6262" s="31"/>
    </row>
    <row r="6263" spans="1:7" x14ac:dyDescent="0.25">
      <c r="A6263" s="36"/>
      <c r="B6263" s="34"/>
      <c r="G6263" s="31"/>
    </row>
    <row r="6264" spans="1:7" x14ac:dyDescent="0.25">
      <c r="A6264" s="36"/>
      <c r="B6264" s="34"/>
      <c r="G6264" s="31"/>
    </row>
    <row r="6265" spans="1:7" x14ac:dyDescent="0.25">
      <c r="A6265" s="36"/>
      <c r="B6265" s="34"/>
      <c r="G6265" s="31"/>
    </row>
    <row r="6266" spans="1:7" x14ac:dyDescent="0.25">
      <c r="A6266" s="36"/>
      <c r="B6266" s="34"/>
      <c r="G6266" s="31"/>
    </row>
    <row r="6267" spans="1:7" x14ac:dyDescent="0.25">
      <c r="A6267" s="36"/>
      <c r="B6267" s="34"/>
      <c r="G6267" s="31"/>
    </row>
    <row r="6268" spans="1:7" x14ac:dyDescent="0.25">
      <c r="A6268" s="36"/>
      <c r="B6268" s="34"/>
      <c r="G6268" s="31"/>
    </row>
    <row r="6269" spans="1:7" x14ac:dyDescent="0.25">
      <c r="A6269" s="36"/>
      <c r="B6269" s="34"/>
      <c r="G6269" s="31"/>
    </row>
    <row r="6270" spans="1:7" x14ac:dyDescent="0.25">
      <c r="A6270" s="36"/>
      <c r="B6270" s="34"/>
      <c r="G6270" s="31"/>
    </row>
    <row r="6271" spans="1:7" x14ac:dyDescent="0.25">
      <c r="A6271" s="36"/>
      <c r="B6271" s="34"/>
      <c r="G6271" s="31"/>
    </row>
    <row r="6272" spans="1:7" x14ac:dyDescent="0.25">
      <c r="A6272" s="36"/>
      <c r="B6272" s="34"/>
      <c r="G6272" s="31"/>
    </row>
    <row r="6273" spans="1:7" x14ac:dyDescent="0.25">
      <c r="A6273" s="36"/>
      <c r="B6273" s="34"/>
      <c r="G6273" s="31"/>
    </row>
    <row r="6274" spans="1:7" x14ac:dyDescent="0.25">
      <c r="A6274" s="36"/>
      <c r="B6274" s="34"/>
      <c r="G6274" s="31"/>
    </row>
    <row r="6275" spans="1:7" x14ac:dyDescent="0.25">
      <c r="A6275" s="36"/>
      <c r="B6275" s="34"/>
      <c r="G6275" s="31"/>
    </row>
    <row r="6276" spans="1:7" x14ac:dyDescent="0.25">
      <c r="A6276" s="36"/>
      <c r="B6276" s="34"/>
      <c r="G6276" s="31"/>
    </row>
    <row r="6277" spans="1:7" x14ac:dyDescent="0.25">
      <c r="A6277" s="36"/>
      <c r="B6277" s="34"/>
      <c r="G6277" s="31"/>
    </row>
    <row r="6278" spans="1:7" x14ac:dyDescent="0.25">
      <c r="A6278" s="36"/>
      <c r="B6278" s="34"/>
      <c r="G6278" s="31"/>
    </row>
    <row r="6279" spans="1:7" x14ac:dyDescent="0.25">
      <c r="A6279" s="36"/>
      <c r="B6279" s="34"/>
      <c r="G6279" s="31"/>
    </row>
    <row r="6280" spans="1:7" x14ac:dyDescent="0.25">
      <c r="A6280" s="36"/>
      <c r="B6280" s="34"/>
      <c r="G6280" s="31"/>
    </row>
    <row r="6281" spans="1:7" x14ac:dyDescent="0.25">
      <c r="A6281" s="36"/>
      <c r="B6281" s="34"/>
      <c r="G6281" s="31"/>
    </row>
    <row r="6282" spans="1:7" x14ac:dyDescent="0.25">
      <c r="A6282" s="36"/>
      <c r="B6282" s="34"/>
      <c r="G6282" s="31"/>
    </row>
    <row r="6283" spans="1:7" x14ac:dyDescent="0.25">
      <c r="A6283" s="36"/>
      <c r="B6283" s="34"/>
      <c r="G6283" s="31"/>
    </row>
    <row r="6284" spans="1:7" x14ac:dyDescent="0.25">
      <c r="A6284" s="36"/>
      <c r="B6284" s="34"/>
      <c r="G6284" s="31"/>
    </row>
    <row r="6285" spans="1:7" x14ac:dyDescent="0.25">
      <c r="A6285" s="36"/>
      <c r="B6285" s="34"/>
      <c r="G6285" s="31"/>
    </row>
    <row r="6286" spans="1:7" x14ac:dyDescent="0.25">
      <c r="A6286" s="36"/>
      <c r="B6286" s="34"/>
      <c r="G6286" s="31"/>
    </row>
    <row r="6287" spans="1:7" x14ac:dyDescent="0.25">
      <c r="A6287" s="36"/>
      <c r="B6287" s="34"/>
      <c r="G6287" s="31"/>
    </row>
    <row r="6288" spans="1:7" x14ac:dyDescent="0.25">
      <c r="A6288" s="36"/>
      <c r="B6288" s="34"/>
      <c r="G6288" s="31"/>
    </row>
    <row r="6289" spans="1:7" x14ac:dyDescent="0.25">
      <c r="A6289" s="36"/>
      <c r="B6289" s="34"/>
      <c r="G6289" s="31"/>
    </row>
    <row r="6290" spans="1:7" x14ac:dyDescent="0.25">
      <c r="A6290" s="36"/>
      <c r="B6290" s="34"/>
      <c r="G6290" s="31"/>
    </row>
    <row r="6291" spans="1:7" x14ac:dyDescent="0.25">
      <c r="A6291" s="36"/>
      <c r="B6291" s="34"/>
      <c r="G6291" s="31"/>
    </row>
    <row r="6292" spans="1:7" x14ac:dyDescent="0.25">
      <c r="A6292" s="36"/>
      <c r="B6292" s="34"/>
      <c r="G6292" s="31"/>
    </row>
    <row r="6293" spans="1:7" x14ac:dyDescent="0.25">
      <c r="A6293" s="36"/>
      <c r="B6293" s="34"/>
      <c r="G6293" s="31"/>
    </row>
    <row r="6294" spans="1:7" x14ac:dyDescent="0.25">
      <c r="A6294" s="36"/>
      <c r="B6294" s="34"/>
      <c r="G6294" s="31"/>
    </row>
    <row r="6295" spans="1:7" x14ac:dyDescent="0.25">
      <c r="A6295" s="36"/>
      <c r="B6295" s="34"/>
      <c r="G6295" s="31"/>
    </row>
    <row r="6296" spans="1:7" x14ac:dyDescent="0.25">
      <c r="A6296" s="36"/>
      <c r="B6296" s="34"/>
      <c r="G6296" s="31"/>
    </row>
    <row r="6297" spans="1:7" x14ac:dyDescent="0.25">
      <c r="A6297" s="36"/>
      <c r="B6297" s="34"/>
      <c r="G6297" s="31"/>
    </row>
    <row r="6298" spans="1:7" x14ac:dyDescent="0.25">
      <c r="A6298" s="36"/>
      <c r="B6298" s="34"/>
      <c r="G6298" s="31"/>
    </row>
    <row r="6299" spans="1:7" x14ac:dyDescent="0.25">
      <c r="A6299" s="36"/>
      <c r="B6299" s="34"/>
      <c r="G6299" s="31"/>
    </row>
    <row r="6300" spans="1:7" x14ac:dyDescent="0.25">
      <c r="A6300" s="36"/>
      <c r="B6300" s="34"/>
      <c r="G6300" s="31"/>
    </row>
    <row r="6301" spans="1:7" x14ac:dyDescent="0.25">
      <c r="A6301" s="36"/>
      <c r="B6301" s="34"/>
      <c r="G6301" s="31"/>
    </row>
    <row r="6302" spans="1:7" x14ac:dyDescent="0.25">
      <c r="A6302" s="36"/>
      <c r="B6302" s="34"/>
      <c r="G6302" s="31"/>
    </row>
    <row r="6303" spans="1:7" x14ac:dyDescent="0.25">
      <c r="A6303" s="36"/>
      <c r="B6303" s="34"/>
      <c r="G6303" s="31"/>
    </row>
    <row r="6304" spans="1:7" x14ac:dyDescent="0.25">
      <c r="A6304" s="36"/>
      <c r="B6304" s="34"/>
      <c r="G6304" s="31"/>
    </row>
    <row r="6305" spans="1:7" x14ac:dyDescent="0.25">
      <c r="A6305" s="36"/>
      <c r="B6305" s="34"/>
      <c r="G6305" s="31"/>
    </row>
    <row r="6306" spans="1:7" x14ac:dyDescent="0.25">
      <c r="A6306" s="36"/>
      <c r="B6306" s="34"/>
      <c r="G6306" s="31"/>
    </row>
    <row r="6307" spans="1:7" x14ac:dyDescent="0.25">
      <c r="A6307" s="36"/>
      <c r="B6307" s="34"/>
      <c r="G6307" s="31"/>
    </row>
    <row r="6308" spans="1:7" x14ac:dyDescent="0.25">
      <c r="A6308" s="36"/>
      <c r="B6308" s="34"/>
      <c r="G6308" s="31"/>
    </row>
    <row r="6309" spans="1:7" x14ac:dyDescent="0.25">
      <c r="A6309" s="36"/>
      <c r="B6309" s="34"/>
      <c r="G6309" s="31"/>
    </row>
    <row r="6310" spans="1:7" x14ac:dyDescent="0.25">
      <c r="A6310" s="36"/>
      <c r="B6310" s="34"/>
      <c r="G6310" s="31"/>
    </row>
    <row r="6311" spans="1:7" x14ac:dyDescent="0.25">
      <c r="A6311" s="36"/>
      <c r="B6311" s="34"/>
      <c r="G6311" s="31"/>
    </row>
    <row r="6312" spans="1:7" x14ac:dyDescent="0.25">
      <c r="A6312" s="36"/>
      <c r="B6312" s="34"/>
      <c r="G6312" s="31"/>
    </row>
    <row r="6313" spans="1:7" x14ac:dyDescent="0.25">
      <c r="A6313" s="36"/>
      <c r="B6313" s="34"/>
      <c r="G6313" s="31"/>
    </row>
    <row r="6314" spans="1:7" x14ac:dyDescent="0.25">
      <c r="A6314" s="36"/>
      <c r="B6314" s="34"/>
      <c r="G6314" s="31"/>
    </row>
    <row r="6315" spans="1:7" x14ac:dyDescent="0.25">
      <c r="A6315" s="36"/>
      <c r="B6315" s="34"/>
      <c r="G6315" s="31"/>
    </row>
    <row r="6316" spans="1:7" x14ac:dyDescent="0.25">
      <c r="A6316" s="36"/>
      <c r="B6316" s="34"/>
      <c r="G6316" s="31"/>
    </row>
    <row r="6317" spans="1:7" x14ac:dyDescent="0.25">
      <c r="A6317" s="36"/>
      <c r="B6317" s="34"/>
      <c r="G6317" s="31"/>
    </row>
    <row r="6318" spans="1:7" x14ac:dyDescent="0.25">
      <c r="A6318" s="36"/>
      <c r="B6318" s="34"/>
      <c r="G6318" s="31"/>
    </row>
    <row r="6319" spans="1:7" x14ac:dyDescent="0.25">
      <c r="A6319" s="36"/>
      <c r="B6319" s="34"/>
      <c r="G6319" s="31"/>
    </row>
    <row r="6320" spans="1:7" x14ac:dyDescent="0.25">
      <c r="A6320" s="36"/>
      <c r="B6320" s="34"/>
      <c r="G6320" s="31"/>
    </row>
    <row r="6321" spans="1:7" x14ac:dyDescent="0.25">
      <c r="A6321" s="36"/>
      <c r="B6321" s="34"/>
      <c r="G6321" s="31"/>
    </row>
    <row r="6322" spans="1:7" x14ac:dyDescent="0.25">
      <c r="A6322" s="36"/>
      <c r="B6322" s="34"/>
      <c r="G6322" s="31"/>
    </row>
    <row r="6323" spans="1:7" x14ac:dyDescent="0.25">
      <c r="A6323" s="36"/>
      <c r="B6323" s="34"/>
      <c r="G6323" s="31"/>
    </row>
    <row r="6324" spans="1:7" x14ac:dyDescent="0.25">
      <c r="A6324" s="36"/>
      <c r="B6324" s="34"/>
      <c r="G6324" s="31"/>
    </row>
    <row r="6325" spans="1:7" x14ac:dyDescent="0.25">
      <c r="A6325" s="36"/>
      <c r="B6325" s="34"/>
      <c r="G6325" s="31"/>
    </row>
    <row r="6326" spans="1:7" x14ac:dyDescent="0.25">
      <c r="A6326" s="36"/>
      <c r="B6326" s="34"/>
      <c r="G6326" s="31"/>
    </row>
    <row r="6327" spans="1:7" x14ac:dyDescent="0.25">
      <c r="A6327" s="36"/>
      <c r="B6327" s="34"/>
      <c r="G6327" s="31"/>
    </row>
    <row r="6328" spans="1:7" x14ac:dyDescent="0.25">
      <c r="A6328" s="36"/>
      <c r="B6328" s="34"/>
      <c r="G6328" s="31"/>
    </row>
    <row r="6329" spans="1:7" x14ac:dyDescent="0.25">
      <c r="A6329" s="36"/>
      <c r="B6329" s="34"/>
      <c r="G6329" s="31"/>
    </row>
    <row r="6330" spans="1:7" x14ac:dyDescent="0.25">
      <c r="A6330" s="36"/>
      <c r="B6330" s="34"/>
      <c r="G6330" s="31"/>
    </row>
    <row r="6331" spans="1:7" x14ac:dyDescent="0.25">
      <c r="A6331" s="36"/>
      <c r="B6331" s="34"/>
      <c r="G6331" s="31"/>
    </row>
    <row r="6332" spans="1:7" x14ac:dyDescent="0.25">
      <c r="A6332" s="36"/>
      <c r="B6332" s="34"/>
      <c r="G6332" s="31"/>
    </row>
    <row r="6333" spans="1:7" x14ac:dyDescent="0.25">
      <c r="A6333" s="36"/>
      <c r="B6333" s="34"/>
      <c r="G6333" s="31"/>
    </row>
    <row r="6334" spans="1:7" x14ac:dyDescent="0.25">
      <c r="A6334" s="36"/>
      <c r="B6334" s="34"/>
      <c r="G6334" s="31"/>
    </row>
    <row r="6335" spans="1:7" x14ac:dyDescent="0.25">
      <c r="A6335" s="36"/>
      <c r="B6335" s="34"/>
      <c r="G6335" s="31"/>
    </row>
    <row r="6336" spans="1:7" x14ac:dyDescent="0.25">
      <c r="A6336" s="36"/>
      <c r="B6336" s="34"/>
      <c r="G6336" s="31"/>
    </row>
    <row r="6337" spans="1:7" x14ac:dyDescent="0.25">
      <c r="A6337" s="36"/>
      <c r="B6337" s="34"/>
      <c r="G6337" s="31"/>
    </row>
    <row r="6338" spans="1:7" x14ac:dyDescent="0.25">
      <c r="A6338" s="36"/>
      <c r="B6338" s="34"/>
      <c r="G6338" s="31"/>
    </row>
    <row r="6339" spans="1:7" x14ac:dyDescent="0.25">
      <c r="A6339" s="36"/>
      <c r="B6339" s="34"/>
      <c r="G6339" s="31"/>
    </row>
    <row r="6340" spans="1:7" x14ac:dyDescent="0.25">
      <c r="A6340" s="36"/>
      <c r="B6340" s="34"/>
      <c r="G6340" s="31"/>
    </row>
    <row r="6341" spans="1:7" x14ac:dyDescent="0.25">
      <c r="A6341" s="36"/>
      <c r="B6341" s="34"/>
      <c r="G6341" s="31"/>
    </row>
    <row r="6342" spans="1:7" x14ac:dyDescent="0.25">
      <c r="A6342" s="36"/>
      <c r="B6342" s="34"/>
      <c r="G6342" s="31"/>
    </row>
    <row r="6343" spans="1:7" x14ac:dyDescent="0.25">
      <c r="A6343" s="36"/>
      <c r="B6343" s="34"/>
      <c r="G6343" s="31"/>
    </row>
    <row r="6344" spans="1:7" x14ac:dyDescent="0.25">
      <c r="A6344" s="36"/>
      <c r="B6344" s="34"/>
      <c r="G6344" s="31"/>
    </row>
    <row r="6345" spans="1:7" x14ac:dyDescent="0.25">
      <c r="A6345" s="36"/>
      <c r="B6345" s="34"/>
      <c r="G6345" s="31"/>
    </row>
    <row r="6346" spans="1:7" x14ac:dyDescent="0.25">
      <c r="A6346" s="36"/>
      <c r="B6346" s="34"/>
      <c r="G6346" s="31"/>
    </row>
    <row r="6347" spans="1:7" x14ac:dyDescent="0.25">
      <c r="A6347" s="36"/>
      <c r="B6347" s="34"/>
      <c r="G6347" s="31"/>
    </row>
    <row r="6348" spans="1:7" x14ac:dyDescent="0.25">
      <c r="A6348" s="36"/>
      <c r="B6348" s="34"/>
      <c r="G6348" s="31"/>
    </row>
    <row r="6349" spans="1:7" x14ac:dyDescent="0.25">
      <c r="A6349" s="36"/>
      <c r="B6349" s="34"/>
      <c r="G6349" s="31"/>
    </row>
    <row r="6350" spans="1:7" x14ac:dyDescent="0.25">
      <c r="A6350" s="36"/>
      <c r="B6350" s="34"/>
      <c r="G6350" s="31"/>
    </row>
    <row r="6351" spans="1:7" x14ac:dyDescent="0.25">
      <c r="A6351" s="36"/>
      <c r="B6351" s="34"/>
      <c r="G6351" s="31"/>
    </row>
    <row r="6352" spans="1:7" x14ac:dyDescent="0.25">
      <c r="A6352" s="36"/>
      <c r="B6352" s="34"/>
      <c r="G6352" s="31"/>
    </row>
    <row r="6353" spans="1:7" x14ac:dyDescent="0.25">
      <c r="A6353" s="36"/>
      <c r="B6353" s="34"/>
      <c r="G6353" s="31"/>
    </row>
    <row r="6354" spans="1:7" x14ac:dyDescent="0.25">
      <c r="A6354" s="36"/>
      <c r="B6354" s="34"/>
      <c r="G6354" s="31"/>
    </row>
    <row r="6355" spans="1:7" x14ac:dyDescent="0.25">
      <c r="A6355" s="36"/>
      <c r="B6355" s="34"/>
      <c r="G6355" s="31"/>
    </row>
    <row r="6356" spans="1:7" x14ac:dyDescent="0.25">
      <c r="A6356" s="36"/>
      <c r="B6356" s="34"/>
      <c r="G6356" s="31"/>
    </row>
    <row r="6357" spans="1:7" x14ac:dyDescent="0.25">
      <c r="A6357" s="36"/>
      <c r="B6357" s="34"/>
      <c r="G6357" s="31"/>
    </row>
    <row r="6358" spans="1:7" x14ac:dyDescent="0.25">
      <c r="A6358" s="36"/>
      <c r="B6358" s="34"/>
      <c r="G6358" s="31"/>
    </row>
    <row r="6359" spans="1:7" x14ac:dyDescent="0.25">
      <c r="A6359" s="36"/>
      <c r="B6359" s="34"/>
      <c r="G6359" s="31"/>
    </row>
    <row r="6360" spans="1:7" x14ac:dyDescent="0.25">
      <c r="A6360" s="36"/>
      <c r="B6360" s="34"/>
      <c r="G6360" s="31"/>
    </row>
    <row r="6361" spans="1:7" x14ac:dyDescent="0.25">
      <c r="A6361" s="36"/>
      <c r="B6361" s="34"/>
      <c r="G6361" s="31"/>
    </row>
    <row r="6362" spans="1:7" x14ac:dyDescent="0.25">
      <c r="A6362" s="36"/>
      <c r="B6362" s="34"/>
      <c r="G6362" s="31"/>
    </row>
    <row r="6363" spans="1:7" x14ac:dyDescent="0.25">
      <c r="A6363" s="36"/>
      <c r="B6363" s="34"/>
      <c r="G6363" s="31"/>
    </row>
    <row r="6364" spans="1:7" x14ac:dyDescent="0.25">
      <c r="A6364" s="36"/>
      <c r="B6364" s="34"/>
      <c r="G6364" s="31"/>
    </row>
    <row r="6365" spans="1:7" x14ac:dyDescent="0.25">
      <c r="A6365" s="36"/>
      <c r="B6365" s="34"/>
      <c r="G6365" s="31"/>
    </row>
    <row r="6366" spans="1:7" x14ac:dyDescent="0.25">
      <c r="A6366" s="36"/>
      <c r="B6366" s="34"/>
      <c r="G6366" s="31"/>
    </row>
    <row r="6367" spans="1:7" x14ac:dyDescent="0.25">
      <c r="A6367" s="36"/>
      <c r="B6367" s="34"/>
      <c r="G6367" s="31"/>
    </row>
    <row r="6368" spans="1:7" x14ac:dyDescent="0.25">
      <c r="A6368" s="36"/>
      <c r="B6368" s="34"/>
      <c r="G6368" s="31"/>
    </row>
    <row r="6369" spans="1:7" x14ac:dyDescent="0.25">
      <c r="A6369" s="36"/>
      <c r="B6369" s="34"/>
      <c r="G6369" s="31"/>
    </row>
    <row r="6370" spans="1:7" x14ac:dyDescent="0.25">
      <c r="A6370" s="36"/>
      <c r="B6370" s="34"/>
      <c r="G6370" s="31"/>
    </row>
    <row r="6371" spans="1:7" x14ac:dyDescent="0.25">
      <c r="A6371" s="36"/>
      <c r="B6371" s="34"/>
      <c r="G6371" s="31"/>
    </row>
    <row r="6372" spans="1:7" x14ac:dyDescent="0.25">
      <c r="A6372" s="36"/>
      <c r="B6372" s="34"/>
      <c r="G6372" s="31"/>
    </row>
    <row r="6373" spans="1:7" x14ac:dyDescent="0.25">
      <c r="A6373" s="36"/>
      <c r="B6373" s="34"/>
      <c r="G6373" s="31"/>
    </row>
    <row r="6374" spans="1:7" x14ac:dyDescent="0.25">
      <c r="A6374" s="36"/>
      <c r="B6374" s="34"/>
      <c r="G6374" s="31"/>
    </row>
    <row r="6375" spans="1:7" x14ac:dyDescent="0.25">
      <c r="A6375" s="36"/>
      <c r="B6375" s="34"/>
      <c r="G6375" s="31"/>
    </row>
    <row r="6376" spans="1:7" x14ac:dyDescent="0.25">
      <c r="A6376" s="36"/>
      <c r="B6376" s="34"/>
      <c r="G6376" s="31"/>
    </row>
    <row r="6377" spans="1:7" x14ac:dyDescent="0.25">
      <c r="A6377" s="36"/>
      <c r="B6377" s="34"/>
      <c r="G6377" s="31"/>
    </row>
    <row r="6378" spans="1:7" x14ac:dyDescent="0.25">
      <c r="A6378" s="36"/>
      <c r="B6378" s="34"/>
      <c r="G6378" s="31"/>
    </row>
    <row r="6379" spans="1:7" x14ac:dyDescent="0.25">
      <c r="A6379" s="36"/>
      <c r="B6379" s="34"/>
      <c r="G6379" s="31"/>
    </row>
    <row r="6380" spans="1:7" x14ac:dyDescent="0.25">
      <c r="A6380" s="36"/>
      <c r="B6380" s="34"/>
      <c r="G6380" s="31"/>
    </row>
    <row r="6381" spans="1:7" x14ac:dyDescent="0.25">
      <c r="A6381" s="36"/>
      <c r="B6381" s="34"/>
      <c r="G6381" s="31"/>
    </row>
    <row r="6382" spans="1:7" x14ac:dyDescent="0.25">
      <c r="A6382" s="36"/>
      <c r="B6382" s="34"/>
      <c r="G6382" s="31"/>
    </row>
    <row r="6383" spans="1:7" x14ac:dyDescent="0.25">
      <c r="A6383" s="36"/>
      <c r="B6383" s="34"/>
      <c r="G6383" s="31"/>
    </row>
    <row r="6384" spans="1:7" x14ac:dyDescent="0.25">
      <c r="A6384" s="36"/>
      <c r="B6384" s="34"/>
      <c r="G6384" s="31"/>
    </row>
    <row r="6385" spans="1:7" x14ac:dyDescent="0.25">
      <c r="A6385" s="36"/>
      <c r="B6385" s="34"/>
      <c r="G6385" s="31"/>
    </row>
    <row r="6386" spans="1:7" x14ac:dyDescent="0.25">
      <c r="A6386" s="36"/>
      <c r="B6386" s="34"/>
      <c r="G6386" s="31"/>
    </row>
    <row r="6387" spans="1:7" x14ac:dyDescent="0.25">
      <c r="A6387" s="36"/>
      <c r="B6387" s="34"/>
      <c r="G6387" s="31"/>
    </row>
    <row r="6388" spans="1:7" x14ac:dyDescent="0.25">
      <c r="A6388" s="36"/>
      <c r="B6388" s="34"/>
      <c r="G6388" s="31"/>
    </row>
    <row r="6389" spans="1:7" x14ac:dyDescent="0.25">
      <c r="A6389" s="36"/>
      <c r="B6389" s="34"/>
      <c r="G6389" s="31"/>
    </row>
    <row r="6390" spans="1:7" x14ac:dyDescent="0.25">
      <c r="A6390" s="36"/>
      <c r="B6390" s="34"/>
      <c r="G6390" s="31"/>
    </row>
    <row r="6391" spans="1:7" x14ac:dyDescent="0.25">
      <c r="A6391" s="36"/>
      <c r="B6391" s="34"/>
      <c r="G6391" s="31"/>
    </row>
    <row r="6392" spans="1:7" x14ac:dyDescent="0.25">
      <c r="A6392" s="36"/>
      <c r="B6392" s="34"/>
      <c r="G6392" s="31"/>
    </row>
    <row r="6393" spans="1:7" x14ac:dyDescent="0.25">
      <c r="A6393" s="36"/>
      <c r="B6393" s="34"/>
      <c r="G6393" s="31"/>
    </row>
    <row r="6394" spans="1:7" x14ac:dyDescent="0.25">
      <c r="A6394" s="36"/>
      <c r="B6394" s="34"/>
      <c r="G6394" s="31"/>
    </row>
    <row r="6395" spans="1:7" x14ac:dyDescent="0.25">
      <c r="A6395" s="36"/>
      <c r="B6395" s="34"/>
      <c r="G6395" s="31"/>
    </row>
    <row r="6396" spans="1:7" x14ac:dyDescent="0.25">
      <c r="A6396" s="36"/>
      <c r="B6396" s="34"/>
      <c r="G6396" s="31"/>
    </row>
    <row r="6397" spans="1:7" x14ac:dyDescent="0.25">
      <c r="A6397" s="36"/>
      <c r="B6397" s="34"/>
      <c r="G6397" s="31"/>
    </row>
    <row r="6398" spans="1:7" x14ac:dyDescent="0.25">
      <c r="A6398" s="36"/>
      <c r="B6398" s="34"/>
      <c r="G6398" s="31"/>
    </row>
    <row r="6399" spans="1:7" x14ac:dyDescent="0.25">
      <c r="A6399" s="36"/>
      <c r="B6399" s="34"/>
      <c r="G6399" s="31"/>
    </row>
    <row r="6400" spans="1:7" x14ac:dyDescent="0.25">
      <c r="A6400" s="36"/>
      <c r="B6400" s="34"/>
      <c r="G6400" s="31"/>
    </row>
    <row r="6401" spans="1:7" x14ac:dyDescent="0.25">
      <c r="A6401" s="36"/>
      <c r="B6401" s="34"/>
      <c r="G6401" s="31"/>
    </row>
    <row r="6402" spans="1:7" x14ac:dyDescent="0.25">
      <c r="A6402" s="36"/>
      <c r="B6402" s="34"/>
      <c r="G6402" s="31"/>
    </row>
    <row r="6403" spans="1:7" x14ac:dyDescent="0.25">
      <c r="A6403" s="36"/>
      <c r="B6403" s="34"/>
      <c r="G6403" s="31"/>
    </row>
    <row r="6404" spans="1:7" x14ac:dyDescent="0.25">
      <c r="A6404" s="36"/>
      <c r="B6404" s="34"/>
      <c r="G6404" s="31"/>
    </row>
    <row r="6405" spans="1:7" x14ac:dyDescent="0.25">
      <c r="A6405" s="36"/>
      <c r="B6405" s="34"/>
      <c r="G6405" s="31"/>
    </row>
    <row r="6406" spans="1:7" x14ac:dyDescent="0.25">
      <c r="A6406" s="36"/>
      <c r="B6406" s="34"/>
      <c r="G6406" s="31"/>
    </row>
    <row r="6407" spans="1:7" x14ac:dyDescent="0.25">
      <c r="A6407" s="36"/>
      <c r="B6407" s="34"/>
      <c r="G6407" s="31"/>
    </row>
    <row r="6408" spans="1:7" x14ac:dyDescent="0.25">
      <c r="A6408" s="36"/>
      <c r="B6408" s="34"/>
      <c r="G6408" s="31"/>
    </row>
    <row r="6409" spans="1:7" x14ac:dyDescent="0.25">
      <c r="A6409" s="36"/>
      <c r="B6409" s="34"/>
      <c r="G6409" s="31"/>
    </row>
    <row r="6410" spans="1:7" x14ac:dyDescent="0.25">
      <c r="A6410" s="36"/>
      <c r="B6410" s="34"/>
      <c r="G6410" s="31"/>
    </row>
    <row r="6411" spans="1:7" x14ac:dyDescent="0.25">
      <c r="A6411" s="36"/>
      <c r="B6411" s="34"/>
      <c r="G6411" s="31"/>
    </row>
    <row r="6412" spans="1:7" x14ac:dyDescent="0.25">
      <c r="A6412" s="36"/>
      <c r="B6412" s="34"/>
      <c r="G6412" s="31"/>
    </row>
    <row r="6413" spans="1:7" x14ac:dyDescent="0.25">
      <c r="A6413" s="36"/>
      <c r="B6413" s="34"/>
      <c r="G6413" s="31"/>
    </row>
    <row r="6414" spans="1:7" x14ac:dyDescent="0.25">
      <c r="A6414" s="36"/>
      <c r="B6414" s="34"/>
      <c r="G6414" s="31"/>
    </row>
    <row r="6415" spans="1:7" x14ac:dyDescent="0.25">
      <c r="A6415" s="36"/>
      <c r="B6415" s="34"/>
      <c r="G6415" s="31"/>
    </row>
    <row r="6416" spans="1:7" x14ac:dyDescent="0.25">
      <c r="A6416" s="36"/>
      <c r="B6416" s="34"/>
      <c r="G6416" s="31"/>
    </row>
    <row r="6417" spans="1:7" x14ac:dyDescent="0.25">
      <c r="A6417" s="36"/>
      <c r="B6417" s="34"/>
      <c r="G6417" s="31"/>
    </row>
    <row r="6418" spans="1:7" x14ac:dyDescent="0.25">
      <c r="A6418" s="36"/>
      <c r="B6418" s="34"/>
      <c r="G6418" s="31"/>
    </row>
    <row r="6419" spans="1:7" x14ac:dyDescent="0.25">
      <c r="A6419" s="36"/>
      <c r="B6419" s="34"/>
      <c r="G6419" s="31"/>
    </row>
    <row r="6420" spans="1:7" x14ac:dyDescent="0.25">
      <c r="A6420" s="36"/>
      <c r="B6420" s="34"/>
      <c r="G6420" s="31"/>
    </row>
    <row r="6421" spans="1:7" x14ac:dyDescent="0.25">
      <c r="A6421" s="36"/>
      <c r="B6421" s="34"/>
      <c r="G6421" s="31"/>
    </row>
    <row r="6422" spans="1:7" x14ac:dyDescent="0.25">
      <c r="A6422" s="36"/>
      <c r="B6422" s="34"/>
      <c r="G6422" s="31"/>
    </row>
    <row r="6423" spans="1:7" x14ac:dyDescent="0.25">
      <c r="A6423" s="36"/>
      <c r="B6423" s="34"/>
      <c r="G6423" s="31"/>
    </row>
    <row r="6424" spans="1:7" x14ac:dyDescent="0.25">
      <c r="A6424" s="36"/>
      <c r="B6424" s="34"/>
      <c r="G6424" s="31"/>
    </row>
    <row r="6425" spans="1:7" x14ac:dyDescent="0.25">
      <c r="A6425" s="36"/>
      <c r="B6425" s="34"/>
      <c r="G6425" s="31"/>
    </row>
    <row r="6426" spans="1:7" x14ac:dyDescent="0.25">
      <c r="A6426" s="36"/>
      <c r="B6426" s="34"/>
      <c r="G6426" s="31"/>
    </row>
    <row r="6427" spans="1:7" x14ac:dyDescent="0.25">
      <c r="A6427" s="36"/>
      <c r="B6427" s="34"/>
      <c r="G6427" s="31"/>
    </row>
    <row r="6428" spans="1:7" x14ac:dyDescent="0.25">
      <c r="A6428" s="36"/>
      <c r="B6428" s="34"/>
      <c r="G6428" s="31"/>
    </row>
    <row r="6429" spans="1:7" x14ac:dyDescent="0.25">
      <c r="A6429" s="36"/>
      <c r="B6429" s="34"/>
      <c r="G6429" s="31"/>
    </row>
    <row r="6430" spans="1:7" x14ac:dyDescent="0.25">
      <c r="A6430" s="36"/>
      <c r="B6430" s="34"/>
      <c r="G6430" s="31"/>
    </row>
    <row r="6431" spans="1:7" x14ac:dyDescent="0.25">
      <c r="A6431" s="36"/>
      <c r="B6431" s="34"/>
      <c r="G6431" s="31"/>
    </row>
    <row r="6432" spans="1:7" x14ac:dyDescent="0.25">
      <c r="A6432" s="36"/>
      <c r="B6432" s="34"/>
      <c r="G6432" s="31"/>
    </row>
    <row r="6433" spans="1:7" x14ac:dyDescent="0.25">
      <c r="A6433" s="36"/>
      <c r="B6433" s="34"/>
      <c r="G6433" s="31"/>
    </row>
    <row r="6434" spans="1:7" x14ac:dyDescent="0.25">
      <c r="A6434" s="36"/>
      <c r="B6434" s="34"/>
      <c r="G6434" s="31"/>
    </row>
    <row r="6435" spans="1:7" x14ac:dyDescent="0.25">
      <c r="A6435" s="36"/>
      <c r="B6435" s="34"/>
      <c r="G6435" s="31"/>
    </row>
    <row r="6436" spans="1:7" x14ac:dyDescent="0.25">
      <c r="A6436" s="36"/>
      <c r="B6436" s="34"/>
      <c r="G6436" s="31"/>
    </row>
    <row r="6437" spans="1:7" x14ac:dyDescent="0.25">
      <c r="A6437" s="36"/>
      <c r="B6437" s="34"/>
      <c r="G6437" s="31"/>
    </row>
    <row r="6438" spans="1:7" x14ac:dyDescent="0.25">
      <c r="A6438" s="36"/>
      <c r="B6438" s="34"/>
      <c r="G6438" s="31"/>
    </row>
    <row r="6439" spans="1:7" x14ac:dyDescent="0.25">
      <c r="A6439" s="36"/>
      <c r="B6439" s="34"/>
      <c r="G6439" s="31"/>
    </row>
    <row r="6440" spans="1:7" x14ac:dyDescent="0.25">
      <c r="A6440" s="36"/>
      <c r="B6440" s="34"/>
      <c r="G6440" s="31"/>
    </row>
    <row r="6441" spans="1:7" x14ac:dyDescent="0.25">
      <c r="A6441" s="36"/>
      <c r="B6441" s="34"/>
      <c r="G6441" s="31"/>
    </row>
    <row r="6442" spans="1:7" x14ac:dyDescent="0.25">
      <c r="A6442" s="36"/>
      <c r="B6442" s="34"/>
      <c r="G6442" s="31"/>
    </row>
    <row r="6443" spans="1:7" x14ac:dyDescent="0.25">
      <c r="A6443" s="36"/>
      <c r="B6443" s="34"/>
      <c r="G6443" s="31"/>
    </row>
    <row r="6444" spans="1:7" x14ac:dyDescent="0.25">
      <c r="A6444" s="36"/>
      <c r="B6444" s="34"/>
      <c r="G6444" s="31"/>
    </row>
    <row r="6445" spans="1:7" x14ac:dyDescent="0.25">
      <c r="A6445" s="36"/>
      <c r="B6445" s="34"/>
      <c r="G6445" s="31"/>
    </row>
    <row r="6446" spans="1:7" x14ac:dyDescent="0.25">
      <c r="A6446" s="36"/>
      <c r="B6446" s="34"/>
      <c r="G6446" s="31"/>
    </row>
    <row r="6447" spans="1:7" x14ac:dyDescent="0.25">
      <c r="A6447" s="36"/>
      <c r="B6447" s="34"/>
      <c r="G6447" s="31"/>
    </row>
    <row r="6448" spans="1:7" x14ac:dyDescent="0.25">
      <c r="A6448" s="36"/>
      <c r="B6448" s="34"/>
      <c r="G6448" s="31"/>
    </row>
    <row r="6449" spans="1:7" x14ac:dyDescent="0.25">
      <c r="A6449" s="36"/>
      <c r="B6449" s="34"/>
      <c r="G6449" s="31"/>
    </row>
    <row r="6450" spans="1:7" x14ac:dyDescent="0.25">
      <c r="A6450" s="36"/>
      <c r="B6450" s="34"/>
      <c r="G6450" s="31"/>
    </row>
    <row r="6451" spans="1:7" x14ac:dyDescent="0.25">
      <c r="A6451" s="36"/>
      <c r="B6451" s="34"/>
      <c r="G6451" s="31"/>
    </row>
    <row r="6452" spans="1:7" x14ac:dyDescent="0.25">
      <c r="A6452" s="36"/>
      <c r="B6452" s="34"/>
      <c r="G6452" s="31"/>
    </row>
    <row r="6453" spans="1:7" x14ac:dyDescent="0.25">
      <c r="A6453" s="36"/>
      <c r="B6453" s="34"/>
      <c r="G6453" s="31"/>
    </row>
    <row r="6454" spans="1:7" x14ac:dyDescent="0.25">
      <c r="A6454" s="36"/>
      <c r="B6454" s="34"/>
      <c r="G6454" s="31"/>
    </row>
    <row r="6455" spans="1:7" x14ac:dyDescent="0.25">
      <c r="A6455" s="36"/>
      <c r="B6455" s="34"/>
      <c r="G6455" s="31"/>
    </row>
    <row r="6456" spans="1:7" x14ac:dyDescent="0.25">
      <c r="A6456" s="36"/>
      <c r="B6456" s="34"/>
      <c r="G6456" s="31"/>
    </row>
    <row r="6457" spans="1:7" x14ac:dyDescent="0.25">
      <c r="A6457" s="36"/>
      <c r="B6457" s="34"/>
      <c r="G6457" s="31"/>
    </row>
    <row r="6458" spans="1:7" x14ac:dyDescent="0.25">
      <c r="A6458" s="36"/>
      <c r="B6458" s="34"/>
      <c r="G6458" s="31"/>
    </row>
    <row r="6459" spans="1:7" x14ac:dyDescent="0.25">
      <c r="A6459" s="36"/>
      <c r="B6459" s="34"/>
      <c r="G6459" s="31"/>
    </row>
    <row r="6460" spans="1:7" x14ac:dyDescent="0.25">
      <c r="A6460" s="36"/>
      <c r="B6460" s="34"/>
      <c r="G6460" s="31"/>
    </row>
    <row r="6461" spans="1:7" x14ac:dyDescent="0.25">
      <c r="A6461" s="36"/>
      <c r="B6461" s="34"/>
      <c r="G6461" s="31"/>
    </row>
    <row r="6462" spans="1:7" x14ac:dyDescent="0.25">
      <c r="A6462" s="36"/>
      <c r="B6462" s="34"/>
      <c r="G6462" s="31"/>
    </row>
    <row r="6463" spans="1:7" x14ac:dyDescent="0.25">
      <c r="A6463" s="36"/>
      <c r="B6463" s="34"/>
      <c r="G6463" s="31"/>
    </row>
    <row r="6464" spans="1:7" x14ac:dyDescent="0.25">
      <c r="A6464" s="36"/>
      <c r="B6464" s="34"/>
      <c r="G6464" s="31"/>
    </row>
    <row r="6465" spans="1:7" x14ac:dyDescent="0.25">
      <c r="A6465" s="36"/>
      <c r="B6465" s="34"/>
      <c r="G6465" s="31"/>
    </row>
    <row r="6466" spans="1:7" x14ac:dyDescent="0.25">
      <c r="A6466" s="36"/>
      <c r="B6466" s="34"/>
      <c r="G6466" s="31"/>
    </row>
    <row r="6467" spans="1:7" x14ac:dyDescent="0.25">
      <c r="A6467" s="36"/>
      <c r="B6467" s="34"/>
      <c r="G6467" s="31"/>
    </row>
    <row r="6468" spans="1:7" x14ac:dyDescent="0.25">
      <c r="A6468" s="36"/>
      <c r="B6468" s="34"/>
      <c r="G6468" s="31"/>
    </row>
    <row r="6469" spans="1:7" x14ac:dyDescent="0.25">
      <c r="A6469" s="36"/>
      <c r="B6469" s="34"/>
      <c r="G6469" s="31"/>
    </row>
    <row r="6470" spans="1:7" x14ac:dyDescent="0.25">
      <c r="A6470" s="36"/>
      <c r="B6470" s="34"/>
      <c r="G6470" s="31"/>
    </row>
    <row r="6471" spans="1:7" x14ac:dyDescent="0.25">
      <c r="A6471" s="36"/>
      <c r="B6471" s="34"/>
      <c r="G6471" s="31"/>
    </row>
    <row r="6472" spans="1:7" x14ac:dyDescent="0.25">
      <c r="A6472" s="36"/>
      <c r="B6472" s="34"/>
      <c r="G6472" s="31"/>
    </row>
    <row r="6473" spans="1:7" x14ac:dyDescent="0.25">
      <c r="A6473" s="36"/>
      <c r="B6473" s="34"/>
      <c r="G6473" s="31"/>
    </row>
    <row r="6474" spans="1:7" x14ac:dyDescent="0.25">
      <c r="A6474" s="36"/>
      <c r="B6474" s="34"/>
      <c r="G6474" s="31"/>
    </row>
    <row r="6475" spans="1:7" x14ac:dyDescent="0.25">
      <c r="A6475" s="36"/>
      <c r="B6475" s="34"/>
      <c r="G6475" s="31"/>
    </row>
    <row r="6476" spans="1:7" x14ac:dyDescent="0.25">
      <c r="A6476" s="36"/>
      <c r="B6476" s="34"/>
      <c r="G6476" s="31"/>
    </row>
    <row r="6477" spans="1:7" x14ac:dyDescent="0.25">
      <c r="A6477" s="36"/>
      <c r="B6477" s="34"/>
      <c r="G6477" s="31"/>
    </row>
    <row r="6478" spans="1:7" x14ac:dyDescent="0.25">
      <c r="A6478" s="36"/>
      <c r="B6478" s="34"/>
      <c r="G6478" s="31"/>
    </row>
    <row r="6479" spans="1:7" x14ac:dyDescent="0.25">
      <c r="A6479" s="36"/>
      <c r="B6479" s="34"/>
      <c r="G6479" s="31"/>
    </row>
    <row r="6480" spans="1:7" x14ac:dyDescent="0.25">
      <c r="A6480" s="36"/>
      <c r="B6480" s="34"/>
      <c r="G6480" s="31"/>
    </row>
    <row r="6481" spans="1:7" x14ac:dyDescent="0.25">
      <c r="A6481" s="36"/>
      <c r="B6481" s="34"/>
      <c r="G6481" s="31"/>
    </row>
    <row r="6482" spans="1:7" x14ac:dyDescent="0.25">
      <c r="A6482" s="36"/>
      <c r="B6482" s="34"/>
      <c r="G6482" s="31"/>
    </row>
    <row r="6483" spans="1:7" x14ac:dyDescent="0.25">
      <c r="A6483" s="36"/>
      <c r="B6483" s="34"/>
      <c r="G6483" s="31"/>
    </row>
    <row r="6484" spans="1:7" x14ac:dyDescent="0.25">
      <c r="A6484" s="36"/>
      <c r="B6484" s="34"/>
      <c r="G6484" s="31"/>
    </row>
    <row r="6485" spans="1:7" x14ac:dyDescent="0.25">
      <c r="A6485" s="36"/>
      <c r="B6485" s="34"/>
      <c r="G6485" s="31"/>
    </row>
    <row r="6486" spans="1:7" x14ac:dyDescent="0.25">
      <c r="A6486" s="36"/>
      <c r="B6486" s="34"/>
      <c r="G6486" s="31"/>
    </row>
    <row r="6487" spans="1:7" x14ac:dyDescent="0.25">
      <c r="A6487" s="36"/>
      <c r="B6487" s="34"/>
      <c r="G6487" s="31"/>
    </row>
    <row r="6488" spans="1:7" x14ac:dyDescent="0.25">
      <c r="A6488" s="36"/>
      <c r="B6488" s="34"/>
      <c r="G6488" s="31"/>
    </row>
    <row r="6489" spans="1:7" x14ac:dyDescent="0.25">
      <c r="A6489" s="36"/>
      <c r="B6489" s="34"/>
      <c r="G6489" s="31"/>
    </row>
    <row r="6490" spans="1:7" x14ac:dyDescent="0.25">
      <c r="A6490" s="36"/>
      <c r="B6490" s="34"/>
      <c r="G6490" s="31"/>
    </row>
    <row r="6491" spans="1:7" x14ac:dyDescent="0.25">
      <c r="A6491" s="36"/>
      <c r="B6491" s="34"/>
      <c r="G6491" s="31"/>
    </row>
    <row r="6492" spans="1:7" x14ac:dyDescent="0.25">
      <c r="A6492" s="36"/>
      <c r="B6492" s="34"/>
      <c r="G6492" s="31"/>
    </row>
    <row r="6493" spans="1:7" x14ac:dyDescent="0.25">
      <c r="A6493" s="36"/>
      <c r="B6493" s="34"/>
      <c r="G6493" s="31"/>
    </row>
    <row r="6494" spans="1:7" x14ac:dyDescent="0.25">
      <c r="A6494" s="36"/>
      <c r="B6494" s="34"/>
      <c r="G6494" s="31"/>
    </row>
    <row r="6495" spans="1:7" x14ac:dyDescent="0.25">
      <c r="A6495" s="36"/>
      <c r="B6495" s="34"/>
      <c r="G6495" s="31"/>
    </row>
    <row r="6496" spans="1:7" x14ac:dyDescent="0.25">
      <c r="A6496" s="36"/>
      <c r="B6496" s="34"/>
      <c r="G6496" s="31"/>
    </row>
    <row r="6497" spans="1:7" x14ac:dyDescent="0.25">
      <c r="A6497" s="36"/>
      <c r="B6497" s="34"/>
      <c r="G6497" s="31"/>
    </row>
    <row r="6498" spans="1:7" x14ac:dyDescent="0.25">
      <c r="A6498" s="36"/>
      <c r="B6498" s="34"/>
      <c r="G6498" s="31"/>
    </row>
    <row r="6499" spans="1:7" x14ac:dyDescent="0.25">
      <c r="A6499" s="36"/>
      <c r="B6499" s="34"/>
      <c r="G6499" s="31"/>
    </row>
    <row r="6500" spans="1:7" x14ac:dyDescent="0.25">
      <c r="A6500" s="36"/>
      <c r="B6500" s="34"/>
      <c r="G6500" s="31"/>
    </row>
    <row r="6501" spans="1:7" x14ac:dyDescent="0.25">
      <c r="A6501" s="36"/>
      <c r="B6501" s="34"/>
      <c r="G6501" s="31"/>
    </row>
    <row r="6502" spans="1:7" x14ac:dyDescent="0.25">
      <c r="A6502" s="36"/>
      <c r="B6502" s="34"/>
      <c r="G6502" s="31"/>
    </row>
    <row r="6503" spans="1:7" x14ac:dyDescent="0.25">
      <c r="A6503" s="36"/>
      <c r="B6503" s="34"/>
      <c r="G6503" s="31"/>
    </row>
    <row r="6504" spans="1:7" x14ac:dyDescent="0.25">
      <c r="A6504" s="36"/>
      <c r="B6504" s="34"/>
      <c r="G6504" s="31"/>
    </row>
    <row r="6505" spans="1:7" x14ac:dyDescent="0.25">
      <c r="A6505" s="36"/>
      <c r="B6505" s="34"/>
      <c r="G6505" s="31"/>
    </row>
    <row r="6506" spans="1:7" x14ac:dyDescent="0.25">
      <c r="A6506" s="36"/>
      <c r="B6506" s="34"/>
      <c r="G6506" s="31"/>
    </row>
    <row r="6507" spans="1:7" x14ac:dyDescent="0.25">
      <c r="A6507" s="36"/>
      <c r="B6507" s="34"/>
      <c r="G6507" s="31"/>
    </row>
    <row r="6508" spans="1:7" x14ac:dyDescent="0.25">
      <c r="A6508" s="36"/>
      <c r="B6508" s="34"/>
      <c r="G6508" s="31"/>
    </row>
    <row r="6509" spans="1:7" x14ac:dyDescent="0.25">
      <c r="A6509" s="36"/>
      <c r="B6509" s="34"/>
      <c r="G6509" s="31"/>
    </row>
    <row r="6510" spans="1:7" x14ac:dyDescent="0.25">
      <c r="A6510" s="36"/>
      <c r="B6510" s="34"/>
      <c r="G6510" s="31"/>
    </row>
    <row r="6511" spans="1:7" x14ac:dyDescent="0.25">
      <c r="A6511" s="36"/>
      <c r="B6511" s="34"/>
      <c r="G6511" s="31"/>
    </row>
    <row r="6512" spans="1:7" x14ac:dyDescent="0.25">
      <c r="A6512" s="36"/>
      <c r="B6512" s="34"/>
      <c r="G6512" s="31"/>
    </row>
    <row r="6513" spans="1:7" x14ac:dyDescent="0.25">
      <c r="A6513" s="36"/>
      <c r="B6513" s="34"/>
      <c r="G6513" s="31"/>
    </row>
    <row r="6514" spans="1:7" x14ac:dyDescent="0.25">
      <c r="A6514" s="36"/>
      <c r="B6514" s="34"/>
      <c r="G6514" s="31"/>
    </row>
    <row r="6515" spans="1:7" x14ac:dyDescent="0.25">
      <c r="A6515" s="36"/>
      <c r="B6515" s="34"/>
      <c r="G6515" s="31"/>
    </row>
    <row r="6516" spans="1:7" x14ac:dyDescent="0.25">
      <c r="A6516" s="36"/>
      <c r="B6516" s="34"/>
      <c r="G6516" s="31"/>
    </row>
    <row r="6517" spans="1:7" x14ac:dyDescent="0.25">
      <c r="A6517" s="36"/>
      <c r="B6517" s="34"/>
      <c r="G6517" s="31"/>
    </row>
    <row r="6518" spans="1:7" x14ac:dyDescent="0.25">
      <c r="A6518" s="36"/>
      <c r="B6518" s="34"/>
      <c r="G6518" s="31"/>
    </row>
    <row r="6519" spans="1:7" x14ac:dyDescent="0.25">
      <c r="A6519" s="36"/>
      <c r="B6519" s="34"/>
      <c r="G6519" s="31"/>
    </row>
    <row r="6520" spans="1:7" x14ac:dyDescent="0.25">
      <c r="A6520" s="36"/>
      <c r="B6520" s="34"/>
      <c r="G6520" s="31"/>
    </row>
    <row r="6521" spans="1:7" x14ac:dyDescent="0.25">
      <c r="A6521" s="36"/>
      <c r="B6521" s="34"/>
      <c r="G6521" s="31"/>
    </row>
    <row r="6522" spans="1:7" x14ac:dyDescent="0.25">
      <c r="A6522" s="36"/>
      <c r="B6522" s="34"/>
      <c r="G6522" s="31"/>
    </row>
    <row r="6523" spans="1:7" x14ac:dyDescent="0.25">
      <c r="A6523" s="36"/>
      <c r="B6523" s="34"/>
      <c r="G6523" s="31"/>
    </row>
    <row r="6524" spans="1:7" x14ac:dyDescent="0.25">
      <c r="A6524" s="36"/>
      <c r="B6524" s="34"/>
      <c r="G6524" s="31"/>
    </row>
    <row r="6525" spans="1:7" x14ac:dyDescent="0.25">
      <c r="A6525" s="36"/>
      <c r="B6525" s="34"/>
      <c r="G6525" s="31"/>
    </row>
    <row r="6526" spans="1:7" x14ac:dyDescent="0.25">
      <c r="A6526" s="36"/>
      <c r="B6526" s="34"/>
      <c r="G6526" s="31"/>
    </row>
    <row r="6527" spans="1:7" x14ac:dyDescent="0.25">
      <c r="A6527" s="36"/>
      <c r="B6527" s="34"/>
      <c r="G6527" s="31"/>
    </row>
    <row r="6528" spans="1:7" x14ac:dyDescent="0.25">
      <c r="A6528" s="36"/>
      <c r="B6528" s="34"/>
      <c r="G6528" s="31"/>
    </row>
    <row r="6529" spans="1:7" x14ac:dyDescent="0.25">
      <c r="A6529" s="36"/>
      <c r="B6529" s="34"/>
      <c r="G6529" s="31"/>
    </row>
    <row r="6530" spans="1:7" x14ac:dyDescent="0.25">
      <c r="A6530" s="36"/>
      <c r="B6530" s="34"/>
      <c r="G6530" s="31"/>
    </row>
    <row r="6531" spans="1:7" x14ac:dyDescent="0.25">
      <c r="A6531" s="36"/>
      <c r="B6531" s="34"/>
      <c r="G6531" s="31"/>
    </row>
    <row r="6532" spans="1:7" x14ac:dyDescent="0.25">
      <c r="A6532" s="36"/>
      <c r="B6532" s="34"/>
      <c r="G6532" s="31"/>
    </row>
    <row r="6533" spans="1:7" x14ac:dyDescent="0.25">
      <c r="A6533" s="36"/>
      <c r="B6533" s="34"/>
      <c r="G6533" s="31"/>
    </row>
    <row r="6534" spans="1:7" x14ac:dyDescent="0.25">
      <c r="A6534" s="36"/>
      <c r="B6534" s="34"/>
      <c r="G6534" s="31"/>
    </row>
    <row r="6535" spans="1:7" x14ac:dyDescent="0.25">
      <c r="A6535" s="36"/>
      <c r="B6535" s="34"/>
      <c r="G6535" s="31"/>
    </row>
    <row r="6536" spans="1:7" x14ac:dyDescent="0.25">
      <c r="A6536" s="36"/>
      <c r="B6536" s="34"/>
      <c r="G6536" s="31"/>
    </row>
    <row r="6537" spans="1:7" x14ac:dyDescent="0.25">
      <c r="A6537" s="36"/>
      <c r="B6537" s="34"/>
      <c r="G6537" s="31"/>
    </row>
    <row r="6538" spans="1:7" x14ac:dyDescent="0.25">
      <c r="A6538" s="36"/>
      <c r="B6538" s="34"/>
      <c r="G6538" s="31"/>
    </row>
    <row r="6539" spans="1:7" x14ac:dyDescent="0.25">
      <c r="A6539" s="36"/>
      <c r="B6539" s="34"/>
      <c r="G6539" s="31"/>
    </row>
    <row r="6540" spans="1:7" x14ac:dyDescent="0.25">
      <c r="A6540" s="36"/>
      <c r="B6540" s="34"/>
      <c r="G6540" s="31"/>
    </row>
    <row r="6541" spans="1:7" x14ac:dyDescent="0.25">
      <c r="A6541" s="36"/>
      <c r="B6541" s="34"/>
      <c r="G6541" s="31"/>
    </row>
    <row r="6542" spans="1:7" x14ac:dyDescent="0.25">
      <c r="A6542" s="36"/>
      <c r="B6542" s="34"/>
      <c r="G6542" s="31"/>
    </row>
    <row r="6543" spans="1:7" x14ac:dyDescent="0.25">
      <c r="A6543" s="36"/>
      <c r="B6543" s="34"/>
      <c r="G6543" s="31"/>
    </row>
    <row r="6544" spans="1:7" x14ac:dyDescent="0.25">
      <c r="A6544" s="36"/>
      <c r="B6544" s="34"/>
      <c r="G6544" s="31"/>
    </row>
    <row r="6545" spans="1:7" x14ac:dyDescent="0.25">
      <c r="A6545" s="36"/>
      <c r="B6545" s="34"/>
      <c r="G6545" s="31"/>
    </row>
    <row r="6546" spans="1:7" x14ac:dyDescent="0.25">
      <c r="A6546" s="36"/>
      <c r="B6546" s="34"/>
      <c r="G6546" s="31"/>
    </row>
    <row r="6547" spans="1:7" x14ac:dyDescent="0.25">
      <c r="A6547" s="36"/>
      <c r="B6547" s="34"/>
      <c r="G6547" s="31"/>
    </row>
    <row r="6548" spans="1:7" x14ac:dyDescent="0.25">
      <c r="A6548" s="36"/>
      <c r="B6548" s="34"/>
      <c r="G6548" s="31"/>
    </row>
    <row r="6549" spans="1:7" x14ac:dyDescent="0.25">
      <c r="A6549" s="36"/>
      <c r="B6549" s="34"/>
      <c r="G6549" s="31"/>
    </row>
    <row r="6550" spans="1:7" x14ac:dyDescent="0.25">
      <c r="A6550" s="36"/>
      <c r="B6550" s="34"/>
      <c r="G6550" s="31"/>
    </row>
    <row r="6551" spans="1:7" x14ac:dyDescent="0.25">
      <c r="A6551" s="36"/>
      <c r="B6551" s="34"/>
      <c r="G6551" s="31"/>
    </row>
    <row r="6552" spans="1:7" x14ac:dyDescent="0.25">
      <c r="A6552" s="36"/>
      <c r="B6552" s="34"/>
      <c r="G6552" s="31"/>
    </row>
    <row r="6553" spans="1:7" x14ac:dyDescent="0.25">
      <c r="A6553" s="36"/>
      <c r="B6553" s="34"/>
      <c r="G6553" s="31"/>
    </row>
    <row r="6554" spans="1:7" x14ac:dyDescent="0.25">
      <c r="A6554" s="36"/>
      <c r="B6554" s="34"/>
      <c r="G6554" s="31"/>
    </row>
    <row r="6555" spans="1:7" x14ac:dyDescent="0.25">
      <c r="A6555" s="36"/>
      <c r="B6555" s="34"/>
      <c r="G6555" s="31"/>
    </row>
    <row r="6556" spans="1:7" x14ac:dyDescent="0.25">
      <c r="A6556" s="36"/>
      <c r="B6556" s="34"/>
      <c r="G6556" s="31"/>
    </row>
    <row r="6557" spans="1:7" x14ac:dyDescent="0.25">
      <c r="A6557" s="36"/>
      <c r="B6557" s="34"/>
      <c r="G6557" s="31"/>
    </row>
    <row r="6558" spans="1:7" x14ac:dyDescent="0.25">
      <c r="A6558" s="36"/>
      <c r="B6558" s="34"/>
      <c r="G6558" s="31"/>
    </row>
    <row r="6559" spans="1:7" x14ac:dyDescent="0.25">
      <c r="A6559" s="36"/>
      <c r="B6559" s="34"/>
      <c r="G6559" s="31"/>
    </row>
    <row r="6560" spans="1:7" x14ac:dyDescent="0.25">
      <c r="A6560" s="36"/>
      <c r="B6560" s="34"/>
      <c r="G6560" s="31"/>
    </row>
    <row r="6561" spans="1:7" x14ac:dyDescent="0.25">
      <c r="A6561" s="36"/>
      <c r="B6561" s="34"/>
      <c r="G6561" s="31"/>
    </row>
    <row r="6562" spans="1:7" x14ac:dyDescent="0.25">
      <c r="A6562" s="36"/>
      <c r="B6562" s="34"/>
      <c r="G6562" s="31"/>
    </row>
    <row r="6563" spans="1:7" x14ac:dyDescent="0.25">
      <c r="A6563" s="36"/>
      <c r="B6563" s="34"/>
      <c r="G6563" s="31"/>
    </row>
    <row r="6564" spans="1:7" x14ac:dyDescent="0.25">
      <c r="A6564" s="36"/>
      <c r="B6564" s="34"/>
      <c r="G6564" s="31"/>
    </row>
    <row r="6565" spans="1:7" x14ac:dyDescent="0.25">
      <c r="A6565" s="36"/>
      <c r="B6565" s="34"/>
      <c r="G6565" s="31"/>
    </row>
    <row r="6566" spans="1:7" x14ac:dyDescent="0.25">
      <c r="A6566" s="36"/>
      <c r="B6566" s="34"/>
      <c r="G6566" s="31"/>
    </row>
    <row r="6567" spans="1:7" x14ac:dyDescent="0.25">
      <c r="A6567" s="36"/>
      <c r="B6567" s="34"/>
      <c r="G6567" s="31"/>
    </row>
    <row r="6568" spans="1:7" x14ac:dyDescent="0.25">
      <c r="A6568" s="36"/>
      <c r="B6568" s="34"/>
      <c r="G6568" s="31"/>
    </row>
    <row r="6569" spans="1:7" x14ac:dyDescent="0.25">
      <c r="A6569" s="36"/>
      <c r="B6569" s="34"/>
      <c r="G6569" s="31"/>
    </row>
    <row r="6570" spans="1:7" x14ac:dyDescent="0.25">
      <c r="A6570" s="36"/>
      <c r="B6570" s="34"/>
      <c r="G6570" s="31"/>
    </row>
    <row r="6571" spans="1:7" x14ac:dyDescent="0.25">
      <c r="A6571" s="36"/>
      <c r="B6571" s="34"/>
      <c r="G6571" s="31"/>
    </row>
    <row r="6572" spans="1:7" x14ac:dyDescent="0.25">
      <c r="A6572" s="36"/>
      <c r="B6572" s="34"/>
      <c r="G6572" s="31"/>
    </row>
    <row r="6573" spans="1:7" x14ac:dyDescent="0.25">
      <c r="A6573" s="36"/>
      <c r="B6573" s="34"/>
      <c r="G6573" s="31"/>
    </row>
    <row r="6574" spans="1:7" x14ac:dyDescent="0.25">
      <c r="A6574" s="36"/>
      <c r="B6574" s="34"/>
      <c r="G6574" s="31"/>
    </row>
    <row r="6575" spans="1:7" x14ac:dyDescent="0.25">
      <c r="A6575" s="36"/>
      <c r="B6575" s="34"/>
      <c r="G6575" s="31"/>
    </row>
    <row r="6576" spans="1:7" x14ac:dyDescent="0.25">
      <c r="A6576" s="36"/>
      <c r="B6576" s="34"/>
      <c r="G6576" s="31"/>
    </row>
    <row r="6577" spans="1:7" x14ac:dyDescent="0.25">
      <c r="A6577" s="36"/>
      <c r="B6577" s="34"/>
      <c r="G6577" s="31"/>
    </row>
    <row r="6578" spans="1:7" x14ac:dyDescent="0.25">
      <c r="A6578" s="36"/>
      <c r="B6578" s="34"/>
      <c r="G6578" s="31"/>
    </row>
    <row r="6579" spans="1:7" x14ac:dyDescent="0.25">
      <c r="A6579" s="36"/>
      <c r="B6579" s="34"/>
      <c r="G6579" s="31"/>
    </row>
    <row r="6580" spans="1:7" x14ac:dyDescent="0.25">
      <c r="A6580" s="36"/>
      <c r="B6580" s="34"/>
      <c r="G6580" s="31"/>
    </row>
    <row r="6581" spans="1:7" x14ac:dyDescent="0.25">
      <c r="A6581" s="36"/>
      <c r="B6581" s="34"/>
      <c r="G6581" s="31"/>
    </row>
    <row r="6582" spans="1:7" x14ac:dyDescent="0.25">
      <c r="A6582" s="36"/>
      <c r="B6582" s="34"/>
      <c r="G6582" s="31"/>
    </row>
    <row r="6583" spans="1:7" x14ac:dyDescent="0.25">
      <c r="A6583" s="36"/>
      <c r="B6583" s="34"/>
      <c r="G6583" s="31"/>
    </row>
    <row r="6584" spans="1:7" x14ac:dyDescent="0.25">
      <c r="A6584" s="36"/>
      <c r="B6584" s="34"/>
      <c r="G6584" s="31"/>
    </row>
    <row r="6585" spans="1:7" x14ac:dyDescent="0.25">
      <c r="A6585" s="36"/>
      <c r="B6585" s="34"/>
      <c r="G6585" s="31"/>
    </row>
    <row r="6586" spans="1:7" x14ac:dyDescent="0.25">
      <c r="A6586" s="36"/>
      <c r="B6586" s="34"/>
      <c r="G6586" s="31"/>
    </row>
    <row r="6587" spans="1:7" x14ac:dyDescent="0.25">
      <c r="A6587" s="36"/>
      <c r="B6587" s="34"/>
      <c r="G6587" s="31"/>
    </row>
    <row r="6588" spans="1:7" x14ac:dyDescent="0.25">
      <c r="A6588" s="36"/>
      <c r="B6588" s="34"/>
      <c r="G6588" s="31"/>
    </row>
    <row r="6589" spans="1:7" x14ac:dyDescent="0.25">
      <c r="A6589" s="36"/>
      <c r="B6589" s="34"/>
      <c r="G6589" s="31"/>
    </row>
    <row r="6590" spans="1:7" x14ac:dyDescent="0.25">
      <c r="A6590" s="36"/>
      <c r="B6590" s="34"/>
      <c r="G6590" s="31"/>
    </row>
    <row r="6591" spans="1:7" x14ac:dyDescent="0.25">
      <c r="A6591" s="36"/>
      <c r="B6591" s="34"/>
      <c r="G6591" s="31"/>
    </row>
    <row r="6592" spans="1:7" x14ac:dyDescent="0.25">
      <c r="A6592" s="36"/>
      <c r="B6592" s="34"/>
      <c r="G6592" s="31"/>
    </row>
    <row r="6593" spans="1:7" x14ac:dyDescent="0.25">
      <c r="A6593" s="36"/>
      <c r="B6593" s="34"/>
      <c r="G6593" s="31"/>
    </row>
    <row r="6594" spans="1:7" x14ac:dyDescent="0.25">
      <c r="A6594" s="36"/>
      <c r="B6594" s="34"/>
      <c r="G6594" s="31"/>
    </row>
    <row r="6595" spans="1:7" x14ac:dyDescent="0.25">
      <c r="A6595" s="36"/>
      <c r="B6595" s="34"/>
      <c r="G6595" s="31"/>
    </row>
    <row r="6596" spans="1:7" x14ac:dyDescent="0.25">
      <c r="A6596" s="36"/>
      <c r="B6596" s="34"/>
      <c r="G6596" s="31"/>
    </row>
    <row r="6597" spans="1:7" x14ac:dyDescent="0.25">
      <c r="A6597" s="36"/>
      <c r="B6597" s="34"/>
      <c r="G6597" s="31"/>
    </row>
    <row r="6598" spans="1:7" x14ac:dyDescent="0.25">
      <c r="A6598" s="36"/>
      <c r="B6598" s="34"/>
      <c r="G6598" s="31"/>
    </row>
    <row r="6599" spans="1:7" x14ac:dyDescent="0.25">
      <c r="A6599" s="36"/>
      <c r="B6599" s="34"/>
      <c r="G6599" s="31"/>
    </row>
    <row r="6600" spans="1:7" x14ac:dyDescent="0.25">
      <c r="A6600" s="36"/>
      <c r="B6600" s="34"/>
      <c r="G6600" s="31"/>
    </row>
    <row r="6601" spans="1:7" x14ac:dyDescent="0.25">
      <c r="A6601" s="36"/>
      <c r="B6601" s="34"/>
      <c r="G6601" s="31"/>
    </row>
    <row r="6602" spans="1:7" x14ac:dyDescent="0.25">
      <c r="A6602" s="36"/>
      <c r="B6602" s="34"/>
      <c r="G6602" s="31"/>
    </row>
    <row r="6603" spans="1:7" x14ac:dyDescent="0.25">
      <c r="A6603" s="36"/>
      <c r="B6603" s="34"/>
      <c r="G6603" s="31"/>
    </row>
    <row r="6604" spans="1:7" x14ac:dyDescent="0.25">
      <c r="A6604" s="36"/>
      <c r="B6604" s="34"/>
      <c r="G6604" s="31"/>
    </row>
    <row r="6605" spans="1:7" x14ac:dyDescent="0.25">
      <c r="A6605" s="36"/>
      <c r="B6605" s="34"/>
      <c r="G6605" s="31"/>
    </row>
    <row r="6606" spans="1:7" x14ac:dyDescent="0.25">
      <c r="A6606" s="36"/>
      <c r="B6606" s="34"/>
      <c r="G6606" s="31"/>
    </row>
    <row r="6607" spans="1:7" x14ac:dyDescent="0.25">
      <c r="A6607" s="36"/>
      <c r="B6607" s="34"/>
      <c r="G6607" s="31"/>
    </row>
    <row r="6608" spans="1:7" x14ac:dyDescent="0.25">
      <c r="A6608" s="36"/>
      <c r="B6608" s="34"/>
      <c r="G6608" s="31"/>
    </row>
    <row r="6609" spans="1:7" x14ac:dyDescent="0.25">
      <c r="A6609" s="36"/>
      <c r="B6609" s="34"/>
      <c r="G6609" s="31"/>
    </row>
    <row r="6610" spans="1:7" x14ac:dyDescent="0.25">
      <c r="A6610" s="36"/>
      <c r="B6610" s="34"/>
      <c r="G6610" s="31"/>
    </row>
    <row r="6611" spans="1:7" x14ac:dyDescent="0.25">
      <c r="A6611" s="36"/>
      <c r="B6611" s="34"/>
      <c r="G6611" s="31"/>
    </row>
    <row r="6612" spans="1:7" x14ac:dyDescent="0.25">
      <c r="A6612" s="36"/>
      <c r="B6612" s="34"/>
      <c r="G6612" s="31"/>
    </row>
    <row r="6613" spans="1:7" x14ac:dyDescent="0.25">
      <c r="A6613" s="36"/>
      <c r="B6613" s="34"/>
      <c r="G6613" s="31"/>
    </row>
    <row r="6614" spans="1:7" x14ac:dyDescent="0.25">
      <c r="A6614" s="36"/>
      <c r="B6614" s="34"/>
      <c r="G6614" s="31"/>
    </row>
    <row r="6615" spans="1:7" x14ac:dyDescent="0.25">
      <c r="A6615" s="36"/>
      <c r="B6615" s="34"/>
      <c r="G6615" s="31"/>
    </row>
    <row r="6616" spans="1:7" x14ac:dyDescent="0.25">
      <c r="A6616" s="36"/>
      <c r="B6616" s="34"/>
      <c r="G6616" s="31"/>
    </row>
    <row r="6617" spans="1:7" x14ac:dyDescent="0.25">
      <c r="A6617" s="36"/>
      <c r="B6617" s="34"/>
      <c r="G6617" s="31"/>
    </row>
    <row r="6618" spans="1:7" x14ac:dyDescent="0.25">
      <c r="A6618" s="36"/>
      <c r="B6618" s="34"/>
      <c r="G6618" s="31"/>
    </row>
    <row r="6619" spans="1:7" x14ac:dyDescent="0.25">
      <c r="A6619" s="36"/>
      <c r="B6619" s="34"/>
      <c r="G6619" s="31"/>
    </row>
    <row r="6620" spans="1:7" x14ac:dyDescent="0.25">
      <c r="A6620" s="36"/>
      <c r="B6620" s="34"/>
      <c r="G6620" s="31"/>
    </row>
    <row r="6621" spans="1:7" x14ac:dyDescent="0.25">
      <c r="A6621" s="36"/>
      <c r="B6621" s="34"/>
      <c r="G6621" s="31"/>
    </row>
    <row r="6622" spans="1:7" x14ac:dyDescent="0.25">
      <c r="A6622" s="36"/>
      <c r="B6622" s="34"/>
      <c r="G6622" s="31"/>
    </row>
    <row r="6623" spans="1:7" x14ac:dyDescent="0.25">
      <c r="A6623" s="36"/>
      <c r="B6623" s="34"/>
      <c r="G6623" s="31"/>
    </row>
    <row r="6624" spans="1:7" x14ac:dyDescent="0.25">
      <c r="A6624" s="36"/>
      <c r="B6624" s="34"/>
      <c r="G6624" s="31"/>
    </row>
    <row r="6625" spans="1:7" x14ac:dyDescent="0.25">
      <c r="A6625" s="36"/>
      <c r="B6625" s="34"/>
      <c r="G6625" s="31"/>
    </row>
    <row r="6626" spans="1:7" x14ac:dyDescent="0.25">
      <c r="A6626" s="36"/>
      <c r="B6626" s="34"/>
      <c r="G6626" s="31"/>
    </row>
    <row r="6627" spans="1:7" x14ac:dyDescent="0.25">
      <c r="A6627" s="36"/>
      <c r="B6627" s="34"/>
      <c r="G6627" s="31"/>
    </row>
    <row r="6628" spans="1:7" x14ac:dyDescent="0.25">
      <c r="A6628" s="36"/>
      <c r="B6628" s="34"/>
      <c r="G6628" s="31"/>
    </row>
    <row r="6629" spans="1:7" x14ac:dyDescent="0.25">
      <c r="A6629" s="36"/>
      <c r="B6629" s="34"/>
      <c r="G6629" s="31"/>
    </row>
    <row r="6630" spans="1:7" x14ac:dyDescent="0.25">
      <c r="A6630" s="36"/>
      <c r="B6630" s="34"/>
      <c r="G6630" s="31"/>
    </row>
    <row r="6631" spans="1:7" x14ac:dyDescent="0.25">
      <c r="A6631" s="36"/>
      <c r="B6631" s="34"/>
      <c r="G6631" s="31"/>
    </row>
    <row r="6632" spans="1:7" x14ac:dyDescent="0.25">
      <c r="A6632" s="36"/>
      <c r="B6632" s="34"/>
      <c r="G6632" s="31"/>
    </row>
    <row r="6633" spans="1:7" x14ac:dyDescent="0.25">
      <c r="A6633" s="36"/>
      <c r="B6633" s="34"/>
      <c r="G6633" s="31"/>
    </row>
    <row r="6634" spans="1:7" x14ac:dyDescent="0.25">
      <c r="A6634" s="36"/>
      <c r="B6634" s="34"/>
      <c r="G6634" s="31"/>
    </row>
    <row r="6635" spans="1:7" x14ac:dyDescent="0.25">
      <c r="A6635" s="36"/>
      <c r="B6635" s="34"/>
      <c r="G6635" s="31"/>
    </row>
    <row r="6636" spans="1:7" x14ac:dyDescent="0.25">
      <c r="A6636" s="36"/>
      <c r="B6636" s="34"/>
      <c r="G6636" s="31"/>
    </row>
    <row r="6637" spans="1:7" x14ac:dyDescent="0.25">
      <c r="A6637" s="36"/>
      <c r="B6637" s="34"/>
      <c r="G6637" s="31"/>
    </row>
    <row r="6638" spans="1:7" x14ac:dyDescent="0.25">
      <c r="A6638" s="36"/>
      <c r="B6638" s="34"/>
      <c r="G6638" s="31"/>
    </row>
    <row r="6639" spans="1:7" x14ac:dyDescent="0.25">
      <c r="A6639" s="36"/>
      <c r="B6639" s="34"/>
      <c r="G6639" s="31"/>
    </row>
    <row r="6640" spans="1:7" x14ac:dyDescent="0.25">
      <c r="A6640" s="36"/>
      <c r="B6640" s="34"/>
      <c r="G6640" s="31"/>
    </row>
    <row r="6641" spans="1:7" x14ac:dyDescent="0.25">
      <c r="A6641" s="36"/>
      <c r="B6641" s="34"/>
      <c r="G6641" s="31"/>
    </row>
    <row r="6642" spans="1:7" x14ac:dyDescent="0.25">
      <c r="A6642" s="36"/>
      <c r="B6642" s="34"/>
      <c r="G6642" s="31"/>
    </row>
    <row r="6643" spans="1:7" x14ac:dyDescent="0.25">
      <c r="A6643" s="36"/>
      <c r="B6643" s="34"/>
      <c r="G6643" s="31"/>
    </row>
    <row r="6644" spans="1:7" x14ac:dyDescent="0.25">
      <c r="A6644" s="36"/>
      <c r="B6644" s="34"/>
      <c r="G6644" s="31"/>
    </row>
    <row r="6645" spans="1:7" x14ac:dyDescent="0.25">
      <c r="A6645" s="36"/>
      <c r="B6645" s="34"/>
      <c r="G6645" s="31"/>
    </row>
    <row r="6646" spans="1:7" x14ac:dyDescent="0.25">
      <c r="A6646" s="36"/>
      <c r="B6646" s="34"/>
      <c r="G6646" s="31"/>
    </row>
    <row r="6647" spans="1:7" x14ac:dyDescent="0.25">
      <c r="A6647" s="36"/>
      <c r="B6647" s="34"/>
      <c r="G6647" s="31"/>
    </row>
    <row r="6648" spans="1:7" x14ac:dyDescent="0.25">
      <c r="A6648" s="36"/>
      <c r="B6648" s="34"/>
      <c r="G6648" s="31"/>
    </row>
    <row r="6649" spans="1:7" x14ac:dyDescent="0.25">
      <c r="A6649" s="36"/>
      <c r="B6649" s="34"/>
      <c r="G6649" s="31"/>
    </row>
    <row r="6650" spans="1:7" x14ac:dyDescent="0.25">
      <c r="A6650" s="36"/>
      <c r="B6650" s="34"/>
      <c r="G6650" s="31"/>
    </row>
    <row r="6651" spans="1:7" x14ac:dyDescent="0.25">
      <c r="A6651" s="36"/>
      <c r="B6651" s="34"/>
      <c r="G6651" s="31"/>
    </row>
    <row r="6652" spans="1:7" x14ac:dyDescent="0.25">
      <c r="A6652" s="36"/>
      <c r="B6652" s="34"/>
      <c r="G6652" s="31"/>
    </row>
    <row r="6653" spans="1:7" x14ac:dyDescent="0.25">
      <c r="A6653" s="36"/>
      <c r="B6653" s="34"/>
      <c r="G6653" s="31"/>
    </row>
    <row r="6654" spans="1:7" x14ac:dyDescent="0.25">
      <c r="A6654" s="36"/>
      <c r="B6654" s="34"/>
      <c r="G6654" s="31"/>
    </row>
    <row r="6655" spans="1:7" x14ac:dyDescent="0.25">
      <c r="A6655" s="36"/>
      <c r="B6655" s="34"/>
      <c r="G6655" s="31"/>
    </row>
    <row r="6656" spans="1:7" x14ac:dyDescent="0.25">
      <c r="A6656" s="36"/>
      <c r="B6656" s="34"/>
      <c r="G6656" s="31"/>
    </row>
    <row r="6657" spans="1:7" x14ac:dyDescent="0.25">
      <c r="A6657" s="36"/>
      <c r="B6657" s="34"/>
      <c r="G6657" s="31"/>
    </row>
    <row r="6658" spans="1:7" x14ac:dyDescent="0.25">
      <c r="A6658" s="36"/>
      <c r="B6658" s="34"/>
      <c r="G6658" s="31"/>
    </row>
    <row r="6659" spans="1:7" x14ac:dyDescent="0.25">
      <c r="A6659" s="36"/>
      <c r="B6659" s="34"/>
      <c r="G6659" s="31"/>
    </row>
    <row r="6660" spans="1:7" x14ac:dyDescent="0.25">
      <c r="A6660" s="36"/>
      <c r="B6660" s="34"/>
      <c r="G6660" s="31"/>
    </row>
    <row r="6661" spans="1:7" x14ac:dyDescent="0.25">
      <c r="A6661" s="36"/>
      <c r="B6661" s="34"/>
      <c r="G6661" s="31"/>
    </row>
    <row r="6662" spans="1:7" x14ac:dyDescent="0.25">
      <c r="A6662" s="36"/>
      <c r="B6662" s="34"/>
      <c r="G6662" s="31"/>
    </row>
    <row r="6663" spans="1:7" x14ac:dyDescent="0.25">
      <c r="A6663" s="36"/>
      <c r="B6663" s="34"/>
      <c r="G6663" s="31"/>
    </row>
    <row r="6664" spans="1:7" x14ac:dyDescent="0.25">
      <c r="A6664" s="36"/>
      <c r="B6664" s="34"/>
      <c r="G6664" s="31"/>
    </row>
    <row r="6665" spans="1:7" x14ac:dyDescent="0.25">
      <c r="A6665" s="36"/>
      <c r="B6665" s="34"/>
      <c r="G6665" s="31"/>
    </row>
    <row r="6666" spans="1:7" x14ac:dyDescent="0.25">
      <c r="A6666" s="36"/>
      <c r="B6666" s="34"/>
      <c r="G6666" s="31"/>
    </row>
    <row r="6667" spans="1:7" x14ac:dyDescent="0.25">
      <c r="A6667" s="36"/>
      <c r="B6667" s="34"/>
      <c r="G6667" s="31"/>
    </row>
    <row r="6668" spans="1:7" x14ac:dyDescent="0.25">
      <c r="A6668" s="36"/>
      <c r="B6668" s="34"/>
      <c r="G6668" s="31"/>
    </row>
    <row r="6669" spans="1:7" x14ac:dyDescent="0.25">
      <c r="A6669" s="36"/>
      <c r="B6669" s="34"/>
      <c r="G6669" s="31"/>
    </row>
    <row r="6670" spans="1:7" x14ac:dyDescent="0.25">
      <c r="A6670" s="36"/>
      <c r="B6670" s="34"/>
      <c r="G6670" s="31"/>
    </row>
    <row r="6671" spans="1:7" x14ac:dyDescent="0.25">
      <c r="A6671" s="36"/>
      <c r="B6671" s="34"/>
      <c r="G6671" s="31"/>
    </row>
    <row r="6672" spans="1:7" x14ac:dyDescent="0.25">
      <c r="A6672" s="36"/>
      <c r="B6672" s="34"/>
      <c r="G6672" s="31"/>
    </row>
    <row r="6673" spans="1:7" x14ac:dyDescent="0.25">
      <c r="A6673" s="36"/>
      <c r="B6673" s="34"/>
      <c r="G6673" s="31"/>
    </row>
    <row r="6674" spans="1:7" x14ac:dyDescent="0.25">
      <c r="A6674" s="36"/>
      <c r="B6674" s="34"/>
      <c r="G6674" s="31"/>
    </row>
    <row r="6675" spans="1:7" x14ac:dyDescent="0.25">
      <c r="A6675" s="36"/>
      <c r="B6675" s="34"/>
      <c r="G6675" s="31"/>
    </row>
    <row r="6676" spans="1:7" x14ac:dyDescent="0.25">
      <c r="A6676" s="36"/>
      <c r="B6676" s="34"/>
      <c r="G6676" s="31"/>
    </row>
    <row r="6677" spans="1:7" x14ac:dyDescent="0.25">
      <c r="A6677" s="36"/>
      <c r="B6677" s="34"/>
      <c r="G6677" s="31"/>
    </row>
    <row r="6678" spans="1:7" x14ac:dyDescent="0.25">
      <c r="A6678" s="36"/>
      <c r="B6678" s="34"/>
      <c r="G6678" s="31"/>
    </row>
    <row r="6679" spans="1:7" x14ac:dyDescent="0.25">
      <c r="A6679" s="36"/>
      <c r="B6679" s="34"/>
      <c r="G6679" s="31"/>
    </row>
    <row r="6680" spans="1:7" x14ac:dyDescent="0.25">
      <c r="A6680" s="36"/>
      <c r="B6680" s="34"/>
      <c r="G6680" s="31"/>
    </row>
    <row r="6681" spans="1:7" x14ac:dyDescent="0.25">
      <c r="A6681" s="36"/>
      <c r="B6681" s="34"/>
      <c r="G6681" s="31"/>
    </row>
    <row r="6682" spans="1:7" x14ac:dyDescent="0.25">
      <c r="A6682" s="36"/>
      <c r="B6682" s="34"/>
      <c r="G6682" s="31"/>
    </row>
    <row r="6683" spans="1:7" x14ac:dyDescent="0.25">
      <c r="A6683" s="36"/>
      <c r="B6683" s="34"/>
      <c r="G6683" s="31"/>
    </row>
    <row r="6684" spans="1:7" x14ac:dyDescent="0.25">
      <c r="A6684" s="36"/>
      <c r="B6684" s="34"/>
      <c r="G6684" s="31"/>
    </row>
    <row r="6685" spans="1:7" x14ac:dyDescent="0.25">
      <c r="A6685" s="36"/>
      <c r="B6685" s="34"/>
      <c r="G6685" s="31"/>
    </row>
    <row r="6686" spans="1:7" x14ac:dyDescent="0.25">
      <c r="A6686" s="36"/>
      <c r="B6686" s="34"/>
      <c r="G6686" s="31"/>
    </row>
    <row r="6687" spans="1:7" x14ac:dyDescent="0.25">
      <c r="A6687" s="36"/>
      <c r="B6687" s="34"/>
      <c r="G6687" s="31"/>
    </row>
    <row r="6688" spans="1:7" x14ac:dyDescent="0.25">
      <c r="A6688" s="36"/>
      <c r="B6688" s="34"/>
      <c r="G6688" s="31"/>
    </row>
    <row r="6689" spans="1:7" x14ac:dyDescent="0.25">
      <c r="A6689" s="36"/>
      <c r="B6689" s="34"/>
      <c r="G6689" s="31"/>
    </row>
    <row r="6690" spans="1:7" x14ac:dyDescent="0.25">
      <c r="A6690" s="36"/>
      <c r="B6690" s="34"/>
      <c r="G6690" s="31"/>
    </row>
    <row r="6691" spans="1:7" x14ac:dyDescent="0.25">
      <c r="A6691" s="36"/>
      <c r="B6691" s="34"/>
      <c r="G6691" s="31"/>
    </row>
    <row r="6692" spans="1:7" x14ac:dyDescent="0.25">
      <c r="A6692" s="36"/>
      <c r="B6692" s="34"/>
      <c r="G6692" s="31"/>
    </row>
    <row r="6693" spans="1:7" x14ac:dyDescent="0.25">
      <c r="A6693" s="36"/>
      <c r="B6693" s="34"/>
      <c r="G6693" s="31"/>
    </row>
    <row r="6694" spans="1:7" x14ac:dyDescent="0.25">
      <c r="A6694" s="36"/>
      <c r="B6694" s="34"/>
      <c r="G6694" s="31"/>
    </row>
    <row r="6695" spans="1:7" x14ac:dyDescent="0.25">
      <c r="A6695" s="36"/>
      <c r="B6695" s="34"/>
      <c r="G6695" s="31"/>
    </row>
    <row r="6696" spans="1:7" x14ac:dyDescent="0.25">
      <c r="A6696" s="36"/>
      <c r="B6696" s="34"/>
      <c r="G6696" s="31"/>
    </row>
    <row r="6697" spans="1:7" x14ac:dyDescent="0.25">
      <c r="A6697" s="36"/>
      <c r="B6697" s="34"/>
      <c r="G6697" s="31"/>
    </row>
    <row r="6698" spans="1:7" x14ac:dyDescent="0.25">
      <c r="A6698" s="36"/>
      <c r="B6698" s="34"/>
      <c r="G6698" s="31"/>
    </row>
    <row r="6699" spans="1:7" x14ac:dyDescent="0.25">
      <c r="A6699" s="36"/>
      <c r="B6699" s="34"/>
      <c r="G6699" s="31"/>
    </row>
    <row r="6700" spans="1:7" x14ac:dyDescent="0.25">
      <c r="A6700" s="36"/>
      <c r="B6700" s="34"/>
      <c r="G6700" s="31"/>
    </row>
    <row r="6701" spans="1:7" x14ac:dyDescent="0.25">
      <c r="A6701" s="36"/>
      <c r="B6701" s="34"/>
      <c r="G6701" s="31"/>
    </row>
    <row r="6702" spans="1:7" x14ac:dyDescent="0.25">
      <c r="A6702" s="36"/>
      <c r="B6702" s="34"/>
      <c r="G6702" s="31"/>
    </row>
    <row r="6703" spans="1:7" x14ac:dyDescent="0.25">
      <c r="A6703" s="36"/>
      <c r="B6703" s="34"/>
      <c r="G6703" s="31"/>
    </row>
    <row r="6704" spans="1:7" x14ac:dyDescent="0.25">
      <c r="A6704" s="36"/>
      <c r="B6704" s="34"/>
      <c r="G6704" s="31"/>
    </row>
    <row r="6705" spans="1:7" x14ac:dyDescent="0.25">
      <c r="A6705" s="36"/>
      <c r="B6705" s="34"/>
      <c r="G6705" s="31"/>
    </row>
    <row r="6706" spans="1:7" x14ac:dyDescent="0.25">
      <c r="A6706" s="36"/>
      <c r="B6706" s="34"/>
      <c r="G6706" s="31"/>
    </row>
    <row r="6707" spans="1:7" x14ac:dyDescent="0.25">
      <c r="A6707" s="36"/>
      <c r="B6707" s="34"/>
      <c r="G6707" s="31"/>
    </row>
    <row r="6708" spans="1:7" x14ac:dyDescent="0.25">
      <c r="A6708" s="36"/>
      <c r="B6708" s="34"/>
      <c r="G6708" s="31"/>
    </row>
    <row r="6709" spans="1:7" x14ac:dyDescent="0.25">
      <c r="A6709" s="36"/>
      <c r="B6709" s="34"/>
      <c r="G6709" s="31"/>
    </row>
    <row r="6710" spans="1:7" x14ac:dyDescent="0.25">
      <c r="A6710" s="36"/>
      <c r="B6710" s="34"/>
      <c r="G6710" s="31"/>
    </row>
    <row r="6711" spans="1:7" x14ac:dyDescent="0.25">
      <c r="A6711" s="36"/>
      <c r="B6711" s="34"/>
      <c r="G6711" s="31"/>
    </row>
    <row r="6712" spans="1:7" x14ac:dyDescent="0.25">
      <c r="A6712" s="36"/>
      <c r="B6712" s="34"/>
      <c r="G6712" s="31"/>
    </row>
    <row r="6713" spans="1:7" x14ac:dyDescent="0.25">
      <c r="A6713" s="36"/>
      <c r="B6713" s="34"/>
      <c r="G6713" s="31"/>
    </row>
    <row r="6714" spans="1:7" x14ac:dyDescent="0.25">
      <c r="A6714" s="36"/>
      <c r="B6714" s="34"/>
      <c r="G6714" s="31"/>
    </row>
    <row r="6715" spans="1:7" x14ac:dyDescent="0.25">
      <c r="A6715" s="36"/>
      <c r="B6715" s="34"/>
      <c r="G6715" s="31"/>
    </row>
    <row r="6716" spans="1:7" x14ac:dyDescent="0.25">
      <c r="A6716" s="36"/>
      <c r="B6716" s="34"/>
      <c r="G6716" s="31"/>
    </row>
    <row r="6717" spans="1:7" x14ac:dyDescent="0.25">
      <c r="A6717" s="36"/>
      <c r="B6717" s="34"/>
      <c r="G6717" s="31"/>
    </row>
    <row r="6718" spans="1:7" x14ac:dyDescent="0.25">
      <c r="A6718" s="36"/>
      <c r="B6718" s="34"/>
      <c r="G6718" s="31"/>
    </row>
    <row r="6719" spans="1:7" x14ac:dyDescent="0.25">
      <c r="A6719" s="36"/>
      <c r="B6719" s="34"/>
      <c r="G6719" s="31"/>
    </row>
    <row r="6720" spans="1:7" x14ac:dyDescent="0.25">
      <c r="A6720" s="36"/>
      <c r="B6720" s="34"/>
      <c r="G6720" s="31"/>
    </row>
    <row r="6721" spans="1:7" x14ac:dyDescent="0.25">
      <c r="A6721" s="36"/>
      <c r="B6721" s="34"/>
      <c r="G6721" s="31"/>
    </row>
    <row r="6722" spans="1:7" x14ac:dyDescent="0.25">
      <c r="A6722" s="36"/>
      <c r="B6722" s="34"/>
      <c r="G6722" s="31"/>
    </row>
    <row r="6723" spans="1:7" x14ac:dyDescent="0.25">
      <c r="A6723" s="36"/>
      <c r="B6723" s="34"/>
      <c r="G6723" s="31"/>
    </row>
    <row r="6724" spans="1:7" x14ac:dyDescent="0.25">
      <c r="A6724" s="36"/>
      <c r="B6724" s="34"/>
      <c r="G6724" s="31"/>
    </row>
    <row r="6725" spans="1:7" x14ac:dyDescent="0.25">
      <c r="A6725" s="36"/>
      <c r="B6725" s="34"/>
      <c r="G6725" s="31"/>
    </row>
    <row r="6726" spans="1:7" x14ac:dyDescent="0.25">
      <c r="A6726" s="36"/>
      <c r="B6726" s="34"/>
      <c r="G6726" s="31"/>
    </row>
    <row r="6727" spans="1:7" x14ac:dyDescent="0.25">
      <c r="A6727" s="36"/>
      <c r="B6727" s="34"/>
      <c r="G6727" s="31"/>
    </row>
    <row r="6728" spans="1:7" x14ac:dyDescent="0.25">
      <c r="A6728" s="36"/>
      <c r="B6728" s="34"/>
      <c r="G6728" s="31"/>
    </row>
    <row r="6729" spans="1:7" x14ac:dyDescent="0.25">
      <c r="A6729" s="36"/>
      <c r="B6729" s="34"/>
      <c r="G6729" s="31"/>
    </row>
    <row r="6730" spans="1:7" x14ac:dyDescent="0.25">
      <c r="A6730" s="36"/>
      <c r="B6730" s="34"/>
      <c r="G6730" s="31"/>
    </row>
    <row r="6731" spans="1:7" x14ac:dyDescent="0.25">
      <c r="A6731" s="36"/>
      <c r="B6731" s="34"/>
      <c r="G6731" s="31"/>
    </row>
    <row r="6732" spans="1:7" x14ac:dyDescent="0.25">
      <c r="A6732" s="36"/>
      <c r="B6732" s="34"/>
      <c r="G6732" s="31"/>
    </row>
    <row r="6733" spans="1:7" x14ac:dyDescent="0.25">
      <c r="A6733" s="36"/>
      <c r="B6733" s="34"/>
      <c r="G6733" s="31"/>
    </row>
    <row r="6734" spans="1:7" x14ac:dyDescent="0.25">
      <c r="A6734" s="36"/>
      <c r="B6734" s="34"/>
      <c r="G6734" s="31"/>
    </row>
    <row r="6735" spans="1:7" x14ac:dyDescent="0.25">
      <c r="A6735" s="36"/>
      <c r="B6735" s="34"/>
      <c r="G6735" s="31"/>
    </row>
    <row r="6736" spans="1:7" x14ac:dyDescent="0.25">
      <c r="A6736" s="36"/>
      <c r="B6736" s="34"/>
      <c r="G6736" s="31"/>
    </row>
    <row r="6737" spans="1:7" x14ac:dyDescent="0.25">
      <c r="A6737" s="36"/>
      <c r="B6737" s="34"/>
      <c r="G6737" s="31"/>
    </row>
    <row r="6738" spans="1:7" x14ac:dyDescent="0.25">
      <c r="A6738" s="36"/>
      <c r="B6738" s="34"/>
      <c r="G6738" s="31"/>
    </row>
    <row r="6739" spans="1:7" x14ac:dyDescent="0.25">
      <c r="A6739" s="36"/>
      <c r="B6739" s="34"/>
      <c r="G6739" s="31"/>
    </row>
    <row r="6740" spans="1:7" x14ac:dyDescent="0.25">
      <c r="A6740" s="36"/>
      <c r="B6740" s="34"/>
      <c r="G6740" s="31"/>
    </row>
    <row r="6741" spans="1:7" x14ac:dyDescent="0.25">
      <c r="A6741" s="36"/>
      <c r="B6741" s="34"/>
      <c r="G6741" s="31"/>
    </row>
    <row r="6742" spans="1:7" x14ac:dyDescent="0.25">
      <c r="A6742" s="36"/>
      <c r="B6742" s="34"/>
      <c r="G6742" s="31"/>
    </row>
    <row r="6743" spans="1:7" x14ac:dyDescent="0.25">
      <c r="A6743" s="36"/>
      <c r="B6743" s="34"/>
      <c r="G6743" s="31"/>
    </row>
    <row r="6744" spans="1:7" x14ac:dyDescent="0.25">
      <c r="A6744" s="36"/>
      <c r="B6744" s="34"/>
      <c r="G6744" s="31"/>
    </row>
    <row r="6745" spans="1:7" x14ac:dyDescent="0.25">
      <c r="A6745" s="36"/>
      <c r="B6745" s="34"/>
      <c r="G6745" s="31"/>
    </row>
    <row r="6746" spans="1:7" x14ac:dyDescent="0.25">
      <c r="A6746" s="36"/>
      <c r="B6746" s="34"/>
      <c r="G6746" s="31"/>
    </row>
    <row r="6747" spans="1:7" x14ac:dyDescent="0.25">
      <c r="A6747" s="36"/>
      <c r="B6747" s="34"/>
      <c r="G6747" s="31"/>
    </row>
    <row r="6748" spans="1:7" x14ac:dyDescent="0.25">
      <c r="A6748" s="36"/>
      <c r="B6748" s="34"/>
      <c r="G6748" s="31"/>
    </row>
    <row r="6749" spans="1:7" x14ac:dyDescent="0.25">
      <c r="A6749" s="36"/>
      <c r="B6749" s="34"/>
      <c r="G6749" s="31"/>
    </row>
    <row r="6750" spans="1:7" x14ac:dyDescent="0.25">
      <c r="A6750" s="36"/>
      <c r="B6750" s="34"/>
      <c r="G6750" s="31"/>
    </row>
    <row r="6751" spans="1:7" x14ac:dyDescent="0.25">
      <c r="A6751" s="36"/>
      <c r="B6751" s="34"/>
      <c r="G6751" s="31"/>
    </row>
    <row r="6752" spans="1:7" x14ac:dyDescent="0.25">
      <c r="A6752" s="36"/>
      <c r="B6752" s="34"/>
      <c r="G6752" s="31"/>
    </row>
    <row r="6753" spans="1:7" x14ac:dyDescent="0.25">
      <c r="A6753" s="36"/>
      <c r="B6753" s="34"/>
      <c r="G6753" s="31"/>
    </row>
    <row r="6754" spans="1:7" x14ac:dyDescent="0.25">
      <c r="A6754" s="36"/>
      <c r="B6754" s="34"/>
      <c r="G6754" s="31"/>
    </row>
    <row r="6755" spans="1:7" x14ac:dyDescent="0.25">
      <c r="A6755" s="36"/>
      <c r="B6755" s="34"/>
      <c r="G6755" s="31"/>
    </row>
    <row r="6756" spans="1:7" x14ac:dyDescent="0.25">
      <c r="A6756" s="36"/>
      <c r="B6756" s="34"/>
      <c r="G6756" s="31"/>
    </row>
    <row r="6757" spans="1:7" x14ac:dyDescent="0.25">
      <c r="A6757" s="36"/>
      <c r="B6757" s="34"/>
      <c r="G6757" s="31"/>
    </row>
    <row r="6758" spans="1:7" x14ac:dyDescent="0.25">
      <c r="A6758" s="36"/>
      <c r="B6758" s="34"/>
      <c r="G6758" s="31"/>
    </row>
    <row r="6759" spans="1:7" x14ac:dyDescent="0.25">
      <c r="A6759" s="36"/>
      <c r="B6759" s="34"/>
      <c r="G6759" s="31"/>
    </row>
    <row r="6760" spans="1:7" x14ac:dyDescent="0.25">
      <c r="A6760" s="36"/>
      <c r="B6760" s="34"/>
      <c r="G6760" s="31"/>
    </row>
    <row r="6761" spans="1:7" x14ac:dyDescent="0.25">
      <c r="A6761" s="36"/>
      <c r="B6761" s="34"/>
      <c r="G6761" s="31"/>
    </row>
    <row r="6762" spans="1:7" x14ac:dyDescent="0.25">
      <c r="A6762" s="36"/>
      <c r="B6762" s="34"/>
      <c r="G6762" s="31"/>
    </row>
    <row r="6763" spans="1:7" x14ac:dyDescent="0.25">
      <c r="A6763" s="36"/>
      <c r="B6763" s="34"/>
      <c r="G6763" s="31"/>
    </row>
    <row r="6764" spans="1:7" x14ac:dyDescent="0.25">
      <c r="A6764" s="36"/>
      <c r="B6764" s="34"/>
      <c r="G6764" s="31"/>
    </row>
    <row r="6765" spans="1:7" x14ac:dyDescent="0.25">
      <c r="A6765" s="36"/>
      <c r="B6765" s="34"/>
      <c r="G6765" s="31"/>
    </row>
    <row r="6766" spans="1:7" x14ac:dyDescent="0.25">
      <c r="A6766" s="36"/>
      <c r="B6766" s="34"/>
      <c r="G6766" s="31"/>
    </row>
    <row r="6767" spans="1:7" x14ac:dyDescent="0.25">
      <c r="A6767" s="36"/>
      <c r="B6767" s="34"/>
      <c r="G6767" s="31"/>
    </row>
    <row r="6768" spans="1:7" x14ac:dyDescent="0.25">
      <c r="A6768" s="36"/>
      <c r="B6768" s="34"/>
      <c r="G6768" s="31"/>
    </row>
    <row r="6769" spans="1:7" x14ac:dyDescent="0.25">
      <c r="A6769" s="36"/>
      <c r="B6769" s="34"/>
      <c r="G6769" s="31"/>
    </row>
    <row r="6770" spans="1:7" x14ac:dyDescent="0.25">
      <c r="A6770" s="36"/>
      <c r="B6770" s="34"/>
      <c r="G6770" s="31"/>
    </row>
    <row r="6771" spans="1:7" x14ac:dyDescent="0.25">
      <c r="A6771" s="36"/>
      <c r="B6771" s="34"/>
      <c r="G6771" s="31"/>
    </row>
    <row r="6772" spans="1:7" x14ac:dyDescent="0.25">
      <c r="A6772" s="36"/>
      <c r="B6772" s="34"/>
      <c r="G6772" s="31"/>
    </row>
    <row r="6773" spans="1:7" x14ac:dyDescent="0.25">
      <c r="A6773" s="36"/>
      <c r="B6773" s="34"/>
      <c r="G6773" s="31"/>
    </row>
    <row r="6774" spans="1:7" x14ac:dyDescent="0.25">
      <c r="A6774" s="36"/>
      <c r="B6774" s="34"/>
      <c r="G6774" s="31"/>
    </row>
    <row r="6775" spans="1:7" x14ac:dyDescent="0.25">
      <c r="A6775" s="36"/>
      <c r="B6775" s="34"/>
      <c r="G6775" s="31"/>
    </row>
    <row r="6776" spans="1:7" x14ac:dyDescent="0.25">
      <c r="A6776" s="36"/>
      <c r="B6776" s="34"/>
      <c r="G6776" s="31"/>
    </row>
    <row r="6777" spans="1:7" x14ac:dyDescent="0.25">
      <c r="A6777" s="36"/>
      <c r="B6777" s="34"/>
      <c r="G6777" s="31"/>
    </row>
    <row r="6778" spans="1:7" x14ac:dyDescent="0.25">
      <c r="A6778" s="36"/>
      <c r="B6778" s="34"/>
      <c r="G6778" s="31"/>
    </row>
    <row r="6779" spans="1:7" x14ac:dyDescent="0.25">
      <c r="A6779" s="36"/>
      <c r="B6779" s="34"/>
      <c r="G6779" s="31"/>
    </row>
    <row r="6780" spans="1:7" x14ac:dyDescent="0.25">
      <c r="A6780" s="36"/>
      <c r="B6780" s="34"/>
      <c r="G6780" s="31"/>
    </row>
    <row r="6781" spans="1:7" x14ac:dyDescent="0.25">
      <c r="A6781" s="36"/>
      <c r="B6781" s="34"/>
      <c r="G6781" s="31"/>
    </row>
    <row r="6782" spans="1:7" x14ac:dyDescent="0.25">
      <c r="A6782" s="36"/>
      <c r="B6782" s="34"/>
      <c r="G6782" s="31"/>
    </row>
    <row r="6783" spans="1:7" x14ac:dyDescent="0.25">
      <c r="A6783" s="36"/>
      <c r="B6783" s="34"/>
      <c r="G6783" s="31"/>
    </row>
    <row r="6784" spans="1:7" x14ac:dyDescent="0.25">
      <c r="A6784" s="36"/>
      <c r="B6784" s="34"/>
      <c r="G6784" s="31"/>
    </row>
    <row r="6785" spans="1:7" x14ac:dyDescent="0.25">
      <c r="A6785" s="36"/>
      <c r="B6785" s="34"/>
      <c r="G6785" s="31"/>
    </row>
    <row r="6786" spans="1:7" x14ac:dyDescent="0.25">
      <c r="A6786" s="36"/>
      <c r="B6786" s="34"/>
      <c r="G6786" s="31"/>
    </row>
    <row r="6787" spans="1:7" x14ac:dyDescent="0.25">
      <c r="A6787" s="36"/>
      <c r="B6787" s="34"/>
      <c r="G6787" s="31"/>
    </row>
    <row r="6788" spans="1:7" x14ac:dyDescent="0.25">
      <c r="A6788" s="36"/>
      <c r="B6788" s="34"/>
      <c r="G6788" s="31"/>
    </row>
    <row r="6789" spans="1:7" x14ac:dyDescent="0.25">
      <c r="A6789" s="36"/>
      <c r="B6789" s="34"/>
      <c r="G6789" s="31"/>
    </row>
    <row r="6790" spans="1:7" x14ac:dyDescent="0.25">
      <c r="A6790" s="36"/>
      <c r="B6790" s="34"/>
      <c r="G6790" s="31"/>
    </row>
    <row r="6791" spans="1:7" x14ac:dyDescent="0.25">
      <c r="A6791" s="36"/>
      <c r="B6791" s="34"/>
      <c r="G6791" s="31"/>
    </row>
    <row r="6792" spans="1:7" x14ac:dyDescent="0.25">
      <c r="A6792" s="36"/>
      <c r="B6792" s="34"/>
      <c r="G6792" s="31"/>
    </row>
    <row r="6793" spans="1:7" x14ac:dyDescent="0.25">
      <c r="A6793" s="36"/>
      <c r="B6793" s="34"/>
      <c r="G6793" s="31"/>
    </row>
    <row r="6794" spans="1:7" x14ac:dyDescent="0.25">
      <c r="A6794" s="36"/>
      <c r="B6794" s="34"/>
      <c r="G6794" s="31"/>
    </row>
    <row r="6795" spans="1:7" x14ac:dyDescent="0.25">
      <c r="A6795" s="36"/>
      <c r="B6795" s="34"/>
      <c r="G6795" s="31"/>
    </row>
    <row r="6796" spans="1:7" x14ac:dyDescent="0.25">
      <c r="A6796" s="36"/>
      <c r="B6796" s="34"/>
      <c r="G6796" s="31"/>
    </row>
    <row r="6797" spans="1:7" x14ac:dyDescent="0.25">
      <c r="A6797" s="36"/>
      <c r="B6797" s="34"/>
      <c r="G6797" s="31"/>
    </row>
    <row r="6798" spans="1:7" x14ac:dyDescent="0.25">
      <c r="A6798" s="36"/>
      <c r="B6798" s="34"/>
      <c r="G6798" s="31"/>
    </row>
    <row r="6799" spans="1:7" x14ac:dyDescent="0.25">
      <c r="A6799" s="36"/>
      <c r="B6799" s="34"/>
      <c r="G6799" s="31"/>
    </row>
    <row r="6800" spans="1:7" x14ac:dyDescent="0.25">
      <c r="A6800" s="36"/>
      <c r="B6800" s="34"/>
      <c r="G6800" s="31"/>
    </row>
    <row r="6801" spans="1:7" x14ac:dyDescent="0.25">
      <c r="A6801" s="36"/>
      <c r="B6801" s="34"/>
      <c r="G6801" s="31"/>
    </row>
    <row r="6802" spans="1:7" x14ac:dyDescent="0.25">
      <c r="A6802" s="36"/>
      <c r="B6802" s="34"/>
      <c r="G6802" s="31"/>
    </row>
    <row r="6803" spans="1:7" x14ac:dyDescent="0.25">
      <c r="A6803" s="36"/>
      <c r="B6803" s="34"/>
      <c r="G6803" s="31"/>
    </row>
    <row r="6804" spans="1:7" x14ac:dyDescent="0.25">
      <c r="A6804" s="36"/>
      <c r="B6804" s="34"/>
      <c r="G6804" s="31"/>
    </row>
    <row r="6805" spans="1:7" x14ac:dyDescent="0.25">
      <c r="A6805" s="36"/>
      <c r="B6805" s="34"/>
      <c r="G6805" s="31"/>
    </row>
    <row r="6806" spans="1:7" x14ac:dyDescent="0.25">
      <c r="A6806" s="36"/>
      <c r="B6806" s="34"/>
      <c r="G6806" s="31"/>
    </row>
    <row r="6807" spans="1:7" x14ac:dyDescent="0.25">
      <c r="A6807" s="36"/>
      <c r="B6807" s="34"/>
      <c r="G6807" s="31"/>
    </row>
    <row r="6808" spans="1:7" x14ac:dyDescent="0.25">
      <c r="A6808" s="36"/>
      <c r="B6808" s="34"/>
      <c r="G6808" s="31"/>
    </row>
    <row r="6809" spans="1:7" x14ac:dyDescent="0.25">
      <c r="A6809" s="36"/>
      <c r="B6809" s="34"/>
      <c r="G6809" s="31"/>
    </row>
    <row r="6810" spans="1:7" x14ac:dyDescent="0.25">
      <c r="A6810" s="36"/>
      <c r="B6810" s="34"/>
      <c r="G6810" s="31"/>
    </row>
    <row r="6811" spans="1:7" x14ac:dyDescent="0.25">
      <c r="A6811" s="36"/>
      <c r="B6811" s="34"/>
      <c r="G6811" s="31"/>
    </row>
    <row r="6812" spans="1:7" x14ac:dyDescent="0.25">
      <c r="A6812" s="36"/>
      <c r="B6812" s="34"/>
      <c r="G6812" s="31"/>
    </row>
    <row r="6813" spans="1:7" x14ac:dyDescent="0.25">
      <c r="A6813" s="36"/>
      <c r="B6813" s="34"/>
      <c r="G6813" s="31"/>
    </row>
    <row r="6814" spans="1:7" x14ac:dyDescent="0.25">
      <c r="A6814" s="36"/>
      <c r="B6814" s="34"/>
      <c r="G6814" s="31"/>
    </row>
    <row r="6815" spans="1:7" x14ac:dyDescent="0.25">
      <c r="A6815" s="36"/>
      <c r="B6815" s="34"/>
      <c r="G6815" s="31"/>
    </row>
    <row r="6816" spans="1:7" x14ac:dyDescent="0.25">
      <c r="A6816" s="36"/>
      <c r="B6816" s="34"/>
      <c r="G6816" s="31"/>
    </row>
    <row r="6817" spans="1:7" x14ac:dyDescent="0.25">
      <c r="A6817" s="36"/>
      <c r="B6817" s="34"/>
      <c r="G6817" s="31"/>
    </row>
    <row r="6818" spans="1:7" x14ac:dyDescent="0.25">
      <c r="A6818" s="36"/>
      <c r="B6818" s="34"/>
      <c r="G6818" s="31"/>
    </row>
    <row r="6819" spans="1:7" x14ac:dyDescent="0.25">
      <c r="A6819" s="36"/>
      <c r="B6819" s="34"/>
      <c r="G6819" s="31"/>
    </row>
    <row r="6820" spans="1:7" x14ac:dyDescent="0.25">
      <c r="A6820" s="36"/>
      <c r="B6820" s="34"/>
      <c r="G6820" s="31"/>
    </row>
    <row r="6821" spans="1:7" x14ac:dyDescent="0.25">
      <c r="A6821" s="36"/>
      <c r="B6821" s="34"/>
      <c r="G6821" s="31"/>
    </row>
    <row r="6822" spans="1:7" x14ac:dyDescent="0.25">
      <c r="A6822" s="36"/>
      <c r="B6822" s="34"/>
      <c r="G6822" s="31"/>
    </row>
    <row r="6823" spans="1:7" x14ac:dyDescent="0.25">
      <c r="A6823" s="36"/>
      <c r="B6823" s="34"/>
      <c r="G6823" s="31"/>
    </row>
    <row r="6824" spans="1:7" x14ac:dyDescent="0.25">
      <c r="A6824" s="36"/>
      <c r="B6824" s="34"/>
      <c r="G6824" s="31"/>
    </row>
    <row r="6825" spans="1:7" x14ac:dyDescent="0.25">
      <c r="A6825" s="36"/>
      <c r="B6825" s="34"/>
      <c r="G6825" s="31"/>
    </row>
    <row r="6826" spans="1:7" x14ac:dyDescent="0.25">
      <c r="A6826" s="36"/>
      <c r="B6826" s="34"/>
      <c r="G6826" s="31"/>
    </row>
    <row r="6827" spans="1:7" x14ac:dyDescent="0.25">
      <c r="A6827" s="36"/>
      <c r="B6827" s="34"/>
      <c r="G6827" s="31"/>
    </row>
    <row r="6828" spans="1:7" x14ac:dyDescent="0.25">
      <c r="A6828" s="36"/>
      <c r="B6828" s="34"/>
      <c r="G6828" s="31"/>
    </row>
    <row r="6829" spans="1:7" x14ac:dyDescent="0.25">
      <c r="A6829" s="36"/>
      <c r="B6829" s="34"/>
      <c r="G6829" s="31"/>
    </row>
    <row r="6830" spans="1:7" x14ac:dyDescent="0.25">
      <c r="A6830" s="36"/>
      <c r="B6830" s="34"/>
      <c r="G6830" s="31"/>
    </row>
    <row r="6831" spans="1:7" x14ac:dyDescent="0.25">
      <c r="A6831" s="36"/>
      <c r="B6831" s="34"/>
      <c r="G6831" s="31"/>
    </row>
    <row r="6832" spans="1:7" x14ac:dyDescent="0.25">
      <c r="A6832" s="36"/>
      <c r="B6832" s="34"/>
      <c r="G6832" s="31"/>
    </row>
    <row r="6833" spans="1:7" x14ac:dyDescent="0.25">
      <c r="A6833" s="36"/>
      <c r="B6833" s="34"/>
      <c r="G6833" s="31"/>
    </row>
    <row r="6834" spans="1:7" x14ac:dyDescent="0.25">
      <c r="A6834" s="36"/>
      <c r="B6834" s="34"/>
      <c r="G6834" s="31"/>
    </row>
    <row r="6835" spans="1:7" x14ac:dyDescent="0.25">
      <c r="A6835" s="36"/>
      <c r="B6835" s="34"/>
      <c r="G6835" s="31"/>
    </row>
    <row r="6836" spans="1:7" x14ac:dyDescent="0.25">
      <c r="A6836" s="36"/>
      <c r="B6836" s="34"/>
      <c r="G6836" s="31"/>
    </row>
    <row r="6837" spans="1:7" x14ac:dyDescent="0.25">
      <c r="A6837" s="36"/>
      <c r="B6837" s="34"/>
      <c r="G6837" s="31"/>
    </row>
    <row r="6838" spans="1:7" x14ac:dyDescent="0.25">
      <c r="A6838" s="36"/>
      <c r="B6838" s="34"/>
      <c r="G6838" s="31"/>
    </row>
    <row r="6839" spans="1:7" x14ac:dyDescent="0.25">
      <c r="A6839" s="36"/>
      <c r="B6839" s="34"/>
      <c r="G6839" s="31"/>
    </row>
    <row r="6840" spans="1:7" x14ac:dyDescent="0.25">
      <c r="A6840" s="36"/>
      <c r="B6840" s="34"/>
      <c r="G6840" s="31"/>
    </row>
    <row r="6841" spans="1:7" x14ac:dyDescent="0.25">
      <c r="A6841" s="36"/>
      <c r="B6841" s="34"/>
      <c r="G6841" s="31"/>
    </row>
    <row r="6842" spans="1:7" x14ac:dyDescent="0.25">
      <c r="A6842" s="36"/>
      <c r="B6842" s="34"/>
      <c r="G6842" s="31"/>
    </row>
    <row r="6843" spans="1:7" x14ac:dyDescent="0.25">
      <c r="A6843" s="36"/>
      <c r="B6843" s="34"/>
      <c r="G6843" s="31"/>
    </row>
    <row r="6844" spans="1:7" x14ac:dyDescent="0.25">
      <c r="A6844" s="36"/>
      <c r="B6844" s="34"/>
      <c r="G6844" s="31"/>
    </row>
    <row r="6845" spans="1:7" x14ac:dyDescent="0.25">
      <c r="A6845" s="36"/>
      <c r="B6845" s="34"/>
      <c r="G6845" s="31"/>
    </row>
    <row r="6846" spans="1:7" x14ac:dyDescent="0.25">
      <c r="A6846" s="36"/>
      <c r="B6846" s="34"/>
      <c r="G6846" s="31"/>
    </row>
    <row r="6847" spans="1:7" x14ac:dyDescent="0.25">
      <c r="A6847" s="36"/>
      <c r="B6847" s="34"/>
      <c r="G6847" s="31"/>
    </row>
    <row r="6848" spans="1:7" x14ac:dyDescent="0.25">
      <c r="A6848" s="36"/>
      <c r="B6848" s="34"/>
      <c r="G6848" s="31"/>
    </row>
    <row r="6849" spans="1:7" x14ac:dyDescent="0.25">
      <c r="A6849" s="36"/>
      <c r="B6849" s="34"/>
      <c r="G6849" s="31"/>
    </row>
    <row r="6850" spans="1:7" x14ac:dyDescent="0.25">
      <c r="A6850" s="36"/>
      <c r="B6850" s="34"/>
      <c r="G6850" s="31"/>
    </row>
    <row r="6851" spans="1:7" x14ac:dyDescent="0.25">
      <c r="A6851" s="36"/>
      <c r="B6851" s="34"/>
      <c r="G6851" s="31"/>
    </row>
    <row r="6852" spans="1:7" x14ac:dyDescent="0.25">
      <c r="A6852" s="36"/>
      <c r="B6852" s="34"/>
      <c r="G6852" s="31"/>
    </row>
    <row r="6853" spans="1:7" x14ac:dyDescent="0.25">
      <c r="A6853" s="36"/>
      <c r="B6853" s="34"/>
      <c r="G6853" s="31"/>
    </row>
    <row r="6854" spans="1:7" x14ac:dyDescent="0.25">
      <c r="A6854" s="36"/>
      <c r="B6854" s="34"/>
      <c r="G6854" s="31"/>
    </row>
    <row r="6855" spans="1:7" x14ac:dyDescent="0.25">
      <c r="A6855" s="36"/>
      <c r="B6855" s="34"/>
      <c r="G6855" s="31"/>
    </row>
    <row r="6856" spans="1:7" x14ac:dyDescent="0.25">
      <c r="A6856" s="36"/>
      <c r="B6856" s="34"/>
      <c r="G6856" s="31"/>
    </row>
    <row r="6857" spans="1:7" x14ac:dyDescent="0.25">
      <c r="A6857" s="36"/>
      <c r="B6857" s="34"/>
      <c r="G6857" s="31"/>
    </row>
    <row r="6858" spans="1:7" x14ac:dyDescent="0.25">
      <c r="A6858" s="36"/>
      <c r="B6858" s="34"/>
      <c r="G6858" s="31"/>
    </row>
    <row r="6859" spans="1:7" x14ac:dyDescent="0.25">
      <c r="A6859" s="36"/>
      <c r="B6859" s="34"/>
      <c r="G6859" s="31"/>
    </row>
    <row r="6860" spans="1:7" x14ac:dyDescent="0.25">
      <c r="A6860" s="36"/>
      <c r="B6860" s="34"/>
      <c r="G6860" s="31"/>
    </row>
    <row r="6861" spans="1:7" x14ac:dyDescent="0.25">
      <c r="A6861" s="36"/>
      <c r="B6861" s="34"/>
      <c r="G6861" s="31"/>
    </row>
    <row r="6862" spans="1:7" x14ac:dyDescent="0.25">
      <c r="A6862" s="36"/>
      <c r="B6862" s="34"/>
      <c r="G6862" s="31"/>
    </row>
    <row r="6863" spans="1:7" x14ac:dyDescent="0.25">
      <c r="A6863" s="36"/>
      <c r="B6863" s="34"/>
      <c r="G6863" s="31"/>
    </row>
    <row r="6864" spans="1:7" x14ac:dyDescent="0.25">
      <c r="A6864" s="36"/>
      <c r="B6864" s="34"/>
      <c r="G6864" s="31"/>
    </row>
    <row r="6865" spans="1:7" x14ac:dyDescent="0.25">
      <c r="A6865" s="36"/>
      <c r="B6865" s="34"/>
      <c r="G6865" s="31"/>
    </row>
    <row r="6866" spans="1:7" x14ac:dyDescent="0.25">
      <c r="A6866" s="36"/>
      <c r="B6866" s="34"/>
      <c r="G6866" s="31"/>
    </row>
    <row r="6867" spans="1:7" x14ac:dyDescent="0.25">
      <c r="A6867" s="36"/>
      <c r="B6867" s="34"/>
      <c r="G6867" s="31"/>
    </row>
    <row r="6868" spans="1:7" x14ac:dyDescent="0.25">
      <c r="A6868" s="36"/>
      <c r="B6868" s="34"/>
      <c r="G6868" s="31"/>
    </row>
    <row r="6869" spans="1:7" x14ac:dyDescent="0.25">
      <c r="A6869" s="36"/>
      <c r="B6869" s="34"/>
      <c r="G6869" s="31"/>
    </row>
    <row r="6870" spans="1:7" x14ac:dyDescent="0.25">
      <c r="A6870" s="36"/>
      <c r="B6870" s="34"/>
      <c r="G6870" s="31"/>
    </row>
    <row r="6871" spans="1:7" x14ac:dyDescent="0.25">
      <c r="A6871" s="36"/>
      <c r="B6871" s="34"/>
      <c r="G6871" s="31"/>
    </row>
    <row r="6872" spans="1:7" x14ac:dyDescent="0.25">
      <c r="A6872" s="36"/>
      <c r="B6872" s="34"/>
      <c r="G6872" s="31"/>
    </row>
    <row r="6873" spans="1:7" x14ac:dyDescent="0.25">
      <c r="A6873" s="36"/>
      <c r="B6873" s="34"/>
      <c r="G6873" s="31"/>
    </row>
    <row r="6874" spans="1:7" x14ac:dyDescent="0.25">
      <c r="A6874" s="36"/>
      <c r="B6874" s="34"/>
      <c r="G6874" s="31"/>
    </row>
    <row r="6875" spans="1:7" x14ac:dyDescent="0.25">
      <c r="A6875" s="36"/>
      <c r="B6875" s="34"/>
      <c r="G6875" s="31"/>
    </row>
    <row r="6876" spans="1:7" x14ac:dyDescent="0.25">
      <c r="A6876" s="36"/>
      <c r="B6876" s="34"/>
      <c r="G6876" s="31"/>
    </row>
    <row r="6877" spans="1:7" x14ac:dyDescent="0.25">
      <c r="A6877" s="36"/>
      <c r="B6877" s="34"/>
      <c r="G6877" s="31"/>
    </row>
    <row r="6878" spans="1:7" x14ac:dyDescent="0.25">
      <c r="A6878" s="36"/>
      <c r="B6878" s="34"/>
      <c r="G6878" s="31"/>
    </row>
    <row r="6879" spans="1:7" x14ac:dyDescent="0.25">
      <c r="A6879" s="36"/>
      <c r="B6879" s="34"/>
      <c r="G6879" s="31"/>
    </row>
    <row r="6880" spans="1:7" x14ac:dyDescent="0.25">
      <c r="A6880" s="36"/>
      <c r="B6880" s="34"/>
      <c r="G6880" s="31"/>
    </row>
    <row r="6881" spans="1:7" x14ac:dyDescent="0.25">
      <c r="A6881" s="36"/>
      <c r="B6881" s="34"/>
      <c r="G6881" s="31"/>
    </row>
    <row r="6882" spans="1:7" x14ac:dyDescent="0.25">
      <c r="A6882" s="36"/>
      <c r="B6882" s="34"/>
      <c r="G6882" s="31"/>
    </row>
    <row r="6883" spans="1:7" x14ac:dyDescent="0.25">
      <c r="A6883" s="36"/>
      <c r="B6883" s="34"/>
      <c r="G6883" s="31"/>
    </row>
    <row r="6884" spans="1:7" x14ac:dyDescent="0.25">
      <c r="A6884" s="36"/>
      <c r="B6884" s="34"/>
      <c r="G6884" s="31"/>
    </row>
    <row r="6885" spans="1:7" x14ac:dyDescent="0.25">
      <c r="A6885" s="36"/>
      <c r="B6885" s="34"/>
      <c r="G6885" s="31"/>
    </row>
    <row r="6886" spans="1:7" x14ac:dyDescent="0.25">
      <c r="A6886" s="36"/>
      <c r="B6886" s="34"/>
      <c r="G6886" s="31"/>
    </row>
    <row r="6887" spans="1:7" x14ac:dyDescent="0.25">
      <c r="A6887" s="36"/>
      <c r="B6887" s="34"/>
      <c r="G6887" s="31"/>
    </row>
    <row r="6888" spans="1:7" x14ac:dyDescent="0.25">
      <c r="A6888" s="36"/>
      <c r="B6888" s="34"/>
      <c r="G6888" s="31"/>
    </row>
    <row r="6889" spans="1:7" x14ac:dyDescent="0.25">
      <c r="A6889" s="36"/>
      <c r="B6889" s="34"/>
      <c r="G6889" s="31"/>
    </row>
    <row r="6890" spans="1:7" x14ac:dyDescent="0.25">
      <c r="A6890" s="36"/>
      <c r="B6890" s="34"/>
      <c r="G6890" s="31"/>
    </row>
    <row r="6891" spans="1:7" x14ac:dyDescent="0.25">
      <c r="A6891" s="36"/>
      <c r="B6891" s="34"/>
      <c r="G6891" s="31"/>
    </row>
    <row r="6892" spans="1:7" x14ac:dyDescent="0.25">
      <c r="A6892" s="36"/>
      <c r="B6892" s="34"/>
      <c r="G6892" s="31"/>
    </row>
    <row r="6893" spans="1:7" x14ac:dyDescent="0.25">
      <c r="A6893" s="36"/>
      <c r="B6893" s="34"/>
      <c r="G6893" s="31"/>
    </row>
    <row r="6894" spans="1:7" x14ac:dyDescent="0.25">
      <c r="A6894" s="36"/>
      <c r="B6894" s="34"/>
      <c r="G6894" s="31"/>
    </row>
    <row r="6895" spans="1:7" x14ac:dyDescent="0.25">
      <c r="A6895" s="36"/>
      <c r="B6895" s="34"/>
      <c r="G6895" s="31"/>
    </row>
    <row r="6896" spans="1:7" x14ac:dyDescent="0.25">
      <c r="A6896" s="36"/>
      <c r="B6896" s="34"/>
      <c r="G6896" s="31"/>
    </row>
    <row r="6897" spans="1:7" x14ac:dyDescent="0.25">
      <c r="A6897" s="36"/>
      <c r="B6897" s="34"/>
      <c r="G6897" s="31"/>
    </row>
    <row r="6898" spans="1:7" x14ac:dyDescent="0.25">
      <c r="A6898" s="36"/>
      <c r="B6898" s="34"/>
      <c r="G6898" s="31"/>
    </row>
    <row r="6899" spans="1:7" x14ac:dyDescent="0.25">
      <c r="A6899" s="36"/>
      <c r="B6899" s="34"/>
      <c r="G6899" s="31"/>
    </row>
    <row r="6900" spans="1:7" x14ac:dyDescent="0.25">
      <c r="A6900" s="36"/>
      <c r="B6900" s="34"/>
      <c r="G6900" s="31"/>
    </row>
    <row r="6901" spans="1:7" x14ac:dyDescent="0.25">
      <c r="A6901" s="36"/>
      <c r="B6901" s="34"/>
      <c r="G6901" s="31"/>
    </row>
    <row r="6902" spans="1:7" x14ac:dyDescent="0.25">
      <c r="A6902" s="36"/>
      <c r="B6902" s="34"/>
      <c r="G6902" s="31"/>
    </row>
    <row r="6903" spans="1:7" x14ac:dyDescent="0.25">
      <c r="A6903" s="36"/>
      <c r="B6903" s="34"/>
      <c r="G6903" s="31"/>
    </row>
    <row r="6904" spans="1:7" x14ac:dyDescent="0.25">
      <c r="A6904" s="36"/>
      <c r="B6904" s="34"/>
      <c r="G6904" s="31"/>
    </row>
    <row r="6905" spans="1:7" x14ac:dyDescent="0.25">
      <c r="A6905" s="36"/>
      <c r="B6905" s="34"/>
      <c r="G6905" s="31"/>
    </row>
    <row r="6906" spans="1:7" x14ac:dyDescent="0.25">
      <c r="A6906" s="36"/>
      <c r="B6906" s="34"/>
      <c r="G6906" s="31"/>
    </row>
    <row r="6907" spans="1:7" x14ac:dyDescent="0.25">
      <c r="A6907" s="36"/>
      <c r="B6907" s="34"/>
      <c r="G6907" s="31"/>
    </row>
    <row r="6908" spans="1:7" x14ac:dyDescent="0.25">
      <c r="A6908" s="36"/>
      <c r="B6908" s="34"/>
      <c r="G6908" s="31"/>
    </row>
    <row r="6909" spans="1:7" x14ac:dyDescent="0.25">
      <c r="A6909" s="36"/>
      <c r="B6909" s="34"/>
      <c r="G6909" s="31"/>
    </row>
    <row r="6910" spans="1:7" x14ac:dyDescent="0.25">
      <c r="A6910" s="36"/>
      <c r="B6910" s="34"/>
      <c r="G6910" s="31"/>
    </row>
    <row r="6911" spans="1:7" x14ac:dyDescent="0.25">
      <c r="A6911" s="36"/>
      <c r="B6911" s="34"/>
      <c r="G6911" s="31"/>
    </row>
    <row r="6912" spans="1:7" x14ac:dyDescent="0.25">
      <c r="A6912" s="36"/>
      <c r="B6912" s="34"/>
      <c r="G6912" s="31"/>
    </row>
    <row r="6913" spans="1:7" x14ac:dyDescent="0.25">
      <c r="A6913" s="36"/>
      <c r="B6913" s="34"/>
      <c r="G6913" s="31"/>
    </row>
    <row r="6914" spans="1:7" x14ac:dyDescent="0.25">
      <c r="A6914" s="36"/>
      <c r="B6914" s="34"/>
      <c r="G6914" s="31"/>
    </row>
    <row r="6915" spans="1:7" x14ac:dyDescent="0.25">
      <c r="A6915" s="36"/>
      <c r="B6915" s="34"/>
      <c r="G6915" s="31"/>
    </row>
    <row r="6916" spans="1:7" x14ac:dyDescent="0.25">
      <c r="A6916" s="36"/>
      <c r="B6916" s="34"/>
      <c r="G6916" s="31"/>
    </row>
    <row r="6917" spans="1:7" x14ac:dyDescent="0.25">
      <c r="A6917" s="36"/>
      <c r="B6917" s="34"/>
      <c r="G6917" s="31"/>
    </row>
    <row r="6918" spans="1:7" x14ac:dyDescent="0.25">
      <c r="A6918" s="36"/>
      <c r="B6918" s="34"/>
      <c r="G6918" s="31"/>
    </row>
    <row r="6919" spans="1:7" x14ac:dyDescent="0.25">
      <c r="A6919" s="36"/>
      <c r="B6919" s="34"/>
      <c r="G6919" s="31"/>
    </row>
    <row r="6920" spans="1:7" x14ac:dyDescent="0.25">
      <c r="A6920" s="36"/>
      <c r="B6920" s="34"/>
      <c r="G6920" s="31"/>
    </row>
    <row r="6921" spans="1:7" x14ac:dyDescent="0.25">
      <c r="A6921" s="36"/>
      <c r="B6921" s="34"/>
      <c r="G6921" s="31"/>
    </row>
    <row r="6922" spans="1:7" x14ac:dyDescent="0.25">
      <c r="A6922" s="36"/>
      <c r="B6922" s="34"/>
      <c r="G6922" s="31"/>
    </row>
    <row r="6923" spans="1:7" x14ac:dyDescent="0.25">
      <c r="A6923" s="36"/>
      <c r="B6923" s="34"/>
      <c r="G6923" s="31"/>
    </row>
    <row r="6924" spans="1:7" x14ac:dyDescent="0.25">
      <c r="A6924" s="36"/>
      <c r="B6924" s="34"/>
      <c r="G6924" s="31"/>
    </row>
    <row r="6925" spans="1:7" x14ac:dyDescent="0.25">
      <c r="A6925" s="36"/>
      <c r="B6925" s="34"/>
      <c r="G6925" s="31"/>
    </row>
    <row r="6926" spans="1:7" x14ac:dyDescent="0.25">
      <c r="A6926" s="36"/>
      <c r="B6926" s="34"/>
      <c r="G6926" s="31"/>
    </row>
    <row r="6927" spans="1:7" x14ac:dyDescent="0.25">
      <c r="A6927" s="36"/>
      <c r="B6927" s="34"/>
      <c r="G6927" s="31"/>
    </row>
    <row r="6928" spans="1:7" x14ac:dyDescent="0.25">
      <c r="A6928" s="36"/>
      <c r="B6928" s="34"/>
      <c r="G6928" s="31"/>
    </row>
    <row r="6929" spans="1:7" x14ac:dyDescent="0.25">
      <c r="A6929" s="36"/>
      <c r="B6929" s="34"/>
      <c r="G6929" s="31"/>
    </row>
    <row r="6930" spans="1:7" x14ac:dyDescent="0.25">
      <c r="A6930" s="36"/>
      <c r="B6930" s="34"/>
      <c r="G6930" s="31"/>
    </row>
    <row r="6931" spans="1:7" x14ac:dyDescent="0.25">
      <c r="A6931" s="36"/>
      <c r="B6931" s="34"/>
      <c r="G6931" s="31"/>
    </row>
    <row r="6932" spans="1:7" x14ac:dyDescent="0.25">
      <c r="A6932" s="36"/>
      <c r="B6932" s="34"/>
      <c r="G6932" s="31"/>
    </row>
    <row r="6933" spans="1:7" x14ac:dyDescent="0.25">
      <c r="A6933" s="36"/>
      <c r="B6933" s="34"/>
      <c r="G6933" s="31"/>
    </row>
    <row r="6934" spans="1:7" x14ac:dyDescent="0.25">
      <c r="A6934" s="36"/>
      <c r="B6934" s="34"/>
      <c r="G6934" s="31"/>
    </row>
    <row r="6935" spans="1:7" x14ac:dyDescent="0.25">
      <c r="A6935" s="36"/>
      <c r="B6935" s="34"/>
      <c r="G6935" s="31"/>
    </row>
    <row r="6936" spans="1:7" x14ac:dyDescent="0.25">
      <c r="A6936" s="36"/>
      <c r="B6936" s="34"/>
      <c r="G6936" s="31"/>
    </row>
    <row r="6937" spans="1:7" x14ac:dyDescent="0.25">
      <c r="A6937" s="36"/>
      <c r="B6937" s="34"/>
      <c r="G6937" s="31"/>
    </row>
    <row r="6938" spans="1:7" x14ac:dyDescent="0.25">
      <c r="A6938" s="36"/>
      <c r="B6938" s="34"/>
      <c r="G6938" s="31"/>
    </row>
    <row r="6939" spans="1:7" x14ac:dyDescent="0.25">
      <c r="A6939" s="36"/>
      <c r="B6939" s="34"/>
      <c r="G6939" s="31"/>
    </row>
    <row r="6940" spans="1:7" x14ac:dyDescent="0.25">
      <c r="A6940" s="36"/>
      <c r="B6940" s="34"/>
      <c r="G6940" s="31"/>
    </row>
    <row r="6941" spans="1:7" x14ac:dyDescent="0.25">
      <c r="A6941" s="36"/>
      <c r="B6941" s="34"/>
      <c r="G6941" s="31"/>
    </row>
    <row r="6942" spans="1:7" x14ac:dyDescent="0.25">
      <c r="A6942" s="36"/>
      <c r="B6942" s="34"/>
      <c r="G6942" s="31"/>
    </row>
    <row r="6943" spans="1:7" x14ac:dyDescent="0.25">
      <c r="A6943" s="36"/>
      <c r="B6943" s="34"/>
      <c r="G6943" s="31"/>
    </row>
    <row r="6944" spans="1:7" x14ac:dyDescent="0.25">
      <c r="A6944" s="36"/>
      <c r="B6944" s="34"/>
      <c r="G6944" s="31"/>
    </row>
    <row r="6945" spans="1:7" x14ac:dyDescent="0.25">
      <c r="A6945" s="36"/>
      <c r="B6945" s="34"/>
      <c r="G6945" s="31"/>
    </row>
    <row r="6946" spans="1:7" x14ac:dyDescent="0.25">
      <c r="A6946" s="36"/>
      <c r="B6946" s="34"/>
      <c r="G6946" s="31"/>
    </row>
    <row r="6947" spans="1:7" x14ac:dyDescent="0.25">
      <c r="A6947" s="36"/>
      <c r="B6947" s="34"/>
      <c r="G6947" s="31"/>
    </row>
    <row r="6948" spans="1:7" x14ac:dyDescent="0.25">
      <c r="A6948" s="36"/>
      <c r="B6948" s="34"/>
      <c r="G6948" s="31"/>
    </row>
    <row r="6949" spans="1:7" x14ac:dyDescent="0.25">
      <c r="A6949" s="36"/>
      <c r="B6949" s="34"/>
      <c r="G6949" s="31"/>
    </row>
    <row r="6950" spans="1:7" x14ac:dyDescent="0.25">
      <c r="A6950" s="36"/>
      <c r="B6950" s="34"/>
      <c r="G6950" s="31"/>
    </row>
    <row r="6951" spans="1:7" x14ac:dyDescent="0.25">
      <c r="A6951" s="36"/>
      <c r="B6951" s="34"/>
      <c r="G6951" s="31"/>
    </row>
    <row r="6952" spans="1:7" x14ac:dyDescent="0.25">
      <c r="A6952" s="36"/>
      <c r="B6952" s="34"/>
      <c r="G6952" s="31"/>
    </row>
    <row r="6953" spans="1:7" x14ac:dyDescent="0.25">
      <c r="A6953" s="36"/>
      <c r="B6953" s="34"/>
      <c r="G6953" s="31"/>
    </row>
    <row r="6954" spans="1:7" x14ac:dyDescent="0.25">
      <c r="A6954" s="36"/>
      <c r="B6954" s="34"/>
      <c r="G6954" s="31"/>
    </row>
    <row r="6955" spans="1:7" x14ac:dyDescent="0.25">
      <c r="A6955" s="36"/>
      <c r="B6955" s="34"/>
      <c r="G6955" s="31"/>
    </row>
    <row r="6956" spans="1:7" x14ac:dyDescent="0.25">
      <c r="A6956" s="36"/>
      <c r="B6956" s="34"/>
      <c r="G6956" s="31"/>
    </row>
    <row r="6957" spans="1:7" x14ac:dyDescent="0.25">
      <c r="A6957" s="36"/>
      <c r="B6957" s="34"/>
      <c r="G6957" s="31"/>
    </row>
    <row r="6958" spans="1:7" x14ac:dyDescent="0.25">
      <c r="A6958" s="36"/>
      <c r="B6958" s="34"/>
      <c r="G6958" s="31"/>
    </row>
    <row r="6959" spans="1:7" x14ac:dyDescent="0.25">
      <c r="A6959" s="36"/>
      <c r="B6959" s="34"/>
      <c r="G6959" s="31"/>
    </row>
    <row r="6960" spans="1:7" x14ac:dyDescent="0.25">
      <c r="A6960" s="36"/>
      <c r="B6960" s="34"/>
      <c r="G6960" s="31"/>
    </row>
    <row r="6961" spans="1:7" x14ac:dyDescent="0.25">
      <c r="A6961" s="36"/>
      <c r="B6961" s="34"/>
      <c r="G6961" s="31"/>
    </row>
    <row r="6962" spans="1:7" x14ac:dyDescent="0.25">
      <c r="A6962" s="36"/>
      <c r="B6962" s="34"/>
      <c r="G6962" s="31"/>
    </row>
    <row r="6963" spans="1:7" x14ac:dyDescent="0.25">
      <c r="A6963" s="36"/>
      <c r="B6963" s="34"/>
      <c r="G6963" s="31"/>
    </row>
    <row r="6964" spans="1:7" x14ac:dyDescent="0.25">
      <c r="A6964" s="36"/>
      <c r="B6964" s="34"/>
      <c r="G6964" s="31"/>
    </row>
    <row r="6965" spans="1:7" x14ac:dyDescent="0.25">
      <c r="A6965" s="36"/>
      <c r="B6965" s="34"/>
      <c r="G6965" s="31"/>
    </row>
    <row r="6966" spans="1:7" x14ac:dyDescent="0.25">
      <c r="A6966" s="36"/>
      <c r="B6966" s="34"/>
      <c r="G6966" s="31"/>
    </row>
    <row r="6967" spans="1:7" x14ac:dyDescent="0.25">
      <c r="A6967" s="36"/>
      <c r="B6967" s="34"/>
      <c r="G6967" s="31"/>
    </row>
    <row r="6968" spans="1:7" x14ac:dyDescent="0.25">
      <c r="A6968" s="36"/>
      <c r="B6968" s="34"/>
      <c r="G6968" s="31"/>
    </row>
    <row r="6969" spans="1:7" x14ac:dyDescent="0.25">
      <c r="A6969" s="36"/>
      <c r="B6969" s="34"/>
      <c r="G6969" s="31"/>
    </row>
    <row r="6970" spans="1:7" x14ac:dyDescent="0.25">
      <c r="A6970" s="36"/>
      <c r="B6970" s="34"/>
      <c r="G6970" s="31"/>
    </row>
    <row r="6971" spans="1:7" x14ac:dyDescent="0.25">
      <c r="A6971" s="36"/>
      <c r="B6971" s="34"/>
      <c r="G6971" s="31"/>
    </row>
    <row r="6972" spans="1:7" x14ac:dyDescent="0.25">
      <c r="A6972" s="36"/>
      <c r="B6972" s="34"/>
      <c r="G6972" s="31"/>
    </row>
    <row r="6973" spans="1:7" x14ac:dyDescent="0.25">
      <c r="A6973" s="36"/>
      <c r="B6973" s="34"/>
      <c r="G6973" s="31"/>
    </row>
    <row r="6974" spans="1:7" x14ac:dyDescent="0.25">
      <c r="A6974" s="36"/>
      <c r="B6974" s="34"/>
      <c r="G6974" s="31"/>
    </row>
    <row r="6975" spans="1:7" x14ac:dyDescent="0.25">
      <c r="A6975" s="36"/>
      <c r="B6975" s="34"/>
      <c r="G6975" s="31"/>
    </row>
    <row r="6976" spans="1:7" x14ac:dyDescent="0.25">
      <c r="A6976" s="36"/>
      <c r="B6976" s="34"/>
      <c r="G6976" s="31"/>
    </row>
    <row r="6977" spans="1:7" x14ac:dyDescent="0.25">
      <c r="A6977" s="36"/>
      <c r="B6977" s="34"/>
      <c r="G6977" s="31"/>
    </row>
    <row r="6978" spans="1:7" x14ac:dyDescent="0.25">
      <c r="A6978" s="36"/>
      <c r="B6978" s="34"/>
      <c r="G6978" s="31"/>
    </row>
    <row r="6979" spans="1:7" x14ac:dyDescent="0.25">
      <c r="A6979" s="36"/>
      <c r="B6979" s="34"/>
      <c r="G6979" s="31"/>
    </row>
    <row r="6980" spans="1:7" x14ac:dyDescent="0.25">
      <c r="A6980" s="36"/>
      <c r="B6980" s="34"/>
      <c r="G6980" s="31"/>
    </row>
    <row r="6981" spans="1:7" x14ac:dyDescent="0.25">
      <c r="A6981" s="36"/>
      <c r="B6981" s="34"/>
      <c r="G6981" s="31"/>
    </row>
    <row r="6982" spans="1:7" x14ac:dyDescent="0.25">
      <c r="A6982" s="36"/>
      <c r="B6982" s="34"/>
      <c r="G6982" s="31"/>
    </row>
    <row r="6983" spans="1:7" x14ac:dyDescent="0.25">
      <c r="A6983" s="36"/>
      <c r="B6983" s="34"/>
      <c r="G6983" s="31"/>
    </row>
    <row r="6984" spans="1:7" x14ac:dyDescent="0.25">
      <c r="A6984" s="36"/>
      <c r="B6984" s="34"/>
      <c r="G6984" s="31"/>
    </row>
    <row r="6985" spans="1:7" x14ac:dyDescent="0.25">
      <c r="A6985" s="36"/>
      <c r="B6985" s="34"/>
      <c r="G6985" s="31"/>
    </row>
    <row r="6986" spans="1:7" x14ac:dyDescent="0.25">
      <c r="A6986" s="36"/>
      <c r="B6986" s="34"/>
      <c r="G6986" s="31"/>
    </row>
    <row r="6987" spans="1:7" x14ac:dyDescent="0.25">
      <c r="A6987" s="36"/>
      <c r="B6987" s="34"/>
      <c r="G6987" s="31"/>
    </row>
    <row r="6988" spans="1:7" x14ac:dyDescent="0.25">
      <c r="A6988" s="36"/>
      <c r="B6988" s="34"/>
      <c r="G6988" s="31"/>
    </row>
    <row r="6989" spans="1:7" x14ac:dyDescent="0.25">
      <c r="A6989" s="36"/>
      <c r="B6989" s="34"/>
      <c r="G6989" s="31"/>
    </row>
    <row r="6990" spans="1:7" x14ac:dyDescent="0.25">
      <c r="A6990" s="36"/>
      <c r="B6990" s="34"/>
      <c r="G6990" s="31"/>
    </row>
    <row r="6991" spans="1:7" x14ac:dyDescent="0.25">
      <c r="A6991" s="36"/>
      <c r="B6991" s="34"/>
      <c r="G6991" s="31"/>
    </row>
    <row r="6992" spans="1:7" x14ac:dyDescent="0.25">
      <c r="A6992" s="36"/>
      <c r="B6992" s="34"/>
      <c r="G6992" s="31"/>
    </row>
    <row r="6993" spans="1:7" x14ac:dyDescent="0.25">
      <c r="A6993" s="36"/>
      <c r="B6993" s="34"/>
      <c r="G6993" s="31"/>
    </row>
    <row r="6994" spans="1:7" x14ac:dyDescent="0.25">
      <c r="A6994" s="36"/>
      <c r="B6994" s="34"/>
      <c r="G6994" s="31"/>
    </row>
    <row r="6995" spans="1:7" x14ac:dyDescent="0.25">
      <c r="A6995" s="36"/>
      <c r="B6995" s="34"/>
      <c r="G6995" s="31"/>
    </row>
    <row r="6996" spans="1:7" x14ac:dyDescent="0.25">
      <c r="A6996" s="36"/>
      <c r="B6996" s="34"/>
      <c r="G6996" s="31"/>
    </row>
    <row r="6997" spans="1:7" x14ac:dyDescent="0.25">
      <c r="A6997" s="36"/>
      <c r="B6997" s="34"/>
      <c r="G6997" s="31"/>
    </row>
    <row r="6998" spans="1:7" x14ac:dyDescent="0.25">
      <c r="A6998" s="36"/>
      <c r="B6998" s="34"/>
      <c r="G6998" s="31"/>
    </row>
    <row r="6999" spans="1:7" x14ac:dyDescent="0.25">
      <c r="A6999" s="36"/>
      <c r="B6999" s="34"/>
      <c r="G6999" s="31"/>
    </row>
    <row r="7000" spans="1:7" x14ac:dyDescent="0.25">
      <c r="A7000" s="36"/>
      <c r="B7000" s="34"/>
      <c r="G7000" s="31"/>
    </row>
    <row r="7001" spans="1:7" x14ac:dyDescent="0.25">
      <c r="A7001" s="36"/>
      <c r="B7001" s="34"/>
      <c r="G7001" s="31"/>
    </row>
    <row r="7002" spans="1:7" x14ac:dyDescent="0.25">
      <c r="A7002" s="36"/>
      <c r="B7002" s="34"/>
      <c r="G7002" s="31"/>
    </row>
    <row r="7003" spans="1:7" x14ac:dyDescent="0.25">
      <c r="A7003" s="36"/>
      <c r="B7003" s="34"/>
      <c r="G7003" s="31"/>
    </row>
    <row r="7004" spans="1:7" x14ac:dyDescent="0.25">
      <c r="A7004" s="36"/>
      <c r="B7004" s="34"/>
      <c r="G7004" s="31"/>
    </row>
    <row r="7005" spans="1:7" x14ac:dyDescent="0.25">
      <c r="A7005" s="36"/>
      <c r="B7005" s="34"/>
      <c r="G7005" s="31"/>
    </row>
    <row r="7006" spans="1:7" x14ac:dyDescent="0.25">
      <c r="A7006" s="36"/>
      <c r="B7006" s="34"/>
      <c r="G7006" s="31"/>
    </row>
    <row r="7007" spans="1:7" x14ac:dyDescent="0.25">
      <c r="A7007" s="36"/>
      <c r="B7007" s="34"/>
      <c r="G7007" s="31"/>
    </row>
    <row r="7008" spans="1:7" x14ac:dyDescent="0.25">
      <c r="A7008" s="36"/>
      <c r="B7008" s="34"/>
      <c r="G7008" s="31"/>
    </row>
    <row r="7009" spans="1:7" x14ac:dyDescent="0.25">
      <c r="A7009" s="36"/>
      <c r="B7009" s="34"/>
      <c r="G7009" s="31"/>
    </row>
    <row r="7010" spans="1:7" x14ac:dyDescent="0.25">
      <c r="A7010" s="36"/>
      <c r="B7010" s="34"/>
      <c r="G7010" s="31"/>
    </row>
    <row r="7011" spans="1:7" x14ac:dyDescent="0.25">
      <c r="A7011" s="36"/>
      <c r="B7011" s="34"/>
      <c r="G7011" s="31"/>
    </row>
    <row r="7012" spans="1:7" x14ac:dyDescent="0.25">
      <c r="A7012" s="36"/>
      <c r="B7012" s="34"/>
      <c r="G7012" s="31"/>
    </row>
    <row r="7013" spans="1:7" x14ac:dyDescent="0.25">
      <c r="A7013" s="36"/>
      <c r="B7013" s="34"/>
      <c r="G7013" s="31"/>
    </row>
    <row r="7014" spans="1:7" x14ac:dyDescent="0.25">
      <c r="A7014" s="36"/>
      <c r="B7014" s="34"/>
      <c r="G7014" s="31"/>
    </row>
    <row r="7015" spans="1:7" x14ac:dyDescent="0.25">
      <c r="A7015" s="36"/>
      <c r="B7015" s="34"/>
      <c r="G7015" s="31"/>
    </row>
    <row r="7016" spans="1:7" x14ac:dyDescent="0.25">
      <c r="A7016" s="36"/>
      <c r="B7016" s="34"/>
      <c r="G7016" s="31"/>
    </row>
    <row r="7017" spans="1:7" x14ac:dyDescent="0.25">
      <c r="A7017" s="36"/>
      <c r="B7017" s="34"/>
      <c r="G7017" s="31"/>
    </row>
    <row r="7018" spans="1:7" x14ac:dyDescent="0.25">
      <c r="A7018" s="36"/>
      <c r="B7018" s="34"/>
      <c r="G7018" s="31"/>
    </row>
    <row r="7019" spans="1:7" x14ac:dyDescent="0.25">
      <c r="A7019" s="36"/>
      <c r="B7019" s="34"/>
      <c r="G7019" s="31"/>
    </row>
    <row r="7020" spans="1:7" x14ac:dyDescent="0.25">
      <c r="A7020" s="36"/>
      <c r="B7020" s="34"/>
      <c r="G7020" s="31"/>
    </row>
    <row r="7021" spans="1:7" x14ac:dyDescent="0.25">
      <c r="A7021" s="36"/>
      <c r="B7021" s="34"/>
      <c r="G7021" s="31"/>
    </row>
    <row r="7022" spans="1:7" x14ac:dyDescent="0.25">
      <c r="A7022" s="36"/>
      <c r="B7022" s="34"/>
      <c r="G7022" s="31"/>
    </row>
    <row r="7023" spans="1:7" x14ac:dyDescent="0.25">
      <c r="A7023" s="36"/>
      <c r="B7023" s="34"/>
      <c r="G7023" s="31"/>
    </row>
    <row r="7024" spans="1:7" x14ac:dyDescent="0.25">
      <c r="A7024" s="36"/>
      <c r="B7024" s="34"/>
      <c r="G7024" s="31"/>
    </row>
    <row r="7025" spans="1:7" x14ac:dyDescent="0.25">
      <c r="A7025" s="36"/>
      <c r="B7025" s="34"/>
      <c r="G7025" s="31"/>
    </row>
    <row r="7026" spans="1:7" x14ac:dyDescent="0.25">
      <c r="A7026" s="36"/>
      <c r="B7026" s="34"/>
      <c r="G7026" s="31"/>
    </row>
    <row r="7027" spans="1:7" x14ac:dyDescent="0.25">
      <c r="A7027" s="36"/>
      <c r="B7027" s="34"/>
      <c r="G7027" s="31"/>
    </row>
    <row r="7028" spans="1:7" x14ac:dyDescent="0.25">
      <c r="A7028" s="36"/>
      <c r="B7028" s="34"/>
      <c r="G7028" s="31"/>
    </row>
    <row r="7029" spans="1:7" x14ac:dyDescent="0.25">
      <c r="A7029" s="36"/>
      <c r="B7029" s="34"/>
      <c r="G7029" s="31"/>
    </row>
    <row r="7030" spans="1:7" x14ac:dyDescent="0.25">
      <c r="A7030" s="36"/>
      <c r="B7030" s="34"/>
      <c r="G7030" s="31"/>
    </row>
    <row r="7031" spans="1:7" x14ac:dyDescent="0.25">
      <c r="A7031" s="36"/>
      <c r="B7031" s="34"/>
      <c r="G7031" s="31"/>
    </row>
    <row r="7032" spans="1:7" x14ac:dyDescent="0.25">
      <c r="A7032" s="36"/>
      <c r="B7032" s="34"/>
      <c r="G7032" s="31"/>
    </row>
    <row r="7033" spans="1:7" x14ac:dyDescent="0.25">
      <c r="A7033" s="36"/>
      <c r="B7033" s="34"/>
      <c r="G7033" s="31"/>
    </row>
    <row r="7034" spans="1:7" x14ac:dyDescent="0.25">
      <c r="A7034" s="36"/>
      <c r="B7034" s="34"/>
      <c r="G7034" s="31"/>
    </row>
    <row r="7035" spans="1:7" x14ac:dyDescent="0.25">
      <c r="A7035" s="36"/>
      <c r="B7035" s="34"/>
      <c r="G7035" s="31"/>
    </row>
    <row r="7036" spans="1:7" x14ac:dyDescent="0.25">
      <c r="A7036" s="36"/>
      <c r="B7036" s="34"/>
      <c r="G7036" s="31"/>
    </row>
    <row r="7037" spans="1:7" x14ac:dyDescent="0.25">
      <c r="A7037" s="36"/>
      <c r="B7037" s="34"/>
      <c r="G7037" s="31"/>
    </row>
    <row r="7038" spans="1:7" x14ac:dyDescent="0.25">
      <c r="A7038" s="36"/>
      <c r="B7038" s="34"/>
      <c r="G7038" s="31"/>
    </row>
    <row r="7039" spans="1:7" x14ac:dyDescent="0.25">
      <c r="A7039" s="36"/>
      <c r="B7039" s="34"/>
      <c r="G7039" s="31"/>
    </row>
    <row r="7040" spans="1:7" x14ac:dyDescent="0.25">
      <c r="A7040" s="36"/>
      <c r="B7040" s="34"/>
      <c r="G7040" s="31"/>
    </row>
    <row r="7041" spans="1:7" x14ac:dyDescent="0.25">
      <c r="A7041" s="36"/>
      <c r="B7041" s="34"/>
      <c r="G7041" s="31"/>
    </row>
    <row r="7042" spans="1:7" x14ac:dyDescent="0.25">
      <c r="A7042" s="36"/>
      <c r="B7042" s="34"/>
      <c r="G7042" s="31"/>
    </row>
    <row r="7043" spans="1:7" x14ac:dyDescent="0.25">
      <c r="A7043" s="36"/>
      <c r="B7043" s="34"/>
      <c r="G7043" s="31"/>
    </row>
    <row r="7044" spans="1:7" x14ac:dyDescent="0.25">
      <c r="A7044" s="36"/>
      <c r="B7044" s="34"/>
      <c r="G7044" s="31"/>
    </row>
    <row r="7045" spans="1:7" x14ac:dyDescent="0.25">
      <c r="A7045" s="36"/>
      <c r="B7045" s="34"/>
      <c r="G7045" s="31"/>
    </row>
    <row r="7046" spans="1:7" x14ac:dyDescent="0.25">
      <c r="A7046" s="36"/>
      <c r="B7046" s="34"/>
      <c r="G7046" s="31"/>
    </row>
    <row r="7047" spans="1:7" x14ac:dyDescent="0.25">
      <c r="A7047" s="36"/>
      <c r="B7047" s="34"/>
      <c r="G7047" s="31"/>
    </row>
    <row r="7048" spans="1:7" x14ac:dyDescent="0.25">
      <c r="A7048" s="36"/>
      <c r="B7048" s="34"/>
      <c r="G7048" s="31"/>
    </row>
    <row r="7049" spans="1:7" x14ac:dyDescent="0.25">
      <c r="A7049" s="36"/>
      <c r="B7049" s="34"/>
      <c r="G7049" s="31"/>
    </row>
    <row r="7050" spans="1:7" x14ac:dyDescent="0.25">
      <c r="A7050" s="36"/>
      <c r="B7050" s="34"/>
      <c r="G7050" s="31"/>
    </row>
    <row r="7051" spans="1:7" x14ac:dyDescent="0.25">
      <c r="A7051" s="36"/>
      <c r="B7051" s="34"/>
      <c r="G7051" s="31"/>
    </row>
    <row r="7052" spans="1:7" x14ac:dyDescent="0.25">
      <c r="A7052" s="36"/>
      <c r="B7052" s="34"/>
      <c r="G7052" s="31"/>
    </row>
    <row r="7053" spans="1:7" x14ac:dyDescent="0.25">
      <c r="A7053" s="36"/>
      <c r="B7053" s="34"/>
      <c r="G7053" s="31"/>
    </row>
    <row r="7054" spans="1:7" x14ac:dyDescent="0.25">
      <c r="A7054" s="36"/>
      <c r="B7054" s="34"/>
      <c r="G7054" s="31"/>
    </row>
    <row r="7055" spans="1:7" x14ac:dyDescent="0.25">
      <c r="A7055" s="36"/>
      <c r="B7055" s="34"/>
      <c r="G7055" s="31"/>
    </row>
    <row r="7056" spans="1:7" x14ac:dyDescent="0.25">
      <c r="A7056" s="36"/>
      <c r="B7056" s="34"/>
      <c r="G7056" s="31"/>
    </row>
    <row r="7057" spans="1:7" x14ac:dyDescent="0.25">
      <c r="A7057" s="36"/>
      <c r="B7057" s="34"/>
      <c r="G7057" s="31"/>
    </row>
    <row r="7058" spans="1:7" x14ac:dyDescent="0.25">
      <c r="A7058" s="36"/>
      <c r="B7058" s="34"/>
      <c r="G7058" s="31"/>
    </row>
    <row r="7059" spans="1:7" x14ac:dyDescent="0.25">
      <c r="A7059" s="36"/>
      <c r="B7059" s="34"/>
      <c r="G7059" s="31"/>
    </row>
    <row r="7060" spans="1:7" x14ac:dyDescent="0.25">
      <c r="A7060" s="36"/>
      <c r="B7060" s="34"/>
      <c r="G7060" s="31"/>
    </row>
    <row r="7061" spans="1:7" x14ac:dyDescent="0.25">
      <c r="A7061" s="36"/>
      <c r="B7061" s="34"/>
      <c r="G7061" s="31"/>
    </row>
    <row r="7062" spans="1:7" x14ac:dyDescent="0.25">
      <c r="A7062" s="36"/>
      <c r="B7062" s="34"/>
      <c r="G7062" s="31"/>
    </row>
    <row r="7063" spans="1:7" x14ac:dyDescent="0.25">
      <c r="A7063" s="36"/>
      <c r="B7063" s="34"/>
      <c r="G7063" s="31"/>
    </row>
    <row r="7064" spans="1:7" x14ac:dyDescent="0.25">
      <c r="A7064" s="36"/>
      <c r="B7064" s="34"/>
      <c r="G7064" s="31"/>
    </row>
    <row r="7065" spans="1:7" x14ac:dyDescent="0.25">
      <c r="A7065" s="36"/>
      <c r="B7065" s="34"/>
      <c r="G7065" s="31"/>
    </row>
    <row r="7066" spans="1:7" x14ac:dyDescent="0.25">
      <c r="A7066" s="36"/>
      <c r="B7066" s="34"/>
      <c r="G7066" s="31"/>
    </row>
    <row r="7067" spans="1:7" x14ac:dyDescent="0.25">
      <c r="A7067" s="36"/>
      <c r="B7067" s="34"/>
      <c r="G7067" s="31"/>
    </row>
    <row r="7068" spans="1:7" x14ac:dyDescent="0.25">
      <c r="A7068" s="36"/>
      <c r="B7068" s="34"/>
      <c r="G7068" s="31"/>
    </row>
    <row r="7069" spans="1:7" x14ac:dyDescent="0.25">
      <c r="A7069" s="36"/>
      <c r="B7069" s="34"/>
      <c r="G7069" s="31"/>
    </row>
    <row r="7070" spans="1:7" x14ac:dyDescent="0.25">
      <c r="A7070" s="36"/>
      <c r="B7070" s="34"/>
      <c r="G7070" s="31"/>
    </row>
    <row r="7071" spans="1:7" x14ac:dyDescent="0.25">
      <c r="A7071" s="36"/>
      <c r="B7071" s="34"/>
      <c r="G7071" s="31"/>
    </row>
    <row r="7072" spans="1:7" x14ac:dyDescent="0.25">
      <c r="A7072" s="36"/>
      <c r="B7072" s="34"/>
      <c r="G7072" s="31"/>
    </row>
    <row r="7073" spans="1:7" x14ac:dyDescent="0.25">
      <c r="A7073" s="36"/>
      <c r="B7073" s="34"/>
      <c r="G7073" s="31"/>
    </row>
    <row r="7074" spans="1:7" x14ac:dyDescent="0.25">
      <c r="A7074" s="36"/>
      <c r="B7074" s="34"/>
      <c r="G7074" s="31"/>
    </row>
    <row r="7075" spans="1:7" x14ac:dyDescent="0.25">
      <c r="A7075" s="36"/>
      <c r="B7075" s="34"/>
      <c r="G7075" s="31"/>
    </row>
    <row r="7076" spans="1:7" x14ac:dyDescent="0.25">
      <c r="A7076" s="36"/>
      <c r="B7076" s="34"/>
      <c r="G7076" s="31"/>
    </row>
    <row r="7077" spans="1:7" x14ac:dyDescent="0.25">
      <c r="A7077" s="36"/>
      <c r="B7077" s="34"/>
      <c r="G7077" s="31"/>
    </row>
    <row r="7078" spans="1:7" x14ac:dyDescent="0.25">
      <c r="A7078" s="36"/>
      <c r="B7078" s="34"/>
      <c r="G7078" s="31"/>
    </row>
    <row r="7079" spans="1:7" x14ac:dyDescent="0.25">
      <c r="A7079" s="36"/>
      <c r="B7079" s="34"/>
      <c r="G7079" s="31"/>
    </row>
    <row r="7080" spans="1:7" x14ac:dyDescent="0.25">
      <c r="A7080" s="36"/>
      <c r="B7080" s="34"/>
      <c r="G7080" s="31"/>
    </row>
    <row r="7081" spans="1:7" x14ac:dyDescent="0.25">
      <c r="A7081" s="36"/>
      <c r="B7081" s="34"/>
      <c r="G7081" s="31"/>
    </row>
    <row r="7082" spans="1:7" x14ac:dyDescent="0.25">
      <c r="A7082" s="36"/>
      <c r="B7082" s="34"/>
      <c r="G7082" s="31"/>
    </row>
    <row r="7083" spans="1:7" x14ac:dyDescent="0.25">
      <c r="A7083" s="36"/>
      <c r="B7083" s="34"/>
      <c r="G7083" s="31"/>
    </row>
    <row r="7084" spans="1:7" x14ac:dyDescent="0.25">
      <c r="A7084" s="36"/>
      <c r="B7084" s="34"/>
      <c r="G7084" s="31"/>
    </row>
    <row r="7085" spans="1:7" x14ac:dyDescent="0.25">
      <c r="A7085" s="36"/>
      <c r="B7085" s="34"/>
      <c r="G7085" s="31"/>
    </row>
    <row r="7086" spans="1:7" x14ac:dyDescent="0.25">
      <c r="A7086" s="36"/>
      <c r="B7086" s="34"/>
      <c r="G7086" s="31"/>
    </row>
    <row r="7087" spans="1:7" x14ac:dyDescent="0.25">
      <c r="A7087" s="36"/>
      <c r="B7087" s="34"/>
      <c r="G7087" s="31"/>
    </row>
    <row r="7088" spans="1:7" x14ac:dyDescent="0.25">
      <c r="A7088" s="36"/>
      <c r="B7088" s="34"/>
      <c r="G7088" s="31"/>
    </row>
    <row r="7089" spans="1:7" x14ac:dyDescent="0.25">
      <c r="A7089" s="36"/>
      <c r="B7089" s="34"/>
      <c r="G7089" s="31"/>
    </row>
    <row r="7090" spans="1:7" x14ac:dyDescent="0.25">
      <c r="A7090" s="36"/>
      <c r="B7090" s="34"/>
      <c r="G7090" s="31"/>
    </row>
    <row r="7091" spans="1:7" x14ac:dyDescent="0.25">
      <c r="A7091" s="36"/>
      <c r="B7091" s="34"/>
      <c r="G7091" s="31"/>
    </row>
    <row r="7092" spans="1:7" x14ac:dyDescent="0.25">
      <c r="A7092" s="36"/>
      <c r="B7092" s="34"/>
      <c r="G7092" s="31"/>
    </row>
    <row r="7093" spans="1:7" x14ac:dyDescent="0.25">
      <c r="A7093" s="36"/>
      <c r="B7093" s="34"/>
      <c r="G7093" s="31"/>
    </row>
    <row r="7094" spans="1:7" x14ac:dyDescent="0.25">
      <c r="A7094" s="36"/>
      <c r="B7094" s="34"/>
      <c r="G7094" s="31"/>
    </row>
    <row r="7095" spans="1:7" x14ac:dyDescent="0.25">
      <c r="A7095" s="36"/>
      <c r="B7095" s="34"/>
      <c r="G7095" s="31"/>
    </row>
    <row r="7096" spans="1:7" x14ac:dyDescent="0.25">
      <c r="A7096" s="36"/>
      <c r="B7096" s="34"/>
      <c r="G7096" s="31"/>
    </row>
    <row r="7097" spans="1:7" x14ac:dyDescent="0.25">
      <c r="A7097" s="36"/>
      <c r="B7097" s="34"/>
      <c r="G7097" s="31"/>
    </row>
    <row r="7098" spans="1:7" x14ac:dyDescent="0.25">
      <c r="A7098" s="36"/>
      <c r="B7098" s="34"/>
      <c r="G7098" s="31"/>
    </row>
    <row r="7099" spans="1:7" x14ac:dyDescent="0.25">
      <c r="A7099" s="36"/>
      <c r="B7099" s="34"/>
      <c r="G7099" s="31"/>
    </row>
    <row r="7100" spans="1:7" x14ac:dyDescent="0.25">
      <c r="A7100" s="36"/>
      <c r="B7100" s="34"/>
      <c r="G7100" s="31"/>
    </row>
    <row r="7101" spans="1:7" x14ac:dyDescent="0.25">
      <c r="A7101" s="36"/>
      <c r="B7101" s="34"/>
      <c r="G7101" s="31"/>
    </row>
    <row r="7102" spans="1:7" x14ac:dyDescent="0.25">
      <c r="A7102" s="36"/>
      <c r="B7102" s="34"/>
      <c r="G7102" s="31"/>
    </row>
    <row r="7103" spans="1:7" x14ac:dyDescent="0.25">
      <c r="A7103" s="36"/>
      <c r="B7103" s="34"/>
      <c r="G7103" s="31"/>
    </row>
    <row r="7104" spans="1:7" x14ac:dyDescent="0.25">
      <c r="A7104" s="36"/>
      <c r="B7104" s="34"/>
      <c r="G7104" s="31"/>
    </row>
    <row r="7105" spans="1:7" x14ac:dyDescent="0.25">
      <c r="A7105" s="36"/>
      <c r="B7105" s="34"/>
      <c r="G7105" s="31"/>
    </row>
    <row r="7106" spans="1:7" x14ac:dyDescent="0.25">
      <c r="A7106" s="36"/>
      <c r="B7106" s="34"/>
      <c r="G7106" s="31"/>
    </row>
    <row r="7107" spans="1:7" x14ac:dyDescent="0.25">
      <c r="A7107" s="36"/>
      <c r="B7107" s="34"/>
      <c r="G7107" s="31"/>
    </row>
    <row r="7108" spans="1:7" x14ac:dyDescent="0.25">
      <c r="A7108" s="36"/>
      <c r="B7108" s="34"/>
      <c r="G7108" s="31"/>
    </row>
    <row r="7109" spans="1:7" x14ac:dyDescent="0.25">
      <c r="A7109" s="36"/>
      <c r="B7109" s="34"/>
      <c r="G7109" s="31"/>
    </row>
    <row r="7110" spans="1:7" x14ac:dyDescent="0.25">
      <c r="A7110" s="36"/>
      <c r="B7110" s="34"/>
      <c r="G7110" s="31"/>
    </row>
    <row r="7111" spans="1:7" x14ac:dyDescent="0.25">
      <c r="A7111" s="36"/>
      <c r="B7111" s="34"/>
      <c r="G7111" s="31"/>
    </row>
    <row r="7112" spans="1:7" x14ac:dyDescent="0.25">
      <c r="A7112" s="36"/>
      <c r="B7112" s="34"/>
      <c r="G7112" s="31"/>
    </row>
    <row r="7113" spans="1:7" x14ac:dyDescent="0.25">
      <c r="A7113" s="36"/>
      <c r="B7113" s="34"/>
      <c r="G7113" s="31"/>
    </row>
    <row r="7114" spans="1:7" x14ac:dyDescent="0.25">
      <c r="A7114" s="36"/>
      <c r="B7114" s="34"/>
      <c r="G7114" s="31"/>
    </row>
    <row r="7115" spans="1:7" x14ac:dyDescent="0.25">
      <c r="A7115" s="36"/>
      <c r="B7115" s="34"/>
      <c r="G7115" s="31"/>
    </row>
    <row r="7116" spans="1:7" x14ac:dyDescent="0.25">
      <c r="A7116" s="36"/>
      <c r="B7116" s="34"/>
      <c r="G7116" s="31"/>
    </row>
    <row r="7117" spans="1:7" x14ac:dyDescent="0.25">
      <c r="A7117" s="36"/>
      <c r="B7117" s="34"/>
      <c r="G7117" s="31"/>
    </row>
    <row r="7118" spans="1:7" x14ac:dyDescent="0.25">
      <c r="A7118" s="36"/>
      <c r="B7118" s="34"/>
      <c r="G7118" s="31"/>
    </row>
    <row r="7119" spans="1:7" x14ac:dyDescent="0.25">
      <c r="A7119" s="36"/>
      <c r="B7119" s="34"/>
      <c r="G7119" s="31"/>
    </row>
    <row r="7120" spans="1:7" x14ac:dyDescent="0.25">
      <c r="A7120" s="36"/>
      <c r="B7120" s="34"/>
      <c r="G7120" s="31"/>
    </row>
    <row r="7121" spans="1:7" x14ac:dyDescent="0.25">
      <c r="A7121" s="36"/>
      <c r="B7121" s="34"/>
      <c r="G7121" s="31"/>
    </row>
    <row r="7122" spans="1:7" x14ac:dyDescent="0.25">
      <c r="A7122" s="36"/>
      <c r="B7122" s="34"/>
      <c r="G7122" s="31"/>
    </row>
    <row r="7123" spans="1:7" x14ac:dyDescent="0.25">
      <c r="A7123" s="36"/>
      <c r="B7123" s="34"/>
      <c r="G7123" s="31"/>
    </row>
    <row r="7124" spans="1:7" x14ac:dyDescent="0.25">
      <c r="A7124" s="36"/>
      <c r="B7124" s="34"/>
      <c r="G7124" s="31"/>
    </row>
    <row r="7125" spans="1:7" x14ac:dyDescent="0.25">
      <c r="A7125" s="36"/>
      <c r="B7125" s="34"/>
      <c r="G7125" s="31"/>
    </row>
    <row r="7126" spans="1:7" x14ac:dyDescent="0.25">
      <c r="A7126" s="36"/>
      <c r="B7126" s="34"/>
      <c r="G7126" s="31"/>
    </row>
    <row r="7127" spans="1:7" x14ac:dyDescent="0.25">
      <c r="A7127" s="36"/>
      <c r="B7127" s="34"/>
      <c r="G7127" s="31"/>
    </row>
    <row r="7128" spans="1:7" x14ac:dyDescent="0.25">
      <c r="A7128" s="36"/>
      <c r="B7128" s="34"/>
      <c r="G7128" s="31"/>
    </row>
    <row r="7129" spans="1:7" x14ac:dyDescent="0.25">
      <c r="A7129" s="36"/>
      <c r="B7129" s="34"/>
      <c r="G7129" s="31"/>
    </row>
    <row r="7130" spans="1:7" x14ac:dyDescent="0.25">
      <c r="A7130" s="36"/>
      <c r="B7130" s="34"/>
      <c r="G7130" s="31"/>
    </row>
    <row r="7131" spans="1:7" x14ac:dyDescent="0.25">
      <c r="A7131" s="36"/>
      <c r="B7131" s="34"/>
      <c r="G7131" s="31"/>
    </row>
    <row r="7132" spans="1:7" x14ac:dyDescent="0.25">
      <c r="A7132" s="36"/>
      <c r="B7132" s="34"/>
      <c r="G7132" s="31"/>
    </row>
    <row r="7133" spans="1:7" x14ac:dyDescent="0.25">
      <c r="A7133" s="36"/>
      <c r="B7133" s="34"/>
      <c r="G7133" s="31"/>
    </row>
    <row r="7134" spans="1:7" x14ac:dyDescent="0.25">
      <c r="A7134" s="36"/>
      <c r="B7134" s="34"/>
      <c r="G7134" s="31"/>
    </row>
    <row r="7135" spans="1:7" x14ac:dyDescent="0.25">
      <c r="A7135" s="36"/>
      <c r="B7135" s="34"/>
      <c r="G7135" s="31"/>
    </row>
    <row r="7136" spans="1:7" x14ac:dyDescent="0.25">
      <c r="A7136" s="36"/>
      <c r="B7136" s="34"/>
      <c r="G7136" s="31"/>
    </row>
    <row r="7137" spans="1:7" x14ac:dyDescent="0.25">
      <c r="A7137" s="36"/>
      <c r="B7137" s="34"/>
      <c r="G7137" s="31"/>
    </row>
    <row r="7138" spans="1:7" x14ac:dyDescent="0.25">
      <c r="A7138" s="36"/>
      <c r="B7138" s="34"/>
      <c r="G7138" s="31"/>
    </row>
    <row r="7139" spans="1:7" x14ac:dyDescent="0.25">
      <c r="A7139" s="36"/>
      <c r="B7139" s="34"/>
      <c r="G7139" s="31"/>
    </row>
    <row r="7140" spans="1:7" x14ac:dyDescent="0.25">
      <c r="A7140" s="36"/>
      <c r="B7140" s="34"/>
      <c r="G7140" s="31"/>
    </row>
    <row r="7141" spans="1:7" x14ac:dyDescent="0.25">
      <c r="A7141" s="36"/>
      <c r="B7141" s="34"/>
      <c r="G7141" s="31"/>
    </row>
    <row r="7142" spans="1:7" x14ac:dyDescent="0.25">
      <c r="A7142" s="36"/>
      <c r="B7142" s="34"/>
      <c r="G7142" s="31"/>
    </row>
    <row r="7143" spans="1:7" x14ac:dyDescent="0.25">
      <c r="A7143" s="36"/>
      <c r="B7143" s="34"/>
      <c r="G7143" s="31"/>
    </row>
    <row r="7144" spans="1:7" x14ac:dyDescent="0.25">
      <c r="A7144" s="36"/>
      <c r="B7144" s="34"/>
      <c r="G7144" s="31"/>
    </row>
    <row r="7145" spans="1:7" x14ac:dyDescent="0.25">
      <c r="A7145" s="36"/>
      <c r="B7145" s="34"/>
      <c r="G7145" s="31"/>
    </row>
    <row r="7146" spans="1:7" x14ac:dyDescent="0.25">
      <c r="A7146" s="36"/>
      <c r="B7146" s="34"/>
      <c r="G7146" s="31"/>
    </row>
    <row r="7147" spans="1:7" x14ac:dyDescent="0.25">
      <c r="A7147" s="36"/>
      <c r="B7147" s="34"/>
      <c r="G7147" s="31"/>
    </row>
    <row r="7148" spans="1:7" x14ac:dyDescent="0.25">
      <c r="A7148" s="36"/>
      <c r="B7148" s="34"/>
      <c r="G7148" s="31"/>
    </row>
    <row r="7149" spans="1:7" x14ac:dyDescent="0.25">
      <c r="A7149" s="36"/>
      <c r="B7149" s="34"/>
      <c r="G7149" s="31"/>
    </row>
    <row r="7150" spans="1:7" x14ac:dyDescent="0.25">
      <c r="A7150" s="36"/>
      <c r="B7150" s="34"/>
      <c r="G7150" s="31"/>
    </row>
    <row r="7151" spans="1:7" x14ac:dyDescent="0.25">
      <c r="A7151" s="36"/>
      <c r="B7151" s="34"/>
      <c r="G7151" s="31"/>
    </row>
    <row r="7152" spans="1:7" x14ac:dyDescent="0.25">
      <c r="A7152" s="36"/>
      <c r="B7152" s="34"/>
      <c r="G7152" s="31"/>
    </row>
    <row r="7153" spans="1:7" x14ac:dyDescent="0.25">
      <c r="A7153" s="36"/>
      <c r="B7153" s="34"/>
      <c r="G7153" s="31"/>
    </row>
    <row r="7154" spans="1:7" x14ac:dyDescent="0.25">
      <c r="A7154" s="36"/>
      <c r="B7154" s="34"/>
      <c r="G7154" s="31"/>
    </row>
    <row r="7155" spans="1:7" x14ac:dyDescent="0.25">
      <c r="A7155" s="36"/>
      <c r="B7155" s="34"/>
      <c r="G7155" s="31"/>
    </row>
    <row r="7156" spans="1:7" x14ac:dyDescent="0.25">
      <c r="A7156" s="36"/>
      <c r="B7156" s="34"/>
      <c r="G7156" s="31"/>
    </row>
    <row r="7157" spans="1:7" x14ac:dyDescent="0.25">
      <c r="A7157" s="36"/>
      <c r="B7157" s="34"/>
      <c r="G7157" s="31"/>
    </row>
    <row r="7158" spans="1:7" x14ac:dyDescent="0.25">
      <c r="A7158" s="36"/>
      <c r="B7158" s="34"/>
      <c r="G7158" s="31"/>
    </row>
    <row r="7159" spans="1:7" x14ac:dyDescent="0.25">
      <c r="A7159" s="36"/>
      <c r="B7159" s="34"/>
      <c r="G7159" s="31"/>
    </row>
    <row r="7160" spans="1:7" x14ac:dyDescent="0.25">
      <c r="A7160" s="36"/>
      <c r="B7160" s="34"/>
      <c r="G7160" s="31"/>
    </row>
    <row r="7161" spans="1:7" x14ac:dyDescent="0.25">
      <c r="A7161" s="36"/>
      <c r="B7161" s="34"/>
      <c r="G7161" s="31"/>
    </row>
    <row r="7162" spans="1:7" x14ac:dyDescent="0.25">
      <c r="A7162" s="36"/>
      <c r="B7162" s="34"/>
      <c r="G7162" s="31"/>
    </row>
    <row r="7163" spans="1:7" x14ac:dyDescent="0.25">
      <c r="A7163" s="36"/>
      <c r="B7163" s="34"/>
      <c r="G7163" s="31"/>
    </row>
    <row r="7164" spans="1:7" x14ac:dyDescent="0.25">
      <c r="A7164" s="36"/>
      <c r="B7164" s="34"/>
      <c r="G7164" s="31"/>
    </row>
    <row r="7165" spans="1:7" x14ac:dyDescent="0.25">
      <c r="A7165" s="36"/>
      <c r="B7165" s="34"/>
      <c r="G7165" s="31"/>
    </row>
    <row r="7166" spans="1:7" x14ac:dyDescent="0.25">
      <c r="A7166" s="36"/>
      <c r="B7166" s="34"/>
      <c r="G7166" s="31"/>
    </row>
    <row r="7167" spans="1:7" x14ac:dyDescent="0.25">
      <c r="A7167" s="36"/>
      <c r="B7167" s="34"/>
      <c r="G7167" s="31"/>
    </row>
    <row r="7168" spans="1:7" x14ac:dyDescent="0.25">
      <c r="A7168" s="36"/>
      <c r="B7168" s="34"/>
      <c r="G7168" s="31"/>
    </row>
    <row r="7169" spans="1:7" x14ac:dyDescent="0.25">
      <c r="A7169" s="36"/>
      <c r="B7169" s="34"/>
      <c r="G7169" s="31"/>
    </row>
    <row r="7170" spans="1:7" x14ac:dyDescent="0.25">
      <c r="A7170" s="36"/>
      <c r="B7170" s="34"/>
      <c r="G7170" s="31"/>
    </row>
    <row r="7171" spans="1:7" x14ac:dyDescent="0.25">
      <c r="A7171" s="36"/>
      <c r="B7171" s="34"/>
      <c r="G7171" s="31"/>
    </row>
    <row r="7172" spans="1:7" x14ac:dyDescent="0.25">
      <c r="A7172" s="36"/>
      <c r="B7172" s="34"/>
      <c r="G7172" s="31"/>
    </row>
    <row r="7173" spans="1:7" x14ac:dyDescent="0.25">
      <c r="A7173" s="36"/>
      <c r="B7173" s="34"/>
      <c r="G7173" s="31"/>
    </row>
    <row r="7174" spans="1:7" x14ac:dyDescent="0.25">
      <c r="A7174" s="36"/>
      <c r="B7174" s="34"/>
      <c r="G7174" s="31"/>
    </row>
    <row r="7175" spans="1:7" x14ac:dyDescent="0.25">
      <c r="A7175" s="36"/>
      <c r="B7175" s="34"/>
      <c r="G7175" s="31"/>
    </row>
    <row r="7176" spans="1:7" x14ac:dyDescent="0.25">
      <c r="A7176" s="36"/>
      <c r="B7176" s="34"/>
      <c r="G7176" s="31"/>
    </row>
    <row r="7177" spans="1:7" x14ac:dyDescent="0.25">
      <c r="A7177" s="36"/>
      <c r="B7177" s="34"/>
      <c r="G7177" s="31"/>
    </row>
    <row r="7178" spans="1:7" x14ac:dyDescent="0.25">
      <c r="A7178" s="36"/>
      <c r="B7178" s="34"/>
      <c r="G7178" s="31"/>
    </row>
    <row r="7179" spans="1:7" x14ac:dyDescent="0.25">
      <c r="A7179" s="36"/>
      <c r="B7179" s="34"/>
      <c r="G7179" s="31"/>
    </row>
    <row r="7180" spans="1:7" x14ac:dyDescent="0.25">
      <c r="A7180" s="36"/>
      <c r="B7180" s="34"/>
      <c r="G7180" s="31"/>
    </row>
    <row r="7181" spans="1:7" x14ac:dyDescent="0.25">
      <c r="A7181" s="36"/>
      <c r="B7181" s="34"/>
      <c r="G7181" s="31"/>
    </row>
    <row r="7182" spans="1:7" x14ac:dyDescent="0.25">
      <c r="A7182" s="36"/>
      <c r="B7182" s="34"/>
      <c r="G7182" s="31"/>
    </row>
    <row r="7183" spans="1:7" x14ac:dyDescent="0.25">
      <c r="A7183" s="36"/>
      <c r="B7183" s="34"/>
      <c r="G7183" s="31"/>
    </row>
    <row r="7184" spans="1:7" x14ac:dyDescent="0.25">
      <c r="A7184" s="36"/>
      <c r="B7184" s="34"/>
      <c r="G7184" s="31"/>
    </row>
    <row r="7185" spans="1:7" x14ac:dyDescent="0.25">
      <c r="A7185" s="36"/>
      <c r="B7185" s="34"/>
      <c r="G7185" s="31"/>
    </row>
    <row r="7186" spans="1:7" x14ac:dyDescent="0.25">
      <c r="A7186" s="36"/>
      <c r="B7186" s="34"/>
      <c r="G7186" s="31"/>
    </row>
    <row r="7187" spans="1:7" x14ac:dyDescent="0.25">
      <c r="A7187" s="36"/>
      <c r="B7187" s="34"/>
      <c r="G7187" s="31"/>
    </row>
    <row r="7188" spans="1:7" x14ac:dyDescent="0.25">
      <c r="A7188" s="36"/>
      <c r="B7188" s="34"/>
      <c r="G7188" s="31"/>
    </row>
    <row r="7189" spans="1:7" x14ac:dyDescent="0.25">
      <c r="A7189" s="36"/>
      <c r="B7189" s="34"/>
      <c r="G7189" s="31"/>
    </row>
    <row r="7190" spans="1:7" x14ac:dyDescent="0.25">
      <c r="A7190" s="36"/>
      <c r="B7190" s="34"/>
      <c r="G7190" s="31"/>
    </row>
    <row r="7191" spans="1:7" x14ac:dyDescent="0.25">
      <c r="A7191" s="36"/>
      <c r="B7191" s="34"/>
      <c r="G7191" s="31"/>
    </row>
    <row r="7192" spans="1:7" x14ac:dyDescent="0.25">
      <c r="A7192" s="36"/>
      <c r="B7192" s="34"/>
      <c r="G7192" s="31"/>
    </row>
    <row r="7193" spans="1:7" x14ac:dyDescent="0.25">
      <c r="A7193" s="36"/>
      <c r="B7193" s="34"/>
      <c r="G7193" s="31"/>
    </row>
    <row r="7194" spans="1:7" x14ac:dyDescent="0.25">
      <c r="A7194" s="36"/>
      <c r="B7194" s="34"/>
      <c r="G7194" s="31"/>
    </row>
    <row r="7195" spans="1:7" x14ac:dyDescent="0.25">
      <c r="A7195" s="36"/>
      <c r="B7195" s="34"/>
      <c r="G7195" s="31"/>
    </row>
    <row r="7196" spans="1:7" x14ac:dyDescent="0.25">
      <c r="A7196" s="36"/>
      <c r="B7196" s="34"/>
      <c r="G7196" s="31"/>
    </row>
    <row r="7197" spans="1:7" x14ac:dyDescent="0.25">
      <c r="A7197" s="36"/>
      <c r="B7197" s="34"/>
      <c r="G7197" s="31"/>
    </row>
    <row r="7198" spans="1:7" x14ac:dyDescent="0.25">
      <c r="A7198" s="36"/>
      <c r="B7198" s="34"/>
      <c r="G7198" s="31"/>
    </row>
    <row r="7199" spans="1:7" x14ac:dyDescent="0.25">
      <c r="A7199" s="36"/>
      <c r="B7199" s="34"/>
      <c r="G7199" s="31"/>
    </row>
    <row r="7200" spans="1:7" x14ac:dyDescent="0.25">
      <c r="A7200" s="36"/>
      <c r="B7200" s="34"/>
      <c r="G7200" s="31"/>
    </row>
    <row r="7201" spans="1:7" x14ac:dyDescent="0.25">
      <c r="A7201" s="36"/>
      <c r="B7201" s="34"/>
      <c r="G7201" s="31"/>
    </row>
    <row r="7202" spans="1:7" x14ac:dyDescent="0.25">
      <c r="A7202" s="36"/>
      <c r="B7202" s="34"/>
      <c r="G7202" s="31"/>
    </row>
    <row r="7203" spans="1:7" x14ac:dyDescent="0.25">
      <c r="A7203" s="36"/>
      <c r="B7203" s="34"/>
      <c r="G7203" s="31"/>
    </row>
    <row r="7204" spans="1:7" x14ac:dyDescent="0.25">
      <c r="A7204" s="36"/>
      <c r="B7204" s="34"/>
      <c r="G7204" s="31"/>
    </row>
    <row r="7205" spans="1:7" x14ac:dyDescent="0.25">
      <c r="A7205" s="36"/>
      <c r="B7205" s="34"/>
      <c r="G7205" s="31"/>
    </row>
    <row r="7206" spans="1:7" x14ac:dyDescent="0.25">
      <c r="A7206" s="36"/>
      <c r="B7206" s="34"/>
      <c r="G7206" s="31"/>
    </row>
    <row r="7207" spans="1:7" x14ac:dyDescent="0.25">
      <c r="A7207" s="36"/>
      <c r="B7207" s="34"/>
      <c r="G7207" s="31"/>
    </row>
    <row r="7208" spans="1:7" x14ac:dyDescent="0.25">
      <c r="A7208" s="36"/>
      <c r="B7208" s="34"/>
      <c r="G7208" s="31"/>
    </row>
    <row r="7209" spans="1:7" x14ac:dyDescent="0.25">
      <c r="A7209" s="36"/>
      <c r="B7209" s="34"/>
      <c r="G7209" s="31"/>
    </row>
    <row r="7210" spans="1:7" x14ac:dyDescent="0.25">
      <c r="A7210" s="36"/>
      <c r="B7210" s="34"/>
      <c r="G7210" s="31"/>
    </row>
    <row r="7211" spans="1:7" x14ac:dyDescent="0.25">
      <c r="A7211" s="36"/>
      <c r="B7211" s="34"/>
      <c r="G7211" s="31"/>
    </row>
    <row r="7212" spans="1:7" x14ac:dyDescent="0.25">
      <c r="A7212" s="36"/>
      <c r="B7212" s="34"/>
      <c r="G7212" s="31"/>
    </row>
    <row r="7213" spans="1:7" x14ac:dyDescent="0.25">
      <c r="A7213" s="36"/>
      <c r="B7213" s="34"/>
      <c r="G7213" s="31"/>
    </row>
    <row r="7214" spans="1:7" x14ac:dyDescent="0.25">
      <c r="A7214" s="36"/>
      <c r="B7214" s="34"/>
      <c r="G7214" s="31"/>
    </row>
    <row r="7215" spans="1:7" x14ac:dyDescent="0.25">
      <c r="A7215" s="36"/>
      <c r="B7215" s="34"/>
      <c r="G7215" s="31"/>
    </row>
    <row r="7216" spans="1:7" x14ac:dyDescent="0.25">
      <c r="A7216" s="36"/>
      <c r="B7216" s="34"/>
      <c r="G7216" s="31"/>
    </row>
    <row r="7217" spans="1:7" x14ac:dyDescent="0.25">
      <c r="A7217" s="36"/>
      <c r="B7217" s="34"/>
      <c r="G7217" s="31"/>
    </row>
    <row r="7218" spans="1:7" x14ac:dyDescent="0.25">
      <c r="A7218" s="36"/>
      <c r="B7218" s="34"/>
      <c r="G7218" s="31"/>
    </row>
    <row r="7219" spans="1:7" x14ac:dyDescent="0.25">
      <c r="A7219" s="36"/>
      <c r="B7219" s="34"/>
      <c r="G7219" s="31"/>
    </row>
    <row r="7220" spans="1:7" x14ac:dyDescent="0.25">
      <c r="A7220" s="36"/>
      <c r="B7220" s="34"/>
      <c r="G7220" s="31"/>
    </row>
    <row r="7221" spans="1:7" x14ac:dyDescent="0.25">
      <c r="A7221" s="36"/>
      <c r="B7221" s="34"/>
      <c r="G7221" s="31"/>
    </row>
    <row r="7222" spans="1:7" x14ac:dyDescent="0.25">
      <c r="A7222" s="36"/>
      <c r="B7222" s="34"/>
      <c r="G7222" s="31"/>
    </row>
    <row r="7223" spans="1:7" x14ac:dyDescent="0.25">
      <c r="A7223" s="36"/>
      <c r="B7223" s="34"/>
      <c r="G7223" s="31"/>
    </row>
    <row r="7224" spans="1:7" x14ac:dyDescent="0.25">
      <c r="A7224" s="36"/>
      <c r="B7224" s="34"/>
      <c r="G7224" s="31"/>
    </row>
    <row r="7225" spans="1:7" x14ac:dyDescent="0.25">
      <c r="A7225" s="36"/>
      <c r="B7225" s="34"/>
      <c r="G7225" s="31"/>
    </row>
    <row r="7226" spans="1:7" x14ac:dyDescent="0.25">
      <c r="A7226" s="36"/>
      <c r="B7226" s="34"/>
      <c r="G7226" s="31"/>
    </row>
    <row r="7227" spans="1:7" x14ac:dyDescent="0.25">
      <c r="A7227" s="36"/>
      <c r="B7227" s="34"/>
      <c r="G7227" s="31"/>
    </row>
    <row r="7228" spans="1:7" x14ac:dyDescent="0.25">
      <c r="A7228" s="36"/>
      <c r="B7228" s="34"/>
      <c r="G7228" s="31"/>
    </row>
    <row r="7229" spans="1:7" x14ac:dyDescent="0.25">
      <c r="A7229" s="36"/>
      <c r="B7229" s="34"/>
      <c r="G7229" s="31"/>
    </row>
    <row r="7230" spans="1:7" x14ac:dyDescent="0.25">
      <c r="A7230" s="36"/>
      <c r="B7230" s="34"/>
      <c r="G7230" s="31"/>
    </row>
    <row r="7231" spans="1:7" x14ac:dyDescent="0.25">
      <c r="A7231" s="36"/>
      <c r="B7231" s="34"/>
      <c r="G7231" s="31"/>
    </row>
    <row r="7232" spans="1:7" x14ac:dyDescent="0.25">
      <c r="A7232" s="36"/>
      <c r="B7232" s="34"/>
      <c r="G7232" s="31"/>
    </row>
    <row r="7233" spans="1:7" x14ac:dyDescent="0.25">
      <c r="A7233" s="36"/>
      <c r="B7233" s="34"/>
      <c r="G7233" s="31"/>
    </row>
    <row r="7234" spans="1:7" x14ac:dyDescent="0.25">
      <c r="A7234" s="36"/>
      <c r="B7234" s="34"/>
      <c r="G7234" s="31"/>
    </row>
    <row r="7235" spans="1:7" x14ac:dyDescent="0.25">
      <c r="A7235" s="36"/>
      <c r="B7235" s="34"/>
      <c r="G7235" s="31"/>
    </row>
    <row r="7236" spans="1:7" x14ac:dyDescent="0.25">
      <c r="A7236" s="36"/>
      <c r="B7236" s="34"/>
      <c r="G7236" s="31"/>
    </row>
    <row r="7237" spans="1:7" x14ac:dyDescent="0.25">
      <c r="A7237" s="36"/>
      <c r="B7237" s="34"/>
      <c r="G7237" s="31"/>
    </row>
    <row r="7238" spans="1:7" x14ac:dyDescent="0.25">
      <c r="A7238" s="36"/>
      <c r="B7238" s="34"/>
      <c r="G7238" s="31"/>
    </row>
    <row r="7239" spans="1:7" x14ac:dyDescent="0.25">
      <c r="A7239" s="36"/>
      <c r="B7239" s="34"/>
      <c r="G7239" s="31"/>
    </row>
    <row r="7240" spans="1:7" x14ac:dyDescent="0.25">
      <c r="A7240" s="36"/>
      <c r="B7240" s="34"/>
      <c r="G7240" s="31"/>
    </row>
    <row r="7241" spans="1:7" x14ac:dyDescent="0.25">
      <c r="A7241" s="36"/>
      <c r="B7241" s="34"/>
      <c r="G7241" s="31"/>
    </row>
    <row r="7242" spans="1:7" x14ac:dyDescent="0.25">
      <c r="A7242" s="36"/>
      <c r="B7242" s="34"/>
      <c r="G7242" s="31"/>
    </row>
    <row r="7243" spans="1:7" x14ac:dyDescent="0.25">
      <c r="A7243" s="36"/>
      <c r="B7243" s="34"/>
      <c r="G7243" s="31"/>
    </row>
    <row r="7244" spans="1:7" x14ac:dyDescent="0.25">
      <c r="A7244" s="36"/>
      <c r="B7244" s="34"/>
      <c r="G7244" s="31"/>
    </row>
    <row r="7245" spans="1:7" x14ac:dyDescent="0.25">
      <c r="A7245" s="36"/>
      <c r="B7245" s="34"/>
      <c r="G7245" s="31"/>
    </row>
    <row r="7246" spans="1:7" x14ac:dyDescent="0.25">
      <c r="A7246" s="36"/>
      <c r="B7246" s="34"/>
      <c r="G7246" s="31"/>
    </row>
    <row r="7247" spans="1:7" x14ac:dyDescent="0.25">
      <c r="A7247" s="36"/>
      <c r="B7247" s="34"/>
      <c r="G7247" s="31"/>
    </row>
    <row r="7248" spans="1:7" x14ac:dyDescent="0.25">
      <c r="A7248" s="36"/>
      <c r="B7248" s="34"/>
      <c r="G7248" s="31"/>
    </row>
    <row r="7249" spans="1:7" x14ac:dyDescent="0.25">
      <c r="A7249" s="36"/>
      <c r="B7249" s="34"/>
      <c r="G7249" s="31"/>
    </row>
    <row r="7250" spans="1:7" x14ac:dyDescent="0.25">
      <c r="A7250" s="36"/>
      <c r="B7250" s="34"/>
      <c r="G7250" s="31"/>
    </row>
    <row r="7251" spans="1:7" x14ac:dyDescent="0.25">
      <c r="A7251" s="36"/>
      <c r="B7251" s="34"/>
      <c r="G7251" s="31"/>
    </row>
    <row r="7252" spans="1:7" x14ac:dyDescent="0.25">
      <c r="A7252" s="36"/>
      <c r="B7252" s="34"/>
      <c r="G7252" s="31"/>
    </row>
    <row r="7253" spans="1:7" x14ac:dyDescent="0.25">
      <c r="A7253" s="36"/>
      <c r="B7253" s="34"/>
      <c r="G7253" s="31"/>
    </row>
    <row r="7254" spans="1:7" x14ac:dyDescent="0.25">
      <c r="A7254" s="36"/>
      <c r="B7254" s="34"/>
      <c r="G7254" s="31"/>
    </row>
    <row r="7255" spans="1:7" x14ac:dyDescent="0.25">
      <c r="A7255" s="36"/>
      <c r="B7255" s="34"/>
      <c r="G7255" s="31"/>
    </row>
    <row r="7256" spans="1:7" x14ac:dyDescent="0.25">
      <c r="A7256" s="36"/>
      <c r="B7256" s="34"/>
      <c r="G7256" s="31"/>
    </row>
    <row r="7257" spans="1:7" x14ac:dyDescent="0.25">
      <c r="A7257" s="36"/>
      <c r="B7257" s="34"/>
      <c r="G7257" s="31"/>
    </row>
    <row r="7258" spans="1:7" x14ac:dyDescent="0.25">
      <c r="A7258" s="36"/>
      <c r="B7258" s="34"/>
      <c r="G7258" s="31"/>
    </row>
    <row r="7259" spans="1:7" x14ac:dyDescent="0.25">
      <c r="A7259" s="36"/>
      <c r="B7259" s="34"/>
      <c r="G7259" s="31"/>
    </row>
    <row r="7260" spans="1:7" x14ac:dyDescent="0.25">
      <c r="A7260" s="36"/>
      <c r="B7260" s="34"/>
      <c r="G7260" s="31"/>
    </row>
    <row r="7261" spans="1:7" x14ac:dyDescent="0.25">
      <c r="A7261" s="36"/>
      <c r="B7261" s="34"/>
      <c r="G7261" s="31"/>
    </row>
    <row r="7262" spans="1:7" x14ac:dyDescent="0.25">
      <c r="A7262" s="36"/>
      <c r="B7262" s="34"/>
      <c r="G7262" s="31"/>
    </row>
    <row r="7263" spans="1:7" x14ac:dyDescent="0.25">
      <c r="A7263" s="36"/>
      <c r="B7263" s="34"/>
      <c r="G7263" s="31"/>
    </row>
    <row r="7264" spans="1:7" x14ac:dyDescent="0.25">
      <c r="A7264" s="36"/>
      <c r="B7264" s="34"/>
      <c r="G7264" s="31"/>
    </row>
    <row r="7265" spans="1:7" x14ac:dyDescent="0.25">
      <c r="A7265" s="36"/>
      <c r="B7265" s="34"/>
      <c r="G7265" s="31"/>
    </row>
    <row r="7266" spans="1:7" x14ac:dyDescent="0.25">
      <c r="A7266" s="36"/>
      <c r="B7266" s="34"/>
      <c r="G7266" s="31"/>
    </row>
    <row r="7267" spans="1:7" x14ac:dyDescent="0.25">
      <c r="A7267" s="36"/>
      <c r="B7267" s="34"/>
      <c r="G7267" s="31"/>
    </row>
    <row r="7268" spans="1:7" x14ac:dyDescent="0.25">
      <c r="A7268" s="36"/>
      <c r="B7268" s="34"/>
      <c r="G7268" s="31"/>
    </row>
    <row r="7269" spans="1:7" x14ac:dyDescent="0.25">
      <c r="A7269" s="36"/>
      <c r="B7269" s="34"/>
      <c r="G7269" s="31"/>
    </row>
    <row r="7270" spans="1:7" x14ac:dyDescent="0.25">
      <c r="A7270" s="36"/>
      <c r="B7270" s="34"/>
      <c r="G7270" s="31"/>
    </row>
    <row r="7271" spans="1:7" x14ac:dyDescent="0.25">
      <c r="A7271" s="36"/>
      <c r="B7271" s="34"/>
      <c r="G7271" s="31"/>
    </row>
    <row r="7272" spans="1:7" x14ac:dyDescent="0.25">
      <c r="A7272" s="36"/>
      <c r="B7272" s="34"/>
      <c r="G7272" s="31"/>
    </row>
    <row r="7273" spans="1:7" x14ac:dyDescent="0.25">
      <c r="A7273" s="36"/>
      <c r="B7273" s="34"/>
      <c r="G7273" s="31"/>
    </row>
    <row r="7274" spans="1:7" x14ac:dyDescent="0.25">
      <c r="A7274" s="36"/>
      <c r="B7274" s="34"/>
      <c r="G7274" s="31"/>
    </row>
    <row r="7275" spans="1:7" x14ac:dyDescent="0.25">
      <c r="A7275" s="36"/>
      <c r="B7275" s="34"/>
      <c r="G7275" s="31"/>
    </row>
    <row r="7276" spans="1:7" x14ac:dyDescent="0.25">
      <c r="A7276" s="36"/>
      <c r="B7276" s="34"/>
      <c r="G7276" s="31"/>
    </row>
    <row r="7277" spans="1:7" x14ac:dyDescent="0.25">
      <c r="A7277" s="36"/>
      <c r="B7277" s="34"/>
      <c r="G7277" s="31"/>
    </row>
    <row r="7278" spans="1:7" x14ac:dyDescent="0.25">
      <c r="A7278" s="36"/>
      <c r="B7278" s="34"/>
      <c r="G7278" s="31"/>
    </row>
    <row r="7279" spans="1:7" x14ac:dyDescent="0.25">
      <c r="A7279" s="36"/>
      <c r="B7279" s="34"/>
      <c r="G7279" s="31"/>
    </row>
    <row r="7280" spans="1:7" x14ac:dyDescent="0.25">
      <c r="A7280" s="36"/>
      <c r="B7280" s="34"/>
      <c r="G7280" s="31"/>
    </row>
    <row r="7281" spans="1:7" x14ac:dyDescent="0.25">
      <c r="A7281" s="36"/>
      <c r="B7281" s="34"/>
      <c r="G7281" s="31"/>
    </row>
    <row r="7282" spans="1:7" x14ac:dyDescent="0.25">
      <c r="A7282" s="36"/>
      <c r="B7282" s="34"/>
      <c r="G7282" s="31"/>
    </row>
    <row r="7283" spans="1:7" x14ac:dyDescent="0.25">
      <c r="A7283" s="36"/>
      <c r="B7283" s="34"/>
      <c r="G7283" s="31"/>
    </row>
    <row r="7284" spans="1:7" x14ac:dyDescent="0.25">
      <c r="A7284" s="36"/>
      <c r="B7284" s="34"/>
      <c r="G7284" s="31"/>
    </row>
    <row r="7285" spans="1:7" x14ac:dyDescent="0.25">
      <c r="A7285" s="36"/>
      <c r="B7285" s="34"/>
      <c r="G7285" s="31"/>
    </row>
    <row r="7286" spans="1:7" x14ac:dyDescent="0.25">
      <c r="A7286" s="36"/>
      <c r="B7286" s="34"/>
      <c r="G7286" s="31"/>
    </row>
    <row r="7287" spans="1:7" x14ac:dyDescent="0.25">
      <c r="A7287" s="36"/>
      <c r="B7287" s="34"/>
      <c r="G7287" s="31"/>
    </row>
    <row r="7288" spans="1:7" x14ac:dyDescent="0.25">
      <c r="A7288" s="36"/>
      <c r="B7288" s="34"/>
      <c r="G7288" s="31"/>
    </row>
    <row r="7289" spans="1:7" x14ac:dyDescent="0.25">
      <c r="A7289" s="36"/>
      <c r="B7289" s="34"/>
      <c r="G7289" s="31"/>
    </row>
    <row r="7290" spans="1:7" x14ac:dyDescent="0.25">
      <c r="A7290" s="36"/>
      <c r="B7290" s="34"/>
      <c r="G7290" s="31"/>
    </row>
    <row r="7291" spans="1:7" x14ac:dyDescent="0.25">
      <c r="A7291" s="36"/>
      <c r="B7291" s="34"/>
      <c r="G7291" s="31"/>
    </row>
    <row r="7292" spans="1:7" x14ac:dyDescent="0.25">
      <c r="A7292" s="36"/>
      <c r="B7292" s="34"/>
      <c r="G7292" s="31"/>
    </row>
    <row r="7293" spans="1:7" x14ac:dyDescent="0.25">
      <c r="A7293" s="36"/>
      <c r="B7293" s="34"/>
      <c r="G7293" s="31"/>
    </row>
    <row r="7294" spans="1:7" x14ac:dyDescent="0.25">
      <c r="A7294" s="36"/>
      <c r="B7294" s="34"/>
      <c r="G7294" s="31"/>
    </row>
    <row r="7295" spans="1:7" x14ac:dyDescent="0.25">
      <c r="A7295" s="36"/>
      <c r="B7295" s="34"/>
      <c r="G7295" s="31"/>
    </row>
    <row r="7296" spans="1:7" x14ac:dyDescent="0.25">
      <c r="A7296" s="36"/>
      <c r="B7296" s="34"/>
      <c r="G7296" s="31"/>
    </row>
    <row r="7297" spans="1:7" x14ac:dyDescent="0.25">
      <c r="A7297" s="36"/>
      <c r="B7297" s="34"/>
      <c r="G7297" s="31"/>
    </row>
    <row r="7298" spans="1:7" x14ac:dyDescent="0.25">
      <c r="A7298" s="36"/>
      <c r="B7298" s="34"/>
      <c r="G7298" s="31"/>
    </row>
    <row r="7299" spans="1:7" x14ac:dyDescent="0.25">
      <c r="A7299" s="36"/>
      <c r="B7299" s="34"/>
      <c r="G7299" s="31"/>
    </row>
    <row r="7300" spans="1:7" x14ac:dyDescent="0.25">
      <c r="A7300" s="36"/>
      <c r="B7300" s="34"/>
      <c r="G7300" s="31"/>
    </row>
    <row r="7301" spans="1:7" x14ac:dyDescent="0.25">
      <c r="A7301" s="36"/>
      <c r="B7301" s="34"/>
      <c r="G7301" s="31"/>
    </row>
    <row r="7302" spans="1:7" x14ac:dyDescent="0.25">
      <c r="A7302" s="36"/>
      <c r="B7302" s="34"/>
      <c r="G7302" s="31"/>
    </row>
    <row r="7303" spans="1:7" x14ac:dyDescent="0.25">
      <c r="A7303" s="36"/>
      <c r="B7303" s="34"/>
      <c r="G7303" s="31"/>
    </row>
    <row r="7304" spans="1:7" x14ac:dyDescent="0.25">
      <c r="A7304" s="36"/>
      <c r="B7304" s="34"/>
      <c r="G7304" s="31"/>
    </row>
    <row r="7305" spans="1:7" x14ac:dyDescent="0.25">
      <c r="A7305" s="36"/>
      <c r="B7305" s="34"/>
      <c r="G7305" s="31"/>
    </row>
    <row r="7306" spans="1:7" x14ac:dyDescent="0.25">
      <c r="A7306" s="36"/>
      <c r="B7306" s="34"/>
      <c r="G7306" s="31"/>
    </row>
    <row r="7307" spans="1:7" x14ac:dyDescent="0.25">
      <c r="A7307" s="36"/>
      <c r="B7307" s="34"/>
      <c r="G7307" s="31"/>
    </row>
    <row r="7308" spans="1:7" x14ac:dyDescent="0.25">
      <c r="A7308" s="36"/>
      <c r="B7308" s="34"/>
      <c r="G7308" s="31"/>
    </row>
    <row r="7309" spans="1:7" x14ac:dyDescent="0.25">
      <c r="A7309" s="36"/>
      <c r="B7309" s="34"/>
      <c r="G7309" s="31"/>
    </row>
    <row r="7310" spans="1:7" x14ac:dyDescent="0.25">
      <c r="A7310" s="36"/>
      <c r="B7310" s="34"/>
      <c r="G7310" s="31"/>
    </row>
    <row r="7311" spans="1:7" x14ac:dyDescent="0.25">
      <c r="A7311" s="36"/>
      <c r="B7311" s="34"/>
      <c r="G7311" s="31"/>
    </row>
    <row r="7312" spans="1:7" x14ac:dyDescent="0.25">
      <c r="A7312" s="36"/>
      <c r="B7312" s="34"/>
      <c r="G7312" s="31"/>
    </row>
    <row r="7313" spans="1:7" x14ac:dyDescent="0.25">
      <c r="A7313" s="36"/>
      <c r="B7313" s="34"/>
      <c r="G7313" s="31"/>
    </row>
    <row r="7314" spans="1:7" x14ac:dyDescent="0.25">
      <c r="A7314" s="36"/>
      <c r="B7314" s="34"/>
      <c r="G7314" s="31"/>
    </row>
    <row r="7315" spans="1:7" x14ac:dyDescent="0.25">
      <c r="A7315" s="36"/>
      <c r="B7315" s="34"/>
      <c r="G7315" s="31"/>
    </row>
    <row r="7316" spans="1:7" x14ac:dyDescent="0.25">
      <c r="A7316" s="36"/>
      <c r="B7316" s="34"/>
      <c r="G7316" s="31"/>
    </row>
    <row r="7317" spans="1:7" x14ac:dyDescent="0.25">
      <c r="A7317" s="36"/>
      <c r="B7317" s="34"/>
      <c r="G7317" s="31"/>
    </row>
    <row r="7318" spans="1:7" x14ac:dyDescent="0.25">
      <c r="A7318" s="36"/>
      <c r="B7318" s="34"/>
      <c r="G7318" s="31"/>
    </row>
    <row r="7319" spans="1:7" x14ac:dyDescent="0.25">
      <c r="A7319" s="36"/>
      <c r="B7319" s="34"/>
      <c r="G7319" s="31"/>
    </row>
    <row r="7320" spans="1:7" x14ac:dyDescent="0.25">
      <c r="A7320" s="36"/>
      <c r="B7320" s="34"/>
      <c r="G7320" s="31"/>
    </row>
    <row r="7321" spans="1:7" x14ac:dyDescent="0.25">
      <c r="A7321" s="36"/>
      <c r="B7321" s="34"/>
      <c r="G7321" s="31"/>
    </row>
    <row r="7322" spans="1:7" x14ac:dyDescent="0.25">
      <c r="A7322" s="36"/>
      <c r="B7322" s="34"/>
      <c r="G7322" s="31"/>
    </row>
    <row r="7323" spans="1:7" x14ac:dyDescent="0.25">
      <c r="A7323" s="36"/>
      <c r="B7323" s="34"/>
      <c r="G7323" s="31"/>
    </row>
    <row r="7324" spans="1:7" x14ac:dyDescent="0.25">
      <c r="A7324" s="36"/>
      <c r="B7324" s="34"/>
      <c r="G7324" s="31"/>
    </row>
    <row r="7325" spans="1:7" x14ac:dyDescent="0.25">
      <c r="A7325" s="36"/>
      <c r="B7325" s="34"/>
      <c r="G7325" s="31"/>
    </row>
    <row r="7326" spans="1:7" x14ac:dyDescent="0.25">
      <c r="A7326" s="36"/>
      <c r="B7326" s="34"/>
      <c r="G7326" s="31"/>
    </row>
    <row r="7327" spans="1:7" x14ac:dyDescent="0.25">
      <c r="A7327" s="36"/>
      <c r="B7327" s="34"/>
      <c r="G7327" s="31"/>
    </row>
    <row r="7328" spans="1:7" x14ac:dyDescent="0.25">
      <c r="A7328" s="36"/>
      <c r="B7328" s="34"/>
      <c r="G7328" s="31"/>
    </row>
    <row r="7329" spans="1:7" x14ac:dyDescent="0.25">
      <c r="A7329" s="36"/>
      <c r="B7329" s="34"/>
      <c r="G7329" s="31"/>
    </row>
    <row r="7330" spans="1:7" x14ac:dyDescent="0.25">
      <c r="A7330" s="36"/>
      <c r="B7330" s="34"/>
      <c r="G7330" s="31"/>
    </row>
    <row r="7331" spans="1:7" x14ac:dyDescent="0.25">
      <c r="A7331" s="36"/>
      <c r="B7331" s="34"/>
      <c r="G7331" s="31"/>
    </row>
    <row r="7332" spans="1:7" x14ac:dyDescent="0.25">
      <c r="A7332" s="36"/>
      <c r="B7332" s="34"/>
      <c r="G7332" s="31"/>
    </row>
    <row r="7333" spans="1:7" x14ac:dyDescent="0.25">
      <c r="A7333" s="36"/>
      <c r="B7333" s="34"/>
      <c r="G7333" s="31"/>
    </row>
    <row r="7334" spans="1:7" x14ac:dyDescent="0.25">
      <c r="A7334" s="36"/>
      <c r="B7334" s="34"/>
      <c r="G7334" s="31"/>
    </row>
    <row r="7335" spans="1:7" x14ac:dyDescent="0.25">
      <c r="A7335" s="36"/>
      <c r="B7335" s="34"/>
      <c r="G7335" s="31"/>
    </row>
    <row r="7336" spans="1:7" x14ac:dyDescent="0.25">
      <c r="A7336" s="36"/>
      <c r="B7336" s="34"/>
      <c r="G7336" s="31"/>
    </row>
    <row r="7337" spans="1:7" x14ac:dyDescent="0.25">
      <c r="A7337" s="36"/>
      <c r="B7337" s="34"/>
      <c r="G7337" s="31"/>
    </row>
    <row r="7338" spans="1:7" x14ac:dyDescent="0.25">
      <c r="A7338" s="36"/>
      <c r="B7338" s="34"/>
      <c r="G7338" s="31"/>
    </row>
    <row r="7339" spans="1:7" x14ac:dyDescent="0.25">
      <c r="A7339" s="36"/>
      <c r="B7339" s="34"/>
      <c r="G7339" s="31"/>
    </row>
    <row r="7340" spans="1:7" x14ac:dyDescent="0.25">
      <c r="A7340" s="36"/>
      <c r="B7340" s="34"/>
      <c r="G7340" s="31"/>
    </row>
    <row r="7341" spans="1:7" x14ac:dyDescent="0.25">
      <c r="A7341" s="36"/>
      <c r="B7341" s="34"/>
      <c r="G7341" s="31"/>
    </row>
    <row r="7342" spans="1:7" x14ac:dyDescent="0.25">
      <c r="A7342" s="36"/>
      <c r="B7342" s="34"/>
      <c r="G7342" s="31"/>
    </row>
    <row r="7343" spans="1:7" x14ac:dyDescent="0.25">
      <c r="A7343" s="36"/>
      <c r="B7343" s="34"/>
      <c r="G7343" s="31"/>
    </row>
    <row r="7344" spans="1:7" x14ac:dyDescent="0.25">
      <c r="A7344" s="36"/>
      <c r="B7344" s="34"/>
      <c r="G7344" s="31"/>
    </row>
    <row r="7345" spans="1:7" x14ac:dyDescent="0.25">
      <c r="A7345" s="36"/>
      <c r="B7345" s="34"/>
      <c r="G7345" s="31"/>
    </row>
    <row r="7346" spans="1:7" x14ac:dyDescent="0.25">
      <c r="A7346" s="36"/>
      <c r="B7346" s="34"/>
      <c r="G7346" s="31"/>
    </row>
    <row r="7347" spans="1:7" x14ac:dyDescent="0.25">
      <c r="A7347" s="36"/>
      <c r="B7347" s="34"/>
      <c r="G7347" s="31"/>
    </row>
    <row r="7348" spans="1:7" x14ac:dyDescent="0.25">
      <c r="A7348" s="36"/>
      <c r="B7348" s="34"/>
      <c r="G7348" s="31"/>
    </row>
    <row r="7349" spans="1:7" x14ac:dyDescent="0.25">
      <c r="A7349" s="36"/>
      <c r="B7349" s="34"/>
      <c r="G7349" s="31"/>
    </row>
    <row r="7350" spans="1:7" x14ac:dyDescent="0.25">
      <c r="A7350" s="36"/>
      <c r="B7350" s="34"/>
      <c r="G7350" s="31"/>
    </row>
    <row r="7351" spans="1:7" x14ac:dyDescent="0.25">
      <c r="A7351" s="36"/>
      <c r="B7351" s="34"/>
      <c r="G7351" s="31"/>
    </row>
    <row r="7352" spans="1:7" x14ac:dyDescent="0.25">
      <c r="A7352" s="36"/>
      <c r="B7352" s="34"/>
      <c r="G7352" s="31"/>
    </row>
    <row r="7353" spans="1:7" x14ac:dyDescent="0.25">
      <c r="A7353" s="36"/>
      <c r="B7353" s="34"/>
      <c r="G7353" s="31"/>
    </row>
    <row r="7354" spans="1:7" x14ac:dyDescent="0.25">
      <c r="A7354" s="36"/>
      <c r="B7354" s="34"/>
      <c r="G7354" s="31"/>
    </row>
    <row r="7355" spans="1:7" x14ac:dyDescent="0.25">
      <c r="A7355" s="36"/>
      <c r="B7355" s="34"/>
      <c r="G7355" s="31"/>
    </row>
    <row r="7356" spans="1:7" x14ac:dyDescent="0.25">
      <c r="A7356" s="36"/>
      <c r="B7356" s="34"/>
      <c r="G7356" s="31"/>
    </row>
    <row r="7357" spans="1:7" x14ac:dyDescent="0.25">
      <c r="A7357" s="36"/>
      <c r="B7357" s="34"/>
      <c r="G7357" s="31"/>
    </row>
    <row r="7358" spans="1:7" x14ac:dyDescent="0.25">
      <c r="A7358" s="36"/>
      <c r="B7358" s="34"/>
      <c r="G7358" s="31"/>
    </row>
    <row r="7359" spans="1:7" x14ac:dyDescent="0.25">
      <c r="A7359" s="36"/>
      <c r="B7359" s="34"/>
      <c r="G7359" s="31"/>
    </row>
    <row r="7360" spans="1:7" x14ac:dyDescent="0.25">
      <c r="A7360" s="36"/>
      <c r="B7360" s="34"/>
      <c r="G7360" s="31"/>
    </row>
    <row r="7361" spans="1:7" x14ac:dyDescent="0.25">
      <c r="A7361" s="36"/>
      <c r="B7361" s="34"/>
      <c r="G7361" s="31"/>
    </row>
    <row r="7362" spans="1:7" x14ac:dyDescent="0.25">
      <c r="A7362" s="36"/>
      <c r="B7362" s="34"/>
      <c r="G7362" s="31"/>
    </row>
    <row r="7363" spans="1:7" x14ac:dyDescent="0.25">
      <c r="A7363" s="36"/>
      <c r="B7363" s="34"/>
      <c r="G7363" s="31"/>
    </row>
    <row r="7364" spans="1:7" x14ac:dyDescent="0.25">
      <c r="A7364" s="36"/>
      <c r="B7364" s="34"/>
      <c r="G7364" s="31"/>
    </row>
    <row r="7365" spans="1:7" x14ac:dyDescent="0.25">
      <c r="A7365" s="36"/>
      <c r="B7365" s="34"/>
      <c r="G7365" s="31"/>
    </row>
    <row r="7366" spans="1:7" x14ac:dyDescent="0.25">
      <c r="A7366" s="36"/>
      <c r="B7366" s="34"/>
      <c r="G7366" s="31"/>
    </row>
    <row r="7367" spans="1:7" x14ac:dyDescent="0.25">
      <c r="A7367" s="36"/>
      <c r="B7367" s="34"/>
      <c r="G7367" s="31"/>
    </row>
    <row r="7368" spans="1:7" x14ac:dyDescent="0.25">
      <c r="A7368" s="36"/>
      <c r="B7368" s="34"/>
      <c r="G7368" s="31"/>
    </row>
    <row r="7369" spans="1:7" x14ac:dyDescent="0.25">
      <c r="A7369" s="36"/>
      <c r="B7369" s="34"/>
      <c r="G7369" s="31"/>
    </row>
    <row r="7370" spans="1:7" x14ac:dyDescent="0.25">
      <c r="A7370" s="36"/>
      <c r="B7370" s="34"/>
      <c r="G7370" s="31"/>
    </row>
    <row r="7371" spans="1:7" x14ac:dyDescent="0.25">
      <c r="A7371" s="36"/>
      <c r="B7371" s="34"/>
      <c r="G7371" s="31"/>
    </row>
    <row r="7372" spans="1:7" x14ac:dyDescent="0.25">
      <c r="A7372" s="36"/>
      <c r="B7372" s="34"/>
      <c r="G7372" s="31"/>
    </row>
    <row r="7373" spans="1:7" x14ac:dyDescent="0.25">
      <c r="A7373" s="36"/>
      <c r="B7373" s="34"/>
      <c r="G7373" s="31"/>
    </row>
    <row r="7374" spans="1:7" x14ac:dyDescent="0.25">
      <c r="A7374" s="36"/>
      <c r="B7374" s="34"/>
      <c r="G7374" s="31"/>
    </row>
    <row r="7375" spans="1:7" x14ac:dyDescent="0.25">
      <c r="A7375" s="36"/>
      <c r="B7375" s="34"/>
      <c r="G7375" s="31"/>
    </row>
    <row r="7376" spans="1:7" x14ac:dyDescent="0.25">
      <c r="A7376" s="36"/>
      <c r="B7376" s="34"/>
      <c r="G7376" s="31"/>
    </row>
    <row r="7377" spans="1:7" x14ac:dyDescent="0.25">
      <c r="A7377" s="36"/>
      <c r="B7377" s="34"/>
      <c r="G7377" s="31"/>
    </row>
    <row r="7378" spans="1:7" x14ac:dyDescent="0.25">
      <c r="A7378" s="36"/>
      <c r="B7378" s="34"/>
      <c r="G7378" s="31"/>
    </row>
    <row r="7379" spans="1:7" x14ac:dyDescent="0.25">
      <c r="A7379" s="36"/>
      <c r="B7379" s="34"/>
      <c r="G7379" s="31"/>
    </row>
    <row r="7380" spans="1:7" x14ac:dyDescent="0.25">
      <c r="A7380" s="36"/>
      <c r="B7380" s="34"/>
      <c r="G7380" s="31"/>
    </row>
    <row r="7381" spans="1:7" x14ac:dyDescent="0.25">
      <c r="A7381" s="36"/>
      <c r="B7381" s="34"/>
      <c r="G7381" s="31"/>
    </row>
    <row r="7382" spans="1:7" x14ac:dyDescent="0.25">
      <c r="A7382" s="36"/>
      <c r="B7382" s="34"/>
      <c r="G7382" s="31"/>
    </row>
    <row r="7383" spans="1:7" x14ac:dyDescent="0.25">
      <c r="A7383" s="36"/>
      <c r="B7383" s="34"/>
      <c r="G7383" s="31"/>
    </row>
    <row r="7384" spans="1:7" x14ac:dyDescent="0.25">
      <c r="A7384" s="36"/>
      <c r="B7384" s="34"/>
      <c r="G7384" s="31"/>
    </row>
    <row r="7385" spans="1:7" x14ac:dyDescent="0.25">
      <c r="A7385" s="36"/>
      <c r="B7385" s="34"/>
      <c r="G7385" s="31"/>
    </row>
    <row r="7386" spans="1:7" x14ac:dyDescent="0.25">
      <c r="A7386" s="36"/>
      <c r="B7386" s="34"/>
      <c r="G7386" s="31"/>
    </row>
    <row r="7387" spans="1:7" x14ac:dyDescent="0.25">
      <c r="A7387" s="36"/>
      <c r="B7387" s="34"/>
      <c r="G7387" s="31"/>
    </row>
    <row r="7388" spans="1:7" x14ac:dyDescent="0.25">
      <c r="A7388" s="36"/>
      <c r="B7388" s="34"/>
      <c r="G7388" s="31"/>
    </row>
    <row r="7389" spans="1:7" x14ac:dyDescent="0.25">
      <c r="A7389" s="36"/>
      <c r="B7389" s="34"/>
      <c r="G7389" s="31"/>
    </row>
    <row r="7390" spans="1:7" x14ac:dyDescent="0.25">
      <c r="A7390" s="36"/>
      <c r="B7390" s="34"/>
      <c r="G7390" s="31"/>
    </row>
    <row r="7391" spans="1:7" x14ac:dyDescent="0.25">
      <c r="A7391" s="36"/>
      <c r="B7391" s="34"/>
      <c r="G7391" s="31"/>
    </row>
    <row r="7392" spans="1:7" x14ac:dyDescent="0.25">
      <c r="A7392" s="36"/>
      <c r="B7392" s="34"/>
      <c r="G7392" s="31"/>
    </row>
    <row r="7393" spans="1:7" x14ac:dyDescent="0.25">
      <c r="A7393" s="36"/>
      <c r="B7393" s="34"/>
      <c r="G7393" s="31"/>
    </row>
    <row r="7394" spans="1:7" x14ac:dyDescent="0.25">
      <c r="A7394" s="36"/>
      <c r="B7394" s="34"/>
      <c r="G7394" s="31"/>
    </row>
    <row r="7395" spans="1:7" x14ac:dyDescent="0.25">
      <c r="A7395" s="36"/>
      <c r="B7395" s="34"/>
      <c r="G7395" s="31"/>
    </row>
    <row r="7396" spans="1:7" x14ac:dyDescent="0.25">
      <c r="A7396" s="36"/>
      <c r="B7396" s="34"/>
      <c r="G7396" s="31"/>
    </row>
    <row r="7397" spans="1:7" x14ac:dyDescent="0.25">
      <c r="A7397" s="36"/>
      <c r="B7397" s="34"/>
      <c r="G7397" s="31"/>
    </row>
    <row r="7398" spans="1:7" x14ac:dyDescent="0.25">
      <c r="A7398" s="36"/>
      <c r="B7398" s="34"/>
      <c r="G7398" s="31"/>
    </row>
    <row r="7399" spans="1:7" x14ac:dyDescent="0.25">
      <c r="A7399" s="36"/>
      <c r="B7399" s="34"/>
      <c r="G7399" s="31"/>
    </row>
    <row r="7400" spans="1:7" x14ac:dyDescent="0.25">
      <c r="A7400" s="36"/>
      <c r="B7400" s="34"/>
      <c r="G7400" s="31"/>
    </row>
    <row r="7401" spans="1:7" x14ac:dyDescent="0.25">
      <c r="A7401" s="36"/>
      <c r="B7401" s="34"/>
      <c r="G7401" s="31"/>
    </row>
    <row r="7402" spans="1:7" x14ac:dyDescent="0.25">
      <c r="A7402" s="36"/>
      <c r="B7402" s="34"/>
      <c r="G7402" s="31"/>
    </row>
    <row r="7403" spans="1:7" x14ac:dyDescent="0.25">
      <c r="A7403" s="36"/>
      <c r="B7403" s="34"/>
      <c r="G7403" s="31"/>
    </row>
    <row r="7404" spans="1:7" x14ac:dyDescent="0.25">
      <c r="A7404" s="36"/>
      <c r="B7404" s="34"/>
      <c r="G7404" s="31"/>
    </row>
    <row r="7405" spans="1:7" x14ac:dyDescent="0.25">
      <c r="A7405" s="36"/>
      <c r="B7405" s="34"/>
      <c r="G7405" s="31"/>
    </row>
    <row r="7406" spans="1:7" x14ac:dyDescent="0.25">
      <c r="A7406" s="36"/>
      <c r="B7406" s="34"/>
      <c r="G7406" s="31"/>
    </row>
    <row r="7407" spans="1:7" x14ac:dyDescent="0.25">
      <c r="A7407" s="36"/>
      <c r="B7407" s="34"/>
      <c r="G7407" s="31"/>
    </row>
    <row r="7408" spans="1:7" x14ac:dyDescent="0.25">
      <c r="A7408" s="36"/>
      <c r="B7408" s="34"/>
      <c r="G7408" s="31"/>
    </row>
    <row r="7409" spans="1:7" x14ac:dyDescent="0.25">
      <c r="A7409" s="36"/>
      <c r="B7409" s="34"/>
      <c r="G7409" s="31"/>
    </row>
    <row r="7410" spans="1:7" x14ac:dyDescent="0.25">
      <c r="A7410" s="36"/>
      <c r="B7410" s="34"/>
      <c r="G7410" s="31"/>
    </row>
    <row r="7411" spans="1:7" x14ac:dyDescent="0.25">
      <c r="A7411" s="36"/>
      <c r="B7411" s="34"/>
      <c r="G7411" s="31"/>
    </row>
    <row r="7412" spans="1:7" x14ac:dyDescent="0.25">
      <c r="A7412" s="36"/>
      <c r="B7412" s="34"/>
      <c r="G7412" s="31"/>
    </row>
    <row r="7413" spans="1:7" x14ac:dyDescent="0.25">
      <c r="A7413" s="36"/>
      <c r="B7413" s="34"/>
      <c r="G7413" s="31"/>
    </row>
    <row r="7414" spans="1:7" x14ac:dyDescent="0.25">
      <c r="A7414" s="36"/>
      <c r="B7414" s="34"/>
      <c r="G7414" s="31"/>
    </row>
    <row r="7415" spans="1:7" x14ac:dyDescent="0.25">
      <c r="A7415" s="36"/>
      <c r="B7415" s="34"/>
      <c r="G7415" s="31"/>
    </row>
    <row r="7416" spans="1:7" x14ac:dyDescent="0.25">
      <c r="A7416" s="36"/>
      <c r="B7416" s="34"/>
      <c r="G7416" s="31"/>
    </row>
    <row r="7417" spans="1:7" x14ac:dyDescent="0.25">
      <c r="A7417" s="36"/>
      <c r="B7417" s="34"/>
      <c r="G7417" s="31"/>
    </row>
    <row r="7418" spans="1:7" x14ac:dyDescent="0.25">
      <c r="A7418" s="36"/>
      <c r="B7418" s="34"/>
      <c r="G7418" s="31"/>
    </row>
    <row r="7419" spans="1:7" x14ac:dyDescent="0.25">
      <c r="A7419" s="36"/>
      <c r="B7419" s="34"/>
      <c r="G7419" s="31"/>
    </row>
    <row r="7420" spans="1:7" x14ac:dyDescent="0.25">
      <c r="A7420" s="36"/>
      <c r="B7420" s="34"/>
      <c r="G7420" s="31"/>
    </row>
    <row r="7421" spans="1:7" x14ac:dyDescent="0.25">
      <c r="A7421" s="36"/>
      <c r="B7421" s="34"/>
      <c r="G7421" s="31"/>
    </row>
    <row r="7422" spans="1:7" x14ac:dyDescent="0.25">
      <c r="A7422" s="36"/>
      <c r="B7422" s="34"/>
      <c r="G7422" s="31"/>
    </row>
    <row r="7423" spans="1:7" x14ac:dyDescent="0.25">
      <c r="A7423" s="36"/>
      <c r="B7423" s="34"/>
      <c r="G7423" s="31"/>
    </row>
    <row r="7424" spans="1:7" x14ac:dyDescent="0.25">
      <c r="A7424" s="36"/>
      <c r="B7424" s="34"/>
      <c r="G7424" s="31"/>
    </row>
    <row r="7425" spans="1:7" x14ac:dyDescent="0.25">
      <c r="A7425" s="36"/>
      <c r="B7425" s="34"/>
      <c r="G7425" s="31"/>
    </row>
    <row r="7426" spans="1:7" x14ac:dyDescent="0.25">
      <c r="A7426" s="36"/>
      <c r="B7426" s="34"/>
      <c r="G7426" s="31"/>
    </row>
    <row r="7427" spans="1:7" x14ac:dyDescent="0.25">
      <c r="A7427" s="36"/>
      <c r="B7427" s="34"/>
      <c r="G7427" s="31"/>
    </row>
    <row r="7428" spans="1:7" x14ac:dyDescent="0.25">
      <c r="A7428" s="36"/>
      <c r="B7428" s="34"/>
      <c r="G7428" s="31"/>
    </row>
    <row r="7429" spans="1:7" x14ac:dyDescent="0.25">
      <c r="A7429" s="36"/>
      <c r="B7429" s="34"/>
      <c r="G7429" s="31"/>
    </row>
    <row r="7430" spans="1:7" x14ac:dyDescent="0.25">
      <c r="A7430" s="36"/>
      <c r="B7430" s="34"/>
      <c r="G7430" s="31"/>
    </row>
    <row r="7431" spans="1:7" x14ac:dyDescent="0.25">
      <c r="A7431" s="36"/>
      <c r="B7431" s="34"/>
      <c r="G7431" s="31"/>
    </row>
    <row r="7432" spans="1:7" x14ac:dyDescent="0.25">
      <c r="A7432" s="36"/>
      <c r="B7432" s="34"/>
      <c r="G7432" s="31"/>
    </row>
    <row r="7433" spans="1:7" x14ac:dyDescent="0.25">
      <c r="A7433" s="36"/>
      <c r="B7433" s="34"/>
      <c r="G7433" s="31"/>
    </row>
    <row r="7434" spans="1:7" x14ac:dyDescent="0.25">
      <c r="A7434" s="36"/>
      <c r="B7434" s="34"/>
      <c r="G7434" s="31"/>
    </row>
    <row r="7435" spans="1:7" x14ac:dyDescent="0.25">
      <c r="A7435" s="36"/>
      <c r="B7435" s="34"/>
      <c r="G7435" s="31"/>
    </row>
    <row r="7436" spans="1:7" x14ac:dyDescent="0.25">
      <c r="A7436" s="36"/>
      <c r="B7436" s="34"/>
      <c r="G7436" s="31"/>
    </row>
    <row r="7437" spans="1:7" x14ac:dyDescent="0.25">
      <c r="A7437" s="36"/>
      <c r="B7437" s="34"/>
      <c r="G7437" s="31"/>
    </row>
    <row r="7438" spans="1:7" x14ac:dyDescent="0.25">
      <c r="A7438" s="36"/>
      <c r="B7438" s="34"/>
      <c r="G7438" s="31"/>
    </row>
    <row r="7439" spans="1:7" x14ac:dyDescent="0.25">
      <c r="A7439" s="36"/>
      <c r="B7439" s="34"/>
      <c r="G7439" s="31"/>
    </row>
    <row r="7440" spans="1:7" x14ac:dyDescent="0.25">
      <c r="A7440" s="36"/>
      <c r="B7440" s="34"/>
      <c r="G7440" s="31"/>
    </row>
    <row r="7441" spans="1:7" x14ac:dyDescent="0.25">
      <c r="A7441" s="36"/>
      <c r="B7441" s="34"/>
      <c r="G7441" s="31"/>
    </row>
    <row r="7442" spans="1:7" x14ac:dyDescent="0.25">
      <c r="A7442" s="36"/>
      <c r="B7442" s="34"/>
      <c r="G7442" s="31"/>
    </row>
    <row r="7443" spans="1:7" x14ac:dyDescent="0.25">
      <c r="A7443" s="36"/>
      <c r="B7443" s="34"/>
      <c r="G7443" s="31"/>
    </row>
    <row r="7444" spans="1:7" x14ac:dyDescent="0.25">
      <c r="A7444" s="36"/>
      <c r="B7444" s="34"/>
      <c r="G7444" s="31"/>
    </row>
    <row r="7445" spans="1:7" x14ac:dyDescent="0.25">
      <c r="A7445" s="36"/>
      <c r="B7445" s="34"/>
      <c r="G7445" s="31"/>
    </row>
    <row r="7446" spans="1:7" x14ac:dyDescent="0.25">
      <c r="A7446" s="36"/>
      <c r="B7446" s="34"/>
      <c r="G7446" s="31"/>
    </row>
    <row r="7447" spans="1:7" x14ac:dyDescent="0.25">
      <c r="A7447" s="36"/>
      <c r="B7447" s="34"/>
      <c r="G7447" s="31"/>
    </row>
    <row r="7448" spans="1:7" x14ac:dyDescent="0.25">
      <c r="A7448" s="36"/>
      <c r="B7448" s="34"/>
      <c r="G7448" s="31"/>
    </row>
    <row r="7449" spans="1:7" x14ac:dyDescent="0.25">
      <c r="A7449" s="36"/>
      <c r="B7449" s="34"/>
      <c r="G7449" s="31"/>
    </row>
    <row r="7450" spans="1:7" x14ac:dyDescent="0.25">
      <c r="A7450" s="36"/>
      <c r="B7450" s="34"/>
      <c r="G7450" s="31"/>
    </row>
    <row r="7451" spans="1:7" x14ac:dyDescent="0.25">
      <c r="A7451" s="36"/>
      <c r="B7451" s="34"/>
      <c r="G7451" s="31"/>
    </row>
    <row r="7452" spans="1:7" x14ac:dyDescent="0.25">
      <c r="A7452" s="36"/>
      <c r="B7452" s="34"/>
      <c r="G7452" s="31"/>
    </row>
    <row r="7453" spans="1:7" x14ac:dyDescent="0.25">
      <c r="A7453" s="36"/>
      <c r="B7453" s="34"/>
      <c r="G7453" s="31"/>
    </row>
    <row r="7454" spans="1:7" x14ac:dyDescent="0.25">
      <c r="A7454" s="36"/>
      <c r="B7454" s="34"/>
      <c r="G7454" s="31"/>
    </row>
    <row r="7455" spans="1:7" x14ac:dyDescent="0.25">
      <c r="A7455" s="36"/>
      <c r="B7455" s="34"/>
      <c r="G7455" s="31"/>
    </row>
    <row r="7456" spans="1:7" x14ac:dyDescent="0.25">
      <c r="A7456" s="36"/>
      <c r="B7456" s="34"/>
      <c r="G7456" s="31"/>
    </row>
    <row r="7457" spans="1:7" x14ac:dyDescent="0.25">
      <c r="A7457" s="36"/>
      <c r="B7457" s="34"/>
      <c r="G7457" s="31"/>
    </row>
    <row r="7458" spans="1:7" x14ac:dyDescent="0.25">
      <c r="A7458" s="36"/>
      <c r="B7458" s="34"/>
      <c r="G7458" s="31"/>
    </row>
    <row r="7459" spans="1:7" x14ac:dyDescent="0.25">
      <c r="A7459" s="36"/>
      <c r="B7459" s="34"/>
      <c r="G7459" s="31"/>
    </row>
    <row r="7460" spans="1:7" x14ac:dyDescent="0.25">
      <c r="A7460" s="36"/>
      <c r="B7460" s="34"/>
      <c r="G7460" s="31"/>
    </row>
    <row r="7461" spans="1:7" x14ac:dyDescent="0.25">
      <c r="A7461" s="36"/>
      <c r="B7461" s="34"/>
      <c r="G7461" s="31"/>
    </row>
    <row r="7462" spans="1:7" x14ac:dyDescent="0.25">
      <c r="A7462" s="36"/>
      <c r="B7462" s="34"/>
      <c r="G7462" s="31"/>
    </row>
    <row r="7463" spans="1:7" x14ac:dyDescent="0.25">
      <c r="A7463" s="36"/>
      <c r="B7463" s="34"/>
      <c r="G7463" s="31"/>
    </row>
    <row r="7464" spans="1:7" x14ac:dyDescent="0.25">
      <c r="A7464" s="36"/>
      <c r="B7464" s="34"/>
      <c r="G7464" s="31"/>
    </row>
    <row r="7465" spans="1:7" x14ac:dyDescent="0.25">
      <c r="A7465" s="36"/>
      <c r="B7465" s="34"/>
      <c r="G7465" s="31"/>
    </row>
    <row r="7466" spans="1:7" x14ac:dyDescent="0.25">
      <c r="A7466" s="36"/>
      <c r="B7466" s="34"/>
      <c r="G7466" s="31"/>
    </row>
    <row r="7467" spans="1:7" x14ac:dyDescent="0.25">
      <c r="A7467" s="36"/>
      <c r="B7467" s="34"/>
      <c r="G7467" s="31"/>
    </row>
    <row r="7468" spans="1:7" x14ac:dyDescent="0.25">
      <c r="A7468" s="36"/>
      <c r="B7468" s="34"/>
      <c r="G7468" s="31"/>
    </row>
    <row r="7469" spans="1:7" x14ac:dyDescent="0.25">
      <c r="A7469" s="36"/>
      <c r="B7469" s="34"/>
      <c r="G7469" s="31"/>
    </row>
    <row r="7470" spans="1:7" x14ac:dyDescent="0.25">
      <c r="A7470" s="36"/>
      <c r="B7470" s="34"/>
      <c r="G7470" s="31"/>
    </row>
    <row r="7471" spans="1:7" x14ac:dyDescent="0.25">
      <c r="A7471" s="36"/>
      <c r="B7471" s="34"/>
      <c r="G7471" s="31"/>
    </row>
    <row r="7472" spans="1:7" x14ac:dyDescent="0.25">
      <c r="A7472" s="36"/>
      <c r="B7472" s="34"/>
      <c r="G7472" s="31"/>
    </row>
    <row r="7473" spans="1:7" x14ac:dyDescent="0.25">
      <c r="A7473" s="36"/>
      <c r="B7473" s="34"/>
      <c r="G7473" s="31"/>
    </row>
    <row r="7474" spans="1:7" x14ac:dyDescent="0.25">
      <c r="A7474" s="36"/>
      <c r="B7474" s="34"/>
      <c r="G7474" s="31"/>
    </row>
    <row r="7475" spans="1:7" x14ac:dyDescent="0.25">
      <c r="A7475" s="36"/>
      <c r="B7475" s="34"/>
      <c r="G7475" s="31"/>
    </row>
    <row r="7476" spans="1:7" x14ac:dyDescent="0.25">
      <c r="A7476" s="36"/>
      <c r="B7476" s="34"/>
      <c r="G7476" s="31"/>
    </row>
    <row r="7477" spans="1:7" x14ac:dyDescent="0.25">
      <c r="A7477" s="36"/>
      <c r="B7477" s="34"/>
      <c r="G7477" s="31"/>
    </row>
    <row r="7478" spans="1:7" x14ac:dyDescent="0.25">
      <c r="A7478" s="36"/>
      <c r="B7478" s="34"/>
      <c r="G7478" s="31"/>
    </row>
    <row r="7479" spans="1:7" x14ac:dyDescent="0.25">
      <c r="A7479" s="36"/>
      <c r="B7479" s="34"/>
      <c r="G7479" s="31"/>
    </row>
    <row r="7480" spans="1:7" x14ac:dyDescent="0.25">
      <c r="A7480" s="36"/>
      <c r="B7480" s="34"/>
      <c r="G7480" s="31"/>
    </row>
    <row r="7481" spans="1:7" x14ac:dyDescent="0.25">
      <c r="A7481" s="36"/>
      <c r="B7481" s="34"/>
      <c r="G7481" s="31"/>
    </row>
    <row r="7482" spans="1:7" x14ac:dyDescent="0.25">
      <c r="A7482" s="36"/>
      <c r="B7482" s="34"/>
      <c r="G7482" s="31"/>
    </row>
    <row r="7483" spans="1:7" x14ac:dyDescent="0.25">
      <c r="A7483" s="36"/>
      <c r="B7483" s="34"/>
      <c r="G7483" s="31"/>
    </row>
    <row r="7484" spans="1:7" x14ac:dyDescent="0.25">
      <c r="A7484" s="36"/>
      <c r="B7484" s="34"/>
      <c r="G7484" s="31"/>
    </row>
    <row r="7485" spans="1:7" x14ac:dyDescent="0.25">
      <c r="A7485" s="36"/>
      <c r="B7485" s="34"/>
      <c r="G7485" s="31"/>
    </row>
    <row r="7486" spans="1:7" x14ac:dyDescent="0.25">
      <c r="A7486" s="36"/>
      <c r="B7486" s="34"/>
      <c r="G7486" s="31"/>
    </row>
    <row r="7487" spans="1:7" x14ac:dyDescent="0.25">
      <c r="A7487" s="36"/>
      <c r="B7487" s="34"/>
      <c r="G7487" s="31"/>
    </row>
    <row r="7488" spans="1:7" x14ac:dyDescent="0.25">
      <c r="A7488" s="36"/>
      <c r="B7488" s="34"/>
      <c r="G7488" s="31"/>
    </row>
    <row r="7489" spans="1:7" x14ac:dyDescent="0.25">
      <c r="A7489" s="36"/>
      <c r="B7489" s="34"/>
      <c r="G7489" s="31"/>
    </row>
    <row r="7490" spans="1:7" x14ac:dyDescent="0.25">
      <c r="A7490" s="36"/>
      <c r="B7490" s="34"/>
      <c r="G7490" s="31"/>
    </row>
    <row r="7491" spans="1:7" x14ac:dyDescent="0.25">
      <c r="A7491" s="36"/>
      <c r="B7491" s="34"/>
      <c r="G7491" s="31"/>
    </row>
    <row r="7492" spans="1:7" x14ac:dyDescent="0.25">
      <c r="A7492" s="36"/>
      <c r="B7492" s="34"/>
      <c r="G7492" s="31"/>
    </row>
    <row r="7493" spans="1:7" x14ac:dyDescent="0.25">
      <c r="A7493" s="36"/>
      <c r="B7493" s="34"/>
      <c r="G7493" s="31"/>
    </row>
    <row r="7494" spans="1:7" x14ac:dyDescent="0.25">
      <c r="A7494" s="36"/>
      <c r="B7494" s="34"/>
      <c r="G7494" s="31"/>
    </row>
    <row r="7495" spans="1:7" x14ac:dyDescent="0.25">
      <c r="A7495" s="36"/>
      <c r="B7495" s="34"/>
      <c r="G7495" s="31"/>
    </row>
    <row r="7496" spans="1:7" x14ac:dyDescent="0.25">
      <c r="A7496" s="36"/>
      <c r="B7496" s="34"/>
      <c r="G7496" s="31"/>
    </row>
    <row r="7497" spans="1:7" x14ac:dyDescent="0.25">
      <c r="A7497" s="36"/>
      <c r="B7497" s="34"/>
      <c r="G7497" s="31"/>
    </row>
    <row r="7498" spans="1:7" x14ac:dyDescent="0.25">
      <c r="A7498" s="36"/>
      <c r="B7498" s="34"/>
      <c r="G7498" s="31"/>
    </row>
    <row r="7499" spans="1:7" x14ac:dyDescent="0.25">
      <c r="A7499" s="36"/>
      <c r="B7499" s="34"/>
      <c r="G7499" s="31"/>
    </row>
    <row r="7500" spans="1:7" x14ac:dyDescent="0.25">
      <c r="A7500" s="36"/>
      <c r="B7500" s="34"/>
      <c r="G7500" s="31"/>
    </row>
    <row r="7501" spans="1:7" x14ac:dyDescent="0.25">
      <c r="A7501" s="36"/>
      <c r="B7501" s="34"/>
      <c r="G7501" s="31"/>
    </row>
    <row r="7502" spans="1:7" x14ac:dyDescent="0.25">
      <c r="A7502" s="36"/>
      <c r="B7502" s="34"/>
      <c r="G7502" s="31"/>
    </row>
    <row r="7503" spans="1:7" x14ac:dyDescent="0.25">
      <c r="A7503" s="36"/>
      <c r="B7503" s="34"/>
      <c r="G7503" s="31"/>
    </row>
    <row r="7504" spans="1:7" x14ac:dyDescent="0.25">
      <c r="A7504" s="36"/>
      <c r="B7504" s="34"/>
      <c r="G7504" s="31"/>
    </row>
    <row r="7505" spans="1:7" x14ac:dyDescent="0.25">
      <c r="A7505" s="36"/>
      <c r="B7505" s="34"/>
      <c r="G7505" s="31"/>
    </row>
    <row r="7506" spans="1:7" x14ac:dyDescent="0.25">
      <c r="A7506" s="36"/>
      <c r="B7506" s="34"/>
      <c r="G7506" s="31"/>
    </row>
    <row r="7507" spans="1:7" x14ac:dyDescent="0.25">
      <c r="A7507" s="36"/>
      <c r="B7507" s="34"/>
      <c r="G7507" s="31"/>
    </row>
    <row r="7508" spans="1:7" x14ac:dyDescent="0.25">
      <c r="A7508" s="36"/>
      <c r="B7508" s="34"/>
      <c r="G7508" s="31"/>
    </row>
    <row r="7509" spans="1:7" x14ac:dyDescent="0.25">
      <c r="A7509" s="36"/>
      <c r="B7509" s="34"/>
      <c r="G7509" s="31"/>
    </row>
    <row r="7510" spans="1:7" x14ac:dyDescent="0.25">
      <c r="A7510" s="36"/>
      <c r="B7510" s="34"/>
      <c r="G7510" s="31"/>
    </row>
    <row r="7511" spans="1:7" x14ac:dyDescent="0.25">
      <c r="A7511" s="36"/>
      <c r="B7511" s="34"/>
      <c r="G7511" s="31"/>
    </row>
    <row r="7512" spans="1:7" x14ac:dyDescent="0.25">
      <c r="A7512" s="36"/>
      <c r="B7512" s="34"/>
      <c r="G7512" s="31"/>
    </row>
    <row r="7513" spans="1:7" x14ac:dyDescent="0.25">
      <c r="A7513" s="36"/>
      <c r="B7513" s="34"/>
      <c r="G7513" s="31"/>
    </row>
    <row r="7514" spans="1:7" x14ac:dyDescent="0.25">
      <c r="A7514" s="36"/>
      <c r="B7514" s="34"/>
      <c r="G7514" s="31"/>
    </row>
    <row r="7515" spans="1:7" x14ac:dyDescent="0.25">
      <c r="A7515" s="36"/>
      <c r="B7515" s="34"/>
      <c r="G7515" s="31"/>
    </row>
    <row r="7516" spans="1:7" x14ac:dyDescent="0.25">
      <c r="A7516" s="36"/>
      <c r="B7516" s="34"/>
      <c r="G7516" s="31"/>
    </row>
    <row r="7517" spans="1:7" x14ac:dyDescent="0.25">
      <c r="A7517" s="36"/>
      <c r="B7517" s="34"/>
      <c r="G7517" s="31"/>
    </row>
    <row r="7518" spans="1:7" x14ac:dyDescent="0.25">
      <c r="A7518" s="36"/>
      <c r="B7518" s="34"/>
      <c r="G7518" s="31"/>
    </row>
    <row r="7519" spans="1:7" x14ac:dyDescent="0.25">
      <c r="A7519" s="36"/>
      <c r="B7519" s="34"/>
      <c r="G7519" s="31"/>
    </row>
    <row r="7520" spans="1:7" x14ac:dyDescent="0.25">
      <c r="A7520" s="36"/>
      <c r="B7520" s="34"/>
      <c r="G7520" s="31"/>
    </row>
    <row r="7521" spans="1:7" x14ac:dyDescent="0.25">
      <c r="A7521" s="36"/>
      <c r="B7521" s="34"/>
      <c r="G7521" s="31"/>
    </row>
    <row r="7522" spans="1:7" x14ac:dyDescent="0.25">
      <c r="A7522" s="36"/>
      <c r="B7522" s="34"/>
      <c r="G7522" s="31"/>
    </row>
    <row r="7523" spans="1:7" x14ac:dyDescent="0.25">
      <c r="A7523" s="36"/>
      <c r="B7523" s="34"/>
      <c r="G7523" s="31"/>
    </row>
    <row r="7524" spans="1:7" x14ac:dyDescent="0.25">
      <c r="A7524" s="36"/>
      <c r="B7524" s="34"/>
      <c r="G7524" s="31"/>
    </row>
    <row r="7525" spans="1:7" x14ac:dyDescent="0.25">
      <c r="A7525" s="36"/>
      <c r="B7525" s="34"/>
      <c r="G7525" s="31"/>
    </row>
    <row r="7526" spans="1:7" x14ac:dyDescent="0.25">
      <c r="A7526" s="36"/>
      <c r="B7526" s="34"/>
      <c r="G7526" s="31"/>
    </row>
    <row r="7527" spans="1:7" x14ac:dyDescent="0.25">
      <c r="A7527" s="36"/>
      <c r="B7527" s="34"/>
      <c r="G7527" s="31"/>
    </row>
    <row r="7528" spans="1:7" x14ac:dyDescent="0.25">
      <c r="A7528" s="36"/>
      <c r="B7528" s="34"/>
      <c r="G7528" s="31"/>
    </row>
    <row r="7529" spans="1:7" x14ac:dyDescent="0.25">
      <c r="A7529" s="36"/>
      <c r="B7529" s="34"/>
      <c r="G7529" s="31"/>
    </row>
    <row r="7530" spans="1:7" x14ac:dyDescent="0.25">
      <c r="A7530" s="36"/>
      <c r="B7530" s="34"/>
      <c r="G7530" s="31"/>
    </row>
    <row r="7531" spans="1:7" x14ac:dyDescent="0.25">
      <c r="A7531" s="36"/>
      <c r="B7531" s="34"/>
      <c r="G7531" s="31"/>
    </row>
    <row r="7532" spans="1:7" x14ac:dyDescent="0.25">
      <c r="A7532" s="36"/>
      <c r="B7532" s="34"/>
      <c r="G7532" s="31"/>
    </row>
    <row r="7533" spans="1:7" x14ac:dyDescent="0.25">
      <c r="A7533" s="36"/>
      <c r="B7533" s="34"/>
      <c r="G7533" s="31"/>
    </row>
    <row r="7534" spans="1:7" x14ac:dyDescent="0.25">
      <c r="A7534" s="36"/>
      <c r="B7534" s="34"/>
      <c r="G7534" s="31"/>
    </row>
    <row r="7535" spans="1:7" x14ac:dyDescent="0.25">
      <c r="A7535" s="36"/>
      <c r="B7535" s="34"/>
      <c r="G7535" s="31"/>
    </row>
    <row r="7536" spans="1:7" x14ac:dyDescent="0.25">
      <c r="A7536" s="36"/>
      <c r="B7536" s="34"/>
      <c r="G7536" s="31"/>
    </row>
    <row r="7537" spans="1:7" x14ac:dyDescent="0.25">
      <c r="A7537" s="36"/>
      <c r="B7537" s="34"/>
      <c r="G7537" s="31"/>
    </row>
    <row r="7538" spans="1:7" x14ac:dyDescent="0.25">
      <c r="A7538" s="36"/>
      <c r="B7538" s="34"/>
      <c r="G7538" s="31"/>
    </row>
    <row r="7539" spans="1:7" x14ac:dyDescent="0.25">
      <c r="A7539" s="36"/>
      <c r="B7539" s="34"/>
      <c r="G7539" s="31"/>
    </row>
    <row r="7540" spans="1:7" x14ac:dyDescent="0.25">
      <c r="A7540" s="36"/>
      <c r="B7540" s="34"/>
      <c r="G7540" s="31"/>
    </row>
    <row r="7541" spans="1:7" x14ac:dyDescent="0.25">
      <c r="A7541" s="36"/>
      <c r="B7541" s="34"/>
      <c r="G7541" s="31"/>
    </row>
    <row r="7542" spans="1:7" x14ac:dyDescent="0.25">
      <c r="A7542" s="36"/>
      <c r="B7542" s="34"/>
      <c r="G7542" s="31"/>
    </row>
    <row r="7543" spans="1:7" x14ac:dyDescent="0.25">
      <c r="A7543" s="36"/>
      <c r="B7543" s="34"/>
      <c r="G7543" s="31"/>
    </row>
    <row r="7544" spans="1:7" x14ac:dyDescent="0.25">
      <c r="A7544" s="36"/>
      <c r="B7544" s="34"/>
      <c r="G7544" s="31"/>
    </row>
    <row r="7545" spans="1:7" x14ac:dyDescent="0.25">
      <c r="A7545" s="36"/>
      <c r="B7545" s="34"/>
      <c r="G7545" s="31"/>
    </row>
    <row r="7546" spans="1:7" x14ac:dyDescent="0.25">
      <c r="A7546" s="36"/>
      <c r="B7546" s="34"/>
      <c r="G7546" s="31"/>
    </row>
    <row r="7547" spans="1:7" x14ac:dyDescent="0.25">
      <c r="A7547" s="36"/>
      <c r="B7547" s="34"/>
      <c r="G7547" s="31"/>
    </row>
    <row r="7548" spans="1:7" x14ac:dyDescent="0.25">
      <c r="A7548" s="36"/>
      <c r="B7548" s="34"/>
      <c r="G7548" s="31"/>
    </row>
    <row r="7549" spans="1:7" x14ac:dyDescent="0.25">
      <c r="A7549" s="36"/>
      <c r="B7549" s="34"/>
      <c r="G7549" s="31"/>
    </row>
    <row r="7550" spans="1:7" x14ac:dyDescent="0.25">
      <c r="A7550" s="36"/>
      <c r="B7550" s="34"/>
      <c r="G7550" s="31"/>
    </row>
    <row r="7551" spans="1:7" x14ac:dyDescent="0.25">
      <c r="A7551" s="36"/>
      <c r="B7551" s="34"/>
      <c r="G7551" s="31"/>
    </row>
    <row r="7552" spans="1:7" x14ac:dyDescent="0.25">
      <c r="A7552" s="36"/>
      <c r="B7552" s="34"/>
      <c r="G7552" s="31"/>
    </row>
    <row r="7553" spans="1:7" x14ac:dyDescent="0.25">
      <c r="A7553" s="36"/>
      <c r="B7553" s="34"/>
      <c r="G7553" s="31"/>
    </row>
    <row r="7554" spans="1:7" x14ac:dyDescent="0.25">
      <c r="A7554" s="36"/>
      <c r="B7554" s="34"/>
      <c r="G7554" s="31"/>
    </row>
    <row r="7555" spans="1:7" x14ac:dyDescent="0.25">
      <c r="A7555" s="36"/>
      <c r="B7555" s="34"/>
      <c r="G7555" s="31"/>
    </row>
    <row r="7556" spans="1:7" x14ac:dyDescent="0.25">
      <c r="A7556" s="36"/>
      <c r="B7556" s="34"/>
      <c r="G7556" s="31"/>
    </row>
    <row r="7557" spans="1:7" x14ac:dyDescent="0.25">
      <c r="A7557" s="36"/>
      <c r="B7557" s="34"/>
      <c r="G7557" s="31"/>
    </row>
    <row r="7558" spans="1:7" x14ac:dyDescent="0.25">
      <c r="A7558" s="36"/>
      <c r="B7558" s="34"/>
      <c r="G7558" s="31"/>
    </row>
    <row r="7559" spans="1:7" x14ac:dyDescent="0.25">
      <c r="A7559" s="36"/>
      <c r="B7559" s="34"/>
      <c r="G7559" s="31"/>
    </row>
    <row r="7560" spans="1:7" x14ac:dyDescent="0.25">
      <c r="A7560" s="36"/>
      <c r="B7560" s="34"/>
      <c r="G7560" s="31"/>
    </row>
    <row r="7561" spans="1:7" x14ac:dyDescent="0.25">
      <c r="A7561" s="36"/>
      <c r="B7561" s="34"/>
      <c r="G7561" s="31"/>
    </row>
    <row r="7562" spans="1:7" x14ac:dyDescent="0.25">
      <c r="A7562" s="36"/>
      <c r="B7562" s="34"/>
      <c r="G7562" s="31"/>
    </row>
    <row r="7563" spans="1:7" x14ac:dyDescent="0.25">
      <c r="A7563" s="36"/>
      <c r="B7563" s="34"/>
      <c r="G7563" s="31"/>
    </row>
    <row r="7564" spans="1:7" x14ac:dyDescent="0.25">
      <c r="A7564" s="36"/>
      <c r="B7564" s="34"/>
      <c r="G7564" s="31"/>
    </row>
    <row r="7565" spans="1:7" x14ac:dyDescent="0.25">
      <c r="A7565" s="36"/>
      <c r="B7565" s="34"/>
      <c r="G7565" s="31"/>
    </row>
    <row r="7566" spans="1:7" x14ac:dyDescent="0.25">
      <c r="A7566" s="36"/>
      <c r="B7566" s="34"/>
      <c r="G7566" s="31"/>
    </row>
    <row r="7567" spans="1:7" x14ac:dyDescent="0.25">
      <c r="A7567" s="36"/>
      <c r="B7567" s="34"/>
      <c r="G7567" s="31"/>
    </row>
    <row r="7568" spans="1:7" x14ac:dyDescent="0.25">
      <c r="A7568" s="36"/>
      <c r="B7568" s="34"/>
      <c r="G7568" s="31"/>
    </row>
    <row r="7569" spans="1:7" x14ac:dyDescent="0.25">
      <c r="A7569" s="36"/>
      <c r="B7569" s="34"/>
      <c r="G7569" s="31"/>
    </row>
    <row r="7570" spans="1:7" x14ac:dyDescent="0.25">
      <c r="A7570" s="36"/>
      <c r="B7570" s="34"/>
      <c r="G7570" s="31"/>
    </row>
    <row r="7571" spans="1:7" x14ac:dyDescent="0.25">
      <c r="A7571" s="36"/>
      <c r="B7571" s="34"/>
      <c r="G7571" s="31"/>
    </row>
    <row r="7572" spans="1:7" x14ac:dyDescent="0.25">
      <c r="A7572" s="36"/>
      <c r="B7572" s="34"/>
      <c r="G7572" s="31"/>
    </row>
    <row r="7573" spans="1:7" x14ac:dyDescent="0.25">
      <c r="A7573" s="36"/>
      <c r="B7573" s="34"/>
      <c r="G7573" s="31"/>
    </row>
    <row r="7574" spans="1:7" x14ac:dyDescent="0.25">
      <c r="A7574" s="36"/>
      <c r="B7574" s="34"/>
      <c r="G7574" s="31"/>
    </row>
    <row r="7575" spans="1:7" x14ac:dyDescent="0.25">
      <c r="A7575" s="36"/>
      <c r="B7575" s="34"/>
      <c r="G7575" s="31"/>
    </row>
    <row r="7576" spans="1:7" x14ac:dyDescent="0.25">
      <c r="A7576" s="36"/>
      <c r="B7576" s="34"/>
      <c r="G7576" s="31"/>
    </row>
    <row r="7577" spans="1:7" x14ac:dyDescent="0.25">
      <c r="A7577" s="36"/>
      <c r="B7577" s="34"/>
      <c r="G7577" s="31"/>
    </row>
    <row r="7578" spans="1:7" x14ac:dyDescent="0.25">
      <c r="A7578" s="36"/>
      <c r="B7578" s="34"/>
      <c r="G7578" s="31"/>
    </row>
    <row r="7579" spans="1:7" x14ac:dyDescent="0.25">
      <c r="A7579" s="36"/>
      <c r="B7579" s="34"/>
      <c r="G7579" s="31"/>
    </row>
    <row r="7580" spans="1:7" x14ac:dyDescent="0.25">
      <c r="A7580" s="36"/>
      <c r="B7580" s="34"/>
      <c r="G7580" s="31"/>
    </row>
    <row r="7581" spans="1:7" x14ac:dyDescent="0.25">
      <c r="A7581" s="36"/>
      <c r="B7581" s="34"/>
      <c r="G7581" s="31"/>
    </row>
    <row r="7582" spans="1:7" x14ac:dyDescent="0.25">
      <c r="A7582" s="36"/>
      <c r="B7582" s="34"/>
      <c r="G7582" s="31"/>
    </row>
    <row r="7583" spans="1:7" x14ac:dyDescent="0.25">
      <c r="A7583" s="36"/>
      <c r="B7583" s="34"/>
      <c r="G7583" s="31"/>
    </row>
    <row r="7584" spans="1:7" x14ac:dyDescent="0.25">
      <c r="A7584" s="36"/>
      <c r="B7584" s="34"/>
      <c r="G7584" s="31"/>
    </row>
    <row r="7585" spans="1:7" x14ac:dyDescent="0.25">
      <c r="A7585" s="36"/>
      <c r="B7585" s="34"/>
      <c r="G7585" s="31"/>
    </row>
    <row r="7586" spans="1:7" x14ac:dyDescent="0.25">
      <c r="A7586" s="36"/>
      <c r="B7586" s="34"/>
      <c r="G7586" s="31"/>
    </row>
    <row r="7587" spans="1:7" x14ac:dyDescent="0.25">
      <c r="A7587" s="36"/>
      <c r="B7587" s="34"/>
      <c r="G7587" s="31"/>
    </row>
    <row r="7588" spans="1:7" x14ac:dyDescent="0.25">
      <c r="A7588" s="36"/>
      <c r="B7588" s="34"/>
      <c r="G7588" s="31"/>
    </row>
    <row r="7589" spans="1:7" x14ac:dyDescent="0.25">
      <c r="A7589" s="36"/>
      <c r="B7589" s="34"/>
      <c r="G7589" s="31"/>
    </row>
    <row r="7590" spans="1:7" x14ac:dyDescent="0.25">
      <c r="A7590" s="36"/>
      <c r="B7590" s="34"/>
      <c r="G7590" s="31"/>
    </row>
    <row r="7591" spans="1:7" x14ac:dyDescent="0.25">
      <c r="A7591" s="36"/>
      <c r="B7591" s="34"/>
      <c r="G7591" s="31"/>
    </row>
    <row r="7592" spans="1:7" x14ac:dyDescent="0.25">
      <c r="A7592" s="36"/>
      <c r="B7592" s="34"/>
      <c r="G7592" s="31"/>
    </row>
    <row r="7593" spans="1:7" x14ac:dyDescent="0.25">
      <c r="A7593" s="36"/>
      <c r="B7593" s="34"/>
      <c r="G7593" s="31"/>
    </row>
    <row r="7594" spans="1:7" x14ac:dyDescent="0.25">
      <c r="A7594" s="36"/>
      <c r="B7594" s="34"/>
      <c r="G7594" s="31"/>
    </row>
    <row r="7595" spans="1:7" x14ac:dyDescent="0.25">
      <c r="A7595" s="36"/>
      <c r="B7595" s="34"/>
      <c r="G7595" s="31"/>
    </row>
    <row r="7596" spans="1:7" x14ac:dyDescent="0.25">
      <c r="A7596" s="36"/>
      <c r="B7596" s="34"/>
      <c r="G7596" s="31"/>
    </row>
    <row r="7597" spans="1:7" x14ac:dyDescent="0.25">
      <c r="A7597" s="36"/>
      <c r="B7597" s="34"/>
      <c r="G7597" s="31"/>
    </row>
    <row r="7598" spans="1:7" x14ac:dyDescent="0.25">
      <c r="A7598" s="36"/>
      <c r="B7598" s="34"/>
      <c r="G7598" s="31"/>
    </row>
    <row r="7599" spans="1:7" x14ac:dyDescent="0.25">
      <c r="A7599" s="36"/>
      <c r="B7599" s="34"/>
      <c r="G7599" s="31"/>
    </row>
    <row r="7600" spans="1:7" x14ac:dyDescent="0.25">
      <c r="A7600" s="36"/>
      <c r="B7600" s="34"/>
      <c r="G7600" s="31"/>
    </row>
    <row r="7601" spans="1:7" x14ac:dyDescent="0.25">
      <c r="A7601" s="36"/>
      <c r="B7601" s="34"/>
      <c r="G7601" s="31"/>
    </row>
    <row r="7602" spans="1:7" x14ac:dyDescent="0.25">
      <c r="A7602" s="36"/>
      <c r="B7602" s="34"/>
      <c r="G7602" s="31"/>
    </row>
    <row r="7603" spans="1:7" x14ac:dyDescent="0.25">
      <c r="A7603" s="36"/>
      <c r="B7603" s="34"/>
      <c r="G7603" s="31"/>
    </row>
    <row r="7604" spans="1:7" x14ac:dyDescent="0.25">
      <c r="A7604" s="36"/>
      <c r="B7604" s="34"/>
      <c r="G7604" s="31"/>
    </row>
    <row r="7605" spans="1:7" x14ac:dyDescent="0.25">
      <c r="A7605" s="36"/>
      <c r="B7605" s="34"/>
      <c r="G7605" s="31"/>
    </row>
    <row r="7606" spans="1:7" x14ac:dyDescent="0.25">
      <c r="A7606" s="36"/>
      <c r="B7606" s="34"/>
      <c r="G7606" s="31"/>
    </row>
    <row r="7607" spans="1:7" x14ac:dyDescent="0.25">
      <c r="A7607" s="36"/>
      <c r="B7607" s="34"/>
      <c r="G7607" s="31"/>
    </row>
    <row r="7608" spans="1:7" x14ac:dyDescent="0.25">
      <c r="A7608" s="36"/>
      <c r="B7608" s="34"/>
      <c r="G7608" s="31"/>
    </row>
    <row r="7609" spans="1:7" x14ac:dyDescent="0.25">
      <c r="A7609" s="36"/>
      <c r="B7609" s="34"/>
      <c r="G7609" s="31"/>
    </row>
    <row r="7610" spans="1:7" x14ac:dyDescent="0.25">
      <c r="A7610" s="36"/>
      <c r="B7610" s="34"/>
      <c r="G7610" s="31"/>
    </row>
    <row r="7611" spans="1:7" x14ac:dyDescent="0.25">
      <c r="A7611" s="36"/>
      <c r="B7611" s="34"/>
      <c r="G7611" s="31"/>
    </row>
    <row r="7612" spans="1:7" x14ac:dyDescent="0.25">
      <c r="A7612" s="36"/>
      <c r="B7612" s="34"/>
      <c r="G7612" s="31"/>
    </row>
    <row r="7613" spans="1:7" x14ac:dyDescent="0.25">
      <c r="A7613" s="36"/>
      <c r="B7613" s="34"/>
      <c r="G7613" s="31"/>
    </row>
    <row r="7614" spans="1:7" x14ac:dyDescent="0.25">
      <c r="A7614" s="36"/>
      <c r="B7614" s="34"/>
      <c r="G7614" s="31"/>
    </row>
    <row r="7615" spans="1:7" x14ac:dyDescent="0.25">
      <c r="A7615" s="36"/>
      <c r="B7615" s="34"/>
      <c r="G7615" s="31"/>
    </row>
    <row r="7616" spans="1:7" x14ac:dyDescent="0.25">
      <c r="A7616" s="36"/>
      <c r="B7616" s="34"/>
      <c r="G7616" s="31"/>
    </row>
    <row r="7617" spans="1:7" x14ac:dyDescent="0.25">
      <c r="A7617" s="36"/>
      <c r="B7617" s="34"/>
      <c r="G7617" s="31"/>
    </row>
    <row r="7618" spans="1:7" x14ac:dyDescent="0.25">
      <c r="A7618" s="36"/>
      <c r="B7618" s="34"/>
      <c r="G7618" s="31"/>
    </row>
    <row r="7619" spans="1:7" x14ac:dyDescent="0.25">
      <c r="A7619" s="36"/>
      <c r="B7619" s="34"/>
      <c r="G7619" s="31"/>
    </row>
    <row r="7620" spans="1:7" x14ac:dyDescent="0.25">
      <c r="A7620" s="36"/>
      <c r="B7620" s="34"/>
      <c r="G7620" s="31"/>
    </row>
    <row r="7621" spans="1:7" x14ac:dyDescent="0.25">
      <c r="A7621" s="36"/>
      <c r="B7621" s="34"/>
      <c r="G7621" s="31"/>
    </row>
    <row r="7622" spans="1:7" x14ac:dyDescent="0.25">
      <c r="A7622" s="36"/>
      <c r="B7622" s="34"/>
      <c r="G7622" s="31"/>
    </row>
    <row r="7623" spans="1:7" x14ac:dyDescent="0.25">
      <c r="A7623" s="36"/>
      <c r="B7623" s="34"/>
      <c r="G7623" s="31"/>
    </row>
    <row r="7624" spans="1:7" x14ac:dyDescent="0.25">
      <c r="A7624" s="36"/>
      <c r="B7624" s="34"/>
      <c r="G7624" s="31"/>
    </row>
    <row r="7625" spans="1:7" x14ac:dyDescent="0.25">
      <c r="A7625" s="36"/>
      <c r="B7625" s="34"/>
      <c r="G7625" s="31"/>
    </row>
    <row r="7626" spans="1:7" x14ac:dyDescent="0.25">
      <c r="A7626" s="36"/>
      <c r="B7626" s="34"/>
      <c r="G7626" s="31"/>
    </row>
    <row r="7627" spans="1:7" x14ac:dyDescent="0.25">
      <c r="A7627" s="36"/>
      <c r="B7627" s="34"/>
      <c r="G7627" s="31"/>
    </row>
    <row r="7628" spans="1:7" x14ac:dyDescent="0.25">
      <c r="A7628" s="36"/>
      <c r="B7628" s="34"/>
      <c r="G7628" s="31"/>
    </row>
    <row r="7629" spans="1:7" x14ac:dyDescent="0.25">
      <c r="A7629" s="36"/>
      <c r="B7629" s="34"/>
      <c r="G7629" s="31"/>
    </row>
    <row r="7630" spans="1:7" x14ac:dyDescent="0.25">
      <c r="A7630" s="36"/>
      <c r="B7630" s="34"/>
      <c r="G7630" s="31"/>
    </row>
    <row r="7631" spans="1:7" x14ac:dyDescent="0.25">
      <c r="A7631" s="36"/>
      <c r="B7631" s="34"/>
      <c r="G7631" s="31"/>
    </row>
    <row r="7632" spans="1:7" x14ac:dyDescent="0.25">
      <c r="A7632" s="36"/>
      <c r="B7632" s="34"/>
      <c r="G7632" s="31"/>
    </row>
    <row r="7633" spans="1:7" x14ac:dyDescent="0.25">
      <c r="A7633" s="36"/>
      <c r="B7633" s="34"/>
      <c r="G7633" s="31"/>
    </row>
    <row r="7634" spans="1:7" x14ac:dyDescent="0.25">
      <c r="A7634" s="36"/>
      <c r="B7634" s="34"/>
      <c r="G7634" s="31"/>
    </row>
    <row r="7635" spans="1:7" x14ac:dyDescent="0.25">
      <c r="A7635" s="36"/>
      <c r="B7635" s="34"/>
      <c r="G7635" s="31"/>
    </row>
    <row r="7636" spans="1:7" x14ac:dyDescent="0.25">
      <c r="A7636" s="36"/>
      <c r="B7636" s="34"/>
      <c r="G7636" s="31"/>
    </row>
    <row r="7637" spans="1:7" x14ac:dyDescent="0.25">
      <c r="A7637" s="36"/>
      <c r="B7637" s="34"/>
      <c r="G7637" s="31"/>
    </row>
    <row r="7638" spans="1:7" x14ac:dyDescent="0.25">
      <c r="A7638" s="36"/>
      <c r="B7638" s="34"/>
      <c r="G7638" s="31"/>
    </row>
    <row r="7639" spans="1:7" x14ac:dyDescent="0.25">
      <c r="A7639" s="36"/>
      <c r="B7639" s="34"/>
      <c r="G7639" s="31"/>
    </row>
    <row r="7640" spans="1:7" x14ac:dyDescent="0.25">
      <c r="A7640" s="36"/>
      <c r="B7640" s="34"/>
      <c r="G7640" s="31"/>
    </row>
    <row r="7641" spans="1:7" x14ac:dyDescent="0.25">
      <c r="A7641" s="36"/>
      <c r="B7641" s="34"/>
      <c r="G7641" s="31"/>
    </row>
    <row r="7642" spans="1:7" x14ac:dyDescent="0.25">
      <c r="A7642" s="36"/>
      <c r="B7642" s="34"/>
      <c r="G7642" s="31"/>
    </row>
    <row r="7643" spans="1:7" x14ac:dyDescent="0.25">
      <c r="A7643" s="36"/>
      <c r="B7643" s="34"/>
      <c r="G7643" s="31"/>
    </row>
    <row r="7644" spans="1:7" x14ac:dyDescent="0.25">
      <c r="A7644" s="36"/>
      <c r="B7644" s="34"/>
      <c r="G7644" s="31"/>
    </row>
    <row r="7645" spans="1:7" x14ac:dyDescent="0.25">
      <c r="A7645" s="36"/>
      <c r="B7645" s="34"/>
      <c r="G7645" s="31"/>
    </row>
    <row r="7646" spans="1:7" x14ac:dyDescent="0.25">
      <c r="A7646" s="36"/>
      <c r="B7646" s="34"/>
      <c r="G7646" s="31"/>
    </row>
    <row r="7647" spans="1:7" x14ac:dyDescent="0.25">
      <c r="A7647" s="36"/>
      <c r="B7647" s="34"/>
      <c r="G7647" s="31"/>
    </row>
    <row r="7648" spans="1:7" x14ac:dyDescent="0.25">
      <c r="A7648" s="36"/>
      <c r="B7648" s="34"/>
      <c r="G7648" s="31"/>
    </row>
    <row r="7649" spans="1:7" x14ac:dyDescent="0.25">
      <c r="A7649" s="36"/>
      <c r="B7649" s="34"/>
      <c r="G7649" s="31"/>
    </row>
    <row r="7650" spans="1:7" x14ac:dyDescent="0.25">
      <c r="A7650" s="36"/>
      <c r="B7650" s="34"/>
      <c r="G7650" s="31"/>
    </row>
    <row r="7651" spans="1:7" x14ac:dyDescent="0.25">
      <c r="A7651" s="36"/>
      <c r="B7651" s="34"/>
      <c r="G7651" s="31"/>
    </row>
    <row r="7652" spans="1:7" x14ac:dyDescent="0.25">
      <c r="A7652" s="36"/>
      <c r="B7652" s="34"/>
      <c r="G7652" s="31"/>
    </row>
    <row r="7653" spans="1:7" x14ac:dyDescent="0.25">
      <c r="A7653" s="36"/>
      <c r="B7653" s="34"/>
      <c r="G7653" s="31"/>
    </row>
    <row r="7654" spans="1:7" x14ac:dyDescent="0.25">
      <c r="A7654" s="36"/>
      <c r="B7654" s="34"/>
      <c r="G7654" s="31"/>
    </row>
    <row r="7655" spans="1:7" x14ac:dyDescent="0.25">
      <c r="A7655" s="36"/>
      <c r="B7655" s="34"/>
      <c r="G7655" s="31"/>
    </row>
    <row r="7656" spans="1:7" x14ac:dyDescent="0.25">
      <c r="A7656" s="36"/>
      <c r="B7656" s="34"/>
      <c r="G7656" s="31"/>
    </row>
    <row r="7657" spans="1:7" x14ac:dyDescent="0.25">
      <c r="A7657" s="36"/>
      <c r="B7657" s="34"/>
      <c r="G7657" s="31"/>
    </row>
    <row r="7658" spans="1:7" x14ac:dyDescent="0.25">
      <c r="A7658" s="36"/>
      <c r="B7658" s="34"/>
      <c r="G7658" s="31"/>
    </row>
    <row r="7659" spans="1:7" x14ac:dyDescent="0.25">
      <c r="A7659" s="36"/>
      <c r="B7659" s="34"/>
      <c r="G7659" s="31"/>
    </row>
    <row r="7660" spans="1:7" x14ac:dyDescent="0.25">
      <c r="A7660" s="36"/>
      <c r="B7660" s="34"/>
      <c r="G7660" s="31"/>
    </row>
    <row r="7661" spans="1:7" x14ac:dyDescent="0.25">
      <c r="A7661" s="36"/>
      <c r="B7661" s="34"/>
      <c r="G7661" s="31"/>
    </row>
    <row r="7662" spans="1:7" x14ac:dyDescent="0.25">
      <c r="A7662" s="36"/>
      <c r="B7662" s="34"/>
      <c r="G7662" s="31"/>
    </row>
    <row r="7663" spans="1:7" x14ac:dyDescent="0.25">
      <c r="A7663" s="36"/>
      <c r="B7663" s="34"/>
      <c r="G7663" s="31"/>
    </row>
    <row r="7664" spans="1:7" x14ac:dyDescent="0.25">
      <c r="A7664" s="36"/>
      <c r="B7664" s="34"/>
      <c r="G7664" s="31"/>
    </row>
    <row r="7665" spans="1:7" x14ac:dyDescent="0.25">
      <c r="A7665" s="36"/>
      <c r="B7665" s="34"/>
      <c r="G7665" s="31"/>
    </row>
    <row r="7666" spans="1:7" x14ac:dyDescent="0.25">
      <c r="A7666" s="36"/>
      <c r="B7666" s="34"/>
      <c r="G7666" s="31"/>
    </row>
    <row r="7667" spans="1:7" x14ac:dyDescent="0.25">
      <c r="A7667" s="36"/>
      <c r="B7667" s="34"/>
      <c r="G7667" s="31"/>
    </row>
    <row r="7668" spans="1:7" x14ac:dyDescent="0.25">
      <c r="A7668" s="36"/>
      <c r="B7668" s="34"/>
      <c r="G7668" s="31"/>
    </row>
    <row r="7669" spans="1:7" x14ac:dyDescent="0.25">
      <c r="A7669" s="36"/>
      <c r="B7669" s="34"/>
      <c r="G7669" s="31"/>
    </row>
    <row r="7670" spans="1:7" x14ac:dyDescent="0.25">
      <c r="A7670" s="36"/>
      <c r="B7670" s="34"/>
      <c r="G7670" s="31"/>
    </row>
    <row r="7671" spans="1:7" x14ac:dyDescent="0.25">
      <c r="A7671" s="36"/>
      <c r="B7671" s="34"/>
      <c r="G7671" s="31"/>
    </row>
    <row r="7672" spans="1:7" x14ac:dyDescent="0.25">
      <c r="A7672" s="36"/>
      <c r="B7672" s="34"/>
      <c r="G7672" s="31"/>
    </row>
    <row r="7673" spans="1:7" x14ac:dyDescent="0.25">
      <c r="A7673" s="36"/>
      <c r="B7673" s="34"/>
      <c r="G7673" s="31"/>
    </row>
    <row r="7674" spans="1:7" x14ac:dyDescent="0.25">
      <c r="A7674" s="36"/>
      <c r="B7674" s="34"/>
      <c r="G7674" s="31"/>
    </row>
    <row r="7675" spans="1:7" x14ac:dyDescent="0.25">
      <c r="A7675" s="36"/>
      <c r="B7675" s="34"/>
      <c r="G7675" s="31"/>
    </row>
    <row r="7676" spans="1:7" x14ac:dyDescent="0.25">
      <c r="A7676" s="36"/>
      <c r="B7676" s="34"/>
      <c r="G7676" s="31"/>
    </row>
    <row r="7677" spans="1:7" x14ac:dyDescent="0.25">
      <c r="A7677" s="36"/>
      <c r="B7677" s="34"/>
      <c r="G7677" s="31"/>
    </row>
    <row r="7678" spans="1:7" x14ac:dyDescent="0.25">
      <c r="A7678" s="36"/>
      <c r="B7678" s="34"/>
      <c r="G7678" s="31"/>
    </row>
    <row r="7679" spans="1:7" x14ac:dyDescent="0.25">
      <c r="A7679" s="36"/>
      <c r="B7679" s="34"/>
      <c r="G7679" s="31"/>
    </row>
    <row r="7680" spans="1:7" x14ac:dyDescent="0.25">
      <c r="A7680" s="36"/>
      <c r="B7680" s="34"/>
      <c r="G7680" s="31"/>
    </row>
    <row r="7681" spans="1:7" x14ac:dyDescent="0.25">
      <c r="A7681" s="36"/>
      <c r="B7681" s="34"/>
      <c r="G7681" s="31"/>
    </row>
    <row r="7682" spans="1:7" x14ac:dyDescent="0.25">
      <c r="A7682" s="36"/>
      <c r="B7682" s="34"/>
      <c r="G7682" s="31"/>
    </row>
    <row r="7683" spans="1:7" x14ac:dyDescent="0.25">
      <c r="A7683" s="36"/>
      <c r="B7683" s="34"/>
      <c r="G7683" s="31"/>
    </row>
    <row r="7684" spans="1:7" x14ac:dyDescent="0.25">
      <c r="A7684" s="36"/>
      <c r="B7684" s="34"/>
      <c r="G7684" s="31"/>
    </row>
    <row r="7685" spans="1:7" x14ac:dyDescent="0.25">
      <c r="A7685" s="36"/>
      <c r="B7685" s="34"/>
      <c r="G7685" s="31"/>
    </row>
    <row r="7686" spans="1:7" x14ac:dyDescent="0.25">
      <c r="A7686" s="36"/>
      <c r="B7686" s="34"/>
      <c r="G7686" s="31"/>
    </row>
    <row r="7687" spans="1:7" x14ac:dyDescent="0.25">
      <c r="A7687" s="36"/>
      <c r="B7687" s="34"/>
      <c r="G7687" s="31"/>
    </row>
    <row r="7688" spans="1:7" x14ac:dyDescent="0.25">
      <c r="A7688" s="36"/>
      <c r="B7688" s="34"/>
      <c r="G7688" s="31"/>
    </row>
    <row r="7689" spans="1:7" x14ac:dyDescent="0.25">
      <c r="A7689" s="36"/>
      <c r="B7689" s="34"/>
      <c r="G7689" s="31"/>
    </row>
    <row r="7690" spans="1:7" x14ac:dyDescent="0.25">
      <c r="A7690" s="36"/>
      <c r="B7690" s="34"/>
      <c r="G7690" s="31"/>
    </row>
    <row r="7691" spans="1:7" x14ac:dyDescent="0.25">
      <c r="A7691" s="36"/>
      <c r="B7691" s="34"/>
      <c r="G7691" s="31"/>
    </row>
    <row r="7692" spans="1:7" x14ac:dyDescent="0.25">
      <c r="A7692" s="36"/>
      <c r="B7692" s="34"/>
      <c r="G7692" s="31"/>
    </row>
    <row r="7693" spans="1:7" x14ac:dyDescent="0.25">
      <c r="A7693" s="36"/>
      <c r="B7693" s="34"/>
      <c r="G7693" s="31"/>
    </row>
    <row r="7694" spans="1:7" x14ac:dyDescent="0.25">
      <c r="A7694" s="36"/>
      <c r="B7694" s="34"/>
      <c r="G7694" s="31"/>
    </row>
    <row r="7695" spans="1:7" x14ac:dyDescent="0.25">
      <c r="A7695" s="36"/>
      <c r="B7695" s="34"/>
      <c r="G7695" s="31"/>
    </row>
    <row r="7696" spans="1:7" x14ac:dyDescent="0.25">
      <c r="A7696" s="36"/>
      <c r="B7696" s="34"/>
      <c r="G7696" s="31"/>
    </row>
    <row r="7697" spans="1:7" x14ac:dyDescent="0.25">
      <c r="A7697" s="36"/>
      <c r="B7697" s="34"/>
      <c r="G7697" s="31"/>
    </row>
    <row r="7698" spans="1:7" x14ac:dyDescent="0.25">
      <c r="A7698" s="36"/>
      <c r="B7698" s="34"/>
      <c r="G7698" s="31"/>
    </row>
    <row r="7699" spans="1:7" x14ac:dyDescent="0.25">
      <c r="A7699" s="36"/>
      <c r="B7699" s="34"/>
      <c r="G7699" s="31"/>
    </row>
    <row r="7700" spans="1:7" x14ac:dyDescent="0.25">
      <c r="A7700" s="36"/>
      <c r="B7700" s="34"/>
      <c r="G7700" s="31"/>
    </row>
    <row r="7701" spans="1:7" x14ac:dyDescent="0.25">
      <c r="A7701" s="36"/>
      <c r="B7701" s="34"/>
      <c r="G7701" s="31"/>
    </row>
    <row r="7702" spans="1:7" x14ac:dyDescent="0.25">
      <c r="A7702" s="36"/>
      <c r="B7702" s="34"/>
      <c r="G7702" s="31"/>
    </row>
    <row r="7703" spans="1:7" x14ac:dyDescent="0.25">
      <c r="A7703" s="36"/>
      <c r="B7703" s="34"/>
      <c r="G7703" s="31"/>
    </row>
    <row r="7704" spans="1:7" x14ac:dyDescent="0.25">
      <c r="A7704" s="36"/>
      <c r="B7704" s="34"/>
      <c r="G7704" s="31"/>
    </row>
    <row r="7705" spans="1:7" x14ac:dyDescent="0.25">
      <c r="A7705" s="36"/>
      <c r="B7705" s="34"/>
      <c r="G7705" s="31"/>
    </row>
    <row r="7706" spans="1:7" x14ac:dyDescent="0.25">
      <c r="A7706" s="36"/>
      <c r="B7706" s="34"/>
      <c r="G7706" s="31"/>
    </row>
    <row r="7707" spans="1:7" x14ac:dyDescent="0.25">
      <c r="A7707" s="36"/>
      <c r="B7707" s="34"/>
      <c r="G7707" s="31"/>
    </row>
    <row r="7708" spans="1:7" x14ac:dyDescent="0.25">
      <c r="A7708" s="36"/>
      <c r="B7708" s="34"/>
      <c r="G7708" s="31"/>
    </row>
    <row r="7709" spans="1:7" x14ac:dyDescent="0.25">
      <c r="A7709" s="36"/>
      <c r="B7709" s="34"/>
      <c r="G7709" s="31"/>
    </row>
    <row r="7710" spans="1:7" x14ac:dyDescent="0.25">
      <c r="A7710" s="36"/>
      <c r="B7710" s="34"/>
      <c r="G7710" s="31"/>
    </row>
    <row r="7711" spans="1:7" x14ac:dyDescent="0.25">
      <c r="A7711" s="36"/>
      <c r="B7711" s="34"/>
      <c r="G7711" s="31"/>
    </row>
    <row r="7712" spans="1:7" x14ac:dyDescent="0.25">
      <c r="A7712" s="36"/>
      <c r="B7712" s="34"/>
      <c r="G7712" s="31"/>
    </row>
    <row r="7713" spans="1:7" x14ac:dyDescent="0.25">
      <c r="A7713" s="36"/>
      <c r="B7713" s="34"/>
      <c r="G7713" s="31"/>
    </row>
    <row r="7714" spans="1:7" x14ac:dyDescent="0.25">
      <c r="A7714" s="36"/>
      <c r="B7714" s="34"/>
      <c r="G7714" s="31"/>
    </row>
    <row r="7715" spans="1:7" x14ac:dyDescent="0.25">
      <c r="A7715" s="36"/>
      <c r="B7715" s="34"/>
      <c r="G7715" s="31"/>
    </row>
    <row r="7716" spans="1:7" x14ac:dyDescent="0.25">
      <c r="A7716" s="36"/>
      <c r="B7716" s="34"/>
      <c r="G7716" s="31"/>
    </row>
    <row r="7717" spans="1:7" x14ac:dyDescent="0.25">
      <c r="A7717" s="36"/>
      <c r="B7717" s="34"/>
      <c r="G7717" s="31"/>
    </row>
    <row r="7718" spans="1:7" x14ac:dyDescent="0.25">
      <c r="A7718" s="36"/>
      <c r="B7718" s="34"/>
      <c r="G7718" s="31"/>
    </row>
    <row r="7719" spans="1:7" x14ac:dyDescent="0.25">
      <c r="A7719" s="36"/>
      <c r="B7719" s="34"/>
      <c r="G7719" s="31"/>
    </row>
    <row r="7720" spans="1:7" x14ac:dyDescent="0.25">
      <c r="A7720" s="36"/>
      <c r="B7720" s="34"/>
      <c r="G7720" s="31"/>
    </row>
    <row r="7721" spans="1:7" x14ac:dyDescent="0.25">
      <c r="A7721" s="36"/>
      <c r="B7721" s="34"/>
      <c r="G7721" s="31"/>
    </row>
    <row r="7722" spans="1:7" x14ac:dyDescent="0.25">
      <c r="A7722" s="36"/>
      <c r="B7722" s="34"/>
      <c r="G7722" s="31"/>
    </row>
    <row r="7723" spans="1:7" x14ac:dyDescent="0.25">
      <c r="A7723" s="36"/>
      <c r="B7723" s="34"/>
      <c r="G7723" s="31"/>
    </row>
    <row r="7724" spans="1:7" x14ac:dyDescent="0.25">
      <c r="A7724" s="36"/>
      <c r="B7724" s="34"/>
      <c r="G7724" s="31"/>
    </row>
    <row r="7725" spans="1:7" x14ac:dyDescent="0.25">
      <c r="A7725" s="36"/>
      <c r="B7725" s="34"/>
      <c r="G7725" s="31"/>
    </row>
    <row r="7726" spans="1:7" x14ac:dyDescent="0.25">
      <c r="A7726" s="36"/>
      <c r="B7726" s="34"/>
      <c r="G7726" s="31"/>
    </row>
    <row r="7727" spans="1:7" x14ac:dyDescent="0.25">
      <c r="A7727" s="36"/>
      <c r="B7727" s="34"/>
      <c r="G7727" s="31"/>
    </row>
    <row r="7728" spans="1:7" x14ac:dyDescent="0.25">
      <c r="A7728" s="36"/>
      <c r="B7728" s="34"/>
      <c r="G7728" s="31"/>
    </row>
    <row r="7729" spans="1:7" x14ac:dyDescent="0.25">
      <c r="A7729" s="36"/>
      <c r="B7729" s="34"/>
      <c r="G7729" s="31"/>
    </row>
    <row r="7730" spans="1:7" x14ac:dyDescent="0.25">
      <c r="A7730" s="36"/>
      <c r="B7730" s="34"/>
      <c r="G7730" s="31"/>
    </row>
    <row r="7731" spans="1:7" x14ac:dyDescent="0.25">
      <c r="A7731" s="36"/>
      <c r="B7731" s="34"/>
      <c r="G7731" s="31"/>
    </row>
    <row r="7732" spans="1:7" x14ac:dyDescent="0.25">
      <c r="A7732" s="36"/>
      <c r="B7732" s="34"/>
      <c r="G7732" s="31"/>
    </row>
    <row r="7733" spans="1:7" x14ac:dyDescent="0.25">
      <c r="A7733" s="36"/>
      <c r="B7733" s="34"/>
      <c r="G7733" s="31"/>
    </row>
    <row r="7734" spans="1:7" x14ac:dyDescent="0.25">
      <c r="A7734" s="36"/>
      <c r="B7734" s="34"/>
      <c r="G7734" s="31"/>
    </row>
    <row r="7735" spans="1:7" x14ac:dyDescent="0.25">
      <c r="A7735" s="36"/>
      <c r="B7735" s="34"/>
      <c r="G7735" s="31"/>
    </row>
    <row r="7736" spans="1:7" x14ac:dyDescent="0.25">
      <c r="A7736" s="36"/>
      <c r="B7736" s="34"/>
      <c r="G7736" s="31"/>
    </row>
    <row r="7737" spans="1:7" x14ac:dyDescent="0.25">
      <c r="A7737" s="36"/>
      <c r="B7737" s="34"/>
      <c r="G7737" s="31"/>
    </row>
    <row r="7738" spans="1:7" x14ac:dyDescent="0.25">
      <c r="A7738" s="36"/>
      <c r="B7738" s="34"/>
      <c r="G7738" s="31"/>
    </row>
    <row r="7739" spans="1:7" x14ac:dyDescent="0.25">
      <c r="A7739" s="36"/>
      <c r="B7739" s="34"/>
      <c r="G7739" s="31"/>
    </row>
    <row r="7740" spans="1:7" x14ac:dyDescent="0.25">
      <c r="A7740" s="36"/>
      <c r="B7740" s="34"/>
      <c r="G7740" s="31"/>
    </row>
    <row r="7741" spans="1:7" x14ac:dyDescent="0.25">
      <c r="A7741" s="36"/>
      <c r="B7741" s="34"/>
      <c r="G7741" s="31"/>
    </row>
    <row r="7742" spans="1:7" x14ac:dyDescent="0.25">
      <c r="A7742" s="36"/>
      <c r="B7742" s="34"/>
      <c r="G7742" s="31"/>
    </row>
    <row r="7743" spans="1:7" x14ac:dyDescent="0.25">
      <c r="A7743" s="36"/>
      <c r="B7743" s="34"/>
      <c r="G7743" s="31"/>
    </row>
    <row r="7744" spans="1:7" x14ac:dyDescent="0.25">
      <c r="A7744" s="36"/>
      <c r="B7744" s="34"/>
      <c r="G7744" s="31"/>
    </row>
    <row r="7745" spans="1:7" x14ac:dyDescent="0.25">
      <c r="A7745" s="36"/>
      <c r="B7745" s="34"/>
      <c r="G7745" s="31"/>
    </row>
    <row r="7746" spans="1:7" x14ac:dyDescent="0.25">
      <c r="A7746" s="36"/>
      <c r="B7746" s="34"/>
      <c r="G7746" s="31"/>
    </row>
    <row r="7747" spans="1:7" x14ac:dyDescent="0.25">
      <c r="A7747" s="36"/>
      <c r="B7747" s="34"/>
      <c r="G7747" s="31"/>
    </row>
    <row r="7748" spans="1:7" x14ac:dyDescent="0.25">
      <c r="A7748" s="36"/>
      <c r="B7748" s="34"/>
      <c r="G7748" s="31"/>
    </row>
    <row r="7749" spans="1:7" x14ac:dyDescent="0.25">
      <c r="A7749" s="36"/>
      <c r="B7749" s="34"/>
      <c r="G7749" s="31"/>
    </row>
    <row r="7750" spans="1:7" x14ac:dyDescent="0.25">
      <c r="A7750" s="36"/>
      <c r="B7750" s="34"/>
      <c r="G7750" s="31"/>
    </row>
    <row r="7751" spans="1:7" x14ac:dyDescent="0.25">
      <c r="A7751" s="36"/>
      <c r="B7751" s="34"/>
      <c r="G7751" s="31"/>
    </row>
    <row r="7752" spans="1:7" x14ac:dyDescent="0.25">
      <c r="A7752" s="36"/>
      <c r="B7752" s="34"/>
      <c r="G7752" s="31"/>
    </row>
    <row r="7753" spans="1:7" x14ac:dyDescent="0.25">
      <c r="A7753" s="36"/>
      <c r="B7753" s="34"/>
      <c r="G7753" s="31"/>
    </row>
    <row r="7754" spans="1:7" x14ac:dyDescent="0.25">
      <c r="A7754" s="36"/>
      <c r="B7754" s="34"/>
      <c r="G7754" s="31"/>
    </row>
    <row r="7755" spans="1:7" x14ac:dyDescent="0.25">
      <c r="A7755" s="36"/>
      <c r="B7755" s="34"/>
      <c r="G7755" s="31"/>
    </row>
    <row r="7756" spans="1:7" x14ac:dyDescent="0.25">
      <c r="A7756" s="36"/>
      <c r="B7756" s="34"/>
      <c r="G7756" s="31"/>
    </row>
    <row r="7757" spans="1:7" x14ac:dyDescent="0.25">
      <c r="A7757" s="36"/>
      <c r="B7757" s="34"/>
      <c r="G7757" s="31"/>
    </row>
    <row r="7758" spans="1:7" x14ac:dyDescent="0.25">
      <c r="A7758" s="36"/>
      <c r="B7758" s="34"/>
      <c r="G7758" s="31"/>
    </row>
    <row r="7759" spans="1:7" x14ac:dyDescent="0.25">
      <c r="A7759" s="36"/>
      <c r="B7759" s="34"/>
      <c r="G7759" s="31"/>
    </row>
    <row r="7760" spans="1:7" x14ac:dyDescent="0.25">
      <c r="A7760" s="36"/>
      <c r="B7760" s="34"/>
      <c r="G7760" s="31"/>
    </row>
    <row r="7761" spans="1:7" x14ac:dyDescent="0.25">
      <c r="A7761" s="36"/>
      <c r="B7761" s="34"/>
      <c r="G7761" s="31"/>
    </row>
    <row r="7762" spans="1:7" x14ac:dyDescent="0.25">
      <c r="A7762" s="36"/>
      <c r="B7762" s="34"/>
      <c r="G7762" s="31"/>
    </row>
    <row r="7763" spans="1:7" x14ac:dyDescent="0.25">
      <c r="A7763" s="36"/>
      <c r="B7763" s="34"/>
      <c r="G7763" s="31"/>
    </row>
    <row r="7764" spans="1:7" x14ac:dyDescent="0.25">
      <c r="A7764" s="36"/>
      <c r="B7764" s="34"/>
      <c r="G7764" s="31"/>
    </row>
    <row r="7765" spans="1:7" x14ac:dyDescent="0.25">
      <c r="A7765" s="36"/>
      <c r="B7765" s="34"/>
      <c r="G7765" s="31"/>
    </row>
    <row r="7766" spans="1:7" x14ac:dyDescent="0.25">
      <c r="A7766" s="36"/>
      <c r="B7766" s="34"/>
      <c r="G7766" s="31"/>
    </row>
    <row r="7767" spans="1:7" x14ac:dyDescent="0.25">
      <c r="A7767" s="36"/>
      <c r="B7767" s="34"/>
      <c r="G7767" s="31"/>
    </row>
    <row r="7768" spans="1:7" x14ac:dyDescent="0.25">
      <c r="A7768" s="36"/>
      <c r="B7768" s="34"/>
      <c r="G7768" s="31"/>
    </row>
    <row r="7769" spans="1:7" x14ac:dyDescent="0.25">
      <c r="A7769" s="36"/>
      <c r="B7769" s="34"/>
      <c r="G7769" s="31"/>
    </row>
    <row r="7770" spans="1:7" x14ac:dyDescent="0.25">
      <c r="A7770" s="36"/>
      <c r="B7770" s="34"/>
      <c r="G7770" s="31"/>
    </row>
    <row r="7771" spans="1:7" x14ac:dyDescent="0.25">
      <c r="A7771" s="36"/>
      <c r="B7771" s="34"/>
      <c r="G7771" s="31"/>
    </row>
    <row r="7772" spans="1:7" x14ac:dyDescent="0.25">
      <c r="A7772" s="36"/>
      <c r="B7772" s="34"/>
      <c r="G7772" s="31"/>
    </row>
    <row r="7773" spans="1:7" x14ac:dyDescent="0.25">
      <c r="A7773" s="36"/>
      <c r="B7773" s="34"/>
      <c r="G7773" s="31"/>
    </row>
    <row r="7774" spans="1:7" x14ac:dyDescent="0.25">
      <c r="A7774" s="36"/>
      <c r="B7774" s="34"/>
      <c r="G7774" s="31"/>
    </row>
    <row r="7775" spans="1:7" x14ac:dyDescent="0.25">
      <c r="A7775" s="36"/>
      <c r="B7775" s="34"/>
      <c r="G7775" s="31"/>
    </row>
    <row r="7776" spans="1:7" x14ac:dyDescent="0.25">
      <c r="A7776" s="36"/>
      <c r="B7776" s="34"/>
      <c r="G7776" s="31"/>
    </row>
    <row r="7777" spans="1:7" x14ac:dyDescent="0.25">
      <c r="A7777" s="36"/>
      <c r="B7777" s="34"/>
      <c r="G7777" s="31"/>
    </row>
    <row r="7778" spans="1:7" x14ac:dyDescent="0.25">
      <c r="A7778" s="36"/>
      <c r="B7778" s="34"/>
      <c r="G7778" s="31"/>
    </row>
    <row r="7779" spans="1:7" x14ac:dyDescent="0.25">
      <c r="A7779" s="36"/>
      <c r="B7779" s="34"/>
      <c r="G7779" s="31"/>
    </row>
    <row r="7780" spans="1:7" x14ac:dyDescent="0.25">
      <c r="A7780" s="36"/>
      <c r="B7780" s="34"/>
      <c r="G7780" s="31"/>
    </row>
    <row r="7781" spans="1:7" x14ac:dyDescent="0.25">
      <c r="A7781" s="36"/>
      <c r="B7781" s="34"/>
      <c r="G7781" s="31"/>
    </row>
    <row r="7782" spans="1:7" x14ac:dyDescent="0.25">
      <c r="A7782" s="36"/>
      <c r="B7782" s="34"/>
      <c r="G7782" s="31"/>
    </row>
    <row r="7783" spans="1:7" x14ac:dyDescent="0.25">
      <c r="A7783" s="36"/>
      <c r="B7783" s="34"/>
      <c r="G7783" s="31"/>
    </row>
    <row r="7784" spans="1:7" x14ac:dyDescent="0.25">
      <c r="A7784" s="36"/>
      <c r="B7784" s="34"/>
      <c r="G7784" s="31"/>
    </row>
    <row r="7785" spans="1:7" x14ac:dyDescent="0.25">
      <c r="A7785" s="36"/>
      <c r="B7785" s="34"/>
      <c r="G7785" s="31"/>
    </row>
    <row r="7786" spans="1:7" x14ac:dyDescent="0.25">
      <c r="A7786" s="36"/>
      <c r="B7786" s="34"/>
      <c r="G7786" s="31"/>
    </row>
    <row r="7787" spans="1:7" x14ac:dyDescent="0.25">
      <c r="A7787" s="36"/>
      <c r="B7787" s="34"/>
      <c r="G7787" s="31"/>
    </row>
    <row r="7788" spans="1:7" x14ac:dyDescent="0.25">
      <c r="A7788" s="36"/>
      <c r="B7788" s="34"/>
      <c r="G7788" s="31"/>
    </row>
    <row r="7789" spans="1:7" x14ac:dyDescent="0.25">
      <c r="A7789" s="36"/>
      <c r="B7789" s="34"/>
      <c r="G7789" s="31"/>
    </row>
    <row r="7790" spans="1:7" x14ac:dyDescent="0.25">
      <c r="A7790" s="36"/>
      <c r="B7790" s="34"/>
      <c r="G7790" s="31"/>
    </row>
    <row r="7791" spans="1:7" x14ac:dyDescent="0.25">
      <c r="A7791" s="36"/>
      <c r="B7791" s="34"/>
      <c r="G7791" s="31"/>
    </row>
    <row r="7792" spans="1:7" x14ac:dyDescent="0.25">
      <c r="A7792" s="36"/>
      <c r="B7792" s="34"/>
      <c r="G7792" s="31"/>
    </row>
    <row r="7793" spans="1:7" x14ac:dyDescent="0.25">
      <c r="A7793" s="36"/>
      <c r="B7793" s="34"/>
      <c r="G7793" s="31"/>
    </row>
    <row r="7794" spans="1:7" x14ac:dyDescent="0.25">
      <c r="A7794" s="36"/>
      <c r="B7794" s="34"/>
      <c r="G7794" s="31"/>
    </row>
    <row r="7795" spans="1:7" x14ac:dyDescent="0.25">
      <c r="A7795" s="36"/>
      <c r="B7795" s="34"/>
      <c r="G7795" s="31"/>
    </row>
    <row r="7796" spans="1:7" x14ac:dyDescent="0.25">
      <c r="A7796" s="36"/>
      <c r="B7796" s="34"/>
      <c r="G7796" s="31"/>
    </row>
    <row r="7797" spans="1:7" x14ac:dyDescent="0.25">
      <c r="A7797" s="36"/>
      <c r="B7797" s="34"/>
      <c r="G7797" s="31"/>
    </row>
    <row r="7798" spans="1:7" x14ac:dyDescent="0.25">
      <c r="A7798" s="36"/>
      <c r="B7798" s="34"/>
      <c r="G7798" s="31"/>
    </row>
    <row r="7799" spans="1:7" x14ac:dyDescent="0.25">
      <c r="A7799" s="36"/>
      <c r="B7799" s="34"/>
      <c r="G7799" s="31"/>
    </row>
    <row r="7800" spans="1:7" x14ac:dyDescent="0.25">
      <c r="A7800" s="36"/>
      <c r="B7800" s="34"/>
      <c r="G7800" s="31"/>
    </row>
    <row r="7801" spans="1:7" x14ac:dyDescent="0.25">
      <c r="A7801" s="36"/>
      <c r="B7801" s="34"/>
      <c r="G7801" s="31"/>
    </row>
    <row r="7802" spans="1:7" x14ac:dyDescent="0.25">
      <c r="A7802" s="36"/>
      <c r="B7802" s="34"/>
      <c r="G7802" s="31"/>
    </row>
    <row r="7803" spans="1:7" x14ac:dyDescent="0.25">
      <c r="A7803" s="36"/>
      <c r="B7803" s="34"/>
      <c r="G7803" s="31"/>
    </row>
    <row r="7804" spans="1:7" x14ac:dyDescent="0.25">
      <c r="A7804" s="36"/>
      <c r="B7804" s="34"/>
      <c r="G7804" s="31"/>
    </row>
    <row r="7805" spans="1:7" x14ac:dyDescent="0.25">
      <c r="A7805" s="36"/>
      <c r="B7805" s="34"/>
      <c r="G7805" s="31"/>
    </row>
    <row r="7806" spans="1:7" x14ac:dyDescent="0.25">
      <c r="A7806" s="36"/>
      <c r="B7806" s="34"/>
      <c r="G7806" s="31"/>
    </row>
    <row r="7807" spans="1:7" x14ac:dyDescent="0.25">
      <c r="A7807" s="36"/>
      <c r="B7807" s="34"/>
      <c r="G7807" s="31"/>
    </row>
    <row r="7808" spans="1:7" x14ac:dyDescent="0.25">
      <c r="A7808" s="36"/>
      <c r="B7808" s="34"/>
      <c r="G7808" s="31"/>
    </row>
    <row r="7809" spans="1:7" x14ac:dyDescent="0.25">
      <c r="A7809" s="36"/>
      <c r="B7809" s="34"/>
      <c r="G7809" s="31"/>
    </row>
    <row r="7810" spans="1:7" x14ac:dyDescent="0.25">
      <c r="A7810" s="36"/>
      <c r="B7810" s="34"/>
      <c r="G7810" s="31"/>
    </row>
    <row r="7811" spans="1:7" x14ac:dyDescent="0.25">
      <c r="A7811" s="36"/>
      <c r="B7811" s="34"/>
      <c r="G7811" s="31"/>
    </row>
    <row r="7812" spans="1:7" x14ac:dyDescent="0.25">
      <c r="A7812" s="36"/>
      <c r="B7812" s="34"/>
      <c r="G7812" s="31"/>
    </row>
    <row r="7813" spans="1:7" x14ac:dyDescent="0.25">
      <c r="A7813" s="36"/>
      <c r="B7813" s="34"/>
      <c r="G7813" s="31"/>
    </row>
    <row r="7814" spans="1:7" x14ac:dyDescent="0.25">
      <c r="A7814" s="36"/>
      <c r="B7814" s="34"/>
      <c r="G7814" s="31"/>
    </row>
    <row r="7815" spans="1:7" x14ac:dyDescent="0.25">
      <c r="A7815" s="36"/>
      <c r="B7815" s="34"/>
      <c r="G7815" s="31"/>
    </row>
    <row r="7816" spans="1:7" x14ac:dyDescent="0.25">
      <c r="A7816" s="36"/>
      <c r="B7816" s="34"/>
      <c r="G7816" s="31"/>
    </row>
    <row r="7817" spans="1:7" x14ac:dyDescent="0.25">
      <c r="A7817" s="36"/>
      <c r="B7817" s="34"/>
      <c r="G7817" s="31"/>
    </row>
    <row r="7818" spans="1:7" x14ac:dyDescent="0.25">
      <c r="A7818" s="36"/>
      <c r="B7818" s="34"/>
      <c r="G7818" s="31"/>
    </row>
    <row r="7819" spans="1:7" x14ac:dyDescent="0.25">
      <c r="A7819" s="36"/>
      <c r="B7819" s="34"/>
      <c r="G7819" s="31"/>
    </row>
    <row r="7820" spans="1:7" x14ac:dyDescent="0.25">
      <c r="A7820" s="36"/>
      <c r="B7820" s="34"/>
      <c r="G7820" s="31"/>
    </row>
    <row r="7821" spans="1:7" x14ac:dyDescent="0.25">
      <c r="A7821" s="36"/>
      <c r="B7821" s="34"/>
      <c r="G7821" s="31"/>
    </row>
    <row r="7822" spans="1:7" x14ac:dyDescent="0.25">
      <c r="A7822" s="36"/>
      <c r="B7822" s="34"/>
      <c r="G7822" s="31"/>
    </row>
    <row r="7823" spans="1:7" x14ac:dyDescent="0.25">
      <c r="A7823" s="36"/>
      <c r="B7823" s="34"/>
      <c r="G7823" s="31"/>
    </row>
    <row r="7824" spans="1:7" x14ac:dyDescent="0.25">
      <c r="A7824" s="36"/>
      <c r="B7824" s="34"/>
      <c r="G7824" s="31"/>
    </row>
    <row r="7825" spans="1:7" x14ac:dyDescent="0.25">
      <c r="A7825" s="36"/>
      <c r="B7825" s="34"/>
      <c r="G7825" s="31"/>
    </row>
    <row r="7826" spans="1:7" x14ac:dyDescent="0.25">
      <c r="A7826" s="36"/>
      <c r="B7826" s="34"/>
      <c r="G7826" s="31"/>
    </row>
    <row r="7827" spans="1:7" x14ac:dyDescent="0.25">
      <c r="A7827" s="36"/>
      <c r="B7827" s="34"/>
      <c r="G7827" s="31"/>
    </row>
    <row r="7828" spans="1:7" x14ac:dyDescent="0.25">
      <c r="A7828" s="36"/>
      <c r="B7828" s="34"/>
      <c r="G7828" s="31"/>
    </row>
    <row r="7829" spans="1:7" x14ac:dyDescent="0.25">
      <c r="A7829" s="36"/>
      <c r="B7829" s="34"/>
      <c r="G7829" s="31"/>
    </row>
    <row r="7830" spans="1:7" x14ac:dyDescent="0.25">
      <c r="A7830" s="36"/>
      <c r="B7830" s="34"/>
      <c r="G7830" s="31"/>
    </row>
    <row r="7831" spans="1:7" x14ac:dyDescent="0.25">
      <c r="A7831" s="36"/>
      <c r="B7831" s="34"/>
      <c r="G7831" s="31"/>
    </row>
    <row r="7832" spans="1:7" x14ac:dyDescent="0.25">
      <c r="A7832" s="36"/>
      <c r="B7832" s="34"/>
      <c r="G7832" s="31"/>
    </row>
    <row r="7833" spans="1:7" x14ac:dyDescent="0.25">
      <c r="A7833" s="36"/>
      <c r="B7833" s="34"/>
      <c r="G7833" s="31"/>
    </row>
    <row r="7834" spans="1:7" x14ac:dyDescent="0.25">
      <c r="A7834" s="36"/>
      <c r="B7834" s="34"/>
      <c r="G7834" s="31"/>
    </row>
    <row r="7835" spans="1:7" x14ac:dyDescent="0.25">
      <c r="A7835" s="36"/>
      <c r="B7835" s="34"/>
      <c r="G7835" s="31"/>
    </row>
    <row r="7836" spans="1:7" x14ac:dyDescent="0.25">
      <c r="A7836" s="36"/>
      <c r="B7836" s="34"/>
      <c r="G7836" s="31"/>
    </row>
    <row r="7837" spans="1:7" x14ac:dyDescent="0.25">
      <c r="A7837" s="36"/>
      <c r="B7837" s="34"/>
      <c r="G7837" s="31"/>
    </row>
    <row r="7838" spans="1:7" x14ac:dyDescent="0.25">
      <c r="A7838" s="36"/>
      <c r="B7838" s="34"/>
      <c r="G7838" s="31"/>
    </row>
    <row r="7839" spans="1:7" x14ac:dyDescent="0.25">
      <c r="A7839" s="36"/>
      <c r="B7839" s="34"/>
      <c r="G7839" s="31"/>
    </row>
    <row r="7840" spans="1:7" x14ac:dyDescent="0.25">
      <c r="A7840" s="36"/>
      <c r="B7840" s="34"/>
      <c r="G7840" s="31"/>
    </row>
    <row r="7841" spans="1:7" x14ac:dyDescent="0.25">
      <c r="A7841" s="36"/>
      <c r="B7841" s="34"/>
      <c r="G7841" s="31"/>
    </row>
    <row r="7842" spans="1:7" x14ac:dyDescent="0.25">
      <c r="A7842" s="36"/>
      <c r="B7842" s="34"/>
      <c r="G7842" s="31"/>
    </row>
    <row r="7843" spans="1:7" x14ac:dyDescent="0.25">
      <c r="A7843" s="36"/>
      <c r="B7843" s="34"/>
      <c r="G7843" s="31"/>
    </row>
    <row r="7844" spans="1:7" x14ac:dyDescent="0.25">
      <c r="A7844" s="36"/>
      <c r="B7844" s="34"/>
      <c r="G7844" s="31"/>
    </row>
    <row r="7845" spans="1:7" x14ac:dyDescent="0.25">
      <c r="A7845" s="36"/>
      <c r="B7845" s="34"/>
      <c r="G7845" s="31"/>
    </row>
    <row r="7846" spans="1:7" x14ac:dyDescent="0.25">
      <c r="A7846" s="36"/>
      <c r="B7846" s="34"/>
      <c r="G7846" s="31"/>
    </row>
    <row r="7847" spans="1:7" x14ac:dyDescent="0.25">
      <c r="A7847" s="36"/>
      <c r="B7847" s="34"/>
      <c r="G7847" s="31"/>
    </row>
    <row r="7848" spans="1:7" x14ac:dyDescent="0.25">
      <c r="A7848" s="36"/>
      <c r="B7848" s="34"/>
      <c r="G7848" s="31"/>
    </row>
    <row r="7849" spans="1:7" x14ac:dyDescent="0.25">
      <c r="A7849" s="36"/>
      <c r="B7849" s="34"/>
      <c r="G7849" s="31"/>
    </row>
    <row r="7850" spans="1:7" x14ac:dyDescent="0.25">
      <c r="A7850" s="36"/>
      <c r="B7850" s="34"/>
      <c r="G7850" s="31"/>
    </row>
    <row r="7851" spans="1:7" x14ac:dyDescent="0.25">
      <c r="A7851" s="36"/>
      <c r="B7851" s="34"/>
      <c r="G7851" s="31"/>
    </row>
    <row r="7852" spans="1:7" x14ac:dyDescent="0.25">
      <c r="A7852" s="36"/>
      <c r="B7852" s="34"/>
      <c r="G7852" s="31"/>
    </row>
    <row r="7853" spans="1:7" x14ac:dyDescent="0.25">
      <c r="A7853" s="36"/>
      <c r="B7853" s="34"/>
      <c r="G7853" s="31"/>
    </row>
    <row r="7854" spans="1:7" x14ac:dyDescent="0.25">
      <c r="A7854" s="36"/>
      <c r="B7854" s="34"/>
      <c r="G7854" s="31"/>
    </row>
    <row r="7855" spans="1:7" x14ac:dyDescent="0.25">
      <c r="A7855" s="36"/>
      <c r="B7855" s="34"/>
      <c r="G7855" s="31"/>
    </row>
    <row r="7856" spans="1:7" x14ac:dyDescent="0.25">
      <c r="A7856" s="36"/>
      <c r="B7856" s="34"/>
      <c r="G7856" s="31"/>
    </row>
    <row r="7857" spans="1:7" x14ac:dyDescent="0.25">
      <c r="A7857" s="36"/>
      <c r="B7857" s="34"/>
      <c r="G7857" s="31"/>
    </row>
    <row r="7858" spans="1:7" x14ac:dyDescent="0.25">
      <c r="A7858" s="36"/>
      <c r="B7858" s="34"/>
      <c r="G7858" s="31"/>
    </row>
    <row r="7859" spans="1:7" x14ac:dyDescent="0.25">
      <c r="A7859" s="36"/>
      <c r="B7859" s="34"/>
      <c r="G7859" s="31"/>
    </row>
    <row r="7860" spans="1:7" x14ac:dyDescent="0.25">
      <c r="A7860" s="36"/>
      <c r="B7860" s="34"/>
      <c r="G7860" s="31"/>
    </row>
    <row r="7861" spans="1:7" x14ac:dyDescent="0.25">
      <c r="A7861" s="36"/>
      <c r="B7861" s="34"/>
      <c r="G7861" s="31"/>
    </row>
    <row r="7862" spans="1:7" x14ac:dyDescent="0.25">
      <c r="A7862" s="36"/>
      <c r="B7862" s="34"/>
      <c r="G7862" s="31"/>
    </row>
    <row r="7863" spans="1:7" x14ac:dyDescent="0.25">
      <c r="A7863" s="36"/>
      <c r="B7863" s="34"/>
      <c r="G7863" s="31"/>
    </row>
    <row r="7864" spans="1:7" x14ac:dyDescent="0.25">
      <c r="A7864" s="36"/>
      <c r="B7864" s="34"/>
      <c r="G7864" s="31"/>
    </row>
    <row r="7865" spans="1:7" x14ac:dyDescent="0.25">
      <c r="A7865" s="36"/>
      <c r="B7865" s="34"/>
      <c r="G7865" s="31"/>
    </row>
    <row r="7866" spans="1:7" x14ac:dyDescent="0.25">
      <c r="A7866" s="36"/>
      <c r="B7866" s="34"/>
      <c r="G7866" s="31"/>
    </row>
    <row r="7867" spans="1:7" x14ac:dyDescent="0.25">
      <c r="A7867" s="36"/>
      <c r="B7867" s="34"/>
      <c r="G7867" s="31"/>
    </row>
    <row r="7868" spans="1:7" x14ac:dyDescent="0.25">
      <c r="A7868" s="36"/>
      <c r="B7868" s="34"/>
      <c r="G7868" s="31"/>
    </row>
    <row r="7869" spans="1:7" x14ac:dyDescent="0.25">
      <c r="A7869" s="36"/>
      <c r="B7869" s="34"/>
      <c r="G7869" s="31"/>
    </row>
    <row r="7870" spans="1:7" x14ac:dyDescent="0.25">
      <c r="A7870" s="36"/>
      <c r="B7870" s="34"/>
      <c r="G7870" s="31"/>
    </row>
    <row r="7871" spans="1:7" x14ac:dyDescent="0.25">
      <c r="A7871" s="36"/>
      <c r="B7871" s="34"/>
      <c r="G7871" s="31"/>
    </row>
    <row r="7872" spans="1:7" x14ac:dyDescent="0.25">
      <c r="A7872" s="36"/>
      <c r="B7872" s="34"/>
      <c r="G7872" s="31"/>
    </row>
    <row r="7873" spans="1:7" x14ac:dyDescent="0.25">
      <c r="A7873" s="36"/>
      <c r="B7873" s="34"/>
      <c r="G7873" s="31"/>
    </row>
    <row r="7874" spans="1:7" x14ac:dyDescent="0.25">
      <c r="A7874" s="36"/>
      <c r="B7874" s="34"/>
      <c r="G7874" s="31"/>
    </row>
    <row r="7875" spans="1:7" x14ac:dyDescent="0.25">
      <c r="A7875" s="36"/>
      <c r="B7875" s="34"/>
      <c r="G7875" s="31"/>
    </row>
    <row r="7876" spans="1:7" x14ac:dyDescent="0.25">
      <c r="A7876" s="36"/>
      <c r="B7876" s="34"/>
      <c r="G7876" s="31"/>
    </row>
    <row r="7877" spans="1:7" x14ac:dyDescent="0.25">
      <c r="A7877" s="36"/>
      <c r="B7877" s="34"/>
      <c r="G7877" s="31"/>
    </row>
    <row r="7878" spans="1:7" x14ac:dyDescent="0.25">
      <c r="A7878" s="36"/>
      <c r="B7878" s="34"/>
      <c r="G7878" s="31"/>
    </row>
    <row r="7879" spans="1:7" x14ac:dyDescent="0.25">
      <c r="A7879" s="36"/>
      <c r="B7879" s="34"/>
      <c r="G7879" s="31"/>
    </row>
    <row r="7880" spans="1:7" x14ac:dyDescent="0.25">
      <c r="A7880" s="36"/>
      <c r="B7880" s="34"/>
      <c r="G7880" s="31"/>
    </row>
    <row r="7881" spans="1:7" x14ac:dyDescent="0.25">
      <c r="A7881" s="36"/>
      <c r="B7881" s="34"/>
      <c r="G7881" s="31"/>
    </row>
    <row r="7882" spans="1:7" x14ac:dyDescent="0.25">
      <c r="A7882" s="36"/>
      <c r="B7882" s="34"/>
      <c r="G7882" s="31"/>
    </row>
    <row r="7883" spans="1:7" x14ac:dyDescent="0.25">
      <c r="A7883" s="36"/>
      <c r="B7883" s="34"/>
      <c r="G7883" s="31"/>
    </row>
    <row r="7884" spans="1:7" x14ac:dyDescent="0.25">
      <c r="A7884" s="36"/>
      <c r="B7884" s="34"/>
      <c r="G7884" s="31"/>
    </row>
    <row r="7885" spans="1:7" x14ac:dyDescent="0.25">
      <c r="A7885" s="36"/>
      <c r="B7885" s="34"/>
      <c r="G7885" s="31"/>
    </row>
    <row r="7886" spans="1:7" x14ac:dyDescent="0.25">
      <c r="A7886" s="36"/>
      <c r="B7886" s="34"/>
      <c r="G7886" s="31"/>
    </row>
    <row r="7887" spans="1:7" x14ac:dyDescent="0.25">
      <c r="A7887" s="36"/>
      <c r="B7887" s="34"/>
      <c r="G7887" s="31"/>
    </row>
    <row r="7888" spans="1:7" x14ac:dyDescent="0.25">
      <c r="A7888" s="36"/>
      <c r="B7888" s="34"/>
      <c r="G7888" s="31"/>
    </row>
    <row r="7889" spans="1:7" x14ac:dyDescent="0.25">
      <c r="A7889" s="36"/>
      <c r="B7889" s="34"/>
      <c r="G7889" s="31"/>
    </row>
    <row r="7890" spans="1:7" x14ac:dyDescent="0.25">
      <c r="A7890" s="36"/>
      <c r="B7890" s="34"/>
      <c r="G7890" s="31"/>
    </row>
    <row r="7891" spans="1:7" x14ac:dyDescent="0.25">
      <c r="A7891" s="36"/>
      <c r="B7891" s="34"/>
      <c r="G7891" s="31"/>
    </row>
    <row r="7892" spans="1:7" x14ac:dyDescent="0.25">
      <c r="A7892" s="36"/>
      <c r="B7892" s="34"/>
      <c r="G7892" s="31"/>
    </row>
    <row r="7893" spans="1:7" x14ac:dyDescent="0.25">
      <c r="A7893" s="36"/>
      <c r="B7893" s="34"/>
      <c r="G7893" s="31"/>
    </row>
    <row r="7894" spans="1:7" x14ac:dyDescent="0.25">
      <c r="A7894" s="36"/>
      <c r="B7894" s="34"/>
      <c r="G7894" s="31"/>
    </row>
    <row r="7895" spans="1:7" x14ac:dyDescent="0.25">
      <c r="A7895" s="36"/>
      <c r="B7895" s="34"/>
      <c r="G7895" s="31"/>
    </row>
    <row r="7896" spans="1:7" x14ac:dyDescent="0.25">
      <c r="A7896" s="36"/>
      <c r="B7896" s="34"/>
      <c r="G7896" s="31"/>
    </row>
    <row r="7897" spans="1:7" x14ac:dyDescent="0.25">
      <c r="A7897" s="36"/>
      <c r="B7897" s="34"/>
      <c r="G7897" s="31"/>
    </row>
    <row r="7898" spans="1:7" x14ac:dyDescent="0.25">
      <c r="A7898" s="36"/>
      <c r="B7898" s="34"/>
      <c r="G7898" s="31"/>
    </row>
    <row r="7899" spans="1:7" x14ac:dyDescent="0.25">
      <c r="A7899" s="36"/>
      <c r="B7899" s="34"/>
      <c r="G7899" s="31"/>
    </row>
    <row r="7900" spans="1:7" x14ac:dyDescent="0.25">
      <c r="A7900" s="36"/>
      <c r="B7900" s="34"/>
      <c r="G7900" s="31"/>
    </row>
    <row r="7901" spans="1:7" x14ac:dyDescent="0.25">
      <c r="A7901" s="36"/>
      <c r="B7901" s="34"/>
      <c r="G7901" s="31"/>
    </row>
    <row r="7902" spans="1:7" x14ac:dyDescent="0.25">
      <c r="A7902" s="36"/>
      <c r="B7902" s="34"/>
      <c r="G7902" s="31"/>
    </row>
    <row r="7903" spans="1:7" x14ac:dyDescent="0.25">
      <c r="A7903" s="36"/>
      <c r="B7903" s="34"/>
      <c r="G7903" s="31"/>
    </row>
    <row r="7904" spans="1:7" x14ac:dyDescent="0.25">
      <c r="A7904" s="36"/>
      <c r="B7904" s="34"/>
      <c r="G7904" s="31"/>
    </row>
    <row r="7905" spans="1:7" x14ac:dyDescent="0.25">
      <c r="A7905" s="36"/>
      <c r="B7905" s="34"/>
      <c r="G7905" s="31"/>
    </row>
    <row r="7906" spans="1:7" x14ac:dyDescent="0.25">
      <c r="A7906" s="36"/>
      <c r="B7906" s="34"/>
      <c r="G7906" s="31"/>
    </row>
    <row r="7907" spans="1:7" x14ac:dyDescent="0.25">
      <c r="A7907" s="36"/>
      <c r="B7907" s="34"/>
      <c r="G7907" s="31"/>
    </row>
    <row r="7908" spans="1:7" x14ac:dyDescent="0.25">
      <c r="A7908" s="36"/>
      <c r="B7908" s="34"/>
      <c r="G7908" s="31"/>
    </row>
    <row r="7909" spans="1:7" x14ac:dyDescent="0.25">
      <c r="A7909" s="36"/>
      <c r="B7909" s="34"/>
      <c r="G7909" s="31"/>
    </row>
    <row r="7910" spans="1:7" x14ac:dyDescent="0.25">
      <c r="A7910" s="36"/>
      <c r="B7910" s="34"/>
      <c r="G7910" s="31"/>
    </row>
    <row r="7911" spans="1:7" x14ac:dyDescent="0.25">
      <c r="A7911" s="36"/>
      <c r="B7911" s="34"/>
      <c r="G7911" s="31"/>
    </row>
    <row r="7912" spans="1:7" x14ac:dyDescent="0.25">
      <c r="A7912" s="36"/>
      <c r="B7912" s="34"/>
      <c r="G7912" s="31"/>
    </row>
    <row r="7913" spans="1:7" x14ac:dyDescent="0.25">
      <c r="A7913" s="36"/>
      <c r="B7913" s="34"/>
      <c r="G7913" s="31"/>
    </row>
    <row r="7914" spans="1:7" x14ac:dyDescent="0.25">
      <c r="A7914" s="36"/>
      <c r="B7914" s="34"/>
      <c r="G7914" s="31"/>
    </row>
    <row r="7915" spans="1:7" x14ac:dyDescent="0.25">
      <c r="A7915" s="36"/>
      <c r="B7915" s="34"/>
      <c r="G7915" s="31"/>
    </row>
    <row r="7916" spans="1:7" x14ac:dyDescent="0.25">
      <c r="A7916" s="36"/>
      <c r="B7916" s="34"/>
      <c r="G7916" s="31"/>
    </row>
    <row r="7917" spans="1:7" x14ac:dyDescent="0.25">
      <c r="A7917" s="36"/>
      <c r="B7917" s="34"/>
      <c r="G7917" s="31"/>
    </row>
    <row r="7918" spans="1:7" x14ac:dyDescent="0.25">
      <c r="A7918" s="36"/>
      <c r="B7918" s="34"/>
      <c r="G7918" s="31"/>
    </row>
    <row r="7919" spans="1:7" x14ac:dyDescent="0.25">
      <c r="A7919" s="36"/>
      <c r="B7919" s="34"/>
      <c r="G7919" s="31"/>
    </row>
    <row r="7920" spans="1:7" x14ac:dyDescent="0.25">
      <c r="A7920" s="36"/>
      <c r="B7920" s="34"/>
      <c r="G7920" s="31"/>
    </row>
    <row r="7921" spans="1:7" x14ac:dyDescent="0.25">
      <c r="A7921" s="36"/>
      <c r="B7921" s="34"/>
      <c r="G7921" s="31"/>
    </row>
    <row r="7922" spans="1:7" x14ac:dyDescent="0.25">
      <c r="A7922" s="36"/>
      <c r="B7922" s="34"/>
      <c r="G7922" s="31"/>
    </row>
    <row r="7923" spans="1:7" x14ac:dyDescent="0.25">
      <c r="A7923" s="36"/>
      <c r="B7923" s="34"/>
      <c r="G7923" s="31"/>
    </row>
    <row r="7924" spans="1:7" x14ac:dyDescent="0.25">
      <c r="A7924" s="36"/>
      <c r="B7924" s="34"/>
      <c r="G7924" s="31"/>
    </row>
    <row r="7925" spans="1:7" x14ac:dyDescent="0.25">
      <c r="A7925" s="36"/>
      <c r="B7925" s="34"/>
      <c r="G7925" s="31"/>
    </row>
    <row r="7926" spans="1:7" x14ac:dyDescent="0.25">
      <c r="A7926" s="36"/>
      <c r="B7926" s="34"/>
      <c r="G7926" s="31"/>
    </row>
    <row r="7927" spans="1:7" x14ac:dyDescent="0.25">
      <c r="A7927" s="36"/>
      <c r="B7927" s="34"/>
      <c r="G7927" s="31"/>
    </row>
    <row r="7928" spans="1:7" x14ac:dyDescent="0.25">
      <c r="A7928" s="36"/>
      <c r="B7928" s="34"/>
      <c r="G7928" s="31"/>
    </row>
    <row r="7929" spans="1:7" x14ac:dyDescent="0.25">
      <c r="A7929" s="36"/>
      <c r="B7929" s="34"/>
      <c r="G7929" s="31"/>
    </row>
    <row r="7930" spans="1:7" x14ac:dyDescent="0.25">
      <c r="A7930" s="36"/>
      <c r="B7930" s="34"/>
      <c r="G7930" s="31"/>
    </row>
    <row r="7931" spans="1:7" x14ac:dyDescent="0.25">
      <c r="A7931" s="36"/>
      <c r="B7931" s="34"/>
      <c r="G7931" s="31"/>
    </row>
    <row r="7932" spans="1:7" x14ac:dyDescent="0.25">
      <c r="A7932" s="36"/>
      <c r="B7932" s="34"/>
      <c r="G7932" s="31"/>
    </row>
    <row r="7933" spans="1:7" x14ac:dyDescent="0.25">
      <c r="A7933" s="36"/>
      <c r="B7933" s="34"/>
      <c r="G7933" s="31"/>
    </row>
    <row r="7934" spans="1:7" x14ac:dyDescent="0.25">
      <c r="A7934" s="36"/>
      <c r="B7934" s="34"/>
      <c r="G7934" s="31"/>
    </row>
    <row r="7935" spans="1:7" x14ac:dyDescent="0.25">
      <c r="A7935" s="36"/>
      <c r="B7935" s="34"/>
      <c r="G7935" s="31"/>
    </row>
    <row r="7936" spans="1:7" x14ac:dyDescent="0.25">
      <c r="A7936" s="36"/>
      <c r="B7936" s="34"/>
      <c r="G7936" s="31"/>
    </row>
    <row r="7937" spans="1:7" x14ac:dyDescent="0.25">
      <c r="A7937" s="36"/>
      <c r="B7937" s="34"/>
      <c r="G7937" s="31"/>
    </row>
    <row r="7938" spans="1:7" x14ac:dyDescent="0.25">
      <c r="A7938" s="36"/>
      <c r="B7938" s="34"/>
      <c r="G7938" s="31"/>
    </row>
    <row r="7939" spans="1:7" x14ac:dyDescent="0.25">
      <c r="A7939" s="36"/>
      <c r="B7939" s="34"/>
      <c r="G7939" s="31"/>
    </row>
    <row r="7940" spans="1:7" x14ac:dyDescent="0.25">
      <c r="A7940" s="36"/>
      <c r="B7940" s="34"/>
      <c r="G7940" s="31"/>
    </row>
    <row r="7941" spans="1:7" x14ac:dyDescent="0.25">
      <c r="A7941" s="36"/>
      <c r="B7941" s="34"/>
      <c r="G7941" s="31"/>
    </row>
    <row r="7942" spans="1:7" x14ac:dyDescent="0.25">
      <c r="A7942" s="36"/>
      <c r="B7942" s="34"/>
      <c r="G7942" s="31"/>
    </row>
    <row r="7943" spans="1:7" x14ac:dyDescent="0.25">
      <c r="A7943" s="36"/>
      <c r="B7943" s="34"/>
      <c r="G7943" s="31"/>
    </row>
    <row r="7944" spans="1:7" x14ac:dyDescent="0.25">
      <c r="A7944" s="36"/>
      <c r="B7944" s="34"/>
      <c r="G7944" s="31"/>
    </row>
    <row r="7945" spans="1:7" x14ac:dyDescent="0.25">
      <c r="A7945" s="36"/>
      <c r="B7945" s="34"/>
      <c r="G7945" s="31"/>
    </row>
    <row r="7946" spans="1:7" x14ac:dyDescent="0.25">
      <c r="A7946" s="36"/>
      <c r="B7946" s="34"/>
      <c r="G7946" s="31"/>
    </row>
    <row r="7947" spans="1:7" x14ac:dyDescent="0.25">
      <c r="A7947" s="36"/>
      <c r="B7947" s="34"/>
      <c r="G7947" s="31"/>
    </row>
    <row r="7948" spans="1:7" x14ac:dyDescent="0.25">
      <c r="A7948" s="36"/>
      <c r="B7948" s="34"/>
      <c r="G7948" s="31"/>
    </row>
    <row r="7949" spans="1:7" x14ac:dyDescent="0.25">
      <c r="A7949" s="36"/>
      <c r="B7949" s="34"/>
      <c r="G7949" s="31"/>
    </row>
    <row r="7950" spans="1:7" x14ac:dyDescent="0.25">
      <c r="A7950" s="36"/>
      <c r="B7950" s="34"/>
      <c r="G7950" s="31"/>
    </row>
    <row r="7951" spans="1:7" x14ac:dyDescent="0.25">
      <c r="A7951" s="36"/>
      <c r="B7951" s="34"/>
      <c r="G7951" s="31"/>
    </row>
    <row r="7952" spans="1:7" x14ac:dyDescent="0.25">
      <c r="A7952" s="36"/>
      <c r="B7952" s="34"/>
      <c r="G7952" s="31"/>
    </row>
    <row r="7953" spans="1:7" x14ac:dyDescent="0.25">
      <c r="A7953" s="36"/>
      <c r="B7953" s="34"/>
      <c r="G7953" s="31"/>
    </row>
    <row r="7954" spans="1:7" x14ac:dyDescent="0.25">
      <c r="A7954" s="36"/>
      <c r="B7954" s="34"/>
      <c r="G7954" s="31"/>
    </row>
    <row r="7955" spans="1:7" x14ac:dyDescent="0.25">
      <c r="A7955" s="36"/>
      <c r="B7955" s="34"/>
      <c r="G7955" s="31"/>
    </row>
    <row r="7956" spans="1:7" x14ac:dyDescent="0.25">
      <c r="A7956" s="36"/>
      <c r="B7956" s="34"/>
      <c r="G7956" s="31"/>
    </row>
    <row r="7957" spans="1:7" x14ac:dyDescent="0.25">
      <c r="A7957" s="36"/>
      <c r="B7957" s="34"/>
      <c r="G7957" s="31"/>
    </row>
    <row r="7958" spans="1:7" x14ac:dyDescent="0.25">
      <c r="A7958" s="36"/>
      <c r="B7958" s="34"/>
      <c r="G7958" s="31"/>
    </row>
    <row r="7959" spans="1:7" x14ac:dyDescent="0.25">
      <c r="A7959" s="36"/>
      <c r="B7959" s="34"/>
      <c r="G7959" s="31"/>
    </row>
    <row r="7960" spans="1:7" x14ac:dyDescent="0.25">
      <c r="A7960" s="36"/>
      <c r="B7960" s="34"/>
      <c r="G7960" s="31"/>
    </row>
    <row r="7961" spans="1:7" x14ac:dyDescent="0.25">
      <c r="A7961" s="36"/>
      <c r="B7961" s="34"/>
      <c r="G7961" s="31"/>
    </row>
    <row r="7962" spans="1:7" x14ac:dyDescent="0.25">
      <c r="A7962" s="36"/>
      <c r="B7962" s="34"/>
      <c r="G7962" s="31"/>
    </row>
    <row r="7963" spans="1:7" x14ac:dyDescent="0.25">
      <c r="A7963" s="36"/>
      <c r="B7963" s="34"/>
      <c r="G7963" s="31"/>
    </row>
    <row r="7964" spans="1:7" x14ac:dyDescent="0.25">
      <c r="A7964" s="36"/>
      <c r="B7964" s="34"/>
      <c r="G7964" s="31"/>
    </row>
    <row r="7965" spans="1:7" x14ac:dyDescent="0.25">
      <c r="A7965" s="36"/>
      <c r="B7965" s="34"/>
      <c r="G7965" s="31"/>
    </row>
    <row r="7966" spans="1:7" x14ac:dyDescent="0.25">
      <c r="A7966" s="36"/>
      <c r="B7966" s="34"/>
      <c r="G7966" s="31"/>
    </row>
    <row r="7967" spans="1:7" x14ac:dyDescent="0.25">
      <c r="A7967" s="36"/>
      <c r="B7967" s="34"/>
      <c r="G7967" s="31"/>
    </row>
    <row r="7968" spans="1:7" x14ac:dyDescent="0.25">
      <c r="A7968" s="36"/>
      <c r="B7968" s="34"/>
      <c r="G7968" s="31"/>
    </row>
    <row r="7969" spans="1:7" x14ac:dyDescent="0.25">
      <c r="A7969" s="36"/>
      <c r="B7969" s="34"/>
      <c r="G7969" s="31"/>
    </row>
    <row r="7970" spans="1:7" x14ac:dyDescent="0.25">
      <c r="A7970" s="36"/>
      <c r="B7970" s="34"/>
      <c r="G7970" s="31"/>
    </row>
    <row r="7971" spans="1:7" x14ac:dyDescent="0.25">
      <c r="A7971" s="36"/>
      <c r="B7971" s="34"/>
      <c r="G7971" s="31"/>
    </row>
    <row r="7972" spans="1:7" x14ac:dyDescent="0.25">
      <c r="A7972" s="36"/>
      <c r="B7972" s="34"/>
      <c r="G7972" s="31"/>
    </row>
    <row r="7973" spans="1:7" x14ac:dyDescent="0.25">
      <c r="A7973" s="36"/>
      <c r="B7973" s="34"/>
      <c r="G7973" s="31"/>
    </row>
    <row r="7974" spans="1:7" x14ac:dyDescent="0.25">
      <c r="A7974" s="36"/>
      <c r="B7974" s="34"/>
      <c r="G7974" s="31"/>
    </row>
    <row r="7975" spans="1:7" x14ac:dyDescent="0.25">
      <c r="A7975" s="36"/>
      <c r="B7975" s="34"/>
      <c r="G7975" s="31"/>
    </row>
    <row r="7976" spans="1:7" x14ac:dyDescent="0.25">
      <c r="A7976" s="36"/>
      <c r="B7976" s="34"/>
      <c r="G7976" s="31"/>
    </row>
    <row r="7977" spans="1:7" x14ac:dyDescent="0.25">
      <c r="A7977" s="36"/>
      <c r="B7977" s="34"/>
      <c r="G7977" s="31"/>
    </row>
    <row r="7978" spans="1:7" x14ac:dyDescent="0.25">
      <c r="A7978" s="36"/>
      <c r="B7978" s="34"/>
      <c r="G7978" s="31"/>
    </row>
    <row r="7979" spans="1:7" x14ac:dyDescent="0.25">
      <c r="A7979" s="36"/>
      <c r="B7979" s="34"/>
      <c r="G7979" s="31"/>
    </row>
    <row r="7980" spans="1:7" x14ac:dyDescent="0.25">
      <c r="A7980" s="36"/>
      <c r="B7980" s="34"/>
      <c r="G7980" s="31"/>
    </row>
    <row r="7981" spans="1:7" x14ac:dyDescent="0.25">
      <c r="A7981" s="36"/>
      <c r="B7981" s="34"/>
      <c r="G7981" s="31"/>
    </row>
    <row r="7982" spans="1:7" x14ac:dyDescent="0.25">
      <c r="A7982" s="36"/>
      <c r="B7982" s="34"/>
      <c r="G7982" s="31"/>
    </row>
    <row r="7983" spans="1:7" x14ac:dyDescent="0.25">
      <c r="A7983" s="36"/>
      <c r="B7983" s="34"/>
      <c r="G7983" s="31"/>
    </row>
    <row r="7984" spans="1:7" x14ac:dyDescent="0.25">
      <c r="A7984" s="36"/>
      <c r="B7984" s="34"/>
      <c r="G7984" s="31"/>
    </row>
    <row r="7985" spans="1:7" x14ac:dyDescent="0.25">
      <c r="A7985" s="36"/>
      <c r="B7985" s="34"/>
      <c r="G7985" s="31"/>
    </row>
    <row r="7986" spans="1:7" x14ac:dyDescent="0.25">
      <c r="A7986" s="36"/>
      <c r="B7986" s="34"/>
      <c r="G7986" s="31"/>
    </row>
    <row r="7987" spans="1:7" x14ac:dyDescent="0.25">
      <c r="A7987" s="36"/>
      <c r="B7987" s="34"/>
      <c r="G7987" s="31"/>
    </row>
    <row r="7988" spans="1:7" x14ac:dyDescent="0.25">
      <c r="A7988" s="36"/>
      <c r="B7988" s="34"/>
      <c r="G7988" s="31"/>
    </row>
    <row r="7989" spans="1:7" x14ac:dyDescent="0.25">
      <c r="A7989" s="36"/>
      <c r="B7989" s="34"/>
      <c r="G7989" s="31"/>
    </row>
    <row r="7990" spans="1:7" x14ac:dyDescent="0.25">
      <c r="A7990" s="36"/>
      <c r="B7990" s="34"/>
      <c r="G7990" s="31"/>
    </row>
    <row r="7991" spans="1:7" x14ac:dyDescent="0.25">
      <c r="A7991" s="36"/>
      <c r="B7991" s="34"/>
      <c r="G7991" s="31"/>
    </row>
    <row r="7992" spans="1:7" x14ac:dyDescent="0.25">
      <c r="A7992" s="36"/>
      <c r="B7992" s="34"/>
      <c r="G7992" s="31"/>
    </row>
    <row r="7993" spans="1:7" x14ac:dyDescent="0.25">
      <c r="A7993" s="36"/>
      <c r="B7993" s="34"/>
      <c r="G7993" s="31"/>
    </row>
    <row r="7994" spans="1:7" x14ac:dyDescent="0.25">
      <c r="A7994" s="36"/>
      <c r="B7994" s="34"/>
      <c r="G7994" s="31"/>
    </row>
    <row r="7995" spans="1:7" x14ac:dyDescent="0.25">
      <c r="A7995" s="36"/>
      <c r="B7995" s="34"/>
      <c r="G7995" s="31"/>
    </row>
    <row r="7996" spans="1:7" x14ac:dyDescent="0.25">
      <c r="A7996" s="36"/>
      <c r="B7996" s="34"/>
      <c r="G7996" s="31"/>
    </row>
    <row r="7997" spans="1:7" x14ac:dyDescent="0.25">
      <c r="A7997" s="36"/>
      <c r="B7997" s="34"/>
      <c r="G7997" s="31"/>
    </row>
    <row r="7998" spans="1:7" x14ac:dyDescent="0.25">
      <c r="A7998" s="36"/>
      <c r="B7998" s="34"/>
      <c r="G7998" s="31"/>
    </row>
    <row r="7999" spans="1:7" x14ac:dyDescent="0.25">
      <c r="A7999" s="36"/>
      <c r="B7999" s="34"/>
      <c r="G7999" s="31"/>
    </row>
    <row r="8000" spans="1:7" x14ac:dyDescent="0.25">
      <c r="A8000" s="36"/>
      <c r="B8000" s="34"/>
      <c r="G8000" s="31"/>
    </row>
    <row r="8001" spans="1:7" x14ac:dyDescent="0.25">
      <c r="A8001" s="36"/>
      <c r="B8001" s="34"/>
      <c r="G8001" s="31"/>
    </row>
    <row r="8002" spans="1:7" x14ac:dyDescent="0.25">
      <c r="A8002" s="36"/>
      <c r="B8002" s="34"/>
      <c r="G8002" s="31"/>
    </row>
    <row r="8003" spans="1:7" x14ac:dyDescent="0.25">
      <c r="A8003" s="36"/>
      <c r="B8003" s="34"/>
      <c r="G8003" s="31"/>
    </row>
    <row r="8004" spans="1:7" x14ac:dyDescent="0.25">
      <c r="A8004" s="36"/>
      <c r="B8004" s="34"/>
      <c r="G8004" s="31"/>
    </row>
    <row r="8005" spans="1:7" x14ac:dyDescent="0.25">
      <c r="A8005" s="36"/>
      <c r="B8005" s="34"/>
      <c r="G8005" s="31"/>
    </row>
    <row r="8006" spans="1:7" x14ac:dyDescent="0.25">
      <c r="A8006" s="36"/>
      <c r="B8006" s="34"/>
      <c r="G8006" s="31"/>
    </row>
    <row r="8007" spans="1:7" x14ac:dyDescent="0.25">
      <c r="A8007" s="36"/>
      <c r="B8007" s="34"/>
      <c r="G8007" s="31"/>
    </row>
    <row r="8008" spans="1:7" x14ac:dyDescent="0.25">
      <c r="A8008" s="36"/>
      <c r="B8008" s="34"/>
      <c r="G8008" s="31"/>
    </row>
    <row r="8009" spans="1:7" x14ac:dyDescent="0.25">
      <c r="A8009" s="36"/>
      <c r="B8009" s="34"/>
      <c r="G8009" s="31"/>
    </row>
    <row r="8010" spans="1:7" x14ac:dyDescent="0.25">
      <c r="A8010" s="36"/>
      <c r="B8010" s="34"/>
      <c r="G8010" s="31"/>
    </row>
    <row r="8011" spans="1:7" x14ac:dyDescent="0.25">
      <c r="A8011" s="36"/>
      <c r="B8011" s="34"/>
      <c r="G8011" s="31"/>
    </row>
    <row r="8012" spans="1:7" x14ac:dyDescent="0.25">
      <c r="A8012" s="36"/>
      <c r="B8012" s="34"/>
      <c r="G8012" s="31"/>
    </row>
    <row r="8013" spans="1:7" x14ac:dyDescent="0.25">
      <c r="A8013" s="36"/>
      <c r="B8013" s="34"/>
      <c r="G8013" s="31"/>
    </row>
    <row r="8014" spans="1:7" x14ac:dyDescent="0.25">
      <c r="A8014" s="36"/>
      <c r="B8014" s="34"/>
      <c r="G8014" s="31"/>
    </row>
    <row r="8015" spans="1:7" x14ac:dyDescent="0.25">
      <c r="A8015" s="36"/>
      <c r="B8015" s="34"/>
      <c r="G8015" s="31"/>
    </row>
    <row r="8016" spans="1:7" x14ac:dyDescent="0.25">
      <c r="A8016" s="36"/>
      <c r="B8016" s="34"/>
      <c r="G8016" s="31"/>
    </row>
    <row r="8017" spans="1:7" x14ac:dyDescent="0.25">
      <c r="A8017" s="36"/>
      <c r="B8017" s="34"/>
      <c r="G8017" s="31"/>
    </row>
    <row r="8018" spans="1:7" x14ac:dyDescent="0.25">
      <c r="A8018" s="36"/>
      <c r="B8018" s="34"/>
      <c r="G8018" s="31"/>
    </row>
    <row r="8019" spans="1:7" x14ac:dyDescent="0.25">
      <c r="A8019" s="36"/>
      <c r="B8019" s="34"/>
      <c r="G8019" s="31"/>
    </row>
    <row r="8020" spans="1:7" x14ac:dyDescent="0.25">
      <c r="A8020" s="36"/>
      <c r="B8020" s="34"/>
      <c r="G8020" s="31"/>
    </row>
    <row r="8021" spans="1:7" x14ac:dyDescent="0.25">
      <c r="A8021" s="36"/>
      <c r="B8021" s="34"/>
      <c r="G8021" s="31"/>
    </row>
    <row r="8022" spans="1:7" x14ac:dyDescent="0.25">
      <c r="A8022" s="36"/>
      <c r="B8022" s="34"/>
      <c r="G8022" s="31"/>
    </row>
    <row r="8023" spans="1:7" x14ac:dyDescent="0.25">
      <c r="A8023" s="36"/>
      <c r="B8023" s="34"/>
      <c r="G8023" s="31"/>
    </row>
    <row r="8024" spans="1:7" x14ac:dyDescent="0.25">
      <c r="A8024" s="36"/>
      <c r="B8024" s="34"/>
      <c r="G8024" s="31"/>
    </row>
    <row r="8025" spans="1:7" x14ac:dyDescent="0.25">
      <c r="A8025" s="36"/>
      <c r="B8025" s="34"/>
      <c r="G8025" s="31"/>
    </row>
    <row r="8026" spans="1:7" x14ac:dyDescent="0.25">
      <c r="A8026" s="36"/>
      <c r="B8026" s="34"/>
      <c r="G8026" s="31"/>
    </row>
    <row r="8027" spans="1:7" x14ac:dyDescent="0.25">
      <c r="A8027" s="36"/>
      <c r="B8027" s="34"/>
      <c r="G8027" s="31"/>
    </row>
    <row r="8028" spans="1:7" x14ac:dyDescent="0.25">
      <c r="A8028" s="36"/>
      <c r="B8028" s="34"/>
      <c r="G8028" s="31"/>
    </row>
    <row r="8029" spans="1:7" x14ac:dyDescent="0.25">
      <c r="A8029" s="36"/>
      <c r="B8029" s="34"/>
      <c r="G8029" s="31"/>
    </row>
    <row r="8030" spans="1:7" x14ac:dyDescent="0.25">
      <c r="A8030" s="36"/>
      <c r="B8030" s="34"/>
      <c r="G8030" s="31"/>
    </row>
    <row r="8031" spans="1:7" x14ac:dyDescent="0.25">
      <c r="A8031" s="36"/>
      <c r="B8031" s="34"/>
      <c r="G8031" s="31"/>
    </row>
    <row r="8032" spans="1:7" x14ac:dyDescent="0.25">
      <c r="A8032" s="36"/>
      <c r="B8032" s="34"/>
      <c r="G8032" s="31"/>
    </row>
    <row r="8033" spans="1:7" x14ac:dyDescent="0.25">
      <c r="A8033" s="36"/>
      <c r="B8033" s="34"/>
      <c r="G8033" s="31"/>
    </row>
    <row r="8034" spans="1:7" x14ac:dyDescent="0.25">
      <c r="A8034" s="36"/>
      <c r="B8034" s="34"/>
      <c r="G8034" s="31"/>
    </row>
    <row r="8035" spans="1:7" x14ac:dyDescent="0.25">
      <c r="A8035" s="36"/>
      <c r="B8035" s="34"/>
      <c r="G8035" s="31"/>
    </row>
    <row r="8036" spans="1:7" x14ac:dyDescent="0.25">
      <c r="A8036" s="36"/>
      <c r="B8036" s="34"/>
      <c r="G8036" s="31"/>
    </row>
    <row r="8037" spans="1:7" x14ac:dyDescent="0.25">
      <c r="A8037" s="36"/>
      <c r="B8037" s="34"/>
      <c r="G8037" s="31"/>
    </row>
    <row r="8038" spans="1:7" x14ac:dyDescent="0.25">
      <c r="A8038" s="36"/>
      <c r="B8038" s="34"/>
      <c r="G8038" s="31"/>
    </row>
    <row r="8039" spans="1:7" x14ac:dyDescent="0.25">
      <c r="A8039" s="36"/>
      <c r="B8039" s="34"/>
      <c r="G8039" s="31"/>
    </row>
    <row r="8040" spans="1:7" x14ac:dyDescent="0.25">
      <c r="A8040" s="36"/>
      <c r="B8040" s="34"/>
      <c r="G8040" s="31"/>
    </row>
    <row r="8041" spans="1:7" x14ac:dyDescent="0.25">
      <c r="A8041" s="36"/>
      <c r="B8041" s="34"/>
      <c r="G8041" s="31"/>
    </row>
    <row r="8042" spans="1:7" x14ac:dyDescent="0.25">
      <c r="A8042" s="36"/>
      <c r="B8042" s="34"/>
      <c r="G8042" s="31"/>
    </row>
    <row r="8043" spans="1:7" x14ac:dyDescent="0.25">
      <c r="A8043" s="36"/>
      <c r="B8043" s="34"/>
      <c r="G8043" s="31"/>
    </row>
    <row r="8044" spans="1:7" x14ac:dyDescent="0.25">
      <c r="A8044" s="36"/>
      <c r="B8044" s="34"/>
      <c r="G8044" s="31"/>
    </row>
    <row r="8045" spans="1:7" x14ac:dyDescent="0.25">
      <c r="A8045" s="36"/>
      <c r="B8045" s="34"/>
      <c r="G8045" s="31"/>
    </row>
    <row r="8046" spans="1:7" x14ac:dyDescent="0.25">
      <c r="A8046" s="36"/>
      <c r="B8046" s="34"/>
      <c r="G8046" s="31"/>
    </row>
    <row r="8047" spans="1:7" x14ac:dyDescent="0.25">
      <c r="A8047" s="36"/>
      <c r="B8047" s="34"/>
      <c r="G8047" s="31"/>
    </row>
    <row r="8048" spans="1:7" x14ac:dyDescent="0.25">
      <c r="A8048" s="36"/>
      <c r="B8048" s="34"/>
      <c r="G8048" s="31"/>
    </row>
    <row r="8049" spans="1:7" x14ac:dyDescent="0.25">
      <c r="A8049" s="36"/>
      <c r="B8049" s="34"/>
      <c r="G8049" s="31"/>
    </row>
    <row r="8050" spans="1:7" x14ac:dyDescent="0.25">
      <c r="A8050" s="36"/>
      <c r="B8050" s="34"/>
      <c r="G8050" s="31"/>
    </row>
    <row r="8051" spans="1:7" x14ac:dyDescent="0.25">
      <c r="A8051" s="36"/>
      <c r="B8051" s="34"/>
      <c r="G8051" s="31"/>
    </row>
    <row r="8052" spans="1:7" x14ac:dyDescent="0.25">
      <c r="A8052" s="36"/>
      <c r="B8052" s="34"/>
      <c r="G8052" s="31"/>
    </row>
    <row r="8053" spans="1:7" x14ac:dyDescent="0.25">
      <c r="A8053" s="36"/>
      <c r="B8053" s="34"/>
      <c r="G8053" s="31"/>
    </row>
    <row r="8054" spans="1:7" x14ac:dyDescent="0.25">
      <c r="A8054" s="36"/>
      <c r="B8054" s="34"/>
      <c r="G8054" s="31"/>
    </row>
    <row r="8055" spans="1:7" x14ac:dyDescent="0.25">
      <c r="A8055" s="36"/>
      <c r="B8055" s="34"/>
      <c r="G8055" s="31"/>
    </row>
    <row r="8056" spans="1:7" x14ac:dyDescent="0.25">
      <c r="A8056" s="36"/>
      <c r="B8056" s="34"/>
      <c r="G8056" s="31"/>
    </row>
    <row r="8057" spans="1:7" x14ac:dyDescent="0.25">
      <c r="A8057" s="36"/>
      <c r="B8057" s="34"/>
      <c r="G8057" s="31"/>
    </row>
    <row r="8058" spans="1:7" x14ac:dyDescent="0.25">
      <c r="A8058" s="36"/>
      <c r="B8058" s="34"/>
      <c r="G8058" s="31"/>
    </row>
    <row r="8059" spans="1:7" x14ac:dyDescent="0.25">
      <c r="A8059" s="36"/>
      <c r="B8059" s="34"/>
      <c r="G8059" s="31"/>
    </row>
    <row r="8060" spans="1:7" x14ac:dyDescent="0.25">
      <c r="A8060" s="36"/>
      <c r="B8060" s="34"/>
      <c r="G8060" s="31"/>
    </row>
    <row r="8061" spans="1:7" x14ac:dyDescent="0.25">
      <c r="A8061" s="36"/>
      <c r="B8061" s="34"/>
      <c r="G8061" s="31"/>
    </row>
    <row r="8062" spans="1:7" x14ac:dyDescent="0.25">
      <c r="A8062" s="36"/>
      <c r="B8062" s="34"/>
      <c r="G8062" s="31"/>
    </row>
    <row r="8063" spans="1:7" x14ac:dyDescent="0.25">
      <c r="A8063" s="36"/>
      <c r="B8063" s="34"/>
      <c r="G8063" s="31"/>
    </row>
    <row r="8064" spans="1:7" x14ac:dyDescent="0.25">
      <c r="A8064" s="36"/>
      <c r="B8064" s="34"/>
      <c r="G8064" s="31"/>
    </row>
    <row r="8065" spans="1:7" x14ac:dyDescent="0.25">
      <c r="A8065" s="36"/>
      <c r="B8065" s="34"/>
      <c r="G8065" s="31"/>
    </row>
    <row r="8066" spans="1:7" x14ac:dyDescent="0.25">
      <c r="A8066" s="36"/>
      <c r="B8066" s="34"/>
      <c r="G8066" s="31"/>
    </row>
    <row r="8067" spans="1:7" x14ac:dyDescent="0.25">
      <c r="A8067" s="36"/>
      <c r="B8067" s="34"/>
      <c r="G8067" s="31"/>
    </row>
    <row r="8068" spans="1:7" x14ac:dyDescent="0.25">
      <c r="A8068" s="36"/>
      <c r="B8068" s="34"/>
      <c r="G8068" s="31"/>
    </row>
    <row r="8069" spans="1:7" x14ac:dyDescent="0.25">
      <c r="A8069" s="36"/>
      <c r="B8069" s="34"/>
      <c r="G8069" s="31"/>
    </row>
    <row r="8070" spans="1:7" x14ac:dyDescent="0.25">
      <c r="A8070" s="36"/>
      <c r="B8070" s="34"/>
      <c r="G8070" s="31"/>
    </row>
    <row r="8071" spans="1:7" x14ac:dyDescent="0.25">
      <c r="A8071" s="36"/>
      <c r="B8071" s="34"/>
      <c r="G8071" s="31"/>
    </row>
    <row r="8072" spans="1:7" x14ac:dyDescent="0.25">
      <c r="A8072" s="36"/>
      <c r="B8072" s="34"/>
      <c r="G8072" s="31"/>
    </row>
    <row r="8073" spans="1:7" x14ac:dyDescent="0.25">
      <c r="A8073" s="36"/>
      <c r="B8073" s="34"/>
      <c r="G8073" s="31"/>
    </row>
    <row r="8074" spans="1:7" x14ac:dyDescent="0.25">
      <c r="A8074" s="36"/>
      <c r="B8074" s="34"/>
      <c r="G8074" s="31"/>
    </row>
    <row r="8075" spans="1:7" x14ac:dyDescent="0.25">
      <c r="A8075" s="36"/>
      <c r="B8075" s="34"/>
      <c r="G8075" s="31"/>
    </row>
    <row r="8076" spans="1:7" x14ac:dyDescent="0.25">
      <c r="A8076" s="36"/>
      <c r="B8076" s="34"/>
      <c r="G8076" s="31"/>
    </row>
    <row r="8077" spans="1:7" x14ac:dyDescent="0.25">
      <c r="A8077" s="36"/>
      <c r="B8077" s="34"/>
      <c r="G8077" s="31"/>
    </row>
    <row r="8078" spans="1:7" x14ac:dyDescent="0.25">
      <c r="A8078" s="36"/>
      <c r="B8078" s="34"/>
      <c r="G8078" s="31"/>
    </row>
    <row r="8079" spans="1:7" x14ac:dyDescent="0.25">
      <c r="A8079" s="36"/>
      <c r="B8079" s="34"/>
      <c r="G8079" s="31"/>
    </row>
    <row r="8080" spans="1:7" x14ac:dyDescent="0.25">
      <c r="A8080" s="36"/>
      <c r="B8080" s="34"/>
      <c r="G8080" s="31"/>
    </row>
    <row r="8081" spans="1:7" x14ac:dyDescent="0.25">
      <c r="A8081" s="36"/>
      <c r="B8081" s="34"/>
      <c r="G8081" s="31"/>
    </row>
    <row r="8082" spans="1:7" x14ac:dyDescent="0.25">
      <c r="A8082" s="36"/>
      <c r="B8082" s="34"/>
      <c r="G8082" s="31"/>
    </row>
    <row r="8083" spans="1:7" x14ac:dyDescent="0.25">
      <c r="A8083" s="36"/>
      <c r="B8083" s="34"/>
      <c r="G8083" s="31"/>
    </row>
    <row r="8084" spans="1:7" x14ac:dyDescent="0.25">
      <c r="A8084" s="36"/>
      <c r="B8084" s="34"/>
      <c r="G8084" s="31"/>
    </row>
    <row r="8085" spans="1:7" x14ac:dyDescent="0.25">
      <c r="A8085" s="36"/>
      <c r="B8085" s="34"/>
      <c r="G8085" s="31"/>
    </row>
    <row r="8086" spans="1:7" x14ac:dyDescent="0.25">
      <c r="A8086" s="36"/>
      <c r="B8086" s="34"/>
      <c r="G8086" s="31"/>
    </row>
    <row r="8087" spans="1:7" x14ac:dyDescent="0.25">
      <c r="A8087" s="36"/>
      <c r="B8087" s="34"/>
      <c r="G8087" s="31"/>
    </row>
    <row r="8088" spans="1:7" x14ac:dyDescent="0.25">
      <c r="A8088" s="36"/>
      <c r="B8088" s="34"/>
      <c r="G8088" s="31"/>
    </row>
    <row r="8089" spans="1:7" x14ac:dyDescent="0.25">
      <c r="A8089" s="36"/>
      <c r="B8089" s="34"/>
      <c r="G8089" s="31"/>
    </row>
    <row r="8090" spans="1:7" x14ac:dyDescent="0.25">
      <c r="A8090" s="36"/>
      <c r="B8090" s="34"/>
      <c r="G8090" s="31"/>
    </row>
    <row r="8091" spans="1:7" x14ac:dyDescent="0.25">
      <c r="A8091" s="36"/>
      <c r="B8091" s="34"/>
      <c r="G8091" s="31"/>
    </row>
    <row r="8092" spans="1:7" x14ac:dyDescent="0.25">
      <c r="A8092" s="36"/>
      <c r="B8092" s="34"/>
      <c r="G8092" s="31"/>
    </row>
    <row r="8093" spans="1:7" x14ac:dyDescent="0.25">
      <c r="A8093" s="36"/>
      <c r="B8093" s="34"/>
      <c r="G8093" s="31"/>
    </row>
    <row r="8094" spans="1:7" x14ac:dyDescent="0.25">
      <c r="A8094" s="36"/>
      <c r="B8094" s="34"/>
      <c r="G8094" s="31"/>
    </row>
    <row r="8095" spans="1:7" x14ac:dyDescent="0.25">
      <c r="A8095" s="36"/>
      <c r="B8095" s="34"/>
      <c r="G8095" s="31"/>
    </row>
    <row r="8096" spans="1:7" x14ac:dyDescent="0.25">
      <c r="A8096" s="36"/>
      <c r="B8096" s="34"/>
      <c r="G8096" s="31"/>
    </row>
    <row r="8097" spans="1:7" x14ac:dyDescent="0.25">
      <c r="A8097" s="36"/>
      <c r="B8097" s="34"/>
      <c r="G8097" s="31"/>
    </row>
    <row r="8098" spans="1:7" x14ac:dyDescent="0.25">
      <c r="A8098" s="36"/>
      <c r="B8098" s="34"/>
      <c r="G8098" s="31"/>
    </row>
    <row r="8099" spans="1:7" x14ac:dyDescent="0.25">
      <c r="A8099" s="36"/>
      <c r="B8099" s="34"/>
      <c r="G8099" s="31"/>
    </row>
    <row r="8100" spans="1:7" x14ac:dyDescent="0.25">
      <c r="A8100" s="36"/>
      <c r="B8100" s="34"/>
      <c r="G8100" s="31"/>
    </row>
    <row r="8101" spans="1:7" x14ac:dyDescent="0.25">
      <c r="A8101" s="36"/>
      <c r="B8101" s="34"/>
      <c r="G8101" s="31"/>
    </row>
    <row r="8102" spans="1:7" x14ac:dyDescent="0.25">
      <c r="A8102" s="36"/>
      <c r="B8102" s="34"/>
      <c r="G8102" s="31"/>
    </row>
    <row r="8103" spans="1:7" x14ac:dyDescent="0.25">
      <c r="A8103" s="36"/>
      <c r="B8103" s="34"/>
      <c r="G8103" s="31"/>
    </row>
    <row r="8104" spans="1:7" x14ac:dyDescent="0.25">
      <c r="A8104" s="36"/>
      <c r="B8104" s="34"/>
      <c r="G8104" s="31"/>
    </row>
    <row r="8105" spans="1:7" x14ac:dyDescent="0.25">
      <c r="A8105" s="36"/>
      <c r="B8105" s="34"/>
      <c r="G8105" s="31"/>
    </row>
    <row r="8106" spans="1:7" x14ac:dyDescent="0.25">
      <c r="A8106" s="36"/>
      <c r="B8106" s="34"/>
      <c r="G8106" s="31"/>
    </row>
    <row r="8107" spans="1:7" x14ac:dyDescent="0.25">
      <c r="A8107" s="36"/>
      <c r="B8107" s="34"/>
      <c r="G8107" s="31"/>
    </row>
    <row r="8108" spans="1:7" x14ac:dyDescent="0.25">
      <c r="A8108" s="36"/>
      <c r="B8108" s="34"/>
      <c r="G8108" s="31"/>
    </row>
    <row r="8109" spans="1:7" x14ac:dyDescent="0.25">
      <c r="A8109" s="36"/>
      <c r="B8109" s="34"/>
      <c r="G8109" s="31"/>
    </row>
    <row r="8110" spans="1:7" x14ac:dyDescent="0.25">
      <c r="A8110" s="36"/>
      <c r="B8110" s="34"/>
      <c r="G8110" s="31"/>
    </row>
    <row r="8111" spans="1:7" x14ac:dyDescent="0.25">
      <c r="A8111" s="36"/>
      <c r="B8111" s="34"/>
      <c r="G8111" s="31"/>
    </row>
    <row r="8112" spans="1:7" x14ac:dyDescent="0.25">
      <c r="A8112" s="36"/>
      <c r="B8112" s="34"/>
      <c r="G8112" s="31"/>
    </row>
    <row r="8113" spans="1:7" x14ac:dyDescent="0.25">
      <c r="A8113" s="36"/>
      <c r="B8113" s="34"/>
      <c r="G8113" s="31"/>
    </row>
    <row r="8114" spans="1:7" x14ac:dyDescent="0.25">
      <c r="A8114" s="36"/>
      <c r="B8114" s="34"/>
      <c r="G8114" s="31"/>
    </row>
    <row r="8115" spans="1:7" x14ac:dyDescent="0.25">
      <c r="A8115" s="36"/>
      <c r="B8115" s="34"/>
      <c r="G8115" s="31"/>
    </row>
    <row r="8116" spans="1:7" x14ac:dyDescent="0.25">
      <c r="A8116" s="36"/>
      <c r="B8116" s="34"/>
      <c r="G8116" s="31"/>
    </row>
    <row r="8117" spans="1:7" x14ac:dyDescent="0.25">
      <c r="A8117" s="36"/>
      <c r="B8117" s="34"/>
      <c r="G8117" s="31"/>
    </row>
    <row r="8118" spans="1:7" x14ac:dyDescent="0.25">
      <c r="A8118" s="36"/>
      <c r="B8118" s="34"/>
      <c r="G8118" s="31"/>
    </row>
    <row r="8119" spans="1:7" x14ac:dyDescent="0.25">
      <c r="A8119" s="36"/>
      <c r="B8119" s="34"/>
      <c r="G8119" s="31"/>
    </row>
    <row r="8120" spans="1:7" x14ac:dyDescent="0.25">
      <c r="A8120" s="36"/>
      <c r="B8120" s="34"/>
      <c r="G8120" s="31"/>
    </row>
    <row r="8121" spans="1:7" x14ac:dyDescent="0.25">
      <c r="A8121" s="36"/>
      <c r="B8121" s="34"/>
      <c r="G8121" s="31"/>
    </row>
    <row r="8122" spans="1:7" x14ac:dyDescent="0.25">
      <c r="A8122" s="36"/>
      <c r="B8122" s="34"/>
      <c r="G8122" s="31"/>
    </row>
    <row r="8123" spans="1:7" x14ac:dyDescent="0.25">
      <c r="A8123" s="36"/>
      <c r="B8123" s="34"/>
      <c r="G8123" s="31"/>
    </row>
    <row r="8124" spans="1:7" x14ac:dyDescent="0.25">
      <c r="A8124" s="36"/>
      <c r="B8124" s="34"/>
      <c r="G8124" s="31"/>
    </row>
    <row r="8125" spans="1:7" x14ac:dyDescent="0.25">
      <c r="A8125" s="36"/>
      <c r="B8125" s="34"/>
      <c r="G8125" s="31"/>
    </row>
    <row r="8126" spans="1:7" x14ac:dyDescent="0.25">
      <c r="A8126" s="36"/>
      <c r="B8126" s="34"/>
      <c r="G8126" s="31"/>
    </row>
    <row r="8127" spans="1:7" x14ac:dyDescent="0.25">
      <c r="A8127" s="36"/>
      <c r="B8127" s="34"/>
      <c r="G8127" s="31"/>
    </row>
    <row r="8128" spans="1:7" x14ac:dyDescent="0.25">
      <c r="A8128" s="36"/>
      <c r="B8128" s="34"/>
      <c r="G8128" s="31"/>
    </row>
    <row r="8129" spans="1:7" x14ac:dyDescent="0.25">
      <c r="A8129" s="36"/>
      <c r="B8129" s="34"/>
      <c r="G8129" s="31"/>
    </row>
    <row r="8130" spans="1:7" x14ac:dyDescent="0.25">
      <c r="A8130" s="36"/>
      <c r="B8130" s="34"/>
      <c r="G8130" s="31"/>
    </row>
    <row r="8131" spans="1:7" x14ac:dyDescent="0.25">
      <c r="A8131" s="36"/>
      <c r="B8131" s="34"/>
      <c r="G8131" s="31"/>
    </row>
    <row r="8132" spans="1:7" x14ac:dyDescent="0.25">
      <c r="A8132" s="36"/>
      <c r="B8132" s="34"/>
      <c r="G8132" s="31"/>
    </row>
    <row r="8133" spans="1:7" x14ac:dyDescent="0.25">
      <c r="A8133" s="36"/>
      <c r="B8133" s="34"/>
      <c r="G8133" s="31"/>
    </row>
    <row r="8134" spans="1:7" x14ac:dyDescent="0.25">
      <c r="A8134" s="36"/>
      <c r="B8134" s="34"/>
      <c r="G8134" s="31"/>
    </row>
    <row r="8135" spans="1:7" x14ac:dyDescent="0.25">
      <c r="A8135" s="36"/>
      <c r="B8135" s="34"/>
      <c r="G8135" s="31"/>
    </row>
    <row r="8136" spans="1:7" x14ac:dyDescent="0.25">
      <c r="A8136" s="36"/>
      <c r="B8136" s="34"/>
      <c r="G8136" s="31"/>
    </row>
    <row r="8137" spans="1:7" x14ac:dyDescent="0.25">
      <c r="A8137" s="36"/>
      <c r="B8137" s="34"/>
      <c r="G8137" s="31"/>
    </row>
    <row r="8138" spans="1:7" x14ac:dyDescent="0.25">
      <c r="A8138" s="36"/>
      <c r="B8138" s="34"/>
      <c r="G8138" s="31"/>
    </row>
    <row r="8139" spans="1:7" x14ac:dyDescent="0.25">
      <c r="A8139" s="36"/>
      <c r="B8139" s="34"/>
      <c r="G8139" s="31"/>
    </row>
    <row r="8140" spans="1:7" x14ac:dyDescent="0.25">
      <c r="A8140" s="36"/>
      <c r="B8140" s="34"/>
      <c r="G8140" s="31"/>
    </row>
    <row r="8141" spans="1:7" x14ac:dyDescent="0.25">
      <c r="A8141" s="36"/>
      <c r="B8141" s="34"/>
      <c r="G8141" s="31"/>
    </row>
    <row r="8142" spans="1:7" x14ac:dyDescent="0.25">
      <c r="A8142" s="36"/>
      <c r="B8142" s="34"/>
      <c r="G8142" s="31"/>
    </row>
    <row r="8143" spans="1:7" x14ac:dyDescent="0.25">
      <c r="A8143" s="36"/>
      <c r="B8143" s="34"/>
      <c r="G8143" s="31"/>
    </row>
    <row r="8144" spans="1:7" x14ac:dyDescent="0.25">
      <c r="A8144" s="36"/>
      <c r="B8144" s="34"/>
      <c r="G8144" s="31"/>
    </row>
    <row r="8145" spans="1:7" x14ac:dyDescent="0.25">
      <c r="A8145" s="36"/>
      <c r="B8145" s="34"/>
      <c r="G8145" s="31"/>
    </row>
    <row r="8146" spans="1:7" x14ac:dyDescent="0.25">
      <c r="A8146" s="36"/>
      <c r="B8146" s="34"/>
      <c r="G8146" s="31"/>
    </row>
    <row r="8147" spans="1:7" x14ac:dyDescent="0.25">
      <c r="A8147" s="36"/>
      <c r="B8147" s="34"/>
      <c r="G8147" s="31"/>
    </row>
    <row r="8148" spans="1:7" x14ac:dyDescent="0.25">
      <c r="A8148" s="36"/>
      <c r="B8148" s="34"/>
      <c r="G8148" s="31"/>
    </row>
    <row r="8149" spans="1:7" x14ac:dyDescent="0.25">
      <c r="A8149" s="36"/>
      <c r="B8149" s="34"/>
      <c r="G8149" s="31"/>
    </row>
    <row r="8150" spans="1:7" x14ac:dyDescent="0.25">
      <c r="A8150" s="36"/>
      <c r="B8150" s="34"/>
      <c r="G8150" s="31"/>
    </row>
    <row r="8151" spans="1:7" x14ac:dyDescent="0.25">
      <c r="A8151" s="36"/>
      <c r="B8151" s="34"/>
      <c r="G8151" s="31"/>
    </row>
    <row r="8152" spans="1:7" x14ac:dyDescent="0.25">
      <c r="A8152" s="36"/>
      <c r="B8152" s="34"/>
      <c r="G8152" s="31"/>
    </row>
    <row r="8153" spans="1:7" x14ac:dyDescent="0.25">
      <c r="A8153" s="36"/>
      <c r="B8153" s="34"/>
      <c r="G8153" s="31"/>
    </row>
    <row r="8154" spans="1:7" x14ac:dyDescent="0.25">
      <c r="A8154" s="36"/>
      <c r="B8154" s="34"/>
      <c r="G8154" s="31"/>
    </row>
    <row r="8155" spans="1:7" x14ac:dyDescent="0.25">
      <c r="A8155" s="36"/>
      <c r="B8155" s="34"/>
      <c r="G8155" s="31"/>
    </row>
    <row r="8156" spans="1:7" x14ac:dyDescent="0.25">
      <c r="A8156" s="36"/>
      <c r="B8156" s="34"/>
      <c r="G8156" s="31"/>
    </row>
    <row r="8157" spans="1:7" x14ac:dyDescent="0.25">
      <c r="A8157" s="36"/>
      <c r="B8157" s="34"/>
      <c r="G8157" s="31"/>
    </row>
    <row r="8158" spans="1:7" x14ac:dyDescent="0.25">
      <c r="A8158" s="36"/>
      <c r="B8158" s="34"/>
      <c r="G8158" s="31"/>
    </row>
    <row r="8159" spans="1:7" x14ac:dyDescent="0.25">
      <c r="A8159" s="36"/>
      <c r="B8159" s="34"/>
      <c r="G8159" s="31"/>
    </row>
    <row r="8160" spans="1:7" x14ac:dyDescent="0.25">
      <c r="A8160" s="36"/>
      <c r="B8160" s="34"/>
      <c r="G8160" s="31"/>
    </row>
    <row r="8161" spans="1:7" x14ac:dyDescent="0.25">
      <c r="A8161" s="36"/>
      <c r="B8161" s="34"/>
      <c r="G8161" s="31"/>
    </row>
    <row r="8162" spans="1:7" x14ac:dyDescent="0.25">
      <c r="A8162" s="36"/>
      <c r="B8162" s="34"/>
      <c r="G8162" s="31"/>
    </row>
    <row r="8163" spans="1:7" x14ac:dyDescent="0.25">
      <c r="A8163" s="36"/>
      <c r="B8163" s="34"/>
      <c r="G8163" s="31"/>
    </row>
    <row r="8164" spans="1:7" x14ac:dyDescent="0.25">
      <c r="A8164" s="36"/>
      <c r="B8164" s="34"/>
      <c r="G8164" s="31"/>
    </row>
    <row r="8165" spans="1:7" x14ac:dyDescent="0.25">
      <c r="A8165" s="36"/>
      <c r="B8165" s="34"/>
      <c r="G8165" s="31"/>
    </row>
    <row r="8166" spans="1:7" x14ac:dyDescent="0.25">
      <c r="A8166" s="36"/>
      <c r="B8166" s="34"/>
      <c r="G8166" s="31"/>
    </row>
    <row r="8167" spans="1:7" x14ac:dyDescent="0.25">
      <c r="A8167" s="36"/>
      <c r="B8167" s="34"/>
      <c r="G8167" s="31"/>
    </row>
    <row r="8168" spans="1:7" x14ac:dyDescent="0.25">
      <c r="A8168" s="36"/>
      <c r="B8168" s="34"/>
      <c r="G8168" s="31"/>
    </row>
    <row r="8169" spans="1:7" x14ac:dyDescent="0.25">
      <c r="A8169" s="36"/>
      <c r="B8169" s="34"/>
      <c r="G8169" s="31"/>
    </row>
    <row r="8170" spans="1:7" x14ac:dyDescent="0.25">
      <c r="A8170" s="36"/>
      <c r="B8170" s="34"/>
      <c r="G8170" s="31"/>
    </row>
    <row r="8171" spans="1:7" x14ac:dyDescent="0.25">
      <c r="A8171" s="36"/>
      <c r="B8171" s="34"/>
      <c r="G8171" s="31"/>
    </row>
    <row r="8172" spans="1:7" x14ac:dyDescent="0.25">
      <c r="A8172" s="36"/>
      <c r="B8172" s="34"/>
      <c r="G8172" s="31"/>
    </row>
    <row r="8173" spans="1:7" x14ac:dyDescent="0.25">
      <c r="A8173" s="36"/>
      <c r="B8173" s="34"/>
      <c r="G8173" s="31"/>
    </row>
    <row r="8174" spans="1:7" x14ac:dyDescent="0.25">
      <c r="A8174" s="36"/>
      <c r="B8174" s="34"/>
      <c r="G8174" s="31"/>
    </row>
    <row r="8175" spans="1:7" x14ac:dyDescent="0.25">
      <c r="A8175" s="36"/>
      <c r="B8175" s="34"/>
      <c r="G8175" s="31"/>
    </row>
    <row r="8176" spans="1:7" x14ac:dyDescent="0.25">
      <c r="A8176" s="36"/>
      <c r="B8176" s="34"/>
      <c r="G8176" s="31"/>
    </row>
    <row r="8177" spans="1:7" x14ac:dyDescent="0.25">
      <c r="A8177" s="36"/>
      <c r="B8177" s="34"/>
      <c r="G8177" s="31"/>
    </row>
    <row r="8178" spans="1:7" x14ac:dyDescent="0.25">
      <c r="A8178" s="36"/>
      <c r="B8178" s="34"/>
      <c r="G8178" s="31"/>
    </row>
    <row r="8179" spans="1:7" x14ac:dyDescent="0.25">
      <c r="A8179" s="36"/>
      <c r="B8179" s="34"/>
      <c r="G8179" s="31"/>
    </row>
    <row r="8180" spans="1:7" x14ac:dyDescent="0.25">
      <c r="A8180" s="36"/>
      <c r="B8180" s="34"/>
      <c r="G8180" s="31"/>
    </row>
    <row r="8181" spans="1:7" x14ac:dyDescent="0.25">
      <c r="A8181" s="36"/>
      <c r="B8181" s="34"/>
      <c r="G8181" s="31"/>
    </row>
    <row r="8182" spans="1:7" x14ac:dyDescent="0.25">
      <c r="A8182" s="36"/>
      <c r="B8182" s="34"/>
      <c r="G8182" s="31"/>
    </row>
    <row r="8183" spans="1:7" x14ac:dyDescent="0.25">
      <c r="A8183" s="36"/>
      <c r="B8183" s="34"/>
      <c r="G8183" s="31"/>
    </row>
    <row r="8184" spans="1:7" x14ac:dyDescent="0.25">
      <c r="A8184" s="36"/>
      <c r="B8184" s="34"/>
      <c r="G8184" s="31"/>
    </row>
    <row r="8185" spans="1:7" x14ac:dyDescent="0.25">
      <c r="A8185" s="36"/>
      <c r="B8185" s="34"/>
      <c r="G8185" s="31"/>
    </row>
    <row r="8186" spans="1:7" x14ac:dyDescent="0.25">
      <c r="A8186" s="36"/>
      <c r="B8186" s="34"/>
      <c r="G8186" s="31"/>
    </row>
    <row r="8187" spans="1:7" x14ac:dyDescent="0.25">
      <c r="A8187" s="36"/>
      <c r="B8187" s="34"/>
      <c r="G8187" s="31"/>
    </row>
    <row r="8188" spans="1:7" x14ac:dyDescent="0.25">
      <c r="A8188" s="36"/>
      <c r="B8188" s="34"/>
      <c r="G8188" s="31"/>
    </row>
    <row r="8189" spans="1:7" x14ac:dyDescent="0.25">
      <c r="A8189" s="36"/>
      <c r="B8189" s="34"/>
      <c r="G8189" s="31"/>
    </row>
    <row r="8190" spans="1:7" x14ac:dyDescent="0.25">
      <c r="A8190" s="36"/>
      <c r="B8190" s="34"/>
      <c r="G8190" s="31"/>
    </row>
    <row r="8191" spans="1:7" x14ac:dyDescent="0.25">
      <c r="A8191" s="36"/>
      <c r="B8191" s="34"/>
      <c r="G8191" s="31"/>
    </row>
    <row r="8192" spans="1:7" x14ac:dyDescent="0.25">
      <c r="A8192" s="36"/>
      <c r="B8192" s="34"/>
      <c r="G8192" s="31"/>
    </row>
    <row r="8193" spans="1:7" x14ac:dyDescent="0.25">
      <c r="A8193" s="36"/>
      <c r="B8193" s="34"/>
      <c r="G8193" s="31"/>
    </row>
    <row r="8194" spans="1:7" x14ac:dyDescent="0.25">
      <c r="A8194" s="36"/>
      <c r="B8194" s="34"/>
      <c r="G8194" s="31"/>
    </row>
    <row r="8195" spans="1:7" x14ac:dyDescent="0.25">
      <c r="A8195" s="36"/>
      <c r="B8195" s="34"/>
      <c r="G8195" s="31"/>
    </row>
    <row r="8196" spans="1:7" x14ac:dyDescent="0.25">
      <c r="A8196" s="36"/>
      <c r="B8196" s="34"/>
      <c r="G8196" s="31"/>
    </row>
    <row r="8197" spans="1:7" x14ac:dyDescent="0.25">
      <c r="A8197" s="36"/>
      <c r="B8197" s="34"/>
      <c r="G8197" s="31"/>
    </row>
    <row r="8198" spans="1:7" x14ac:dyDescent="0.25">
      <c r="A8198" s="36"/>
      <c r="B8198" s="34"/>
      <c r="G8198" s="31"/>
    </row>
    <row r="8199" spans="1:7" x14ac:dyDescent="0.25">
      <c r="A8199" s="36"/>
      <c r="B8199" s="34"/>
      <c r="G8199" s="31"/>
    </row>
    <row r="8200" spans="1:7" x14ac:dyDescent="0.25">
      <c r="A8200" s="36"/>
      <c r="B8200" s="34"/>
      <c r="G8200" s="31"/>
    </row>
    <row r="8201" spans="1:7" x14ac:dyDescent="0.25">
      <c r="A8201" s="36"/>
      <c r="B8201" s="34"/>
      <c r="G8201" s="31"/>
    </row>
    <row r="8202" spans="1:7" x14ac:dyDescent="0.25">
      <c r="A8202" s="36"/>
      <c r="B8202" s="34"/>
      <c r="G8202" s="31"/>
    </row>
    <row r="8203" spans="1:7" x14ac:dyDescent="0.25">
      <c r="A8203" s="36"/>
      <c r="B8203" s="34"/>
      <c r="G8203" s="31"/>
    </row>
    <row r="8204" spans="1:7" x14ac:dyDescent="0.25">
      <c r="A8204" s="36"/>
      <c r="B8204" s="34"/>
      <c r="G8204" s="31"/>
    </row>
    <row r="8205" spans="1:7" x14ac:dyDescent="0.25">
      <c r="A8205" s="36"/>
      <c r="B8205" s="34"/>
      <c r="G8205" s="31"/>
    </row>
    <row r="8206" spans="1:7" x14ac:dyDescent="0.25">
      <c r="A8206" s="36"/>
      <c r="B8206" s="34"/>
      <c r="G8206" s="31"/>
    </row>
    <row r="8207" spans="1:7" x14ac:dyDescent="0.25">
      <c r="A8207" s="36"/>
      <c r="B8207" s="34"/>
      <c r="G8207" s="31"/>
    </row>
    <row r="8208" spans="1:7" x14ac:dyDescent="0.25">
      <c r="A8208" s="36"/>
      <c r="B8208" s="34"/>
      <c r="G8208" s="31"/>
    </row>
    <row r="8209" spans="1:7" x14ac:dyDescent="0.25">
      <c r="A8209" s="36"/>
      <c r="B8209" s="34"/>
      <c r="G8209" s="31"/>
    </row>
    <row r="8210" spans="1:7" x14ac:dyDescent="0.25">
      <c r="A8210" s="36"/>
      <c r="B8210" s="34"/>
      <c r="G8210" s="31"/>
    </row>
    <row r="8211" spans="1:7" x14ac:dyDescent="0.25">
      <c r="A8211" s="36"/>
      <c r="B8211" s="34"/>
      <c r="G8211" s="31"/>
    </row>
    <row r="8212" spans="1:7" x14ac:dyDescent="0.25">
      <c r="A8212" s="36"/>
      <c r="B8212" s="34"/>
      <c r="G8212" s="31"/>
    </row>
    <row r="8213" spans="1:7" x14ac:dyDescent="0.25">
      <c r="A8213" s="36"/>
      <c r="B8213" s="34"/>
      <c r="G8213" s="31"/>
    </row>
    <row r="8214" spans="1:7" x14ac:dyDescent="0.25">
      <c r="A8214" s="36"/>
      <c r="B8214" s="34"/>
      <c r="G8214" s="31"/>
    </row>
    <row r="8215" spans="1:7" x14ac:dyDescent="0.25">
      <c r="A8215" s="36"/>
      <c r="B8215" s="34"/>
      <c r="G8215" s="31"/>
    </row>
    <row r="8216" spans="1:7" x14ac:dyDescent="0.25">
      <c r="A8216" s="36"/>
      <c r="B8216" s="34"/>
      <c r="G8216" s="31"/>
    </row>
    <row r="8217" spans="1:7" x14ac:dyDescent="0.25">
      <c r="A8217" s="36"/>
      <c r="B8217" s="34"/>
      <c r="G8217" s="31"/>
    </row>
    <row r="8218" spans="1:7" x14ac:dyDescent="0.25">
      <c r="A8218" s="36"/>
      <c r="B8218" s="34"/>
      <c r="G8218" s="31"/>
    </row>
    <row r="8219" spans="1:7" x14ac:dyDescent="0.25">
      <c r="A8219" s="36"/>
      <c r="B8219" s="34"/>
      <c r="G8219" s="31"/>
    </row>
    <row r="8220" spans="1:7" x14ac:dyDescent="0.25">
      <c r="A8220" s="36"/>
      <c r="B8220" s="34"/>
      <c r="G8220" s="31"/>
    </row>
    <row r="8221" spans="1:7" x14ac:dyDescent="0.25">
      <c r="A8221" s="36"/>
      <c r="B8221" s="34"/>
      <c r="G8221" s="31"/>
    </row>
    <row r="8222" spans="1:7" x14ac:dyDescent="0.25">
      <c r="A8222" s="36"/>
      <c r="B8222" s="34"/>
      <c r="G8222" s="31"/>
    </row>
    <row r="8223" spans="1:7" x14ac:dyDescent="0.25">
      <c r="A8223" s="36"/>
      <c r="B8223" s="34"/>
      <c r="G8223" s="31"/>
    </row>
    <row r="8224" spans="1:7" x14ac:dyDescent="0.25">
      <c r="A8224" s="36"/>
      <c r="B8224" s="34"/>
      <c r="G8224" s="31"/>
    </row>
    <row r="8225" spans="1:7" x14ac:dyDescent="0.25">
      <c r="A8225" s="36"/>
      <c r="B8225" s="34"/>
      <c r="G8225" s="31"/>
    </row>
    <row r="8226" spans="1:7" x14ac:dyDescent="0.25">
      <c r="A8226" s="36"/>
      <c r="B8226" s="34"/>
      <c r="G8226" s="31"/>
    </row>
    <row r="8227" spans="1:7" x14ac:dyDescent="0.25">
      <c r="A8227" s="36"/>
      <c r="B8227" s="34"/>
      <c r="G8227" s="31"/>
    </row>
    <row r="8228" spans="1:7" x14ac:dyDescent="0.25">
      <c r="A8228" s="36"/>
      <c r="B8228" s="34"/>
      <c r="G8228" s="31"/>
    </row>
    <row r="8229" spans="1:7" x14ac:dyDescent="0.25">
      <c r="A8229" s="36"/>
      <c r="B8229" s="34"/>
      <c r="G8229" s="31"/>
    </row>
    <row r="8230" spans="1:7" x14ac:dyDescent="0.25">
      <c r="A8230" s="36"/>
      <c r="B8230" s="34"/>
      <c r="G8230" s="31"/>
    </row>
    <row r="8231" spans="1:7" x14ac:dyDescent="0.25">
      <c r="A8231" s="36"/>
      <c r="B8231" s="34"/>
      <c r="G8231" s="31"/>
    </row>
    <row r="8232" spans="1:7" x14ac:dyDescent="0.25">
      <c r="A8232" s="36"/>
      <c r="B8232" s="34"/>
      <c r="G8232" s="31"/>
    </row>
    <row r="8233" spans="1:7" x14ac:dyDescent="0.25">
      <c r="A8233" s="36"/>
      <c r="B8233" s="34"/>
      <c r="G8233" s="31"/>
    </row>
    <row r="8234" spans="1:7" x14ac:dyDescent="0.25">
      <c r="A8234" s="36"/>
      <c r="B8234" s="34"/>
      <c r="G8234" s="31"/>
    </row>
    <row r="8235" spans="1:7" x14ac:dyDescent="0.25">
      <c r="A8235" s="36"/>
      <c r="B8235" s="34"/>
      <c r="G8235" s="31"/>
    </row>
    <row r="8236" spans="1:7" x14ac:dyDescent="0.25">
      <c r="A8236" s="36"/>
      <c r="B8236" s="34"/>
      <c r="G8236" s="31"/>
    </row>
    <row r="8237" spans="1:7" x14ac:dyDescent="0.25">
      <c r="A8237" s="36"/>
      <c r="B8237" s="34"/>
      <c r="G8237" s="31"/>
    </row>
    <row r="8238" spans="1:7" x14ac:dyDescent="0.25">
      <c r="A8238" s="36"/>
      <c r="B8238" s="34"/>
      <c r="G8238" s="31"/>
    </row>
    <row r="8239" spans="1:7" x14ac:dyDescent="0.25">
      <c r="A8239" s="36"/>
      <c r="B8239" s="34"/>
      <c r="G8239" s="31"/>
    </row>
    <row r="8240" spans="1:7" x14ac:dyDescent="0.25">
      <c r="A8240" s="36"/>
      <c r="B8240" s="34"/>
      <c r="G8240" s="31"/>
    </row>
    <row r="8241" spans="1:7" x14ac:dyDescent="0.25">
      <c r="A8241" s="36"/>
      <c r="B8241" s="34"/>
      <c r="G8241" s="31"/>
    </row>
    <row r="8242" spans="1:7" x14ac:dyDescent="0.25">
      <c r="A8242" s="36"/>
      <c r="B8242" s="34"/>
      <c r="G8242" s="31"/>
    </row>
    <row r="8243" spans="1:7" x14ac:dyDescent="0.25">
      <c r="A8243" s="36"/>
      <c r="B8243" s="34"/>
      <c r="G8243" s="31"/>
    </row>
    <row r="8244" spans="1:7" x14ac:dyDescent="0.25">
      <c r="A8244" s="36"/>
      <c r="B8244" s="34"/>
      <c r="G8244" s="31"/>
    </row>
    <row r="8245" spans="1:7" x14ac:dyDescent="0.25">
      <c r="A8245" s="36"/>
      <c r="B8245" s="34"/>
      <c r="G8245" s="31"/>
    </row>
    <row r="8246" spans="1:7" x14ac:dyDescent="0.25">
      <c r="A8246" s="36"/>
      <c r="B8246" s="34"/>
      <c r="G8246" s="31"/>
    </row>
    <row r="8247" spans="1:7" x14ac:dyDescent="0.25">
      <c r="A8247" s="36"/>
      <c r="B8247" s="34"/>
      <c r="G8247" s="31"/>
    </row>
    <row r="8248" spans="1:7" x14ac:dyDescent="0.25">
      <c r="A8248" s="36"/>
      <c r="B8248" s="34"/>
      <c r="G8248" s="31"/>
    </row>
    <row r="8249" spans="1:7" x14ac:dyDescent="0.25">
      <c r="A8249" s="36"/>
      <c r="B8249" s="34"/>
      <c r="G8249" s="31"/>
    </row>
    <row r="8250" spans="1:7" x14ac:dyDescent="0.25">
      <c r="A8250" s="36"/>
      <c r="B8250" s="34"/>
      <c r="G8250" s="31"/>
    </row>
    <row r="8251" spans="1:7" x14ac:dyDescent="0.25">
      <c r="A8251" s="36"/>
      <c r="B8251" s="34"/>
      <c r="G8251" s="31"/>
    </row>
    <row r="8252" spans="1:7" x14ac:dyDescent="0.25">
      <c r="A8252" s="36"/>
      <c r="B8252" s="34"/>
      <c r="G8252" s="31"/>
    </row>
    <row r="8253" spans="1:7" x14ac:dyDescent="0.25">
      <c r="A8253" s="36"/>
      <c r="B8253" s="34"/>
      <c r="G8253" s="31"/>
    </row>
    <row r="8254" spans="1:7" x14ac:dyDescent="0.25">
      <c r="A8254" s="36"/>
      <c r="B8254" s="34"/>
      <c r="G8254" s="31"/>
    </row>
    <row r="8255" spans="1:7" x14ac:dyDescent="0.25">
      <c r="A8255" s="36"/>
      <c r="B8255" s="34"/>
      <c r="G8255" s="31"/>
    </row>
    <row r="8256" spans="1:7" x14ac:dyDescent="0.25">
      <c r="A8256" s="36"/>
      <c r="B8256" s="34"/>
      <c r="G8256" s="31"/>
    </row>
    <row r="8257" spans="1:7" x14ac:dyDescent="0.25">
      <c r="A8257" s="36"/>
      <c r="B8257" s="34"/>
      <c r="G8257" s="31"/>
    </row>
    <row r="8258" spans="1:7" x14ac:dyDescent="0.25">
      <c r="A8258" s="36"/>
      <c r="B8258" s="34"/>
      <c r="G8258" s="31"/>
    </row>
    <row r="8259" spans="1:7" x14ac:dyDescent="0.25">
      <c r="A8259" s="36"/>
      <c r="B8259" s="34"/>
      <c r="G8259" s="31"/>
    </row>
    <row r="8260" spans="1:7" x14ac:dyDescent="0.25">
      <c r="A8260" s="36"/>
      <c r="B8260" s="34"/>
      <c r="G8260" s="31"/>
    </row>
    <row r="8261" spans="1:7" x14ac:dyDescent="0.25">
      <c r="A8261" s="36"/>
      <c r="B8261" s="34"/>
      <c r="G8261" s="31"/>
    </row>
    <row r="8262" spans="1:7" x14ac:dyDescent="0.25">
      <c r="A8262" s="36"/>
      <c r="B8262" s="34"/>
      <c r="G8262" s="31"/>
    </row>
    <row r="8263" spans="1:7" x14ac:dyDescent="0.25">
      <c r="A8263" s="36"/>
      <c r="B8263" s="34"/>
      <c r="G8263" s="31"/>
    </row>
    <row r="8264" spans="1:7" x14ac:dyDescent="0.25">
      <c r="A8264" s="36"/>
      <c r="B8264" s="34"/>
      <c r="G8264" s="31"/>
    </row>
    <row r="8265" spans="1:7" x14ac:dyDescent="0.25">
      <c r="A8265" s="36"/>
      <c r="B8265" s="34"/>
      <c r="G8265" s="31"/>
    </row>
    <row r="8266" spans="1:7" x14ac:dyDescent="0.25">
      <c r="A8266" s="36"/>
      <c r="B8266" s="34"/>
      <c r="G8266" s="31"/>
    </row>
    <row r="8267" spans="1:7" x14ac:dyDescent="0.25">
      <c r="A8267" s="36"/>
      <c r="B8267" s="34"/>
      <c r="G8267" s="31"/>
    </row>
    <row r="8268" spans="1:7" x14ac:dyDescent="0.25">
      <c r="A8268" s="36"/>
      <c r="B8268" s="34"/>
      <c r="G8268" s="31"/>
    </row>
    <row r="8269" spans="1:7" x14ac:dyDescent="0.25">
      <c r="A8269" s="36"/>
      <c r="B8269" s="34"/>
      <c r="G8269" s="31"/>
    </row>
    <row r="8270" spans="1:7" x14ac:dyDescent="0.25">
      <c r="A8270" s="36"/>
      <c r="B8270" s="34"/>
      <c r="G8270" s="31"/>
    </row>
    <row r="8271" spans="1:7" x14ac:dyDescent="0.25">
      <c r="A8271" s="36"/>
      <c r="B8271" s="34"/>
      <c r="G8271" s="31"/>
    </row>
    <row r="8272" spans="1:7" x14ac:dyDescent="0.25">
      <c r="A8272" s="36"/>
      <c r="B8272" s="34"/>
      <c r="G8272" s="31"/>
    </row>
    <row r="8273" spans="1:7" x14ac:dyDescent="0.25">
      <c r="A8273" s="36"/>
      <c r="B8273" s="34"/>
      <c r="G8273" s="31"/>
    </row>
    <row r="8274" spans="1:7" x14ac:dyDescent="0.25">
      <c r="A8274" s="36"/>
      <c r="B8274" s="34"/>
      <c r="G8274" s="31"/>
    </row>
    <row r="8275" spans="1:7" x14ac:dyDescent="0.25">
      <c r="A8275" s="36"/>
      <c r="B8275" s="34"/>
      <c r="G8275" s="31"/>
    </row>
    <row r="8276" spans="1:7" x14ac:dyDescent="0.25">
      <c r="A8276" s="36"/>
      <c r="B8276" s="34"/>
      <c r="G8276" s="31"/>
    </row>
    <row r="8277" spans="1:7" x14ac:dyDescent="0.25">
      <c r="A8277" s="36"/>
      <c r="B8277" s="34"/>
      <c r="G8277" s="31"/>
    </row>
    <row r="8278" spans="1:7" x14ac:dyDescent="0.25">
      <c r="A8278" s="36"/>
      <c r="B8278" s="34"/>
      <c r="G8278" s="31"/>
    </row>
    <row r="8279" spans="1:7" x14ac:dyDescent="0.25">
      <c r="A8279" s="36"/>
      <c r="B8279" s="34"/>
      <c r="G8279" s="31"/>
    </row>
    <row r="8280" spans="1:7" x14ac:dyDescent="0.25">
      <c r="A8280" s="36"/>
      <c r="B8280" s="34"/>
      <c r="G8280" s="31"/>
    </row>
    <row r="8281" spans="1:7" x14ac:dyDescent="0.25">
      <c r="A8281" s="36"/>
      <c r="B8281" s="34"/>
      <c r="G8281" s="31"/>
    </row>
    <row r="8282" spans="1:7" x14ac:dyDescent="0.25">
      <c r="A8282" s="36"/>
      <c r="B8282" s="34"/>
      <c r="G8282" s="31"/>
    </row>
    <row r="8283" spans="1:7" x14ac:dyDescent="0.25">
      <c r="A8283" s="36"/>
      <c r="B8283" s="34"/>
      <c r="G8283" s="31"/>
    </row>
    <row r="8284" spans="1:7" x14ac:dyDescent="0.25">
      <c r="A8284" s="36"/>
      <c r="B8284" s="34"/>
      <c r="G8284" s="31"/>
    </row>
    <row r="8285" spans="1:7" x14ac:dyDescent="0.25">
      <c r="A8285" s="36"/>
      <c r="B8285" s="34"/>
      <c r="G8285" s="31"/>
    </row>
    <row r="8286" spans="1:7" x14ac:dyDescent="0.25">
      <c r="A8286" s="36"/>
      <c r="B8286" s="34"/>
      <c r="G8286" s="31"/>
    </row>
    <row r="8287" spans="1:7" x14ac:dyDescent="0.25">
      <c r="A8287" s="36"/>
      <c r="B8287" s="34"/>
      <c r="G8287" s="31"/>
    </row>
    <row r="8288" spans="1:7" x14ac:dyDescent="0.25">
      <c r="A8288" s="36"/>
      <c r="B8288" s="34"/>
      <c r="G8288" s="31"/>
    </row>
    <row r="8289" spans="1:7" x14ac:dyDescent="0.25">
      <c r="A8289" s="36"/>
      <c r="B8289" s="34"/>
      <c r="G8289" s="31"/>
    </row>
    <row r="8290" spans="1:7" x14ac:dyDescent="0.25">
      <c r="A8290" s="36"/>
      <c r="B8290" s="34"/>
      <c r="G8290" s="31"/>
    </row>
    <row r="8291" spans="1:7" x14ac:dyDescent="0.25">
      <c r="A8291" s="36"/>
      <c r="B8291" s="34"/>
      <c r="G8291" s="31"/>
    </row>
    <row r="8292" spans="1:7" x14ac:dyDescent="0.25">
      <c r="A8292" s="36"/>
      <c r="B8292" s="34"/>
      <c r="G8292" s="31"/>
    </row>
    <row r="8293" spans="1:7" x14ac:dyDescent="0.25">
      <c r="A8293" s="36"/>
      <c r="B8293" s="34"/>
      <c r="G8293" s="31"/>
    </row>
    <row r="8294" spans="1:7" x14ac:dyDescent="0.25">
      <c r="A8294" s="36"/>
      <c r="B8294" s="34"/>
      <c r="G8294" s="31"/>
    </row>
    <row r="8295" spans="1:7" x14ac:dyDescent="0.25">
      <c r="A8295" s="36"/>
      <c r="B8295" s="34"/>
      <c r="G8295" s="31"/>
    </row>
    <row r="8296" spans="1:7" x14ac:dyDescent="0.25">
      <c r="A8296" s="36"/>
      <c r="B8296" s="34"/>
      <c r="G8296" s="31"/>
    </row>
    <row r="8297" spans="1:7" x14ac:dyDescent="0.25">
      <c r="A8297" s="36"/>
      <c r="B8297" s="34"/>
      <c r="G8297" s="31"/>
    </row>
    <row r="8298" spans="1:7" x14ac:dyDescent="0.25">
      <c r="A8298" s="36"/>
      <c r="B8298" s="34"/>
      <c r="G8298" s="31"/>
    </row>
    <row r="8299" spans="1:7" x14ac:dyDescent="0.25">
      <c r="A8299" s="36"/>
      <c r="B8299" s="34"/>
      <c r="G8299" s="31"/>
    </row>
    <row r="8300" spans="1:7" x14ac:dyDescent="0.25">
      <c r="A8300" s="36"/>
      <c r="B8300" s="34"/>
      <c r="G8300" s="31"/>
    </row>
    <row r="8301" spans="1:7" x14ac:dyDescent="0.25">
      <c r="A8301" s="36"/>
      <c r="B8301" s="34"/>
      <c r="G8301" s="31"/>
    </row>
    <row r="8302" spans="1:7" x14ac:dyDescent="0.25">
      <c r="A8302" s="36"/>
      <c r="B8302" s="34"/>
      <c r="G8302" s="31"/>
    </row>
    <row r="8303" spans="1:7" x14ac:dyDescent="0.25">
      <c r="A8303" s="36"/>
      <c r="B8303" s="34"/>
      <c r="G8303" s="31"/>
    </row>
    <row r="8304" spans="1:7" x14ac:dyDescent="0.25">
      <c r="A8304" s="36"/>
      <c r="B8304" s="34"/>
      <c r="G8304" s="31"/>
    </row>
    <row r="8305" spans="1:7" x14ac:dyDescent="0.25">
      <c r="A8305" s="36"/>
      <c r="B8305" s="34"/>
      <c r="G8305" s="31"/>
    </row>
    <row r="8306" spans="1:7" x14ac:dyDescent="0.25">
      <c r="A8306" s="36"/>
      <c r="B8306" s="34"/>
      <c r="G8306" s="31"/>
    </row>
    <row r="8307" spans="1:7" x14ac:dyDescent="0.25">
      <c r="A8307" s="36"/>
      <c r="B8307" s="34"/>
      <c r="G8307" s="31"/>
    </row>
    <row r="8308" spans="1:7" x14ac:dyDescent="0.25">
      <c r="A8308" s="36"/>
      <c r="B8308" s="34"/>
      <c r="G8308" s="31"/>
    </row>
    <row r="8309" spans="1:7" x14ac:dyDescent="0.25">
      <c r="A8309" s="36"/>
      <c r="B8309" s="34"/>
      <c r="G8309" s="31"/>
    </row>
    <row r="8310" spans="1:7" x14ac:dyDescent="0.25">
      <c r="A8310" s="36"/>
      <c r="B8310" s="34"/>
      <c r="G8310" s="31"/>
    </row>
    <row r="8311" spans="1:7" x14ac:dyDescent="0.25">
      <c r="A8311" s="36"/>
      <c r="B8311" s="34"/>
      <c r="G8311" s="31"/>
    </row>
    <row r="8312" spans="1:7" x14ac:dyDescent="0.25">
      <c r="A8312" s="36"/>
      <c r="B8312" s="34"/>
      <c r="G8312" s="31"/>
    </row>
    <row r="8313" spans="1:7" x14ac:dyDescent="0.25">
      <c r="A8313" s="36"/>
      <c r="B8313" s="34"/>
      <c r="G8313" s="31"/>
    </row>
    <row r="8314" spans="1:7" x14ac:dyDescent="0.25">
      <c r="A8314" s="36"/>
      <c r="B8314" s="34"/>
      <c r="G8314" s="31"/>
    </row>
    <row r="8315" spans="1:7" x14ac:dyDescent="0.25">
      <c r="A8315" s="36"/>
      <c r="B8315" s="34"/>
      <c r="G8315" s="31"/>
    </row>
    <row r="8316" spans="1:7" x14ac:dyDescent="0.25">
      <c r="A8316" s="36"/>
      <c r="B8316" s="34"/>
      <c r="G8316" s="31"/>
    </row>
    <row r="8317" spans="1:7" x14ac:dyDescent="0.25">
      <c r="A8317" s="36"/>
      <c r="B8317" s="34"/>
      <c r="G8317" s="31"/>
    </row>
    <row r="8318" spans="1:7" x14ac:dyDescent="0.25">
      <c r="A8318" s="36"/>
      <c r="B8318" s="34"/>
      <c r="G8318" s="31"/>
    </row>
    <row r="8319" spans="1:7" x14ac:dyDescent="0.25">
      <c r="A8319" s="36"/>
      <c r="B8319" s="34"/>
      <c r="G8319" s="31"/>
    </row>
    <row r="8320" spans="1:7" x14ac:dyDescent="0.25">
      <c r="A8320" s="36"/>
      <c r="B8320" s="34"/>
      <c r="G8320" s="31"/>
    </row>
    <row r="8321" spans="1:7" x14ac:dyDescent="0.25">
      <c r="A8321" s="36"/>
      <c r="B8321" s="34"/>
      <c r="G8321" s="31"/>
    </row>
    <row r="8322" spans="1:7" x14ac:dyDescent="0.25">
      <c r="A8322" s="36"/>
      <c r="B8322" s="34"/>
      <c r="G8322" s="31"/>
    </row>
    <row r="8323" spans="1:7" x14ac:dyDescent="0.25">
      <c r="A8323" s="36"/>
      <c r="B8323" s="34"/>
      <c r="G8323" s="31"/>
    </row>
    <row r="8324" spans="1:7" x14ac:dyDescent="0.25">
      <c r="A8324" s="36"/>
      <c r="B8324" s="34"/>
      <c r="G8324" s="31"/>
    </row>
    <row r="8325" spans="1:7" x14ac:dyDescent="0.25">
      <c r="A8325" s="36"/>
      <c r="B8325" s="34"/>
      <c r="G8325" s="31"/>
    </row>
    <row r="8326" spans="1:7" x14ac:dyDescent="0.25">
      <c r="A8326" s="36"/>
      <c r="B8326" s="34"/>
      <c r="G8326" s="31"/>
    </row>
    <row r="8327" spans="1:7" x14ac:dyDescent="0.25">
      <c r="A8327" s="36"/>
      <c r="B8327" s="34"/>
      <c r="G8327" s="31"/>
    </row>
    <row r="8328" spans="1:7" x14ac:dyDescent="0.25">
      <c r="A8328" s="36"/>
      <c r="B8328" s="34"/>
      <c r="G8328" s="31"/>
    </row>
    <row r="8329" spans="1:7" x14ac:dyDescent="0.25">
      <c r="A8329" s="36"/>
      <c r="B8329" s="34"/>
      <c r="G8329" s="31"/>
    </row>
    <row r="8330" spans="1:7" x14ac:dyDescent="0.25">
      <c r="A8330" s="36"/>
      <c r="B8330" s="34"/>
      <c r="G8330" s="31"/>
    </row>
    <row r="8331" spans="1:7" x14ac:dyDescent="0.25">
      <c r="A8331" s="36"/>
      <c r="B8331" s="34"/>
      <c r="G8331" s="31"/>
    </row>
    <row r="8332" spans="1:7" x14ac:dyDescent="0.25">
      <c r="A8332" s="36"/>
      <c r="B8332" s="34"/>
      <c r="G8332" s="31"/>
    </row>
    <row r="8333" spans="1:7" x14ac:dyDescent="0.25">
      <c r="A8333" s="36"/>
      <c r="B8333" s="34"/>
      <c r="G8333" s="31"/>
    </row>
    <row r="8334" spans="1:7" x14ac:dyDescent="0.25">
      <c r="A8334" s="36"/>
      <c r="B8334" s="34"/>
      <c r="G8334" s="31"/>
    </row>
    <row r="8335" spans="1:7" x14ac:dyDescent="0.25">
      <c r="A8335" s="36"/>
      <c r="B8335" s="34"/>
      <c r="G8335" s="31"/>
    </row>
    <row r="8336" spans="1:7" x14ac:dyDescent="0.25">
      <c r="A8336" s="36"/>
      <c r="B8336" s="34"/>
      <c r="G8336" s="31"/>
    </row>
    <row r="8337" spans="1:7" x14ac:dyDescent="0.25">
      <c r="A8337" s="36"/>
      <c r="B8337" s="34"/>
      <c r="G8337" s="31"/>
    </row>
    <row r="8338" spans="1:7" x14ac:dyDescent="0.25">
      <c r="A8338" s="36"/>
      <c r="B8338" s="34"/>
      <c r="G8338" s="31"/>
    </row>
    <row r="8339" spans="1:7" x14ac:dyDescent="0.25">
      <c r="A8339" s="36"/>
      <c r="B8339" s="34"/>
      <c r="G8339" s="31"/>
    </row>
    <row r="8340" spans="1:7" x14ac:dyDescent="0.25">
      <c r="A8340" s="36"/>
      <c r="B8340" s="34"/>
      <c r="G8340" s="31"/>
    </row>
    <row r="8341" spans="1:7" x14ac:dyDescent="0.25">
      <c r="A8341" s="36"/>
      <c r="B8341" s="34"/>
      <c r="G8341" s="31"/>
    </row>
    <row r="8342" spans="1:7" x14ac:dyDescent="0.25">
      <c r="A8342" s="36"/>
      <c r="B8342" s="34"/>
      <c r="G8342" s="31"/>
    </row>
    <row r="8343" spans="1:7" x14ac:dyDescent="0.25">
      <c r="A8343" s="36"/>
      <c r="B8343" s="34"/>
      <c r="G8343" s="31"/>
    </row>
    <row r="8344" spans="1:7" x14ac:dyDescent="0.25">
      <c r="A8344" s="36"/>
      <c r="B8344" s="34"/>
      <c r="G8344" s="31"/>
    </row>
    <row r="8345" spans="1:7" x14ac:dyDescent="0.25">
      <c r="A8345" s="36"/>
      <c r="B8345" s="34"/>
      <c r="G8345" s="31"/>
    </row>
    <row r="8346" spans="1:7" x14ac:dyDescent="0.25">
      <c r="A8346" s="36"/>
      <c r="B8346" s="34"/>
      <c r="G8346" s="31"/>
    </row>
    <row r="8347" spans="1:7" x14ac:dyDescent="0.25">
      <c r="A8347" s="36"/>
      <c r="B8347" s="34"/>
      <c r="G8347" s="31"/>
    </row>
    <row r="8348" spans="1:7" x14ac:dyDescent="0.25">
      <c r="A8348" s="36"/>
      <c r="B8348" s="34"/>
      <c r="G8348" s="31"/>
    </row>
    <row r="8349" spans="1:7" x14ac:dyDescent="0.25">
      <c r="A8349" s="36"/>
      <c r="B8349" s="34"/>
      <c r="G8349" s="31"/>
    </row>
    <row r="8350" spans="1:7" x14ac:dyDescent="0.25">
      <c r="A8350" s="36"/>
      <c r="B8350" s="34"/>
      <c r="G8350" s="31"/>
    </row>
    <row r="8351" spans="1:7" x14ac:dyDescent="0.25">
      <c r="A8351" s="36"/>
      <c r="B8351" s="34"/>
      <c r="G8351" s="31"/>
    </row>
    <row r="8352" spans="1:7" x14ac:dyDescent="0.25">
      <c r="A8352" s="36"/>
      <c r="B8352" s="34"/>
      <c r="G8352" s="31"/>
    </row>
    <row r="8353" spans="1:7" x14ac:dyDescent="0.25">
      <c r="A8353" s="36"/>
      <c r="B8353" s="34"/>
      <c r="G8353" s="31"/>
    </row>
    <row r="8354" spans="1:7" x14ac:dyDescent="0.25">
      <c r="A8354" s="36"/>
      <c r="B8354" s="34"/>
      <c r="G8354" s="31"/>
    </row>
    <row r="8355" spans="1:7" x14ac:dyDescent="0.25">
      <c r="A8355" s="36"/>
      <c r="B8355" s="34"/>
      <c r="G8355" s="31"/>
    </row>
    <row r="8356" spans="1:7" x14ac:dyDescent="0.25">
      <c r="A8356" s="36"/>
      <c r="B8356" s="34"/>
      <c r="G8356" s="31"/>
    </row>
    <row r="8357" spans="1:7" x14ac:dyDescent="0.25">
      <c r="A8357" s="36"/>
      <c r="B8357" s="34"/>
      <c r="G8357" s="31"/>
    </row>
    <row r="8358" spans="1:7" x14ac:dyDescent="0.25">
      <c r="A8358" s="36"/>
      <c r="B8358" s="34"/>
      <c r="G8358" s="31"/>
    </row>
    <row r="8359" spans="1:7" x14ac:dyDescent="0.25">
      <c r="A8359" s="36"/>
      <c r="B8359" s="34"/>
      <c r="G8359" s="31"/>
    </row>
    <row r="8360" spans="1:7" x14ac:dyDescent="0.25">
      <c r="A8360" s="36"/>
      <c r="B8360" s="34"/>
      <c r="G8360" s="31"/>
    </row>
    <row r="8361" spans="1:7" x14ac:dyDescent="0.25">
      <c r="A8361" s="36"/>
      <c r="B8361" s="34"/>
      <c r="G8361" s="31"/>
    </row>
    <row r="8362" spans="1:7" x14ac:dyDescent="0.25">
      <c r="A8362" s="36"/>
      <c r="B8362" s="34"/>
      <c r="G8362" s="31"/>
    </row>
    <row r="8363" spans="1:7" x14ac:dyDescent="0.25">
      <c r="A8363" s="36"/>
      <c r="B8363" s="34"/>
      <c r="G8363" s="31"/>
    </row>
    <row r="8364" spans="1:7" x14ac:dyDescent="0.25">
      <c r="A8364" s="36"/>
      <c r="B8364" s="34"/>
      <c r="G8364" s="31"/>
    </row>
    <row r="8365" spans="1:7" x14ac:dyDescent="0.25">
      <c r="A8365" s="36"/>
      <c r="B8365" s="34"/>
      <c r="G8365" s="31"/>
    </row>
    <row r="8366" spans="1:7" x14ac:dyDescent="0.25">
      <c r="A8366" s="36"/>
      <c r="B8366" s="34"/>
      <c r="G8366" s="31"/>
    </row>
    <row r="8367" spans="1:7" x14ac:dyDescent="0.25">
      <c r="A8367" s="36"/>
      <c r="B8367" s="34"/>
      <c r="G8367" s="31"/>
    </row>
    <row r="8368" spans="1:7" x14ac:dyDescent="0.25">
      <c r="A8368" s="36"/>
      <c r="B8368" s="34"/>
      <c r="G8368" s="31"/>
    </row>
    <row r="8369" spans="1:7" x14ac:dyDescent="0.25">
      <c r="A8369" s="36"/>
      <c r="B8369" s="34"/>
      <c r="G8369" s="31"/>
    </row>
    <row r="8370" spans="1:7" x14ac:dyDescent="0.25">
      <c r="A8370" s="36"/>
      <c r="B8370" s="34"/>
      <c r="G8370" s="31"/>
    </row>
    <row r="8371" spans="1:7" x14ac:dyDescent="0.25">
      <c r="A8371" s="36"/>
      <c r="B8371" s="34"/>
      <c r="G8371" s="31"/>
    </row>
    <row r="8372" spans="1:7" x14ac:dyDescent="0.25">
      <c r="A8372" s="36"/>
      <c r="B8372" s="34"/>
      <c r="G8372" s="31"/>
    </row>
    <row r="8373" spans="1:7" x14ac:dyDescent="0.25">
      <c r="A8373" s="36"/>
      <c r="B8373" s="34"/>
      <c r="G8373" s="31"/>
    </row>
    <row r="8374" spans="1:7" x14ac:dyDescent="0.25">
      <c r="A8374" s="36"/>
      <c r="B8374" s="34"/>
      <c r="G8374" s="31"/>
    </row>
    <row r="8375" spans="1:7" x14ac:dyDescent="0.25">
      <c r="A8375" s="36"/>
      <c r="B8375" s="34"/>
      <c r="G8375" s="31"/>
    </row>
    <row r="8376" spans="1:7" x14ac:dyDescent="0.25">
      <c r="A8376" s="36"/>
      <c r="B8376" s="34"/>
      <c r="G8376" s="31"/>
    </row>
    <row r="8377" spans="1:7" x14ac:dyDescent="0.25">
      <c r="A8377" s="36"/>
      <c r="B8377" s="34"/>
      <c r="G8377" s="31"/>
    </row>
    <row r="8378" spans="1:7" x14ac:dyDescent="0.25">
      <c r="A8378" s="36"/>
      <c r="B8378" s="34"/>
      <c r="G8378" s="31"/>
    </row>
    <row r="8379" spans="1:7" x14ac:dyDescent="0.25">
      <c r="A8379" s="36"/>
      <c r="B8379" s="34"/>
      <c r="G8379" s="31"/>
    </row>
    <row r="8380" spans="1:7" x14ac:dyDescent="0.25">
      <c r="A8380" s="36"/>
      <c r="B8380" s="34"/>
      <c r="G8380" s="31"/>
    </row>
    <row r="8381" spans="1:7" x14ac:dyDescent="0.25">
      <c r="A8381" s="36"/>
      <c r="B8381" s="34"/>
      <c r="G8381" s="31"/>
    </row>
    <row r="8382" spans="1:7" x14ac:dyDescent="0.25">
      <c r="A8382" s="36"/>
      <c r="B8382" s="34"/>
      <c r="G8382" s="31"/>
    </row>
    <row r="8383" spans="1:7" x14ac:dyDescent="0.25">
      <c r="A8383" s="36"/>
      <c r="B8383" s="34"/>
      <c r="G8383" s="31"/>
    </row>
    <row r="8384" spans="1:7" x14ac:dyDescent="0.25">
      <c r="A8384" s="36"/>
      <c r="B8384" s="34"/>
      <c r="G8384" s="31"/>
    </row>
    <row r="8385" spans="1:7" x14ac:dyDescent="0.25">
      <c r="A8385" s="36"/>
      <c r="B8385" s="34"/>
      <c r="G8385" s="31"/>
    </row>
    <row r="8386" spans="1:7" x14ac:dyDescent="0.25">
      <c r="A8386" s="36"/>
      <c r="B8386" s="34"/>
      <c r="G8386" s="31"/>
    </row>
    <row r="8387" spans="1:7" x14ac:dyDescent="0.25">
      <c r="A8387" s="36"/>
      <c r="B8387" s="34"/>
      <c r="G8387" s="31"/>
    </row>
    <row r="8388" spans="1:7" x14ac:dyDescent="0.25">
      <c r="A8388" s="36"/>
      <c r="B8388" s="34"/>
      <c r="G8388" s="31"/>
    </row>
    <row r="8389" spans="1:7" x14ac:dyDescent="0.25">
      <c r="A8389" s="36"/>
      <c r="B8389" s="34"/>
      <c r="G8389" s="31"/>
    </row>
    <row r="8390" spans="1:7" x14ac:dyDescent="0.25">
      <c r="A8390" s="36"/>
      <c r="B8390" s="34"/>
      <c r="G8390" s="31"/>
    </row>
    <row r="8391" spans="1:7" x14ac:dyDescent="0.25">
      <c r="A8391" s="36"/>
      <c r="B8391" s="34"/>
      <c r="G8391" s="31"/>
    </row>
    <row r="8392" spans="1:7" x14ac:dyDescent="0.25">
      <c r="A8392" s="36"/>
      <c r="B8392" s="34"/>
      <c r="G8392" s="31"/>
    </row>
    <row r="8393" spans="1:7" x14ac:dyDescent="0.25">
      <c r="A8393" s="36"/>
      <c r="B8393" s="34"/>
      <c r="G8393" s="31"/>
    </row>
    <row r="8394" spans="1:7" x14ac:dyDescent="0.25">
      <c r="A8394" s="36"/>
      <c r="B8394" s="34"/>
      <c r="G8394" s="31"/>
    </row>
    <row r="8395" spans="1:7" x14ac:dyDescent="0.25">
      <c r="A8395" s="36"/>
      <c r="B8395" s="34"/>
      <c r="G8395" s="31"/>
    </row>
    <row r="8396" spans="1:7" x14ac:dyDescent="0.25">
      <c r="A8396" s="36"/>
      <c r="B8396" s="34"/>
      <c r="G8396" s="31"/>
    </row>
    <row r="8397" spans="1:7" x14ac:dyDescent="0.25">
      <c r="A8397" s="36"/>
      <c r="B8397" s="34"/>
      <c r="G8397" s="31"/>
    </row>
    <row r="8398" spans="1:7" x14ac:dyDescent="0.25">
      <c r="A8398" s="36"/>
      <c r="B8398" s="34"/>
      <c r="G8398" s="31"/>
    </row>
    <row r="8399" spans="1:7" x14ac:dyDescent="0.25">
      <c r="A8399" s="36"/>
      <c r="B8399" s="34"/>
      <c r="G8399" s="31"/>
    </row>
    <row r="8400" spans="1:7" x14ac:dyDescent="0.25">
      <c r="A8400" s="36"/>
      <c r="B8400" s="34"/>
      <c r="G8400" s="31"/>
    </row>
    <row r="8401" spans="1:7" x14ac:dyDescent="0.25">
      <c r="A8401" s="36"/>
      <c r="B8401" s="34"/>
      <c r="G8401" s="31"/>
    </row>
    <row r="8402" spans="1:7" x14ac:dyDescent="0.25">
      <c r="A8402" s="36"/>
      <c r="B8402" s="34"/>
      <c r="G8402" s="31"/>
    </row>
    <row r="8403" spans="1:7" x14ac:dyDescent="0.25">
      <c r="A8403" s="36"/>
      <c r="B8403" s="34"/>
      <c r="G8403" s="31"/>
    </row>
    <row r="8404" spans="1:7" x14ac:dyDescent="0.25">
      <c r="A8404" s="36"/>
      <c r="B8404" s="34"/>
      <c r="G8404" s="31"/>
    </row>
    <row r="8405" spans="1:7" x14ac:dyDescent="0.25">
      <c r="A8405" s="36"/>
      <c r="B8405" s="34"/>
      <c r="G8405" s="31"/>
    </row>
    <row r="8406" spans="1:7" x14ac:dyDescent="0.25">
      <c r="A8406" s="36"/>
      <c r="B8406" s="34"/>
      <c r="G8406" s="31"/>
    </row>
    <row r="8407" spans="1:7" x14ac:dyDescent="0.25">
      <c r="A8407" s="36"/>
      <c r="B8407" s="34"/>
      <c r="G8407" s="31"/>
    </row>
    <row r="8408" spans="1:7" x14ac:dyDescent="0.25">
      <c r="A8408" s="36"/>
      <c r="B8408" s="34"/>
      <c r="G8408" s="31"/>
    </row>
    <row r="8409" spans="1:7" x14ac:dyDescent="0.25">
      <c r="A8409" s="36"/>
      <c r="B8409" s="34"/>
      <c r="G8409" s="31"/>
    </row>
    <row r="8410" spans="1:7" x14ac:dyDescent="0.25">
      <c r="A8410" s="36"/>
      <c r="B8410" s="34"/>
      <c r="G8410" s="31"/>
    </row>
    <row r="8411" spans="1:7" x14ac:dyDescent="0.25">
      <c r="A8411" s="36"/>
      <c r="B8411" s="34"/>
      <c r="G8411" s="31"/>
    </row>
    <row r="8412" spans="1:7" x14ac:dyDescent="0.25">
      <c r="A8412" s="36"/>
      <c r="B8412" s="34"/>
      <c r="G8412" s="31"/>
    </row>
    <row r="8413" spans="1:7" x14ac:dyDescent="0.25">
      <c r="A8413" s="36"/>
      <c r="B8413" s="34"/>
      <c r="G8413" s="31"/>
    </row>
    <row r="8414" spans="1:7" x14ac:dyDescent="0.25">
      <c r="A8414" s="36"/>
      <c r="B8414" s="34"/>
      <c r="G8414" s="31"/>
    </row>
    <row r="8415" spans="1:7" x14ac:dyDescent="0.25">
      <c r="A8415" s="36"/>
      <c r="B8415" s="34"/>
      <c r="G8415" s="31"/>
    </row>
    <row r="8416" spans="1:7" x14ac:dyDescent="0.25">
      <c r="A8416" s="36"/>
      <c r="B8416" s="34"/>
      <c r="G8416" s="31"/>
    </row>
    <row r="8417" spans="1:7" x14ac:dyDescent="0.25">
      <c r="A8417" s="36"/>
      <c r="B8417" s="34"/>
      <c r="G8417" s="31"/>
    </row>
    <row r="8418" spans="1:7" x14ac:dyDescent="0.25">
      <c r="A8418" s="36"/>
      <c r="B8418" s="34"/>
      <c r="G8418" s="31"/>
    </row>
    <row r="8419" spans="1:7" x14ac:dyDescent="0.25">
      <c r="A8419" s="36"/>
      <c r="B8419" s="34"/>
      <c r="G8419" s="31"/>
    </row>
    <row r="8420" spans="1:7" x14ac:dyDescent="0.25">
      <c r="A8420" s="36"/>
      <c r="B8420" s="34"/>
      <c r="G8420" s="31"/>
    </row>
    <row r="8421" spans="1:7" x14ac:dyDescent="0.25">
      <c r="A8421" s="36"/>
      <c r="B8421" s="34"/>
      <c r="G8421" s="31"/>
    </row>
    <row r="8422" spans="1:7" x14ac:dyDescent="0.25">
      <c r="A8422" s="36"/>
      <c r="B8422" s="34"/>
      <c r="G8422" s="31"/>
    </row>
    <row r="8423" spans="1:7" x14ac:dyDescent="0.25">
      <c r="A8423" s="36"/>
      <c r="B8423" s="34"/>
      <c r="G8423" s="31"/>
    </row>
    <row r="8424" spans="1:7" x14ac:dyDescent="0.25">
      <c r="A8424" s="36"/>
      <c r="B8424" s="34"/>
      <c r="G8424" s="31"/>
    </row>
    <row r="8425" spans="1:7" x14ac:dyDescent="0.25">
      <c r="A8425" s="36"/>
      <c r="B8425" s="34"/>
      <c r="G8425" s="31"/>
    </row>
    <row r="8426" spans="1:7" x14ac:dyDescent="0.25">
      <c r="A8426" s="36"/>
      <c r="B8426" s="34"/>
      <c r="G8426" s="31"/>
    </row>
    <row r="8427" spans="1:7" x14ac:dyDescent="0.25">
      <c r="A8427" s="36"/>
      <c r="B8427" s="34"/>
      <c r="G8427" s="31"/>
    </row>
    <row r="8428" spans="1:7" x14ac:dyDescent="0.25">
      <c r="A8428" s="36"/>
      <c r="B8428" s="34"/>
      <c r="G8428" s="31"/>
    </row>
    <row r="8429" spans="1:7" x14ac:dyDescent="0.25">
      <c r="A8429" s="36"/>
      <c r="B8429" s="34"/>
      <c r="G8429" s="31"/>
    </row>
    <row r="8430" spans="1:7" x14ac:dyDescent="0.25">
      <c r="A8430" s="36"/>
      <c r="B8430" s="34"/>
      <c r="G8430" s="31"/>
    </row>
    <row r="8431" spans="1:7" x14ac:dyDescent="0.25">
      <c r="A8431" s="36"/>
      <c r="B8431" s="34"/>
      <c r="G8431" s="31"/>
    </row>
    <row r="8432" spans="1:7" x14ac:dyDescent="0.25">
      <c r="A8432" s="36"/>
      <c r="B8432" s="34"/>
      <c r="G8432" s="31"/>
    </row>
    <row r="8433" spans="1:7" x14ac:dyDescent="0.25">
      <c r="A8433" s="36"/>
      <c r="B8433" s="34"/>
      <c r="G8433" s="31"/>
    </row>
    <row r="8434" spans="1:7" x14ac:dyDescent="0.25">
      <c r="A8434" s="36"/>
      <c r="B8434" s="34"/>
      <c r="G8434" s="31"/>
    </row>
    <row r="8435" spans="1:7" x14ac:dyDescent="0.25">
      <c r="A8435" s="36"/>
      <c r="B8435" s="34"/>
      <c r="G8435" s="31"/>
    </row>
    <row r="8436" spans="1:7" x14ac:dyDescent="0.25">
      <c r="A8436" s="36"/>
      <c r="B8436" s="34"/>
      <c r="G8436" s="31"/>
    </row>
    <row r="8437" spans="1:7" x14ac:dyDescent="0.25">
      <c r="A8437" s="36"/>
      <c r="B8437" s="34"/>
      <c r="G8437" s="31"/>
    </row>
    <row r="8438" spans="1:7" x14ac:dyDescent="0.25">
      <c r="A8438" s="36"/>
      <c r="B8438" s="34"/>
      <c r="G8438" s="31"/>
    </row>
    <row r="8439" spans="1:7" x14ac:dyDescent="0.25">
      <c r="A8439" s="36"/>
      <c r="B8439" s="34"/>
      <c r="G8439" s="31"/>
    </row>
    <row r="8440" spans="1:7" x14ac:dyDescent="0.25">
      <c r="A8440" s="36"/>
      <c r="B8440" s="34"/>
      <c r="G8440" s="31"/>
    </row>
    <row r="8441" spans="1:7" x14ac:dyDescent="0.25">
      <c r="A8441" s="36"/>
      <c r="B8441" s="34"/>
      <c r="G8441" s="31"/>
    </row>
    <row r="8442" spans="1:7" x14ac:dyDescent="0.25">
      <c r="A8442" s="36"/>
      <c r="B8442" s="34"/>
      <c r="G8442" s="31"/>
    </row>
    <row r="8443" spans="1:7" x14ac:dyDescent="0.25">
      <c r="A8443" s="36"/>
      <c r="B8443" s="34"/>
      <c r="G8443" s="31"/>
    </row>
    <row r="8444" spans="1:7" x14ac:dyDescent="0.25">
      <c r="A8444" s="36"/>
      <c r="B8444" s="34"/>
      <c r="G8444" s="31"/>
    </row>
    <row r="8445" spans="1:7" x14ac:dyDescent="0.25">
      <c r="A8445" s="36"/>
      <c r="B8445" s="34"/>
      <c r="G8445" s="31"/>
    </row>
    <row r="8446" spans="1:7" x14ac:dyDescent="0.25">
      <c r="A8446" s="36"/>
      <c r="B8446" s="34"/>
      <c r="G8446" s="31"/>
    </row>
    <row r="8447" spans="1:7" x14ac:dyDescent="0.25">
      <c r="A8447" s="36"/>
      <c r="B8447" s="34"/>
      <c r="G8447" s="31"/>
    </row>
    <row r="8448" spans="1:7" x14ac:dyDescent="0.25">
      <c r="A8448" s="36"/>
      <c r="B8448" s="34"/>
      <c r="G8448" s="31"/>
    </row>
    <row r="8449" spans="1:7" x14ac:dyDescent="0.25">
      <c r="A8449" s="36"/>
      <c r="B8449" s="34"/>
      <c r="G8449" s="31"/>
    </row>
    <row r="8450" spans="1:7" x14ac:dyDescent="0.25">
      <c r="A8450" s="36"/>
      <c r="B8450" s="34"/>
      <c r="G8450" s="31"/>
    </row>
    <row r="8451" spans="1:7" x14ac:dyDescent="0.25">
      <c r="A8451" s="36"/>
      <c r="B8451" s="34"/>
      <c r="G8451" s="31"/>
    </row>
    <row r="8452" spans="1:7" x14ac:dyDescent="0.25">
      <c r="A8452" s="36"/>
      <c r="B8452" s="34"/>
      <c r="G8452" s="31"/>
    </row>
    <row r="8453" spans="1:7" x14ac:dyDescent="0.25">
      <c r="A8453" s="36"/>
      <c r="B8453" s="34"/>
      <c r="G8453" s="31"/>
    </row>
    <row r="8454" spans="1:7" x14ac:dyDescent="0.25">
      <c r="A8454" s="36"/>
      <c r="B8454" s="34"/>
      <c r="G8454" s="31"/>
    </row>
    <row r="8455" spans="1:7" x14ac:dyDescent="0.25">
      <c r="A8455" s="36"/>
      <c r="B8455" s="34"/>
      <c r="G8455" s="31"/>
    </row>
    <row r="8456" spans="1:7" x14ac:dyDescent="0.25">
      <c r="A8456" s="36"/>
      <c r="B8456" s="34"/>
      <c r="G8456" s="31"/>
    </row>
    <row r="8457" spans="1:7" x14ac:dyDescent="0.25">
      <c r="A8457" s="36"/>
      <c r="B8457" s="34"/>
      <c r="G8457" s="31"/>
    </row>
    <row r="8458" spans="1:7" x14ac:dyDescent="0.25">
      <c r="A8458" s="36"/>
      <c r="B8458" s="34"/>
      <c r="G8458" s="31"/>
    </row>
    <row r="8459" spans="1:7" x14ac:dyDescent="0.25">
      <c r="A8459" s="36"/>
      <c r="B8459" s="34"/>
      <c r="G8459" s="31"/>
    </row>
    <row r="8460" spans="1:7" x14ac:dyDescent="0.25">
      <c r="A8460" s="36"/>
      <c r="B8460" s="34"/>
      <c r="G8460" s="31"/>
    </row>
    <row r="8461" spans="1:7" x14ac:dyDescent="0.25">
      <c r="A8461" s="36"/>
      <c r="B8461" s="34"/>
      <c r="G8461" s="31"/>
    </row>
    <row r="8462" spans="1:7" x14ac:dyDescent="0.25">
      <c r="A8462" s="36"/>
      <c r="B8462" s="34"/>
      <c r="G8462" s="31"/>
    </row>
    <row r="8463" spans="1:7" x14ac:dyDescent="0.25">
      <c r="A8463" s="36"/>
      <c r="B8463" s="34"/>
      <c r="G8463" s="31"/>
    </row>
    <row r="8464" spans="1:7" x14ac:dyDescent="0.25">
      <c r="A8464" s="36"/>
      <c r="B8464" s="34"/>
      <c r="G8464" s="31"/>
    </row>
    <row r="8465" spans="1:7" x14ac:dyDescent="0.25">
      <c r="A8465" s="36"/>
      <c r="B8465" s="34"/>
      <c r="G8465" s="31"/>
    </row>
    <row r="8466" spans="1:7" x14ac:dyDescent="0.25">
      <c r="A8466" s="36"/>
      <c r="B8466" s="34"/>
      <c r="G8466" s="31"/>
    </row>
    <row r="8467" spans="1:7" x14ac:dyDescent="0.25">
      <c r="A8467" s="36"/>
      <c r="B8467" s="34"/>
      <c r="G8467" s="31"/>
    </row>
    <row r="8468" spans="1:7" x14ac:dyDescent="0.25">
      <c r="A8468" s="36"/>
      <c r="B8468" s="34"/>
      <c r="G8468" s="31"/>
    </row>
    <row r="8469" spans="1:7" x14ac:dyDescent="0.25">
      <c r="A8469" s="36"/>
      <c r="B8469" s="34"/>
      <c r="G8469" s="31"/>
    </row>
    <row r="8470" spans="1:7" x14ac:dyDescent="0.25">
      <c r="A8470" s="36"/>
      <c r="B8470" s="34"/>
      <c r="G8470" s="31"/>
    </row>
    <row r="8471" spans="1:7" x14ac:dyDescent="0.25">
      <c r="A8471" s="36"/>
      <c r="B8471" s="34"/>
      <c r="G8471" s="31"/>
    </row>
    <row r="8472" spans="1:7" x14ac:dyDescent="0.25">
      <c r="A8472" s="36"/>
      <c r="B8472" s="34"/>
      <c r="G8472" s="31"/>
    </row>
    <row r="8473" spans="1:7" x14ac:dyDescent="0.25">
      <c r="A8473" s="36"/>
      <c r="B8473" s="34"/>
      <c r="G8473" s="31"/>
    </row>
    <row r="8474" spans="1:7" x14ac:dyDescent="0.25">
      <c r="A8474" s="36"/>
      <c r="B8474" s="34"/>
      <c r="G8474" s="31"/>
    </row>
    <row r="8475" spans="1:7" x14ac:dyDescent="0.25">
      <c r="A8475" s="36"/>
      <c r="B8475" s="34"/>
      <c r="G8475" s="31"/>
    </row>
    <row r="8476" spans="1:7" x14ac:dyDescent="0.25">
      <c r="A8476" s="36"/>
      <c r="B8476" s="34"/>
      <c r="G8476" s="31"/>
    </row>
    <row r="8477" spans="1:7" x14ac:dyDescent="0.25">
      <c r="A8477" s="36"/>
      <c r="B8477" s="34"/>
      <c r="G8477" s="31"/>
    </row>
    <row r="8478" spans="1:7" x14ac:dyDescent="0.25">
      <c r="A8478" s="36"/>
      <c r="B8478" s="34"/>
      <c r="G8478" s="31"/>
    </row>
    <row r="8479" spans="1:7" x14ac:dyDescent="0.25">
      <c r="A8479" s="36"/>
      <c r="B8479" s="34"/>
      <c r="G8479" s="31"/>
    </row>
    <row r="8480" spans="1:7" x14ac:dyDescent="0.25">
      <c r="A8480" s="36"/>
      <c r="B8480" s="34"/>
      <c r="G8480" s="31"/>
    </row>
    <row r="8481" spans="1:7" x14ac:dyDescent="0.25">
      <c r="A8481" s="36"/>
      <c r="B8481" s="34"/>
      <c r="G8481" s="31"/>
    </row>
    <row r="8482" spans="1:7" x14ac:dyDescent="0.25">
      <c r="A8482" s="36"/>
      <c r="B8482" s="34"/>
      <c r="G8482" s="31"/>
    </row>
    <row r="8483" spans="1:7" x14ac:dyDescent="0.25">
      <c r="A8483" s="36"/>
      <c r="B8483" s="34"/>
      <c r="G8483" s="31"/>
    </row>
    <row r="8484" spans="1:7" x14ac:dyDescent="0.25">
      <c r="A8484" s="36"/>
      <c r="B8484" s="34"/>
      <c r="G8484" s="31"/>
    </row>
    <row r="8485" spans="1:7" x14ac:dyDescent="0.25">
      <c r="A8485" s="36"/>
      <c r="B8485" s="34"/>
      <c r="G8485" s="31"/>
    </row>
    <row r="8486" spans="1:7" x14ac:dyDescent="0.25">
      <c r="A8486" s="36"/>
      <c r="B8486" s="34"/>
      <c r="G8486" s="31"/>
    </row>
    <row r="8487" spans="1:7" x14ac:dyDescent="0.25">
      <c r="A8487" s="36"/>
      <c r="B8487" s="34"/>
      <c r="G8487" s="31"/>
    </row>
    <row r="8488" spans="1:7" x14ac:dyDescent="0.25">
      <c r="A8488" s="36"/>
      <c r="B8488" s="34"/>
      <c r="G8488" s="31"/>
    </row>
    <row r="8489" spans="1:7" x14ac:dyDescent="0.25">
      <c r="A8489" s="36"/>
      <c r="B8489" s="34"/>
      <c r="G8489" s="31"/>
    </row>
    <row r="8490" spans="1:7" x14ac:dyDescent="0.25">
      <c r="A8490" s="36"/>
      <c r="B8490" s="34"/>
      <c r="G8490" s="31"/>
    </row>
    <row r="8491" spans="1:7" x14ac:dyDescent="0.25">
      <c r="A8491" s="36"/>
      <c r="B8491" s="34"/>
      <c r="G8491" s="31"/>
    </row>
    <row r="8492" spans="1:7" x14ac:dyDescent="0.25">
      <c r="A8492" s="36"/>
      <c r="B8492" s="34"/>
      <c r="G8492" s="31"/>
    </row>
    <row r="8493" spans="1:7" x14ac:dyDescent="0.25">
      <c r="A8493" s="36"/>
      <c r="B8493" s="34"/>
      <c r="G8493" s="31"/>
    </row>
    <row r="8494" spans="1:7" x14ac:dyDescent="0.25">
      <c r="A8494" s="36"/>
      <c r="B8494" s="34"/>
      <c r="G8494" s="31"/>
    </row>
    <row r="8495" spans="1:7" x14ac:dyDescent="0.25">
      <c r="A8495" s="36"/>
      <c r="B8495" s="34"/>
      <c r="G8495" s="31"/>
    </row>
    <row r="8496" spans="1:7" x14ac:dyDescent="0.25">
      <c r="A8496" s="36"/>
      <c r="B8496" s="34"/>
      <c r="G8496" s="31"/>
    </row>
    <row r="8497" spans="1:7" x14ac:dyDescent="0.25">
      <c r="A8497" s="36"/>
      <c r="B8497" s="34"/>
      <c r="G8497" s="31"/>
    </row>
    <row r="8498" spans="1:7" x14ac:dyDescent="0.25">
      <c r="A8498" s="36"/>
      <c r="B8498" s="34"/>
      <c r="G8498" s="31"/>
    </row>
    <row r="8499" spans="1:7" x14ac:dyDescent="0.25">
      <c r="A8499" s="36"/>
      <c r="B8499" s="34"/>
      <c r="G8499" s="31"/>
    </row>
    <row r="8500" spans="1:7" x14ac:dyDescent="0.25">
      <c r="A8500" s="36"/>
      <c r="B8500" s="34"/>
      <c r="G8500" s="31"/>
    </row>
    <row r="8501" spans="1:7" x14ac:dyDescent="0.25">
      <c r="A8501" s="36"/>
      <c r="B8501" s="34"/>
      <c r="G8501" s="31"/>
    </row>
    <row r="8502" spans="1:7" x14ac:dyDescent="0.25">
      <c r="A8502" s="36"/>
      <c r="B8502" s="34"/>
      <c r="G8502" s="31"/>
    </row>
    <row r="8503" spans="1:7" x14ac:dyDescent="0.25">
      <c r="A8503" s="36"/>
      <c r="B8503" s="34"/>
      <c r="G8503" s="31"/>
    </row>
    <row r="8504" spans="1:7" x14ac:dyDescent="0.25">
      <c r="A8504" s="36"/>
      <c r="B8504" s="34"/>
      <c r="G8504" s="31"/>
    </row>
    <row r="8505" spans="1:7" x14ac:dyDescent="0.25">
      <c r="A8505" s="36"/>
      <c r="B8505" s="34"/>
      <c r="G8505" s="31"/>
    </row>
    <row r="8506" spans="1:7" x14ac:dyDescent="0.25">
      <c r="A8506" s="36"/>
      <c r="B8506" s="34"/>
      <c r="G8506" s="31"/>
    </row>
    <row r="8507" spans="1:7" x14ac:dyDescent="0.25">
      <c r="A8507" s="36"/>
      <c r="B8507" s="34"/>
      <c r="G8507" s="31"/>
    </row>
    <row r="8508" spans="1:7" x14ac:dyDescent="0.25">
      <c r="A8508" s="36"/>
      <c r="B8508" s="34"/>
      <c r="G8508" s="31"/>
    </row>
    <row r="8509" spans="1:7" x14ac:dyDescent="0.25">
      <c r="A8509" s="36"/>
      <c r="B8509" s="34"/>
      <c r="G8509" s="31"/>
    </row>
    <row r="8510" spans="1:7" x14ac:dyDescent="0.25">
      <c r="A8510" s="36"/>
      <c r="B8510" s="34"/>
      <c r="G8510" s="31"/>
    </row>
    <row r="8511" spans="1:7" x14ac:dyDescent="0.25">
      <c r="A8511" s="36"/>
      <c r="B8511" s="34"/>
      <c r="G8511" s="31"/>
    </row>
    <row r="8512" spans="1:7" x14ac:dyDescent="0.25">
      <c r="A8512" s="36"/>
      <c r="B8512" s="34"/>
      <c r="G8512" s="31"/>
    </row>
    <row r="8513" spans="1:7" x14ac:dyDescent="0.25">
      <c r="A8513" s="36"/>
      <c r="B8513" s="34"/>
      <c r="G8513" s="31"/>
    </row>
    <row r="8514" spans="1:7" x14ac:dyDescent="0.25">
      <c r="A8514" s="36"/>
      <c r="B8514" s="34"/>
      <c r="G8514" s="31"/>
    </row>
    <row r="8515" spans="1:7" x14ac:dyDescent="0.25">
      <c r="A8515" s="36"/>
      <c r="B8515" s="34"/>
      <c r="G8515" s="31"/>
    </row>
    <row r="8516" spans="1:7" x14ac:dyDescent="0.25">
      <c r="A8516" s="36"/>
      <c r="B8516" s="34"/>
      <c r="G8516" s="31"/>
    </row>
    <row r="8517" spans="1:7" x14ac:dyDescent="0.25">
      <c r="A8517" s="36"/>
      <c r="B8517" s="34"/>
      <c r="G8517" s="31"/>
    </row>
    <row r="8518" spans="1:7" x14ac:dyDescent="0.25">
      <c r="A8518" s="36"/>
      <c r="B8518" s="34"/>
      <c r="G8518" s="31"/>
    </row>
    <row r="8519" spans="1:7" x14ac:dyDescent="0.25">
      <c r="A8519" s="36"/>
      <c r="B8519" s="34"/>
      <c r="G8519" s="31"/>
    </row>
    <row r="8520" spans="1:7" x14ac:dyDescent="0.25">
      <c r="A8520" s="36"/>
      <c r="B8520" s="34"/>
      <c r="G8520" s="31"/>
    </row>
    <row r="8521" spans="1:7" x14ac:dyDescent="0.25">
      <c r="A8521" s="36"/>
      <c r="B8521" s="34"/>
      <c r="G8521" s="31"/>
    </row>
    <row r="8522" spans="1:7" x14ac:dyDescent="0.25">
      <c r="A8522" s="36"/>
      <c r="B8522" s="34"/>
      <c r="G8522" s="31"/>
    </row>
    <row r="8523" spans="1:7" x14ac:dyDescent="0.25">
      <c r="A8523" s="36"/>
      <c r="B8523" s="34"/>
      <c r="G8523" s="31"/>
    </row>
    <row r="8524" spans="1:7" x14ac:dyDescent="0.25">
      <c r="A8524" s="36"/>
      <c r="B8524" s="34"/>
      <c r="G8524" s="31"/>
    </row>
    <row r="8525" spans="1:7" x14ac:dyDescent="0.25">
      <c r="A8525" s="36"/>
      <c r="B8525" s="34"/>
      <c r="G8525" s="31"/>
    </row>
    <row r="8526" spans="1:7" x14ac:dyDescent="0.25">
      <c r="A8526" s="36"/>
      <c r="B8526" s="34"/>
      <c r="G8526" s="31"/>
    </row>
    <row r="8527" spans="1:7" x14ac:dyDescent="0.25">
      <c r="A8527" s="36"/>
      <c r="B8527" s="34"/>
      <c r="G8527" s="31"/>
    </row>
    <row r="8528" spans="1:7" x14ac:dyDescent="0.25">
      <c r="A8528" s="36"/>
      <c r="B8528" s="34"/>
      <c r="G8528" s="31"/>
    </row>
    <row r="8529" spans="1:7" x14ac:dyDescent="0.25">
      <c r="A8529" s="36"/>
      <c r="B8529" s="34"/>
      <c r="G8529" s="31"/>
    </row>
    <row r="8530" spans="1:7" x14ac:dyDescent="0.25">
      <c r="A8530" s="36"/>
      <c r="B8530" s="34"/>
      <c r="G8530" s="31"/>
    </row>
    <row r="8531" spans="1:7" x14ac:dyDescent="0.25">
      <c r="A8531" s="36"/>
      <c r="B8531" s="34"/>
      <c r="G8531" s="31"/>
    </row>
    <row r="8532" spans="1:7" x14ac:dyDescent="0.25">
      <c r="A8532" s="36"/>
      <c r="B8532" s="34"/>
      <c r="G8532" s="31"/>
    </row>
    <row r="8533" spans="1:7" x14ac:dyDescent="0.25">
      <c r="A8533" s="36"/>
      <c r="B8533" s="34"/>
      <c r="G8533" s="31"/>
    </row>
    <row r="8534" spans="1:7" x14ac:dyDescent="0.25">
      <c r="A8534" s="36"/>
      <c r="B8534" s="34"/>
      <c r="G8534" s="31"/>
    </row>
    <row r="8535" spans="1:7" x14ac:dyDescent="0.25">
      <c r="A8535" s="36"/>
      <c r="B8535" s="34"/>
      <c r="G8535" s="31"/>
    </row>
    <row r="8536" spans="1:7" x14ac:dyDescent="0.25">
      <c r="A8536" s="36"/>
      <c r="B8536" s="34"/>
      <c r="G8536" s="31"/>
    </row>
    <row r="8537" spans="1:7" x14ac:dyDescent="0.25">
      <c r="A8537" s="36"/>
      <c r="B8537" s="34"/>
      <c r="G8537" s="31"/>
    </row>
    <row r="8538" spans="1:7" x14ac:dyDescent="0.25">
      <c r="A8538" s="36"/>
      <c r="B8538" s="34"/>
      <c r="G8538" s="31"/>
    </row>
    <row r="8539" spans="1:7" x14ac:dyDescent="0.25">
      <c r="A8539" s="36"/>
      <c r="B8539" s="34"/>
      <c r="G8539" s="31"/>
    </row>
    <row r="8540" spans="1:7" x14ac:dyDescent="0.25">
      <c r="A8540" s="36"/>
      <c r="B8540" s="34"/>
      <c r="G8540" s="31"/>
    </row>
    <row r="8541" spans="1:7" x14ac:dyDescent="0.25">
      <c r="A8541" s="36"/>
      <c r="B8541" s="34"/>
      <c r="G8541" s="31"/>
    </row>
    <row r="8542" spans="1:7" x14ac:dyDescent="0.25">
      <c r="A8542" s="36"/>
      <c r="B8542" s="34"/>
      <c r="G8542" s="31"/>
    </row>
    <row r="8543" spans="1:7" x14ac:dyDescent="0.25">
      <c r="A8543" s="36"/>
      <c r="B8543" s="34"/>
      <c r="G8543" s="31"/>
    </row>
    <row r="8544" spans="1:7" x14ac:dyDescent="0.25">
      <c r="A8544" s="36"/>
      <c r="B8544" s="34"/>
      <c r="G8544" s="31"/>
    </row>
    <row r="8545" spans="1:7" x14ac:dyDescent="0.25">
      <c r="A8545" s="36"/>
      <c r="B8545" s="34"/>
      <c r="G8545" s="31"/>
    </row>
    <row r="8546" spans="1:7" x14ac:dyDescent="0.25">
      <c r="A8546" s="36"/>
      <c r="B8546" s="34"/>
      <c r="G8546" s="31"/>
    </row>
    <row r="8547" spans="1:7" x14ac:dyDescent="0.25">
      <c r="A8547" s="36"/>
      <c r="B8547" s="34"/>
      <c r="G8547" s="31"/>
    </row>
    <row r="8548" spans="1:7" x14ac:dyDescent="0.25">
      <c r="A8548" s="36"/>
      <c r="B8548" s="34"/>
      <c r="G8548" s="31"/>
    </row>
    <row r="8549" spans="1:7" x14ac:dyDescent="0.25">
      <c r="A8549" s="36"/>
      <c r="B8549" s="34"/>
      <c r="G8549" s="31"/>
    </row>
    <row r="8550" spans="1:7" x14ac:dyDescent="0.25">
      <c r="A8550" s="36"/>
      <c r="B8550" s="34"/>
      <c r="G8550" s="31"/>
    </row>
    <row r="8551" spans="1:7" x14ac:dyDescent="0.25">
      <c r="A8551" s="36"/>
      <c r="B8551" s="34"/>
      <c r="G8551" s="31"/>
    </row>
    <row r="8552" spans="1:7" x14ac:dyDescent="0.25">
      <c r="A8552" s="36"/>
      <c r="B8552" s="34"/>
      <c r="G8552" s="31"/>
    </row>
    <row r="8553" spans="1:7" x14ac:dyDescent="0.25">
      <c r="A8553" s="36"/>
      <c r="B8553" s="34"/>
      <c r="G8553" s="31"/>
    </row>
    <row r="8554" spans="1:7" x14ac:dyDescent="0.25">
      <c r="A8554" s="36"/>
      <c r="B8554" s="34"/>
      <c r="G8554" s="31"/>
    </row>
    <row r="8555" spans="1:7" x14ac:dyDescent="0.25">
      <c r="A8555" s="36"/>
      <c r="B8555" s="34"/>
      <c r="G8555" s="31"/>
    </row>
    <row r="8556" spans="1:7" x14ac:dyDescent="0.25">
      <c r="A8556" s="36"/>
      <c r="B8556" s="34"/>
      <c r="G8556" s="31"/>
    </row>
    <row r="8557" spans="1:7" x14ac:dyDescent="0.25">
      <c r="A8557" s="36"/>
      <c r="B8557" s="34"/>
      <c r="G8557" s="31"/>
    </row>
    <row r="8558" spans="1:7" x14ac:dyDescent="0.25">
      <c r="A8558" s="36"/>
      <c r="B8558" s="34"/>
      <c r="G8558" s="31"/>
    </row>
    <row r="8559" spans="1:7" x14ac:dyDescent="0.25">
      <c r="A8559" s="36"/>
      <c r="B8559" s="34"/>
      <c r="G8559" s="31"/>
    </row>
    <row r="8560" spans="1:7" x14ac:dyDescent="0.25">
      <c r="A8560" s="36"/>
      <c r="B8560" s="34"/>
      <c r="G8560" s="31"/>
    </row>
    <row r="8561" spans="1:7" x14ac:dyDescent="0.25">
      <c r="A8561" s="36"/>
      <c r="B8561" s="34"/>
      <c r="G8561" s="31"/>
    </row>
    <row r="8562" spans="1:7" x14ac:dyDescent="0.25">
      <c r="A8562" s="36"/>
      <c r="B8562" s="34"/>
      <c r="G8562" s="31"/>
    </row>
    <row r="8563" spans="1:7" x14ac:dyDescent="0.25">
      <c r="A8563" s="36"/>
      <c r="B8563" s="34"/>
      <c r="G8563" s="31"/>
    </row>
    <row r="8564" spans="1:7" x14ac:dyDescent="0.25">
      <c r="A8564" s="36"/>
      <c r="B8564" s="34"/>
      <c r="G8564" s="31"/>
    </row>
    <row r="8565" spans="1:7" x14ac:dyDescent="0.25">
      <c r="A8565" s="36"/>
      <c r="B8565" s="34"/>
      <c r="G8565" s="31"/>
    </row>
    <row r="8566" spans="1:7" x14ac:dyDescent="0.25">
      <c r="A8566" s="36"/>
      <c r="B8566" s="34"/>
      <c r="G8566" s="31"/>
    </row>
    <row r="8567" spans="1:7" x14ac:dyDescent="0.25">
      <c r="A8567" s="36"/>
      <c r="B8567" s="34"/>
      <c r="G8567" s="31"/>
    </row>
    <row r="8568" spans="1:7" x14ac:dyDescent="0.25">
      <c r="A8568" s="36"/>
      <c r="B8568" s="34"/>
      <c r="G8568" s="31"/>
    </row>
    <row r="8569" spans="1:7" x14ac:dyDescent="0.25">
      <c r="A8569" s="36"/>
      <c r="B8569" s="34"/>
      <c r="G8569" s="31"/>
    </row>
    <row r="8570" spans="1:7" x14ac:dyDescent="0.25">
      <c r="A8570" s="36"/>
      <c r="B8570" s="34"/>
      <c r="G8570" s="31"/>
    </row>
    <row r="8571" spans="1:7" x14ac:dyDescent="0.25">
      <c r="A8571" s="36"/>
      <c r="B8571" s="34"/>
      <c r="G8571" s="31"/>
    </row>
    <row r="8572" spans="1:7" x14ac:dyDescent="0.25">
      <c r="A8572" s="36"/>
      <c r="B8572" s="34"/>
      <c r="G8572" s="31"/>
    </row>
    <row r="8573" spans="1:7" x14ac:dyDescent="0.25">
      <c r="A8573" s="36"/>
      <c r="B8573" s="34"/>
      <c r="G8573" s="31"/>
    </row>
    <row r="8574" spans="1:7" x14ac:dyDescent="0.25">
      <c r="A8574" s="36"/>
      <c r="B8574" s="34"/>
      <c r="G8574" s="31"/>
    </row>
    <row r="8575" spans="1:7" x14ac:dyDescent="0.25">
      <c r="A8575" s="36"/>
      <c r="B8575" s="34"/>
      <c r="G8575" s="31"/>
    </row>
    <row r="8576" spans="1:7" x14ac:dyDescent="0.25">
      <c r="A8576" s="36"/>
      <c r="B8576" s="34"/>
      <c r="G8576" s="31"/>
    </row>
    <row r="8577" spans="1:7" x14ac:dyDescent="0.25">
      <c r="A8577" s="36"/>
      <c r="B8577" s="34"/>
      <c r="G8577" s="31"/>
    </row>
    <row r="8578" spans="1:7" x14ac:dyDescent="0.25">
      <c r="A8578" s="36"/>
      <c r="B8578" s="34"/>
      <c r="G8578" s="31"/>
    </row>
    <row r="8579" spans="1:7" x14ac:dyDescent="0.25">
      <c r="A8579" s="36"/>
      <c r="B8579" s="34"/>
      <c r="G8579" s="31"/>
    </row>
    <row r="8580" spans="1:7" x14ac:dyDescent="0.25">
      <c r="A8580" s="36"/>
      <c r="B8580" s="34"/>
      <c r="G8580" s="31"/>
    </row>
    <row r="8581" spans="1:7" x14ac:dyDescent="0.25">
      <c r="A8581" s="36"/>
      <c r="B8581" s="34"/>
      <c r="G8581" s="31"/>
    </row>
    <row r="8582" spans="1:7" x14ac:dyDescent="0.25">
      <c r="A8582" s="36"/>
      <c r="B8582" s="34"/>
      <c r="G8582" s="31"/>
    </row>
    <row r="8583" spans="1:7" x14ac:dyDescent="0.25">
      <c r="A8583" s="36"/>
      <c r="B8583" s="34"/>
      <c r="G8583" s="31"/>
    </row>
    <row r="8584" spans="1:7" x14ac:dyDescent="0.25">
      <c r="A8584" s="36"/>
      <c r="B8584" s="34"/>
      <c r="G8584" s="31"/>
    </row>
    <row r="8585" spans="1:7" x14ac:dyDescent="0.25">
      <c r="A8585" s="36"/>
      <c r="B8585" s="34"/>
      <c r="G8585" s="31"/>
    </row>
    <row r="8586" spans="1:7" x14ac:dyDescent="0.25">
      <c r="A8586" s="36"/>
      <c r="B8586" s="34"/>
      <c r="G8586" s="31"/>
    </row>
    <row r="8587" spans="1:7" x14ac:dyDescent="0.25">
      <c r="A8587" s="36"/>
      <c r="B8587" s="34"/>
      <c r="G8587" s="31"/>
    </row>
    <row r="8588" spans="1:7" x14ac:dyDescent="0.25">
      <c r="A8588" s="36"/>
      <c r="B8588" s="34"/>
      <c r="G8588" s="31"/>
    </row>
    <row r="8589" spans="1:7" x14ac:dyDescent="0.25">
      <c r="A8589" s="36"/>
      <c r="B8589" s="34"/>
      <c r="G8589" s="31"/>
    </row>
    <row r="8590" spans="1:7" x14ac:dyDescent="0.25">
      <c r="A8590" s="36"/>
      <c r="B8590" s="34"/>
      <c r="G8590" s="31"/>
    </row>
    <row r="8591" spans="1:7" x14ac:dyDescent="0.25">
      <c r="A8591" s="36"/>
      <c r="B8591" s="34"/>
      <c r="G8591" s="31"/>
    </row>
    <row r="8592" spans="1:7" x14ac:dyDescent="0.25">
      <c r="A8592" s="36"/>
      <c r="B8592" s="34"/>
      <c r="G8592" s="31"/>
    </row>
    <row r="8593" spans="1:7" x14ac:dyDescent="0.25">
      <c r="A8593" s="36"/>
      <c r="B8593" s="34"/>
      <c r="G8593" s="31"/>
    </row>
    <row r="8594" spans="1:7" x14ac:dyDescent="0.25">
      <c r="A8594" s="36"/>
      <c r="B8594" s="34"/>
      <c r="G8594" s="31"/>
    </row>
    <row r="8595" spans="1:7" x14ac:dyDescent="0.25">
      <c r="A8595" s="36"/>
      <c r="B8595" s="34"/>
      <c r="G8595" s="31"/>
    </row>
    <row r="8596" spans="1:7" x14ac:dyDescent="0.25">
      <c r="A8596" s="36"/>
      <c r="B8596" s="34"/>
      <c r="G8596" s="31"/>
    </row>
    <row r="8597" spans="1:7" x14ac:dyDescent="0.25">
      <c r="A8597" s="36"/>
      <c r="B8597" s="34"/>
      <c r="G8597" s="31"/>
    </row>
    <row r="8598" spans="1:7" x14ac:dyDescent="0.25">
      <c r="A8598" s="36"/>
      <c r="B8598" s="34"/>
      <c r="G8598" s="31"/>
    </row>
    <row r="8599" spans="1:7" x14ac:dyDescent="0.25">
      <c r="A8599" s="36"/>
      <c r="B8599" s="34"/>
      <c r="G8599" s="31"/>
    </row>
    <row r="8600" spans="1:7" x14ac:dyDescent="0.25">
      <c r="A8600" s="36"/>
      <c r="B8600" s="34"/>
      <c r="G8600" s="31"/>
    </row>
    <row r="8601" spans="1:7" x14ac:dyDescent="0.25">
      <c r="A8601" s="36"/>
      <c r="B8601" s="34"/>
      <c r="G8601" s="31"/>
    </row>
    <row r="8602" spans="1:7" x14ac:dyDescent="0.25">
      <c r="A8602" s="36"/>
      <c r="B8602" s="34"/>
      <c r="G8602" s="31"/>
    </row>
    <row r="8603" spans="1:7" x14ac:dyDescent="0.25">
      <c r="A8603" s="36"/>
      <c r="B8603" s="34"/>
      <c r="G8603" s="31"/>
    </row>
    <row r="8604" spans="1:7" x14ac:dyDescent="0.25">
      <c r="A8604" s="36"/>
      <c r="B8604" s="34"/>
      <c r="G8604" s="31"/>
    </row>
    <row r="8605" spans="1:7" x14ac:dyDescent="0.25">
      <c r="A8605" s="36"/>
      <c r="B8605" s="34"/>
      <c r="G8605" s="31"/>
    </row>
    <row r="8606" spans="1:7" x14ac:dyDescent="0.25">
      <c r="A8606" s="36"/>
      <c r="B8606" s="34"/>
      <c r="G8606" s="31"/>
    </row>
    <row r="8607" spans="1:7" x14ac:dyDescent="0.25">
      <c r="A8607" s="36"/>
      <c r="B8607" s="34"/>
      <c r="G8607" s="31"/>
    </row>
    <row r="8608" spans="1:7" x14ac:dyDescent="0.25">
      <c r="A8608" s="36"/>
      <c r="B8608" s="34"/>
      <c r="G8608" s="31"/>
    </row>
    <row r="8609" spans="1:7" x14ac:dyDescent="0.25">
      <c r="A8609" s="36"/>
      <c r="B8609" s="34"/>
      <c r="G8609" s="31"/>
    </row>
    <row r="8610" spans="1:7" x14ac:dyDescent="0.25">
      <c r="A8610" s="36"/>
      <c r="B8610" s="34"/>
      <c r="G8610" s="31"/>
    </row>
    <row r="8611" spans="1:7" x14ac:dyDescent="0.25">
      <c r="A8611" s="36"/>
      <c r="B8611" s="34"/>
      <c r="G8611" s="31"/>
    </row>
    <row r="8612" spans="1:7" x14ac:dyDescent="0.25">
      <c r="A8612" s="36"/>
      <c r="B8612" s="34"/>
      <c r="G8612" s="31"/>
    </row>
    <row r="8613" spans="1:7" x14ac:dyDescent="0.25">
      <c r="A8613" s="36"/>
      <c r="B8613" s="34"/>
      <c r="G8613" s="31"/>
    </row>
    <row r="8614" spans="1:7" x14ac:dyDescent="0.25">
      <c r="A8614" s="36"/>
      <c r="B8614" s="34"/>
      <c r="G8614" s="31"/>
    </row>
    <row r="8615" spans="1:7" x14ac:dyDescent="0.25">
      <c r="A8615" s="36"/>
      <c r="B8615" s="34"/>
      <c r="G8615" s="31"/>
    </row>
    <row r="8616" spans="1:7" x14ac:dyDescent="0.25">
      <c r="A8616" s="36"/>
      <c r="B8616" s="34"/>
      <c r="G8616" s="31"/>
    </row>
    <row r="8617" spans="1:7" x14ac:dyDescent="0.25">
      <c r="A8617" s="36"/>
      <c r="B8617" s="34"/>
      <c r="G8617" s="31"/>
    </row>
    <row r="8618" spans="1:7" x14ac:dyDescent="0.25">
      <c r="A8618" s="36"/>
      <c r="B8618" s="34"/>
      <c r="G8618" s="31"/>
    </row>
    <row r="8619" spans="1:7" x14ac:dyDescent="0.25">
      <c r="A8619" s="36"/>
      <c r="B8619" s="34"/>
      <c r="G8619" s="31"/>
    </row>
    <row r="8620" spans="1:7" x14ac:dyDescent="0.25">
      <c r="A8620" s="36"/>
      <c r="B8620" s="34"/>
      <c r="G8620" s="31"/>
    </row>
    <row r="8621" spans="1:7" x14ac:dyDescent="0.25">
      <c r="A8621" s="36"/>
      <c r="B8621" s="34"/>
      <c r="G8621" s="31"/>
    </row>
    <row r="8622" spans="1:7" x14ac:dyDescent="0.25">
      <c r="A8622" s="36"/>
      <c r="B8622" s="34"/>
      <c r="G8622" s="31"/>
    </row>
    <row r="8623" spans="1:7" x14ac:dyDescent="0.25">
      <c r="A8623" s="36"/>
      <c r="B8623" s="34"/>
      <c r="G8623" s="31"/>
    </row>
    <row r="8624" spans="1:7" x14ac:dyDescent="0.25">
      <c r="A8624" s="36"/>
      <c r="B8624" s="34"/>
      <c r="G8624" s="31"/>
    </row>
    <row r="8625" spans="1:7" x14ac:dyDescent="0.25">
      <c r="A8625" s="36"/>
      <c r="B8625" s="34"/>
      <c r="G8625" s="31"/>
    </row>
    <row r="8626" spans="1:7" x14ac:dyDescent="0.25">
      <c r="A8626" s="36"/>
      <c r="B8626" s="34"/>
      <c r="G8626" s="31"/>
    </row>
    <row r="8627" spans="1:7" x14ac:dyDescent="0.25">
      <c r="A8627" s="36"/>
      <c r="B8627" s="34"/>
      <c r="G8627" s="31"/>
    </row>
    <row r="8628" spans="1:7" x14ac:dyDescent="0.25">
      <c r="A8628" s="36"/>
      <c r="B8628" s="34"/>
      <c r="G8628" s="31"/>
    </row>
    <row r="8629" spans="1:7" x14ac:dyDescent="0.25">
      <c r="A8629" s="36"/>
      <c r="B8629" s="34"/>
      <c r="G8629" s="31"/>
    </row>
    <row r="8630" spans="1:7" x14ac:dyDescent="0.25">
      <c r="A8630" s="36"/>
      <c r="B8630" s="34"/>
      <c r="G8630" s="31"/>
    </row>
    <row r="8631" spans="1:7" x14ac:dyDescent="0.25">
      <c r="A8631" s="36"/>
      <c r="B8631" s="34"/>
      <c r="G8631" s="31"/>
    </row>
    <row r="8632" spans="1:7" x14ac:dyDescent="0.25">
      <c r="A8632" s="36"/>
      <c r="B8632" s="34"/>
      <c r="G8632" s="31"/>
    </row>
    <row r="8633" spans="1:7" x14ac:dyDescent="0.25">
      <c r="A8633" s="36"/>
      <c r="B8633" s="34"/>
      <c r="G8633" s="31"/>
    </row>
    <row r="8634" spans="1:7" x14ac:dyDescent="0.25">
      <c r="A8634" s="36"/>
      <c r="B8634" s="34"/>
      <c r="G8634" s="31"/>
    </row>
    <row r="8635" spans="1:7" x14ac:dyDescent="0.25">
      <c r="A8635" s="36"/>
      <c r="B8635" s="34"/>
      <c r="G8635" s="31"/>
    </row>
    <row r="8636" spans="1:7" x14ac:dyDescent="0.25">
      <c r="A8636" s="36"/>
      <c r="B8636" s="34"/>
      <c r="G8636" s="31"/>
    </row>
    <row r="8637" spans="1:7" x14ac:dyDescent="0.25">
      <c r="A8637" s="36"/>
      <c r="B8637" s="34"/>
      <c r="G8637" s="31"/>
    </row>
    <row r="8638" spans="1:7" x14ac:dyDescent="0.25">
      <c r="A8638" s="36"/>
      <c r="B8638" s="34"/>
      <c r="G8638" s="31"/>
    </row>
    <row r="8639" spans="1:7" x14ac:dyDescent="0.25">
      <c r="A8639" s="36"/>
      <c r="B8639" s="34"/>
      <c r="G8639" s="31"/>
    </row>
    <row r="8640" spans="1:7" x14ac:dyDescent="0.25">
      <c r="A8640" s="36"/>
      <c r="B8640" s="34"/>
      <c r="G8640" s="31"/>
    </row>
    <row r="8641" spans="1:7" x14ac:dyDescent="0.25">
      <c r="A8641" s="36"/>
      <c r="B8641" s="34"/>
      <c r="G8641" s="31"/>
    </row>
    <row r="8642" spans="1:7" x14ac:dyDescent="0.25">
      <c r="A8642" s="36"/>
      <c r="B8642" s="34"/>
      <c r="G8642" s="31"/>
    </row>
    <row r="8643" spans="1:7" x14ac:dyDescent="0.25">
      <c r="A8643" s="36"/>
      <c r="B8643" s="34"/>
      <c r="G8643" s="31"/>
    </row>
    <row r="8644" spans="1:7" x14ac:dyDescent="0.25">
      <c r="A8644" s="36"/>
      <c r="B8644" s="34"/>
      <c r="G8644" s="31"/>
    </row>
    <row r="8645" spans="1:7" x14ac:dyDescent="0.25">
      <c r="A8645" s="36"/>
      <c r="B8645" s="34"/>
      <c r="G8645" s="31"/>
    </row>
    <row r="8646" spans="1:7" x14ac:dyDescent="0.25">
      <c r="A8646" s="36"/>
      <c r="B8646" s="34"/>
      <c r="G8646" s="31"/>
    </row>
    <row r="8647" spans="1:7" x14ac:dyDescent="0.25">
      <c r="A8647" s="36"/>
      <c r="B8647" s="34"/>
      <c r="G8647" s="31"/>
    </row>
    <row r="8648" spans="1:7" x14ac:dyDescent="0.25">
      <c r="A8648" s="36"/>
      <c r="B8648" s="34"/>
      <c r="G8648" s="31"/>
    </row>
    <row r="8649" spans="1:7" x14ac:dyDescent="0.25">
      <c r="A8649" s="36"/>
      <c r="B8649" s="34"/>
      <c r="G8649" s="31"/>
    </row>
    <row r="8650" spans="1:7" x14ac:dyDescent="0.25">
      <c r="A8650" s="36"/>
      <c r="B8650" s="34"/>
      <c r="G8650" s="31"/>
    </row>
    <row r="8651" spans="1:7" x14ac:dyDescent="0.25">
      <c r="A8651" s="36"/>
      <c r="B8651" s="34"/>
      <c r="G8651" s="31"/>
    </row>
    <row r="8652" spans="1:7" x14ac:dyDescent="0.25">
      <c r="A8652" s="36"/>
      <c r="B8652" s="34"/>
      <c r="G8652" s="31"/>
    </row>
    <row r="8653" spans="1:7" x14ac:dyDescent="0.25">
      <c r="A8653" s="36"/>
      <c r="B8653" s="34"/>
      <c r="G8653" s="31"/>
    </row>
    <row r="8654" spans="1:7" x14ac:dyDescent="0.25">
      <c r="A8654" s="36"/>
      <c r="B8654" s="34"/>
      <c r="G8654" s="31"/>
    </row>
    <row r="8655" spans="1:7" x14ac:dyDescent="0.25">
      <c r="A8655" s="36"/>
      <c r="B8655" s="34"/>
      <c r="G8655" s="31"/>
    </row>
    <row r="8656" spans="1:7" x14ac:dyDescent="0.25">
      <c r="A8656" s="36"/>
      <c r="B8656" s="34"/>
      <c r="G8656" s="31"/>
    </row>
    <row r="8657" spans="1:7" x14ac:dyDescent="0.25">
      <c r="A8657" s="36"/>
      <c r="B8657" s="34"/>
      <c r="G8657" s="31"/>
    </row>
    <row r="8658" spans="1:7" x14ac:dyDescent="0.25">
      <c r="A8658" s="36"/>
      <c r="B8658" s="34"/>
      <c r="G8658" s="31"/>
    </row>
    <row r="8659" spans="1:7" x14ac:dyDescent="0.25">
      <c r="A8659" s="36"/>
      <c r="B8659" s="34"/>
      <c r="G8659" s="31"/>
    </row>
    <row r="8660" spans="1:7" x14ac:dyDescent="0.25">
      <c r="A8660" s="36"/>
      <c r="B8660" s="34"/>
      <c r="G8660" s="31"/>
    </row>
    <row r="8661" spans="1:7" x14ac:dyDescent="0.25">
      <c r="A8661" s="36"/>
      <c r="B8661" s="34"/>
      <c r="G8661" s="31"/>
    </row>
    <row r="8662" spans="1:7" x14ac:dyDescent="0.25">
      <c r="A8662" s="36"/>
      <c r="B8662" s="34"/>
      <c r="G8662" s="31"/>
    </row>
    <row r="8663" spans="1:7" x14ac:dyDescent="0.25">
      <c r="A8663" s="36"/>
      <c r="B8663" s="34"/>
      <c r="G8663" s="31"/>
    </row>
    <row r="8664" spans="1:7" x14ac:dyDescent="0.25">
      <c r="A8664" s="36"/>
      <c r="B8664" s="34"/>
      <c r="G8664" s="31"/>
    </row>
    <row r="8665" spans="1:7" x14ac:dyDescent="0.25">
      <c r="A8665" s="36"/>
      <c r="B8665" s="34"/>
      <c r="G8665" s="31"/>
    </row>
    <row r="8666" spans="1:7" x14ac:dyDescent="0.25">
      <c r="A8666" s="36"/>
      <c r="B8666" s="34"/>
      <c r="G8666" s="31"/>
    </row>
    <row r="8667" spans="1:7" x14ac:dyDescent="0.25">
      <c r="A8667" s="36"/>
      <c r="B8667" s="34"/>
      <c r="G8667" s="31"/>
    </row>
    <row r="8668" spans="1:7" x14ac:dyDescent="0.25">
      <c r="A8668" s="36"/>
      <c r="B8668" s="34"/>
      <c r="G8668" s="31"/>
    </row>
    <row r="8669" spans="1:7" x14ac:dyDescent="0.25">
      <c r="A8669" s="36"/>
      <c r="B8669" s="34"/>
      <c r="G8669" s="31"/>
    </row>
    <row r="8670" spans="1:7" x14ac:dyDescent="0.25">
      <c r="A8670" s="36"/>
      <c r="B8670" s="34"/>
      <c r="G8670" s="31"/>
    </row>
    <row r="8671" spans="1:7" x14ac:dyDescent="0.25">
      <c r="A8671" s="36"/>
      <c r="B8671" s="34"/>
      <c r="G8671" s="31"/>
    </row>
    <row r="8672" spans="1:7" x14ac:dyDescent="0.25">
      <c r="A8672" s="36"/>
      <c r="B8672" s="34"/>
      <c r="G8672" s="31"/>
    </row>
    <row r="8673" spans="1:7" x14ac:dyDescent="0.25">
      <c r="A8673" s="36"/>
      <c r="B8673" s="34"/>
      <c r="G8673" s="31"/>
    </row>
    <row r="8674" spans="1:7" x14ac:dyDescent="0.25">
      <c r="A8674" s="36"/>
      <c r="B8674" s="34"/>
      <c r="G8674" s="31"/>
    </row>
    <row r="8675" spans="1:7" x14ac:dyDescent="0.25">
      <c r="A8675" s="36"/>
      <c r="B8675" s="34"/>
      <c r="G8675" s="31"/>
    </row>
    <row r="8676" spans="1:7" x14ac:dyDescent="0.25">
      <c r="A8676" s="36"/>
      <c r="B8676" s="34"/>
      <c r="G8676" s="31"/>
    </row>
    <row r="8677" spans="1:7" x14ac:dyDescent="0.25">
      <c r="A8677" s="36"/>
      <c r="B8677" s="34"/>
      <c r="G8677" s="31"/>
    </row>
    <row r="8678" spans="1:7" x14ac:dyDescent="0.25">
      <c r="A8678" s="36"/>
      <c r="B8678" s="34"/>
      <c r="G8678" s="31"/>
    </row>
    <row r="8679" spans="1:7" x14ac:dyDescent="0.25">
      <c r="A8679" s="36"/>
      <c r="B8679" s="34"/>
      <c r="G8679" s="31"/>
    </row>
    <row r="8680" spans="1:7" x14ac:dyDescent="0.25">
      <c r="A8680" s="36"/>
      <c r="B8680" s="34"/>
      <c r="G8680" s="31"/>
    </row>
    <row r="8681" spans="1:7" x14ac:dyDescent="0.25">
      <c r="A8681" s="36"/>
      <c r="B8681" s="34"/>
      <c r="G8681" s="31"/>
    </row>
    <row r="8682" spans="1:7" x14ac:dyDescent="0.25">
      <c r="A8682" s="36"/>
      <c r="B8682" s="34"/>
      <c r="G8682" s="31"/>
    </row>
    <row r="8683" spans="1:7" x14ac:dyDescent="0.25">
      <c r="A8683" s="36"/>
      <c r="B8683" s="34"/>
      <c r="G8683" s="31"/>
    </row>
    <row r="8684" spans="1:7" x14ac:dyDescent="0.25">
      <c r="A8684" s="36"/>
      <c r="B8684" s="34"/>
      <c r="G8684" s="31"/>
    </row>
    <row r="8685" spans="1:7" x14ac:dyDescent="0.25">
      <c r="A8685" s="36"/>
      <c r="B8685" s="34"/>
      <c r="G8685" s="31"/>
    </row>
    <row r="8686" spans="1:7" x14ac:dyDescent="0.25">
      <c r="A8686" s="36"/>
      <c r="B8686" s="34"/>
      <c r="G8686" s="31"/>
    </row>
    <row r="8687" spans="1:7" x14ac:dyDescent="0.25">
      <c r="A8687" s="36"/>
      <c r="B8687" s="34"/>
      <c r="G8687" s="31"/>
    </row>
    <row r="8688" spans="1:7" x14ac:dyDescent="0.25">
      <c r="A8688" s="36"/>
      <c r="B8688" s="34"/>
      <c r="G8688" s="31"/>
    </row>
    <row r="8689" spans="1:7" x14ac:dyDescent="0.25">
      <c r="A8689" s="36"/>
      <c r="B8689" s="34"/>
      <c r="G8689" s="31"/>
    </row>
    <row r="8690" spans="1:7" x14ac:dyDescent="0.25">
      <c r="A8690" s="36"/>
      <c r="B8690" s="34"/>
      <c r="G8690" s="31"/>
    </row>
    <row r="8691" spans="1:7" x14ac:dyDescent="0.25">
      <c r="A8691" s="36"/>
      <c r="B8691" s="34"/>
      <c r="G8691" s="31"/>
    </row>
    <row r="8692" spans="1:7" x14ac:dyDescent="0.25">
      <c r="A8692" s="36"/>
      <c r="B8692" s="34"/>
      <c r="G8692" s="31"/>
    </row>
    <row r="8693" spans="1:7" x14ac:dyDescent="0.25">
      <c r="A8693" s="36"/>
      <c r="B8693" s="34"/>
      <c r="G8693" s="31"/>
    </row>
    <row r="8694" spans="1:7" x14ac:dyDescent="0.25">
      <c r="A8694" s="36"/>
      <c r="B8694" s="34"/>
      <c r="G8694" s="31"/>
    </row>
    <row r="8695" spans="1:7" x14ac:dyDescent="0.25">
      <c r="A8695" s="36"/>
      <c r="B8695" s="34"/>
      <c r="G8695" s="31"/>
    </row>
    <row r="8696" spans="1:7" x14ac:dyDescent="0.25">
      <c r="A8696" s="36"/>
      <c r="B8696" s="34"/>
      <c r="G8696" s="31"/>
    </row>
    <row r="8697" spans="1:7" x14ac:dyDescent="0.25">
      <c r="A8697" s="36"/>
      <c r="B8697" s="34"/>
      <c r="G8697" s="31"/>
    </row>
    <row r="8698" spans="1:7" x14ac:dyDescent="0.25">
      <c r="A8698" s="36"/>
      <c r="B8698" s="34"/>
      <c r="G8698" s="31"/>
    </row>
    <row r="8699" spans="1:7" x14ac:dyDescent="0.25">
      <c r="A8699" s="36"/>
      <c r="B8699" s="34"/>
      <c r="G8699" s="31"/>
    </row>
    <row r="8700" spans="1:7" x14ac:dyDescent="0.25">
      <c r="A8700" s="36"/>
      <c r="B8700" s="34"/>
      <c r="G8700" s="31"/>
    </row>
    <row r="8701" spans="1:7" x14ac:dyDescent="0.25">
      <c r="A8701" s="36"/>
      <c r="B8701" s="34"/>
      <c r="G8701" s="31"/>
    </row>
    <row r="8702" spans="1:7" x14ac:dyDescent="0.25">
      <c r="A8702" s="36"/>
      <c r="B8702" s="34"/>
      <c r="G8702" s="31"/>
    </row>
    <row r="8703" spans="1:7" x14ac:dyDescent="0.25">
      <c r="A8703" s="36"/>
      <c r="B8703" s="34"/>
      <c r="G8703" s="31"/>
    </row>
    <row r="8704" spans="1:7" x14ac:dyDescent="0.25">
      <c r="A8704" s="36"/>
      <c r="B8704" s="34"/>
      <c r="G8704" s="31"/>
    </row>
    <row r="8705" spans="1:7" x14ac:dyDescent="0.25">
      <c r="A8705" s="36"/>
      <c r="B8705" s="34"/>
      <c r="G8705" s="31"/>
    </row>
    <row r="8706" spans="1:7" x14ac:dyDescent="0.25">
      <c r="A8706" s="36"/>
      <c r="B8706" s="34"/>
      <c r="G8706" s="31"/>
    </row>
    <row r="8707" spans="1:7" x14ac:dyDescent="0.25">
      <c r="A8707" s="36"/>
      <c r="B8707" s="34"/>
      <c r="G8707" s="31"/>
    </row>
    <row r="8708" spans="1:7" x14ac:dyDescent="0.25">
      <c r="A8708" s="36"/>
      <c r="B8708" s="34"/>
      <c r="G8708" s="31"/>
    </row>
    <row r="8709" spans="1:7" x14ac:dyDescent="0.25">
      <c r="A8709" s="36"/>
      <c r="B8709" s="34"/>
      <c r="G8709" s="31"/>
    </row>
    <row r="8710" spans="1:7" x14ac:dyDescent="0.25">
      <c r="A8710" s="36"/>
      <c r="B8710" s="34"/>
      <c r="G8710" s="31"/>
    </row>
    <row r="8711" spans="1:7" x14ac:dyDescent="0.25">
      <c r="A8711" s="36"/>
      <c r="B8711" s="34"/>
      <c r="G8711" s="31"/>
    </row>
    <row r="8712" spans="1:7" x14ac:dyDescent="0.25">
      <c r="A8712" s="36"/>
      <c r="B8712" s="34"/>
      <c r="G8712" s="31"/>
    </row>
    <row r="8713" spans="1:7" x14ac:dyDescent="0.25">
      <c r="A8713" s="36"/>
      <c r="B8713" s="34"/>
      <c r="G8713" s="31"/>
    </row>
    <row r="8714" spans="1:7" x14ac:dyDescent="0.25">
      <c r="A8714" s="36"/>
      <c r="B8714" s="34"/>
      <c r="G8714" s="31"/>
    </row>
    <row r="8715" spans="1:7" x14ac:dyDescent="0.25">
      <c r="A8715" s="36"/>
      <c r="B8715" s="34"/>
      <c r="G8715" s="31"/>
    </row>
    <row r="8716" spans="1:7" x14ac:dyDescent="0.25">
      <c r="A8716" s="36"/>
      <c r="B8716" s="34"/>
      <c r="G8716" s="31"/>
    </row>
    <row r="8717" spans="1:7" x14ac:dyDescent="0.25">
      <c r="A8717" s="36"/>
      <c r="B8717" s="34"/>
      <c r="G8717" s="31"/>
    </row>
    <row r="8718" spans="1:7" x14ac:dyDescent="0.25">
      <c r="A8718" s="36"/>
      <c r="B8718" s="34"/>
      <c r="G8718" s="31"/>
    </row>
    <row r="8719" spans="1:7" x14ac:dyDescent="0.25">
      <c r="A8719" s="36"/>
      <c r="B8719" s="34"/>
      <c r="G8719" s="31"/>
    </row>
    <row r="8720" spans="1:7" x14ac:dyDescent="0.25">
      <c r="A8720" s="36"/>
      <c r="B8720" s="34"/>
      <c r="G8720" s="31"/>
    </row>
    <row r="8721" spans="1:7" x14ac:dyDescent="0.25">
      <c r="A8721" s="36"/>
      <c r="B8721" s="34"/>
      <c r="G8721" s="31"/>
    </row>
    <row r="8722" spans="1:7" x14ac:dyDescent="0.25">
      <c r="A8722" s="36"/>
      <c r="B8722" s="34"/>
      <c r="G8722" s="31"/>
    </row>
    <row r="8723" spans="1:7" x14ac:dyDescent="0.25">
      <c r="A8723" s="36"/>
      <c r="B8723" s="34"/>
      <c r="G8723" s="31"/>
    </row>
    <row r="8724" spans="1:7" x14ac:dyDescent="0.25">
      <c r="A8724" s="36"/>
      <c r="B8724" s="34"/>
      <c r="G8724" s="31"/>
    </row>
    <row r="8725" spans="1:7" x14ac:dyDescent="0.25">
      <c r="A8725" s="36"/>
      <c r="B8725" s="34"/>
      <c r="G8725" s="31"/>
    </row>
    <row r="8726" spans="1:7" x14ac:dyDescent="0.25">
      <c r="A8726" s="36"/>
      <c r="B8726" s="34"/>
      <c r="G8726" s="31"/>
    </row>
    <row r="8727" spans="1:7" x14ac:dyDescent="0.25">
      <c r="A8727" s="36"/>
      <c r="B8727" s="34"/>
      <c r="G8727" s="31"/>
    </row>
    <row r="8728" spans="1:7" x14ac:dyDescent="0.25">
      <c r="A8728" s="36"/>
      <c r="B8728" s="34"/>
      <c r="G8728" s="31"/>
    </row>
    <row r="8729" spans="1:7" x14ac:dyDescent="0.25">
      <c r="A8729" s="36"/>
      <c r="B8729" s="34"/>
      <c r="G8729" s="31"/>
    </row>
    <row r="8730" spans="1:7" x14ac:dyDescent="0.25">
      <c r="A8730" s="36"/>
      <c r="B8730" s="34"/>
      <c r="G8730" s="31"/>
    </row>
    <row r="8731" spans="1:7" x14ac:dyDescent="0.25">
      <c r="A8731" s="36"/>
      <c r="B8731" s="34"/>
      <c r="G8731" s="31"/>
    </row>
    <row r="8732" spans="1:7" x14ac:dyDescent="0.25">
      <c r="A8732" s="36"/>
      <c r="B8732" s="34"/>
      <c r="G8732" s="31"/>
    </row>
    <row r="8733" spans="1:7" x14ac:dyDescent="0.25">
      <c r="A8733" s="36"/>
      <c r="B8733" s="34"/>
      <c r="G8733" s="31"/>
    </row>
    <row r="8734" spans="1:7" x14ac:dyDescent="0.25">
      <c r="A8734" s="36"/>
      <c r="B8734" s="34"/>
      <c r="G8734" s="31"/>
    </row>
    <row r="8735" spans="1:7" x14ac:dyDescent="0.25">
      <c r="A8735" s="36"/>
      <c r="B8735" s="34"/>
      <c r="G8735" s="31"/>
    </row>
    <row r="8736" spans="1:7" x14ac:dyDescent="0.25">
      <c r="A8736" s="36"/>
      <c r="B8736" s="34"/>
      <c r="G8736" s="31"/>
    </row>
    <row r="8737" spans="1:7" x14ac:dyDescent="0.25">
      <c r="A8737" s="36"/>
      <c r="B8737" s="34"/>
      <c r="G8737" s="31"/>
    </row>
    <row r="8738" spans="1:7" x14ac:dyDescent="0.25">
      <c r="A8738" s="36"/>
      <c r="B8738" s="34"/>
      <c r="G8738" s="31"/>
    </row>
    <row r="8739" spans="1:7" x14ac:dyDescent="0.25">
      <c r="A8739" s="36"/>
      <c r="B8739" s="34"/>
      <c r="G8739" s="31"/>
    </row>
    <row r="8740" spans="1:7" x14ac:dyDescent="0.25">
      <c r="A8740" s="36"/>
      <c r="B8740" s="34"/>
      <c r="G8740" s="31"/>
    </row>
    <row r="8741" spans="1:7" x14ac:dyDescent="0.25">
      <c r="A8741" s="36"/>
      <c r="B8741" s="34"/>
      <c r="G8741" s="31"/>
    </row>
    <row r="8742" spans="1:7" x14ac:dyDescent="0.25">
      <c r="A8742" s="36"/>
      <c r="B8742" s="34"/>
      <c r="G8742" s="31"/>
    </row>
    <row r="8743" spans="1:7" x14ac:dyDescent="0.25">
      <c r="A8743" s="36"/>
      <c r="B8743" s="34"/>
      <c r="G8743" s="31"/>
    </row>
    <row r="8744" spans="1:7" x14ac:dyDescent="0.25">
      <c r="A8744" s="36"/>
      <c r="B8744" s="34"/>
      <c r="G8744" s="31"/>
    </row>
    <row r="8745" spans="1:7" x14ac:dyDescent="0.25">
      <c r="A8745" s="36"/>
      <c r="B8745" s="34"/>
      <c r="G8745" s="31"/>
    </row>
    <row r="8746" spans="1:7" x14ac:dyDescent="0.25">
      <c r="A8746" s="36"/>
      <c r="B8746" s="34"/>
      <c r="G8746" s="31"/>
    </row>
    <row r="8747" spans="1:7" x14ac:dyDescent="0.25">
      <c r="A8747" s="36"/>
      <c r="B8747" s="34"/>
      <c r="G8747" s="31"/>
    </row>
    <row r="8748" spans="1:7" x14ac:dyDescent="0.25">
      <c r="A8748" s="36"/>
      <c r="B8748" s="34"/>
      <c r="G8748" s="31"/>
    </row>
    <row r="8749" spans="1:7" x14ac:dyDescent="0.25">
      <c r="A8749" s="36"/>
      <c r="B8749" s="34"/>
      <c r="G8749" s="31"/>
    </row>
    <row r="8750" spans="1:7" x14ac:dyDescent="0.25">
      <c r="A8750" s="36"/>
      <c r="B8750" s="34"/>
      <c r="G8750" s="31"/>
    </row>
    <row r="8751" spans="1:7" x14ac:dyDescent="0.25">
      <c r="A8751" s="36"/>
      <c r="B8751" s="34"/>
      <c r="G8751" s="31"/>
    </row>
    <row r="8752" spans="1:7" x14ac:dyDescent="0.25">
      <c r="A8752" s="36"/>
      <c r="B8752" s="34"/>
      <c r="G8752" s="31"/>
    </row>
    <row r="8753" spans="1:7" x14ac:dyDescent="0.25">
      <c r="A8753" s="36"/>
      <c r="B8753" s="34"/>
      <c r="G8753" s="31"/>
    </row>
    <row r="8754" spans="1:7" x14ac:dyDescent="0.25">
      <c r="A8754" s="36"/>
      <c r="B8754" s="34"/>
      <c r="G8754" s="31"/>
    </row>
    <row r="8755" spans="1:7" x14ac:dyDescent="0.25">
      <c r="A8755" s="36"/>
      <c r="B8755" s="34"/>
      <c r="G8755" s="31"/>
    </row>
    <row r="8756" spans="1:7" x14ac:dyDescent="0.25">
      <c r="A8756" s="36"/>
      <c r="B8756" s="34"/>
      <c r="G8756" s="31"/>
    </row>
    <row r="8757" spans="1:7" x14ac:dyDescent="0.25">
      <c r="A8757" s="36"/>
      <c r="B8757" s="34"/>
      <c r="G8757" s="31"/>
    </row>
    <row r="8758" spans="1:7" x14ac:dyDescent="0.25">
      <c r="A8758" s="36"/>
      <c r="B8758" s="34"/>
      <c r="G8758" s="31"/>
    </row>
    <row r="8759" spans="1:7" x14ac:dyDescent="0.25">
      <c r="A8759" s="36"/>
      <c r="B8759" s="34"/>
      <c r="G8759" s="31"/>
    </row>
    <row r="8760" spans="1:7" x14ac:dyDescent="0.25">
      <c r="A8760" s="36"/>
      <c r="B8760" s="34"/>
      <c r="G8760" s="31"/>
    </row>
    <row r="8761" spans="1:7" x14ac:dyDescent="0.25">
      <c r="A8761" s="36"/>
      <c r="B8761" s="34"/>
      <c r="G8761" s="31"/>
    </row>
    <row r="8762" spans="1:7" x14ac:dyDescent="0.25">
      <c r="A8762" s="36"/>
      <c r="B8762" s="34"/>
      <c r="G8762" s="31"/>
    </row>
    <row r="8763" spans="1:7" x14ac:dyDescent="0.25">
      <c r="A8763" s="36"/>
      <c r="B8763" s="34"/>
      <c r="G8763" s="31"/>
    </row>
    <row r="8764" spans="1:7" x14ac:dyDescent="0.25">
      <c r="A8764" s="36"/>
      <c r="B8764" s="34"/>
      <c r="G8764" s="31"/>
    </row>
    <row r="8765" spans="1:7" x14ac:dyDescent="0.25">
      <c r="A8765" s="36"/>
      <c r="B8765" s="34"/>
      <c r="G8765" s="31"/>
    </row>
    <row r="8766" spans="1:7" x14ac:dyDescent="0.25">
      <c r="A8766" s="36"/>
      <c r="B8766" s="34"/>
      <c r="G8766" s="31"/>
    </row>
    <row r="8767" spans="1:7" x14ac:dyDescent="0.25">
      <c r="A8767" s="36"/>
      <c r="B8767" s="34"/>
      <c r="G8767" s="31"/>
    </row>
    <row r="8768" spans="1:7" x14ac:dyDescent="0.25">
      <c r="A8768" s="36"/>
      <c r="B8768" s="34"/>
      <c r="G8768" s="31"/>
    </row>
    <row r="8769" spans="1:7" x14ac:dyDescent="0.25">
      <c r="A8769" s="36"/>
      <c r="B8769" s="34"/>
      <c r="G8769" s="31"/>
    </row>
    <row r="8770" spans="1:7" x14ac:dyDescent="0.25">
      <c r="A8770" s="36"/>
      <c r="B8770" s="34"/>
      <c r="G8770" s="31"/>
    </row>
    <row r="8771" spans="1:7" x14ac:dyDescent="0.25">
      <c r="A8771" s="36"/>
      <c r="B8771" s="34"/>
      <c r="G8771" s="31"/>
    </row>
    <row r="8772" spans="1:7" x14ac:dyDescent="0.25">
      <c r="A8772" s="36"/>
      <c r="B8772" s="34"/>
      <c r="G8772" s="31"/>
    </row>
    <row r="8773" spans="1:7" x14ac:dyDescent="0.25">
      <c r="A8773" s="36"/>
      <c r="B8773" s="34"/>
      <c r="G8773" s="31"/>
    </row>
    <row r="8774" spans="1:7" x14ac:dyDescent="0.25">
      <c r="A8774" s="36"/>
      <c r="B8774" s="34"/>
      <c r="G8774" s="31"/>
    </row>
    <row r="8775" spans="1:7" x14ac:dyDescent="0.25">
      <c r="A8775" s="36"/>
      <c r="B8775" s="34"/>
      <c r="G8775" s="31"/>
    </row>
    <row r="8776" spans="1:7" x14ac:dyDescent="0.25">
      <c r="A8776" s="36"/>
      <c r="B8776" s="34"/>
      <c r="G8776" s="31"/>
    </row>
    <row r="8777" spans="1:7" x14ac:dyDescent="0.25">
      <c r="A8777" s="36"/>
      <c r="B8777" s="34"/>
      <c r="G8777" s="31"/>
    </row>
    <row r="8778" spans="1:7" x14ac:dyDescent="0.25">
      <c r="A8778" s="36"/>
      <c r="B8778" s="34"/>
      <c r="G8778" s="31"/>
    </row>
    <row r="8779" spans="1:7" x14ac:dyDescent="0.25">
      <c r="A8779" s="36"/>
      <c r="B8779" s="34"/>
      <c r="G8779" s="31"/>
    </row>
    <row r="8780" spans="1:7" x14ac:dyDescent="0.25">
      <c r="A8780" s="36"/>
      <c r="B8780" s="34"/>
      <c r="G8780" s="31"/>
    </row>
    <row r="8781" spans="1:7" x14ac:dyDescent="0.25">
      <c r="A8781" s="36"/>
      <c r="B8781" s="34"/>
      <c r="G8781" s="31"/>
    </row>
    <row r="8782" spans="1:7" x14ac:dyDescent="0.25">
      <c r="A8782" s="36"/>
      <c r="B8782" s="34"/>
      <c r="G8782" s="31"/>
    </row>
    <row r="8783" spans="1:7" x14ac:dyDescent="0.25">
      <c r="A8783" s="36"/>
      <c r="B8783" s="34"/>
      <c r="G8783" s="31"/>
    </row>
    <row r="8784" spans="1:7" x14ac:dyDescent="0.25">
      <c r="A8784" s="36"/>
      <c r="B8784" s="34"/>
      <c r="G8784" s="31"/>
    </row>
    <row r="8785" spans="1:7" x14ac:dyDescent="0.25">
      <c r="A8785" s="36"/>
      <c r="B8785" s="34"/>
      <c r="G8785" s="31"/>
    </row>
    <row r="8786" spans="1:7" x14ac:dyDescent="0.25">
      <c r="A8786" s="36"/>
      <c r="B8786" s="34"/>
      <c r="G8786" s="31"/>
    </row>
    <row r="8787" spans="1:7" x14ac:dyDescent="0.25">
      <c r="A8787" s="36"/>
      <c r="B8787" s="34"/>
      <c r="G8787" s="31"/>
    </row>
    <row r="8788" spans="1:7" x14ac:dyDescent="0.25">
      <c r="A8788" s="36"/>
      <c r="B8788" s="34"/>
      <c r="G8788" s="31"/>
    </row>
    <row r="8789" spans="1:7" x14ac:dyDescent="0.25">
      <c r="A8789" s="36"/>
      <c r="B8789" s="34"/>
      <c r="G8789" s="31"/>
    </row>
    <row r="8790" spans="1:7" x14ac:dyDescent="0.25">
      <c r="A8790" s="36"/>
      <c r="B8790" s="34"/>
      <c r="G8790" s="31"/>
    </row>
    <row r="8791" spans="1:7" x14ac:dyDescent="0.25">
      <c r="A8791" s="36"/>
      <c r="B8791" s="34"/>
      <c r="G8791" s="31"/>
    </row>
    <row r="8792" spans="1:7" x14ac:dyDescent="0.25">
      <c r="A8792" s="36"/>
      <c r="B8792" s="34"/>
      <c r="G8792" s="31"/>
    </row>
    <row r="8793" spans="1:7" x14ac:dyDescent="0.25">
      <c r="A8793" s="36"/>
      <c r="B8793" s="34"/>
      <c r="G8793" s="31"/>
    </row>
    <row r="8794" spans="1:7" x14ac:dyDescent="0.25">
      <c r="A8794" s="36"/>
      <c r="B8794" s="34"/>
      <c r="G8794" s="31"/>
    </row>
    <row r="8795" spans="1:7" x14ac:dyDescent="0.25">
      <c r="A8795" s="36"/>
      <c r="B8795" s="34"/>
      <c r="G8795" s="31"/>
    </row>
    <row r="8796" spans="1:7" x14ac:dyDescent="0.25">
      <c r="A8796" s="36"/>
      <c r="B8796" s="34"/>
      <c r="G8796" s="31"/>
    </row>
    <row r="8797" spans="1:7" x14ac:dyDescent="0.25">
      <c r="A8797" s="36"/>
      <c r="B8797" s="34"/>
      <c r="G8797" s="31"/>
    </row>
    <row r="8798" spans="1:7" x14ac:dyDescent="0.25">
      <c r="A8798" s="36"/>
      <c r="B8798" s="34"/>
      <c r="G8798" s="31"/>
    </row>
    <row r="8799" spans="1:7" x14ac:dyDescent="0.25">
      <c r="A8799" s="36"/>
      <c r="B8799" s="34"/>
      <c r="G8799" s="31"/>
    </row>
    <row r="8800" spans="1:7" x14ac:dyDescent="0.25">
      <c r="A8800" s="36"/>
      <c r="B8800" s="34"/>
      <c r="G8800" s="31"/>
    </row>
    <row r="8801" spans="1:7" x14ac:dyDescent="0.25">
      <c r="A8801" s="36"/>
      <c r="B8801" s="34"/>
      <c r="G8801" s="31"/>
    </row>
    <row r="8802" spans="1:7" x14ac:dyDescent="0.25">
      <c r="A8802" s="36"/>
      <c r="B8802" s="34"/>
      <c r="G8802" s="31"/>
    </row>
    <row r="8803" spans="1:7" x14ac:dyDescent="0.25">
      <c r="A8803" s="36"/>
      <c r="B8803" s="34"/>
      <c r="G8803" s="31"/>
    </row>
    <row r="8804" spans="1:7" x14ac:dyDescent="0.25">
      <c r="A8804" s="36"/>
      <c r="B8804" s="34"/>
      <c r="G8804" s="31"/>
    </row>
    <row r="8805" spans="1:7" x14ac:dyDescent="0.25">
      <c r="A8805" s="36"/>
      <c r="B8805" s="34"/>
      <c r="G8805" s="31"/>
    </row>
    <row r="8806" spans="1:7" x14ac:dyDescent="0.25">
      <c r="A8806" s="36"/>
      <c r="B8806" s="34"/>
      <c r="G8806" s="31"/>
    </row>
    <row r="8807" spans="1:7" x14ac:dyDescent="0.25">
      <c r="A8807" s="36"/>
      <c r="B8807" s="34"/>
      <c r="G8807" s="31"/>
    </row>
    <row r="8808" spans="1:7" x14ac:dyDescent="0.25">
      <c r="A8808" s="36"/>
      <c r="B8808" s="34"/>
      <c r="G8808" s="31"/>
    </row>
    <row r="8809" spans="1:7" x14ac:dyDescent="0.25">
      <c r="A8809" s="36"/>
      <c r="B8809" s="34"/>
      <c r="G8809" s="31"/>
    </row>
    <row r="8810" spans="1:7" x14ac:dyDescent="0.25">
      <c r="A8810" s="36"/>
      <c r="B8810" s="34"/>
      <c r="G8810" s="31"/>
    </row>
    <row r="8811" spans="1:7" x14ac:dyDescent="0.25">
      <c r="A8811" s="36"/>
      <c r="B8811" s="34"/>
      <c r="G8811" s="31"/>
    </row>
    <row r="8812" spans="1:7" x14ac:dyDescent="0.25">
      <c r="A8812" s="36"/>
      <c r="B8812" s="34"/>
      <c r="G8812" s="31"/>
    </row>
    <row r="8813" spans="1:7" x14ac:dyDescent="0.25">
      <c r="A8813" s="36"/>
      <c r="B8813" s="34"/>
      <c r="G8813" s="31"/>
    </row>
    <row r="8814" spans="1:7" x14ac:dyDescent="0.25">
      <c r="A8814" s="36"/>
      <c r="B8814" s="34"/>
      <c r="G8814" s="31"/>
    </row>
    <row r="8815" spans="1:7" x14ac:dyDescent="0.25">
      <c r="A8815" s="36"/>
      <c r="B8815" s="34"/>
      <c r="G8815" s="31"/>
    </row>
    <row r="8816" spans="1:7" x14ac:dyDescent="0.25">
      <c r="A8816" s="36"/>
      <c r="B8816" s="34"/>
      <c r="G8816" s="31"/>
    </row>
    <row r="8817" spans="1:7" x14ac:dyDescent="0.25">
      <c r="A8817" s="36"/>
      <c r="B8817" s="34"/>
      <c r="G8817" s="31"/>
    </row>
    <row r="8818" spans="1:7" x14ac:dyDescent="0.25">
      <c r="A8818" s="36"/>
      <c r="B8818" s="34"/>
      <c r="G8818" s="31"/>
    </row>
    <row r="8819" spans="1:7" x14ac:dyDescent="0.25">
      <c r="A8819" s="36"/>
      <c r="B8819" s="34"/>
      <c r="G8819" s="31"/>
    </row>
    <row r="8820" spans="1:7" x14ac:dyDescent="0.25">
      <c r="A8820" s="36"/>
      <c r="B8820" s="34"/>
      <c r="G8820" s="31"/>
    </row>
    <row r="8821" spans="1:7" x14ac:dyDescent="0.25">
      <c r="A8821" s="36"/>
      <c r="B8821" s="34"/>
      <c r="G8821" s="31"/>
    </row>
    <row r="8822" spans="1:7" x14ac:dyDescent="0.25">
      <c r="A8822" s="36"/>
      <c r="B8822" s="34"/>
      <c r="G8822" s="31"/>
    </row>
    <row r="8823" spans="1:7" x14ac:dyDescent="0.25">
      <c r="A8823" s="36"/>
      <c r="B8823" s="34"/>
      <c r="G8823" s="31"/>
    </row>
    <row r="8824" spans="1:7" x14ac:dyDescent="0.25">
      <c r="A8824" s="36"/>
      <c r="B8824" s="34"/>
      <c r="G8824" s="31"/>
    </row>
    <row r="8825" spans="1:7" x14ac:dyDescent="0.25">
      <c r="A8825" s="36"/>
      <c r="B8825" s="34"/>
      <c r="G8825" s="31"/>
    </row>
    <row r="8826" spans="1:7" x14ac:dyDescent="0.25">
      <c r="A8826" s="36"/>
      <c r="B8826" s="34"/>
      <c r="G8826" s="31"/>
    </row>
    <row r="8827" spans="1:7" x14ac:dyDescent="0.25">
      <c r="A8827" s="36"/>
      <c r="B8827" s="34"/>
      <c r="G8827" s="31"/>
    </row>
    <row r="8828" spans="1:7" x14ac:dyDescent="0.25">
      <c r="A8828" s="36"/>
      <c r="B8828" s="34"/>
      <c r="G8828" s="31"/>
    </row>
    <row r="8829" spans="1:7" x14ac:dyDescent="0.25">
      <c r="A8829" s="36"/>
      <c r="B8829" s="34"/>
      <c r="G8829" s="31"/>
    </row>
    <row r="8830" spans="1:7" x14ac:dyDescent="0.25">
      <c r="A8830" s="36"/>
      <c r="B8830" s="34"/>
      <c r="G8830" s="31"/>
    </row>
    <row r="8831" spans="1:7" x14ac:dyDescent="0.25">
      <c r="A8831" s="36"/>
      <c r="B8831" s="34"/>
      <c r="G8831" s="31"/>
    </row>
    <row r="8832" spans="1:7" x14ac:dyDescent="0.25">
      <c r="A8832" s="36"/>
      <c r="B8832" s="34"/>
      <c r="G8832" s="31"/>
    </row>
    <row r="8833" spans="1:7" x14ac:dyDescent="0.25">
      <c r="A8833" s="36"/>
      <c r="B8833" s="34"/>
      <c r="G8833" s="31"/>
    </row>
    <row r="8834" spans="1:7" x14ac:dyDescent="0.25">
      <c r="A8834" s="36"/>
      <c r="B8834" s="34"/>
      <c r="G8834" s="31"/>
    </row>
    <row r="8835" spans="1:7" x14ac:dyDescent="0.25">
      <c r="A8835" s="36"/>
      <c r="B8835" s="34"/>
      <c r="G8835" s="31"/>
    </row>
    <row r="8836" spans="1:7" x14ac:dyDescent="0.25">
      <c r="A8836" s="36"/>
      <c r="B8836" s="34"/>
      <c r="G8836" s="31"/>
    </row>
    <row r="8837" spans="1:7" x14ac:dyDescent="0.25">
      <c r="A8837" s="36"/>
      <c r="B8837" s="34"/>
      <c r="G8837" s="31"/>
    </row>
    <row r="8838" spans="1:7" x14ac:dyDescent="0.25">
      <c r="A8838" s="36"/>
      <c r="B8838" s="34"/>
      <c r="G8838" s="31"/>
    </row>
    <row r="8839" spans="1:7" x14ac:dyDescent="0.25">
      <c r="A8839" s="36"/>
      <c r="B8839" s="34"/>
      <c r="G8839" s="31"/>
    </row>
    <row r="8840" spans="1:7" x14ac:dyDescent="0.25">
      <c r="A8840" s="36"/>
      <c r="B8840" s="34"/>
      <c r="G8840" s="31"/>
    </row>
    <row r="8841" spans="1:7" x14ac:dyDescent="0.25">
      <c r="A8841" s="36"/>
      <c r="B8841" s="34"/>
      <c r="G8841" s="31"/>
    </row>
    <row r="8842" spans="1:7" x14ac:dyDescent="0.25">
      <c r="A8842" s="36"/>
      <c r="B8842" s="34"/>
      <c r="G8842" s="31"/>
    </row>
    <row r="8843" spans="1:7" x14ac:dyDescent="0.25">
      <c r="A8843" s="36"/>
      <c r="B8843" s="34"/>
      <c r="G8843" s="31"/>
    </row>
    <row r="8844" spans="1:7" x14ac:dyDescent="0.25">
      <c r="A8844" s="36"/>
      <c r="B8844" s="34"/>
      <c r="G8844" s="31"/>
    </row>
    <row r="8845" spans="1:7" x14ac:dyDescent="0.25">
      <c r="A8845" s="36"/>
      <c r="B8845" s="34"/>
      <c r="G8845" s="31"/>
    </row>
    <row r="8846" spans="1:7" x14ac:dyDescent="0.25">
      <c r="A8846" s="36"/>
      <c r="B8846" s="34"/>
      <c r="G8846" s="31"/>
    </row>
    <row r="8847" spans="1:7" x14ac:dyDescent="0.25">
      <c r="A8847" s="36"/>
      <c r="B8847" s="34"/>
      <c r="G8847" s="31"/>
    </row>
    <row r="8848" spans="1:7" x14ac:dyDescent="0.25">
      <c r="A8848" s="36"/>
      <c r="B8848" s="34"/>
      <c r="G8848" s="31"/>
    </row>
    <row r="8849" spans="1:7" x14ac:dyDescent="0.25">
      <c r="A8849" s="36"/>
      <c r="B8849" s="34"/>
      <c r="G8849" s="31"/>
    </row>
    <row r="8850" spans="1:7" x14ac:dyDescent="0.25">
      <c r="A8850" s="36"/>
      <c r="B8850" s="34"/>
      <c r="G8850" s="31"/>
    </row>
    <row r="8851" spans="1:7" x14ac:dyDescent="0.25">
      <c r="A8851" s="36"/>
      <c r="B8851" s="34"/>
      <c r="G8851" s="31"/>
    </row>
    <row r="8852" spans="1:7" x14ac:dyDescent="0.25">
      <c r="A8852" s="36"/>
      <c r="B8852" s="34"/>
      <c r="G8852" s="31"/>
    </row>
    <row r="8853" spans="1:7" x14ac:dyDescent="0.25">
      <c r="A8853" s="36"/>
      <c r="B8853" s="34"/>
      <c r="G8853" s="31"/>
    </row>
    <row r="8854" spans="1:7" x14ac:dyDescent="0.25">
      <c r="A8854" s="36"/>
      <c r="B8854" s="34"/>
      <c r="G8854" s="31"/>
    </row>
    <row r="8855" spans="1:7" x14ac:dyDescent="0.25">
      <c r="A8855" s="36"/>
      <c r="B8855" s="34"/>
      <c r="G8855" s="31"/>
    </row>
    <row r="8856" spans="1:7" x14ac:dyDescent="0.25">
      <c r="A8856" s="36"/>
      <c r="B8856" s="34"/>
      <c r="G8856" s="31"/>
    </row>
    <row r="8857" spans="1:7" x14ac:dyDescent="0.25">
      <c r="A8857" s="36"/>
      <c r="B8857" s="34"/>
      <c r="G8857" s="31"/>
    </row>
    <row r="8858" spans="1:7" x14ac:dyDescent="0.25">
      <c r="A8858" s="36"/>
      <c r="B8858" s="34"/>
      <c r="G8858" s="31"/>
    </row>
    <row r="8859" spans="1:7" x14ac:dyDescent="0.25">
      <c r="A8859" s="36"/>
      <c r="B8859" s="34"/>
      <c r="G8859" s="31"/>
    </row>
    <row r="8860" spans="1:7" x14ac:dyDescent="0.25">
      <c r="A8860" s="36"/>
      <c r="B8860" s="34"/>
      <c r="G8860" s="31"/>
    </row>
    <row r="8861" spans="1:7" x14ac:dyDescent="0.25">
      <c r="A8861" s="36"/>
      <c r="B8861" s="34"/>
      <c r="G8861" s="31"/>
    </row>
    <row r="8862" spans="1:7" x14ac:dyDescent="0.25">
      <c r="A8862" s="36"/>
      <c r="B8862" s="34"/>
      <c r="G8862" s="31"/>
    </row>
    <row r="8863" spans="1:7" x14ac:dyDescent="0.25">
      <c r="A8863" s="36"/>
      <c r="B8863" s="34"/>
      <c r="G8863" s="31"/>
    </row>
    <row r="8864" spans="1:7" x14ac:dyDescent="0.25">
      <c r="A8864" s="36"/>
      <c r="B8864" s="34"/>
      <c r="G8864" s="31"/>
    </row>
    <row r="8865" spans="1:7" x14ac:dyDescent="0.25">
      <c r="A8865" s="36"/>
      <c r="B8865" s="34"/>
      <c r="G8865" s="31"/>
    </row>
    <row r="8866" spans="1:7" x14ac:dyDescent="0.25">
      <c r="A8866" s="36"/>
      <c r="B8866" s="34"/>
      <c r="G8866" s="31"/>
    </row>
    <row r="8867" spans="1:7" x14ac:dyDescent="0.25">
      <c r="A8867" s="36"/>
      <c r="B8867" s="34"/>
      <c r="G8867" s="31"/>
    </row>
    <row r="8868" spans="1:7" x14ac:dyDescent="0.25">
      <c r="A8868" s="36"/>
      <c r="B8868" s="34"/>
      <c r="G8868" s="31"/>
    </row>
    <row r="8869" spans="1:7" x14ac:dyDescent="0.25">
      <c r="A8869" s="36"/>
      <c r="B8869" s="34"/>
      <c r="G8869" s="31"/>
    </row>
    <row r="8870" spans="1:7" x14ac:dyDescent="0.25">
      <c r="A8870" s="36"/>
      <c r="B8870" s="34"/>
      <c r="G8870" s="31"/>
    </row>
    <row r="8871" spans="1:7" x14ac:dyDescent="0.25">
      <c r="A8871" s="36"/>
      <c r="B8871" s="34"/>
      <c r="G8871" s="31"/>
    </row>
    <row r="8872" spans="1:7" x14ac:dyDescent="0.25">
      <c r="A8872" s="36"/>
      <c r="B8872" s="34"/>
      <c r="G8872" s="31"/>
    </row>
    <row r="8873" spans="1:7" x14ac:dyDescent="0.25">
      <c r="A8873" s="36"/>
      <c r="B8873" s="34"/>
      <c r="G8873" s="31"/>
    </row>
    <row r="8874" spans="1:7" x14ac:dyDescent="0.25">
      <c r="A8874" s="36"/>
      <c r="B8874" s="34"/>
      <c r="G8874" s="31"/>
    </row>
    <row r="8875" spans="1:7" x14ac:dyDescent="0.25">
      <c r="A8875" s="36"/>
      <c r="B8875" s="34"/>
      <c r="G8875" s="31"/>
    </row>
    <row r="8876" spans="1:7" x14ac:dyDescent="0.25">
      <c r="A8876" s="36"/>
      <c r="B8876" s="34"/>
      <c r="G8876" s="31"/>
    </row>
    <row r="8877" spans="1:7" x14ac:dyDescent="0.25">
      <c r="A8877" s="36"/>
      <c r="B8877" s="34"/>
      <c r="G8877" s="31"/>
    </row>
    <row r="8878" spans="1:7" x14ac:dyDescent="0.25">
      <c r="A8878" s="36"/>
      <c r="B8878" s="34"/>
      <c r="G8878" s="31"/>
    </row>
    <row r="8879" spans="1:7" x14ac:dyDescent="0.25">
      <c r="A8879" s="36"/>
      <c r="B8879" s="34"/>
      <c r="G8879" s="31"/>
    </row>
    <row r="8880" spans="1:7" x14ac:dyDescent="0.25">
      <c r="A8880" s="36"/>
      <c r="B8880" s="34"/>
      <c r="G8880" s="31"/>
    </row>
    <row r="8881" spans="1:7" x14ac:dyDescent="0.25">
      <c r="A8881" s="36"/>
      <c r="B8881" s="34"/>
      <c r="G8881" s="31"/>
    </row>
    <row r="8882" spans="1:7" x14ac:dyDescent="0.25">
      <c r="A8882" s="36"/>
      <c r="B8882" s="34"/>
      <c r="G8882" s="31"/>
    </row>
    <row r="8883" spans="1:7" x14ac:dyDescent="0.25">
      <c r="A8883" s="36"/>
      <c r="B8883" s="34"/>
      <c r="G8883" s="31"/>
    </row>
    <row r="8884" spans="1:7" x14ac:dyDescent="0.25">
      <c r="A8884" s="36"/>
      <c r="B8884" s="34"/>
      <c r="G8884" s="31"/>
    </row>
    <row r="8885" spans="1:7" x14ac:dyDescent="0.25">
      <c r="A8885" s="36"/>
      <c r="B8885" s="34"/>
      <c r="G8885" s="31"/>
    </row>
    <row r="8886" spans="1:7" x14ac:dyDescent="0.25">
      <c r="A8886" s="36"/>
      <c r="B8886" s="34"/>
      <c r="G8886" s="31"/>
    </row>
    <row r="8887" spans="1:7" x14ac:dyDescent="0.25">
      <c r="A8887" s="36"/>
      <c r="B8887" s="34"/>
      <c r="G8887" s="31"/>
    </row>
    <row r="8888" spans="1:7" x14ac:dyDescent="0.25">
      <c r="A8888" s="36"/>
      <c r="B8888" s="34"/>
      <c r="G8888" s="31"/>
    </row>
    <row r="8889" spans="1:7" x14ac:dyDescent="0.25">
      <c r="A8889" s="36"/>
      <c r="B8889" s="34"/>
      <c r="G8889" s="31"/>
    </row>
    <row r="8890" spans="1:7" x14ac:dyDescent="0.25">
      <c r="A8890" s="36"/>
      <c r="B8890" s="34"/>
      <c r="G8890" s="31"/>
    </row>
    <row r="8891" spans="1:7" x14ac:dyDescent="0.25">
      <c r="A8891" s="36"/>
      <c r="B8891" s="34"/>
      <c r="G8891" s="31"/>
    </row>
    <row r="8892" spans="1:7" x14ac:dyDescent="0.25">
      <c r="A8892" s="36"/>
      <c r="B8892" s="34"/>
      <c r="G8892" s="31"/>
    </row>
    <row r="8893" spans="1:7" x14ac:dyDescent="0.25">
      <c r="A8893" s="36"/>
      <c r="B8893" s="34"/>
      <c r="G8893" s="31"/>
    </row>
    <row r="8894" spans="1:7" x14ac:dyDescent="0.25">
      <c r="A8894" s="36"/>
      <c r="B8894" s="34"/>
      <c r="G8894" s="31"/>
    </row>
    <row r="8895" spans="1:7" x14ac:dyDescent="0.25">
      <c r="A8895" s="36"/>
      <c r="B8895" s="34"/>
      <c r="G8895" s="31"/>
    </row>
    <row r="8896" spans="1:7" x14ac:dyDescent="0.25">
      <c r="A8896" s="36"/>
      <c r="B8896" s="34"/>
      <c r="G8896" s="31"/>
    </row>
    <row r="8897" spans="1:7" x14ac:dyDescent="0.25">
      <c r="A8897" s="36"/>
      <c r="B8897" s="34"/>
      <c r="G8897" s="31"/>
    </row>
    <row r="8898" spans="1:7" x14ac:dyDescent="0.25">
      <c r="A8898" s="36"/>
      <c r="B8898" s="34"/>
      <c r="G8898" s="31"/>
    </row>
    <row r="8899" spans="1:7" x14ac:dyDescent="0.25">
      <c r="A8899" s="36"/>
      <c r="B8899" s="34"/>
      <c r="G8899" s="31"/>
    </row>
    <row r="8900" spans="1:7" x14ac:dyDescent="0.25">
      <c r="A8900" s="36"/>
      <c r="B8900" s="34"/>
      <c r="G8900" s="31"/>
    </row>
    <row r="8901" spans="1:7" x14ac:dyDescent="0.25">
      <c r="A8901" s="36"/>
      <c r="B8901" s="34"/>
      <c r="G8901" s="31"/>
    </row>
    <row r="8902" spans="1:7" x14ac:dyDescent="0.25">
      <c r="A8902" s="36"/>
      <c r="B8902" s="34"/>
      <c r="G8902" s="31"/>
    </row>
    <row r="8903" spans="1:7" x14ac:dyDescent="0.25">
      <c r="A8903" s="36"/>
      <c r="B8903" s="34"/>
      <c r="G8903" s="31"/>
    </row>
    <row r="8904" spans="1:7" x14ac:dyDescent="0.25">
      <c r="A8904" s="36"/>
      <c r="B8904" s="34"/>
      <c r="G8904" s="31"/>
    </row>
    <row r="8905" spans="1:7" x14ac:dyDescent="0.25">
      <c r="A8905" s="36"/>
      <c r="B8905" s="34"/>
      <c r="G8905" s="31"/>
    </row>
    <row r="8906" spans="1:7" x14ac:dyDescent="0.25">
      <c r="A8906" s="36"/>
      <c r="B8906" s="34"/>
      <c r="G8906" s="31"/>
    </row>
    <row r="8907" spans="1:7" x14ac:dyDescent="0.25">
      <c r="A8907" s="36"/>
      <c r="B8907" s="34"/>
      <c r="G8907" s="31"/>
    </row>
    <row r="8908" spans="1:7" x14ac:dyDescent="0.25">
      <c r="A8908" s="36"/>
      <c r="B8908" s="34"/>
      <c r="G8908" s="31"/>
    </row>
    <row r="8909" spans="1:7" x14ac:dyDescent="0.25">
      <c r="A8909" s="36"/>
      <c r="B8909" s="34"/>
      <c r="G8909" s="31"/>
    </row>
    <row r="8910" spans="1:7" x14ac:dyDescent="0.25">
      <c r="A8910" s="36"/>
      <c r="B8910" s="34"/>
      <c r="G8910" s="31"/>
    </row>
    <row r="8911" spans="1:7" x14ac:dyDescent="0.25">
      <c r="A8911" s="36"/>
      <c r="B8911" s="34"/>
      <c r="G8911" s="31"/>
    </row>
    <row r="8912" spans="1:7" x14ac:dyDescent="0.25">
      <c r="A8912" s="36"/>
      <c r="B8912" s="34"/>
      <c r="G8912" s="31"/>
    </row>
    <row r="8913" spans="1:7" x14ac:dyDescent="0.25">
      <c r="A8913" s="36"/>
      <c r="B8913" s="34"/>
      <c r="G8913" s="31"/>
    </row>
    <row r="8914" spans="1:7" x14ac:dyDescent="0.25">
      <c r="A8914" s="36"/>
      <c r="B8914" s="34"/>
      <c r="G8914" s="31"/>
    </row>
    <row r="8915" spans="1:7" x14ac:dyDescent="0.25">
      <c r="A8915" s="36"/>
      <c r="B8915" s="34"/>
      <c r="G8915" s="31"/>
    </row>
    <row r="8916" spans="1:7" x14ac:dyDescent="0.25">
      <c r="A8916" s="36"/>
      <c r="B8916" s="34"/>
      <c r="G8916" s="31"/>
    </row>
    <row r="8917" spans="1:7" x14ac:dyDescent="0.25">
      <c r="A8917" s="36"/>
      <c r="B8917" s="34"/>
      <c r="G8917" s="31"/>
    </row>
    <row r="8918" spans="1:7" x14ac:dyDescent="0.25">
      <c r="A8918" s="36"/>
      <c r="B8918" s="34"/>
      <c r="G8918" s="31"/>
    </row>
    <row r="8919" spans="1:7" x14ac:dyDescent="0.25">
      <c r="A8919" s="36"/>
      <c r="B8919" s="34"/>
      <c r="G8919" s="31"/>
    </row>
    <row r="8920" spans="1:7" x14ac:dyDescent="0.25">
      <c r="A8920" s="36"/>
      <c r="B8920" s="34"/>
      <c r="G8920" s="31"/>
    </row>
    <row r="8921" spans="1:7" x14ac:dyDescent="0.25">
      <c r="A8921" s="36"/>
      <c r="B8921" s="34"/>
      <c r="G8921" s="31"/>
    </row>
    <row r="8922" spans="1:7" x14ac:dyDescent="0.25">
      <c r="A8922" s="36"/>
      <c r="B8922" s="34"/>
      <c r="G8922" s="31"/>
    </row>
    <row r="8923" spans="1:7" x14ac:dyDescent="0.25">
      <c r="A8923" s="36"/>
      <c r="B8923" s="34"/>
      <c r="G8923" s="31"/>
    </row>
    <row r="8924" spans="1:7" x14ac:dyDescent="0.25">
      <c r="A8924" s="36"/>
      <c r="B8924" s="34"/>
      <c r="G8924" s="31"/>
    </row>
    <row r="8925" spans="1:7" x14ac:dyDescent="0.25">
      <c r="A8925" s="36"/>
      <c r="B8925" s="34"/>
      <c r="G8925" s="31"/>
    </row>
    <row r="8926" spans="1:7" x14ac:dyDescent="0.25">
      <c r="A8926" s="36"/>
      <c r="B8926" s="34"/>
      <c r="G8926" s="31"/>
    </row>
    <row r="8927" spans="1:7" x14ac:dyDescent="0.25">
      <c r="A8927" s="36"/>
      <c r="B8927" s="34"/>
      <c r="G8927" s="31"/>
    </row>
    <row r="8928" spans="1:7" x14ac:dyDescent="0.25">
      <c r="A8928" s="36"/>
      <c r="B8928" s="34"/>
      <c r="G8928" s="31"/>
    </row>
    <row r="8929" spans="1:7" x14ac:dyDescent="0.25">
      <c r="A8929" s="36"/>
      <c r="B8929" s="34"/>
      <c r="G8929" s="31"/>
    </row>
    <row r="8930" spans="1:7" x14ac:dyDescent="0.25">
      <c r="A8930" s="36"/>
      <c r="B8930" s="34"/>
      <c r="G8930" s="31"/>
    </row>
    <row r="8931" spans="1:7" x14ac:dyDescent="0.25">
      <c r="A8931" s="36"/>
      <c r="B8931" s="34"/>
      <c r="G8931" s="31"/>
    </row>
    <row r="8932" spans="1:7" x14ac:dyDescent="0.25">
      <c r="A8932" s="36"/>
      <c r="B8932" s="34"/>
      <c r="G8932" s="31"/>
    </row>
    <row r="8933" spans="1:7" x14ac:dyDescent="0.25">
      <c r="A8933" s="36"/>
      <c r="B8933" s="34"/>
      <c r="G8933" s="31"/>
    </row>
    <row r="8934" spans="1:7" x14ac:dyDescent="0.25">
      <c r="A8934" s="36"/>
      <c r="B8934" s="34"/>
      <c r="G8934" s="31"/>
    </row>
    <row r="8935" spans="1:7" x14ac:dyDescent="0.25">
      <c r="A8935" s="36"/>
      <c r="B8935" s="34"/>
      <c r="G8935" s="31"/>
    </row>
    <row r="8936" spans="1:7" x14ac:dyDescent="0.25">
      <c r="A8936" s="36"/>
      <c r="B8936" s="34"/>
      <c r="G8936" s="31"/>
    </row>
    <row r="8937" spans="1:7" x14ac:dyDescent="0.25">
      <c r="A8937" s="36"/>
      <c r="B8937" s="34"/>
      <c r="G8937" s="31"/>
    </row>
    <row r="8938" spans="1:7" x14ac:dyDescent="0.25">
      <c r="A8938" s="36"/>
      <c r="B8938" s="34"/>
      <c r="G8938" s="31"/>
    </row>
    <row r="8939" spans="1:7" x14ac:dyDescent="0.25">
      <c r="A8939" s="36"/>
      <c r="B8939" s="34"/>
      <c r="G8939" s="31"/>
    </row>
    <row r="8940" spans="1:7" x14ac:dyDescent="0.25">
      <c r="A8940" s="36"/>
      <c r="B8940" s="34"/>
      <c r="G8940" s="31"/>
    </row>
    <row r="8941" spans="1:7" x14ac:dyDescent="0.25">
      <c r="A8941" s="36"/>
      <c r="B8941" s="34"/>
      <c r="G8941" s="31"/>
    </row>
    <row r="8942" spans="1:7" x14ac:dyDescent="0.25">
      <c r="A8942" s="36"/>
      <c r="B8942" s="34"/>
      <c r="G8942" s="31"/>
    </row>
    <row r="8943" spans="1:7" x14ac:dyDescent="0.25">
      <c r="A8943" s="36"/>
      <c r="B8943" s="34"/>
      <c r="G8943" s="31"/>
    </row>
    <row r="8944" spans="1:7" x14ac:dyDescent="0.25">
      <c r="A8944" s="36"/>
      <c r="B8944" s="34"/>
      <c r="G8944" s="31"/>
    </row>
    <row r="8945" spans="1:7" x14ac:dyDescent="0.25">
      <c r="A8945" s="36"/>
      <c r="B8945" s="34"/>
      <c r="G8945" s="31"/>
    </row>
    <row r="8946" spans="1:7" x14ac:dyDescent="0.25">
      <c r="A8946" s="36"/>
      <c r="B8946" s="34"/>
      <c r="G8946" s="31"/>
    </row>
    <row r="8947" spans="1:7" x14ac:dyDescent="0.25">
      <c r="A8947" s="36"/>
      <c r="B8947" s="34"/>
      <c r="G8947" s="31"/>
    </row>
    <row r="8948" spans="1:7" x14ac:dyDescent="0.25">
      <c r="A8948" s="36"/>
      <c r="B8948" s="34"/>
      <c r="G8948" s="31"/>
    </row>
    <row r="8949" spans="1:7" x14ac:dyDescent="0.25">
      <c r="A8949" s="36"/>
      <c r="B8949" s="34"/>
      <c r="G8949" s="31"/>
    </row>
    <row r="8950" spans="1:7" x14ac:dyDescent="0.25">
      <c r="A8950" s="36"/>
      <c r="B8950" s="34"/>
      <c r="G8950" s="31"/>
    </row>
    <row r="8951" spans="1:7" x14ac:dyDescent="0.25">
      <c r="A8951" s="36"/>
      <c r="B8951" s="34"/>
      <c r="G8951" s="31"/>
    </row>
    <row r="8952" spans="1:7" x14ac:dyDescent="0.25">
      <c r="A8952" s="36"/>
      <c r="B8952" s="34"/>
      <c r="G8952" s="31"/>
    </row>
    <row r="8953" spans="1:7" x14ac:dyDescent="0.25">
      <c r="A8953" s="36"/>
      <c r="B8953" s="34"/>
      <c r="G8953" s="31"/>
    </row>
    <row r="8954" spans="1:7" x14ac:dyDescent="0.25">
      <c r="A8954" s="36"/>
      <c r="B8954" s="34"/>
      <c r="G8954" s="31"/>
    </row>
    <row r="8955" spans="1:7" x14ac:dyDescent="0.25">
      <c r="A8955" s="36"/>
      <c r="B8955" s="34"/>
      <c r="G8955" s="31"/>
    </row>
    <row r="8956" spans="1:7" x14ac:dyDescent="0.25">
      <c r="A8956" s="36"/>
      <c r="B8956" s="34"/>
      <c r="G8956" s="31"/>
    </row>
    <row r="8957" spans="1:7" x14ac:dyDescent="0.25">
      <c r="A8957" s="36"/>
      <c r="B8957" s="34"/>
      <c r="G8957" s="31"/>
    </row>
    <row r="8958" spans="1:7" x14ac:dyDescent="0.25">
      <c r="A8958" s="36"/>
      <c r="B8958" s="34"/>
      <c r="G8958" s="31"/>
    </row>
    <row r="8959" spans="1:7" x14ac:dyDescent="0.25">
      <c r="A8959" s="36"/>
      <c r="B8959" s="34"/>
      <c r="G8959" s="31"/>
    </row>
    <row r="8960" spans="1:7" x14ac:dyDescent="0.25">
      <c r="A8960" s="36"/>
      <c r="B8960" s="34"/>
      <c r="G8960" s="31"/>
    </row>
    <row r="8961" spans="1:7" x14ac:dyDescent="0.25">
      <c r="A8961" s="36"/>
      <c r="B8961" s="34"/>
      <c r="G8961" s="31"/>
    </row>
    <row r="8962" spans="1:7" x14ac:dyDescent="0.25">
      <c r="A8962" s="36"/>
      <c r="B8962" s="34"/>
      <c r="G8962" s="31"/>
    </row>
    <row r="8963" spans="1:7" x14ac:dyDescent="0.25">
      <c r="A8963" s="36"/>
      <c r="B8963" s="34"/>
      <c r="G8963" s="31"/>
    </row>
    <row r="8964" spans="1:7" x14ac:dyDescent="0.25">
      <c r="A8964" s="36"/>
      <c r="B8964" s="34"/>
      <c r="G8964" s="31"/>
    </row>
    <row r="8965" spans="1:7" x14ac:dyDescent="0.25">
      <c r="A8965" s="36"/>
      <c r="B8965" s="34"/>
      <c r="G8965" s="31"/>
    </row>
    <row r="8966" spans="1:7" x14ac:dyDescent="0.25">
      <c r="A8966" s="36"/>
      <c r="B8966" s="34"/>
      <c r="G8966" s="31"/>
    </row>
    <row r="8967" spans="1:7" x14ac:dyDescent="0.25">
      <c r="A8967" s="36"/>
      <c r="B8967" s="34"/>
      <c r="G8967" s="31"/>
    </row>
    <row r="8968" spans="1:7" x14ac:dyDescent="0.25">
      <c r="A8968" s="36"/>
      <c r="B8968" s="34"/>
      <c r="G8968" s="31"/>
    </row>
    <row r="8969" spans="1:7" x14ac:dyDescent="0.25">
      <c r="A8969" s="36"/>
      <c r="B8969" s="34"/>
      <c r="G8969" s="31"/>
    </row>
    <row r="8970" spans="1:7" x14ac:dyDescent="0.25">
      <c r="A8970" s="36"/>
      <c r="B8970" s="34"/>
      <c r="G8970" s="31"/>
    </row>
    <row r="8971" spans="1:7" x14ac:dyDescent="0.25">
      <c r="A8971" s="36"/>
      <c r="B8971" s="34"/>
      <c r="G8971" s="31"/>
    </row>
    <row r="8972" spans="1:7" x14ac:dyDescent="0.25">
      <c r="A8972" s="36"/>
      <c r="B8972" s="34"/>
      <c r="G8972" s="31"/>
    </row>
    <row r="8973" spans="1:7" x14ac:dyDescent="0.25">
      <c r="A8973" s="36"/>
      <c r="B8973" s="34"/>
      <c r="G8973" s="31"/>
    </row>
    <row r="8974" spans="1:7" x14ac:dyDescent="0.25">
      <c r="A8974" s="36"/>
      <c r="B8974" s="34"/>
      <c r="G8974" s="31"/>
    </row>
    <row r="8975" spans="1:7" x14ac:dyDescent="0.25">
      <c r="A8975" s="36"/>
      <c r="B8975" s="34"/>
      <c r="G8975" s="31"/>
    </row>
    <row r="8976" spans="1:7" x14ac:dyDescent="0.25">
      <c r="A8976" s="36"/>
      <c r="B8976" s="34"/>
      <c r="G8976" s="31"/>
    </row>
    <row r="8977" spans="1:7" x14ac:dyDescent="0.25">
      <c r="A8977" s="36"/>
      <c r="B8977" s="34"/>
      <c r="G8977" s="31"/>
    </row>
    <row r="8978" spans="1:7" x14ac:dyDescent="0.25">
      <c r="A8978" s="36"/>
      <c r="B8978" s="34"/>
      <c r="G8978" s="31"/>
    </row>
    <row r="8979" spans="1:7" x14ac:dyDescent="0.25">
      <c r="A8979" s="36"/>
      <c r="B8979" s="34"/>
      <c r="G8979" s="31"/>
    </row>
    <row r="8980" spans="1:7" x14ac:dyDescent="0.25">
      <c r="A8980" s="36"/>
      <c r="B8980" s="34"/>
      <c r="G8980" s="31"/>
    </row>
    <row r="8981" spans="1:7" x14ac:dyDescent="0.25">
      <c r="A8981" s="36"/>
      <c r="B8981" s="34"/>
      <c r="G8981" s="31"/>
    </row>
    <row r="8982" spans="1:7" x14ac:dyDescent="0.25">
      <c r="A8982" s="36"/>
      <c r="B8982" s="34"/>
      <c r="G8982" s="31"/>
    </row>
    <row r="8983" spans="1:7" x14ac:dyDescent="0.25">
      <c r="A8983" s="36"/>
      <c r="B8983" s="34"/>
      <c r="G8983" s="31"/>
    </row>
    <row r="8984" spans="1:7" x14ac:dyDescent="0.25">
      <c r="A8984" s="36"/>
      <c r="B8984" s="34"/>
      <c r="G8984" s="31"/>
    </row>
    <row r="8985" spans="1:7" x14ac:dyDescent="0.25">
      <c r="A8985" s="36"/>
      <c r="B8985" s="34"/>
      <c r="G8985" s="31"/>
    </row>
    <row r="8986" spans="1:7" x14ac:dyDescent="0.25">
      <c r="A8986" s="36"/>
      <c r="B8986" s="34"/>
      <c r="G8986" s="31"/>
    </row>
    <row r="8987" spans="1:7" x14ac:dyDescent="0.25">
      <c r="A8987" s="36"/>
      <c r="B8987" s="34"/>
      <c r="G8987" s="31"/>
    </row>
    <row r="8988" spans="1:7" x14ac:dyDescent="0.25">
      <c r="A8988" s="36"/>
      <c r="B8988" s="34"/>
      <c r="G8988" s="31"/>
    </row>
    <row r="8989" spans="1:7" x14ac:dyDescent="0.25">
      <c r="A8989" s="36"/>
      <c r="B8989" s="34"/>
      <c r="G8989" s="31"/>
    </row>
    <row r="8990" spans="1:7" x14ac:dyDescent="0.25">
      <c r="A8990" s="36"/>
      <c r="B8990" s="34"/>
      <c r="G8990" s="31"/>
    </row>
    <row r="8991" spans="1:7" x14ac:dyDescent="0.25">
      <c r="A8991" s="36"/>
      <c r="B8991" s="34"/>
      <c r="G8991" s="31"/>
    </row>
    <row r="8992" spans="1:7" x14ac:dyDescent="0.25">
      <c r="A8992" s="36"/>
      <c r="B8992" s="34"/>
      <c r="G8992" s="31"/>
    </row>
    <row r="8993" spans="1:7" x14ac:dyDescent="0.25">
      <c r="A8993" s="36"/>
      <c r="B8993" s="34"/>
      <c r="G8993" s="31"/>
    </row>
    <row r="8994" spans="1:7" x14ac:dyDescent="0.25">
      <c r="A8994" s="36"/>
      <c r="B8994" s="34"/>
      <c r="G8994" s="31"/>
    </row>
    <row r="8995" spans="1:7" x14ac:dyDescent="0.25">
      <c r="A8995" s="36"/>
      <c r="B8995" s="34"/>
      <c r="G8995" s="31"/>
    </row>
    <row r="8996" spans="1:7" x14ac:dyDescent="0.25">
      <c r="A8996" s="36"/>
      <c r="B8996" s="34"/>
      <c r="G8996" s="31"/>
    </row>
    <row r="8997" spans="1:7" x14ac:dyDescent="0.25">
      <c r="A8997" s="36"/>
      <c r="B8997" s="34"/>
      <c r="G8997" s="31"/>
    </row>
    <row r="8998" spans="1:7" x14ac:dyDescent="0.25">
      <c r="A8998" s="36"/>
      <c r="B8998" s="34"/>
      <c r="G8998" s="31"/>
    </row>
    <row r="8999" spans="1:7" x14ac:dyDescent="0.25">
      <c r="A8999" s="36"/>
      <c r="B8999" s="34"/>
      <c r="G8999" s="31"/>
    </row>
    <row r="9000" spans="1:7" x14ac:dyDescent="0.25">
      <c r="A9000" s="36"/>
      <c r="B9000" s="34"/>
      <c r="G9000" s="31"/>
    </row>
    <row r="9001" spans="1:7" x14ac:dyDescent="0.25">
      <c r="A9001" s="36"/>
      <c r="B9001" s="34"/>
      <c r="G9001" s="31"/>
    </row>
    <row r="9002" spans="1:7" x14ac:dyDescent="0.25">
      <c r="A9002" s="36"/>
      <c r="B9002" s="34"/>
      <c r="G9002" s="31"/>
    </row>
    <row r="9003" spans="1:7" x14ac:dyDescent="0.25">
      <c r="A9003" s="36"/>
      <c r="B9003" s="34"/>
      <c r="G9003" s="31"/>
    </row>
    <row r="9004" spans="1:7" x14ac:dyDescent="0.25">
      <c r="A9004" s="36"/>
      <c r="B9004" s="34"/>
      <c r="G9004" s="31"/>
    </row>
    <row r="9005" spans="1:7" x14ac:dyDescent="0.25">
      <c r="A9005" s="36"/>
      <c r="B9005" s="34"/>
      <c r="G9005" s="31"/>
    </row>
    <row r="9006" spans="1:7" x14ac:dyDescent="0.25">
      <c r="A9006" s="36"/>
      <c r="B9006" s="34"/>
      <c r="G9006" s="31"/>
    </row>
    <row r="9007" spans="1:7" x14ac:dyDescent="0.25">
      <c r="A9007" s="36"/>
      <c r="B9007" s="34"/>
      <c r="G9007" s="31"/>
    </row>
    <row r="9008" spans="1:7" x14ac:dyDescent="0.25">
      <c r="A9008" s="36"/>
      <c r="B9008" s="34"/>
      <c r="G9008" s="31"/>
    </row>
    <row r="9009" spans="1:7" x14ac:dyDescent="0.25">
      <c r="A9009" s="36"/>
      <c r="B9009" s="34"/>
      <c r="G9009" s="31"/>
    </row>
    <row r="9010" spans="1:7" x14ac:dyDescent="0.25">
      <c r="A9010" s="36"/>
      <c r="B9010" s="34"/>
      <c r="G9010" s="31"/>
    </row>
    <row r="9011" spans="1:7" x14ac:dyDescent="0.25">
      <c r="A9011" s="36"/>
      <c r="B9011" s="34"/>
      <c r="G9011" s="31"/>
    </row>
    <row r="9012" spans="1:7" x14ac:dyDescent="0.25">
      <c r="A9012" s="36"/>
      <c r="B9012" s="34"/>
      <c r="G9012" s="31"/>
    </row>
    <row r="9013" spans="1:7" x14ac:dyDescent="0.25">
      <c r="A9013" s="36"/>
      <c r="B9013" s="34"/>
      <c r="G9013" s="31"/>
    </row>
    <row r="9014" spans="1:7" x14ac:dyDescent="0.25">
      <c r="A9014" s="36"/>
      <c r="B9014" s="34"/>
      <c r="G9014" s="31"/>
    </row>
    <row r="9015" spans="1:7" x14ac:dyDescent="0.25">
      <c r="A9015" s="36"/>
      <c r="B9015" s="34"/>
      <c r="G9015" s="31"/>
    </row>
    <row r="9016" spans="1:7" x14ac:dyDescent="0.25">
      <c r="A9016" s="36"/>
      <c r="B9016" s="34"/>
      <c r="G9016" s="31"/>
    </row>
    <row r="9017" spans="1:7" x14ac:dyDescent="0.25">
      <c r="A9017" s="36"/>
      <c r="B9017" s="34"/>
      <c r="G9017" s="31"/>
    </row>
    <row r="9018" spans="1:7" x14ac:dyDescent="0.25">
      <c r="A9018" s="36"/>
      <c r="B9018" s="34"/>
      <c r="G9018" s="31"/>
    </row>
    <row r="9019" spans="1:7" x14ac:dyDescent="0.25">
      <c r="A9019" s="36"/>
      <c r="B9019" s="34"/>
      <c r="G9019" s="31"/>
    </row>
    <row r="9020" spans="1:7" x14ac:dyDescent="0.25">
      <c r="A9020" s="36"/>
      <c r="B9020" s="34"/>
      <c r="G9020" s="31"/>
    </row>
    <row r="9021" spans="1:7" x14ac:dyDescent="0.25">
      <c r="A9021" s="36"/>
      <c r="B9021" s="34"/>
      <c r="G9021" s="31"/>
    </row>
    <row r="9022" spans="1:7" x14ac:dyDescent="0.25">
      <c r="A9022" s="36"/>
      <c r="B9022" s="34"/>
      <c r="G9022" s="31"/>
    </row>
    <row r="9023" spans="1:7" x14ac:dyDescent="0.25">
      <c r="A9023" s="36"/>
      <c r="B9023" s="34"/>
      <c r="G9023" s="31"/>
    </row>
    <row r="9024" spans="1:7" x14ac:dyDescent="0.25">
      <c r="A9024" s="36"/>
      <c r="B9024" s="34"/>
      <c r="G9024" s="31"/>
    </row>
    <row r="9025" spans="1:7" x14ac:dyDescent="0.25">
      <c r="A9025" s="36"/>
      <c r="B9025" s="34"/>
      <c r="G9025" s="31"/>
    </row>
    <row r="9026" spans="1:7" x14ac:dyDescent="0.25">
      <c r="A9026" s="36"/>
      <c r="B9026" s="34"/>
      <c r="G9026" s="31"/>
    </row>
    <row r="9027" spans="1:7" x14ac:dyDescent="0.25">
      <c r="A9027" s="36"/>
      <c r="B9027" s="34"/>
      <c r="G9027" s="31"/>
    </row>
    <row r="9028" spans="1:7" x14ac:dyDescent="0.25">
      <c r="A9028" s="36"/>
      <c r="B9028" s="34"/>
      <c r="G9028" s="31"/>
    </row>
    <row r="9029" spans="1:7" x14ac:dyDescent="0.25">
      <c r="A9029" s="36"/>
      <c r="B9029" s="34"/>
      <c r="G9029" s="31"/>
    </row>
    <row r="9030" spans="1:7" x14ac:dyDescent="0.25">
      <c r="A9030" s="36"/>
      <c r="B9030" s="34"/>
      <c r="G9030" s="31"/>
    </row>
    <row r="9031" spans="1:7" x14ac:dyDescent="0.25">
      <c r="A9031" s="36"/>
      <c r="B9031" s="34"/>
      <c r="G9031" s="31"/>
    </row>
    <row r="9032" spans="1:7" x14ac:dyDescent="0.25">
      <c r="A9032" s="36"/>
      <c r="B9032" s="34"/>
      <c r="G9032" s="31"/>
    </row>
    <row r="9033" spans="1:7" x14ac:dyDescent="0.25">
      <c r="A9033" s="36"/>
      <c r="B9033" s="34"/>
      <c r="G9033" s="31"/>
    </row>
    <row r="9034" spans="1:7" x14ac:dyDescent="0.25">
      <c r="A9034" s="36"/>
      <c r="B9034" s="34"/>
      <c r="G9034" s="31"/>
    </row>
    <row r="9035" spans="1:7" x14ac:dyDescent="0.25">
      <c r="A9035" s="36"/>
      <c r="B9035" s="34"/>
      <c r="G9035" s="31"/>
    </row>
    <row r="9036" spans="1:7" x14ac:dyDescent="0.25">
      <c r="A9036" s="36"/>
      <c r="B9036" s="34"/>
      <c r="G9036" s="31"/>
    </row>
    <row r="9037" spans="1:7" x14ac:dyDescent="0.25">
      <c r="A9037" s="36"/>
      <c r="B9037" s="34"/>
      <c r="G9037" s="31"/>
    </row>
    <row r="9038" spans="1:7" x14ac:dyDescent="0.25">
      <c r="A9038" s="36"/>
      <c r="B9038" s="34"/>
      <c r="G9038" s="31"/>
    </row>
    <row r="9039" spans="1:7" x14ac:dyDescent="0.25">
      <c r="A9039" s="36"/>
      <c r="B9039" s="34"/>
      <c r="G9039" s="31"/>
    </row>
    <row r="9040" spans="1:7" x14ac:dyDescent="0.25">
      <c r="A9040" s="36"/>
      <c r="B9040" s="34"/>
      <c r="G9040" s="31"/>
    </row>
    <row r="9041" spans="1:7" x14ac:dyDescent="0.25">
      <c r="A9041" s="36"/>
      <c r="B9041" s="34"/>
      <c r="G9041" s="31"/>
    </row>
    <row r="9042" spans="1:7" x14ac:dyDescent="0.25">
      <c r="A9042" s="36"/>
      <c r="B9042" s="34"/>
      <c r="G9042" s="31"/>
    </row>
    <row r="9043" spans="1:7" x14ac:dyDescent="0.25">
      <c r="A9043" s="36"/>
      <c r="B9043" s="34"/>
      <c r="G9043" s="31"/>
    </row>
    <row r="9044" spans="1:7" x14ac:dyDescent="0.25">
      <c r="A9044" s="36"/>
      <c r="B9044" s="34"/>
      <c r="G9044" s="31"/>
    </row>
    <row r="9045" spans="1:7" x14ac:dyDescent="0.25">
      <c r="A9045" s="36"/>
      <c r="B9045" s="34"/>
      <c r="G9045" s="31"/>
    </row>
    <row r="9046" spans="1:7" x14ac:dyDescent="0.25">
      <c r="A9046" s="36"/>
      <c r="B9046" s="34"/>
      <c r="G9046" s="31"/>
    </row>
    <row r="9047" spans="1:7" x14ac:dyDescent="0.25">
      <c r="A9047" s="36"/>
      <c r="B9047" s="34"/>
      <c r="G9047" s="31"/>
    </row>
    <row r="9048" spans="1:7" x14ac:dyDescent="0.25">
      <c r="A9048" s="36"/>
      <c r="B9048" s="34"/>
      <c r="G9048" s="31"/>
    </row>
    <row r="9049" spans="1:7" x14ac:dyDescent="0.25">
      <c r="A9049" s="36"/>
      <c r="B9049" s="34"/>
      <c r="G9049" s="31"/>
    </row>
    <row r="9050" spans="1:7" x14ac:dyDescent="0.25">
      <c r="A9050" s="36"/>
      <c r="B9050" s="34"/>
      <c r="G9050" s="31"/>
    </row>
    <row r="9051" spans="1:7" x14ac:dyDescent="0.25">
      <c r="A9051" s="36"/>
      <c r="B9051" s="34"/>
      <c r="G9051" s="31"/>
    </row>
    <row r="9052" spans="1:7" x14ac:dyDescent="0.25">
      <c r="A9052" s="36"/>
      <c r="B9052" s="34"/>
      <c r="G9052" s="31"/>
    </row>
    <row r="9053" spans="1:7" x14ac:dyDescent="0.25">
      <c r="A9053" s="36"/>
      <c r="B9053" s="34"/>
      <c r="G9053" s="31"/>
    </row>
    <row r="9054" spans="1:7" x14ac:dyDescent="0.25">
      <c r="A9054" s="36"/>
      <c r="B9054" s="34"/>
      <c r="G9054" s="31"/>
    </row>
    <row r="9055" spans="1:7" x14ac:dyDescent="0.25">
      <c r="A9055" s="36"/>
      <c r="B9055" s="34"/>
      <c r="G9055" s="31"/>
    </row>
    <row r="9056" spans="1:7" x14ac:dyDescent="0.25">
      <c r="A9056" s="36"/>
      <c r="B9056" s="34"/>
      <c r="G9056" s="31"/>
    </row>
    <row r="9057" spans="1:7" x14ac:dyDescent="0.25">
      <c r="A9057" s="36"/>
      <c r="B9057" s="34"/>
      <c r="G9057" s="31"/>
    </row>
    <row r="9058" spans="1:7" x14ac:dyDescent="0.25">
      <c r="A9058" s="36"/>
      <c r="B9058" s="34"/>
      <c r="G9058" s="31"/>
    </row>
    <row r="9059" spans="1:7" x14ac:dyDescent="0.25">
      <c r="A9059" s="36"/>
      <c r="B9059" s="34"/>
      <c r="G9059" s="31"/>
    </row>
    <row r="9060" spans="1:7" x14ac:dyDescent="0.25">
      <c r="A9060" s="36"/>
      <c r="B9060" s="34"/>
      <c r="G9060" s="31"/>
    </row>
    <row r="9061" spans="1:7" x14ac:dyDescent="0.25">
      <c r="A9061" s="36"/>
      <c r="B9061" s="34"/>
      <c r="G9061" s="31"/>
    </row>
    <row r="9062" spans="1:7" x14ac:dyDescent="0.25">
      <c r="A9062" s="36"/>
      <c r="B9062" s="34"/>
      <c r="G9062" s="31"/>
    </row>
    <row r="9063" spans="1:7" x14ac:dyDescent="0.25">
      <c r="A9063" s="36"/>
      <c r="B9063" s="34"/>
      <c r="G9063" s="31"/>
    </row>
    <row r="9064" spans="1:7" x14ac:dyDescent="0.25">
      <c r="A9064" s="36"/>
      <c r="B9064" s="34"/>
      <c r="G9064" s="31"/>
    </row>
    <row r="9065" spans="1:7" x14ac:dyDescent="0.25">
      <c r="A9065" s="36"/>
      <c r="B9065" s="34"/>
      <c r="G9065" s="31"/>
    </row>
    <row r="9066" spans="1:7" x14ac:dyDescent="0.25">
      <c r="A9066" s="36"/>
      <c r="B9066" s="34"/>
      <c r="G9066" s="31"/>
    </row>
    <row r="9067" spans="1:7" x14ac:dyDescent="0.25">
      <c r="A9067" s="36"/>
      <c r="B9067" s="34"/>
      <c r="G9067" s="31"/>
    </row>
    <row r="9068" spans="1:7" x14ac:dyDescent="0.25">
      <c r="A9068" s="36"/>
      <c r="B9068" s="34"/>
      <c r="G9068" s="31"/>
    </row>
    <row r="9069" spans="1:7" x14ac:dyDescent="0.25">
      <c r="A9069" s="36"/>
      <c r="B9069" s="34"/>
      <c r="G9069" s="31"/>
    </row>
    <row r="9070" spans="1:7" x14ac:dyDescent="0.25">
      <c r="A9070" s="36"/>
      <c r="B9070" s="34"/>
      <c r="G9070" s="31"/>
    </row>
    <row r="9071" spans="1:7" x14ac:dyDescent="0.25">
      <c r="A9071" s="36"/>
      <c r="B9071" s="34"/>
      <c r="G9071" s="31"/>
    </row>
    <row r="9072" spans="1:7" x14ac:dyDescent="0.25">
      <c r="A9072" s="36"/>
      <c r="B9072" s="34"/>
      <c r="G9072" s="31"/>
    </row>
    <row r="9073" spans="1:7" x14ac:dyDescent="0.25">
      <c r="A9073" s="36"/>
      <c r="B9073" s="34"/>
      <c r="G9073" s="31"/>
    </row>
    <row r="9074" spans="1:7" x14ac:dyDescent="0.25">
      <c r="A9074" s="36"/>
      <c r="B9074" s="34"/>
      <c r="G9074" s="31"/>
    </row>
    <row r="9075" spans="1:7" x14ac:dyDescent="0.25">
      <c r="A9075" s="36"/>
      <c r="B9075" s="34"/>
      <c r="G9075" s="31"/>
    </row>
    <row r="9076" spans="1:7" x14ac:dyDescent="0.25">
      <c r="A9076" s="36"/>
      <c r="B9076" s="34"/>
      <c r="G9076" s="31"/>
    </row>
    <row r="9077" spans="1:7" x14ac:dyDescent="0.25">
      <c r="A9077" s="36"/>
      <c r="B9077" s="34"/>
      <c r="G9077" s="31"/>
    </row>
    <row r="9078" spans="1:7" x14ac:dyDescent="0.25">
      <c r="A9078" s="36"/>
      <c r="B9078" s="34"/>
      <c r="G9078" s="31"/>
    </row>
    <row r="9079" spans="1:7" x14ac:dyDescent="0.25">
      <c r="A9079" s="36"/>
      <c r="B9079" s="34"/>
      <c r="G9079" s="31"/>
    </row>
    <row r="9080" spans="1:7" x14ac:dyDescent="0.25">
      <c r="A9080" s="36"/>
      <c r="B9080" s="34"/>
      <c r="G9080" s="31"/>
    </row>
    <row r="9081" spans="1:7" x14ac:dyDescent="0.25">
      <c r="A9081" s="36"/>
      <c r="B9081" s="34"/>
      <c r="G9081" s="31"/>
    </row>
    <row r="9082" spans="1:7" x14ac:dyDescent="0.25">
      <c r="A9082" s="36"/>
      <c r="B9082" s="34"/>
      <c r="G9082" s="31"/>
    </row>
    <row r="9083" spans="1:7" x14ac:dyDescent="0.25">
      <c r="A9083" s="36"/>
      <c r="B9083" s="34"/>
      <c r="G9083" s="31"/>
    </row>
    <row r="9084" spans="1:7" x14ac:dyDescent="0.25">
      <c r="A9084" s="36"/>
      <c r="B9084" s="34"/>
      <c r="G9084" s="31"/>
    </row>
    <row r="9085" spans="1:7" x14ac:dyDescent="0.25">
      <c r="A9085" s="36"/>
      <c r="B9085" s="34"/>
      <c r="G9085" s="31"/>
    </row>
    <row r="9086" spans="1:7" x14ac:dyDescent="0.25">
      <c r="A9086" s="36"/>
      <c r="B9086" s="34"/>
      <c r="G9086" s="31"/>
    </row>
    <row r="9087" spans="1:7" x14ac:dyDescent="0.25">
      <c r="A9087" s="36"/>
      <c r="B9087" s="34"/>
      <c r="G9087" s="31"/>
    </row>
    <row r="9088" spans="1:7" x14ac:dyDescent="0.25">
      <c r="A9088" s="36"/>
      <c r="B9088" s="34"/>
      <c r="G9088" s="31"/>
    </row>
    <row r="9089" spans="1:7" x14ac:dyDescent="0.25">
      <c r="A9089" s="36"/>
      <c r="B9089" s="34"/>
      <c r="G9089" s="31"/>
    </row>
    <row r="9090" spans="1:7" x14ac:dyDescent="0.25">
      <c r="A9090" s="36"/>
      <c r="B9090" s="34"/>
      <c r="G9090" s="31"/>
    </row>
    <row r="9091" spans="1:7" x14ac:dyDescent="0.25">
      <c r="A9091" s="36"/>
      <c r="B9091" s="34"/>
      <c r="G9091" s="31"/>
    </row>
    <row r="9092" spans="1:7" x14ac:dyDescent="0.25">
      <c r="A9092" s="36"/>
      <c r="B9092" s="34"/>
      <c r="G9092" s="31"/>
    </row>
    <row r="9093" spans="1:7" x14ac:dyDescent="0.25">
      <c r="A9093" s="36"/>
      <c r="B9093" s="34"/>
      <c r="G9093" s="31"/>
    </row>
    <row r="9094" spans="1:7" x14ac:dyDescent="0.25">
      <c r="A9094" s="36"/>
      <c r="B9094" s="34"/>
      <c r="G9094" s="31"/>
    </row>
    <row r="9095" spans="1:7" x14ac:dyDescent="0.25">
      <c r="A9095" s="36"/>
      <c r="B9095" s="34"/>
      <c r="G9095" s="31"/>
    </row>
    <row r="9096" spans="1:7" x14ac:dyDescent="0.25">
      <c r="A9096" s="36"/>
      <c r="B9096" s="34"/>
      <c r="G9096" s="31"/>
    </row>
    <row r="9097" spans="1:7" x14ac:dyDescent="0.25">
      <c r="A9097" s="36"/>
      <c r="B9097" s="34"/>
      <c r="G9097" s="31"/>
    </row>
    <row r="9098" spans="1:7" x14ac:dyDescent="0.25">
      <c r="A9098" s="36"/>
      <c r="B9098" s="34"/>
      <c r="G9098" s="31"/>
    </row>
    <row r="9099" spans="1:7" x14ac:dyDescent="0.25">
      <c r="A9099" s="36"/>
      <c r="B9099" s="34"/>
      <c r="G9099" s="31"/>
    </row>
    <row r="9100" spans="1:7" x14ac:dyDescent="0.25">
      <c r="A9100" s="36"/>
      <c r="B9100" s="34"/>
      <c r="G9100" s="31"/>
    </row>
    <row r="9101" spans="1:7" x14ac:dyDescent="0.25">
      <c r="A9101" s="36"/>
      <c r="B9101" s="34"/>
      <c r="G9101" s="31"/>
    </row>
    <row r="9102" spans="1:7" x14ac:dyDescent="0.25">
      <c r="A9102" s="36"/>
      <c r="B9102" s="34"/>
      <c r="G9102" s="31"/>
    </row>
    <row r="9103" spans="1:7" x14ac:dyDescent="0.25">
      <c r="A9103" s="36"/>
      <c r="B9103" s="34"/>
      <c r="G9103" s="31"/>
    </row>
    <row r="9104" spans="1:7" x14ac:dyDescent="0.25">
      <c r="A9104" s="36"/>
      <c r="B9104" s="34"/>
      <c r="G9104" s="31"/>
    </row>
    <row r="9105" spans="1:7" x14ac:dyDescent="0.25">
      <c r="A9105" s="36"/>
      <c r="B9105" s="34"/>
      <c r="G9105" s="31"/>
    </row>
    <row r="9106" spans="1:7" x14ac:dyDescent="0.25">
      <c r="A9106" s="36"/>
      <c r="B9106" s="34"/>
      <c r="G9106" s="31"/>
    </row>
    <row r="9107" spans="1:7" x14ac:dyDescent="0.25">
      <c r="A9107" s="36"/>
      <c r="B9107" s="34"/>
      <c r="G9107" s="31"/>
    </row>
    <row r="9108" spans="1:7" x14ac:dyDescent="0.25">
      <c r="A9108" s="36"/>
      <c r="B9108" s="34"/>
      <c r="G9108" s="31"/>
    </row>
    <row r="9109" spans="1:7" x14ac:dyDescent="0.25">
      <c r="A9109" s="36"/>
      <c r="B9109" s="34"/>
      <c r="G9109" s="31"/>
    </row>
    <row r="9110" spans="1:7" x14ac:dyDescent="0.25">
      <c r="A9110" s="36"/>
      <c r="B9110" s="34"/>
      <c r="G9110" s="31"/>
    </row>
    <row r="9111" spans="1:7" x14ac:dyDescent="0.25">
      <c r="A9111" s="36"/>
      <c r="B9111" s="34"/>
      <c r="G9111" s="31"/>
    </row>
    <row r="9112" spans="1:7" x14ac:dyDescent="0.25">
      <c r="A9112" s="36"/>
      <c r="B9112" s="34"/>
      <c r="G9112" s="31"/>
    </row>
    <row r="9113" spans="1:7" x14ac:dyDescent="0.25">
      <c r="A9113" s="36"/>
      <c r="B9113" s="34"/>
      <c r="G9113" s="31"/>
    </row>
    <row r="9114" spans="1:7" x14ac:dyDescent="0.25">
      <c r="A9114" s="36"/>
      <c r="B9114" s="34"/>
      <c r="G9114" s="31"/>
    </row>
    <row r="9115" spans="1:7" x14ac:dyDescent="0.25">
      <c r="A9115" s="36"/>
      <c r="B9115" s="34"/>
      <c r="G9115" s="31"/>
    </row>
    <row r="9116" spans="1:7" x14ac:dyDescent="0.25">
      <c r="A9116" s="36"/>
      <c r="B9116" s="34"/>
      <c r="G9116" s="31"/>
    </row>
    <row r="9117" spans="1:7" x14ac:dyDescent="0.25">
      <c r="A9117" s="36"/>
      <c r="B9117" s="34"/>
      <c r="G9117" s="31"/>
    </row>
    <row r="9118" spans="1:7" x14ac:dyDescent="0.25">
      <c r="A9118" s="36"/>
      <c r="B9118" s="34"/>
      <c r="G9118" s="31"/>
    </row>
    <row r="9119" spans="1:7" x14ac:dyDescent="0.25">
      <c r="A9119" s="36"/>
      <c r="B9119" s="34"/>
      <c r="G9119" s="31"/>
    </row>
    <row r="9120" spans="1:7" x14ac:dyDescent="0.25">
      <c r="A9120" s="36"/>
      <c r="B9120" s="34"/>
      <c r="G9120" s="31"/>
    </row>
    <row r="9121" spans="1:7" x14ac:dyDescent="0.25">
      <c r="A9121" s="36"/>
      <c r="B9121" s="34"/>
      <c r="G9121" s="31"/>
    </row>
    <row r="9122" spans="1:7" x14ac:dyDescent="0.25">
      <c r="A9122" s="36"/>
      <c r="B9122" s="34"/>
      <c r="G9122" s="31"/>
    </row>
    <row r="9123" spans="1:7" x14ac:dyDescent="0.25">
      <c r="A9123" s="36"/>
      <c r="B9123" s="34"/>
      <c r="G9123" s="31"/>
    </row>
    <row r="9124" spans="1:7" x14ac:dyDescent="0.25">
      <c r="A9124" s="36"/>
      <c r="B9124" s="34"/>
      <c r="G9124" s="31"/>
    </row>
    <row r="9125" spans="1:7" x14ac:dyDescent="0.25">
      <c r="A9125" s="36"/>
      <c r="B9125" s="34"/>
      <c r="G9125" s="31"/>
    </row>
    <row r="9126" spans="1:7" x14ac:dyDescent="0.25">
      <c r="A9126" s="36"/>
      <c r="B9126" s="34"/>
      <c r="G9126" s="31"/>
    </row>
    <row r="9127" spans="1:7" x14ac:dyDescent="0.25">
      <c r="A9127" s="36"/>
      <c r="B9127" s="34"/>
      <c r="G9127" s="31"/>
    </row>
    <row r="9128" spans="1:7" x14ac:dyDescent="0.25">
      <c r="A9128" s="36"/>
      <c r="B9128" s="34"/>
      <c r="G9128" s="31"/>
    </row>
    <row r="9129" spans="1:7" x14ac:dyDescent="0.25">
      <c r="A9129" s="36"/>
      <c r="B9129" s="34"/>
      <c r="G9129" s="31"/>
    </row>
    <row r="9130" spans="1:7" x14ac:dyDescent="0.25">
      <c r="A9130" s="36"/>
      <c r="B9130" s="34"/>
      <c r="G9130" s="31"/>
    </row>
    <row r="9131" spans="1:7" x14ac:dyDescent="0.25">
      <c r="A9131" s="36"/>
      <c r="B9131" s="34"/>
      <c r="G9131" s="31"/>
    </row>
    <row r="9132" spans="1:7" x14ac:dyDescent="0.25">
      <c r="A9132" s="36"/>
      <c r="B9132" s="34"/>
      <c r="G9132" s="31"/>
    </row>
    <row r="9133" spans="1:7" x14ac:dyDescent="0.25">
      <c r="A9133" s="36"/>
      <c r="B9133" s="34"/>
      <c r="G9133" s="31"/>
    </row>
    <row r="9134" spans="1:7" x14ac:dyDescent="0.25">
      <c r="A9134" s="36"/>
      <c r="B9134" s="34"/>
      <c r="G9134" s="31"/>
    </row>
    <row r="9135" spans="1:7" x14ac:dyDescent="0.25">
      <c r="A9135" s="36"/>
      <c r="B9135" s="34"/>
      <c r="G9135" s="31"/>
    </row>
    <row r="9136" spans="1:7" x14ac:dyDescent="0.25">
      <c r="A9136" s="36"/>
      <c r="B9136" s="34"/>
      <c r="G9136" s="31"/>
    </row>
    <row r="9137" spans="1:7" x14ac:dyDescent="0.25">
      <c r="A9137" s="36"/>
      <c r="B9137" s="34"/>
      <c r="G9137" s="31"/>
    </row>
    <row r="9138" spans="1:7" x14ac:dyDescent="0.25">
      <c r="A9138" s="36"/>
      <c r="B9138" s="34"/>
      <c r="G9138" s="31"/>
    </row>
    <row r="9139" spans="1:7" x14ac:dyDescent="0.25">
      <c r="A9139" s="36"/>
      <c r="B9139" s="34"/>
      <c r="G9139" s="31"/>
    </row>
    <row r="9140" spans="1:7" x14ac:dyDescent="0.25">
      <c r="A9140" s="36"/>
      <c r="B9140" s="34"/>
      <c r="G9140" s="31"/>
    </row>
    <row r="9141" spans="1:7" x14ac:dyDescent="0.25">
      <c r="A9141" s="36"/>
      <c r="B9141" s="34"/>
      <c r="G9141" s="31"/>
    </row>
    <row r="9142" spans="1:7" x14ac:dyDescent="0.25">
      <c r="A9142" s="36"/>
      <c r="B9142" s="34"/>
      <c r="G9142" s="31"/>
    </row>
    <row r="9143" spans="1:7" x14ac:dyDescent="0.25">
      <c r="A9143" s="36"/>
      <c r="B9143" s="34"/>
      <c r="G9143" s="31"/>
    </row>
    <row r="9144" spans="1:7" x14ac:dyDescent="0.25">
      <c r="A9144" s="36"/>
      <c r="B9144" s="34"/>
      <c r="G9144" s="31"/>
    </row>
    <row r="9145" spans="1:7" x14ac:dyDescent="0.25">
      <c r="A9145" s="36"/>
      <c r="B9145" s="34"/>
      <c r="G9145" s="31"/>
    </row>
    <row r="9146" spans="1:7" x14ac:dyDescent="0.25">
      <c r="A9146" s="36"/>
      <c r="B9146" s="34"/>
      <c r="G9146" s="31"/>
    </row>
    <row r="9147" spans="1:7" x14ac:dyDescent="0.25">
      <c r="A9147" s="36"/>
      <c r="B9147" s="34"/>
      <c r="G9147" s="31"/>
    </row>
    <row r="9148" spans="1:7" x14ac:dyDescent="0.25">
      <c r="A9148" s="36"/>
      <c r="B9148" s="34"/>
      <c r="G9148" s="31"/>
    </row>
    <row r="9149" spans="1:7" x14ac:dyDescent="0.25">
      <c r="A9149" s="36"/>
      <c r="B9149" s="34"/>
      <c r="G9149" s="31"/>
    </row>
    <row r="9150" spans="1:7" x14ac:dyDescent="0.25">
      <c r="A9150" s="36"/>
      <c r="B9150" s="34"/>
      <c r="G9150" s="31"/>
    </row>
    <row r="9151" spans="1:7" x14ac:dyDescent="0.25">
      <c r="A9151" s="36"/>
      <c r="B9151" s="34"/>
      <c r="G9151" s="31"/>
    </row>
    <row r="9152" spans="1:7" x14ac:dyDescent="0.25">
      <c r="A9152" s="36"/>
      <c r="B9152" s="34"/>
      <c r="G9152" s="31"/>
    </row>
    <row r="9153" spans="1:7" x14ac:dyDescent="0.25">
      <c r="A9153" s="36"/>
      <c r="B9153" s="34"/>
      <c r="G9153" s="31"/>
    </row>
    <row r="9154" spans="1:7" x14ac:dyDescent="0.25">
      <c r="A9154" s="36"/>
      <c r="B9154" s="34"/>
      <c r="G9154" s="31"/>
    </row>
    <row r="9155" spans="1:7" x14ac:dyDescent="0.25">
      <c r="A9155" s="36"/>
      <c r="B9155" s="34"/>
      <c r="G9155" s="31"/>
    </row>
    <row r="9156" spans="1:7" x14ac:dyDescent="0.25">
      <c r="A9156" s="36"/>
      <c r="B9156" s="34"/>
      <c r="G9156" s="31"/>
    </row>
    <row r="9157" spans="1:7" x14ac:dyDescent="0.25">
      <c r="A9157" s="36"/>
      <c r="B9157" s="34"/>
      <c r="G9157" s="31"/>
    </row>
    <row r="9158" spans="1:7" x14ac:dyDescent="0.25">
      <c r="A9158" s="36"/>
      <c r="B9158" s="34"/>
      <c r="G9158" s="31"/>
    </row>
    <row r="9159" spans="1:7" x14ac:dyDescent="0.25">
      <c r="A9159" s="36"/>
      <c r="B9159" s="34"/>
      <c r="G9159" s="31"/>
    </row>
    <row r="9160" spans="1:7" x14ac:dyDescent="0.25">
      <c r="A9160" s="36"/>
      <c r="B9160" s="34"/>
      <c r="G9160" s="31"/>
    </row>
    <row r="9161" spans="1:7" x14ac:dyDescent="0.25">
      <c r="A9161" s="36"/>
      <c r="B9161" s="34"/>
      <c r="G9161" s="31"/>
    </row>
    <row r="9162" spans="1:7" x14ac:dyDescent="0.25">
      <c r="A9162" s="36"/>
      <c r="B9162" s="34"/>
      <c r="G9162" s="31"/>
    </row>
    <row r="9163" spans="1:7" x14ac:dyDescent="0.25">
      <c r="A9163" s="36"/>
      <c r="B9163" s="34"/>
      <c r="G9163" s="31"/>
    </row>
    <row r="9164" spans="1:7" x14ac:dyDescent="0.25">
      <c r="A9164" s="36"/>
      <c r="B9164" s="34"/>
      <c r="G9164" s="31"/>
    </row>
    <row r="9165" spans="1:7" x14ac:dyDescent="0.25">
      <c r="A9165" s="36"/>
      <c r="B9165" s="34"/>
      <c r="G9165" s="31"/>
    </row>
    <row r="9166" spans="1:7" x14ac:dyDescent="0.25">
      <c r="A9166" s="36"/>
      <c r="B9166" s="34"/>
      <c r="G9166" s="31"/>
    </row>
    <row r="9167" spans="1:7" x14ac:dyDescent="0.25">
      <c r="A9167" s="36"/>
      <c r="B9167" s="34"/>
      <c r="G9167" s="31"/>
    </row>
    <row r="9168" spans="1:7" x14ac:dyDescent="0.25">
      <c r="A9168" s="36"/>
      <c r="B9168" s="34"/>
      <c r="G9168" s="31"/>
    </row>
    <row r="9169" spans="1:7" x14ac:dyDescent="0.25">
      <c r="A9169" s="36"/>
      <c r="B9169" s="34"/>
      <c r="G9169" s="31"/>
    </row>
    <row r="9170" spans="1:7" x14ac:dyDescent="0.25">
      <c r="A9170" s="36"/>
      <c r="B9170" s="34"/>
      <c r="G9170" s="31"/>
    </row>
    <row r="9171" spans="1:7" x14ac:dyDescent="0.25">
      <c r="A9171" s="36"/>
      <c r="B9171" s="34"/>
      <c r="G9171" s="31"/>
    </row>
    <row r="9172" spans="1:7" x14ac:dyDescent="0.25">
      <c r="A9172" s="36"/>
      <c r="B9172" s="34"/>
      <c r="G9172" s="31"/>
    </row>
    <row r="9173" spans="1:7" x14ac:dyDescent="0.25">
      <c r="A9173" s="36"/>
      <c r="B9173" s="34"/>
      <c r="G9173" s="31"/>
    </row>
    <row r="9174" spans="1:7" x14ac:dyDescent="0.25">
      <c r="A9174" s="36"/>
      <c r="B9174" s="34"/>
      <c r="G9174" s="31"/>
    </row>
    <row r="9175" spans="1:7" x14ac:dyDescent="0.25">
      <c r="A9175" s="36"/>
      <c r="B9175" s="34"/>
      <c r="G9175" s="31"/>
    </row>
    <row r="9176" spans="1:7" x14ac:dyDescent="0.25">
      <c r="A9176" s="36"/>
      <c r="B9176" s="34"/>
      <c r="G9176" s="31"/>
    </row>
    <row r="9177" spans="1:7" x14ac:dyDescent="0.25">
      <c r="A9177" s="36"/>
      <c r="B9177" s="34"/>
      <c r="G9177" s="31"/>
    </row>
    <row r="9178" spans="1:7" x14ac:dyDescent="0.25">
      <c r="A9178" s="36"/>
      <c r="B9178" s="34"/>
      <c r="G9178" s="31"/>
    </row>
    <row r="9179" spans="1:7" x14ac:dyDescent="0.25">
      <c r="A9179" s="36"/>
      <c r="B9179" s="34"/>
      <c r="G9179" s="31"/>
    </row>
    <row r="9180" spans="1:7" x14ac:dyDescent="0.25">
      <c r="A9180" s="36"/>
      <c r="B9180" s="34"/>
      <c r="G9180" s="31"/>
    </row>
    <row r="9181" spans="1:7" x14ac:dyDescent="0.25">
      <c r="A9181" s="36"/>
      <c r="B9181" s="34"/>
      <c r="G9181" s="31"/>
    </row>
    <row r="9182" spans="1:7" x14ac:dyDescent="0.25">
      <c r="A9182" s="36"/>
      <c r="B9182" s="34"/>
      <c r="G9182" s="31"/>
    </row>
    <row r="9183" spans="1:7" x14ac:dyDescent="0.25">
      <c r="A9183" s="36"/>
      <c r="B9183" s="34"/>
      <c r="G9183" s="31"/>
    </row>
    <row r="9184" spans="1:7" x14ac:dyDescent="0.25">
      <c r="A9184" s="36"/>
      <c r="B9184" s="34"/>
      <c r="G9184" s="31"/>
    </row>
    <row r="9185" spans="1:7" x14ac:dyDescent="0.25">
      <c r="A9185" s="36"/>
      <c r="B9185" s="34"/>
      <c r="G9185" s="31"/>
    </row>
    <row r="9186" spans="1:7" x14ac:dyDescent="0.25">
      <c r="A9186" s="36"/>
      <c r="B9186" s="34"/>
      <c r="G9186" s="31"/>
    </row>
    <row r="9187" spans="1:7" x14ac:dyDescent="0.25">
      <c r="A9187" s="36"/>
      <c r="B9187" s="34"/>
      <c r="G9187" s="31"/>
    </row>
    <row r="9188" spans="1:7" x14ac:dyDescent="0.25">
      <c r="A9188" s="36"/>
      <c r="B9188" s="34"/>
      <c r="G9188" s="31"/>
    </row>
    <row r="9189" spans="1:7" x14ac:dyDescent="0.25">
      <c r="A9189" s="36"/>
      <c r="B9189" s="34"/>
      <c r="G9189" s="31"/>
    </row>
    <row r="9190" spans="1:7" x14ac:dyDescent="0.25">
      <c r="A9190" s="36"/>
      <c r="B9190" s="34"/>
      <c r="G9190" s="31"/>
    </row>
    <row r="9191" spans="1:7" x14ac:dyDescent="0.25">
      <c r="A9191" s="36"/>
      <c r="B9191" s="34"/>
      <c r="G9191" s="31"/>
    </row>
    <row r="9192" spans="1:7" x14ac:dyDescent="0.25">
      <c r="A9192" s="36"/>
      <c r="B9192" s="34"/>
      <c r="G9192" s="31"/>
    </row>
    <row r="9193" spans="1:7" x14ac:dyDescent="0.25">
      <c r="A9193" s="36"/>
      <c r="B9193" s="34"/>
      <c r="G9193" s="31"/>
    </row>
    <row r="9194" spans="1:7" x14ac:dyDescent="0.25">
      <c r="A9194" s="36"/>
      <c r="B9194" s="34"/>
      <c r="G9194" s="31"/>
    </row>
    <row r="9195" spans="1:7" x14ac:dyDescent="0.25">
      <c r="A9195" s="36"/>
      <c r="B9195" s="34"/>
      <c r="G9195" s="31"/>
    </row>
    <row r="9196" spans="1:7" x14ac:dyDescent="0.25">
      <c r="A9196" s="36"/>
      <c r="B9196" s="34"/>
      <c r="G9196" s="31"/>
    </row>
    <row r="9197" spans="1:7" x14ac:dyDescent="0.25">
      <c r="A9197" s="36"/>
      <c r="B9197" s="34"/>
      <c r="G9197" s="31"/>
    </row>
    <row r="9198" spans="1:7" x14ac:dyDescent="0.25">
      <c r="A9198" s="36"/>
      <c r="B9198" s="34"/>
      <c r="G9198" s="31"/>
    </row>
    <row r="9199" spans="1:7" x14ac:dyDescent="0.25">
      <c r="A9199" s="36"/>
      <c r="B9199" s="34"/>
      <c r="G9199" s="31"/>
    </row>
    <row r="9200" spans="1:7" x14ac:dyDescent="0.25">
      <c r="A9200" s="36"/>
      <c r="B9200" s="34"/>
      <c r="G9200" s="31"/>
    </row>
    <row r="9201" spans="1:7" x14ac:dyDescent="0.25">
      <c r="A9201" s="36"/>
      <c r="B9201" s="34"/>
      <c r="G9201" s="31"/>
    </row>
    <row r="9202" spans="1:7" x14ac:dyDescent="0.25">
      <c r="A9202" s="36"/>
      <c r="B9202" s="34"/>
      <c r="G9202" s="31"/>
    </row>
    <row r="9203" spans="1:7" x14ac:dyDescent="0.25">
      <c r="A9203" s="36"/>
      <c r="B9203" s="34"/>
      <c r="G9203" s="31"/>
    </row>
    <row r="9204" spans="1:7" x14ac:dyDescent="0.25">
      <c r="A9204" s="36"/>
      <c r="B9204" s="34"/>
      <c r="G9204" s="31"/>
    </row>
    <row r="9205" spans="1:7" x14ac:dyDescent="0.25">
      <c r="A9205" s="36"/>
      <c r="B9205" s="34"/>
      <c r="G9205" s="31"/>
    </row>
    <row r="9206" spans="1:7" x14ac:dyDescent="0.25">
      <c r="A9206" s="36"/>
      <c r="B9206" s="34"/>
      <c r="G9206" s="31"/>
    </row>
    <row r="9207" spans="1:7" x14ac:dyDescent="0.25">
      <c r="A9207" s="36"/>
      <c r="B9207" s="34"/>
      <c r="G9207" s="31"/>
    </row>
    <row r="9208" spans="1:7" x14ac:dyDescent="0.25">
      <c r="A9208" s="36"/>
      <c r="B9208" s="34"/>
      <c r="G9208" s="31"/>
    </row>
    <row r="9209" spans="1:7" x14ac:dyDescent="0.25">
      <c r="A9209" s="36"/>
      <c r="B9209" s="34"/>
      <c r="G9209" s="31"/>
    </row>
    <row r="9210" spans="1:7" x14ac:dyDescent="0.25">
      <c r="A9210" s="36"/>
      <c r="B9210" s="34"/>
      <c r="G9210" s="31"/>
    </row>
    <row r="9211" spans="1:7" x14ac:dyDescent="0.25">
      <c r="A9211" s="36"/>
      <c r="B9211" s="34"/>
      <c r="G9211" s="31"/>
    </row>
    <row r="9212" spans="1:7" x14ac:dyDescent="0.25">
      <c r="A9212" s="36"/>
      <c r="B9212" s="34"/>
      <c r="G9212" s="31"/>
    </row>
    <row r="9213" spans="1:7" x14ac:dyDescent="0.25">
      <c r="A9213" s="36"/>
      <c r="B9213" s="34"/>
      <c r="G9213" s="31"/>
    </row>
    <row r="9214" spans="1:7" x14ac:dyDescent="0.25">
      <c r="A9214" s="36"/>
      <c r="B9214" s="34"/>
      <c r="G9214" s="31"/>
    </row>
    <row r="9215" spans="1:7" x14ac:dyDescent="0.25">
      <c r="A9215" s="36"/>
      <c r="B9215" s="34"/>
      <c r="G9215" s="31"/>
    </row>
    <row r="9216" spans="1:7" x14ac:dyDescent="0.25">
      <c r="A9216" s="36"/>
      <c r="B9216" s="34"/>
      <c r="G9216" s="31"/>
    </row>
    <row r="9217" spans="1:7" x14ac:dyDescent="0.25">
      <c r="A9217" s="36"/>
      <c r="B9217" s="34"/>
      <c r="G9217" s="31"/>
    </row>
    <row r="9218" spans="1:7" x14ac:dyDescent="0.25">
      <c r="A9218" s="36"/>
      <c r="B9218" s="34"/>
      <c r="G9218" s="31"/>
    </row>
    <row r="9219" spans="1:7" x14ac:dyDescent="0.25">
      <c r="A9219" s="36"/>
      <c r="B9219" s="34"/>
      <c r="G9219" s="31"/>
    </row>
    <row r="9220" spans="1:7" x14ac:dyDescent="0.25">
      <c r="A9220" s="36"/>
      <c r="B9220" s="34"/>
      <c r="G9220" s="31"/>
    </row>
    <row r="9221" spans="1:7" x14ac:dyDescent="0.25">
      <c r="A9221" s="36"/>
      <c r="B9221" s="34"/>
      <c r="G9221" s="31"/>
    </row>
    <row r="9222" spans="1:7" x14ac:dyDescent="0.25">
      <c r="A9222" s="36"/>
      <c r="B9222" s="34"/>
      <c r="G9222" s="31"/>
    </row>
    <row r="9223" spans="1:7" x14ac:dyDescent="0.25">
      <c r="A9223" s="36"/>
      <c r="B9223" s="34"/>
      <c r="G9223" s="31"/>
    </row>
    <row r="9224" spans="1:7" x14ac:dyDescent="0.25">
      <c r="A9224" s="36"/>
      <c r="B9224" s="34"/>
      <c r="G9224" s="31"/>
    </row>
    <row r="9225" spans="1:7" x14ac:dyDescent="0.25">
      <c r="A9225" s="36"/>
      <c r="B9225" s="34"/>
      <c r="G9225" s="31"/>
    </row>
    <row r="9226" spans="1:7" x14ac:dyDescent="0.25">
      <c r="A9226" s="36"/>
      <c r="B9226" s="34"/>
      <c r="G9226" s="31"/>
    </row>
    <row r="9227" spans="1:7" x14ac:dyDescent="0.25">
      <c r="A9227" s="36"/>
      <c r="B9227" s="34"/>
      <c r="G9227" s="31"/>
    </row>
    <row r="9228" spans="1:7" x14ac:dyDescent="0.25">
      <c r="A9228" s="36"/>
      <c r="B9228" s="34"/>
      <c r="G9228" s="31"/>
    </row>
    <row r="9229" spans="1:7" x14ac:dyDescent="0.25">
      <c r="A9229" s="36"/>
      <c r="B9229" s="34"/>
      <c r="G9229" s="31"/>
    </row>
    <row r="9230" spans="1:7" x14ac:dyDescent="0.25">
      <c r="A9230" s="36"/>
      <c r="B9230" s="34"/>
      <c r="G9230" s="31"/>
    </row>
    <row r="9231" spans="1:7" x14ac:dyDescent="0.25">
      <c r="A9231" s="36"/>
      <c r="B9231" s="34"/>
      <c r="G9231" s="31"/>
    </row>
    <row r="9232" spans="1:7" x14ac:dyDescent="0.25">
      <c r="A9232" s="36"/>
      <c r="B9232" s="34"/>
      <c r="G9232" s="31"/>
    </row>
    <row r="9233" spans="1:7" x14ac:dyDescent="0.25">
      <c r="A9233" s="36"/>
      <c r="B9233" s="34"/>
      <c r="G9233" s="31"/>
    </row>
    <row r="9234" spans="1:7" x14ac:dyDescent="0.25">
      <c r="A9234" s="36"/>
      <c r="B9234" s="34"/>
      <c r="G9234" s="31"/>
    </row>
    <row r="9235" spans="1:7" x14ac:dyDescent="0.25">
      <c r="A9235" s="36"/>
      <c r="B9235" s="34"/>
      <c r="G9235" s="31"/>
    </row>
    <row r="9236" spans="1:7" x14ac:dyDescent="0.25">
      <c r="A9236" s="36"/>
      <c r="B9236" s="34"/>
      <c r="G9236" s="31"/>
    </row>
    <row r="9237" spans="1:7" x14ac:dyDescent="0.25">
      <c r="A9237" s="36"/>
      <c r="B9237" s="34"/>
      <c r="G9237" s="31"/>
    </row>
    <row r="9238" spans="1:7" x14ac:dyDescent="0.25">
      <c r="A9238" s="36"/>
      <c r="B9238" s="34"/>
      <c r="G9238" s="31"/>
    </row>
    <row r="9239" spans="1:7" x14ac:dyDescent="0.25">
      <c r="A9239" s="36"/>
      <c r="B9239" s="34"/>
      <c r="G9239" s="31"/>
    </row>
    <row r="9240" spans="1:7" x14ac:dyDescent="0.25">
      <c r="A9240" s="36"/>
      <c r="B9240" s="34"/>
      <c r="G9240" s="31"/>
    </row>
    <row r="9241" spans="1:7" x14ac:dyDescent="0.25">
      <c r="A9241" s="36"/>
      <c r="B9241" s="34"/>
      <c r="G9241" s="31"/>
    </row>
    <row r="9242" spans="1:7" x14ac:dyDescent="0.25">
      <c r="A9242" s="36"/>
      <c r="B9242" s="34"/>
      <c r="G9242" s="31"/>
    </row>
    <row r="9243" spans="1:7" x14ac:dyDescent="0.25">
      <c r="A9243" s="36"/>
      <c r="B9243" s="34"/>
      <c r="G9243" s="31"/>
    </row>
    <row r="9244" spans="1:7" x14ac:dyDescent="0.25">
      <c r="A9244" s="36"/>
      <c r="B9244" s="34"/>
      <c r="G9244" s="31"/>
    </row>
    <row r="9245" spans="1:7" x14ac:dyDescent="0.25">
      <c r="A9245" s="36"/>
      <c r="B9245" s="34"/>
      <c r="G9245" s="31"/>
    </row>
    <row r="9246" spans="1:7" x14ac:dyDescent="0.25">
      <c r="A9246" s="36"/>
      <c r="B9246" s="34"/>
      <c r="G9246" s="31"/>
    </row>
    <row r="9247" spans="1:7" x14ac:dyDescent="0.25">
      <c r="A9247" s="36"/>
      <c r="B9247" s="34"/>
      <c r="G9247" s="31"/>
    </row>
    <row r="9248" spans="1:7" x14ac:dyDescent="0.25">
      <c r="A9248" s="36"/>
      <c r="B9248" s="34"/>
      <c r="G9248" s="31"/>
    </row>
    <row r="9249" spans="1:7" x14ac:dyDescent="0.25">
      <c r="A9249" s="36"/>
      <c r="B9249" s="34"/>
      <c r="G9249" s="31"/>
    </row>
    <row r="9250" spans="1:7" x14ac:dyDescent="0.25">
      <c r="A9250" s="36"/>
      <c r="B9250" s="34"/>
      <c r="G9250" s="31"/>
    </row>
    <row r="9251" spans="1:7" x14ac:dyDescent="0.25">
      <c r="A9251" s="36"/>
      <c r="B9251" s="34"/>
      <c r="G9251" s="31"/>
    </row>
    <row r="9252" spans="1:7" x14ac:dyDescent="0.25">
      <c r="A9252" s="36"/>
      <c r="B9252" s="34"/>
      <c r="G9252" s="31"/>
    </row>
    <row r="9253" spans="1:7" x14ac:dyDescent="0.25">
      <c r="A9253" s="36"/>
      <c r="B9253" s="34"/>
      <c r="G9253" s="31"/>
    </row>
    <row r="9254" spans="1:7" x14ac:dyDescent="0.25">
      <c r="A9254" s="36"/>
      <c r="B9254" s="34"/>
      <c r="G9254" s="31"/>
    </row>
    <row r="9255" spans="1:7" x14ac:dyDescent="0.25">
      <c r="A9255" s="36"/>
      <c r="B9255" s="34"/>
      <c r="G9255" s="31"/>
    </row>
    <row r="9256" spans="1:7" x14ac:dyDescent="0.25">
      <c r="A9256" s="36"/>
      <c r="B9256" s="34"/>
      <c r="G9256" s="31"/>
    </row>
    <row r="9257" spans="1:7" x14ac:dyDescent="0.25">
      <c r="A9257" s="36"/>
      <c r="B9257" s="34"/>
      <c r="G9257" s="31"/>
    </row>
    <row r="9258" spans="1:7" x14ac:dyDescent="0.25">
      <c r="A9258" s="36"/>
      <c r="B9258" s="34"/>
      <c r="G9258" s="31"/>
    </row>
    <row r="9259" spans="1:7" x14ac:dyDescent="0.25">
      <c r="A9259" s="36"/>
      <c r="B9259" s="34"/>
      <c r="G9259" s="31"/>
    </row>
    <row r="9260" spans="1:7" x14ac:dyDescent="0.25">
      <c r="A9260" s="36"/>
      <c r="B9260" s="34"/>
      <c r="G9260" s="31"/>
    </row>
    <row r="9261" spans="1:7" x14ac:dyDescent="0.25">
      <c r="A9261" s="36"/>
      <c r="B9261" s="34"/>
      <c r="G9261" s="31"/>
    </row>
    <row r="9262" spans="1:7" x14ac:dyDescent="0.25">
      <c r="A9262" s="36"/>
      <c r="B9262" s="34"/>
      <c r="G9262" s="31"/>
    </row>
    <row r="9263" spans="1:7" x14ac:dyDescent="0.25">
      <c r="A9263" s="36"/>
      <c r="B9263" s="34"/>
      <c r="G9263" s="31"/>
    </row>
    <row r="9264" spans="1:7" x14ac:dyDescent="0.25">
      <c r="A9264" s="36"/>
      <c r="B9264" s="34"/>
      <c r="G9264" s="31"/>
    </row>
    <row r="9265" spans="1:7" x14ac:dyDescent="0.25">
      <c r="A9265" s="36"/>
      <c r="B9265" s="34"/>
      <c r="G9265" s="31"/>
    </row>
    <row r="9266" spans="1:7" x14ac:dyDescent="0.25">
      <c r="A9266" s="36"/>
      <c r="B9266" s="34"/>
      <c r="G9266" s="31"/>
    </row>
    <row r="9267" spans="1:7" x14ac:dyDescent="0.25">
      <c r="A9267" s="36"/>
      <c r="B9267" s="34"/>
      <c r="G9267" s="31"/>
    </row>
    <row r="9268" spans="1:7" x14ac:dyDescent="0.25">
      <c r="A9268" s="36"/>
      <c r="B9268" s="34"/>
      <c r="G9268" s="31"/>
    </row>
    <row r="9269" spans="1:7" x14ac:dyDescent="0.25">
      <c r="A9269" s="36"/>
      <c r="B9269" s="34"/>
      <c r="G9269" s="31"/>
    </row>
    <row r="9270" spans="1:7" x14ac:dyDescent="0.25">
      <c r="A9270" s="36"/>
      <c r="B9270" s="34"/>
      <c r="G9270" s="31"/>
    </row>
    <row r="9271" spans="1:7" x14ac:dyDescent="0.25">
      <c r="A9271" s="36"/>
      <c r="B9271" s="34"/>
      <c r="G9271" s="31"/>
    </row>
    <row r="9272" spans="1:7" x14ac:dyDescent="0.25">
      <c r="A9272" s="36"/>
      <c r="B9272" s="34"/>
      <c r="G9272" s="31"/>
    </row>
    <row r="9273" spans="1:7" x14ac:dyDescent="0.25">
      <c r="A9273" s="36"/>
      <c r="B9273" s="34"/>
      <c r="G9273" s="31"/>
    </row>
    <row r="9274" spans="1:7" x14ac:dyDescent="0.25">
      <c r="A9274" s="36"/>
      <c r="B9274" s="34"/>
      <c r="G9274" s="31"/>
    </row>
    <row r="9275" spans="1:7" x14ac:dyDescent="0.25">
      <c r="A9275" s="36"/>
      <c r="B9275" s="34"/>
      <c r="G9275" s="31"/>
    </row>
    <row r="9276" spans="1:7" x14ac:dyDescent="0.25">
      <c r="A9276" s="36"/>
      <c r="B9276" s="34"/>
      <c r="G9276" s="31"/>
    </row>
    <row r="9277" spans="1:7" x14ac:dyDescent="0.25">
      <c r="A9277" s="36"/>
      <c r="B9277" s="34"/>
      <c r="G9277" s="31"/>
    </row>
    <row r="9278" spans="1:7" x14ac:dyDescent="0.25">
      <c r="A9278" s="36"/>
      <c r="B9278" s="34"/>
      <c r="G9278" s="31"/>
    </row>
    <row r="9279" spans="1:7" x14ac:dyDescent="0.25">
      <c r="A9279" s="36"/>
      <c r="B9279" s="34"/>
      <c r="G9279" s="31"/>
    </row>
    <row r="9280" spans="1:7" x14ac:dyDescent="0.25">
      <c r="A9280" s="36"/>
      <c r="B9280" s="34"/>
      <c r="G9280" s="31"/>
    </row>
    <row r="9281" spans="1:7" x14ac:dyDescent="0.25">
      <c r="A9281" s="36"/>
      <c r="B9281" s="34"/>
      <c r="G9281" s="31"/>
    </row>
    <row r="9282" spans="1:7" x14ac:dyDescent="0.25">
      <c r="A9282" s="36"/>
      <c r="B9282" s="34"/>
      <c r="G9282" s="31"/>
    </row>
    <row r="9283" spans="1:7" x14ac:dyDescent="0.25">
      <c r="A9283" s="36"/>
      <c r="B9283" s="34"/>
      <c r="G9283" s="31"/>
    </row>
    <row r="9284" spans="1:7" x14ac:dyDescent="0.25">
      <c r="A9284" s="36"/>
      <c r="B9284" s="34"/>
      <c r="G9284" s="31"/>
    </row>
    <row r="9285" spans="1:7" x14ac:dyDescent="0.25">
      <c r="A9285" s="36"/>
      <c r="B9285" s="34"/>
      <c r="G9285" s="31"/>
    </row>
    <row r="9286" spans="1:7" x14ac:dyDescent="0.25">
      <c r="A9286" s="36"/>
      <c r="B9286" s="34"/>
      <c r="G9286" s="31"/>
    </row>
    <row r="9287" spans="1:7" x14ac:dyDescent="0.25">
      <c r="A9287" s="36"/>
      <c r="B9287" s="34"/>
      <c r="G9287" s="31"/>
    </row>
    <row r="9288" spans="1:7" x14ac:dyDescent="0.25">
      <c r="A9288" s="36"/>
      <c r="B9288" s="34"/>
      <c r="G9288" s="31"/>
    </row>
    <row r="9289" spans="1:7" x14ac:dyDescent="0.25">
      <c r="A9289" s="36"/>
      <c r="B9289" s="34"/>
      <c r="G9289" s="31"/>
    </row>
    <row r="9290" spans="1:7" x14ac:dyDescent="0.25">
      <c r="A9290" s="36"/>
      <c r="B9290" s="34"/>
      <c r="G9290" s="31"/>
    </row>
    <row r="9291" spans="1:7" x14ac:dyDescent="0.25">
      <c r="A9291" s="36"/>
      <c r="B9291" s="34"/>
      <c r="G9291" s="31"/>
    </row>
    <row r="9292" spans="1:7" x14ac:dyDescent="0.25">
      <c r="A9292" s="36"/>
      <c r="B9292" s="34"/>
      <c r="G9292" s="31"/>
    </row>
    <row r="9293" spans="1:7" x14ac:dyDescent="0.25">
      <c r="A9293" s="36"/>
      <c r="B9293" s="34"/>
      <c r="G9293" s="31"/>
    </row>
    <row r="9294" spans="1:7" x14ac:dyDescent="0.25">
      <c r="A9294" s="36"/>
      <c r="B9294" s="34"/>
      <c r="G9294" s="31"/>
    </row>
    <row r="9295" spans="1:7" x14ac:dyDescent="0.25">
      <c r="A9295" s="36"/>
      <c r="B9295" s="34"/>
      <c r="G9295" s="31"/>
    </row>
    <row r="9296" spans="1:7" x14ac:dyDescent="0.25">
      <c r="A9296" s="36"/>
      <c r="B9296" s="34"/>
      <c r="G9296" s="31"/>
    </row>
    <row r="9297" spans="1:7" x14ac:dyDescent="0.25">
      <c r="A9297" s="36"/>
      <c r="B9297" s="34"/>
      <c r="G9297" s="31"/>
    </row>
    <row r="9298" spans="1:7" x14ac:dyDescent="0.25">
      <c r="A9298" s="36"/>
      <c r="B9298" s="34"/>
      <c r="G9298" s="31"/>
    </row>
    <row r="9299" spans="1:7" x14ac:dyDescent="0.25">
      <c r="A9299" s="36"/>
      <c r="B9299" s="34"/>
      <c r="G9299" s="31"/>
    </row>
    <row r="9300" spans="1:7" x14ac:dyDescent="0.25">
      <c r="A9300" s="36"/>
      <c r="B9300" s="34"/>
      <c r="G9300" s="31"/>
    </row>
    <row r="9301" spans="1:7" x14ac:dyDescent="0.25">
      <c r="A9301" s="36"/>
      <c r="B9301" s="34"/>
      <c r="G9301" s="31"/>
    </row>
    <row r="9302" spans="1:7" x14ac:dyDescent="0.25">
      <c r="A9302" s="36"/>
      <c r="B9302" s="34"/>
      <c r="G9302" s="31"/>
    </row>
    <row r="9303" spans="1:7" x14ac:dyDescent="0.25">
      <c r="A9303" s="36"/>
      <c r="B9303" s="34"/>
      <c r="G9303" s="31"/>
    </row>
    <row r="9304" spans="1:7" x14ac:dyDescent="0.25">
      <c r="A9304" s="36"/>
      <c r="B9304" s="34"/>
      <c r="G9304" s="31"/>
    </row>
    <row r="9305" spans="1:7" x14ac:dyDescent="0.25">
      <c r="A9305" s="36"/>
      <c r="B9305" s="34"/>
      <c r="G9305" s="31"/>
    </row>
    <row r="9306" spans="1:7" x14ac:dyDescent="0.25">
      <c r="A9306" s="36"/>
      <c r="B9306" s="34"/>
      <c r="G9306" s="31"/>
    </row>
    <row r="9307" spans="1:7" x14ac:dyDescent="0.25">
      <c r="A9307" s="36"/>
      <c r="B9307" s="34"/>
      <c r="G9307" s="31"/>
    </row>
    <row r="9308" spans="1:7" x14ac:dyDescent="0.25">
      <c r="A9308" s="36"/>
      <c r="B9308" s="34"/>
      <c r="G9308" s="31"/>
    </row>
    <row r="9309" spans="1:7" x14ac:dyDescent="0.25">
      <c r="A9309" s="36"/>
      <c r="B9309" s="34"/>
      <c r="G9309" s="31"/>
    </row>
    <row r="9310" spans="1:7" x14ac:dyDescent="0.25">
      <c r="A9310" s="36"/>
      <c r="B9310" s="34"/>
      <c r="G9310" s="31"/>
    </row>
    <row r="9311" spans="1:7" x14ac:dyDescent="0.25">
      <c r="A9311" s="36"/>
      <c r="B9311" s="34"/>
      <c r="G9311" s="31"/>
    </row>
    <row r="9312" spans="1:7" x14ac:dyDescent="0.25">
      <c r="A9312" s="36"/>
      <c r="B9312" s="34"/>
      <c r="G9312" s="31"/>
    </row>
    <row r="9313" spans="1:7" x14ac:dyDescent="0.25">
      <c r="A9313" s="36"/>
      <c r="B9313" s="34"/>
      <c r="G9313" s="31"/>
    </row>
    <row r="9314" spans="1:7" x14ac:dyDescent="0.25">
      <c r="A9314" s="36"/>
      <c r="B9314" s="34"/>
      <c r="G9314" s="31"/>
    </row>
    <row r="9315" spans="1:7" x14ac:dyDescent="0.25">
      <c r="A9315" s="36"/>
      <c r="B9315" s="34"/>
      <c r="G9315" s="31"/>
    </row>
    <row r="9316" spans="1:7" x14ac:dyDescent="0.25">
      <c r="A9316" s="36"/>
      <c r="B9316" s="34"/>
      <c r="G9316" s="31"/>
    </row>
    <row r="9317" spans="1:7" x14ac:dyDescent="0.25">
      <c r="A9317" s="36"/>
      <c r="B9317" s="34"/>
      <c r="G9317" s="31"/>
    </row>
    <row r="9318" spans="1:7" x14ac:dyDescent="0.25">
      <c r="A9318" s="36"/>
      <c r="B9318" s="34"/>
      <c r="G9318" s="31"/>
    </row>
    <row r="9319" spans="1:7" x14ac:dyDescent="0.25">
      <c r="A9319" s="36"/>
      <c r="B9319" s="34"/>
      <c r="G9319" s="31"/>
    </row>
    <row r="9320" spans="1:7" x14ac:dyDescent="0.25">
      <c r="A9320" s="36"/>
      <c r="B9320" s="34"/>
      <c r="G9320" s="31"/>
    </row>
    <row r="9321" spans="1:7" x14ac:dyDescent="0.25">
      <c r="A9321" s="36"/>
      <c r="B9321" s="34"/>
      <c r="G9321" s="31"/>
    </row>
    <row r="9322" spans="1:7" x14ac:dyDescent="0.25">
      <c r="A9322" s="36"/>
      <c r="B9322" s="34"/>
      <c r="G9322" s="31"/>
    </row>
    <row r="9323" spans="1:7" x14ac:dyDescent="0.25">
      <c r="A9323" s="36"/>
      <c r="B9323" s="34"/>
      <c r="G9323" s="31"/>
    </row>
    <row r="9324" spans="1:7" x14ac:dyDescent="0.25">
      <c r="A9324" s="36"/>
      <c r="B9324" s="34"/>
      <c r="G9324" s="31"/>
    </row>
    <row r="9325" spans="1:7" x14ac:dyDescent="0.25">
      <c r="A9325" s="36"/>
      <c r="B9325" s="34"/>
      <c r="G9325" s="31"/>
    </row>
    <row r="9326" spans="1:7" x14ac:dyDescent="0.25">
      <c r="A9326" s="36"/>
      <c r="B9326" s="34"/>
      <c r="G9326" s="31"/>
    </row>
    <row r="9327" spans="1:7" x14ac:dyDescent="0.25">
      <c r="A9327" s="36"/>
      <c r="B9327" s="34"/>
      <c r="G9327" s="31"/>
    </row>
    <row r="9328" spans="1:7" x14ac:dyDescent="0.25">
      <c r="A9328" s="36"/>
      <c r="B9328" s="34"/>
      <c r="G9328" s="31"/>
    </row>
    <row r="9329" spans="1:7" x14ac:dyDescent="0.25">
      <c r="A9329" s="36"/>
      <c r="B9329" s="34"/>
      <c r="G9329" s="31"/>
    </row>
    <row r="9330" spans="1:7" x14ac:dyDescent="0.25">
      <c r="A9330" s="36"/>
      <c r="B9330" s="34"/>
      <c r="G9330" s="31"/>
    </row>
    <row r="9331" spans="1:7" x14ac:dyDescent="0.25">
      <c r="A9331" s="36"/>
      <c r="B9331" s="34"/>
      <c r="G9331" s="31"/>
    </row>
    <row r="9332" spans="1:7" x14ac:dyDescent="0.25">
      <c r="A9332" s="36"/>
      <c r="B9332" s="34"/>
      <c r="G9332" s="31"/>
    </row>
    <row r="9333" spans="1:7" x14ac:dyDescent="0.25">
      <c r="A9333" s="36"/>
      <c r="B9333" s="34"/>
      <c r="G9333" s="31"/>
    </row>
    <row r="9334" spans="1:7" x14ac:dyDescent="0.25">
      <c r="A9334" s="36"/>
      <c r="B9334" s="34"/>
      <c r="G9334" s="31"/>
    </row>
    <row r="9335" spans="1:7" x14ac:dyDescent="0.25">
      <c r="A9335" s="36"/>
      <c r="B9335" s="34"/>
      <c r="G9335" s="31"/>
    </row>
    <row r="9336" spans="1:7" x14ac:dyDescent="0.25">
      <c r="A9336" s="36"/>
      <c r="B9336" s="34"/>
      <c r="G9336" s="31"/>
    </row>
    <row r="9337" spans="1:7" x14ac:dyDescent="0.25">
      <c r="A9337" s="36"/>
      <c r="B9337" s="34"/>
      <c r="G9337" s="31"/>
    </row>
    <row r="9338" spans="1:7" x14ac:dyDescent="0.25">
      <c r="A9338" s="36"/>
      <c r="B9338" s="34"/>
      <c r="G9338" s="31"/>
    </row>
    <row r="9339" spans="1:7" x14ac:dyDescent="0.25">
      <c r="A9339" s="36"/>
      <c r="B9339" s="34"/>
      <c r="G9339" s="31"/>
    </row>
    <row r="9340" spans="1:7" x14ac:dyDescent="0.25">
      <c r="A9340" s="36"/>
      <c r="B9340" s="34"/>
      <c r="G9340" s="31"/>
    </row>
    <row r="9341" spans="1:7" x14ac:dyDescent="0.25">
      <c r="A9341" s="36"/>
      <c r="B9341" s="34"/>
      <c r="G9341" s="31"/>
    </row>
    <row r="9342" spans="1:7" x14ac:dyDescent="0.25">
      <c r="A9342" s="36"/>
      <c r="B9342" s="34"/>
      <c r="G9342" s="31"/>
    </row>
    <row r="9343" spans="1:7" x14ac:dyDescent="0.25">
      <c r="A9343" s="36"/>
      <c r="B9343" s="34"/>
      <c r="G9343" s="31"/>
    </row>
    <row r="9344" spans="1:7" x14ac:dyDescent="0.25">
      <c r="A9344" s="36"/>
      <c r="B9344" s="34"/>
      <c r="G9344" s="31"/>
    </row>
    <row r="9345" spans="1:7" x14ac:dyDescent="0.25">
      <c r="A9345" s="36"/>
      <c r="B9345" s="34"/>
      <c r="G9345" s="31"/>
    </row>
    <row r="9346" spans="1:7" x14ac:dyDescent="0.25">
      <c r="A9346" s="36"/>
      <c r="B9346" s="34"/>
      <c r="G9346" s="31"/>
    </row>
    <row r="9347" spans="1:7" x14ac:dyDescent="0.25">
      <c r="A9347" s="36"/>
      <c r="B9347" s="34"/>
      <c r="G9347" s="31"/>
    </row>
    <row r="9348" spans="1:7" x14ac:dyDescent="0.25">
      <c r="A9348" s="36"/>
      <c r="B9348" s="34"/>
      <c r="G9348" s="31"/>
    </row>
    <row r="9349" spans="1:7" x14ac:dyDescent="0.25">
      <c r="A9349" s="36"/>
      <c r="B9349" s="34"/>
      <c r="G9349" s="31"/>
    </row>
    <row r="9350" spans="1:7" x14ac:dyDescent="0.25">
      <c r="A9350" s="36"/>
      <c r="B9350" s="34"/>
      <c r="G9350" s="31"/>
    </row>
    <row r="9351" spans="1:7" x14ac:dyDescent="0.25">
      <c r="A9351" s="36"/>
      <c r="B9351" s="34"/>
      <c r="G9351" s="31"/>
    </row>
    <row r="9352" spans="1:7" x14ac:dyDescent="0.25">
      <c r="A9352" s="36"/>
      <c r="B9352" s="34"/>
      <c r="G9352" s="31"/>
    </row>
    <row r="9353" spans="1:7" x14ac:dyDescent="0.25">
      <c r="A9353" s="36"/>
      <c r="B9353" s="34"/>
      <c r="G9353" s="31"/>
    </row>
    <row r="9354" spans="1:7" x14ac:dyDescent="0.25">
      <c r="A9354" s="36"/>
      <c r="B9354" s="34"/>
      <c r="G9354" s="31"/>
    </row>
    <row r="9355" spans="1:7" x14ac:dyDescent="0.25">
      <c r="A9355" s="36"/>
      <c r="B9355" s="34"/>
      <c r="G9355" s="31"/>
    </row>
    <row r="9356" spans="1:7" x14ac:dyDescent="0.25">
      <c r="A9356" s="36"/>
      <c r="B9356" s="34"/>
      <c r="G9356" s="31"/>
    </row>
    <row r="9357" spans="1:7" x14ac:dyDescent="0.25">
      <c r="A9357" s="36"/>
      <c r="B9357" s="34"/>
      <c r="G9357" s="31"/>
    </row>
    <row r="9358" spans="1:7" x14ac:dyDescent="0.25">
      <c r="A9358" s="36"/>
      <c r="B9358" s="34"/>
      <c r="G9358" s="31"/>
    </row>
    <row r="9359" spans="1:7" x14ac:dyDescent="0.25">
      <c r="A9359" s="36"/>
      <c r="B9359" s="34"/>
      <c r="G9359" s="31"/>
    </row>
    <row r="9360" spans="1:7" x14ac:dyDescent="0.25">
      <c r="A9360" s="36"/>
      <c r="B9360" s="34"/>
      <c r="G9360" s="31"/>
    </row>
    <row r="9361" spans="1:7" x14ac:dyDescent="0.25">
      <c r="A9361" s="36"/>
      <c r="B9361" s="34"/>
      <c r="G9361" s="31"/>
    </row>
    <row r="9362" spans="1:7" x14ac:dyDescent="0.25">
      <c r="A9362" s="36"/>
      <c r="B9362" s="34"/>
      <c r="G9362" s="31"/>
    </row>
    <row r="9363" spans="1:7" x14ac:dyDescent="0.25">
      <c r="A9363" s="36"/>
      <c r="B9363" s="34"/>
      <c r="G9363" s="31"/>
    </row>
    <row r="9364" spans="1:7" x14ac:dyDescent="0.25">
      <c r="A9364" s="36"/>
      <c r="B9364" s="34"/>
      <c r="G9364" s="31"/>
    </row>
    <row r="9365" spans="1:7" x14ac:dyDescent="0.25">
      <c r="A9365" s="36"/>
      <c r="B9365" s="34"/>
      <c r="G9365" s="31"/>
    </row>
    <row r="9366" spans="1:7" x14ac:dyDescent="0.25">
      <c r="A9366" s="36"/>
      <c r="B9366" s="34"/>
      <c r="G9366" s="31"/>
    </row>
    <row r="9367" spans="1:7" x14ac:dyDescent="0.25">
      <c r="A9367" s="36"/>
      <c r="B9367" s="34"/>
      <c r="G9367" s="31"/>
    </row>
    <row r="9368" spans="1:7" x14ac:dyDescent="0.25">
      <c r="A9368" s="36"/>
      <c r="B9368" s="34"/>
      <c r="G9368" s="31"/>
    </row>
    <row r="9369" spans="1:7" x14ac:dyDescent="0.25">
      <c r="A9369" s="36"/>
      <c r="B9369" s="34"/>
      <c r="G9369" s="31"/>
    </row>
    <row r="9370" spans="1:7" x14ac:dyDescent="0.25">
      <c r="A9370" s="36"/>
      <c r="B9370" s="34"/>
      <c r="G9370" s="31"/>
    </row>
    <row r="9371" spans="1:7" x14ac:dyDescent="0.25">
      <c r="A9371" s="36"/>
      <c r="B9371" s="34"/>
      <c r="G9371" s="31"/>
    </row>
    <row r="9372" spans="1:7" x14ac:dyDescent="0.25">
      <c r="A9372" s="36"/>
      <c r="B9372" s="34"/>
      <c r="G9372" s="31"/>
    </row>
    <row r="9373" spans="1:7" x14ac:dyDescent="0.25">
      <c r="A9373" s="36"/>
      <c r="B9373" s="34"/>
      <c r="G9373" s="31"/>
    </row>
    <row r="9374" spans="1:7" x14ac:dyDescent="0.25">
      <c r="A9374" s="36"/>
      <c r="B9374" s="34"/>
      <c r="G9374" s="31"/>
    </row>
    <row r="9375" spans="1:7" x14ac:dyDescent="0.25">
      <c r="A9375" s="36"/>
      <c r="B9375" s="34"/>
      <c r="G9375" s="31"/>
    </row>
    <row r="9376" spans="1:7" x14ac:dyDescent="0.25">
      <c r="A9376" s="36"/>
      <c r="B9376" s="34"/>
      <c r="G9376" s="31"/>
    </row>
    <row r="9377" spans="1:7" x14ac:dyDescent="0.25">
      <c r="A9377" s="36"/>
      <c r="B9377" s="34"/>
      <c r="G9377" s="31"/>
    </row>
    <row r="9378" spans="1:7" x14ac:dyDescent="0.25">
      <c r="A9378" s="36"/>
      <c r="B9378" s="34"/>
      <c r="G9378" s="31"/>
    </row>
    <row r="9379" spans="1:7" x14ac:dyDescent="0.25">
      <c r="A9379" s="36"/>
      <c r="B9379" s="34"/>
      <c r="G9379" s="31"/>
    </row>
    <row r="9380" spans="1:7" x14ac:dyDescent="0.25">
      <c r="A9380" s="36"/>
      <c r="B9380" s="34"/>
      <c r="G9380" s="31"/>
    </row>
    <row r="9381" spans="1:7" x14ac:dyDescent="0.25">
      <c r="A9381" s="36"/>
      <c r="B9381" s="34"/>
      <c r="G9381" s="31"/>
    </row>
    <row r="9382" spans="1:7" x14ac:dyDescent="0.25">
      <c r="A9382" s="36"/>
      <c r="B9382" s="34"/>
      <c r="G9382" s="31"/>
    </row>
    <row r="9383" spans="1:7" x14ac:dyDescent="0.25">
      <c r="A9383" s="36"/>
      <c r="B9383" s="34"/>
      <c r="G9383" s="31"/>
    </row>
    <row r="9384" spans="1:7" x14ac:dyDescent="0.25">
      <c r="A9384" s="36"/>
      <c r="B9384" s="34"/>
      <c r="G9384" s="31"/>
    </row>
    <row r="9385" spans="1:7" x14ac:dyDescent="0.25">
      <c r="A9385" s="36"/>
      <c r="B9385" s="34"/>
      <c r="G9385" s="31"/>
    </row>
    <row r="9386" spans="1:7" x14ac:dyDescent="0.25">
      <c r="A9386" s="36"/>
      <c r="B9386" s="34"/>
      <c r="G9386" s="31"/>
    </row>
    <row r="9387" spans="1:7" x14ac:dyDescent="0.25">
      <c r="A9387" s="36"/>
      <c r="B9387" s="34"/>
      <c r="G9387" s="31"/>
    </row>
    <row r="9388" spans="1:7" x14ac:dyDescent="0.25">
      <c r="A9388" s="36"/>
      <c r="B9388" s="34"/>
      <c r="G9388" s="31"/>
    </row>
    <row r="9389" spans="1:7" x14ac:dyDescent="0.25">
      <c r="A9389" s="36"/>
      <c r="B9389" s="34"/>
      <c r="G9389" s="31"/>
    </row>
    <row r="9390" spans="1:7" x14ac:dyDescent="0.25">
      <c r="A9390" s="36"/>
      <c r="B9390" s="34"/>
      <c r="G9390" s="31"/>
    </row>
    <row r="9391" spans="1:7" x14ac:dyDescent="0.25">
      <c r="A9391" s="36"/>
      <c r="B9391" s="34"/>
      <c r="G9391" s="31"/>
    </row>
    <row r="9392" spans="1:7" x14ac:dyDescent="0.25">
      <c r="A9392" s="36"/>
      <c r="B9392" s="34"/>
      <c r="G9392" s="31"/>
    </row>
    <row r="9393" spans="1:7" x14ac:dyDescent="0.25">
      <c r="A9393" s="36"/>
      <c r="B9393" s="34"/>
      <c r="G9393" s="31"/>
    </row>
    <row r="9394" spans="1:7" x14ac:dyDescent="0.25">
      <c r="A9394" s="36"/>
      <c r="B9394" s="34"/>
      <c r="G9394" s="31"/>
    </row>
    <row r="9395" spans="1:7" x14ac:dyDescent="0.25">
      <c r="A9395" s="36"/>
      <c r="B9395" s="34"/>
      <c r="G9395" s="31"/>
    </row>
    <row r="9396" spans="1:7" x14ac:dyDescent="0.25">
      <c r="A9396" s="36"/>
      <c r="B9396" s="34"/>
      <c r="G9396" s="31"/>
    </row>
    <row r="9397" spans="1:7" x14ac:dyDescent="0.25">
      <c r="A9397" s="36"/>
      <c r="B9397" s="34"/>
      <c r="G9397" s="31"/>
    </row>
    <row r="9398" spans="1:7" x14ac:dyDescent="0.25">
      <c r="A9398" s="36"/>
      <c r="B9398" s="34"/>
      <c r="G9398" s="31"/>
    </row>
    <row r="9399" spans="1:7" x14ac:dyDescent="0.25">
      <c r="A9399" s="36"/>
      <c r="B9399" s="34"/>
      <c r="G9399" s="31"/>
    </row>
    <row r="9400" spans="1:7" x14ac:dyDescent="0.25">
      <c r="A9400" s="36"/>
      <c r="B9400" s="34"/>
      <c r="G9400" s="31"/>
    </row>
    <row r="9401" spans="1:7" x14ac:dyDescent="0.25">
      <c r="A9401" s="36"/>
      <c r="B9401" s="34"/>
      <c r="G9401" s="31"/>
    </row>
    <row r="9402" spans="1:7" x14ac:dyDescent="0.25">
      <c r="A9402" s="36"/>
      <c r="B9402" s="34"/>
      <c r="G9402" s="31"/>
    </row>
    <row r="9403" spans="1:7" x14ac:dyDescent="0.25">
      <c r="A9403" s="36"/>
      <c r="B9403" s="34"/>
      <c r="G9403" s="31"/>
    </row>
    <row r="9404" spans="1:7" x14ac:dyDescent="0.25">
      <c r="A9404" s="36"/>
      <c r="B9404" s="34"/>
      <c r="G9404" s="31"/>
    </row>
    <row r="9405" spans="1:7" x14ac:dyDescent="0.25">
      <c r="A9405" s="36"/>
      <c r="B9405" s="34"/>
      <c r="G9405" s="31"/>
    </row>
    <row r="9406" spans="1:7" x14ac:dyDescent="0.25">
      <c r="A9406" s="36"/>
      <c r="B9406" s="34"/>
      <c r="G9406" s="31"/>
    </row>
    <row r="9407" spans="1:7" x14ac:dyDescent="0.25">
      <c r="A9407" s="36"/>
      <c r="B9407" s="34"/>
      <c r="G9407" s="31"/>
    </row>
    <row r="9408" spans="1:7" x14ac:dyDescent="0.25">
      <c r="A9408" s="36"/>
      <c r="B9408" s="34"/>
      <c r="G9408" s="31"/>
    </row>
    <row r="9409" spans="1:7" x14ac:dyDescent="0.25">
      <c r="A9409" s="36"/>
      <c r="B9409" s="34"/>
      <c r="G9409" s="31"/>
    </row>
    <row r="9410" spans="1:7" x14ac:dyDescent="0.25">
      <c r="A9410" s="36"/>
      <c r="B9410" s="34"/>
      <c r="G9410" s="31"/>
    </row>
    <row r="9411" spans="1:7" x14ac:dyDescent="0.25">
      <c r="A9411" s="36"/>
      <c r="B9411" s="34"/>
      <c r="G9411" s="31"/>
    </row>
    <row r="9412" spans="1:7" x14ac:dyDescent="0.25">
      <c r="A9412" s="36"/>
      <c r="B9412" s="34"/>
      <c r="G9412" s="31"/>
    </row>
    <row r="9413" spans="1:7" x14ac:dyDescent="0.25">
      <c r="A9413" s="36"/>
      <c r="B9413" s="34"/>
      <c r="G9413" s="31"/>
    </row>
    <row r="9414" spans="1:7" x14ac:dyDescent="0.25">
      <c r="A9414" s="36"/>
      <c r="B9414" s="34"/>
      <c r="G9414" s="31"/>
    </row>
    <row r="9415" spans="1:7" x14ac:dyDescent="0.25">
      <c r="A9415" s="36"/>
      <c r="B9415" s="34"/>
      <c r="G9415" s="31"/>
    </row>
    <row r="9416" spans="1:7" x14ac:dyDescent="0.25">
      <c r="A9416" s="36"/>
      <c r="B9416" s="34"/>
      <c r="G9416" s="31"/>
    </row>
    <row r="9417" spans="1:7" x14ac:dyDescent="0.25">
      <c r="A9417" s="36"/>
      <c r="B9417" s="34"/>
      <c r="G9417" s="31"/>
    </row>
    <row r="9418" spans="1:7" x14ac:dyDescent="0.25">
      <c r="A9418" s="36"/>
      <c r="B9418" s="34"/>
      <c r="G9418" s="31"/>
    </row>
    <row r="9419" spans="1:7" x14ac:dyDescent="0.25">
      <c r="A9419" s="36"/>
      <c r="B9419" s="34"/>
      <c r="G9419" s="31"/>
    </row>
    <row r="9420" spans="1:7" x14ac:dyDescent="0.25">
      <c r="A9420" s="36"/>
      <c r="B9420" s="34"/>
      <c r="G9420" s="31"/>
    </row>
    <row r="9421" spans="1:7" x14ac:dyDescent="0.25">
      <c r="A9421" s="36"/>
      <c r="B9421" s="34"/>
      <c r="G9421" s="31"/>
    </row>
    <row r="9422" spans="1:7" x14ac:dyDescent="0.25">
      <c r="A9422" s="36"/>
      <c r="B9422" s="34"/>
      <c r="G9422" s="31"/>
    </row>
    <row r="9423" spans="1:7" x14ac:dyDescent="0.25">
      <c r="A9423" s="36"/>
      <c r="B9423" s="34"/>
      <c r="G9423" s="31"/>
    </row>
    <row r="9424" spans="1:7" x14ac:dyDescent="0.25">
      <c r="A9424" s="36"/>
      <c r="B9424" s="34"/>
      <c r="G9424" s="31"/>
    </row>
    <row r="9425" spans="1:7" x14ac:dyDescent="0.25">
      <c r="A9425" s="36"/>
      <c r="B9425" s="34"/>
      <c r="G9425" s="31"/>
    </row>
    <row r="9426" spans="1:7" x14ac:dyDescent="0.25">
      <c r="A9426" s="36"/>
      <c r="B9426" s="34"/>
      <c r="G9426" s="31"/>
    </row>
    <row r="9427" spans="1:7" x14ac:dyDescent="0.25">
      <c r="A9427" s="36"/>
      <c r="B9427" s="34"/>
      <c r="G9427" s="31"/>
    </row>
    <row r="9428" spans="1:7" x14ac:dyDescent="0.25">
      <c r="A9428" s="36"/>
      <c r="B9428" s="34"/>
      <c r="G9428" s="31"/>
    </row>
    <row r="9429" spans="1:7" x14ac:dyDescent="0.25">
      <c r="A9429" s="36"/>
      <c r="B9429" s="34"/>
      <c r="G9429" s="31"/>
    </row>
    <row r="9430" spans="1:7" x14ac:dyDescent="0.25">
      <c r="A9430" s="36"/>
      <c r="B9430" s="34"/>
      <c r="G9430" s="31"/>
    </row>
    <row r="9431" spans="1:7" x14ac:dyDescent="0.25">
      <c r="A9431" s="36"/>
      <c r="B9431" s="34"/>
      <c r="G9431" s="31"/>
    </row>
    <row r="9432" spans="1:7" x14ac:dyDescent="0.25">
      <c r="A9432" s="36"/>
      <c r="B9432" s="34"/>
      <c r="G9432" s="31"/>
    </row>
    <row r="9433" spans="1:7" x14ac:dyDescent="0.25">
      <c r="A9433" s="36"/>
      <c r="B9433" s="34"/>
      <c r="G9433" s="31"/>
    </row>
    <row r="9434" spans="1:7" x14ac:dyDescent="0.25">
      <c r="A9434" s="36"/>
      <c r="B9434" s="34"/>
      <c r="G9434" s="31"/>
    </row>
    <row r="9435" spans="1:7" x14ac:dyDescent="0.25">
      <c r="A9435" s="36"/>
      <c r="B9435" s="34"/>
      <c r="G9435" s="31"/>
    </row>
    <row r="9436" spans="1:7" x14ac:dyDescent="0.25">
      <c r="A9436" s="36"/>
      <c r="B9436" s="34"/>
      <c r="G9436" s="31"/>
    </row>
    <row r="9437" spans="1:7" x14ac:dyDescent="0.25">
      <c r="A9437" s="36"/>
      <c r="B9437" s="34"/>
      <c r="G9437" s="31"/>
    </row>
    <row r="9438" spans="1:7" x14ac:dyDescent="0.25">
      <c r="A9438" s="36"/>
      <c r="B9438" s="34"/>
      <c r="G9438" s="31"/>
    </row>
    <row r="9439" spans="1:7" x14ac:dyDescent="0.25">
      <c r="A9439" s="36"/>
      <c r="B9439" s="34"/>
      <c r="G9439" s="31"/>
    </row>
    <row r="9440" spans="1:7" x14ac:dyDescent="0.25">
      <c r="A9440" s="36"/>
      <c r="B9440" s="34"/>
      <c r="G9440" s="31"/>
    </row>
    <row r="9441" spans="1:7" x14ac:dyDescent="0.25">
      <c r="A9441" s="36"/>
      <c r="B9441" s="34"/>
      <c r="G9441" s="31"/>
    </row>
    <row r="9442" spans="1:7" x14ac:dyDescent="0.25">
      <c r="A9442" s="36"/>
      <c r="B9442" s="34"/>
      <c r="G9442" s="31"/>
    </row>
    <row r="9443" spans="1:7" x14ac:dyDescent="0.25">
      <c r="A9443" s="36"/>
      <c r="B9443" s="34"/>
      <c r="G9443" s="31"/>
    </row>
    <row r="9444" spans="1:7" x14ac:dyDescent="0.25">
      <c r="A9444" s="36"/>
      <c r="B9444" s="34"/>
      <c r="G9444" s="31"/>
    </row>
    <row r="9445" spans="1:7" x14ac:dyDescent="0.25">
      <c r="A9445" s="36"/>
      <c r="B9445" s="34"/>
      <c r="G9445" s="31"/>
    </row>
    <row r="9446" spans="1:7" x14ac:dyDescent="0.25">
      <c r="A9446" s="36"/>
      <c r="B9446" s="34"/>
      <c r="G9446" s="31"/>
    </row>
    <row r="9447" spans="1:7" x14ac:dyDescent="0.25">
      <c r="A9447" s="36"/>
      <c r="B9447" s="34"/>
      <c r="G9447" s="31"/>
    </row>
    <row r="9448" spans="1:7" x14ac:dyDescent="0.25">
      <c r="A9448" s="36"/>
      <c r="B9448" s="34"/>
      <c r="G9448" s="31"/>
    </row>
    <row r="9449" spans="1:7" x14ac:dyDescent="0.25">
      <c r="A9449" s="36"/>
      <c r="B9449" s="34"/>
      <c r="G9449" s="31"/>
    </row>
    <row r="9450" spans="1:7" x14ac:dyDescent="0.25">
      <c r="A9450" s="36"/>
      <c r="B9450" s="34"/>
      <c r="G9450" s="31"/>
    </row>
    <row r="9451" spans="1:7" x14ac:dyDescent="0.25">
      <c r="A9451" s="36"/>
      <c r="B9451" s="34"/>
      <c r="G9451" s="31"/>
    </row>
    <row r="9452" spans="1:7" x14ac:dyDescent="0.25">
      <c r="A9452" s="36"/>
      <c r="B9452" s="34"/>
      <c r="G9452" s="31"/>
    </row>
    <row r="9453" spans="1:7" x14ac:dyDescent="0.25">
      <c r="A9453" s="36"/>
      <c r="B9453" s="34"/>
      <c r="G9453" s="31"/>
    </row>
    <row r="9454" spans="1:7" x14ac:dyDescent="0.25">
      <c r="A9454" s="36"/>
      <c r="B9454" s="34"/>
      <c r="G9454" s="31"/>
    </row>
    <row r="9455" spans="1:7" x14ac:dyDescent="0.25">
      <c r="A9455" s="36"/>
      <c r="B9455" s="34"/>
      <c r="G9455" s="31"/>
    </row>
    <row r="9456" spans="1:7" x14ac:dyDescent="0.25">
      <c r="A9456" s="36"/>
      <c r="B9456" s="34"/>
      <c r="G9456" s="31"/>
    </row>
    <row r="9457" spans="1:7" x14ac:dyDescent="0.25">
      <c r="A9457" s="36"/>
      <c r="B9457" s="34"/>
      <c r="G9457" s="31"/>
    </row>
    <row r="9458" spans="1:7" x14ac:dyDescent="0.25">
      <c r="A9458" s="36"/>
      <c r="B9458" s="34"/>
      <c r="G9458" s="31"/>
    </row>
    <row r="9459" spans="1:7" x14ac:dyDescent="0.25">
      <c r="A9459" s="36"/>
      <c r="B9459" s="34"/>
      <c r="G9459" s="31"/>
    </row>
    <row r="9460" spans="1:7" x14ac:dyDescent="0.25">
      <c r="A9460" s="36"/>
      <c r="B9460" s="34"/>
      <c r="G9460" s="31"/>
    </row>
    <row r="9461" spans="1:7" x14ac:dyDescent="0.25">
      <c r="A9461" s="36"/>
      <c r="B9461" s="34"/>
      <c r="G9461" s="31"/>
    </row>
    <row r="9462" spans="1:7" x14ac:dyDescent="0.25">
      <c r="A9462" s="36"/>
      <c r="B9462" s="34"/>
      <c r="G9462" s="31"/>
    </row>
    <row r="9463" spans="1:7" x14ac:dyDescent="0.25">
      <c r="A9463" s="36"/>
      <c r="B9463" s="34"/>
      <c r="G9463" s="31"/>
    </row>
    <row r="9464" spans="1:7" x14ac:dyDescent="0.25">
      <c r="A9464" s="36"/>
      <c r="B9464" s="34"/>
      <c r="G9464" s="31"/>
    </row>
    <row r="9465" spans="1:7" x14ac:dyDescent="0.25">
      <c r="A9465" s="36"/>
      <c r="B9465" s="34"/>
      <c r="G9465" s="31"/>
    </row>
    <row r="9466" spans="1:7" x14ac:dyDescent="0.25">
      <c r="A9466" s="36"/>
      <c r="B9466" s="34"/>
      <c r="G9466" s="31"/>
    </row>
    <row r="9467" spans="1:7" x14ac:dyDescent="0.25">
      <c r="A9467" s="36"/>
      <c r="B9467" s="34"/>
      <c r="G9467" s="31"/>
    </row>
    <row r="9468" spans="1:7" x14ac:dyDescent="0.25">
      <c r="A9468" s="36"/>
      <c r="B9468" s="34"/>
      <c r="G9468" s="31"/>
    </row>
    <row r="9469" spans="1:7" x14ac:dyDescent="0.25">
      <c r="A9469" s="36"/>
      <c r="B9469" s="34"/>
      <c r="G9469" s="31"/>
    </row>
    <row r="9470" spans="1:7" x14ac:dyDescent="0.25">
      <c r="A9470" s="36"/>
      <c r="B9470" s="34"/>
      <c r="G9470" s="31"/>
    </row>
    <row r="9471" spans="1:7" x14ac:dyDescent="0.25">
      <c r="A9471" s="36"/>
      <c r="B9471" s="34"/>
      <c r="G9471" s="31"/>
    </row>
    <row r="9472" spans="1:7" x14ac:dyDescent="0.25">
      <c r="A9472" s="36"/>
      <c r="B9472" s="34"/>
      <c r="G9472" s="31"/>
    </row>
    <row r="9473" spans="1:7" x14ac:dyDescent="0.25">
      <c r="A9473" s="36"/>
      <c r="B9473" s="34"/>
      <c r="G9473" s="31"/>
    </row>
    <row r="9474" spans="1:7" x14ac:dyDescent="0.25">
      <c r="A9474" s="36"/>
      <c r="B9474" s="34"/>
      <c r="G9474" s="31"/>
    </row>
    <row r="9475" spans="1:7" x14ac:dyDescent="0.25">
      <c r="A9475" s="36"/>
      <c r="B9475" s="34"/>
      <c r="G9475" s="31"/>
    </row>
    <row r="9476" spans="1:7" x14ac:dyDescent="0.25">
      <c r="A9476" s="36"/>
      <c r="B9476" s="34"/>
      <c r="G9476" s="31"/>
    </row>
    <row r="9477" spans="1:7" x14ac:dyDescent="0.25">
      <c r="A9477" s="36"/>
      <c r="B9477" s="34"/>
      <c r="G9477" s="31"/>
    </row>
    <row r="9478" spans="1:7" x14ac:dyDescent="0.25">
      <c r="A9478" s="36"/>
      <c r="B9478" s="34"/>
      <c r="G9478" s="31"/>
    </row>
    <row r="9479" spans="1:7" x14ac:dyDescent="0.25">
      <c r="A9479" s="36"/>
      <c r="B9479" s="34"/>
      <c r="G9479" s="31"/>
    </row>
    <row r="9480" spans="1:7" x14ac:dyDescent="0.25">
      <c r="A9480" s="36"/>
      <c r="B9480" s="34"/>
      <c r="G9480" s="31"/>
    </row>
    <row r="9481" spans="1:7" x14ac:dyDescent="0.25">
      <c r="A9481" s="36"/>
      <c r="B9481" s="34"/>
      <c r="G9481" s="31"/>
    </row>
    <row r="9482" spans="1:7" x14ac:dyDescent="0.25">
      <c r="A9482" s="36"/>
      <c r="B9482" s="34"/>
      <c r="G9482" s="31"/>
    </row>
    <row r="9483" spans="1:7" x14ac:dyDescent="0.25">
      <c r="A9483" s="36"/>
      <c r="B9483" s="34"/>
      <c r="G9483" s="31"/>
    </row>
    <row r="9484" spans="1:7" x14ac:dyDescent="0.25">
      <c r="A9484" s="36"/>
      <c r="B9484" s="34"/>
      <c r="G9484" s="31"/>
    </row>
    <row r="9485" spans="1:7" x14ac:dyDescent="0.25">
      <c r="A9485" s="36"/>
      <c r="B9485" s="34"/>
      <c r="G9485" s="31"/>
    </row>
    <row r="9486" spans="1:7" x14ac:dyDescent="0.25">
      <c r="A9486" s="36"/>
      <c r="B9486" s="34"/>
      <c r="G9486" s="31"/>
    </row>
    <row r="9487" spans="1:7" x14ac:dyDescent="0.25">
      <c r="A9487" s="36"/>
      <c r="B9487" s="34"/>
      <c r="G9487" s="31"/>
    </row>
    <row r="9488" spans="1:7" x14ac:dyDescent="0.25">
      <c r="A9488" s="36"/>
      <c r="B9488" s="34"/>
      <c r="G9488" s="31"/>
    </row>
    <row r="9489" spans="1:7" x14ac:dyDescent="0.25">
      <c r="A9489" s="36"/>
      <c r="B9489" s="34"/>
      <c r="G9489" s="31"/>
    </row>
    <row r="9490" spans="1:7" x14ac:dyDescent="0.25">
      <c r="A9490" s="36"/>
      <c r="B9490" s="34"/>
      <c r="G9490" s="31"/>
    </row>
    <row r="9491" spans="1:7" x14ac:dyDescent="0.25">
      <c r="A9491" s="36"/>
      <c r="B9491" s="34"/>
      <c r="G9491" s="31"/>
    </row>
    <row r="9492" spans="1:7" x14ac:dyDescent="0.25">
      <c r="A9492" s="36"/>
      <c r="B9492" s="34"/>
      <c r="G9492" s="31"/>
    </row>
    <row r="9493" spans="1:7" x14ac:dyDescent="0.25">
      <c r="A9493" s="36"/>
      <c r="B9493" s="34"/>
      <c r="G9493" s="31"/>
    </row>
    <row r="9494" spans="1:7" x14ac:dyDescent="0.25">
      <c r="A9494" s="36"/>
      <c r="B9494" s="34"/>
      <c r="G9494" s="31"/>
    </row>
    <row r="9495" spans="1:7" x14ac:dyDescent="0.25">
      <c r="A9495" s="36"/>
      <c r="B9495" s="34"/>
      <c r="G9495" s="31"/>
    </row>
    <row r="9496" spans="1:7" x14ac:dyDescent="0.25">
      <c r="A9496" s="36"/>
      <c r="B9496" s="34"/>
      <c r="G9496" s="31"/>
    </row>
    <row r="9497" spans="1:7" x14ac:dyDescent="0.25">
      <c r="A9497" s="36"/>
      <c r="B9497" s="34"/>
      <c r="G9497" s="31"/>
    </row>
    <row r="9498" spans="1:7" x14ac:dyDescent="0.25">
      <c r="A9498" s="36"/>
      <c r="B9498" s="34"/>
      <c r="G9498" s="31"/>
    </row>
    <row r="9499" spans="1:7" x14ac:dyDescent="0.25">
      <c r="A9499" s="36"/>
      <c r="B9499" s="34"/>
      <c r="G9499" s="31"/>
    </row>
    <row r="9500" spans="1:7" x14ac:dyDescent="0.25">
      <c r="A9500" s="36"/>
      <c r="B9500" s="34"/>
      <c r="G9500" s="31"/>
    </row>
    <row r="9501" spans="1:7" x14ac:dyDescent="0.25">
      <c r="A9501" s="36"/>
      <c r="B9501" s="34"/>
      <c r="G9501" s="31"/>
    </row>
    <row r="9502" spans="1:7" x14ac:dyDescent="0.25">
      <c r="A9502" s="36"/>
      <c r="B9502" s="34"/>
      <c r="G9502" s="31"/>
    </row>
    <row r="9503" spans="1:7" x14ac:dyDescent="0.25">
      <c r="A9503" s="36"/>
      <c r="B9503" s="34"/>
      <c r="G9503" s="31"/>
    </row>
    <row r="9504" spans="1:7" x14ac:dyDescent="0.25">
      <c r="A9504" s="36"/>
      <c r="B9504" s="34"/>
      <c r="G9504" s="31"/>
    </row>
    <row r="9505" spans="1:7" x14ac:dyDescent="0.25">
      <c r="A9505" s="36"/>
      <c r="B9505" s="34"/>
      <c r="G9505" s="31"/>
    </row>
    <row r="9506" spans="1:7" x14ac:dyDescent="0.25">
      <c r="A9506" s="36"/>
      <c r="B9506" s="34"/>
      <c r="G9506" s="31"/>
    </row>
    <row r="9507" spans="1:7" x14ac:dyDescent="0.25">
      <c r="A9507" s="36"/>
      <c r="B9507" s="34"/>
      <c r="G9507" s="31"/>
    </row>
    <row r="9508" spans="1:7" x14ac:dyDescent="0.25">
      <c r="A9508" s="36"/>
      <c r="B9508" s="34"/>
      <c r="G9508" s="31"/>
    </row>
    <row r="9509" spans="1:7" x14ac:dyDescent="0.25">
      <c r="A9509" s="36"/>
      <c r="B9509" s="34"/>
      <c r="G9509" s="31"/>
    </row>
    <row r="9510" spans="1:7" x14ac:dyDescent="0.25">
      <c r="A9510" s="36"/>
      <c r="B9510" s="34"/>
      <c r="G9510" s="31"/>
    </row>
    <row r="9511" spans="1:7" x14ac:dyDescent="0.25">
      <c r="A9511" s="36"/>
      <c r="B9511" s="34"/>
      <c r="G9511" s="31"/>
    </row>
    <row r="9512" spans="1:7" x14ac:dyDescent="0.25">
      <c r="A9512" s="36"/>
      <c r="B9512" s="34"/>
      <c r="G9512" s="31"/>
    </row>
    <row r="9513" spans="1:7" x14ac:dyDescent="0.25">
      <c r="A9513" s="36"/>
      <c r="B9513" s="34"/>
      <c r="G9513" s="31"/>
    </row>
    <row r="9514" spans="1:7" x14ac:dyDescent="0.25">
      <c r="A9514" s="36"/>
      <c r="B9514" s="34"/>
      <c r="G9514" s="31"/>
    </row>
    <row r="9515" spans="1:7" x14ac:dyDescent="0.25">
      <c r="A9515" s="36"/>
      <c r="B9515" s="34"/>
      <c r="G9515" s="31"/>
    </row>
    <row r="9516" spans="1:7" x14ac:dyDescent="0.25">
      <c r="A9516" s="36"/>
      <c r="B9516" s="34"/>
      <c r="G9516" s="31"/>
    </row>
    <row r="9517" spans="1:7" x14ac:dyDescent="0.25">
      <c r="A9517" s="36"/>
      <c r="B9517" s="34"/>
      <c r="G9517" s="31"/>
    </row>
    <row r="9518" spans="1:7" x14ac:dyDescent="0.25">
      <c r="A9518" s="36"/>
      <c r="B9518" s="34"/>
      <c r="G9518" s="31"/>
    </row>
    <row r="9519" spans="1:7" x14ac:dyDescent="0.25">
      <c r="A9519" s="36"/>
      <c r="B9519" s="34"/>
      <c r="G9519" s="31"/>
    </row>
    <row r="9520" spans="1:7" x14ac:dyDescent="0.25">
      <c r="A9520" s="36"/>
      <c r="B9520" s="34"/>
      <c r="G9520" s="31"/>
    </row>
    <row r="9521" spans="1:7" x14ac:dyDescent="0.25">
      <c r="A9521" s="36"/>
      <c r="B9521" s="34"/>
      <c r="G9521" s="31"/>
    </row>
    <row r="9522" spans="1:7" x14ac:dyDescent="0.25">
      <c r="A9522" s="36"/>
      <c r="B9522" s="34"/>
      <c r="G9522" s="31"/>
    </row>
    <row r="9523" spans="1:7" x14ac:dyDescent="0.25">
      <c r="A9523" s="36"/>
      <c r="B9523" s="34"/>
      <c r="G9523" s="31"/>
    </row>
    <row r="9524" spans="1:7" x14ac:dyDescent="0.25">
      <c r="A9524" s="36"/>
      <c r="B9524" s="34"/>
      <c r="G9524" s="31"/>
    </row>
    <row r="9525" spans="1:7" x14ac:dyDescent="0.25">
      <c r="A9525" s="36"/>
      <c r="B9525" s="34"/>
      <c r="G9525" s="31"/>
    </row>
    <row r="9526" spans="1:7" x14ac:dyDescent="0.25">
      <c r="A9526" s="36"/>
      <c r="B9526" s="34"/>
      <c r="G9526" s="31"/>
    </row>
    <row r="9527" spans="1:7" x14ac:dyDescent="0.25">
      <c r="A9527" s="36"/>
      <c r="B9527" s="34"/>
      <c r="G9527" s="31"/>
    </row>
    <row r="9528" spans="1:7" x14ac:dyDescent="0.25">
      <c r="A9528" s="36"/>
      <c r="B9528" s="34"/>
      <c r="G9528" s="31"/>
    </row>
    <row r="9529" spans="1:7" x14ac:dyDescent="0.25">
      <c r="A9529" s="36"/>
      <c r="B9529" s="34"/>
      <c r="G9529" s="31"/>
    </row>
    <row r="9530" spans="1:7" x14ac:dyDescent="0.25">
      <c r="A9530" s="36"/>
      <c r="B9530" s="34"/>
      <c r="G9530" s="31"/>
    </row>
    <row r="9531" spans="1:7" x14ac:dyDescent="0.25">
      <c r="A9531" s="36"/>
      <c r="B9531" s="34"/>
      <c r="G9531" s="31"/>
    </row>
    <row r="9532" spans="1:7" x14ac:dyDescent="0.25">
      <c r="A9532" s="36"/>
      <c r="B9532" s="34"/>
      <c r="G9532" s="31"/>
    </row>
    <row r="9533" spans="1:7" x14ac:dyDescent="0.25">
      <c r="A9533" s="36"/>
      <c r="B9533" s="34"/>
      <c r="G9533" s="31"/>
    </row>
    <row r="9534" spans="1:7" x14ac:dyDescent="0.25">
      <c r="A9534" s="36"/>
      <c r="B9534" s="34"/>
      <c r="G9534" s="31"/>
    </row>
    <row r="9535" spans="1:7" x14ac:dyDescent="0.25">
      <c r="A9535" s="36"/>
      <c r="B9535" s="34"/>
      <c r="G9535" s="31"/>
    </row>
    <row r="9536" spans="1:7" x14ac:dyDescent="0.25">
      <c r="A9536" s="36"/>
      <c r="B9536" s="34"/>
      <c r="G9536" s="31"/>
    </row>
    <row r="9537" spans="1:7" x14ac:dyDescent="0.25">
      <c r="A9537" s="36"/>
      <c r="B9537" s="34"/>
      <c r="G9537" s="31"/>
    </row>
    <row r="9538" spans="1:7" x14ac:dyDescent="0.25">
      <c r="A9538" s="36"/>
      <c r="B9538" s="34"/>
      <c r="G9538" s="31"/>
    </row>
    <row r="9539" spans="1:7" x14ac:dyDescent="0.25">
      <c r="A9539" s="36"/>
      <c r="B9539" s="34"/>
      <c r="G9539" s="31"/>
    </row>
    <row r="9540" spans="1:7" x14ac:dyDescent="0.25">
      <c r="A9540" s="36"/>
      <c r="B9540" s="34"/>
      <c r="G9540" s="31"/>
    </row>
    <row r="9541" spans="1:7" x14ac:dyDescent="0.25">
      <c r="A9541" s="36"/>
      <c r="B9541" s="34"/>
      <c r="G9541" s="31"/>
    </row>
    <row r="9542" spans="1:7" x14ac:dyDescent="0.25">
      <c r="A9542" s="36"/>
      <c r="B9542" s="34"/>
      <c r="G9542" s="31"/>
    </row>
    <row r="9543" spans="1:7" x14ac:dyDescent="0.25">
      <c r="A9543" s="36"/>
      <c r="B9543" s="34"/>
      <c r="G9543" s="31"/>
    </row>
    <row r="9544" spans="1:7" x14ac:dyDescent="0.25">
      <c r="A9544" s="36"/>
      <c r="B9544" s="34"/>
      <c r="G9544" s="31"/>
    </row>
    <row r="9545" spans="1:7" x14ac:dyDescent="0.25">
      <c r="A9545" s="36"/>
      <c r="B9545" s="34"/>
      <c r="G9545" s="31"/>
    </row>
    <row r="9546" spans="1:7" x14ac:dyDescent="0.25">
      <c r="A9546" s="36"/>
      <c r="B9546" s="34"/>
      <c r="G9546" s="31"/>
    </row>
    <row r="9547" spans="1:7" x14ac:dyDescent="0.25">
      <c r="A9547" s="36"/>
      <c r="B9547" s="34"/>
      <c r="G9547" s="31"/>
    </row>
    <row r="9548" spans="1:7" x14ac:dyDescent="0.25">
      <c r="A9548" s="36"/>
      <c r="B9548" s="34"/>
      <c r="G9548" s="31"/>
    </row>
    <row r="9549" spans="1:7" x14ac:dyDescent="0.25">
      <c r="A9549" s="36"/>
      <c r="B9549" s="34"/>
      <c r="G9549" s="31"/>
    </row>
    <row r="9550" spans="1:7" x14ac:dyDescent="0.25">
      <c r="A9550" s="36"/>
      <c r="B9550" s="34"/>
      <c r="G9550" s="31"/>
    </row>
    <row r="9551" spans="1:7" x14ac:dyDescent="0.25">
      <c r="A9551" s="36"/>
      <c r="B9551" s="34"/>
      <c r="G9551" s="31"/>
    </row>
    <row r="9552" spans="1:7" x14ac:dyDescent="0.25">
      <c r="A9552" s="36"/>
      <c r="B9552" s="34"/>
      <c r="G9552" s="31"/>
    </row>
    <row r="9553" spans="1:7" x14ac:dyDescent="0.25">
      <c r="A9553" s="36"/>
      <c r="B9553" s="34"/>
      <c r="G9553" s="31"/>
    </row>
    <row r="9554" spans="1:7" x14ac:dyDescent="0.25">
      <c r="A9554" s="36"/>
      <c r="B9554" s="34"/>
      <c r="G9554" s="31"/>
    </row>
    <row r="9555" spans="1:7" x14ac:dyDescent="0.25">
      <c r="A9555" s="36"/>
      <c r="B9555" s="34"/>
      <c r="G9555" s="31"/>
    </row>
    <row r="9556" spans="1:7" x14ac:dyDescent="0.25">
      <c r="A9556" s="36"/>
      <c r="B9556" s="34"/>
      <c r="G9556" s="31"/>
    </row>
    <row r="9557" spans="1:7" x14ac:dyDescent="0.25">
      <c r="A9557" s="36"/>
      <c r="B9557" s="34"/>
      <c r="G9557" s="31"/>
    </row>
    <row r="9558" spans="1:7" x14ac:dyDescent="0.25">
      <c r="A9558" s="36"/>
      <c r="B9558" s="34"/>
      <c r="G9558" s="31"/>
    </row>
    <row r="9559" spans="1:7" x14ac:dyDescent="0.25">
      <c r="A9559" s="36"/>
      <c r="B9559" s="34"/>
      <c r="G9559" s="31"/>
    </row>
    <row r="9560" spans="1:7" x14ac:dyDescent="0.25">
      <c r="A9560" s="36"/>
      <c r="B9560" s="34"/>
      <c r="G9560" s="31"/>
    </row>
    <row r="9561" spans="1:7" x14ac:dyDescent="0.25">
      <c r="A9561" s="36"/>
      <c r="B9561" s="34"/>
      <c r="G9561" s="31"/>
    </row>
    <row r="9562" spans="1:7" x14ac:dyDescent="0.25">
      <c r="A9562" s="36"/>
      <c r="B9562" s="34"/>
      <c r="G9562" s="31"/>
    </row>
    <row r="9563" spans="1:7" x14ac:dyDescent="0.25">
      <c r="A9563" s="36"/>
      <c r="B9563" s="34"/>
      <c r="G9563" s="31"/>
    </row>
    <row r="9564" spans="1:7" x14ac:dyDescent="0.25">
      <c r="A9564" s="36"/>
      <c r="B9564" s="34"/>
      <c r="G9564" s="31"/>
    </row>
    <row r="9565" spans="1:7" x14ac:dyDescent="0.25">
      <c r="A9565" s="36"/>
      <c r="B9565" s="34"/>
      <c r="G9565" s="31"/>
    </row>
    <row r="9566" spans="1:7" x14ac:dyDescent="0.25">
      <c r="A9566" s="36"/>
      <c r="B9566" s="34"/>
      <c r="G9566" s="31"/>
    </row>
    <row r="9567" spans="1:7" x14ac:dyDescent="0.25">
      <c r="A9567" s="36"/>
      <c r="B9567" s="34"/>
      <c r="G9567" s="31"/>
    </row>
    <row r="9568" spans="1:7" x14ac:dyDescent="0.25">
      <c r="A9568" s="36"/>
      <c r="B9568" s="34"/>
      <c r="G9568" s="31"/>
    </row>
    <row r="9569" spans="1:7" x14ac:dyDescent="0.25">
      <c r="A9569" s="36"/>
      <c r="B9569" s="34"/>
      <c r="G9569" s="31"/>
    </row>
    <row r="9570" spans="1:7" x14ac:dyDescent="0.25">
      <c r="A9570" s="36"/>
      <c r="B9570" s="34"/>
      <c r="G9570" s="31"/>
    </row>
    <row r="9571" spans="1:7" x14ac:dyDescent="0.25">
      <c r="A9571" s="36"/>
      <c r="B9571" s="34"/>
      <c r="G9571" s="31"/>
    </row>
    <row r="9572" spans="1:7" x14ac:dyDescent="0.25">
      <c r="A9572" s="36"/>
      <c r="B9572" s="34"/>
      <c r="G9572" s="31"/>
    </row>
    <row r="9573" spans="1:7" x14ac:dyDescent="0.25">
      <c r="A9573" s="36"/>
      <c r="B9573" s="34"/>
      <c r="G9573" s="31"/>
    </row>
    <row r="9574" spans="1:7" x14ac:dyDescent="0.25">
      <c r="A9574" s="36"/>
      <c r="B9574" s="34"/>
      <c r="G9574" s="31"/>
    </row>
    <row r="9575" spans="1:7" x14ac:dyDescent="0.25">
      <c r="A9575" s="36"/>
      <c r="B9575" s="34"/>
      <c r="G9575" s="31"/>
    </row>
    <row r="9576" spans="1:7" x14ac:dyDescent="0.25">
      <c r="A9576" s="36"/>
      <c r="B9576" s="34"/>
      <c r="G9576" s="31"/>
    </row>
    <row r="9577" spans="1:7" x14ac:dyDescent="0.25">
      <c r="A9577" s="36"/>
      <c r="B9577" s="34"/>
      <c r="G9577" s="31"/>
    </row>
    <row r="9578" spans="1:7" x14ac:dyDescent="0.25">
      <c r="A9578" s="36"/>
      <c r="B9578" s="34"/>
      <c r="G9578" s="31"/>
    </row>
    <row r="9579" spans="1:7" x14ac:dyDescent="0.25">
      <c r="A9579" s="36"/>
      <c r="B9579" s="34"/>
      <c r="G9579" s="31"/>
    </row>
    <row r="9580" spans="1:7" x14ac:dyDescent="0.25">
      <c r="A9580" s="36"/>
      <c r="B9580" s="34"/>
      <c r="G9580" s="31"/>
    </row>
    <row r="9581" spans="1:7" x14ac:dyDescent="0.25">
      <c r="A9581" s="36"/>
      <c r="B9581" s="34"/>
      <c r="G9581" s="31"/>
    </row>
    <row r="9582" spans="1:7" x14ac:dyDescent="0.25">
      <c r="A9582" s="36"/>
      <c r="B9582" s="34"/>
      <c r="G9582" s="31"/>
    </row>
    <row r="9583" spans="1:7" x14ac:dyDescent="0.25">
      <c r="A9583" s="36"/>
      <c r="B9583" s="34"/>
      <c r="G9583" s="31"/>
    </row>
    <row r="9584" spans="1:7" x14ac:dyDescent="0.25">
      <c r="A9584" s="36"/>
      <c r="B9584" s="34"/>
      <c r="G9584" s="31"/>
    </row>
    <row r="9585" spans="1:7" x14ac:dyDescent="0.25">
      <c r="A9585" s="36"/>
      <c r="B9585" s="34"/>
      <c r="G9585" s="31"/>
    </row>
    <row r="9586" spans="1:7" x14ac:dyDescent="0.25">
      <c r="A9586" s="36"/>
      <c r="B9586" s="34"/>
      <c r="G9586" s="31"/>
    </row>
    <row r="9587" spans="1:7" x14ac:dyDescent="0.25">
      <c r="A9587" s="36"/>
      <c r="B9587" s="34"/>
      <c r="G9587" s="31"/>
    </row>
    <row r="9588" spans="1:7" x14ac:dyDescent="0.25">
      <c r="A9588" s="36"/>
      <c r="B9588" s="34"/>
      <c r="G9588" s="31"/>
    </row>
    <row r="9589" spans="1:7" x14ac:dyDescent="0.25">
      <c r="A9589" s="36"/>
      <c r="B9589" s="34"/>
      <c r="G9589" s="31"/>
    </row>
    <row r="9590" spans="1:7" x14ac:dyDescent="0.25">
      <c r="A9590" s="36"/>
      <c r="B9590" s="34"/>
      <c r="G9590" s="31"/>
    </row>
    <row r="9591" spans="1:7" x14ac:dyDescent="0.25">
      <c r="A9591" s="36"/>
      <c r="B9591" s="34"/>
      <c r="G9591" s="31"/>
    </row>
    <row r="9592" spans="1:7" x14ac:dyDescent="0.25">
      <c r="A9592" s="36"/>
      <c r="B9592" s="34"/>
      <c r="G9592" s="31"/>
    </row>
    <row r="9593" spans="1:7" x14ac:dyDescent="0.25">
      <c r="A9593" s="36"/>
      <c r="B9593" s="34"/>
      <c r="G9593" s="31"/>
    </row>
    <row r="9594" spans="1:7" x14ac:dyDescent="0.25">
      <c r="A9594" s="36"/>
      <c r="B9594" s="34"/>
      <c r="G9594" s="31"/>
    </row>
    <row r="9595" spans="1:7" x14ac:dyDescent="0.25">
      <c r="A9595" s="36"/>
      <c r="B9595" s="34"/>
      <c r="G9595" s="31"/>
    </row>
    <row r="9596" spans="1:7" x14ac:dyDescent="0.25">
      <c r="A9596" s="36"/>
      <c r="B9596" s="34"/>
      <c r="G9596" s="31"/>
    </row>
    <row r="9597" spans="1:7" x14ac:dyDescent="0.25">
      <c r="A9597" s="36"/>
      <c r="B9597" s="34"/>
      <c r="G9597" s="31"/>
    </row>
    <row r="9598" spans="1:7" x14ac:dyDescent="0.25">
      <c r="A9598" s="36"/>
      <c r="B9598" s="34"/>
      <c r="G9598" s="31"/>
    </row>
    <row r="9599" spans="1:7" x14ac:dyDescent="0.25">
      <c r="A9599" s="36"/>
      <c r="B9599" s="34"/>
      <c r="G9599" s="31"/>
    </row>
    <row r="9600" spans="1:7" x14ac:dyDescent="0.25">
      <c r="A9600" s="36"/>
      <c r="B9600" s="34"/>
      <c r="G9600" s="31"/>
    </row>
    <row r="9601" spans="1:7" x14ac:dyDescent="0.25">
      <c r="A9601" s="36"/>
      <c r="B9601" s="34"/>
      <c r="G9601" s="31"/>
    </row>
    <row r="9602" spans="1:7" x14ac:dyDescent="0.25">
      <c r="A9602" s="36"/>
      <c r="B9602" s="34"/>
      <c r="G9602" s="31"/>
    </row>
    <row r="9603" spans="1:7" x14ac:dyDescent="0.25">
      <c r="A9603" s="36"/>
      <c r="B9603" s="34"/>
      <c r="G9603" s="31"/>
    </row>
    <row r="9604" spans="1:7" x14ac:dyDescent="0.25">
      <c r="A9604" s="36"/>
      <c r="B9604" s="34"/>
      <c r="G9604" s="31"/>
    </row>
    <row r="9605" spans="1:7" x14ac:dyDescent="0.25">
      <c r="A9605" s="36"/>
      <c r="B9605" s="34"/>
      <c r="G9605" s="31"/>
    </row>
    <row r="9606" spans="1:7" x14ac:dyDescent="0.25">
      <c r="A9606" s="36"/>
      <c r="B9606" s="34"/>
      <c r="G9606" s="31"/>
    </row>
    <row r="9607" spans="1:7" x14ac:dyDescent="0.25">
      <c r="A9607" s="36"/>
      <c r="B9607" s="34"/>
      <c r="G9607" s="31"/>
    </row>
    <row r="9608" spans="1:7" x14ac:dyDescent="0.25">
      <c r="A9608" s="36"/>
      <c r="B9608" s="34"/>
      <c r="G9608" s="31"/>
    </row>
    <row r="9609" spans="1:7" x14ac:dyDescent="0.25">
      <c r="A9609" s="36"/>
      <c r="B9609" s="34"/>
      <c r="G9609" s="31"/>
    </row>
    <row r="9610" spans="1:7" x14ac:dyDescent="0.25">
      <c r="A9610" s="36"/>
      <c r="B9610" s="34"/>
      <c r="G9610" s="31"/>
    </row>
    <row r="9611" spans="1:7" x14ac:dyDescent="0.25">
      <c r="A9611" s="36"/>
      <c r="B9611" s="34"/>
      <c r="G9611" s="31"/>
    </row>
    <row r="9612" spans="1:7" x14ac:dyDescent="0.25">
      <c r="A9612" s="36"/>
      <c r="B9612" s="34"/>
      <c r="G9612" s="31"/>
    </row>
    <row r="9613" spans="1:7" x14ac:dyDescent="0.25">
      <c r="A9613" s="36"/>
      <c r="B9613" s="34"/>
      <c r="G9613" s="31"/>
    </row>
    <row r="9614" spans="1:7" x14ac:dyDescent="0.25">
      <c r="A9614" s="36"/>
      <c r="B9614" s="34"/>
      <c r="G9614" s="31"/>
    </row>
    <row r="9615" spans="1:7" x14ac:dyDescent="0.25">
      <c r="A9615" s="36"/>
      <c r="B9615" s="34"/>
      <c r="G9615" s="31"/>
    </row>
    <row r="9616" spans="1:7" x14ac:dyDescent="0.25">
      <c r="A9616" s="36"/>
      <c r="B9616" s="34"/>
      <c r="G9616" s="31"/>
    </row>
    <row r="9617" spans="1:7" x14ac:dyDescent="0.25">
      <c r="A9617" s="36"/>
      <c r="B9617" s="34"/>
      <c r="G9617" s="31"/>
    </row>
    <row r="9618" spans="1:7" x14ac:dyDescent="0.25">
      <c r="A9618" s="36"/>
      <c r="B9618" s="34"/>
      <c r="G9618" s="31"/>
    </row>
    <row r="9619" spans="1:7" x14ac:dyDescent="0.25">
      <c r="A9619" s="36"/>
      <c r="B9619" s="34"/>
      <c r="G9619" s="31"/>
    </row>
    <row r="9620" spans="1:7" x14ac:dyDescent="0.25">
      <c r="A9620" s="36"/>
      <c r="B9620" s="34"/>
      <c r="G9620" s="31"/>
    </row>
    <row r="9621" spans="1:7" x14ac:dyDescent="0.25">
      <c r="A9621" s="36"/>
      <c r="B9621" s="34"/>
      <c r="G9621" s="31"/>
    </row>
    <row r="9622" spans="1:7" x14ac:dyDescent="0.25">
      <c r="A9622" s="36"/>
      <c r="B9622" s="34"/>
      <c r="G9622" s="31"/>
    </row>
    <row r="9623" spans="1:7" x14ac:dyDescent="0.25">
      <c r="A9623" s="36"/>
      <c r="B9623" s="34"/>
      <c r="G9623" s="31"/>
    </row>
    <row r="9624" spans="1:7" x14ac:dyDescent="0.25">
      <c r="A9624" s="36"/>
      <c r="B9624" s="34"/>
      <c r="G9624" s="31"/>
    </row>
    <row r="9625" spans="1:7" x14ac:dyDescent="0.25">
      <c r="A9625" s="36"/>
      <c r="B9625" s="34"/>
      <c r="G9625" s="31"/>
    </row>
    <row r="9626" spans="1:7" x14ac:dyDescent="0.25">
      <c r="A9626" s="36"/>
      <c r="B9626" s="34"/>
      <c r="G9626" s="31"/>
    </row>
    <row r="9627" spans="1:7" x14ac:dyDescent="0.25">
      <c r="A9627" s="36"/>
      <c r="B9627" s="34"/>
      <c r="G9627" s="31"/>
    </row>
    <row r="9628" spans="1:7" x14ac:dyDescent="0.25">
      <c r="A9628" s="36"/>
      <c r="B9628" s="34"/>
      <c r="G9628" s="31"/>
    </row>
    <row r="9629" spans="1:7" x14ac:dyDescent="0.25">
      <c r="A9629" s="36"/>
      <c r="B9629" s="34"/>
      <c r="G9629" s="31"/>
    </row>
    <row r="9630" spans="1:7" x14ac:dyDescent="0.25">
      <c r="A9630" s="36"/>
      <c r="B9630" s="34"/>
      <c r="G9630" s="31"/>
    </row>
    <row r="9631" spans="1:7" x14ac:dyDescent="0.25">
      <c r="A9631" s="36"/>
      <c r="B9631" s="34"/>
      <c r="G9631" s="31"/>
    </row>
    <row r="9632" spans="1:7" x14ac:dyDescent="0.25">
      <c r="A9632" s="36"/>
      <c r="B9632" s="34"/>
      <c r="G9632" s="31"/>
    </row>
    <row r="9633" spans="1:7" x14ac:dyDescent="0.25">
      <c r="A9633" s="36"/>
      <c r="B9633" s="34"/>
      <c r="G9633" s="31"/>
    </row>
    <row r="9634" spans="1:7" x14ac:dyDescent="0.25">
      <c r="A9634" s="36"/>
      <c r="B9634" s="34"/>
      <c r="G9634" s="31"/>
    </row>
    <row r="9635" spans="1:7" x14ac:dyDescent="0.25">
      <c r="A9635" s="36"/>
      <c r="B9635" s="34"/>
      <c r="G9635" s="31"/>
    </row>
    <row r="9636" spans="1:7" x14ac:dyDescent="0.25">
      <c r="A9636" s="36"/>
      <c r="B9636" s="34"/>
      <c r="G9636" s="31"/>
    </row>
    <row r="9637" spans="1:7" x14ac:dyDescent="0.25">
      <c r="A9637" s="36"/>
      <c r="B9637" s="34"/>
      <c r="G9637" s="31"/>
    </row>
    <row r="9638" spans="1:7" x14ac:dyDescent="0.25">
      <c r="A9638" s="36"/>
      <c r="B9638" s="34"/>
      <c r="G9638" s="31"/>
    </row>
    <row r="9639" spans="1:7" x14ac:dyDescent="0.25">
      <c r="A9639" s="36"/>
      <c r="B9639" s="34"/>
      <c r="G9639" s="31"/>
    </row>
    <row r="9640" spans="1:7" x14ac:dyDescent="0.25">
      <c r="A9640" s="36"/>
      <c r="B9640" s="34"/>
      <c r="G9640" s="31"/>
    </row>
    <row r="9641" spans="1:7" x14ac:dyDescent="0.25">
      <c r="A9641" s="36"/>
      <c r="B9641" s="34"/>
      <c r="G9641" s="31"/>
    </row>
    <row r="9642" spans="1:7" x14ac:dyDescent="0.25">
      <c r="A9642" s="36"/>
      <c r="B9642" s="34"/>
      <c r="G9642" s="31"/>
    </row>
    <row r="9643" spans="1:7" x14ac:dyDescent="0.25">
      <c r="A9643" s="36"/>
      <c r="B9643" s="34"/>
      <c r="G9643" s="31"/>
    </row>
    <row r="9644" spans="1:7" x14ac:dyDescent="0.25">
      <c r="A9644" s="36"/>
      <c r="B9644" s="34"/>
      <c r="G9644" s="31"/>
    </row>
    <row r="9645" spans="1:7" x14ac:dyDescent="0.25">
      <c r="A9645" s="36"/>
      <c r="B9645" s="34"/>
      <c r="G9645" s="31"/>
    </row>
    <row r="9646" spans="1:7" x14ac:dyDescent="0.25">
      <c r="A9646" s="36"/>
      <c r="B9646" s="34"/>
      <c r="G9646" s="31"/>
    </row>
    <row r="9647" spans="1:7" x14ac:dyDescent="0.25">
      <c r="A9647" s="36"/>
      <c r="B9647" s="34"/>
      <c r="G9647" s="31"/>
    </row>
    <row r="9648" spans="1:7" x14ac:dyDescent="0.25">
      <c r="A9648" s="36"/>
      <c r="B9648" s="34"/>
      <c r="G9648" s="31"/>
    </row>
    <row r="9649" spans="1:7" x14ac:dyDescent="0.25">
      <c r="A9649" s="36"/>
      <c r="B9649" s="34"/>
      <c r="G9649" s="31"/>
    </row>
    <row r="9650" spans="1:7" x14ac:dyDescent="0.25">
      <c r="A9650" s="36"/>
      <c r="B9650" s="34"/>
      <c r="G9650" s="31"/>
    </row>
    <row r="9651" spans="1:7" x14ac:dyDescent="0.25">
      <c r="A9651" s="36"/>
      <c r="B9651" s="34"/>
      <c r="G9651" s="31"/>
    </row>
    <row r="9652" spans="1:7" x14ac:dyDescent="0.25">
      <c r="A9652" s="36"/>
      <c r="B9652" s="34"/>
      <c r="G9652" s="31"/>
    </row>
    <row r="9653" spans="1:7" x14ac:dyDescent="0.25">
      <c r="A9653" s="36"/>
      <c r="B9653" s="34"/>
      <c r="G9653" s="31"/>
    </row>
    <row r="9654" spans="1:7" x14ac:dyDescent="0.25">
      <c r="A9654" s="36"/>
      <c r="B9654" s="34"/>
      <c r="G9654" s="31"/>
    </row>
    <row r="9655" spans="1:7" x14ac:dyDescent="0.25">
      <c r="A9655" s="36"/>
      <c r="B9655" s="34"/>
      <c r="G9655" s="31"/>
    </row>
    <row r="9656" spans="1:7" x14ac:dyDescent="0.25">
      <c r="A9656" s="36"/>
      <c r="B9656" s="34"/>
      <c r="G9656" s="31"/>
    </row>
    <row r="9657" spans="1:7" x14ac:dyDescent="0.25">
      <c r="A9657" s="36"/>
      <c r="B9657" s="34"/>
      <c r="G9657" s="31"/>
    </row>
    <row r="9658" spans="1:7" x14ac:dyDescent="0.25">
      <c r="A9658" s="36"/>
      <c r="B9658" s="34"/>
      <c r="G9658" s="31"/>
    </row>
    <row r="9659" spans="1:7" x14ac:dyDescent="0.25">
      <c r="A9659" s="36"/>
      <c r="B9659" s="34"/>
      <c r="G9659" s="31"/>
    </row>
    <row r="9660" spans="1:7" x14ac:dyDescent="0.25">
      <c r="A9660" s="36"/>
      <c r="B9660" s="34"/>
      <c r="G9660" s="31"/>
    </row>
    <row r="9661" spans="1:7" x14ac:dyDescent="0.25">
      <c r="A9661" s="36"/>
      <c r="B9661" s="34"/>
      <c r="G9661" s="31"/>
    </row>
    <row r="9662" spans="1:7" x14ac:dyDescent="0.25">
      <c r="A9662" s="36"/>
      <c r="B9662" s="34"/>
      <c r="G9662" s="31"/>
    </row>
    <row r="9663" spans="1:7" x14ac:dyDescent="0.25">
      <c r="A9663" s="36"/>
      <c r="B9663" s="34"/>
      <c r="G9663" s="31"/>
    </row>
    <row r="9664" spans="1:7" x14ac:dyDescent="0.25">
      <c r="A9664" s="36"/>
      <c r="B9664" s="34"/>
      <c r="G9664" s="31"/>
    </row>
    <row r="9665" spans="1:7" x14ac:dyDescent="0.25">
      <c r="A9665" s="36"/>
      <c r="B9665" s="34"/>
      <c r="G9665" s="31"/>
    </row>
    <row r="9666" spans="1:7" x14ac:dyDescent="0.25">
      <c r="A9666" s="36"/>
      <c r="B9666" s="34"/>
      <c r="G9666" s="31"/>
    </row>
    <row r="9667" spans="1:7" x14ac:dyDescent="0.25">
      <c r="A9667" s="36"/>
      <c r="B9667" s="34"/>
      <c r="G9667" s="31"/>
    </row>
    <row r="9668" spans="1:7" x14ac:dyDescent="0.25">
      <c r="A9668" s="36"/>
      <c r="B9668" s="34"/>
      <c r="G9668" s="31"/>
    </row>
    <row r="9669" spans="1:7" x14ac:dyDescent="0.25">
      <c r="A9669" s="36"/>
      <c r="B9669" s="34"/>
      <c r="G9669" s="31"/>
    </row>
    <row r="9670" spans="1:7" x14ac:dyDescent="0.25">
      <c r="A9670" s="36"/>
      <c r="B9670" s="34"/>
      <c r="G9670" s="31"/>
    </row>
    <row r="9671" spans="1:7" x14ac:dyDescent="0.25">
      <c r="A9671" s="36"/>
      <c r="B9671" s="34"/>
      <c r="G9671" s="31"/>
    </row>
    <row r="9672" spans="1:7" x14ac:dyDescent="0.25">
      <c r="A9672" s="36"/>
      <c r="B9672" s="34"/>
      <c r="G9672" s="31"/>
    </row>
    <row r="9673" spans="1:7" x14ac:dyDescent="0.25">
      <c r="A9673" s="36"/>
      <c r="B9673" s="34"/>
      <c r="G9673" s="31"/>
    </row>
    <row r="9674" spans="1:7" x14ac:dyDescent="0.25">
      <c r="A9674" s="36"/>
      <c r="B9674" s="34"/>
      <c r="G9674" s="31"/>
    </row>
    <row r="9675" spans="1:7" x14ac:dyDescent="0.25">
      <c r="A9675" s="36"/>
      <c r="B9675" s="34"/>
      <c r="G9675" s="31"/>
    </row>
    <row r="9676" spans="1:7" x14ac:dyDescent="0.25">
      <c r="A9676" s="36"/>
      <c r="B9676" s="34"/>
      <c r="G9676" s="31"/>
    </row>
    <row r="9677" spans="1:7" x14ac:dyDescent="0.25">
      <c r="A9677" s="36"/>
      <c r="B9677" s="34"/>
      <c r="G9677" s="31"/>
    </row>
    <row r="9678" spans="1:7" x14ac:dyDescent="0.25">
      <c r="A9678" s="36"/>
      <c r="B9678" s="34"/>
      <c r="G9678" s="31"/>
    </row>
    <row r="9679" spans="1:7" x14ac:dyDescent="0.25">
      <c r="A9679" s="36"/>
      <c r="B9679" s="34"/>
      <c r="G9679" s="31"/>
    </row>
    <row r="9680" spans="1:7" x14ac:dyDescent="0.25">
      <c r="A9680" s="36"/>
      <c r="B9680" s="34"/>
      <c r="G9680" s="31"/>
    </row>
    <row r="9681" spans="1:7" x14ac:dyDescent="0.25">
      <c r="A9681" s="36"/>
      <c r="B9681" s="34"/>
      <c r="G9681" s="31"/>
    </row>
    <row r="9682" spans="1:7" x14ac:dyDescent="0.25">
      <c r="A9682" s="36"/>
      <c r="B9682" s="34"/>
      <c r="G9682" s="31"/>
    </row>
    <row r="9683" spans="1:7" x14ac:dyDescent="0.25">
      <c r="A9683" s="36"/>
      <c r="B9683" s="34"/>
      <c r="G9683" s="31"/>
    </row>
    <row r="9684" spans="1:7" x14ac:dyDescent="0.25">
      <c r="A9684" s="36"/>
      <c r="B9684" s="34"/>
      <c r="G9684" s="31"/>
    </row>
    <row r="9685" spans="1:7" x14ac:dyDescent="0.25">
      <c r="A9685" s="36"/>
      <c r="B9685" s="34"/>
      <c r="G9685" s="31"/>
    </row>
    <row r="9686" spans="1:7" x14ac:dyDescent="0.25">
      <c r="A9686" s="36"/>
      <c r="B9686" s="34"/>
      <c r="G9686" s="31"/>
    </row>
    <row r="9687" spans="1:7" x14ac:dyDescent="0.25">
      <c r="A9687" s="36"/>
      <c r="B9687" s="34"/>
      <c r="G9687" s="31"/>
    </row>
    <row r="9688" spans="1:7" x14ac:dyDescent="0.25">
      <c r="A9688" s="36"/>
      <c r="B9688" s="34"/>
      <c r="G9688" s="31"/>
    </row>
    <row r="9689" spans="1:7" x14ac:dyDescent="0.25">
      <c r="A9689" s="36"/>
      <c r="B9689" s="34"/>
      <c r="G9689" s="31"/>
    </row>
    <row r="9690" spans="1:7" x14ac:dyDescent="0.25">
      <c r="A9690" s="36"/>
      <c r="B9690" s="34"/>
      <c r="G9690" s="31"/>
    </row>
    <row r="9691" spans="1:7" x14ac:dyDescent="0.25">
      <c r="A9691" s="36"/>
      <c r="B9691" s="34"/>
      <c r="G9691" s="31"/>
    </row>
    <row r="9692" spans="1:7" x14ac:dyDescent="0.25">
      <c r="A9692" s="36"/>
      <c r="B9692" s="34"/>
      <c r="G9692" s="31"/>
    </row>
    <row r="9693" spans="1:7" x14ac:dyDescent="0.25">
      <c r="A9693" s="36"/>
      <c r="B9693" s="34"/>
      <c r="G9693" s="31"/>
    </row>
    <row r="9694" spans="1:7" x14ac:dyDescent="0.25">
      <c r="A9694" s="36"/>
      <c r="B9694" s="34"/>
      <c r="G9694" s="31"/>
    </row>
    <row r="9695" spans="1:7" x14ac:dyDescent="0.25">
      <c r="A9695" s="36"/>
      <c r="B9695" s="34"/>
      <c r="G9695" s="31"/>
    </row>
    <row r="9696" spans="1:7" x14ac:dyDescent="0.25">
      <c r="A9696" s="36"/>
      <c r="B9696" s="34"/>
      <c r="G9696" s="31"/>
    </row>
    <row r="9697" spans="1:7" x14ac:dyDescent="0.25">
      <c r="A9697" s="36"/>
      <c r="B9697" s="34"/>
      <c r="G9697" s="31"/>
    </row>
    <row r="9698" spans="1:7" x14ac:dyDescent="0.25">
      <c r="A9698" s="36"/>
      <c r="B9698" s="34"/>
      <c r="G9698" s="31"/>
    </row>
    <row r="9699" spans="1:7" x14ac:dyDescent="0.25">
      <c r="A9699" s="36"/>
      <c r="B9699" s="34"/>
      <c r="G9699" s="31"/>
    </row>
    <row r="9700" spans="1:7" x14ac:dyDescent="0.25">
      <c r="A9700" s="36"/>
      <c r="B9700" s="34"/>
      <c r="G9700" s="31"/>
    </row>
    <row r="9701" spans="1:7" x14ac:dyDescent="0.25">
      <c r="A9701" s="36"/>
      <c r="B9701" s="34"/>
      <c r="G9701" s="31"/>
    </row>
    <row r="9702" spans="1:7" x14ac:dyDescent="0.25">
      <c r="A9702" s="36"/>
      <c r="B9702" s="34"/>
      <c r="G9702" s="31"/>
    </row>
    <row r="9703" spans="1:7" x14ac:dyDescent="0.25">
      <c r="A9703" s="36"/>
      <c r="B9703" s="34"/>
      <c r="G9703" s="31"/>
    </row>
    <row r="9704" spans="1:7" x14ac:dyDescent="0.25">
      <c r="A9704" s="36"/>
      <c r="B9704" s="34"/>
      <c r="G9704" s="31"/>
    </row>
    <row r="9705" spans="1:7" x14ac:dyDescent="0.25">
      <c r="A9705" s="36"/>
      <c r="B9705" s="34"/>
      <c r="G9705" s="31"/>
    </row>
    <row r="9706" spans="1:7" x14ac:dyDescent="0.25">
      <c r="A9706" s="36"/>
      <c r="B9706" s="34"/>
      <c r="G9706" s="31"/>
    </row>
    <row r="9707" spans="1:7" x14ac:dyDescent="0.25">
      <c r="A9707" s="36"/>
      <c r="B9707" s="34"/>
      <c r="G9707" s="31"/>
    </row>
    <row r="9708" spans="1:7" x14ac:dyDescent="0.25">
      <c r="A9708" s="36"/>
      <c r="B9708" s="34"/>
      <c r="G9708" s="31"/>
    </row>
    <row r="9709" spans="1:7" x14ac:dyDescent="0.25">
      <c r="A9709" s="36"/>
      <c r="B9709" s="34"/>
      <c r="G9709" s="31"/>
    </row>
    <row r="9710" spans="1:7" x14ac:dyDescent="0.25">
      <c r="A9710" s="36"/>
      <c r="B9710" s="34"/>
      <c r="G9710" s="31"/>
    </row>
    <row r="9711" spans="1:7" x14ac:dyDescent="0.25">
      <c r="A9711" s="36"/>
      <c r="B9711" s="34"/>
      <c r="G9711" s="31"/>
    </row>
    <row r="9712" spans="1:7" x14ac:dyDescent="0.25">
      <c r="A9712" s="36"/>
      <c r="B9712" s="34"/>
      <c r="G9712" s="31"/>
    </row>
    <row r="9713" spans="1:7" x14ac:dyDescent="0.25">
      <c r="A9713" s="36"/>
      <c r="B9713" s="34"/>
      <c r="G9713" s="31"/>
    </row>
    <row r="9714" spans="1:7" x14ac:dyDescent="0.25">
      <c r="A9714" s="36"/>
      <c r="B9714" s="34"/>
      <c r="G9714" s="31"/>
    </row>
    <row r="9715" spans="1:7" x14ac:dyDescent="0.25">
      <c r="A9715" s="36"/>
      <c r="B9715" s="34"/>
      <c r="G9715" s="31"/>
    </row>
    <row r="9716" spans="1:7" x14ac:dyDescent="0.25">
      <c r="A9716" s="36"/>
      <c r="B9716" s="34"/>
      <c r="G9716" s="31"/>
    </row>
    <row r="9717" spans="1:7" x14ac:dyDescent="0.25">
      <c r="A9717" s="36"/>
      <c r="B9717" s="34"/>
      <c r="G9717" s="31"/>
    </row>
    <row r="9718" spans="1:7" x14ac:dyDescent="0.25">
      <c r="A9718" s="36"/>
      <c r="B9718" s="34"/>
      <c r="G9718" s="31"/>
    </row>
    <row r="9719" spans="1:7" x14ac:dyDescent="0.25">
      <c r="A9719" s="36"/>
      <c r="B9719" s="34"/>
      <c r="G9719" s="31"/>
    </row>
    <row r="9720" spans="1:7" x14ac:dyDescent="0.25">
      <c r="A9720" s="36"/>
      <c r="B9720" s="34"/>
      <c r="G9720" s="31"/>
    </row>
    <row r="9721" spans="1:7" x14ac:dyDescent="0.25">
      <c r="A9721" s="36"/>
      <c r="B9721" s="34"/>
      <c r="G9721" s="31"/>
    </row>
    <row r="9722" spans="1:7" x14ac:dyDescent="0.25">
      <c r="A9722" s="36"/>
      <c r="B9722" s="34"/>
      <c r="G9722" s="31"/>
    </row>
    <row r="9723" spans="1:7" x14ac:dyDescent="0.25">
      <c r="A9723" s="36"/>
      <c r="B9723" s="34"/>
      <c r="G9723" s="31"/>
    </row>
    <row r="9724" spans="1:7" x14ac:dyDescent="0.25">
      <c r="A9724" s="36"/>
      <c r="B9724" s="34"/>
      <c r="G9724" s="31"/>
    </row>
    <row r="9725" spans="1:7" x14ac:dyDescent="0.25">
      <c r="A9725" s="36"/>
      <c r="B9725" s="34"/>
      <c r="G9725" s="31"/>
    </row>
    <row r="9726" spans="1:7" x14ac:dyDescent="0.25">
      <c r="A9726" s="36"/>
      <c r="B9726" s="34"/>
      <c r="G9726" s="31"/>
    </row>
    <row r="9727" spans="1:7" x14ac:dyDescent="0.25">
      <c r="A9727" s="36"/>
      <c r="B9727" s="34"/>
      <c r="G9727" s="31"/>
    </row>
    <row r="9728" spans="1:7" x14ac:dyDescent="0.25">
      <c r="A9728" s="36"/>
      <c r="B9728" s="34"/>
      <c r="G9728" s="31"/>
    </row>
    <row r="9729" spans="1:7" x14ac:dyDescent="0.25">
      <c r="A9729" s="36"/>
      <c r="B9729" s="34"/>
      <c r="G9729" s="31"/>
    </row>
    <row r="9730" spans="1:7" x14ac:dyDescent="0.25">
      <c r="A9730" s="36"/>
      <c r="B9730" s="34"/>
      <c r="G9730" s="31"/>
    </row>
    <row r="9731" spans="1:7" x14ac:dyDescent="0.25">
      <c r="A9731" s="36"/>
      <c r="B9731" s="34"/>
      <c r="G9731" s="31"/>
    </row>
    <row r="9732" spans="1:7" x14ac:dyDescent="0.25">
      <c r="A9732" s="36"/>
      <c r="B9732" s="34"/>
      <c r="G9732" s="31"/>
    </row>
    <row r="9733" spans="1:7" x14ac:dyDescent="0.25">
      <c r="A9733" s="36"/>
      <c r="B9733" s="34"/>
      <c r="G9733" s="31"/>
    </row>
    <row r="9734" spans="1:7" x14ac:dyDescent="0.25">
      <c r="A9734" s="36"/>
      <c r="B9734" s="34"/>
      <c r="G9734" s="31"/>
    </row>
    <row r="9735" spans="1:7" x14ac:dyDescent="0.25">
      <c r="A9735" s="36"/>
      <c r="B9735" s="34"/>
      <c r="G9735" s="31"/>
    </row>
    <row r="9736" spans="1:7" x14ac:dyDescent="0.25">
      <c r="A9736" s="36"/>
      <c r="B9736" s="34"/>
      <c r="G9736" s="31"/>
    </row>
    <row r="9737" spans="1:7" x14ac:dyDescent="0.25">
      <c r="A9737" s="36"/>
      <c r="B9737" s="34"/>
      <c r="G9737" s="31"/>
    </row>
    <row r="9738" spans="1:7" x14ac:dyDescent="0.25">
      <c r="A9738" s="36"/>
      <c r="B9738" s="34"/>
      <c r="G9738" s="31"/>
    </row>
    <row r="9739" spans="1:7" x14ac:dyDescent="0.25">
      <c r="A9739" s="36"/>
      <c r="B9739" s="34"/>
      <c r="G9739" s="31"/>
    </row>
    <row r="9740" spans="1:7" x14ac:dyDescent="0.25">
      <c r="A9740" s="36"/>
      <c r="B9740" s="34"/>
      <c r="G9740" s="31"/>
    </row>
    <row r="9741" spans="1:7" x14ac:dyDescent="0.25">
      <c r="A9741" s="36"/>
      <c r="B9741" s="34"/>
      <c r="G9741" s="31"/>
    </row>
    <row r="9742" spans="1:7" x14ac:dyDescent="0.25">
      <c r="A9742" s="36"/>
      <c r="B9742" s="34"/>
      <c r="G9742" s="31"/>
    </row>
    <row r="9743" spans="1:7" x14ac:dyDescent="0.25">
      <c r="A9743" s="36"/>
      <c r="B9743" s="34"/>
      <c r="G9743" s="31"/>
    </row>
    <row r="9744" spans="1:7" x14ac:dyDescent="0.25">
      <c r="A9744" s="36"/>
      <c r="B9744" s="34"/>
      <c r="G9744" s="31"/>
    </row>
    <row r="9745" spans="1:7" x14ac:dyDescent="0.25">
      <c r="A9745" s="36"/>
      <c r="B9745" s="34"/>
      <c r="G9745" s="31"/>
    </row>
    <row r="9746" spans="1:7" x14ac:dyDescent="0.25">
      <c r="A9746" s="36"/>
      <c r="B9746" s="34"/>
      <c r="G9746" s="31"/>
    </row>
    <row r="9747" spans="1:7" x14ac:dyDescent="0.25">
      <c r="A9747" s="36"/>
      <c r="B9747" s="34"/>
      <c r="G9747" s="31"/>
    </row>
    <row r="9748" spans="1:7" x14ac:dyDescent="0.25">
      <c r="A9748" s="36"/>
      <c r="B9748" s="34"/>
      <c r="G9748" s="31"/>
    </row>
    <row r="9749" spans="1:7" x14ac:dyDescent="0.25">
      <c r="A9749" s="36"/>
      <c r="B9749" s="34"/>
      <c r="G9749" s="31"/>
    </row>
    <row r="9750" spans="1:7" x14ac:dyDescent="0.25">
      <c r="A9750" s="36"/>
      <c r="B9750" s="34"/>
      <c r="G9750" s="31"/>
    </row>
    <row r="9751" spans="1:7" x14ac:dyDescent="0.25">
      <c r="A9751" s="36"/>
      <c r="B9751" s="34"/>
      <c r="G9751" s="31"/>
    </row>
    <row r="9752" spans="1:7" x14ac:dyDescent="0.25">
      <c r="A9752" s="36"/>
      <c r="B9752" s="34"/>
      <c r="G9752" s="31"/>
    </row>
    <row r="9753" spans="1:7" x14ac:dyDescent="0.25">
      <c r="A9753" s="36"/>
      <c r="B9753" s="34"/>
      <c r="G9753" s="31"/>
    </row>
    <row r="9754" spans="1:7" x14ac:dyDescent="0.25">
      <c r="A9754" s="36"/>
      <c r="B9754" s="34"/>
      <c r="G9754" s="31"/>
    </row>
    <row r="9755" spans="1:7" x14ac:dyDescent="0.25">
      <c r="A9755" s="36"/>
      <c r="B9755" s="34"/>
      <c r="G9755" s="31"/>
    </row>
    <row r="9756" spans="1:7" x14ac:dyDescent="0.25">
      <c r="A9756" s="36"/>
      <c r="B9756" s="34"/>
      <c r="G9756" s="31"/>
    </row>
    <row r="9757" spans="1:7" x14ac:dyDescent="0.25">
      <c r="A9757" s="36"/>
      <c r="B9757" s="34"/>
      <c r="G9757" s="31"/>
    </row>
    <row r="9758" spans="1:7" x14ac:dyDescent="0.25">
      <c r="A9758" s="36"/>
      <c r="B9758" s="34"/>
      <c r="G9758" s="31"/>
    </row>
    <row r="9759" spans="1:7" x14ac:dyDescent="0.25">
      <c r="A9759" s="36"/>
      <c r="B9759" s="34"/>
      <c r="G9759" s="31"/>
    </row>
    <row r="9760" spans="1:7" x14ac:dyDescent="0.25">
      <c r="A9760" s="36"/>
      <c r="B9760" s="34"/>
      <c r="G9760" s="31"/>
    </row>
    <row r="9761" spans="1:7" x14ac:dyDescent="0.25">
      <c r="A9761" s="36"/>
      <c r="B9761" s="34"/>
      <c r="G9761" s="31"/>
    </row>
    <row r="9762" spans="1:7" x14ac:dyDescent="0.25">
      <c r="A9762" s="36"/>
      <c r="B9762" s="34"/>
      <c r="G9762" s="31"/>
    </row>
    <row r="9763" spans="1:7" x14ac:dyDescent="0.25">
      <c r="A9763" s="36"/>
      <c r="B9763" s="34"/>
      <c r="G9763" s="31"/>
    </row>
    <row r="9764" spans="1:7" x14ac:dyDescent="0.25">
      <c r="A9764" s="36"/>
      <c r="B9764" s="34"/>
      <c r="G9764" s="31"/>
    </row>
    <row r="9765" spans="1:7" x14ac:dyDescent="0.25">
      <c r="A9765" s="36"/>
      <c r="B9765" s="34"/>
      <c r="G9765" s="31"/>
    </row>
    <row r="9766" spans="1:7" x14ac:dyDescent="0.25">
      <c r="A9766" s="36"/>
      <c r="B9766" s="34"/>
      <c r="G9766" s="31"/>
    </row>
    <row r="9767" spans="1:7" x14ac:dyDescent="0.25">
      <c r="A9767" s="36"/>
      <c r="B9767" s="34"/>
      <c r="G9767" s="31"/>
    </row>
    <row r="9768" spans="1:7" x14ac:dyDescent="0.25">
      <c r="A9768" s="36"/>
      <c r="B9768" s="34"/>
      <c r="G9768" s="31"/>
    </row>
    <row r="9769" spans="1:7" x14ac:dyDescent="0.25">
      <c r="A9769" s="36"/>
      <c r="B9769" s="34"/>
      <c r="G9769" s="31"/>
    </row>
    <row r="9770" spans="1:7" x14ac:dyDescent="0.25">
      <c r="A9770" s="36"/>
      <c r="B9770" s="34"/>
      <c r="G9770" s="31"/>
    </row>
    <row r="9771" spans="1:7" x14ac:dyDescent="0.25">
      <c r="A9771" s="36"/>
      <c r="B9771" s="34"/>
      <c r="G9771" s="31"/>
    </row>
    <row r="9772" spans="1:7" x14ac:dyDescent="0.25">
      <c r="A9772" s="36"/>
      <c r="B9772" s="34"/>
      <c r="G9772" s="31"/>
    </row>
    <row r="9773" spans="1:7" x14ac:dyDescent="0.25">
      <c r="A9773" s="36"/>
      <c r="B9773" s="34"/>
      <c r="G9773" s="31"/>
    </row>
    <row r="9774" spans="1:7" x14ac:dyDescent="0.25">
      <c r="A9774" s="36"/>
      <c r="B9774" s="34"/>
      <c r="G9774" s="31"/>
    </row>
    <row r="9775" spans="1:7" x14ac:dyDescent="0.25">
      <c r="A9775" s="36"/>
      <c r="B9775" s="34"/>
      <c r="G9775" s="31"/>
    </row>
    <row r="9776" spans="1:7" x14ac:dyDescent="0.25">
      <c r="A9776" s="36"/>
      <c r="B9776" s="34"/>
      <c r="G9776" s="31"/>
    </row>
    <row r="9777" spans="1:7" x14ac:dyDescent="0.25">
      <c r="A9777" s="36"/>
      <c r="B9777" s="34"/>
      <c r="G9777" s="31"/>
    </row>
    <row r="9778" spans="1:7" x14ac:dyDescent="0.25">
      <c r="A9778" s="36"/>
      <c r="B9778" s="34"/>
      <c r="G9778" s="31"/>
    </row>
    <row r="9779" spans="1:7" x14ac:dyDescent="0.25">
      <c r="A9779" s="36"/>
      <c r="B9779" s="34"/>
      <c r="G9779" s="31"/>
    </row>
    <row r="9780" spans="1:7" x14ac:dyDescent="0.25">
      <c r="A9780" s="36"/>
      <c r="B9780" s="34"/>
      <c r="G9780" s="31"/>
    </row>
    <row r="9781" spans="1:7" x14ac:dyDescent="0.25">
      <c r="A9781" s="36"/>
      <c r="B9781" s="34"/>
      <c r="G9781" s="31"/>
    </row>
    <row r="9782" spans="1:7" x14ac:dyDescent="0.25">
      <c r="A9782" s="36"/>
      <c r="B9782" s="34"/>
      <c r="G9782" s="31"/>
    </row>
    <row r="9783" spans="1:7" x14ac:dyDescent="0.25">
      <c r="A9783" s="36"/>
      <c r="B9783" s="34"/>
      <c r="G9783" s="31"/>
    </row>
    <row r="9784" spans="1:7" x14ac:dyDescent="0.25">
      <c r="A9784" s="36"/>
      <c r="B9784" s="34"/>
      <c r="G9784" s="31"/>
    </row>
    <row r="9785" spans="1:7" x14ac:dyDescent="0.25">
      <c r="A9785" s="36"/>
      <c r="B9785" s="34"/>
      <c r="G9785" s="31"/>
    </row>
    <row r="9786" spans="1:7" x14ac:dyDescent="0.25">
      <c r="A9786" s="36"/>
      <c r="B9786" s="34"/>
      <c r="G9786" s="31"/>
    </row>
    <row r="9787" spans="1:7" x14ac:dyDescent="0.25">
      <c r="A9787" s="36"/>
      <c r="B9787" s="34"/>
      <c r="G9787" s="31"/>
    </row>
    <row r="9788" spans="1:7" x14ac:dyDescent="0.25">
      <c r="A9788" s="36"/>
      <c r="B9788" s="34"/>
      <c r="G9788" s="31"/>
    </row>
    <row r="9789" spans="1:7" x14ac:dyDescent="0.25">
      <c r="A9789" s="36"/>
      <c r="B9789" s="34"/>
      <c r="G9789" s="31"/>
    </row>
    <row r="9790" spans="1:7" x14ac:dyDescent="0.25">
      <c r="A9790" s="36"/>
      <c r="B9790" s="34"/>
      <c r="G9790" s="31"/>
    </row>
    <row r="9791" spans="1:7" x14ac:dyDescent="0.25">
      <c r="A9791" s="36"/>
      <c r="B9791" s="34"/>
      <c r="G9791" s="31"/>
    </row>
    <row r="9792" spans="1:7" x14ac:dyDescent="0.25">
      <c r="A9792" s="36"/>
      <c r="B9792" s="34"/>
      <c r="G9792" s="31"/>
    </row>
    <row r="9793" spans="1:7" x14ac:dyDescent="0.25">
      <c r="A9793" s="36"/>
      <c r="B9793" s="34"/>
      <c r="G9793" s="31"/>
    </row>
    <row r="9794" spans="1:7" x14ac:dyDescent="0.25">
      <c r="A9794" s="36"/>
      <c r="B9794" s="34"/>
      <c r="G9794" s="31"/>
    </row>
    <row r="9795" spans="1:7" x14ac:dyDescent="0.25">
      <c r="A9795" s="36"/>
      <c r="B9795" s="34"/>
      <c r="G9795" s="31"/>
    </row>
    <row r="9796" spans="1:7" x14ac:dyDescent="0.25">
      <c r="A9796" s="36"/>
      <c r="B9796" s="34"/>
      <c r="G9796" s="31"/>
    </row>
    <row r="9797" spans="1:7" x14ac:dyDescent="0.25">
      <c r="A9797" s="36"/>
      <c r="B9797" s="34"/>
      <c r="G9797" s="31"/>
    </row>
    <row r="9798" spans="1:7" x14ac:dyDescent="0.25">
      <c r="A9798" s="36"/>
      <c r="B9798" s="34"/>
      <c r="G9798" s="31"/>
    </row>
    <row r="9799" spans="1:7" x14ac:dyDescent="0.25">
      <c r="A9799" s="36"/>
      <c r="B9799" s="34"/>
      <c r="G9799" s="31"/>
    </row>
    <row r="9800" spans="1:7" x14ac:dyDescent="0.25">
      <c r="A9800" s="36"/>
      <c r="B9800" s="34"/>
      <c r="G9800" s="31"/>
    </row>
    <row r="9801" spans="1:7" x14ac:dyDescent="0.25">
      <c r="A9801" s="36"/>
      <c r="B9801" s="34"/>
      <c r="G9801" s="31"/>
    </row>
    <row r="9802" spans="1:7" x14ac:dyDescent="0.25">
      <c r="A9802" s="36"/>
      <c r="B9802" s="34"/>
      <c r="G9802" s="31"/>
    </row>
    <row r="9803" spans="1:7" x14ac:dyDescent="0.25">
      <c r="A9803" s="36"/>
      <c r="B9803" s="34"/>
      <c r="G9803" s="31"/>
    </row>
    <row r="9804" spans="1:7" x14ac:dyDescent="0.25">
      <c r="A9804" s="36"/>
      <c r="B9804" s="34"/>
      <c r="G9804" s="31"/>
    </row>
    <row r="9805" spans="1:7" x14ac:dyDescent="0.25">
      <c r="A9805" s="36"/>
      <c r="B9805" s="34"/>
      <c r="G9805" s="31"/>
    </row>
    <row r="9806" spans="1:7" x14ac:dyDescent="0.25">
      <c r="A9806" s="36"/>
      <c r="B9806" s="34"/>
      <c r="G9806" s="31"/>
    </row>
    <row r="9807" spans="1:7" x14ac:dyDescent="0.25">
      <c r="A9807" s="36"/>
      <c r="B9807" s="34"/>
      <c r="G9807" s="31"/>
    </row>
    <row r="9808" spans="1:7" x14ac:dyDescent="0.25">
      <c r="A9808" s="36"/>
      <c r="B9808" s="34"/>
      <c r="G9808" s="31"/>
    </row>
    <row r="9809" spans="1:7" x14ac:dyDescent="0.25">
      <c r="A9809" s="36"/>
      <c r="B9809" s="34"/>
      <c r="G9809" s="31"/>
    </row>
    <row r="9810" spans="1:7" x14ac:dyDescent="0.25">
      <c r="A9810" s="36"/>
      <c r="B9810" s="34"/>
      <c r="G9810" s="31"/>
    </row>
    <row r="9811" spans="1:7" x14ac:dyDescent="0.25">
      <c r="A9811" s="36"/>
      <c r="B9811" s="34"/>
      <c r="G9811" s="31"/>
    </row>
    <row r="9812" spans="1:7" x14ac:dyDescent="0.25">
      <c r="A9812" s="36"/>
      <c r="B9812" s="34"/>
      <c r="G9812" s="31"/>
    </row>
    <row r="9813" spans="1:7" x14ac:dyDescent="0.25">
      <c r="A9813" s="36"/>
      <c r="B9813" s="34"/>
      <c r="G9813" s="31"/>
    </row>
    <row r="9814" spans="1:7" x14ac:dyDescent="0.25">
      <c r="A9814" s="36"/>
      <c r="B9814" s="34"/>
      <c r="G9814" s="31"/>
    </row>
    <row r="9815" spans="1:7" x14ac:dyDescent="0.25">
      <c r="A9815" s="36"/>
      <c r="B9815" s="34"/>
      <c r="G9815" s="31"/>
    </row>
    <row r="9816" spans="1:7" x14ac:dyDescent="0.25">
      <c r="A9816" s="36"/>
      <c r="B9816" s="34"/>
      <c r="G9816" s="31"/>
    </row>
    <row r="9817" spans="1:7" x14ac:dyDescent="0.25">
      <c r="A9817" s="36"/>
      <c r="B9817" s="34"/>
      <c r="G9817" s="31"/>
    </row>
    <row r="9818" spans="1:7" x14ac:dyDescent="0.25">
      <c r="A9818" s="36"/>
      <c r="B9818" s="34"/>
      <c r="G9818" s="31"/>
    </row>
    <row r="9819" spans="1:7" x14ac:dyDescent="0.25">
      <c r="A9819" s="36"/>
      <c r="B9819" s="34"/>
      <c r="G9819" s="31"/>
    </row>
    <row r="9820" spans="1:7" x14ac:dyDescent="0.25">
      <c r="A9820" s="36"/>
      <c r="B9820" s="34"/>
      <c r="G9820" s="31"/>
    </row>
    <row r="9821" spans="1:7" x14ac:dyDescent="0.25">
      <c r="A9821" s="36"/>
      <c r="B9821" s="34"/>
      <c r="G9821" s="31"/>
    </row>
    <row r="9822" spans="1:7" x14ac:dyDescent="0.25">
      <c r="A9822" s="36"/>
      <c r="B9822" s="34"/>
      <c r="G9822" s="31"/>
    </row>
    <row r="9823" spans="1:7" x14ac:dyDescent="0.25">
      <c r="A9823" s="36"/>
      <c r="B9823" s="34"/>
      <c r="G9823" s="31"/>
    </row>
    <row r="9824" spans="1:7" x14ac:dyDescent="0.25">
      <c r="A9824" s="36"/>
      <c r="B9824" s="34"/>
      <c r="G9824" s="31"/>
    </row>
    <row r="9825" spans="1:7" x14ac:dyDescent="0.25">
      <c r="A9825" s="36"/>
      <c r="B9825" s="34"/>
      <c r="G9825" s="31"/>
    </row>
    <row r="9826" spans="1:7" x14ac:dyDescent="0.25">
      <c r="A9826" s="36"/>
      <c r="B9826" s="34"/>
      <c r="G9826" s="31"/>
    </row>
    <row r="9827" spans="1:7" x14ac:dyDescent="0.25">
      <c r="A9827" s="36"/>
      <c r="B9827" s="34"/>
      <c r="G9827" s="31"/>
    </row>
    <row r="9828" spans="1:7" x14ac:dyDescent="0.25">
      <c r="A9828" s="36"/>
      <c r="B9828" s="34"/>
      <c r="G9828" s="31"/>
    </row>
    <row r="9829" spans="1:7" x14ac:dyDescent="0.25">
      <c r="A9829" s="36"/>
      <c r="B9829" s="34"/>
      <c r="G9829" s="31"/>
    </row>
    <row r="9830" spans="1:7" x14ac:dyDescent="0.25">
      <c r="A9830" s="36"/>
      <c r="B9830" s="34"/>
      <c r="G9830" s="31"/>
    </row>
    <row r="9831" spans="1:7" x14ac:dyDescent="0.25">
      <c r="A9831" s="36"/>
      <c r="B9831" s="34"/>
      <c r="G9831" s="31"/>
    </row>
    <row r="9832" spans="1:7" x14ac:dyDescent="0.25">
      <c r="A9832" s="36"/>
      <c r="B9832" s="34"/>
      <c r="G9832" s="31"/>
    </row>
    <row r="9833" spans="1:7" x14ac:dyDescent="0.25">
      <c r="A9833" s="36"/>
      <c r="B9833" s="34"/>
      <c r="G9833" s="31"/>
    </row>
    <row r="9834" spans="1:7" x14ac:dyDescent="0.25">
      <c r="A9834" s="36"/>
      <c r="B9834" s="34"/>
      <c r="G9834" s="31"/>
    </row>
    <row r="9835" spans="1:7" x14ac:dyDescent="0.25">
      <c r="A9835" s="36"/>
      <c r="B9835" s="34"/>
      <c r="G9835" s="31"/>
    </row>
    <row r="9836" spans="1:7" x14ac:dyDescent="0.25">
      <c r="A9836" s="36"/>
      <c r="B9836" s="34"/>
      <c r="G9836" s="31"/>
    </row>
    <row r="9837" spans="1:7" x14ac:dyDescent="0.25">
      <c r="A9837" s="36"/>
      <c r="B9837" s="34"/>
      <c r="G9837" s="31"/>
    </row>
    <row r="9838" spans="1:7" x14ac:dyDescent="0.25">
      <c r="A9838" s="36"/>
      <c r="B9838" s="34"/>
      <c r="G9838" s="31"/>
    </row>
    <row r="9839" spans="1:7" x14ac:dyDescent="0.25">
      <c r="A9839" s="36"/>
      <c r="B9839" s="34"/>
      <c r="G9839" s="31"/>
    </row>
    <row r="9840" spans="1:7" x14ac:dyDescent="0.25">
      <c r="A9840" s="36"/>
      <c r="B9840" s="34"/>
      <c r="G9840" s="31"/>
    </row>
    <row r="9841" spans="1:7" x14ac:dyDescent="0.25">
      <c r="A9841" s="36"/>
      <c r="B9841" s="34"/>
      <c r="G9841" s="31"/>
    </row>
    <row r="9842" spans="1:7" x14ac:dyDescent="0.25">
      <c r="A9842" s="36"/>
      <c r="B9842" s="34"/>
      <c r="G9842" s="31"/>
    </row>
    <row r="9843" spans="1:7" x14ac:dyDescent="0.25">
      <c r="A9843" s="36"/>
      <c r="B9843" s="34"/>
      <c r="G9843" s="31"/>
    </row>
    <row r="9844" spans="1:7" x14ac:dyDescent="0.25">
      <c r="A9844" s="36"/>
      <c r="B9844" s="34"/>
      <c r="G9844" s="31"/>
    </row>
    <row r="9845" spans="1:7" x14ac:dyDescent="0.25">
      <c r="A9845" s="36"/>
      <c r="B9845" s="34"/>
      <c r="G9845" s="31"/>
    </row>
    <row r="9846" spans="1:7" x14ac:dyDescent="0.25">
      <c r="A9846" s="36"/>
      <c r="B9846" s="34"/>
      <c r="G9846" s="31"/>
    </row>
    <row r="9847" spans="1:7" x14ac:dyDescent="0.25">
      <c r="A9847" s="36"/>
      <c r="B9847" s="34"/>
      <c r="G9847" s="31"/>
    </row>
    <row r="9848" spans="1:7" x14ac:dyDescent="0.25">
      <c r="A9848" s="36"/>
      <c r="B9848" s="34"/>
      <c r="G9848" s="31"/>
    </row>
    <row r="9849" spans="1:7" x14ac:dyDescent="0.25">
      <c r="A9849" s="36"/>
      <c r="B9849" s="34"/>
      <c r="G9849" s="31"/>
    </row>
    <row r="9850" spans="1:7" x14ac:dyDescent="0.25">
      <c r="A9850" s="36"/>
      <c r="B9850" s="34"/>
      <c r="G9850" s="31"/>
    </row>
    <row r="9851" spans="1:7" x14ac:dyDescent="0.25">
      <c r="A9851" s="36"/>
      <c r="B9851" s="34"/>
      <c r="G9851" s="31"/>
    </row>
    <row r="9852" spans="1:7" x14ac:dyDescent="0.25">
      <c r="A9852" s="36"/>
      <c r="B9852" s="34"/>
      <c r="G9852" s="31"/>
    </row>
    <row r="9853" spans="1:7" x14ac:dyDescent="0.25">
      <c r="A9853" s="36"/>
      <c r="B9853" s="34"/>
      <c r="G9853" s="31"/>
    </row>
    <row r="9854" spans="1:7" x14ac:dyDescent="0.25">
      <c r="A9854" s="36"/>
      <c r="B9854" s="34"/>
      <c r="G9854" s="31"/>
    </row>
    <row r="9855" spans="1:7" x14ac:dyDescent="0.25">
      <c r="A9855" s="36"/>
      <c r="B9855" s="34"/>
      <c r="G9855" s="31"/>
    </row>
    <row r="9856" spans="1:7" x14ac:dyDescent="0.25">
      <c r="A9856" s="36"/>
      <c r="B9856" s="34"/>
      <c r="G9856" s="31"/>
    </row>
    <row r="9857" spans="1:7" x14ac:dyDescent="0.25">
      <c r="A9857" s="36"/>
      <c r="B9857" s="34"/>
      <c r="G9857" s="31"/>
    </row>
    <row r="9858" spans="1:7" x14ac:dyDescent="0.25">
      <c r="A9858" s="36"/>
      <c r="B9858" s="34"/>
      <c r="G9858" s="31"/>
    </row>
    <row r="9859" spans="1:7" x14ac:dyDescent="0.25">
      <c r="A9859" s="36"/>
      <c r="B9859" s="34"/>
      <c r="G9859" s="31"/>
    </row>
    <row r="9860" spans="1:7" x14ac:dyDescent="0.25">
      <c r="A9860" s="36"/>
      <c r="B9860" s="34"/>
      <c r="G9860" s="31"/>
    </row>
    <row r="9861" spans="1:7" x14ac:dyDescent="0.25">
      <c r="A9861" s="36"/>
      <c r="B9861" s="34"/>
      <c r="G9861" s="31"/>
    </row>
    <row r="9862" spans="1:7" x14ac:dyDescent="0.25">
      <c r="A9862" s="36"/>
      <c r="B9862" s="34"/>
      <c r="G9862" s="31"/>
    </row>
    <row r="9863" spans="1:7" x14ac:dyDescent="0.25">
      <c r="A9863" s="36"/>
      <c r="B9863" s="34"/>
      <c r="G9863" s="31"/>
    </row>
    <row r="9864" spans="1:7" x14ac:dyDescent="0.25">
      <c r="A9864" s="36"/>
      <c r="B9864" s="34"/>
      <c r="G9864" s="31"/>
    </row>
    <row r="9865" spans="1:7" x14ac:dyDescent="0.25">
      <c r="A9865" s="36"/>
      <c r="B9865" s="34"/>
      <c r="G9865" s="31"/>
    </row>
    <row r="9866" spans="1:7" x14ac:dyDescent="0.25">
      <c r="A9866" s="36"/>
      <c r="B9866" s="34"/>
      <c r="G9866" s="31"/>
    </row>
    <row r="9867" spans="1:7" x14ac:dyDescent="0.25">
      <c r="A9867" s="36"/>
      <c r="B9867" s="34"/>
      <c r="G9867" s="31"/>
    </row>
    <row r="9868" spans="1:7" x14ac:dyDescent="0.25">
      <c r="A9868" s="36"/>
      <c r="B9868" s="34"/>
      <c r="G9868" s="31"/>
    </row>
    <row r="9869" spans="1:7" x14ac:dyDescent="0.25">
      <c r="A9869" s="36"/>
      <c r="B9869" s="34"/>
      <c r="G9869" s="31"/>
    </row>
    <row r="9870" spans="1:7" x14ac:dyDescent="0.25">
      <c r="A9870" s="36"/>
      <c r="B9870" s="34"/>
      <c r="G9870" s="31"/>
    </row>
    <row r="9871" spans="1:7" x14ac:dyDescent="0.25">
      <c r="A9871" s="36"/>
      <c r="B9871" s="34"/>
      <c r="G9871" s="31"/>
    </row>
    <row r="9872" spans="1:7" x14ac:dyDescent="0.25">
      <c r="A9872" s="36"/>
      <c r="B9872" s="34"/>
      <c r="G9872" s="31"/>
    </row>
    <row r="9873" spans="1:7" x14ac:dyDescent="0.25">
      <c r="A9873" s="36"/>
      <c r="B9873" s="34"/>
      <c r="G9873" s="31"/>
    </row>
    <row r="9874" spans="1:7" x14ac:dyDescent="0.25">
      <c r="A9874" s="36"/>
      <c r="B9874" s="34"/>
      <c r="G9874" s="31"/>
    </row>
    <row r="9875" spans="1:7" x14ac:dyDescent="0.25">
      <c r="A9875" s="36"/>
      <c r="B9875" s="34"/>
      <c r="G9875" s="31"/>
    </row>
    <row r="9876" spans="1:7" x14ac:dyDescent="0.25">
      <c r="A9876" s="36"/>
      <c r="B9876" s="34"/>
      <c r="G9876" s="31"/>
    </row>
    <row r="9877" spans="1:7" x14ac:dyDescent="0.25">
      <c r="A9877" s="36"/>
      <c r="B9877" s="34"/>
      <c r="G9877" s="31"/>
    </row>
    <row r="9878" spans="1:7" x14ac:dyDescent="0.25">
      <c r="A9878" s="36"/>
      <c r="B9878" s="34"/>
      <c r="G9878" s="31"/>
    </row>
    <row r="9879" spans="1:7" x14ac:dyDescent="0.25">
      <c r="A9879" s="36"/>
      <c r="B9879" s="34"/>
      <c r="G9879" s="31"/>
    </row>
    <row r="9880" spans="1:7" x14ac:dyDescent="0.25">
      <c r="A9880" s="36"/>
      <c r="B9880" s="34"/>
      <c r="G9880" s="31"/>
    </row>
    <row r="9881" spans="1:7" x14ac:dyDescent="0.25">
      <c r="A9881" s="36"/>
      <c r="B9881" s="34"/>
      <c r="G9881" s="31"/>
    </row>
    <row r="9882" spans="1:7" x14ac:dyDescent="0.25">
      <c r="A9882" s="36"/>
      <c r="B9882" s="34"/>
      <c r="G9882" s="31"/>
    </row>
    <row r="9883" spans="1:7" x14ac:dyDescent="0.25">
      <c r="A9883" s="36"/>
      <c r="B9883" s="34"/>
      <c r="G9883" s="31"/>
    </row>
    <row r="9884" spans="1:7" x14ac:dyDescent="0.25">
      <c r="A9884" s="36"/>
      <c r="B9884" s="34"/>
      <c r="G9884" s="31"/>
    </row>
    <row r="9885" spans="1:7" x14ac:dyDescent="0.25">
      <c r="A9885" s="36"/>
      <c r="B9885" s="34"/>
      <c r="G9885" s="31"/>
    </row>
    <row r="9886" spans="1:7" x14ac:dyDescent="0.25">
      <c r="A9886" s="36"/>
      <c r="B9886" s="34"/>
      <c r="G9886" s="31"/>
    </row>
    <row r="9887" spans="1:7" x14ac:dyDescent="0.25">
      <c r="A9887" s="36"/>
      <c r="B9887" s="34"/>
      <c r="G9887" s="31"/>
    </row>
    <row r="9888" spans="1:7" x14ac:dyDescent="0.25">
      <c r="A9888" s="36"/>
      <c r="B9888" s="34"/>
      <c r="G9888" s="31"/>
    </row>
    <row r="9889" spans="1:7" x14ac:dyDescent="0.25">
      <c r="A9889" s="36"/>
      <c r="B9889" s="34"/>
      <c r="G9889" s="31"/>
    </row>
    <row r="9890" spans="1:7" x14ac:dyDescent="0.25">
      <c r="A9890" s="36"/>
      <c r="B9890" s="34"/>
      <c r="G9890" s="31"/>
    </row>
    <row r="9891" spans="1:7" x14ac:dyDescent="0.25">
      <c r="A9891" s="36"/>
      <c r="B9891" s="34"/>
      <c r="G9891" s="31"/>
    </row>
    <row r="9892" spans="1:7" x14ac:dyDescent="0.25">
      <c r="A9892" s="36"/>
      <c r="B9892" s="34"/>
      <c r="G9892" s="31"/>
    </row>
    <row r="9893" spans="1:7" x14ac:dyDescent="0.25">
      <c r="A9893" s="36"/>
      <c r="B9893" s="34"/>
      <c r="G9893" s="31"/>
    </row>
    <row r="9894" spans="1:7" x14ac:dyDescent="0.25">
      <c r="A9894" s="36"/>
      <c r="B9894" s="34"/>
      <c r="G9894" s="31"/>
    </row>
    <row r="9895" spans="1:7" x14ac:dyDescent="0.25">
      <c r="A9895" s="36"/>
      <c r="B9895" s="34"/>
      <c r="G9895" s="31"/>
    </row>
    <row r="9896" spans="1:7" x14ac:dyDescent="0.25">
      <c r="A9896" s="36"/>
      <c r="B9896" s="34"/>
      <c r="G9896" s="31"/>
    </row>
    <row r="9897" spans="1:7" x14ac:dyDescent="0.25">
      <c r="A9897" s="36"/>
      <c r="B9897" s="34"/>
      <c r="G9897" s="31"/>
    </row>
    <row r="9898" spans="1:7" x14ac:dyDescent="0.25">
      <c r="A9898" s="36"/>
      <c r="B9898" s="34"/>
      <c r="G9898" s="31"/>
    </row>
    <row r="9899" spans="1:7" x14ac:dyDescent="0.25">
      <c r="A9899" s="36"/>
      <c r="B9899" s="34"/>
      <c r="G9899" s="31"/>
    </row>
    <row r="9900" spans="1:7" x14ac:dyDescent="0.25">
      <c r="A9900" s="36"/>
      <c r="B9900" s="34"/>
      <c r="G9900" s="31"/>
    </row>
    <row r="9901" spans="1:7" x14ac:dyDescent="0.25">
      <c r="A9901" s="36"/>
      <c r="B9901" s="34"/>
      <c r="G9901" s="31"/>
    </row>
    <row r="9902" spans="1:7" x14ac:dyDescent="0.25">
      <c r="A9902" s="36"/>
      <c r="B9902" s="34"/>
      <c r="G9902" s="31"/>
    </row>
    <row r="9903" spans="1:7" x14ac:dyDescent="0.25">
      <c r="A9903" s="36"/>
      <c r="B9903" s="34"/>
      <c r="G9903" s="31"/>
    </row>
    <row r="9904" spans="1:7" x14ac:dyDescent="0.25">
      <c r="A9904" s="36"/>
      <c r="B9904" s="34"/>
      <c r="G9904" s="31"/>
    </row>
    <row r="9905" spans="1:7" x14ac:dyDescent="0.25">
      <c r="A9905" s="36"/>
      <c r="B9905" s="34"/>
      <c r="G9905" s="31"/>
    </row>
    <row r="9906" spans="1:7" x14ac:dyDescent="0.25">
      <c r="A9906" s="36"/>
      <c r="B9906" s="34"/>
      <c r="G9906" s="31"/>
    </row>
    <row r="9907" spans="1:7" x14ac:dyDescent="0.25">
      <c r="A9907" s="36"/>
      <c r="B9907" s="34"/>
      <c r="G9907" s="31"/>
    </row>
    <row r="9908" spans="1:7" x14ac:dyDescent="0.25">
      <c r="A9908" s="36"/>
      <c r="B9908" s="34"/>
      <c r="G9908" s="31"/>
    </row>
    <row r="9909" spans="1:7" x14ac:dyDescent="0.25">
      <c r="A9909" s="36"/>
      <c r="B9909" s="34"/>
      <c r="G9909" s="31"/>
    </row>
    <row r="9910" spans="1:7" x14ac:dyDescent="0.25">
      <c r="A9910" s="36"/>
      <c r="B9910" s="34"/>
      <c r="G9910" s="31"/>
    </row>
    <row r="9911" spans="1:7" x14ac:dyDescent="0.25">
      <c r="A9911" s="36"/>
      <c r="B9911" s="34"/>
      <c r="G9911" s="31"/>
    </row>
    <row r="9912" spans="1:7" x14ac:dyDescent="0.25">
      <c r="A9912" s="36"/>
      <c r="B9912" s="34"/>
      <c r="G9912" s="31"/>
    </row>
    <row r="9913" spans="1:7" x14ac:dyDescent="0.25">
      <c r="A9913" s="36"/>
      <c r="B9913" s="34"/>
      <c r="G9913" s="31"/>
    </row>
    <row r="9914" spans="1:7" x14ac:dyDescent="0.25">
      <c r="A9914" s="36"/>
      <c r="B9914" s="34"/>
      <c r="G9914" s="31"/>
    </row>
    <row r="9915" spans="1:7" x14ac:dyDescent="0.25">
      <c r="A9915" s="36"/>
      <c r="B9915" s="34"/>
      <c r="G9915" s="31"/>
    </row>
    <row r="9916" spans="1:7" x14ac:dyDescent="0.25">
      <c r="A9916" s="36"/>
      <c r="B9916" s="34"/>
      <c r="G9916" s="31"/>
    </row>
    <row r="9917" spans="1:7" x14ac:dyDescent="0.25">
      <c r="A9917" s="36"/>
      <c r="B9917" s="34"/>
      <c r="G9917" s="31"/>
    </row>
    <row r="9918" spans="1:7" x14ac:dyDescent="0.25">
      <c r="A9918" s="36"/>
      <c r="B9918" s="34"/>
      <c r="G9918" s="31"/>
    </row>
    <row r="9919" spans="1:7" x14ac:dyDescent="0.25">
      <c r="A9919" s="36"/>
      <c r="B9919" s="34"/>
      <c r="G9919" s="31"/>
    </row>
    <row r="9920" spans="1:7" x14ac:dyDescent="0.25">
      <c r="A9920" s="36"/>
      <c r="B9920" s="34"/>
      <c r="G9920" s="31"/>
    </row>
    <row r="9921" spans="1:7" x14ac:dyDescent="0.25">
      <c r="A9921" s="36"/>
      <c r="B9921" s="34"/>
      <c r="G9921" s="31"/>
    </row>
    <row r="9922" spans="1:7" x14ac:dyDescent="0.25">
      <c r="A9922" s="36"/>
      <c r="B9922" s="34"/>
      <c r="G9922" s="31"/>
    </row>
    <row r="9923" spans="1:7" x14ac:dyDescent="0.25">
      <c r="A9923" s="36"/>
      <c r="B9923" s="34"/>
      <c r="G9923" s="31"/>
    </row>
    <row r="9924" spans="1:7" x14ac:dyDescent="0.25">
      <c r="A9924" s="36"/>
      <c r="B9924" s="34"/>
      <c r="G9924" s="31"/>
    </row>
    <row r="9925" spans="1:7" x14ac:dyDescent="0.25">
      <c r="A9925" s="36"/>
      <c r="B9925" s="34"/>
      <c r="G9925" s="31"/>
    </row>
    <row r="9926" spans="1:7" x14ac:dyDescent="0.25">
      <c r="A9926" s="36"/>
      <c r="B9926" s="34"/>
      <c r="G9926" s="31"/>
    </row>
    <row r="9927" spans="1:7" x14ac:dyDescent="0.25">
      <c r="A9927" s="36"/>
      <c r="B9927" s="34"/>
      <c r="G9927" s="31"/>
    </row>
    <row r="9928" spans="1:7" x14ac:dyDescent="0.25">
      <c r="A9928" s="36"/>
      <c r="B9928" s="34"/>
      <c r="G9928" s="31"/>
    </row>
    <row r="9929" spans="1:7" x14ac:dyDescent="0.25">
      <c r="A9929" s="36"/>
      <c r="B9929" s="34"/>
      <c r="G9929" s="31"/>
    </row>
    <row r="9930" spans="1:7" x14ac:dyDescent="0.25">
      <c r="A9930" s="36"/>
      <c r="B9930" s="34"/>
      <c r="G9930" s="31"/>
    </row>
    <row r="9931" spans="1:7" x14ac:dyDescent="0.25">
      <c r="A9931" s="36"/>
      <c r="B9931" s="34"/>
      <c r="G9931" s="31"/>
    </row>
    <row r="9932" spans="1:7" x14ac:dyDescent="0.25">
      <c r="A9932" s="36"/>
      <c r="B9932" s="34"/>
      <c r="G9932" s="31"/>
    </row>
    <row r="9933" spans="1:7" x14ac:dyDescent="0.25">
      <c r="A9933" s="36"/>
      <c r="B9933" s="34"/>
      <c r="G9933" s="31"/>
    </row>
    <row r="9934" spans="1:7" x14ac:dyDescent="0.25">
      <c r="A9934" s="36"/>
      <c r="B9934" s="34"/>
      <c r="G9934" s="31"/>
    </row>
    <row r="9935" spans="1:7" x14ac:dyDescent="0.25">
      <c r="A9935" s="36"/>
      <c r="B9935" s="34"/>
      <c r="G9935" s="31"/>
    </row>
    <row r="9936" spans="1:7" x14ac:dyDescent="0.25">
      <c r="A9936" s="36"/>
      <c r="B9936" s="34"/>
      <c r="G9936" s="31"/>
    </row>
    <row r="9937" spans="1:7" x14ac:dyDescent="0.25">
      <c r="A9937" s="36"/>
      <c r="B9937" s="34"/>
      <c r="G9937" s="31"/>
    </row>
    <row r="9938" spans="1:7" x14ac:dyDescent="0.25">
      <c r="A9938" s="36"/>
      <c r="B9938" s="34"/>
      <c r="G9938" s="31"/>
    </row>
    <row r="9939" spans="1:7" x14ac:dyDescent="0.25">
      <c r="A9939" s="36"/>
      <c r="B9939" s="34"/>
      <c r="G9939" s="31"/>
    </row>
    <row r="9940" spans="1:7" x14ac:dyDescent="0.25">
      <c r="A9940" s="36"/>
      <c r="B9940" s="34"/>
      <c r="G9940" s="31"/>
    </row>
    <row r="9941" spans="1:7" x14ac:dyDescent="0.25">
      <c r="A9941" s="36"/>
      <c r="B9941" s="34"/>
      <c r="G9941" s="31"/>
    </row>
    <row r="9942" spans="1:7" x14ac:dyDescent="0.25">
      <c r="A9942" s="36"/>
      <c r="B9942" s="34"/>
      <c r="G9942" s="31"/>
    </row>
    <row r="9943" spans="1:7" x14ac:dyDescent="0.25">
      <c r="A9943" s="36"/>
      <c r="B9943" s="34"/>
      <c r="G9943" s="31"/>
    </row>
    <row r="9944" spans="1:7" x14ac:dyDescent="0.25">
      <c r="A9944" s="36"/>
      <c r="B9944" s="34"/>
      <c r="G9944" s="31"/>
    </row>
    <row r="9945" spans="1:7" x14ac:dyDescent="0.25">
      <c r="A9945" s="36"/>
      <c r="B9945" s="34"/>
      <c r="G9945" s="31"/>
    </row>
    <row r="9946" spans="1:7" x14ac:dyDescent="0.25">
      <c r="A9946" s="36"/>
      <c r="B9946" s="34"/>
      <c r="G9946" s="31"/>
    </row>
    <row r="9947" spans="1:7" x14ac:dyDescent="0.25">
      <c r="A9947" s="36"/>
      <c r="B9947" s="34"/>
      <c r="G9947" s="31"/>
    </row>
    <row r="9948" spans="1:7" x14ac:dyDescent="0.25">
      <c r="A9948" s="36"/>
      <c r="B9948" s="34"/>
      <c r="G9948" s="31"/>
    </row>
    <row r="9949" spans="1:7" x14ac:dyDescent="0.25">
      <c r="A9949" s="36"/>
      <c r="B9949" s="34"/>
      <c r="G9949" s="31"/>
    </row>
    <row r="9950" spans="1:7" x14ac:dyDescent="0.25">
      <c r="A9950" s="36"/>
      <c r="B9950" s="34"/>
      <c r="G9950" s="31"/>
    </row>
    <row r="9951" spans="1:7" x14ac:dyDescent="0.25">
      <c r="A9951" s="36"/>
      <c r="B9951" s="34"/>
      <c r="G9951" s="31"/>
    </row>
    <row r="9952" spans="1:7" x14ac:dyDescent="0.25">
      <c r="A9952" s="36"/>
      <c r="B9952" s="34"/>
      <c r="G9952" s="31"/>
    </row>
    <row r="9953" spans="1:7" x14ac:dyDescent="0.25">
      <c r="A9953" s="36"/>
      <c r="B9953" s="34"/>
      <c r="G9953" s="31"/>
    </row>
    <row r="9954" spans="1:7" x14ac:dyDescent="0.25">
      <c r="A9954" s="36"/>
      <c r="B9954" s="34"/>
      <c r="G9954" s="31"/>
    </row>
    <row r="9955" spans="1:7" x14ac:dyDescent="0.25">
      <c r="A9955" s="36"/>
      <c r="B9955" s="34"/>
      <c r="G9955" s="31"/>
    </row>
    <row r="9956" spans="1:7" x14ac:dyDescent="0.25">
      <c r="A9956" s="36"/>
      <c r="B9956" s="34"/>
      <c r="G9956" s="31"/>
    </row>
    <row r="9957" spans="1:7" x14ac:dyDescent="0.25">
      <c r="A9957" s="36"/>
      <c r="B9957" s="34"/>
      <c r="G9957" s="31"/>
    </row>
    <row r="9958" spans="1:7" x14ac:dyDescent="0.25">
      <c r="A9958" s="36"/>
      <c r="B9958" s="34"/>
      <c r="G9958" s="31"/>
    </row>
    <row r="9959" spans="1:7" x14ac:dyDescent="0.25">
      <c r="A9959" s="36"/>
      <c r="B9959" s="34"/>
      <c r="G9959" s="31"/>
    </row>
    <row r="9960" spans="1:7" x14ac:dyDescent="0.25">
      <c r="A9960" s="36"/>
      <c r="B9960" s="34"/>
      <c r="G9960" s="31"/>
    </row>
    <row r="9961" spans="1:7" x14ac:dyDescent="0.25">
      <c r="A9961" s="36"/>
      <c r="B9961" s="34"/>
      <c r="G9961" s="31"/>
    </row>
    <row r="9962" spans="1:7" x14ac:dyDescent="0.25">
      <c r="A9962" s="36"/>
      <c r="B9962" s="34"/>
      <c r="G9962" s="31"/>
    </row>
    <row r="9963" spans="1:7" x14ac:dyDescent="0.25">
      <c r="A9963" s="36"/>
      <c r="B9963" s="34"/>
      <c r="G9963" s="31"/>
    </row>
    <row r="9964" spans="1:7" x14ac:dyDescent="0.25">
      <c r="A9964" s="36"/>
      <c r="B9964" s="34"/>
      <c r="G9964" s="31"/>
    </row>
    <row r="9965" spans="1:7" x14ac:dyDescent="0.25">
      <c r="A9965" s="36"/>
      <c r="B9965" s="34"/>
      <c r="G9965" s="31"/>
    </row>
    <row r="9966" spans="1:7" x14ac:dyDescent="0.25">
      <c r="A9966" s="36"/>
      <c r="B9966" s="34"/>
      <c r="G9966" s="31"/>
    </row>
    <row r="9967" spans="1:7" x14ac:dyDescent="0.25">
      <c r="A9967" s="36"/>
      <c r="B9967" s="34"/>
      <c r="G9967" s="31"/>
    </row>
    <row r="9968" spans="1:7" x14ac:dyDescent="0.25">
      <c r="A9968" s="36"/>
      <c r="B9968" s="34"/>
      <c r="G9968" s="31"/>
    </row>
    <row r="9969" spans="1:7" x14ac:dyDescent="0.25">
      <c r="A9969" s="36"/>
      <c r="B9969" s="34"/>
      <c r="G9969" s="31"/>
    </row>
    <row r="9970" spans="1:7" x14ac:dyDescent="0.25">
      <c r="A9970" s="36"/>
      <c r="B9970" s="34"/>
      <c r="G9970" s="31"/>
    </row>
    <row r="9971" spans="1:7" x14ac:dyDescent="0.25">
      <c r="A9971" s="36"/>
      <c r="B9971" s="34"/>
      <c r="G9971" s="31"/>
    </row>
    <row r="9972" spans="1:7" x14ac:dyDescent="0.25">
      <c r="A9972" s="36"/>
      <c r="B9972" s="34"/>
      <c r="G9972" s="31"/>
    </row>
    <row r="9973" spans="1:7" x14ac:dyDescent="0.25">
      <c r="A9973" s="36"/>
      <c r="B9973" s="34"/>
      <c r="G9973" s="31"/>
    </row>
    <row r="9974" spans="1:7" x14ac:dyDescent="0.25">
      <c r="A9974" s="36"/>
      <c r="B9974" s="34"/>
      <c r="G9974" s="31"/>
    </row>
    <row r="9975" spans="1:7" x14ac:dyDescent="0.25">
      <c r="A9975" s="36"/>
      <c r="B9975" s="34"/>
      <c r="G9975" s="31"/>
    </row>
    <row r="9976" spans="1:7" x14ac:dyDescent="0.25">
      <c r="A9976" s="36"/>
      <c r="B9976" s="34"/>
      <c r="G9976" s="31"/>
    </row>
    <row r="9977" spans="1:7" x14ac:dyDescent="0.25">
      <c r="A9977" s="36"/>
      <c r="B9977" s="34"/>
      <c r="G9977" s="31"/>
    </row>
    <row r="9978" spans="1:7" x14ac:dyDescent="0.25">
      <c r="A9978" s="36"/>
      <c r="B9978" s="34"/>
      <c r="G9978" s="31"/>
    </row>
    <row r="9979" spans="1:7" x14ac:dyDescent="0.25">
      <c r="A9979" s="36"/>
      <c r="B9979" s="34"/>
      <c r="G9979" s="31"/>
    </row>
    <row r="9980" spans="1:7" x14ac:dyDescent="0.25">
      <c r="A9980" s="36"/>
      <c r="B9980" s="34"/>
      <c r="G9980" s="31"/>
    </row>
    <row r="9981" spans="1:7" x14ac:dyDescent="0.25">
      <c r="A9981" s="36"/>
      <c r="B9981" s="34"/>
      <c r="G9981" s="31"/>
    </row>
    <row r="9982" spans="1:7" x14ac:dyDescent="0.25">
      <c r="A9982" s="36"/>
      <c r="B9982" s="34"/>
      <c r="G9982" s="31"/>
    </row>
    <row r="9983" spans="1:7" x14ac:dyDescent="0.25">
      <c r="A9983" s="36"/>
      <c r="B9983" s="34"/>
      <c r="G9983" s="31"/>
    </row>
    <row r="9984" spans="1:7" x14ac:dyDescent="0.25">
      <c r="A9984" s="36"/>
      <c r="B9984" s="34"/>
      <c r="G9984" s="31"/>
    </row>
    <row r="9985" spans="1:7" x14ac:dyDescent="0.25">
      <c r="A9985" s="36"/>
      <c r="B9985" s="34"/>
      <c r="G9985" s="31"/>
    </row>
    <row r="9986" spans="1:7" x14ac:dyDescent="0.25">
      <c r="A9986" s="36"/>
      <c r="B9986" s="34"/>
      <c r="G9986" s="31"/>
    </row>
    <row r="9987" spans="1:7" x14ac:dyDescent="0.25">
      <c r="A9987" s="36"/>
      <c r="B9987" s="34"/>
      <c r="G9987" s="31"/>
    </row>
    <row r="9988" spans="1:7" x14ac:dyDescent="0.25">
      <c r="A9988" s="36"/>
      <c r="B9988" s="34"/>
      <c r="G9988" s="31"/>
    </row>
    <row r="9989" spans="1:7" x14ac:dyDescent="0.25">
      <c r="A9989" s="36"/>
      <c r="B9989" s="34"/>
      <c r="G9989" s="31"/>
    </row>
    <row r="9990" spans="1:7" x14ac:dyDescent="0.25">
      <c r="A9990" s="36"/>
      <c r="B9990" s="34"/>
      <c r="G9990" s="31"/>
    </row>
    <row r="9991" spans="1:7" x14ac:dyDescent="0.25">
      <c r="A9991" s="36"/>
      <c r="B9991" s="34"/>
      <c r="G9991" s="31"/>
    </row>
    <row r="9992" spans="1:7" x14ac:dyDescent="0.25">
      <c r="A9992" s="36"/>
      <c r="B9992" s="34"/>
      <c r="G9992" s="31"/>
    </row>
    <row r="9993" spans="1:7" x14ac:dyDescent="0.25">
      <c r="A9993" s="36"/>
      <c r="B9993" s="34"/>
      <c r="G9993" s="31"/>
    </row>
    <row r="9994" spans="1:7" x14ac:dyDescent="0.25">
      <c r="A9994" s="36"/>
      <c r="B9994" s="34"/>
      <c r="G9994" s="31"/>
    </row>
    <row r="9995" spans="1:7" x14ac:dyDescent="0.25">
      <c r="A9995" s="36"/>
      <c r="B9995" s="34"/>
      <c r="G9995" s="31"/>
    </row>
    <row r="9996" spans="1:7" x14ac:dyDescent="0.25">
      <c r="A9996" s="36"/>
      <c r="B9996" s="34"/>
      <c r="G9996" s="31"/>
    </row>
    <row r="9997" spans="1:7" x14ac:dyDescent="0.25">
      <c r="A9997" s="36"/>
      <c r="B9997" s="34"/>
      <c r="G9997" s="31"/>
    </row>
    <row r="9998" spans="1:7" x14ac:dyDescent="0.25">
      <c r="A9998" s="36"/>
      <c r="B9998" s="34"/>
      <c r="G9998" s="31"/>
    </row>
    <row r="9999" spans="1:7" x14ac:dyDescent="0.25">
      <c r="A9999" s="36"/>
      <c r="B9999" s="34"/>
      <c r="G9999" s="31"/>
    </row>
    <row r="10000" spans="1:7" x14ac:dyDescent="0.25">
      <c r="A10000" s="36"/>
      <c r="B10000" s="34"/>
      <c r="G10000" s="31"/>
    </row>
    <row r="10001" spans="1:7" x14ac:dyDescent="0.25">
      <c r="A10001" s="36"/>
      <c r="B10001" s="34"/>
      <c r="G10001" s="31"/>
    </row>
    <row r="10002" spans="1:7" x14ac:dyDescent="0.25">
      <c r="A10002" s="36"/>
      <c r="B10002" s="34"/>
      <c r="G10002" s="31"/>
    </row>
    <row r="10003" spans="1:7" x14ac:dyDescent="0.25">
      <c r="A10003" s="36"/>
      <c r="B10003" s="34"/>
      <c r="G10003" s="31"/>
    </row>
    <row r="10004" spans="1:7" x14ac:dyDescent="0.25">
      <c r="A10004" s="36"/>
      <c r="B10004" s="34"/>
      <c r="G10004" s="31"/>
    </row>
    <row r="10005" spans="1:7" x14ac:dyDescent="0.25">
      <c r="A10005" s="36"/>
      <c r="B10005" s="34"/>
      <c r="G10005" s="31"/>
    </row>
    <row r="10006" spans="1:7" x14ac:dyDescent="0.25">
      <c r="A10006" s="36"/>
      <c r="B10006" s="34"/>
      <c r="G10006" s="31"/>
    </row>
    <row r="10007" spans="1:7" x14ac:dyDescent="0.25">
      <c r="A10007" s="36"/>
      <c r="B10007" s="34"/>
      <c r="G10007" s="31"/>
    </row>
    <row r="10008" spans="1:7" x14ac:dyDescent="0.25">
      <c r="A10008" s="36"/>
      <c r="B10008" s="34"/>
      <c r="G10008" s="31"/>
    </row>
    <row r="10009" spans="1:7" x14ac:dyDescent="0.25">
      <c r="A10009" s="36"/>
      <c r="B10009" s="34"/>
      <c r="G10009" s="31"/>
    </row>
    <row r="10010" spans="1:7" x14ac:dyDescent="0.25">
      <c r="A10010" s="36"/>
      <c r="B10010" s="34"/>
      <c r="G10010" s="31"/>
    </row>
    <row r="10011" spans="1:7" x14ac:dyDescent="0.25">
      <c r="A10011" s="36"/>
      <c r="B10011" s="34"/>
      <c r="G10011" s="31"/>
    </row>
    <row r="10012" spans="1:7" x14ac:dyDescent="0.25">
      <c r="A10012" s="36"/>
      <c r="B10012" s="34"/>
      <c r="G10012" s="31"/>
    </row>
    <row r="10013" spans="1:7" x14ac:dyDescent="0.25">
      <c r="A10013" s="36"/>
      <c r="B10013" s="34"/>
      <c r="G10013" s="31"/>
    </row>
    <row r="10014" spans="1:7" x14ac:dyDescent="0.25">
      <c r="A10014" s="36"/>
      <c r="B10014" s="34"/>
      <c r="G10014" s="31"/>
    </row>
    <row r="10015" spans="1:7" x14ac:dyDescent="0.25">
      <c r="A10015" s="36"/>
      <c r="B10015" s="34"/>
      <c r="G10015" s="31"/>
    </row>
    <row r="10016" spans="1:7" x14ac:dyDescent="0.25">
      <c r="A10016" s="36"/>
      <c r="B10016" s="34"/>
      <c r="G10016" s="31"/>
    </row>
    <row r="10017" spans="1:7" x14ac:dyDescent="0.25">
      <c r="A10017" s="36"/>
      <c r="B10017" s="34"/>
      <c r="G10017" s="31"/>
    </row>
    <row r="10018" spans="1:7" x14ac:dyDescent="0.25">
      <c r="A10018" s="36"/>
      <c r="B10018" s="34"/>
      <c r="G10018" s="31"/>
    </row>
    <row r="10019" spans="1:7" x14ac:dyDescent="0.25">
      <c r="A10019" s="36"/>
      <c r="B10019" s="34"/>
      <c r="G10019" s="31"/>
    </row>
    <row r="10020" spans="1:7" x14ac:dyDescent="0.25">
      <c r="A10020" s="36"/>
      <c r="B10020" s="34"/>
      <c r="G10020" s="31"/>
    </row>
    <row r="10021" spans="1:7" x14ac:dyDescent="0.25">
      <c r="A10021" s="36"/>
      <c r="B10021" s="34"/>
      <c r="G10021" s="31"/>
    </row>
    <row r="10022" spans="1:7" x14ac:dyDescent="0.25">
      <c r="A10022" s="36"/>
      <c r="B10022" s="34"/>
      <c r="G10022" s="31"/>
    </row>
    <row r="10023" spans="1:7" x14ac:dyDescent="0.25">
      <c r="A10023" s="36"/>
      <c r="B10023" s="34"/>
      <c r="G10023" s="31"/>
    </row>
    <row r="10024" spans="1:7" x14ac:dyDescent="0.25">
      <c r="A10024" s="36"/>
      <c r="B10024" s="34"/>
      <c r="G10024" s="31"/>
    </row>
    <row r="10025" spans="1:7" x14ac:dyDescent="0.25">
      <c r="A10025" s="36"/>
      <c r="B10025" s="34"/>
      <c r="G10025" s="31"/>
    </row>
    <row r="10026" spans="1:7" x14ac:dyDescent="0.25">
      <c r="A10026" s="36"/>
      <c r="B10026" s="34"/>
      <c r="G10026" s="31"/>
    </row>
    <row r="10027" spans="1:7" x14ac:dyDescent="0.25">
      <c r="A10027" s="36"/>
      <c r="B10027" s="34"/>
      <c r="G10027" s="31"/>
    </row>
    <row r="10028" spans="1:7" x14ac:dyDescent="0.25">
      <c r="A10028" s="36"/>
      <c r="B10028" s="34"/>
      <c r="G10028" s="31"/>
    </row>
    <row r="10029" spans="1:7" x14ac:dyDescent="0.25">
      <c r="A10029" s="36"/>
      <c r="B10029" s="34"/>
      <c r="G10029" s="31"/>
    </row>
    <row r="10030" spans="1:7" x14ac:dyDescent="0.25">
      <c r="A10030" s="36"/>
      <c r="B10030" s="34"/>
      <c r="G10030" s="31"/>
    </row>
    <row r="10031" spans="1:7" x14ac:dyDescent="0.25">
      <c r="A10031" s="36"/>
      <c r="B10031" s="34"/>
      <c r="G10031" s="31"/>
    </row>
    <row r="10032" spans="1:7" x14ac:dyDescent="0.25">
      <c r="A10032" s="36"/>
      <c r="B10032" s="34"/>
      <c r="G10032" s="31"/>
    </row>
    <row r="10033" spans="1:7" x14ac:dyDescent="0.25">
      <c r="A10033" s="36"/>
      <c r="B10033" s="34"/>
      <c r="G10033" s="31"/>
    </row>
    <row r="10034" spans="1:7" x14ac:dyDescent="0.25">
      <c r="A10034" s="36"/>
      <c r="B10034" s="34"/>
      <c r="G10034" s="31"/>
    </row>
    <row r="10035" spans="1:7" x14ac:dyDescent="0.25">
      <c r="A10035" s="36"/>
      <c r="B10035" s="34"/>
      <c r="G10035" s="31"/>
    </row>
    <row r="10036" spans="1:7" x14ac:dyDescent="0.25">
      <c r="A10036" s="36"/>
      <c r="B10036" s="34"/>
      <c r="G10036" s="31"/>
    </row>
    <row r="10037" spans="1:7" x14ac:dyDescent="0.25">
      <c r="A10037" s="36"/>
      <c r="B10037" s="34"/>
      <c r="G10037" s="31"/>
    </row>
    <row r="10038" spans="1:7" x14ac:dyDescent="0.25">
      <c r="A10038" s="36"/>
      <c r="B10038" s="34"/>
      <c r="G10038" s="31"/>
    </row>
    <row r="10039" spans="1:7" x14ac:dyDescent="0.25">
      <c r="A10039" s="36"/>
      <c r="B10039" s="34"/>
      <c r="G10039" s="31"/>
    </row>
    <row r="10040" spans="1:7" x14ac:dyDescent="0.25">
      <c r="A10040" s="36"/>
      <c r="B10040" s="34"/>
      <c r="G10040" s="31"/>
    </row>
    <row r="10041" spans="1:7" x14ac:dyDescent="0.25">
      <c r="A10041" s="36"/>
      <c r="B10041" s="34"/>
      <c r="G10041" s="31"/>
    </row>
    <row r="10042" spans="1:7" x14ac:dyDescent="0.25">
      <c r="A10042" s="36"/>
      <c r="B10042" s="34"/>
      <c r="G10042" s="31"/>
    </row>
    <row r="10043" spans="1:7" x14ac:dyDescent="0.25">
      <c r="A10043" s="36"/>
      <c r="B10043" s="34"/>
      <c r="G10043" s="31"/>
    </row>
    <row r="10044" spans="1:7" x14ac:dyDescent="0.25">
      <c r="A10044" s="36"/>
      <c r="B10044" s="34"/>
      <c r="G10044" s="31"/>
    </row>
    <row r="10045" spans="1:7" x14ac:dyDescent="0.25">
      <c r="A10045" s="36"/>
      <c r="B10045" s="34"/>
      <c r="G10045" s="31"/>
    </row>
    <row r="10046" spans="1:7" x14ac:dyDescent="0.25">
      <c r="A10046" s="36"/>
      <c r="B10046" s="34"/>
      <c r="G10046" s="31"/>
    </row>
    <row r="10047" spans="1:7" x14ac:dyDescent="0.25">
      <c r="A10047" s="36"/>
      <c r="B10047" s="34"/>
      <c r="G10047" s="31"/>
    </row>
    <row r="10048" spans="1:7" x14ac:dyDescent="0.25">
      <c r="A10048" s="36"/>
      <c r="B10048" s="34"/>
      <c r="G10048" s="31"/>
    </row>
    <row r="10049" spans="1:7" x14ac:dyDescent="0.25">
      <c r="A10049" s="36"/>
      <c r="B10049" s="34"/>
      <c r="G10049" s="31"/>
    </row>
    <row r="10050" spans="1:7" x14ac:dyDescent="0.25">
      <c r="A10050" s="36"/>
      <c r="B10050" s="34"/>
      <c r="G10050" s="31"/>
    </row>
    <row r="10051" spans="1:7" x14ac:dyDescent="0.25">
      <c r="A10051" s="36"/>
      <c r="B10051" s="34"/>
      <c r="G10051" s="31"/>
    </row>
    <row r="10052" spans="1:7" x14ac:dyDescent="0.25">
      <c r="A10052" s="36"/>
      <c r="B10052" s="34"/>
      <c r="G10052" s="31"/>
    </row>
    <row r="10053" spans="1:7" x14ac:dyDescent="0.25">
      <c r="A10053" s="36"/>
      <c r="B10053" s="34"/>
      <c r="G10053" s="31"/>
    </row>
    <row r="10054" spans="1:7" x14ac:dyDescent="0.25">
      <c r="A10054" s="36"/>
      <c r="B10054" s="34"/>
      <c r="G10054" s="31"/>
    </row>
    <row r="10055" spans="1:7" x14ac:dyDescent="0.25">
      <c r="A10055" s="36"/>
      <c r="B10055" s="34"/>
      <c r="G10055" s="31"/>
    </row>
    <row r="10056" spans="1:7" x14ac:dyDescent="0.25">
      <c r="A10056" s="36"/>
      <c r="B10056" s="34"/>
      <c r="G10056" s="31"/>
    </row>
    <row r="10057" spans="1:7" x14ac:dyDescent="0.25">
      <c r="A10057" s="36"/>
      <c r="B10057" s="34"/>
      <c r="G10057" s="31"/>
    </row>
    <row r="10058" spans="1:7" x14ac:dyDescent="0.25">
      <c r="A10058" s="36"/>
      <c r="B10058" s="34"/>
      <c r="G10058" s="31"/>
    </row>
    <row r="10059" spans="1:7" x14ac:dyDescent="0.25">
      <c r="A10059" s="36"/>
      <c r="B10059" s="34"/>
      <c r="G10059" s="31"/>
    </row>
    <row r="10060" spans="1:7" x14ac:dyDescent="0.25">
      <c r="A10060" s="36"/>
      <c r="B10060" s="34"/>
      <c r="G10060" s="31"/>
    </row>
    <row r="10061" spans="1:7" x14ac:dyDescent="0.25">
      <c r="A10061" s="36"/>
      <c r="B10061" s="34"/>
      <c r="G10061" s="31"/>
    </row>
    <row r="10062" spans="1:7" x14ac:dyDescent="0.25">
      <c r="A10062" s="36"/>
      <c r="B10062" s="34"/>
      <c r="G10062" s="31"/>
    </row>
    <row r="10063" spans="1:7" x14ac:dyDescent="0.25">
      <c r="A10063" s="36"/>
      <c r="B10063" s="34"/>
      <c r="G10063" s="31"/>
    </row>
    <row r="10064" spans="1:7" x14ac:dyDescent="0.25">
      <c r="A10064" s="36"/>
      <c r="B10064" s="34"/>
      <c r="G10064" s="31"/>
    </row>
    <row r="10065" spans="1:7" x14ac:dyDescent="0.25">
      <c r="A10065" s="36"/>
      <c r="B10065" s="34"/>
      <c r="G10065" s="31"/>
    </row>
    <row r="10066" spans="1:7" x14ac:dyDescent="0.25">
      <c r="A10066" s="36"/>
      <c r="B10066" s="34"/>
      <c r="G10066" s="31"/>
    </row>
    <row r="10067" spans="1:7" x14ac:dyDescent="0.25">
      <c r="A10067" s="36"/>
      <c r="B10067" s="34"/>
      <c r="G10067" s="31"/>
    </row>
    <row r="10068" spans="1:7" x14ac:dyDescent="0.25">
      <c r="A10068" s="36"/>
      <c r="B10068" s="34"/>
      <c r="G10068" s="31"/>
    </row>
    <row r="10069" spans="1:7" x14ac:dyDescent="0.25">
      <c r="A10069" s="36"/>
      <c r="B10069" s="34"/>
      <c r="G10069" s="31"/>
    </row>
    <row r="10070" spans="1:7" x14ac:dyDescent="0.25">
      <c r="A10070" s="36"/>
      <c r="B10070" s="34"/>
      <c r="G10070" s="31"/>
    </row>
    <row r="10071" spans="1:7" x14ac:dyDescent="0.25">
      <c r="A10071" s="36"/>
      <c r="B10071" s="34"/>
      <c r="G10071" s="31"/>
    </row>
    <row r="10072" spans="1:7" x14ac:dyDescent="0.25">
      <c r="A10072" s="36"/>
      <c r="B10072" s="34"/>
      <c r="G10072" s="31"/>
    </row>
    <row r="10073" spans="1:7" x14ac:dyDescent="0.25">
      <c r="A10073" s="36"/>
      <c r="B10073" s="34"/>
      <c r="G10073" s="31"/>
    </row>
    <row r="10074" spans="1:7" x14ac:dyDescent="0.25">
      <c r="A10074" s="36"/>
      <c r="B10074" s="34"/>
      <c r="G10074" s="31"/>
    </row>
    <row r="10075" spans="1:7" x14ac:dyDescent="0.25">
      <c r="A10075" s="36"/>
      <c r="B10075" s="34"/>
      <c r="G10075" s="31"/>
    </row>
    <row r="10076" spans="1:7" x14ac:dyDescent="0.25">
      <c r="A10076" s="36"/>
      <c r="B10076" s="34"/>
      <c r="G10076" s="31"/>
    </row>
    <row r="10077" spans="1:7" x14ac:dyDescent="0.25">
      <c r="A10077" s="36"/>
      <c r="B10077" s="34"/>
      <c r="G10077" s="31"/>
    </row>
    <row r="10078" spans="1:7" x14ac:dyDescent="0.25">
      <c r="A10078" s="36"/>
      <c r="B10078" s="34"/>
      <c r="G10078" s="31"/>
    </row>
    <row r="10079" spans="1:7" x14ac:dyDescent="0.25">
      <c r="A10079" s="36"/>
      <c r="B10079" s="34"/>
      <c r="G10079" s="31"/>
    </row>
    <row r="10080" spans="1:7" x14ac:dyDescent="0.25">
      <c r="A10080" s="36"/>
      <c r="B10080" s="34"/>
      <c r="G10080" s="31"/>
    </row>
    <row r="10081" spans="1:7" x14ac:dyDescent="0.25">
      <c r="A10081" s="36"/>
      <c r="B10081" s="34"/>
      <c r="G10081" s="31"/>
    </row>
    <row r="10082" spans="1:7" x14ac:dyDescent="0.25">
      <c r="A10082" s="36"/>
      <c r="B10082" s="34"/>
      <c r="G10082" s="31"/>
    </row>
    <row r="10083" spans="1:7" x14ac:dyDescent="0.25">
      <c r="A10083" s="36"/>
      <c r="B10083" s="34"/>
      <c r="G10083" s="31"/>
    </row>
    <row r="10084" spans="1:7" x14ac:dyDescent="0.25">
      <c r="A10084" s="36"/>
      <c r="B10084" s="34"/>
      <c r="G10084" s="31"/>
    </row>
    <row r="10085" spans="1:7" x14ac:dyDescent="0.25">
      <c r="A10085" s="36"/>
      <c r="B10085" s="34"/>
      <c r="G10085" s="31"/>
    </row>
    <row r="10086" spans="1:7" x14ac:dyDescent="0.25">
      <c r="A10086" s="36"/>
      <c r="B10086" s="34"/>
      <c r="G10086" s="31"/>
    </row>
    <row r="10087" spans="1:7" x14ac:dyDescent="0.25">
      <c r="A10087" s="36"/>
      <c r="B10087" s="34"/>
      <c r="G10087" s="31"/>
    </row>
    <row r="10088" spans="1:7" x14ac:dyDescent="0.25">
      <c r="A10088" s="36"/>
      <c r="B10088" s="34"/>
      <c r="G10088" s="31"/>
    </row>
    <row r="10089" spans="1:7" x14ac:dyDescent="0.25">
      <c r="A10089" s="36"/>
      <c r="B10089" s="34"/>
      <c r="G10089" s="31"/>
    </row>
    <row r="10090" spans="1:7" x14ac:dyDescent="0.25">
      <c r="A10090" s="36"/>
      <c r="B10090" s="34"/>
      <c r="G10090" s="31"/>
    </row>
    <row r="10091" spans="1:7" x14ac:dyDescent="0.25">
      <c r="A10091" s="36"/>
      <c r="B10091" s="34"/>
      <c r="G10091" s="31"/>
    </row>
    <row r="10092" spans="1:7" x14ac:dyDescent="0.25">
      <c r="A10092" s="36"/>
      <c r="B10092" s="34"/>
      <c r="G10092" s="31"/>
    </row>
    <row r="10093" spans="1:7" x14ac:dyDescent="0.25">
      <c r="A10093" s="36"/>
      <c r="B10093" s="34"/>
      <c r="G10093" s="31"/>
    </row>
    <row r="10094" spans="1:7" x14ac:dyDescent="0.25">
      <c r="A10094" s="36"/>
      <c r="B10094" s="34"/>
      <c r="G10094" s="31"/>
    </row>
    <row r="10095" spans="1:7" x14ac:dyDescent="0.25">
      <c r="A10095" s="36"/>
      <c r="B10095" s="34"/>
      <c r="G10095" s="31"/>
    </row>
    <row r="10096" spans="1:7" x14ac:dyDescent="0.25">
      <c r="A10096" s="36"/>
      <c r="B10096" s="34"/>
      <c r="G10096" s="31"/>
    </row>
    <row r="10097" spans="1:7" x14ac:dyDescent="0.25">
      <c r="A10097" s="36"/>
      <c r="B10097" s="34"/>
      <c r="G10097" s="31"/>
    </row>
    <row r="10098" spans="1:7" x14ac:dyDescent="0.25">
      <c r="A10098" s="36"/>
      <c r="B10098" s="34"/>
      <c r="G10098" s="31"/>
    </row>
    <row r="10099" spans="1:7" x14ac:dyDescent="0.25">
      <c r="A10099" s="36"/>
      <c r="B10099" s="34"/>
      <c r="G10099" s="31"/>
    </row>
    <row r="10100" spans="1:7" x14ac:dyDescent="0.25">
      <c r="A10100" s="36"/>
      <c r="B10100" s="34"/>
      <c r="G10100" s="31"/>
    </row>
    <row r="10101" spans="1:7" x14ac:dyDescent="0.25">
      <c r="A10101" s="36"/>
      <c r="B10101" s="34"/>
      <c r="G10101" s="31"/>
    </row>
    <row r="10102" spans="1:7" x14ac:dyDescent="0.25">
      <c r="A10102" s="36"/>
      <c r="B10102" s="34"/>
      <c r="G10102" s="31"/>
    </row>
    <row r="10103" spans="1:7" x14ac:dyDescent="0.25">
      <c r="A10103" s="36"/>
      <c r="B10103" s="34"/>
      <c r="G10103" s="31"/>
    </row>
    <row r="10104" spans="1:7" x14ac:dyDescent="0.25">
      <c r="A10104" s="36"/>
      <c r="B10104" s="34"/>
      <c r="G10104" s="31"/>
    </row>
    <row r="10105" spans="1:7" x14ac:dyDescent="0.25">
      <c r="A10105" s="36"/>
      <c r="B10105" s="34"/>
      <c r="G10105" s="31"/>
    </row>
    <row r="10106" spans="1:7" x14ac:dyDescent="0.25">
      <c r="A10106" s="36"/>
      <c r="B10106" s="34"/>
      <c r="G10106" s="31"/>
    </row>
    <row r="10107" spans="1:7" x14ac:dyDescent="0.25">
      <c r="A10107" s="36"/>
      <c r="B10107" s="34"/>
      <c r="G10107" s="31"/>
    </row>
    <row r="10108" spans="1:7" x14ac:dyDescent="0.25">
      <c r="A10108" s="36"/>
      <c r="B10108" s="34"/>
      <c r="G10108" s="31"/>
    </row>
    <row r="10109" spans="1:7" x14ac:dyDescent="0.25">
      <c r="A10109" s="36"/>
      <c r="B10109" s="34"/>
      <c r="G10109" s="31"/>
    </row>
    <row r="10110" spans="1:7" x14ac:dyDescent="0.25">
      <c r="A10110" s="36"/>
      <c r="B10110" s="34"/>
      <c r="G10110" s="31"/>
    </row>
    <row r="10111" spans="1:7" x14ac:dyDescent="0.25">
      <c r="A10111" s="36"/>
      <c r="B10111" s="34"/>
      <c r="G10111" s="31"/>
    </row>
    <row r="10112" spans="1:7" x14ac:dyDescent="0.25">
      <c r="A10112" s="36"/>
      <c r="B10112" s="34"/>
      <c r="G10112" s="31"/>
    </row>
    <row r="10113" spans="1:7" x14ac:dyDescent="0.25">
      <c r="A10113" s="36"/>
      <c r="B10113" s="34"/>
      <c r="G10113" s="31"/>
    </row>
    <row r="10114" spans="1:7" x14ac:dyDescent="0.25">
      <c r="A10114" s="36"/>
      <c r="B10114" s="34"/>
      <c r="G10114" s="31"/>
    </row>
    <row r="10115" spans="1:7" x14ac:dyDescent="0.25">
      <c r="A10115" s="36"/>
      <c r="B10115" s="34"/>
      <c r="G10115" s="31"/>
    </row>
    <row r="10116" spans="1:7" x14ac:dyDescent="0.25">
      <c r="A10116" s="36"/>
      <c r="B10116" s="34"/>
      <c r="G10116" s="31"/>
    </row>
    <row r="10117" spans="1:7" x14ac:dyDescent="0.25">
      <c r="A10117" s="36"/>
      <c r="B10117" s="34"/>
      <c r="G10117" s="31"/>
    </row>
    <row r="10118" spans="1:7" x14ac:dyDescent="0.25">
      <c r="A10118" s="36"/>
      <c r="B10118" s="34"/>
      <c r="G10118" s="31"/>
    </row>
    <row r="10119" spans="1:7" x14ac:dyDescent="0.25">
      <c r="A10119" s="36"/>
      <c r="B10119" s="34"/>
      <c r="G10119" s="31"/>
    </row>
    <row r="10120" spans="1:7" x14ac:dyDescent="0.25">
      <c r="A10120" s="36"/>
      <c r="B10120" s="34"/>
      <c r="G10120" s="31"/>
    </row>
    <row r="10121" spans="1:7" x14ac:dyDescent="0.25">
      <c r="A10121" s="36"/>
      <c r="B10121" s="34"/>
      <c r="G10121" s="31"/>
    </row>
    <row r="10122" spans="1:7" x14ac:dyDescent="0.25">
      <c r="A10122" s="36"/>
      <c r="B10122" s="34"/>
      <c r="G10122" s="31"/>
    </row>
    <row r="10123" spans="1:7" x14ac:dyDescent="0.25">
      <c r="A10123" s="36"/>
      <c r="B10123" s="34"/>
      <c r="G10123" s="31"/>
    </row>
    <row r="10124" spans="1:7" x14ac:dyDescent="0.25">
      <c r="A10124" s="36"/>
      <c r="B10124" s="34"/>
      <c r="G10124" s="31"/>
    </row>
    <row r="10125" spans="1:7" x14ac:dyDescent="0.25">
      <c r="A10125" s="36"/>
      <c r="B10125" s="34"/>
      <c r="G10125" s="31"/>
    </row>
    <row r="10126" spans="1:7" x14ac:dyDescent="0.25">
      <c r="A10126" s="36"/>
      <c r="B10126" s="34"/>
      <c r="G10126" s="31"/>
    </row>
    <row r="10127" spans="1:7" x14ac:dyDescent="0.25">
      <c r="A10127" s="36"/>
      <c r="B10127" s="34"/>
      <c r="G10127" s="31"/>
    </row>
    <row r="10128" spans="1:7" x14ac:dyDescent="0.25">
      <c r="A10128" s="36"/>
      <c r="B10128" s="34"/>
      <c r="G10128" s="31"/>
    </row>
    <row r="10129" spans="1:7" x14ac:dyDescent="0.25">
      <c r="A10129" s="36"/>
      <c r="B10129" s="34"/>
      <c r="G10129" s="31"/>
    </row>
    <row r="10130" spans="1:7" x14ac:dyDescent="0.25">
      <c r="A10130" s="36"/>
      <c r="B10130" s="34"/>
      <c r="G10130" s="31"/>
    </row>
    <row r="10131" spans="1:7" x14ac:dyDescent="0.25">
      <c r="A10131" s="36"/>
      <c r="B10131" s="34"/>
      <c r="G10131" s="31"/>
    </row>
    <row r="10132" spans="1:7" x14ac:dyDescent="0.25">
      <c r="A10132" s="36"/>
      <c r="B10132" s="34"/>
      <c r="G10132" s="31"/>
    </row>
    <row r="10133" spans="1:7" x14ac:dyDescent="0.25">
      <c r="A10133" s="36"/>
      <c r="B10133" s="34"/>
      <c r="G10133" s="31"/>
    </row>
    <row r="10134" spans="1:7" x14ac:dyDescent="0.25">
      <c r="A10134" s="36"/>
      <c r="B10134" s="34"/>
      <c r="G10134" s="31"/>
    </row>
    <row r="10135" spans="1:7" x14ac:dyDescent="0.25">
      <c r="A10135" s="36"/>
      <c r="B10135" s="34"/>
      <c r="G10135" s="31"/>
    </row>
    <row r="10136" spans="1:7" x14ac:dyDescent="0.25">
      <c r="A10136" s="36"/>
      <c r="B10136" s="34"/>
      <c r="G10136" s="31"/>
    </row>
    <row r="10137" spans="1:7" x14ac:dyDescent="0.25">
      <c r="A10137" s="36"/>
      <c r="B10137" s="34"/>
      <c r="G10137" s="31"/>
    </row>
    <row r="10138" spans="1:7" x14ac:dyDescent="0.25">
      <c r="A10138" s="36"/>
      <c r="B10138" s="34"/>
      <c r="G10138" s="31"/>
    </row>
    <row r="10139" spans="1:7" x14ac:dyDescent="0.25">
      <c r="A10139" s="36"/>
      <c r="B10139" s="34"/>
      <c r="G10139" s="31"/>
    </row>
    <row r="10140" spans="1:7" x14ac:dyDescent="0.25">
      <c r="A10140" s="36"/>
      <c r="B10140" s="34"/>
      <c r="G10140" s="31"/>
    </row>
    <row r="10141" spans="1:7" x14ac:dyDescent="0.25">
      <c r="A10141" s="36"/>
      <c r="B10141" s="34"/>
      <c r="G10141" s="31"/>
    </row>
    <row r="10142" spans="1:7" x14ac:dyDescent="0.25">
      <c r="A10142" s="36"/>
      <c r="B10142" s="34"/>
      <c r="G10142" s="31"/>
    </row>
    <row r="10143" spans="1:7" x14ac:dyDescent="0.25">
      <c r="A10143" s="36"/>
      <c r="B10143" s="34"/>
      <c r="G10143" s="31"/>
    </row>
    <row r="10144" spans="1:7" x14ac:dyDescent="0.25">
      <c r="A10144" s="36"/>
      <c r="B10144" s="34"/>
      <c r="G10144" s="31"/>
    </row>
    <row r="10145" spans="1:7" x14ac:dyDescent="0.25">
      <c r="A10145" s="36"/>
      <c r="B10145" s="34"/>
      <c r="G10145" s="31"/>
    </row>
    <row r="10146" spans="1:7" x14ac:dyDescent="0.25">
      <c r="A10146" s="36"/>
      <c r="B10146" s="34"/>
      <c r="G10146" s="31"/>
    </row>
    <row r="10147" spans="1:7" x14ac:dyDescent="0.25">
      <c r="A10147" s="36"/>
      <c r="B10147" s="34"/>
      <c r="G10147" s="31"/>
    </row>
    <row r="10148" spans="1:7" x14ac:dyDescent="0.25">
      <c r="A10148" s="36"/>
      <c r="B10148" s="34"/>
      <c r="G10148" s="31"/>
    </row>
    <row r="10149" spans="1:7" x14ac:dyDescent="0.25">
      <c r="A10149" s="36"/>
      <c r="B10149" s="34"/>
      <c r="G10149" s="31"/>
    </row>
    <row r="10150" spans="1:7" x14ac:dyDescent="0.25">
      <c r="A10150" s="36"/>
      <c r="B10150" s="34"/>
      <c r="G10150" s="31"/>
    </row>
    <row r="10151" spans="1:7" x14ac:dyDescent="0.25">
      <c r="A10151" s="36"/>
      <c r="B10151" s="34"/>
      <c r="G10151" s="31"/>
    </row>
    <row r="10152" spans="1:7" x14ac:dyDescent="0.25">
      <c r="A10152" s="36"/>
      <c r="B10152" s="34"/>
      <c r="G10152" s="31"/>
    </row>
    <row r="10153" spans="1:7" x14ac:dyDescent="0.25">
      <c r="A10153" s="36"/>
      <c r="B10153" s="34"/>
      <c r="G10153" s="31"/>
    </row>
    <row r="10154" spans="1:7" x14ac:dyDescent="0.25">
      <c r="A10154" s="36"/>
      <c r="B10154" s="34"/>
      <c r="G10154" s="31"/>
    </row>
    <row r="10155" spans="1:7" x14ac:dyDescent="0.25">
      <c r="A10155" s="36"/>
      <c r="B10155" s="34"/>
      <c r="G10155" s="31"/>
    </row>
    <row r="10156" spans="1:7" x14ac:dyDescent="0.25">
      <c r="A10156" s="36"/>
      <c r="B10156" s="34"/>
      <c r="G10156" s="31"/>
    </row>
    <row r="10157" spans="1:7" x14ac:dyDescent="0.25">
      <c r="A10157" s="36"/>
      <c r="B10157" s="34"/>
      <c r="G10157" s="31"/>
    </row>
    <row r="10158" spans="1:7" x14ac:dyDescent="0.25">
      <c r="A10158" s="36"/>
      <c r="B10158" s="34"/>
      <c r="G10158" s="31"/>
    </row>
    <row r="10159" spans="1:7" x14ac:dyDescent="0.25">
      <c r="A10159" s="36"/>
      <c r="B10159" s="34"/>
      <c r="G10159" s="31"/>
    </row>
    <row r="10160" spans="1:7" x14ac:dyDescent="0.25">
      <c r="A10160" s="36"/>
      <c r="B10160" s="34"/>
      <c r="G10160" s="31"/>
    </row>
    <row r="10161" spans="1:7" x14ac:dyDescent="0.25">
      <c r="A10161" s="36"/>
      <c r="B10161" s="34"/>
      <c r="G10161" s="31"/>
    </row>
    <row r="10162" spans="1:7" x14ac:dyDescent="0.25">
      <c r="A10162" s="36"/>
      <c r="B10162" s="34"/>
      <c r="G10162" s="31"/>
    </row>
    <row r="10163" spans="1:7" x14ac:dyDescent="0.25">
      <c r="A10163" s="36"/>
      <c r="B10163" s="34"/>
      <c r="G10163" s="31"/>
    </row>
    <row r="10164" spans="1:7" x14ac:dyDescent="0.25">
      <c r="A10164" s="36"/>
      <c r="B10164" s="34"/>
      <c r="G10164" s="31"/>
    </row>
    <row r="10165" spans="1:7" x14ac:dyDescent="0.25">
      <c r="A10165" s="36"/>
      <c r="B10165" s="34"/>
      <c r="G10165" s="31"/>
    </row>
    <row r="10166" spans="1:7" x14ac:dyDescent="0.25">
      <c r="A10166" s="36"/>
      <c r="B10166" s="34"/>
      <c r="G10166" s="31"/>
    </row>
    <row r="10167" spans="1:7" x14ac:dyDescent="0.25">
      <c r="A10167" s="36"/>
      <c r="B10167" s="34"/>
      <c r="G10167" s="31"/>
    </row>
    <row r="10168" spans="1:7" x14ac:dyDescent="0.25">
      <c r="A10168" s="36"/>
      <c r="B10168" s="34"/>
      <c r="G10168" s="31"/>
    </row>
    <row r="10169" spans="1:7" x14ac:dyDescent="0.25">
      <c r="A10169" s="36"/>
      <c r="B10169" s="34"/>
      <c r="G10169" s="31"/>
    </row>
    <row r="10170" spans="1:7" x14ac:dyDescent="0.25">
      <c r="A10170" s="36"/>
      <c r="B10170" s="34"/>
      <c r="G10170" s="31"/>
    </row>
    <row r="10171" spans="1:7" x14ac:dyDescent="0.25">
      <c r="A10171" s="36"/>
      <c r="B10171" s="34"/>
      <c r="G10171" s="31"/>
    </row>
    <row r="10172" spans="1:7" x14ac:dyDescent="0.25">
      <c r="A10172" s="36"/>
      <c r="B10172" s="34"/>
      <c r="G10172" s="31"/>
    </row>
    <row r="10173" spans="1:7" x14ac:dyDescent="0.25">
      <c r="A10173" s="36"/>
      <c r="B10173" s="34"/>
      <c r="G10173" s="31"/>
    </row>
    <row r="10174" spans="1:7" x14ac:dyDescent="0.25">
      <c r="A10174" s="36"/>
      <c r="B10174" s="34"/>
      <c r="G10174" s="31"/>
    </row>
    <row r="10175" spans="1:7" x14ac:dyDescent="0.25">
      <c r="A10175" s="36"/>
      <c r="B10175" s="34"/>
      <c r="G10175" s="31"/>
    </row>
    <row r="10176" spans="1:7" x14ac:dyDescent="0.25">
      <c r="A10176" s="36"/>
      <c r="B10176" s="34"/>
      <c r="G10176" s="31"/>
    </row>
    <row r="10177" spans="1:7" x14ac:dyDescent="0.25">
      <c r="A10177" s="36"/>
      <c r="B10177" s="34"/>
      <c r="G10177" s="31"/>
    </row>
    <row r="10178" spans="1:7" x14ac:dyDescent="0.25">
      <c r="A10178" s="36"/>
      <c r="B10178" s="34"/>
      <c r="G10178" s="31"/>
    </row>
    <row r="10179" spans="1:7" x14ac:dyDescent="0.25">
      <c r="A10179" s="36"/>
      <c r="B10179" s="34"/>
      <c r="G10179" s="31"/>
    </row>
    <row r="10180" spans="1:7" x14ac:dyDescent="0.25">
      <c r="A10180" s="36"/>
      <c r="B10180" s="34"/>
      <c r="G10180" s="31"/>
    </row>
    <row r="10181" spans="1:7" x14ac:dyDescent="0.25">
      <c r="A10181" s="36"/>
      <c r="B10181" s="34"/>
      <c r="G10181" s="31"/>
    </row>
    <row r="10182" spans="1:7" x14ac:dyDescent="0.25">
      <c r="A10182" s="36"/>
      <c r="B10182" s="34"/>
      <c r="G10182" s="31"/>
    </row>
    <row r="10183" spans="1:7" x14ac:dyDescent="0.25">
      <c r="A10183" s="36"/>
      <c r="B10183" s="34"/>
      <c r="G10183" s="31"/>
    </row>
    <row r="10184" spans="1:7" x14ac:dyDescent="0.25">
      <c r="A10184" s="36"/>
      <c r="B10184" s="34"/>
      <c r="G10184" s="31"/>
    </row>
    <row r="10185" spans="1:7" x14ac:dyDescent="0.25">
      <c r="A10185" s="36"/>
      <c r="B10185" s="34"/>
      <c r="G10185" s="31"/>
    </row>
    <row r="10186" spans="1:7" x14ac:dyDescent="0.25">
      <c r="A10186" s="36"/>
      <c r="B10186" s="34"/>
      <c r="G10186" s="31"/>
    </row>
    <row r="10187" spans="1:7" x14ac:dyDescent="0.25">
      <c r="A10187" s="36"/>
      <c r="B10187" s="34"/>
      <c r="G10187" s="31"/>
    </row>
    <row r="10188" spans="1:7" x14ac:dyDescent="0.25">
      <c r="A10188" s="36"/>
      <c r="B10188" s="34"/>
      <c r="G10188" s="31"/>
    </row>
    <row r="10189" spans="1:7" x14ac:dyDescent="0.25">
      <c r="A10189" s="36"/>
      <c r="B10189" s="34"/>
      <c r="G10189" s="31"/>
    </row>
    <row r="10190" spans="1:7" x14ac:dyDescent="0.25">
      <c r="A10190" s="36"/>
      <c r="B10190" s="34"/>
      <c r="G10190" s="31"/>
    </row>
    <row r="10191" spans="1:7" x14ac:dyDescent="0.25">
      <c r="A10191" s="36"/>
      <c r="B10191" s="34"/>
      <c r="G10191" s="31"/>
    </row>
    <row r="10192" spans="1:7" x14ac:dyDescent="0.25">
      <c r="A10192" s="36"/>
      <c r="B10192" s="34"/>
      <c r="G10192" s="31"/>
    </row>
    <row r="10193" spans="1:7" x14ac:dyDescent="0.25">
      <c r="A10193" s="36"/>
      <c r="B10193" s="34"/>
      <c r="G10193" s="31"/>
    </row>
    <row r="10194" spans="1:7" x14ac:dyDescent="0.25">
      <c r="A10194" s="36"/>
      <c r="B10194" s="34"/>
      <c r="G10194" s="31"/>
    </row>
    <row r="10195" spans="1:7" x14ac:dyDescent="0.25">
      <c r="A10195" s="36"/>
      <c r="B10195" s="34"/>
      <c r="G10195" s="31"/>
    </row>
    <row r="10196" spans="1:7" x14ac:dyDescent="0.25">
      <c r="A10196" s="36"/>
      <c r="B10196" s="34"/>
      <c r="G10196" s="31"/>
    </row>
    <row r="10197" spans="1:7" x14ac:dyDescent="0.25">
      <c r="A10197" s="36"/>
      <c r="B10197" s="34"/>
      <c r="G10197" s="31"/>
    </row>
    <row r="10198" spans="1:7" x14ac:dyDescent="0.25">
      <c r="A10198" s="36"/>
      <c r="B10198" s="34"/>
      <c r="G10198" s="31"/>
    </row>
    <row r="10199" spans="1:7" x14ac:dyDescent="0.25">
      <c r="A10199" s="36"/>
      <c r="B10199" s="34"/>
      <c r="G10199" s="31"/>
    </row>
    <row r="10200" spans="1:7" x14ac:dyDescent="0.25">
      <c r="A10200" s="36"/>
      <c r="B10200" s="34"/>
      <c r="G10200" s="31"/>
    </row>
    <row r="10201" spans="1:7" x14ac:dyDescent="0.25">
      <c r="A10201" s="36"/>
      <c r="B10201" s="34"/>
      <c r="G10201" s="31"/>
    </row>
    <row r="10202" spans="1:7" x14ac:dyDescent="0.25">
      <c r="A10202" s="36"/>
      <c r="B10202" s="34"/>
      <c r="G10202" s="31"/>
    </row>
    <row r="10203" spans="1:7" x14ac:dyDescent="0.25">
      <c r="A10203" s="36"/>
      <c r="B10203" s="34"/>
      <c r="G10203" s="31"/>
    </row>
    <row r="10204" spans="1:7" x14ac:dyDescent="0.25">
      <c r="A10204" s="36"/>
      <c r="B10204" s="34"/>
      <c r="G10204" s="31"/>
    </row>
    <row r="10205" spans="1:7" x14ac:dyDescent="0.25">
      <c r="A10205" s="36"/>
      <c r="B10205" s="34"/>
      <c r="G10205" s="31"/>
    </row>
    <row r="10206" spans="1:7" x14ac:dyDescent="0.25">
      <c r="A10206" s="36"/>
      <c r="B10206" s="34"/>
      <c r="G10206" s="31"/>
    </row>
    <row r="10207" spans="1:7" x14ac:dyDescent="0.25">
      <c r="A10207" s="36"/>
      <c r="B10207" s="34"/>
      <c r="G10207" s="31"/>
    </row>
    <row r="10208" spans="1:7" x14ac:dyDescent="0.25">
      <c r="A10208" s="36"/>
      <c r="B10208" s="34"/>
      <c r="G10208" s="31"/>
    </row>
    <row r="10209" spans="1:7" x14ac:dyDescent="0.25">
      <c r="A10209" s="36"/>
      <c r="B10209" s="34"/>
      <c r="G10209" s="31"/>
    </row>
    <row r="10210" spans="1:7" x14ac:dyDescent="0.25">
      <c r="A10210" s="36"/>
      <c r="B10210" s="34"/>
      <c r="G10210" s="31"/>
    </row>
    <row r="10211" spans="1:7" x14ac:dyDescent="0.25">
      <c r="A10211" s="36"/>
      <c r="B10211" s="34"/>
      <c r="G10211" s="31"/>
    </row>
    <row r="10212" spans="1:7" x14ac:dyDescent="0.25">
      <c r="A10212" s="36"/>
      <c r="B10212" s="34"/>
      <c r="G10212" s="31"/>
    </row>
    <row r="10213" spans="1:7" x14ac:dyDescent="0.25">
      <c r="A10213" s="36"/>
      <c r="B10213" s="34"/>
      <c r="G10213" s="31"/>
    </row>
    <row r="10214" spans="1:7" x14ac:dyDescent="0.25">
      <c r="A10214" s="36"/>
      <c r="B10214" s="34"/>
      <c r="G10214" s="31"/>
    </row>
    <row r="10215" spans="1:7" x14ac:dyDescent="0.25">
      <c r="A10215" s="36"/>
      <c r="B10215" s="34"/>
      <c r="G10215" s="31"/>
    </row>
    <row r="10216" spans="1:7" x14ac:dyDescent="0.25">
      <c r="A10216" s="36"/>
      <c r="B10216" s="34"/>
      <c r="G10216" s="31"/>
    </row>
    <row r="10217" spans="1:7" x14ac:dyDescent="0.25">
      <c r="A10217" s="36"/>
      <c r="B10217" s="34"/>
      <c r="G10217" s="31"/>
    </row>
    <row r="10218" spans="1:7" x14ac:dyDescent="0.25">
      <c r="A10218" s="36"/>
      <c r="B10218" s="34"/>
      <c r="G10218" s="31"/>
    </row>
    <row r="10219" spans="1:7" x14ac:dyDescent="0.25">
      <c r="A10219" s="36"/>
      <c r="B10219" s="34"/>
      <c r="G10219" s="31"/>
    </row>
    <row r="10220" spans="1:7" x14ac:dyDescent="0.25">
      <c r="A10220" s="36"/>
      <c r="B10220" s="34"/>
      <c r="G10220" s="31"/>
    </row>
    <row r="10221" spans="1:7" x14ac:dyDescent="0.25">
      <c r="A10221" s="36"/>
      <c r="B10221" s="34"/>
      <c r="G10221" s="31"/>
    </row>
    <row r="10222" spans="1:7" x14ac:dyDescent="0.25">
      <c r="A10222" s="36"/>
      <c r="B10222" s="34"/>
      <c r="G10222" s="31"/>
    </row>
    <row r="10223" spans="1:7" x14ac:dyDescent="0.25">
      <c r="A10223" s="36"/>
      <c r="B10223" s="34"/>
      <c r="G10223" s="31"/>
    </row>
    <row r="10224" spans="1:7" x14ac:dyDescent="0.25">
      <c r="A10224" s="36"/>
      <c r="B10224" s="34"/>
      <c r="G10224" s="31"/>
    </row>
    <row r="10225" spans="1:7" x14ac:dyDescent="0.25">
      <c r="A10225" s="36"/>
      <c r="B10225" s="34"/>
      <c r="G10225" s="31"/>
    </row>
    <row r="10226" spans="1:7" x14ac:dyDescent="0.25">
      <c r="A10226" s="36"/>
      <c r="B10226" s="34"/>
      <c r="G10226" s="31"/>
    </row>
    <row r="10227" spans="1:7" x14ac:dyDescent="0.25">
      <c r="A10227" s="36"/>
      <c r="B10227" s="34"/>
      <c r="G10227" s="31"/>
    </row>
    <row r="10228" spans="1:7" x14ac:dyDescent="0.25">
      <c r="A10228" s="36"/>
      <c r="B10228" s="34"/>
      <c r="G10228" s="31"/>
    </row>
    <row r="10229" spans="1:7" x14ac:dyDescent="0.25">
      <c r="A10229" s="36"/>
      <c r="B10229" s="34"/>
      <c r="G10229" s="31"/>
    </row>
    <row r="10230" spans="1:7" x14ac:dyDescent="0.25">
      <c r="A10230" s="36"/>
      <c r="B10230" s="34"/>
      <c r="G10230" s="31"/>
    </row>
    <row r="10231" spans="1:7" x14ac:dyDescent="0.25">
      <c r="A10231" s="36"/>
      <c r="B10231" s="34"/>
      <c r="G10231" s="31"/>
    </row>
    <row r="10232" spans="1:7" x14ac:dyDescent="0.25">
      <c r="A10232" s="36"/>
      <c r="B10232" s="34"/>
      <c r="G10232" s="31"/>
    </row>
    <row r="10233" spans="1:7" x14ac:dyDescent="0.25">
      <c r="A10233" s="36"/>
      <c r="B10233" s="34"/>
      <c r="G10233" s="31"/>
    </row>
    <row r="10234" spans="1:7" x14ac:dyDescent="0.25">
      <c r="A10234" s="36"/>
      <c r="B10234" s="34"/>
      <c r="G10234" s="31"/>
    </row>
    <row r="10235" spans="1:7" x14ac:dyDescent="0.25">
      <c r="A10235" s="36"/>
      <c r="B10235" s="34"/>
      <c r="G10235" s="31"/>
    </row>
    <row r="10236" spans="1:7" x14ac:dyDescent="0.25">
      <c r="A10236" s="36"/>
      <c r="B10236" s="34"/>
      <c r="G10236" s="31"/>
    </row>
    <row r="10237" spans="1:7" x14ac:dyDescent="0.25">
      <c r="A10237" s="36"/>
      <c r="B10237" s="34"/>
      <c r="G10237" s="31"/>
    </row>
    <row r="10238" spans="1:7" x14ac:dyDescent="0.25">
      <c r="A10238" s="36"/>
      <c r="B10238" s="34"/>
      <c r="G10238" s="31"/>
    </row>
    <row r="10239" spans="1:7" x14ac:dyDescent="0.25">
      <c r="A10239" s="36"/>
      <c r="B10239" s="34"/>
      <c r="G10239" s="31"/>
    </row>
    <row r="10240" spans="1:7" x14ac:dyDescent="0.25">
      <c r="A10240" s="36"/>
      <c r="B10240" s="34"/>
      <c r="G10240" s="31"/>
    </row>
    <row r="10241" spans="1:7" x14ac:dyDescent="0.25">
      <c r="A10241" s="36"/>
      <c r="B10241" s="34"/>
      <c r="G10241" s="31"/>
    </row>
    <row r="10242" spans="1:7" x14ac:dyDescent="0.25">
      <c r="A10242" s="36"/>
      <c r="B10242" s="34"/>
      <c r="G10242" s="31"/>
    </row>
    <row r="10243" spans="1:7" x14ac:dyDescent="0.25">
      <c r="A10243" s="36"/>
      <c r="B10243" s="34"/>
      <c r="G10243" s="31"/>
    </row>
    <row r="10244" spans="1:7" x14ac:dyDescent="0.25">
      <c r="A10244" s="36"/>
      <c r="B10244" s="34"/>
      <c r="G10244" s="31"/>
    </row>
    <row r="10245" spans="1:7" x14ac:dyDescent="0.25">
      <c r="A10245" s="36"/>
      <c r="B10245" s="34"/>
      <c r="G10245" s="31"/>
    </row>
    <row r="10246" spans="1:7" x14ac:dyDescent="0.25">
      <c r="A10246" s="36"/>
      <c r="B10246" s="34"/>
      <c r="G10246" s="31"/>
    </row>
    <row r="10247" spans="1:7" x14ac:dyDescent="0.25">
      <c r="A10247" s="36"/>
      <c r="B10247" s="34"/>
      <c r="G10247" s="31"/>
    </row>
    <row r="10248" spans="1:7" x14ac:dyDescent="0.25">
      <c r="A10248" s="36"/>
      <c r="B10248" s="34"/>
      <c r="G10248" s="31"/>
    </row>
    <row r="10249" spans="1:7" x14ac:dyDescent="0.25">
      <c r="A10249" s="36"/>
      <c r="B10249" s="34"/>
      <c r="G10249" s="31"/>
    </row>
    <row r="10250" spans="1:7" x14ac:dyDescent="0.25">
      <c r="A10250" s="36"/>
      <c r="B10250" s="34"/>
      <c r="G10250" s="31"/>
    </row>
    <row r="10251" spans="1:7" x14ac:dyDescent="0.25">
      <c r="A10251" s="36"/>
      <c r="B10251" s="34"/>
      <c r="G10251" s="31"/>
    </row>
    <row r="10252" spans="1:7" x14ac:dyDescent="0.25">
      <c r="A10252" s="36"/>
      <c r="B10252" s="34"/>
      <c r="G10252" s="31"/>
    </row>
    <row r="10253" spans="1:7" x14ac:dyDescent="0.25">
      <c r="A10253" s="36"/>
      <c r="B10253" s="34"/>
      <c r="G10253" s="31"/>
    </row>
    <row r="10254" spans="1:7" x14ac:dyDescent="0.25">
      <c r="A10254" s="36"/>
      <c r="B10254" s="34"/>
      <c r="G10254" s="31"/>
    </row>
    <row r="10255" spans="1:7" x14ac:dyDescent="0.25">
      <c r="A10255" s="36"/>
      <c r="B10255" s="34"/>
      <c r="G10255" s="31"/>
    </row>
    <row r="10256" spans="1:7" x14ac:dyDescent="0.25">
      <c r="A10256" s="36"/>
      <c r="B10256" s="34"/>
      <c r="G10256" s="31"/>
    </row>
    <row r="10257" spans="1:7" x14ac:dyDescent="0.25">
      <c r="A10257" s="36"/>
      <c r="B10257" s="34"/>
      <c r="G10257" s="31"/>
    </row>
    <row r="10258" spans="1:7" x14ac:dyDescent="0.25">
      <c r="A10258" s="36"/>
      <c r="B10258" s="34"/>
      <c r="G10258" s="31"/>
    </row>
    <row r="10259" spans="1:7" x14ac:dyDescent="0.25">
      <c r="A10259" s="36"/>
      <c r="B10259" s="34"/>
      <c r="G10259" s="31"/>
    </row>
    <row r="10260" spans="1:7" x14ac:dyDescent="0.25">
      <c r="A10260" s="36"/>
      <c r="B10260" s="34"/>
      <c r="G10260" s="31"/>
    </row>
    <row r="10261" spans="1:7" x14ac:dyDescent="0.25">
      <c r="A10261" s="36"/>
      <c r="B10261" s="34"/>
      <c r="G10261" s="31"/>
    </row>
    <row r="10262" spans="1:7" x14ac:dyDescent="0.25">
      <c r="A10262" s="36"/>
      <c r="B10262" s="34"/>
      <c r="G10262" s="31"/>
    </row>
    <row r="10263" spans="1:7" x14ac:dyDescent="0.25">
      <c r="A10263" s="36"/>
      <c r="B10263" s="34"/>
      <c r="G10263" s="31"/>
    </row>
    <row r="10264" spans="1:7" x14ac:dyDescent="0.25">
      <c r="A10264" s="36"/>
      <c r="B10264" s="34"/>
      <c r="G10264" s="31"/>
    </row>
    <row r="10265" spans="1:7" x14ac:dyDescent="0.25">
      <c r="A10265" s="36"/>
      <c r="B10265" s="34"/>
      <c r="G10265" s="31"/>
    </row>
    <row r="10266" spans="1:7" x14ac:dyDescent="0.25">
      <c r="A10266" s="36"/>
      <c r="B10266" s="34"/>
      <c r="G10266" s="31"/>
    </row>
    <row r="10267" spans="1:7" x14ac:dyDescent="0.25">
      <c r="A10267" s="36"/>
      <c r="B10267" s="34"/>
      <c r="G10267" s="31"/>
    </row>
    <row r="10268" spans="1:7" x14ac:dyDescent="0.25">
      <c r="A10268" s="36"/>
      <c r="B10268" s="34"/>
      <c r="G10268" s="31"/>
    </row>
    <row r="10269" spans="1:7" x14ac:dyDescent="0.25">
      <c r="A10269" s="36"/>
      <c r="B10269" s="34"/>
      <c r="G10269" s="31"/>
    </row>
    <row r="10270" spans="1:7" x14ac:dyDescent="0.25">
      <c r="A10270" s="36"/>
      <c r="B10270" s="34"/>
      <c r="G10270" s="31"/>
    </row>
    <row r="10271" spans="1:7" x14ac:dyDescent="0.25">
      <c r="A10271" s="36"/>
      <c r="B10271" s="34"/>
      <c r="G10271" s="31"/>
    </row>
    <row r="10272" spans="1:7" x14ac:dyDescent="0.25">
      <c r="A10272" s="36"/>
      <c r="B10272" s="34"/>
      <c r="G10272" s="31"/>
    </row>
    <row r="10273" spans="1:7" x14ac:dyDescent="0.25">
      <c r="A10273" s="36"/>
      <c r="B10273" s="34"/>
      <c r="G10273" s="31"/>
    </row>
    <row r="10274" spans="1:7" x14ac:dyDescent="0.25">
      <c r="A10274" s="36"/>
      <c r="B10274" s="34"/>
      <c r="G10274" s="31"/>
    </row>
    <row r="10275" spans="1:7" x14ac:dyDescent="0.25">
      <c r="A10275" s="36"/>
      <c r="B10275" s="34"/>
      <c r="G10275" s="31"/>
    </row>
    <row r="10276" spans="1:7" x14ac:dyDescent="0.25">
      <c r="A10276" s="36"/>
      <c r="B10276" s="34"/>
      <c r="G10276" s="31"/>
    </row>
    <row r="10277" spans="1:7" x14ac:dyDescent="0.25">
      <c r="A10277" s="36"/>
      <c r="B10277" s="34"/>
      <c r="G10277" s="31"/>
    </row>
    <row r="10278" spans="1:7" x14ac:dyDescent="0.25">
      <c r="A10278" s="36"/>
      <c r="B10278" s="34"/>
      <c r="G10278" s="31"/>
    </row>
    <row r="10279" spans="1:7" x14ac:dyDescent="0.25">
      <c r="A10279" s="36"/>
      <c r="B10279" s="34"/>
      <c r="G10279" s="31"/>
    </row>
    <row r="10280" spans="1:7" x14ac:dyDescent="0.25">
      <c r="A10280" s="36"/>
      <c r="B10280" s="34"/>
      <c r="G10280" s="31"/>
    </row>
    <row r="10281" spans="1:7" x14ac:dyDescent="0.25">
      <c r="A10281" s="36"/>
      <c r="B10281" s="34"/>
      <c r="G10281" s="31"/>
    </row>
    <row r="10282" spans="1:7" x14ac:dyDescent="0.25">
      <c r="A10282" s="36"/>
      <c r="B10282" s="34"/>
      <c r="G10282" s="31"/>
    </row>
    <row r="10283" spans="1:7" x14ac:dyDescent="0.25">
      <c r="A10283" s="36"/>
      <c r="B10283" s="34"/>
      <c r="G10283" s="31"/>
    </row>
    <row r="10284" spans="1:7" x14ac:dyDescent="0.25">
      <c r="A10284" s="36"/>
      <c r="B10284" s="34"/>
      <c r="G10284" s="31"/>
    </row>
    <row r="10285" spans="1:7" x14ac:dyDescent="0.25">
      <c r="A10285" s="36"/>
      <c r="B10285" s="34"/>
      <c r="G10285" s="31"/>
    </row>
    <row r="10286" spans="1:7" x14ac:dyDescent="0.25">
      <c r="A10286" s="36"/>
      <c r="B10286" s="34"/>
      <c r="G10286" s="31"/>
    </row>
    <row r="10287" spans="1:7" x14ac:dyDescent="0.25">
      <c r="A10287" s="36"/>
      <c r="B10287" s="34"/>
      <c r="G10287" s="31"/>
    </row>
    <row r="10288" spans="1:7" x14ac:dyDescent="0.25">
      <c r="A10288" s="36"/>
      <c r="B10288" s="34"/>
      <c r="G10288" s="31"/>
    </row>
    <row r="10289" spans="1:7" x14ac:dyDescent="0.25">
      <c r="A10289" s="36"/>
      <c r="B10289" s="34"/>
      <c r="G10289" s="31"/>
    </row>
    <row r="10290" spans="1:7" x14ac:dyDescent="0.25">
      <c r="A10290" s="36"/>
      <c r="B10290" s="34"/>
      <c r="G10290" s="31"/>
    </row>
    <row r="10291" spans="1:7" x14ac:dyDescent="0.25">
      <c r="A10291" s="36"/>
      <c r="B10291" s="34"/>
      <c r="G10291" s="31"/>
    </row>
    <row r="10292" spans="1:7" x14ac:dyDescent="0.25">
      <c r="A10292" s="36"/>
      <c r="B10292" s="34"/>
      <c r="G10292" s="31"/>
    </row>
    <row r="10293" spans="1:7" x14ac:dyDescent="0.25">
      <c r="A10293" s="36"/>
      <c r="B10293" s="34"/>
      <c r="G10293" s="31"/>
    </row>
    <row r="10294" spans="1:7" x14ac:dyDescent="0.25">
      <c r="A10294" s="36"/>
      <c r="B10294" s="34"/>
      <c r="G10294" s="31"/>
    </row>
    <row r="10295" spans="1:7" x14ac:dyDescent="0.25">
      <c r="A10295" s="36"/>
      <c r="B10295" s="34"/>
      <c r="G10295" s="31"/>
    </row>
    <row r="10296" spans="1:7" x14ac:dyDescent="0.25">
      <c r="A10296" s="36"/>
      <c r="B10296" s="34"/>
      <c r="G10296" s="31"/>
    </row>
    <row r="10297" spans="1:7" x14ac:dyDescent="0.25">
      <c r="A10297" s="36"/>
      <c r="B10297" s="34"/>
      <c r="G10297" s="31"/>
    </row>
    <row r="10298" spans="1:7" x14ac:dyDescent="0.25">
      <c r="A10298" s="36"/>
      <c r="B10298" s="34"/>
      <c r="G10298" s="31"/>
    </row>
    <row r="10299" spans="1:7" x14ac:dyDescent="0.25">
      <c r="A10299" s="36"/>
      <c r="B10299" s="34"/>
      <c r="G10299" s="31"/>
    </row>
    <row r="10300" spans="1:7" x14ac:dyDescent="0.25">
      <c r="A10300" s="36"/>
      <c r="B10300" s="34"/>
      <c r="G10300" s="31"/>
    </row>
    <row r="10301" spans="1:7" x14ac:dyDescent="0.25">
      <c r="A10301" s="36"/>
      <c r="B10301" s="34"/>
      <c r="G10301" s="31"/>
    </row>
    <row r="10302" spans="1:7" x14ac:dyDescent="0.25">
      <c r="A10302" s="36"/>
      <c r="B10302" s="34"/>
      <c r="G10302" s="31"/>
    </row>
    <row r="10303" spans="1:7" x14ac:dyDescent="0.25">
      <c r="A10303" s="36"/>
      <c r="B10303" s="34"/>
      <c r="G10303" s="31"/>
    </row>
    <row r="10304" spans="1:7" x14ac:dyDescent="0.25">
      <c r="A10304" s="36"/>
      <c r="B10304" s="34"/>
      <c r="G10304" s="31"/>
    </row>
    <row r="10305" spans="1:7" x14ac:dyDescent="0.25">
      <c r="A10305" s="36"/>
      <c r="B10305" s="34"/>
      <c r="G10305" s="31"/>
    </row>
    <row r="10306" spans="1:7" x14ac:dyDescent="0.25">
      <c r="A10306" s="36"/>
      <c r="B10306" s="34"/>
      <c r="G10306" s="31"/>
    </row>
    <row r="10307" spans="1:7" x14ac:dyDescent="0.25">
      <c r="A10307" s="36"/>
      <c r="B10307" s="34"/>
      <c r="G10307" s="31"/>
    </row>
    <row r="10308" spans="1:7" x14ac:dyDescent="0.25">
      <c r="A10308" s="36"/>
      <c r="B10308" s="34"/>
      <c r="G10308" s="31"/>
    </row>
    <row r="10309" spans="1:7" x14ac:dyDescent="0.25">
      <c r="A10309" s="36"/>
      <c r="B10309" s="34"/>
      <c r="G10309" s="31"/>
    </row>
    <row r="10310" spans="1:7" x14ac:dyDescent="0.25">
      <c r="A10310" s="36"/>
      <c r="B10310" s="34"/>
      <c r="G10310" s="31"/>
    </row>
    <row r="10311" spans="1:7" x14ac:dyDescent="0.25">
      <c r="A10311" s="36"/>
      <c r="B10311" s="34"/>
      <c r="G10311" s="31"/>
    </row>
    <row r="10312" spans="1:7" x14ac:dyDescent="0.25">
      <c r="A10312" s="36"/>
      <c r="B10312" s="34"/>
      <c r="G10312" s="31"/>
    </row>
    <row r="10313" spans="1:7" x14ac:dyDescent="0.25">
      <c r="A10313" s="36"/>
      <c r="B10313" s="34"/>
      <c r="G10313" s="31"/>
    </row>
    <row r="10314" spans="1:7" x14ac:dyDescent="0.25">
      <c r="A10314" s="36"/>
      <c r="B10314" s="34"/>
      <c r="G10314" s="31"/>
    </row>
    <row r="10315" spans="1:7" x14ac:dyDescent="0.25">
      <c r="A10315" s="36"/>
      <c r="B10315" s="34"/>
      <c r="G10315" s="31"/>
    </row>
    <row r="10316" spans="1:7" x14ac:dyDescent="0.25">
      <c r="A10316" s="36"/>
      <c r="B10316" s="34"/>
      <c r="G10316" s="31"/>
    </row>
    <row r="10317" spans="1:7" x14ac:dyDescent="0.25">
      <c r="A10317" s="36"/>
      <c r="B10317" s="34"/>
      <c r="G10317" s="31"/>
    </row>
    <row r="10318" spans="1:7" x14ac:dyDescent="0.25">
      <c r="A10318" s="36"/>
      <c r="B10318" s="34"/>
      <c r="G10318" s="31"/>
    </row>
    <row r="10319" spans="1:7" x14ac:dyDescent="0.25">
      <c r="A10319" s="36"/>
      <c r="B10319" s="34"/>
      <c r="G10319" s="31"/>
    </row>
    <row r="10320" spans="1:7" x14ac:dyDescent="0.25">
      <c r="A10320" s="36"/>
      <c r="B10320" s="34"/>
      <c r="G10320" s="31"/>
    </row>
    <row r="10321" spans="1:7" x14ac:dyDescent="0.25">
      <c r="A10321" s="36"/>
      <c r="B10321" s="34"/>
      <c r="G10321" s="31"/>
    </row>
    <row r="10322" spans="1:7" x14ac:dyDescent="0.25">
      <c r="A10322" s="36"/>
      <c r="B10322" s="34"/>
      <c r="G10322" s="31"/>
    </row>
    <row r="10323" spans="1:7" x14ac:dyDescent="0.25">
      <c r="A10323" s="36"/>
      <c r="B10323" s="34"/>
      <c r="G10323" s="31"/>
    </row>
    <row r="10324" spans="1:7" x14ac:dyDescent="0.25">
      <c r="A10324" s="36"/>
      <c r="B10324" s="34"/>
      <c r="G10324" s="31"/>
    </row>
    <row r="10325" spans="1:7" x14ac:dyDescent="0.25">
      <c r="A10325" s="36"/>
      <c r="B10325" s="34"/>
      <c r="G10325" s="31"/>
    </row>
    <row r="10326" spans="1:7" x14ac:dyDescent="0.25">
      <c r="A10326" s="36"/>
      <c r="B10326" s="34"/>
      <c r="G10326" s="31"/>
    </row>
    <row r="10327" spans="1:7" x14ac:dyDescent="0.25">
      <c r="A10327" s="36"/>
      <c r="B10327" s="34"/>
      <c r="G10327" s="31"/>
    </row>
    <row r="10328" spans="1:7" x14ac:dyDescent="0.25">
      <c r="A10328" s="36"/>
      <c r="B10328" s="34"/>
      <c r="G10328" s="31"/>
    </row>
    <row r="10329" spans="1:7" x14ac:dyDescent="0.25">
      <c r="A10329" s="36"/>
      <c r="B10329" s="34"/>
      <c r="G10329" s="31"/>
    </row>
    <row r="10330" spans="1:7" x14ac:dyDescent="0.25">
      <c r="A10330" s="36"/>
      <c r="B10330" s="34"/>
      <c r="G10330" s="31"/>
    </row>
    <row r="10331" spans="1:7" x14ac:dyDescent="0.25">
      <c r="A10331" s="36"/>
      <c r="B10331" s="34"/>
      <c r="G10331" s="31"/>
    </row>
    <row r="10332" spans="1:7" x14ac:dyDescent="0.25">
      <c r="A10332" s="36"/>
      <c r="B10332" s="34"/>
      <c r="G10332" s="31"/>
    </row>
    <row r="10333" spans="1:7" x14ac:dyDescent="0.25">
      <c r="A10333" s="36"/>
      <c r="B10333" s="34"/>
      <c r="G10333" s="31"/>
    </row>
    <row r="10334" spans="1:7" x14ac:dyDescent="0.25">
      <c r="A10334" s="36"/>
      <c r="B10334" s="34"/>
      <c r="G10334" s="31"/>
    </row>
    <row r="10335" spans="1:7" x14ac:dyDescent="0.25">
      <c r="A10335" s="36"/>
      <c r="B10335" s="34"/>
      <c r="G10335" s="31"/>
    </row>
    <row r="10336" spans="1:7" x14ac:dyDescent="0.25">
      <c r="A10336" s="36"/>
      <c r="B10336" s="34"/>
      <c r="G10336" s="31"/>
    </row>
    <row r="10337" spans="1:7" x14ac:dyDescent="0.25">
      <c r="A10337" s="36"/>
      <c r="B10337" s="34"/>
      <c r="G10337" s="31"/>
    </row>
    <row r="10338" spans="1:7" x14ac:dyDescent="0.25">
      <c r="A10338" s="36"/>
      <c r="B10338" s="34"/>
      <c r="G10338" s="31"/>
    </row>
    <row r="10339" spans="1:7" x14ac:dyDescent="0.25">
      <c r="A10339" s="36"/>
      <c r="B10339" s="34"/>
      <c r="G10339" s="31"/>
    </row>
    <row r="10340" spans="1:7" x14ac:dyDescent="0.25">
      <c r="A10340" s="36"/>
      <c r="B10340" s="34"/>
      <c r="G10340" s="31"/>
    </row>
    <row r="10341" spans="1:7" x14ac:dyDescent="0.25">
      <c r="A10341" s="36"/>
      <c r="B10341" s="34"/>
      <c r="G10341" s="31"/>
    </row>
    <row r="10342" spans="1:7" x14ac:dyDescent="0.25">
      <c r="A10342" s="36"/>
      <c r="B10342" s="34"/>
      <c r="G10342" s="31"/>
    </row>
    <row r="10343" spans="1:7" x14ac:dyDescent="0.25">
      <c r="A10343" s="36"/>
      <c r="B10343" s="34"/>
      <c r="G10343" s="31"/>
    </row>
    <row r="10344" spans="1:7" x14ac:dyDescent="0.25">
      <c r="A10344" s="36"/>
      <c r="B10344" s="34"/>
      <c r="G10344" s="31"/>
    </row>
    <row r="10345" spans="1:7" x14ac:dyDescent="0.25">
      <c r="A10345" s="36"/>
      <c r="B10345" s="34"/>
      <c r="G10345" s="31"/>
    </row>
    <row r="10346" spans="1:7" x14ac:dyDescent="0.25">
      <c r="A10346" s="36"/>
      <c r="B10346" s="34"/>
      <c r="G10346" s="31"/>
    </row>
    <row r="10347" spans="1:7" x14ac:dyDescent="0.25">
      <c r="A10347" s="36"/>
      <c r="B10347" s="34"/>
      <c r="G10347" s="31"/>
    </row>
    <row r="10348" spans="1:7" x14ac:dyDescent="0.25">
      <c r="A10348" s="36"/>
      <c r="B10348" s="34"/>
      <c r="G10348" s="31"/>
    </row>
    <row r="10349" spans="1:7" x14ac:dyDescent="0.25">
      <c r="A10349" s="36"/>
      <c r="B10349" s="34"/>
      <c r="G10349" s="31"/>
    </row>
    <row r="10350" spans="1:7" x14ac:dyDescent="0.25">
      <c r="A10350" s="36"/>
      <c r="B10350" s="34"/>
      <c r="G10350" s="31"/>
    </row>
    <row r="10351" spans="1:7" x14ac:dyDescent="0.25">
      <c r="A10351" s="36"/>
      <c r="B10351" s="34"/>
      <c r="G10351" s="31"/>
    </row>
    <row r="10352" spans="1:7" x14ac:dyDescent="0.25">
      <c r="A10352" s="36"/>
      <c r="B10352" s="34"/>
      <c r="G10352" s="31"/>
    </row>
    <row r="10353" spans="1:7" x14ac:dyDescent="0.25">
      <c r="A10353" s="36"/>
      <c r="B10353" s="34"/>
      <c r="G10353" s="31"/>
    </row>
    <row r="10354" spans="1:7" x14ac:dyDescent="0.25">
      <c r="A10354" s="36"/>
      <c r="B10354" s="34"/>
      <c r="G10354" s="31"/>
    </row>
    <row r="10355" spans="1:7" x14ac:dyDescent="0.25">
      <c r="A10355" s="36"/>
      <c r="B10355" s="34"/>
      <c r="G10355" s="31"/>
    </row>
    <row r="10356" spans="1:7" x14ac:dyDescent="0.25">
      <c r="A10356" s="36"/>
      <c r="B10356" s="34"/>
      <c r="G10356" s="31"/>
    </row>
    <row r="10357" spans="1:7" x14ac:dyDescent="0.25">
      <c r="A10357" s="36"/>
      <c r="B10357" s="34"/>
      <c r="G10357" s="31"/>
    </row>
    <row r="10358" spans="1:7" x14ac:dyDescent="0.25">
      <c r="A10358" s="36"/>
      <c r="B10358" s="34"/>
      <c r="G10358" s="31"/>
    </row>
    <row r="10359" spans="1:7" x14ac:dyDescent="0.25">
      <c r="A10359" s="36"/>
      <c r="B10359" s="34"/>
      <c r="G10359" s="31"/>
    </row>
    <row r="10360" spans="1:7" x14ac:dyDescent="0.25">
      <c r="A10360" s="36"/>
      <c r="B10360" s="34"/>
      <c r="G10360" s="31"/>
    </row>
    <row r="10361" spans="1:7" x14ac:dyDescent="0.25">
      <c r="A10361" s="36"/>
      <c r="B10361" s="34"/>
      <c r="G10361" s="31"/>
    </row>
    <row r="10362" spans="1:7" x14ac:dyDescent="0.25">
      <c r="A10362" s="36"/>
      <c r="B10362" s="34"/>
      <c r="G10362" s="31"/>
    </row>
    <row r="10363" spans="1:7" x14ac:dyDescent="0.25">
      <c r="A10363" s="36"/>
      <c r="B10363" s="34"/>
      <c r="G10363" s="31"/>
    </row>
    <row r="10364" spans="1:7" x14ac:dyDescent="0.25">
      <c r="A10364" s="36"/>
      <c r="B10364" s="34"/>
      <c r="G10364" s="31"/>
    </row>
    <row r="10365" spans="1:7" x14ac:dyDescent="0.25">
      <c r="A10365" s="36"/>
      <c r="B10365" s="34"/>
      <c r="G10365" s="31"/>
    </row>
    <row r="10366" spans="1:7" x14ac:dyDescent="0.25">
      <c r="A10366" s="36"/>
      <c r="B10366" s="34"/>
      <c r="G10366" s="31"/>
    </row>
    <row r="10367" spans="1:7" x14ac:dyDescent="0.25">
      <c r="A10367" s="36"/>
      <c r="B10367" s="34"/>
      <c r="G10367" s="31"/>
    </row>
    <row r="10368" spans="1:7" x14ac:dyDescent="0.25">
      <c r="A10368" s="36"/>
      <c r="B10368" s="34"/>
      <c r="G10368" s="31"/>
    </row>
    <row r="10369" spans="1:7" x14ac:dyDescent="0.25">
      <c r="A10369" s="36"/>
      <c r="B10369" s="34"/>
      <c r="G10369" s="31"/>
    </row>
    <row r="10370" spans="1:7" x14ac:dyDescent="0.25">
      <c r="A10370" s="36"/>
      <c r="B10370" s="34"/>
      <c r="G10370" s="31"/>
    </row>
    <row r="10371" spans="1:7" x14ac:dyDescent="0.25">
      <c r="A10371" s="36"/>
      <c r="B10371" s="34"/>
      <c r="G10371" s="31"/>
    </row>
    <row r="10372" spans="1:7" x14ac:dyDescent="0.25">
      <c r="A10372" s="36"/>
      <c r="B10372" s="34"/>
      <c r="G10372" s="31"/>
    </row>
    <row r="10373" spans="1:7" x14ac:dyDescent="0.25">
      <c r="A10373" s="36"/>
      <c r="B10373" s="34"/>
      <c r="G10373" s="31"/>
    </row>
    <row r="10374" spans="1:7" x14ac:dyDescent="0.25">
      <c r="A10374" s="36"/>
      <c r="B10374" s="34"/>
      <c r="G10374" s="31"/>
    </row>
    <row r="10375" spans="1:7" x14ac:dyDescent="0.25">
      <c r="A10375" s="36"/>
      <c r="B10375" s="34"/>
      <c r="G10375" s="31"/>
    </row>
    <row r="10376" spans="1:7" x14ac:dyDescent="0.25">
      <c r="A10376" s="36"/>
      <c r="B10376" s="34"/>
      <c r="G10376" s="31"/>
    </row>
    <row r="10377" spans="1:7" x14ac:dyDescent="0.25">
      <c r="A10377" s="36"/>
      <c r="B10377" s="34"/>
      <c r="G10377" s="31"/>
    </row>
    <row r="10378" spans="1:7" x14ac:dyDescent="0.25">
      <c r="A10378" s="36"/>
      <c r="B10378" s="34"/>
      <c r="G10378" s="31"/>
    </row>
    <row r="10379" spans="1:7" x14ac:dyDescent="0.25">
      <c r="A10379" s="36"/>
      <c r="B10379" s="34"/>
      <c r="G10379" s="31"/>
    </row>
    <row r="10380" spans="1:7" x14ac:dyDescent="0.25">
      <c r="A10380" s="36"/>
      <c r="B10380" s="34"/>
      <c r="G10380" s="31"/>
    </row>
    <row r="10381" spans="1:7" x14ac:dyDescent="0.25">
      <c r="A10381" s="36"/>
      <c r="B10381" s="34"/>
      <c r="G10381" s="31"/>
    </row>
    <row r="10382" spans="1:7" x14ac:dyDescent="0.25">
      <c r="A10382" s="36"/>
      <c r="B10382" s="34"/>
      <c r="G10382" s="31"/>
    </row>
    <row r="10383" spans="1:7" x14ac:dyDescent="0.25">
      <c r="A10383" s="36"/>
      <c r="B10383" s="34"/>
      <c r="G10383" s="31"/>
    </row>
    <row r="10384" spans="1:7" x14ac:dyDescent="0.25">
      <c r="A10384" s="36"/>
      <c r="B10384" s="34"/>
      <c r="G10384" s="31"/>
    </row>
    <row r="10385" spans="1:7" x14ac:dyDescent="0.25">
      <c r="A10385" s="36"/>
      <c r="B10385" s="34"/>
      <c r="G10385" s="31"/>
    </row>
    <row r="10386" spans="1:7" x14ac:dyDescent="0.25">
      <c r="A10386" s="36"/>
      <c r="B10386" s="34"/>
      <c r="G10386" s="31"/>
    </row>
    <row r="10387" spans="1:7" x14ac:dyDescent="0.25">
      <c r="A10387" s="36"/>
      <c r="B10387" s="34"/>
      <c r="G10387" s="31"/>
    </row>
    <row r="10388" spans="1:7" x14ac:dyDescent="0.25">
      <c r="A10388" s="36"/>
      <c r="B10388" s="34"/>
      <c r="G10388" s="31"/>
    </row>
    <row r="10389" spans="1:7" x14ac:dyDescent="0.25">
      <c r="A10389" s="36"/>
      <c r="B10389" s="34"/>
      <c r="G10389" s="31"/>
    </row>
    <row r="10390" spans="1:7" x14ac:dyDescent="0.25">
      <c r="A10390" s="36"/>
      <c r="B10390" s="34"/>
      <c r="G10390" s="31"/>
    </row>
    <row r="10391" spans="1:7" x14ac:dyDescent="0.25">
      <c r="A10391" s="36"/>
      <c r="B10391" s="34"/>
      <c r="G10391" s="31"/>
    </row>
    <row r="10392" spans="1:7" x14ac:dyDescent="0.25">
      <c r="A10392" s="36"/>
      <c r="B10392" s="34"/>
      <c r="G10392" s="31"/>
    </row>
    <row r="10393" spans="1:7" x14ac:dyDescent="0.25">
      <c r="A10393" s="36"/>
      <c r="B10393" s="34"/>
      <c r="G10393" s="31"/>
    </row>
    <row r="10394" spans="1:7" x14ac:dyDescent="0.25">
      <c r="A10394" s="36"/>
      <c r="B10394" s="34"/>
      <c r="G10394" s="31"/>
    </row>
    <row r="10395" spans="1:7" x14ac:dyDescent="0.25">
      <c r="A10395" s="36"/>
      <c r="B10395" s="34"/>
      <c r="G10395" s="31"/>
    </row>
    <row r="10396" spans="1:7" x14ac:dyDescent="0.25">
      <c r="A10396" s="36"/>
      <c r="B10396" s="34"/>
      <c r="G10396" s="31"/>
    </row>
    <row r="10397" spans="1:7" x14ac:dyDescent="0.25">
      <c r="A10397" s="36"/>
      <c r="B10397" s="34"/>
      <c r="G10397" s="31"/>
    </row>
    <row r="10398" spans="1:7" x14ac:dyDescent="0.25">
      <c r="A10398" s="36"/>
      <c r="B10398" s="34"/>
      <c r="G10398" s="31"/>
    </row>
    <row r="10399" spans="1:7" x14ac:dyDescent="0.25">
      <c r="A10399" s="36"/>
      <c r="B10399" s="34"/>
      <c r="G10399" s="31"/>
    </row>
    <row r="10400" spans="1:7" x14ac:dyDescent="0.25">
      <c r="A10400" s="36"/>
      <c r="B10400" s="34"/>
      <c r="G10400" s="31"/>
    </row>
    <row r="10401" spans="1:7" x14ac:dyDescent="0.25">
      <c r="A10401" s="36"/>
      <c r="B10401" s="34"/>
      <c r="G10401" s="31"/>
    </row>
    <row r="10402" spans="1:7" x14ac:dyDescent="0.25">
      <c r="A10402" s="36"/>
      <c r="B10402" s="34"/>
      <c r="G10402" s="31"/>
    </row>
    <row r="10403" spans="1:7" x14ac:dyDescent="0.25">
      <c r="A10403" s="36"/>
      <c r="B10403" s="34"/>
      <c r="G10403" s="31"/>
    </row>
    <row r="10404" spans="1:7" x14ac:dyDescent="0.25">
      <c r="A10404" s="36"/>
      <c r="B10404" s="34"/>
      <c r="G10404" s="31"/>
    </row>
    <row r="10405" spans="1:7" x14ac:dyDescent="0.25">
      <c r="A10405" s="36"/>
      <c r="B10405" s="34"/>
      <c r="G10405" s="31"/>
    </row>
    <row r="10406" spans="1:7" x14ac:dyDescent="0.25">
      <c r="A10406" s="36"/>
      <c r="B10406" s="34"/>
      <c r="G10406" s="31"/>
    </row>
    <row r="10407" spans="1:7" x14ac:dyDescent="0.25">
      <c r="A10407" s="36"/>
      <c r="B10407" s="34"/>
      <c r="G10407" s="31"/>
    </row>
    <row r="10408" spans="1:7" x14ac:dyDescent="0.25">
      <c r="A10408" s="36"/>
      <c r="B10408" s="34"/>
      <c r="G10408" s="31"/>
    </row>
    <row r="10409" spans="1:7" x14ac:dyDescent="0.25">
      <c r="A10409" s="36"/>
      <c r="B10409" s="34"/>
      <c r="G10409" s="31"/>
    </row>
    <row r="10410" spans="1:7" x14ac:dyDescent="0.25">
      <c r="A10410" s="36"/>
      <c r="B10410" s="34"/>
      <c r="G10410" s="31"/>
    </row>
    <row r="10411" spans="1:7" x14ac:dyDescent="0.25">
      <c r="A10411" s="36"/>
      <c r="B10411" s="34"/>
      <c r="G10411" s="31"/>
    </row>
    <row r="10412" spans="1:7" x14ac:dyDescent="0.25">
      <c r="A10412" s="36"/>
      <c r="B10412" s="34"/>
      <c r="G10412" s="31"/>
    </row>
    <row r="10413" spans="1:7" x14ac:dyDescent="0.25">
      <c r="A10413" s="36"/>
      <c r="B10413" s="34"/>
      <c r="G10413" s="31"/>
    </row>
    <row r="10414" spans="1:7" x14ac:dyDescent="0.25">
      <c r="A10414" s="36"/>
      <c r="B10414" s="34"/>
      <c r="G10414" s="31"/>
    </row>
    <row r="10415" spans="1:7" x14ac:dyDescent="0.25">
      <c r="A10415" s="36"/>
      <c r="B10415" s="34"/>
      <c r="G10415" s="31"/>
    </row>
    <row r="10416" spans="1:7" x14ac:dyDescent="0.25">
      <c r="A10416" s="36"/>
      <c r="B10416" s="34"/>
      <c r="G10416" s="31"/>
    </row>
    <row r="10417" spans="1:7" x14ac:dyDescent="0.25">
      <c r="A10417" s="36"/>
      <c r="B10417" s="34"/>
      <c r="G10417" s="31"/>
    </row>
    <row r="10418" spans="1:7" x14ac:dyDescent="0.25">
      <c r="A10418" s="36"/>
      <c r="B10418" s="34"/>
      <c r="G10418" s="31"/>
    </row>
    <row r="10419" spans="1:7" x14ac:dyDescent="0.25">
      <c r="A10419" s="36"/>
      <c r="B10419" s="34"/>
      <c r="G10419" s="31"/>
    </row>
    <row r="10420" spans="1:7" x14ac:dyDescent="0.25">
      <c r="A10420" s="36"/>
      <c r="B10420" s="34"/>
      <c r="G10420" s="31"/>
    </row>
    <row r="10421" spans="1:7" x14ac:dyDescent="0.25">
      <c r="A10421" s="36"/>
      <c r="B10421" s="34"/>
      <c r="G10421" s="31"/>
    </row>
    <row r="10422" spans="1:7" x14ac:dyDescent="0.25">
      <c r="A10422" s="36"/>
      <c r="B10422" s="34"/>
      <c r="G10422" s="31"/>
    </row>
    <row r="10423" spans="1:7" x14ac:dyDescent="0.25">
      <c r="A10423" s="36"/>
      <c r="B10423" s="34"/>
      <c r="G10423" s="31"/>
    </row>
    <row r="10424" spans="1:7" x14ac:dyDescent="0.25">
      <c r="A10424" s="36"/>
      <c r="B10424" s="34"/>
      <c r="G10424" s="31"/>
    </row>
    <row r="10425" spans="1:7" x14ac:dyDescent="0.25">
      <c r="A10425" s="36"/>
      <c r="B10425" s="34"/>
      <c r="G10425" s="31"/>
    </row>
    <row r="10426" spans="1:7" x14ac:dyDescent="0.25">
      <c r="A10426" s="36"/>
      <c r="B10426" s="34"/>
      <c r="G10426" s="31"/>
    </row>
    <row r="10427" spans="1:7" x14ac:dyDescent="0.25">
      <c r="A10427" s="36"/>
      <c r="B10427" s="34"/>
      <c r="G10427" s="31"/>
    </row>
    <row r="10428" spans="1:7" x14ac:dyDescent="0.25">
      <c r="A10428" s="36"/>
      <c r="B10428" s="34"/>
      <c r="G10428" s="31"/>
    </row>
    <row r="10429" spans="1:7" x14ac:dyDescent="0.25">
      <c r="A10429" s="36"/>
      <c r="B10429" s="34"/>
      <c r="G10429" s="31"/>
    </row>
    <row r="10430" spans="1:7" x14ac:dyDescent="0.25">
      <c r="A10430" s="36"/>
      <c r="B10430" s="34"/>
      <c r="G10430" s="31"/>
    </row>
    <row r="10431" spans="1:7" x14ac:dyDescent="0.25">
      <c r="A10431" s="36"/>
      <c r="B10431" s="34"/>
      <c r="G10431" s="31"/>
    </row>
    <row r="10432" spans="1:7" x14ac:dyDescent="0.25">
      <c r="A10432" s="36"/>
      <c r="B10432" s="34"/>
      <c r="G10432" s="31"/>
    </row>
    <row r="10433" spans="1:7" x14ac:dyDescent="0.25">
      <c r="A10433" s="36"/>
      <c r="B10433" s="34"/>
      <c r="G10433" s="31"/>
    </row>
    <row r="10434" spans="1:7" x14ac:dyDescent="0.25">
      <c r="A10434" s="36"/>
      <c r="B10434" s="34"/>
      <c r="G10434" s="31"/>
    </row>
    <row r="10435" spans="1:7" x14ac:dyDescent="0.25">
      <c r="A10435" s="36"/>
      <c r="B10435" s="34"/>
      <c r="G10435" s="31"/>
    </row>
    <row r="10436" spans="1:7" x14ac:dyDescent="0.25">
      <c r="A10436" s="36"/>
      <c r="B10436" s="34"/>
      <c r="G10436" s="31"/>
    </row>
    <row r="10437" spans="1:7" x14ac:dyDescent="0.25">
      <c r="A10437" s="36"/>
      <c r="B10437" s="34"/>
      <c r="G10437" s="31"/>
    </row>
    <row r="10438" spans="1:7" x14ac:dyDescent="0.25">
      <c r="A10438" s="36"/>
      <c r="B10438" s="34"/>
      <c r="G10438" s="31"/>
    </row>
    <row r="10439" spans="1:7" x14ac:dyDescent="0.25">
      <c r="A10439" s="36"/>
      <c r="B10439" s="34"/>
      <c r="G10439" s="31"/>
    </row>
    <row r="10440" spans="1:7" x14ac:dyDescent="0.25">
      <c r="A10440" s="36"/>
      <c r="B10440" s="34"/>
      <c r="G10440" s="31"/>
    </row>
    <row r="10441" spans="1:7" x14ac:dyDescent="0.25">
      <c r="A10441" s="36"/>
      <c r="B10441" s="34"/>
      <c r="G10441" s="31"/>
    </row>
    <row r="10442" spans="1:7" x14ac:dyDescent="0.25">
      <c r="A10442" s="36"/>
      <c r="B10442" s="34"/>
      <c r="G10442" s="31"/>
    </row>
    <row r="10443" spans="1:7" x14ac:dyDescent="0.25">
      <c r="A10443" s="36"/>
      <c r="B10443" s="34"/>
      <c r="G10443" s="31"/>
    </row>
    <row r="10444" spans="1:7" x14ac:dyDescent="0.25">
      <c r="A10444" s="36"/>
      <c r="B10444" s="34"/>
      <c r="G10444" s="31"/>
    </row>
    <row r="10445" spans="1:7" x14ac:dyDescent="0.25">
      <c r="A10445" s="36"/>
      <c r="B10445" s="34"/>
      <c r="G10445" s="31"/>
    </row>
    <row r="10446" spans="1:7" x14ac:dyDescent="0.25">
      <c r="A10446" s="36"/>
      <c r="B10446" s="34"/>
      <c r="G10446" s="31"/>
    </row>
    <row r="10447" spans="1:7" x14ac:dyDescent="0.25">
      <c r="A10447" s="36"/>
      <c r="B10447" s="34"/>
      <c r="G10447" s="31"/>
    </row>
    <row r="10448" spans="1:7" x14ac:dyDescent="0.25">
      <c r="A10448" s="36"/>
      <c r="B10448" s="34"/>
      <c r="G10448" s="31"/>
    </row>
    <row r="10449" spans="1:7" x14ac:dyDescent="0.25">
      <c r="A10449" s="36"/>
      <c r="B10449" s="34"/>
      <c r="G10449" s="31"/>
    </row>
    <row r="10450" spans="1:7" x14ac:dyDescent="0.25">
      <c r="A10450" s="36"/>
      <c r="B10450" s="34"/>
      <c r="G10450" s="31"/>
    </row>
    <row r="10451" spans="1:7" x14ac:dyDescent="0.25">
      <c r="A10451" s="36"/>
      <c r="B10451" s="34"/>
      <c r="G10451" s="31"/>
    </row>
    <row r="10452" spans="1:7" x14ac:dyDescent="0.25">
      <c r="A10452" s="36"/>
      <c r="B10452" s="34"/>
      <c r="G10452" s="31"/>
    </row>
    <row r="10453" spans="1:7" x14ac:dyDescent="0.25">
      <c r="A10453" s="36"/>
      <c r="B10453" s="34"/>
      <c r="G10453" s="31"/>
    </row>
    <row r="10454" spans="1:7" x14ac:dyDescent="0.25">
      <c r="A10454" s="36"/>
      <c r="B10454" s="34"/>
      <c r="G10454" s="31"/>
    </row>
    <row r="10455" spans="1:7" x14ac:dyDescent="0.25">
      <c r="A10455" s="36"/>
      <c r="B10455" s="34"/>
      <c r="G10455" s="31"/>
    </row>
    <row r="10456" spans="1:7" x14ac:dyDescent="0.25">
      <c r="A10456" s="36"/>
      <c r="B10456" s="34"/>
      <c r="G10456" s="31"/>
    </row>
    <row r="10457" spans="1:7" x14ac:dyDescent="0.25">
      <c r="A10457" s="36"/>
      <c r="B10457" s="34"/>
      <c r="G10457" s="31"/>
    </row>
    <row r="10458" spans="1:7" x14ac:dyDescent="0.25">
      <c r="A10458" s="36"/>
      <c r="B10458" s="34"/>
      <c r="G10458" s="31"/>
    </row>
    <row r="10459" spans="1:7" x14ac:dyDescent="0.25">
      <c r="A10459" s="36"/>
      <c r="B10459" s="34"/>
      <c r="G10459" s="31"/>
    </row>
    <row r="10460" spans="1:7" x14ac:dyDescent="0.25">
      <c r="A10460" s="36"/>
      <c r="B10460" s="34"/>
      <c r="G10460" s="31"/>
    </row>
    <row r="10461" spans="1:7" x14ac:dyDescent="0.25">
      <c r="A10461" s="36"/>
      <c r="B10461" s="34"/>
      <c r="G10461" s="31"/>
    </row>
    <row r="10462" spans="1:7" x14ac:dyDescent="0.25">
      <c r="A10462" s="36"/>
      <c r="B10462" s="34"/>
      <c r="G10462" s="31"/>
    </row>
    <row r="10463" spans="1:7" x14ac:dyDescent="0.25">
      <c r="A10463" s="36"/>
      <c r="B10463" s="34"/>
      <c r="G10463" s="31"/>
    </row>
    <row r="10464" spans="1:7" x14ac:dyDescent="0.25">
      <c r="A10464" s="36"/>
      <c r="B10464" s="34"/>
      <c r="G10464" s="31"/>
    </row>
    <row r="10465" spans="1:7" x14ac:dyDescent="0.25">
      <c r="A10465" s="36"/>
      <c r="B10465" s="34"/>
      <c r="G10465" s="31"/>
    </row>
    <row r="10466" spans="1:7" x14ac:dyDescent="0.25">
      <c r="A10466" s="36"/>
      <c r="B10466" s="34"/>
      <c r="G10466" s="31"/>
    </row>
    <row r="10467" spans="1:7" x14ac:dyDescent="0.25">
      <c r="A10467" s="36"/>
      <c r="B10467" s="34"/>
      <c r="G10467" s="31"/>
    </row>
    <row r="10468" spans="1:7" x14ac:dyDescent="0.25">
      <c r="A10468" s="36"/>
      <c r="B10468" s="34"/>
      <c r="G10468" s="31"/>
    </row>
    <row r="10469" spans="1:7" x14ac:dyDescent="0.25">
      <c r="A10469" s="36"/>
      <c r="B10469" s="34"/>
      <c r="G10469" s="31"/>
    </row>
    <row r="10470" spans="1:7" x14ac:dyDescent="0.25">
      <c r="A10470" s="36"/>
      <c r="B10470" s="34"/>
      <c r="G10470" s="31"/>
    </row>
    <row r="10471" spans="1:7" x14ac:dyDescent="0.25">
      <c r="A10471" s="36"/>
      <c r="B10471" s="34"/>
      <c r="G10471" s="31"/>
    </row>
    <row r="10472" spans="1:7" x14ac:dyDescent="0.25">
      <c r="A10472" s="36"/>
      <c r="B10472" s="34"/>
      <c r="G10472" s="31"/>
    </row>
    <row r="10473" spans="1:7" x14ac:dyDescent="0.25">
      <c r="A10473" s="36"/>
      <c r="B10473" s="34"/>
      <c r="G10473" s="31"/>
    </row>
    <row r="10474" spans="1:7" x14ac:dyDescent="0.25">
      <c r="A10474" s="36"/>
      <c r="B10474" s="34"/>
      <c r="G10474" s="31"/>
    </row>
    <row r="10475" spans="1:7" x14ac:dyDescent="0.25">
      <c r="A10475" s="36"/>
      <c r="B10475" s="34"/>
      <c r="G10475" s="31"/>
    </row>
    <row r="10476" spans="1:7" x14ac:dyDescent="0.25">
      <c r="A10476" s="36"/>
      <c r="B10476" s="34"/>
      <c r="G10476" s="31"/>
    </row>
    <row r="10477" spans="1:7" x14ac:dyDescent="0.25">
      <c r="A10477" s="36"/>
      <c r="B10477" s="34"/>
      <c r="G10477" s="31"/>
    </row>
    <row r="10478" spans="1:7" x14ac:dyDescent="0.25">
      <c r="A10478" s="36"/>
      <c r="B10478" s="34"/>
      <c r="G10478" s="31"/>
    </row>
    <row r="10479" spans="1:7" x14ac:dyDescent="0.25">
      <c r="A10479" s="36"/>
      <c r="B10479" s="34"/>
      <c r="G10479" s="31"/>
    </row>
    <row r="10480" spans="1:7" x14ac:dyDescent="0.25">
      <c r="A10480" s="36"/>
      <c r="B10480" s="34"/>
      <c r="G10480" s="31"/>
    </row>
    <row r="10481" spans="1:7" x14ac:dyDescent="0.25">
      <c r="A10481" s="36"/>
      <c r="B10481" s="34"/>
      <c r="G10481" s="31"/>
    </row>
    <row r="10482" spans="1:7" x14ac:dyDescent="0.25">
      <c r="A10482" s="36"/>
      <c r="B10482" s="34"/>
      <c r="G10482" s="31"/>
    </row>
    <row r="10483" spans="1:7" x14ac:dyDescent="0.25">
      <c r="A10483" s="36"/>
      <c r="B10483" s="34"/>
      <c r="G10483" s="31"/>
    </row>
    <row r="10484" spans="1:7" x14ac:dyDescent="0.25">
      <c r="A10484" s="36"/>
      <c r="B10484" s="34"/>
      <c r="G10484" s="31"/>
    </row>
    <row r="10485" spans="1:7" x14ac:dyDescent="0.25">
      <c r="A10485" s="36"/>
      <c r="B10485" s="34"/>
      <c r="G10485" s="31"/>
    </row>
    <row r="10486" spans="1:7" x14ac:dyDescent="0.25">
      <c r="A10486" s="36"/>
      <c r="B10486" s="34"/>
      <c r="G10486" s="31"/>
    </row>
    <row r="10487" spans="1:7" x14ac:dyDescent="0.25">
      <c r="A10487" s="36"/>
      <c r="B10487" s="34"/>
      <c r="G10487" s="31"/>
    </row>
    <row r="10488" spans="1:7" x14ac:dyDescent="0.25">
      <c r="A10488" s="36"/>
      <c r="B10488" s="34"/>
      <c r="G10488" s="31"/>
    </row>
    <row r="10489" spans="1:7" x14ac:dyDescent="0.25">
      <c r="A10489" s="36"/>
      <c r="B10489" s="34"/>
      <c r="G10489" s="31"/>
    </row>
    <row r="10490" spans="1:7" x14ac:dyDescent="0.25">
      <c r="A10490" s="36"/>
      <c r="B10490" s="34"/>
      <c r="G10490" s="31"/>
    </row>
    <row r="10491" spans="1:7" x14ac:dyDescent="0.25">
      <c r="A10491" s="36"/>
      <c r="B10491" s="34"/>
      <c r="G10491" s="31"/>
    </row>
    <row r="10492" spans="1:7" x14ac:dyDescent="0.25">
      <c r="A10492" s="36"/>
      <c r="B10492" s="34"/>
      <c r="G10492" s="31"/>
    </row>
    <row r="10493" spans="1:7" x14ac:dyDescent="0.25">
      <c r="A10493" s="36"/>
      <c r="B10493" s="34"/>
      <c r="G10493" s="31"/>
    </row>
    <row r="10494" spans="1:7" x14ac:dyDescent="0.25">
      <c r="A10494" s="36"/>
      <c r="B10494" s="34"/>
      <c r="G10494" s="31"/>
    </row>
    <row r="10495" spans="1:7" x14ac:dyDescent="0.25">
      <c r="A10495" s="36"/>
      <c r="B10495" s="34"/>
      <c r="G10495" s="31"/>
    </row>
    <row r="10496" spans="1:7" x14ac:dyDescent="0.25">
      <c r="A10496" s="36"/>
      <c r="B10496" s="34"/>
      <c r="G10496" s="31"/>
    </row>
    <row r="10497" spans="1:7" x14ac:dyDescent="0.25">
      <c r="A10497" s="36"/>
      <c r="B10497" s="34"/>
      <c r="G10497" s="31"/>
    </row>
    <row r="10498" spans="1:7" x14ac:dyDescent="0.25">
      <c r="A10498" s="36"/>
      <c r="B10498" s="34"/>
      <c r="G10498" s="31"/>
    </row>
    <row r="10499" spans="1:7" x14ac:dyDescent="0.25">
      <c r="A10499" s="36"/>
      <c r="B10499" s="34"/>
      <c r="G10499" s="31"/>
    </row>
    <row r="10500" spans="1:7" x14ac:dyDescent="0.25">
      <c r="A10500" s="36"/>
      <c r="B10500" s="34"/>
      <c r="G10500" s="31"/>
    </row>
    <row r="10501" spans="1:7" x14ac:dyDescent="0.25">
      <c r="A10501" s="36"/>
      <c r="B10501" s="34"/>
      <c r="G10501" s="31"/>
    </row>
    <row r="10502" spans="1:7" x14ac:dyDescent="0.25">
      <c r="A10502" s="36"/>
      <c r="B10502" s="34"/>
      <c r="G10502" s="31"/>
    </row>
    <row r="10503" spans="1:7" x14ac:dyDescent="0.25">
      <c r="A10503" s="36"/>
      <c r="B10503" s="34"/>
      <c r="G10503" s="31"/>
    </row>
    <row r="10504" spans="1:7" x14ac:dyDescent="0.25">
      <c r="A10504" s="36"/>
      <c r="B10504" s="34"/>
      <c r="G10504" s="31"/>
    </row>
    <row r="10505" spans="1:7" x14ac:dyDescent="0.25">
      <c r="A10505" s="36"/>
      <c r="B10505" s="34"/>
      <c r="G10505" s="31"/>
    </row>
    <row r="10506" spans="1:7" x14ac:dyDescent="0.25">
      <c r="A10506" s="36"/>
      <c r="B10506" s="34"/>
      <c r="G10506" s="31"/>
    </row>
    <row r="10507" spans="1:7" x14ac:dyDescent="0.25">
      <c r="A10507" s="36"/>
      <c r="B10507" s="34"/>
      <c r="G10507" s="31"/>
    </row>
    <row r="10508" spans="1:7" x14ac:dyDescent="0.25">
      <c r="A10508" s="36"/>
      <c r="B10508" s="34"/>
      <c r="G10508" s="31"/>
    </row>
    <row r="10509" spans="1:7" x14ac:dyDescent="0.25">
      <c r="A10509" s="36"/>
      <c r="B10509" s="34"/>
      <c r="G10509" s="31"/>
    </row>
    <row r="10510" spans="1:7" x14ac:dyDescent="0.25">
      <c r="A10510" s="36"/>
      <c r="B10510" s="34"/>
      <c r="G10510" s="31"/>
    </row>
    <row r="10511" spans="1:7" x14ac:dyDescent="0.25">
      <c r="A10511" s="36"/>
      <c r="B10511" s="34"/>
      <c r="G10511" s="31"/>
    </row>
    <row r="10512" spans="1:7" x14ac:dyDescent="0.25">
      <c r="A10512" s="36"/>
      <c r="B10512" s="34"/>
      <c r="G10512" s="31"/>
    </row>
    <row r="10513" spans="1:7" x14ac:dyDescent="0.25">
      <c r="A10513" s="36"/>
      <c r="B10513" s="34"/>
      <c r="G10513" s="31"/>
    </row>
    <row r="10514" spans="1:7" x14ac:dyDescent="0.25">
      <c r="A10514" s="36"/>
      <c r="B10514" s="34"/>
      <c r="G10514" s="31"/>
    </row>
    <row r="10515" spans="1:7" x14ac:dyDescent="0.25">
      <c r="A10515" s="36"/>
      <c r="B10515" s="34"/>
      <c r="G10515" s="31"/>
    </row>
    <row r="10516" spans="1:7" x14ac:dyDescent="0.25">
      <c r="A10516" s="36"/>
      <c r="B10516" s="34"/>
      <c r="G10516" s="31"/>
    </row>
    <row r="10517" spans="1:7" x14ac:dyDescent="0.25">
      <c r="A10517" s="36"/>
      <c r="B10517" s="34"/>
      <c r="G10517" s="31"/>
    </row>
    <row r="10518" spans="1:7" x14ac:dyDescent="0.25">
      <c r="A10518" s="36"/>
      <c r="B10518" s="34"/>
      <c r="G10518" s="31"/>
    </row>
    <row r="10519" spans="1:7" x14ac:dyDescent="0.25">
      <c r="A10519" s="36"/>
      <c r="B10519" s="34"/>
      <c r="G10519" s="31"/>
    </row>
    <row r="10520" spans="1:7" x14ac:dyDescent="0.25">
      <c r="A10520" s="36"/>
      <c r="B10520" s="34"/>
      <c r="G10520" s="31"/>
    </row>
    <row r="10521" spans="1:7" x14ac:dyDescent="0.25">
      <c r="A10521" s="36"/>
      <c r="B10521" s="34"/>
      <c r="G10521" s="31"/>
    </row>
    <row r="10522" spans="1:7" x14ac:dyDescent="0.25">
      <c r="A10522" s="36"/>
      <c r="B10522" s="34"/>
      <c r="G10522" s="31"/>
    </row>
    <row r="10523" spans="1:7" x14ac:dyDescent="0.25">
      <c r="A10523" s="36"/>
      <c r="B10523" s="34"/>
      <c r="G10523" s="31"/>
    </row>
    <row r="10524" spans="1:7" x14ac:dyDescent="0.25">
      <c r="A10524" s="36"/>
      <c r="B10524" s="34"/>
      <c r="G10524" s="31"/>
    </row>
    <row r="10525" spans="1:7" x14ac:dyDescent="0.25">
      <c r="A10525" s="36"/>
      <c r="B10525" s="34"/>
      <c r="G10525" s="31"/>
    </row>
    <row r="10526" spans="1:7" x14ac:dyDescent="0.25">
      <c r="A10526" s="36"/>
      <c r="B10526" s="34"/>
      <c r="G10526" s="31"/>
    </row>
    <row r="10527" spans="1:7" x14ac:dyDescent="0.25">
      <c r="A10527" s="36"/>
      <c r="B10527" s="34"/>
      <c r="G10527" s="31"/>
    </row>
    <row r="10528" spans="1:7" x14ac:dyDescent="0.25">
      <c r="A10528" s="36"/>
      <c r="B10528" s="34"/>
      <c r="G10528" s="31"/>
    </row>
    <row r="10529" spans="1:7" x14ac:dyDescent="0.25">
      <c r="A10529" s="36"/>
      <c r="B10529" s="34"/>
      <c r="G10529" s="31"/>
    </row>
    <row r="10530" spans="1:7" x14ac:dyDescent="0.25">
      <c r="A10530" s="36"/>
      <c r="B10530" s="34"/>
      <c r="G10530" s="31"/>
    </row>
    <row r="10531" spans="1:7" x14ac:dyDescent="0.25">
      <c r="A10531" s="36"/>
      <c r="B10531" s="34"/>
      <c r="G10531" s="31"/>
    </row>
    <row r="10532" spans="1:7" x14ac:dyDescent="0.25">
      <c r="A10532" s="36"/>
      <c r="B10532" s="34"/>
      <c r="G10532" s="31"/>
    </row>
    <row r="10533" spans="1:7" x14ac:dyDescent="0.25">
      <c r="A10533" s="36"/>
      <c r="B10533" s="34"/>
      <c r="G10533" s="31"/>
    </row>
    <row r="10534" spans="1:7" x14ac:dyDescent="0.25">
      <c r="A10534" s="36"/>
      <c r="B10534" s="34"/>
      <c r="G10534" s="31"/>
    </row>
    <row r="10535" spans="1:7" x14ac:dyDescent="0.25">
      <c r="A10535" s="36"/>
      <c r="B10535" s="34"/>
      <c r="G10535" s="31"/>
    </row>
    <row r="10536" spans="1:7" x14ac:dyDescent="0.25">
      <c r="A10536" s="36"/>
      <c r="B10536" s="34"/>
      <c r="G10536" s="31"/>
    </row>
    <row r="10537" spans="1:7" x14ac:dyDescent="0.25">
      <c r="A10537" s="36"/>
      <c r="B10537" s="34"/>
      <c r="G10537" s="31"/>
    </row>
    <row r="10538" spans="1:7" x14ac:dyDescent="0.25">
      <c r="A10538" s="36"/>
      <c r="B10538" s="34"/>
      <c r="G10538" s="31"/>
    </row>
    <row r="10539" spans="1:7" x14ac:dyDescent="0.25">
      <c r="A10539" s="36"/>
      <c r="B10539" s="34"/>
      <c r="G10539" s="31"/>
    </row>
    <row r="10540" spans="1:7" x14ac:dyDescent="0.25">
      <c r="A10540" s="36"/>
      <c r="B10540" s="34"/>
      <c r="G10540" s="31"/>
    </row>
    <row r="10541" spans="1:7" x14ac:dyDescent="0.25">
      <c r="A10541" s="36"/>
      <c r="B10541" s="34"/>
      <c r="G10541" s="31"/>
    </row>
    <row r="10542" spans="1:7" x14ac:dyDescent="0.25">
      <c r="A10542" s="36"/>
      <c r="B10542" s="34"/>
      <c r="G10542" s="31"/>
    </row>
    <row r="10543" spans="1:7" x14ac:dyDescent="0.25">
      <c r="A10543" s="36"/>
      <c r="B10543" s="34"/>
      <c r="G10543" s="31"/>
    </row>
    <row r="10544" spans="1:7" x14ac:dyDescent="0.25">
      <c r="A10544" s="36"/>
      <c r="B10544" s="34"/>
      <c r="G10544" s="31"/>
    </row>
    <row r="10545" spans="1:7" x14ac:dyDescent="0.25">
      <c r="A10545" s="36"/>
      <c r="B10545" s="34"/>
      <c r="G10545" s="31"/>
    </row>
    <row r="10546" spans="1:7" x14ac:dyDescent="0.25">
      <c r="A10546" s="36"/>
      <c r="B10546" s="34"/>
      <c r="G10546" s="31"/>
    </row>
    <row r="10547" spans="1:7" x14ac:dyDescent="0.25">
      <c r="A10547" s="36"/>
      <c r="B10547" s="34"/>
      <c r="G10547" s="31"/>
    </row>
    <row r="10548" spans="1:7" x14ac:dyDescent="0.25">
      <c r="A10548" s="36"/>
      <c r="B10548" s="34"/>
      <c r="G10548" s="31"/>
    </row>
    <row r="10549" spans="1:7" x14ac:dyDescent="0.25">
      <c r="A10549" s="36"/>
      <c r="B10549" s="34"/>
      <c r="G10549" s="31"/>
    </row>
    <row r="10550" spans="1:7" x14ac:dyDescent="0.25">
      <c r="A10550" s="36"/>
      <c r="B10550" s="34"/>
      <c r="G10550" s="31"/>
    </row>
    <row r="10551" spans="1:7" x14ac:dyDescent="0.25">
      <c r="A10551" s="36"/>
      <c r="B10551" s="34"/>
      <c r="G10551" s="31"/>
    </row>
    <row r="10552" spans="1:7" x14ac:dyDescent="0.25">
      <c r="A10552" s="36"/>
      <c r="B10552" s="34"/>
      <c r="G10552" s="31"/>
    </row>
    <row r="10553" spans="1:7" x14ac:dyDescent="0.25">
      <c r="A10553" s="36"/>
      <c r="B10553" s="34"/>
      <c r="G10553" s="31"/>
    </row>
    <row r="10554" spans="1:7" x14ac:dyDescent="0.25">
      <c r="A10554" s="36"/>
      <c r="B10554" s="34"/>
      <c r="G10554" s="31"/>
    </row>
    <row r="10555" spans="1:7" x14ac:dyDescent="0.25">
      <c r="A10555" s="36"/>
      <c r="B10555" s="34"/>
      <c r="G10555" s="31"/>
    </row>
    <row r="10556" spans="1:7" x14ac:dyDescent="0.25">
      <c r="A10556" s="36"/>
      <c r="B10556" s="34"/>
      <c r="G10556" s="31"/>
    </row>
    <row r="10557" spans="1:7" x14ac:dyDescent="0.25">
      <c r="A10557" s="36"/>
      <c r="B10557" s="34"/>
      <c r="G10557" s="31"/>
    </row>
    <row r="10558" spans="1:7" x14ac:dyDescent="0.25">
      <c r="A10558" s="36"/>
      <c r="B10558" s="34"/>
      <c r="G10558" s="31"/>
    </row>
    <row r="10559" spans="1:7" x14ac:dyDescent="0.25">
      <c r="A10559" s="36"/>
      <c r="B10559" s="34"/>
      <c r="G10559" s="31"/>
    </row>
    <row r="10560" spans="1:7" x14ac:dyDescent="0.25">
      <c r="A10560" s="36"/>
      <c r="B10560" s="34"/>
      <c r="G10560" s="31"/>
    </row>
    <row r="10561" spans="1:7" x14ac:dyDescent="0.25">
      <c r="A10561" s="36"/>
      <c r="B10561" s="34"/>
      <c r="G10561" s="31"/>
    </row>
    <row r="10562" spans="1:7" x14ac:dyDescent="0.25">
      <c r="A10562" s="36"/>
      <c r="B10562" s="34"/>
      <c r="G10562" s="31"/>
    </row>
    <row r="10563" spans="1:7" x14ac:dyDescent="0.25">
      <c r="A10563" s="36"/>
      <c r="B10563" s="34"/>
      <c r="G10563" s="31"/>
    </row>
    <row r="10564" spans="1:7" x14ac:dyDescent="0.25">
      <c r="A10564" s="36"/>
      <c r="B10564" s="34"/>
      <c r="G10564" s="31"/>
    </row>
    <row r="10565" spans="1:7" x14ac:dyDescent="0.25">
      <c r="A10565" s="36"/>
      <c r="B10565" s="34"/>
      <c r="G10565" s="31"/>
    </row>
    <row r="10566" spans="1:7" x14ac:dyDescent="0.25">
      <c r="A10566" s="36"/>
      <c r="B10566" s="34"/>
      <c r="G10566" s="31"/>
    </row>
    <row r="10567" spans="1:7" x14ac:dyDescent="0.25">
      <c r="A10567" s="36"/>
      <c r="B10567" s="34"/>
      <c r="G10567" s="31"/>
    </row>
    <row r="10568" spans="1:7" x14ac:dyDescent="0.25">
      <c r="A10568" s="36"/>
      <c r="B10568" s="34"/>
      <c r="G10568" s="31"/>
    </row>
    <row r="10569" spans="1:7" x14ac:dyDescent="0.25">
      <c r="A10569" s="36"/>
      <c r="B10569" s="34"/>
      <c r="G10569" s="31"/>
    </row>
    <row r="10570" spans="1:7" x14ac:dyDescent="0.25">
      <c r="A10570" s="36"/>
      <c r="B10570" s="34"/>
      <c r="G10570" s="31"/>
    </row>
    <row r="10571" spans="1:7" x14ac:dyDescent="0.25">
      <c r="A10571" s="36"/>
      <c r="B10571" s="34"/>
      <c r="G10571" s="31"/>
    </row>
    <row r="10572" spans="1:7" x14ac:dyDescent="0.25">
      <c r="A10572" s="36"/>
      <c r="B10572" s="34"/>
      <c r="G10572" s="31"/>
    </row>
    <row r="10573" spans="1:7" x14ac:dyDescent="0.25">
      <c r="A10573" s="36"/>
      <c r="B10573" s="34"/>
      <c r="G10573" s="31"/>
    </row>
    <row r="10574" spans="1:7" x14ac:dyDescent="0.25">
      <c r="A10574" s="36"/>
      <c r="B10574" s="34"/>
      <c r="G10574" s="31"/>
    </row>
    <row r="10575" spans="1:7" x14ac:dyDescent="0.25">
      <c r="A10575" s="36"/>
      <c r="B10575" s="34"/>
      <c r="G10575" s="31"/>
    </row>
    <row r="10576" spans="1:7" x14ac:dyDescent="0.25">
      <c r="A10576" s="36"/>
      <c r="B10576" s="34"/>
      <c r="G10576" s="31"/>
    </row>
    <row r="10577" spans="1:7" x14ac:dyDescent="0.25">
      <c r="A10577" s="36"/>
      <c r="B10577" s="34"/>
      <c r="G10577" s="31"/>
    </row>
    <row r="10578" spans="1:7" x14ac:dyDescent="0.25">
      <c r="A10578" s="36"/>
      <c r="B10578" s="34"/>
      <c r="G10578" s="31"/>
    </row>
    <row r="10579" spans="1:7" x14ac:dyDescent="0.25">
      <c r="A10579" s="36"/>
      <c r="B10579" s="34"/>
      <c r="G10579" s="31"/>
    </row>
    <row r="10580" spans="1:7" x14ac:dyDescent="0.25">
      <c r="A10580" s="36"/>
      <c r="B10580" s="34"/>
      <c r="G10580" s="31"/>
    </row>
    <row r="10581" spans="1:7" x14ac:dyDescent="0.25">
      <c r="A10581" s="36"/>
      <c r="B10581" s="34"/>
      <c r="G10581" s="31"/>
    </row>
    <row r="10582" spans="1:7" x14ac:dyDescent="0.25">
      <c r="A10582" s="36"/>
      <c r="B10582" s="34"/>
      <c r="G10582" s="31"/>
    </row>
    <row r="10583" spans="1:7" x14ac:dyDescent="0.25">
      <c r="A10583" s="36"/>
      <c r="B10583" s="34"/>
      <c r="G10583" s="31"/>
    </row>
    <row r="10584" spans="1:7" x14ac:dyDescent="0.25">
      <c r="A10584" s="36"/>
      <c r="B10584" s="34"/>
      <c r="G10584" s="31"/>
    </row>
    <row r="10585" spans="1:7" x14ac:dyDescent="0.25">
      <c r="A10585" s="36"/>
      <c r="B10585" s="34"/>
      <c r="G10585" s="31"/>
    </row>
    <row r="10586" spans="1:7" x14ac:dyDescent="0.25">
      <c r="A10586" s="36"/>
      <c r="B10586" s="34"/>
      <c r="G10586" s="31"/>
    </row>
    <row r="10587" spans="1:7" x14ac:dyDescent="0.25">
      <c r="A10587" s="36"/>
      <c r="B10587" s="34"/>
      <c r="G10587" s="31"/>
    </row>
    <row r="10588" spans="1:7" x14ac:dyDescent="0.25">
      <c r="A10588" s="36"/>
      <c r="B10588" s="34"/>
      <c r="G10588" s="31"/>
    </row>
    <row r="10589" spans="1:7" x14ac:dyDescent="0.25">
      <c r="A10589" s="36"/>
      <c r="B10589" s="34"/>
      <c r="G10589" s="31"/>
    </row>
    <row r="10590" spans="1:7" x14ac:dyDescent="0.25">
      <c r="A10590" s="36"/>
      <c r="B10590" s="34"/>
      <c r="G10590" s="31"/>
    </row>
    <row r="10591" spans="1:7" x14ac:dyDescent="0.25">
      <c r="A10591" s="36"/>
      <c r="B10591" s="34"/>
      <c r="G10591" s="31"/>
    </row>
    <row r="10592" spans="1:7" x14ac:dyDescent="0.25">
      <c r="A10592" s="36"/>
      <c r="B10592" s="34"/>
      <c r="G10592" s="31"/>
    </row>
    <row r="10593" spans="1:7" x14ac:dyDescent="0.25">
      <c r="A10593" s="36"/>
      <c r="B10593" s="34"/>
      <c r="G10593" s="31"/>
    </row>
    <row r="10594" spans="1:7" x14ac:dyDescent="0.25">
      <c r="A10594" s="36"/>
      <c r="B10594" s="34"/>
      <c r="G10594" s="31"/>
    </row>
    <row r="10595" spans="1:7" x14ac:dyDescent="0.25">
      <c r="A10595" s="36"/>
      <c r="B10595" s="34"/>
      <c r="G10595" s="31"/>
    </row>
    <row r="10596" spans="1:7" x14ac:dyDescent="0.25">
      <c r="A10596" s="36"/>
      <c r="B10596" s="34"/>
      <c r="G10596" s="31"/>
    </row>
    <row r="10597" spans="1:7" x14ac:dyDescent="0.25">
      <c r="A10597" s="36"/>
      <c r="B10597" s="34"/>
      <c r="G10597" s="31"/>
    </row>
    <row r="10598" spans="1:7" x14ac:dyDescent="0.25">
      <c r="A10598" s="36"/>
      <c r="B10598" s="34"/>
      <c r="G10598" s="31"/>
    </row>
    <row r="10599" spans="1:7" x14ac:dyDescent="0.25">
      <c r="A10599" s="36"/>
      <c r="B10599" s="34"/>
      <c r="G10599" s="31"/>
    </row>
    <row r="10600" spans="1:7" x14ac:dyDescent="0.25">
      <c r="A10600" s="36"/>
      <c r="B10600" s="34"/>
      <c r="G10600" s="31"/>
    </row>
    <row r="10601" spans="1:7" x14ac:dyDescent="0.25">
      <c r="A10601" s="36"/>
      <c r="B10601" s="34"/>
      <c r="G10601" s="31"/>
    </row>
    <row r="10602" spans="1:7" x14ac:dyDescent="0.25">
      <c r="A10602" s="36"/>
      <c r="B10602" s="34"/>
      <c r="G10602" s="31"/>
    </row>
    <row r="10603" spans="1:7" x14ac:dyDescent="0.25">
      <c r="A10603" s="36"/>
      <c r="B10603" s="34"/>
      <c r="G10603" s="31"/>
    </row>
    <row r="10604" spans="1:7" x14ac:dyDescent="0.25">
      <c r="A10604" s="36"/>
      <c r="B10604" s="34"/>
      <c r="G10604" s="31"/>
    </row>
    <row r="10605" spans="1:7" x14ac:dyDescent="0.25">
      <c r="A10605" s="36"/>
      <c r="B10605" s="34"/>
      <c r="G10605" s="31"/>
    </row>
    <row r="10606" spans="1:7" x14ac:dyDescent="0.25">
      <c r="A10606" s="36"/>
      <c r="B10606" s="34"/>
      <c r="G10606" s="31"/>
    </row>
    <row r="10607" spans="1:7" x14ac:dyDescent="0.25">
      <c r="A10607" s="36"/>
      <c r="B10607" s="34"/>
      <c r="G10607" s="31"/>
    </row>
    <row r="10608" spans="1:7" x14ac:dyDescent="0.25">
      <c r="A10608" s="36"/>
      <c r="B10608" s="34"/>
      <c r="G10608" s="31"/>
    </row>
    <row r="10609" spans="1:7" x14ac:dyDescent="0.25">
      <c r="A10609" s="36"/>
      <c r="B10609" s="34"/>
      <c r="G10609" s="31"/>
    </row>
    <row r="10610" spans="1:7" x14ac:dyDescent="0.25">
      <c r="A10610" s="36"/>
      <c r="B10610" s="34"/>
      <c r="G10610" s="31"/>
    </row>
    <row r="10611" spans="1:7" x14ac:dyDescent="0.25">
      <c r="A10611" s="36"/>
      <c r="B10611" s="34"/>
      <c r="G10611" s="31"/>
    </row>
    <row r="10612" spans="1:7" x14ac:dyDescent="0.25">
      <c r="A10612" s="36"/>
      <c r="B10612" s="34"/>
      <c r="G10612" s="31"/>
    </row>
    <row r="10613" spans="1:7" x14ac:dyDescent="0.25">
      <c r="A10613" s="36"/>
      <c r="B10613" s="34"/>
      <c r="G10613" s="31"/>
    </row>
    <row r="10614" spans="1:7" x14ac:dyDescent="0.25">
      <c r="A10614" s="36"/>
      <c r="B10614" s="34"/>
      <c r="G10614" s="31"/>
    </row>
    <row r="10615" spans="1:7" x14ac:dyDescent="0.25">
      <c r="A10615" s="36"/>
      <c r="B10615" s="34"/>
      <c r="G10615" s="31"/>
    </row>
    <row r="10616" spans="1:7" x14ac:dyDescent="0.25">
      <c r="A10616" s="36"/>
      <c r="B10616" s="34"/>
      <c r="G10616" s="31"/>
    </row>
    <row r="10617" spans="1:7" x14ac:dyDescent="0.25">
      <c r="A10617" s="36"/>
      <c r="B10617" s="34"/>
      <c r="G10617" s="31"/>
    </row>
    <row r="10618" spans="1:7" x14ac:dyDescent="0.25">
      <c r="A10618" s="36"/>
      <c r="B10618" s="34"/>
      <c r="G10618" s="31"/>
    </row>
    <row r="10619" spans="1:7" x14ac:dyDescent="0.25">
      <c r="A10619" s="36"/>
      <c r="B10619" s="34"/>
      <c r="G10619" s="31"/>
    </row>
    <row r="10620" spans="1:7" x14ac:dyDescent="0.25">
      <c r="A10620" s="36"/>
      <c r="B10620" s="34"/>
      <c r="G10620" s="31"/>
    </row>
    <row r="10621" spans="1:7" x14ac:dyDescent="0.25">
      <c r="A10621" s="36"/>
      <c r="B10621" s="34"/>
      <c r="G10621" s="31"/>
    </row>
    <row r="10622" spans="1:7" x14ac:dyDescent="0.25">
      <c r="A10622" s="36"/>
      <c r="B10622" s="34"/>
      <c r="G10622" s="31"/>
    </row>
    <row r="10623" spans="1:7" x14ac:dyDescent="0.25">
      <c r="A10623" s="36"/>
      <c r="B10623" s="34"/>
      <c r="G10623" s="31"/>
    </row>
    <row r="10624" spans="1:7" x14ac:dyDescent="0.25">
      <c r="A10624" s="36"/>
      <c r="B10624" s="34"/>
      <c r="G10624" s="31"/>
    </row>
    <row r="10625" spans="1:7" x14ac:dyDescent="0.25">
      <c r="A10625" s="36"/>
      <c r="B10625" s="34"/>
      <c r="G10625" s="31"/>
    </row>
    <row r="10626" spans="1:7" x14ac:dyDescent="0.25">
      <c r="A10626" s="36"/>
      <c r="B10626" s="34"/>
      <c r="G10626" s="31"/>
    </row>
    <row r="10627" spans="1:7" x14ac:dyDescent="0.25">
      <c r="A10627" s="36"/>
      <c r="B10627" s="34"/>
      <c r="G10627" s="31"/>
    </row>
    <row r="10628" spans="1:7" x14ac:dyDescent="0.25">
      <c r="A10628" s="36"/>
      <c r="B10628" s="34"/>
      <c r="G10628" s="31"/>
    </row>
    <row r="10629" spans="1:7" x14ac:dyDescent="0.25">
      <c r="A10629" s="36"/>
      <c r="B10629" s="34"/>
      <c r="G10629" s="31"/>
    </row>
    <row r="10630" spans="1:7" x14ac:dyDescent="0.25">
      <c r="A10630" s="36"/>
      <c r="B10630" s="34"/>
      <c r="G10630" s="31"/>
    </row>
    <row r="10631" spans="1:7" x14ac:dyDescent="0.25">
      <c r="A10631" s="36"/>
      <c r="B10631" s="34"/>
      <c r="G10631" s="31"/>
    </row>
    <row r="10632" spans="1:7" x14ac:dyDescent="0.25">
      <c r="A10632" s="36"/>
      <c r="B10632" s="34"/>
      <c r="G10632" s="31"/>
    </row>
    <row r="10633" spans="1:7" x14ac:dyDescent="0.25">
      <c r="A10633" s="36"/>
      <c r="B10633" s="34"/>
      <c r="G10633" s="31"/>
    </row>
    <row r="10634" spans="1:7" x14ac:dyDescent="0.25">
      <c r="A10634" s="36"/>
      <c r="B10634" s="34"/>
      <c r="G10634" s="31"/>
    </row>
    <row r="10635" spans="1:7" x14ac:dyDescent="0.25">
      <c r="A10635" s="36"/>
      <c r="B10635" s="34"/>
      <c r="G10635" s="31"/>
    </row>
    <row r="10636" spans="1:7" x14ac:dyDescent="0.25">
      <c r="A10636" s="36"/>
      <c r="B10636" s="34"/>
      <c r="G10636" s="31"/>
    </row>
    <row r="10637" spans="1:7" x14ac:dyDescent="0.25">
      <c r="A10637" s="36"/>
      <c r="B10637" s="34"/>
      <c r="G10637" s="31"/>
    </row>
    <row r="10638" spans="1:7" x14ac:dyDescent="0.25">
      <c r="A10638" s="36"/>
      <c r="B10638" s="34"/>
      <c r="G10638" s="31"/>
    </row>
    <row r="10639" spans="1:7" x14ac:dyDescent="0.25">
      <c r="A10639" s="36"/>
      <c r="B10639" s="34"/>
      <c r="G10639" s="31"/>
    </row>
    <row r="10640" spans="1:7" x14ac:dyDescent="0.25">
      <c r="A10640" s="36"/>
      <c r="B10640" s="34"/>
      <c r="G10640" s="31"/>
    </row>
    <row r="10641" spans="1:7" x14ac:dyDescent="0.25">
      <c r="A10641" s="36"/>
      <c r="B10641" s="34"/>
      <c r="G10641" s="31"/>
    </row>
    <row r="10642" spans="1:7" x14ac:dyDescent="0.25">
      <c r="A10642" s="36"/>
      <c r="B10642" s="34"/>
      <c r="G10642" s="31"/>
    </row>
    <row r="10643" spans="1:7" x14ac:dyDescent="0.25">
      <c r="A10643" s="36"/>
      <c r="B10643" s="34"/>
      <c r="G10643" s="31"/>
    </row>
    <row r="10644" spans="1:7" x14ac:dyDescent="0.25">
      <c r="A10644" s="36"/>
      <c r="B10644" s="34"/>
      <c r="G10644" s="31"/>
    </row>
    <row r="10645" spans="1:7" x14ac:dyDescent="0.25">
      <c r="A10645" s="36"/>
      <c r="B10645" s="34"/>
      <c r="G10645" s="31"/>
    </row>
    <row r="10646" spans="1:7" x14ac:dyDescent="0.25">
      <c r="A10646" s="36"/>
      <c r="B10646" s="34"/>
      <c r="G10646" s="31"/>
    </row>
    <row r="10647" spans="1:7" x14ac:dyDescent="0.25">
      <c r="A10647" s="36"/>
      <c r="B10647" s="34"/>
      <c r="G10647" s="31"/>
    </row>
    <row r="10648" spans="1:7" x14ac:dyDescent="0.25">
      <c r="A10648" s="36"/>
      <c r="B10648" s="34"/>
      <c r="G10648" s="31"/>
    </row>
    <row r="10649" spans="1:7" x14ac:dyDescent="0.25">
      <c r="A10649" s="36"/>
      <c r="B10649" s="34"/>
      <c r="G10649" s="31"/>
    </row>
    <row r="10650" spans="1:7" x14ac:dyDescent="0.25">
      <c r="A10650" s="36"/>
      <c r="B10650" s="34"/>
      <c r="G10650" s="31"/>
    </row>
    <row r="10651" spans="1:7" x14ac:dyDescent="0.25">
      <c r="A10651" s="36"/>
      <c r="B10651" s="34"/>
      <c r="G10651" s="31"/>
    </row>
    <row r="10652" spans="1:7" x14ac:dyDescent="0.25">
      <c r="A10652" s="36"/>
      <c r="B10652" s="34"/>
      <c r="G10652" s="31"/>
    </row>
    <row r="10653" spans="1:7" x14ac:dyDescent="0.25">
      <c r="A10653" s="36"/>
      <c r="B10653" s="34"/>
      <c r="G10653" s="31"/>
    </row>
    <row r="10654" spans="1:7" x14ac:dyDescent="0.25">
      <c r="A10654" s="36"/>
      <c r="B10654" s="34"/>
      <c r="G10654" s="31"/>
    </row>
    <row r="10655" spans="1:7" x14ac:dyDescent="0.25">
      <c r="A10655" s="36"/>
      <c r="B10655" s="34"/>
      <c r="G10655" s="31"/>
    </row>
    <row r="10656" spans="1:7" x14ac:dyDescent="0.25">
      <c r="A10656" s="36"/>
      <c r="B10656" s="34"/>
      <c r="G10656" s="31"/>
    </row>
    <row r="10657" spans="1:7" x14ac:dyDescent="0.25">
      <c r="A10657" s="36"/>
      <c r="B10657" s="34"/>
      <c r="G10657" s="31"/>
    </row>
    <row r="10658" spans="1:7" x14ac:dyDescent="0.25">
      <c r="A10658" s="36"/>
      <c r="B10658" s="34"/>
      <c r="G10658" s="31"/>
    </row>
    <row r="10659" spans="1:7" x14ac:dyDescent="0.25">
      <c r="A10659" s="36"/>
      <c r="B10659" s="34"/>
      <c r="G10659" s="31"/>
    </row>
    <row r="10660" spans="1:7" x14ac:dyDescent="0.25">
      <c r="A10660" s="36"/>
      <c r="B10660" s="34"/>
      <c r="G10660" s="31"/>
    </row>
    <row r="10661" spans="1:7" x14ac:dyDescent="0.25">
      <c r="A10661" s="36"/>
      <c r="B10661" s="34"/>
      <c r="G10661" s="31"/>
    </row>
    <row r="10662" spans="1:7" x14ac:dyDescent="0.25">
      <c r="A10662" s="36"/>
      <c r="B10662" s="34"/>
      <c r="G10662" s="31"/>
    </row>
    <row r="10663" spans="1:7" x14ac:dyDescent="0.25">
      <c r="A10663" s="36"/>
      <c r="B10663" s="34"/>
      <c r="G10663" s="31"/>
    </row>
    <row r="10664" spans="1:7" x14ac:dyDescent="0.25">
      <c r="A10664" s="36"/>
      <c r="B10664" s="34"/>
      <c r="G10664" s="31"/>
    </row>
    <row r="10665" spans="1:7" x14ac:dyDescent="0.25">
      <c r="A10665" s="36"/>
      <c r="B10665" s="34"/>
      <c r="G10665" s="31"/>
    </row>
    <row r="10666" spans="1:7" x14ac:dyDescent="0.25">
      <c r="A10666" s="36"/>
      <c r="B10666" s="34"/>
      <c r="G10666" s="31"/>
    </row>
    <row r="10667" spans="1:7" x14ac:dyDescent="0.25">
      <c r="A10667" s="36"/>
      <c r="B10667" s="34"/>
      <c r="G10667" s="31"/>
    </row>
    <row r="10668" spans="1:7" x14ac:dyDescent="0.25">
      <c r="A10668" s="36"/>
      <c r="B10668" s="34"/>
      <c r="G10668" s="31"/>
    </row>
    <row r="10669" spans="1:7" x14ac:dyDescent="0.25">
      <c r="A10669" s="36"/>
      <c r="B10669" s="34"/>
      <c r="G10669" s="31"/>
    </row>
    <row r="10670" spans="1:7" x14ac:dyDescent="0.25">
      <c r="A10670" s="36"/>
      <c r="B10670" s="34"/>
      <c r="G10670" s="31"/>
    </row>
    <row r="10671" spans="1:7" x14ac:dyDescent="0.25">
      <c r="A10671" s="36"/>
      <c r="B10671" s="34"/>
      <c r="G10671" s="31"/>
    </row>
    <row r="10672" spans="1:7" x14ac:dyDescent="0.25">
      <c r="A10672" s="36"/>
      <c r="B10672" s="34"/>
      <c r="G10672" s="31"/>
    </row>
    <row r="10673" spans="1:7" x14ac:dyDescent="0.25">
      <c r="A10673" s="36"/>
      <c r="B10673" s="34"/>
      <c r="G10673" s="31"/>
    </row>
    <row r="10674" spans="1:7" x14ac:dyDescent="0.25">
      <c r="A10674" s="36"/>
      <c r="B10674" s="34"/>
      <c r="G10674" s="31"/>
    </row>
    <row r="10675" spans="1:7" x14ac:dyDescent="0.25">
      <c r="A10675" s="36"/>
      <c r="B10675" s="34"/>
      <c r="G10675" s="31"/>
    </row>
    <row r="10676" spans="1:7" x14ac:dyDescent="0.25">
      <c r="A10676" s="36"/>
      <c r="B10676" s="34"/>
      <c r="G10676" s="31"/>
    </row>
    <row r="10677" spans="1:7" x14ac:dyDescent="0.25">
      <c r="A10677" s="36"/>
      <c r="B10677" s="34"/>
      <c r="G10677" s="31"/>
    </row>
    <row r="10678" spans="1:7" x14ac:dyDescent="0.25">
      <c r="A10678" s="36"/>
      <c r="B10678" s="34"/>
      <c r="G10678" s="31"/>
    </row>
    <row r="10679" spans="1:7" x14ac:dyDescent="0.25">
      <c r="A10679" s="36"/>
      <c r="B10679" s="34"/>
      <c r="G10679" s="31"/>
    </row>
    <row r="10680" spans="1:7" x14ac:dyDescent="0.25">
      <c r="A10680" s="36"/>
      <c r="B10680" s="34"/>
      <c r="G10680" s="31"/>
    </row>
    <row r="10681" spans="1:7" x14ac:dyDescent="0.25">
      <c r="A10681" s="36"/>
      <c r="B10681" s="34"/>
      <c r="G10681" s="31"/>
    </row>
    <row r="10682" spans="1:7" x14ac:dyDescent="0.25">
      <c r="A10682" s="36"/>
      <c r="B10682" s="34"/>
      <c r="G10682" s="31"/>
    </row>
    <row r="10683" spans="1:7" x14ac:dyDescent="0.25">
      <c r="A10683" s="36"/>
      <c r="B10683" s="34"/>
      <c r="G10683" s="31"/>
    </row>
    <row r="10684" spans="1:7" x14ac:dyDescent="0.25">
      <c r="A10684" s="36"/>
      <c r="B10684" s="34"/>
      <c r="G10684" s="31"/>
    </row>
    <row r="10685" spans="1:7" x14ac:dyDescent="0.25">
      <c r="A10685" s="36"/>
      <c r="B10685" s="34"/>
      <c r="G10685" s="31"/>
    </row>
    <row r="10686" spans="1:7" x14ac:dyDescent="0.25">
      <c r="A10686" s="36"/>
      <c r="B10686" s="34"/>
      <c r="G10686" s="31"/>
    </row>
    <row r="10687" spans="1:7" x14ac:dyDescent="0.25">
      <c r="A10687" s="36"/>
      <c r="B10687" s="34"/>
      <c r="G10687" s="31"/>
    </row>
    <row r="10688" spans="1:7" x14ac:dyDescent="0.25">
      <c r="A10688" s="36"/>
      <c r="B10688" s="34"/>
      <c r="G10688" s="31"/>
    </row>
    <row r="10689" spans="1:7" x14ac:dyDescent="0.25">
      <c r="A10689" s="36"/>
      <c r="B10689" s="34"/>
      <c r="G10689" s="31"/>
    </row>
    <row r="10690" spans="1:7" x14ac:dyDescent="0.25">
      <c r="A10690" s="36"/>
      <c r="B10690" s="34"/>
      <c r="G10690" s="31"/>
    </row>
    <row r="10691" spans="1:7" x14ac:dyDescent="0.25">
      <c r="A10691" s="36"/>
      <c r="B10691" s="34"/>
      <c r="G10691" s="31"/>
    </row>
    <row r="10692" spans="1:7" x14ac:dyDescent="0.25">
      <c r="A10692" s="36"/>
      <c r="B10692" s="34"/>
      <c r="G10692" s="31"/>
    </row>
    <row r="10693" spans="1:7" x14ac:dyDescent="0.25">
      <c r="A10693" s="36"/>
      <c r="B10693" s="34"/>
      <c r="G10693" s="31"/>
    </row>
    <row r="10694" spans="1:7" x14ac:dyDescent="0.25">
      <c r="A10694" s="36"/>
      <c r="B10694" s="34"/>
      <c r="G10694" s="31"/>
    </row>
    <row r="10695" spans="1:7" x14ac:dyDescent="0.25">
      <c r="A10695" s="36"/>
      <c r="B10695" s="34"/>
      <c r="G10695" s="31"/>
    </row>
    <row r="10696" spans="1:7" x14ac:dyDescent="0.25">
      <c r="A10696" s="36"/>
      <c r="B10696" s="34"/>
      <c r="G10696" s="31"/>
    </row>
    <row r="10697" spans="1:7" x14ac:dyDescent="0.25">
      <c r="A10697" s="36"/>
      <c r="B10697" s="34"/>
      <c r="G10697" s="31"/>
    </row>
    <row r="10698" spans="1:7" x14ac:dyDescent="0.25">
      <c r="A10698" s="36"/>
      <c r="B10698" s="34"/>
      <c r="G10698" s="31"/>
    </row>
    <row r="10699" spans="1:7" x14ac:dyDescent="0.25">
      <c r="A10699" s="36"/>
      <c r="B10699" s="34"/>
      <c r="G10699" s="31"/>
    </row>
    <row r="10700" spans="1:7" x14ac:dyDescent="0.25">
      <c r="A10700" s="36"/>
      <c r="B10700" s="34"/>
      <c r="G10700" s="31"/>
    </row>
    <row r="10701" spans="1:7" x14ac:dyDescent="0.25">
      <c r="A10701" s="36"/>
      <c r="B10701" s="34"/>
      <c r="G10701" s="31"/>
    </row>
    <row r="10702" spans="1:7" x14ac:dyDescent="0.25">
      <c r="A10702" s="36"/>
      <c r="B10702" s="34"/>
      <c r="G10702" s="31"/>
    </row>
    <row r="10703" spans="1:7" x14ac:dyDescent="0.25">
      <c r="A10703" s="36"/>
      <c r="B10703" s="34"/>
      <c r="G10703" s="31"/>
    </row>
    <row r="10704" spans="1:7" x14ac:dyDescent="0.25">
      <c r="A10704" s="36"/>
      <c r="B10704" s="34"/>
      <c r="G10704" s="31"/>
    </row>
    <row r="10705" spans="1:7" x14ac:dyDescent="0.25">
      <c r="A10705" s="36"/>
      <c r="B10705" s="34"/>
      <c r="G10705" s="31"/>
    </row>
    <row r="10706" spans="1:7" x14ac:dyDescent="0.25">
      <c r="A10706" s="36"/>
      <c r="B10706" s="34"/>
      <c r="G10706" s="31"/>
    </row>
    <row r="10707" spans="1:7" x14ac:dyDescent="0.25">
      <c r="A10707" s="36"/>
      <c r="B10707" s="34"/>
      <c r="G10707" s="31"/>
    </row>
    <row r="10708" spans="1:7" x14ac:dyDescent="0.25">
      <c r="A10708" s="36"/>
      <c r="B10708" s="34"/>
      <c r="G10708" s="31"/>
    </row>
    <row r="10709" spans="1:7" x14ac:dyDescent="0.25">
      <c r="A10709" s="36"/>
      <c r="B10709" s="34"/>
      <c r="G10709" s="31"/>
    </row>
    <row r="10710" spans="1:7" x14ac:dyDescent="0.25">
      <c r="A10710" s="36"/>
      <c r="B10710" s="34"/>
      <c r="G10710" s="31"/>
    </row>
    <row r="10711" spans="1:7" x14ac:dyDescent="0.25">
      <c r="A10711" s="36"/>
      <c r="B10711" s="34"/>
      <c r="G10711" s="31"/>
    </row>
    <row r="10712" spans="1:7" x14ac:dyDescent="0.25">
      <c r="A10712" s="36"/>
      <c r="B10712" s="34"/>
      <c r="G10712" s="31"/>
    </row>
    <row r="10713" spans="1:7" x14ac:dyDescent="0.25">
      <c r="A10713" s="36"/>
      <c r="B10713" s="34"/>
      <c r="G10713" s="31"/>
    </row>
    <row r="10714" spans="1:7" x14ac:dyDescent="0.25">
      <c r="A10714" s="36"/>
      <c r="B10714" s="34"/>
      <c r="G10714" s="31"/>
    </row>
    <row r="10715" spans="1:7" x14ac:dyDescent="0.25">
      <c r="A10715" s="36"/>
      <c r="B10715" s="34"/>
      <c r="G10715" s="31"/>
    </row>
    <row r="10716" spans="1:7" x14ac:dyDescent="0.25">
      <c r="A10716" s="36"/>
      <c r="B10716" s="34"/>
      <c r="G10716" s="31"/>
    </row>
    <row r="10717" spans="1:7" x14ac:dyDescent="0.25">
      <c r="A10717" s="36"/>
      <c r="B10717" s="34"/>
      <c r="G10717" s="31"/>
    </row>
    <row r="10718" spans="1:7" x14ac:dyDescent="0.25">
      <c r="A10718" s="36"/>
      <c r="B10718" s="34"/>
      <c r="G10718" s="31"/>
    </row>
    <row r="10719" spans="1:7" x14ac:dyDescent="0.25">
      <c r="A10719" s="36"/>
      <c r="B10719" s="34"/>
      <c r="G10719" s="31"/>
    </row>
    <row r="10720" spans="1:7" x14ac:dyDescent="0.25">
      <c r="A10720" s="36"/>
      <c r="B10720" s="34"/>
      <c r="G10720" s="31"/>
    </row>
    <row r="10721" spans="1:7" x14ac:dyDescent="0.25">
      <c r="A10721" s="36"/>
      <c r="B10721" s="34"/>
      <c r="G10721" s="31"/>
    </row>
    <row r="10722" spans="1:7" x14ac:dyDescent="0.25">
      <c r="A10722" s="36"/>
      <c r="B10722" s="34"/>
      <c r="G10722" s="31"/>
    </row>
    <row r="10723" spans="1:7" x14ac:dyDescent="0.25">
      <c r="A10723" s="36"/>
      <c r="B10723" s="34"/>
      <c r="G10723" s="31"/>
    </row>
    <row r="10724" spans="1:7" x14ac:dyDescent="0.25">
      <c r="A10724" s="36"/>
      <c r="B10724" s="34"/>
      <c r="G10724" s="31"/>
    </row>
    <row r="10725" spans="1:7" x14ac:dyDescent="0.25">
      <c r="A10725" s="36"/>
      <c r="B10725" s="34"/>
      <c r="G10725" s="31"/>
    </row>
    <row r="10726" spans="1:7" x14ac:dyDescent="0.25">
      <c r="A10726" s="36"/>
      <c r="B10726" s="34"/>
      <c r="G10726" s="31"/>
    </row>
    <row r="10727" spans="1:7" x14ac:dyDescent="0.25">
      <c r="A10727" s="36"/>
      <c r="B10727" s="34"/>
      <c r="G10727" s="31"/>
    </row>
    <row r="10728" spans="1:7" x14ac:dyDescent="0.25">
      <c r="A10728" s="36"/>
      <c r="B10728" s="34"/>
      <c r="G10728" s="31"/>
    </row>
    <row r="10729" spans="1:7" x14ac:dyDescent="0.25">
      <c r="A10729" s="36"/>
      <c r="B10729" s="34"/>
      <c r="G10729" s="31"/>
    </row>
    <row r="10730" spans="1:7" x14ac:dyDescent="0.25">
      <c r="A10730" s="36"/>
      <c r="B10730" s="34"/>
      <c r="G10730" s="31"/>
    </row>
    <row r="10731" spans="1:7" x14ac:dyDescent="0.25">
      <c r="A10731" s="36"/>
      <c r="B10731" s="34"/>
      <c r="G10731" s="31"/>
    </row>
    <row r="10732" spans="1:7" x14ac:dyDescent="0.25">
      <c r="A10732" s="36"/>
      <c r="B10732" s="34"/>
      <c r="G10732" s="31"/>
    </row>
    <row r="10733" spans="1:7" x14ac:dyDescent="0.25">
      <c r="A10733" s="36"/>
      <c r="B10733" s="34"/>
      <c r="G10733" s="31"/>
    </row>
    <row r="10734" spans="1:7" x14ac:dyDescent="0.25">
      <c r="A10734" s="36"/>
      <c r="B10734" s="34"/>
      <c r="G10734" s="31"/>
    </row>
    <row r="10735" spans="1:7" x14ac:dyDescent="0.25">
      <c r="A10735" s="36"/>
      <c r="B10735" s="34"/>
      <c r="G10735" s="31"/>
    </row>
    <row r="10736" spans="1:7" x14ac:dyDescent="0.25">
      <c r="A10736" s="36"/>
      <c r="B10736" s="34"/>
      <c r="G10736" s="31"/>
    </row>
    <row r="10737" spans="1:7" x14ac:dyDescent="0.25">
      <c r="A10737" s="36"/>
      <c r="B10737" s="34"/>
      <c r="G10737" s="31"/>
    </row>
    <row r="10738" spans="1:7" x14ac:dyDescent="0.25">
      <c r="A10738" s="36"/>
      <c r="B10738" s="34"/>
      <c r="G10738" s="31"/>
    </row>
    <row r="10739" spans="1:7" x14ac:dyDescent="0.25">
      <c r="A10739" s="36"/>
      <c r="B10739" s="34"/>
      <c r="G10739" s="31"/>
    </row>
    <row r="10740" spans="1:7" x14ac:dyDescent="0.25">
      <c r="A10740" s="36"/>
      <c r="B10740" s="34"/>
      <c r="G10740" s="31"/>
    </row>
    <row r="10741" spans="1:7" x14ac:dyDescent="0.25">
      <c r="A10741" s="36"/>
      <c r="B10741" s="34"/>
      <c r="G10741" s="31"/>
    </row>
    <row r="10742" spans="1:7" x14ac:dyDescent="0.25">
      <c r="A10742" s="36"/>
      <c r="B10742" s="34"/>
      <c r="G10742" s="31"/>
    </row>
    <row r="10743" spans="1:7" x14ac:dyDescent="0.25">
      <c r="A10743" s="36"/>
      <c r="B10743" s="34"/>
      <c r="G10743" s="31"/>
    </row>
    <row r="10744" spans="1:7" x14ac:dyDescent="0.25">
      <c r="A10744" s="36"/>
      <c r="B10744" s="34"/>
      <c r="G10744" s="31"/>
    </row>
    <row r="10745" spans="1:7" x14ac:dyDescent="0.25">
      <c r="A10745" s="36"/>
      <c r="B10745" s="34"/>
      <c r="G10745" s="31"/>
    </row>
    <row r="10746" spans="1:7" x14ac:dyDescent="0.25">
      <c r="A10746" s="36"/>
      <c r="B10746" s="34"/>
      <c r="G10746" s="31"/>
    </row>
    <row r="10747" spans="1:7" x14ac:dyDescent="0.25">
      <c r="A10747" s="36"/>
      <c r="B10747" s="34"/>
      <c r="G10747" s="31"/>
    </row>
    <row r="10748" spans="1:7" x14ac:dyDescent="0.25">
      <c r="A10748" s="36"/>
      <c r="B10748" s="34"/>
      <c r="G10748" s="31"/>
    </row>
    <row r="10749" spans="1:7" x14ac:dyDescent="0.25">
      <c r="A10749" s="36"/>
      <c r="B10749" s="34"/>
      <c r="G10749" s="31"/>
    </row>
    <row r="10750" spans="1:7" x14ac:dyDescent="0.25">
      <c r="A10750" s="36"/>
      <c r="B10750" s="34"/>
      <c r="G10750" s="31"/>
    </row>
    <row r="10751" spans="1:7" x14ac:dyDescent="0.25">
      <c r="A10751" s="36"/>
      <c r="B10751" s="34"/>
      <c r="G10751" s="31"/>
    </row>
    <row r="10752" spans="1:7" x14ac:dyDescent="0.25">
      <c r="A10752" s="36"/>
      <c r="B10752" s="34"/>
      <c r="G10752" s="31"/>
    </row>
    <row r="10753" spans="1:7" x14ac:dyDescent="0.25">
      <c r="A10753" s="36"/>
      <c r="B10753" s="34"/>
      <c r="G10753" s="31"/>
    </row>
    <row r="10754" spans="1:7" x14ac:dyDescent="0.25">
      <c r="A10754" s="36"/>
      <c r="B10754" s="34"/>
      <c r="G10754" s="31"/>
    </row>
    <row r="10755" spans="1:7" x14ac:dyDescent="0.25">
      <c r="A10755" s="36"/>
      <c r="B10755" s="34"/>
      <c r="G10755" s="31"/>
    </row>
    <row r="10756" spans="1:7" x14ac:dyDescent="0.25">
      <c r="A10756" s="36"/>
      <c r="B10756" s="34"/>
      <c r="G10756" s="31"/>
    </row>
    <row r="10757" spans="1:7" x14ac:dyDescent="0.25">
      <c r="A10757" s="36"/>
      <c r="B10757" s="34"/>
      <c r="G10757" s="31"/>
    </row>
    <row r="10758" spans="1:7" x14ac:dyDescent="0.25">
      <c r="A10758" s="36"/>
      <c r="B10758" s="34"/>
      <c r="G10758" s="31"/>
    </row>
    <row r="10759" spans="1:7" x14ac:dyDescent="0.25">
      <c r="A10759" s="36"/>
      <c r="B10759" s="34"/>
      <c r="G10759" s="31"/>
    </row>
    <row r="10760" spans="1:7" x14ac:dyDescent="0.25">
      <c r="A10760" s="36"/>
      <c r="B10760" s="34"/>
      <c r="G10760" s="31"/>
    </row>
    <row r="10761" spans="1:7" x14ac:dyDescent="0.25">
      <c r="A10761" s="36"/>
      <c r="B10761" s="34"/>
      <c r="G10761" s="31"/>
    </row>
    <row r="10762" spans="1:7" x14ac:dyDescent="0.25">
      <c r="A10762" s="36"/>
      <c r="B10762" s="34"/>
      <c r="G10762" s="31"/>
    </row>
    <row r="10763" spans="1:7" x14ac:dyDescent="0.25">
      <c r="A10763" s="36"/>
      <c r="B10763" s="34"/>
      <c r="G10763" s="31"/>
    </row>
    <row r="10764" spans="1:7" x14ac:dyDescent="0.25">
      <c r="A10764" s="36"/>
      <c r="B10764" s="34"/>
      <c r="G10764" s="31"/>
    </row>
    <row r="10765" spans="1:7" x14ac:dyDescent="0.25">
      <c r="A10765" s="36"/>
      <c r="B10765" s="34"/>
      <c r="G10765" s="31"/>
    </row>
    <row r="10766" spans="1:7" x14ac:dyDescent="0.25">
      <c r="A10766" s="36"/>
      <c r="B10766" s="34"/>
      <c r="G10766" s="31"/>
    </row>
    <row r="10767" spans="1:7" x14ac:dyDescent="0.25">
      <c r="A10767" s="36"/>
      <c r="B10767" s="34"/>
      <c r="G10767" s="31"/>
    </row>
    <row r="10768" spans="1:7" x14ac:dyDescent="0.25">
      <c r="A10768" s="36"/>
      <c r="B10768" s="34"/>
      <c r="G10768" s="31"/>
    </row>
    <row r="10769" spans="1:7" x14ac:dyDescent="0.25">
      <c r="A10769" s="36"/>
      <c r="B10769" s="34"/>
      <c r="G10769" s="31"/>
    </row>
    <row r="10770" spans="1:7" x14ac:dyDescent="0.25">
      <c r="A10770" s="36"/>
      <c r="B10770" s="34"/>
      <c r="G10770" s="31"/>
    </row>
    <row r="10771" spans="1:7" x14ac:dyDescent="0.25">
      <c r="A10771" s="36"/>
      <c r="B10771" s="34"/>
      <c r="G10771" s="31"/>
    </row>
    <row r="10772" spans="1:7" x14ac:dyDescent="0.25">
      <c r="A10772" s="36"/>
      <c r="B10772" s="34"/>
      <c r="G10772" s="31"/>
    </row>
    <row r="10773" spans="1:7" x14ac:dyDescent="0.25">
      <c r="A10773" s="36"/>
      <c r="B10773" s="34"/>
      <c r="G10773" s="31"/>
    </row>
    <row r="10774" spans="1:7" x14ac:dyDescent="0.25">
      <c r="A10774" s="36"/>
      <c r="B10774" s="34"/>
      <c r="G10774" s="31"/>
    </row>
    <row r="10775" spans="1:7" x14ac:dyDescent="0.25">
      <c r="A10775" s="36"/>
      <c r="B10775" s="34"/>
      <c r="G10775" s="31"/>
    </row>
    <row r="10776" spans="1:7" x14ac:dyDescent="0.25">
      <c r="A10776" s="36"/>
      <c r="B10776" s="34"/>
      <c r="G10776" s="31"/>
    </row>
    <row r="10777" spans="1:7" x14ac:dyDescent="0.25">
      <c r="A10777" s="36"/>
      <c r="B10777" s="34"/>
      <c r="G10777" s="31"/>
    </row>
    <row r="10778" spans="1:7" x14ac:dyDescent="0.25">
      <c r="A10778" s="36"/>
      <c r="B10778" s="34"/>
      <c r="G10778" s="31"/>
    </row>
    <row r="10779" spans="1:7" x14ac:dyDescent="0.25">
      <c r="A10779" s="36"/>
      <c r="B10779" s="34"/>
      <c r="G10779" s="31"/>
    </row>
    <row r="10780" spans="1:7" x14ac:dyDescent="0.25">
      <c r="A10780" s="36"/>
      <c r="B10780" s="34"/>
      <c r="G10780" s="31"/>
    </row>
    <row r="10781" spans="1:7" x14ac:dyDescent="0.25">
      <c r="A10781" s="36"/>
      <c r="B10781" s="34"/>
      <c r="G10781" s="31"/>
    </row>
    <row r="10782" spans="1:7" x14ac:dyDescent="0.25">
      <c r="A10782" s="36"/>
      <c r="B10782" s="34"/>
      <c r="G10782" s="31"/>
    </row>
    <row r="10783" spans="1:7" x14ac:dyDescent="0.25">
      <c r="A10783" s="36"/>
      <c r="B10783" s="34"/>
      <c r="G10783" s="31"/>
    </row>
    <row r="10784" spans="1:7" x14ac:dyDescent="0.25">
      <c r="A10784" s="36"/>
      <c r="B10784" s="34"/>
      <c r="G10784" s="31"/>
    </row>
    <row r="10785" spans="1:7" x14ac:dyDescent="0.25">
      <c r="A10785" s="36"/>
      <c r="B10785" s="34"/>
      <c r="G10785" s="31"/>
    </row>
    <row r="10786" spans="1:7" x14ac:dyDescent="0.25">
      <c r="A10786" s="36"/>
      <c r="B10786" s="34"/>
      <c r="G10786" s="31"/>
    </row>
    <row r="10787" spans="1:7" x14ac:dyDescent="0.25">
      <c r="A10787" s="36"/>
      <c r="B10787" s="34"/>
      <c r="G10787" s="31"/>
    </row>
    <row r="10788" spans="1:7" x14ac:dyDescent="0.25">
      <c r="A10788" s="36"/>
      <c r="B10788" s="34"/>
      <c r="G10788" s="31"/>
    </row>
    <row r="10789" spans="1:7" x14ac:dyDescent="0.25">
      <c r="A10789" s="36"/>
      <c r="B10789" s="34"/>
      <c r="G10789" s="31"/>
    </row>
    <row r="10790" spans="1:7" x14ac:dyDescent="0.25">
      <c r="A10790" s="36"/>
      <c r="B10790" s="34"/>
      <c r="G10790" s="31"/>
    </row>
    <row r="10791" spans="1:7" x14ac:dyDescent="0.25">
      <c r="A10791" s="36"/>
      <c r="B10791" s="34"/>
      <c r="G10791" s="31"/>
    </row>
    <row r="10792" spans="1:7" x14ac:dyDescent="0.25">
      <c r="A10792" s="36"/>
      <c r="B10792" s="34"/>
      <c r="G10792" s="31"/>
    </row>
    <row r="10793" spans="1:7" x14ac:dyDescent="0.25">
      <c r="A10793" s="36"/>
      <c r="B10793" s="34"/>
      <c r="G10793" s="31"/>
    </row>
    <row r="10794" spans="1:7" x14ac:dyDescent="0.25">
      <c r="A10794" s="36"/>
      <c r="B10794" s="34"/>
      <c r="G10794" s="31"/>
    </row>
    <row r="10795" spans="1:7" x14ac:dyDescent="0.25">
      <c r="A10795" s="36"/>
      <c r="B10795" s="34"/>
      <c r="G10795" s="31"/>
    </row>
    <row r="10796" spans="1:7" x14ac:dyDescent="0.25">
      <c r="A10796" s="36"/>
      <c r="B10796" s="34"/>
      <c r="G10796" s="31"/>
    </row>
    <row r="10797" spans="1:7" x14ac:dyDescent="0.25">
      <c r="A10797" s="36"/>
      <c r="B10797" s="34"/>
      <c r="G10797" s="31"/>
    </row>
    <row r="10798" spans="1:7" x14ac:dyDescent="0.25">
      <c r="A10798" s="36"/>
      <c r="B10798" s="34"/>
      <c r="G10798" s="31"/>
    </row>
    <row r="10799" spans="1:7" x14ac:dyDescent="0.25">
      <c r="A10799" s="36"/>
      <c r="B10799" s="34"/>
      <c r="G10799" s="31"/>
    </row>
    <row r="10800" spans="1:7" x14ac:dyDescent="0.25">
      <c r="A10800" s="36"/>
      <c r="B10800" s="34"/>
      <c r="G10800" s="31"/>
    </row>
    <row r="10801" spans="1:7" x14ac:dyDescent="0.25">
      <c r="A10801" s="36"/>
      <c r="B10801" s="34"/>
      <c r="G10801" s="31"/>
    </row>
    <row r="10802" spans="1:7" x14ac:dyDescent="0.25">
      <c r="A10802" s="36"/>
      <c r="B10802" s="34"/>
      <c r="G10802" s="31"/>
    </row>
    <row r="10803" spans="1:7" x14ac:dyDescent="0.25">
      <c r="A10803" s="36"/>
      <c r="B10803" s="34"/>
      <c r="G10803" s="31"/>
    </row>
    <row r="10804" spans="1:7" x14ac:dyDescent="0.25">
      <c r="A10804" s="36"/>
      <c r="B10804" s="34"/>
      <c r="G10804" s="31"/>
    </row>
    <row r="10805" spans="1:7" x14ac:dyDescent="0.25">
      <c r="A10805" s="36"/>
      <c r="B10805" s="34"/>
      <c r="G10805" s="31"/>
    </row>
    <row r="10806" spans="1:7" x14ac:dyDescent="0.25">
      <c r="A10806" s="36"/>
      <c r="B10806" s="34"/>
      <c r="G10806" s="31"/>
    </row>
    <row r="10807" spans="1:7" x14ac:dyDescent="0.25">
      <c r="A10807" s="36"/>
      <c r="B10807" s="34"/>
      <c r="G10807" s="31"/>
    </row>
    <row r="10808" spans="1:7" x14ac:dyDescent="0.25">
      <c r="A10808" s="36"/>
      <c r="B10808" s="34"/>
      <c r="G10808" s="31"/>
    </row>
    <row r="10809" spans="1:7" x14ac:dyDescent="0.25">
      <c r="A10809" s="36"/>
      <c r="B10809" s="34"/>
      <c r="G10809" s="31"/>
    </row>
    <row r="10810" spans="1:7" x14ac:dyDescent="0.25">
      <c r="A10810" s="36"/>
      <c r="B10810" s="34"/>
      <c r="G10810" s="31"/>
    </row>
    <row r="10811" spans="1:7" x14ac:dyDescent="0.25">
      <c r="A10811" s="36"/>
      <c r="B10811" s="34"/>
      <c r="G10811" s="31"/>
    </row>
    <row r="10812" spans="1:7" x14ac:dyDescent="0.25">
      <c r="A10812" s="36"/>
      <c r="B10812" s="34"/>
      <c r="G10812" s="31"/>
    </row>
    <row r="10813" spans="1:7" x14ac:dyDescent="0.25">
      <c r="A10813" s="36"/>
      <c r="B10813" s="34"/>
      <c r="G10813" s="31"/>
    </row>
    <row r="10814" spans="1:7" x14ac:dyDescent="0.25">
      <c r="A10814" s="36"/>
      <c r="B10814" s="34"/>
      <c r="G10814" s="31"/>
    </row>
    <row r="10815" spans="1:7" x14ac:dyDescent="0.25">
      <c r="A10815" s="36"/>
      <c r="B10815" s="34"/>
      <c r="G10815" s="31"/>
    </row>
    <row r="10816" spans="1:7" x14ac:dyDescent="0.25">
      <c r="A10816" s="36"/>
      <c r="B10816" s="34"/>
      <c r="G10816" s="31"/>
    </row>
    <row r="10817" spans="1:7" x14ac:dyDescent="0.25">
      <c r="A10817" s="36"/>
      <c r="B10817" s="34"/>
      <c r="G10817" s="31"/>
    </row>
    <row r="10818" spans="1:7" x14ac:dyDescent="0.25">
      <c r="A10818" s="36"/>
      <c r="B10818" s="34"/>
      <c r="G10818" s="31"/>
    </row>
    <row r="10819" spans="1:7" x14ac:dyDescent="0.25">
      <c r="A10819" s="36"/>
      <c r="B10819" s="34"/>
      <c r="G10819" s="31"/>
    </row>
    <row r="10820" spans="1:7" x14ac:dyDescent="0.25">
      <c r="A10820" s="36"/>
      <c r="B10820" s="34"/>
      <c r="G10820" s="31"/>
    </row>
    <row r="10821" spans="1:7" x14ac:dyDescent="0.25">
      <c r="A10821" s="36"/>
      <c r="B10821" s="34"/>
      <c r="G10821" s="31"/>
    </row>
    <row r="10822" spans="1:7" x14ac:dyDescent="0.25">
      <c r="A10822" s="36"/>
      <c r="B10822" s="34"/>
      <c r="G10822" s="31"/>
    </row>
    <row r="10823" spans="1:7" x14ac:dyDescent="0.25">
      <c r="A10823" s="36"/>
      <c r="B10823" s="34"/>
      <c r="G10823" s="31"/>
    </row>
    <row r="10824" spans="1:7" x14ac:dyDescent="0.25">
      <c r="A10824" s="36"/>
      <c r="B10824" s="34"/>
      <c r="G10824" s="31"/>
    </row>
    <row r="10825" spans="1:7" x14ac:dyDescent="0.25">
      <c r="A10825" s="36"/>
      <c r="B10825" s="34"/>
      <c r="G10825" s="31"/>
    </row>
    <row r="10826" spans="1:7" x14ac:dyDescent="0.25">
      <c r="A10826" s="36"/>
      <c r="B10826" s="34"/>
      <c r="G10826" s="31"/>
    </row>
    <row r="10827" spans="1:7" x14ac:dyDescent="0.25">
      <c r="A10827" s="36"/>
      <c r="B10827" s="34"/>
      <c r="G10827" s="31"/>
    </row>
    <row r="10828" spans="1:7" x14ac:dyDescent="0.25">
      <c r="A10828" s="36"/>
      <c r="B10828" s="34"/>
      <c r="G10828" s="31"/>
    </row>
    <row r="10829" spans="1:7" x14ac:dyDescent="0.25">
      <c r="A10829" s="36"/>
      <c r="B10829" s="34"/>
      <c r="G10829" s="31"/>
    </row>
    <row r="10830" spans="1:7" x14ac:dyDescent="0.25">
      <c r="A10830" s="36"/>
      <c r="B10830" s="34"/>
      <c r="G10830" s="31"/>
    </row>
    <row r="10831" spans="1:7" x14ac:dyDescent="0.25">
      <c r="A10831" s="36"/>
      <c r="B10831" s="34"/>
      <c r="G10831" s="31"/>
    </row>
    <row r="10832" spans="1:7" x14ac:dyDescent="0.25">
      <c r="A10832" s="36"/>
      <c r="B10832" s="34"/>
      <c r="G10832" s="31"/>
    </row>
    <row r="10833" spans="1:7" x14ac:dyDescent="0.25">
      <c r="A10833" s="36"/>
      <c r="B10833" s="34"/>
      <c r="G10833" s="31"/>
    </row>
    <row r="10834" spans="1:7" x14ac:dyDescent="0.25">
      <c r="A10834" s="36"/>
      <c r="B10834" s="34"/>
      <c r="G10834" s="31"/>
    </row>
    <row r="10835" spans="1:7" x14ac:dyDescent="0.25">
      <c r="A10835" s="36"/>
      <c r="B10835" s="34"/>
      <c r="G10835" s="31"/>
    </row>
    <row r="10836" spans="1:7" x14ac:dyDescent="0.25">
      <c r="A10836" s="36"/>
      <c r="B10836" s="34"/>
      <c r="G10836" s="31"/>
    </row>
    <row r="10837" spans="1:7" x14ac:dyDescent="0.25">
      <c r="A10837" s="36"/>
      <c r="B10837" s="34"/>
      <c r="G10837" s="31"/>
    </row>
    <row r="10838" spans="1:7" x14ac:dyDescent="0.25">
      <c r="A10838" s="36"/>
      <c r="B10838" s="34"/>
      <c r="G10838" s="31"/>
    </row>
    <row r="10839" spans="1:7" x14ac:dyDescent="0.25">
      <c r="A10839" s="36"/>
      <c r="B10839" s="34"/>
      <c r="G10839" s="31"/>
    </row>
    <row r="10840" spans="1:7" x14ac:dyDescent="0.25">
      <c r="A10840" s="36"/>
      <c r="B10840" s="34"/>
      <c r="G10840" s="31"/>
    </row>
    <row r="10841" spans="1:7" x14ac:dyDescent="0.25">
      <c r="A10841" s="36"/>
      <c r="B10841" s="34"/>
      <c r="G10841" s="31"/>
    </row>
    <row r="10842" spans="1:7" x14ac:dyDescent="0.25">
      <c r="A10842" s="36"/>
      <c r="B10842" s="34"/>
      <c r="G10842" s="31"/>
    </row>
    <row r="10843" spans="1:7" x14ac:dyDescent="0.25">
      <c r="A10843" s="36"/>
      <c r="B10843" s="34"/>
      <c r="G10843" s="31"/>
    </row>
    <row r="10844" spans="1:7" x14ac:dyDescent="0.25">
      <c r="A10844" s="36"/>
      <c r="B10844" s="34"/>
      <c r="G10844" s="31"/>
    </row>
    <row r="10845" spans="1:7" x14ac:dyDescent="0.25">
      <c r="A10845" s="36"/>
      <c r="B10845" s="34"/>
      <c r="G10845" s="31"/>
    </row>
    <row r="10846" spans="1:7" x14ac:dyDescent="0.25">
      <c r="A10846" s="36"/>
      <c r="B10846" s="34"/>
      <c r="G10846" s="31"/>
    </row>
    <row r="10847" spans="1:7" x14ac:dyDescent="0.25">
      <c r="A10847" s="36"/>
      <c r="B10847" s="34"/>
      <c r="G10847" s="31"/>
    </row>
    <row r="10848" spans="1:7" x14ac:dyDescent="0.25">
      <c r="A10848" s="36"/>
      <c r="B10848" s="34"/>
      <c r="G10848" s="31"/>
    </row>
    <row r="10849" spans="1:7" x14ac:dyDescent="0.25">
      <c r="A10849" s="36"/>
      <c r="B10849" s="34"/>
      <c r="G10849" s="31"/>
    </row>
    <row r="10850" spans="1:7" x14ac:dyDescent="0.25">
      <c r="A10850" s="36"/>
      <c r="B10850" s="34"/>
      <c r="G10850" s="31"/>
    </row>
    <row r="10851" spans="1:7" x14ac:dyDescent="0.25">
      <c r="A10851" s="36"/>
      <c r="B10851" s="34"/>
      <c r="G10851" s="31"/>
    </row>
    <row r="10852" spans="1:7" x14ac:dyDescent="0.25">
      <c r="A10852" s="36"/>
      <c r="B10852" s="34"/>
      <c r="G10852" s="31"/>
    </row>
    <row r="10853" spans="1:7" x14ac:dyDescent="0.25">
      <c r="A10853" s="36"/>
      <c r="B10853" s="34"/>
      <c r="G10853" s="31"/>
    </row>
    <row r="10854" spans="1:7" x14ac:dyDescent="0.25">
      <c r="A10854" s="36"/>
      <c r="B10854" s="34"/>
      <c r="G10854" s="31"/>
    </row>
    <row r="10855" spans="1:7" x14ac:dyDescent="0.25">
      <c r="A10855" s="36"/>
      <c r="B10855" s="34"/>
      <c r="G10855" s="31"/>
    </row>
    <row r="10856" spans="1:7" x14ac:dyDescent="0.25">
      <c r="A10856" s="36"/>
      <c r="B10856" s="34"/>
      <c r="G10856" s="31"/>
    </row>
    <row r="10857" spans="1:7" x14ac:dyDescent="0.25">
      <c r="A10857" s="36"/>
      <c r="B10857" s="34"/>
      <c r="G10857" s="31"/>
    </row>
    <row r="10858" spans="1:7" x14ac:dyDescent="0.25">
      <c r="A10858" s="36"/>
      <c r="B10858" s="34"/>
      <c r="G10858" s="31"/>
    </row>
    <row r="10859" spans="1:7" x14ac:dyDescent="0.25">
      <c r="A10859" s="36"/>
      <c r="B10859" s="34"/>
      <c r="G10859" s="31"/>
    </row>
    <row r="10860" spans="1:7" x14ac:dyDescent="0.25">
      <c r="A10860" s="36"/>
      <c r="B10860" s="34"/>
      <c r="G10860" s="31"/>
    </row>
    <row r="10861" spans="1:7" x14ac:dyDescent="0.25">
      <c r="A10861" s="36"/>
      <c r="B10861" s="34"/>
      <c r="G10861" s="31"/>
    </row>
    <row r="10862" spans="1:7" x14ac:dyDescent="0.25">
      <c r="A10862" s="36"/>
      <c r="B10862" s="34"/>
      <c r="G10862" s="31"/>
    </row>
    <row r="10863" spans="1:7" x14ac:dyDescent="0.25">
      <c r="A10863" s="36"/>
      <c r="B10863" s="34"/>
      <c r="G10863" s="31"/>
    </row>
    <row r="10864" spans="1:7" x14ac:dyDescent="0.25">
      <c r="A10864" s="36"/>
      <c r="B10864" s="34"/>
      <c r="G10864" s="31"/>
    </row>
    <row r="10865" spans="1:7" x14ac:dyDescent="0.25">
      <c r="A10865" s="36"/>
      <c r="B10865" s="34"/>
      <c r="G10865" s="31"/>
    </row>
    <row r="10866" spans="1:7" x14ac:dyDescent="0.25">
      <c r="A10866" s="36"/>
      <c r="B10866" s="34"/>
      <c r="G10866" s="31"/>
    </row>
    <row r="10867" spans="1:7" x14ac:dyDescent="0.25">
      <c r="A10867" s="36"/>
      <c r="B10867" s="34"/>
      <c r="G10867" s="31"/>
    </row>
    <row r="10868" spans="1:7" x14ac:dyDescent="0.25">
      <c r="A10868" s="36"/>
      <c r="B10868" s="34"/>
      <c r="G10868" s="31"/>
    </row>
    <row r="10869" spans="1:7" x14ac:dyDescent="0.25">
      <c r="A10869" s="36"/>
      <c r="B10869" s="34"/>
      <c r="G10869" s="31"/>
    </row>
    <row r="10870" spans="1:7" x14ac:dyDescent="0.25">
      <c r="A10870" s="36"/>
      <c r="B10870" s="34"/>
      <c r="G10870" s="31"/>
    </row>
    <row r="10871" spans="1:7" x14ac:dyDescent="0.25">
      <c r="A10871" s="36"/>
      <c r="B10871" s="34"/>
      <c r="G10871" s="31"/>
    </row>
    <row r="10872" spans="1:7" x14ac:dyDescent="0.25">
      <c r="A10872" s="36"/>
      <c r="B10872" s="34"/>
      <c r="G10872" s="31"/>
    </row>
    <row r="10873" spans="1:7" x14ac:dyDescent="0.25">
      <c r="A10873" s="36"/>
      <c r="B10873" s="34"/>
      <c r="G10873" s="31"/>
    </row>
    <row r="10874" spans="1:7" x14ac:dyDescent="0.25">
      <c r="A10874" s="36"/>
      <c r="B10874" s="34"/>
      <c r="G10874" s="31"/>
    </row>
    <row r="10875" spans="1:7" x14ac:dyDescent="0.25">
      <c r="A10875" s="36"/>
      <c r="B10875" s="34"/>
      <c r="G10875" s="31"/>
    </row>
    <row r="10876" spans="1:7" x14ac:dyDescent="0.25">
      <c r="A10876" s="36"/>
      <c r="B10876" s="34"/>
      <c r="G10876" s="31"/>
    </row>
    <row r="10877" spans="1:7" x14ac:dyDescent="0.25">
      <c r="A10877" s="36"/>
      <c r="B10877" s="34"/>
      <c r="G10877" s="31"/>
    </row>
    <row r="10878" spans="1:7" x14ac:dyDescent="0.25">
      <c r="A10878" s="36"/>
      <c r="B10878" s="34"/>
      <c r="G10878" s="31"/>
    </row>
    <row r="10879" spans="1:7" x14ac:dyDescent="0.25">
      <c r="A10879" s="36"/>
      <c r="B10879" s="34"/>
      <c r="G10879" s="31"/>
    </row>
    <row r="10880" spans="1:7" x14ac:dyDescent="0.25">
      <c r="A10880" s="36"/>
      <c r="B10880" s="34"/>
      <c r="G10880" s="31"/>
    </row>
    <row r="10881" spans="1:7" x14ac:dyDescent="0.25">
      <c r="A10881" s="36"/>
      <c r="B10881" s="34"/>
      <c r="G10881" s="31"/>
    </row>
    <row r="10882" spans="1:7" x14ac:dyDescent="0.25">
      <c r="A10882" s="36"/>
      <c r="B10882" s="34"/>
      <c r="G10882" s="31"/>
    </row>
    <row r="10883" spans="1:7" x14ac:dyDescent="0.25">
      <c r="A10883" s="36"/>
      <c r="B10883" s="34"/>
      <c r="G10883" s="31"/>
    </row>
    <row r="10884" spans="1:7" x14ac:dyDescent="0.25">
      <c r="A10884" s="36"/>
      <c r="B10884" s="34"/>
      <c r="G10884" s="31"/>
    </row>
    <row r="10885" spans="1:7" x14ac:dyDescent="0.25">
      <c r="A10885" s="36"/>
      <c r="B10885" s="34"/>
      <c r="G10885" s="31"/>
    </row>
    <row r="10886" spans="1:7" x14ac:dyDescent="0.25">
      <c r="A10886" s="36"/>
      <c r="B10886" s="34"/>
      <c r="G10886" s="31"/>
    </row>
    <row r="10887" spans="1:7" x14ac:dyDescent="0.25">
      <c r="A10887" s="36"/>
      <c r="B10887" s="34"/>
      <c r="G10887" s="31"/>
    </row>
    <row r="10888" spans="1:7" x14ac:dyDescent="0.25">
      <c r="A10888" s="36"/>
      <c r="B10888" s="34"/>
      <c r="G10888" s="31"/>
    </row>
    <row r="10889" spans="1:7" x14ac:dyDescent="0.25">
      <c r="A10889" s="36"/>
      <c r="B10889" s="34"/>
      <c r="G10889" s="31"/>
    </row>
    <row r="10890" spans="1:7" x14ac:dyDescent="0.25">
      <c r="A10890" s="36"/>
      <c r="B10890" s="34"/>
      <c r="G10890" s="31"/>
    </row>
    <row r="10891" spans="1:7" x14ac:dyDescent="0.25">
      <c r="A10891" s="36"/>
      <c r="B10891" s="34"/>
      <c r="G10891" s="31"/>
    </row>
    <row r="10892" spans="1:7" x14ac:dyDescent="0.25">
      <c r="A10892" s="36"/>
      <c r="B10892" s="34"/>
      <c r="G10892" s="31"/>
    </row>
    <row r="10893" spans="1:7" x14ac:dyDescent="0.25">
      <c r="A10893" s="36"/>
      <c r="B10893" s="34"/>
      <c r="G10893" s="31"/>
    </row>
    <row r="10894" spans="1:7" x14ac:dyDescent="0.25">
      <c r="A10894" s="36"/>
      <c r="B10894" s="34"/>
      <c r="G10894" s="31"/>
    </row>
    <row r="10895" spans="1:7" x14ac:dyDescent="0.25">
      <c r="A10895" s="36"/>
      <c r="B10895" s="34"/>
      <c r="G10895" s="31"/>
    </row>
    <row r="10896" spans="1:7" x14ac:dyDescent="0.25">
      <c r="A10896" s="36"/>
      <c r="B10896" s="34"/>
      <c r="G10896" s="31"/>
    </row>
    <row r="10897" spans="1:7" x14ac:dyDescent="0.25">
      <c r="A10897" s="36"/>
      <c r="B10897" s="34"/>
      <c r="G10897" s="31"/>
    </row>
    <row r="10898" spans="1:7" x14ac:dyDescent="0.25">
      <c r="A10898" s="36"/>
      <c r="B10898" s="34"/>
      <c r="G10898" s="31"/>
    </row>
    <row r="10899" spans="1:7" x14ac:dyDescent="0.25">
      <c r="A10899" s="36"/>
      <c r="B10899" s="34"/>
      <c r="G10899" s="31"/>
    </row>
    <row r="10900" spans="1:7" x14ac:dyDescent="0.25">
      <c r="A10900" s="36"/>
      <c r="B10900" s="34"/>
      <c r="G10900" s="31"/>
    </row>
    <row r="10901" spans="1:7" x14ac:dyDescent="0.25">
      <c r="A10901" s="36"/>
      <c r="B10901" s="34"/>
      <c r="G10901" s="31"/>
    </row>
    <row r="10902" spans="1:7" x14ac:dyDescent="0.25">
      <c r="A10902" s="36"/>
      <c r="B10902" s="34"/>
      <c r="G10902" s="31"/>
    </row>
    <row r="10903" spans="1:7" x14ac:dyDescent="0.25">
      <c r="A10903" s="36"/>
      <c r="B10903" s="34"/>
      <c r="G10903" s="31"/>
    </row>
    <row r="10904" spans="1:7" x14ac:dyDescent="0.25">
      <c r="A10904" s="36"/>
      <c r="B10904" s="34"/>
      <c r="G10904" s="31"/>
    </row>
    <row r="10905" spans="1:7" x14ac:dyDescent="0.25">
      <c r="A10905" s="36"/>
      <c r="B10905" s="34"/>
      <c r="G10905" s="31"/>
    </row>
    <row r="10906" spans="1:7" x14ac:dyDescent="0.25">
      <c r="A10906" s="36"/>
      <c r="B10906" s="34"/>
      <c r="G10906" s="31"/>
    </row>
    <row r="10907" spans="1:7" x14ac:dyDescent="0.25">
      <c r="A10907" s="36"/>
      <c r="B10907" s="34"/>
      <c r="G10907" s="31"/>
    </row>
    <row r="10908" spans="1:7" x14ac:dyDescent="0.25">
      <c r="A10908" s="36"/>
      <c r="B10908" s="34"/>
      <c r="G10908" s="31"/>
    </row>
    <row r="10909" spans="1:7" x14ac:dyDescent="0.25">
      <c r="A10909" s="36"/>
      <c r="B10909" s="34"/>
      <c r="G10909" s="31"/>
    </row>
    <row r="10910" spans="1:7" x14ac:dyDescent="0.25">
      <c r="A10910" s="36"/>
      <c r="B10910" s="34"/>
      <c r="G10910" s="31"/>
    </row>
    <row r="10911" spans="1:7" x14ac:dyDescent="0.25">
      <c r="A10911" s="36"/>
      <c r="B10911" s="34"/>
      <c r="G10911" s="31"/>
    </row>
    <row r="10912" spans="1:7" x14ac:dyDescent="0.25">
      <c r="A10912" s="36"/>
      <c r="B10912" s="34"/>
      <c r="G10912" s="31"/>
    </row>
    <row r="10913" spans="1:7" x14ac:dyDescent="0.25">
      <c r="A10913" s="36"/>
      <c r="B10913" s="34"/>
      <c r="G10913" s="31"/>
    </row>
    <row r="10914" spans="1:7" x14ac:dyDescent="0.25">
      <c r="A10914" s="36"/>
      <c r="B10914" s="34"/>
      <c r="G10914" s="31"/>
    </row>
    <row r="10915" spans="1:7" x14ac:dyDescent="0.25">
      <c r="A10915" s="36"/>
      <c r="B10915" s="34"/>
      <c r="G10915" s="31"/>
    </row>
    <row r="10916" spans="1:7" x14ac:dyDescent="0.25">
      <c r="A10916" s="36"/>
      <c r="B10916" s="34"/>
      <c r="G10916" s="31"/>
    </row>
    <row r="10917" spans="1:7" x14ac:dyDescent="0.25">
      <c r="A10917" s="36"/>
      <c r="B10917" s="34"/>
      <c r="G10917" s="31"/>
    </row>
    <row r="10918" spans="1:7" x14ac:dyDescent="0.25">
      <c r="A10918" s="36"/>
      <c r="B10918" s="34"/>
      <c r="G10918" s="31"/>
    </row>
    <row r="10919" spans="1:7" x14ac:dyDescent="0.25">
      <c r="A10919" s="36"/>
      <c r="B10919" s="34"/>
      <c r="G10919" s="31"/>
    </row>
    <row r="10920" spans="1:7" x14ac:dyDescent="0.25">
      <c r="A10920" s="36"/>
      <c r="B10920" s="34"/>
      <c r="G10920" s="31"/>
    </row>
    <row r="10921" spans="1:7" x14ac:dyDescent="0.25">
      <c r="A10921" s="36"/>
      <c r="B10921" s="34"/>
      <c r="G10921" s="31"/>
    </row>
    <row r="10922" spans="1:7" x14ac:dyDescent="0.25">
      <c r="A10922" s="36"/>
      <c r="B10922" s="34"/>
      <c r="G10922" s="31"/>
    </row>
    <row r="10923" spans="1:7" x14ac:dyDescent="0.25">
      <c r="A10923" s="36"/>
      <c r="B10923" s="34"/>
      <c r="G10923" s="31"/>
    </row>
    <row r="10924" spans="1:7" x14ac:dyDescent="0.25">
      <c r="A10924" s="36"/>
      <c r="B10924" s="34"/>
      <c r="G10924" s="31"/>
    </row>
    <row r="10925" spans="1:7" x14ac:dyDescent="0.25">
      <c r="A10925" s="36"/>
      <c r="B10925" s="34"/>
      <c r="G10925" s="31"/>
    </row>
    <row r="10926" spans="1:7" x14ac:dyDescent="0.25">
      <c r="A10926" s="36"/>
      <c r="B10926" s="34"/>
      <c r="G10926" s="31"/>
    </row>
    <row r="10927" spans="1:7" x14ac:dyDescent="0.25">
      <c r="A10927" s="36"/>
      <c r="B10927" s="34"/>
      <c r="G10927" s="31"/>
    </row>
    <row r="10928" spans="1:7" x14ac:dyDescent="0.25">
      <c r="A10928" s="36"/>
      <c r="B10928" s="34"/>
      <c r="G10928" s="31"/>
    </row>
    <row r="10929" spans="1:7" x14ac:dyDescent="0.25">
      <c r="A10929" s="36"/>
      <c r="B10929" s="34"/>
      <c r="G10929" s="31"/>
    </row>
    <row r="10930" spans="1:7" x14ac:dyDescent="0.25">
      <c r="A10930" s="36"/>
      <c r="B10930" s="34"/>
      <c r="G10930" s="31"/>
    </row>
    <row r="10931" spans="1:7" x14ac:dyDescent="0.25">
      <c r="A10931" s="36"/>
      <c r="B10931" s="34"/>
      <c r="G10931" s="31"/>
    </row>
    <row r="10932" spans="1:7" x14ac:dyDescent="0.25">
      <c r="A10932" s="36"/>
      <c r="B10932" s="34"/>
      <c r="G10932" s="31"/>
    </row>
    <row r="10933" spans="1:7" x14ac:dyDescent="0.25">
      <c r="A10933" s="36"/>
      <c r="B10933" s="34"/>
      <c r="G10933" s="31"/>
    </row>
    <row r="10934" spans="1:7" x14ac:dyDescent="0.25">
      <c r="A10934" s="36"/>
      <c r="B10934" s="34"/>
      <c r="G10934" s="31"/>
    </row>
    <row r="10935" spans="1:7" x14ac:dyDescent="0.25">
      <c r="A10935" s="36"/>
      <c r="B10935" s="34"/>
      <c r="G10935" s="31"/>
    </row>
    <row r="10936" spans="1:7" x14ac:dyDescent="0.25">
      <c r="A10936" s="36"/>
      <c r="B10936" s="34"/>
      <c r="G10936" s="31"/>
    </row>
    <row r="10937" spans="1:7" x14ac:dyDescent="0.25">
      <c r="A10937" s="36"/>
      <c r="B10937" s="34"/>
      <c r="G10937" s="31"/>
    </row>
    <row r="10938" spans="1:7" x14ac:dyDescent="0.25">
      <c r="A10938" s="36"/>
      <c r="B10938" s="34"/>
      <c r="G10938" s="31"/>
    </row>
    <row r="10939" spans="1:7" x14ac:dyDescent="0.25">
      <c r="A10939" s="36"/>
      <c r="B10939" s="34"/>
      <c r="G10939" s="31"/>
    </row>
    <row r="10940" spans="1:7" x14ac:dyDescent="0.25">
      <c r="A10940" s="36"/>
      <c r="B10940" s="34"/>
      <c r="G10940" s="31"/>
    </row>
    <row r="10941" spans="1:7" x14ac:dyDescent="0.25">
      <c r="A10941" s="36"/>
      <c r="B10941" s="34"/>
      <c r="G10941" s="31"/>
    </row>
    <row r="10942" spans="1:7" x14ac:dyDescent="0.25">
      <c r="A10942" s="36"/>
      <c r="B10942" s="34"/>
      <c r="G10942" s="31"/>
    </row>
    <row r="10943" spans="1:7" x14ac:dyDescent="0.25">
      <c r="A10943" s="36"/>
      <c r="B10943" s="34"/>
      <c r="G10943" s="31"/>
    </row>
    <row r="10944" spans="1:7" x14ac:dyDescent="0.25">
      <c r="A10944" s="36"/>
      <c r="B10944" s="34"/>
      <c r="G10944" s="31"/>
    </row>
    <row r="10945" spans="1:7" x14ac:dyDescent="0.25">
      <c r="A10945" s="36"/>
      <c r="B10945" s="34"/>
      <c r="G10945" s="31"/>
    </row>
    <row r="10946" spans="1:7" x14ac:dyDescent="0.25">
      <c r="A10946" s="36"/>
      <c r="B10946" s="34"/>
      <c r="G10946" s="31"/>
    </row>
    <row r="10947" spans="1:7" x14ac:dyDescent="0.25">
      <c r="A10947" s="36"/>
      <c r="B10947" s="34"/>
      <c r="G10947" s="31"/>
    </row>
    <row r="10948" spans="1:7" x14ac:dyDescent="0.25">
      <c r="A10948" s="36"/>
      <c r="B10948" s="34"/>
      <c r="G10948" s="31"/>
    </row>
    <row r="10949" spans="1:7" x14ac:dyDescent="0.25">
      <c r="A10949" s="36"/>
      <c r="B10949" s="34"/>
      <c r="G10949" s="31"/>
    </row>
    <row r="10950" spans="1:7" x14ac:dyDescent="0.25">
      <c r="A10950" s="36"/>
      <c r="B10950" s="34"/>
      <c r="G10950" s="31"/>
    </row>
    <row r="10951" spans="1:7" x14ac:dyDescent="0.25">
      <c r="A10951" s="36"/>
      <c r="B10951" s="34"/>
      <c r="G10951" s="31"/>
    </row>
    <row r="10952" spans="1:7" x14ac:dyDescent="0.25">
      <c r="A10952" s="36"/>
      <c r="B10952" s="34"/>
      <c r="G10952" s="31"/>
    </row>
    <row r="10953" spans="1:7" x14ac:dyDescent="0.25">
      <c r="A10953" s="36"/>
      <c r="B10953" s="34"/>
      <c r="G10953" s="31"/>
    </row>
    <row r="10954" spans="1:7" x14ac:dyDescent="0.25">
      <c r="A10954" s="36"/>
      <c r="B10954" s="34"/>
      <c r="G10954" s="31"/>
    </row>
    <row r="10955" spans="1:7" x14ac:dyDescent="0.25">
      <c r="A10955" s="36"/>
      <c r="B10955" s="34"/>
      <c r="G10955" s="31"/>
    </row>
    <row r="10956" spans="1:7" x14ac:dyDescent="0.25">
      <c r="A10956" s="36"/>
      <c r="B10956" s="34"/>
      <c r="G10956" s="31"/>
    </row>
    <row r="10957" spans="1:7" x14ac:dyDescent="0.25">
      <c r="A10957" s="36"/>
      <c r="B10957" s="34"/>
      <c r="G10957" s="31"/>
    </row>
    <row r="10958" spans="1:7" x14ac:dyDescent="0.25">
      <c r="A10958" s="36"/>
      <c r="B10958" s="34"/>
      <c r="G10958" s="31"/>
    </row>
    <row r="10959" spans="1:7" x14ac:dyDescent="0.25">
      <c r="A10959" s="36"/>
      <c r="B10959" s="34"/>
      <c r="G10959" s="31"/>
    </row>
    <row r="10960" spans="1:7" x14ac:dyDescent="0.25">
      <c r="A10960" s="36"/>
      <c r="B10960" s="34"/>
      <c r="G10960" s="31"/>
    </row>
    <row r="10961" spans="1:7" x14ac:dyDescent="0.25">
      <c r="A10961" s="36"/>
      <c r="B10961" s="34"/>
      <c r="G10961" s="31"/>
    </row>
    <row r="10962" spans="1:7" x14ac:dyDescent="0.25">
      <c r="A10962" s="36"/>
      <c r="B10962" s="34"/>
      <c r="G10962" s="31"/>
    </row>
    <row r="10963" spans="1:7" x14ac:dyDescent="0.25">
      <c r="A10963" s="36"/>
      <c r="B10963" s="34"/>
      <c r="G10963" s="31"/>
    </row>
    <row r="10964" spans="1:7" x14ac:dyDescent="0.25">
      <c r="A10964" s="36"/>
      <c r="B10964" s="34"/>
      <c r="G10964" s="31"/>
    </row>
    <row r="10965" spans="1:7" x14ac:dyDescent="0.25">
      <c r="A10965" s="36"/>
      <c r="B10965" s="34"/>
      <c r="G10965" s="31"/>
    </row>
    <row r="10966" spans="1:7" x14ac:dyDescent="0.25">
      <c r="A10966" s="36"/>
      <c r="B10966" s="34"/>
      <c r="G10966" s="31"/>
    </row>
    <row r="10967" spans="1:7" x14ac:dyDescent="0.25">
      <c r="A10967" s="36"/>
      <c r="B10967" s="34"/>
      <c r="G10967" s="31"/>
    </row>
    <row r="10968" spans="1:7" x14ac:dyDescent="0.25">
      <c r="A10968" s="36"/>
      <c r="B10968" s="34"/>
      <c r="G10968" s="31"/>
    </row>
    <row r="10969" spans="1:7" x14ac:dyDescent="0.25">
      <c r="A10969" s="36"/>
      <c r="B10969" s="34"/>
      <c r="G10969" s="31"/>
    </row>
    <row r="10970" spans="1:7" x14ac:dyDescent="0.25">
      <c r="A10970" s="36"/>
      <c r="B10970" s="34"/>
      <c r="G10970" s="31"/>
    </row>
    <row r="10971" spans="1:7" x14ac:dyDescent="0.25">
      <c r="A10971" s="36"/>
      <c r="B10971" s="34"/>
      <c r="G10971" s="31"/>
    </row>
    <row r="10972" spans="1:7" x14ac:dyDescent="0.25">
      <c r="A10972" s="36"/>
      <c r="B10972" s="34"/>
      <c r="G10972" s="31"/>
    </row>
    <row r="10973" spans="1:7" x14ac:dyDescent="0.25">
      <c r="A10973" s="36"/>
      <c r="B10973" s="34"/>
      <c r="G10973" s="31"/>
    </row>
    <row r="10974" spans="1:7" x14ac:dyDescent="0.25">
      <c r="A10974" s="36"/>
      <c r="B10974" s="34"/>
      <c r="G10974" s="31"/>
    </row>
    <row r="10975" spans="1:7" x14ac:dyDescent="0.25">
      <c r="A10975" s="36"/>
      <c r="B10975" s="34"/>
      <c r="G10975" s="31"/>
    </row>
    <row r="10976" spans="1:7" x14ac:dyDescent="0.25">
      <c r="A10976" s="36"/>
      <c r="B10976" s="34"/>
      <c r="G10976" s="31"/>
    </row>
    <row r="10977" spans="1:7" x14ac:dyDescent="0.25">
      <c r="A10977" s="36"/>
      <c r="B10977" s="34"/>
      <c r="G10977" s="31"/>
    </row>
    <row r="10978" spans="1:7" x14ac:dyDescent="0.25">
      <c r="A10978" s="36"/>
      <c r="B10978" s="34"/>
      <c r="G10978" s="31"/>
    </row>
    <row r="10979" spans="1:7" x14ac:dyDescent="0.25">
      <c r="A10979" s="36"/>
      <c r="B10979" s="34"/>
      <c r="G10979" s="31"/>
    </row>
    <row r="10980" spans="1:7" x14ac:dyDescent="0.25">
      <c r="A10980" s="36"/>
      <c r="B10980" s="34"/>
      <c r="G10980" s="31"/>
    </row>
    <row r="10981" spans="1:7" x14ac:dyDescent="0.25">
      <c r="A10981" s="36"/>
      <c r="B10981" s="34"/>
      <c r="G10981" s="31"/>
    </row>
    <row r="10982" spans="1:7" x14ac:dyDescent="0.25">
      <c r="A10982" s="36"/>
      <c r="B10982" s="34"/>
      <c r="G10982" s="31"/>
    </row>
    <row r="10983" spans="1:7" x14ac:dyDescent="0.25">
      <c r="A10983" s="36"/>
      <c r="B10983" s="34"/>
      <c r="G10983" s="31"/>
    </row>
    <row r="10984" spans="1:7" x14ac:dyDescent="0.25">
      <c r="A10984" s="36"/>
      <c r="B10984" s="34"/>
      <c r="G10984" s="31"/>
    </row>
    <row r="10985" spans="1:7" x14ac:dyDescent="0.25">
      <c r="A10985" s="36"/>
      <c r="B10985" s="34"/>
      <c r="G10985" s="31"/>
    </row>
    <row r="10986" spans="1:7" x14ac:dyDescent="0.25">
      <c r="A10986" s="36"/>
      <c r="B10986" s="34"/>
      <c r="G10986" s="31"/>
    </row>
    <row r="10987" spans="1:7" x14ac:dyDescent="0.25">
      <c r="A10987" s="36"/>
      <c r="B10987" s="34"/>
      <c r="G10987" s="31"/>
    </row>
    <row r="10988" spans="1:7" x14ac:dyDescent="0.25">
      <c r="A10988" s="36"/>
      <c r="B10988" s="34"/>
      <c r="G10988" s="31"/>
    </row>
    <row r="10989" spans="1:7" x14ac:dyDescent="0.25">
      <c r="A10989" s="36"/>
      <c r="B10989" s="34"/>
      <c r="G10989" s="31"/>
    </row>
    <row r="10990" spans="1:7" x14ac:dyDescent="0.25">
      <c r="A10990" s="36"/>
      <c r="B10990" s="34"/>
      <c r="G10990" s="31"/>
    </row>
    <row r="10991" spans="1:7" x14ac:dyDescent="0.25">
      <c r="A10991" s="36"/>
      <c r="B10991" s="34"/>
      <c r="G10991" s="31"/>
    </row>
    <row r="10992" spans="1:7" x14ac:dyDescent="0.25">
      <c r="A10992" s="36"/>
      <c r="B10992" s="34"/>
      <c r="G10992" s="31"/>
    </row>
    <row r="10993" spans="1:7" x14ac:dyDescent="0.25">
      <c r="A10993" s="36"/>
      <c r="B10993" s="34"/>
      <c r="G10993" s="31"/>
    </row>
    <row r="10994" spans="1:7" x14ac:dyDescent="0.25">
      <c r="A10994" s="36"/>
      <c r="B10994" s="34"/>
      <c r="G10994" s="31"/>
    </row>
    <row r="10995" spans="1:7" x14ac:dyDescent="0.25">
      <c r="A10995" s="36"/>
      <c r="B10995" s="34"/>
      <c r="G10995" s="31"/>
    </row>
    <row r="10996" spans="1:7" x14ac:dyDescent="0.25">
      <c r="A10996" s="36"/>
      <c r="B10996" s="34"/>
      <c r="G10996" s="31"/>
    </row>
    <row r="10997" spans="1:7" x14ac:dyDescent="0.25">
      <c r="A10997" s="36"/>
      <c r="B10997" s="34"/>
      <c r="G10997" s="31"/>
    </row>
    <row r="10998" spans="1:7" x14ac:dyDescent="0.25">
      <c r="A10998" s="36"/>
      <c r="B10998" s="34"/>
      <c r="G10998" s="31"/>
    </row>
    <row r="10999" spans="1:7" x14ac:dyDescent="0.25">
      <c r="A10999" s="36"/>
      <c r="B10999" s="34"/>
      <c r="G10999" s="31"/>
    </row>
    <row r="11000" spans="1:7" x14ac:dyDescent="0.25">
      <c r="A11000" s="36"/>
      <c r="B11000" s="34"/>
      <c r="G11000" s="31"/>
    </row>
  </sheetData>
  <conditionalFormatting sqref="G1:G19 G23:G11000">
    <cfRule type="notContainsBlanks" dxfId="0" priority="1">
      <formula>LEN(TRIM(G1))&gt;0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Puerto Ayacucho</vt:lpstr>
      <vt:lpstr>Caicara</vt:lpstr>
      <vt:lpstr>Ciudad Bolivar</vt:lpstr>
      <vt:lpstr>Palua</vt:lpstr>
      <vt:lpstr>Entrenar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Laboratorio BD - Equipo 20</cp:lastModifiedBy>
  <dcterms:modified xsi:type="dcterms:W3CDTF">2026-10-26T12:32:27Z</dcterms:modified>
</cp:coreProperties>
</file>